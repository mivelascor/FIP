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
    <numFmt numFmtId="171" formatCode="yyyy-mm-dd h:mm:ss"/>
    <numFmt numFmtId="172" formatCode="_ * #,##0_ ;_ * \-#,##0_ ;_ * &quot;-&quot;_ ;_ @_ "/>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0"/>
    </font>
    <font>
      <name val="Be Vietnam Pro Light"/>
      <color theme="1"/>
      <sz val="9"/>
    </font>
    <font>
      <name val="Be Vietnam Pro Medium"/>
      <color theme="1"/>
      <sz val="9"/>
    </font>
    <font>
      <name val="Be Vietnam Pro Medium"/>
      <color theme="1"/>
      <sz val="10"/>
    </font>
    <font>
      <name val="Be Vietnam Pro Light"/>
      <color theme="0"/>
      <sz val="9"/>
    </font>
    <font>
      <name val="Be Vietnam Pro Light"/>
      <sz val="9"/>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666666"/>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6" fillId="0" borderId="0"/>
    <xf numFmtId="0" fontId="9" fillId="0" borderId="0"/>
    <xf numFmtId="0" fontId="6" fillId="0" borderId="0"/>
    <xf numFmtId="9" fontId="6" fillId="0" borderId="0"/>
    <xf numFmtId="9" fontId="9" fillId="0" borderId="0"/>
    <xf numFmtId="172" fontId="9" fillId="0" borderId="0"/>
    <xf numFmtId="172" fontId="6" fillId="0" borderId="0"/>
    <xf numFmtId="9" fontId="6" fillId="0" borderId="0"/>
    <xf numFmtId="172" fontId="9" fillId="0" borderId="0"/>
    <xf numFmtId="172" fontId="6" fillId="0" borderId="0"/>
  </cellStyleXfs>
  <cellXfs count="1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1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applyAlignment="1" pivotButton="0" quotePrefix="0" xfId="0">
      <alignment horizontal="righ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0" fontId="8" fillId="0" borderId="0" applyAlignment="1" pivotButton="0" quotePrefix="0" xfId="1">
      <alignment horizontal="right"/>
    </xf>
    <xf numFmtId="4" fontId="8" fillId="2" borderId="0" pivotButton="0" quotePrefix="0" xfId="1"/>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21" fillId="6" borderId="0" applyAlignment="1" pivotButton="0" quotePrefix="0" xfId="1">
      <alignment horizontal="left"/>
    </xf>
    <xf numFmtId="0" fontId="22" fillId="6" borderId="0" pivotButton="0" quotePrefix="0" xfId="1"/>
    <xf numFmtId="0" fontId="12" fillId="0" borderId="0" applyAlignment="1" pivotButton="0" quotePrefix="0" xfId="1">
      <alignment horizontal="left"/>
    </xf>
    <xf numFmtId="164" fontId="8" fillId="0" borderId="0" pivotButton="0" quotePrefix="0" xfId="4"/>
    <xf numFmtId="166" fontId="8" fillId="10" borderId="0" pivotButton="0" quotePrefix="0" xfId="1"/>
    <xf numFmtId="0" fontId="22" fillId="0" borderId="0" pivotButton="0" quotePrefix="0" xfId="1"/>
    <xf numFmtId="168" fontId="8" fillId="0" borderId="0" pivotButton="0" quotePrefix="0" xfId="5"/>
    <xf numFmtId="0" fontId="19" fillId="7" borderId="0" applyAlignment="1" pivotButton="0" quotePrefix="0" xfId="1">
      <alignment horizontal="center"/>
    </xf>
    <xf numFmtId="10" fontId="20" fillId="7" borderId="0" applyAlignment="1" pivotButton="0" quotePrefix="0" xfId="4">
      <alignment horizontal="center"/>
    </xf>
    <xf numFmtId="10" fontId="19" fillId="7" borderId="0" applyAlignment="1" pivotButton="0" quotePrefix="0" xfId="4">
      <alignment horizontal="center"/>
    </xf>
    <xf numFmtId="169" fontId="8" fillId="2" borderId="0" pivotButton="0" quotePrefix="0" xfId="6"/>
    <xf numFmtId="10" fontId="8" fillId="0" borderId="0" pivotButton="0" quotePrefix="0" xfId="7"/>
    <xf numFmtId="10" fontId="23" fillId="0" borderId="0" pivotButton="0" quotePrefix="0" xfId="7"/>
    <xf numFmtId="10" fontId="23" fillId="3" borderId="0" pivotButton="0" quotePrefix="0" xfId="7"/>
    <xf numFmtId="10" fontId="8" fillId="0" borderId="0" pivotButton="0" quotePrefix="1" xfId="7"/>
    <xf numFmtId="10" fontId="19" fillId="7" borderId="0" applyAlignment="1" pivotButton="0" quotePrefix="0" xfId="7">
      <alignment horizontal="center"/>
    </xf>
    <xf numFmtId="10" fontId="20" fillId="7" borderId="0" applyAlignment="1" pivotButton="0" quotePrefix="0" xfId="7">
      <alignment horizontal="center"/>
    </xf>
    <xf numFmtId="10" fontId="20" fillId="8" borderId="0" applyAlignment="1" pivotButton="0" quotePrefix="0" xfId="7">
      <alignment horizontal="center"/>
    </xf>
    <xf numFmtId="10" fontId="19" fillId="8" borderId="0" applyAlignment="1" pivotButton="0" quotePrefix="0" xfId="7">
      <alignment horizontal="center"/>
    </xf>
    <xf numFmtId="10" fontId="8" fillId="0" borderId="0" pivotButton="0" quotePrefix="0" xfId="1"/>
    <xf numFmtId="14" fontId="8" fillId="10" borderId="0" pivotButton="0" quotePrefix="0" xfId="1"/>
    <xf numFmtId="14" fontId="8" fillId="2" borderId="0" pivotButton="0" quotePrefix="0" xfId="1"/>
    <xf numFmtId="10" fontId="0" fillId="0" borderId="0" pivotButton="0" quotePrefix="0" xfId="0"/>
    <xf numFmtId="0" fontId="24" fillId="0" borderId="0" applyAlignment="1" pivotButton="0" quotePrefix="0" xfId="0">
      <alignment vertical="center"/>
    </xf>
    <xf numFmtId="0" fontId="25" fillId="0" borderId="0" applyAlignment="1" pivotButton="0" quotePrefix="0" xfId="0">
      <alignment horizontal="left"/>
    </xf>
    <xf numFmtId="10" fontId="25" fillId="0" borderId="0" applyAlignment="1" pivotButton="0" quotePrefix="0" xfId="0">
      <alignment horizont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5" fillId="0" borderId="0" pivotButton="0" quotePrefix="0" xfId="0"/>
    <xf numFmtId="0" fontId="25" fillId="0" borderId="0" applyAlignment="1" pivotButton="0" quotePrefix="0" xfId="0">
      <alignment horizont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170" fontId="8" fillId="0" borderId="0" pivotButton="0" quotePrefix="0" xfId="1"/>
    <xf numFmtId="0" fontId="29" fillId="0" borderId="0" applyAlignment="1" pivotButton="0" quotePrefix="0" xfId="0">
      <alignment vertical="center" wrapText="1"/>
    </xf>
    <xf numFmtId="14" fontId="30" fillId="0" borderId="0" pivotButton="0" quotePrefix="0" xfId="0"/>
    <xf numFmtId="2" fontId="30" fillId="0" borderId="0" pivotButton="0" quotePrefix="0" xfId="0"/>
    <xf numFmtId="0" fontId="31" fillId="12" borderId="2" pivotButton="0" quotePrefix="0" xfId="0"/>
    <xf numFmtId="165" fontId="0" fillId="13" borderId="3" pivotButton="0" quotePrefix="0" xfId="0"/>
    <xf numFmtId="165" fontId="0" fillId="0" borderId="3" pivotButton="0" quotePrefix="0" xfId="0"/>
    <xf numFmtId="164" fontId="32" fillId="14" borderId="4" pivotButton="0" quotePrefix="0" xfId="0"/>
    <xf numFmtId="0" fontId="18" fillId="3" borderId="0" applyAlignment="1" pivotButton="0" quotePrefix="0" xfId="1">
      <alignment horizontal="center" vertical="center"/>
    </xf>
    <xf numFmtId="0" fontId="11" fillId="7" borderId="0" applyAlignment="1" pivotButton="0" quotePrefix="0" xfId="1">
      <alignment horizontal="center" vertical="center"/>
    </xf>
    <xf numFmtId="0" fontId="18" fillId="2"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7" fontId="8" fillId="0" borderId="0" pivotButton="0" quotePrefix="0" xfId="1"/>
    <xf numFmtId="166" fontId="8" fillId="0" borderId="0" pivotButton="0" quotePrefix="0" xfId="1"/>
    <xf numFmtId="169" fontId="8" fillId="2" borderId="0" pivotButton="0" quotePrefix="0" xfId="6"/>
    <xf numFmtId="164" fontId="8" fillId="0" borderId="0" pivotButton="0" quotePrefix="0" xfId="4"/>
    <xf numFmtId="166" fontId="8" fillId="10" borderId="0" pivotButton="0" quotePrefix="0" xfId="1"/>
    <xf numFmtId="168" fontId="8" fillId="0" borderId="0" pivotButton="0" quotePrefix="0" xfId="5"/>
    <xf numFmtId="170" fontId="8" fillId="0" borderId="0" pivotButton="0" quotePrefix="0" xfId="1"/>
    <xf numFmtId="165" fontId="0" fillId="13" borderId="3" pivotButton="0" quotePrefix="0" xfId="0"/>
    <xf numFmtId="165" fontId="0" fillId="0" borderId="3" pivotButton="0" quotePrefix="0" xfId="0"/>
    <xf numFmtId="164" fontId="32" fillId="14" borderId="4" pivotButton="0" quotePrefix="0" xfId="0"/>
    <xf numFmtId="171" fontId="0" fillId="0" borderId="0" pivotButton="0" quotePrefix="0" xfId="0"/>
    <xf numFmtId="171"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 name="Millares [0] 2 2" xfId="8"/>
    <cellStyle name="Millares [0]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rPr lang="en-US" b="1">
                <a:solidFill>
                  <a:schemeClr val="tx1"/>
                </a:solidFill>
                <a:latin typeface="Helvetica" panose="020B0604020202020204" pitchFamily="34" charset="0"/>
                <a:cs typeface="Helvetica" panose="020B0604020202020204" pitchFamily="34" charset="0"/>
              </a:rPr>
              <a:t>FIP Liquidez Reserva</a:t>
            </a:r>
            <a:r>
              <a:rPr lang="en-US" b="1" baseline="0">
                <a:solidFill>
                  <a:schemeClr val="tx1"/>
                </a:solidFill>
                <a:latin typeface="Helvetica" panose="020B0604020202020204" pitchFamily="34" charset="0"/>
                <a:cs typeface="Helvetica" panose="020B0604020202020204" pitchFamily="34" charset="0"/>
              </a:rPr>
              <a:t> </a:t>
            </a:r>
            <a:endParaRPr lang="en-US" b="1">
              <a:solidFill>
                <a:schemeClr val="tx1"/>
              </a:solidFill>
              <a:latin typeface="Helvetica" panose="020B0604020202020204" pitchFamily="34" charset="0"/>
              <a:cs typeface="Helvetica" panose="020B0604020202020204" pitchFamily="34" charset="0"/>
            </a:endParaRPr>
          </a:p>
          <a:p xmlns:a="http://schemas.openxmlformats.org/drawingml/2006/main">
            <a:pPr>
              <a:defRPr b="1">
                <a:solidFill>
                  <a:schemeClr val="tx1"/>
                </a:solidFill>
              </a:defRPr>
            </a:pPr>
            <a:r>
              <a:rPr lang="en-US" b="1">
                <a:solidFill>
                  <a:schemeClr val="tx1"/>
                </a:solidFill>
                <a:latin typeface="Helvetica" panose="020B0604020202020204" pitchFamily="34" charset="0"/>
                <a:cs typeface="Helvetica" panose="020B0604020202020204" pitchFamily="34" charset="0"/>
              </a:rPr>
              <a:t>Dólar</a:t>
            </a:r>
          </a:p>
        </rich>
      </tx>
      <layout>
        <manualLayout>
          <xMode val="edge"/>
          <yMode val="edge"/>
          <wMode val="factor"/>
          <hMode val="factor"/>
          <x val="0.3735002221893053"/>
          <y val="0.0351244289810912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t>None</a:t>
          </a:r>
          <a:endParaRPr lang="en-US"/>
        </a:p>
      </txPr>
    </title>
    <plotArea>
      <layout>
        <manualLayout>
          <layoutTarget val="inner"/>
          <xMode val="edge"/>
          <yMode val="edge"/>
          <wMode val="factor"/>
          <hMode val="factor"/>
          <x val="0.09346461774607107"/>
          <y val="0.1434070535215705"/>
          <w val="0.8694046850743926"/>
          <h val="0.7424335554979655"/>
        </manualLayout>
      </layout>
      <lineChart>
        <grouping val="standard"/>
        <varyColors val="0"/>
        <ser>
          <idx val="0"/>
          <order val="0"/>
          <tx>
            <v>Competencia Relevante</v>
          </tx>
          <spPr>
            <a:ln xmlns:a="http://schemas.openxmlformats.org/drawingml/2006/main" w="28575" cap="rnd">
              <a:solidFill>
                <a:schemeClr val="bg1">
                  <a:lumMod val="65000"/>
                </a:schemeClr>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(2)'!$M$190:$M$244</f>
              <numCache>
                <formatCode>#,##0.00</formatCode>
                <ptCount val="55"/>
                <pt idx="43">
                  <v>100</v>
                </pt>
                <pt idx="44">
                  <v>101.8822716204133</v>
                </pt>
                <pt idx="45">
                  <v>107.8332522357558</v>
                </pt>
                <pt idx="46">
                  <v>116.0548119529002</v>
                </pt>
                <pt idx="47">
                  <v>120.0328720661491</v>
                </pt>
                <pt idx="48">
                  <v>124.108149291929</v>
                </pt>
                <pt idx="49">
                  <v>128.3503687650705</v>
                </pt>
                <pt idx="50">
                  <v>132.7906659833299</v>
                </pt>
                <pt idx="51">
                  <v>137.4299225767148</v>
                </pt>
                <pt idx="52">
                  <v>142.2287382244956</v>
                </pt>
                <pt idx="53">
                  <v>147.1050640733014</v>
                </pt>
                <pt idx="54">
                  <v>152.060219270773</v>
                </pt>
              </numCache>
            </numRef>
          </val>
          <smooth val="0"/>
        </ser>
        <ser>
          <idx val="1"/>
          <order val="1"/>
          <tx>
            <v>FIP Liquidez Reserva Dólar</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(2)'!$J$191:$J$244</f>
              <numCache>
                <formatCode>#,##0.00</formatCode>
                <ptCount val="54"/>
                <pt idx="41">
                  <v>100</v>
                </pt>
                <pt idx="42">
                  <v>100</v>
                </pt>
                <pt idx="43">
                  <v>100</v>
                </pt>
                <pt idx="44">
                  <v>123.6668125863498</v>
                </pt>
                <pt idx="45">
                  <v>130.4991951158571</v>
                </pt>
                <pt idx="46">
                  <v>134.9248427905561</v>
                </pt>
                <pt idx="47">
                  <v>137.2088008112682</v>
                </pt>
                <pt idx="48">
                  <v>139.9248878004977</v>
                </pt>
                <pt idx="49">
                  <v>148.1105691036707</v>
                </pt>
                <pt idx="50">
                  <v>156.2343156488896</v>
                </pt>
                <pt idx="51">
                  <v>163.9684757888865</v>
                </pt>
                <pt idx="52">
                  <v>173.0648913076406</v>
                </pt>
                <pt idx="53">
                  <v>181.9514190726345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9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s-CL"/>
          </a:p>
        </txPr>
        <crossAx val="2314791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Helvetica" panose="020B0604020202020204" pitchFamily="34" charset="0"/>
              <a:ea typeface="+mn-ea"/>
              <a:cs typeface="Helvetica" panose="020B0604020202020204" pitchFamily="34" charset="0"/>
            </a:defRPr>
          </a:pPr>
          <a:r>
            <a:t>None</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0.1757</v>
                </pt>
                <pt idx="1">
                  <v>0.6108</v>
                </pt>
                <pt idx="2">
                  <v>0.2135</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0.8108</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1</col>
      <colOff>646551</colOff>
      <row>265</row>
      <rowOff>63502</rowOff>
    </from>
    <to>
      <col>10</col>
      <colOff>876421</colOff>
      <row>293</row>
      <rowOff>151338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7109375" customWidth="1" min="1" max="1"/>
  </cols>
  <sheetData>
    <row r="2" ht="178.5" customHeight="1">
      <c r="A2" s="98"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zoomScale="62" zoomScaleNormal="80" workbookViewId="0">
      <pane ySplit="2" topLeftCell="AQ14" activePane="bottomLeft" state="frozen"/>
      <selection pane="bottomLeft" activeCell="AW19" sqref="AW19"/>
    </sheetView>
  </sheetViews>
  <sheetFormatPr baseColWidth="8" defaultColWidth="12.28515625" defaultRowHeight="15"/>
  <cols>
    <col width="14.28515625" customWidth="1" style="14" min="1" max="1"/>
    <col width="18.140625" bestFit="1" customWidth="1" style="14" min="2" max="2"/>
    <col width="12.28515625" bestFit="1" customWidth="1" style="14" min="3" max="3"/>
    <col width="12.85546875" bestFit="1" customWidth="1" style="14" min="4" max="4"/>
    <col width="12.28515625" customWidth="1" style="14" min="5" max="5"/>
    <col width="16.140625" customWidth="1" style="14" min="6" max="6"/>
    <col width="13.42578125" bestFit="1" customWidth="1" style="108" min="7" max="7"/>
    <col width="12.28515625" bestFit="1" customWidth="1" style="108" min="8" max="8"/>
    <col width="12.28515625" bestFit="1" customWidth="1" style="109" min="9" max="9"/>
    <col width="12.28515625" bestFit="1" customWidth="1" style="14" min="10" max="10"/>
    <col width="14.140625" bestFit="1" customWidth="1" style="14" min="11" max="11"/>
    <col width="12.28515625" bestFit="1" customWidth="1" style="14" min="12" max="12"/>
    <col width="11.85546875" bestFit="1" customWidth="1" style="14" min="13" max="24"/>
    <col width="12.28515625" bestFit="1" customWidth="1" style="14" min="25" max="25"/>
    <col width="10.85546875" bestFit="1" customWidth="1" style="14" min="26" max="27"/>
    <col width="5.5703125" bestFit="1" customWidth="1" style="14" min="28" max="28"/>
    <col width="5.7109375" bestFit="1" customWidth="1" style="14" min="29" max="29"/>
    <col width="16.85546875" customWidth="1" style="14" min="30" max="30"/>
    <col width="7.7109375" bestFit="1" customWidth="1" style="14" min="31" max="31"/>
    <col width="8" customWidth="1" style="14" min="32" max="32"/>
    <col width="7.28515625" customWidth="1" style="14" min="33" max="34"/>
    <col width="7.7109375" customWidth="1" style="14" min="35" max="35"/>
    <col width="9" customWidth="1" style="14" min="36" max="36"/>
    <col width="7.5703125" customWidth="1" style="14" min="37" max="37"/>
    <col width="9.42578125" customWidth="1" style="14" min="38" max="38"/>
    <col width="9.140625" customWidth="1" style="14" min="39" max="39"/>
    <col width="8.7109375" customWidth="1" style="14" min="40" max="40"/>
    <col width="8.85546875" customWidth="1" style="14" min="41" max="41"/>
    <col width="8.5703125" customWidth="1" style="14" min="42" max="42"/>
    <col width="11" bestFit="1" customWidth="1" style="14" min="43" max="43"/>
    <col width="3.85546875" customWidth="1" style="14" min="44" max="44"/>
    <col width="11.7109375" customWidth="1" style="14" min="45" max="45"/>
    <col width="12.28515625" customWidth="1" style="14" min="46" max="46"/>
    <col width="12.7109375" customWidth="1" style="14" min="47" max="47"/>
    <col width="19.140625" customWidth="1" style="14" min="48" max="48"/>
    <col width="14.28515625" bestFit="1" customWidth="1" style="14" min="49" max="49"/>
    <col width="19.85546875" customWidth="1" style="14" min="50" max="50"/>
    <col width="21" customWidth="1" style="14" min="51" max="51"/>
    <col width="15.85546875" customWidth="1" style="14" min="52" max="52"/>
    <col width="14.28515625" customWidth="1" style="14" min="53" max="53"/>
    <col width="17.85546875" customWidth="1" style="14" min="54" max="54"/>
    <col width="12.28515625" customWidth="1" style="14" min="55" max="16384"/>
  </cols>
  <sheetData>
    <row r="1" ht="15.75" customHeight="1">
      <c r="A1" s="14" t="inlineStr">
        <is>
          <t>CLICP Index</t>
        </is>
      </c>
      <c r="F1" s="14" t="inlineStr">
        <is>
          <t>Cuota LIQUIDEZ RESERVA DÓLAR</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0" t="n"/>
      <c r="H2" s="110" t="n"/>
      <c r="J2" s="14" t="inlineStr">
        <is>
          <t>FondoLiquidez Reserva Dólar</t>
        </is>
      </c>
      <c r="K2" s="23" t="inlineStr">
        <is>
          <t xml:space="preserve"> 8248-1</t>
        </is>
      </c>
      <c r="L2" s="24" t="n"/>
      <c r="M2" s="14" t="inlineStr">
        <is>
          <t>Competencia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f>
        <v/>
      </c>
      <c r="AF2" s="26">
        <f>+Q3</f>
        <v/>
      </c>
      <c r="AG2" s="26">
        <f>+R3</f>
        <v/>
      </c>
      <c r="AH2" s="26">
        <f>+S3</f>
        <v/>
      </c>
      <c r="AI2" s="26">
        <f>+T3</f>
        <v/>
      </c>
      <c r="AJ2" s="26">
        <f>+U3</f>
        <v/>
      </c>
      <c r="AK2" s="26">
        <f>+V3</f>
        <v/>
      </c>
      <c r="AL2" s="26">
        <f>+W3</f>
        <v/>
      </c>
      <c r="AM2" s="26">
        <f>+X3</f>
        <v/>
      </c>
      <c r="AN2" s="26">
        <f>+Y3</f>
        <v/>
      </c>
      <c r="AO2" s="26">
        <f>+Z3</f>
        <v/>
      </c>
      <c r="AP2" s="26">
        <f>+AA3</f>
        <v/>
      </c>
      <c r="AQ2" s="27">
        <f>+B16/B3-1</f>
        <v/>
      </c>
      <c r="AR2" s="20" t="n"/>
      <c r="AS2" s="20" t="n"/>
    </row>
    <row r="3">
      <c r="A3" s="28" t="n">
        <v>38717</v>
      </c>
      <c r="B3" s="29" t="n">
        <v>10953.14</v>
      </c>
      <c r="D3" s="30">
        <f>B3/$B$3*100</f>
        <v/>
      </c>
      <c r="E3" s="30" t="n"/>
      <c r="F3" s="30" t="n"/>
      <c r="K3" s="23" t="n"/>
      <c r="L3" s="24" t="n"/>
      <c r="N3" s="29">
        <f>B3</f>
        <v/>
      </c>
      <c r="O3" s="14" t="n">
        <v>2006</v>
      </c>
      <c r="P3" s="70">
        <f>LOOKUP(DATE($O3,P$25,P$24),$A$2:$A$2943,$C$2:$C$2943)</f>
        <v/>
      </c>
      <c r="Q3" s="70">
        <f>LOOKUP(DATE($O3,Q$25,Q$24),$A$2:$A$2943,$C$2:$C$2943)</f>
        <v/>
      </c>
      <c r="R3" s="70">
        <f>LOOKUP(DATE($O3,R$25,R$24),$A$2:$A$2943,$C$2:$C$2943)</f>
        <v/>
      </c>
      <c r="S3" s="70">
        <f>LOOKUP(DATE($O3,S$25,S$24),$A$2:$A$2943,$C$2:$C$2943)</f>
        <v/>
      </c>
      <c r="T3" s="70">
        <f>LOOKUP(DATE($O3,T$25,T$24),$A$2:$A$2943,$C$2:$C$2943)</f>
        <v/>
      </c>
      <c r="U3" s="70">
        <f>LOOKUP(DATE($O3,U$25,U$24),$A$2:$A$2943,$C$2:$C$2943)</f>
        <v/>
      </c>
      <c r="V3" s="70">
        <f>LOOKUP(DATE($O3,V$25,V$24),$A$2:$A$2943,$C$2:$C$2943)</f>
        <v/>
      </c>
      <c r="W3" s="70">
        <f>LOOKUP(DATE($O3,W$25,W$24),$A$2:$A$2943,$C$2:$C$2943)</f>
        <v/>
      </c>
      <c r="X3" s="70">
        <f>LOOKUP(DATE($O3,X$25,X$24),$A$2:$A$2943,$C$2:$C$2943)</f>
        <v/>
      </c>
      <c r="Y3" s="70">
        <f>LOOKUP(DATE($O3,Y$25,Y$24),$A$2:$A$2943,$C$2:$C$2943)</f>
        <v/>
      </c>
      <c r="Z3" s="70">
        <f>LOOKUP(DATE($O3,Z$25,Z$24),$A$2:$A$2943,$C$2:$C$2943)</f>
        <v/>
      </c>
      <c r="AA3" s="70">
        <f>LOOKUP(DATE($O3,AA$25,AA$24),$A$2:$A$2943,$C$2:$C$2943)</f>
        <v/>
      </c>
      <c r="AC3" s="17" t="n"/>
      <c r="AD3" s="32" t="n">
        <v>2007</v>
      </c>
      <c r="AE3" s="26">
        <f>+P4</f>
        <v/>
      </c>
      <c r="AF3" s="26">
        <f>+Q4</f>
        <v/>
      </c>
      <c r="AG3" s="26">
        <f>+R4</f>
        <v/>
      </c>
      <c r="AH3" s="26">
        <f>+S4</f>
        <v/>
      </c>
      <c r="AI3" s="26">
        <f>+T4</f>
        <v/>
      </c>
      <c r="AJ3" s="26">
        <f>+U4</f>
        <v/>
      </c>
      <c r="AK3" s="26">
        <f>+V4</f>
        <v/>
      </c>
      <c r="AL3" s="26">
        <f>+W4</f>
        <v/>
      </c>
      <c r="AM3" s="26">
        <f>+X4</f>
        <v/>
      </c>
      <c r="AN3" s="26">
        <f>+Y4</f>
        <v/>
      </c>
      <c r="AO3" s="26">
        <f>+Z4</f>
        <v/>
      </c>
      <c r="AP3" s="26">
        <f>+AA4</f>
        <v/>
      </c>
      <c r="AQ3" s="27">
        <f>+B28/B15-1</f>
        <v/>
      </c>
      <c r="AR3" s="20" t="n"/>
      <c r="AS3" s="20" t="n"/>
    </row>
    <row r="4">
      <c r="A4" s="111" t="n">
        <v>38748</v>
      </c>
      <c r="B4" s="112" t="n">
        <v>10996.85</v>
      </c>
      <c r="C4" s="36">
        <f>(B4/B3-1)/(A4-A3)*360</f>
        <v/>
      </c>
      <c r="D4" s="30">
        <f>B4/$B$3*100</f>
        <v/>
      </c>
      <c r="E4" s="30" t="n"/>
      <c r="F4" s="30" t="n"/>
      <c r="K4" s="23" t="inlineStr">
        <is>
          <t>Corporate Dollar Serie A Banchile</t>
        </is>
      </c>
      <c r="L4" s="24" t="n"/>
      <c r="O4" s="14" t="n">
        <v>2007</v>
      </c>
      <c r="P4" s="70">
        <f>LOOKUP(DATE($O4,P$25,P$24),$A$2:$A$2943,$C$2:$C$2943)</f>
        <v/>
      </c>
      <c r="Q4" s="70">
        <f>LOOKUP(DATE($O4,Q$25,Q$24),$A$2:$A$2943,$C$2:$C$2943)</f>
        <v/>
      </c>
      <c r="R4" s="70">
        <f>LOOKUP(DATE($O4,R$25,R$24),$A$2:$A$2943,$C$2:$C$2943)</f>
        <v/>
      </c>
      <c r="S4" s="70">
        <f>LOOKUP(DATE($O4,S$25,S$24),$A$2:$A$2943,$C$2:$C$2943)</f>
        <v/>
      </c>
      <c r="T4" s="70">
        <f>LOOKUP(DATE($O4,T$25,T$24),$A$2:$A$2943,$C$2:$C$2943)</f>
        <v/>
      </c>
      <c r="U4" s="70">
        <f>LOOKUP(DATE($O4,U$25,U$24),$A$2:$A$2943,$C$2:$C$2943)</f>
        <v/>
      </c>
      <c r="V4" s="70">
        <f>LOOKUP(DATE($O4,V$25,V$24),$A$2:$A$2943,$C$2:$C$2943)</f>
        <v/>
      </c>
      <c r="W4" s="70">
        <f>LOOKUP(DATE($O4,W$25,W$24),$A$2:$A$2943,$C$2:$C$2943)</f>
        <v/>
      </c>
      <c r="X4" s="70">
        <f>LOOKUP(DATE($O4,X$25,X$24),$A$2:$A$2943,$C$2:$C$2943)</f>
        <v/>
      </c>
      <c r="Y4" s="70">
        <f>LOOKUP(DATE($O4,Y$25,Y$24),$A$2:$A$2943,$C$2:$C$2943)</f>
        <v/>
      </c>
      <c r="Z4" s="70">
        <f>LOOKUP(DATE($O4,Z$25,Z$24),$A$2:$A$2943,$C$2:$C$2943)</f>
        <v/>
      </c>
      <c r="AA4" s="70">
        <f>LOOKUP(DATE($O4,AA$25,AA$24),$A$2:$A$2943,$C$2:$C$2943)</f>
        <v/>
      </c>
      <c r="AC4" s="17" t="n"/>
      <c r="AD4" s="25" t="n">
        <v>2008</v>
      </c>
      <c r="AE4" s="26">
        <f>+P5</f>
        <v/>
      </c>
      <c r="AF4" s="26">
        <f>+Q5</f>
        <v/>
      </c>
      <c r="AG4" s="26">
        <f>+R5</f>
        <v/>
      </c>
      <c r="AH4" s="26">
        <f>+S5</f>
        <v/>
      </c>
      <c r="AI4" s="26">
        <f>+T5</f>
        <v/>
      </c>
      <c r="AJ4" s="26">
        <f>+U5</f>
        <v/>
      </c>
      <c r="AK4" s="26">
        <f>+V5</f>
        <v/>
      </c>
      <c r="AL4" s="26">
        <f>+W5</f>
        <v/>
      </c>
      <c r="AM4" s="26">
        <f>+X5</f>
        <v/>
      </c>
      <c r="AN4" s="26">
        <f>+Y5</f>
        <v/>
      </c>
      <c r="AO4" s="26">
        <f>+Z5</f>
        <v/>
      </c>
      <c r="AP4" s="26">
        <f>+AA5</f>
        <v/>
      </c>
      <c r="AQ4" s="27">
        <f>+B41/B29-1</f>
        <v/>
      </c>
      <c r="AR4" s="20" t="n"/>
      <c r="AS4" s="20" t="n"/>
    </row>
    <row r="5">
      <c r="A5" s="28" t="n">
        <v>38776</v>
      </c>
      <c r="B5" s="112" t="n">
        <v>11035.11</v>
      </c>
      <c r="C5" s="36">
        <f>(B5/B4-1)/(A5-A4)*360</f>
        <v/>
      </c>
      <c r="D5" s="30">
        <f>B5/$B$3*100</f>
        <v/>
      </c>
      <c r="E5" s="30" t="n"/>
      <c r="F5" s="30" t="n"/>
      <c r="O5" s="14" t="n">
        <v>2008</v>
      </c>
      <c r="P5" s="70">
        <f>LOOKUP(DATE($O5,P$25,P$24),$A$2:$A$2943,$C$2:$C$2943)</f>
        <v/>
      </c>
      <c r="Q5" s="70">
        <f>LOOKUP(DATE($O5,Q$25,Q$24),$A$2:$A$2943,$C$2:$C$2943)</f>
        <v/>
      </c>
      <c r="R5" s="70">
        <f>LOOKUP(DATE($O5,R$25,R$24),$A$2:$A$2943,$C$2:$C$2943)</f>
        <v/>
      </c>
      <c r="S5" s="70">
        <f>LOOKUP(DATE($O5,S$25,S$24),$A$2:$A$2943,$C$2:$C$2943)</f>
        <v/>
      </c>
      <c r="T5" s="70">
        <f>LOOKUP(DATE($O5,T$25,T$24),$A$2:$A$2943,$C$2:$C$2943)</f>
        <v/>
      </c>
      <c r="U5" s="70">
        <f>LOOKUP(DATE($O5,U$25,U$24),$A$2:$A$2943,$C$2:$C$2943)</f>
        <v/>
      </c>
      <c r="V5" s="70">
        <f>LOOKUP(DATE($O5,V$25,V$24),$A$2:$A$2943,$C$2:$C$2943)</f>
        <v/>
      </c>
      <c r="W5" s="70">
        <f>LOOKUP(DATE($O5,W$25,W$24),$A$2:$A$2943,$C$2:$C$2943)</f>
        <v/>
      </c>
      <c r="X5" s="70">
        <f>LOOKUP(DATE($O5,X$25,X$24),$A$2:$A$2943,$C$2:$C$2943)</f>
        <v/>
      </c>
      <c r="Y5" s="70">
        <f>LOOKUP(DATE($O5,Y$25,Y$24),$A$2:$A$2943,$C$2:$C$2943)</f>
        <v/>
      </c>
      <c r="Z5" s="70">
        <f>LOOKUP(DATE($O5,Z$25,Z$24),$A$2:$A$2943,$C$2:$C$2943)</f>
        <v/>
      </c>
      <c r="AA5" s="70">
        <f>LOOKUP(DATE($O5,AA$25,AA$24),$A$2:$A$2943,$C$2:$C$2943)</f>
        <v/>
      </c>
      <c r="AC5" s="17" t="n"/>
      <c r="AD5" s="32" t="n">
        <v>2009</v>
      </c>
      <c r="AE5" s="26">
        <f>+P6</f>
        <v/>
      </c>
      <c r="AF5" s="26">
        <f>+Q6</f>
        <v/>
      </c>
      <c r="AG5" s="26">
        <f>+R6</f>
        <v/>
      </c>
      <c r="AH5" s="26">
        <f>+S6</f>
        <v/>
      </c>
      <c r="AI5" s="26">
        <f>+T6</f>
        <v/>
      </c>
      <c r="AJ5" s="26">
        <f>+U6</f>
        <v/>
      </c>
      <c r="AK5" s="26">
        <f>+V6</f>
        <v/>
      </c>
      <c r="AL5" s="26">
        <f>+W6</f>
        <v/>
      </c>
      <c r="AM5" s="26">
        <f>+X6</f>
        <v/>
      </c>
      <c r="AN5" s="26">
        <f>+Y6</f>
        <v/>
      </c>
      <c r="AO5" s="26">
        <f>+Z6</f>
        <v/>
      </c>
      <c r="AP5" s="26">
        <f>+AA6</f>
        <v/>
      </c>
      <c r="AQ5" s="27">
        <f>+B53/B41-1</f>
        <v/>
      </c>
      <c r="AR5" s="20" t="n"/>
      <c r="AS5" s="20" t="n"/>
    </row>
    <row r="6">
      <c r="A6" s="28" t="n">
        <v>38807</v>
      </c>
      <c r="B6" s="112" t="n">
        <v>11078.66</v>
      </c>
      <c r="C6" s="36">
        <f>(B6/B5-1)/(A6-A5)*360</f>
        <v/>
      </c>
      <c r="D6" s="30">
        <f>B6/$B$3*100</f>
        <v/>
      </c>
      <c r="E6" s="30" t="n"/>
      <c r="F6" s="30" t="n"/>
      <c r="O6" s="14" t="n">
        <v>2009</v>
      </c>
      <c r="P6" s="70">
        <f>LOOKUP(DATE($O6,P$25,P$24),$A$2:$A$2943,$C$2:$C$2943)</f>
        <v/>
      </c>
      <c r="Q6" s="70">
        <f>LOOKUP(DATE($O6,Q$25,Q$24),$A$2:$A$2943,$C$2:$C$2943)</f>
        <v/>
      </c>
      <c r="R6" s="70">
        <f>LOOKUP(DATE($O6,R$25,R$24),$A$2:$A$2943,$C$2:$C$2943)</f>
        <v/>
      </c>
      <c r="S6" s="70">
        <f>LOOKUP(DATE($O6,S$25,S$24),$A$2:$A$2943,$C$2:$C$2943)</f>
        <v/>
      </c>
      <c r="T6" s="70">
        <f>LOOKUP(DATE($O6,T$25,T$24),$A$2:$A$2943,$C$2:$C$2943)</f>
        <v/>
      </c>
      <c r="U6" s="70">
        <f>LOOKUP(DATE($O6,U$25,U$24),$A$2:$A$2943,$C$2:$C$2943)</f>
        <v/>
      </c>
      <c r="V6" s="70">
        <f>LOOKUP(DATE($O6,V$25,V$24),$A$2:$A$2943,$C$2:$C$2943)</f>
        <v/>
      </c>
      <c r="W6" s="70">
        <f>LOOKUP(DATE($O6,W$25,W$24),$A$2:$A$2943,$C$2:$C$2943)</f>
        <v/>
      </c>
      <c r="X6" s="70">
        <f>LOOKUP(DATE($O6,X$25,X$24),$A$2:$A$2943,$C$2:$C$2943)</f>
        <v/>
      </c>
      <c r="Y6" s="70">
        <f>LOOKUP(DATE($O6,Y$25,Y$24),$A$2:$A$2943,$C$2:$C$2943)</f>
        <v/>
      </c>
      <c r="Z6" s="70">
        <f>LOOKUP(DATE($O6,Z$25,Z$24),$A$2:$A$2943,$C$2:$C$2943)</f>
        <v/>
      </c>
      <c r="AA6" s="70">
        <f>LOOKUP(DATE($O6,AA$25,AA$24),$A$2:$A$2943,$C$2:$C$2943)</f>
        <v/>
      </c>
      <c r="AC6" s="17" t="n"/>
      <c r="AD6" s="25" t="n">
        <v>2010</v>
      </c>
      <c r="AE6" s="26">
        <f>+P7</f>
        <v/>
      </c>
      <c r="AF6" s="26">
        <f>+Q7</f>
        <v/>
      </c>
      <c r="AG6" s="26">
        <f>+R7</f>
        <v/>
      </c>
      <c r="AH6" s="26">
        <f>+S7</f>
        <v/>
      </c>
      <c r="AI6" s="26">
        <f>+T7</f>
        <v/>
      </c>
      <c r="AJ6" s="26">
        <f>+U7</f>
        <v/>
      </c>
      <c r="AK6" s="26">
        <f>+V7</f>
        <v/>
      </c>
      <c r="AL6" s="26">
        <f>+W7</f>
        <v/>
      </c>
      <c r="AM6" s="26">
        <f>+X7</f>
        <v/>
      </c>
      <c r="AN6" s="26">
        <f>+Y7</f>
        <v/>
      </c>
      <c r="AO6" s="26">
        <f>+Z7</f>
        <v/>
      </c>
      <c r="AP6" s="26">
        <f>+AA7</f>
        <v/>
      </c>
      <c r="AQ6" s="27">
        <f>+B65/B53-1</f>
        <v/>
      </c>
      <c r="AR6" s="20" t="n"/>
      <c r="AS6" s="20" t="n"/>
    </row>
    <row r="7">
      <c r="A7" s="28" t="n">
        <v>38835</v>
      </c>
      <c r="B7" s="112" t="n">
        <v>11118.82</v>
      </c>
      <c r="C7" s="36">
        <f>(B7/B6-1)/(A7-A6)*360</f>
        <v/>
      </c>
      <c r="D7" s="30">
        <f>B7/$B$3*100</f>
        <v/>
      </c>
      <c r="E7" s="30" t="n"/>
      <c r="F7" s="30" t="n"/>
      <c r="O7" s="14" t="n">
        <v>2010</v>
      </c>
      <c r="P7" s="70">
        <f>LOOKUP(DATE($O7,P$25,P$24),$A$2:$A$2943,$C$2:$C$2943)</f>
        <v/>
      </c>
      <c r="Q7" s="70">
        <f>LOOKUP(DATE($O7,Q$25,Q$24),$A$2:$A$2943,$C$2:$C$2943)</f>
        <v/>
      </c>
      <c r="R7" s="70">
        <f>LOOKUP(DATE($O7,R$25,R$24),$A$2:$A$2943,$C$2:$C$2943)</f>
        <v/>
      </c>
      <c r="S7" s="70">
        <f>LOOKUP(DATE($O7,S$25,S$24),$A$2:$A$2943,$C$2:$C$2943)</f>
        <v/>
      </c>
      <c r="T7" s="70">
        <f>LOOKUP(DATE($O7,T$25,T$24),$A$2:$A$2943,$C$2:$C$2943)</f>
        <v/>
      </c>
      <c r="U7" s="70">
        <f>LOOKUP(DATE($O7,U$25,U$24),$A$2:$A$2943,$C$2:$C$2943)</f>
        <v/>
      </c>
      <c r="V7" s="70">
        <f>LOOKUP(DATE($O7,V$25,V$24),$A$2:$A$2943,$C$2:$C$2943)</f>
        <v/>
      </c>
      <c r="W7" s="70">
        <f>LOOKUP(DATE($O7,W$25,W$24),$A$2:$A$2943,$C$2:$C$2943)</f>
        <v/>
      </c>
      <c r="X7" s="70">
        <f>LOOKUP(DATE($O7,X$25,X$24),$A$2:$A$2943,$C$2:$C$2943)</f>
        <v/>
      </c>
      <c r="Y7" s="70">
        <f>LOOKUP(DATE($O7,Y$25,Y$24),$A$2:$A$2943,$C$2:$C$2943)</f>
        <v/>
      </c>
      <c r="Z7" s="70">
        <f>LOOKUP(DATE($O7,Z$25,Z$24),$A$2:$A$2943,$C$2:$C$2943)</f>
        <v/>
      </c>
      <c r="AA7" s="70">
        <f>LOOKUP(DATE($O7,AA$25,AA$24),$A$2:$A$2943,$C$2:$C$2943)</f>
        <v/>
      </c>
      <c r="AC7" s="17" t="n"/>
      <c r="AD7" s="32" t="n">
        <v>2011</v>
      </c>
      <c r="AE7" s="26">
        <f>+P8</f>
        <v/>
      </c>
      <c r="AF7" s="26">
        <f>+Q8</f>
        <v/>
      </c>
      <c r="AG7" s="26">
        <f>+R8</f>
        <v/>
      </c>
      <c r="AH7" s="26">
        <f>+S8</f>
        <v/>
      </c>
      <c r="AI7" s="26">
        <f>+T8</f>
        <v/>
      </c>
      <c r="AJ7" s="26">
        <f>+U8</f>
        <v/>
      </c>
      <c r="AK7" s="26">
        <f>+V8</f>
        <v/>
      </c>
      <c r="AL7" s="26">
        <f>+W8</f>
        <v/>
      </c>
      <c r="AM7" s="26">
        <f>+X8</f>
        <v/>
      </c>
      <c r="AN7" s="26">
        <f>+Y8</f>
        <v/>
      </c>
      <c r="AO7" s="26">
        <f>+Z8</f>
        <v/>
      </c>
      <c r="AP7" s="26">
        <f>+AA8</f>
        <v/>
      </c>
      <c r="AQ7" s="27">
        <f>+B77/B65-1</f>
        <v/>
      </c>
      <c r="AR7" s="20" t="n"/>
      <c r="AS7" s="20" t="n"/>
    </row>
    <row r="8">
      <c r="A8" s="28" t="n">
        <v>38868</v>
      </c>
      <c r="B8" s="112" t="n">
        <v>11169.1</v>
      </c>
      <c r="C8" s="36">
        <f>(B8/B7-1)/(A8-A7)*360</f>
        <v/>
      </c>
      <c r="D8" s="30">
        <f>B8/$B$3*100</f>
        <v/>
      </c>
      <c r="E8" s="30" t="n"/>
      <c r="F8" s="30" t="n"/>
      <c r="O8" s="14" t="n">
        <v>2011</v>
      </c>
      <c r="P8" s="70">
        <f>LOOKUP(DATE($O8,P$25,P$24),$A$2:$A$2943,$C$2:$C$2943)</f>
        <v/>
      </c>
      <c r="Q8" s="70">
        <f>LOOKUP(DATE($O8,Q$25,Q$24),$A$2:$A$2943,$C$2:$C$2943)</f>
        <v/>
      </c>
      <c r="R8" s="70">
        <f>LOOKUP(DATE($O8,R$25,R$24),$A$2:$A$2943,$C$2:$C$2943)</f>
        <v/>
      </c>
      <c r="S8" s="70">
        <f>LOOKUP(DATE($O8,S$25,S$24),$A$2:$A$2943,$C$2:$C$2943)</f>
        <v/>
      </c>
      <c r="T8" s="70">
        <f>LOOKUP(DATE($O8,T$25,T$24),$A$2:$A$2943,$C$2:$C$2943)</f>
        <v/>
      </c>
      <c r="U8" s="70">
        <f>LOOKUP(DATE($O8,U$25,U$24),$A$2:$A$2943,$C$2:$C$2943)</f>
        <v/>
      </c>
      <c r="V8" s="70">
        <f>LOOKUP(DATE($O8,V$25,V$24),$A$2:$A$2943,$C$2:$C$2943)</f>
        <v/>
      </c>
      <c r="W8" s="70">
        <f>LOOKUP(DATE($O8,W$25,W$24),$A$2:$A$2943,$C$2:$C$2943)</f>
        <v/>
      </c>
      <c r="X8" s="70">
        <f>LOOKUP(DATE($O8,X$25,X$24),$A$2:$A$2943,$C$2:$C$2943)</f>
        <v/>
      </c>
      <c r="Y8" s="70">
        <f>LOOKUP(DATE($O8,Y$25,Y$24),$A$2:$A$2943,$C$2:$C$2943)</f>
        <v/>
      </c>
      <c r="Z8" s="70">
        <f>LOOKUP(DATE($O8,Z$25,Z$24),$A$2:$A$2943,$C$2:$C$2943)</f>
        <v/>
      </c>
      <c r="AA8" s="70">
        <f>LOOKUP(DATE($O8,AA$25,AA$24),$A$2:$A$2943,$C$2:$C$2943)</f>
        <v/>
      </c>
      <c r="AC8" s="17" t="n"/>
      <c r="AD8" s="25" t="n">
        <v>2012</v>
      </c>
      <c r="AE8" s="26">
        <f>+P9</f>
        <v/>
      </c>
      <c r="AF8" s="26">
        <f>+Q9</f>
        <v/>
      </c>
      <c r="AG8" s="26">
        <f>+R9</f>
        <v/>
      </c>
      <c r="AH8" s="26">
        <f>+S9</f>
        <v/>
      </c>
      <c r="AI8" s="26">
        <f>+T9</f>
        <v/>
      </c>
      <c r="AJ8" s="26">
        <f>+U9</f>
        <v/>
      </c>
      <c r="AK8" s="26">
        <f>+V9</f>
        <v/>
      </c>
      <c r="AL8" s="26">
        <f>+W9</f>
        <v/>
      </c>
      <c r="AM8" s="26">
        <f>+X9</f>
        <v/>
      </c>
      <c r="AN8" s="26">
        <f>+Y9</f>
        <v/>
      </c>
      <c r="AO8" s="26">
        <f>+Z9</f>
        <v/>
      </c>
      <c r="AP8" s="26">
        <f>+AA9</f>
        <v/>
      </c>
      <c r="AQ8" s="27">
        <f>+B89/B78-1</f>
        <v/>
      </c>
      <c r="AR8" s="20" t="n"/>
      <c r="AS8" s="20" t="n"/>
    </row>
    <row r="9">
      <c r="A9" s="28" t="n">
        <v>38898</v>
      </c>
      <c r="B9" s="112" t="n">
        <v>11215.04</v>
      </c>
      <c r="C9" s="36">
        <f>(B9/B8-1)/(A9-A8)*360</f>
        <v/>
      </c>
      <c r="D9" s="30">
        <f>B9/$B$3*100</f>
        <v/>
      </c>
      <c r="E9" s="30" t="n"/>
      <c r="F9" s="30" t="n"/>
      <c r="O9" s="14" t="n">
        <v>2012</v>
      </c>
      <c r="P9" s="70">
        <f>LOOKUP(DATE($O9,P$25,P$24),$A$2:$A$2943,$C$2:$C$2943)</f>
        <v/>
      </c>
      <c r="Q9" s="70">
        <f>LOOKUP(DATE($O9,Q$25,Q$24),$A$2:$A$2943,$C$2:$C$2943)</f>
        <v/>
      </c>
      <c r="R9" s="70">
        <f>LOOKUP(DATE($O9,R$25,R$24),$A$2:$A$2943,$C$2:$C$2943)</f>
        <v/>
      </c>
      <c r="S9" s="70">
        <f>LOOKUP(DATE($O9,S$25,S$24),$A$2:$A$2943,$C$2:$C$2943)</f>
        <v/>
      </c>
      <c r="T9" s="70">
        <f>LOOKUP(DATE($O9,T$25,T$24),$A$2:$A$2943,$C$2:$C$2943)</f>
        <v/>
      </c>
      <c r="U9" s="70">
        <f>LOOKUP(DATE($O9,U$25,U$24),$A$2:$A$2943,$C$2:$C$2943)</f>
        <v/>
      </c>
      <c r="V9" s="70">
        <f>LOOKUP(DATE($O9,V$25,V$24),$A$2:$A$2943,$C$2:$C$2943)</f>
        <v/>
      </c>
      <c r="W9" s="70">
        <f>LOOKUP(DATE($O9,W$25,W$24),$A$2:$A$2943,$C$2:$C$2943)</f>
        <v/>
      </c>
      <c r="X9" s="70">
        <f>LOOKUP(DATE($O9,X$25,X$24),$A$2:$A$2943,$C$2:$C$2943)</f>
        <v/>
      </c>
      <c r="Y9" s="70">
        <f>LOOKUP(DATE($O9,Y$25,Y$24),$A$2:$A$2943,$C$2:$C$2943)</f>
        <v/>
      </c>
      <c r="Z9" s="70">
        <f>LOOKUP(DATE($O9,Z$25,Z$24),$A$2:$A$2943,$C$2:$C$2943)</f>
        <v/>
      </c>
      <c r="AA9" s="70">
        <f>LOOKUP(DATE($O9,AA$25,AA$24),$A$2:$A$2943,$C$2:$C$2943)</f>
        <v/>
      </c>
      <c r="AC9" s="17" t="n"/>
      <c r="AD9" s="32" t="n">
        <v>2013</v>
      </c>
      <c r="AE9" s="26">
        <f>+P10</f>
        <v/>
      </c>
      <c r="AF9" s="26">
        <f>+Q10</f>
        <v/>
      </c>
      <c r="AG9" s="26">
        <f>+R10</f>
        <v/>
      </c>
      <c r="AH9" s="26">
        <f>+S10</f>
        <v/>
      </c>
      <c r="AI9" s="26">
        <f>+T10</f>
        <v/>
      </c>
      <c r="AJ9" s="26">
        <f>+U10</f>
        <v/>
      </c>
      <c r="AK9" s="26">
        <f>+V10</f>
        <v/>
      </c>
      <c r="AL9" s="26">
        <f>+W10</f>
        <v/>
      </c>
      <c r="AM9" s="26">
        <f>+X10</f>
        <v/>
      </c>
      <c r="AN9" s="26">
        <f>+Y10</f>
        <v/>
      </c>
      <c r="AO9" s="26">
        <f>+Z10</f>
        <v/>
      </c>
      <c r="AP9" s="26">
        <f>+AA10</f>
        <v/>
      </c>
      <c r="AQ9" s="27">
        <f>+B101/B89-1</f>
        <v/>
      </c>
      <c r="AR9" s="20" t="n"/>
      <c r="AS9" s="20" t="n"/>
    </row>
    <row r="10">
      <c r="A10" s="28" t="n">
        <v>38929</v>
      </c>
      <c r="B10" s="112" t="n">
        <v>11263.22</v>
      </c>
      <c r="C10" s="36">
        <f>(B10/B9-1)/(A10-A9)*360</f>
        <v/>
      </c>
      <c r="D10" s="30">
        <f>B10/$B$3*100</f>
        <v/>
      </c>
      <c r="E10" s="30" t="n"/>
      <c r="F10" s="30" t="n"/>
      <c r="O10" s="14" t="n">
        <v>2013</v>
      </c>
      <c r="P10" s="70">
        <f>LOOKUP(DATE($O10,P$25,P$24),$A$2:$A$2943,$C$2:$C$2943)</f>
        <v/>
      </c>
      <c r="Q10" s="70">
        <f>LOOKUP(DATE($O10,Q$25,Q$24),$A$2:$A$2943,$C$2:$C$2943)</f>
        <v/>
      </c>
      <c r="R10" s="70">
        <f>LOOKUP(DATE($O10,R$25,R$24),$A$2:$A$2943,$C$2:$C$2943)</f>
        <v/>
      </c>
      <c r="S10" s="70">
        <f>LOOKUP(DATE($O10,S$25,S$24),$A$2:$A$2943,$C$2:$C$2943)</f>
        <v/>
      </c>
      <c r="T10" s="70">
        <f>LOOKUP(DATE($O10,T$25,T$24),$A$2:$A$2943,$C$2:$C$2943)</f>
        <v/>
      </c>
      <c r="U10" s="70">
        <f>LOOKUP(DATE($O10,U$25,U$24),$A$2:$A$2943,$C$2:$C$2943)</f>
        <v/>
      </c>
      <c r="V10" s="70">
        <f>LOOKUP(DATE($O10,V$25,V$24),$A$2:$A$2943,$C$2:$C$2943)</f>
        <v/>
      </c>
      <c r="W10" s="70">
        <f>LOOKUP(DATE($O10,W$25,W$24),$A$2:$A$2943,$C$2:$C$2943)</f>
        <v/>
      </c>
      <c r="X10" s="70">
        <f>LOOKUP(DATE($O10,X$25,X$24),$A$2:$A$2943,$C$2:$C$2943)</f>
        <v/>
      </c>
      <c r="Y10" s="70">
        <f>LOOKUP(DATE($O10,Y$25,Y$24),$A$2:$A$2943,$C$2:$C$2943)</f>
        <v/>
      </c>
      <c r="Z10" s="70">
        <f>LOOKUP(DATE($O10,Z$25,Z$24),$A$2:$A$2943,$C$2:$C$2943)</f>
        <v/>
      </c>
      <c r="AA10" s="70">
        <f>LOOKUP(DATE($O10,AA$25,AA$24),$A$2:$A$2943,$C$2:$C$2943)</f>
        <v/>
      </c>
      <c r="AC10" s="17" t="n"/>
      <c r="AD10" s="25" t="n">
        <v>2014</v>
      </c>
      <c r="AE10" s="26">
        <f>+P11</f>
        <v/>
      </c>
      <c r="AF10" s="26">
        <f>+Q11</f>
        <v/>
      </c>
      <c r="AG10" s="26">
        <f>+R11</f>
        <v/>
      </c>
      <c r="AH10" s="26">
        <f>+S11</f>
        <v/>
      </c>
      <c r="AI10" s="26">
        <f>+T11</f>
        <v/>
      </c>
      <c r="AJ10" s="26">
        <f>+U11</f>
        <v/>
      </c>
      <c r="AK10" s="26">
        <f>+V11</f>
        <v/>
      </c>
      <c r="AL10" s="26">
        <f>+W11</f>
        <v/>
      </c>
      <c r="AM10" s="26">
        <f>+X11</f>
        <v/>
      </c>
      <c r="AN10" s="26">
        <f>+Y11</f>
        <v/>
      </c>
      <c r="AO10" s="26">
        <f>+Z11</f>
        <v/>
      </c>
      <c r="AP10" s="26">
        <f>+AA11</f>
        <v/>
      </c>
      <c r="AQ10" s="27">
        <f>+B113/B102-1</f>
        <v/>
      </c>
      <c r="AR10" s="20" t="n"/>
      <c r="AS10" s="20" t="n"/>
    </row>
    <row r="11">
      <c r="A11" s="28" t="n">
        <v>38960</v>
      </c>
      <c r="B11" s="112" t="n">
        <v>11313.29</v>
      </c>
      <c r="C11" s="36">
        <f>(B11/B10-1)/(A11-A10)*360</f>
        <v/>
      </c>
      <c r="D11" s="30">
        <f>B11/$B$3*100</f>
        <v/>
      </c>
      <c r="E11" s="30" t="n"/>
      <c r="F11" s="30" t="n"/>
      <c r="O11" s="14" t="n">
        <v>2014</v>
      </c>
      <c r="P11" s="70">
        <f>LOOKUP(DATE($O11,P$25,P$24),$A$2:$A$2943,$C$2:$C$2943)</f>
        <v/>
      </c>
      <c r="Q11" s="70">
        <f>LOOKUP(DATE($O11,Q$25,Q$24),$A$2:$A$2943,$C$2:$C$2943)</f>
        <v/>
      </c>
      <c r="R11" s="70">
        <f>LOOKUP(DATE($O11,R$25,R$24),$A$2:$A$2943,$C$2:$C$2943)</f>
        <v/>
      </c>
      <c r="S11" s="70">
        <f>LOOKUP(DATE($O11,S$25,S$24),$A$2:$A$2943,$C$2:$C$2943)</f>
        <v/>
      </c>
      <c r="T11" s="70">
        <f>LOOKUP(DATE($O11,T$25,T$24),$A$2:$A$2943,$C$2:$C$2943)</f>
        <v/>
      </c>
      <c r="U11" s="70">
        <f>LOOKUP(DATE($O11,U$25,U$24),$A$2:$A$2943,$C$2:$C$2943)</f>
        <v/>
      </c>
      <c r="V11" s="70">
        <f>LOOKUP(DATE($O11,V$25,V$24),$A$2:$A$2943,$C$2:$C$2943)</f>
        <v/>
      </c>
      <c r="W11" s="70">
        <f>LOOKUP(DATE($O11,W$25,W$24),$A$2:$A$2943,$C$2:$C$2943)</f>
        <v/>
      </c>
      <c r="X11" s="70">
        <f>LOOKUP(DATE($O11,X$25,X$24),$A$2:$A$2943,$C$2:$C$2943)</f>
        <v/>
      </c>
      <c r="Y11" s="70">
        <f>LOOKUP(DATE($O11,Y$25,Y$24),$A$2:$A$2943,$C$2:$C$2943)</f>
        <v/>
      </c>
      <c r="Z11" s="70">
        <f>LOOKUP(DATE($O11,Z$25,Z$24),$A$2:$A$2943,$C$2:$C$2943)</f>
        <v/>
      </c>
      <c r="AA11" s="70">
        <f>LOOKUP(DATE($O11,AA$25,AA$24),$A$2:$A$2943,$C$2:$C$2943)</f>
        <v/>
      </c>
      <c r="AC11" s="17" t="n"/>
      <c r="AD11" s="32" t="n">
        <v>2015</v>
      </c>
      <c r="AE11" s="26">
        <f>+P12</f>
        <v/>
      </c>
      <c r="AF11" s="26">
        <f>+Q12</f>
        <v/>
      </c>
      <c r="AG11" s="26">
        <f>+R12</f>
        <v/>
      </c>
      <c r="AH11" s="26">
        <f>+S12</f>
        <v/>
      </c>
      <c r="AI11" s="26">
        <f>+T12</f>
        <v/>
      </c>
      <c r="AJ11" s="26">
        <f>+U12</f>
        <v/>
      </c>
      <c r="AK11" s="26">
        <f>+V12</f>
        <v/>
      </c>
      <c r="AL11" s="26">
        <f>+W12</f>
        <v/>
      </c>
      <c r="AM11" s="26">
        <f>+X12</f>
        <v/>
      </c>
      <c r="AN11" s="26">
        <f>+Y12</f>
        <v/>
      </c>
      <c r="AO11" s="26">
        <f>+Z12</f>
        <v/>
      </c>
      <c r="AP11" s="26">
        <f>+AA12</f>
        <v/>
      </c>
      <c r="AQ11" s="27">
        <f>+B125/B113-1</f>
        <v/>
      </c>
      <c r="AR11" s="20" t="n"/>
      <c r="AS11" s="20" t="n"/>
    </row>
    <row r="12">
      <c r="A12" s="28" t="n">
        <v>38989</v>
      </c>
      <c r="B12" s="112" t="n">
        <v>11360.92</v>
      </c>
      <c r="C12" s="36">
        <f>(B12/B11-1)/(A12-A11)*360</f>
        <v/>
      </c>
      <c r="D12" s="30">
        <f>B12/$B$3*100</f>
        <v/>
      </c>
      <c r="E12" s="30" t="n"/>
      <c r="F12" s="30" t="n"/>
      <c r="O12" s="14" t="n">
        <v>2015</v>
      </c>
      <c r="P12" s="70">
        <f>LOOKUP(DATE($O12,P$25,P$24),$A$2:$A$2943,$C$2:$C$2943)</f>
        <v/>
      </c>
      <c r="Q12" s="70">
        <f>LOOKUP(DATE($O12,Q$25,Q$24),$A$2:$A$2943,$C$2:$C$2943)</f>
        <v/>
      </c>
      <c r="R12" s="70">
        <f>LOOKUP(DATE($O12,R$25,R$24),$A$2:$A$2943,$C$2:$C$2943)</f>
        <v/>
      </c>
      <c r="S12" s="70">
        <f>LOOKUP(DATE($O12,S$25,S$24),$A$2:$A$2943,$C$2:$C$2943)</f>
        <v/>
      </c>
      <c r="T12" s="70">
        <f>LOOKUP(DATE($O12,T$25,T$24),$A$2:$A$2943,$C$2:$C$2943)</f>
        <v/>
      </c>
      <c r="U12" s="70">
        <f>LOOKUP(DATE($O12,U$25,U$24),$A$2:$A$2943,$C$2:$C$2943)</f>
        <v/>
      </c>
      <c r="V12" s="70">
        <f>LOOKUP(DATE($O12,V$25,V$24),$A$2:$A$2943,$C$2:$C$2943)</f>
        <v/>
      </c>
      <c r="W12" s="70">
        <f>LOOKUP(DATE($O12,W$25,W$24),$A$2:$A$2943,$C$2:$C$2943)</f>
        <v/>
      </c>
      <c r="X12" s="70">
        <f>LOOKUP(DATE($O12,X$25,X$24),$A$2:$A$2943,$C$2:$C$2943)</f>
        <v/>
      </c>
      <c r="Y12" s="70">
        <f>LOOKUP(DATE($O12,Y$25,Y$24),$A$2:$A$2943,$C$2:$C$2943)</f>
        <v/>
      </c>
      <c r="Z12" s="70">
        <f>LOOKUP(DATE($O12,Z$25,Z$24),$A$2:$A$2943,$C$2:$C$2943)</f>
        <v/>
      </c>
      <c r="AA12" s="70">
        <f>LOOKUP(DATE($O12,AA$25,AA$24),$A$2:$A$2943,$C$2:$C$2943)</f>
        <v/>
      </c>
      <c r="AC12" s="17" t="n"/>
      <c r="AD12" s="25" t="n">
        <v>2016</v>
      </c>
      <c r="AE12" s="26">
        <f>+P13</f>
        <v/>
      </c>
      <c r="AF12" s="26">
        <f>+Q13</f>
        <v/>
      </c>
      <c r="AG12" s="26">
        <f>+R13</f>
        <v/>
      </c>
      <c r="AH12" s="26">
        <f>+S13</f>
        <v/>
      </c>
      <c r="AI12" s="26">
        <f>+T13</f>
        <v/>
      </c>
      <c r="AJ12" s="26">
        <f>+U13</f>
        <v/>
      </c>
      <c r="AK12" s="26">
        <f>+V13</f>
        <v/>
      </c>
      <c r="AL12" s="26">
        <f>+W13</f>
        <v/>
      </c>
      <c r="AM12" s="26">
        <f>+X13</f>
        <v/>
      </c>
      <c r="AN12" s="26">
        <f>+Y13</f>
        <v/>
      </c>
      <c r="AO12" s="26">
        <f>+Z13</f>
        <v/>
      </c>
      <c r="AP12" s="26">
        <f>+AA13</f>
        <v/>
      </c>
      <c r="AQ12" s="27">
        <f>+B137/B125-1</f>
        <v/>
      </c>
      <c r="AR12" s="37" t="n"/>
      <c r="AS12" s="20" t="n"/>
    </row>
    <row r="13">
      <c r="A13" s="28" t="n">
        <v>39021</v>
      </c>
      <c r="B13" s="112" t="n">
        <v>11413.02</v>
      </c>
      <c r="C13" s="36">
        <f>(B13/B12-1)/(A13-A12)*360</f>
        <v/>
      </c>
      <c r="D13" s="30">
        <f>B13/$B$3*100</f>
        <v/>
      </c>
      <c r="E13" s="30" t="n"/>
      <c r="F13" s="30" t="n"/>
      <c r="O13" s="14" t="n">
        <v>2016</v>
      </c>
      <c r="P13" s="70">
        <f>LOOKUP(DATE($O13,P$25,P$24),$A$2:$A$2943,$C$2:$C$2943)</f>
        <v/>
      </c>
      <c r="Q13" s="70">
        <f>LOOKUP(DATE($O13,Q$25,Q$24),$A$2:$A$2943,$C$2:$C$2943)</f>
        <v/>
      </c>
      <c r="R13" s="70">
        <f>LOOKUP(DATE($O13,R$25,R$24),$A$2:$A$2943,$C$2:$C$2943)</f>
        <v/>
      </c>
      <c r="S13" s="70">
        <f>LOOKUP(DATE($O13,S$25,S$24),$A$2:$A$2943,$C$2:$C$2943)</f>
        <v/>
      </c>
      <c r="T13" s="70">
        <f>LOOKUP(DATE($O13,T$25,T$24),$A$2:$A$2943,$C$2:$C$2943)</f>
        <v/>
      </c>
      <c r="U13" s="70">
        <f>LOOKUP(DATE($O13,U$25,U$24),$A$2:$A$2943,$C$2:$C$2943)</f>
        <v/>
      </c>
      <c r="V13" s="70">
        <f>LOOKUP(DATE($O13,V$25,V$24),$A$2:$A$2943,$C$2:$C$2943)</f>
        <v/>
      </c>
      <c r="W13" s="70">
        <f>LOOKUP(DATE($O13,W$25,W$24),$A$2:$A$2943,$C$2:$C$2943)</f>
        <v/>
      </c>
      <c r="X13" s="70">
        <f>LOOKUP(DATE($O13,X$25,X$24),$A$2:$A$2943,$C$2:$C$2943)</f>
        <v/>
      </c>
      <c r="Y13" s="70">
        <f>LOOKUP(DATE($O13,Y$25,Y$24),$A$2:$A$2943,$C$2:$C$2943)</f>
        <v/>
      </c>
      <c r="Z13" s="70">
        <f>LOOKUP(DATE($O13,Z$25,Z$24),$A$2:$A$2943,$C$2:$C$2943)</f>
        <v/>
      </c>
      <c r="AA13" s="70">
        <f>LOOKUP(DATE($O13,AA$25,AA$24),$A$2:$A$2943,$C$2:$C$2943)</f>
        <v/>
      </c>
      <c r="AC13" s="17" t="n"/>
      <c r="AD13" s="32" t="n">
        <v>2017</v>
      </c>
      <c r="AE13" s="26">
        <f>+P14</f>
        <v/>
      </c>
      <c r="AF13" s="26">
        <f>+Q14</f>
        <v/>
      </c>
      <c r="AG13" s="26">
        <f>+R14</f>
        <v/>
      </c>
      <c r="AH13" s="26">
        <f>+S14</f>
        <v/>
      </c>
      <c r="AI13" s="26">
        <f>+T14</f>
        <v/>
      </c>
      <c r="AJ13" s="26">
        <f>+U14</f>
        <v/>
      </c>
      <c r="AK13" s="26">
        <f>+V14</f>
        <v/>
      </c>
      <c r="AL13" s="26">
        <f>+W14</f>
        <v/>
      </c>
      <c r="AM13" s="26">
        <f>+X14</f>
        <v/>
      </c>
      <c r="AN13" s="26">
        <f>+Y14</f>
        <v/>
      </c>
      <c r="AO13" s="26">
        <f>+Z14</f>
        <v/>
      </c>
      <c r="AP13" s="26">
        <f>+AA14</f>
        <v/>
      </c>
      <c r="AQ13" s="27">
        <f>+B149/B137-1</f>
        <v/>
      </c>
      <c r="AR13" s="37" t="n"/>
      <c r="AS13" s="20" t="n"/>
    </row>
    <row r="14">
      <c r="A14" s="28" t="n">
        <v>39051</v>
      </c>
      <c r="B14" s="112" t="n">
        <v>11463.01</v>
      </c>
      <c r="C14" s="36">
        <f>(B14/B13-1)/(A14-A13)*360</f>
        <v/>
      </c>
      <c r="D14" s="30">
        <f>B14/$B$3*100</f>
        <v/>
      </c>
      <c r="E14" s="30" t="n"/>
      <c r="F14" s="30" t="n"/>
      <c r="O14" s="14" t="n">
        <v>2017</v>
      </c>
      <c r="P14" s="70">
        <f>LOOKUP(DATE($O14,P$25,P$24),$A$2:$A$2943,$C$2:$C$2943)</f>
        <v/>
      </c>
      <c r="Q14" s="70">
        <f>LOOKUP(DATE($O14,Q$25,Q$24),$A$2:$A$2943,$C$2:$C$2943)</f>
        <v/>
      </c>
      <c r="R14" s="70">
        <f>LOOKUP(DATE($O14,R$25,R$24),$A$2:$A$2943,$C$2:$C$2943)</f>
        <v/>
      </c>
      <c r="S14" s="70">
        <f>LOOKUP(DATE($O14,S$25,S$24),$A$2:$A$2943,$C$2:$C$2943)</f>
        <v/>
      </c>
      <c r="T14" s="70">
        <f>LOOKUP(DATE($O14,T$25,T$24),$A$2:$A$2943,$C$2:$C$2943)</f>
        <v/>
      </c>
      <c r="U14" s="70">
        <f>LOOKUP(DATE($O14,U$25,U$24),$A$2:$A$2943,$C$2:$C$2943)</f>
        <v/>
      </c>
      <c r="V14" s="70">
        <f>LOOKUP(DATE($O14,V$25,V$24),$A$2:$A$2943,$C$2:$C$2943)</f>
        <v/>
      </c>
      <c r="W14" s="70">
        <f>LOOKUP(DATE($O14,W$25,W$24),$A$2:$A$2943,$C$2:$C$2943)</f>
        <v/>
      </c>
      <c r="X14" s="70">
        <f>LOOKUP(DATE($O14,X$25,X$24),$A$2:$A$2943,$C$2:$C$2943)</f>
        <v/>
      </c>
      <c r="Y14" s="70">
        <f>LOOKUP(DATE($O14,Y$25,Y$24),$A$2:$A$2943,$C$2:$C$2943)</f>
        <v/>
      </c>
      <c r="Z14" s="70">
        <f>LOOKUP(DATE($O14,Z$25,Z$24),$A$2:$A$2943,$C$2:$C$2943)</f>
        <v/>
      </c>
      <c r="AA14" s="70">
        <f>LOOKUP(DATE($O14,AA$25,AA$24),$A$2:$A$2943,$C$2:$C$2943)</f>
        <v/>
      </c>
      <c r="AC14" s="17" t="n"/>
      <c r="AD14" s="25" t="n">
        <v>2018</v>
      </c>
      <c r="AE14" s="26">
        <f>+P15</f>
        <v/>
      </c>
      <c r="AF14" s="26">
        <f>+Q15</f>
        <v/>
      </c>
      <c r="AG14" s="26">
        <f>+R15</f>
        <v/>
      </c>
      <c r="AH14" s="26">
        <f>+S15</f>
        <v/>
      </c>
      <c r="AI14" s="26">
        <f>+T15</f>
        <v/>
      </c>
      <c r="AJ14" s="26">
        <f>+U15</f>
        <v/>
      </c>
      <c r="AK14" s="26">
        <f>+V15</f>
        <v/>
      </c>
      <c r="AL14" s="26">
        <f>+W15</f>
        <v/>
      </c>
      <c r="AM14" s="26">
        <f>+X15</f>
        <v/>
      </c>
      <c r="AN14" s="26">
        <f>+Y15</f>
        <v/>
      </c>
      <c r="AO14" s="26">
        <f>+Z15</f>
        <v/>
      </c>
      <c r="AP14" s="26">
        <f>+AA15</f>
        <v/>
      </c>
      <c r="AQ14" s="27">
        <f>+B161/B149-1</f>
        <v/>
      </c>
      <c r="AR14" s="37" t="n"/>
      <c r="AS14" s="20" t="n"/>
    </row>
    <row r="15">
      <c r="A15" s="28" t="n">
        <v>39080</v>
      </c>
      <c r="B15" s="112" t="n">
        <v>11512.49</v>
      </c>
      <c r="C15" s="36">
        <f>(B15/B14-1)/(A15-A14)*360</f>
        <v/>
      </c>
      <c r="D15" s="30">
        <f>B15/$B$3*100</f>
        <v/>
      </c>
      <c r="E15" s="30" t="n"/>
      <c r="F15" s="30" t="n"/>
      <c r="O15" s="14" t="n">
        <v>2018</v>
      </c>
      <c r="P15" s="70">
        <f>LOOKUP(DATE($O15,P$25,P$24),$A$2:$A$2943,$C$2:$C$2943)</f>
        <v/>
      </c>
      <c r="Q15" s="70">
        <f>LOOKUP(DATE($O15,Q$25,Q$24),$A$2:$A$2943,$C$2:$C$2943)</f>
        <v/>
      </c>
      <c r="R15" s="70">
        <f>LOOKUP(DATE($O15,R$25,R$24),$A$2:$A$2943,$C$2:$C$2943)</f>
        <v/>
      </c>
      <c r="S15" s="70">
        <f>LOOKUP(DATE($O15,S$25,S$24),$A$2:$A$2943,$C$2:$C$2943)</f>
        <v/>
      </c>
      <c r="T15" s="70">
        <f>LOOKUP(DATE($O15,T$25,T$24),$A$2:$A$2943,$C$2:$C$2943)</f>
        <v/>
      </c>
      <c r="U15" s="70">
        <f>LOOKUP(DATE($O15,U$25,U$24),$A$2:$A$2943,$C$2:$C$2943)</f>
        <v/>
      </c>
      <c r="V15" s="70">
        <f>LOOKUP(DATE($O15,V$25,V$24),$A$2:$A$2943,$C$2:$C$2943)</f>
        <v/>
      </c>
      <c r="W15" s="70">
        <f>LOOKUP(DATE($O15,W$25,W$24),$A$2:$A$2943,$C$2:$C$2943)</f>
        <v/>
      </c>
      <c r="X15" s="70">
        <f>LOOKUP(DATE($O15,X$25,X$24),$A$2:$A$2943,$C$2:$C$2943)</f>
        <v/>
      </c>
      <c r="Y15" s="70">
        <f>LOOKUP(DATE($O15,Y$25,Y$24),$A$2:$A$2943,$C$2:$C$2943)</f>
        <v/>
      </c>
      <c r="Z15" s="70">
        <f>LOOKUP(DATE($O15,Z$25,Z$24),$A$2:$A$2943,$C$2:$C$2943)</f>
        <v/>
      </c>
      <c r="AA15" s="70">
        <f>LOOKUP(DATE($O15,AA$25,AA$24),$A$2:$A$2943,$C$2:$C$2943)</f>
        <v/>
      </c>
      <c r="AC15" s="17" t="n"/>
      <c r="AD15" s="25" t="n">
        <v>2019</v>
      </c>
      <c r="AE15" s="26">
        <f>+P16</f>
        <v/>
      </c>
      <c r="AF15" s="26">
        <f>+Q16</f>
        <v/>
      </c>
      <c r="AG15" s="26">
        <f>+R16</f>
        <v/>
      </c>
      <c r="AH15" s="26">
        <f>+S16</f>
        <v/>
      </c>
      <c r="AI15" s="26">
        <f>+T16</f>
        <v/>
      </c>
      <c r="AJ15" s="26">
        <f>+U16</f>
        <v/>
      </c>
      <c r="AK15" s="26">
        <f>+V16</f>
        <v/>
      </c>
      <c r="AL15" s="26">
        <f>+W16</f>
        <v/>
      </c>
      <c r="AM15" s="26">
        <f>+X16</f>
        <v/>
      </c>
      <c r="AN15" s="26">
        <f>+Y16</f>
        <v/>
      </c>
      <c r="AO15" s="26">
        <f>+Z16</f>
        <v/>
      </c>
      <c r="AP15" s="26">
        <f>+AA16</f>
        <v/>
      </c>
      <c r="AQ15" s="27">
        <f>+(B173/B161-1)/COUNTA(AE15:AP15)*12</f>
        <v/>
      </c>
      <c r="AR15" s="37" t="inlineStr">
        <is>
          <t>(*)</t>
        </is>
      </c>
      <c r="AS15" s="20" t="n"/>
    </row>
    <row r="16">
      <c r="A16" s="28" t="n">
        <v>39113</v>
      </c>
      <c r="B16" s="112" t="n">
        <v>11567.23</v>
      </c>
      <c r="C16" s="36">
        <f>(B16/B15-1)/(A16-A15)*360</f>
        <v/>
      </c>
      <c r="D16" s="30">
        <f>B16/$B$3*100</f>
        <v/>
      </c>
      <c r="E16" s="30" t="n"/>
      <c r="F16" s="30" t="n"/>
      <c r="O16" s="14" t="n">
        <v>2019</v>
      </c>
      <c r="P16" s="70">
        <f>LOOKUP(DATE($O16,P$25,P$24),$A$2:$A$2943,$C$2:$C$2943)</f>
        <v/>
      </c>
      <c r="Q16" s="70">
        <f>LOOKUP(DATE($O16,Q$25,Q$24),$A$2:$A$2943,$C$2:$C$2943)</f>
        <v/>
      </c>
      <c r="R16" s="70">
        <f>LOOKUP(DATE($O16,R$25,R$24),$A$2:$A$2943,$C$2:$C$2943)</f>
        <v/>
      </c>
      <c r="S16" s="70">
        <f>LOOKUP(DATE($O16,S$25,S$24),$A$2:$A$2943,$C$2:$C$2943)</f>
        <v/>
      </c>
      <c r="T16" s="70">
        <f>LOOKUP(DATE($O16,T$25,T$24),$A$2:$A$2943,$C$2:$C$2943)</f>
        <v/>
      </c>
      <c r="U16" s="70">
        <f>LOOKUP(DATE($O16,U$25,U$24),$A$2:$A$2943,$C$2:$C$2943)</f>
        <v/>
      </c>
      <c r="V16" s="70">
        <f>LOOKUP(DATE($O16,V$25,V$24),$A$2:$A$2943,$C$2:$C$2943)</f>
        <v/>
      </c>
      <c r="W16" s="70">
        <f>LOOKUP(DATE($O16,W$25,W$24),$A$2:$A$2943,$C$2:$C$2943)</f>
        <v/>
      </c>
      <c r="X16" s="70">
        <f>LOOKUP(DATE($O16,X$25,X$24),$A$2:$A$2943,$C$2:$C$2943)</f>
        <v/>
      </c>
      <c r="Y16" s="70">
        <f>LOOKUP(DATE($O16,Y$25,Y$24),$A$2:$A$2943,$C$2:$C$2943)</f>
        <v/>
      </c>
      <c r="Z16" s="70">
        <f>LOOKUP(DATE($O16,Z$25,Z$24),$A$2:$A$2943,$C$2:$C$2943)</f>
        <v/>
      </c>
      <c r="AA16" s="70">
        <f>LOOKUP(DATE($O16,AA$25,AA$24),$A$2:$A$2943,$C$2:$C$2943)</f>
        <v/>
      </c>
      <c r="AC16" s="17" t="n"/>
      <c r="AD16" s="25" t="n">
        <v>2020</v>
      </c>
      <c r="AE16" s="26">
        <f>+P17</f>
        <v/>
      </c>
      <c r="AF16" s="26">
        <f>+Q17</f>
        <v/>
      </c>
      <c r="AG16" s="26">
        <f>+R17</f>
        <v/>
      </c>
      <c r="AH16" s="26">
        <f>+S17</f>
        <v/>
      </c>
      <c r="AI16" s="26">
        <f>+T17</f>
        <v/>
      </c>
      <c r="AJ16" s="26">
        <f>+U17</f>
        <v/>
      </c>
      <c r="AK16" s="26">
        <f>+V17</f>
        <v/>
      </c>
      <c r="AL16" s="26">
        <f>+W17</f>
        <v/>
      </c>
      <c r="AM16" s="26">
        <f>+X17</f>
        <v/>
      </c>
      <c r="AN16" s="26">
        <f>+Y17</f>
        <v/>
      </c>
      <c r="AO16" s="26">
        <f>+Z17</f>
        <v/>
      </c>
      <c r="AP16" s="26">
        <f>+AA17</f>
        <v/>
      </c>
      <c r="AQ16" s="27">
        <f>+(B185/B173-1)/COUNTA(AE16:AP16)*12</f>
        <v/>
      </c>
      <c r="AR16" s="37" t="n"/>
      <c r="AS16" s="20" t="n"/>
    </row>
    <row r="17">
      <c r="A17" s="28" t="n">
        <v>39141</v>
      </c>
      <c r="B17" s="112" t="n">
        <v>11612.68</v>
      </c>
      <c r="C17" s="36">
        <f>(B17/B16-1)/(A17-A16)*360</f>
        <v/>
      </c>
      <c r="D17" s="30">
        <f>B17/$B$3*100</f>
        <v/>
      </c>
      <c r="E17" s="30" t="n"/>
      <c r="F17" s="30" t="n"/>
      <c r="O17" s="14" t="n">
        <v>2020</v>
      </c>
      <c r="P17" s="70">
        <f>LOOKUP(DATE($O17,P$25,P$24),$A$2:$A$2943,$C$2:$C$2943)</f>
        <v/>
      </c>
      <c r="Q17" s="70">
        <f>LOOKUP(DATE($O17,Q$25,Q$24)+1,$A$2:$A$2943,$C$2:$C$2943)</f>
        <v/>
      </c>
      <c r="R17" s="70">
        <f>LOOKUP(DATE($O17,R$25,R$24),$A$2:$A$2943,$C$2:$C$2943)</f>
        <v/>
      </c>
      <c r="S17" s="70">
        <f>LOOKUP(DATE($O17,S$25,S$24),$A:$A,$C:$C)</f>
        <v/>
      </c>
      <c r="T17" s="70">
        <f>LOOKUP(DATE($O17,T$25,T$24),$A:$A,$C:$C)</f>
        <v/>
      </c>
      <c r="U17" s="70">
        <f>LOOKUP(DATE($O17,U$25,U$24),$A:$A,$C:$C)</f>
        <v/>
      </c>
      <c r="V17" s="70">
        <f>LOOKUP(DATE($O17,V$25,V$24),$A:$A,$C:$C)</f>
        <v/>
      </c>
      <c r="W17" s="70">
        <f>LOOKUP(DATE($O17,W$25,W$24),$A:$A,$C:$C)</f>
        <v/>
      </c>
      <c r="X17" s="70">
        <f>LOOKUP(DATE($O17,X$25,X$24),$A:$A,$C:$C)</f>
        <v/>
      </c>
      <c r="Y17" s="70">
        <f>LOOKUP(DATE($O17,Y$25,Y$24),$A:$A,$C:$C)</f>
        <v/>
      </c>
      <c r="Z17" s="70">
        <f>LOOKUP(DATE($O17,Z$25,Z$24),$A:$A,$C:$C)</f>
        <v/>
      </c>
      <c r="AA17" s="70">
        <f>LOOKUP(DATE($O17,AA$25,AA$24),$A:$A,$C:$C)</f>
        <v/>
      </c>
      <c r="AC17" s="17" t="n"/>
      <c r="AD17" s="25" t="n">
        <v>2021</v>
      </c>
      <c r="AE17" s="26">
        <f>+P18</f>
        <v/>
      </c>
      <c r="AF17" s="26">
        <f>+Q18</f>
        <v/>
      </c>
      <c r="AG17" s="26">
        <f>+R18</f>
        <v/>
      </c>
      <c r="AH17" s="26">
        <f>+S18</f>
        <v/>
      </c>
      <c r="AI17" s="26">
        <f>+T18</f>
        <v/>
      </c>
      <c r="AJ17" s="26">
        <f>+U18</f>
        <v/>
      </c>
      <c r="AK17" s="26">
        <f>+V18</f>
        <v/>
      </c>
      <c r="AL17" s="26">
        <f>+W18</f>
        <v/>
      </c>
      <c r="AM17" s="26">
        <f>+X18</f>
        <v/>
      </c>
      <c r="AN17" s="26">
        <f>+Y18</f>
        <v/>
      </c>
      <c r="AO17" s="26">
        <f>+Z18</f>
        <v/>
      </c>
      <c r="AP17" s="26">
        <f>+AA18</f>
        <v/>
      </c>
      <c r="AQ17" s="27">
        <f>+(B197/B185-1)/COUNTA(AE17:AP17)*12</f>
        <v/>
      </c>
      <c r="AR17" s="37" t="n"/>
      <c r="AS17" s="20" t="n"/>
    </row>
    <row r="18">
      <c r="A18" s="28" t="n">
        <v>39171</v>
      </c>
      <c r="B18" s="112" t="n">
        <v>11661.5</v>
      </c>
      <c r="C18" s="36">
        <f>(B18/B17-1)/(A18-A17)*360</f>
        <v/>
      </c>
      <c r="D18" s="30">
        <f>B18/$B$3*100</f>
        <v/>
      </c>
      <c r="E18" s="30" t="n"/>
      <c r="F18" s="30" t="n"/>
      <c r="O18" s="14" t="n">
        <v>2021</v>
      </c>
      <c r="P18" s="70">
        <f>LOOKUP(DATE($O18,P$25,P$24),$A$2:$A$2943,$C$2:$C$2943)</f>
        <v/>
      </c>
      <c r="Q18" s="70">
        <f>LOOKUP(DATE($O18,Q$25,Q$24)+1,$A$2:$A$2943,$C$2:$C$2943)</f>
        <v/>
      </c>
      <c r="R18" s="70">
        <f>LOOKUP(DATE($O18,R$25,R$24),$A$2:$A$2943,$C$2:$C$2943)</f>
        <v/>
      </c>
      <c r="S18" s="70">
        <f>LOOKUP(DATE($O18,S$25,S$24),$A:$A,$C:$C)</f>
        <v/>
      </c>
      <c r="T18" s="70">
        <f>LOOKUP(DATE($O18,T$25,T$24),$A:$A,$C:$C)</f>
        <v/>
      </c>
      <c r="U18" s="70">
        <f>LOOKUP(DATE($O18,U$25,U$24),$A:$A,$C:$C)</f>
        <v/>
      </c>
      <c r="V18" s="70">
        <f>LOOKUP(DATE($O18,V$25,V$24),$A:$A,$C:$C)</f>
        <v/>
      </c>
      <c r="W18" s="70">
        <f>LOOKUP(DATE($O18,W$25,W$24),$A:$A,$C:$C)</f>
        <v/>
      </c>
      <c r="X18" s="70">
        <f>LOOKUP(DATE($O18,X$25,X$24),$A:$A,$C:$C)</f>
        <v/>
      </c>
      <c r="Y18" s="70">
        <f>LOOKUP(DATE($O18,Y$25,Y$24),$A:$A,$C:$C)</f>
        <v/>
      </c>
      <c r="Z18" s="70">
        <f>LOOKUP(DATE($O18,Z$25,Z$24),$A:$A,$C:$C)</f>
        <v/>
      </c>
      <c r="AA18" s="70">
        <f>LOOKUP(DATE($O18,AA$25,AA$24),$A:$A,$C:$C)</f>
        <v/>
      </c>
      <c r="AC18" s="17" t="n"/>
      <c r="AD18" s="25" t="n">
        <v>2022</v>
      </c>
      <c r="AE18" s="26">
        <f>+P19</f>
        <v/>
      </c>
      <c r="AF18" s="26">
        <f>+Q19</f>
        <v/>
      </c>
      <c r="AG18" s="26">
        <f>+R19</f>
        <v/>
      </c>
      <c r="AH18" s="26">
        <f>+S19</f>
        <v/>
      </c>
      <c r="AI18" s="26">
        <f>+T19</f>
        <v/>
      </c>
      <c r="AJ18" s="26">
        <f>+U19</f>
        <v/>
      </c>
      <c r="AK18" s="26">
        <f>+V19</f>
        <v/>
      </c>
      <c r="AL18" s="26">
        <f>+W19</f>
        <v/>
      </c>
      <c r="AM18" s="26">
        <f>+X19</f>
        <v/>
      </c>
      <c r="AN18" s="26">
        <f>+Y19</f>
        <v/>
      </c>
      <c r="AO18" s="26">
        <f>+Z19</f>
        <v/>
      </c>
      <c r="AP18" s="26">
        <f>+AA19</f>
        <v/>
      </c>
      <c r="AQ18" s="27">
        <f>+(B209/B197-1)/COUNTA(AE18:AP18)*12</f>
        <v/>
      </c>
      <c r="AR18" s="37" t="n"/>
      <c r="AS18" s="20" t="n"/>
      <c r="AV18" s="39" t="n"/>
      <c r="AW18" s="39" t="n"/>
      <c r="AX18" s="39" t="n">
        <v>-1</v>
      </c>
      <c r="AY18" s="39" t="n">
        <v>-3</v>
      </c>
      <c r="AZ18" s="39" t="n">
        <v>-6</v>
      </c>
      <c r="BA18" s="39" t="n">
        <v>-12</v>
      </c>
      <c r="BB18" s="39" t="n"/>
    </row>
    <row r="19">
      <c r="A19" s="28" t="n">
        <v>39202</v>
      </c>
      <c r="B19" s="112" t="n">
        <v>11712.58</v>
      </c>
      <c r="C19" s="36">
        <f>(B19/B18-1)/(A19-A18)*360</f>
        <v/>
      </c>
      <c r="D19" s="30">
        <f>B19/$B$3*100</f>
        <v/>
      </c>
      <c r="E19" s="30" t="n"/>
      <c r="F19" s="30" t="n"/>
      <c r="O19" s="14" t="n">
        <v>2022</v>
      </c>
      <c r="P19" s="70">
        <f>LOOKUP(DATE($O19,P$25,P$24),$A$2:$A$2943,$C$2:$C$2943)</f>
        <v/>
      </c>
      <c r="Q19" s="70">
        <f>LOOKUP(DATE($O19,Q$25,Q$24),$A$2:$A$2943,$C$2:$C$2943)</f>
        <v/>
      </c>
      <c r="R19" s="70">
        <f>LOOKUP(DATE($O19,R$25,R$24),$A$2:$A$2943,$C$2:$C$2943)</f>
        <v/>
      </c>
      <c r="S19" s="70">
        <f>LOOKUP(DATE($O19,S$25,S$24),$A$2:$A$2943,$C$2:$C$2943)</f>
        <v/>
      </c>
      <c r="T19" s="70">
        <f>LOOKUP(DATE($O19,T$25,T$24),$A$2:$A$2943,$C$2:$C$2943)</f>
        <v/>
      </c>
      <c r="U19" s="70">
        <f>LOOKUP(DATE($O19,U$25,U$24),$A$2:$A$2943,$C$2:$C$2943)</f>
        <v/>
      </c>
      <c r="V19" s="70">
        <f>LOOKUP(DATE($O19,V$25,V$24),$A$2:$A$2943,$C$2:$C$2943)</f>
        <v/>
      </c>
      <c r="W19" s="70">
        <f>LOOKUP(DATE($O19,W$25,W$24),$A$2:$A$2943,$C$2:$C$2943)</f>
        <v/>
      </c>
      <c r="X19" s="70">
        <f>LOOKUP(DATE($O19,X$25,X$24),$A$2:$A$2943,$C$2:$C$2943)</f>
        <v/>
      </c>
      <c r="Y19" s="70">
        <f>LOOKUP(DATE($O19,Y$25,Y$24),$A$2:$A$2943,$C$2:$C$2943)</f>
        <v/>
      </c>
      <c r="Z19" s="70">
        <f>LOOKUP(DATE($O19,Z$25,Z$24),$A$2:$A$2943,$C$2:$C$2943)</f>
        <v/>
      </c>
      <c r="AA19" s="70">
        <f>LOOKUP(DATE($O19,AA$25,AA$24),$A$2:$A$2943,$C$2:$C$2943)</f>
        <v/>
      </c>
      <c r="AC19" s="17" t="n"/>
      <c r="AD19" s="25" t="n">
        <v>2023</v>
      </c>
      <c r="AE19" s="26">
        <f>+P20</f>
        <v/>
      </c>
      <c r="AF19" s="26">
        <f>+Q20</f>
        <v/>
      </c>
      <c r="AG19" s="26">
        <f>+R20</f>
        <v/>
      </c>
      <c r="AH19" s="26">
        <f>+S20</f>
        <v/>
      </c>
      <c r="AI19" s="26">
        <f>+T20</f>
        <v/>
      </c>
      <c r="AJ19" s="26">
        <f>+U20</f>
        <v/>
      </c>
      <c r="AK19" s="26">
        <f>+V20</f>
        <v/>
      </c>
      <c r="AL19" s="26">
        <f>+W20</f>
        <v/>
      </c>
      <c r="AM19" s="26">
        <f>+X20</f>
        <v/>
      </c>
      <c r="AN19" s="26">
        <f>+Y20</f>
        <v/>
      </c>
      <c r="AO19" s="26">
        <f>+Z20</f>
        <v/>
      </c>
      <c r="AP19" s="26">
        <f>+AA20</f>
        <v/>
      </c>
      <c r="AQ19" s="27">
        <f>+(B221/B209-1)/COUNTA(AE19:AP19)*12</f>
        <v/>
      </c>
      <c r="AR19" s="37" t="n"/>
      <c r="AS19" s="20" t="n"/>
      <c r="AV19" s="41" t="inlineStr">
        <is>
          <t>Ingresar mes actual==&gt;</t>
        </is>
      </c>
      <c r="AW19" s="79" t="n">
        <v>46203</v>
      </c>
      <c r="AX19" s="80">
        <f>EOMONTH($AW19,AX18)</f>
        <v/>
      </c>
      <c r="AY19" s="80">
        <f>EOMONTH($AW19,AY18)</f>
        <v/>
      </c>
      <c r="AZ19" s="80">
        <f>EOMONTH($AW19,AZ18)</f>
        <v/>
      </c>
      <c r="BA19" s="80">
        <f>EOMONTH($AW19,BA18)</f>
        <v/>
      </c>
      <c r="BB19" s="80" t="n">
        <v>43100</v>
      </c>
    </row>
    <row r="20">
      <c r="A20" s="28" t="n">
        <v>39233</v>
      </c>
      <c r="B20" s="112" t="n">
        <v>11763.78</v>
      </c>
      <c r="C20" s="36">
        <f>(B20/B19-1)/(A20-A19)*360</f>
        <v/>
      </c>
      <c r="D20" s="30">
        <f>B20/$B$3*100</f>
        <v/>
      </c>
      <c r="E20" s="30" t="n"/>
      <c r="F20" s="30" t="n"/>
      <c r="O20" s="14" t="n">
        <v>2023</v>
      </c>
      <c r="P20" s="70">
        <f>LOOKUP(DATE($O20,P$25,P$24),$A$2:$A$2943,$C$2:$C$2943)</f>
        <v/>
      </c>
      <c r="Q20" s="70">
        <f>LOOKUP(DATE($O20,Q$25,Q$24),$A$2:$A$2943,$C$2:$C$2943)</f>
        <v/>
      </c>
      <c r="R20" s="70">
        <f>LOOKUP(DATE($O20,R$25,R$24),$A$2:$A$2943,$C$2:$C$2943)</f>
        <v/>
      </c>
      <c r="S20" s="70">
        <f>LOOKUP(DATE($O20,S$25,S$24),$A$2:$A$2943,$C$2:$C$2943)</f>
        <v/>
      </c>
      <c r="T20" s="70">
        <f>LOOKUP(DATE($O20,T$25,T$24),$A$2:$A$2943,$C$2:$C$2943)</f>
        <v/>
      </c>
      <c r="U20" s="70">
        <f>LOOKUP(DATE($O20,U$25,U$24),$A$2:$A$2943,$C$2:$C$2943)</f>
        <v/>
      </c>
      <c r="V20" s="70">
        <f>LOOKUP(DATE($O20,V$25,V$24),$A$2:$A$2943,$C$2:$C$2943)</f>
        <v/>
      </c>
      <c r="W20" s="70">
        <f>LOOKUP(DATE($O20,W$25,W$24),$A$2:$A$2943,$C$2:$C$2943)</f>
        <v/>
      </c>
      <c r="X20" s="70">
        <f>LOOKUP(DATE($O20,X$25,X$24),$A$2:$A$2943,$C$2:$C$2943)</f>
        <v/>
      </c>
      <c r="Y20" s="70">
        <f>LOOKUP(DATE($O20,Y$25,Y$24),$A$2:$A$2943,$C$2:$C$2943)</f>
        <v/>
      </c>
      <c r="Z20" s="70">
        <f>LOOKUP(DATE($O20,Z$25,Z$24),$A$2:$A$2943,$C$2:$C$2943)</f>
        <v/>
      </c>
      <c r="AA20" s="70">
        <f>LOOKUP(DATE($O20,AA$25,AA$24),$A$2:$A$2943,$C$2:$C$2943)</f>
        <v/>
      </c>
      <c r="AC20" s="17" t="n"/>
      <c r="AD20" s="25" t="n">
        <v>2024</v>
      </c>
      <c r="AE20" s="26">
        <f>+P21</f>
        <v/>
      </c>
      <c r="AF20" s="26">
        <f>+Q21</f>
        <v/>
      </c>
      <c r="AG20" s="26">
        <f>+R21</f>
        <v/>
      </c>
      <c r="AH20" s="26">
        <f>+S21</f>
        <v/>
      </c>
      <c r="AI20" s="26">
        <f>+T21</f>
        <v/>
      </c>
      <c r="AJ20" s="26">
        <f>+U21</f>
        <v/>
      </c>
      <c r="AK20" s="26">
        <f>+V21</f>
        <v/>
      </c>
      <c r="AL20" s="26">
        <f>+W21</f>
        <v/>
      </c>
      <c r="AM20" s="26">
        <f>+X21</f>
        <v/>
      </c>
      <c r="AN20" s="26">
        <f>+Y21</f>
        <v/>
      </c>
      <c r="AO20" s="26">
        <f>+Z21</f>
        <v/>
      </c>
      <c r="AP20" s="26">
        <f>+AA21</f>
        <v/>
      </c>
      <c r="AQ20" s="27">
        <f>+(B233/B221-1)/COUNTA(AE20:AP20)*12</f>
        <v/>
      </c>
      <c r="AR20" s="20" t="n"/>
      <c r="AS20" s="20" t="n"/>
      <c r="AV20" s="39" t="inlineStr">
        <is>
          <t>Competencia</t>
        </is>
      </c>
      <c r="AW20" s="43">
        <f>LOOKUP(AW19,$F$2:$F$2974,$K$2:$K$2974)</f>
        <v/>
      </c>
      <c r="AX20" s="43">
        <f>LOOKUP(AX19,$F$2:$F$2974,$K$2:$K$2974)</f>
        <v/>
      </c>
      <c r="AY20" s="43">
        <f>LOOKUP(AY19,$F$2:$F$2974,$K$2:$K$2974)</f>
        <v/>
      </c>
      <c r="AZ20" s="43">
        <f>LOOKUP(AZ19,$F$2:$F$2974,$K$2:$K$2974)</f>
        <v/>
      </c>
      <c r="BA20" s="43">
        <f>LOOKUP(BA19,$F$2:$F$2974,$K$2:$K$2974)</f>
        <v/>
      </c>
      <c r="BB20" s="43">
        <f>LOOKUP(BB19,$F$2:$F$2974,$K$2:$K$2974)</f>
        <v/>
      </c>
    </row>
    <row r="21">
      <c r="A21" s="28" t="n">
        <v>39262</v>
      </c>
      <c r="B21" s="112" t="n">
        <v>11812.23</v>
      </c>
      <c r="C21" s="36">
        <f>(B21/B20-1)/(A21-A20)*360</f>
        <v/>
      </c>
      <c r="D21" s="30">
        <f>B21/$B$3*100</f>
        <v/>
      </c>
      <c r="E21" s="30" t="n"/>
      <c r="F21" s="30" t="n"/>
      <c r="O21" s="14" t="n">
        <v>2024</v>
      </c>
      <c r="P21" s="70">
        <f>LOOKUP(DATE($O21,P$25,P$24),$A$2:$A$2943,$C$2:$C$2943)</f>
        <v/>
      </c>
      <c r="Q21" s="70">
        <f>LOOKUP(DATE($O21,Q$25,Q$24),$A$2:$A$2943,$C$2:$C$2943)</f>
        <v/>
      </c>
      <c r="R21" s="70">
        <f>LOOKUP(DATE($O21,R$25,R$24),$A$2:$A$2943,$C$2:$C$2943)</f>
        <v/>
      </c>
      <c r="S21" s="70">
        <f>LOOKUP(DATE($O21,S$25,S$24),$A$2:$A$2943,$C$2:$C$2943)</f>
        <v/>
      </c>
      <c r="T21" s="70">
        <f>LOOKUP(DATE($O21,T$25,T$24),$A$2:$A$2943,$C$2:$C$2943)</f>
        <v/>
      </c>
      <c r="U21" s="70">
        <f>LOOKUP(DATE($O21,U$25,U$24),$A$2:$A$2943,$C$2:$C$2943)</f>
        <v/>
      </c>
      <c r="V21" s="70">
        <f>LOOKUP(DATE($O21,V$25,V$24),$A$2:$A$2943,$C$2:$C$2943)</f>
        <v/>
      </c>
      <c r="W21" s="70">
        <f>LOOKUP(DATE($O21,W$25,W$24),$A$2:$A$2943,$C$2:$C$2943)</f>
        <v/>
      </c>
      <c r="X21" s="70">
        <f>LOOKUP(DATE($O21,X$25,X$24),$A$2:$A$2943,$C$2:$C$2943)</f>
        <v/>
      </c>
      <c r="Y21" s="70">
        <f>LOOKUP(DATE($O21,Y$25,Y$24),$A$2:$A$2943,$C$2:$C$2943)</f>
        <v/>
      </c>
      <c r="Z21" s="70">
        <f>LOOKUP(DATE($O21,Z$25,Z$24),$A$2:$A$2943,$C$2:$C$2943)</f>
        <v/>
      </c>
      <c r="AA21" s="70">
        <f>LOOKUP(DATE($O21,AA$25,AA$24),$A$2:$A$2943,$C$2:$C$2943)</f>
        <v/>
      </c>
      <c r="AC21" s="17" t="n"/>
      <c r="AD21" s="25" t="n">
        <v>2025</v>
      </c>
      <c r="AE21" s="26">
        <f>+P22</f>
        <v/>
      </c>
      <c r="AF21" s="26">
        <f>+Q22</f>
        <v/>
      </c>
      <c r="AG21" s="26">
        <f>+R22</f>
        <v/>
      </c>
      <c r="AH21" s="26">
        <f>+S22</f>
        <v/>
      </c>
      <c r="AI21" s="26">
        <f>+T22</f>
        <v/>
      </c>
      <c r="AJ21" s="26">
        <f>+U22</f>
        <v/>
      </c>
      <c r="AK21" s="26">
        <f>+V22</f>
        <v/>
      </c>
      <c r="AL21" s="26">
        <f>+W22</f>
        <v/>
      </c>
      <c r="AM21" s="26">
        <f>+X22</f>
        <v/>
      </c>
      <c r="AN21" s="26">
        <f>+Y22</f>
        <v/>
      </c>
      <c r="AO21" s="26">
        <f>+Z22</f>
        <v/>
      </c>
      <c r="AP21" s="26">
        <f>+AA22</f>
        <v/>
      </c>
      <c r="AQ21" s="27">
        <f>+(B245/B234-1)/COUNTA(AE21:AP21)*12</f>
        <v/>
      </c>
      <c r="AV21" s="39" t="inlineStr">
        <is>
          <t>LIQUIDEZ RESERVA DÓLAR</t>
        </is>
      </c>
      <c r="AW21" s="113">
        <f>LOOKUP(AW19,$F$2:$F$2972,$H$2:$H$2972)</f>
        <v/>
      </c>
      <c r="AX21" s="113">
        <f>LOOKUP(AX19,$F$2:$F$2972,$H$2:$H$2972)</f>
        <v/>
      </c>
      <c r="AY21" s="113">
        <f>LOOKUP(AY19,$F$2:$F$2972,$H$2:$H$2972)</f>
        <v/>
      </c>
      <c r="AZ21" s="113">
        <f>LOOKUP(AZ19,$F$2:$F$2972,$H$2:$H$2972)</f>
        <v/>
      </c>
      <c r="BA21" s="113">
        <f>LOOKUP(BA19,$F$2:$F$2972,$H$2:$H$2972)</f>
        <v/>
      </c>
      <c r="BB21" s="113">
        <f>LOOKUP(BB19,$F$2:$F$2972,$H$2:$H$2972)</f>
        <v/>
      </c>
    </row>
    <row r="22">
      <c r="A22" s="28" t="n">
        <v>39294</v>
      </c>
      <c r="B22" s="112" t="n">
        <v>11866.53</v>
      </c>
      <c r="C22" s="36">
        <f>(B22/B21-1)/(A22-A21)*360</f>
        <v/>
      </c>
      <c r="D22" s="30">
        <f>B22/$B$3*100</f>
        <v/>
      </c>
      <c r="E22" s="30" t="n"/>
      <c r="F22" s="30" t="n"/>
      <c r="O22" s="14" t="n">
        <v>2025</v>
      </c>
      <c r="P22" s="70">
        <f>LOOKUP(DATE($O22,P$25,P$24),$A$2:$A$2943,$C$2:$C$2943)</f>
        <v/>
      </c>
      <c r="Q22" s="70">
        <f>LOOKUP(DATE($O22,Q$25,Q$24),$A$2:$A$2943,$C$2:$C$2943)</f>
        <v/>
      </c>
      <c r="R22" s="70">
        <f>LOOKUP(DATE($O22,R$25,R$24),$A$2:$A$2943,$C$2:$C$2943)</f>
        <v/>
      </c>
      <c r="S22" s="70">
        <f>LOOKUP(DATE($O22,S$25,S$24),$A$2:$A$2943,$C$2:$C$2943)</f>
        <v/>
      </c>
      <c r="T22" s="70">
        <f>LOOKUP(DATE($O22,T$25,T$24),$A$2:$A$2943,$C$2:$C$2943)</f>
        <v/>
      </c>
      <c r="U22" s="70">
        <f>LOOKUP(DATE($O22,U$25,U$24),$A$2:$A$2943,$C$2:$C$2943)</f>
        <v/>
      </c>
      <c r="V22" s="70">
        <f>LOOKUP(DATE($O22,V$25,V$24),$A$2:$A$2943,$C$2:$C$2943)</f>
        <v/>
      </c>
      <c r="W22" s="70">
        <f>LOOKUP(DATE($O22,W$25,W$24),$A$2:$A$2943,$C$2:$C$2943)</f>
        <v/>
      </c>
      <c r="X22" s="70">
        <f>LOOKUP(DATE($O22,X$25,X$24),$A$2:$A$2943,$C$2:$C$2943)</f>
        <v/>
      </c>
      <c r="Y22" s="70">
        <f>LOOKUP(DATE($O22,Y$25,Y$24),$A$2:$A$2943,$C$2:$C$2943)</f>
        <v/>
      </c>
      <c r="Z22" s="70">
        <f>LOOKUP(DATE($O22,Z$25,Z$24),$A$2:$A$2943,$C$2:$C$2943)</f>
        <v/>
      </c>
      <c r="AA22" s="70">
        <f>LOOKUP(DATE($O22,AA$25,AA$24),$A$2:$A$2943,$C$2:$C$2943)</f>
        <v/>
      </c>
      <c r="AD22" s="25" t="n">
        <v>2026</v>
      </c>
      <c r="AE22" s="26">
        <f>+P23</f>
        <v/>
      </c>
      <c r="AF22" s="26">
        <f>+Q23</f>
        <v/>
      </c>
      <c r="AG22" s="26">
        <f>+R23</f>
        <v/>
      </c>
      <c r="AH22" s="26">
        <f>+S23</f>
        <v/>
      </c>
      <c r="AI22" s="20" t="n"/>
      <c r="AJ22" s="20" t="n"/>
      <c r="AK22" s="20" t="n"/>
      <c r="AL22" s="20" t="n"/>
      <c r="AM22" s="20" t="n"/>
      <c r="AN22" s="20" t="n"/>
      <c r="AO22" s="20" t="n"/>
      <c r="AP22" s="20" t="n"/>
      <c r="AQ22" s="27">
        <f>+(B249/B246-1)/COUNTA(AE22:AP22)*12</f>
        <v/>
      </c>
      <c r="AV22" s="39" t="n"/>
      <c r="AW22" s="39" t="n"/>
      <c r="AX22" s="39" t="n"/>
      <c r="AY22" s="39" t="n"/>
      <c r="AZ22" s="39" t="n"/>
      <c r="BA22" s="39" t="n"/>
      <c r="BB22" s="39" t="n"/>
    </row>
    <row r="23">
      <c r="A23" s="28" t="n"/>
      <c r="B23" s="112" t="n"/>
      <c r="C23" s="36" t="n"/>
      <c r="D23" s="30" t="n"/>
      <c r="E23" s="30" t="n"/>
      <c r="F23" s="30" t="n"/>
      <c r="O23" s="14" t="n">
        <v>2026</v>
      </c>
      <c r="P23" s="70">
        <f>LOOKUP(DATE($O23,P$25,P$24),$A$2:$A$2943,$C$2:$C$2943)</f>
        <v/>
      </c>
      <c r="Q23" s="70">
        <f>LOOKUP(DATE($O23,Q$25,Q$24),$A$2:$A$2943,$C$2:$C$2943)</f>
        <v/>
      </c>
      <c r="R23" s="70">
        <f>LOOKUP(DATE($O23,R$25,R$24),$A$2:$A$2943,$C$2:$C$2943)</f>
        <v/>
      </c>
      <c r="S23" s="70">
        <f>LOOKUP(DATE($O23,S$25,S$24),$A$2:$A$2943,$C$2:$C$2943)</f>
        <v/>
      </c>
      <c r="T23" s="70" t="n"/>
      <c r="U23" s="70" t="n"/>
      <c r="V23" s="70" t="n"/>
      <c r="W23" s="70" t="n"/>
      <c r="X23" s="70" t="n"/>
      <c r="Y23" s="70" t="n"/>
      <c r="Z23" s="70" t="n"/>
      <c r="AA23" s="70" t="n"/>
      <c r="AD23" s="37" t="n"/>
      <c r="AE23" s="20" t="n"/>
      <c r="AF23" s="20" t="n"/>
      <c r="AG23" s="20" t="n"/>
      <c r="AH23" s="20" t="n"/>
      <c r="AI23" s="20" t="n"/>
      <c r="AJ23" s="20" t="n"/>
      <c r="AK23" s="20" t="n"/>
      <c r="AL23" s="20" t="n"/>
      <c r="AM23" s="20" t="n"/>
      <c r="AN23" s="20" t="n"/>
      <c r="AO23" s="20" t="n"/>
      <c r="AP23" s="20" t="n"/>
      <c r="AQ23" s="20" t="n"/>
      <c r="AV23" s="39" t="n"/>
      <c r="AW23" s="39" t="n"/>
      <c r="AX23" s="39" t="n"/>
      <c r="AY23" s="39" t="n"/>
      <c r="AZ23" s="39" t="n"/>
      <c r="BA23" s="39" t="n"/>
      <c r="BB23" s="39" t="n"/>
    </row>
    <row r="24">
      <c r="A24" s="28" t="n">
        <v>39325</v>
      </c>
      <c r="B24" s="112" t="n">
        <v>11922.48</v>
      </c>
      <c r="C24" s="36">
        <f>(B24/B22-1)/(A24-A22)*360</f>
        <v/>
      </c>
      <c r="D24" s="30">
        <f>B24/$B$3*100</f>
        <v/>
      </c>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row>
    <row r="25">
      <c r="A25" s="28" t="n">
        <v>39353</v>
      </c>
      <c r="B25" s="112" t="n">
        <v>11975.61</v>
      </c>
      <c r="C25" s="36">
        <f>(B25/B24-1)/(A25-A24)*360</f>
        <v/>
      </c>
      <c r="D25" s="30">
        <f>B25/$B$3*100</f>
        <v/>
      </c>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2" t="n">
        <v>12038.9</v>
      </c>
      <c r="C26" s="36">
        <f>(B26/B25-1)/(A26-A25)*360</f>
        <v/>
      </c>
      <c r="D26" s="30">
        <f>B26/$B$3*100</f>
        <v/>
      </c>
      <c r="E26" s="30" t="n"/>
      <c r="F26" s="30" t="n"/>
      <c r="O26" s="42" t="inlineStr">
        <is>
          <t>FONDO LIQUIDEZ RESERVA DÓLAR</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c r="AV26" s="44" t="n"/>
      <c r="AW26" s="44" t="n"/>
      <c r="AX26" s="44" t="n"/>
      <c r="AY26" s="44" t="n"/>
      <c r="AZ26" s="44" t="n"/>
      <c r="BA26" s="44" t="n"/>
      <c r="BB26" s="44" t="n"/>
    </row>
    <row r="27" ht="15.75" customHeight="1">
      <c r="A27" s="28" t="n">
        <v>39416</v>
      </c>
      <c r="B27" s="112" t="n">
        <v>12096.85</v>
      </c>
      <c r="C27" s="36">
        <f>(B27/B26-1)/(A27-A26)*360</f>
        <v/>
      </c>
      <c r="D27" s="30">
        <f>B27/$B$3*100</f>
        <v/>
      </c>
      <c r="E27" s="30" t="n"/>
      <c r="F27" s="30" t="n"/>
      <c r="O27" s="14" t="n">
        <v>2017</v>
      </c>
      <c r="P27" s="73" t="n"/>
      <c r="Q27" s="73" t="n"/>
      <c r="R27" s="73" t="n"/>
      <c r="S27" s="73" t="n"/>
      <c r="T27" s="73">
        <f>LOOKUP(DATE($O27,T$25,T$24),$A$2:$A$2943,$I$2:$I$2943)</f>
        <v/>
      </c>
      <c r="U27" s="73">
        <f>LOOKUP(DATE($O27,U$25,U$24),$A$2:$A$2943,$I$2:$I$2943)</f>
        <v/>
      </c>
      <c r="V27" s="73">
        <f>LOOKUP(DATE($O27,V$25,V$24),$A$2:$A$2943,$I$2:$I$2943)</f>
        <v/>
      </c>
      <c r="W27" s="73">
        <f>LOOKUP(DATE($O27,W$25,W$24),$A$2:$A$2943,$I$2:$I$2943)</f>
        <v/>
      </c>
      <c r="X27" s="73">
        <f>LOOKUP(DATE($O27,X$25,X$24),$A$2:$A$2943,$I$2:$I$2943)</f>
        <v/>
      </c>
      <c r="Y27" s="73">
        <f>LOOKUP(DATE($O27,Y$25,Y$24),$A$2:$A$2943,$I$2:$I$2943)</f>
        <v/>
      </c>
      <c r="Z27" s="73">
        <f>LOOKUP(DATE($O27,Z$25,Z$24),$A$2:$A$2943,$I$2:$I$2943)</f>
        <v/>
      </c>
      <c r="AA27" s="73">
        <f>LOOKUP(DATE($O27,AA$25,AA$24),$A$2:$A$2943,$I$2:$I$2943)</f>
        <v/>
      </c>
      <c r="AD27" s="40" t="inlineStr">
        <is>
          <t>LIQUIDEZ RESERVA DÓLAR</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V27" s="45" t="n"/>
      <c r="AW27" s="46" t="inlineStr">
        <is>
          <t>Rentabilidad</t>
        </is>
      </c>
      <c r="AX27" s="46" t="inlineStr">
        <is>
          <t>Mensual</t>
        </is>
      </c>
      <c r="AY27" s="46" t="inlineStr">
        <is>
          <t>Trimestral</t>
        </is>
      </c>
      <c r="AZ27" s="46" t="inlineStr">
        <is>
          <t>Semestral</t>
        </is>
      </c>
      <c r="BA27" s="46" t="inlineStr">
        <is>
          <t>Anual</t>
        </is>
      </c>
      <c r="BB27" s="46" t="inlineStr">
        <is>
          <t>Acum. 2026</t>
        </is>
      </c>
      <c r="BC27" s="44" t="n"/>
    </row>
    <row r="28">
      <c r="A28" s="28" t="n">
        <v>39447</v>
      </c>
      <c r="B28" s="112" t="n">
        <v>12152.6</v>
      </c>
      <c r="C28" s="36">
        <f>(B28/B27-1)/(A28-A27)*360</f>
        <v/>
      </c>
      <c r="D28" s="30">
        <f>B28/$B$3*100</f>
        <v/>
      </c>
      <c r="E28" s="30" t="n"/>
      <c r="F28" s="30" t="n"/>
      <c r="O28" s="14" t="n">
        <v>2018</v>
      </c>
      <c r="P28" s="73">
        <f>LOOKUP(DATE($O28,P$25,P$24),$A$2:$A$2943,$I$2:$I$2943)</f>
        <v/>
      </c>
      <c r="Q28" s="73">
        <f>LOOKUP(DATE($O28,Q$25,Q$24),$A$2:$A$2943,$I$2:$I$2943)</f>
        <v/>
      </c>
      <c r="R28" s="73">
        <f>LOOKUP(DATE($O28,R$25,R$24),$A$2:$A$2943,$I$2:$I$2943)</f>
        <v/>
      </c>
      <c r="S28" s="73">
        <f>LOOKUP(DATE($O28,S$25,S$24),$A$2:$A$2943,$I$2:$I$2943)</f>
        <v/>
      </c>
      <c r="T28" s="73">
        <f>LOOKUP(DATE($O28,T$25,T$24),$A$2:$A$2943,$I$2:$I$2943)</f>
        <v/>
      </c>
      <c r="U28" s="73">
        <f>LOOKUP(DATE($O28,U$25,U$24),$A$2:$A$2943,$I$2:$I$2943)</f>
        <v/>
      </c>
      <c r="V28" s="73">
        <f>LOOKUP(DATE($O28,V$25,V$24),$A$2:$A$2943,$I$2:$I$2943)</f>
        <v/>
      </c>
      <c r="W28" s="73">
        <f>LOOKUP(DATE($O28,W$25,W$24),$A$2:$A$2943,$I$2:$I$2943)</f>
        <v/>
      </c>
      <c r="X28" s="73">
        <f>LOOKUP(DATE($O28,X$25,X$24),$A$2:$A$2943,$I$2:$I$2943)</f>
        <v/>
      </c>
      <c r="Y28" s="73">
        <f>LOOKUP(DATE($O28,Y$25,Y$24),$A$2:$A$2943,$I$2:$I$2943)</f>
        <v/>
      </c>
      <c r="Z28" s="73">
        <f>LOOKUP(DATE($O28,Z$25,Z$24),$A$2:$A$2943,$I$2:$I$2943)</f>
        <v/>
      </c>
      <c r="AA28" s="73">
        <f>LOOKUP(DATE($O28,AA$25,AA$24),$A$2:$A$2943,$I$2:$I$2943)</f>
        <v/>
      </c>
      <c r="AD28" s="32" t="n">
        <v>2017</v>
      </c>
      <c r="AE28" s="33" t="n"/>
      <c r="AF28" s="33" t="n"/>
      <c r="AG28" s="33" t="n"/>
      <c r="AH28" s="33" t="n"/>
      <c r="AI28" s="33" t="n"/>
      <c r="AJ28" s="33" t="n"/>
      <c r="AK28" s="33" t="n"/>
      <c r="AL28" s="33" t="n"/>
      <c r="AM28" s="33" t="n"/>
      <c r="AN28" s="33" t="n"/>
      <c r="AO28" s="33" t="n"/>
      <c r="AP28" s="33" t="n"/>
      <c r="AQ28" s="34" t="n"/>
      <c r="AR28" s="37" t="inlineStr">
        <is>
          <t>(*)</t>
        </is>
      </c>
      <c r="AV28" s="106" t="n"/>
      <c r="AW28" s="46" t="inlineStr">
        <is>
          <t>Competencia</t>
        </is>
      </c>
      <c r="AX28" s="49">
        <f>($AW20/AX20-1)/(AW19-AX19)*360</f>
        <v/>
      </c>
      <c r="AY28" s="49">
        <f>($AW20/AY20-1)/($AW$19-AY19)*360</f>
        <v/>
      </c>
      <c r="AZ28" s="49">
        <f>($AW20/AZ20-1)/($AW$19-AZ19)*360</f>
        <v/>
      </c>
      <c r="BA28" s="49">
        <f>($AW20/BA20-1)/($AW$19-BA19)*360</f>
        <v/>
      </c>
      <c r="BB28" s="49">
        <f>AQ80</f>
        <v/>
      </c>
      <c r="BC28" s="47" t="n"/>
      <c r="BD28" s="48" t="n"/>
    </row>
    <row r="29">
      <c r="A29" s="28" t="n">
        <v>39478</v>
      </c>
      <c r="B29" s="112" t="n">
        <v>12223.14</v>
      </c>
      <c r="C29" s="36">
        <f>(B29/B28-1)/(A29-A28)*360</f>
        <v/>
      </c>
      <c r="D29" s="30">
        <f>B29/$B$3*100</f>
        <v/>
      </c>
      <c r="E29" s="30" t="n"/>
      <c r="F29" s="30" t="n"/>
      <c r="O29" s="14" t="n">
        <v>2019</v>
      </c>
      <c r="P29" s="73">
        <f>LOOKUP(DATE($O29,P$25,P$24),$A$2:$A$2943,$I$2:$I$2943)</f>
        <v/>
      </c>
      <c r="Q29" s="73">
        <f>LOOKUP(DATE($O29,Q$25,Q$24),$A$2:$A$2943,$I$2:$I$2943)</f>
        <v/>
      </c>
      <c r="R29" s="73">
        <f>LOOKUP(DATE($O29,R$25,R$24),$A$2:$A$2943,$I$2:$I$2943)</f>
        <v/>
      </c>
      <c r="S29" s="73">
        <f>LOOKUP(DATE($O29,S$25,S$24),$A$2:$A$2943,$I$2:$I$2943)</f>
        <v/>
      </c>
      <c r="T29" s="73">
        <f>LOOKUP(DATE($O29,T$25,T$24),$A$2:$A$2943,$I$2:$I$2943)</f>
        <v/>
      </c>
      <c r="U29" s="73">
        <f>LOOKUP(DATE($O29,U$25,U$24),$A$2:$A$2943,$I$2:$I$2943)</f>
        <v/>
      </c>
      <c r="V29" s="73">
        <f>LOOKUP(DATE($O29,V$25,V$24),$A$2:$A$2943,$I$2:$I$2943)</f>
        <v/>
      </c>
      <c r="W29" s="73">
        <f>LOOKUP(DATE($O29,W$25,W$24),$A$2:$A$2943,$I$2:$I$2943)</f>
        <v/>
      </c>
      <c r="X29" s="73">
        <f>LOOKUP(DATE($O29,X$25,X$24),$A$2:$A$2943,$I$2:$I$2943)</f>
        <v/>
      </c>
      <c r="Y29" s="73">
        <f>LOOKUP(DATE($O29,Y$25,Y$24),$A$2:$A$2943,$I$2:$I$2943)</f>
        <v/>
      </c>
      <c r="Z29" s="73">
        <f>LOOKUP(DATE($O29,Z$25,Z$24),$A$2:$A$2943,$I$2:$I$2943)</f>
        <v/>
      </c>
      <c r="AA29" s="73">
        <f>LOOKUP(DATE($O29,AA$25,AA$24),$A$2:$A$2943,$I$2:$I$2943)</f>
        <v/>
      </c>
      <c r="AD29" s="25" t="n">
        <v>2018</v>
      </c>
      <c r="AE29" s="33" t="n"/>
      <c r="AF29" s="33" t="n"/>
      <c r="AG29" s="33" t="n"/>
      <c r="AH29" s="33" t="n"/>
      <c r="AI29" s="33" t="n"/>
      <c r="AJ29" s="33" t="n"/>
      <c r="AK29" s="33" t="n"/>
      <c r="AL29" s="33" t="n"/>
      <c r="AM29" s="33" t="n"/>
      <c r="AN29" s="33" t="n"/>
      <c r="AO29" s="33" t="n"/>
      <c r="AP29" s="33" t="n"/>
      <c r="AQ29" s="27" t="n"/>
      <c r="AR29" s="37" t="n"/>
      <c r="AW29" s="46" t="inlineStr">
        <is>
          <t>LIQUIDEZ RESERVA DÓLAR</t>
        </is>
      </c>
      <c r="AX29" s="49">
        <f>($AW21/AX21-1)/($AW$19-AX19)*360</f>
        <v/>
      </c>
      <c r="AY29" s="49">
        <f>($AW21/AY21-1)/($AW$19-AY19)*360</f>
        <v/>
      </c>
      <c r="AZ29" s="49">
        <f>($AW21/AZ21-1)/($AW$19-AZ19)*360</f>
        <v/>
      </c>
      <c r="BA29" s="49">
        <f>($AW21/BA21-1)/($AW$19-BA19)*360</f>
        <v/>
      </c>
      <c r="BB29" s="49">
        <f>+AQ81</f>
        <v/>
      </c>
      <c r="BC29" s="50" t="n"/>
      <c r="BD29" s="38" t="n"/>
    </row>
    <row r="30">
      <c r="A30" s="28" t="n">
        <v>39507</v>
      </c>
      <c r="B30" s="112" t="n">
        <v>12284.88</v>
      </c>
      <c r="C30" s="36">
        <f>(B30/B29-1)/(A30-A29)*360</f>
        <v/>
      </c>
      <c r="D30" s="30">
        <f>B30/$B$3*100</f>
        <v/>
      </c>
      <c r="E30" s="30" t="n"/>
      <c r="F30" s="30" t="n"/>
      <c r="O30" s="14" t="n">
        <v>2020</v>
      </c>
      <c r="P30" s="73">
        <f>LOOKUP(DATE($O30,P$25,P$24),$A$2:$A$2943,$I$2:$I$2943)</f>
        <v/>
      </c>
      <c r="Q30" s="73">
        <f>LOOKUP(DATE($O30,Q$25,Q$24)+1,$A$2:$A$2943,$I$2:$I$2943)</f>
        <v/>
      </c>
      <c r="R30" s="73">
        <f>LOOKUP(DATE($O30,R$25,R$24),$A:$A,$I:$I)</f>
        <v/>
      </c>
      <c r="S30" s="73">
        <f>LOOKUP(DATE($O30,S$25,S$24),$A:$A,$I:$I)</f>
        <v/>
      </c>
      <c r="T30" s="73">
        <f>LOOKUP(DATE($O30,T$25,T$24),$A:$A,$I:$I)</f>
        <v/>
      </c>
      <c r="U30" s="73">
        <f>LOOKUP(DATE($O30,U$25,U$24),$A:$A,$I:$I)</f>
        <v/>
      </c>
      <c r="V30" s="73">
        <f>LOOKUP(DATE($O30,V$25,V$24),$A:$A,$I:$I)</f>
        <v/>
      </c>
      <c r="W30" s="73">
        <f>LOOKUP(DATE($O30,W$25,W$24),$A:$A,$I:$I)</f>
        <v/>
      </c>
      <c r="X30" s="73">
        <f>LOOKUP(DATE($O30,X$25,X$24),$A:$A,$I:$I)</f>
        <v/>
      </c>
      <c r="Y30" s="73">
        <f>+I183</f>
        <v/>
      </c>
      <c r="Z30" s="73">
        <f>+I184</f>
        <v/>
      </c>
      <c r="AA30" s="73">
        <f>+I185</f>
        <v/>
      </c>
      <c r="AD30" s="32" t="n">
        <v>2019</v>
      </c>
      <c r="AE30" s="33" t="n"/>
      <c r="AF30" s="33" t="n"/>
      <c r="AG30" s="33" t="n"/>
      <c r="AH30" s="33" t="n"/>
      <c r="AI30" s="33" t="n"/>
      <c r="AJ30" s="33" t="n"/>
      <c r="AK30" s="33" t="n"/>
      <c r="AL30" s="33" t="n"/>
      <c r="AM30" s="33" t="n"/>
      <c r="AN30" s="33" t="n"/>
      <c r="AO30" s="33" t="n"/>
      <c r="AP30" s="33" t="n"/>
      <c r="AQ30" s="34" t="n"/>
      <c r="AR30" s="37" t="n"/>
      <c r="AV30" s="51" t="n"/>
      <c r="AW30" s="52" t="n"/>
      <c r="AX30" s="20" t="n"/>
      <c r="AY30" s="20" t="n"/>
      <c r="AZ30" s="20" t="n"/>
      <c r="BA30" s="20" t="n"/>
      <c r="BB30" s="20" t="n"/>
      <c r="BC30" s="50" t="n"/>
      <c r="BD30" s="38" t="n"/>
    </row>
    <row r="31">
      <c r="A31" s="28" t="n">
        <v>39538</v>
      </c>
      <c r="B31" s="112" t="n">
        <v>12351.45</v>
      </c>
      <c r="C31" s="36">
        <f>(B31/B30-1)/(A31-A30)*360</f>
        <v/>
      </c>
      <c r="D31" s="30">
        <f>B31/$B$3*100</f>
        <v/>
      </c>
      <c r="E31" s="30" t="n"/>
      <c r="F31" s="30" t="n"/>
      <c r="O31" s="14" t="n">
        <v>2021</v>
      </c>
      <c r="P31" s="73">
        <f>+I186</f>
        <v/>
      </c>
      <c r="Q31" s="73">
        <f>+I187</f>
        <v/>
      </c>
      <c r="R31" s="70">
        <f>+I188</f>
        <v/>
      </c>
      <c r="S31" s="70">
        <f>+I189</f>
        <v/>
      </c>
      <c r="T31" s="70">
        <f>+I190</f>
        <v/>
      </c>
      <c r="U31" s="70">
        <f>+I191</f>
        <v/>
      </c>
      <c r="V31" s="70">
        <f>+I192</f>
        <v/>
      </c>
      <c r="W31" s="70">
        <f>+I193</f>
        <v/>
      </c>
      <c r="X31" s="70">
        <f>+I194</f>
        <v/>
      </c>
      <c r="Y31" s="70">
        <f>+I195</f>
        <v/>
      </c>
      <c r="Z31" s="70">
        <f>+I196</f>
        <v/>
      </c>
      <c r="AA31" s="70">
        <f>+I197</f>
        <v/>
      </c>
      <c r="AD31" s="32" t="n">
        <v>2020</v>
      </c>
      <c r="AE31" s="33" t="n"/>
      <c r="AF31" s="33" t="n"/>
      <c r="AG31" s="33" t="n"/>
      <c r="AH31" s="33" t="n"/>
      <c r="AI31" s="33" t="n"/>
      <c r="AJ31" s="33" t="n"/>
      <c r="AK31" s="33" t="n"/>
      <c r="AL31" s="33" t="n"/>
      <c r="AM31" s="33" t="n"/>
      <c r="AN31" s="33" t="n"/>
      <c r="AO31" s="33" t="n"/>
      <c r="AP31" s="33" t="n"/>
      <c r="AQ31" s="34" t="n"/>
      <c r="AR31" s="37" t="n"/>
      <c r="AV31" s="51" t="n"/>
      <c r="BC31" s="51" t="n"/>
      <c r="BD31" s="38" t="n"/>
    </row>
    <row r="32">
      <c r="A32" s="28" t="n">
        <v>39568</v>
      </c>
      <c r="B32" s="112" t="n">
        <v>12416.18</v>
      </c>
      <c r="C32" s="36">
        <f>(B32/B31-1)/(A32-A31)*360</f>
        <v/>
      </c>
      <c r="D32" s="30">
        <f>B32/$B$3*100</f>
        <v/>
      </c>
      <c r="E32" s="30" t="n"/>
      <c r="F32" s="30" t="n"/>
      <c r="O32" s="14" t="n">
        <v>2022</v>
      </c>
      <c r="P32" s="73">
        <f>+I198</f>
        <v/>
      </c>
      <c r="Q32" s="73">
        <f>+I199</f>
        <v/>
      </c>
      <c r="R32" s="70">
        <f>+I200</f>
        <v/>
      </c>
      <c r="S32" s="70">
        <f>+I201</f>
        <v/>
      </c>
      <c r="T32" s="70">
        <f>+I202</f>
        <v/>
      </c>
      <c r="U32" s="70">
        <f>+I203</f>
        <v/>
      </c>
      <c r="V32" s="70">
        <f>+I204</f>
        <v/>
      </c>
      <c r="W32" s="70">
        <f>+I205</f>
        <v/>
      </c>
      <c r="X32" s="70">
        <f>+I206</f>
        <v/>
      </c>
      <c r="Y32" s="70">
        <f>+I207</f>
        <v/>
      </c>
      <c r="Z32" s="70">
        <f>+I208</f>
        <v/>
      </c>
      <c r="AA32" s="70">
        <f>+I209</f>
        <v/>
      </c>
      <c r="AD32" s="32" t="n">
        <v>2021</v>
      </c>
      <c r="AE32" s="33" t="n"/>
      <c r="AF32" s="33" t="n"/>
      <c r="AG32" s="33" t="n"/>
      <c r="AH32" s="33" t="n"/>
      <c r="AI32" s="33" t="n"/>
      <c r="AJ32" s="33">
        <f>+U31</f>
        <v/>
      </c>
      <c r="AK32" s="33">
        <f>+V31</f>
        <v/>
      </c>
      <c r="AL32" s="33">
        <f>+W31</f>
        <v/>
      </c>
      <c r="AM32" s="33">
        <f>+X31</f>
        <v/>
      </c>
      <c r="AN32" s="33">
        <f>+Y31</f>
        <v/>
      </c>
      <c r="AO32" s="33">
        <f>+Z31</f>
        <v/>
      </c>
      <c r="AP32" s="33">
        <f>+AA31</f>
        <v/>
      </c>
      <c r="AQ32" s="34">
        <f>+(H197/H190-1)/COUNTA(AE32:AP32)*12</f>
        <v/>
      </c>
      <c r="AR32" s="37" t="n"/>
      <c r="BC32" s="51" t="n"/>
      <c r="BD32" s="38" t="n"/>
    </row>
    <row r="33">
      <c r="A33" s="28" t="n">
        <v>39598</v>
      </c>
      <c r="B33" s="112" t="n">
        <v>12481.48</v>
      </c>
      <c r="C33" s="36">
        <f>(B33/B32-1)/(A33-A32)*360</f>
        <v/>
      </c>
      <c r="D33" s="30">
        <f>B33/$B$3*100</f>
        <v/>
      </c>
      <c r="E33" s="30" t="n"/>
      <c r="F33" s="30" t="n"/>
      <c r="O33" s="14" t="n">
        <v>2023</v>
      </c>
      <c r="P33" s="73">
        <f>+I210</f>
        <v/>
      </c>
      <c r="Q33" s="73">
        <f>+I211</f>
        <v/>
      </c>
      <c r="R33" s="70">
        <f>+I212</f>
        <v/>
      </c>
      <c r="S33" s="70">
        <f>+I213</f>
        <v/>
      </c>
      <c r="T33" s="70">
        <f>+I214</f>
        <v/>
      </c>
      <c r="U33" s="70">
        <f>+I215</f>
        <v/>
      </c>
      <c r="V33" s="70">
        <f>+I216</f>
        <v/>
      </c>
      <c r="W33" s="70">
        <f>+I217</f>
        <v/>
      </c>
      <c r="X33" s="70">
        <f>+I218</f>
        <v/>
      </c>
      <c r="Y33" s="70">
        <f>+I219</f>
        <v/>
      </c>
      <c r="Z33" s="70">
        <f>+I220</f>
        <v/>
      </c>
      <c r="AA33" s="70">
        <f>+I221</f>
        <v/>
      </c>
      <c r="AD33" s="32" t="n">
        <v>2022</v>
      </c>
      <c r="AE33" s="33">
        <f>+P32</f>
        <v/>
      </c>
      <c r="AF33" s="33">
        <f>+Q32</f>
        <v/>
      </c>
      <c r="AG33" s="33">
        <f>+R32</f>
        <v/>
      </c>
      <c r="AH33" s="33">
        <f>+S32</f>
        <v/>
      </c>
      <c r="AI33" s="33">
        <f>+T32</f>
        <v/>
      </c>
      <c r="AJ33" s="33">
        <f>+U32</f>
        <v/>
      </c>
      <c r="AK33" s="33">
        <f>+V32</f>
        <v/>
      </c>
      <c r="AL33" s="33">
        <f>+W32</f>
        <v/>
      </c>
      <c r="AM33" s="33">
        <f>+X32</f>
        <v/>
      </c>
      <c r="AN33" s="33">
        <f>+Y32</f>
        <v/>
      </c>
      <c r="AO33" s="33">
        <f>+Z32</f>
        <v/>
      </c>
      <c r="AP33" s="33">
        <f>+AA32</f>
        <v/>
      </c>
      <c r="AQ33" s="34">
        <f>+(H209/H197-1)/COUNTA(AE33:AP33)*12</f>
        <v/>
      </c>
      <c r="AR33" s="20" t="n"/>
      <c r="AS33" s="20" t="n"/>
      <c r="BD33" s="38" t="n"/>
    </row>
    <row r="34">
      <c r="A34" s="28" t="n">
        <v>39629</v>
      </c>
      <c r="B34" s="112" t="n">
        <v>12552.23</v>
      </c>
      <c r="C34" s="36">
        <f>(B34/B33-1)/(A34-A33)*360</f>
        <v/>
      </c>
      <c r="D34" s="30">
        <f>B34/$B$3*100</f>
        <v/>
      </c>
      <c r="E34" s="30" t="n"/>
      <c r="F34" s="30" t="n"/>
      <c r="O34" s="14" t="n">
        <v>2024</v>
      </c>
      <c r="P34" s="73">
        <f>+I222</f>
        <v/>
      </c>
      <c r="Q34" s="73">
        <f>+I223</f>
        <v/>
      </c>
      <c r="R34" s="70">
        <f>+I224</f>
        <v/>
      </c>
      <c r="S34" s="70">
        <f>+I225</f>
        <v/>
      </c>
      <c r="T34" s="70">
        <f>+I226</f>
        <v/>
      </c>
      <c r="U34" s="70">
        <f>+I227</f>
        <v/>
      </c>
      <c r="V34" s="70">
        <f>+I228</f>
        <v/>
      </c>
      <c r="W34" s="70">
        <f>+I229</f>
        <v/>
      </c>
      <c r="X34" s="70">
        <f>+I230</f>
        <v/>
      </c>
      <c r="Y34" s="70">
        <f>+I231</f>
        <v/>
      </c>
      <c r="Z34" s="70">
        <f>+I232</f>
        <v/>
      </c>
      <c r="AA34" s="70">
        <f>+I233</f>
        <v/>
      </c>
      <c r="AD34" s="32" t="n">
        <v>2023</v>
      </c>
      <c r="AE34" s="33">
        <f>+P33</f>
        <v/>
      </c>
      <c r="AF34" s="33">
        <f>+Q33</f>
        <v/>
      </c>
      <c r="AG34" s="33">
        <f>+R33</f>
        <v/>
      </c>
      <c r="AH34" s="33">
        <f>+S33</f>
        <v/>
      </c>
      <c r="AI34" s="33">
        <f>+T33</f>
        <v/>
      </c>
      <c r="AJ34" s="33">
        <f>+U33</f>
        <v/>
      </c>
      <c r="AK34" s="33">
        <f>+V33</f>
        <v/>
      </c>
      <c r="AL34" s="33">
        <f>+W33</f>
        <v/>
      </c>
      <c r="AM34" s="33">
        <f>+X33</f>
        <v/>
      </c>
      <c r="AN34" s="33">
        <f>+Y33</f>
        <v/>
      </c>
      <c r="AO34" s="33">
        <f>+Z33</f>
        <v/>
      </c>
      <c r="AP34" s="33">
        <f>+AA33</f>
        <v/>
      </c>
      <c r="AQ34" s="34">
        <f>+(H221/H209-1)/COUNTA(AE34:AP34)*12</f>
        <v/>
      </c>
    </row>
    <row r="35">
      <c r="A35" s="28" t="n">
        <v>39660</v>
      </c>
      <c r="B35" s="112" t="n">
        <v>12628.9</v>
      </c>
      <c r="C35" s="36">
        <f>(B35/B34-1)/(A35-A34)*360</f>
        <v/>
      </c>
      <c r="D35" s="30">
        <f>B35/$B$3*100</f>
        <v/>
      </c>
      <c r="E35" s="30" t="n"/>
      <c r="F35" s="30" t="n"/>
      <c r="O35" s="14" t="n">
        <v>2025</v>
      </c>
      <c r="P35" s="73">
        <f>+I234</f>
        <v/>
      </c>
      <c r="Q35" s="73" t="n">
        <v>0</v>
      </c>
      <c r="R35" s="70">
        <f>+I236</f>
        <v/>
      </c>
      <c r="S35" s="70">
        <f>+I237</f>
        <v/>
      </c>
      <c r="T35" s="70">
        <f>+I238</f>
        <v/>
      </c>
      <c r="U35" s="70">
        <f>+I239</f>
        <v/>
      </c>
      <c r="V35" s="70">
        <f>+I240</f>
        <v/>
      </c>
      <c r="W35" s="70">
        <f>+I241</f>
        <v/>
      </c>
      <c r="X35" s="70">
        <f>+I242</f>
        <v/>
      </c>
      <c r="Y35" s="70">
        <f>+I243</f>
        <v/>
      </c>
      <c r="Z35" s="70">
        <f>+I244</f>
        <v/>
      </c>
      <c r="AA35" s="70">
        <f>+I245</f>
        <v/>
      </c>
      <c r="AD35" s="32" t="n">
        <v>2024</v>
      </c>
      <c r="AE35" s="33">
        <f>+P34</f>
        <v/>
      </c>
      <c r="AF35" s="33">
        <f>+Q34</f>
        <v/>
      </c>
      <c r="AG35" s="33">
        <f>+R34</f>
        <v/>
      </c>
      <c r="AH35" s="33">
        <f>+S34</f>
        <v/>
      </c>
      <c r="AI35" s="33">
        <f>+T34</f>
        <v/>
      </c>
      <c r="AJ35" s="33">
        <f>+U34</f>
        <v/>
      </c>
      <c r="AK35" s="33">
        <f>+V34</f>
        <v/>
      </c>
      <c r="AL35" s="33">
        <f>+W34</f>
        <v/>
      </c>
      <c r="AM35" s="33">
        <f>+X34</f>
        <v/>
      </c>
      <c r="AN35" s="33">
        <f>+Y34</f>
        <v/>
      </c>
      <c r="AO35" s="33">
        <f>+Z34</f>
        <v/>
      </c>
      <c r="AP35" s="33">
        <f>+AA34</f>
        <v/>
      </c>
      <c r="AQ35" s="34">
        <f>+(H233/H221-1)/COUNTA(AE35:AP35)*12</f>
        <v/>
      </c>
      <c r="AR35" s="20" t="n"/>
      <c r="AS35" s="20" t="n"/>
    </row>
    <row r="36">
      <c r="A36" s="28" t="n"/>
      <c r="B36" s="112" t="n"/>
      <c r="C36" s="36" t="n"/>
      <c r="D36" s="30" t="n"/>
      <c r="E36" s="30" t="n"/>
      <c r="F36" s="30" t="n"/>
      <c r="O36" s="14" t="n">
        <v>2026</v>
      </c>
      <c r="P36" s="73">
        <f>+I246</f>
        <v/>
      </c>
      <c r="Q36" s="73">
        <f>+I247</f>
        <v/>
      </c>
      <c r="R36" s="70">
        <f>+I248</f>
        <v/>
      </c>
      <c r="S36" s="70">
        <f>+I249</f>
        <v/>
      </c>
      <c r="T36" s="70">
        <f>+I250</f>
        <v/>
      </c>
      <c r="U36" s="70">
        <f>+I251</f>
        <v/>
      </c>
      <c r="V36" s="70" t="n"/>
      <c r="W36" s="70" t="n"/>
      <c r="X36" s="70" t="n"/>
      <c r="Y36" s="70" t="n"/>
      <c r="Z36" s="70" t="n"/>
      <c r="AA36" s="70" t="n"/>
      <c r="AD36" s="32" t="n">
        <v>2025</v>
      </c>
      <c r="AE36" s="33">
        <f>+P35</f>
        <v/>
      </c>
      <c r="AF36" s="33">
        <f>+Q35</f>
        <v/>
      </c>
      <c r="AG36" s="33">
        <f>+R35</f>
        <v/>
      </c>
      <c r="AH36" s="33">
        <f>+S35</f>
        <v/>
      </c>
      <c r="AI36" s="33">
        <f>+T35</f>
        <v/>
      </c>
      <c r="AJ36" s="33">
        <f>+U35</f>
        <v/>
      </c>
      <c r="AK36" s="33">
        <f>+V35</f>
        <v/>
      </c>
      <c r="AL36" s="33">
        <f>+W35</f>
        <v/>
      </c>
      <c r="AM36" s="33">
        <f>+X35</f>
        <v/>
      </c>
      <c r="AN36" s="33">
        <f>+Y35</f>
        <v/>
      </c>
      <c r="AO36" s="33">
        <f>+Z35</f>
        <v/>
      </c>
      <c r="AP36" s="33">
        <f>+AA35</f>
        <v/>
      </c>
      <c r="AQ36" s="34">
        <f>+(H245/H234-1)/COUNTA(AE36:AP36)*12</f>
        <v/>
      </c>
      <c r="AR36" s="20" t="n"/>
      <c r="AS36" s="20" t="n"/>
    </row>
    <row r="37">
      <c r="A37" s="28" t="n">
        <v>39689</v>
      </c>
      <c r="B37" s="112" t="n">
        <v>12704.63</v>
      </c>
      <c r="C37" s="36">
        <f>(B37/B35-1)/(A37-A35)*360</f>
        <v/>
      </c>
      <c r="D37" s="30">
        <f>B37/$B$3*100</f>
        <v/>
      </c>
      <c r="E37" s="30" t="n"/>
      <c r="F37" s="30" t="n"/>
      <c r="P37" s="21" t="n">
        <v>31</v>
      </c>
      <c r="Q37" s="21" t="n">
        <v>28</v>
      </c>
      <c r="R37" s="21" t="n">
        <v>31</v>
      </c>
      <c r="S37" s="21" t="n">
        <v>30</v>
      </c>
      <c r="T37" s="21" t="n">
        <v>31</v>
      </c>
      <c r="U37" s="21" t="n">
        <v>30</v>
      </c>
      <c r="V37" s="21" t="n">
        <v>31</v>
      </c>
      <c r="W37" s="21" t="n">
        <v>31</v>
      </c>
      <c r="X37" s="21" t="n">
        <v>30</v>
      </c>
      <c r="Y37" s="21" t="n">
        <v>31</v>
      </c>
      <c r="Z37" s="21" t="n">
        <v>30</v>
      </c>
      <c r="AA37" s="21" t="n">
        <v>31</v>
      </c>
      <c r="AD37" s="32" t="n">
        <v>2026</v>
      </c>
      <c r="AE37" s="33">
        <f>+P36</f>
        <v/>
      </c>
      <c r="AF37" s="33">
        <f>+Q36</f>
        <v/>
      </c>
      <c r="AG37" s="33">
        <f>+R36</f>
        <v/>
      </c>
      <c r="AH37" s="33">
        <f>+S36</f>
        <v/>
      </c>
      <c r="AI37">
        <f>+T36/S36-1</f>
        <v/>
      </c>
      <c r="AJ37">
        <f>+U36/T36-1</f>
        <v/>
      </c>
      <c r="AQ37" s="34">
        <f>+(H249/H246-1)/COUNTA(AE37:AJ37)*12</f>
        <v/>
      </c>
      <c r="AR37" s="37" t="n"/>
      <c r="AS37" s="20" t="n"/>
    </row>
    <row r="38">
      <c r="A38" s="28" t="n">
        <v>39721</v>
      </c>
      <c r="B38" s="112" t="n">
        <v>12796.95</v>
      </c>
      <c r="C38" s="36">
        <f>(B38/B37-1)/(A38-A37)*360</f>
        <v/>
      </c>
      <c r="D38" s="30">
        <f>B38/$B$3*100</f>
        <v/>
      </c>
      <c r="E38" s="30" t="n"/>
      <c r="F38" s="30" t="n"/>
      <c r="P38" s="21" t="n">
        <v>1</v>
      </c>
      <c r="Q38" s="21" t="n">
        <v>2</v>
      </c>
      <c r="R38" s="21" t="n">
        <v>3</v>
      </c>
      <c r="S38" s="21" t="n">
        <v>4</v>
      </c>
      <c r="T38" s="21" t="n">
        <v>4</v>
      </c>
      <c r="U38" s="21" t="n">
        <v>6</v>
      </c>
      <c r="V38" s="21" t="n">
        <v>7</v>
      </c>
      <c r="W38" s="21" t="n">
        <v>8</v>
      </c>
      <c r="X38" s="21" t="n">
        <v>9</v>
      </c>
      <c r="Y38" s="21" t="n">
        <v>10</v>
      </c>
      <c r="Z38" s="21" t="n">
        <v>11</v>
      </c>
      <c r="AA38" s="21" t="n">
        <v>12</v>
      </c>
      <c r="AD38" s="37" t="inlineStr">
        <is>
          <t>(*) Acum a Mar</t>
        </is>
      </c>
      <c r="AR38" s="37" t="inlineStr">
        <is>
          <t>(*)</t>
        </is>
      </c>
    </row>
    <row r="39" ht="15.75" customHeight="1">
      <c r="A39" s="28" t="n">
        <v>39752</v>
      </c>
      <c r="B39" s="112" t="n">
        <v>12885.37</v>
      </c>
      <c r="C39" s="36">
        <f>(B39/B38-1)/(A39-A38)*360</f>
        <v/>
      </c>
      <c r="D39" s="30">
        <f>B39/$B$3*100</f>
        <v/>
      </c>
      <c r="E39" s="30" t="n"/>
      <c r="F39" s="30" t="n"/>
      <c r="O39" s="42" t="inlineStr">
        <is>
          <t>Competencia</t>
        </is>
      </c>
      <c r="P39" s="14" t="inlineStr">
        <is>
          <t>Ene</t>
        </is>
      </c>
      <c r="Q39" s="14" t="inlineStr">
        <is>
          <t>Feb</t>
        </is>
      </c>
      <c r="R39" s="14" t="inlineStr">
        <is>
          <t>Mar</t>
        </is>
      </c>
      <c r="S39" s="14" t="inlineStr">
        <is>
          <t>Abr</t>
        </is>
      </c>
      <c r="T39" s="14" t="inlineStr">
        <is>
          <t>May</t>
        </is>
      </c>
      <c r="U39" s="14" t="inlineStr">
        <is>
          <t>Jun</t>
        </is>
      </c>
      <c r="V39" s="14" t="inlineStr">
        <is>
          <t>Jul</t>
        </is>
      </c>
      <c r="W39" s="14" t="inlineStr">
        <is>
          <t>Ago</t>
        </is>
      </c>
      <c r="X39" s="14" t="inlineStr">
        <is>
          <t>Sep</t>
        </is>
      </c>
      <c r="Y39" s="14" t="inlineStr">
        <is>
          <t>Oct</t>
        </is>
      </c>
      <c r="Z39" s="14" t="inlineStr">
        <is>
          <t>Nov</t>
        </is>
      </c>
      <c r="AA39" s="14" t="inlineStr">
        <is>
          <t>Dic</t>
        </is>
      </c>
      <c r="AD39" s="40" t="inlineStr">
        <is>
          <t>Competencia</t>
        </is>
      </c>
      <c r="AE39" s="19" t="inlineStr">
        <is>
          <t>Ene</t>
        </is>
      </c>
      <c r="AF39" s="19" t="inlineStr">
        <is>
          <t>Feb</t>
        </is>
      </c>
      <c r="AG39" s="19" t="inlineStr">
        <is>
          <t>Mar</t>
        </is>
      </c>
      <c r="AH39" s="19" t="inlineStr">
        <is>
          <t>Abr</t>
        </is>
      </c>
      <c r="AI39" s="19" t="inlineStr">
        <is>
          <t>May</t>
        </is>
      </c>
      <c r="AJ39" s="19" t="inlineStr">
        <is>
          <t>Jun</t>
        </is>
      </c>
      <c r="AK39" s="19" t="inlineStr">
        <is>
          <t>Jul</t>
        </is>
      </c>
      <c r="AL39" s="19" t="inlineStr">
        <is>
          <t>Ago</t>
        </is>
      </c>
      <c r="AM39" s="19" t="inlineStr">
        <is>
          <t>Sep</t>
        </is>
      </c>
      <c r="AN39" s="19" t="inlineStr">
        <is>
          <t>Oct</t>
        </is>
      </c>
      <c r="AO39" s="19" t="inlineStr">
        <is>
          <t>Nov</t>
        </is>
      </c>
      <c r="AP39" s="19" t="inlineStr">
        <is>
          <t>Dic</t>
        </is>
      </c>
      <c r="AQ39" s="19" t="inlineStr">
        <is>
          <t>Total Año</t>
        </is>
      </c>
      <c r="AR39" s="37" t="n"/>
    </row>
    <row r="40">
      <c r="A40" s="28" t="n">
        <v>39780</v>
      </c>
      <c r="B40" s="112" t="n">
        <v>12970.93</v>
      </c>
      <c r="C40" s="36">
        <f>(B40/B39-1)/(A40-A39)*360</f>
        <v/>
      </c>
      <c r="D40" s="30">
        <f>B40/$B$3*100</f>
        <v/>
      </c>
      <c r="E40" s="30" t="n"/>
      <c r="F40" s="30" t="n"/>
      <c r="O40" s="14" t="n">
        <v>2017</v>
      </c>
      <c r="P40" s="73" t="n"/>
      <c r="Q40" s="73" t="n"/>
      <c r="R40" s="73" t="n"/>
      <c r="S40" s="73" t="n"/>
      <c r="T40" s="73">
        <f>LOOKUP(DATE($O40,T$25,T$24),$A$2:$A$2943,$L$2:$L$2943)</f>
        <v/>
      </c>
      <c r="U40" s="73">
        <f>LOOKUP(DATE($O40,U$25,U$24),$A$2:$A$2943,$L$2:$L$2943)</f>
        <v/>
      </c>
      <c r="V40" s="73">
        <f>LOOKUP(DATE($O40,V$25,V$24),$A$2:$A$2943,$L$2:$L$2943)</f>
        <v/>
      </c>
      <c r="W40" s="73">
        <f>LOOKUP(DATE($O40,W$25,W$24),$A$2:$A$2943,$L$2:$L$2943)</f>
        <v/>
      </c>
      <c r="X40" s="73">
        <f>LOOKUP(DATE($O40,X$25,X$24),$A$2:$A$2943,$L$2:$L$2943)</f>
        <v/>
      </c>
      <c r="Y40" s="73">
        <f>LOOKUP(DATE($O40,Y$25,Y$24),$A$2:$A$2943,$L$2:$L$2943)</f>
        <v/>
      </c>
      <c r="Z40" s="73">
        <f>LOOKUP(DATE($O40,Z$25,Z$24),$A$2:$A$2943,$L$2:$L$2943)</f>
        <v/>
      </c>
      <c r="AA40" s="73">
        <f>LOOKUP(DATE($O40,AA$25,AA$24),$A$2:$A$2943,$L$2:$L$2943)</f>
        <v/>
      </c>
      <c r="AD40" s="32" t="n">
        <v>2017</v>
      </c>
      <c r="AE40" s="33" t="n"/>
      <c r="AF40" s="33" t="n"/>
      <c r="AG40" s="33" t="n"/>
      <c r="AH40" s="33" t="n"/>
      <c r="AI40" s="33">
        <f>+T40</f>
        <v/>
      </c>
      <c r="AJ40" s="33">
        <f>+U40</f>
        <v/>
      </c>
      <c r="AK40" s="33">
        <f>+V40</f>
        <v/>
      </c>
      <c r="AL40" s="33">
        <f>+W40</f>
        <v/>
      </c>
      <c r="AM40" s="33">
        <f>+X40</f>
        <v/>
      </c>
      <c r="AN40" s="33">
        <f>+Y40</f>
        <v/>
      </c>
      <c r="AO40" s="33">
        <f>+Z40</f>
        <v/>
      </c>
      <c r="AP40" s="33">
        <f>+AA40</f>
        <v/>
      </c>
      <c r="AQ40" s="34">
        <f>+(K149/K141-1)/8*12</f>
        <v/>
      </c>
      <c r="AR40" s="37" t="n"/>
      <c r="BE40" s="48" t="n"/>
      <c r="BF40" s="48" t="n"/>
      <c r="BG40" s="48" t="n"/>
      <c r="BH40" s="48" t="n"/>
      <c r="BI40" s="48" t="n"/>
      <c r="BJ40" s="48" t="n"/>
    </row>
    <row r="41" ht="15" customHeight="1">
      <c r="A41" s="28" t="n">
        <v>39813</v>
      </c>
      <c r="B41" s="112" t="n">
        <v>13066.33</v>
      </c>
      <c r="C41" s="36">
        <f>(B41/B40-1)/(A41-A40)*360</f>
        <v/>
      </c>
      <c r="D41" s="30">
        <f>B41/$B$3*100</f>
        <v/>
      </c>
      <c r="E41" s="30" t="n"/>
      <c r="F41" s="30" t="n"/>
      <c r="O41" s="14" t="n">
        <v>2018</v>
      </c>
      <c r="P41" s="73">
        <f>LOOKUP(DATE($O41,P$25,P$24),$A$2:$A$2943,$L$2:$L$2943)</f>
        <v/>
      </c>
      <c r="Q41" s="73">
        <f>LOOKUP(DATE($O41,Q$25,Q$24),$A$2:$A$2943,$L$2:$L$2943)</f>
        <v/>
      </c>
      <c r="R41" s="73">
        <f>LOOKUP(DATE($O41,R$25,R$24),$A$2:$A$2943,$L$2:$L$2943)</f>
        <v/>
      </c>
      <c r="S41" s="73">
        <f>LOOKUP(DATE($O41,S$25,S$24),$A$2:$A$2943,$L$2:$L$2943)</f>
        <v/>
      </c>
      <c r="T41" s="73">
        <f>LOOKUP(DATE($O41,T$25,T$24),$A$2:$A$2943,$L$2:$L$2943)</f>
        <v/>
      </c>
      <c r="U41" s="73">
        <f>LOOKUP(DATE($O41,U$25,U$24),$A$2:$A$2943,$L$2:$L$2943)</f>
        <v/>
      </c>
      <c r="V41" s="73">
        <f>LOOKUP(DATE($O41,V$25,V$24),$A$2:$A$2943,$L$2:$L$2943)</f>
        <v/>
      </c>
      <c r="W41" s="73">
        <f>LOOKUP(DATE($O41,W$25,W$24),$A$2:$A$2943,$L$2:$L$2943)</f>
        <v/>
      </c>
      <c r="X41" s="73">
        <f>LOOKUP(DATE($O41,X$25,X$24),$A$2:$A$2943,$L$2:$L$2943)</f>
        <v/>
      </c>
      <c r="Y41" s="73">
        <f>LOOKUP(DATE($O41,Y$25,Y$24),$A$2:$A$2943,$L$2:$L$2943)</f>
        <v/>
      </c>
      <c r="Z41" s="73">
        <f>LOOKUP(DATE($O41,Z$25,Z$24),$A$2:$A$2943,$L$2:$L$2943)</f>
        <v/>
      </c>
      <c r="AA41" s="73">
        <f>LOOKUP(DATE($O41,AA$25,AA$24),$A$2:$A$2943,$L$2:$L$2943)</f>
        <v/>
      </c>
      <c r="AD41" s="25" t="n">
        <v>2018</v>
      </c>
      <c r="AE41" s="33">
        <f>+P41</f>
        <v/>
      </c>
      <c r="AF41" s="33">
        <f>+Q41</f>
        <v/>
      </c>
      <c r="AG41" s="33">
        <f>+R41</f>
        <v/>
      </c>
      <c r="AH41" s="33">
        <f>+S41</f>
        <v/>
      </c>
      <c r="AI41" s="33">
        <f>+T41</f>
        <v/>
      </c>
      <c r="AJ41" s="33">
        <f>+U41</f>
        <v/>
      </c>
      <c r="AK41" s="33">
        <f>+V41</f>
        <v/>
      </c>
      <c r="AL41" s="33">
        <f>+W41</f>
        <v/>
      </c>
      <c r="AM41" s="33">
        <f>+X41</f>
        <v/>
      </c>
      <c r="AN41" s="33">
        <f>+Y41</f>
        <v/>
      </c>
      <c r="AO41" s="33">
        <f>+Z41</f>
        <v/>
      </c>
      <c r="AP41" s="33">
        <f>+AA41</f>
        <v/>
      </c>
      <c r="AQ41" s="27">
        <f>+K161/K149-1</f>
        <v/>
      </c>
      <c r="AR41" s="37" t="n"/>
      <c r="BE41" s="38" t="n"/>
      <c r="BF41" s="38" t="n"/>
      <c r="BG41" s="38" t="n"/>
      <c r="BH41" s="38" t="n"/>
      <c r="BI41" s="38" t="n"/>
      <c r="BJ41" s="57" t="n"/>
    </row>
    <row r="42" ht="15" customHeight="1">
      <c r="A42" s="28" t="n">
        <v>39843</v>
      </c>
      <c r="B42" s="112" t="n">
        <v>13151.16</v>
      </c>
      <c r="C42" s="36">
        <f>(B42/B41-1)/(A42-A41)*360</f>
        <v/>
      </c>
      <c r="D42" s="30">
        <f>B42/$B$3*100</f>
        <v/>
      </c>
      <c r="E42" s="30" t="n"/>
      <c r="F42" s="30" t="n"/>
      <c r="O42" s="14" t="n">
        <v>2019</v>
      </c>
      <c r="P42" s="73">
        <f>LOOKUP(DATE($O42,P$25,P$24),$A$2:$A$2943,$L$2:$L$2943)</f>
        <v/>
      </c>
      <c r="Q42" s="73">
        <f>LOOKUP(DATE($O42,Q$25,Q$24),$A$2:$A$2943,$L$2:$L$2943)</f>
        <v/>
      </c>
      <c r="R42" s="73">
        <f>LOOKUP(DATE($O42,R$25,R$24),$A$2:$A$2943,$L$2:$L$2943)</f>
        <v/>
      </c>
      <c r="S42" s="73">
        <f>LOOKUP(DATE($O42,S$25,S$24),$A$2:$A$2943,$L$2:$L$2943)</f>
        <v/>
      </c>
      <c r="T42" s="73">
        <f>LOOKUP(DATE($O42,T$25,T$24),$A$2:$A$2943,$L$2:$L$2943)</f>
        <v/>
      </c>
      <c r="U42" s="73">
        <f>LOOKUP(DATE($O42,U$25,U$24),$A$2:$A$2943,$L$2:$L$2943)</f>
        <v/>
      </c>
      <c r="V42" s="73">
        <f>LOOKUP(DATE($O42,V$25,V$24),$A$2:$A$2943,$L$2:$L$2943)</f>
        <v/>
      </c>
      <c r="W42" s="73">
        <f>LOOKUP(DATE($O42,W$25,W$24),$A$2:$A$2943,$L$2:$L$2943)</f>
        <v/>
      </c>
      <c r="X42" s="73">
        <f>LOOKUP(DATE($O42,X$25,X$24),$A$2:$A$2943,$L$2:$L$2943)</f>
        <v/>
      </c>
      <c r="Y42" s="73">
        <f>LOOKUP(DATE($O42,Y$25,Y$24),$A$2:$A$2943,$L$2:$L$2943)</f>
        <v/>
      </c>
      <c r="Z42" s="73">
        <f>LOOKUP(DATE($O42,Z$25,Z$24),$A$2:$A$2943,$L$2:$L$2943)</f>
        <v/>
      </c>
      <c r="AA42" s="73">
        <f>LOOKUP(DATE($O42,AA$25,AA$24),$A$2:$A$2943,$L$2:$L$2943)</f>
        <v/>
      </c>
      <c r="AD42" s="32" t="n">
        <v>2019</v>
      </c>
      <c r="AE42" s="33">
        <f>+P42</f>
        <v/>
      </c>
      <c r="AF42" s="33">
        <f>+Q42</f>
        <v/>
      </c>
      <c r="AG42" s="33">
        <f>+R42</f>
        <v/>
      </c>
      <c r="AH42" s="33">
        <f>+S42</f>
        <v/>
      </c>
      <c r="AI42" s="33">
        <f>+T42</f>
        <v/>
      </c>
      <c r="AJ42" s="33">
        <f>+U42</f>
        <v/>
      </c>
      <c r="AK42" s="33">
        <f>+V42</f>
        <v/>
      </c>
      <c r="AL42" s="33">
        <f>+W42</f>
        <v/>
      </c>
      <c r="AM42" s="33">
        <f>+X42</f>
        <v/>
      </c>
      <c r="AN42" s="33">
        <f>+Y42</f>
        <v/>
      </c>
      <c r="AO42" s="33">
        <f>+Z42</f>
        <v/>
      </c>
      <c r="AP42" s="33">
        <f>+AA42</f>
        <v/>
      </c>
      <c r="AQ42" s="34">
        <f>+(K173/K161-1)/COUNTA(AE42:AP42)*12</f>
        <v/>
      </c>
      <c r="AR42" s="37" t="n"/>
      <c r="BE42" s="38" t="n"/>
      <c r="BF42" s="38" t="n"/>
      <c r="BG42" s="38" t="n"/>
      <c r="BH42" s="38" t="n"/>
      <c r="BI42" s="38" t="n"/>
      <c r="BJ42" s="57" t="n"/>
    </row>
    <row r="43" ht="15" customHeight="1">
      <c r="A43" s="28" t="n">
        <v>39871</v>
      </c>
      <c r="B43" s="112" t="n">
        <v>13212.09</v>
      </c>
      <c r="C43" s="36">
        <f>(B43/B42-1)/(A43-A42)*360</f>
        <v/>
      </c>
      <c r="D43" s="30">
        <f>B43/$B$3*100</f>
        <v/>
      </c>
      <c r="E43" s="30" t="n"/>
      <c r="F43" s="30" t="n"/>
      <c r="O43" s="14" t="n">
        <v>2020</v>
      </c>
      <c r="P43" s="70">
        <f>LOOKUP(DATE($O43,P$25,P$24),$A$2:$A$2943,$L$2:$L$2943)</f>
        <v/>
      </c>
      <c r="Q43" s="70">
        <f>LOOKUP(DATE($O43,Q$25,Q$24)+1,$A$2:$A$2943,$L$2:$L$2943)</f>
        <v/>
      </c>
      <c r="R43" s="70">
        <f>LOOKUP(DATE($O43,R$25,R$24),$A:$A,$L:$L)</f>
        <v/>
      </c>
      <c r="S43" s="70">
        <f>LOOKUP(DATE($O43,S$25,S$24),$A:$A,$L:$L)</f>
        <v/>
      </c>
      <c r="T43" s="70">
        <f>LOOKUP(DATE($O43,T$25,T$24),$A:$A,$L:$L)</f>
        <v/>
      </c>
      <c r="U43" s="70">
        <f>LOOKUP(DATE($O43,U$25,U$24),$A:$A,$L:$L)</f>
        <v/>
      </c>
      <c r="V43" s="70">
        <f>LOOKUP(DATE($O43,V$25,V$24),$A:$A,$L:$L)</f>
        <v/>
      </c>
      <c r="W43" s="70">
        <f>LOOKUP(DATE($O43,W$25,W$24),$A:$A,$L:$L)</f>
        <v/>
      </c>
      <c r="X43" s="70">
        <f>LOOKUP(DATE($O43,X$25,X$24),$A:$A,$L:$L)</f>
        <v/>
      </c>
      <c r="Y43" s="70">
        <f>LOOKUP(DATE($O43,Y$25,Y$24),$A:$A,$L:$L)</f>
        <v/>
      </c>
      <c r="Z43" s="70">
        <f>LOOKUP(DATE($O43,Z$25,Z$24),$A:$A,$L:$L)</f>
        <v/>
      </c>
      <c r="AA43" s="70">
        <f>LOOKUP(DATE($O43,AA$25,AA$24),$A:$A,$L:$L)</f>
        <v/>
      </c>
      <c r="AD43" s="32" t="n">
        <v>2020</v>
      </c>
      <c r="AE43" s="33">
        <f>+P43</f>
        <v/>
      </c>
      <c r="AF43" s="33">
        <f>+Q43</f>
        <v/>
      </c>
      <c r="AG43" s="33">
        <f>+R43</f>
        <v/>
      </c>
      <c r="AH43" s="33">
        <f>+S43</f>
        <v/>
      </c>
      <c r="AI43" s="33">
        <f>+T43</f>
        <v/>
      </c>
      <c r="AJ43" s="33">
        <f>+U43</f>
        <v/>
      </c>
      <c r="AK43" s="33">
        <f>+V43</f>
        <v/>
      </c>
      <c r="AL43" s="33">
        <f>+W43</f>
        <v/>
      </c>
      <c r="AM43" s="33">
        <f>+X43</f>
        <v/>
      </c>
      <c r="AN43" s="33">
        <f>+Y43</f>
        <v/>
      </c>
      <c r="AO43" s="33">
        <f>+Z43</f>
        <v/>
      </c>
      <c r="AP43" s="33">
        <f>+AA43</f>
        <v/>
      </c>
      <c r="AQ43" s="34">
        <f>+(K185/K173-1)/COUNTA(AE43:AP43)*12</f>
        <v/>
      </c>
      <c r="AR43" s="20" t="n"/>
      <c r="AS43" s="20" t="n"/>
      <c r="BE43" s="38" t="n"/>
      <c r="BF43" s="38" t="n"/>
      <c r="BG43" s="38" t="n"/>
      <c r="BH43" s="38" t="n"/>
      <c r="BI43" s="38" t="n"/>
      <c r="BJ43" s="57" t="n"/>
    </row>
    <row r="44">
      <c r="A44" s="28" t="n">
        <v>39903</v>
      </c>
      <c r="B44" s="112" t="n">
        <v>13251.18</v>
      </c>
      <c r="C44" s="36">
        <f>(B44/B43-1)/(A44-A43)*360</f>
        <v/>
      </c>
      <c r="D44" s="30">
        <f>B44/$B$3*100</f>
        <v/>
      </c>
      <c r="E44" s="30" t="n"/>
      <c r="F44" s="30" t="n"/>
      <c r="O44" s="14" t="n">
        <v>2021</v>
      </c>
      <c r="P44" s="78">
        <f>+L186</f>
        <v/>
      </c>
      <c r="Q44" s="78">
        <f>+L187</f>
        <v/>
      </c>
      <c r="R44" s="78">
        <f>+L188</f>
        <v/>
      </c>
      <c r="S44" s="78">
        <f>+L189</f>
        <v/>
      </c>
      <c r="T44" s="78">
        <f>+L190</f>
        <v/>
      </c>
      <c r="U44" s="78">
        <f>+L191</f>
        <v/>
      </c>
      <c r="V44" s="78">
        <f>+L192</f>
        <v/>
      </c>
      <c r="W44" s="78">
        <f>+L193</f>
        <v/>
      </c>
      <c r="X44" s="78">
        <f>+L194</f>
        <v/>
      </c>
      <c r="Y44" s="78">
        <f>+L195</f>
        <v/>
      </c>
      <c r="Z44" s="78">
        <f>+L196</f>
        <v/>
      </c>
      <c r="AA44" s="70">
        <f>+L197</f>
        <v/>
      </c>
      <c r="AD44" s="32" t="n">
        <v>2021</v>
      </c>
      <c r="AE44" s="33">
        <f>+P44</f>
        <v/>
      </c>
      <c r="AF44" s="33">
        <f>+Q44</f>
        <v/>
      </c>
      <c r="AG44" s="33">
        <f>+R44</f>
        <v/>
      </c>
      <c r="AH44" s="33">
        <f>+S44</f>
        <v/>
      </c>
      <c r="AI44" s="33">
        <f>+T44</f>
        <v/>
      </c>
      <c r="AJ44" s="33">
        <f>+U44</f>
        <v/>
      </c>
      <c r="AK44" s="33">
        <f>+V44</f>
        <v/>
      </c>
      <c r="AL44" s="33">
        <f>+W44</f>
        <v/>
      </c>
      <c r="AM44" s="33">
        <f>+X44</f>
        <v/>
      </c>
      <c r="AN44" s="33">
        <f>+Y44</f>
        <v/>
      </c>
      <c r="AO44" s="33">
        <f>+Z44</f>
        <v/>
      </c>
      <c r="AP44" s="33">
        <f>+AA44</f>
        <v/>
      </c>
      <c r="AQ44" s="34">
        <f>+(K196/K185-1)/COUNTA(AE44:AP44)*12</f>
        <v/>
      </c>
      <c r="AR44" s="20" t="n"/>
      <c r="AS44" s="20" t="n"/>
      <c r="BE44" s="38" t="n"/>
      <c r="BF44" s="38" t="n"/>
      <c r="BG44" s="38" t="n"/>
      <c r="BH44" s="38" t="n"/>
      <c r="BI44" s="38" t="n"/>
      <c r="BJ44" s="57" t="n"/>
    </row>
    <row r="45">
      <c r="A45" s="28" t="n">
        <v>39933</v>
      </c>
      <c r="B45" s="112" t="n">
        <v>13272.62</v>
      </c>
      <c r="C45" s="36">
        <f>(B45/B44-1)/(A45-A44)*360</f>
        <v/>
      </c>
      <c r="D45" s="30">
        <f>B45/$B$3*100</f>
        <v/>
      </c>
      <c r="E45" s="30" t="n"/>
      <c r="F45" s="30" t="n"/>
      <c r="O45" s="14" t="n">
        <v>2022</v>
      </c>
      <c r="P45" s="78">
        <f>+L198</f>
        <v/>
      </c>
      <c r="Q45" s="78">
        <f>+L199</f>
        <v/>
      </c>
      <c r="R45" s="78">
        <f>+L200</f>
        <v/>
      </c>
      <c r="S45" s="78">
        <f>+L201</f>
        <v/>
      </c>
      <c r="T45" s="78">
        <f>+L202</f>
        <v/>
      </c>
      <c r="U45" s="78">
        <f>+L203</f>
        <v/>
      </c>
      <c r="V45" s="78">
        <f>+L204</f>
        <v/>
      </c>
      <c r="W45" s="78">
        <f>+L205</f>
        <v/>
      </c>
      <c r="X45" s="78">
        <f>+L206</f>
        <v/>
      </c>
      <c r="Y45" s="78">
        <f>+L207</f>
        <v/>
      </c>
      <c r="Z45" s="78">
        <f>+L208</f>
        <v/>
      </c>
      <c r="AA45" s="70">
        <f>+L209</f>
        <v/>
      </c>
      <c r="AD45" s="32" t="n">
        <v>2022</v>
      </c>
      <c r="AE45" s="33">
        <f>+P45</f>
        <v/>
      </c>
      <c r="AF45" s="33">
        <f>+Q45</f>
        <v/>
      </c>
      <c r="AG45" s="33">
        <f>+R45</f>
        <v/>
      </c>
      <c r="AH45" s="33">
        <f>+S45</f>
        <v/>
      </c>
      <c r="AI45" s="33">
        <f>+T45</f>
        <v/>
      </c>
      <c r="AJ45" s="33">
        <f>+U45</f>
        <v/>
      </c>
      <c r="AK45" s="33">
        <f>+V45</f>
        <v/>
      </c>
      <c r="AL45" s="33">
        <f>+W45</f>
        <v/>
      </c>
      <c r="AM45" s="33">
        <f>+X45</f>
        <v/>
      </c>
      <c r="AN45" s="33">
        <f>+Y45</f>
        <v/>
      </c>
      <c r="AO45" s="33">
        <f>+Z45</f>
        <v/>
      </c>
      <c r="AP45" s="33">
        <f>+AA45</f>
        <v/>
      </c>
      <c r="AQ45" s="34">
        <f>+(K209/K197-1)/COUNTA(AE45:AP45)*12</f>
        <v/>
      </c>
      <c r="AR45" s="20" t="n"/>
      <c r="AS45" s="20" t="n"/>
      <c r="BE45" s="38" t="n"/>
      <c r="BF45" s="38" t="n"/>
      <c r="BG45" s="38" t="n"/>
      <c r="BH45" s="38" t="n"/>
      <c r="BI45" s="38" t="n"/>
      <c r="BJ45" s="57" t="n"/>
    </row>
    <row r="46">
      <c r="A46" s="28" t="n">
        <v>39962</v>
      </c>
      <c r="B46" s="112" t="n">
        <v>13286.96</v>
      </c>
      <c r="C46" s="36">
        <f>(B46/B45-1)/(A46-A45)*360</f>
        <v/>
      </c>
      <c r="D46" s="30">
        <f>B46/$B$3*100</f>
        <v/>
      </c>
      <c r="E46" s="30" t="n"/>
      <c r="F46" s="30" t="n"/>
      <c r="O46" s="14" t="n">
        <v>2023</v>
      </c>
      <c r="P46" s="78">
        <f>+L210</f>
        <v/>
      </c>
      <c r="Q46" s="78">
        <f>+L211</f>
        <v/>
      </c>
      <c r="R46" s="78">
        <f>+L212</f>
        <v/>
      </c>
      <c r="S46" s="78">
        <f>+L213</f>
        <v/>
      </c>
      <c r="T46" s="78">
        <f>+L214</f>
        <v/>
      </c>
      <c r="U46" s="78">
        <f>+L215</f>
        <v/>
      </c>
      <c r="V46" s="78">
        <f>+L216</f>
        <v/>
      </c>
      <c r="W46" s="78">
        <f>+L217</f>
        <v/>
      </c>
      <c r="X46" s="78">
        <f>+L218</f>
        <v/>
      </c>
      <c r="Y46" s="78">
        <f>+L219</f>
        <v/>
      </c>
      <c r="Z46" s="78">
        <f>+L220</f>
        <v/>
      </c>
      <c r="AA46" s="78">
        <f>+L221</f>
        <v/>
      </c>
      <c r="AD46" s="32" t="n">
        <v>2023</v>
      </c>
      <c r="AE46" s="33">
        <f>+P46</f>
        <v/>
      </c>
      <c r="AF46" s="33">
        <f>+Q46</f>
        <v/>
      </c>
      <c r="AG46" s="33">
        <f>+R46</f>
        <v/>
      </c>
      <c r="AH46" s="33">
        <f>+S46</f>
        <v/>
      </c>
      <c r="AI46" s="33">
        <f>+T46</f>
        <v/>
      </c>
      <c r="AJ46" s="33">
        <f>+U46</f>
        <v/>
      </c>
      <c r="AK46" s="33">
        <f>+V46</f>
        <v/>
      </c>
      <c r="AL46" s="33">
        <f>+W46</f>
        <v/>
      </c>
      <c r="AM46" s="33">
        <f>+X46</f>
        <v/>
      </c>
      <c r="AN46" s="33">
        <f>+Y46</f>
        <v/>
      </c>
      <c r="AO46" s="33">
        <f>+Z46</f>
        <v/>
      </c>
      <c r="AP46" s="33">
        <f>+AA46</f>
        <v/>
      </c>
      <c r="AQ46" s="34">
        <f>+(K221/K209-1)/COUNTA(AE46:AP46)*12</f>
        <v/>
      </c>
      <c r="AR46" s="20" t="n"/>
      <c r="AS46" s="20" t="n"/>
      <c r="BD46" s="38" t="n"/>
      <c r="BE46" s="38" t="n"/>
      <c r="BF46" s="38" t="n"/>
      <c r="BG46" s="38" t="n"/>
      <c r="BH46" s="38" t="n"/>
      <c r="BI46" s="38" t="n"/>
      <c r="BJ46" s="57" t="n"/>
    </row>
    <row r="47" ht="15.75" customHeight="1">
      <c r="A47" s="28" t="n">
        <v>39994</v>
      </c>
      <c r="B47" s="112" t="n">
        <v>13299.08</v>
      </c>
      <c r="C47" s="36">
        <f>(B47/B46-1)/(A47-A46)*360</f>
        <v/>
      </c>
      <c r="D47" s="30">
        <f>B47/$B$3*100</f>
        <v/>
      </c>
      <c r="E47" s="30" t="n"/>
      <c r="F47" s="30" t="n"/>
      <c r="O47" s="14" t="n">
        <v>2024</v>
      </c>
      <c r="P47" s="78">
        <f>+L222</f>
        <v/>
      </c>
      <c r="Q47" s="78">
        <f>+L223</f>
        <v/>
      </c>
      <c r="R47" s="78">
        <f>+L224</f>
        <v/>
      </c>
      <c r="S47" s="78">
        <f>+L225</f>
        <v/>
      </c>
      <c r="T47" s="78">
        <f>+L226</f>
        <v/>
      </c>
      <c r="U47" s="78">
        <f>+L227</f>
        <v/>
      </c>
      <c r="V47" s="78">
        <f>+L228</f>
        <v/>
      </c>
      <c r="W47" s="78">
        <f>+L229</f>
        <v/>
      </c>
      <c r="X47" s="78">
        <f>+L230</f>
        <v/>
      </c>
      <c r="Y47" s="78">
        <f>+L231</f>
        <v/>
      </c>
      <c r="Z47" s="78">
        <f>+L232</f>
        <v/>
      </c>
      <c r="AA47" s="78">
        <f>+L233</f>
        <v/>
      </c>
      <c r="AD47" s="32" t="n">
        <v>2024</v>
      </c>
      <c r="AE47" s="33">
        <f>+P47</f>
        <v/>
      </c>
      <c r="AF47" s="33">
        <f>+Q47</f>
        <v/>
      </c>
      <c r="AG47" s="33">
        <f>+R47</f>
        <v/>
      </c>
      <c r="AH47" s="33">
        <f>+S47</f>
        <v/>
      </c>
      <c r="AI47" s="33">
        <f>+T47</f>
        <v/>
      </c>
      <c r="AJ47" s="33">
        <f>+U47</f>
        <v/>
      </c>
      <c r="AK47" s="33">
        <f>+V47</f>
        <v/>
      </c>
      <c r="AL47" s="33">
        <f>+W47</f>
        <v/>
      </c>
      <c r="AM47" s="33">
        <f>+X47</f>
        <v/>
      </c>
      <c r="AN47" s="33">
        <f>+Y47</f>
        <v/>
      </c>
      <c r="AO47" s="33">
        <f>+Z47</f>
        <v/>
      </c>
      <c r="AP47" s="33">
        <f>+AA47</f>
        <v/>
      </c>
      <c r="AQ47" s="34">
        <f>+(K232/K221-1)/COUNTA(AE47:AP47)*12</f>
        <v/>
      </c>
      <c r="AR47" s="20" t="n"/>
      <c r="AS47" s="20" t="n"/>
      <c r="BD47" s="38" t="n"/>
      <c r="BE47" s="38" t="n"/>
      <c r="BF47" s="38" t="n"/>
      <c r="BG47" s="38" t="n"/>
      <c r="BH47" s="38" t="n"/>
      <c r="BI47" s="38" t="n"/>
      <c r="BJ47" s="57" t="n"/>
    </row>
    <row r="48">
      <c r="A48" s="28" t="n">
        <v>40025</v>
      </c>
      <c r="B48" s="112" t="n">
        <v>13305.34</v>
      </c>
      <c r="C48" s="36">
        <f>(B48/B47-1)/(A48-A47)*360</f>
        <v/>
      </c>
      <c r="D48" s="30">
        <f>B48/$B$3*100</f>
        <v/>
      </c>
      <c r="E48" s="30" t="n"/>
      <c r="F48" s="30" t="n"/>
      <c r="O48" s="14" t="n">
        <v>2025</v>
      </c>
      <c r="P48" s="78" t="n">
        <v>0</v>
      </c>
      <c r="Q48" s="78" t="n">
        <v>0</v>
      </c>
      <c r="R48" s="78">
        <f>+L236</f>
        <v/>
      </c>
      <c r="S48" s="78">
        <f>+L237</f>
        <v/>
      </c>
      <c r="T48" s="78">
        <f>+L238</f>
        <v/>
      </c>
      <c r="U48" s="78">
        <f>+L239</f>
        <v/>
      </c>
      <c r="V48" s="78">
        <f>+L240</f>
        <v/>
      </c>
      <c r="W48" s="78">
        <f>+L241</f>
        <v/>
      </c>
      <c r="X48" s="78">
        <f>+L242</f>
        <v/>
      </c>
      <c r="Y48" s="78">
        <f>+L243</f>
        <v/>
      </c>
      <c r="Z48" s="78">
        <f>+L244</f>
        <v/>
      </c>
      <c r="AA48" s="78">
        <f>+L245</f>
        <v/>
      </c>
      <c r="AD48" s="32" t="n">
        <v>2025</v>
      </c>
      <c r="AE48" s="33">
        <f>+P48</f>
        <v/>
      </c>
      <c r="AF48" s="33">
        <f>+Q48</f>
        <v/>
      </c>
      <c r="AG48" s="33">
        <f>+R48</f>
        <v/>
      </c>
      <c r="AH48" s="33">
        <f>+S48</f>
        <v/>
      </c>
      <c r="AI48" s="33">
        <f>+T48</f>
        <v/>
      </c>
      <c r="AJ48" s="33">
        <f>+U48</f>
        <v/>
      </c>
      <c r="AK48" s="33">
        <f>+V48</f>
        <v/>
      </c>
      <c r="AL48" s="33">
        <f>+W48</f>
        <v/>
      </c>
      <c r="AM48" s="33">
        <f>+X48</f>
        <v/>
      </c>
      <c r="AN48" s="33">
        <f>+Y48</f>
        <v/>
      </c>
      <c r="AO48" s="33">
        <f>+Z48</f>
        <v/>
      </c>
      <c r="AP48" s="33">
        <f>+AA48</f>
        <v/>
      </c>
      <c r="AQ48" s="34">
        <f>+(K245/K234-1)/COUNTA(AE48:AP48)*12</f>
        <v/>
      </c>
      <c r="AR48" s="51" t="n"/>
      <c r="AS48" s="20" t="n"/>
      <c r="BD48" s="38" t="n"/>
      <c r="BE48" s="38" t="n"/>
      <c r="BF48" s="38" t="n"/>
      <c r="BG48" s="38" t="n"/>
      <c r="BH48" s="38" t="n"/>
      <c r="BI48" s="38" t="n"/>
      <c r="BJ48" s="57" t="n"/>
    </row>
    <row r="49">
      <c r="A49" s="28" t="n">
        <v>40056</v>
      </c>
      <c r="B49" s="112" t="n">
        <v>13310.07</v>
      </c>
      <c r="C49" s="36">
        <f>(B49/B48-1)/(A49-A48)*360</f>
        <v/>
      </c>
      <c r="D49" s="30">
        <f>B49/$B$3*100</f>
        <v/>
      </c>
      <c r="E49" s="30" t="n"/>
      <c r="F49" s="30" t="n"/>
      <c r="O49" s="14" t="n">
        <v>2026</v>
      </c>
      <c r="P49" s="78">
        <f>+L246</f>
        <v/>
      </c>
      <c r="Q49" s="78">
        <f>+L247</f>
        <v/>
      </c>
      <c r="R49" s="78">
        <f>+L248</f>
        <v/>
      </c>
      <c r="S49" s="78">
        <f>+L249</f>
        <v/>
      </c>
      <c r="T49">
        <f>+L250</f>
        <v/>
      </c>
      <c r="U49">
        <f>+L251</f>
        <v/>
      </c>
      <c r="AD49" s="32" t="n">
        <v>2026</v>
      </c>
      <c r="AE49" s="33">
        <f>+P49</f>
        <v/>
      </c>
      <c r="AF49" s="33">
        <f>+Q49</f>
        <v/>
      </c>
      <c r="AG49" s="33">
        <f>+R49</f>
        <v/>
      </c>
      <c r="AH49" s="33">
        <f>+S49</f>
        <v/>
      </c>
      <c r="AI49" s="20">
        <f>+T49/S49-1</f>
        <v/>
      </c>
      <c r="AJ49" s="20">
        <f>+U49/T49-1</f>
        <v/>
      </c>
      <c r="AK49" s="20" t="n"/>
      <c r="AL49" s="20" t="n"/>
      <c r="AM49" s="20" t="n"/>
      <c r="AN49" s="20" t="n"/>
      <c r="AO49" s="20" t="n"/>
      <c r="AP49" s="20" t="n"/>
      <c r="AQ49" s="34">
        <f>+(K249/K246-1)/COUNTA(AE49:AJ49)*12</f>
        <v/>
      </c>
      <c r="AR49" s="20" t="n"/>
      <c r="AS49" s="20" t="n"/>
      <c r="BD49" s="38" t="n"/>
      <c r="BE49" s="38" t="n"/>
      <c r="BF49" s="38" t="n"/>
      <c r="BG49" s="38" t="n"/>
      <c r="BH49" s="38" t="n"/>
      <c r="BI49" s="38" t="n"/>
      <c r="BJ49" s="57" t="n"/>
    </row>
    <row r="50">
      <c r="A50" s="28" t="n">
        <v>40086</v>
      </c>
      <c r="B50" s="112" t="n">
        <v>13315.05</v>
      </c>
      <c r="C50" s="36">
        <f>(B50/B49-1)/(A50-A49)*360</f>
        <v/>
      </c>
      <c r="D50" s="30">
        <f>B50/$B$3*100</f>
        <v/>
      </c>
      <c r="E50" s="30" t="n"/>
      <c r="F50" s="30" t="n"/>
      <c r="AD50" s="37" t="n"/>
      <c r="AE50" s="20" t="n"/>
      <c r="AF50" s="20" t="n"/>
      <c r="AG50" s="20" t="n"/>
      <c r="AH50" s="20" t="n"/>
      <c r="AI50" s="20" t="n"/>
      <c r="AJ50" s="20" t="n"/>
      <c r="AK50" s="20" t="n"/>
      <c r="AL50" s="20" t="n"/>
      <c r="AM50" s="20" t="n"/>
      <c r="AN50" s="20" t="n"/>
      <c r="AO50" s="20" t="n"/>
      <c r="AP50" s="20" t="n"/>
      <c r="AQ50" s="20" t="n"/>
      <c r="AR50" s="51" t="n"/>
      <c r="AS50" s="20" t="n"/>
      <c r="BD50" s="38" t="n"/>
      <c r="BE50" s="38" t="n"/>
      <c r="BF50" s="38" t="n"/>
      <c r="BG50" s="38" t="n"/>
      <c r="BH50" s="38" t="n"/>
      <c r="BI50" s="38" t="n"/>
      <c r="BJ50" s="57" t="n"/>
    </row>
    <row r="51">
      <c r="A51" s="28" t="n">
        <v>40116</v>
      </c>
      <c r="B51" s="112" t="n">
        <v>13319.74</v>
      </c>
      <c r="C51" s="36">
        <f>(B51/B50-1)/(A51-A50)*360</f>
        <v/>
      </c>
      <c r="D51" s="30">
        <f>B51/$B$3*100</f>
        <v/>
      </c>
      <c r="E51" s="30" t="n"/>
      <c r="F51" s="30" t="n"/>
      <c r="AD51" s="37" t="inlineStr">
        <is>
          <t>(*) Acum a Mar</t>
        </is>
      </c>
      <c r="AE51" s="20" t="n"/>
      <c r="AF51" s="20" t="n"/>
      <c r="AG51" s="20" t="n"/>
      <c r="AH51" s="20" t="n"/>
      <c r="AI51" s="20" t="n"/>
      <c r="AJ51" s="20" t="n"/>
      <c r="AK51" s="20" t="n"/>
      <c r="AL51" s="20" t="n"/>
      <c r="AM51" s="20" t="n"/>
      <c r="AN51" s="20" t="n"/>
      <c r="AO51" s="20" t="n"/>
      <c r="AP51" s="20" t="n"/>
      <c r="AQ51" s="20" t="n"/>
      <c r="AR51" s="20" t="n"/>
      <c r="AS51" s="20" t="n"/>
      <c r="BD51" s="38" t="n"/>
      <c r="BE51" s="38" t="n"/>
      <c r="BF51" s="38" t="n"/>
      <c r="BG51" s="38" t="n"/>
      <c r="BH51" s="38" t="n"/>
      <c r="BI51" s="38" t="n"/>
      <c r="BJ51" s="57" t="n"/>
      <c r="BK51" s="61" t="n"/>
    </row>
    <row r="52">
      <c r="A52" s="28" t="n">
        <v>40147</v>
      </c>
      <c r="B52" s="112" t="n">
        <v>13324.51</v>
      </c>
      <c r="C52" s="36">
        <f>(B52/B51-1)/(A52-A51)*360</f>
        <v/>
      </c>
      <c r="D52" s="30">
        <f>B52/$B$3*100</f>
        <v/>
      </c>
      <c r="E52" s="30" t="n"/>
      <c r="F52" s="30" t="n"/>
      <c r="AD52" s="37" t="n"/>
      <c r="AE52" s="20" t="n"/>
      <c r="AF52" s="20" t="n"/>
      <c r="AG52" s="20" t="n"/>
      <c r="AH52" s="20" t="n"/>
      <c r="AI52" s="20" t="n"/>
      <c r="AJ52" s="20" t="n"/>
      <c r="AK52" s="20" t="n"/>
      <c r="AL52" s="20" t="n"/>
      <c r="AM52" s="20" t="n"/>
      <c r="AN52" s="20" t="n"/>
      <c r="AO52" s="20" t="n"/>
      <c r="AP52" s="20" t="n"/>
      <c r="AQ52" s="20" t="n"/>
      <c r="AR52" s="51" t="n"/>
      <c r="AS52" s="51" t="n"/>
      <c r="BD52" s="38" t="n"/>
      <c r="BE52" s="38" t="n"/>
      <c r="BF52" s="38" t="n"/>
      <c r="BG52" s="38" t="n"/>
      <c r="BH52" s="38" t="n"/>
      <c r="BI52" s="38" t="n"/>
      <c r="BJ52" s="57" t="n"/>
      <c r="BK52" s="61" t="n"/>
    </row>
    <row r="53">
      <c r="A53" s="28" t="n">
        <v>40178</v>
      </c>
      <c r="B53" s="112" t="n">
        <v>13329.5</v>
      </c>
      <c r="C53" s="36">
        <f>(B53/B52-1)/(A53-A52)*360</f>
        <v/>
      </c>
      <c r="D53" s="30">
        <f>B53/$B$3*100</f>
        <v/>
      </c>
      <c r="E53" s="30" t="n"/>
      <c r="F53" s="30"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51" t="n"/>
      <c r="AS53" s="51" t="n"/>
    </row>
    <row r="54">
      <c r="A54" s="28" t="n">
        <v>40207</v>
      </c>
      <c r="B54" s="112" t="n">
        <v>13334.25</v>
      </c>
      <c r="C54" s="36">
        <f>(B54/B53-1)/(A54-A53)*360</f>
        <v/>
      </c>
      <c r="D54" s="30">
        <f>B54/$B$3*100</f>
        <v/>
      </c>
      <c r="E54" s="30" t="n"/>
      <c r="F54" s="30" t="n"/>
      <c r="AC54" s="66">
        <f>+AD12</f>
        <v/>
      </c>
      <c r="AD54" s="66" t="inlineStr">
        <is>
          <t>ICP</t>
        </is>
      </c>
      <c r="AE54" s="75" t="n"/>
      <c r="AF54" s="75" t="n"/>
      <c r="AG54" s="75" t="n"/>
      <c r="AH54" s="75" t="n"/>
      <c r="AI54" s="75" t="n"/>
      <c r="AJ54" s="75" t="n"/>
      <c r="AK54" s="75" t="n"/>
      <c r="AL54" s="75" t="n"/>
      <c r="AM54" s="75" t="n"/>
      <c r="AN54" s="75" t="n"/>
      <c r="AO54" s="75" t="n"/>
      <c r="AP54" s="75" t="n"/>
      <c r="AQ54" s="74" t="n"/>
      <c r="AR54" s="20" t="n"/>
      <c r="AS54" s="20" t="n"/>
    </row>
    <row r="55">
      <c r="A55" s="28" t="n">
        <v>40235</v>
      </c>
      <c r="B55" s="112" t="n">
        <v>13338.53</v>
      </c>
      <c r="C55" s="36">
        <f>(B55/B54-1)/(A55-A54)*360</f>
        <v/>
      </c>
      <c r="D55" s="30">
        <f>B55/$B$3*100</f>
        <v/>
      </c>
      <c r="E55" s="30" t="n"/>
      <c r="F55" s="30" t="n"/>
      <c r="AC55" s="66">
        <f>+AD13</f>
        <v/>
      </c>
      <c r="AD55" s="56" t="inlineStr">
        <is>
          <t>ICP</t>
        </is>
      </c>
      <c r="AE55" s="76" t="n"/>
      <c r="AF55" s="76" t="n"/>
      <c r="AG55" s="76" t="n"/>
      <c r="AH55" s="76" t="n"/>
      <c r="AI55" s="76" t="n"/>
      <c r="AJ55" s="76" t="n"/>
      <c r="AK55" s="76" t="n"/>
      <c r="AL55" s="76" t="n"/>
      <c r="AM55" s="76" t="n"/>
      <c r="AN55" s="76" t="n"/>
      <c r="AO55" s="76" t="n"/>
      <c r="AP55" s="76" t="n"/>
      <c r="AQ55" s="77" t="n"/>
      <c r="AR55" s="20" t="n"/>
      <c r="AS55" s="20" t="n"/>
    </row>
    <row r="56">
      <c r="A56" s="28" t="n">
        <v>40268</v>
      </c>
      <c r="B56" s="112" t="n">
        <v>13343.79</v>
      </c>
      <c r="C56" s="36">
        <f>(B56/B55-1)/(A56-A55)*360</f>
        <v/>
      </c>
      <c r="D56" s="30">
        <f>B56/$B$3*100</f>
        <v/>
      </c>
      <c r="E56" s="30" t="n"/>
      <c r="F56" s="30" t="n"/>
      <c r="AC56" s="66">
        <f>+AD14</f>
        <v/>
      </c>
      <c r="AD56" s="66" t="inlineStr">
        <is>
          <t>ICP</t>
        </is>
      </c>
      <c r="AE56" s="75" t="n"/>
      <c r="AF56" s="75" t="n"/>
      <c r="AG56" s="75" t="n"/>
      <c r="AH56" s="75" t="n"/>
      <c r="AI56" s="75" t="n"/>
      <c r="AJ56" s="75" t="n"/>
      <c r="AK56" s="75" t="n"/>
      <c r="AL56" s="75" t="n"/>
      <c r="AM56" s="75" t="n"/>
      <c r="AN56" s="75" t="n"/>
      <c r="AO56" s="75" t="n"/>
      <c r="AP56" s="75" t="n"/>
      <c r="AQ56" s="74" t="n"/>
      <c r="AR56" s="51" t="n"/>
      <c r="AS56" s="20" t="n"/>
    </row>
    <row r="57">
      <c r="A57" s="28" t="n">
        <v>40298</v>
      </c>
      <c r="B57" s="112" t="n">
        <v>13348.63</v>
      </c>
      <c r="C57" s="36">
        <f>(B57/B56-1)/(A57-A56)*360</f>
        <v/>
      </c>
      <c r="D57" s="30">
        <f>B57/$B$3*100</f>
        <v/>
      </c>
      <c r="E57" s="30" t="n"/>
      <c r="F57" s="30" t="n"/>
      <c r="AC57" s="66">
        <f>+AD15</f>
        <v/>
      </c>
      <c r="AD57" s="56" t="inlineStr">
        <is>
          <t>ICP</t>
        </is>
      </c>
      <c r="AE57" s="76" t="n"/>
      <c r="AF57" s="76" t="n"/>
      <c r="AG57" s="76" t="n"/>
      <c r="AH57" s="76" t="n"/>
      <c r="AI57" s="76" t="n"/>
      <c r="AJ57" s="76" t="n"/>
      <c r="AK57" s="76" t="n"/>
      <c r="AL57" s="76" t="n"/>
      <c r="AM57" s="76" t="n"/>
      <c r="AN57" s="76" t="n"/>
      <c r="AO57" s="76" t="n"/>
      <c r="AP57" s="76" t="n"/>
      <c r="AQ57" s="77" t="n"/>
      <c r="AR57" s="51" t="n"/>
      <c r="AS57" s="20" t="n"/>
    </row>
    <row r="58">
      <c r="A58" s="28" t="n">
        <v>40329</v>
      </c>
      <c r="B58" s="112" t="n">
        <v>13353.5</v>
      </c>
      <c r="C58" s="36">
        <f>(B58/B57-1)/(A58-A57)*360</f>
        <v/>
      </c>
      <c r="D58" s="30">
        <f>B58/$B$3*100</f>
        <v/>
      </c>
      <c r="E58" s="30" t="n"/>
      <c r="F58" s="30" t="n"/>
      <c r="AC58" s="66" t="n">
        <v>2020</v>
      </c>
      <c r="AD58" s="56" t="inlineStr">
        <is>
          <t>ICP</t>
        </is>
      </c>
      <c r="AE58" s="76" t="n"/>
      <c r="AF58" s="76" t="n"/>
      <c r="AG58" s="76" t="n"/>
      <c r="AH58" s="76" t="n"/>
      <c r="AI58" s="76" t="n"/>
      <c r="AJ58" s="76" t="n"/>
      <c r="AK58" s="76" t="n"/>
      <c r="AL58" s="76" t="n"/>
      <c r="AM58" s="76" t="n"/>
      <c r="AN58" s="76" t="n"/>
      <c r="AO58" s="76" t="n"/>
      <c r="AP58" s="76" t="n"/>
      <c r="AQ58" s="77" t="n"/>
      <c r="AR58" s="51" t="n"/>
      <c r="AS58" s="20" t="n"/>
    </row>
    <row r="59">
      <c r="A59" s="28" t="n">
        <v>40359</v>
      </c>
      <c r="B59" s="112" t="n">
        <v>13360.9</v>
      </c>
      <c r="C59" s="36">
        <f>(B59/B58-1)/(A59-A58)*360</f>
        <v/>
      </c>
      <c r="D59" s="30">
        <f>B59/$B$3*100</f>
        <v/>
      </c>
      <c r="E59" s="30" t="n"/>
      <c r="F59" s="30" t="n"/>
      <c r="AC59" s="105" t="n">
        <v>2017</v>
      </c>
      <c r="AD59" s="66" t="inlineStr">
        <is>
          <t>Competencia</t>
        </is>
      </c>
      <c r="AE59" s="67" t="n"/>
      <c r="AF59" s="67" t="n"/>
      <c r="AG59" s="67" t="n"/>
      <c r="AH59" s="67" t="n"/>
      <c r="AI59" s="72" t="n"/>
      <c r="AJ59" s="72" t="n"/>
      <c r="AK59" s="72" t="n"/>
      <c r="AL59" s="72" t="n"/>
      <c r="AM59" s="72" t="n"/>
      <c r="AN59" s="72" t="n"/>
      <c r="AO59" s="72" t="n"/>
      <c r="AP59" s="72" t="n"/>
      <c r="AQ59" s="68" t="n"/>
      <c r="AR59" s="51" t="n"/>
      <c r="AS59" s="20" t="n"/>
    </row>
    <row r="60">
      <c r="A60" s="28" t="n">
        <v>40389</v>
      </c>
      <c r="B60" s="112" t="n">
        <v>13373.99</v>
      </c>
      <c r="C60" s="36">
        <f>(B60/B59-1)/(A60-A59)*360</f>
        <v/>
      </c>
      <c r="D60" s="30">
        <f>B60/$B$3*100</f>
        <v/>
      </c>
      <c r="E60" s="30" t="n"/>
      <c r="F60" s="30" t="n"/>
      <c r="AD60" s="66" t="inlineStr">
        <is>
          <t>LIQUIDEZ RESERVA DÓLAR</t>
        </is>
      </c>
      <c r="AE60" s="67" t="n"/>
      <c r="AF60" s="67" t="n"/>
      <c r="AG60" s="67" t="n"/>
      <c r="AH60" s="67" t="n"/>
      <c r="AI60" s="72" t="n"/>
      <c r="AJ60" s="72" t="n"/>
      <c r="AK60" s="72" t="n"/>
      <c r="AL60" s="72" t="n"/>
      <c r="AM60" s="72" t="n"/>
      <c r="AN60" s="72" t="n"/>
      <c r="AO60" s="72" t="n"/>
      <c r="AP60" s="72" t="n"/>
      <c r="AQ60" s="68" t="n"/>
      <c r="AR60" s="58" t="n"/>
      <c r="AS60" s="20" t="n"/>
    </row>
    <row r="61">
      <c r="A61" s="28" t="n">
        <v>40421</v>
      </c>
      <c r="B61" s="112" t="n">
        <v>13395.21</v>
      </c>
      <c r="C61" s="36">
        <f>(B61/B60-1)/(A61-A60)*360</f>
        <v/>
      </c>
      <c r="D61" s="30">
        <f>B61/$B$3*100</f>
        <v/>
      </c>
      <c r="E61" s="30" t="n"/>
      <c r="F61" s="30" t="n"/>
      <c r="AC61" s="107" t="n">
        <v>2018</v>
      </c>
      <c r="AD61" s="56" t="inlineStr">
        <is>
          <t>Competencia</t>
        </is>
      </c>
      <c r="AE61" s="71" t="n"/>
      <c r="AF61" s="71" t="n"/>
      <c r="AG61" s="71" t="n"/>
      <c r="AH61" s="71" t="n"/>
      <c r="AI61" s="71" t="n"/>
      <c r="AJ61" s="71" t="n"/>
      <c r="AK61" s="71" t="n"/>
      <c r="AL61" s="71" t="n"/>
      <c r="AM61" s="71" t="n"/>
      <c r="AN61" s="71" t="n"/>
      <c r="AO61" s="71" t="n"/>
      <c r="AP61" s="71" t="n"/>
      <c r="AQ61" s="55" t="n"/>
      <c r="AR61" s="58" t="n"/>
      <c r="AS61" s="20" t="n"/>
    </row>
    <row r="62">
      <c r="A62" s="28" t="n">
        <v>40451</v>
      </c>
      <c r="B62" s="112" t="n">
        <v>13419.79</v>
      </c>
      <c r="C62" s="36">
        <f>(B62/B61-1)/(A62-A61)*360</f>
        <v/>
      </c>
      <c r="D62" s="30">
        <f>B62/$B$3*100</f>
        <v/>
      </c>
      <c r="E62" s="30" t="n"/>
      <c r="F62" s="30" t="n"/>
      <c r="AD62" s="66" t="inlineStr">
        <is>
          <t>LIQUIDEZ RESERVA DÓLAR</t>
        </is>
      </c>
      <c r="AE62" s="71" t="n"/>
      <c r="AF62" s="71" t="n"/>
      <c r="AG62" s="71" t="n"/>
      <c r="AH62" s="71" t="n"/>
      <c r="AI62" s="71" t="n"/>
      <c r="AJ62" s="71" t="n"/>
      <c r="AK62" s="71" t="n"/>
      <c r="AL62" s="71" t="n"/>
      <c r="AM62" s="71" t="n"/>
      <c r="AN62" s="71" t="n"/>
      <c r="AO62" s="71" t="n"/>
      <c r="AP62" s="71" t="n"/>
      <c r="AQ62" s="55" t="n"/>
      <c r="AR62" s="58" t="n"/>
      <c r="AS62" s="20" t="n"/>
    </row>
    <row r="63">
      <c r="A63" s="28" t="n">
        <v>40480</v>
      </c>
      <c r="B63" s="112" t="n">
        <v>13448.69</v>
      </c>
      <c r="C63" s="36">
        <f>(B63/B62-1)/(A63-A62)*360</f>
        <v/>
      </c>
      <c r="D63" s="30">
        <f>B63/$B$3*100</f>
        <v/>
      </c>
      <c r="E63" s="30" t="n"/>
      <c r="F63" s="30" t="n"/>
      <c r="AC63" s="105" t="n">
        <v>2019</v>
      </c>
      <c r="AD63" s="66" t="inlineStr">
        <is>
          <t>Competencia</t>
        </is>
      </c>
      <c r="AE63" s="67" t="n"/>
      <c r="AF63" s="67" t="n"/>
      <c r="AG63" s="67" t="n"/>
      <c r="AH63" s="67" t="n"/>
      <c r="AI63" s="67" t="n"/>
      <c r="AJ63" s="67" t="n"/>
      <c r="AK63" s="67" t="n"/>
      <c r="AL63" s="67" t="n"/>
      <c r="AM63" s="67" t="n"/>
      <c r="AN63" s="67" t="n"/>
      <c r="AO63" s="67" t="n"/>
      <c r="AP63" s="67" t="n"/>
      <c r="AQ63" s="74" t="n"/>
      <c r="AR63" s="20" t="n"/>
      <c r="AS63" s="20" t="n"/>
    </row>
    <row r="64">
      <c r="A64" s="28" t="n">
        <v>40512</v>
      </c>
      <c r="B64" s="112" t="n">
        <v>13483.02</v>
      </c>
      <c r="C64" s="36">
        <f>(B64/B63-1)/(A64-A63)*360</f>
        <v/>
      </c>
      <c r="D64" s="30">
        <f>B64/$B$3*100</f>
        <v/>
      </c>
      <c r="E64" s="30" t="n"/>
      <c r="F64" s="30" t="n"/>
      <c r="AD64" s="66" t="inlineStr">
        <is>
          <t>LIQUIDEZ RESERVA DÓLAR</t>
        </is>
      </c>
      <c r="AE64" s="67" t="n"/>
      <c r="AF64" s="67" t="n"/>
      <c r="AG64" s="67" t="n"/>
      <c r="AH64" s="67" t="n"/>
      <c r="AI64" s="67" t="n"/>
      <c r="AJ64" s="67" t="n"/>
      <c r="AK64" s="67" t="n"/>
      <c r="AL64" s="67" t="n"/>
      <c r="AM64" s="67" t="n"/>
      <c r="AN64" s="67" t="n"/>
      <c r="AO64" s="67" t="n"/>
      <c r="AP64" s="67" t="n"/>
      <c r="AQ64" s="68" t="n"/>
      <c r="AR64" s="20" t="n"/>
      <c r="AS64" s="51" t="n"/>
    </row>
    <row r="65">
      <c r="A65" s="28" t="n">
        <v>40543</v>
      </c>
      <c r="B65" s="112" t="n">
        <v>13522.93</v>
      </c>
      <c r="C65" s="36">
        <f>(B65/B64-1)/(A65-A64)*360</f>
        <v/>
      </c>
      <c r="D65" s="30">
        <f>B65/$B$3*100</f>
        <v/>
      </c>
      <c r="E65" s="30" t="n"/>
      <c r="F65" s="30" t="n"/>
      <c r="AC65" s="105" t="n">
        <v>2020</v>
      </c>
      <c r="AD65" s="66" t="inlineStr">
        <is>
          <t>Competencia</t>
        </is>
      </c>
      <c r="AE65" s="67" t="n"/>
      <c r="AF65" s="67" t="n"/>
      <c r="AG65" s="67" t="n"/>
      <c r="AH65" s="67" t="n"/>
      <c r="AI65" s="67" t="n"/>
      <c r="AJ65" s="67" t="n"/>
      <c r="AK65" s="67" t="n"/>
      <c r="AL65" s="67" t="n"/>
      <c r="AM65" s="67" t="n"/>
      <c r="AN65" s="67" t="n"/>
      <c r="AO65" s="67" t="n"/>
      <c r="AP65" s="67" t="n"/>
      <c r="AQ65" s="74" t="n"/>
      <c r="AR65" s="20" t="n"/>
      <c r="AS65" s="51" t="n"/>
      <c r="AW65" s="108" t="n"/>
      <c r="AX65" s="108" t="n"/>
      <c r="AY65" s="108" t="n"/>
      <c r="AZ65" s="108" t="n"/>
      <c r="BA65" s="108" t="n"/>
      <c r="BB65" s="108" t="n"/>
    </row>
    <row r="66">
      <c r="A66" s="28" t="n">
        <v>40574</v>
      </c>
      <c r="B66" s="112" t="n">
        <v>13557.12</v>
      </c>
      <c r="C66" s="36">
        <f>(B66/B65-1)/(A66-A65)*360</f>
        <v/>
      </c>
      <c r="D66" s="30">
        <f>B66/$B$3*100</f>
        <v/>
      </c>
      <c r="E66" s="30" t="n"/>
      <c r="F66" s="30" t="n"/>
      <c r="AD66" s="66" t="inlineStr">
        <is>
          <t>LIQUIDEZ RESERVA DÓLAR</t>
        </is>
      </c>
      <c r="AE66" s="67" t="n"/>
      <c r="AF66" s="67" t="n"/>
      <c r="AG66" s="67" t="n"/>
      <c r="AH66" s="67" t="n"/>
      <c r="AI66" s="67" t="n"/>
      <c r="AJ66" s="67" t="n"/>
      <c r="AK66" s="67" t="n"/>
      <c r="AL66" s="67" t="n"/>
      <c r="AM66" s="67" t="n"/>
      <c r="AN66" s="67" t="n"/>
      <c r="AO66" s="67" t="n"/>
      <c r="AP66" s="67" t="n"/>
      <c r="AQ66" s="68" t="n"/>
      <c r="AR66" s="58" t="n"/>
      <c r="AS66" s="51" t="n"/>
      <c r="AV66" s="108" t="n"/>
      <c r="AW66" s="108" t="n"/>
      <c r="AX66" s="108" t="n"/>
      <c r="AY66" s="108" t="n"/>
      <c r="AZ66" s="108" t="n"/>
      <c r="BA66" s="108" t="n"/>
      <c r="BB66" s="108" t="n"/>
    </row>
    <row r="67" customFormat="1" s="108">
      <c r="A67" s="28" t="n">
        <v>40602</v>
      </c>
      <c r="B67" s="112" t="n">
        <v>13592.3</v>
      </c>
      <c r="C67" s="36">
        <f>(B67/B66-1)/(A67-A66)*360</f>
        <v/>
      </c>
      <c r="D67" s="30">
        <f>B67/$B$3*100</f>
        <v/>
      </c>
      <c r="E67" s="30" t="n"/>
      <c r="F67" s="30" t="n"/>
      <c r="I67" s="109" t="n"/>
      <c r="N67" s="14" t="n"/>
      <c r="O67" s="14" t="n"/>
      <c r="P67" s="14" t="n"/>
      <c r="Q67" s="14" t="n"/>
      <c r="R67" s="14" t="n"/>
      <c r="S67" s="14" t="n"/>
      <c r="T67" s="14" t="n"/>
      <c r="U67" s="14" t="n"/>
      <c r="V67" s="14" t="n"/>
      <c r="W67" s="14" t="n"/>
      <c r="X67" s="14" t="n"/>
      <c r="Y67" s="14" t="n"/>
      <c r="Z67" s="14" t="n"/>
      <c r="AA67" s="14" t="n"/>
      <c r="AB67" s="14" t="n"/>
      <c r="AC67" s="14" t="n"/>
      <c r="AD67" s="14" t="inlineStr">
        <is>
          <t>ICP</t>
        </is>
      </c>
      <c r="AE67" s="78" t="n"/>
      <c r="AF67" s="78" t="n"/>
      <c r="AG67" s="78" t="n"/>
      <c r="AH67" s="78" t="n"/>
      <c r="AI67" s="78" t="n"/>
      <c r="AJ67" s="78">
        <f>+AJ17</f>
        <v/>
      </c>
      <c r="AK67" s="78">
        <f>+AK17</f>
        <v/>
      </c>
      <c r="AL67" s="78">
        <f>+AL17</f>
        <v/>
      </c>
      <c r="AM67" s="78">
        <f>+AM17</f>
        <v/>
      </c>
      <c r="AN67" s="78">
        <f>+AN17</f>
        <v/>
      </c>
      <c r="AO67" s="78">
        <f>+AO17</f>
        <v/>
      </c>
      <c r="AP67" s="78">
        <f>+AP17</f>
        <v/>
      </c>
      <c r="AQ67" s="78">
        <f>+AQ17</f>
        <v/>
      </c>
      <c r="AR67" s="58" t="n"/>
      <c r="AS67" s="51" t="n"/>
      <c r="AT67" s="14" t="n"/>
    </row>
    <row r="68" customFormat="1" s="108">
      <c r="A68" s="28" t="n">
        <v>40633</v>
      </c>
      <c r="B68" s="112" t="n">
        <v>13635.91</v>
      </c>
      <c r="C68" s="36">
        <f>(B68/B67-1)/(A68-A67)*360</f>
        <v/>
      </c>
      <c r="D68" s="30">
        <f>B68/$B$3*100</f>
        <v/>
      </c>
      <c r="E68" s="30" t="n"/>
      <c r="F68" s="30" t="n"/>
      <c r="I68" s="109" t="n"/>
      <c r="N68" s="14" t="n"/>
      <c r="O68" s="14" t="n"/>
      <c r="P68" s="14" t="n"/>
      <c r="Q68" s="14" t="n"/>
      <c r="R68" s="14" t="n"/>
      <c r="S68" s="14" t="n"/>
      <c r="T68" s="14" t="n"/>
      <c r="U68" s="14" t="n"/>
      <c r="V68" s="14" t="n"/>
      <c r="W68" s="14" t="n"/>
      <c r="X68" s="14" t="n"/>
      <c r="Y68" s="14" t="n"/>
      <c r="Z68" s="14" t="n"/>
      <c r="AA68" s="14" t="n"/>
      <c r="AB68" s="14" t="n"/>
      <c r="AC68" s="105" t="n">
        <v>2021</v>
      </c>
      <c r="AD68" s="66" t="inlineStr">
        <is>
          <t>Competencia</t>
        </is>
      </c>
      <c r="AE68" s="78" t="n"/>
      <c r="AF68" s="78" t="n"/>
      <c r="AG68" s="78" t="n"/>
      <c r="AH68" s="78" t="n"/>
      <c r="AI68" s="78" t="n"/>
      <c r="AJ68" s="78">
        <f>+AJ44</f>
        <v/>
      </c>
      <c r="AK68" s="78">
        <f>+AK44</f>
        <v/>
      </c>
      <c r="AL68" s="78">
        <f>+AL44</f>
        <v/>
      </c>
      <c r="AM68" s="78">
        <f>+AM44</f>
        <v/>
      </c>
      <c r="AN68" s="78">
        <f>+AN44</f>
        <v/>
      </c>
      <c r="AO68" s="78">
        <f>+AO44</f>
        <v/>
      </c>
      <c r="AP68" s="78">
        <f>+AP44</f>
        <v/>
      </c>
      <c r="AQ68" s="78">
        <f>+AQ44</f>
        <v/>
      </c>
      <c r="AR68" s="58" t="n"/>
      <c r="AS68" s="51" t="n"/>
    </row>
    <row r="69" customFormat="1" s="108">
      <c r="A69" s="28" t="n">
        <v>40662</v>
      </c>
      <c r="B69" s="112" t="n">
        <v>13682.94</v>
      </c>
      <c r="C69" s="36">
        <f>(B69/B68-1)/(A69-A68)*360</f>
        <v/>
      </c>
      <c r="D69" s="30">
        <f>B69/$B$3*100</f>
        <v/>
      </c>
      <c r="E69" s="30" t="n"/>
      <c r="F69" s="30" t="n"/>
      <c r="I69" s="109" t="n"/>
      <c r="N69" s="14" t="n"/>
      <c r="O69" s="14" t="n"/>
      <c r="P69" s="14" t="n"/>
      <c r="Q69" s="14" t="n"/>
      <c r="R69" s="14" t="n"/>
      <c r="S69" s="14" t="n"/>
      <c r="T69" s="14" t="n"/>
      <c r="U69" s="14" t="n"/>
      <c r="V69" s="14" t="n"/>
      <c r="W69" s="14" t="n"/>
      <c r="X69" s="14" t="n"/>
      <c r="Y69" s="14" t="n"/>
      <c r="Z69" s="14" t="n"/>
      <c r="AA69" s="14" t="n"/>
      <c r="AB69" s="14" t="n"/>
      <c r="AD69" s="66" t="inlineStr">
        <is>
          <t>LIQUIDEZ RESERVA DÓLAR</t>
        </is>
      </c>
      <c r="AE69" s="78" t="n"/>
      <c r="AF69" s="78" t="n"/>
      <c r="AG69" s="78" t="n"/>
      <c r="AH69" s="78" t="n"/>
      <c r="AI69" s="78" t="n"/>
      <c r="AJ69" s="78">
        <f>+AJ32</f>
        <v/>
      </c>
      <c r="AK69" s="78">
        <f>+AK32</f>
        <v/>
      </c>
      <c r="AL69" s="78">
        <f>+AL32</f>
        <v/>
      </c>
      <c r="AM69" s="78">
        <f>+AM32</f>
        <v/>
      </c>
      <c r="AN69" s="78">
        <f>+AN32</f>
        <v/>
      </c>
      <c r="AO69" s="78">
        <f>+AO32</f>
        <v/>
      </c>
      <c r="AP69" s="78">
        <f>+AP32</f>
        <v/>
      </c>
      <c r="AQ69" s="78">
        <f>+AQ32</f>
        <v/>
      </c>
      <c r="AR69" s="58" t="n"/>
      <c r="AS69" s="51" t="n"/>
    </row>
    <row r="70" customFormat="1" s="108">
      <c r="A70" s="28" t="n">
        <v>40694</v>
      </c>
      <c r="B70" s="112" t="n">
        <v>13741.06</v>
      </c>
      <c r="C70" s="36">
        <f>(B70/B69-1)/(A70-A69)*360</f>
        <v/>
      </c>
      <c r="D70" s="30">
        <f>B70/$B$3*100</f>
        <v/>
      </c>
      <c r="E70" s="30" t="n"/>
      <c r="F70" s="30" t="n"/>
      <c r="I70" s="109" t="n"/>
      <c r="O70" s="14" t="n"/>
      <c r="P70" s="14" t="n"/>
      <c r="Q70" s="14" t="n"/>
      <c r="R70" s="14" t="n"/>
      <c r="S70" s="14" t="n"/>
      <c r="T70" s="14" t="n"/>
      <c r="U70" s="14" t="n"/>
      <c r="V70" s="14" t="n"/>
      <c r="W70" s="14" t="n"/>
      <c r="X70" s="14" t="n"/>
      <c r="Y70" s="14" t="n"/>
      <c r="Z70" s="14" t="n"/>
      <c r="AA70" s="14" t="n"/>
      <c r="AB70" s="14" t="n"/>
      <c r="AC70" s="14" t="n"/>
      <c r="AD70" s="14" t="inlineStr">
        <is>
          <t>ICP</t>
        </is>
      </c>
      <c r="AE70" s="78">
        <f>+AE18</f>
        <v/>
      </c>
      <c r="AF70" s="78">
        <f>+AF18</f>
        <v/>
      </c>
      <c r="AG70" s="78">
        <f>+AG18</f>
        <v/>
      </c>
      <c r="AH70" s="78">
        <f>+AH18</f>
        <v/>
      </c>
      <c r="AI70" s="78">
        <f>+AI18</f>
        <v/>
      </c>
      <c r="AJ70" s="78">
        <f>+AJ18</f>
        <v/>
      </c>
      <c r="AK70" s="78">
        <f>+AK18</f>
        <v/>
      </c>
      <c r="AL70" s="78">
        <f>+AL18</f>
        <v/>
      </c>
      <c r="AM70" s="78">
        <f>+AM18</f>
        <v/>
      </c>
      <c r="AN70" s="78">
        <f>+AN18</f>
        <v/>
      </c>
      <c r="AO70" s="78">
        <f>+AO18</f>
        <v/>
      </c>
      <c r="AP70" s="78">
        <f>+AP18</f>
        <v/>
      </c>
      <c r="AQ70" s="78">
        <f>+AQ18</f>
        <v/>
      </c>
      <c r="AR70" s="58" t="n"/>
      <c r="AS70" s="51" t="n"/>
    </row>
    <row r="71" customFormat="1" s="108">
      <c r="A71" s="28" t="n">
        <v>40724</v>
      </c>
      <c r="B71" s="112" t="n">
        <v>13799.74</v>
      </c>
      <c r="C71" s="36">
        <f>(B71/B70-1)/(A71-A70)*360</f>
        <v/>
      </c>
      <c r="D71" s="30">
        <f>B71/$B$3*100</f>
        <v/>
      </c>
      <c r="E71" s="30" t="n"/>
      <c r="F71" s="30" t="n"/>
      <c r="I71" s="109" t="n"/>
      <c r="O71" s="14" t="n"/>
      <c r="P71" s="14" t="n"/>
      <c r="Q71" s="14" t="n"/>
      <c r="R71" s="14" t="n"/>
      <c r="S71" s="14" t="n"/>
      <c r="T71" s="14" t="n"/>
      <c r="U71" s="14" t="n"/>
      <c r="V71" s="14" t="n"/>
      <c r="W71" s="14" t="n"/>
      <c r="X71" s="14" t="n"/>
      <c r="Y71" s="14" t="n"/>
      <c r="Z71" s="14" t="n"/>
      <c r="AA71" s="14" t="n"/>
      <c r="AB71" s="14" t="n"/>
      <c r="AC71" s="105" t="n">
        <v>2022</v>
      </c>
      <c r="AD71" s="66" t="inlineStr">
        <is>
          <t>Competencia</t>
        </is>
      </c>
      <c r="AE71" s="78">
        <f>+AE45</f>
        <v/>
      </c>
      <c r="AF71" s="78">
        <f>+AF45</f>
        <v/>
      </c>
      <c r="AG71" s="78">
        <f>+AG45</f>
        <v/>
      </c>
      <c r="AH71" s="78">
        <f>+AH45</f>
        <v/>
      </c>
      <c r="AI71" s="78">
        <f>+AI45</f>
        <v/>
      </c>
      <c r="AJ71" s="78">
        <f>+AJ45</f>
        <v/>
      </c>
      <c r="AK71" s="78">
        <f>+AK45</f>
        <v/>
      </c>
      <c r="AL71" s="78">
        <f>+AL45</f>
        <v/>
      </c>
      <c r="AM71" s="78">
        <f>+AM45</f>
        <v/>
      </c>
      <c r="AN71" s="78">
        <f>+AN45</f>
        <v/>
      </c>
      <c r="AO71" s="78">
        <f>+AO45</f>
        <v/>
      </c>
      <c r="AP71" s="78">
        <f>+AP45</f>
        <v/>
      </c>
      <c r="AQ71" s="78">
        <f>+AQ45</f>
        <v/>
      </c>
      <c r="AR71" s="58" t="inlineStr">
        <is>
          <t>(*)</t>
        </is>
      </c>
      <c r="AS71" s="20" t="n"/>
    </row>
    <row r="72" customFormat="1" s="108">
      <c r="A72" s="28" t="n">
        <v>40753</v>
      </c>
      <c r="B72" s="112" t="n">
        <v>13858.14</v>
      </c>
      <c r="C72" s="36">
        <f>(B72/B71-1)/(A72-A71)*360</f>
        <v/>
      </c>
      <c r="D72" s="30">
        <f>B72/$B$3*100</f>
        <v/>
      </c>
      <c r="E72" s="30" t="n"/>
      <c r="F72" s="30" t="n"/>
      <c r="I72" s="109" t="n"/>
      <c r="O72" s="14" t="n"/>
      <c r="P72" s="14" t="n"/>
      <c r="Q72" s="14" t="n"/>
      <c r="R72" s="14" t="n"/>
      <c r="S72" s="14" t="n"/>
      <c r="T72" s="14" t="n"/>
      <c r="U72" s="14" t="n"/>
      <c r="V72" s="14" t="n"/>
      <c r="W72" s="14" t="n"/>
      <c r="X72" s="14" t="n"/>
      <c r="Y72" s="14" t="n"/>
      <c r="Z72" s="14" t="n"/>
      <c r="AA72" s="14" t="n"/>
      <c r="AB72" s="14" t="n"/>
      <c r="AD72" s="66" t="inlineStr">
        <is>
          <t>LIQUIDEZ RESERVA DÓLAR</t>
        </is>
      </c>
      <c r="AE72" s="78">
        <f>+AE33</f>
        <v/>
      </c>
      <c r="AF72" s="78">
        <f>+AF33</f>
        <v/>
      </c>
      <c r="AG72" s="78">
        <f>+AG33</f>
        <v/>
      </c>
      <c r="AH72" s="78">
        <f>+AH33</f>
        <v/>
      </c>
      <c r="AI72" s="78">
        <f>+AI33</f>
        <v/>
      </c>
      <c r="AJ72" s="78">
        <f>+AJ33</f>
        <v/>
      </c>
      <c r="AK72" s="78">
        <f>+AK33</f>
        <v/>
      </c>
      <c r="AL72" s="78">
        <f>+AL33</f>
        <v/>
      </c>
      <c r="AM72" s="78">
        <f>+AM33</f>
        <v/>
      </c>
      <c r="AN72" s="78">
        <f>+AN33</f>
        <v/>
      </c>
      <c r="AO72" s="78">
        <f>+AO33</f>
        <v/>
      </c>
      <c r="AP72" s="78">
        <f>+AP33</f>
        <v/>
      </c>
      <c r="AQ72" s="78">
        <f>+AQ33</f>
        <v/>
      </c>
      <c r="AR72" s="58" t="n"/>
      <c r="AS72" s="20" t="n"/>
    </row>
    <row r="73" customFormat="1" s="108">
      <c r="A73" s="28" t="n">
        <v>40786</v>
      </c>
      <c r="B73" s="112" t="n">
        <v>13925.03</v>
      </c>
      <c r="C73" s="36">
        <f>(B73/B72-1)/(A73-A72)*360</f>
        <v/>
      </c>
      <c r="D73" s="30">
        <f>B73/$B$3*100</f>
        <v/>
      </c>
      <c r="E73" s="30" t="n"/>
      <c r="F73" s="30" t="n"/>
      <c r="I73" s="109" t="n"/>
      <c r="O73" s="14" t="n"/>
      <c r="P73" s="14" t="n"/>
      <c r="Q73" s="14" t="n"/>
      <c r="R73" s="14" t="n"/>
      <c r="S73" s="14" t="n"/>
      <c r="T73" s="14" t="n"/>
      <c r="U73" s="14" t="n"/>
      <c r="V73" s="14" t="n"/>
      <c r="W73" s="14" t="n"/>
      <c r="X73" s="14" t="n"/>
      <c r="Y73" s="14" t="n"/>
      <c r="Z73" s="14" t="n"/>
      <c r="AA73" s="14" t="n"/>
      <c r="AB73" s="14" t="n"/>
      <c r="AC73" s="14" t="n"/>
      <c r="AD73" s="14" t="inlineStr">
        <is>
          <t>ICP</t>
        </is>
      </c>
      <c r="AE73" s="78">
        <f>+AE24</f>
        <v/>
      </c>
      <c r="AF73" s="78">
        <f>+AF24</f>
        <v/>
      </c>
      <c r="AG73" s="78">
        <f>+AG24</f>
        <v/>
      </c>
      <c r="AH73" s="78">
        <f>+AH24</f>
        <v/>
      </c>
      <c r="AI73" s="78">
        <f>+AI24</f>
        <v/>
      </c>
      <c r="AJ73" s="78">
        <f>+AJ24</f>
        <v/>
      </c>
      <c r="AK73" s="78">
        <f>+AK24</f>
        <v/>
      </c>
      <c r="AL73" s="78">
        <f>+AL24</f>
        <v/>
      </c>
      <c r="AM73" s="78">
        <f>+AM24</f>
        <v/>
      </c>
      <c r="AN73" s="78">
        <f>+AN24</f>
        <v/>
      </c>
      <c r="AO73" s="78">
        <f>+AO24</f>
        <v/>
      </c>
      <c r="AP73" s="78">
        <f>+AP24</f>
        <v/>
      </c>
      <c r="AQ73" s="78">
        <f>+AQ24</f>
        <v/>
      </c>
      <c r="AR73" s="20" t="n"/>
      <c r="AS73" s="14" t="n"/>
    </row>
    <row r="74" customFormat="1" s="108">
      <c r="A74" s="28" t="n">
        <v>40816</v>
      </c>
      <c r="B74" s="112" t="n">
        <v>13985.97</v>
      </c>
      <c r="C74" s="36">
        <f>(B74/B73-1)/(A74-A73)*360</f>
        <v/>
      </c>
      <c r="D74" s="30">
        <f>B74/$B$3*100</f>
        <v/>
      </c>
      <c r="E74" s="30" t="n"/>
      <c r="F74" s="30" t="n"/>
      <c r="I74" s="109" t="n"/>
      <c r="O74" s="14" t="n"/>
      <c r="P74" s="14" t="n"/>
      <c r="Q74" s="14" t="n"/>
      <c r="R74" s="14" t="n"/>
      <c r="S74" s="14" t="n"/>
      <c r="T74" s="14" t="n"/>
      <c r="U74" s="14" t="n"/>
      <c r="V74" s="14" t="n"/>
      <c r="W74" s="14" t="n"/>
      <c r="X74" s="14" t="n"/>
      <c r="Y74" s="14" t="n"/>
      <c r="Z74" s="14" t="n"/>
      <c r="AA74" s="14" t="n"/>
      <c r="AC74" s="105" t="n">
        <v>2023</v>
      </c>
      <c r="AD74" s="66" t="inlineStr">
        <is>
          <t>Competencia</t>
        </is>
      </c>
      <c r="AE74" s="78">
        <f>+AE46</f>
        <v/>
      </c>
      <c r="AF74" s="78">
        <f>+AF46</f>
        <v/>
      </c>
      <c r="AG74" s="78">
        <f>+AG46</f>
        <v/>
      </c>
      <c r="AH74" s="78">
        <f>+AH46</f>
        <v/>
      </c>
      <c r="AI74" s="78">
        <f>+AI46</f>
        <v/>
      </c>
      <c r="AJ74" s="78">
        <f>+AJ46</f>
        <v/>
      </c>
      <c r="AK74" s="78">
        <f>+AK46</f>
        <v/>
      </c>
      <c r="AL74" s="78">
        <f>+AL46</f>
        <v/>
      </c>
      <c r="AM74" s="78">
        <f>+AM46</f>
        <v/>
      </c>
      <c r="AN74" s="78">
        <f>+AN46</f>
        <v/>
      </c>
      <c r="AO74" s="78">
        <f>+AO46</f>
        <v/>
      </c>
      <c r="AP74" s="78">
        <f>+AP46</f>
        <v/>
      </c>
      <c r="AQ74" s="78">
        <f>+AQ46</f>
        <v/>
      </c>
      <c r="AR74" s="20" t="n"/>
      <c r="AS74" s="14" t="n"/>
    </row>
    <row r="75" customFormat="1" s="108">
      <c r="A75" s="28" t="n">
        <v>40847</v>
      </c>
      <c r="B75" s="112" t="n">
        <v>14043.21</v>
      </c>
      <c r="C75" s="36">
        <f>(B75/B74-1)/(A75-A74)*360</f>
        <v/>
      </c>
      <c r="D75" s="30">
        <f>B75/$B$3*100</f>
        <v/>
      </c>
      <c r="E75" s="30" t="n"/>
      <c r="F75" s="30" t="n"/>
      <c r="I75" s="109" t="n"/>
      <c r="O75" s="14" t="n"/>
      <c r="P75" s="14" t="n"/>
      <c r="Q75" s="14" t="n"/>
      <c r="R75" s="14" t="n"/>
      <c r="S75" s="14" t="n"/>
      <c r="T75" s="14" t="n"/>
      <c r="U75" s="14" t="n"/>
      <c r="V75" s="14" t="n"/>
      <c r="W75" s="14" t="n"/>
      <c r="X75" s="14" t="n"/>
      <c r="Y75" s="14" t="n"/>
      <c r="Z75" s="14" t="n"/>
      <c r="AA75" s="14" t="n"/>
      <c r="AD75" s="66" t="inlineStr">
        <is>
          <t>LIQUIDEZ RESERVA DÓLAR</t>
        </is>
      </c>
      <c r="AE75" s="78">
        <f>+AE34</f>
        <v/>
      </c>
      <c r="AF75" s="78">
        <f>+AF34</f>
        <v/>
      </c>
      <c r="AG75" s="78">
        <f>+AG34</f>
        <v/>
      </c>
      <c r="AH75" s="78">
        <f>+AH34</f>
        <v/>
      </c>
      <c r="AI75" s="78">
        <f>+AI34</f>
        <v/>
      </c>
      <c r="AJ75" s="78">
        <f>+AJ34</f>
        <v/>
      </c>
      <c r="AK75" s="78">
        <f>+AK34</f>
        <v/>
      </c>
      <c r="AL75" s="78">
        <f>+AL34</f>
        <v/>
      </c>
      <c r="AM75" s="78">
        <f>+AM34</f>
        <v/>
      </c>
      <c r="AN75" s="78">
        <f>+AN34</f>
        <v/>
      </c>
      <c r="AO75" s="78">
        <f>+AO34</f>
        <v/>
      </c>
      <c r="AP75" s="78">
        <f>+AP34</f>
        <v/>
      </c>
      <c r="AQ75" s="78">
        <f>+AQ34</f>
        <v/>
      </c>
      <c r="AR75" s="14" t="n"/>
      <c r="AS75" s="14" t="n"/>
    </row>
    <row r="76" customFormat="1" s="108">
      <c r="A76" s="28" t="n">
        <v>40877</v>
      </c>
      <c r="B76" s="112" t="n">
        <v>14110.87</v>
      </c>
      <c r="C76" s="36">
        <f>(B76/B75-1)/(A76-A75)*360</f>
        <v/>
      </c>
      <c r="D76" s="30">
        <f>B76/$B$3*100</f>
        <v/>
      </c>
      <c r="E76" s="30" t="n"/>
      <c r="F76" s="30" t="n"/>
      <c r="I76" s="109" t="n"/>
      <c r="AC76" s="105" t="n">
        <v>2024</v>
      </c>
      <c r="AD76" s="66" t="inlineStr">
        <is>
          <t>Competencia</t>
        </is>
      </c>
      <c r="AE76" s="78">
        <f>+AE47</f>
        <v/>
      </c>
      <c r="AF76" s="78">
        <f>+AF47</f>
        <v/>
      </c>
      <c r="AG76" s="78">
        <f>+AG47</f>
        <v/>
      </c>
      <c r="AH76" s="78">
        <f>+AH47</f>
        <v/>
      </c>
      <c r="AI76" s="78">
        <f>+AI47</f>
        <v/>
      </c>
      <c r="AJ76" s="78">
        <f>+AJ47</f>
        <v/>
      </c>
      <c r="AK76" s="78">
        <f>+AK47</f>
        <v/>
      </c>
      <c r="AL76" s="78">
        <f>+AL47</f>
        <v/>
      </c>
      <c r="AM76" s="78">
        <f>+AM47</f>
        <v/>
      </c>
      <c r="AN76" s="78">
        <f>+AN47</f>
        <v/>
      </c>
      <c r="AO76" s="78">
        <f>+AO47</f>
        <v/>
      </c>
      <c r="AP76" s="78">
        <f>+AP47</f>
        <v/>
      </c>
      <c r="AQ76" s="78">
        <f>+AQ47</f>
        <v/>
      </c>
      <c r="AR76" s="14" t="n"/>
      <c r="AS76" s="14" t="n"/>
    </row>
    <row r="77" customFormat="1" s="108">
      <c r="A77" s="28" t="n">
        <v>40907</v>
      </c>
      <c r="B77" s="112" t="n">
        <v>14172.63</v>
      </c>
      <c r="C77" s="36">
        <f>(B77/B76-1)/(A77-A76)*360</f>
        <v/>
      </c>
      <c r="D77" s="30">
        <f>B77/$B$3*100</f>
        <v/>
      </c>
      <c r="E77" s="30" t="n"/>
      <c r="F77" s="30" t="n"/>
      <c r="I77" s="109" t="n"/>
      <c r="AD77" s="66" t="inlineStr">
        <is>
          <t>LIQUIDEZ RESERVA DÓLAR</t>
        </is>
      </c>
      <c r="AE77" s="78">
        <f>+AE35</f>
        <v/>
      </c>
      <c r="AF77" s="78">
        <f>+AF35</f>
        <v/>
      </c>
      <c r="AG77" s="78">
        <f>+AG35</f>
        <v/>
      </c>
      <c r="AH77" s="78">
        <f>+AH35</f>
        <v/>
      </c>
      <c r="AI77" s="78">
        <f>+AI35</f>
        <v/>
      </c>
      <c r="AJ77" s="78">
        <f>+AJ35</f>
        <v/>
      </c>
      <c r="AK77" s="78">
        <f>+AK35</f>
        <v/>
      </c>
      <c r="AL77" s="78">
        <f>+AL35</f>
        <v/>
      </c>
      <c r="AM77" s="78">
        <f>+AM35</f>
        <v/>
      </c>
      <c r="AN77" s="78">
        <f>+AN35</f>
        <v/>
      </c>
      <c r="AO77" s="78">
        <f>+AO35</f>
        <v/>
      </c>
      <c r="AP77" s="78">
        <f>+AP35</f>
        <v/>
      </c>
      <c r="AQ77" s="78">
        <f>+AQ35</f>
        <v/>
      </c>
      <c r="AR77" s="14" t="n"/>
      <c r="AS77" s="14" t="n"/>
    </row>
    <row r="78" customFormat="1" s="108">
      <c r="A78" s="28" t="n">
        <v>40939</v>
      </c>
      <c r="B78" s="112" t="n">
        <v>14236.38</v>
      </c>
      <c r="C78" s="36">
        <f>(B78/B77-1)/(A78-A77)*360</f>
        <v/>
      </c>
      <c r="D78" s="30">
        <f>B78/$B$3*100</f>
        <v/>
      </c>
      <c r="E78" s="30" t="n"/>
      <c r="F78" s="30" t="n"/>
      <c r="I78" s="109" t="n"/>
      <c r="AC78" s="105" t="n">
        <v>2025</v>
      </c>
      <c r="AD78" s="66"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14" t="n"/>
      <c r="AS78" s="14" t="n"/>
    </row>
    <row r="79" customFormat="1" s="108">
      <c r="A79" s="28" t="n">
        <v>40968</v>
      </c>
      <c r="B79" s="112" t="n">
        <v>14293.67</v>
      </c>
      <c r="C79" s="36">
        <f>(B79/B78-1)/(A79-A78)*360</f>
        <v/>
      </c>
      <c r="D79" s="30">
        <f>B79/$B$3*100</f>
        <v/>
      </c>
      <c r="E79" s="30" t="n"/>
      <c r="F79" s="30" t="n"/>
      <c r="I79" s="109" t="n"/>
      <c r="AD79" s="66" t="inlineStr">
        <is>
          <t>LIQUIDEZ RESERVA DÓLAR</t>
        </is>
      </c>
      <c r="AE79" s="78">
        <f>+AE36</f>
        <v/>
      </c>
      <c r="AF79" s="78">
        <f>+AF36</f>
        <v/>
      </c>
      <c r="AG79" s="78">
        <f>+AG36</f>
        <v/>
      </c>
      <c r="AH79" s="78">
        <f>+AH36</f>
        <v/>
      </c>
      <c r="AI79" s="78">
        <f>+AI36</f>
        <v/>
      </c>
      <c r="AJ79" s="78">
        <f>+AJ36</f>
        <v/>
      </c>
      <c r="AK79" s="78">
        <f>+AK36</f>
        <v/>
      </c>
      <c r="AL79" s="78">
        <f>+AL36</f>
        <v/>
      </c>
      <c r="AM79" s="78">
        <f>+AM36</f>
        <v/>
      </c>
      <c r="AN79" s="78">
        <f>+AN36</f>
        <v/>
      </c>
      <c r="AO79" s="78">
        <f>+AO36</f>
        <v/>
      </c>
      <c r="AP79" s="78">
        <f>+AP36</f>
        <v/>
      </c>
      <c r="AQ79" s="78">
        <f>+AQ36</f>
        <v/>
      </c>
      <c r="AR79" s="14" t="n"/>
      <c r="AS79" s="14" t="n"/>
    </row>
    <row r="80" customFormat="1" s="108">
      <c r="A80" s="28" t="n">
        <v>40998</v>
      </c>
      <c r="B80" s="112" t="n">
        <v>14353.34</v>
      </c>
      <c r="C80" s="36">
        <f>(B80/B79-1)/(A80-A79)*360</f>
        <v/>
      </c>
      <c r="D80" s="30">
        <f>B80/$B$3*100</f>
        <v/>
      </c>
      <c r="E80" s="30" t="n"/>
      <c r="F80" s="30" t="n"/>
      <c r="I80" s="109" t="n"/>
      <c r="AC80" s="105" t="n">
        <v>2025</v>
      </c>
      <c r="AD80" s="66" t="inlineStr">
        <is>
          <t>Competencia</t>
        </is>
      </c>
      <c r="AE80" s="78">
        <f>+AE49</f>
        <v/>
      </c>
      <c r="AF80" s="78">
        <f>+AF49</f>
        <v/>
      </c>
      <c r="AG80" s="78">
        <f>+AG49</f>
        <v/>
      </c>
      <c r="AH80" s="78">
        <f>+AH49</f>
        <v/>
      </c>
      <c r="AI80" s="78" t="n"/>
      <c r="AJ80" s="78" t="n"/>
      <c r="AK80" s="78" t="n"/>
      <c r="AL80" s="78" t="n"/>
      <c r="AM80" s="78" t="n"/>
      <c r="AN80" s="78" t="n"/>
      <c r="AO80" s="78" t="n"/>
      <c r="AP80" s="78" t="n"/>
      <c r="AQ80" s="78">
        <f>+AQ49</f>
        <v/>
      </c>
      <c r="AR80" s="14" t="n"/>
      <c r="AS80" s="14" t="n"/>
    </row>
    <row r="81" customFormat="1" s="108">
      <c r="A81" s="28" t="n">
        <v>41029</v>
      </c>
      <c r="B81" s="112" t="n">
        <v>14415.21</v>
      </c>
      <c r="C81" s="36">
        <f>(B81/B80-1)/(A81-A80)*360</f>
        <v/>
      </c>
      <c r="D81" s="30">
        <f>B81/$B$3*100</f>
        <v/>
      </c>
      <c r="E81" s="30" t="n"/>
      <c r="F81" s="30" t="n"/>
      <c r="I81" s="109" t="n"/>
      <c r="AD81" s="66" t="inlineStr">
        <is>
          <t>LIQUIDEZ RESERVA DÓLAR</t>
        </is>
      </c>
      <c r="AE81" s="78">
        <f>+AE37</f>
        <v/>
      </c>
      <c r="AF81" s="78">
        <f>+AF37</f>
        <v/>
      </c>
      <c r="AG81" s="78">
        <f>+AG37</f>
        <v/>
      </c>
      <c r="AH81" s="78">
        <f>+AH37</f>
        <v/>
      </c>
      <c r="AI81" s="78" t="n"/>
      <c r="AJ81" s="78" t="n"/>
      <c r="AK81" s="78" t="n"/>
      <c r="AL81" s="78" t="n"/>
      <c r="AM81" s="78" t="n"/>
      <c r="AN81" s="78" t="n"/>
      <c r="AO81" s="78" t="n"/>
      <c r="AP81" s="78" t="n"/>
      <c r="AQ81" s="78">
        <f>+AQ37</f>
        <v/>
      </c>
      <c r="AR81" s="14" t="n"/>
      <c r="AS81" s="14" t="n"/>
    </row>
    <row r="82" customFormat="1" s="108">
      <c r="A82" s="28" t="n">
        <v>41060</v>
      </c>
      <c r="B82" s="112" t="n">
        <v>14477.55</v>
      </c>
      <c r="C82" s="36">
        <f>(B82/B81-1)/(A82-A81)*360</f>
        <v/>
      </c>
      <c r="D82" s="30">
        <f>B82/$B$3*100</f>
        <v/>
      </c>
      <c r="E82" s="30" t="n"/>
      <c r="F82" s="30" t="n"/>
      <c r="I82" s="109" t="n"/>
      <c r="AD82" s="59" t="n"/>
      <c r="AE82" s="60" t="n"/>
      <c r="AF82" s="60" t="n"/>
      <c r="AG82" s="60" t="n"/>
      <c r="AH82" s="60" t="n"/>
      <c r="AI82" s="60" t="n"/>
      <c r="AJ82" s="60" t="n"/>
      <c r="AK82" s="60" t="n"/>
      <c r="AL82" s="60" t="n"/>
      <c r="AM82" s="60" t="n"/>
      <c r="AN82" s="60" t="n"/>
      <c r="AO82" s="60" t="n"/>
      <c r="AP82" s="60" t="n"/>
      <c r="AQ82" s="60" t="n"/>
      <c r="AR82" s="14" t="n"/>
      <c r="AS82" s="14" t="n"/>
    </row>
    <row r="83" customFormat="1" s="108">
      <c r="A83" s="28" t="n">
        <v>41089</v>
      </c>
      <c r="B83" s="112" t="n">
        <v>14536.13</v>
      </c>
      <c r="C83" s="36">
        <f>(B83/B82-1)/(A83-A82)*360</f>
        <v/>
      </c>
      <c r="D83" s="30">
        <f>B83/$B$3*100</f>
        <v/>
      </c>
      <c r="E83" s="30" t="n"/>
      <c r="F83" s="30" t="n"/>
      <c r="I83" s="109" t="n"/>
      <c r="AC83" s="14" t="n"/>
      <c r="AD83" s="14" t="n"/>
      <c r="AE83" s="14" t="n"/>
      <c r="AF83" s="14" t="n"/>
      <c r="AG83" s="14" t="n"/>
      <c r="AH83" s="14" t="n"/>
      <c r="AI83" s="14" t="n"/>
      <c r="AJ83" s="14" t="n"/>
      <c r="AK83" s="14" t="n"/>
      <c r="AL83" s="14" t="n"/>
      <c r="AM83" s="14" t="n"/>
      <c r="AN83" s="14" t="n"/>
      <c r="AO83" s="14" t="n"/>
      <c r="AP83" s="14" t="n"/>
      <c r="AQ83" s="14" t="n"/>
      <c r="AR83" s="14" t="n"/>
      <c r="AS83" s="14" t="n"/>
    </row>
    <row r="84" customFormat="1" s="108">
      <c r="A84" s="28" t="n">
        <v>41121</v>
      </c>
      <c r="B84" s="112" t="n">
        <v>14600.61</v>
      </c>
      <c r="C84" s="36">
        <f>(B84/B83-1)/(A84-A83)*360</f>
        <v/>
      </c>
      <c r="D84" s="30">
        <f>B84/$B$3*100</f>
        <v/>
      </c>
      <c r="E84" s="30" t="n"/>
      <c r="F84" s="30" t="n"/>
      <c r="I84" s="109" t="n"/>
      <c r="AC84" s="14" t="n"/>
      <c r="AD84" s="14" t="n"/>
      <c r="AE84" s="14" t="n"/>
      <c r="AF84" s="14" t="n"/>
      <c r="AG84" s="14" t="n"/>
      <c r="AH84" s="14" t="n"/>
      <c r="AI84" s="14" t="n"/>
      <c r="AJ84" s="14" t="n"/>
      <c r="AK84" s="14" t="n"/>
      <c r="AL84" s="14" t="n"/>
      <c r="AM84" s="14" t="n"/>
      <c r="AN84" s="14" t="n"/>
      <c r="AO84" s="14" t="n"/>
      <c r="AP84" s="14" t="n"/>
      <c r="AQ84" s="14" t="n"/>
      <c r="AR84" s="14" t="n"/>
      <c r="AS84" s="14" t="n"/>
    </row>
    <row r="85" customFormat="1" s="108">
      <c r="A85" s="28" t="n">
        <v>41152</v>
      </c>
      <c r="B85" s="112" t="n">
        <v>14663.33</v>
      </c>
      <c r="C85" s="36">
        <f>(B85/B84-1)/(A85-A84)*360</f>
        <v/>
      </c>
      <c r="D85" s="30">
        <f>B85/$B$3*100</f>
        <v/>
      </c>
      <c r="E85" s="30" t="n"/>
      <c r="F85" s="30" t="n"/>
      <c r="I85" s="109" t="n"/>
      <c r="AC85" s="14" t="n"/>
      <c r="AD85" s="14" t="n"/>
      <c r="AE85" s="14" t="n"/>
      <c r="AF85" s="14" t="n"/>
      <c r="AG85" s="14" t="n"/>
      <c r="AH85" s="14" t="n"/>
      <c r="AI85" s="14" t="n"/>
      <c r="AJ85" s="14" t="n"/>
      <c r="AK85" s="14" t="n"/>
      <c r="AL85" s="14" t="n"/>
      <c r="AM85" s="14" t="n"/>
      <c r="AN85" s="14" t="n"/>
      <c r="AO85" s="14" t="n"/>
      <c r="AP85" s="14" t="n"/>
      <c r="AQ85" s="14" t="n"/>
      <c r="AR85" s="14" t="n"/>
      <c r="AS85" s="14" t="n"/>
    </row>
    <row r="86" customFormat="1" s="108">
      <c r="A86" s="28" t="n">
        <v>41180</v>
      </c>
      <c r="B86" s="112" t="n">
        <v>14720.68</v>
      </c>
      <c r="C86" s="36">
        <f>(B86/B85-1)/(A86-A85)*360</f>
        <v/>
      </c>
      <c r="D86" s="30">
        <f>B86/$B$3*100</f>
        <v/>
      </c>
      <c r="E86" s="30" t="n"/>
      <c r="F86" s="30" t="n"/>
      <c r="I86" s="109" t="n"/>
      <c r="AC86" s="14" t="n"/>
      <c r="AG86" s="14" t="n"/>
      <c r="AH86" s="14" t="n"/>
      <c r="AI86" s="14" t="n"/>
      <c r="AJ86" s="14" t="n"/>
      <c r="AK86" s="14" t="n"/>
      <c r="AL86" s="14" t="n"/>
      <c r="AM86" s="14" t="n"/>
      <c r="AN86" s="14" t="n"/>
      <c r="AO86" s="14" t="n"/>
      <c r="AP86" s="14" t="n"/>
      <c r="AQ86" s="14" t="n"/>
      <c r="AR86" s="14" t="n"/>
      <c r="AS86" s="14" t="n"/>
    </row>
    <row r="87" customFormat="1" s="108">
      <c r="A87" s="28" t="n">
        <v>41213</v>
      </c>
      <c r="B87" s="112" t="n">
        <v>14788.56</v>
      </c>
      <c r="C87" s="36">
        <f>(B87/B86-1)/(A87-A86)*360</f>
        <v/>
      </c>
      <c r="D87" s="30">
        <f>B87/$B$3*100</f>
        <v/>
      </c>
      <c r="E87" s="30" t="n"/>
      <c r="F87" s="30" t="n"/>
      <c r="I87" s="109" t="n"/>
      <c r="AC87" s="37" t="inlineStr">
        <is>
          <t>(*) Acum a Mar</t>
        </is>
      </c>
      <c r="AG87" s="14" t="n"/>
      <c r="AH87" s="14" t="n"/>
      <c r="AI87" s="14" t="n"/>
      <c r="AJ87" s="14" t="n"/>
      <c r="AK87" s="14" t="n"/>
      <c r="AL87" s="14" t="n"/>
      <c r="AM87" s="14" t="n"/>
      <c r="AN87" s="14" t="n"/>
      <c r="AO87" s="14" t="n"/>
      <c r="AP87" s="14" t="n"/>
      <c r="AQ87" s="14" t="n"/>
      <c r="AR87" s="14" t="n"/>
      <c r="AS87" s="14" t="n"/>
    </row>
    <row r="88" customFormat="1" s="108">
      <c r="A88" s="28" t="n">
        <v>41243</v>
      </c>
      <c r="B88" s="112" t="n">
        <v>14850.38</v>
      </c>
      <c r="C88" s="36">
        <f>(B88/B87-1)/(A88-A87)*360</f>
        <v/>
      </c>
      <c r="D88" s="30">
        <f>B88/$B$3*100</f>
        <v/>
      </c>
      <c r="E88" s="30" t="n"/>
      <c r="F88" s="30" t="n"/>
      <c r="I88" s="109" t="n"/>
      <c r="AC88" s="14" t="n"/>
      <c r="AG88" s="14" t="n"/>
      <c r="AH88" s="14" t="n"/>
      <c r="AI88" s="14" t="n"/>
      <c r="AJ88" s="14" t="n"/>
      <c r="AK88" s="14" t="n"/>
      <c r="AL88" s="14" t="n"/>
      <c r="AM88" s="14" t="n"/>
      <c r="AN88" s="14" t="n"/>
      <c r="AO88" s="14" t="n"/>
      <c r="AP88" s="14" t="n"/>
      <c r="AQ88" s="14" t="n"/>
    </row>
    <row r="89" customFormat="1" s="108">
      <c r="A89" s="28" t="n">
        <v>41274</v>
      </c>
      <c r="B89" s="112" t="n">
        <v>14908.2</v>
      </c>
      <c r="C89" s="36">
        <f>(B89/B88-1)/(A89-A88)*360</f>
        <v/>
      </c>
      <c r="D89" s="30">
        <f>B89/$B$3*100</f>
        <v/>
      </c>
      <c r="E89" s="30" t="n"/>
      <c r="F89" s="30" t="n"/>
      <c r="I89" s="109" t="n"/>
      <c r="AC89" s="14" t="n"/>
      <c r="AG89" s="14" t="n"/>
      <c r="AH89" s="14" t="n"/>
      <c r="AI89" s="14" t="n"/>
      <c r="AJ89" s="14" t="n"/>
      <c r="AK89" s="14" t="n"/>
      <c r="AL89" s="14" t="n"/>
      <c r="AM89" s="14" t="n"/>
      <c r="AN89" s="14" t="n"/>
      <c r="AO89" s="14" t="n"/>
      <c r="AP89" s="14" t="n"/>
      <c r="AQ89" s="14" t="n"/>
    </row>
    <row r="90" customFormat="1" s="108">
      <c r="A90" s="28" t="n">
        <v>41305</v>
      </c>
      <c r="B90" s="112" t="n">
        <v>14978.58</v>
      </c>
      <c r="C90" s="36">
        <f>(B90/B89-1)/(A90-A89)*360</f>
        <v/>
      </c>
      <c r="D90" s="30">
        <f>B90/$B$3*100</f>
        <v/>
      </c>
      <c r="E90" s="30" t="n"/>
      <c r="F90" s="30" t="n"/>
      <c r="I90" s="109" t="n"/>
      <c r="AC90" s="14" t="n"/>
      <c r="AG90" s="14" t="n"/>
      <c r="AH90" s="14" t="n"/>
      <c r="AI90" s="14" t="n"/>
      <c r="AJ90" s="14" t="n"/>
      <c r="AK90" s="14" t="n"/>
      <c r="AL90" s="14" t="n"/>
      <c r="AM90" s="14" t="n"/>
      <c r="AN90" s="14" t="n"/>
      <c r="AO90" s="14" t="n"/>
      <c r="AP90" s="14" t="n"/>
      <c r="AQ90" s="14" t="n"/>
    </row>
    <row r="91" customFormat="1" s="108">
      <c r="A91" s="28" t="n">
        <v>41333</v>
      </c>
      <c r="B91" s="112" t="n">
        <v>15036.94</v>
      </c>
      <c r="C91" s="36">
        <f>(B91/B90-1)/(A91-A90)*360</f>
        <v/>
      </c>
      <c r="D91" s="30">
        <f>B91/$B$3*100</f>
        <v/>
      </c>
      <c r="E91" s="30" t="n"/>
      <c r="F91" s="30" t="n"/>
      <c r="I91" s="109" t="n"/>
      <c r="AC91" s="14" t="n"/>
      <c r="AG91" s="14" t="n"/>
      <c r="AH91" s="14" t="n"/>
      <c r="AI91" s="14" t="n"/>
      <c r="AJ91" s="14" t="n"/>
      <c r="AK91" s="14" t="n"/>
      <c r="AL91" s="14" t="n"/>
      <c r="AM91" s="14" t="n"/>
      <c r="AN91" s="14" t="n"/>
      <c r="AO91" s="14" t="n"/>
      <c r="AP91" s="14" t="n"/>
      <c r="AQ91" s="14" t="n"/>
    </row>
    <row r="92" customFormat="1" s="108">
      <c r="A92" s="28" t="n">
        <v>41362</v>
      </c>
      <c r="B92" s="112" t="n">
        <v>15095.51</v>
      </c>
      <c r="C92" s="36">
        <f>(B92/B91-1)/(A92-A91)*360</f>
        <v/>
      </c>
      <c r="D92" s="30">
        <f>B92/$B$3*100</f>
        <v/>
      </c>
      <c r="E92" s="30" t="n"/>
      <c r="F92" s="30" t="n"/>
      <c r="I92" s="109" t="n"/>
      <c r="AC92" s="14" t="n"/>
      <c r="AG92" s="14" t="n"/>
      <c r="AH92" s="14" t="n"/>
      <c r="AI92" s="14" t="n"/>
      <c r="AJ92" s="14" t="n"/>
      <c r="AK92" s="14" t="n"/>
      <c r="AL92" s="14" t="n"/>
      <c r="AM92" s="14" t="n"/>
      <c r="AN92" s="14" t="n"/>
      <c r="AO92" s="14" t="n"/>
      <c r="AP92" s="14" t="n"/>
      <c r="AQ92" s="14" t="n"/>
    </row>
    <row r="93" customFormat="1" s="108">
      <c r="A93" s="28" t="n">
        <v>41394</v>
      </c>
      <c r="B93" s="112" t="n">
        <v>15164.77</v>
      </c>
      <c r="C93" s="36">
        <f>(B93/B92-1)/(A93-A92)*360</f>
        <v/>
      </c>
      <c r="D93" s="30">
        <f>B93/$B$3*100</f>
        <v/>
      </c>
      <c r="E93" s="30" t="n"/>
      <c r="F93" s="30" t="n"/>
      <c r="I93" s="109" t="n"/>
      <c r="AC93" s="14" t="n"/>
      <c r="AG93" s="14" t="n"/>
      <c r="AH93" s="14" t="n"/>
      <c r="AI93" s="14" t="n"/>
      <c r="AJ93" s="14" t="n"/>
      <c r="AK93" s="14" t="n"/>
      <c r="AL93" s="14" t="n"/>
      <c r="AM93" s="14" t="n"/>
      <c r="AN93" s="14" t="n"/>
      <c r="AO93" s="14" t="n"/>
      <c r="AP93" s="14" t="n"/>
      <c r="AQ93" s="14" t="n"/>
    </row>
    <row r="94" customFormat="1" s="108">
      <c r="A94" s="28" t="n">
        <v>41425</v>
      </c>
      <c r="B94" s="112" t="n">
        <v>15230.38</v>
      </c>
      <c r="C94" s="36">
        <f>(B94/B93-1)/(A94-A93)*360</f>
        <v/>
      </c>
      <c r="D94" s="30">
        <f>B94/$B$3*100</f>
        <v/>
      </c>
      <c r="E94" s="30" t="n"/>
      <c r="F94" s="30" t="n"/>
      <c r="I94" s="109" t="n"/>
      <c r="AC94" s="14" t="n"/>
      <c r="AD94" s="28" t="n">
        <v>42886</v>
      </c>
      <c r="AE94" s="70" t="n"/>
      <c r="AF94" s="70" t="n"/>
      <c r="AG94" s="14" t="n"/>
      <c r="AH94" s="14" t="n"/>
      <c r="AI94" s="14" t="n"/>
      <c r="AJ94" s="14" t="n"/>
      <c r="AK94" s="14" t="n"/>
      <c r="AL94" s="14" t="n"/>
      <c r="AM94" s="14" t="n"/>
      <c r="AN94" s="14" t="n"/>
      <c r="AO94" s="14" t="n"/>
      <c r="AP94" s="14" t="n"/>
      <c r="AQ94" s="14" t="n"/>
    </row>
    <row r="95" customFormat="1" s="108">
      <c r="A95" s="28" t="n">
        <v>41453</v>
      </c>
      <c r="B95" s="112" t="n">
        <v>15289.74</v>
      </c>
      <c r="C95" s="36">
        <f>(B95/B94-1)/(A95-A94)*360</f>
        <v/>
      </c>
      <c r="D95" s="30">
        <f>B95/$B$3*100</f>
        <v/>
      </c>
      <c r="E95" s="30" t="n"/>
      <c r="F95" s="30" t="n"/>
      <c r="I95" s="109" t="n"/>
      <c r="AC95" s="14" t="n"/>
      <c r="AD95" s="28" t="n">
        <v>42916</v>
      </c>
      <c r="AE95" s="70" t="n"/>
      <c r="AF95" s="70" t="n"/>
      <c r="AG95" s="14" t="n"/>
      <c r="AH95" s="14" t="n"/>
      <c r="AI95" s="14" t="n"/>
      <c r="AJ95" s="14" t="n"/>
      <c r="AK95" s="14" t="n"/>
      <c r="AL95" s="14" t="n"/>
      <c r="AM95" s="14" t="n"/>
      <c r="AN95" s="14" t="n"/>
      <c r="AO95" s="14" t="n"/>
      <c r="AP95" s="14" t="n"/>
      <c r="AQ95" s="14" t="n"/>
    </row>
    <row r="96" customFormat="1" s="108">
      <c r="A96" s="28" t="n">
        <v>41486</v>
      </c>
      <c r="B96" s="112" t="n">
        <v>15360.27</v>
      </c>
      <c r="C96" s="36">
        <f>(B96/B95-1)/(A96-A95)*360</f>
        <v/>
      </c>
      <c r="D96" s="30">
        <f>B96/$B$3*100</f>
        <v/>
      </c>
      <c r="E96" s="30" t="n"/>
      <c r="F96" s="30" t="n"/>
      <c r="I96" s="109" t="n"/>
      <c r="AC96" s="14" t="n"/>
      <c r="AD96" s="28" t="n">
        <v>42947</v>
      </c>
      <c r="AE96" s="70" t="n"/>
      <c r="AF96" s="70" t="n"/>
      <c r="AG96" s="14" t="n"/>
      <c r="AH96" s="14" t="n"/>
      <c r="AI96" s="14" t="n"/>
      <c r="AJ96" s="14" t="n"/>
      <c r="AK96" s="14" t="n"/>
      <c r="AL96" s="14" t="n"/>
      <c r="AM96" s="14" t="n"/>
      <c r="AN96" s="14" t="n"/>
      <c r="AO96" s="14" t="n"/>
      <c r="AP96" s="14" t="n"/>
      <c r="AQ96" s="14" t="n"/>
    </row>
    <row r="97" customFormat="1" s="108">
      <c r="A97" s="28" t="n">
        <v>41516</v>
      </c>
      <c r="B97" s="112" t="n">
        <v>15424.43</v>
      </c>
      <c r="C97" s="36">
        <f>(B97/B96-1)/(A97-A96)*360</f>
        <v/>
      </c>
      <c r="D97" s="30">
        <f>B97/$B$3*100</f>
        <v/>
      </c>
      <c r="E97" s="30" t="n"/>
      <c r="F97" s="30" t="n"/>
      <c r="I97" s="109" t="n"/>
      <c r="AC97" s="14" t="n"/>
      <c r="AD97" s="28" t="n">
        <v>42978</v>
      </c>
      <c r="AE97" s="70" t="n"/>
      <c r="AF97" s="70" t="n"/>
      <c r="AG97" s="14" t="n"/>
      <c r="AH97" s="14" t="n"/>
      <c r="AI97" s="14" t="n"/>
      <c r="AJ97" s="14" t="n"/>
      <c r="AK97" s="14" t="n"/>
      <c r="AL97" s="14" t="n"/>
      <c r="AM97" s="14" t="n"/>
      <c r="AN97" s="14" t="n"/>
      <c r="AO97" s="14" t="n"/>
      <c r="AP97" s="14" t="n"/>
      <c r="AQ97" s="14" t="n"/>
    </row>
    <row r="98" customFormat="1" s="108">
      <c r="A98" s="28" t="n">
        <v>41547</v>
      </c>
      <c r="B98" s="112" t="n">
        <v>15490.99</v>
      </c>
      <c r="C98" s="36">
        <f>(B98/B97-1)/(A98-A97)*360</f>
        <v/>
      </c>
      <c r="D98" s="30">
        <f>B98/$B$3*100</f>
        <v/>
      </c>
      <c r="E98" s="30" t="n"/>
      <c r="F98" s="30" t="n"/>
      <c r="I98" s="109" t="n"/>
      <c r="AC98" s="14" t="n"/>
      <c r="AD98" s="28" t="n">
        <v>43008</v>
      </c>
      <c r="AE98" s="70" t="n"/>
      <c r="AF98" s="70" t="n"/>
      <c r="AG98" s="14" t="n"/>
      <c r="AH98" s="14" t="n"/>
      <c r="AI98" s="14" t="n"/>
      <c r="AJ98" s="14" t="n"/>
      <c r="AK98" s="14" t="n"/>
      <c r="AL98" s="14" t="n"/>
      <c r="AM98" s="14" t="n"/>
      <c r="AN98" s="14" t="n"/>
      <c r="AO98" s="14" t="n"/>
      <c r="AP98" s="14" t="n"/>
      <c r="AQ98" s="14" t="n"/>
    </row>
    <row r="99" customFormat="1" s="108">
      <c r="A99" s="28" t="n">
        <v>41578</v>
      </c>
      <c r="B99" s="112" t="n">
        <v>15554.36</v>
      </c>
      <c r="C99" s="36">
        <f>(B99/B98-1)/(A99-A98)*360</f>
        <v/>
      </c>
      <c r="D99" s="30">
        <f>B99/$B$3*100</f>
        <v/>
      </c>
      <c r="E99" s="30" t="n"/>
      <c r="F99" s="30" t="n"/>
      <c r="I99" s="109" t="n"/>
      <c r="AC99" s="14" t="n"/>
      <c r="AD99" s="28" t="n">
        <v>43039</v>
      </c>
      <c r="AE99" s="70" t="n"/>
      <c r="AF99" s="70" t="n"/>
      <c r="AG99" s="14" t="n"/>
      <c r="AH99" s="14" t="n"/>
      <c r="AI99" s="14" t="n"/>
      <c r="AJ99" s="14" t="n"/>
      <c r="AK99" s="14" t="n"/>
      <c r="AL99" s="14" t="n"/>
      <c r="AM99" s="14" t="n"/>
      <c r="AN99" s="14" t="n"/>
      <c r="AO99" s="14" t="n"/>
      <c r="AP99" s="14" t="n"/>
      <c r="AQ99" s="14" t="n"/>
    </row>
    <row r="100" customFormat="1" s="108">
      <c r="A100" s="28" t="n">
        <v>41607</v>
      </c>
      <c r="B100" s="112" t="n">
        <v>15615.06</v>
      </c>
      <c r="C100" s="36">
        <f>(B100/B99-1)/(A100-A99)*360</f>
        <v/>
      </c>
      <c r="D100" s="30">
        <f>B100/$B$3*100</f>
        <v/>
      </c>
      <c r="E100" s="30" t="n"/>
      <c r="F100" s="30" t="n"/>
      <c r="I100" s="109" t="n"/>
      <c r="AD100" s="28" t="n">
        <v>43069</v>
      </c>
      <c r="AE100" s="70" t="n"/>
      <c r="AF100" s="70" t="n"/>
    </row>
    <row r="101" customFormat="1" s="108">
      <c r="A101" s="28" t="n">
        <v>41639</v>
      </c>
      <c r="B101" s="112" t="n">
        <v>15675.68</v>
      </c>
      <c r="C101" s="36">
        <f>(B101/B100-1)/(A101-A100)*360</f>
        <v/>
      </c>
      <c r="D101" s="30">
        <f>B101/$B$3*100</f>
        <v/>
      </c>
      <c r="E101" s="30" t="n"/>
      <c r="F101" s="30" t="n"/>
      <c r="I101" s="109" t="n"/>
      <c r="AD101" s="28" t="n">
        <v>43100</v>
      </c>
      <c r="AE101" s="70" t="n"/>
      <c r="AF101" s="70" t="n"/>
    </row>
    <row r="102" customFormat="1" s="108">
      <c r="A102" s="28" t="n">
        <v>41670</v>
      </c>
      <c r="B102" s="112" t="n">
        <v>15738.45</v>
      </c>
      <c r="C102" s="36">
        <f>(B102/B101-1)/(A102-A101)*360</f>
        <v/>
      </c>
      <c r="D102" s="30">
        <f>B102/$B$3*100</f>
        <v/>
      </c>
      <c r="E102" s="30" t="n"/>
      <c r="F102" s="30" t="n"/>
      <c r="I102" s="109" t="n"/>
      <c r="AD102" s="28" t="n">
        <v>43131</v>
      </c>
      <c r="AE102" s="70" t="n"/>
      <c r="AF102" s="70" t="n">
        <v>0.01096770782007367</v>
      </c>
    </row>
    <row r="103" customFormat="1" s="108">
      <c r="A103" s="28" t="n">
        <v>41698</v>
      </c>
      <c r="B103" s="112" t="n">
        <v>15792.47</v>
      </c>
      <c r="C103" s="36">
        <f>(B103/B102-1)/(A103-A102)*360</f>
        <v/>
      </c>
      <c r="D103" s="30">
        <f>B103/$B$3*100</f>
        <v/>
      </c>
      <c r="E103" s="30" t="n"/>
      <c r="F103" s="30" t="n"/>
      <c r="I103" s="109" t="n"/>
      <c r="AD103" s="28" t="n">
        <v>43159</v>
      </c>
      <c r="AE103" s="70" t="n"/>
      <c r="AF103" s="70" t="n">
        <v>0.01062231324644003</v>
      </c>
    </row>
    <row r="104" customFormat="1" s="108">
      <c r="A104" s="28" t="n">
        <v>41729</v>
      </c>
      <c r="B104" s="112" t="n">
        <v>15848.53</v>
      </c>
      <c r="C104" s="36">
        <f>(B104/B103-1)/(A104-A103)*360</f>
        <v/>
      </c>
      <c r="D104" s="30">
        <f>B104/$B$3*100</f>
        <v/>
      </c>
      <c r="E104" s="30" t="n"/>
      <c r="F104" s="30" t="n"/>
      <c r="I104" s="109" t="n"/>
      <c r="AD104" s="28" t="n">
        <v>43190</v>
      </c>
      <c r="AE104" s="70" t="n"/>
      <c r="AF104" s="70" t="n">
        <v>0.01090269598324102</v>
      </c>
    </row>
    <row r="105" customFormat="1" s="108">
      <c r="A105" s="28" t="n">
        <v>41759</v>
      </c>
      <c r="B105" s="112" t="n">
        <v>15901.43</v>
      </c>
      <c r="C105" s="36">
        <f>(B105/B104-1)/(A105-A104)*360</f>
        <v/>
      </c>
      <c r="D105" s="30">
        <f>B105/$B$3*100</f>
        <v/>
      </c>
      <c r="E105" s="30" t="n"/>
      <c r="F105" s="30" t="n"/>
      <c r="I105" s="109" t="n"/>
      <c r="AD105" s="28" t="n">
        <v>43220</v>
      </c>
      <c r="AE105" s="70" t="n"/>
      <c r="AF105" s="70" t="n">
        <v>0.01228770336832774</v>
      </c>
    </row>
    <row r="106" customFormat="1" s="108">
      <c r="A106" s="28" t="n">
        <v>41789</v>
      </c>
      <c r="B106" s="112" t="n">
        <v>15954.5</v>
      </c>
      <c r="C106" s="36">
        <f>(B106/B105-1)/(A106-A105)*360</f>
        <v/>
      </c>
      <c r="D106" s="30">
        <f>B106/$B$3*100</f>
        <v/>
      </c>
      <c r="E106" s="30" t="n"/>
      <c r="F106" s="30" t="n"/>
      <c r="I106" s="109" t="n"/>
      <c r="AD106" s="28" t="n">
        <v>43251</v>
      </c>
      <c r="AE106" s="70" t="n"/>
      <c r="AF106" s="70" t="n">
        <v>0.01357604949511627</v>
      </c>
    </row>
    <row r="107" customFormat="1" s="108">
      <c r="A107" s="28" t="n">
        <v>41820</v>
      </c>
      <c r="B107" s="112" t="n">
        <v>16009.53</v>
      </c>
      <c r="C107" s="36">
        <f>(B107/B106-1)/(A107-A106)*360</f>
        <v/>
      </c>
      <c r="D107" s="30">
        <f>B107/$B$3*100</f>
        <v/>
      </c>
      <c r="E107" s="30" t="n"/>
      <c r="F107" s="30" t="n"/>
      <c r="I107" s="109" t="n"/>
      <c r="AD107" s="28" t="n">
        <v>43281</v>
      </c>
      <c r="AE107" s="70" t="n"/>
      <c r="AF107" s="70" t="n">
        <v>0.014993145885561</v>
      </c>
    </row>
    <row r="108" customFormat="1" s="108">
      <c r="A108" s="28" t="n">
        <v>41851</v>
      </c>
      <c r="B108" s="112" t="n">
        <v>16063.18</v>
      </c>
      <c r="C108" s="36">
        <f>(B108/B107-1)/(A108-A107)*360</f>
        <v/>
      </c>
      <c r="D108" s="30">
        <f>B108/$B$3*100</f>
        <v/>
      </c>
      <c r="E108" s="30" t="n"/>
      <c r="F108" s="30" t="n"/>
      <c r="I108" s="109" t="n"/>
      <c r="AD108" s="28" t="n">
        <v>43312</v>
      </c>
      <c r="AE108" s="70" t="n"/>
      <c r="AF108" s="70" t="n">
        <v>0.0160176461573164</v>
      </c>
    </row>
    <row r="109" customFormat="1" s="108">
      <c r="A109" s="28" t="n">
        <v>41880</v>
      </c>
      <c r="B109" s="112" t="n">
        <v>16110.55</v>
      </c>
      <c r="C109" s="36">
        <f>(B109/B108-1)/(A109-A108)*360</f>
        <v/>
      </c>
      <c r="D109" s="30">
        <f>B109/$B$3*100</f>
        <v/>
      </c>
      <c r="E109" s="30" t="n"/>
      <c r="F109" s="30" t="n"/>
      <c r="I109" s="109" t="n"/>
      <c r="AD109" s="28" t="n">
        <v>43343</v>
      </c>
      <c r="AE109" s="70" t="n"/>
      <c r="AF109" s="70" t="n">
        <v>0.01577352760119571</v>
      </c>
    </row>
    <row r="110" customFormat="1" s="108">
      <c r="A110" s="28" t="n">
        <v>41912</v>
      </c>
      <c r="B110" s="112" t="n">
        <v>16158.37</v>
      </c>
      <c r="C110" s="36">
        <f>(B110/B109-1)/(A110-A109)*360</f>
        <v/>
      </c>
      <c r="D110" s="30">
        <f>B110/$B$3*100</f>
        <v/>
      </c>
      <c r="E110" s="30" t="n"/>
      <c r="F110" s="30" t="n"/>
      <c r="I110" s="109" t="n"/>
      <c r="AD110" s="28" t="n">
        <v>43373</v>
      </c>
      <c r="AE110" s="70" t="n"/>
      <c r="AF110" s="70" t="n">
        <v>0.01670526810263429</v>
      </c>
    </row>
    <row r="111" customFormat="1" s="108">
      <c r="A111" s="28" t="n">
        <v>41943</v>
      </c>
      <c r="B111" s="112" t="n">
        <v>16200.86</v>
      </c>
      <c r="C111" s="36">
        <f>(B111/B110-1)/(A111-A110)*360</f>
        <v/>
      </c>
      <c r="D111" s="30">
        <f>B111/$B$3*100</f>
        <v/>
      </c>
      <c r="E111" s="30" t="n"/>
      <c r="F111" s="30" t="n"/>
      <c r="I111" s="109" t="n"/>
      <c r="AD111" s="28" t="n">
        <v>43404</v>
      </c>
      <c r="AE111" s="70" t="n"/>
      <c r="AF111" s="70" t="n">
        <v>0.0169646796562127</v>
      </c>
    </row>
    <row r="112" customFormat="1" s="108">
      <c r="A112" s="28" t="n">
        <v>41971</v>
      </c>
      <c r="B112" s="112" t="n">
        <v>16240.11</v>
      </c>
      <c r="C112" s="36">
        <f>(B112/B111-1)/(A112-A111)*360</f>
        <v/>
      </c>
      <c r="D112" s="30">
        <f>B112/$B$3*100</f>
        <v/>
      </c>
      <c r="E112" s="30" t="n"/>
      <c r="F112" s="30" t="n"/>
      <c r="I112" s="109" t="n"/>
      <c r="AD112" s="28" t="n">
        <v>43434</v>
      </c>
      <c r="AE112" s="70" t="n"/>
      <c r="AF112" s="70" t="n">
        <v>0.01517492929645314</v>
      </c>
    </row>
    <row r="113" customFormat="1" s="108">
      <c r="A113" s="28" t="n">
        <v>42004</v>
      </c>
      <c r="B113" s="112" t="n">
        <v>16283.49</v>
      </c>
      <c r="C113" s="36">
        <f>(B113/B112-1)/(A113-A112)*360</f>
        <v/>
      </c>
      <c r="D113" s="30">
        <f>B113/$B$3*100</f>
        <v/>
      </c>
      <c r="E113" s="30" t="n"/>
      <c r="F113" s="30" t="n"/>
      <c r="I113" s="109" t="n"/>
      <c r="AD113" s="28" t="n">
        <v>43465</v>
      </c>
      <c r="AE113" s="70" t="n"/>
      <c r="AF113" s="70" t="n">
        <v>0.01810075899655976</v>
      </c>
      <c r="AW113" s="14" t="n"/>
      <c r="AX113" s="14" t="n"/>
      <c r="AY113" s="14" t="n"/>
      <c r="AZ113" s="14" t="n"/>
      <c r="BA113" s="14" t="n"/>
      <c r="BB113" s="14" t="n"/>
    </row>
    <row r="114" customFormat="1" s="108">
      <c r="A114" s="28" t="n">
        <v>42034</v>
      </c>
      <c r="B114" s="112" t="n">
        <v>16325.65</v>
      </c>
      <c r="C114" s="36">
        <f>(B114/B113-1)/(A114-A113)*360</f>
        <v/>
      </c>
      <c r="D114" s="30">
        <f>B114/$B$3*100</f>
        <v/>
      </c>
      <c r="E114" s="30" t="n"/>
      <c r="F114" s="30" t="n"/>
      <c r="I114" s="109" t="n"/>
      <c r="AD114" s="28" t="n">
        <v>43496</v>
      </c>
      <c r="AE114" s="70" t="n">
        <v>0.03410106619315218</v>
      </c>
      <c r="AF114" s="70" t="n">
        <v>0.01987131011705338</v>
      </c>
      <c r="AV114" s="14" t="n"/>
      <c r="AW114" s="14" t="n"/>
      <c r="AX114" s="14" t="n"/>
      <c r="AY114" s="14" t="n"/>
      <c r="AZ114" s="14" t="n"/>
      <c r="BA114" s="14" t="n"/>
      <c r="BB114" s="14" t="n"/>
    </row>
    <row r="115">
      <c r="A115" s="28" t="n">
        <v>42062</v>
      </c>
      <c r="B115" s="112" t="n">
        <v>16363.77</v>
      </c>
      <c r="C115" s="36">
        <f>(B115/B114-1)/(A115-A114)*360</f>
        <v/>
      </c>
      <c r="D115" s="30">
        <f>B115/$B$3*100</f>
        <v/>
      </c>
      <c r="E115" s="30" t="n"/>
      <c r="F115" s="30" t="n"/>
      <c r="N115" s="108" t="n"/>
      <c r="O115" s="108" t="n"/>
      <c r="P115" s="108" t="n"/>
      <c r="Q115" s="108" t="n"/>
      <c r="R115" s="108" t="n"/>
      <c r="S115" s="108" t="n"/>
      <c r="T115" s="108" t="n"/>
      <c r="U115" s="108" t="n"/>
      <c r="V115" s="108" t="n"/>
      <c r="W115" s="108" t="n"/>
      <c r="X115" s="108" t="n"/>
      <c r="Y115" s="108" t="n"/>
      <c r="Z115" s="108" t="n"/>
      <c r="AA115" s="108" t="n"/>
      <c r="AB115" s="108" t="n"/>
      <c r="AC115" s="108" t="n"/>
      <c r="AD115" s="28" t="n">
        <v>43524</v>
      </c>
      <c r="AE115" s="70" t="n">
        <v>0.03011536828761414</v>
      </c>
      <c r="AF115" s="70" t="n">
        <v>0.01927474533159002</v>
      </c>
      <c r="AG115" s="108" t="n"/>
      <c r="AH115" s="108" t="n"/>
      <c r="AI115" s="108" t="n"/>
      <c r="AJ115" s="108" t="n"/>
      <c r="AK115" s="108" t="n"/>
      <c r="AL115" s="108" t="n"/>
      <c r="AM115" s="108" t="n"/>
      <c r="AN115" s="108" t="n"/>
      <c r="AO115" s="108" t="n"/>
      <c r="AP115" s="108" t="n"/>
      <c r="AQ115" s="108" t="n"/>
      <c r="AR115" s="108" t="n"/>
      <c r="AS115" s="108" t="n"/>
      <c r="AT115" s="108" t="n"/>
    </row>
    <row r="116">
      <c r="A116" s="28" t="n">
        <v>42094</v>
      </c>
      <c r="B116" s="112" t="n">
        <v>16407.49</v>
      </c>
      <c r="C116" s="36">
        <f>(B116/B115-1)/(A116-A115)*360</f>
        <v/>
      </c>
      <c r="D116" s="30">
        <f>B116/$B$3*100</f>
        <v/>
      </c>
      <c r="E116" s="30" t="n"/>
      <c r="F116" s="30" t="n"/>
      <c r="N116" s="108" t="n"/>
      <c r="O116" s="108" t="n"/>
      <c r="P116" s="108" t="n"/>
      <c r="Q116" s="108" t="n"/>
      <c r="R116" s="108" t="n"/>
      <c r="S116" s="108" t="n"/>
      <c r="T116" s="108" t="n"/>
      <c r="U116" s="108" t="n"/>
      <c r="V116" s="108" t="n"/>
      <c r="W116" s="108" t="n"/>
      <c r="X116" s="108" t="n"/>
      <c r="Y116" s="108" t="n"/>
      <c r="Z116" s="108" t="n"/>
      <c r="AA116" s="108" t="n"/>
      <c r="AB116" s="108" t="n"/>
      <c r="AC116" s="108" t="n"/>
      <c r="AD116" s="28" t="n">
        <v>43555</v>
      </c>
      <c r="AE116" s="70" t="n">
        <v>0.03392176708730327</v>
      </c>
      <c r="AF116" s="70" t="n">
        <v>0.01969730621411029</v>
      </c>
      <c r="AG116" s="108" t="n"/>
      <c r="AH116" s="108" t="n"/>
      <c r="AI116" s="108" t="n"/>
      <c r="AJ116" s="108" t="n"/>
      <c r="AK116" s="108" t="n"/>
      <c r="AL116" s="108" t="n"/>
      <c r="AM116" s="108" t="n"/>
      <c r="AN116" s="108" t="n"/>
      <c r="AO116" s="108" t="n"/>
      <c r="AP116" s="108" t="n"/>
      <c r="AQ116" s="108" t="n"/>
      <c r="AR116" s="108" t="n"/>
      <c r="AS116" s="108" t="n"/>
    </row>
    <row r="117">
      <c r="A117" s="28" t="n">
        <v>42124</v>
      </c>
      <c r="B117" s="112" t="n">
        <v>16448.59</v>
      </c>
      <c r="C117" s="36">
        <f>(B117/B116-1)/(A117-A116)*360</f>
        <v/>
      </c>
      <c r="D117" s="30">
        <f>B117/$B$3*100</f>
        <v/>
      </c>
      <c r="E117" s="30" t="n"/>
      <c r="F117" s="30" t="n"/>
      <c r="N117" s="108" t="n"/>
      <c r="O117" s="108" t="n"/>
      <c r="P117" s="108" t="n"/>
      <c r="Q117" s="108" t="n"/>
      <c r="R117" s="108" t="n"/>
      <c r="S117" s="108" t="n"/>
      <c r="T117" s="108" t="n"/>
      <c r="U117" s="108" t="n"/>
      <c r="V117" s="108" t="n"/>
      <c r="W117" s="108" t="n"/>
      <c r="X117" s="108" t="n"/>
      <c r="Y117" s="108" t="n"/>
      <c r="Z117" s="108" t="n"/>
      <c r="AA117" s="108" t="n"/>
      <c r="AB117" s="108" t="n"/>
      <c r="AC117" s="108" t="n"/>
      <c r="AD117" s="28" t="n">
        <v>43585</v>
      </c>
      <c r="AE117" s="70" t="n">
        <v>0.03495040110038339</v>
      </c>
      <c r="AF117" s="70" t="n">
        <v>0.01977042723843958</v>
      </c>
      <c r="AG117" s="108" t="n"/>
      <c r="AH117" s="108" t="n"/>
      <c r="AI117" s="108" t="n"/>
      <c r="AJ117" s="108" t="n"/>
      <c r="AK117" s="108" t="n"/>
      <c r="AL117" s="108" t="n"/>
      <c r="AM117" s="108" t="n"/>
      <c r="AN117" s="108" t="n"/>
      <c r="AO117" s="108" t="n"/>
      <c r="AP117" s="108" t="n"/>
      <c r="AQ117" s="108" t="n"/>
      <c r="AR117" s="108" t="n"/>
      <c r="AS117" s="108" t="n"/>
    </row>
    <row r="118">
      <c r="A118" s="28" t="n">
        <v>42153</v>
      </c>
      <c r="B118" s="112" t="n">
        <v>16488.37</v>
      </c>
      <c r="C118" s="36">
        <f>(B118/B117-1)/(A118-A117)*360</f>
        <v/>
      </c>
      <c r="D118" s="30">
        <f>B118/$B$3*100</f>
        <v/>
      </c>
      <c r="E118" s="30" t="n"/>
      <c r="F118" s="30"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row>
    <row r="119">
      <c r="A119" s="28" t="n">
        <v>42185</v>
      </c>
      <c r="B119" s="112" t="n">
        <v>16532.38</v>
      </c>
      <c r="C119" s="36">
        <f>(B119/B118-1)/(A119-A118)*360</f>
        <v/>
      </c>
      <c r="D119" s="30">
        <f>B119/$B$3*100</f>
        <v/>
      </c>
      <c r="E119" s="30" t="n"/>
      <c r="F119" s="30"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row>
    <row r="120">
      <c r="A120" s="28" t="n">
        <v>42216</v>
      </c>
      <c r="B120" s="112" t="n">
        <v>16575.11</v>
      </c>
      <c r="C120" s="36">
        <f>(B120/B119-1)/(A120-A119)*360</f>
        <v/>
      </c>
      <c r="D120" s="30">
        <f>B120/$B$3*100</f>
        <v/>
      </c>
      <c r="E120" s="30" t="n"/>
      <c r="F120" s="30"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row>
    <row r="121">
      <c r="A121" s="28" t="n">
        <v>42247</v>
      </c>
      <c r="B121" s="112" t="n">
        <v>16617.94</v>
      </c>
      <c r="C121" s="36">
        <f>(B121/B120-1)/(A121-A120)*360</f>
        <v/>
      </c>
      <c r="D121" s="30">
        <f>B121/$B$3*100</f>
        <v/>
      </c>
      <c r="E121" s="30" t="n"/>
      <c r="F121" s="30"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row>
    <row r="122">
      <c r="A122" s="28" t="n">
        <v>42277</v>
      </c>
      <c r="B122" s="112" t="n">
        <v>16659.58</v>
      </c>
      <c r="C122" s="36">
        <f>(B122/B121-1)/(A122-A121)*360</f>
        <v/>
      </c>
      <c r="D122" s="30">
        <f>B122/$B$3*100</f>
        <v/>
      </c>
      <c r="E122" s="30" t="n"/>
      <c r="F122" s="30" t="n"/>
      <c r="O122" s="108" t="n"/>
      <c r="P122" s="108" t="n"/>
      <c r="Q122" s="108" t="n"/>
      <c r="R122" s="108" t="n"/>
      <c r="S122" s="108" t="n"/>
      <c r="T122" s="108" t="n"/>
      <c r="U122" s="108" t="n"/>
      <c r="V122" s="108" t="n"/>
      <c r="W122" s="108" t="n"/>
      <c r="X122" s="108" t="n"/>
      <c r="Y122" s="108" t="n"/>
      <c r="Z122" s="108" t="n"/>
      <c r="AA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row>
    <row r="123">
      <c r="A123" s="28" t="n">
        <v>42307</v>
      </c>
      <c r="B123" s="112" t="n">
        <v>16702.94</v>
      </c>
      <c r="C123" s="36">
        <f>(B123/B122-1)/(A123-A122)*360</f>
        <v/>
      </c>
      <c r="D123" s="30">
        <f>B123/$B$3*100</f>
        <v/>
      </c>
      <c r="E123" s="30" t="n"/>
      <c r="F123" s="30" t="n"/>
      <c r="O123" s="108" t="n"/>
      <c r="P123" s="108" t="n"/>
      <c r="Q123" s="108" t="n"/>
      <c r="R123" s="108" t="n"/>
      <c r="S123" s="108" t="n"/>
      <c r="T123" s="108" t="n"/>
      <c r="U123" s="108" t="n"/>
      <c r="V123" s="108" t="n"/>
      <c r="W123" s="108" t="n"/>
      <c r="X123" s="108" t="n"/>
      <c r="Y123" s="108" t="n"/>
      <c r="Z123" s="108" t="n"/>
      <c r="AA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row>
    <row r="124">
      <c r="A124" s="28" t="n">
        <v>42338</v>
      </c>
      <c r="B124" s="112" t="n">
        <v>16749.75</v>
      </c>
      <c r="C124" s="36">
        <f>(B124/B123-1)/(A124-A123)*360</f>
        <v/>
      </c>
      <c r="D124" s="30">
        <f>B124/$B$3*100</f>
        <v/>
      </c>
      <c r="E124" s="30" t="n"/>
      <c r="F124" s="2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row>
    <row r="125">
      <c r="A125" s="28" t="n">
        <v>42369</v>
      </c>
      <c r="B125" s="112" t="n">
        <v>16796.52</v>
      </c>
      <c r="C125" s="36">
        <f>(B125/B124-1)/(A125-A124)*360</f>
        <v/>
      </c>
      <c r="D125" s="30">
        <f>B125/$B$3*100</f>
        <v/>
      </c>
      <c r="E125" s="30" t="n"/>
      <c r="F125" s="28" t="n">
        <v>42369</v>
      </c>
      <c r="K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row>
    <row r="126">
      <c r="A126" s="28" t="n">
        <v>42398</v>
      </c>
      <c r="B126" s="112" t="n">
        <v>16845.59</v>
      </c>
      <c r="C126" s="36">
        <f>(B126/B125-1)/(A126-A125)*360</f>
        <v/>
      </c>
      <c r="D126" s="30">
        <f>B126/$B$3*100</f>
        <v/>
      </c>
      <c r="E126" s="30" t="n"/>
      <c r="F126" s="28" t="n">
        <v>42400</v>
      </c>
      <c r="K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row>
    <row r="127">
      <c r="A127" s="28" t="n">
        <v>42429</v>
      </c>
      <c r="B127" s="112" t="n">
        <v>16896.43</v>
      </c>
      <c r="C127" s="36">
        <f>(B127/B126-1)/(A127-A126)*360</f>
        <v/>
      </c>
      <c r="D127" s="30">
        <f>B127/$B$3*100</f>
        <v/>
      </c>
      <c r="E127" s="30" t="n"/>
      <c r="F127" s="28" t="n">
        <v>42428</v>
      </c>
      <c r="K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row>
    <row r="128">
      <c r="A128" s="28" t="n">
        <v>42460</v>
      </c>
      <c r="B128" s="112" t="n">
        <v>16947.43</v>
      </c>
      <c r="C128" s="36">
        <f>(B128/B127-1)/(A128-A127)*360</f>
        <v/>
      </c>
      <c r="D128" s="30">
        <f>B128/$B$3*100</f>
        <v/>
      </c>
      <c r="E128" s="30" t="n"/>
      <c r="F128" s="28" t="n">
        <v>42460</v>
      </c>
      <c r="K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row>
    <row r="129">
      <c r="A129" s="28" t="n">
        <v>42489</v>
      </c>
      <c r="B129" s="112" t="n">
        <v>16995.27</v>
      </c>
      <c r="C129" s="36">
        <f>(B129/B128-1)/(A129-A128)*360</f>
        <v/>
      </c>
      <c r="D129" s="30">
        <f>B129/$B$3*100</f>
        <v/>
      </c>
      <c r="F129" s="28" t="n">
        <v>42490</v>
      </c>
      <c r="K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row>
    <row r="130">
      <c r="A130" s="28" t="n">
        <v>42521</v>
      </c>
      <c r="B130" s="112" t="n">
        <v>17048.23</v>
      </c>
      <c r="C130" s="36">
        <f>(B130/B129-1)/(A130-A129)*360</f>
        <v/>
      </c>
      <c r="D130" s="30">
        <f>B130/$B$3*100</f>
        <v/>
      </c>
      <c r="F130" s="28">
        <f>+A130</f>
        <v/>
      </c>
      <c r="G130" s="114" t="n"/>
      <c r="I130" s="36" t="n"/>
      <c r="J130" s="29" t="n"/>
      <c r="K130" s="108" t="n"/>
      <c r="L130" s="36"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row>
    <row r="131">
      <c r="A131" s="28" t="n">
        <v>42551</v>
      </c>
      <c r="B131" s="112" t="n">
        <v>17098.02</v>
      </c>
      <c r="C131" s="36">
        <f>(B131/B130-1)/(A131-A130)*360</f>
        <v/>
      </c>
      <c r="D131" s="30">
        <f>B131/$B$3*100</f>
        <v/>
      </c>
      <c r="F131" s="28">
        <f>+A131</f>
        <v/>
      </c>
      <c r="I131" s="36" t="n"/>
      <c r="J131" s="29" t="n"/>
      <c r="K131" s="108" t="n"/>
      <c r="L131" s="36" t="n"/>
      <c r="M131" s="30"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row>
    <row r="132">
      <c r="A132" s="28" t="n">
        <v>42582</v>
      </c>
      <c r="B132" s="115" t="n">
        <v>17149.23</v>
      </c>
      <c r="C132" s="36">
        <f>(B132/B131-1)/(A132-A131)*360</f>
        <v/>
      </c>
      <c r="D132" s="30">
        <f>B132/$B$3*100</f>
        <v/>
      </c>
      <c r="F132" s="28">
        <f>+A132</f>
        <v/>
      </c>
      <c r="I132" s="36" t="n"/>
      <c r="J132" s="29" t="n"/>
      <c r="K132" s="108" t="n"/>
      <c r="L132" s="36" t="n"/>
      <c r="M132" s="30"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row>
    <row r="133">
      <c r="A133" s="28" t="n">
        <v>42613</v>
      </c>
      <c r="B133" s="112" t="n">
        <v>17201.38</v>
      </c>
      <c r="C133" s="36">
        <f>(B133/B132-1)/(A133-A132)*360</f>
        <v/>
      </c>
      <c r="D133" s="30">
        <f>B133/$B$3*100</f>
        <v/>
      </c>
      <c r="F133" s="28">
        <f>+A133</f>
        <v/>
      </c>
      <c r="I133" s="36" t="n"/>
      <c r="J133" s="29" t="n"/>
      <c r="K133" s="108" t="n"/>
      <c r="L133" s="36" t="n"/>
      <c r="M133" s="30"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row>
    <row r="134">
      <c r="A134" s="28">
        <f>+A133+30</f>
        <v/>
      </c>
      <c r="B134" s="112" t="n">
        <v>17251.61</v>
      </c>
      <c r="C134" s="36">
        <f>(B134/B133-1)/(A134-A133)*360</f>
        <v/>
      </c>
      <c r="D134" s="30">
        <f>B134/$B$3*100</f>
        <v/>
      </c>
      <c r="F134" s="28">
        <f>+A134</f>
        <v/>
      </c>
      <c r="I134" s="36" t="n"/>
      <c r="J134" s="29" t="n"/>
      <c r="K134" s="108" t="n"/>
      <c r="L134" s="36" t="n"/>
      <c r="M134" s="30"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row>
    <row r="135">
      <c r="A135" s="28" t="n">
        <v>42674</v>
      </c>
      <c r="B135" s="112" t="n">
        <v>17303.68</v>
      </c>
      <c r="C135" s="36">
        <f>(B135/B134-1)/(A135-A134)*360</f>
        <v/>
      </c>
      <c r="D135" s="30">
        <f>B135/$B$3*100</f>
        <v/>
      </c>
      <c r="F135" s="28">
        <f>+A135</f>
        <v/>
      </c>
      <c r="I135" s="36" t="n"/>
      <c r="J135" s="29" t="n"/>
      <c r="K135" s="108" t="n"/>
      <c r="L135" s="36" t="n"/>
      <c r="M135" s="30"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row>
    <row r="136">
      <c r="A136" s="28" t="n">
        <v>42704</v>
      </c>
      <c r="B136" s="112" t="n">
        <v>17354.21</v>
      </c>
      <c r="C136" s="36">
        <f>(B136/B135-1)/(A136-A135)*360</f>
        <v/>
      </c>
      <c r="D136" s="30">
        <f>B136/$B$3*100</f>
        <v/>
      </c>
      <c r="F136" s="28">
        <f>+A136</f>
        <v/>
      </c>
      <c r="I136" s="36" t="n"/>
      <c r="J136" s="29" t="n"/>
      <c r="K136" s="108" t="n"/>
      <c r="L136" s="36" t="n"/>
      <c r="M136" s="30" t="n"/>
      <c r="AC136" s="108" t="n"/>
      <c r="AD136" s="108" t="n"/>
      <c r="AE136" s="108" t="n"/>
      <c r="AF136" s="108" t="n"/>
      <c r="AG136" s="108" t="n"/>
      <c r="AH136" s="108" t="n"/>
      <c r="AI136" s="108" t="n"/>
      <c r="AJ136" s="108" t="n"/>
      <c r="AK136" s="108" t="n"/>
      <c r="AL136" s="108" t="n"/>
      <c r="AM136" s="108" t="n"/>
      <c r="AN136" s="108" t="n"/>
      <c r="AO136" s="108" t="n"/>
      <c r="AP136" s="108" t="n"/>
      <c r="AQ136" s="108" t="n"/>
    </row>
    <row r="137">
      <c r="A137" s="28" t="n">
        <v>42735</v>
      </c>
      <c r="B137" s="112" t="n">
        <v>17406.97</v>
      </c>
      <c r="C137" s="36">
        <f>(B137/B136-1)/(A137-A136)*360</f>
        <v/>
      </c>
      <c r="D137" s="30">
        <f>B137/$B$3*100</f>
        <v/>
      </c>
      <c r="F137" s="28">
        <f>+A137</f>
        <v/>
      </c>
      <c r="I137" s="36" t="n"/>
      <c r="J137" s="29" t="n"/>
      <c r="K137" s="108" t="n"/>
      <c r="L137" s="36" t="n"/>
      <c r="M137" s="30" t="n"/>
      <c r="AC137" s="108" t="n"/>
      <c r="AD137" s="108" t="n"/>
      <c r="AE137" s="108" t="n"/>
      <c r="AF137" s="108" t="n"/>
      <c r="AG137" s="108" t="n"/>
      <c r="AH137" s="108" t="n"/>
      <c r="AI137" s="108" t="n"/>
      <c r="AJ137" s="108" t="n"/>
      <c r="AK137" s="108" t="n"/>
      <c r="AL137" s="108" t="n"/>
      <c r="AM137" s="108" t="n"/>
      <c r="AN137" s="108" t="n"/>
      <c r="AO137" s="108" t="n"/>
      <c r="AP137" s="108" t="n"/>
      <c r="AQ137" s="108" t="n"/>
    </row>
    <row r="138">
      <c r="A138" s="28" t="n">
        <v>42766</v>
      </c>
      <c r="B138" s="112" t="n">
        <v>17457.39</v>
      </c>
      <c r="C138" s="36">
        <f>(B138/B137-1)/(A138-A137)*360</f>
        <v/>
      </c>
      <c r="D138" s="30">
        <f>B138/$B$3*100</f>
        <v/>
      </c>
      <c r="F138" s="28">
        <f>+A138</f>
        <v/>
      </c>
      <c r="I138" s="36" t="n"/>
      <c r="J138" s="29" t="n"/>
      <c r="K138" s="108" t="n"/>
      <c r="L138" s="36" t="n"/>
      <c r="M138" s="30" t="n"/>
      <c r="AC138" s="108" t="n"/>
      <c r="AD138" s="108" t="n"/>
      <c r="AE138" s="108" t="n"/>
      <c r="AF138" s="108" t="n"/>
      <c r="AG138" s="108" t="n"/>
      <c r="AH138" s="108" t="n"/>
      <c r="AI138" s="108" t="n"/>
      <c r="AJ138" s="108" t="n"/>
      <c r="AK138" s="108" t="n"/>
      <c r="AL138" s="108" t="n"/>
      <c r="AM138" s="108" t="n"/>
      <c r="AN138" s="108" t="n"/>
      <c r="AO138" s="108" t="n"/>
      <c r="AP138" s="108" t="n"/>
      <c r="AQ138" s="108" t="n"/>
    </row>
    <row r="139">
      <c r="A139" s="28" t="n">
        <v>42794</v>
      </c>
      <c r="B139" s="112" t="n">
        <v>17501.06</v>
      </c>
      <c r="C139" s="36">
        <f>(B139/B138-1)/(A139-A138)*360</f>
        <v/>
      </c>
      <c r="D139" s="30">
        <f>B139/$B$3*100</f>
        <v/>
      </c>
      <c r="F139" s="28">
        <f>+A139</f>
        <v/>
      </c>
      <c r="I139" s="36" t="n"/>
      <c r="J139" s="29" t="n"/>
      <c r="K139" s="108" t="n"/>
      <c r="L139" s="36" t="n"/>
      <c r="M139" s="30" t="n"/>
      <c r="AC139" s="108" t="n"/>
      <c r="AD139" s="108" t="n"/>
      <c r="AE139" s="108" t="n"/>
      <c r="AF139" s="108" t="n"/>
      <c r="AG139" s="108" t="n"/>
      <c r="AH139" s="108" t="n"/>
      <c r="AI139" s="108" t="n"/>
      <c r="AJ139" s="108" t="n"/>
      <c r="AK139" s="108" t="n"/>
      <c r="AL139" s="108" t="n"/>
      <c r="AM139" s="108" t="n"/>
      <c r="AN139" s="108" t="n"/>
      <c r="AO139" s="108" t="n"/>
      <c r="AP139" s="108" t="n"/>
      <c r="AQ139" s="108" t="n"/>
    </row>
    <row r="140">
      <c r="A140" s="28" t="n">
        <v>42825</v>
      </c>
      <c r="B140" s="112" t="n">
        <v>17548.35</v>
      </c>
      <c r="C140" s="36">
        <f>(B140/B139-1)/(A140-A139)*360</f>
        <v/>
      </c>
      <c r="D140" s="30">
        <f>B140/$B$3*100</f>
        <v/>
      </c>
      <c r="F140" s="28">
        <f>+A140</f>
        <v/>
      </c>
      <c r="I140" s="36" t="n"/>
      <c r="J140" s="29" t="n"/>
      <c r="K140" s="108" t="n"/>
      <c r="L140" s="36" t="n"/>
      <c r="M140" s="30" t="n"/>
      <c r="AC140" s="108" t="n"/>
      <c r="AD140" s="108" t="n"/>
      <c r="AE140" s="108" t="n"/>
      <c r="AF140" s="108" t="n"/>
      <c r="AG140" s="108" t="n"/>
      <c r="AH140" s="108" t="n"/>
      <c r="AI140" s="108" t="n"/>
      <c r="AJ140" s="108" t="n"/>
      <c r="AK140" s="108" t="n"/>
      <c r="AL140" s="108" t="n"/>
      <c r="AM140" s="108" t="n"/>
      <c r="AN140" s="108" t="n"/>
      <c r="AO140" s="108" t="n"/>
      <c r="AP140" s="108" t="n"/>
      <c r="AQ140" s="108" t="n"/>
    </row>
    <row r="141">
      <c r="A141" s="28" t="n">
        <v>42855</v>
      </c>
      <c r="B141" s="112" t="n">
        <v>17587.92</v>
      </c>
      <c r="C141" s="36">
        <f>(B141/B140-1)/(A141-A140)*360</f>
        <v/>
      </c>
      <c r="D141" s="30">
        <f>B141/$B$3*100</f>
        <v/>
      </c>
      <c r="F141" s="28">
        <f>+A141</f>
        <v/>
      </c>
      <c r="I141" s="36" t="n"/>
      <c r="J141" s="29" t="n"/>
      <c r="K141" s="108" t="n"/>
      <c r="L141" s="36" t="n"/>
      <c r="M141" s="30" t="n"/>
      <c r="AC141" s="108" t="n"/>
      <c r="AD141" s="108" t="n"/>
      <c r="AE141" s="108" t="n"/>
      <c r="AF141" s="108" t="n"/>
      <c r="AG141" s="108" t="n"/>
      <c r="AH141" s="108" t="n"/>
      <c r="AI141" s="108" t="n"/>
      <c r="AJ141" s="108" t="n"/>
      <c r="AK141" s="108" t="n"/>
      <c r="AL141" s="108" t="n"/>
      <c r="AM141" s="108" t="n"/>
      <c r="AN141" s="108" t="n"/>
      <c r="AO141" s="108" t="n"/>
      <c r="AP141" s="108" t="n"/>
      <c r="AQ141" s="108" t="n"/>
    </row>
    <row r="142">
      <c r="A142" s="28" t="n">
        <v>42886</v>
      </c>
      <c r="B142" s="112" t="n">
        <v>17630.79</v>
      </c>
      <c r="C142" s="36">
        <f>(B142/B141-1)/(A142-A141)*360</f>
        <v/>
      </c>
      <c r="D142" s="30">
        <f>B142/$B$3*100</f>
        <v/>
      </c>
      <c r="F142" s="28">
        <f>+A142</f>
        <v/>
      </c>
      <c r="I142" s="36" t="n"/>
      <c r="J142" s="29" t="n"/>
      <c r="K142" s="108" t="n"/>
      <c r="L142" s="36" t="n"/>
      <c r="M142" s="29" t="n"/>
      <c r="AC142" s="108" t="n"/>
      <c r="AD142" s="108" t="n"/>
      <c r="AE142" s="108" t="n"/>
      <c r="AF142" s="108" t="n"/>
      <c r="AG142" s="108" t="n"/>
      <c r="AH142" s="108" t="n"/>
      <c r="AI142" s="108" t="n"/>
      <c r="AJ142" s="108" t="n"/>
      <c r="AK142" s="108" t="n"/>
      <c r="AL142" s="108" t="n"/>
      <c r="AM142" s="108" t="n"/>
      <c r="AN142" s="108" t="n"/>
      <c r="AO142" s="108" t="n"/>
      <c r="AP142" s="108" t="n"/>
      <c r="AQ142" s="108" t="n"/>
    </row>
    <row r="143">
      <c r="A143" s="28" t="n">
        <v>42916</v>
      </c>
      <c r="B143" s="112" t="n">
        <v>17667.59</v>
      </c>
      <c r="C143" s="36">
        <f>(B143/B142-1)/(A143-A142)*360</f>
        <v/>
      </c>
      <c r="D143" s="30">
        <f>B143/$B$3*100</f>
        <v/>
      </c>
      <c r="F143" s="28">
        <f>+A143</f>
        <v/>
      </c>
      <c r="I143" s="36" t="n"/>
      <c r="J143" s="29" t="n"/>
      <c r="K143" s="108" t="n"/>
      <c r="L143" s="36" t="n"/>
      <c r="M143" s="29" t="n"/>
      <c r="AC143" s="108" t="n"/>
      <c r="AD143" s="108" t="n"/>
      <c r="AE143" s="108" t="n"/>
      <c r="AF143" s="108" t="n"/>
      <c r="AG143" s="108" t="n"/>
      <c r="AH143" s="108" t="n"/>
      <c r="AI143" s="108" t="n"/>
      <c r="AJ143" s="108" t="n"/>
      <c r="AK143" s="108" t="n"/>
      <c r="AL143" s="108" t="n"/>
      <c r="AM143" s="108" t="n"/>
      <c r="AN143" s="108" t="n"/>
      <c r="AO143" s="108" t="n"/>
      <c r="AP143" s="108" t="n"/>
      <c r="AQ143" s="108" t="n"/>
    </row>
    <row r="144">
      <c r="A144" s="28" t="n">
        <v>42947</v>
      </c>
      <c r="B144" s="112" t="n">
        <v>17705.69</v>
      </c>
      <c r="C144" s="36">
        <f>(B144/B143-1)/(A144-A143)*360</f>
        <v/>
      </c>
      <c r="D144" s="30">
        <f>B144/$B$3*100</f>
        <v/>
      </c>
      <c r="F144" s="28">
        <f>+A144</f>
        <v/>
      </c>
      <c r="I144" s="36" t="n"/>
      <c r="J144" s="29" t="n"/>
      <c r="K144" s="108" t="n"/>
      <c r="L144" s="36" t="n"/>
      <c r="M144" s="29" t="n"/>
      <c r="AC144" s="108" t="n"/>
      <c r="AD144" s="108" t="n"/>
      <c r="AE144" s="108" t="n"/>
      <c r="AF144" s="108" t="n"/>
      <c r="AG144" s="108" t="n"/>
      <c r="AH144" s="108" t="n"/>
      <c r="AI144" s="108" t="n"/>
      <c r="AJ144" s="108" t="n"/>
      <c r="AK144" s="108" t="n"/>
      <c r="AL144" s="108" t="n"/>
      <c r="AM144" s="108" t="n"/>
      <c r="AN144" s="108" t="n"/>
      <c r="AO144" s="108" t="n"/>
      <c r="AP144" s="108" t="n"/>
      <c r="AQ144" s="108" t="n"/>
    </row>
    <row r="145">
      <c r="A145" s="28" t="n">
        <v>42978</v>
      </c>
      <c r="B145" s="112" t="n">
        <v>17743.83</v>
      </c>
      <c r="C145" s="36">
        <f>(B145/B144-1)/(A145-A144)*360</f>
        <v/>
      </c>
      <c r="D145" s="30">
        <f>B145/$B$3*100</f>
        <v/>
      </c>
      <c r="F145" s="28">
        <f>+A145</f>
        <v/>
      </c>
      <c r="I145" s="36" t="n"/>
      <c r="J145" s="29" t="n"/>
      <c r="K145" s="108" t="n"/>
      <c r="L145" s="36" t="n"/>
      <c r="M145" s="29" t="n"/>
      <c r="S145" s="14" t="inlineStr">
        <is>
          <t>DIVIDENDO 2016</t>
        </is>
      </c>
      <c r="AC145" s="108" t="n"/>
      <c r="AD145" s="108" t="n"/>
      <c r="AE145" s="108" t="n"/>
      <c r="AF145" s="108" t="n"/>
      <c r="AG145" s="108" t="n"/>
      <c r="AH145" s="108" t="n"/>
      <c r="AI145" s="108" t="n"/>
      <c r="AJ145" s="108" t="n"/>
      <c r="AK145" s="108" t="n"/>
      <c r="AL145" s="108" t="n"/>
      <c r="AM145" s="108" t="n"/>
      <c r="AN145" s="108" t="n"/>
      <c r="AO145" s="108" t="n"/>
      <c r="AP145" s="108" t="n"/>
      <c r="AQ145" s="108" t="n"/>
    </row>
    <row r="146">
      <c r="A146" s="28" t="n">
        <v>43008</v>
      </c>
      <c r="B146" s="112" t="n">
        <v>17780.7817</v>
      </c>
      <c r="C146" s="36">
        <f>(B146/B145-1)/(A146-A145)*360</f>
        <v/>
      </c>
      <c r="D146" s="30">
        <f>B146/$B$3*100</f>
        <v/>
      </c>
      <c r="F146" s="28" t="n">
        <v>43008</v>
      </c>
      <c r="I146" s="36" t="n"/>
      <c r="J146" s="29" t="n"/>
      <c r="K146" s="108" t="n"/>
      <c r="L146" s="36" t="n"/>
      <c r="M146" s="29" t="n"/>
      <c r="S146" s="14" t="n">
        <v>0</v>
      </c>
      <c r="AC146" s="108" t="n"/>
      <c r="AD146" s="108" t="n"/>
      <c r="AE146" s="108" t="n"/>
      <c r="AF146" s="108" t="n"/>
      <c r="AG146" s="108" t="n"/>
      <c r="AH146" s="108" t="n"/>
      <c r="AI146" s="108" t="n"/>
      <c r="AJ146" s="108" t="n"/>
      <c r="AK146" s="108" t="n"/>
      <c r="AL146" s="108" t="n"/>
      <c r="AM146" s="108" t="n"/>
      <c r="AN146" s="108" t="n"/>
      <c r="AO146" s="108" t="n"/>
      <c r="AP146" s="108" t="n"/>
      <c r="AQ146" s="108" t="n"/>
    </row>
    <row r="147">
      <c r="A147" s="28" t="n">
        <v>43039</v>
      </c>
      <c r="B147" s="14" t="n">
        <v>17819.15</v>
      </c>
      <c r="C147" s="36">
        <f>(B147/B146-1)/(A147-A146)*360</f>
        <v/>
      </c>
      <c r="D147" s="30">
        <f>B147/$B$3*100</f>
        <v/>
      </c>
      <c r="F147" s="28" t="n">
        <v>43039</v>
      </c>
      <c r="I147" s="36" t="n"/>
      <c r="J147" s="29" t="n"/>
      <c r="K147" s="108" t="n"/>
      <c r="L147" s="36" t="n"/>
      <c r="M147" s="29" t="n"/>
      <c r="Q147" s="108">
        <f>+G137+S146</f>
        <v/>
      </c>
      <c r="S147" s="14" t="inlineStr">
        <is>
          <t>Dividendo 2017</t>
        </is>
      </c>
      <c r="AC147" s="108" t="n"/>
      <c r="AD147" s="108" t="n"/>
      <c r="AE147" s="108" t="n"/>
      <c r="AF147" s="108" t="n"/>
      <c r="AG147" s="108" t="n"/>
      <c r="AH147" s="108" t="n"/>
      <c r="AI147" s="108" t="n"/>
      <c r="AJ147" s="108" t="n"/>
      <c r="AK147" s="108" t="n"/>
      <c r="AL147" s="108" t="n"/>
      <c r="AM147" s="108" t="n"/>
      <c r="AN147" s="108" t="n"/>
      <c r="AO147" s="108" t="n"/>
      <c r="AP147" s="108" t="n"/>
      <c r="AQ147" s="108" t="n"/>
    </row>
    <row r="148">
      <c r="A148" s="28" t="n">
        <v>43069</v>
      </c>
      <c r="B148" s="14">
        <f>+VLOOKUP(A148,[1]Simple!$A$3790:$B$3818,2)</f>
        <v/>
      </c>
      <c r="C148" s="36">
        <f>(B148/B147-1)/(A148-A147)*360</f>
        <v/>
      </c>
      <c r="D148" s="30">
        <f>B148/$B$3*100</f>
        <v/>
      </c>
      <c r="F148" s="28" t="n">
        <v>43069</v>
      </c>
      <c r="I148" s="36" t="n"/>
      <c r="J148" s="29" t="n"/>
      <c r="K148" s="108" t="n"/>
      <c r="L148" s="36" t="n"/>
      <c r="M148" s="29" t="n"/>
      <c r="S148" s="14" t="n">
        <v>0</v>
      </c>
    </row>
    <row r="149">
      <c r="A149" s="28" t="n">
        <v>43100</v>
      </c>
      <c r="B149" s="14">
        <f>+VLOOKUP(A149,[1]Simple!$A$3790:$B$3818,2)</f>
        <v/>
      </c>
      <c r="C149" s="36">
        <f>(B149/B148-1)/(A149-A148)*360</f>
        <v/>
      </c>
      <c r="D149" s="30">
        <f>B149/$B$3*100</f>
        <v/>
      </c>
      <c r="F149" s="28" t="n">
        <v>43100</v>
      </c>
      <c r="I149" s="36" t="n"/>
      <c r="J149" s="29" t="n"/>
      <c r="K149" s="108" t="n"/>
      <c r="L149" s="36" t="n"/>
      <c r="M149" s="29" t="n"/>
      <c r="S149" s="14" t="inlineStr">
        <is>
          <t>Dividendo 2020</t>
        </is>
      </c>
    </row>
    <row r="150">
      <c r="A150" s="28" t="n">
        <v>43131</v>
      </c>
      <c r="B150" s="14" t="n">
        <v>17933.28</v>
      </c>
      <c r="C150" s="36">
        <f>(B150/B149-1)/(A150-A149)*360</f>
        <v/>
      </c>
      <c r="D150" s="30">
        <f>B150/$B$3*100</f>
        <v/>
      </c>
      <c r="F150" s="28" t="n">
        <v>43131</v>
      </c>
      <c r="I150" s="36" t="n"/>
      <c r="J150" s="29" t="n"/>
      <c r="K150" s="108" t="n"/>
      <c r="L150" s="36" t="n"/>
      <c r="M150" s="29" t="n"/>
      <c r="S150" s="14" t="n">
        <v>0</v>
      </c>
    </row>
    <row r="151">
      <c r="A151" s="28" t="n">
        <v>43159</v>
      </c>
      <c r="B151" s="14" t="n">
        <v>17968.11</v>
      </c>
      <c r="C151" s="36">
        <f>(B151/B150-1)/(A151-A150)*360</f>
        <v/>
      </c>
      <c r="D151" s="30">
        <f>B151/$B$3*100</f>
        <v/>
      </c>
      <c r="F151" s="28" t="n">
        <v>43159</v>
      </c>
      <c r="I151" s="36" t="n"/>
      <c r="J151" s="29" t="n"/>
      <c r="K151" s="108" t="n"/>
      <c r="L151" s="36" t="n"/>
      <c r="M151" s="29" t="n"/>
      <c r="S151" s="14" t="inlineStr">
        <is>
          <t>Dividendo 2021</t>
        </is>
      </c>
    </row>
    <row r="152">
      <c r="A152" s="28" t="n">
        <v>43190</v>
      </c>
      <c r="B152" s="14" t="n">
        <v>18006.83</v>
      </c>
      <c r="C152" s="36">
        <f>(B152/B151-1)/(A152-A151)*360</f>
        <v/>
      </c>
      <c r="D152" s="30">
        <f>B152/$B$3*100</f>
        <v/>
      </c>
      <c r="F152" s="28" t="n">
        <v>43190</v>
      </c>
      <c r="I152" s="36" t="n"/>
      <c r="J152" s="29" t="n"/>
      <c r="K152" s="108" t="n"/>
      <c r="L152" s="36" t="n"/>
      <c r="M152" s="29" t="n"/>
      <c r="S152" s="14" t="n">
        <v>0</v>
      </c>
    </row>
    <row r="153">
      <c r="A153" s="28" t="n">
        <v>43220</v>
      </c>
      <c r="B153" s="14" t="n">
        <v>18044.25</v>
      </c>
      <c r="C153" s="36">
        <f>(B153/B152-1)/(A153-A152)*360</f>
        <v/>
      </c>
      <c r="D153" s="30">
        <f>B153/$B$3*100</f>
        <v/>
      </c>
      <c r="F153" s="28" t="n">
        <v>43220</v>
      </c>
      <c r="I153" s="36" t="n"/>
      <c r="J153" s="29" t="n"/>
      <c r="K153" s="108" t="n"/>
      <c r="L153" s="36" t="n"/>
      <c r="M153" s="29" t="n"/>
      <c r="S153" s="14" t="inlineStr">
        <is>
          <t>Dividendo 2022</t>
        </is>
      </c>
    </row>
    <row r="154">
      <c r="A154" s="28" t="n">
        <v>43251</v>
      </c>
      <c r="B154" s="29" t="n">
        <v>18082.87</v>
      </c>
      <c r="C154" s="36">
        <f>(B154/B153-1)/(A154-A153)*360</f>
        <v/>
      </c>
      <c r="D154" s="30">
        <f>B154/$B$3*100</f>
        <v/>
      </c>
      <c r="F154" s="28" t="n">
        <v>43251</v>
      </c>
      <c r="I154" s="36" t="n"/>
      <c r="J154" s="29" t="n"/>
      <c r="K154" s="108" t="n"/>
      <c r="L154" s="36" t="n"/>
      <c r="M154" s="29" t="n"/>
      <c r="S154" s="14" t="n">
        <v>0.0060698990833568</v>
      </c>
    </row>
    <row r="155">
      <c r="A155" s="28" t="n">
        <v>43281</v>
      </c>
      <c r="B155" s="30" t="n">
        <v>18120.6225</v>
      </c>
      <c r="C155" s="36">
        <f>(B155/B154-1)/(A155-A154)*360</f>
        <v/>
      </c>
      <c r="D155" s="30">
        <f>B155/$B$3*100</f>
        <v/>
      </c>
      <c r="F155" s="28" t="n">
        <v>43281</v>
      </c>
      <c r="I155" s="36" t="n"/>
      <c r="J155" s="29" t="n"/>
      <c r="K155" s="108" t="n"/>
      <c r="L155" s="36" t="n"/>
      <c r="M155" s="29" t="n"/>
      <c r="S155" s="14" t="inlineStr">
        <is>
          <t>Dividendo 2023</t>
        </is>
      </c>
    </row>
    <row r="156">
      <c r="A156" s="28" t="n">
        <v>43312</v>
      </c>
      <c r="B156" s="29" t="n">
        <v>18159.66</v>
      </c>
      <c r="C156" s="36">
        <f>(B156/B155-1)/(A156-A155)*360</f>
        <v/>
      </c>
      <c r="D156" s="30">
        <f>B156/$B$3*100</f>
        <v/>
      </c>
      <c r="F156" s="28" t="n">
        <v>43312</v>
      </c>
      <c r="I156" s="36" t="n"/>
      <c r="J156" s="29" t="n"/>
      <c r="K156" s="108" t="n"/>
      <c r="L156" s="36" t="n"/>
      <c r="M156" s="29" t="n"/>
      <c r="S156" s="14" t="n">
        <v>0.01787866127187821</v>
      </c>
    </row>
    <row r="157">
      <c r="A157" s="28" t="n">
        <v>43343</v>
      </c>
      <c r="B157" s="29" t="n">
        <v>18198.62</v>
      </c>
      <c r="C157" s="36">
        <f>(B157/B156-1)/(A157-A156)*360</f>
        <v/>
      </c>
      <c r="D157" s="30">
        <f>B157/$B$3*100</f>
        <v/>
      </c>
      <c r="F157" s="28" t="n">
        <v>43343</v>
      </c>
      <c r="I157" s="36" t="n"/>
      <c r="J157" s="29" t="n"/>
      <c r="K157" s="108" t="n"/>
      <c r="L157" s="36" t="n"/>
      <c r="M157" s="29" t="n"/>
    </row>
    <row r="158">
      <c r="A158" s="28" t="n">
        <v>43373</v>
      </c>
      <c r="B158" s="116" t="n">
        <v>18235.9</v>
      </c>
      <c r="C158" s="36">
        <f>(B158/B157-1)/(A158-A157)*360</f>
        <v/>
      </c>
      <c r="D158" s="30">
        <f>B158/$B$3*100</f>
        <v/>
      </c>
      <c r="F158" s="28" t="n">
        <v>43373</v>
      </c>
      <c r="I158" s="36" t="n"/>
      <c r="J158" s="29" t="n"/>
      <c r="K158" s="108" t="n"/>
      <c r="L158" s="36" t="n"/>
      <c r="M158" s="29" t="n"/>
    </row>
    <row r="159">
      <c r="A159" s="28" t="n">
        <v>43404</v>
      </c>
      <c r="B159" s="14" t="n">
        <v>18277.4</v>
      </c>
      <c r="C159" s="36">
        <f>(B159/B158-1)/(A159-A158)*360</f>
        <v/>
      </c>
      <c r="D159" s="30">
        <f>B159/$B$3*100</f>
        <v/>
      </c>
      <c r="F159" s="28" t="n">
        <v>43404</v>
      </c>
      <c r="I159" s="36" t="n"/>
      <c r="J159" s="29" t="n"/>
      <c r="K159" s="108" t="n"/>
      <c r="L159" s="36" t="n"/>
      <c r="M159" s="29" t="n"/>
    </row>
    <row r="160">
      <c r="A160" s="28" t="n">
        <v>43434</v>
      </c>
      <c r="B160" s="30" t="n">
        <v>18319.31</v>
      </c>
      <c r="C160" s="36">
        <f>(B160/B159-1)/(A160-A159)*360</f>
        <v/>
      </c>
      <c r="D160" s="30">
        <f>B160/$B$3*100</f>
        <v/>
      </c>
      <c r="F160" s="28" t="n">
        <v>43434</v>
      </c>
      <c r="I160" s="36" t="n"/>
      <c r="J160" s="29" t="n"/>
      <c r="K160" s="108" t="n"/>
      <c r="L160" s="36" t="n"/>
      <c r="M160" s="29" t="n"/>
    </row>
    <row r="161">
      <c r="A161" s="28" t="n">
        <v>43465</v>
      </c>
      <c r="B161" s="14" t="n">
        <v>18362.684</v>
      </c>
      <c r="C161" s="36">
        <f>(B161/B160-1)/(A161-A160)*360</f>
        <v/>
      </c>
      <c r="D161" s="30">
        <f>B161/$B$3*100</f>
        <v/>
      </c>
      <c r="F161" s="28" t="n">
        <v>43465</v>
      </c>
      <c r="I161" s="36" t="n"/>
      <c r="J161" s="29" t="n"/>
      <c r="K161" s="29" t="n"/>
      <c r="L161" s="36" t="n"/>
      <c r="M161" s="29" t="n"/>
    </row>
    <row r="162">
      <c r="A162" s="28" t="n">
        <v>43496</v>
      </c>
      <c r="B162" s="14" t="n">
        <v>18407.69</v>
      </c>
      <c r="C162" s="36">
        <f>(B162/B161-1)/(A162-A161)*360</f>
        <v/>
      </c>
      <c r="D162" s="30">
        <f>B162/$B$3*100</f>
        <v/>
      </c>
      <c r="F162" s="28" t="n">
        <v>43496</v>
      </c>
      <c r="I162" s="36" t="n"/>
      <c r="J162" s="29" t="n"/>
      <c r="K162" s="29" t="n"/>
      <c r="L162" s="36" t="n"/>
      <c r="M162" s="29" t="n"/>
    </row>
    <row r="163">
      <c r="A163" s="28" t="n">
        <v>43524</v>
      </c>
      <c r="B163" s="14" t="n">
        <v>18449.16</v>
      </c>
      <c r="C163" s="36">
        <f>(B163/B162-1)/(A163-A162)*360</f>
        <v/>
      </c>
      <c r="D163" s="30">
        <f>B163/$B$3*100</f>
        <v/>
      </c>
      <c r="F163" s="28" t="n">
        <v>43524</v>
      </c>
      <c r="I163" s="36" t="n"/>
      <c r="J163" s="29" t="n"/>
      <c r="K163" s="29" t="n"/>
      <c r="L163" s="36" t="n"/>
      <c r="M163" s="29" t="n"/>
    </row>
    <row r="164">
      <c r="A164" s="28" t="n">
        <v>43555</v>
      </c>
      <c r="B164" s="14" t="n">
        <v>18496.82</v>
      </c>
      <c r="C164" s="36">
        <f>(B164/B163-1)/(A164-A163)*360</f>
        <v/>
      </c>
      <c r="D164" s="30">
        <f>B164/$B$3*100</f>
        <v/>
      </c>
      <c r="F164" s="28" t="n">
        <v>43555</v>
      </c>
      <c r="I164" s="36" t="n"/>
      <c r="J164" s="29" t="n"/>
      <c r="K164" s="29" t="n"/>
      <c r="L164" s="36" t="n"/>
      <c r="M164" s="29" t="n"/>
    </row>
    <row r="165">
      <c r="A165" s="28" t="n">
        <v>43585</v>
      </c>
      <c r="B165" s="14" t="n">
        <v>18543.07</v>
      </c>
      <c r="C165" s="36">
        <f>(B165/B164-1)/(A165-A164)*360</f>
        <v/>
      </c>
      <c r="D165" s="30">
        <f>B165/$B$3*100</f>
        <v/>
      </c>
      <c r="F165" s="28" t="n">
        <v>43585</v>
      </c>
      <c r="I165" s="36" t="n"/>
      <c r="J165" s="29" t="n"/>
      <c r="K165" s="29" t="n"/>
      <c r="L165" s="36" t="n"/>
      <c r="M165" s="29" t="n"/>
    </row>
    <row r="166">
      <c r="A166" s="28" t="n">
        <v>43616</v>
      </c>
      <c r="B166" s="14" t="n">
        <v>18591.02</v>
      </c>
      <c r="C166" s="36">
        <f>(B166/B165-1)/(A166-A165)*360</f>
        <v/>
      </c>
      <c r="D166" s="30">
        <f>B166/$B$3*100</f>
        <v/>
      </c>
      <c r="F166" s="28" t="n">
        <v>43616</v>
      </c>
      <c r="I166" s="36" t="n"/>
      <c r="J166" s="29" t="n"/>
      <c r="L166" s="36" t="n"/>
      <c r="M166" s="29" t="n"/>
    </row>
    <row r="167">
      <c r="A167" s="28" t="n">
        <v>43646</v>
      </c>
      <c r="B167" s="14" t="n">
        <v>18632.31</v>
      </c>
      <c r="C167" s="36">
        <f>(B167/B166-1)/(A167-A166)*360</f>
        <v/>
      </c>
      <c r="D167" s="14">
        <f>B167/$B$3*100</f>
        <v/>
      </c>
      <c r="F167" s="28" t="n">
        <v>43646</v>
      </c>
      <c r="I167" s="36" t="n"/>
      <c r="J167" s="29" t="n"/>
      <c r="L167" s="36" t="n"/>
      <c r="M167" s="29" t="n"/>
    </row>
    <row r="168">
      <c r="A168" s="28" t="n">
        <v>43677</v>
      </c>
      <c r="B168" s="14" t="n">
        <v>18672.31</v>
      </c>
      <c r="C168" s="36">
        <f>(B168/B167-1)/(A168-A167)*360</f>
        <v/>
      </c>
      <c r="D168" s="14">
        <f>B168/$B$3*100</f>
        <v/>
      </c>
      <c r="F168" s="28" t="n">
        <v>43677</v>
      </c>
      <c r="I168" s="36" t="n"/>
      <c r="J168" s="29" t="n"/>
      <c r="L168" s="36" t="n"/>
      <c r="M168" s="29" t="n"/>
      <c r="AR168" s="64" t="n"/>
    </row>
    <row r="169">
      <c r="A169" s="28" t="n">
        <v>43708</v>
      </c>
      <c r="B169" s="14" t="n">
        <v>18712.55</v>
      </c>
      <c r="C169" s="36">
        <f>(B169/B168-1)/(A169-A168)*360</f>
        <v/>
      </c>
      <c r="D169" s="14">
        <f>B169/$B$3*100</f>
        <v/>
      </c>
      <c r="F169" s="28" t="n">
        <v>43708</v>
      </c>
      <c r="I169" s="36" t="n"/>
      <c r="J169" s="29" t="n"/>
      <c r="L169" s="36" t="n"/>
      <c r="M169" s="29" t="n"/>
    </row>
    <row r="170">
      <c r="A170" s="28" t="n">
        <v>43738</v>
      </c>
      <c r="B170" s="14" t="n">
        <v>18744.77</v>
      </c>
      <c r="C170" s="36">
        <f>(B170/B169-1)/(A170-A169)*360</f>
        <v/>
      </c>
      <c r="D170" s="14">
        <f>B170/$B$3*100</f>
        <v/>
      </c>
      <c r="F170" s="28" t="n">
        <v>43738</v>
      </c>
      <c r="I170" s="36" t="n"/>
      <c r="J170" s="29" t="n"/>
      <c r="L170" s="36" t="n"/>
      <c r="M170" s="29" t="n"/>
    </row>
    <row r="171">
      <c r="A171" s="28" t="n">
        <v>43769</v>
      </c>
      <c r="B171" s="14" t="n">
        <v>18776.102</v>
      </c>
      <c r="C171" s="36">
        <f>(B171/B170-1)/(A171-A170)*360</f>
        <v/>
      </c>
      <c r="D171" s="14">
        <f>B171/$B$3*100</f>
        <v/>
      </c>
      <c r="F171" s="28" t="n">
        <v>43769</v>
      </c>
      <c r="I171" s="36" t="n"/>
      <c r="J171" s="29" t="n"/>
      <c r="L171" s="36" t="n"/>
      <c r="M171" s="29" t="n"/>
    </row>
    <row r="172">
      <c r="A172" s="28" t="n">
        <v>43799</v>
      </c>
      <c r="B172" s="14" t="n">
        <v>18802.79</v>
      </c>
      <c r="C172" s="36">
        <f>(B172/B171-1)/(A172-A171)*360</f>
        <v/>
      </c>
      <c r="D172" s="14">
        <f>B172/$B$3*100</f>
        <v/>
      </c>
      <c r="F172" s="28" t="n">
        <v>43799</v>
      </c>
      <c r="I172" s="36" t="n"/>
      <c r="J172" s="29" t="n"/>
      <c r="L172" s="36" t="n"/>
      <c r="M172" s="29" t="n"/>
    </row>
    <row r="173">
      <c r="A173" s="28" t="n">
        <v>43830</v>
      </c>
      <c r="B173" s="14" t="n">
        <v>18830.68</v>
      </c>
      <c r="C173" s="36">
        <f>(B173/B172-1)/(A173-A172)*360</f>
        <v/>
      </c>
      <c r="D173" s="14">
        <f>B173/$B$3*100</f>
        <v/>
      </c>
      <c r="F173" s="28" t="n">
        <v>43830</v>
      </c>
      <c r="I173" s="36" t="n"/>
      <c r="J173" s="29" t="n"/>
      <c r="L173" s="36" t="n"/>
      <c r="M173" s="29" t="n"/>
    </row>
    <row r="174">
      <c r="A174" s="28" t="n">
        <v>43861</v>
      </c>
      <c r="B174" s="14" t="n">
        <v>18861.86</v>
      </c>
      <c r="C174" s="36">
        <f>(B174/B173-1)/(A174-A173)*360</f>
        <v/>
      </c>
      <c r="D174" s="14">
        <f>B174/$B$3*100</f>
        <v/>
      </c>
      <c r="F174" s="28" t="n">
        <v>43861</v>
      </c>
      <c r="I174" s="36" t="n"/>
      <c r="J174" s="29" t="n"/>
      <c r="L174" s="36" t="n"/>
      <c r="M174" s="29" t="n"/>
    </row>
    <row r="175">
      <c r="A175" s="28" t="n">
        <v>43890</v>
      </c>
      <c r="B175" s="14" t="n">
        <v>18887.8867</v>
      </c>
      <c r="C175" s="36">
        <f>(B175/B174-1)/(A175-A174)*360</f>
        <v/>
      </c>
      <c r="D175" s="14">
        <f>B175/$B$3*100</f>
        <v/>
      </c>
      <c r="F175" s="28" t="n">
        <v>43890</v>
      </c>
      <c r="I175" s="36" t="n"/>
      <c r="J175" s="29" t="n"/>
      <c r="L175" s="36" t="n"/>
      <c r="M175" s="29" t="n"/>
    </row>
    <row r="176">
      <c r="A176" s="28" t="n">
        <v>43921</v>
      </c>
      <c r="B176" s="14" t="n">
        <v>18908.77</v>
      </c>
      <c r="C176" s="36">
        <f>(B176/B175-1)/(A176-A175)*360</f>
        <v/>
      </c>
      <c r="D176" s="14">
        <f>B176/$B$3*100</f>
        <v/>
      </c>
      <c r="F176" s="28" t="n">
        <v>43921</v>
      </c>
      <c r="I176" s="36" t="n"/>
      <c r="J176" s="29" t="n"/>
      <c r="L176" s="36" t="n"/>
      <c r="M176" s="29" t="n"/>
    </row>
    <row r="177">
      <c r="A177" s="28" t="n">
        <v>43951</v>
      </c>
      <c r="B177" s="14" t="n">
        <v>18917.93</v>
      </c>
      <c r="C177" s="36">
        <f>(B177/B176-1)/(A177-A176)*360</f>
        <v/>
      </c>
      <c r="D177" s="14">
        <f>B177/$B$3*100</f>
        <v/>
      </c>
      <c r="F177" s="28" t="n">
        <v>43951</v>
      </c>
      <c r="I177" s="36" t="n"/>
      <c r="J177" s="29" t="n"/>
      <c r="L177" s="36" t="n"/>
      <c r="M177" s="29" t="n"/>
    </row>
    <row r="178">
      <c r="A178" s="28" t="n">
        <v>43982</v>
      </c>
      <c r="B178" s="14" t="n">
        <v>18925.24</v>
      </c>
      <c r="C178" s="36">
        <f>(B178/B177-1)/(A178-A177)*360</f>
        <v/>
      </c>
      <c r="D178" s="14">
        <f>B178/$B$3*100</f>
        <v/>
      </c>
      <c r="F178" s="28" t="n">
        <v>43982</v>
      </c>
      <c r="I178" s="36" t="n"/>
      <c r="J178" s="29" t="n"/>
      <c r="L178" s="36" t="n"/>
      <c r="M178" s="29" t="n"/>
    </row>
    <row r="179">
      <c r="A179" s="28" t="n">
        <v>44012</v>
      </c>
      <c r="B179" s="14" t="n">
        <v>18932.63</v>
      </c>
      <c r="C179" s="36">
        <f>(B179/B178-1)/(A179-A178)*360</f>
        <v/>
      </c>
      <c r="D179" s="14">
        <f>B179/$B$3*100</f>
        <v/>
      </c>
      <c r="F179" s="28" t="n">
        <v>44012</v>
      </c>
      <c r="I179" s="36" t="n"/>
      <c r="J179" s="29" t="n"/>
      <c r="L179" s="36" t="n"/>
      <c r="M179" s="29" t="n"/>
    </row>
    <row r="180">
      <c r="A180" s="28" t="n">
        <v>44043</v>
      </c>
      <c r="B180" s="14" t="n">
        <v>18940.74</v>
      </c>
      <c r="C180" s="36">
        <f>(B180/B179-1)/(A180-A179)*360</f>
        <v/>
      </c>
      <c r="D180" s="14">
        <f>B180/$B$3*100</f>
        <v/>
      </c>
      <c r="F180" s="28" t="n">
        <v>44043</v>
      </c>
      <c r="I180" s="36" t="n"/>
      <c r="J180" s="29" t="n"/>
      <c r="L180" s="36" t="n"/>
      <c r="M180" s="29" t="n"/>
      <c r="AD180" s="64" t="n"/>
      <c r="AE180" s="64" t="n"/>
      <c r="AF180" s="64" t="n"/>
      <c r="AG180" s="64" t="n"/>
      <c r="AH180" s="64" t="n"/>
      <c r="AI180" s="64" t="n"/>
      <c r="AJ180" s="64" t="n"/>
      <c r="AK180" s="64" t="n"/>
      <c r="AL180" s="64" t="n"/>
      <c r="AM180" s="64" t="n"/>
      <c r="AN180" s="64" t="n"/>
      <c r="AO180" s="64" t="n"/>
      <c r="AP180" s="64" t="n"/>
      <c r="AQ180" s="64" t="n"/>
    </row>
    <row r="181">
      <c r="A181" s="28" t="n">
        <v>44074</v>
      </c>
      <c r="B181" s="14" t="n">
        <v>18948.69</v>
      </c>
      <c r="C181" s="36">
        <f>(B181/B180-1)/(A181-A180)*360</f>
        <v/>
      </c>
      <c r="D181" s="14">
        <f>B181/$B$3*100</f>
        <v/>
      </c>
      <c r="F181" s="28" t="n">
        <v>44074</v>
      </c>
      <c r="I181" s="36" t="n"/>
      <c r="J181" s="29" t="n"/>
      <c r="L181" s="36" t="n"/>
      <c r="M181" s="29" t="n"/>
    </row>
    <row r="182">
      <c r="A182" s="28" t="n">
        <v>44104</v>
      </c>
      <c r="B182" s="14" t="n">
        <v>18956.17</v>
      </c>
      <c r="C182" s="36">
        <f>(B182/B181-1)/(A182-A181)*360</f>
        <v/>
      </c>
      <c r="D182" s="14">
        <f>B182/$B$3*100</f>
        <v/>
      </c>
      <c r="F182" s="28" t="n">
        <v>44104</v>
      </c>
      <c r="I182" s="36" t="n"/>
      <c r="J182" s="29" t="n"/>
      <c r="L182" s="36" t="n"/>
      <c r="M182" s="29" t="n"/>
    </row>
    <row r="183">
      <c r="A183" s="28" t="n">
        <v>44135</v>
      </c>
      <c r="B183" s="14" t="n">
        <v>18963.23</v>
      </c>
      <c r="C183" s="36">
        <f>(B183/B182-1)/(A183-A182)*360</f>
        <v/>
      </c>
      <c r="D183" s="14">
        <f>B183/$B$3*100</f>
        <v/>
      </c>
      <c r="F183" s="28" t="n">
        <v>44135</v>
      </c>
      <c r="I183" s="36" t="n"/>
      <c r="J183" s="29" t="n"/>
      <c r="L183" s="36" t="n"/>
      <c r="M183" s="29" t="n"/>
    </row>
    <row r="184">
      <c r="A184" s="28" t="n">
        <v>44165</v>
      </c>
      <c r="B184" s="30" t="n">
        <v>18969.48</v>
      </c>
      <c r="C184" s="36">
        <f>(B184/B183-1)/(A184-A183)*360</f>
        <v/>
      </c>
      <c r="D184" s="14">
        <f>B184/$B$3*100</f>
        <v/>
      </c>
      <c r="F184" s="28" t="n">
        <v>44165</v>
      </c>
      <c r="I184" s="36" t="n"/>
      <c r="J184" s="29" t="n"/>
      <c r="L184" s="36" t="n"/>
      <c r="M184" s="29" t="n"/>
    </row>
    <row r="185">
      <c r="A185" s="28" t="n">
        <v>44196</v>
      </c>
      <c r="B185" s="14" t="n">
        <v>18976.88</v>
      </c>
      <c r="C185" s="36">
        <f>(B185/B184-1)/(A185-A184)*360</f>
        <v/>
      </c>
      <c r="D185" s="14">
        <f>B185/$B$3*100</f>
        <v/>
      </c>
      <c r="F185" s="28" t="n">
        <v>44196</v>
      </c>
      <c r="I185" s="36" t="n"/>
      <c r="J185" s="29" t="n"/>
      <c r="L185" s="36" t="n"/>
      <c r="M185" s="29" t="n"/>
    </row>
    <row r="186">
      <c r="A186" s="28" t="n">
        <v>44227</v>
      </c>
      <c r="B186" s="14" t="n">
        <v>18982.04</v>
      </c>
      <c r="C186" s="36">
        <f>(B186/B185-1)/(A186-A185)*360</f>
        <v/>
      </c>
      <c r="D186" s="14">
        <f>B186/$B$3*100</f>
        <v/>
      </c>
      <c r="F186" s="28" t="n">
        <v>44227</v>
      </c>
      <c r="I186" s="36" t="n"/>
      <c r="J186" s="29" t="n"/>
      <c r="L186" s="36" t="n"/>
      <c r="M186" s="29" t="n"/>
    </row>
    <row r="187">
      <c r="A187" s="28" t="n">
        <v>44255</v>
      </c>
      <c r="B187" s="14" t="n">
        <v>18986.58</v>
      </c>
      <c r="C187" s="36">
        <f>(B187/B186-1)/(A187-A186)*360</f>
        <v/>
      </c>
      <c r="D187" s="14">
        <f>B187/$B$3*100</f>
        <v/>
      </c>
      <c r="F187" s="28" t="n">
        <v>44255</v>
      </c>
      <c r="I187" s="36" t="n"/>
      <c r="J187" s="29" t="n"/>
      <c r="L187" s="36" t="n"/>
      <c r="M187" s="29" t="n"/>
    </row>
    <row r="188">
      <c r="A188" s="28" t="n">
        <v>44286</v>
      </c>
      <c r="B188" s="30" t="n">
        <v>18991.5</v>
      </c>
      <c r="C188" s="36">
        <f>(B188/B187-1)/(A188-A187)*360</f>
        <v/>
      </c>
      <c r="D188" s="14">
        <f>B188/$B$3*100</f>
        <v/>
      </c>
      <c r="F188" s="28" t="n">
        <v>44286</v>
      </c>
      <c r="I188" s="36" t="n"/>
      <c r="J188" s="29" t="n"/>
      <c r="L188" s="36" t="n"/>
      <c r="M188" s="29" t="n"/>
    </row>
    <row r="189">
      <c r="A189" s="28" t="n">
        <v>44316</v>
      </c>
      <c r="B189" s="14" t="n">
        <v>18997.09</v>
      </c>
      <c r="C189" s="36">
        <f>(B189/B188-1)/(A189-A188)*360</f>
        <v/>
      </c>
      <c r="D189" s="14">
        <f>B189/$B$3*100</f>
        <v/>
      </c>
      <c r="F189" s="28" t="n">
        <v>44316</v>
      </c>
      <c r="I189" s="36" t="n"/>
      <c r="J189" s="29" t="n"/>
      <c r="K189" s="29" t="n"/>
      <c r="L189" s="36" t="n"/>
      <c r="M189" s="29" t="n"/>
    </row>
    <row r="190">
      <c r="A190" s="28" t="n">
        <v>44347</v>
      </c>
      <c r="B190" s="14" t="n">
        <v>19001.7</v>
      </c>
      <c r="C190" s="36">
        <f>(B190/B189-1)/(A190-A189)*360</f>
        <v/>
      </c>
      <c r="D190" s="14">
        <f>B190/$B$3*100</f>
        <v/>
      </c>
      <c r="F190" s="28" t="n">
        <v>44356</v>
      </c>
      <c r="I190" s="36" t="n"/>
      <c r="J190" s="29" t="n"/>
      <c r="K190" s="29" t="n"/>
      <c r="L190" s="36" t="n"/>
      <c r="M190" s="29" t="n"/>
    </row>
    <row r="191">
      <c r="A191" s="28" t="n">
        <v>44377</v>
      </c>
      <c r="B191" s="14" t="n">
        <v>19006.88</v>
      </c>
      <c r="C191" s="36">
        <f>(B191/B190-1)/(A191-A190)*360</f>
        <v/>
      </c>
      <c r="D191" s="14">
        <f>B191/$B$3*100</f>
        <v/>
      </c>
      <c r="F191" s="28" t="n">
        <v>44377</v>
      </c>
      <c r="I191" s="36" t="n"/>
      <c r="J191" s="29" t="n"/>
      <c r="L191" s="36" t="n"/>
      <c r="M191" s="29" t="n"/>
    </row>
    <row r="192">
      <c r="A192" s="28" t="n">
        <v>44408</v>
      </c>
      <c r="B192" s="14" t="n">
        <v>19016.42</v>
      </c>
      <c r="C192" s="36">
        <f>(B192/B191-1)/(A192-A191)*360</f>
        <v/>
      </c>
      <c r="D192" s="14">
        <f>B192/$B$3*100</f>
        <v/>
      </c>
      <c r="F192" s="28" t="n">
        <v>44408</v>
      </c>
      <c r="I192" s="36" t="n"/>
      <c r="J192" s="29" t="n"/>
      <c r="K192" s="29" t="n"/>
      <c r="L192" s="36" t="n"/>
      <c r="M192" s="29" t="n"/>
    </row>
    <row r="193">
      <c r="A193" s="28" t="n">
        <v>44439</v>
      </c>
      <c r="B193" s="14" t="n">
        <v>19028.38</v>
      </c>
      <c r="C193" s="36">
        <f>(B193/B192-1)/(A193-A192)*360</f>
        <v/>
      </c>
      <c r="D193" s="14">
        <f>B193/$B$3*100</f>
        <v/>
      </c>
      <c r="F193" s="28" t="n">
        <v>44439</v>
      </c>
      <c r="I193" s="36" t="n"/>
      <c r="J193" s="29" t="n"/>
      <c r="K193" s="29" t="n"/>
      <c r="L193" s="36" t="n"/>
      <c r="M193" s="29" t="n"/>
    </row>
    <row r="194">
      <c r="A194" s="28" t="n">
        <v>44469</v>
      </c>
      <c r="B194" s="14" t="n">
        <v>19052.12</v>
      </c>
      <c r="C194" s="36">
        <f>(B194/B193-1)/(A194-A193)*360</f>
        <v/>
      </c>
      <c r="D194" s="14">
        <f>B194/$B$3*100</f>
        <v/>
      </c>
      <c r="F194" s="28" t="n">
        <v>44469</v>
      </c>
      <c r="I194" s="36" t="n"/>
      <c r="J194" s="29" t="n"/>
      <c r="K194" s="29" t="n"/>
      <c r="L194" s="36" t="n"/>
      <c r="M194" s="29" t="n"/>
    </row>
    <row r="195">
      <c r="A195" s="28" t="n">
        <v>44500</v>
      </c>
      <c r="B195" s="14" t="n">
        <v>19091.59</v>
      </c>
      <c r="C195" s="36">
        <f>(B195/B194-1)/(A195-A194)*360</f>
        <v/>
      </c>
      <c r="D195" s="14">
        <f>B195/$B$3*100</f>
        <v/>
      </c>
      <c r="F195" s="28" t="n">
        <v>44500</v>
      </c>
      <c r="I195" s="36" t="n"/>
      <c r="J195" s="29" t="n"/>
      <c r="K195" s="29" t="n"/>
      <c r="L195" s="36" t="n"/>
      <c r="M195" s="29" t="n"/>
    </row>
    <row r="196">
      <c r="A196" s="28" t="n">
        <v>44530</v>
      </c>
      <c r="B196" s="14" t="n">
        <v>19132.47</v>
      </c>
      <c r="C196" s="36">
        <f>(B196/B195-1)/(A196-A195)*360</f>
        <v/>
      </c>
      <c r="D196" s="14">
        <f>B196/$B$3*100</f>
        <v/>
      </c>
      <c r="F196" s="28" t="n">
        <v>44530</v>
      </c>
      <c r="I196" s="36" t="n"/>
      <c r="J196" s="29" t="n"/>
      <c r="K196" s="29" t="n"/>
      <c r="L196" s="36" t="n"/>
      <c r="M196" s="29" t="n"/>
    </row>
    <row r="197">
      <c r="A197" s="28" t="n">
        <v>44561</v>
      </c>
      <c r="B197" s="14" t="n">
        <v>19193.41</v>
      </c>
      <c r="C197" s="36">
        <f>(B197/B196-1)/(A197-A196)*360</f>
        <v/>
      </c>
      <c r="D197" s="14">
        <f>B197/$B$3*100</f>
        <v/>
      </c>
      <c r="F197" s="28" t="n">
        <v>44561</v>
      </c>
      <c r="I197" s="36" t="n"/>
      <c r="J197" s="29" t="n"/>
      <c r="L197" s="36" t="n"/>
      <c r="M197" s="29" t="n"/>
    </row>
    <row r="198">
      <c r="A198" s="28" t="n">
        <v>44592</v>
      </c>
      <c r="B198" s="14" t="n">
        <v>19259.35</v>
      </c>
      <c r="C198" s="36">
        <f>(B198/B197-1)/(A198-A197)*360</f>
        <v/>
      </c>
      <c r="D198" s="14">
        <f>B198/$B$3*100</f>
        <v/>
      </c>
      <c r="F198" s="28" t="n">
        <v>44592</v>
      </c>
      <c r="I198" s="36" t="n"/>
      <c r="J198" s="29" t="n"/>
      <c r="L198" s="36" t="n"/>
      <c r="M198" s="29" t="n"/>
    </row>
    <row r="199">
      <c r="A199" s="28" t="n">
        <v>44620</v>
      </c>
      <c r="B199" s="30" t="n">
        <v>19341.9</v>
      </c>
      <c r="C199" s="36">
        <f>(B199/B198-1)/(A199-A198)*360</f>
        <v/>
      </c>
      <c r="D199" s="14">
        <f>B199/$B$3*100</f>
        <v/>
      </c>
      <c r="F199" s="28" t="n">
        <v>44620</v>
      </c>
      <c r="I199" s="36" t="n"/>
      <c r="J199" s="29" t="n"/>
      <c r="K199" s="29" t="n"/>
      <c r="L199" s="36" t="n"/>
      <c r="M199" s="29" t="n"/>
    </row>
    <row r="200">
      <c r="A200" s="28" t="n">
        <v>44651</v>
      </c>
      <c r="B200" s="14" t="n">
        <v>19435.35</v>
      </c>
      <c r="C200" s="36">
        <f>(B200/B199-1)/(A200-A199)*360</f>
        <v/>
      </c>
      <c r="D200" s="14">
        <f>B200/$B$3*100</f>
        <v/>
      </c>
      <c r="F200" s="28" t="n">
        <v>44651</v>
      </c>
      <c r="I200" s="36" t="n"/>
      <c r="J200" s="29" t="n"/>
      <c r="K200" s="29" t="n"/>
      <c r="L200" s="36" t="n"/>
      <c r="M200" s="29" t="n"/>
    </row>
    <row r="201">
      <c r="A201" s="28" t="n">
        <v>44681</v>
      </c>
      <c r="B201" s="14" t="n">
        <v>19541.32</v>
      </c>
      <c r="C201" s="36">
        <f>(B201/B200-1)/(A201-A200)*360</f>
        <v/>
      </c>
      <c r="D201" s="14">
        <f>B201/$B$3*100</f>
        <v/>
      </c>
      <c r="F201" s="28" t="n">
        <v>44681</v>
      </c>
      <c r="I201" s="36" t="n"/>
      <c r="J201" s="29" t="n"/>
      <c r="K201" s="29" t="n"/>
      <c r="L201" s="36" t="n"/>
      <c r="M201" s="29" t="n"/>
    </row>
    <row r="202">
      <c r="A202" s="28" t="n">
        <v>44712</v>
      </c>
      <c r="B202" s="14" t="n">
        <v>19680.32</v>
      </c>
      <c r="C202" s="36">
        <f>(B202/B201-1)/(A202-A201)*360</f>
        <v/>
      </c>
      <c r="D202" s="14">
        <f>B202/$B$3*100</f>
        <v/>
      </c>
      <c r="F202" s="28" t="n">
        <v>44712</v>
      </c>
      <c r="I202" s="36" t="n"/>
      <c r="J202" s="29" t="n"/>
      <c r="L202" s="36" t="n"/>
      <c r="M202" s="29" t="n"/>
    </row>
    <row r="203">
      <c r="A203" s="28" t="n">
        <v>44742</v>
      </c>
      <c r="B203" s="14" t="n">
        <v>19825.16</v>
      </c>
      <c r="C203" s="36">
        <f>(B203/B202-1)/(A203-A202)*360</f>
        <v/>
      </c>
      <c r="D203" s="14">
        <f>B203/$B$3*100</f>
        <v/>
      </c>
      <c r="F203" s="28" t="n">
        <v>44742</v>
      </c>
      <c r="I203" s="36" t="n"/>
      <c r="J203" s="29" t="n"/>
      <c r="K203" s="29" t="n"/>
      <c r="L203" s="36" t="n"/>
      <c r="M203" s="29" t="n"/>
    </row>
    <row r="204">
      <c r="A204" s="28" t="n">
        <v>44773</v>
      </c>
      <c r="B204" s="14" t="n">
        <v>19975.62</v>
      </c>
      <c r="C204" s="36">
        <f>(B204/B203-1)/(A204-A203)*360</f>
        <v/>
      </c>
      <c r="D204" s="14">
        <f>B204/$B$3*100</f>
        <v/>
      </c>
      <c r="F204" s="28" t="n">
        <v>44773</v>
      </c>
      <c r="I204" s="36" t="n"/>
      <c r="J204" s="29" t="n"/>
      <c r="K204" s="29" t="n"/>
      <c r="L204" s="36" t="n"/>
      <c r="M204" s="29" t="n"/>
    </row>
    <row r="205">
      <c r="A205" s="28" t="n">
        <v>44804</v>
      </c>
      <c r="B205" s="14" t="n">
        <v>20154.92</v>
      </c>
      <c r="C205" s="36">
        <f>(B205/B204-1)/(A205-A204)*360</f>
        <v/>
      </c>
      <c r="D205" s="14">
        <f>B205/$B$3*100</f>
        <v/>
      </c>
      <c r="F205" s="28" t="n">
        <v>44804</v>
      </c>
      <c r="I205" s="36" t="n"/>
      <c r="J205" s="29" t="n"/>
      <c r="K205" s="29" t="n"/>
      <c r="L205" s="36" t="n"/>
      <c r="M205" s="29" t="n"/>
    </row>
    <row r="206">
      <c r="A206" s="28" t="n">
        <v>44834</v>
      </c>
      <c r="B206" s="14" t="n">
        <v>20332.28</v>
      </c>
      <c r="C206" s="36">
        <f>(B206/B205-1)/(A206-A205)*360</f>
        <v/>
      </c>
      <c r="D206" s="14">
        <f>B206/$B$3*100</f>
        <v/>
      </c>
      <c r="F206" s="28" t="n">
        <v>44834</v>
      </c>
      <c r="I206" s="36" t="n"/>
      <c r="J206" s="29" t="n"/>
      <c r="K206" s="29" t="n"/>
      <c r="L206" s="36" t="n"/>
      <c r="M206" s="29" t="n"/>
    </row>
    <row r="207">
      <c r="A207" s="28" t="n">
        <v>44862</v>
      </c>
      <c r="B207" s="14" t="n">
        <v>20507.2</v>
      </c>
      <c r="C207" s="36">
        <f>(B207/B206-1)/(A207-A206)*360</f>
        <v/>
      </c>
      <c r="D207" s="14">
        <f>B207/$B$3*100</f>
        <v/>
      </c>
      <c r="F207" s="28" t="n">
        <v>44862</v>
      </c>
      <c r="I207" s="36" t="n"/>
      <c r="J207" s="29" t="n"/>
      <c r="K207" s="29" t="n"/>
      <c r="L207" s="36" t="n"/>
      <c r="M207" s="29" t="n"/>
    </row>
    <row r="208">
      <c r="A208" s="28" t="n">
        <v>44895</v>
      </c>
      <c r="B208" s="14" t="n">
        <v>20719.68</v>
      </c>
      <c r="C208" s="36">
        <f>(B208/B207-1)/(A208-A207)*360</f>
        <v/>
      </c>
      <c r="D208" s="14">
        <f>B208/$B$3*100</f>
        <v/>
      </c>
      <c r="F208" s="28" t="n">
        <v>44895</v>
      </c>
      <c r="I208" s="36" t="n"/>
      <c r="J208" s="29" t="n"/>
      <c r="K208" s="29" t="n"/>
      <c r="L208" s="36" t="n"/>
      <c r="M208" s="29" t="n"/>
    </row>
    <row r="209">
      <c r="A209" s="28" t="n">
        <v>44925</v>
      </c>
      <c r="B209" s="14" t="n">
        <v>20914.79</v>
      </c>
      <c r="C209" s="36">
        <f>(B209/B208-1)/(A209-A208)*360</f>
        <v/>
      </c>
      <c r="D209" s="14">
        <f>B209/$B$3*100</f>
        <v/>
      </c>
      <c r="F209" s="28" t="n">
        <v>44925</v>
      </c>
      <c r="I209" s="36" t="n"/>
      <c r="J209" s="29" t="n"/>
      <c r="K209" s="29" t="n"/>
      <c r="L209" s="36" t="n"/>
      <c r="M209" s="29" t="n"/>
    </row>
    <row r="210">
      <c r="A210" s="28" t="n">
        <v>44957</v>
      </c>
      <c r="B210" s="14" t="n">
        <v>21124.92</v>
      </c>
      <c r="C210" s="36">
        <f>(B210/B209-1)/(A210-A209)*360</f>
        <v/>
      </c>
      <c r="D210" s="14">
        <f>B210/$B$3*100</f>
        <v/>
      </c>
      <c r="F210" s="28" t="n">
        <v>44957</v>
      </c>
      <c r="I210" s="36" t="n"/>
      <c r="J210" s="29" t="n"/>
      <c r="K210" s="29" t="n"/>
      <c r="L210" s="36" t="n"/>
      <c r="M210" s="29" t="n"/>
    </row>
    <row r="211">
      <c r="A211" s="28" t="n">
        <v>44985</v>
      </c>
      <c r="B211" s="14" t="n">
        <v>21310.51</v>
      </c>
      <c r="C211" s="36">
        <f>(B211/B210-1)/(A211-A210)*360</f>
        <v/>
      </c>
      <c r="D211" s="14">
        <f>B211/$B$3*100</f>
        <v/>
      </c>
      <c r="F211" s="28" t="n">
        <v>44985</v>
      </c>
      <c r="I211" s="36" t="n"/>
      <c r="J211" s="29" t="n"/>
      <c r="K211" s="29" t="n"/>
      <c r="L211" s="36" t="n"/>
      <c r="M211" s="29" t="n"/>
    </row>
    <row r="212">
      <c r="A212" s="28" t="n">
        <v>45016</v>
      </c>
      <c r="B212" s="14" t="n">
        <v>21517.9</v>
      </c>
      <c r="C212" s="36">
        <f>(B212/B211-1)/(A212-A211)*360</f>
        <v/>
      </c>
      <c r="D212" s="14">
        <f>B212/$B$3*100</f>
        <v/>
      </c>
      <c r="F212" s="28" t="n">
        <v>45016</v>
      </c>
      <c r="I212" s="36" t="n"/>
      <c r="J212" s="29" t="n"/>
      <c r="L212" s="36" t="n"/>
      <c r="M212" s="29" t="n"/>
    </row>
    <row r="213">
      <c r="A213" s="28" t="n">
        <v>45044</v>
      </c>
      <c r="B213" s="14" t="n">
        <v>21706.94</v>
      </c>
      <c r="C213" s="36">
        <f>(B213/B212-1)/(A213-A212)*360</f>
        <v/>
      </c>
      <c r="D213" s="14">
        <f>B213/$B$3*100</f>
        <v/>
      </c>
      <c r="F213" s="28" t="n">
        <v>45044</v>
      </c>
      <c r="I213" s="36" t="n"/>
      <c r="J213" s="29" t="n"/>
      <c r="K213" s="29" t="n"/>
      <c r="L213" s="36" t="n"/>
      <c r="M213" s="29" t="n"/>
    </row>
    <row r="214">
      <c r="A214" s="28" t="n">
        <v>45077</v>
      </c>
      <c r="B214" s="14" t="n">
        <v>21931.86</v>
      </c>
      <c r="C214" s="36">
        <f>(B214/B213-1)/(A214-A213)*360</f>
        <v/>
      </c>
      <c r="D214" s="14">
        <f>B214/$B$3*100</f>
        <v/>
      </c>
      <c r="F214" s="28" t="n">
        <v>45077</v>
      </c>
      <c r="I214" s="36" t="n"/>
      <c r="J214" s="29" t="n"/>
      <c r="K214" s="29" t="n"/>
      <c r="L214" s="36" t="n"/>
      <c r="M214" s="29" t="n"/>
    </row>
    <row r="215">
      <c r="A215" s="28" t="n">
        <v>45107</v>
      </c>
      <c r="B215" s="14" t="n">
        <v>22138.35</v>
      </c>
      <c r="C215" s="36">
        <f>(B215/B214-1)/(A215-A214)*360</f>
        <v/>
      </c>
      <c r="D215" s="14">
        <f>B215/$B$3*100</f>
        <v/>
      </c>
      <c r="F215" s="28" t="n">
        <v>45107</v>
      </c>
      <c r="I215" s="36" t="n"/>
      <c r="J215" s="29" t="n"/>
      <c r="L215" s="36" t="n"/>
      <c r="M215" s="29" t="n"/>
    </row>
    <row r="216">
      <c r="A216" s="28" t="n">
        <v>45138</v>
      </c>
      <c r="B216" s="14" t="n">
        <v>22353.79</v>
      </c>
      <c r="C216" s="36">
        <f>(B216/B215-1)/(A216-A215)*360</f>
        <v/>
      </c>
      <c r="D216" s="14">
        <f>B216/$B$3*100</f>
        <v/>
      </c>
      <c r="F216" s="28" t="n">
        <v>45138</v>
      </c>
      <c r="I216" s="36" t="n"/>
      <c r="J216" s="29" t="n"/>
      <c r="L216" s="36" t="n"/>
      <c r="M216" s="29" t="n"/>
    </row>
    <row r="217">
      <c r="A217" s="28" t="n">
        <v>45169</v>
      </c>
      <c r="B217" s="14" t="n">
        <v>22551.92</v>
      </c>
      <c r="C217" s="36">
        <f>(B217/B216-1)/(A217-A216)*360</f>
        <v/>
      </c>
      <c r="D217" s="14">
        <f>B217/$B$3*100</f>
        <v/>
      </c>
      <c r="F217" s="28" t="n">
        <v>45169</v>
      </c>
      <c r="I217" s="36" t="n"/>
      <c r="J217" s="29" t="n"/>
      <c r="K217" s="29" t="n"/>
      <c r="L217" s="36" t="n"/>
      <c r="M217" s="29" t="n"/>
    </row>
    <row r="218">
      <c r="A218" s="28" t="n">
        <v>45199</v>
      </c>
      <c r="B218" s="14" t="n">
        <v>22727.72</v>
      </c>
      <c r="C218" s="36">
        <f>(B218/B217-1)/(A218-A217)*360</f>
        <v/>
      </c>
      <c r="D218" s="14">
        <f>B218/$B$3*100</f>
        <v/>
      </c>
      <c r="F218" s="28" t="n">
        <v>45199</v>
      </c>
      <c r="I218" s="36" t="n"/>
      <c r="J218" s="29" t="n"/>
      <c r="K218" s="29" t="n"/>
      <c r="L218" s="36" t="n"/>
      <c r="M218" s="29" t="n"/>
    </row>
    <row r="219">
      <c r="A219" s="28" t="n">
        <v>45230</v>
      </c>
      <c r="B219" s="30" t="n">
        <v>22920</v>
      </c>
      <c r="C219" s="36">
        <f>(B219/B218-1)/(A219-A218)*360</f>
        <v/>
      </c>
      <c r="D219" s="14">
        <f>B219/$B$3*100</f>
        <v/>
      </c>
      <c r="F219" s="28" t="n">
        <v>45230</v>
      </c>
      <c r="I219" s="36" t="n"/>
      <c r="J219" s="29" t="n"/>
      <c r="K219" s="29" t="n"/>
      <c r="L219" s="36" t="n"/>
      <c r="M219" s="29" t="n"/>
    </row>
    <row r="220">
      <c r="A220" s="28" t="n">
        <v>45260</v>
      </c>
      <c r="B220" s="14" t="n">
        <v>23092.51</v>
      </c>
      <c r="C220" s="36">
        <f>(B220/B219-1)/(A220-A219)*360</f>
        <v/>
      </c>
      <c r="D220" s="14">
        <f>B220/$B$3*100</f>
        <v/>
      </c>
      <c r="F220" s="28" t="n">
        <v>45260</v>
      </c>
      <c r="I220" s="36" t="n"/>
      <c r="J220" s="29" t="n"/>
      <c r="L220" s="36" t="n"/>
      <c r="M220" s="29" t="n"/>
    </row>
    <row r="221">
      <c r="A221" s="28" t="n">
        <v>45291</v>
      </c>
      <c r="B221" s="14" t="n">
        <v>23256.05</v>
      </c>
      <c r="C221" s="36">
        <f>(B221/B220-1)/(A221-A220)*360</f>
        <v/>
      </c>
      <c r="D221" s="14">
        <f>B221/$B$3*100</f>
        <v/>
      </c>
      <c r="F221" s="28" t="n">
        <v>45291</v>
      </c>
      <c r="I221" s="36" t="n"/>
      <c r="J221" s="29" t="n"/>
      <c r="L221" s="36" t="n"/>
      <c r="M221" s="29" t="n"/>
    </row>
    <row r="222">
      <c r="A222" s="28" t="n">
        <v>45322</v>
      </c>
      <c r="B222" s="14" t="n">
        <v>23427.15</v>
      </c>
      <c r="C222" s="36">
        <f>(B222/B221-1)/(A222-A221)*360</f>
        <v/>
      </c>
      <c r="D222" s="14">
        <f>B222/$B$3*100</f>
        <v/>
      </c>
      <c r="F222" s="28" t="n">
        <v>45322</v>
      </c>
      <c r="I222" s="36" t="n"/>
      <c r="J222" s="29" t="n"/>
      <c r="L222" s="36" t="n"/>
      <c r="M222" s="29" t="n"/>
    </row>
    <row r="223">
      <c r="A223" s="28" t="n">
        <v>45351</v>
      </c>
      <c r="B223" s="14" t="n">
        <v>23570.34</v>
      </c>
      <c r="C223" s="36">
        <f>(B223/B222-1)/(A223-A222)*360</f>
        <v/>
      </c>
      <c r="D223" s="14">
        <f>B223/$B$3*100</f>
        <v/>
      </c>
      <c r="F223" s="28" t="n">
        <v>45351</v>
      </c>
      <c r="I223" s="36" t="n"/>
      <c r="J223" s="29" t="n"/>
      <c r="L223" s="36" t="n"/>
      <c r="M223" s="29" t="n"/>
    </row>
    <row r="224">
      <c r="A224" s="28" t="n">
        <v>45382</v>
      </c>
      <c r="B224" s="14" t="n">
        <v>23703.45</v>
      </c>
      <c r="C224" s="36">
        <f>(B224/B223-1)/(A224-A223)*360</f>
        <v/>
      </c>
      <c r="D224" s="14">
        <f>B224/$B$3*100</f>
        <v/>
      </c>
      <c r="F224" s="28" t="n">
        <v>45382</v>
      </c>
      <c r="I224" s="36" t="n"/>
      <c r="J224" s="29" t="n"/>
      <c r="L224" s="36" t="n"/>
      <c r="M224" s="29" t="n"/>
    </row>
    <row r="225">
      <c r="A225" s="28" t="n">
        <v>45412</v>
      </c>
      <c r="B225" s="14" t="n">
        <v>23847.87</v>
      </c>
      <c r="C225" s="36">
        <f>(B225/B224-1)/(A225-A224)*360</f>
        <v/>
      </c>
      <c r="D225" s="14">
        <f>B225/$B$3*100</f>
        <v/>
      </c>
      <c r="F225" s="28" t="n">
        <v>45412</v>
      </c>
      <c r="I225" s="36" t="n"/>
      <c r="J225" s="29" t="n"/>
      <c r="L225" s="36" t="n"/>
      <c r="M225" s="29" t="n"/>
    </row>
    <row r="226">
      <c r="A226" s="28" t="n">
        <v>45443</v>
      </c>
      <c r="B226" s="14" t="n">
        <v>23979.37</v>
      </c>
      <c r="C226" s="36">
        <f>(B226/B225-1)/(A226-A225)*360</f>
        <v/>
      </c>
      <c r="D226" s="14">
        <f>B226/$B$3*100</f>
        <v/>
      </c>
      <c r="F226" s="28" t="n">
        <v>45443</v>
      </c>
      <c r="I226" s="36" t="n"/>
      <c r="J226" s="29" t="n"/>
      <c r="L226" s="36" t="n"/>
      <c r="M226" s="29" t="n"/>
    </row>
    <row r="227">
      <c r="A227" s="28" t="n">
        <v>45473</v>
      </c>
      <c r="B227" s="30" t="n">
        <v>24090</v>
      </c>
      <c r="C227" s="36">
        <f>(B227/B226-1)/(A227-A226)*360</f>
        <v/>
      </c>
      <c r="D227" s="14">
        <f>B227/$B$3*100</f>
        <v/>
      </c>
      <c r="F227" s="28" t="n">
        <v>45473</v>
      </c>
      <c r="I227" s="36" t="n"/>
      <c r="J227" s="29" t="n"/>
      <c r="L227" s="36" t="n"/>
      <c r="M227" s="29" t="n"/>
    </row>
    <row r="228">
      <c r="A228" s="28" t="n">
        <v>45504</v>
      </c>
      <c r="B228" s="14" t="n">
        <v>24217.3</v>
      </c>
      <c r="C228" s="36">
        <f>(B228/B227-1)/(A228-A227)*360</f>
        <v/>
      </c>
      <c r="D228" s="14">
        <f>B228/$B$3*100</f>
        <v/>
      </c>
      <c r="F228" s="28" t="n">
        <v>45504</v>
      </c>
      <c r="I228" s="36" t="n"/>
      <c r="J228" s="29" t="n"/>
      <c r="L228" s="36" t="n"/>
      <c r="M228" s="29" t="n"/>
    </row>
    <row r="229">
      <c r="A229" s="28" t="n">
        <v>45535</v>
      </c>
      <c r="B229" s="14" t="n">
        <v>24333.6</v>
      </c>
      <c r="C229" s="36">
        <f>(B229/B228-1)/(A229-A228)*360</f>
        <v/>
      </c>
      <c r="D229" s="14">
        <f>B229/$B$3*100</f>
        <v/>
      </c>
      <c r="F229" s="28" t="n">
        <v>45535</v>
      </c>
      <c r="I229" s="36" t="n"/>
      <c r="J229" s="29" t="n"/>
      <c r="L229" s="36" t="n"/>
      <c r="M229" s="29" t="n"/>
    </row>
    <row r="230">
      <c r="A230" s="28" t="n">
        <v>45565</v>
      </c>
      <c r="B230" s="14" t="n">
        <v>24449.94</v>
      </c>
      <c r="C230" s="36">
        <f>(B230/B229-1)/(A230-A229)*360</f>
        <v/>
      </c>
      <c r="D230" s="14">
        <f>B230/$B$3*100</f>
        <v/>
      </c>
      <c r="F230" s="28" t="n">
        <v>45565</v>
      </c>
      <c r="I230" s="36" t="n"/>
      <c r="J230" s="29" t="n"/>
      <c r="L230" s="36" t="n"/>
      <c r="M230" s="29" t="n"/>
    </row>
    <row r="231">
      <c r="A231" s="28" t="n">
        <v>45596</v>
      </c>
      <c r="B231" s="14" t="n">
        <v>24560.22</v>
      </c>
      <c r="C231" s="36">
        <f>(B231/B230-1)/(A231-A230)*360</f>
        <v/>
      </c>
      <c r="D231" s="14">
        <f>B231/$B$3*100</f>
        <v/>
      </c>
      <c r="F231" s="28" t="n">
        <v>45596</v>
      </c>
      <c r="I231" s="36" t="n"/>
      <c r="J231" s="29" t="n"/>
      <c r="L231" s="36" t="n"/>
      <c r="M231" s="29" t="n"/>
    </row>
    <row r="232">
      <c r="A232" s="28" t="n">
        <v>45626</v>
      </c>
      <c r="B232" s="14" t="n">
        <v>24667.9</v>
      </c>
      <c r="C232" s="36">
        <f>(B232/B231-1)/(A232-A231)*360</f>
        <v/>
      </c>
      <c r="D232" s="14">
        <f>B232/$B$3*100</f>
        <v/>
      </c>
      <c r="F232" s="28" t="n">
        <v>45626</v>
      </c>
      <c r="I232" s="36" t="n"/>
      <c r="J232" s="29" t="n">
        <v>100</v>
      </c>
      <c r="L232" s="36" t="n"/>
      <c r="M232" s="29" t="n"/>
    </row>
    <row r="233">
      <c r="A233" s="28" t="n">
        <v>45657</v>
      </c>
      <c r="B233" s="14" t="n">
        <v>24777.58</v>
      </c>
      <c r="C233" s="36">
        <f>(B233/B232-1)/(A233-A232)*360</f>
        <v/>
      </c>
      <c r="D233" s="14">
        <f>B233/$B$3*100</f>
        <v/>
      </c>
      <c r="F233" s="28" t="n">
        <v>45657</v>
      </c>
      <c r="I233" s="36" t="n">
        <v>0</v>
      </c>
      <c r="J233" s="29">
        <f>+J232*(1+I233)</f>
        <v/>
      </c>
      <c r="K233" s="14" t="n">
        <v>1398.4869</v>
      </c>
      <c r="L233" s="36" t="n">
        <v>0.01</v>
      </c>
      <c r="M233" s="29" t="n">
        <v>100</v>
      </c>
    </row>
    <row r="234">
      <c r="A234" s="28" t="n">
        <v>45688</v>
      </c>
      <c r="B234" s="14" t="n">
        <v>24887.95</v>
      </c>
      <c r="C234" s="36">
        <f>(B234/B233-1)/(A234-A233)*360</f>
        <v/>
      </c>
      <c r="D234" s="14">
        <f>B234/$B$3*100</f>
        <v/>
      </c>
      <c r="F234" s="28" t="n">
        <v>45716</v>
      </c>
      <c r="H234" s="108" t="n">
        <v>1</v>
      </c>
      <c r="I234" s="36" t="n">
        <v>0</v>
      </c>
      <c r="J234" s="29">
        <f>+J233*(1+I234)</f>
        <v/>
      </c>
      <c r="K234" s="14" t="n">
        <v>1402.801</v>
      </c>
      <c r="L234" s="36">
        <f>+(K234/K233-1)/(F234-F233)*360</f>
        <v/>
      </c>
      <c r="M234" s="29">
        <f>+M233*(1+L234)</f>
        <v/>
      </c>
    </row>
    <row r="235">
      <c r="A235" s="28" t="n">
        <v>45716</v>
      </c>
      <c r="B235" s="14" t="n">
        <v>24984.92</v>
      </c>
      <c r="C235" s="36">
        <f>(B235/B234-1)/(A235-A234)*360</f>
        <v/>
      </c>
      <c r="D235" s="14">
        <f>B235/$B$3*100</f>
        <v/>
      </c>
      <c r="F235" s="28" t="n">
        <v>45733</v>
      </c>
      <c r="G235" s="108" t="n">
        <v>1</v>
      </c>
      <c r="H235" s="108">
        <f>+G235+$S$148+$S$150+$S$154+$S$156</f>
        <v/>
      </c>
      <c r="I235" s="36">
        <f>+(H235/H234-1)/(F235-F234)*360/30*14</f>
        <v/>
      </c>
      <c r="J235" s="29">
        <f>+J234*(1+I235)</f>
        <v/>
      </c>
      <c r="K235" s="14" t="n">
        <v>1406.6703</v>
      </c>
      <c r="L235" s="36">
        <f>+(K235/K234-1)/(F235-F234)*360</f>
        <v/>
      </c>
      <c r="M235" s="29">
        <f>+M234*(1+L235)</f>
        <v/>
      </c>
    </row>
    <row r="236">
      <c r="A236" s="28" t="n">
        <v>45747</v>
      </c>
      <c r="B236" s="30" t="n">
        <v>25092.7</v>
      </c>
      <c r="C236" s="36">
        <f>(B236/B235-1)/(A236-A235)*360</f>
        <v/>
      </c>
      <c r="D236" s="14">
        <f>B236/$B$3*100</f>
        <v/>
      </c>
      <c r="F236" s="28" t="n">
        <v>45747</v>
      </c>
      <c r="G236" s="108" t="n">
        <v>1.0022</v>
      </c>
      <c r="H236" s="108">
        <f>+G236+$S$148+$S$150+$S$154+$S$156</f>
        <v/>
      </c>
      <c r="I236" s="36">
        <f>+(H236/H235-1)/(F236-F235)*360</f>
        <v/>
      </c>
      <c r="J236" s="29">
        <f>+J235*(1+I236)</f>
        <v/>
      </c>
      <c r="K236" s="14" t="n">
        <v>1410.8411</v>
      </c>
      <c r="L236" s="36">
        <f>+(K236/K235-1)/(F236-F235)*360</f>
        <v/>
      </c>
      <c r="M236" s="29">
        <f>+M235*(1+L236)</f>
        <v/>
      </c>
    </row>
    <row r="237">
      <c r="A237" s="28" t="n">
        <v>45777</v>
      </c>
      <c r="B237" s="14" t="n">
        <v>25197.48</v>
      </c>
      <c r="C237" s="36">
        <f>(B237/B236-1)/(A237-A236)*360</f>
        <v/>
      </c>
      <c r="D237" s="117">
        <f>B237/$B$3*100</f>
        <v/>
      </c>
      <c r="F237" s="28" t="n">
        <v>45777</v>
      </c>
      <c r="G237" s="108" t="n">
        <v>1.0051</v>
      </c>
      <c r="H237" s="108">
        <f>+G237+$S$148+$S$150+$S$154+$S$156</f>
        <v/>
      </c>
      <c r="I237" s="36">
        <f>+(H237/H236-1)/(F237-F236)*360</f>
        <v/>
      </c>
      <c r="J237" s="29">
        <f>+J236*(1+I237)</f>
        <v/>
      </c>
      <c r="K237" s="14" t="n">
        <v>1414.8711</v>
      </c>
      <c r="L237" s="36">
        <f>+(K237/K236-1)/(F237-F236)*360</f>
        <v/>
      </c>
      <c r="M237" s="29">
        <f>+M236*(1+L237)</f>
        <v/>
      </c>
    </row>
    <row r="238">
      <c r="A238" s="28" t="n">
        <v>45808</v>
      </c>
      <c r="B238" s="14" t="n">
        <v>25302.66</v>
      </c>
      <c r="C238" s="36">
        <f>(B238/B237-1)/(A238-A237)*360</f>
        <v/>
      </c>
      <c r="D238" s="14">
        <f>B238/$B$3*100</f>
        <v/>
      </c>
      <c r="F238" s="28" t="n">
        <v>45808</v>
      </c>
      <c r="G238" s="108" t="n">
        <v>1.0066</v>
      </c>
      <c r="H238" s="108">
        <f>+G238+$S$148+$S$150+$S$154+$S$156</f>
        <v/>
      </c>
      <c r="I238" s="36">
        <f>+(H238/H237-1)/(F238-F237)*360</f>
        <v/>
      </c>
      <c r="J238" s="29">
        <f>+J237*(1+I238)</f>
        <v/>
      </c>
      <c r="K238" s="14" t="n">
        <v>1419.0076</v>
      </c>
      <c r="L238" s="36">
        <f>+(K238/K237-1)/(F238-F237)*360</f>
        <v/>
      </c>
      <c r="M238" s="29">
        <f>+M237*(1+L238)</f>
        <v/>
      </c>
    </row>
    <row r="239">
      <c r="A239" s="28" t="n">
        <v>45838</v>
      </c>
      <c r="B239" s="14" t="n">
        <v>25411.83</v>
      </c>
      <c r="C239" s="36">
        <f>(B239/B238-1)/(A239-A238)*360</f>
        <v/>
      </c>
      <c r="D239" s="14">
        <f>B239/$B$3*100</f>
        <v/>
      </c>
      <c r="F239" s="28" t="n">
        <v>45838</v>
      </c>
      <c r="G239" s="108" t="n">
        <v>1.0083</v>
      </c>
      <c r="H239" s="108">
        <f>+G239+$S$148+$S$150+$S$154+$S$156</f>
        <v/>
      </c>
      <c r="I239" s="36">
        <f>+(H239/H238-1)/(F239-F238)*360</f>
        <v/>
      </c>
      <c r="J239" s="29">
        <f>+J238*(1+I239)</f>
        <v/>
      </c>
      <c r="K239" s="14" t="n">
        <v>1423.0496</v>
      </c>
      <c r="L239" s="36">
        <f>+(K239/K238-1)/(F239-F238)*360</f>
        <v/>
      </c>
      <c r="M239" s="29">
        <f>+M238*(1+L239)</f>
        <v/>
      </c>
    </row>
    <row r="240">
      <c r="A240" s="28" t="n">
        <v>45869</v>
      </c>
      <c r="B240" s="14" t="n">
        <v>25521.26</v>
      </c>
      <c r="C240" s="36">
        <f>(B240/B239-1)/(A240-A239)*360</f>
        <v/>
      </c>
      <c r="D240" s="14">
        <f>B240/$B$3*100</f>
        <v/>
      </c>
      <c r="F240" s="28" t="n">
        <v>45869</v>
      </c>
      <c r="G240" s="108" t="n">
        <v>1.0135</v>
      </c>
      <c r="H240" s="108">
        <f>+G240+$S$148+$S$150+$S$154+$S$156</f>
        <v/>
      </c>
      <c r="I240" s="36">
        <f>+(H240/H239-1)/(F240-F239)*360</f>
        <v/>
      </c>
      <c r="J240" s="29">
        <f>+J239*(1+I240)</f>
        <v/>
      </c>
      <c r="K240" s="14" t="n">
        <v>1427.2889</v>
      </c>
      <c r="L240" s="36">
        <f>+(K240/K239-1)/(F240-F239)*360</f>
        <v/>
      </c>
      <c r="M240" s="29">
        <f>+M239*(1+L240)</f>
        <v/>
      </c>
    </row>
    <row r="241">
      <c r="A241" s="28" t="n">
        <v>45900</v>
      </c>
      <c r="B241" s="14" t="n">
        <v>25619.09</v>
      </c>
      <c r="C241" s="36">
        <f>(B241/B240-1)/(A241-A240)*360</f>
        <v/>
      </c>
      <c r="D241" s="14">
        <f>B241/$B$3*100</f>
        <v/>
      </c>
      <c r="F241" s="28" t="n">
        <v>45900</v>
      </c>
      <c r="G241" s="108" t="n">
        <v>1.0184</v>
      </c>
      <c r="H241" s="108">
        <f>+G241+$S$148+$S$150+$S$154+$S$156</f>
        <v/>
      </c>
      <c r="I241" s="36">
        <f>+(H241/H240-1)/(F241-F240)*360</f>
        <v/>
      </c>
      <c r="J241" s="29">
        <f>+J240*(1+I241)</f>
        <v/>
      </c>
      <c r="K241" s="14" t="n">
        <v>1431.5828</v>
      </c>
      <c r="L241" s="36">
        <f>+(K241/K240-1)/(F241-F240)*360</f>
        <v/>
      </c>
      <c r="M241" s="29">
        <f>+M240*(1+L241)</f>
        <v/>
      </c>
    </row>
    <row r="242">
      <c r="A242" s="28" t="n">
        <v>45930</v>
      </c>
      <c r="B242" s="14" t="n">
        <v>25757.46</v>
      </c>
      <c r="C242" s="36">
        <f>(B242/B241-1)/(A242-A241)*360</f>
        <v/>
      </c>
      <c r="D242" s="14">
        <f>B242/$B$3*100</f>
        <v/>
      </c>
      <c r="F242" s="28" t="n">
        <v>45930</v>
      </c>
      <c r="G242" s="108" t="n">
        <v>1.0227</v>
      </c>
      <c r="H242" s="108">
        <f>+G242+$S$148+$S$150+$S$154+$S$156</f>
        <v/>
      </c>
      <c r="I242" s="36">
        <f>+(H242/H241-1)/(F242-F241)*360</f>
        <v/>
      </c>
      <c r="J242" s="29">
        <f>+J241*(1+I242)</f>
        <v/>
      </c>
      <c r="K242" s="29" t="n">
        <v>1435.7485</v>
      </c>
      <c r="L242" s="36">
        <f>+(K242/K241-1)/(F242-F241)*360</f>
        <v/>
      </c>
      <c r="M242" s="29">
        <f>+M241*(1+L242)</f>
        <v/>
      </c>
    </row>
    <row r="243">
      <c r="A243" s="28" t="n">
        <v>45961</v>
      </c>
      <c r="B243" s="14" t="n">
        <v>25829.5</v>
      </c>
      <c r="C243" s="36">
        <f>(B243/B242-1)/(A243-A242)*360</f>
        <v/>
      </c>
      <c r="D243" s="14">
        <f>B243/$B$3*100</f>
        <v/>
      </c>
      <c r="F243" s="28" t="n">
        <v>45961</v>
      </c>
      <c r="G243" s="108" t="n">
        <v>1.0277</v>
      </c>
      <c r="H243" s="108">
        <f>+G243+$S$148+$S$150+$S$154+$S$156</f>
        <v/>
      </c>
      <c r="I243" s="36">
        <f>+(H243/H242-1)/(F243-F242)*360</f>
        <v/>
      </c>
      <c r="J243" s="29">
        <f>+J242*(1+I243)</f>
        <v/>
      </c>
      <c r="K243" s="14" t="n">
        <v>1439.9873</v>
      </c>
      <c r="L243" s="36">
        <f>+(K243/K242-1)/(F243-F242)*360</f>
        <v/>
      </c>
      <c r="M243" s="29">
        <f>+M242*(1+L243)</f>
        <v/>
      </c>
    </row>
    <row r="244" ht="15.75" customHeight="1" thickBot="1">
      <c r="A244" s="28" t="n">
        <v>45991</v>
      </c>
      <c r="B244" s="14" t="n">
        <v>25928.49</v>
      </c>
      <c r="C244" s="36">
        <f>(B244/B243-1)/(A244-A243)*360</f>
        <v/>
      </c>
      <c r="D244" s="14">
        <f>B244/$B$3*100</f>
        <v/>
      </c>
      <c r="F244" s="28" t="n">
        <v>45991</v>
      </c>
      <c r="G244" s="108" t="n">
        <v>1.0322</v>
      </c>
      <c r="H244" s="108">
        <f>+G244+$S$148+$S$150+$S$154+$S$156</f>
        <v/>
      </c>
      <c r="I244" s="36">
        <f>+(H244/H243-1)/(F244-F243)*360</f>
        <v/>
      </c>
      <c r="J244" s="29">
        <f>+J243*(1+I244)</f>
        <v/>
      </c>
      <c r="K244" s="14" t="n">
        <v>1444.0294</v>
      </c>
      <c r="L244" s="36">
        <f>+(K244/K243-1)/(F244-F243)*360</f>
        <v/>
      </c>
      <c r="M244" s="29">
        <f>+M243*(1+L244)</f>
        <v/>
      </c>
    </row>
    <row r="245" ht="16.5" customHeight="1" thickBot="1" thickTop="1">
      <c r="A245" s="28" t="n">
        <v>46022</v>
      </c>
      <c r="B245" s="14" t="n">
        <v>26035.82</v>
      </c>
      <c r="C245" s="36">
        <f>(B245/B244-1)/(A245-A244)*360</f>
        <v/>
      </c>
      <c r="D245" s="14">
        <f>B245/$B$3*100</f>
        <v/>
      </c>
      <c r="F245" s="28" t="n">
        <v>46022</v>
      </c>
      <c r="G245" s="118" t="n">
        <v>1.0374</v>
      </c>
      <c r="H245" s="108">
        <f>+G245+$S$148+$S$150+$S$154+$S$156</f>
        <v/>
      </c>
      <c r="I245" s="36">
        <f>+(H245/H244-1)/(F245-F244)*360</f>
        <v/>
      </c>
      <c r="J245" s="29">
        <f>+J244*(1+I245)</f>
        <v/>
      </c>
      <c r="K245" s="101" t="n">
        <v>1448.2102</v>
      </c>
      <c r="L245" s="36">
        <f>+(K245/K244-1)/(F245-F244)*360</f>
        <v/>
      </c>
      <c r="M245" s="29">
        <f>+M244*(1+L245)</f>
        <v/>
      </c>
    </row>
    <row r="246" ht="16.5" customHeight="1" thickBot="1" thickTop="1">
      <c r="A246" s="28" t="n">
        <v>46053</v>
      </c>
      <c r="B246" s="14" t="n">
        <v>26136.9</v>
      </c>
      <c r="C246" s="36">
        <f>(B246/B245-1)/(A246-A245)*360</f>
        <v/>
      </c>
      <c r="D246" s="14">
        <f>B246/$B$3*100</f>
        <v/>
      </c>
      <c r="F246" s="28" t="n">
        <v>46053</v>
      </c>
      <c r="G246" s="118" t="n">
        <v>1.0424</v>
      </c>
      <c r="H246" s="108">
        <f>+G246+$S$148+$S$150+$S$154+$S$156</f>
        <v/>
      </c>
      <c r="I246" s="36">
        <f>+(H246/H245-1)/(F246-F245)*360</f>
        <v/>
      </c>
      <c r="J246" s="29">
        <f>+J245*(1+I246)</f>
        <v/>
      </c>
      <c r="K246" s="101" t="n">
        <v>1452.3852</v>
      </c>
      <c r="L246" s="36">
        <f>+(K246/K245-1)/(F246-F245)*360</f>
        <v/>
      </c>
      <c r="M246" s="29">
        <f>+M245*(1+L246)</f>
        <v/>
      </c>
    </row>
    <row r="247" ht="16.5" customHeight="1" thickBot="1" thickTop="1">
      <c r="A247" s="99" t="n">
        <v>46081</v>
      </c>
      <c r="B247" s="100" t="n">
        <v>26231.81</v>
      </c>
      <c r="C247" s="36">
        <f>(B247/B246-1)/(A247-A246)*360</f>
        <v/>
      </c>
      <c r="D247" s="14">
        <f>B247/$B$3*100</f>
        <v/>
      </c>
      <c r="F247" s="99" t="n">
        <v>46081</v>
      </c>
      <c r="G247" s="118" t="n">
        <v>1.046</v>
      </c>
      <c r="H247" s="108">
        <f>+G247+$S$148+$S$150+$S$154+$S$156</f>
        <v/>
      </c>
      <c r="I247" s="36">
        <f>+(H247/H246-1)/(F247-F246)*360</f>
        <v/>
      </c>
      <c r="J247" s="29">
        <f>+J246*(1+I247)</f>
        <v/>
      </c>
      <c r="K247" s="101" t="n">
        <v>1456.0571</v>
      </c>
      <c r="L247" s="36">
        <f>+(K247/K246-1)/(F247-F246)*360</f>
        <v/>
      </c>
      <c r="M247" s="29">
        <f>+M246*(1+L247)</f>
        <v/>
      </c>
    </row>
    <row r="248" ht="16.5" customHeight="1" thickBot="1" thickTop="1">
      <c r="A248" s="99" t="n">
        <v>46112</v>
      </c>
      <c r="B248" s="100" t="n">
        <v>26333.64</v>
      </c>
      <c r="C248" s="36">
        <f>(B248/B247-1)/(A248-A247)*360</f>
        <v/>
      </c>
      <c r="D248" s="14">
        <f>B248/$B$3*100</f>
        <v/>
      </c>
      <c r="F248" s="99" t="n">
        <v>46112</v>
      </c>
      <c r="G248" s="119" t="n">
        <v>1.0509</v>
      </c>
      <c r="H248" s="108">
        <f>+G248+$S$148+$S$150+$S$154+$S$156</f>
        <v/>
      </c>
      <c r="I248" s="36">
        <f>+(H248/H247-1)/(F248-F247)*360</f>
        <v/>
      </c>
      <c r="J248" s="29">
        <f>+J247*(1+I248)</f>
        <v/>
      </c>
      <c r="K248" s="101" t="n">
        <v>1460.0275</v>
      </c>
      <c r="L248" s="36">
        <f>+(K248/K247-1)/(F248-F247)*360</f>
        <v/>
      </c>
      <c r="M248" s="29">
        <f>+M247*(1+L248)</f>
        <v/>
      </c>
    </row>
    <row r="249">
      <c r="A249" s="28" t="n">
        <v>46142</v>
      </c>
      <c r="B249" s="14" t="n">
        <v>26432.56</v>
      </c>
      <c r="C249" s="36">
        <f>(B249/B248-1)/(A249-A248)*360</f>
        <v/>
      </c>
      <c r="D249" s="14">
        <f>B249/$B$3*100</f>
        <v/>
      </c>
      <c r="F249" s="28" t="n">
        <v>46142</v>
      </c>
      <c r="G249" s="120" t="n">
        <v>1.0554</v>
      </c>
      <c r="H249" s="108">
        <f>+G249+$S$148+$S$150+$S$154+$S$156</f>
        <v/>
      </c>
      <c r="I249" s="36">
        <f>+(H249/H248-1)/(F249-F248)*360</f>
        <v/>
      </c>
      <c r="J249" s="29">
        <f>+J248*(1+I249)</f>
        <v/>
      </c>
      <c r="K249" s="14" t="n">
        <v>1463.8674</v>
      </c>
      <c r="L249" s="36">
        <f>+(K249/K248-1)/(F249-F248)*360</f>
        <v/>
      </c>
      <c r="M249" s="29">
        <f>+M248*(1+L249)</f>
        <v/>
      </c>
    </row>
    <row r="250">
      <c r="A250" s="122" t="n">
        <v>46173</v>
      </c>
      <c r="B250" t="n">
        <v>26535.18</v>
      </c>
      <c r="C250">
        <f>(B250/B249-1)/(A250-A249)*30</f>
        <v/>
      </c>
      <c r="D250">
        <f>+D249*(1+C250)</f>
        <v/>
      </c>
      <c r="F250" s="122" t="n">
        <v>46173</v>
      </c>
      <c r="G250" t="n">
        <v>1.0607</v>
      </c>
      <c r="H250">
        <f>+G250+$S$148+$S$150+$S$152+$S$154+$S$156+$S$158</f>
        <v/>
      </c>
      <c r="I250">
        <f>+(H250/H249-1)/(F250-F249)*30</f>
        <v/>
      </c>
      <c r="J250">
        <f>+J249*(1+I250)</f>
        <v/>
      </c>
      <c r="K250" t="n">
        <v>1467.7431</v>
      </c>
      <c r="L250">
        <f>+(K250/K249-1)/(F250-F249)*30</f>
        <v/>
      </c>
      <c r="M250">
        <f>+M249*(1+L250)</f>
        <v/>
      </c>
    </row>
    <row r="251">
      <c r="A251" s="122" t="n">
        <v>46203</v>
      </c>
      <c r="C251">
        <f>(B251/B250-1)/(A251-A250)*30</f>
        <v/>
      </c>
      <c r="D251">
        <f>+D250*(1+C251)</f>
        <v/>
      </c>
      <c r="F251" s="122" t="n">
        <v>46203</v>
      </c>
      <c r="G251" t="n">
        <v>1.0656</v>
      </c>
      <c r="H251">
        <f>+G251+$S$148+$S$150+$S$152+$S$154+$S$156+$S$158</f>
        <v/>
      </c>
      <c r="I251">
        <f>+(H251/H250-1)/(F251-F250)*30</f>
        <v/>
      </c>
      <c r="J251">
        <f>+J250*(1+I251)</f>
        <v/>
      </c>
      <c r="L251">
        <f>+(K251/K250-1)/(F251-F250)*30</f>
        <v/>
      </c>
      <c r="M251">
        <f>+M250*(1+L251)</f>
        <v/>
      </c>
    </row>
  </sheetData>
  <mergeCells count="11">
    <mergeCell ref="AC76:AC77"/>
    <mergeCell ref="AC61:AC62"/>
    <mergeCell ref="AC71:AC72"/>
    <mergeCell ref="AC80:AC81"/>
    <mergeCell ref="AC65:AC66"/>
    <mergeCell ref="AC74:AC75"/>
    <mergeCell ref="AC68:AC69"/>
    <mergeCell ref="AC78:AC79"/>
    <mergeCell ref="AV28:AV29"/>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tabSelected="1" zoomScale="70" zoomScaleNormal="70" workbookViewId="0">
      <selection activeCell="E26" sqref="E26:H27"/>
    </sheetView>
  </sheetViews>
  <sheetFormatPr baseColWidth="8" defaultColWidth="11.42578125" defaultRowHeight="15"/>
  <cols>
    <col width="5.42578125" bestFit="1" customWidth="1" style="7" min="3" max="3"/>
    <col width="24.28515625" customWidth="1" min="4" max="4"/>
    <col width="6.140625" bestFit="1" customWidth="1" min="5" max="11"/>
    <col width="6" bestFit="1" customWidth="1" min="12" max="12"/>
    <col width="6.140625" bestFit="1" customWidth="1" min="13" max="15"/>
    <col width="6.42578125" bestFit="1" customWidth="1" min="16" max="16"/>
    <col width="6.7109375" customWidth="1" min="17" max="17"/>
    <col width="15" bestFit="1" customWidth="1" min="19" max="19"/>
    <col width="7.7109375" bestFit="1" customWidth="1" min="20" max="20"/>
    <col width="9.42578125" bestFit="1" customWidth="1" min="21" max="21"/>
    <col width="9.28515625" bestFit="1" customWidth="1" min="22" max="22"/>
    <col width="6" bestFit="1" customWidth="1" min="23" max="23"/>
    <col width="13.28515625" customWidth="1" min="24" max="24"/>
  </cols>
  <sheetData>
    <row r="1" ht="24" customHeight="1">
      <c r="S1" s="85" t="inlineStr">
        <is>
          <t>Rentabilidad</t>
        </is>
      </c>
      <c r="T1" s="86" t="inlineStr">
        <is>
          <t>Mensual</t>
        </is>
      </c>
      <c r="U1" s="86" t="inlineStr">
        <is>
          <t>Trimestral</t>
        </is>
      </c>
      <c r="V1" s="86" t="inlineStr">
        <is>
          <t>Semestral</t>
        </is>
      </c>
      <c r="W1" s="86" t="inlineStr">
        <is>
          <t>Anual</t>
        </is>
      </c>
      <c r="X1" s="87" t="inlineStr">
        <is>
          <t>Acum
2026 (*)</t>
        </is>
      </c>
    </row>
    <row r="2">
      <c r="S2" s="83" t="inlineStr">
        <is>
          <t>Competencia</t>
        </is>
      </c>
      <c r="T2" s="84">
        <f>+'Datos ICP (2)'!AX28</f>
        <v/>
      </c>
      <c r="U2" s="84">
        <f>+'Datos ICP (2)'!AY28</f>
        <v/>
      </c>
      <c r="V2" s="84">
        <f>+'Datos ICP (2)'!AZ28</f>
        <v/>
      </c>
      <c r="W2" s="84">
        <f>+'Datos ICP (2)'!BA28</f>
        <v/>
      </c>
      <c r="X2" s="84">
        <f>+'Datos ICP (2)'!BB28</f>
        <v/>
      </c>
    </row>
    <row r="3">
      <c r="S3" s="83" t="inlineStr">
        <is>
          <t>LIQUIDEZ RESERVA DÓLAR</t>
        </is>
      </c>
      <c r="T3" s="84">
        <f>+'Datos ICP (2)'!AX29</f>
        <v/>
      </c>
      <c r="U3" s="84">
        <f>+'Datos ICP (2)'!AY29</f>
        <v/>
      </c>
      <c r="V3" s="84">
        <f>+'Datos ICP (2)'!AZ29</f>
        <v/>
      </c>
      <c r="W3" s="84">
        <f>+'Datos ICP (2)'!BA29</f>
        <v/>
      </c>
      <c r="X3" s="84">
        <f>+'Datos ICP (2)'!BB29</f>
        <v/>
      </c>
    </row>
    <row r="4">
      <c r="S4" s="11" t="n"/>
      <c r="T4" s="11" t="n"/>
      <c r="U4" s="11" t="n"/>
      <c r="V4" s="11" t="n"/>
      <c r="W4" s="11" t="n"/>
      <c r="X4" s="11" t="n"/>
    </row>
    <row r="5">
      <c r="B5" s="11" t="n"/>
      <c r="C5" s="12" t="n"/>
      <c r="D5" s="11" t="n"/>
      <c r="E5" s="11" t="n"/>
      <c r="F5" s="11" t="n"/>
      <c r="G5" s="11" t="n"/>
      <c r="H5" s="11" t="n"/>
      <c r="I5" s="11" t="n"/>
      <c r="J5" s="11" t="n"/>
      <c r="K5" s="11" t="n"/>
      <c r="L5" s="11" t="n"/>
      <c r="M5" s="11" t="n"/>
      <c r="N5" s="11" t="n"/>
      <c r="O5" s="11" t="n"/>
      <c r="P5" s="11" t="n"/>
      <c r="Q5" s="11" t="n"/>
      <c r="R5" s="11" t="n"/>
    </row>
    <row r="6" ht="25.5" customHeight="1">
      <c r="B6" s="11" t="n"/>
      <c r="C6" s="90" t="inlineStr">
        <is>
          <t>Año</t>
        </is>
      </c>
      <c r="D6" s="91" t="inlineStr">
        <is>
          <t>Fondo</t>
        </is>
      </c>
      <c r="E6" s="92" t="inlineStr">
        <is>
          <t>Ene</t>
        </is>
      </c>
      <c r="F6" s="92" t="inlineStr">
        <is>
          <t>Feb</t>
        </is>
      </c>
      <c r="G6" s="92" t="inlineStr">
        <is>
          <t>Mar</t>
        </is>
      </c>
      <c r="H6" s="92" t="inlineStr">
        <is>
          <t>Abr</t>
        </is>
      </c>
      <c r="I6" s="92" t="inlineStr">
        <is>
          <t>May</t>
        </is>
      </c>
      <c r="J6" s="92" t="inlineStr">
        <is>
          <t>Jun</t>
        </is>
      </c>
      <c r="K6" s="92" t="inlineStr">
        <is>
          <t>Jul</t>
        </is>
      </c>
      <c r="L6" s="92" t="inlineStr">
        <is>
          <t>Ago</t>
        </is>
      </c>
      <c r="M6" s="92" t="inlineStr">
        <is>
          <t>Sep</t>
        </is>
      </c>
      <c r="N6" s="92" t="inlineStr">
        <is>
          <t>Oct</t>
        </is>
      </c>
      <c r="O6" s="92" t="inlineStr">
        <is>
          <t>Nov</t>
        </is>
      </c>
      <c r="P6" s="92" t="inlineStr">
        <is>
          <t>Dic</t>
        </is>
      </c>
      <c r="Q6" s="93" t="inlineStr">
        <is>
          <t>Total
Año</t>
        </is>
      </c>
      <c r="R6" s="10" t="n"/>
    </row>
    <row r="7" ht="10.15" customHeight="1">
      <c r="B7" s="11" t="n"/>
      <c r="C7" s="83" t="n"/>
      <c r="D7" s="88" t="n"/>
      <c r="E7" s="89" t="n"/>
      <c r="F7" s="89" t="n"/>
      <c r="G7" s="89" t="n"/>
      <c r="H7" s="89" t="n"/>
      <c r="I7" s="89" t="n"/>
      <c r="J7" s="89" t="n"/>
      <c r="K7" s="89" t="n"/>
      <c r="L7" s="89" t="n"/>
      <c r="M7" s="89" t="n"/>
      <c r="N7" s="89" t="n"/>
      <c r="O7" s="89" t="n"/>
      <c r="P7" s="89" t="n"/>
      <c r="Q7" s="89" t="n"/>
      <c r="R7" s="13" t="n"/>
    </row>
    <row r="8" hidden="1" ht="19.9" customHeight="1">
      <c r="B8" s="11" t="n"/>
      <c r="C8" s="83" t="n">
        <v>2017</v>
      </c>
      <c r="D8" s="88" t="inlineStr">
        <is>
          <t>Competencia</t>
        </is>
      </c>
      <c r="E8" s="84" t="n"/>
      <c r="F8" s="84" t="n"/>
      <c r="G8" s="84" t="n"/>
      <c r="H8" s="84" t="n"/>
      <c r="I8" s="84" t="n"/>
      <c r="J8" s="84" t="n"/>
      <c r="K8" s="84" t="n"/>
      <c r="L8" s="84" t="n"/>
      <c r="M8" s="84" t="n"/>
      <c r="N8" s="84" t="n"/>
      <c r="O8" s="84" t="n"/>
      <c r="P8" s="84" t="n"/>
      <c r="Q8" s="84" t="n"/>
      <c r="R8" s="11" t="n"/>
    </row>
    <row r="9" hidden="1" ht="19.9" customHeight="1">
      <c r="B9" s="11" t="n"/>
      <c r="C9" s="83" t="n"/>
      <c r="D9" s="88" t="inlineStr">
        <is>
          <t>LIQUIDEZ DÓLAR</t>
        </is>
      </c>
      <c r="E9" s="84" t="n"/>
      <c r="F9" s="84" t="n"/>
      <c r="G9" s="84" t="n"/>
      <c r="H9" s="84" t="n"/>
      <c r="I9" s="84" t="n"/>
      <c r="J9" s="84" t="n"/>
      <c r="K9" s="84" t="n"/>
      <c r="L9" s="84" t="n"/>
      <c r="M9" s="84" t="n"/>
      <c r="N9" s="84" t="n"/>
      <c r="O9" s="84" t="n"/>
      <c r="P9" s="84" t="n"/>
      <c r="Q9" s="84" t="n"/>
      <c r="R9" s="11" t="n"/>
      <c r="S9" s="11" t="n"/>
      <c r="T9" s="11" t="n"/>
      <c r="U9" s="11" t="n"/>
      <c r="V9" s="11" t="n"/>
      <c r="W9" s="11" t="n"/>
      <c r="X9" s="11" t="n"/>
    </row>
    <row r="10" hidden="1" ht="19.9" customHeight="1">
      <c r="B10" s="11" t="n"/>
      <c r="C10" s="83" t="n">
        <v>2018</v>
      </c>
      <c r="D10" s="88" t="inlineStr">
        <is>
          <t>Competencia</t>
        </is>
      </c>
      <c r="E10" s="84" t="n"/>
      <c r="F10" s="84" t="n"/>
      <c r="G10" s="84" t="n"/>
      <c r="H10" s="84" t="n"/>
      <c r="I10" s="84" t="n"/>
      <c r="J10" s="84" t="n"/>
      <c r="K10" s="84" t="n"/>
      <c r="L10" s="84" t="n"/>
      <c r="M10" s="84" t="n"/>
      <c r="N10" s="84" t="n"/>
      <c r="O10" s="84" t="n"/>
      <c r="P10" s="84" t="n"/>
      <c r="Q10" s="84" t="n"/>
      <c r="R10" s="11" t="n"/>
      <c r="S10" s="11" t="n"/>
      <c r="T10" s="11" t="n"/>
      <c r="U10" s="11" t="n"/>
      <c r="V10" s="11" t="n"/>
      <c r="W10" s="11" t="n"/>
      <c r="X10" s="11" t="n"/>
    </row>
    <row r="11" hidden="1" ht="19.9" customHeight="1">
      <c r="B11" s="11" t="n"/>
      <c r="C11" s="83" t="n"/>
      <c r="D11" s="88" t="inlineStr">
        <is>
          <t>LIQUIDEZ DÓLAR</t>
        </is>
      </c>
      <c r="E11" s="84" t="n"/>
      <c r="F11" s="84" t="n"/>
      <c r="G11" s="84" t="n"/>
      <c r="H11" s="84" t="n"/>
      <c r="I11" s="84" t="n"/>
      <c r="J11" s="84" t="n"/>
      <c r="K11" s="84" t="n"/>
      <c r="L11" s="84" t="n"/>
      <c r="M11" s="84" t="n"/>
      <c r="N11" s="84" t="n"/>
      <c r="O11" s="84" t="n"/>
      <c r="P11" s="84" t="n"/>
      <c r="Q11" s="84" t="n"/>
      <c r="R11" s="11" t="n"/>
      <c r="S11" s="11" t="n"/>
      <c r="T11" s="11" t="n"/>
      <c r="U11" s="11" t="n"/>
      <c r="V11" s="11" t="n"/>
      <c r="W11" s="11" t="n"/>
      <c r="X11" s="11" t="n"/>
    </row>
    <row r="12" hidden="1" ht="19.9" customHeight="1">
      <c r="B12" s="11" t="n"/>
      <c r="C12" s="83" t="n">
        <v>2019</v>
      </c>
      <c r="D12" s="88" t="inlineStr">
        <is>
          <t>Competencia</t>
        </is>
      </c>
      <c r="E12" s="84" t="n"/>
      <c r="F12" s="84" t="n"/>
      <c r="G12" s="84" t="n"/>
      <c r="H12" s="84" t="n"/>
      <c r="I12" s="84" t="n"/>
      <c r="J12" s="84" t="n"/>
      <c r="K12" s="84" t="n"/>
      <c r="L12" s="84" t="n"/>
      <c r="M12" s="84" t="n"/>
      <c r="N12" s="84" t="n"/>
      <c r="O12" s="84" t="n"/>
      <c r="P12" s="84" t="n"/>
      <c r="Q12" s="84" t="n"/>
      <c r="R12" s="11" t="n"/>
      <c r="S12" s="11" t="n"/>
      <c r="T12" s="11" t="n"/>
      <c r="U12" s="11" t="n"/>
      <c r="V12" s="11" t="n"/>
      <c r="W12" s="11" t="n"/>
      <c r="X12" s="11" t="n"/>
    </row>
    <row r="13" hidden="1" ht="19.9" customHeight="1">
      <c r="B13" s="11" t="n"/>
      <c r="C13" s="83" t="n"/>
      <c r="D13" s="88" t="inlineStr">
        <is>
          <t>LIQUIDEZ DÓLAR</t>
        </is>
      </c>
      <c r="E13" s="84" t="n"/>
      <c r="F13" s="84" t="n"/>
      <c r="G13" s="84" t="n"/>
      <c r="H13" s="84" t="n"/>
      <c r="I13" s="84" t="n"/>
      <c r="J13" s="84" t="n"/>
      <c r="K13" s="84" t="n"/>
      <c r="L13" s="84" t="n"/>
      <c r="M13" s="84" t="n"/>
      <c r="N13" s="84" t="n"/>
      <c r="O13" s="84" t="n"/>
      <c r="P13" s="84" t="n"/>
      <c r="Q13" s="84" t="n"/>
      <c r="R13" s="11" t="n"/>
      <c r="S13" s="11" t="n"/>
      <c r="T13" s="11" t="n"/>
      <c r="U13" s="11" t="n"/>
      <c r="V13" s="11" t="n"/>
      <c r="W13" s="11" t="n"/>
      <c r="X13" s="11" t="n"/>
    </row>
    <row r="14" hidden="1" ht="19.9" customHeight="1">
      <c r="B14" s="11" t="n"/>
      <c r="C14" s="83" t="n">
        <v>2020</v>
      </c>
      <c r="D14" s="88" t="inlineStr">
        <is>
          <t>Competencia</t>
        </is>
      </c>
      <c r="E14" s="84" t="n"/>
      <c r="F14" s="84" t="n"/>
      <c r="G14" s="84" t="n"/>
      <c r="H14" s="84" t="n"/>
      <c r="I14" s="84" t="n"/>
      <c r="J14" s="84" t="n"/>
      <c r="K14" s="84" t="n"/>
      <c r="L14" s="84" t="n"/>
      <c r="M14" s="84" t="n"/>
      <c r="N14" s="84" t="n"/>
      <c r="O14" s="84" t="n"/>
      <c r="P14" s="84" t="n"/>
      <c r="Q14" s="84" t="n"/>
      <c r="R14" s="11" t="n"/>
      <c r="S14" s="11" t="n"/>
      <c r="T14" s="11" t="n"/>
      <c r="U14" s="11" t="n"/>
      <c r="V14" s="11" t="n"/>
      <c r="W14" s="11" t="n"/>
      <c r="X14" s="11" t="n"/>
    </row>
    <row r="15" hidden="1" ht="19.9" customHeight="1">
      <c r="B15" s="11" t="n"/>
      <c r="C15" s="83" t="n"/>
      <c r="D15" s="88" t="inlineStr">
        <is>
          <t>LIQUIDEZ DÓLAR</t>
        </is>
      </c>
      <c r="E15" s="84" t="n"/>
      <c r="F15" s="84" t="n"/>
      <c r="G15" s="84" t="n"/>
      <c r="H15" s="84" t="n"/>
      <c r="I15" s="84" t="n"/>
      <c r="J15" s="84" t="n"/>
      <c r="K15" s="84" t="n"/>
      <c r="L15" s="84" t="n"/>
      <c r="M15" s="84" t="n"/>
      <c r="N15" s="84" t="n"/>
      <c r="O15" s="84" t="n"/>
      <c r="P15" s="84" t="n"/>
      <c r="Q15" s="84" t="n"/>
      <c r="R15" s="11" t="n"/>
      <c r="S15" s="11" t="n"/>
      <c r="T15" s="11" t="n"/>
      <c r="U15" s="11" t="n"/>
      <c r="V15" s="11" t="n"/>
      <c r="W15" s="11" t="n"/>
      <c r="X15" s="11" t="n"/>
    </row>
    <row r="16" hidden="1" ht="19.9" customHeight="1">
      <c r="B16" s="11" t="n"/>
      <c r="C16" s="83" t="n">
        <v>2021</v>
      </c>
      <c r="D16" s="88" t="inlineStr">
        <is>
          <t>Competencia</t>
        </is>
      </c>
      <c r="E16" s="84" t="n"/>
      <c r="F16" s="84" t="n"/>
      <c r="G16" s="84" t="n"/>
      <c r="H16" s="84" t="n"/>
      <c r="I16" s="84" t="n"/>
      <c r="J16" s="84" t="n"/>
      <c r="K16" s="84" t="n"/>
      <c r="L16" s="84" t="n"/>
      <c r="M16" s="84" t="n"/>
      <c r="N16" s="84" t="n"/>
      <c r="O16" s="84" t="n"/>
      <c r="P16" s="84" t="n"/>
      <c r="Q16" s="84" t="n"/>
      <c r="R16" s="11" t="n"/>
    </row>
    <row r="17" hidden="1" ht="19.9" customHeight="1">
      <c r="B17" s="11" t="n"/>
      <c r="C17" s="83" t="n"/>
      <c r="D17" s="88" t="inlineStr">
        <is>
          <t>LIQUIDEZ RESERVA DÓLAR</t>
        </is>
      </c>
      <c r="E17" s="84" t="n"/>
      <c r="F17" s="84" t="n"/>
      <c r="G17" s="84" t="n"/>
      <c r="H17" s="84" t="n"/>
      <c r="I17" s="84" t="n"/>
      <c r="J17" s="84" t="n"/>
      <c r="K17" s="84" t="n"/>
      <c r="L17" s="84" t="n"/>
      <c r="M17" s="84" t="n"/>
      <c r="N17" s="84" t="n"/>
      <c r="O17" s="84" t="n"/>
      <c r="P17" s="84" t="n"/>
      <c r="Q17" s="84" t="n"/>
      <c r="R17" s="11" t="n"/>
    </row>
    <row r="18" hidden="1">
      <c r="C18" s="83" t="n">
        <v>2022</v>
      </c>
      <c r="D18" s="88" t="inlineStr">
        <is>
          <t>Competencia</t>
        </is>
      </c>
      <c r="E18" s="84" t="n"/>
      <c r="F18" s="84" t="n"/>
      <c r="G18" s="84" t="n"/>
      <c r="H18" s="84" t="n"/>
      <c r="I18" s="84" t="n"/>
      <c r="J18" s="84" t="n"/>
      <c r="K18" s="84" t="n"/>
      <c r="L18" s="84" t="n"/>
      <c r="M18" s="84" t="n"/>
      <c r="N18" s="84" t="n"/>
      <c r="O18" s="84" t="n"/>
      <c r="P18" s="84" t="n"/>
      <c r="Q18" s="84" t="n"/>
    </row>
    <row r="19" hidden="1">
      <c r="C19" s="83" t="n"/>
      <c r="D19" s="88" t="inlineStr">
        <is>
          <t>LIQUIDEZ DÓLAR</t>
        </is>
      </c>
      <c r="E19" s="84" t="n"/>
      <c r="F19" s="84" t="n"/>
      <c r="G19" s="84" t="n"/>
      <c r="H19" s="84" t="n"/>
      <c r="I19" s="84" t="n"/>
      <c r="J19" s="84" t="n"/>
      <c r="K19" s="84" t="n"/>
      <c r="L19" s="84" t="n"/>
      <c r="M19" s="84" t="n"/>
      <c r="N19" s="84" t="n"/>
      <c r="O19" s="84" t="n"/>
      <c r="P19" s="84" t="n"/>
      <c r="Q19" s="84" t="n"/>
    </row>
    <row r="20" hidden="1">
      <c r="C20" s="83" t="n">
        <v>2023</v>
      </c>
      <c r="D20" s="88" t="inlineStr">
        <is>
          <t>Competencia</t>
        </is>
      </c>
      <c r="E20" s="84" t="n"/>
      <c r="F20" s="84" t="n"/>
      <c r="G20" s="84" t="n"/>
      <c r="H20" s="84" t="n"/>
      <c r="I20" s="84" t="n"/>
      <c r="J20" s="84" t="n"/>
      <c r="K20" s="84" t="n"/>
      <c r="L20" s="84" t="n"/>
      <c r="M20" s="84" t="n"/>
      <c r="N20" s="84" t="n"/>
      <c r="O20" s="84" t="n"/>
      <c r="P20" s="84" t="n"/>
      <c r="Q20" s="84" t="n"/>
    </row>
    <row r="21" hidden="1">
      <c r="C21" s="83" t="n"/>
      <c r="D21" s="88" t="inlineStr">
        <is>
          <t>LIQUIDEZ RESERVA DÓLAR</t>
        </is>
      </c>
      <c r="E21" s="84" t="n"/>
      <c r="F21" s="84" t="n"/>
      <c r="G21" s="84" t="n"/>
      <c r="H21" s="84" t="n"/>
      <c r="I21" s="84" t="n"/>
      <c r="J21" s="84" t="n"/>
      <c r="K21" s="84" t="n"/>
      <c r="L21" s="84" t="n"/>
      <c r="M21" s="84" t="n"/>
      <c r="N21" s="84" t="n"/>
      <c r="O21" s="84" t="n"/>
      <c r="P21" s="84" t="n"/>
      <c r="Q21" s="84" t="n"/>
    </row>
    <row r="22">
      <c r="C22" s="83" t="n">
        <v>2024</v>
      </c>
      <c r="D22" s="88" t="inlineStr">
        <is>
          <t>Competencia</t>
        </is>
      </c>
      <c r="E22" s="84" t="n"/>
      <c r="F22" s="84" t="n"/>
      <c r="G22" s="84" t="n"/>
      <c r="H22" s="84" t="n"/>
      <c r="I22" s="84" t="n"/>
      <c r="J22" s="84" t="n"/>
      <c r="K22" s="84" t="n"/>
      <c r="L22" s="84" t="n"/>
      <c r="M22" s="84" t="n"/>
      <c r="N22" s="84" t="n"/>
      <c r="O22" s="84" t="n"/>
      <c r="P22" s="84" t="n"/>
      <c r="Q22" s="84" t="n"/>
    </row>
    <row r="23">
      <c r="C23" s="83" t="n"/>
      <c r="D23" s="88" t="inlineStr">
        <is>
          <t>LIQUIDEZ RESERVA DÓLAR</t>
        </is>
      </c>
      <c r="E23" s="84" t="n"/>
      <c r="F23" s="84" t="n"/>
      <c r="G23" s="84" t="n"/>
      <c r="H23" s="84" t="n"/>
      <c r="I23" s="84" t="n"/>
      <c r="J23" s="84" t="n"/>
      <c r="K23" s="84" t="n"/>
      <c r="L23" s="84" t="n"/>
      <c r="M23" s="84" t="n"/>
      <c r="N23" s="84" t="n"/>
      <c r="O23" s="84" t="n"/>
      <c r="P23" s="84" t="n"/>
      <c r="Q23" s="84" t="n">
        <v>0</v>
      </c>
    </row>
    <row r="24">
      <c r="C24" s="83" t="n">
        <v>2025</v>
      </c>
      <c r="D24" s="88" t="inlineStr">
        <is>
          <t>Competencia</t>
        </is>
      </c>
      <c r="E24" s="84" t="n"/>
      <c r="F24" s="84" t="n"/>
      <c r="G24" s="84">
        <f>+'Datos ICP (2)'!AG78</f>
        <v/>
      </c>
      <c r="H24" s="84">
        <f>+'Datos ICP (2)'!AH78</f>
        <v/>
      </c>
      <c r="I24" s="84">
        <f>+'Datos ICP (2)'!AI78</f>
        <v/>
      </c>
      <c r="J24" s="84">
        <f>+'Datos ICP (2)'!AJ78</f>
        <v/>
      </c>
      <c r="K24" s="84">
        <f>+'Datos ICP (2)'!AK78</f>
        <v/>
      </c>
      <c r="L24" s="84">
        <f>+'Datos ICP (2)'!AL78</f>
        <v/>
      </c>
      <c r="M24" s="84">
        <f>+'Datos ICP (2)'!AM78</f>
        <v/>
      </c>
      <c r="N24" s="84">
        <f>+'Datos ICP (2)'!AN78</f>
        <v/>
      </c>
      <c r="O24" s="84">
        <f>+'Datos ICP (2)'!AO78</f>
        <v/>
      </c>
      <c r="P24" s="84">
        <f>+'Datos ICP (2)'!AP78</f>
        <v/>
      </c>
      <c r="Q24" s="84">
        <f>+'Datos ICP (2)'!AQ78</f>
        <v/>
      </c>
    </row>
    <row r="25">
      <c r="C25" s="83" t="n"/>
      <c r="D25" s="88" t="inlineStr">
        <is>
          <t>LIQUIDEZ RESERVA DÓLAR</t>
        </is>
      </c>
      <c r="E25" s="84" t="n"/>
      <c r="F25" s="84" t="n"/>
      <c r="G25" s="84">
        <f>+'Datos ICP (2)'!AG79</f>
        <v/>
      </c>
      <c r="H25" s="84">
        <f>+'Datos ICP (2)'!AH79</f>
        <v/>
      </c>
      <c r="I25" s="84">
        <f>+'Datos ICP (2)'!AI79</f>
        <v/>
      </c>
      <c r="J25" s="84">
        <f>+'Datos ICP (2)'!AJ79</f>
        <v/>
      </c>
      <c r="K25" s="84">
        <f>+'Datos ICP (2)'!AK79</f>
        <v/>
      </c>
      <c r="L25" s="84">
        <f>+'Datos ICP (2)'!AL79</f>
        <v/>
      </c>
      <c r="M25" s="84">
        <f>+'Datos ICP (2)'!AM79</f>
        <v/>
      </c>
      <c r="N25" s="84">
        <f>+'Datos ICP (2)'!AN79</f>
        <v/>
      </c>
      <c r="O25" s="84">
        <f>+'Datos ICP (2)'!AO79</f>
        <v/>
      </c>
      <c r="P25" s="84">
        <f>+'Datos ICP (2)'!AP79</f>
        <v/>
      </c>
      <c r="Q25" s="84">
        <f>+'Datos ICP (2)'!AQ79</f>
        <v/>
      </c>
    </row>
    <row r="26">
      <c r="C26" s="83" t="n">
        <v>2026</v>
      </c>
      <c r="D26" s="88" t="inlineStr">
        <is>
          <t>Competencia</t>
        </is>
      </c>
      <c r="E26" s="84">
        <f>+'Datos ICP (2)'!AE80</f>
        <v/>
      </c>
      <c r="F26" s="84">
        <f>+'Datos ICP (2)'!AF80</f>
        <v/>
      </c>
      <c r="G26" s="84">
        <f>+'Datos ICP (2)'!AG80</f>
        <v/>
      </c>
      <c r="H26" s="84">
        <f>+'Datos ICP (2)'!AH80</f>
        <v/>
      </c>
      <c r="I26" s="84" t="n"/>
      <c r="J26" s="84" t="n"/>
      <c r="K26" s="84" t="n"/>
      <c r="L26" s="84" t="n"/>
      <c r="M26" s="84" t="n"/>
      <c r="N26" s="84" t="n"/>
      <c r="O26" s="84" t="n"/>
      <c r="P26" s="84" t="n"/>
      <c r="Q26" s="84">
        <f>+'Datos ICP (2)'!AQ80</f>
        <v/>
      </c>
    </row>
    <row r="27">
      <c r="C27" s="83" t="n"/>
      <c r="D27" s="88" t="inlineStr">
        <is>
          <t>LIQUIDEZ RESERVA DÓLAR</t>
        </is>
      </c>
      <c r="E27" s="84">
        <f>+'Datos ICP (2)'!AE81</f>
        <v/>
      </c>
      <c r="F27" s="84">
        <f>+'Datos ICP (2)'!AF81</f>
        <v/>
      </c>
      <c r="G27" s="84">
        <f>+'Datos ICP (2)'!AG81</f>
        <v/>
      </c>
      <c r="H27" s="84">
        <f>+'Datos ICP (2)'!AH81</f>
        <v/>
      </c>
      <c r="I27" s="84" t="n"/>
      <c r="J27" s="84" t="n"/>
      <c r="K27" s="84" t="n"/>
      <c r="L27" s="84" t="n"/>
      <c r="M27" s="84" t="n"/>
      <c r="N27" s="84" t="n"/>
      <c r="O27" s="84" t="n"/>
      <c r="P27" s="84" t="n"/>
      <c r="Q27" s="84">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0.1757</v>
      </c>
      <c r="O3" s="94" t="inlineStr">
        <is>
          <t>Depósitos</t>
        </is>
      </c>
      <c r="P3" s="95" t="n">
        <v>0</v>
      </c>
      <c r="S3" s="94" t="inlineStr">
        <is>
          <t>USD</t>
        </is>
      </c>
      <c r="T3" s="95" t="n">
        <v>1</v>
      </c>
    </row>
    <row r="4">
      <c r="C4" s="1" t="n"/>
      <c r="K4" s="94" t="inlineStr">
        <is>
          <t>1-3 meses</t>
        </is>
      </c>
      <c r="L4" s="95" t="n">
        <v>0.6108</v>
      </c>
      <c r="O4" s="94" t="inlineStr">
        <is>
          <t>Factoring</t>
        </is>
      </c>
      <c r="P4" s="95" t="n">
        <v>0</v>
      </c>
      <c r="S4" s="8" t="n"/>
      <c r="T4" s="9" t="n"/>
    </row>
    <row r="5">
      <c r="A5" s="3" t="n"/>
      <c r="B5" s="3" t="n"/>
      <c r="C5" s="1" t="n"/>
      <c r="K5" s="94" t="inlineStr">
        <is>
          <t>3-4 meses</t>
        </is>
      </c>
      <c r="L5" s="95" t="n">
        <v>0.2135</v>
      </c>
      <c r="O5" s="94" t="inlineStr">
        <is>
          <t>Financiamiento Inmobiliario</t>
        </is>
      </c>
      <c r="P5" s="95" t="n">
        <v>0</v>
      </c>
    </row>
    <row r="6">
      <c r="A6" s="3" t="n"/>
      <c r="B6" s="3" t="n"/>
      <c r="C6" s="1" t="n"/>
      <c r="K6" s="94" t="inlineStr">
        <is>
          <t>Más de 4 meses</t>
        </is>
      </c>
      <c r="L6" s="95" t="n">
        <v>0</v>
      </c>
      <c r="O6" s="94" t="inlineStr">
        <is>
          <t>Financiamiento Mesa Moneda Extranjera</t>
        </is>
      </c>
      <c r="P6" s="95" t="n">
        <v>0.8108</v>
      </c>
    </row>
    <row r="7">
      <c r="B7" s="3" t="n"/>
      <c r="C7" s="1" t="n"/>
      <c r="L7" s="81">
        <f>SUM(L3:L6)</f>
        <v/>
      </c>
      <c r="O7" s="94" t="inlineStr">
        <is>
          <t>Garantías</t>
        </is>
      </c>
      <c r="P7" s="95" t="n">
        <v>0</v>
      </c>
    </row>
    <row r="8">
      <c r="C8" s="1" t="n"/>
      <c r="O8" s="94" t="inlineStr">
        <is>
          <t>Nota Estructurada</t>
        </is>
      </c>
      <c r="P8" s="95" t="n">
        <v>0.1892</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81">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2026-07-02T16:23:25Z</dcterms:modified>
  <cp:lastModifiedBy>María Isabel Velasco Retamal</cp:lastModifiedBy>
</cp:coreProperties>
</file>