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10">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 numFmtId="173" formatCode="[$$-1004]#,##0"/>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Aileron Light"/>
      <family val="3"/>
      <color rgb="FF000000"/>
      <sz val="11"/>
    </font>
    <font>
      <name val="Muli"/>
      <charset val="1"/>
      <color rgb="FF666666"/>
      <sz val="8.800000000000001"/>
    </font>
    <font>
      <name val="Aptos Narrow"/>
      <family val="2"/>
      <color rgb="FF000000"/>
      <sz val="11"/>
    </font>
  </fonts>
  <fills count="18">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theme="9" tint="0.7999816888943144"/>
        <bgColor theme="9" tint="0.7999816888943144"/>
      </patternFill>
    </fill>
    <fill>
      <patternFill patternType="solid">
        <fgColor rgb="FFF8F8F8"/>
        <bgColor rgb="FF000000"/>
      </patternFill>
    </fill>
    <fill>
      <patternFill patternType="solid">
        <fgColor rgb="FFDAF2D0"/>
        <bgColor rgb="FFDAF2D0"/>
      </patternFill>
    </fill>
  </fills>
  <borders count="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61">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73" fontId="26" fillId="14" borderId="2" applyAlignment="1">
      <alignment vertical="center"/>
    </xf>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cellStyleXfs>
  <cellXfs count="1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2" borderId="0" pivotButton="0" quotePrefix="0" xfId="1"/>
    <xf numFmtId="0" fontId="20" fillId="0" borderId="0" pivotButton="0" quotePrefix="0" xfId="1"/>
    <xf numFmtId="168" fontId="6" fillId="0" borderId="0" pivotButton="0" quotePrefix="0" xfId="5"/>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0" fontId="10" fillId="7" borderId="0" applyAlignment="1" pivotButton="0" quotePrefix="0" xfId="4">
      <alignment horizontal="center"/>
    </xf>
    <xf numFmtId="10" fontId="10" fillId="2"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6"/>
    <xf numFmtId="10" fontId="21" fillId="0" borderId="0" pivotButton="0" quotePrefix="0" xfId="4"/>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6"/>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6">
      <alignment horizontal="center"/>
    </xf>
    <xf numFmtId="0" fontId="23" fillId="0" borderId="0" applyAlignment="1" pivotButton="0" quotePrefix="0" xfId="0">
      <alignment vertic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27" fillId="0" borderId="0" pivotButton="0" quotePrefix="0" xfId="0"/>
    <xf numFmtId="2" fontId="27" fillId="0" borderId="0" pivotButton="0" quotePrefix="0" xfId="0"/>
    <xf numFmtId="0" fontId="0" fillId="15" borderId="3" pivotButton="0" quotePrefix="0" xfId="0"/>
    <xf numFmtId="0" fontId="0" fillId="0" borderId="3" pivotButton="0" quotePrefix="0" xfId="0"/>
    <xf numFmtId="0" fontId="28" fillId="0" borderId="0" pivotButton="0" quotePrefix="0" xfId="0"/>
    <xf numFmtId="0" fontId="29" fillId="16" borderId="4" applyAlignment="1" pivotButton="0" quotePrefix="0" xfId="0">
      <alignment wrapText="1"/>
    </xf>
    <xf numFmtId="0" fontId="29" fillId="16" borderId="4" pivotButton="0" quotePrefix="0" xfId="0"/>
    <xf numFmtId="3" fontId="30" fillId="17" borderId="5"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5"/>
    <xf numFmtId="168" fontId="6" fillId="2" borderId="0" pivotButton="0" quotePrefix="1" xfId="5"/>
    <xf numFmtId="171" fontId="6" fillId="0" borderId="0" pivotButton="0" quotePrefix="0" xfId="6"/>
    <xf numFmtId="170" fontId="6" fillId="0" borderId="0" pivotButton="0" quotePrefix="0" xfId="7"/>
    <xf numFmtId="164" fontId="6" fillId="0" borderId="0" pivotButton="0" quotePrefix="0" xfId="4"/>
    <xf numFmtId="166" fontId="6" fillId="12" borderId="0" pivotButton="0" quotePrefix="0" xfId="1"/>
    <xf numFmtId="168" fontId="6" fillId="0" borderId="0" pivotButton="0" quotePrefix="0" xfId="5"/>
    <xf numFmtId="169" fontId="6" fillId="0" borderId="0" pivotButton="0" quotePrefix="0" xfId="7"/>
    <xf numFmtId="169" fontId="6" fillId="0" borderId="0" pivotButton="0" quotePrefix="0" xfId="1"/>
    <xf numFmtId="171" fontId="22" fillId="0" borderId="0" pivotButton="0" quotePrefix="0" xfId="6"/>
    <xf numFmtId="172" fontId="0" fillId="0" borderId="0" pivotButton="0" quotePrefix="0" xfId="0"/>
    <xf numFmtId="172" fontId="0" fillId="0" borderId="0" pivotButton="0" quotePrefix="0" xfId="0"/>
  </cellXfs>
  <cellStyles count="61">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6" xfId="8"/>
    <cellStyle name="Millares [0] 2 2" xfId="9"/>
    <cellStyle name="Millares [0] 2 5" xfId="10"/>
    <cellStyle name="Millares [0] 4" xfId="11"/>
    <cellStyle name="Millares [0] 2 2 3" xfId="12"/>
    <cellStyle name="Millares [0] 3" xfId="13"/>
    <cellStyle name="Millares [0] 2 4" xfId="14"/>
    <cellStyle name="Millares [0] 2 2 2" xfId="15"/>
    <cellStyle name="Millares [0] 2 3" xfId="16"/>
    <cellStyle name="Millares [0] 3 2" xfId="17"/>
    <cellStyle name="Millares [0] 2 12" xfId="18"/>
    <cellStyle name="Millares [0] 10" xfId="19"/>
    <cellStyle name="EstiloDetalle" xfId="20"/>
    <cellStyle name="Millares [0] 2 3 5" xfId="21"/>
    <cellStyle name="Millares [0] 4 5" xfId="22"/>
    <cellStyle name="Millares [0] 2 2 7" xfId="23"/>
    <cellStyle name="Millares [0] 3 6" xfId="24"/>
    <cellStyle name="Millares [0] 2 11" xfId="25"/>
    <cellStyle name="Millares [0] 9" xfId="26"/>
    <cellStyle name="Millares [0] 2 7" xfId="27"/>
    <cellStyle name="Millares [0] 5" xfId="28"/>
    <cellStyle name="Millares [0] 2 6 3" xfId="29"/>
    <cellStyle name="Millares [0] 2 2 6" xfId="30"/>
    <cellStyle name="Millares [0] 2 5 3" xfId="31"/>
    <cellStyle name="Millares [0] 4 4" xfId="32"/>
    <cellStyle name="Millares [0] 2 2 3 3" xfId="33"/>
    <cellStyle name="Millares [0] 3 5" xfId="34"/>
    <cellStyle name="Millares [0] 2 4 3" xfId="35"/>
    <cellStyle name="Millares [0] 2 2 2 3" xfId="36"/>
    <cellStyle name="Millares [0] 2 3 4" xfId="37"/>
    <cellStyle name="Millares [0] 3 2 3" xfId="38"/>
    <cellStyle name="Millares [0] 2 10" xfId="39"/>
    <cellStyle name="Millares [0] 8" xfId="40"/>
    <cellStyle name="Millares [0] 2 3 3" xfId="41"/>
    <cellStyle name="Millares [0] 4 3" xfId="42"/>
    <cellStyle name="Millares [0] 2 2 5" xfId="43"/>
    <cellStyle name="Millares [0] 3 4" xfId="44"/>
    <cellStyle name="Millares [0] 2 9" xfId="45"/>
    <cellStyle name="Millares [0] 7" xfId="46"/>
    <cellStyle name="Millares [0] 2 8" xfId="47"/>
    <cellStyle name="Millares [0] 6" xfId="48"/>
    <cellStyle name="Millares [0] 2 7 2" xfId="49"/>
    <cellStyle name="Millares [0] 5 2" xfId="50"/>
    <cellStyle name="Millares [0] 2 6 2" xfId="51"/>
    <cellStyle name="Millares [0] 2 2 4" xfId="52"/>
    <cellStyle name="Millares [0] 2 5 2" xfId="53"/>
    <cellStyle name="Millares [0] 4 2" xfId="54"/>
    <cellStyle name="Millares [0] 2 2 3 2" xfId="55"/>
    <cellStyle name="Millares [0] 3 3" xfId="56"/>
    <cellStyle name="Millares [0] 2 4 2" xfId="57"/>
    <cellStyle name="Millares [0] 2 2 2 2" xfId="58"/>
    <cellStyle name="Millares [0] 2 3 2" xfId="59"/>
    <cellStyle name="Millares [0] 3 2 2" xfId="6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Corriente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Corriente</a:t>
            </a: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None</a:t>
          </a:r>
          <a:endParaRPr lang="es-CL"/>
        </a:p>
      </txPr>
    </title>
    <plotArea>
      <layout>
        <manualLayout>
          <layoutTarget val="inner"/>
          <xMode val="edge"/>
          <yMode val="edge"/>
          <wMode val="factor"/>
          <hMode val="factor"/>
          <x val="0.1325409354827512"/>
          <y val="0.2027338804628223"/>
          <w val="0.8642550352850304"/>
          <h val="0.6922717972015905"/>
        </manualLayout>
      </layout>
      <lineChart>
        <grouping val="standard"/>
        <varyColors val="0"/>
        <ser>
          <idx val="0"/>
          <order val="0"/>
          <tx>
            <v>FIP Liquidez Corriente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(2)'!$J$234:$J$244</f>
              <numCache>
                <formatCode>#,##0.00</formatCode>
                <ptCount val="11"/>
                <pt idx="0">
                  <v>100</v>
                </pt>
                <pt idx="1">
                  <v>100.0518905081468</v>
                </pt>
                <pt idx="2">
                  <v>100.6623061858273</v>
                </pt>
                <pt idx="3">
                  <v>101.2931611922945</v>
                </pt>
                <pt idx="4">
                  <v>101.9552812624581</v>
                </pt>
                <pt idx="5">
                  <v>102.6338348161426</v>
                </pt>
                <pt idx="6">
                  <v>103.2547157122698</v>
                </pt>
                <pt idx="7">
                  <v>103.9159611320601</v>
                </pt>
                <pt idx="8">
                  <v>104.5659426740194</v>
                </pt>
                <pt idx="9">
                  <v>105.212489226233</v>
                </pt>
                <pt idx="10">
                  <v>105.8774682689455</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(2)'!$M$234:$M$244</f>
              <numCache>
                <formatCode>0.00</formatCode>
                <ptCount val="11"/>
                <pt idx="0">
                  <v>100</v>
                </pt>
                <pt idx="1">
                  <v>100.0684827531475</v>
                </pt>
                <pt idx="2">
                  <v>100.3650883432863</v>
                </pt>
                <pt idx="3">
                  <v>100.6637697964087</v>
                </pt>
                <pt idx="4">
                  <v>100.9647638060734</v>
                </pt>
                <pt idx="5">
                  <v>101.2673604995519</v>
                </pt>
                <pt idx="6">
                  <v>101.5565163344374</v>
                </pt>
                <pt idx="7">
                  <v>101.8514111202594</v>
                </pt>
                <pt idx="8">
                  <v>102.1326855015313</v>
                </pt>
                <pt idx="9">
                  <v>102.4158758547853</v>
                </pt>
                <pt idx="10">
                  <v>102.7021298422013</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(2)'!$F$234:$F$244</f>
              <numCache>
                <formatCode>m/d/yyyy</formatCode>
                <ptCount val="11"/>
                <pt idx="0">
                  <v>45705</v>
                </pt>
                <pt idx="1">
                  <v>45716</v>
                </pt>
                <pt idx="2">
                  <v>45747</v>
                </pt>
                <pt idx="3">
                  <v>45777</v>
                </pt>
                <pt idx="4">
                  <v>45808</v>
                </pt>
                <pt idx="5">
                  <v>45838</v>
                </pt>
                <pt idx="6">
                  <v>45869</v>
                </pt>
                <pt idx="7">
                  <v>45900</v>
                </pt>
                <pt idx="8">
                  <v>45930</v>
                </pt>
                <pt idx="9">
                  <v>45961</v>
                </pt>
                <pt idx="10">
                  <v>45991</v>
                </pt>
              </numCache>
            </numRef>
          </cat>
          <val>
            <numRef>
              <f>'Datos ICP (2)'!$D$234:$D$2231</f>
              <numCache>
                <formatCode>0.00</formatCode>
                <ptCount val="1998"/>
                <pt idx="0">
                  <v>100</v>
                </pt>
                <pt idx="1">
                  <v>100.0966015632478</v>
                </pt>
                <pt idx="2">
                  <v>100.514469558635</v>
                </pt>
                <pt idx="3">
                  <v>100.9341894819734</v>
                </pt>
                <pt idx="4">
                  <v>101.3419206563856</v>
                </pt>
                <pt idx="5">
                  <v>101.77916707546</v>
                </pt>
                <pt idx="6">
                  <v>102.2033165284231</v>
                </pt>
                <pt idx="7">
                  <v>102.5824520636709</v>
                </pt>
                <pt idx="8">
                  <v>103.0163808382738</v>
                </pt>
                <pt idx="9">
                  <v>103.4117833168833</v>
                </pt>
                <pt idx="10">
                  <v>103.8081027357856</v>
                </pt>
                <pt idx="11">
                  <v>104.2239508328315</v>
                </pt>
                <pt idx="12">
                  <v>104.6155313411162</v>
                </pt>
                <pt idx="13">
                  <v>105.0225527804108</v>
                </pt>
                <pt idx="14">
                  <v>105.4170914875327</v>
                </pt>
                <pt idx="15">
                  <v>105.8130815097987</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0.2228</v>
                </pt>
                <pt idx="1">
                  <v>0.4666</v>
                </pt>
                <pt idx="2">
                  <v>0.3106</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0.2617</v>
                </pt>
                <pt idx="3">
                  <v>0.6388</v>
                </pt>
                <pt idx="4">
                  <v>0.09950000000000001</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696082</colOff>
      <row>253</row>
      <rowOff>180520</rowOff>
    </from>
    <to>
      <col>12</col>
      <colOff>214086</colOff>
      <row>279</row>
      <rowOff>166913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8.71093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S8" zoomScale="78" zoomScaleNormal="7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7" min="7" max="7"/>
    <col width="14.5703125" customWidth="1" style="107" min="8" max="8"/>
    <col width="12.28515625" bestFit="1" customWidth="1" style="108"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20"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9" t="n"/>
      <c r="H2" s="109" t="n"/>
      <c r="J2" s="9" t="inlineStr">
        <is>
          <t>Fondo Liquidez Corriente</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19" t="n"/>
      <c r="N3" s="24">
        <f>B3</f>
        <v/>
      </c>
      <c r="O3" s="9" t="n">
        <v>2006</v>
      </c>
      <c r="P3" s="110" t="n">
        <v>10996.85</v>
      </c>
      <c r="Q3" s="110" t="n">
        <v>11035.11</v>
      </c>
      <c r="R3" s="110" t="n">
        <v>11078.66</v>
      </c>
      <c r="S3" s="110" t="n">
        <v>11118.82</v>
      </c>
      <c r="T3" s="110" t="n">
        <v>11169.1</v>
      </c>
      <c r="U3" s="110" t="n">
        <v>11215.04</v>
      </c>
      <c r="V3" s="110" t="n">
        <v>11263.22</v>
      </c>
      <c r="W3" s="110" t="n">
        <v>11313.29</v>
      </c>
      <c r="X3" s="110" t="n">
        <v>11360.92</v>
      </c>
      <c r="Y3" s="110" t="n">
        <v>11413.02</v>
      </c>
      <c r="Z3" s="110" t="n">
        <v>11463.01</v>
      </c>
      <c r="AA3" s="110"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11" t="n">
        <v>38748</v>
      </c>
      <c r="B4" s="110" t="n">
        <v>10996.85</v>
      </c>
      <c r="C4" s="31">
        <f>(B4/B3-1)/(A4-A3)*30</f>
        <v/>
      </c>
      <c r="D4" s="25" t="n"/>
      <c r="E4" s="25" t="n"/>
      <c r="F4" s="25" t="n"/>
      <c r="K4" s="18" t="inlineStr">
        <is>
          <t>BCI EFICIENTE</t>
        </is>
      </c>
      <c r="L4" s="19" t="n"/>
      <c r="O4" s="9" t="n">
        <v>2007</v>
      </c>
      <c r="P4" s="110" t="n">
        <v>11567.23</v>
      </c>
      <c r="Q4" s="110" t="n">
        <v>11612.68</v>
      </c>
      <c r="R4" s="110" t="n">
        <v>11661.5</v>
      </c>
      <c r="S4" s="110" t="n">
        <v>11712.58</v>
      </c>
      <c r="T4" s="110" t="n">
        <v>11763.78</v>
      </c>
      <c r="U4" s="110" t="n">
        <v>11812.23</v>
      </c>
      <c r="V4" s="110" t="n">
        <v>11866.53</v>
      </c>
      <c r="W4" s="110" t="n">
        <v>11922.48</v>
      </c>
      <c r="X4" s="110" t="n">
        <v>11975.61</v>
      </c>
      <c r="Y4" s="110" t="n">
        <v>12038.9</v>
      </c>
      <c r="Z4" s="110" t="n">
        <v>12096.85</v>
      </c>
      <c r="AA4" s="110"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10" t="n">
        <v>11035.11</v>
      </c>
      <c r="C5" s="31">
        <f>(B5/B4-1)/(A5-A4)*30</f>
        <v/>
      </c>
      <c r="D5" s="25" t="n"/>
      <c r="E5" s="25" t="n"/>
      <c r="F5" s="25" t="n"/>
      <c r="O5" s="9" t="n">
        <v>2008</v>
      </c>
      <c r="P5" s="110" t="n">
        <v>12223.14</v>
      </c>
      <c r="Q5" s="110" t="n">
        <v>12284.88</v>
      </c>
      <c r="R5" s="110" t="n">
        <v>12351.45</v>
      </c>
      <c r="S5" s="110" t="n">
        <v>12416.18</v>
      </c>
      <c r="T5" s="110" t="n">
        <v>12481.48</v>
      </c>
      <c r="U5" s="110" t="n">
        <v>12552.23</v>
      </c>
      <c r="V5" s="110" t="n">
        <v>12628.9</v>
      </c>
      <c r="W5" s="110" t="n">
        <v>12704.63</v>
      </c>
      <c r="X5" s="110" t="n">
        <v>12796.95</v>
      </c>
      <c r="Y5" s="110" t="n">
        <v>12885.37</v>
      </c>
      <c r="Z5" s="110" t="n">
        <v>12970.93</v>
      </c>
      <c r="AA5" s="110"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10" t="n">
        <v>11078.66</v>
      </c>
      <c r="C6" s="31">
        <f>(B6/B5-1)/(A6-A5)*30</f>
        <v/>
      </c>
      <c r="D6" s="25" t="n"/>
      <c r="E6" s="25" t="n"/>
      <c r="F6" s="25" t="n"/>
      <c r="O6" s="9" t="n">
        <v>2009</v>
      </c>
      <c r="P6" s="110" t="n">
        <v>13151.16</v>
      </c>
      <c r="Q6" s="110" t="n">
        <v>13212.09</v>
      </c>
      <c r="R6" s="110" t="n">
        <v>13251.18</v>
      </c>
      <c r="S6" s="110" t="n">
        <v>13272.62</v>
      </c>
      <c r="T6" s="110" t="n">
        <v>13286.96</v>
      </c>
      <c r="U6" s="110" t="n">
        <v>13299.08</v>
      </c>
      <c r="V6" s="110" t="n">
        <v>13305.34</v>
      </c>
      <c r="W6" s="110" t="n">
        <v>13310.07</v>
      </c>
      <c r="X6" s="110" t="n">
        <v>13315.05</v>
      </c>
      <c r="Y6" s="110" t="n">
        <v>13319.74</v>
      </c>
      <c r="Z6" s="110" t="n">
        <v>13324.51</v>
      </c>
      <c r="AA6" s="110"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10" t="n">
        <v>11118.82</v>
      </c>
      <c r="C7" s="31">
        <f>(B7/B6-1)/(A7-A6)*30</f>
        <v/>
      </c>
      <c r="D7" s="25" t="n"/>
      <c r="E7" s="25" t="n"/>
      <c r="F7" s="25" t="n"/>
      <c r="O7" s="9" t="n">
        <v>2010</v>
      </c>
      <c r="P7" s="110" t="n">
        <v>13334.25</v>
      </c>
      <c r="Q7" s="110" t="n">
        <v>13338.53</v>
      </c>
      <c r="R7" s="110" t="n">
        <v>13343.79</v>
      </c>
      <c r="S7" s="110" t="n">
        <v>13348.63</v>
      </c>
      <c r="T7" s="110" t="n">
        <v>13353.5</v>
      </c>
      <c r="U7" s="110" t="n">
        <v>13360.9</v>
      </c>
      <c r="V7" s="110" t="n">
        <v>13373.99</v>
      </c>
      <c r="W7" s="110" t="n">
        <v>13395.21</v>
      </c>
      <c r="X7" s="110" t="n">
        <v>13419.79</v>
      </c>
      <c r="Y7" s="110" t="n">
        <v>13448.69</v>
      </c>
      <c r="Z7" s="110" t="n">
        <v>13483.02</v>
      </c>
      <c r="AA7" s="110"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10" t="n">
        <v>11169.1</v>
      </c>
      <c r="C8" s="31">
        <f>(B8/B7-1)/(A8-A7)*30</f>
        <v/>
      </c>
      <c r="D8" s="25" t="n"/>
      <c r="E8" s="25" t="n"/>
      <c r="F8" s="25" t="n"/>
      <c r="O8" s="9" t="n">
        <v>2011</v>
      </c>
      <c r="P8" s="110" t="n">
        <v>13557.12</v>
      </c>
      <c r="Q8" s="110" t="n">
        <v>13592.3</v>
      </c>
      <c r="R8" s="110" t="n">
        <v>13635.91</v>
      </c>
      <c r="S8" s="110" t="n">
        <v>13682.94</v>
      </c>
      <c r="T8" s="110" t="n">
        <v>13741.06</v>
      </c>
      <c r="U8" s="110" t="n">
        <v>13799.74</v>
      </c>
      <c r="V8" s="110" t="n">
        <v>13858.14</v>
      </c>
      <c r="W8" s="110" t="n">
        <v>13925.03</v>
      </c>
      <c r="X8" s="110" t="n">
        <v>13985.97</v>
      </c>
      <c r="Y8" s="110" t="n">
        <v>14043.21</v>
      </c>
      <c r="Z8" s="110" t="n">
        <v>14110.87</v>
      </c>
      <c r="AA8" s="110"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10" t="n">
        <v>11215.04</v>
      </c>
      <c r="C9" s="31">
        <f>(B9/B8-1)/(A9-A8)*30</f>
        <v/>
      </c>
      <c r="D9" s="25" t="n"/>
      <c r="E9" s="25" t="n"/>
      <c r="F9" s="25" t="n"/>
      <c r="O9" s="9" t="n">
        <v>2012</v>
      </c>
      <c r="P9" s="110" t="n">
        <v>14236.38</v>
      </c>
      <c r="Q9" s="110" t="n">
        <v>14293.67</v>
      </c>
      <c r="R9" s="110" t="n">
        <v>14353.34</v>
      </c>
      <c r="S9" s="110" t="n">
        <v>14415.21</v>
      </c>
      <c r="T9" s="110" t="n">
        <v>14477.55</v>
      </c>
      <c r="U9" s="110" t="n">
        <v>14536.13</v>
      </c>
      <c r="V9" s="110" t="n">
        <v>14600.61</v>
      </c>
      <c r="W9" s="110" t="n">
        <v>14663.33</v>
      </c>
      <c r="X9" s="110" t="n">
        <v>14720.68</v>
      </c>
      <c r="Y9" s="110" t="n">
        <v>14788.56</v>
      </c>
      <c r="Z9" s="110" t="n">
        <v>14850.38</v>
      </c>
      <c r="AA9" s="110"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10" t="n">
        <v>11263.22</v>
      </c>
      <c r="C10" s="31">
        <f>(B10/B9-1)/(A10-A9)*30</f>
        <v/>
      </c>
      <c r="D10" s="25" t="n"/>
      <c r="E10" s="25" t="n"/>
      <c r="F10" s="25" t="n"/>
      <c r="O10" s="9" t="n">
        <v>2013</v>
      </c>
      <c r="P10" s="110" t="n">
        <v>14978.58</v>
      </c>
      <c r="Q10" s="110" t="n">
        <v>15036.94</v>
      </c>
      <c r="R10" s="110" t="n">
        <v>15095.51</v>
      </c>
      <c r="S10" s="110" t="n">
        <v>15164.77</v>
      </c>
      <c r="T10" s="110" t="n">
        <v>15230.38</v>
      </c>
      <c r="U10" s="110" t="n">
        <v>15289.74</v>
      </c>
      <c r="V10" s="110" t="n">
        <v>15360.27</v>
      </c>
      <c r="W10" s="110" t="n">
        <v>15424.43</v>
      </c>
      <c r="X10" s="110" t="n">
        <v>15490.99</v>
      </c>
      <c r="Y10" s="110" t="n">
        <v>15554.36</v>
      </c>
      <c r="Z10" s="110" t="n">
        <v>15615.06</v>
      </c>
      <c r="AA10" s="110"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10" t="n">
        <v>11313.29</v>
      </c>
      <c r="C11" s="31">
        <f>(B11/B10-1)/(A11-A10)*30</f>
        <v/>
      </c>
      <c r="D11" s="25" t="n"/>
      <c r="E11" s="25" t="n"/>
      <c r="F11" s="25" t="n"/>
      <c r="O11" s="9" t="n">
        <v>2014</v>
      </c>
      <c r="P11" s="110" t="n">
        <v>15738.45</v>
      </c>
      <c r="Q11" s="110" t="n">
        <v>15792.47</v>
      </c>
      <c r="R11" s="110" t="n">
        <v>15848.53</v>
      </c>
      <c r="S11" s="110" t="n">
        <v>15901.43</v>
      </c>
      <c r="T11" s="110" t="n">
        <v>15954.5</v>
      </c>
      <c r="U11" s="110" t="n">
        <v>16009.53</v>
      </c>
      <c r="V11" s="110" t="n">
        <v>16063.18</v>
      </c>
      <c r="W11" s="110" t="n">
        <v>16110.55</v>
      </c>
      <c r="X11" s="110" t="n">
        <v>16158.37</v>
      </c>
      <c r="Y11" s="110" t="n">
        <v>16200.86</v>
      </c>
      <c r="Z11" s="110" t="n">
        <v>16240.11</v>
      </c>
      <c r="AA11" s="110"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10" t="n">
        <v>11360.92</v>
      </c>
      <c r="C12" s="31">
        <f>(B12/B11-1)/(A12-A11)*30</f>
        <v/>
      </c>
      <c r="D12" s="25" t="n"/>
      <c r="E12" s="25" t="n"/>
      <c r="F12" s="25" t="n"/>
      <c r="O12" s="9" t="n">
        <v>2015</v>
      </c>
      <c r="P12" s="110" t="n">
        <v>16325.65</v>
      </c>
      <c r="Q12" s="110" t="n">
        <v>16363.77</v>
      </c>
      <c r="R12" s="110" t="n">
        <v>16407.49</v>
      </c>
      <c r="S12" s="110" t="n">
        <v>16448.59</v>
      </c>
      <c r="T12" s="110" t="n">
        <v>16488.37</v>
      </c>
      <c r="U12" s="110" t="n">
        <v>16532.38</v>
      </c>
      <c r="V12" s="110" t="n">
        <v>16575.11</v>
      </c>
      <c r="W12" s="110" t="n">
        <v>16617.94</v>
      </c>
      <c r="X12" s="110" t="n">
        <v>16659.58</v>
      </c>
      <c r="Y12" s="110" t="n">
        <v>16702.94</v>
      </c>
      <c r="Z12" s="110" t="n">
        <v>16749.75</v>
      </c>
      <c r="AA12" s="110"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10" t="n">
        <v>11413.02</v>
      </c>
      <c r="C13" s="31">
        <f>(B13/B12-1)/(A13-A12)*30</f>
        <v/>
      </c>
      <c r="D13" s="25" t="n"/>
      <c r="E13" s="25" t="n"/>
      <c r="F13" s="25" t="n"/>
      <c r="O13" s="9" t="n">
        <v>2016</v>
      </c>
      <c r="P13" s="110" t="n">
        <v>16845.59</v>
      </c>
      <c r="Q13" s="110" t="n">
        <v>16896.43</v>
      </c>
      <c r="R13" s="110" t="n">
        <v>16947.43</v>
      </c>
      <c r="S13" s="110" t="n">
        <v>16995.27</v>
      </c>
      <c r="T13" s="110" t="n">
        <v>17048.23</v>
      </c>
      <c r="U13" s="110" t="n">
        <v>17098.02</v>
      </c>
      <c r="V13" s="110" t="n">
        <v>17149.62</v>
      </c>
      <c r="W13" s="110" t="n">
        <v>17201.38</v>
      </c>
      <c r="X13" s="110" t="n">
        <v>17251.69</v>
      </c>
      <c r="Y13" s="110">
        <f>+B135</f>
        <v/>
      </c>
      <c r="Z13" s="110">
        <f>+B136</f>
        <v/>
      </c>
      <c r="AA13" s="110">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10" t="n">
        <v>11463.01</v>
      </c>
      <c r="C14" s="31">
        <f>(B14/B13-1)/(A14-A13)*30</f>
        <v/>
      </c>
      <c r="D14" s="25" t="n"/>
      <c r="E14" s="25" t="n"/>
      <c r="F14" s="25" t="n"/>
      <c r="O14" s="9" t="n">
        <v>2017</v>
      </c>
      <c r="P14" s="110">
        <f>+B138</f>
        <v/>
      </c>
      <c r="Q14" s="110">
        <f>+B139</f>
        <v/>
      </c>
      <c r="R14" s="110">
        <f>+B140</f>
        <v/>
      </c>
      <c r="S14" s="110">
        <f>+B141</f>
        <v/>
      </c>
      <c r="T14" s="110">
        <f>+B142</f>
        <v/>
      </c>
      <c r="U14" s="110">
        <f>+$B143</f>
        <v/>
      </c>
      <c r="V14" s="110">
        <f>+$B144</f>
        <v/>
      </c>
      <c r="W14" s="110">
        <f>+$B145</f>
        <v/>
      </c>
      <c r="X14" s="110">
        <f>+$B146</f>
        <v/>
      </c>
      <c r="Y14" s="110">
        <f>+$B147</f>
        <v/>
      </c>
      <c r="Z14" s="110">
        <f>+$B148</f>
        <v/>
      </c>
      <c r="AA14" s="110">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10"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t="n"/>
      <c r="AF15" s="28" t="n"/>
      <c r="AG15" s="28" t="n"/>
      <c r="AH15" s="28" t="n"/>
      <c r="AI15" s="28" t="n"/>
      <c r="AJ15" s="28" t="n"/>
      <c r="AK15" s="28" t="n"/>
      <c r="AL15" s="28" t="n"/>
      <c r="AM15" s="28" t="n"/>
      <c r="AN15" s="28" t="n"/>
      <c r="AO15" s="28" t="n"/>
      <c r="AP15" s="28" t="n"/>
      <c r="AQ15" s="29" t="n"/>
      <c r="AR15" s="32" t="inlineStr">
        <is>
          <t>(*)</t>
        </is>
      </c>
      <c r="AS15" s="15" t="n"/>
    </row>
    <row r="16">
      <c r="A16" s="23" t="n">
        <v>39113</v>
      </c>
      <c r="B16" s="110"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t="n"/>
      <c r="AF16" s="28" t="n"/>
      <c r="AG16" s="28" t="n"/>
      <c r="AH16" s="28" t="n"/>
      <c r="AI16" s="28" t="n"/>
      <c r="AJ16" s="28" t="n"/>
      <c r="AK16" s="28" t="n"/>
      <c r="AL16" s="28" t="n"/>
      <c r="AM16" s="28" t="n"/>
      <c r="AN16" s="28" t="n"/>
      <c r="AO16" s="28" t="n"/>
      <c r="AP16" s="28" t="n"/>
      <c r="AQ16" s="29" t="n"/>
      <c r="AR16" s="32" t="n"/>
      <c r="AS16" s="15" t="n"/>
    </row>
    <row r="17">
      <c r="A17" s="23" t="n">
        <v>39141</v>
      </c>
      <c r="B17" s="110"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t="n"/>
      <c r="AG17" s="28" t="n"/>
      <c r="AH17" s="28" t="n"/>
      <c r="AI17" s="28" t="n"/>
      <c r="AJ17" s="28" t="n"/>
      <c r="AK17" s="28" t="n"/>
      <c r="AL17" s="28" t="n"/>
      <c r="AM17" s="28" t="n"/>
      <c r="AN17" s="28" t="n"/>
      <c r="AO17" s="28" t="n"/>
      <c r="AP17" s="28" t="n"/>
      <c r="AQ17" s="29" t="n"/>
      <c r="AR17" s="32" t="n"/>
      <c r="AS17" s="15" t="n"/>
    </row>
    <row r="18">
      <c r="A18" s="23" t="n">
        <v>39171</v>
      </c>
      <c r="B18" s="110"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t="n"/>
      <c r="AF18" s="28" t="n"/>
      <c r="AG18" s="28" t="n"/>
      <c r="AH18" s="28" t="n"/>
      <c r="AI18" s="28" t="n"/>
      <c r="AJ18" s="28" t="n"/>
      <c r="AK18" s="28" t="n"/>
      <c r="AL18" s="28" t="n"/>
      <c r="AM18" s="28" t="n"/>
      <c r="AN18" s="28" t="n"/>
      <c r="AO18" s="28" t="n"/>
      <c r="AP18" s="28" t="n"/>
      <c r="AQ18" s="29" t="n"/>
      <c r="AR18" s="32" t="n"/>
      <c r="AS18" s="15" t="n"/>
      <c r="AV18" s="34" t="n"/>
      <c r="AW18" s="34" t="n"/>
      <c r="AX18" s="34" t="n">
        <v>-1</v>
      </c>
      <c r="AY18" s="34" t="n">
        <v>-3</v>
      </c>
      <c r="AZ18" s="34" t="n">
        <v>-6</v>
      </c>
      <c r="BA18" s="34" t="n">
        <v>-12</v>
      </c>
      <c r="BB18" s="34" t="n"/>
    </row>
    <row r="19">
      <c r="A19" s="23" t="n">
        <v>39202</v>
      </c>
      <c r="B19" s="110"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t="n"/>
      <c r="AF19" s="28" t="n"/>
      <c r="AG19" s="28" t="n"/>
      <c r="AH19" s="28" t="n"/>
      <c r="AI19" s="28" t="n"/>
      <c r="AJ19" s="28" t="n"/>
      <c r="AK19" s="28" t="n"/>
      <c r="AL19" s="28" t="n"/>
      <c r="AM19" s="28" t="n"/>
      <c r="AN19" s="28" t="n"/>
      <c r="AO19" s="28" t="n"/>
      <c r="AP19" s="28" t="n"/>
      <c r="AQ19" s="29" t="n"/>
      <c r="AR19" s="32" t="n"/>
      <c r="AS19" s="15" t="n"/>
      <c r="AV19" s="36" t="inlineStr">
        <is>
          <t>Ingresar mes actual==&gt;</t>
        </is>
      </c>
      <c r="AW19" s="79" t="n">
        <v>46203</v>
      </c>
      <c r="AX19" s="37">
        <f>EOMONTH($AW19,AX18)+6</f>
        <v/>
      </c>
      <c r="AY19" s="37">
        <f>EOMONTH($AW19,AY18)</f>
        <v/>
      </c>
      <c r="AZ19" s="37">
        <f>EOMONTH($AW19,AZ18)</f>
        <v/>
      </c>
      <c r="BA19" s="37">
        <f>EOMONTH($AW19,BA18)</f>
        <v/>
      </c>
      <c r="BB19" s="37" t="n">
        <v>43100</v>
      </c>
    </row>
    <row r="20">
      <c r="A20" s="23" t="n">
        <v>39233</v>
      </c>
      <c r="B20" s="110"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t="n"/>
      <c r="AF20" s="28" t="n"/>
      <c r="AG20" s="28" t="n"/>
      <c r="AH20" s="28" t="n"/>
      <c r="AI20" s="28" t="n"/>
      <c r="AJ20" s="28" t="n"/>
      <c r="AK20" s="28" t="n"/>
      <c r="AL20" s="28" t="n"/>
      <c r="AM20" s="28" t="n"/>
      <c r="AN20" s="28" t="n"/>
      <c r="AO20" s="28" t="n"/>
      <c r="AP20" s="28" t="n"/>
      <c r="AQ20" s="29" t="n"/>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10"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t="n"/>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10"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Corriente</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10" t="n"/>
      <c r="C23" s="31" t="n"/>
      <c r="D23" s="25" t="n"/>
      <c r="E23" s="25" t="n"/>
      <c r="F23" s="25" t="n"/>
      <c r="O23" s="9" t="n">
        <v>2026</v>
      </c>
      <c r="P23" s="9">
        <f>+B246</f>
        <v/>
      </c>
      <c r="Q23" s="25">
        <f>+B247</f>
        <v/>
      </c>
      <c r="R23" s="25">
        <f>+B248</f>
        <v/>
      </c>
      <c r="S23" s="9">
        <f>+B249</f>
        <v/>
      </c>
      <c r="T23">
        <f>+B250</f>
        <v/>
      </c>
      <c r="U23" s="25">
        <f>+B251</f>
        <v/>
      </c>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10"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10"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10" t="n">
        <v>12038.9</v>
      </c>
      <c r="C26" s="31">
        <f>(B26/B25-1)/(A26-A25)*30</f>
        <v/>
      </c>
      <c r="D26" s="25" t="n"/>
      <c r="E26" s="25" t="n"/>
      <c r="F26" s="25" t="n"/>
      <c r="O26" s="38" t="inlineStr">
        <is>
          <t>FONDO LIQUIDEZ CORRIENTE</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10" t="n">
        <v>12096.85</v>
      </c>
      <c r="C27" s="31">
        <f>(B27/B26-1)/(A27-A26)*30</f>
        <v/>
      </c>
      <c r="D27" s="25" t="n"/>
      <c r="E27" s="25" t="n"/>
      <c r="F27" s="25" t="n"/>
      <c r="O27" s="9" t="n">
        <v>2016</v>
      </c>
      <c r="P27" s="110" t="n"/>
      <c r="Q27" s="110" t="n"/>
      <c r="R27" s="110" t="n"/>
      <c r="S27" s="110" t="n"/>
      <c r="T27" s="110">
        <f>'[1]Cuota Liquidez '!B2</f>
        <v/>
      </c>
      <c r="U27" s="112">
        <f>LOOKUP(DATE($O27,U$25,U$24),$A$2:$A$2943,$H$2:$H$2943)</f>
        <v/>
      </c>
      <c r="V27" s="112">
        <f>LOOKUP(DATE($O27,V$25,V$24),$A$2:$A$2943,$H$2:$H$2943)</f>
        <v/>
      </c>
      <c r="W27" s="112">
        <f>LOOKUP(DATE($O27,W$25,W$24),$A$2:$A$2943,$H$2:$H$2943)</f>
        <v/>
      </c>
      <c r="X27" s="112">
        <f>LOOKUP(DATE($O27,X$25,X$24),$A$2:$A$2943,$H$2:$H$2943)</f>
        <v/>
      </c>
      <c r="Y27" s="112">
        <f>LOOKUP(DATE($O27,Y$25,Y$24),$A$2:$A$2943,$H$2:$H$2943)</f>
        <v/>
      </c>
      <c r="Z27" s="112">
        <f>LOOKUP(DATE($O27,Z$25,Z$24),$A$2:$A$2943,$H$2:$H$2943)</f>
        <v/>
      </c>
      <c r="AA27" s="112">
        <f>LOOKUP(DATE($O27,AA$25,AA$24),$A$2:$A$2943,$H$2:$H$2943)</f>
        <v/>
      </c>
      <c r="AD27" s="35" t="inlineStr">
        <is>
          <t>Presente</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10" t="n">
        <v>12152.6</v>
      </c>
      <c r="C28" s="31">
        <f>(B28/B27-1)/(A28-A27)*30</f>
        <v/>
      </c>
      <c r="D28" s="25" t="n"/>
      <c r="E28" s="25" t="n"/>
      <c r="F28" s="25" t="n"/>
      <c r="O28" s="9" t="n">
        <v>2017</v>
      </c>
      <c r="P28" s="112">
        <f>LOOKUP(DATE($O28,P$25,P$24),$A$2:$A$2943,$H$2:$H$2943)</f>
        <v/>
      </c>
      <c r="Q28" s="112">
        <f>LOOKUP(DATE($O28,Q$25,Q$24),$A$2:$A$2943,$H$2:$H$2943)</f>
        <v/>
      </c>
      <c r="R28" s="112">
        <f>LOOKUP(DATE($O28,R$25,R$24),$A$2:$A$2943,$H$2:$H$2943)</f>
        <v/>
      </c>
      <c r="S28" s="112">
        <f>LOOKUP(DATE($O28,S$25,S$24),$A$2:$A$2943,$H$2:$H$2943)</f>
        <v/>
      </c>
      <c r="T28" s="112">
        <f>LOOKUP(DATE($O28,T$25,T$24),$A$2:$A$2943,$H$2:$H$2943)</f>
        <v/>
      </c>
      <c r="U28" s="112">
        <f>LOOKUP(DATE($O28,U$25,U$24),$A$2:$A$2943,$H$2:$H$2943)</f>
        <v/>
      </c>
      <c r="V28" s="112">
        <f>LOOKUP(DATE($O28,V$25,V$24),$A$2:$A$2943,$H$2:$H$2943)</f>
        <v/>
      </c>
      <c r="W28" s="112">
        <f>LOOKUP(DATE($O28,W$25,W$24),$A$2:$A$2943,$H$2:$H$2943)</f>
        <v/>
      </c>
      <c r="X28" s="112">
        <f>LOOKUP(DATE($O28,X$25,X$24),$A$2:$A$2943,$H$2:$H$2943)</f>
        <v/>
      </c>
      <c r="Y28" s="112">
        <f>LOOKUP(DATE($O28,Y$25,Y$24),$A$2:$A$2943,$H$2:$H$2943)</f>
        <v/>
      </c>
      <c r="Z28" s="112">
        <f>LOOKUP(DATE($O28,Z$25,Z$24),$A$2:$A$2943,$H$2:$H$2943)</f>
        <v/>
      </c>
      <c r="AA28" s="112">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10" t="n">
        <v>12223.14</v>
      </c>
      <c r="C29" s="31">
        <f>(B29/B28-1)/(A29-A28)*30</f>
        <v/>
      </c>
      <c r="D29" s="25" t="n"/>
      <c r="E29" s="25" t="n"/>
      <c r="F29" s="25" t="n"/>
      <c r="O29" s="9" t="n">
        <v>2018</v>
      </c>
      <c r="P29" s="112">
        <f>LOOKUP(DATE($O29,P$25,P$24),$A$2:$A$2943,$H$2:$H$2943)</f>
        <v/>
      </c>
      <c r="Q29" s="112">
        <f>LOOKUP(DATE($O29,Q$25,Q$24),$A$2:$A$2943,$H$2:$H$2943)</f>
        <v/>
      </c>
      <c r="R29" s="112">
        <f>LOOKUP(DATE($O29,R$25,R$24),$A$2:$A$2943,$H$2:$H$2943)</f>
        <v/>
      </c>
      <c r="S29" s="112">
        <f>LOOKUP(DATE($O29,S$25,S$24),$A$2:$A$2943,$H$2:$H$2943)</f>
        <v/>
      </c>
      <c r="T29" s="112">
        <f>LOOKUP(DATE($O29,T$25,T$24),$A$2:$A$2943,$H$2:$H$2943)</f>
        <v/>
      </c>
      <c r="U29" s="112">
        <f>LOOKUP(DATE($O29,U$25,U$24),$A$2:$A$2943,$H$2:$H$2943)</f>
        <v/>
      </c>
      <c r="V29" s="112">
        <f>LOOKUP(DATE($O29,V$25,V$24),$A$2:$A$2943,$H$2:$H$2943)</f>
        <v/>
      </c>
      <c r="W29" s="112">
        <f>LOOKUP(DATE($O29,W$25,W$24),$A$2:$A$2943,$H$2:$H$2943)</f>
        <v/>
      </c>
      <c r="X29" s="112">
        <f>LOOKUP(DATE($O29,X$25,X$24),$A$2:$A$2943,$H$2:$H$2943)</f>
        <v/>
      </c>
      <c r="Y29" s="113">
        <f>LOOKUP(DATE($O29,Y$25,Y$24),$A$2:$A$2943,$H$2:$H$2943)</f>
        <v/>
      </c>
      <c r="Z29" s="113">
        <f>LOOKUP(DATE($O29,Z$25,Z$24),$A$2:$A$2943,$H$2:$H$2943)</f>
        <v/>
      </c>
      <c r="AA29" s="113">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6" t="n"/>
      <c r="AW29" s="43" t="inlineStr">
        <is>
          <t>ICP (Bechmark)</t>
        </is>
      </c>
      <c r="AX29" s="46">
        <f>$AW20/AX20-1</f>
        <v/>
      </c>
      <c r="AY29" s="46">
        <f>$AW20/AY20-1</f>
        <v/>
      </c>
      <c r="AZ29" s="46">
        <f>$AW20/AZ20-1</f>
        <v/>
      </c>
      <c r="BA29" s="46">
        <f>$AW20/BA20-1</f>
        <v/>
      </c>
      <c r="BB29" s="46">
        <f>+AQ86</f>
        <v/>
      </c>
      <c r="BC29" s="47" t="n"/>
      <c r="BD29" s="33" t="n"/>
    </row>
    <row r="30">
      <c r="A30" s="23" t="n">
        <v>39507</v>
      </c>
      <c r="B30" s="110" t="n">
        <v>12284.88</v>
      </c>
      <c r="C30" s="31">
        <f>(B30/B29-1)/(A30-A29)*30</f>
        <v/>
      </c>
      <c r="D30" s="25" t="n"/>
      <c r="E30" s="25" t="n"/>
      <c r="F30" s="25" t="n"/>
      <c r="O30" s="9" t="n">
        <v>2019</v>
      </c>
      <c r="P30" s="112">
        <f>LOOKUP(DATE($O30,P$25,P$24),$A$2:$A$2943,$H$2:$H$2943)</f>
        <v/>
      </c>
      <c r="Q30" s="112">
        <f>LOOKUP(DATE($O30,Q$25,Q$24),$A$2:$A$2943,$H$2:$H$2943)</f>
        <v/>
      </c>
      <c r="R30" s="112">
        <f>LOOKUP(DATE($O30,R$25,R$24),$A$2:$A$2943,$H$2:$H$2943)</f>
        <v/>
      </c>
      <c r="S30" s="112">
        <f>LOOKUP(DATE($O30,S$25,S$24),$A$2:$A$2943,$H$2:$H$2943)</f>
        <v/>
      </c>
      <c r="T30" s="112">
        <f>LOOKUP(DATE($O30,T$25,T$24),$A$2:$A$2943,$H$2:$H$2943)</f>
        <v/>
      </c>
      <c r="U30" s="112">
        <f>LOOKUP(DATE($O30,U$25,U$24),$A$2:$A$2943,$H$2:$H$2943)</f>
        <v/>
      </c>
      <c r="V30" s="112">
        <f>LOOKUP(DATE($O30,V$25,V$24),$A$2:$A$2943,$H$2:$H$2943)</f>
        <v/>
      </c>
      <c r="W30" s="112">
        <f>LOOKUP(DATE($O30,W$25,W$24),$A$2:$A$2943,$H$2:$H$2943)</f>
        <v/>
      </c>
      <c r="X30" s="112">
        <f>LOOKUP(DATE($O30,X$25,X$24),$A$2:$A$2943,$H$2:$H$2943)</f>
        <v/>
      </c>
      <c r="Y30" s="112">
        <f>LOOKUP(DATE($O30,Y$25,Y$24),$A$2:$A$2943,$H$2:$H$2943)</f>
        <v/>
      </c>
      <c r="Z30" s="112">
        <f>LOOKUP(DATE($O30,Z$25,Z$24),$A$2:$A$2943,$H$2:$H$2943)</f>
        <v/>
      </c>
      <c r="AA30" s="112">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10" t="n">
        <v>12351.45</v>
      </c>
      <c r="C31" s="31">
        <f>(B31/B30-1)/(A31-A30)*30</f>
        <v/>
      </c>
      <c r="D31" s="25" t="n"/>
      <c r="E31" s="25" t="n"/>
      <c r="F31" s="25" t="n"/>
      <c r="O31" s="9" t="n">
        <v>2020</v>
      </c>
      <c r="P31" s="112">
        <f>LOOKUP(DATE($O31,P$25,P$24),$A$2:$A$2943,$H$2:$H$2943)</f>
        <v/>
      </c>
      <c r="Q31" s="112">
        <f>LOOKUP(DATE($O31,Q$25,Q$24)+1,$A$2:$A$2943,$H$2:$H$2943)</f>
        <v/>
      </c>
      <c r="R31" s="112">
        <f>LOOKUP(DATE($O31,R$25,R$24)+1,$A$2:$A$2943,$H$2:$H$2943)</f>
        <v/>
      </c>
      <c r="S31" s="112">
        <f>LOOKUP(DATE($O31,S$25,S$24)+1,$A$2:$A$2943,$H$2:$H$2943)</f>
        <v/>
      </c>
      <c r="T31" s="112">
        <f>LOOKUP(DATE($O31,T$25,T$24)+1,$A$2:$A$2943,$H$2:$H$2943)</f>
        <v/>
      </c>
      <c r="U31" s="112">
        <f>LOOKUP(DATE($O31,U$25,U$24)+1,$A$2:$A$2943,$H$2:$H$2943)</f>
        <v/>
      </c>
      <c r="V31" s="112">
        <f>LOOKUP(DATE($O31,V$25,V$24)+1,$A$2:$A$2943,$H$2:$H$2943)</f>
        <v/>
      </c>
      <c r="W31" s="112">
        <f>LOOKUP(DATE($O31,W$25,W$24)+1,$A$2:$A$2943,$H$2:$H$2943)</f>
        <v/>
      </c>
      <c r="X31" s="112">
        <f>LOOKUP(DATE($O31,X$25,X$24)+1,$A$2:$A$2943,$H$2:$H$2943)</f>
        <v/>
      </c>
      <c r="Y31" s="112">
        <f>+G183</f>
        <v/>
      </c>
      <c r="Z31" s="112">
        <f>+G184</f>
        <v/>
      </c>
      <c r="AA31" s="112">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Presente</t>
        </is>
      </c>
      <c r="AX31" s="46">
        <f>$AW22/AX22-1</f>
        <v/>
      </c>
      <c r="AY31" s="46">
        <f>$AW22/AY22-1</f>
        <v/>
      </c>
      <c r="AZ31" s="46">
        <f>$AW22/AZ22-1</f>
        <v/>
      </c>
      <c r="BA31" s="46">
        <f>$AW22/BA22-1</f>
        <v/>
      </c>
      <c r="BB31" s="46">
        <f>+AQ88</f>
        <v/>
      </c>
      <c r="BC31" s="48" t="n"/>
      <c r="BD31" s="33" t="n"/>
    </row>
    <row r="32">
      <c r="A32" s="23" t="n">
        <v>39568</v>
      </c>
      <c r="B32" s="110" t="n">
        <v>12416.18</v>
      </c>
      <c r="C32" s="31">
        <f>(B32/B31-1)/(A32-A31)*30</f>
        <v/>
      </c>
      <c r="D32" s="25" t="n"/>
      <c r="E32" s="25" t="n"/>
      <c r="F32" s="25" t="n"/>
      <c r="O32" s="9" t="n">
        <v>2021</v>
      </c>
      <c r="P32" s="110" t="n"/>
      <c r="Q32" s="110" t="n"/>
      <c r="R32" s="110" t="n"/>
      <c r="S32" s="110" t="n"/>
      <c r="T32" s="110">
        <f>+G190</f>
        <v/>
      </c>
      <c r="U32" s="110">
        <f>+G191</f>
        <v/>
      </c>
      <c r="V32" s="110">
        <f>+G192</f>
        <v/>
      </c>
      <c r="W32" s="110">
        <f>+G193</f>
        <v/>
      </c>
      <c r="X32" s="110">
        <f>+G194</f>
        <v/>
      </c>
      <c r="Y32" s="110">
        <f>+G195</f>
        <v/>
      </c>
      <c r="Z32" s="110">
        <f>+G196</f>
        <v/>
      </c>
      <c r="AA32" s="110">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10" t="n">
        <v>12481.48</v>
      </c>
      <c r="C33" s="31">
        <f>(B33/B32-1)/(A33-A32)*30</f>
        <v/>
      </c>
      <c r="D33" s="25" t="n"/>
      <c r="E33" s="25" t="n"/>
      <c r="F33" s="25" t="n"/>
      <c r="O33" s="9" t="n">
        <v>2022</v>
      </c>
      <c r="P33" s="110" t="n"/>
      <c r="Q33" s="110" t="n"/>
      <c r="R33" s="110" t="n"/>
      <c r="S33" s="110" t="n"/>
      <c r="T33" s="110">
        <f>+G202+S156</f>
        <v/>
      </c>
      <c r="U33" s="110">
        <f>+G203+S156</f>
        <v/>
      </c>
      <c r="V33" s="110">
        <f>+G204+S156</f>
        <v/>
      </c>
      <c r="W33" s="110">
        <f>+G205+S156</f>
        <v/>
      </c>
      <c r="X33" s="110">
        <f>+G206+S156</f>
        <v/>
      </c>
      <c r="Y33" s="110">
        <f>+G207+S156</f>
        <v/>
      </c>
      <c r="Z33" s="110">
        <f>+G208+S156</f>
        <v/>
      </c>
      <c r="AA33" s="110">
        <f>+G209+S156</f>
        <v/>
      </c>
      <c r="AD33" s="27" t="n">
        <v>2021</v>
      </c>
      <c r="AE33" s="68" t="n"/>
      <c r="AF33" s="28" t="n"/>
      <c r="AG33" s="28" t="n"/>
      <c r="AH33" s="28" t="n"/>
      <c r="AI33" s="28" t="n"/>
      <c r="AJ33" s="28" t="n"/>
      <c r="AK33" s="28" t="n"/>
      <c r="AL33" s="28" t="n"/>
      <c r="AM33" s="28" t="n"/>
      <c r="AN33" s="28" t="n"/>
      <c r="AO33" s="28" t="n"/>
      <c r="AP33" s="28" t="n"/>
      <c r="AQ33" s="29" t="n"/>
      <c r="AR33" s="15" t="n"/>
      <c r="AS33" s="15" t="n"/>
      <c r="AY33" s="114" t="n"/>
      <c r="BD33" s="33" t="n"/>
    </row>
    <row r="34">
      <c r="A34" s="23" t="n">
        <v>39629</v>
      </c>
      <c r="B34" s="110" t="n">
        <v>12552.23</v>
      </c>
      <c r="C34" s="31">
        <f>(B34/B33-1)/(A34-A33)*30</f>
        <v/>
      </c>
      <c r="D34" s="25" t="n"/>
      <c r="E34" s="25" t="n"/>
      <c r="F34" s="25" t="n"/>
      <c r="O34" s="9" t="n">
        <v>2023</v>
      </c>
      <c r="P34" s="110" t="n"/>
      <c r="Q34" s="110" t="n"/>
      <c r="R34" s="110" t="n"/>
      <c r="S34" s="110" t="n"/>
      <c r="T34" s="110" t="n"/>
      <c r="U34" s="110" t="n"/>
      <c r="V34" s="110" t="n"/>
      <c r="W34" s="110">
        <f>+G217</f>
        <v/>
      </c>
      <c r="X34" s="110">
        <f>+G218</f>
        <v/>
      </c>
      <c r="Y34" s="110">
        <f>+G219</f>
        <v/>
      </c>
      <c r="Z34" s="110">
        <f>+G220</f>
        <v/>
      </c>
      <c r="AA34" s="110">
        <f>+G221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10" t="n">
        <v>12628.9</v>
      </c>
      <c r="C35" s="31">
        <f>(B35/B34-1)/(A35-A34)*30</f>
        <v/>
      </c>
      <c r="D35" s="25" t="n"/>
      <c r="E35" s="25" t="n"/>
      <c r="F35" s="25" t="n"/>
      <c r="O35" s="9" t="n">
        <v>2024</v>
      </c>
      <c r="P35" s="110">
        <f>+G222</f>
        <v/>
      </c>
      <c r="Q35" s="110">
        <f>+G223</f>
        <v/>
      </c>
      <c r="R35" s="110">
        <f>+G224</f>
        <v/>
      </c>
      <c r="S35" s="110">
        <f>+G225</f>
        <v/>
      </c>
      <c r="T35" s="110">
        <f>+G226</f>
        <v/>
      </c>
      <c r="U35" s="110">
        <f>+G227</f>
        <v/>
      </c>
      <c r="V35" s="110">
        <f>+G228</f>
        <v/>
      </c>
      <c r="W35" s="110">
        <f>+G229</f>
        <v/>
      </c>
      <c r="X35" s="110">
        <f>+G230</f>
        <v/>
      </c>
      <c r="Y35" s="110">
        <f>+G231</f>
        <v/>
      </c>
      <c r="Z35" s="110">
        <f>+G232</f>
        <v/>
      </c>
      <c r="AA35" s="110">
        <f>+G233</f>
        <v/>
      </c>
      <c r="AD35" s="27" t="n">
        <v>2023</v>
      </c>
      <c r="AE35" s="28" t="n"/>
      <c r="AF35" s="28" t="n"/>
      <c r="AG35" s="28" t="n"/>
      <c r="AH35" s="28" t="n"/>
      <c r="AI35" s="28" t="n"/>
      <c r="AJ35" s="28" t="n"/>
      <c r="AK35" s="28" t="n"/>
      <c r="AL35" s="28" t="n"/>
      <c r="AM35" s="28" t="n"/>
      <c r="AN35" s="28" t="n"/>
      <c r="AO35" s="28" t="n"/>
      <c r="AP35" s="28" t="n"/>
      <c r="AQ35" s="29" t="n"/>
      <c r="AR35" s="32" t="n"/>
      <c r="AS35" s="15" t="n"/>
    </row>
    <row r="36">
      <c r="A36" s="23" t="n">
        <v>39689</v>
      </c>
      <c r="B36" s="110" t="n">
        <v>12704.63</v>
      </c>
      <c r="C36" s="31">
        <f>(B36/B35-1)/(A36-A35)*30</f>
        <v/>
      </c>
      <c r="D36" s="25" t="n"/>
      <c r="E36" s="25" t="n"/>
      <c r="F36" s="25" t="n"/>
      <c r="O36" s="9" t="n">
        <v>2025</v>
      </c>
      <c r="P36" s="110">
        <f>+G234</f>
        <v/>
      </c>
      <c r="Q36" s="110">
        <f>+G235</f>
        <v/>
      </c>
      <c r="R36" s="110">
        <f>+G236</f>
        <v/>
      </c>
      <c r="S36" s="110">
        <f>+G237</f>
        <v/>
      </c>
      <c r="T36" s="110">
        <f>+G238</f>
        <v/>
      </c>
      <c r="U36" s="110">
        <f>+G239</f>
        <v/>
      </c>
      <c r="V36" s="110">
        <f>+G240</f>
        <v/>
      </c>
      <c r="W36" s="110">
        <f>+G241</f>
        <v/>
      </c>
      <c r="X36" s="110">
        <f>+G242</f>
        <v/>
      </c>
      <c r="Y36" s="110">
        <f>+G243</f>
        <v/>
      </c>
      <c r="Z36" s="110">
        <f>+G244</f>
        <v/>
      </c>
      <c r="AA36" s="110">
        <f>+G245</f>
        <v/>
      </c>
      <c r="AD36" s="27" t="n">
        <v>2024</v>
      </c>
      <c r="AE36" s="28" t="n"/>
      <c r="AF36" s="28" t="n"/>
      <c r="AG36" s="28" t="n"/>
      <c r="AH36" s="28" t="n"/>
      <c r="AI36" s="28" t="n"/>
      <c r="AJ36" s="28" t="n"/>
      <c r="AK36" s="28" t="n"/>
      <c r="AL36" s="28" t="n"/>
      <c r="AM36" s="28" t="n"/>
      <c r="AN36" s="28" t="n"/>
      <c r="AO36" s="28" t="n"/>
      <c r="AP36" s="28" t="n"/>
      <c r="AQ36" s="29" t="n"/>
      <c r="AR36" s="15" t="n"/>
      <c r="AS36" s="15" t="n"/>
    </row>
    <row r="37">
      <c r="A37" s="23" t="n"/>
      <c r="B37" s="110" t="n"/>
      <c r="C37" s="31" t="n"/>
      <c r="D37" s="25" t="n"/>
      <c r="E37" s="25" t="n"/>
      <c r="F37" s="25" t="n"/>
      <c r="O37" s="9" t="n">
        <v>2026</v>
      </c>
      <c r="P37" s="110">
        <f>+G246</f>
        <v/>
      </c>
      <c r="Q37" s="110">
        <f>+G247</f>
        <v/>
      </c>
      <c r="R37" s="110">
        <f>+G248</f>
        <v/>
      </c>
      <c r="S37" s="110">
        <f>+G249</f>
        <v/>
      </c>
      <c r="T37" s="110">
        <f>+G250</f>
        <v/>
      </c>
      <c r="U37" s="110">
        <f>+G251</f>
        <v/>
      </c>
      <c r="V37" s="110" t="n"/>
      <c r="W37" s="110" t="n"/>
      <c r="X37" s="110" t="n"/>
      <c r="Y37" s="110" t="n"/>
      <c r="Z37" s="110" t="n"/>
      <c r="AA37" s="110" t="n"/>
      <c r="AD37" s="27" t="n">
        <v>2025</v>
      </c>
      <c r="AE37" s="28" t="n"/>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+(Z36/P36-1)/COUNTA(AE37:AP37)*12</f>
        <v/>
      </c>
      <c r="AR37" s="15" t="n"/>
      <c r="AS37" s="15" t="n"/>
    </row>
    <row r="38">
      <c r="A38" s="23" t="n">
        <v>39721</v>
      </c>
      <c r="B38" s="110"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10"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10"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10" t="n">
        <v>13066.33</v>
      </c>
      <c r="C41" s="31">
        <f>(B41/B40-1)/(A41-A40)*30</f>
        <v/>
      </c>
      <c r="D41" s="25" t="n"/>
      <c r="E41" s="25" t="n"/>
      <c r="F41" s="25" t="n"/>
      <c r="O41" s="9" t="n">
        <v>2016</v>
      </c>
      <c r="P41" s="110">
        <f>+K126</f>
        <v/>
      </c>
      <c r="Q41" s="110">
        <f>+K127</f>
        <v/>
      </c>
      <c r="R41" s="110">
        <f>+K128</f>
        <v/>
      </c>
      <c r="S41" s="110">
        <f>+K129</f>
        <v/>
      </c>
      <c r="T41" s="110">
        <f>+K130</f>
        <v/>
      </c>
      <c r="U41" s="112">
        <f>+K131</f>
        <v/>
      </c>
      <c r="V41" s="112">
        <f>+K132</f>
        <v/>
      </c>
      <c r="W41" s="112">
        <f>+K133</f>
        <v/>
      </c>
      <c r="X41" s="112">
        <f>+K134</f>
        <v/>
      </c>
      <c r="Y41" s="112">
        <f>+K135</f>
        <v/>
      </c>
      <c r="Z41" s="112">
        <f>+K136</f>
        <v/>
      </c>
      <c r="AA41" s="112">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10" t="n">
        <v>13151.16</v>
      </c>
      <c r="C42" s="31">
        <f>(B42/B41-1)/(A42-A41)*30</f>
        <v/>
      </c>
      <c r="D42" s="25" t="n"/>
      <c r="E42" s="25" t="n"/>
      <c r="F42" s="25" t="n"/>
      <c r="O42" s="9" t="n">
        <v>2017</v>
      </c>
      <c r="P42" s="112">
        <f>+K138</f>
        <v/>
      </c>
      <c r="Q42" s="112">
        <f>+K139</f>
        <v/>
      </c>
      <c r="R42" s="112">
        <f>+K140</f>
        <v/>
      </c>
      <c r="S42" s="112">
        <f>+K141</f>
        <v/>
      </c>
      <c r="T42" s="112">
        <f>+K142</f>
        <v/>
      </c>
      <c r="U42" s="107">
        <f>+$K143</f>
        <v/>
      </c>
      <c r="V42" s="107">
        <f>+$K144</f>
        <v/>
      </c>
      <c r="W42" s="107">
        <f>+$K145</f>
        <v/>
      </c>
      <c r="X42" s="107">
        <f>+$K146</f>
        <v/>
      </c>
      <c r="Y42" s="107">
        <f>+$K147</f>
        <v/>
      </c>
      <c r="Z42" s="107">
        <f>+$K148</f>
        <v/>
      </c>
      <c r="AA42" s="107">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+AA35/Y35-1</f>
        <v/>
      </c>
      <c r="AR42" s="15" t="n"/>
      <c r="AS42" s="15" t="n"/>
      <c r="BE42" s="33" t="n"/>
      <c r="BF42" s="33" t="n"/>
      <c r="BG42" s="33" t="n"/>
      <c r="BH42" s="33" t="n"/>
      <c r="BI42" s="33" t="n"/>
      <c r="BJ42" s="57" t="n"/>
    </row>
    <row r="43" ht="15" customHeight="1">
      <c r="A43" s="23" t="n">
        <v>39871</v>
      </c>
      <c r="B43" s="110" t="n">
        <v>13212.09</v>
      </c>
      <c r="C43" s="31">
        <f>(B43/B42-1)/(A43-A42)*30</f>
        <v/>
      </c>
      <c r="D43" s="25" t="n"/>
      <c r="E43" s="25" t="n"/>
      <c r="F43" s="25" t="n"/>
      <c r="O43" s="9" t="n">
        <v>2018</v>
      </c>
      <c r="P43" s="112">
        <f>+K150</f>
        <v/>
      </c>
      <c r="Q43" s="112">
        <f>+K151</f>
        <v/>
      </c>
      <c r="R43" s="112">
        <f>+K152</f>
        <v/>
      </c>
      <c r="S43" s="112">
        <f>+K153</f>
        <v/>
      </c>
      <c r="T43" s="110">
        <f>+K154</f>
        <v/>
      </c>
      <c r="U43" s="110">
        <f>+K155</f>
        <v/>
      </c>
      <c r="V43" s="110">
        <f>+K156</f>
        <v/>
      </c>
      <c r="W43" s="110">
        <f>+K157</f>
        <v/>
      </c>
      <c r="X43" s="110">
        <f>+K158</f>
        <v/>
      </c>
      <c r="Y43" s="110">
        <f>+K159</f>
        <v/>
      </c>
      <c r="Z43" s="110">
        <f>+K160</f>
        <v/>
      </c>
      <c r="AA43" s="110">
        <f>+K161</f>
        <v/>
      </c>
      <c r="AD43" s="20" t="n">
        <v>2018</v>
      </c>
      <c r="AE43" s="21" t="n"/>
      <c r="AF43" s="21" t="n"/>
      <c r="AG43" s="21" t="n"/>
      <c r="AH43" s="21" t="n"/>
      <c r="AI43" s="21" t="n"/>
      <c r="AJ43" s="21" t="n"/>
      <c r="AK43" s="33" t="n"/>
      <c r="AL43" s="33" t="n"/>
      <c r="AM43" s="33" t="n"/>
      <c r="AN43" s="66" t="n"/>
      <c r="AO43" s="66" t="n"/>
      <c r="AP43" s="66" t="n"/>
      <c r="AQ43" s="22" t="n"/>
      <c r="AR43" s="15" t="n"/>
      <c r="AS43" s="15" t="n"/>
      <c r="BE43" s="33" t="n"/>
      <c r="BF43" s="33" t="n"/>
      <c r="BG43" s="33" t="n"/>
      <c r="BH43" s="33" t="n"/>
      <c r="BI43" s="33" t="n"/>
      <c r="BJ43" s="57" t="n"/>
    </row>
    <row r="44">
      <c r="A44" s="23" t="n">
        <v>39903</v>
      </c>
      <c r="B44" s="110"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5">
        <f>+K170</f>
        <v/>
      </c>
      <c r="Y44" s="115">
        <f>+K171</f>
        <v/>
      </c>
      <c r="Z44" s="9">
        <f>+K172</f>
        <v/>
      </c>
      <c r="AA44" s="9">
        <f>+K173</f>
        <v/>
      </c>
      <c r="AD44" s="27" t="n">
        <v>2019</v>
      </c>
      <c r="AE44" s="28" t="n"/>
      <c r="AF44" s="28" t="n"/>
      <c r="AG44" s="28" t="n"/>
      <c r="AH44" s="28" t="n"/>
      <c r="AI44" s="28" t="n"/>
      <c r="AJ44" s="28" t="n"/>
      <c r="AK44" s="28" t="n"/>
      <c r="AL44" s="28" t="n"/>
      <c r="AM44" s="28" t="n"/>
      <c r="AN44" s="28" t="n"/>
      <c r="AO44" s="28" t="n"/>
      <c r="AP44" s="28" t="n"/>
      <c r="AQ44" s="29" t="n"/>
      <c r="AR44" s="15" t="n"/>
      <c r="AS44" s="15" t="n"/>
      <c r="BE44" s="33" t="n"/>
      <c r="BF44" s="33" t="n"/>
      <c r="BG44" s="33" t="n"/>
      <c r="BH44" s="33" t="n"/>
      <c r="BI44" s="33" t="n"/>
      <c r="BJ44" s="57" t="n"/>
    </row>
    <row r="45">
      <c r="A45" s="23" t="n">
        <v>39933</v>
      </c>
      <c r="B45" s="110"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t="n"/>
      <c r="AF45" s="28" t="n"/>
      <c r="AG45" s="28" t="n"/>
      <c r="AH45" s="28" t="n"/>
      <c r="AI45" s="28" t="n"/>
      <c r="AJ45" s="28" t="n"/>
      <c r="AK45" s="28" t="n"/>
      <c r="AL45" s="28" t="n"/>
      <c r="AM45" s="28" t="n"/>
      <c r="AN45" s="28" t="n"/>
      <c r="AO45" s="28" t="n"/>
      <c r="AP45" s="28" t="n"/>
      <c r="AQ45" s="29" t="n"/>
      <c r="AR45" s="15" t="n"/>
      <c r="AS45" s="15" t="n"/>
      <c r="BE45" s="33" t="n"/>
      <c r="BF45" s="33" t="n"/>
      <c r="BG45" s="33" t="n"/>
      <c r="BH45" s="33" t="n"/>
      <c r="BI45" s="33" t="n"/>
      <c r="BJ45" s="57" t="n"/>
    </row>
    <row r="46">
      <c r="A46" s="23" t="n">
        <v>39962</v>
      </c>
      <c r="B46" s="110"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t="n"/>
      <c r="AG46" s="28" t="n"/>
      <c r="AH46" s="28" t="n"/>
      <c r="AI46" s="28" t="n"/>
      <c r="AJ46" s="28" t="n"/>
      <c r="AK46" s="28" t="n"/>
      <c r="AL46" s="28" t="n"/>
      <c r="AM46" s="28" t="n"/>
      <c r="AN46" s="28" t="n"/>
      <c r="AO46" s="28" t="n"/>
      <c r="AP46" s="28" t="n"/>
      <c r="AQ46" s="29" t="n"/>
      <c r="AR46" s="15" t="n"/>
      <c r="AS46" s="15" t="n"/>
      <c r="BD46" s="33" t="n"/>
      <c r="BE46" s="33" t="n"/>
      <c r="BF46" s="33" t="n"/>
      <c r="BG46" s="33" t="n"/>
      <c r="BH46" s="33" t="n"/>
      <c r="BI46" s="33" t="n"/>
      <c r="BJ46" s="57" t="n"/>
    </row>
    <row r="47" ht="15.75" customHeight="1">
      <c r="A47" s="23" t="n">
        <v>39994</v>
      </c>
      <c r="B47" s="110"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t="n"/>
      <c r="AF47" s="28" t="n"/>
      <c r="AG47" s="28" t="n"/>
      <c r="AH47" s="28" t="n"/>
      <c r="AI47" s="28" t="n"/>
      <c r="AJ47" s="28" t="n"/>
      <c r="AK47" s="28" t="n"/>
      <c r="AL47" s="28" t="n"/>
      <c r="AM47" s="28" t="n"/>
      <c r="AN47" s="28" t="n"/>
      <c r="AO47" s="28" t="n"/>
      <c r="AP47" s="28" t="n"/>
      <c r="AQ47" s="29" t="n"/>
      <c r="AR47" s="15" t="n"/>
      <c r="AS47" s="15" t="n"/>
      <c r="BD47" s="33" t="n"/>
      <c r="BE47" s="33" t="n"/>
      <c r="BF47" s="33" t="n"/>
      <c r="BG47" s="33" t="n"/>
      <c r="BH47" s="33" t="n"/>
      <c r="BI47" s="33" t="n"/>
      <c r="BJ47" s="57" t="n"/>
    </row>
    <row r="48">
      <c r="A48" s="23" t="n">
        <v>40025</v>
      </c>
      <c r="B48" s="110"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9">
        <f>+K219</f>
        <v/>
      </c>
      <c r="Z48" s="24">
        <f>+K220</f>
        <v/>
      </c>
      <c r="AA48" s="9">
        <f>+K221</f>
        <v/>
      </c>
      <c r="AD48" s="27" t="n">
        <v>2023</v>
      </c>
      <c r="AE48" s="28" t="n"/>
      <c r="AF48" s="28" t="n"/>
      <c r="AG48" s="28" t="n"/>
      <c r="AH48" s="28" t="n"/>
      <c r="AI48" s="28" t="n"/>
      <c r="AJ48" s="28" t="n"/>
      <c r="AK48" s="28" t="n"/>
      <c r="AL48" s="28" t="n"/>
      <c r="AM48" s="28" t="n"/>
      <c r="AN48" s="28" t="n"/>
      <c r="AO48" s="28" t="n"/>
      <c r="AP48" s="28" t="n"/>
      <c r="AQ48" s="29" t="n"/>
      <c r="AR48" s="15" t="n"/>
      <c r="AS48" s="15" t="n"/>
      <c r="BD48" s="33" t="n"/>
      <c r="BE48" s="33" t="n"/>
      <c r="BF48" s="33" t="n"/>
      <c r="BG48" s="33" t="n"/>
      <c r="BH48" s="33" t="n"/>
      <c r="BI48" s="33" t="n"/>
      <c r="BJ48" s="57" t="n"/>
    </row>
    <row r="49">
      <c r="A49" s="23" t="n">
        <v>40056</v>
      </c>
      <c r="B49" s="110"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t="n"/>
      <c r="AF49" s="28" t="n"/>
      <c r="AG49" s="28" t="n"/>
      <c r="AH49" s="28" t="n"/>
      <c r="AI49" s="28" t="n"/>
      <c r="AJ49" s="28" t="n"/>
      <c r="AK49" s="28" t="n"/>
      <c r="AL49" s="28" t="n"/>
      <c r="AM49" s="28" t="n"/>
      <c r="AN49" s="28" t="n"/>
      <c r="AO49" s="28" t="n"/>
      <c r="AP49" s="28" t="n"/>
      <c r="AQ49" s="29" t="n"/>
      <c r="AR49" s="15" t="n"/>
      <c r="AS49" s="15" t="n"/>
      <c r="BD49" s="33" t="n"/>
      <c r="BE49" s="33" t="n"/>
      <c r="BF49" s="33" t="n"/>
      <c r="BG49" s="33" t="n"/>
      <c r="BH49" s="33" t="n"/>
      <c r="BI49" s="33" t="n"/>
      <c r="BJ49" s="57" t="n"/>
    </row>
    <row r="50">
      <c r="A50" s="23" t="n">
        <v>40086</v>
      </c>
      <c r="B50" s="110" t="n">
        <v>13315.05</v>
      </c>
      <c r="C50" s="31">
        <f>(B50/B49-1)/(A50-A49)*30</f>
        <v/>
      </c>
      <c r="D50" s="25" t="n"/>
      <c r="E50" s="25" t="n"/>
      <c r="F50" s="25" t="n"/>
      <c r="O50" s="9" t="n">
        <v>2025</v>
      </c>
      <c r="P50" s="9">
        <f>+K234</f>
        <v/>
      </c>
      <c r="Q50" s="9">
        <f>+K235</f>
        <v/>
      </c>
      <c r="R50" s="9">
        <f>+K236</f>
        <v/>
      </c>
      <c r="S50" s="9">
        <f>+K237</f>
        <v/>
      </c>
      <c r="T50" s="9">
        <f>+K238</f>
        <v/>
      </c>
      <c r="U50" s="9">
        <f>+K239</f>
        <v/>
      </c>
      <c r="V50" s="9">
        <f>+K240</f>
        <v/>
      </c>
      <c r="W50" s="9">
        <f>+K241</f>
        <v/>
      </c>
      <c r="X50" s="9">
        <f>+K242</f>
        <v/>
      </c>
      <c r="Y50" s="9">
        <f>+K243</f>
        <v/>
      </c>
      <c r="Z50" s="9">
        <f>+K244</f>
        <v/>
      </c>
      <c r="AA50" s="9">
        <f>+K245</f>
        <v/>
      </c>
      <c r="AD50" s="27" t="n">
        <v>2025</v>
      </c>
      <c r="AE50" s="28" t="n"/>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10" t="n">
        <v>13319.74</v>
      </c>
      <c r="C51" s="31">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10"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10"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10"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10"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10"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10"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10"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10"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10"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10" t="n">
        <v>13395.21</v>
      </c>
      <c r="C61" s="31">
        <f>(B61/B60-1)/(A61-A60)*30</f>
        <v/>
      </c>
      <c r="D61" s="25" t="n"/>
      <c r="E61" s="25" t="n"/>
      <c r="F61" s="25" t="n"/>
      <c r="AC61" s="76" t="n"/>
      <c r="AD61" s="52" t="inlineStr">
        <is>
          <t>FIP Liquidez Corriente</t>
        </is>
      </c>
      <c r="AE61" s="53" t="n"/>
      <c r="AF61" s="53" t="n"/>
      <c r="AG61" s="53" t="n"/>
      <c r="AH61" s="53" t="n"/>
      <c r="AI61" s="53" t="n"/>
      <c r="AJ61" s="53" t="n"/>
      <c r="AK61" s="53" t="n"/>
      <c r="AL61" s="53" t="n"/>
      <c r="AM61" s="53" t="n"/>
      <c r="AN61" s="53" t="n"/>
      <c r="AO61" s="53" t="n"/>
      <c r="AP61" s="53" t="n"/>
      <c r="AQ61" s="54" t="n"/>
      <c r="AR61" s="58" t="n"/>
      <c r="AS61" s="15" t="n"/>
    </row>
    <row r="62">
      <c r="A62" s="23" t="n">
        <v>40451</v>
      </c>
      <c r="B62" s="110" t="n">
        <v>13419.79</v>
      </c>
      <c r="C62" s="31">
        <f>(B62/B61-1)/(A62-A61)*30</f>
        <v/>
      </c>
      <c r="D62" s="25" t="n"/>
      <c r="E62" s="25" t="n"/>
      <c r="F62" s="25" t="n"/>
      <c r="AC62" s="105"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10" t="n">
        <v>13448.69</v>
      </c>
      <c r="C63" s="31">
        <f>(B63/B62-1)/(A63-A62)*30</f>
        <v/>
      </c>
      <c r="D63" s="25" t="n"/>
      <c r="E63" s="25" t="n"/>
      <c r="F63" s="25" t="n"/>
      <c r="AC63" s="105"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10" t="n">
        <v>13483.02</v>
      </c>
      <c r="C64" s="31">
        <f>(B64/B63-1)/(A64-A63)*30</f>
        <v/>
      </c>
      <c r="D64" s="25" t="n"/>
      <c r="E64" s="25" t="n"/>
      <c r="F64" s="25" t="n"/>
      <c r="AC64" s="105" t="n"/>
      <c r="AD64" s="52" t="inlineStr">
        <is>
          <t>FIP Liquidez Corriente</t>
        </is>
      </c>
      <c r="AE64" s="56" t="n"/>
      <c r="AF64" s="56" t="n"/>
      <c r="AG64" s="56" t="n"/>
      <c r="AH64" s="56" t="n"/>
      <c r="AI64" s="56" t="n"/>
      <c r="AJ64" s="56" t="n"/>
      <c r="AK64" s="56" t="n"/>
      <c r="AL64" s="56" t="n"/>
      <c r="AM64" s="56" t="n"/>
      <c r="AN64" s="56" t="n"/>
      <c r="AO64" s="56" t="n"/>
      <c r="AP64" s="56" t="n"/>
      <c r="AQ64" s="54" t="n"/>
    </row>
    <row r="65">
      <c r="A65" s="23" t="n">
        <v>40543</v>
      </c>
      <c r="B65" s="110"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10"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7">
      <c r="A67" s="23" t="n">
        <v>40602</v>
      </c>
      <c r="B67" s="110" t="n">
        <v>13592.3</v>
      </c>
      <c r="C67" s="31">
        <f>(B67/B66-1)/(A67-A66)*30</f>
        <v/>
      </c>
      <c r="D67" s="25" t="n"/>
      <c r="E67" s="25" t="n"/>
      <c r="F67" s="25" t="n"/>
      <c r="I67" s="108" t="n"/>
      <c r="N67" s="9" t="n"/>
      <c r="O67" s="9" t="n"/>
      <c r="P67" s="9" t="n"/>
      <c r="Q67" s="9" t="n"/>
      <c r="R67" s="9" t="n"/>
      <c r="S67" s="9" t="n"/>
      <c r="T67" s="9" t="n"/>
      <c r="U67" s="9" t="n"/>
      <c r="V67" s="9" t="n"/>
      <c r="W67" s="9" t="n"/>
      <c r="X67" s="9" t="n"/>
      <c r="Y67" s="9" t="n"/>
      <c r="Z67" s="9" t="n"/>
      <c r="AA67" s="9" t="n"/>
      <c r="AB67" s="9" t="n"/>
      <c r="AC67" s="76" t="n"/>
      <c r="AD67" s="52" t="inlineStr">
        <is>
          <t>FIP Liquidez Corriente</t>
        </is>
      </c>
      <c r="AE67" s="53" t="n"/>
      <c r="AF67" s="53" t="n"/>
      <c r="AG67" s="53" t="n"/>
      <c r="AH67" s="53" t="n"/>
      <c r="AI67" s="53" t="n"/>
      <c r="AJ67" s="53" t="n"/>
      <c r="AK67" s="53" t="n"/>
      <c r="AL67" s="53" t="n"/>
      <c r="AM67" s="53" t="n"/>
      <c r="AN67" s="53" t="n"/>
      <c r="AO67" s="53" t="n"/>
      <c r="AP67" s="53" t="n"/>
      <c r="AQ67" s="54" t="n"/>
      <c r="AR67" s="9" t="n"/>
      <c r="AS67" s="9" t="n"/>
      <c r="AT67" s="9" t="n"/>
    </row>
    <row r="68" customFormat="1" s="107">
      <c r="A68" s="23" t="n">
        <v>40633</v>
      </c>
      <c r="B68" s="110" t="n">
        <v>13635.91</v>
      </c>
      <c r="C68" s="31">
        <f>(B68/B67-1)/(A68-A67)*30</f>
        <v/>
      </c>
      <c r="D68" s="25" t="n"/>
      <c r="E68" s="25" t="n"/>
      <c r="F68" s="25" t="n"/>
      <c r="I68" s="108"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7">
      <c r="A69" s="23" t="n">
        <v>40662</v>
      </c>
      <c r="B69" s="110" t="n">
        <v>13682.94</v>
      </c>
      <c r="C69" s="31">
        <f>(B69/B68-1)/(A69-A68)*30</f>
        <v/>
      </c>
      <c r="D69" s="25" t="n"/>
      <c r="E69" s="25" t="n"/>
      <c r="F69" s="25" t="n"/>
      <c r="I69" s="108"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7">
      <c r="A70" s="23" t="n">
        <v>40694</v>
      </c>
      <c r="B70" s="110" t="n">
        <v>13741.06</v>
      </c>
      <c r="C70" s="31">
        <f>(B70/B69-1)/(A70-A69)*30</f>
        <v/>
      </c>
      <c r="D70" s="25" t="n"/>
      <c r="E70" s="25" t="n"/>
      <c r="F70" s="25" t="n"/>
      <c r="I70" s="108" t="n"/>
      <c r="O70" s="9" t="n"/>
      <c r="P70" s="9" t="n"/>
      <c r="Q70" s="9" t="n"/>
      <c r="R70" s="9" t="n"/>
      <c r="S70" s="9" t="n"/>
      <c r="T70" s="9" t="n"/>
      <c r="U70" s="9" t="n"/>
      <c r="V70" s="9" t="n"/>
      <c r="W70" s="9" t="n"/>
      <c r="X70" s="9" t="n"/>
      <c r="Y70" s="9" t="n"/>
      <c r="Z70" s="9" t="n"/>
      <c r="AA70" s="9" t="n"/>
      <c r="AB70" s="9" t="n"/>
      <c r="AC70" s="76" t="n"/>
      <c r="AD70" s="52" t="inlineStr">
        <is>
          <t>FIP Liquidez Corriente</t>
        </is>
      </c>
      <c r="AE70" s="53" t="n"/>
      <c r="AF70" s="53" t="n"/>
      <c r="AG70" s="53" t="n"/>
      <c r="AH70" s="53" t="n"/>
      <c r="AI70" s="53" t="n"/>
      <c r="AJ70" s="53" t="n"/>
      <c r="AK70" s="53" t="n"/>
      <c r="AL70" s="53" t="n"/>
      <c r="AM70" s="53" t="n"/>
      <c r="AN70" s="53" t="n"/>
      <c r="AO70" s="53" t="n"/>
      <c r="AP70" s="53" t="n"/>
      <c r="AQ70" s="54" t="n"/>
      <c r="AR70" s="9" t="n"/>
      <c r="AS70" s="9" t="n"/>
    </row>
    <row r="71" customFormat="1" s="107">
      <c r="A71" s="23" t="n">
        <v>40724</v>
      </c>
      <c r="B71" s="110" t="n">
        <v>13799.74</v>
      </c>
      <c r="C71" s="31">
        <f>(B71/B70-1)/(A71-A70)*30</f>
        <v/>
      </c>
      <c r="D71" s="25" t="n"/>
      <c r="E71" s="25" t="n"/>
      <c r="F71" s="25" t="n"/>
      <c r="I71" s="108" t="n"/>
      <c r="O71" s="9" t="n"/>
      <c r="P71" s="9" t="n"/>
      <c r="Q71" s="9" t="n"/>
      <c r="R71" s="9" t="n"/>
      <c r="S71" s="9" t="n"/>
      <c r="T71" s="9" t="n"/>
      <c r="U71" s="9" t="n"/>
      <c r="V71" s="9" t="n"/>
      <c r="W71" s="9" t="n"/>
      <c r="X71" s="9" t="n"/>
      <c r="Y71" s="9" t="n"/>
      <c r="Z71" s="9" t="n"/>
      <c r="AA71" s="9" t="n"/>
      <c r="AC71" s="105"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7">
      <c r="A72" s="23" t="n">
        <v>40753</v>
      </c>
      <c r="B72" s="110" t="n">
        <v>13858.14</v>
      </c>
      <c r="C72" s="31">
        <f>(B72/B71-1)/(A72-A71)*30</f>
        <v/>
      </c>
      <c r="D72" s="25" t="n"/>
      <c r="E72" s="25" t="n"/>
      <c r="F72" s="25" t="n"/>
      <c r="I72" s="108" t="n"/>
      <c r="O72" s="9" t="n"/>
      <c r="P72" s="9" t="n"/>
      <c r="Q72" s="9" t="n"/>
      <c r="R72" s="9" t="n"/>
      <c r="S72" s="9" t="n"/>
      <c r="T72" s="9" t="n"/>
      <c r="U72" s="9" t="n"/>
      <c r="V72" s="9" t="n"/>
      <c r="W72" s="9" t="n"/>
      <c r="X72" s="9" t="n"/>
      <c r="Y72" s="9" t="n"/>
      <c r="Z72" s="9" t="n"/>
      <c r="AA72" s="9" t="n"/>
      <c r="AC72" s="105"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7">
      <c r="A73" s="23" t="n">
        <v>40786</v>
      </c>
      <c r="B73" s="110" t="n">
        <v>13925.03</v>
      </c>
      <c r="C73" s="31">
        <f>(B73/B72-1)/(A73-A72)*30</f>
        <v/>
      </c>
      <c r="D73" s="25" t="n"/>
      <c r="E73" s="25" t="n"/>
      <c r="F73" s="25" t="n"/>
      <c r="I73" s="108" t="n"/>
      <c r="O73" s="9" t="n"/>
      <c r="P73" s="9" t="n"/>
      <c r="Q73" s="9" t="n"/>
      <c r="R73" s="9" t="n"/>
      <c r="S73" s="9" t="n"/>
      <c r="T73" s="9" t="n"/>
      <c r="U73" s="9" t="n"/>
      <c r="V73" s="9" t="n"/>
      <c r="W73" s="9" t="n"/>
      <c r="X73" s="9" t="n"/>
      <c r="Y73" s="9" t="n"/>
      <c r="Z73" s="9" t="n"/>
      <c r="AA73" s="9" t="n"/>
      <c r="AC73" s="105" t="n"/>
      <c r="AD73" s="52" t="inlineStr">
        <is>
          <t>FIP Liquidez Corriente</t>
        </is>
      </c>
      <c r="AE73" s="78" t="n"/>
      <c r="AF73" s="78" t="n"/>
      <c r="AG73" s="78" t="n"/>
      <c r="AH73" s="78" t="n"/>
      <c r="AI73" s="78" t="n"/>
      <c r="AJ73" s="78" t="n"/>
      <c r="AK73" s="78" t="n"/>
      <c r="AL73" s="78" t="n"/>
      <c r="AM73" s="78" t="n"/>
      <c r="AN73" s="78" t="n"/>
      <c r="AO73" s="78" t="n"/>
      <c r="AP73" s="78" t="n"/>
      <c r="AQ73" s="78" t="n"/>
      <c r="AR73" s="9" t="n"/>
      <c r="AS73" s="9" t="n"/>
    </row>
    <row r="74" customFormat="1" s="107">
      <c r="A74" s="23" t="n">
        <v>40816</v>
      </c>
      <c r="B74" s="110" t="n">
        <v>13985.97</v>
      </c>
      <c r="C74" s="31">
        <f>(B74/B73-1)/(A74-A73)*30</f>
        <v/>
      </c>
      <c r="D74" s="25" t="n"/>
      <c r="E74" s="25" t="n"/>
      <c r="F74" s="25" t="n"/>
      <c r="I74" s="108" t="n"/>
      <c r="O74" s="9" t="n"/>
      <c r="P74" s="9" t="n"/>
      <c r="Q74" s="9" t="n"/>
      <c r="R74" s="9" t="n"/>
      <c r="S74" s="9" t="n"/>
      <c r="T74" s="9" t="n"/>
      <c r="U74" s="9" t="n"/>
      <c r="V74" s="9" t="n"/>
      <c r="W74" s="9" t="n"/>
      <c r="X74" s="9" t="n"/>
      <c r="Y74" s="9" t="n"/>
      <c r="Z74" s="9" t="n"/>
      <c r="AA74" s="9" t="n"/>
      <c r="AC74" s="105"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7">
      <c r="A75" s="23" t="n">
        <v>40847</v>
      </c>
      <c r="B75" s="110" t="n">
        <v>14043.21</v>
      </c>
      <c r="C75" s="31">
        <f>(B75/B74-1)/(A75-A74)*30</f>
        <v/>
      </c>
      <c r="D75" s="25" t="n"/>
      <c r="E75" s="25" t="n"/>
      <c r="F75" s="25" t="n"/>
      <c r="I75" s="108"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7">
      <c r="A76" s="23" t="n">
        <v>40877</v>
      </c>
      <c r="B76" s="110" t="n">
        <v>14110.87</v>
      </c>
      <c r="C76" s="31">
        <f>(B76/B75-1)/(A76-A75)*30</f>
        <v/>
      </c>
      <c r="D76" s="25" t="n"/>
      <c r="E76" s="25" t="n"/>
      <c r="F76" s="25" t="n"/>
      <c r="I76" s="108" t="n"/>
      <c r="O76" s="9" t="n"/>
      <c r="P76" s="9" t="n"/>
      <c r="Q76" s="9" t="n"/>
      <c r="R76" s="9" t="n"/>
      <c r="S76" s="9" t="n"/>
      <c r="T76" s="9" t="n"/>
      <c r="U76" s="9" t="n"/>
      <c r="V76" s="9" t="n"/>
      <c r="W76" s="9" t="n"/>
      <c r="X76" s="9" t="n"/>
      <c r="Y76" s="9" t="n"/>
      <c r="Z76" s="9" t="n"/>
      <c r="AA76" s="9" t="n"/>
      <c r="AD76" s="52" t="inlineStr">
        <is>
          <t>FIP Liquidez Corriente</t>
        </is>
      </c>
      <c r="AE76" s="78" t="n"/>
      <c r="AF76" s="78" t="n"/>
      <c r="AG76" s="78" t="n"/>
      <c r="AH76" s="78" t="n"/>
      <c r="AI76" s="78" t="n"/>
      <c r="AJ76" s="78" t="n"/>
      <c r="AK76" s="78" t="n"/>
      <c r="AL76" s="78" t="n"/>
      <c r="AM76" s="78" t="n"/>
      <c r="AN76" s="78" t="n"/>
      <c r="AO76" s="78" t="n"/>
      <c r="AP76" s="78" t="n"/>
      <c r="AQ76" s="78" t="n"/>
      <c r="AR76" s="9" t="n"/>
      <c r="AS76" s="9" t="n"/>
    </row>
    <row r="77" customFormat="1" s="107">
      <c r="A77" s="23" t="n">
        <v>40907</v>
      </c>
      <c r="B77" s="110" t="n">
        <v>14172.63</v>
      </c>
      <c r="C77" s="31">
        <f>(B77/B76-1)/(A77-A76)*30</f>
        <v/>
      </c>
      <c r="D77" s="25" t="n"/>
      <c r="E77" s="25" t="n"/>
      <c r="F77" s="25" t="n"/>
      <c r="I77" s="108" t="n"/>
      <c r="O77" s="9" t="n"/>
      <c r="P77" s="9" t="n"/>
      <c r="Q77" s="9" t="n"/>
      <c r="R77" s="9" t="n"/>
      <c r="S77" s="9" t="n"/>
      <c r="T77" s="9" t="n"/>
      <c r="U77" s="9" t="n"/>
      <c r="V77" s="9" t="n"/>
      <c r="W77" s="9" t="n"/>
      <c r="X77" s="9" t="n"/>
      <c r="Y77" s="9" t="n"/>
      <c r="Z77" s="9" t="n"/>
      <c r="AA77" s="9" t="n"/>
      <c r="AC77" s="105" t="n">
        <v>2023</v>
      </c>
      <c r="AD77" s="55" t="inlineStr">
        <is>
          <t>ICP</t>
        </is>
      </c>
      <c r="AE77" s="78" t="n"/>
      <c r="AF77" s="78" t="n"/>
      <c r="AG77" s="78" t="n"/>
      <c r="AH77" s="78" t="n"/>
      <c r="AI77" s="78" t="n"/>
      <c r="AJ77" s="78" t="n"/>
      <c r="AK77" s="78" t="n"/>
      <c r="AL77" s="78" t="n"/>
      <c r="AM77" s="78" t="n"/>
      <c r="AN77" s="78" t="n"/>
      <c r="AO77" s="78" t="n"/>
      <c r="AP77" s="78" t="n"/>
      <c r="AQ77" s="78" t="n"/>
    </row>
    <row r="78" customFormat="1" s="107">
      <c r="A78" s="23" t="n">
        <v>40939</v>
      </c>
      <c r="B78" s="110" t="n">
        <v>14236.38</v>
      </c>
      <c r="C78" s="31">
        <f>(B78/B77-1)/(A78-A77)*30</f>
        <v/>
      </c>
      <c r="D78" s="25" t="n"/>
      <c r="E78" s="25" t="n"/>
      <c r="F78" s="25" t="n"/>
      <c r="I78" s="108" t="n"/>
      <c r="AD78" s="55" t="inlineStr">
        <is>
          <t>Competencia</t>
        </is>
      </c>
      <c r="AE78" s="78" t="n"/>
      <c r="AF78" s="78" t="n"/>
      <c r="AG78" s="78" t="n"/>
      <c r="AH78" s="78" t="n"/>
      <c r="AI78" s="78" t="n"/>
      <c r="AJ78" s="78" t="n"/>
      <c r="AK78" s="78" t="n"/>
      <c r="AL78" s="78" t="n"/>
      <c r="AM78" s="78" t="n"/>
      <c r="AN78" s="78" t="n"/>
      <c r="AO78" s="78" t="n"/>
      <c r="AP78" s="78" t="n"/>
      <c r="AQ78" s="78" t="n"/>
    </row>
    <row r="79" customFormat="1" s="107">
      <c r="A79" s="23" t="n">
        <v>40968</v>
      </c>
      <c r="B79" s="110" t="n">
        <v>14293.67</v>
      </c>
      <c r="C79" s="31">
        <f>(B79/B78-1)/(A79-A78)*30</f>
        <v/>
      </c>
      <c r="D79" s="25" t="n"/>
      <c r="E79" s="25" t="n"/>
      <c r="F79" s="25" t="n"/>
      <c r="I79" s="108" t="n"/>
      <c r="AD79" s="52" t="inlineStr">
        <is>
          <t>FIP Liquidez Corriente</t>
        </is>
      </c>
      <c r="AE79" s="78" t="n"/>
      <c r="AF79" s="78" t="n"/>
      <c r="AG79" s="78" t="n"/>
      <c r="AH79" s="78" t="n"/>
      <c r="AI79" s="78" t="n"/>
      <c r="AJ79" s="78" t="n"/>
      <c r="AK79" s="78" t="n"/>
      <c r="AL79" s="78" t="n"/>
      <c r="AM79" s="78" t="n"/>
      <c r="AN79" s="78" t="n"/>
      <c r="AO79" s="78" t="n"/>
      <c r="AP79" s="78" t="n"/>
      <c r="AQ79" s="78" t="n"/>
    </row>
    <row r="80" customFormat="1" s="107">
      <c r="A80" s="23" t="n">
        <v>40998</v>
      </c>
      <c r="B80" s="110" t="n">
        <v>14353.34</v>
      </c>
      <c r="C80" s="31">
        <f>(B80/B79-1)/(A80-A79)*30</f>
        <v/>
      </c>
      <c r="D80" s="25" t="n"/>
      <c r="E80" s="25" t="n"/>
      <c r="F80" s="25" t="n"/>
      <c r="I80" s="108" t="n"/>
      <c r="AC80" s="105" t="n">
        <v>2024</v>
      </c>
      <c r="AD80" s="55" t="inlineStr">
        <is>
          <t>ICP</t>
        </is>
      </c>
      <c r="AE80" s="78" t="n"/>
      <c r="AF80" s="78" t="n"/>
      <c r="AG80" s="78" t="n"/>
      <c r="AH80" s="78" t="n"/>
      <c r="AI80" s="78" t="n"/>
      <c r="AJ80" s="78" t="n"/>
      <c r="AK80" s="78" t="n"/>
      <c r="AL80" s="78" t="n"/>
      <c r="AM80" s="78" t="n"/>
      <c r="AN80" s="78" t="n"/>
      <c r="AO80" s="78" t="n"/>
      <c r="AP80" s="78" t="n"/>
      <c r="AQ80" s="78" t="n"/>
    </row>
    <row r="81" customFormat="1" s="107">
      <c r="A81" s="23" t="n">
        <v>41029</v>
      </c>
      <c r="B81" s="110" t="n">
        <v>14415.21</v>
      </c>
      <c r="C81" s="31">
        <f>(B81/B80-1)/(A81-A80)*30</f>
        <v/>
      </c>
      <c r="D81" s="25" t="n"/>
      <c r="E81" s="25" t="n"/>
      <c r="F81" s="25" t="n"/>
      <c r="I81" s="108" t="n"/>
      <c r="AD81" s="55" t="inlineStr">
        <is>
          <t>Competencia</t>
        </is>
      </c>
      <c r="AE81" s="78" t="n"/>
      <c r="AF81" s="78" t="n"/>
      <c r="AG81" s="78" t="n"/>
      <c r="AH81" s="78" t="n"/>
      <c r="AI81" s="78" t="n"/>
      <c r="AJ81" s="78" t="n"/>
      <c r="AK81" s="78" t="n"/>
      <c r="AL81" s="78" t="n"/>
      <c r="AM81" s="78" t="n"/>
      <c r="AN81" s="78" t="n"/>
      <c r="AO81" s="78" t="n"/>
      <c r="AP81" s="78" t="n"/>
      <c r="AQ81" s="78" t="n"/>
    </row>
    <row r="82" customFormat="1" s="107">
      <c r="A82" s="23" t="n">
        <v>41060</v>
      </c>
      <c r="B82" s="110" t="n">
        <v>14477.55</v>
      </c>
      <c r="C82" s="31">
        <f>(B82/B81-1)/(A82-A81)*30</f>
        <v/>
      </c>
      <c r="D82" s="25" t="n"/>
      <c r="E82" s="25" t="n"/>
      <c r="F82" s="25" t="n"/>
      <c r="I82" s="108" t="n"/>
      <c r="AD82" s="52" t="inlineStr">
        <is>
          <t>FIP Liquidez Corriente</t>
        </is>
      </c>
      <c r="AE82" s="78" t="n"/>
      <c r="AF82" s="78" t="n"/>
      <c r="AG82" s="78" t="n"/>
      <c r="AH82" s="78" t="n"/>
      <c r="AI82" s="78" t="n"/>
      <c r="AJ82" s="78" t="n"/>
      <c r="AK82" s="78" t="n"/>
      <c r="AL82" s="78" t="n"/>
      <c r="AM82" s="78" t="n"/>
      <c r="AN82" s="78" t="n"/>
      <c r="AO82" s="78" t="n"/>
      <c r="AP82" s="78" t="n"/>
      <c r="AQ82" s="78" t="n"/>
    </row>
    <row r="83" customFormat="1" s="107">
      <c r="A83" s="23" t="n">
        <v>41089</v>
      </c>
      <c r="B83" s="110" t="n">
        <v>14536.13</v>
      </c>
      <c r="C83" s="31">
        <f>(B83/B82-1)/(A83-A82)*30</f>
        <v/>
      </c>
      <c r="D83" s="25" t="n"/>
      <c r="E83" s="25" t="n"/>
      <c r="F83" s="25" t="n"/>
      <c r="I83" s="108" t="n"/>
      <c r="AC83" s="105" t="n">
        <v>2025</v>
      </c>
      <c r="AD83" s="55" t="inlineStr">
        <is>
          <t>ICP</t>
        </is>
      </c>
      <c r="AE83" s="78" t="n"/>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7">
      <c r="A84" s="23" t="n">
        <v>41121</v>
      </c>
      <c r="B84" s="110" t="n">
        <v>14600.61</v>
      </c>
      <c r="C84" s="31">
        <f>(B84/B83-1)/(A84-A83)*30</f>
        <v/>
      </c>
      <c r="D84" s="25" t="n"/>
      <c r="E84" s="25" t="n"/>
      <c r="F84" s="25" t="n"/>
      <c r="I84" s="108" t="n"/>
      <c r="AD84" s="55" t="inlineStr">
        <is>
          <t>Competencia</t>
        </is>
      </c>
      <c r="AE84" s="78" t="n"/>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7">
      <c r="A85" s="23" t="n">
        <v>41152</v>
      </c>
      <c r="B85" s="110" t="n">
        <v>14663.33</v>
      </c>
      <c r="C85" s="31">
        <f>(B85/B84-1)/(A85-A84)*30</f>
        <v/>
      </c>
      <c r="D85" s="25" t="n"/>
      <c r="E85" s="25" t="n"/>
      <c r="F85" s="25" t="n"/>
      <c r="I85" s="108" t="n"/>
      <c r="AD85" s="52" t="inlineStr">
        <is>
          <t>FIP Liquidez Corriente</t>
        </is>
      </c>
      <c r="AE85" s="78" t="n"/>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7">
      <c r="A86" s="23" t="n">
        <v>41180</v>
      </c>
      <c r="B86" s="110" t="n">
        <v>14720.68</v>
      </c>
      <c r="C86" s="31">
        <f>(B86/B85-1)/(A86-A85)*30</f>
        <v/>
      </c>
      <c r="D86" s="25" t="n"/>
      <c r="E86" s="25" t="n"/>
      <c r="F86" s="25" t="n"/>
      <c r="I86" s="108" t="n"/>
      <c r="AC86" s="105"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7">
      <c r="A87" s="23" t="n">
        <v>41213</v>
      </c>
      <c r="B87" s="110" t="n">
        <v>14788.56</v>
      </c>
      <c r="C87" s="31">
        <f>(B87/B86-1)/(A87-A86)*30</f>
        <v/>
      </c>
      <c r="D87" s="25" t="n"/>
      <c r="E87" s="25" t="n"/>
      <c r="F87" s="25" t="n"/>
      <c r="I87" s="108"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7">
      <c r="A88" s="23" t="n">
        <v>41243</v>
      </c>
      <c r="B88" s="110" t="n">
        <v>14850.38</v>
      </c>
      <c r="C88" s="31">
        <f>(B88/B87-1)/(A88-A87)*30</f>
        <v/>
      </c>
      <c r="D88" s="25" t="n"/>
      <c r="E88" s="25" t="n"/>
      <c r="F88" s="25" t="n"/>
      <c r="I88" s="108" t="n"/>
      <c r="AD88" s="52" t="inlineStr">
        <is>
          <t>FIP Liquidez Corriente</t>
        </is>
      </c>
      <c r="AE88" s="78">
        <f>+AE38</f>
        <v/>
      </c>
      <c r="AF88" s="78">
        <f>+AF38</f>
        <v/>
      </c>
      <c r="AG88" s="78">
        <f>+AG38</f>
        <v/>
      </c>
      <c r="AH88" s="78">
        <f>+AH38</f>
        <v/>
      </c>
      <c r="AI88" s="78" t="n"/>
      <c r="AJ88" s="78" t="n"/>
      <c r="AK88" s="78" t="n"/>
      <c r="AL88" s="78" t="n"/>
      <c r="AM88" s="78" t="n"/>
      <c r="AN88" s="78" t="n"/>
      <c r="AO88" s="78" t="n"/>
      <c r="AP88" s="78" t="n"/>
      <c r="AQ88" s="78">
        <f>+AQ38</f>
        <v/>
      </c>
    </row>
    <row r="89" customFormat="1" s="107">
      <c r="A89" s="23" t="n">
        <v>41274</v>
      </c>
      <c r="B89" s="110" t="n">
        <v>14908.2</v>
      </c>
      <c r="C89" s="31">
        <f>(B89/B88-1)/(A89-A88)*30</f>
        <v/>
      </c>
      <c r="D89" s="25" t="n"/>
      <c r="E89" s="25" t="n"/>
      <c r="F89" s="25" t="n"/>
      <c r="I89" s="108" t="n"/>
      <c r="AC89" s="9" t="n"/>
      <c r="AF89" s="9" t="n"/>
      <c r="AG89" s="9" t="n"/>
      <c r="AH89" s="9" t="n"/>
      <c r="AI89" s="9" t="n"/>
      <c r="AJ89" s="9" t="n"/>
      <c r="AK89" s="9" t="n"/>
      <c r="AL89" s="9" t="n"/>
      <c r="AM89" s="9" t="n"/>
      <c r="AN89" s="9" t="n"/>
      <c r="AO89" s="9" t="n"/>
      <c r="AP89" s="9" t="n"/>
      <c r="AQ89" s="9" t="n"/>
    </row>
    <row r="90" customFormat="1" s="107">
      <c r="A90" s="23" t="n">
        <v>41305</v>
      </c>
      <c r="B90" s="110" t="n">
        <v>14978.58</v>
      </c>
      <c r="C90" s="31">
        <f>(B90/B89-1)/(A90-A89)*30</f>
        <v/>
      </c>
      <c r="D90" s="25" t="n"/>
      <c r="E90" s="25" t="n"/>
      <c r="F90" s="25" t="n"/>
      <c r="I90" s="108" t="n"/>
      <c r="AC90" s="9" t="n"/>
      <c r="AF90" s="9" t="n"/>
      <c r="AG90" s="9" t="n"/>
      <c r="AH90" s="9" t="n"/>
      <c r="AI90" s="9" t="n"/>
      <c r="AJ90" s="9" t="n"/>
      <c r="AK90" s="9" t="n"/>
      <c r="AL90" s="9" t="n"/>
      <c r="AM90" s="9" t="n"/>
      <c r="AN90" s="9" t="n"/>
      <c r="AO90" s="9" t="n"/>
      <c r="AP90" s="9" t="n"/>
      <c r="AQ90" s="9" t="n"/>
    </row>
    <row r="91" customFormat="1" s="107">
      <c r="A91" s="23" t="n">
        <v>41333</v>
      </c>
      <c r="B91" s="110" t="n">
        <v>15036.94</v>
      </c>
      <c r="C91" s="31">
        <f>(B91/B90-1)/(A91-A90)*30</f>
        <v/>
      </c>
      <c r="D91" s="25" t="n"/>
      <c r="E91" s="25" t="n"/>
      <c r="F91" s="25" t="n"/>
      <c r="I91" s="108" t="n"/>
      <c r="AC91" s="9" t="n"/>
      <c r="AF91" s="9" t="n"/>
      <c r="AG91" s="9" t="n"/>
      <c r="AH91" s="9" t="n"/>
      <c r="AI91" s="9" t="n"/>
      <c r="AJ91" s="9" t="n"/>
      <c r="AK91" s="9" t="n"/>
      <c r="AL91" s="9" t="n"/>
      <c r="AM91" s="9" t="n"/>
      <c r="AN91" s="9" t="n"/>
      <c r="AO91" s="9" t="n"/>
      <c r="AP91" s="9" t="n"/>
      <c r="AQ91" s="9" t="n"/>
    </row>
    <row r="92" customFormat="1" s="107">
      <c r="A92" s="23" t="n">
        <v>41362</v>
      </c>
      <c r="B92" s="110" t="n">
        <v>15095.51</v>
      </c>
      <c r="C92" s="31">
        <f>(B92/B91-1)/(A92-A91)*30</f>
        <v/>
      </c>
      <c r="D92" s="25" t="n"/>
      <c r="E92" s="25" t="n"/>
      <c r="F92" s="25" t="n"/>
      <c r="I92" s="108" t="n"/>
      <c r="AC92" s="9" t="n"/>
      <c r="AF92" s="9" t="n"/>
      <c r="AG92" s="9" t="n"/>
      <c r="AH92" s="9" t="n"/>
      <c r="AI92" s="9" t="n"/>
      <c r="AJ92" s="9" t="n"/>
      <c r="AK92" s="9" t="n"/>
      <c r="AL92" s="9" t="n"/>
      <c r="AM92" s="9" t="n"/>
      <c r="AN92" s="9" t="n"/>
      <c r="AO92" s="9" t="n"/>
      <c r="AP92" s="9" t="n"/>
      <c r="AQ92" s="9" t="n"/>
    </row>
    <row r="93" customFormat="1" s="107">
      <c r="A93" s="23" t="n">
        <v>41394</v>
      </c>
      <c r="B93" s="110" t="n">
        <v>15164.77</v>
      </c>
      <c r="C93" s="31">
        <f>(B93/B92-1)/(A93-A92)*30</f>
        <v/>
      </c>
      <c r="D93" s="25" t="n"/>
      <c r="E93" s="25" t="n"/>
      <c r="F93" s="25" t="n"/>
      <c r="I93" s="108" t="n"/>
      <c r="AC93" s="9" t="n"/>
      <c r="AD93" s="23" t="n">
        <v>43008</v>
      </c>
      <c r="AE93" s="67" t="n">
        <v>0.003112100000000062</v>
      </c>
      <c r="AF93" s="9" t="n"/>
      <c r="AG93" s="9" t="n"/>
      <c r="AH93" s="9" t="n"/>
      <c r="AI93" s="9" t="n"/>
      <c r="AJ93" s="9" t="n"/>
      <c r="AK93" s="9" t="n"/>
      <c r="AL93" s="9" t="n"/>
      <c r="AM93" s="9" t="n"/>
      <c r="AN93" s="9" t="n"/>
      <c r="AO93" s="9" t="n"/>
      <c r="AP93" s="9" t="n"/>
      <c r="AQ93" s="9" t="n"/>
    </row>
    <row r="94" customFormat="1" s="107">
      <c r="A94" s="23" t="n">
        <v>41425</v>
      </c>
      <c r="B94" s="110" t="n">
        <v>15230.38</v>
      </c>
      <c r="C94" s="31">
        <f>(B94/B93-1)/(A94-A93)*30</f>
        <v/>
      </c>
      <c r="D94" s="25" t="n"/>
      <c r="E94" s="25" t="n"/>
      <c r="F94" s="25" t="n"/>
      <c r="I94" s="108" t="n"/>
      <c r="AC94" s="9" t="n"/>
      <c r="AD94" s="23" t="n">
        <v>43039</v>
      </c>
      <c r="AE94" s="67" t="n">
        <v>0.002663549477348879</v>
      </c>
      <c r="AF94" s="9" t="n"/>
      <c r="AG94" s="9" t="n"/>
      <c r="AH94" s="9" t="n"/>
      <c r="AI94" s="9" t="n"/>
      <c r="AJ94" s="9" t="n"/>
      <c r="AK94" s="9" t="n"/>
      <c r="AL94" s="9" t="n"/>
      <c r="AM94" s="9" t="n"/>
      <c r="AN94" s="9" t="n"/>
      <c r="AO94" s="9" t="n"/>
      <c r="AP94" s="9" t="n"/>
      <c r="AQ94" s="9" t="n"/>
    </row>
    <row r="95" customFormat="1" s="107">
      <c r="A95" s="23" t="n">
        <v>41453</v>
      </c>
      <c r="B95" s="110" t="n">
        <v>15289.74</v>
      </c>
      <c r="C95" s="31">
        <f>(B95/B94-1)/(A95-A94)*30</f>
        <v/>
      </c>
      <c r="D95" s="25" t="n"/>
      <c r="E95" s="25" t="n"/>
      <c r="F95" s="25" t="n"/>
      <c r="I95" s="108" t="n"/>
      <c r="AC95" s="9" t="n"/>
      <c r="AD95" s="23" t="n">
        <v>43069</v>
      </c>
      <c r="AE95" s="67" t="n">
        <v>0.002704019294682336</v>
      </c>
      <c r="AF95" s="9" t="n"/>
      <c r="AG95" s="9" t="n"/>
      <c r="AH95" s="9" t="n"/>
      <c r="AI95" s="9" t="n"/>
      <c r="AJ95" s="9" t="n"/>
      <c r="AK95" s="9" t="n"/>
      <c r="AL95" s="9" t="n"/>
      <c r="AM95" s="9" t="n"/>
      <c r="AN95" s="9" t="n"/>
      <c r="AO95" s="9" t="n"/>
      <c r="AP95" s="9" t="n"/>
      <c r="AQ95" s="9" t="n"/>
    </row>
    <row r="96" customFormat="1" s="107">
      <c r="A96" s="23" t="n">
        <v>41486</v>
      </c>
      <c r="B96" s="110" t="n">
        <v>15360.27</v>
      </c>
      <c r="C96" s="31">
        <f>(B96/B95-1)/(A96-A95)*30</f>
        <v/>
      </c>
      <c r="D96" s="25" t="n"/>
      <c r="E96" s="25" t="n"/>
      <c r="F96" s="25" t="n"/>
      <c r="I96" s="108" t="n"/>
      <c r="AC96" s="9" t="n"/>
      <c r="AD96" s="23" t="n">
        <v>43100</v>
      </c>
      <c r="AE96" s="67" t="n">
        <v>0.003009654469144453</v>
      </c>
      <c r="AF96" s="9" t="n"/>
      <c r="AG96" s="9" t="n"/>
      <c r="AH96" s="9" t="n"/>
      <c r="AI96" s="9" t="n"/>
      <c r="AJ96" s="9" t="n"/>
      <c r="AK96" s="9" t="n"/>
      <c r="AL96" s="9" t="n"/>
      <c r="AM96" s="9" t="n"/>
      <c r="AN96" s="9" t="n"/>
      <c r="AO96" s="9" t="n"/>
      <c r="AP96" s="9" t="n"/>
      <c r="AQ96" s="9" t="n"/>
    </row>
    <row r="97" customFormat="1" s="107">
      <c r="A97" s="23" t="n">
        <v>41516</v>
      </c>
      <c r="B97" s="110" t="n">
        <v>15424.43</v>
      </c>
      <c r="C97" s="31">
        <f>(B97/B96-1)/(A97-A96)*30</f>
        <v/>
      </c>
      <c r="D97" s="25" t="n"/>
      <c r="E97" s="25" t="n"/>
      <c r="F97" s="25" t="n"/>
      <c r="I97" s="108" t="n"/>
      <c r="AD97" s="23" t="n">
        <v>43131</v>
      </c>
      <c r="AE97" s="67" t="n">
        <v>0.004737272399342256</v>
      </c>
      <c r="AF97" s="9" t="n"/>
      <c r="AG97" s="9" t="n"/>
      <c r="AH97" s="9" t="n"/>
      <c r="AI97" s="9" t="n"/>
      <c r="AJ97" s="9" t="n"/>
      <c r="AK97" s="9" t="n"/>
      <c r="AL97" s="9" t="n"/>
      <c r="AM97" s="9" t="n"/>
      <c r="AN97" s="9" t="n"/>
      <c r="AO97" s="9" t="n"/>
      <c r="AP97" s="9" t="n"/>
      <c r="AQ97" s="9" t="n"/>
    </row>
    <row r="98" customFormat="1" s="107">
      <c r="A98" s="23" t="n">
        <v>41547</v>
      </c>
      <c r="B98" s="110" t="n">
        <v>15490.99</v>
      </c>
      <c r="C98" s="31">
        <f>(B98/B97-1)/(A98-A97)*30</f>
        <v/>
      </c>
      <c r="D98" s="25" t="n"/>
      <c r="E98" s="25" t="n"/>
      <c r="F98" s="25" t="n"/>
      <c r="I98" s="108" t="n"/>
      <c r="AD98" s="23" t="n">
        <v>43159</v>
      </c>
      <c r="AE98" s="67" t="n">
        <v>0.003781523019540458</v>
      </c>
    </row>
    <row r="99" customFormat="1" s="107">
      <c r="A99" s="23" t="n">
        <v>41578</v>
      </c>
      <c r="B99" s="110" t="n">
        <v>15554.36</v>
      </c>
      <c r="C99" s="31">
        <f>(B99/B98-1)/(A99-A98)*30</f>
        <v/>
      </c>
      <c r="D99" s="25" t="n"/>
      <c r="E99" s="25" t="n"/>
      <c r="F99" s="25" t="n"/>
      <c r="I99" s="108" t="n"/>
      <c r="AD99" s="23" t="n">
        <v>43190</v>
      </c>
      <c r="AE99" s="67" t="n">
        <v>0.003005275119085731</v>
      </c>
    </row>
    <row r="100" customFormat="1" s="107">
      <c r="A100" s="23" t="n">
        <v>41607</v>
      </c>
      <c r="B100" s="110" t="n">
        <v>15615.06</v>
      </c>
      <c r="C100" s="31">
        <f>(B100/B99-1)/(A100-A99)*30</f>
        <v/>
      </c>
      <c r="D100" s="25" t="n"/>
      <c r="E100" s="25" t="n"/>
      <c r="F100" s="25" t="n"/>
      <c r="I100" s="108" t="n"/>
      <c r="AD100" s="23" t="n">
        <v>43220</v>
      </c>
      <c r="AE100" s="67" t="n">
        <v>0.00316130254575997</v>
      </c>
    </row>
    <row r="101" customFormat="1" s="107">
      <c r="A101" s="23" t="n">
        <v>41639</v>
      </c>
      <c r="B101" s="110" t="n">
        <v>15675.68</v>
      </c>
      <c r="C101" s="31">
        <f>(B101/B100-1)/(A101-A100)*30</f>
        <v/>
      </c>
      <c r="D101" s="25" t="n"/>
      <c r="E101" s="25" t="n"/>
      <c r="F101" s="25" t="n"/>
      <c r="I101" s="108" t="n"/>
      <c r="AD101" s="23" t="n">
        <v>43251</v>
      </c>
      <c r="AE101" s="67" t="n">
        <v>0.003100678663890142</v>
      </c>
    </row>
    <row r="102" customFormat="1" s="107">
      <c r="A102" s="23" t="n">
        <v>41670</v>
      </c>
      <c r="B102" s="110" t="n">
        <v>15738.45</v>
      </c>
      <c r="C102" s="31">
        <f>(B102/B101-1)/(A102-A101)*30</f>
        <v/>
      </c>
      <c r="D102" s="25" t="n"/>
      <c r="E102" s="25" t="n"/>
      <c r="F102" s="25" t="n"/>
      <c r="I102" s="108" t="n"/>
      <c r="AD102" s="23" t="n">
        <v>43281</v>
      </c>
      <c r="AE102" s="67" t="n">
        <v>0.00287709140845549</v>
      </c>
    </row>
    <row r="103" customFormat="1" s="107">
      <c r="A103" s="23" t="n">
        <v>41698</v>
      </c>
      <c r="B103" s="110" t="n">
        <v>15792.47</v>
      </c>
      <c r="C103" s="31">
        <f>(B103/B102-1)/(A103-A102)*30</f>
        <v/>
      </c>
      <c r="D103" s="25" t="n"/>
      <c r="E103" s="25" t="n"/>
      <c r="F103" s="25" t="n"/>
      <c r="I103" s="108" t="n"/>
      <c r="AD103" s="23" t="n">
        <v>43312</v>
      </c>
      <c r="AE103" s="67" t="n">
        <v>0.002790254057869121</v>
      </c>
    </row>
    <row r="104" customFormat="1" s="107">
      <c r="A104" s="23" t="n">
        <v>41729</v>
      </c>
      <c r="B104" s="110" t="n">
        <v>15848.53</v>
      </c>
      <c r="C104" s="31">
        <f>(B104/B103-1)/(A104-A103)*30</f>
        <v/>
      </c>
      <c r="D104" s="25" t="n"/>
      <c r="E104" s="25" t="n"/>
      <c r="F104" s="25" t="n"/>
      <c r="I104" s="108" t="n"/>
      <c r="AD104" s="23" t="n">
        <v>43343</v>
      </c>
      <c r="AE104" s="67" t="n">
        <v>0.002697220022070491</v>
      </c>
    </row>
    <row r="105" customFormat="1" s="107">
      <c r="A105" s="23" t="n">
        <v>41759</v>
      </c>
      <c r="B105" s="110" t="n">
        <v>15901.43</v>
      </c>
      <c r="C105" s="31">
        <f>(B105/B104-1)/(A105-A104)*30</f>
        <v/>
      </c>
      <c r="D105" s="25" t="n"/>
      <c r="E105" s="25" t="n"/>
      <c r="F105" s="25" t="n"/>
      <c r="I105" s="108" t="n"/>
      <c r="AD105" s="23" t="n">
        <v>43373</v>
      </c>
      <c r="AE105" s="67" t="n">
        <v>0.002946786774067123</v>
      </c>
    </row>
    <row r="106" customFormat="1" s="107">
      <c r="A106" s="23" t="n">
        <v>41789</v>
      </c>
      <c r="B106" s="110" t="n">
        <v>15954.5</v>
      </c>
      <c r="C106" s="31">
        <f>(B106/B105-1)/(A106-A105)*30</f>
        <v/>
      </c>
      <c r="D106" s="25" t="n"/>
      <c r="E106" s="25" t="n"/>
      <c r="F106" s="25" t="n"/>
      <c r="I106" s="108" t="n"/>
      <c r="AD106" s="23" t="n">
        <v>43404</v>
      </c>
      <c r="AE106" s="67" t="n">
        <v>0.002734115798128082</v>
      </c>
    </row>
    <row r="107" customFormat="1" s="107">
      <c r="A107" s="23" t="n">
        <v>41820</v>
      </c>
      <c r="B107" s="110" t="n">
        <v>16009.53</v>
      </c>
      <c r="C107" s="31">
        <f>(B107/B106-1)/(A107-A106)*30</f>
        <v/>
      </c>
      <c r="D107" s="25" t="n"/>
      <c r="E107" s="25" t="n"/>
      <c r="F107" s="25" t="n"/>
      <c r="I107" s="108" t="n"/>
      <c r="AD107" s="23" t="n">
        <v>43434</v>
      </c>
      <c r="AE107" s="67" t="n">
        <v>0.002844092886551852</v>
      </c>
    </row>
    <row r="108" customFormat="1" s="107">
      <c r="A108" s="23" t="n">
        <v>41851</v>
      </c>
      <c r="B108" s="110" t="n">
        <v>16063.18</v>
      </c>
      <c r="C108" s="31">
        <f>(B108/B107-1)/(A108-A107)*30</f>
        <v/>
      </c>
      <c r="D108" s="25" t="n"/>
      <c r="E108" s="25" t="n"/>
      <c r="F108" s="25" t="n"/>
      <c r="I108" s="108" t="n"/>
      <c r="AD108" s="23" t="n">
        <v>43465</v>
      </c>
      <c r="AE108" s="67" t="n">
        <v>0.002626598915806536</v>
      </c>
    </row>
    <row r="109" customFormat="1" s="107">
      <c r="A109" s="23" t="n">
        <v>41880</v>
      </c>
      <c r="B109" s="110" t="n">
        <v>16110.55</v>
      </c>
      <c r="C109" s="31">
        <f>(B109/B108-1)/(A109-A108)*30</f>
        <v/>
      </c>
      <c r="D109" s="25" t="n"/>
      <c r="E109" s="25" t="n"/>
      <c r="F109" s="25" t="n"/>
      <c r="I109" s="108" t="n"/>
      <c r="AD109" s="23" t="n">
        <v>43496</v>
      </c>
      <c r="AE109" s="67" t="n">
        <v>0.002814303282289405</v>
      </c>
    </row>
    <row r="110" customFormat="1" s="107">
      <c r="A110" s="23" t="n">
        <v>41912</v>
      </c>
      <c r="B110" s="110" t="n">
        <v>16158.37</v>
      </c>
      <c r="C110" s="31">
        <f>(B110/B109-1)/(A110-A109)*30</f>
        <v/>
      </c>
      <c r="D110" s="25" t="n"/>
      <c r="E110" s="25" t="n"/>
      <c r="F110" s="25" t="n"/>
      <c r="I110" s="108" t="n"/>
      <c r="AD110" s="23" t="n">
        <v>43524</v>
      </c>
      <c r="AE110" s="67" t="n">
        <v>0.002823606386871957</v>
      </c>
    </row>
    <row r="111" customFormat="1" s="107">
      <c r="A111" s="23" t="n">
        <v>41943</v>
      </c>
      <c r="B111" s="110" t="n">
        <v>16200.86</v>
      </c>
      <c r="C111" s="31">
        <f>(B111/B110-1)/(A111-A110)*30</f>
        <v/>
      </c>
      <c r="D111" s="25" t="n"/>
      <c r="E111" s="25" t="n"/>
      <c r="F111" s="25" t="n"/>
      <c r="I111" s="108" t="n"/>
      <c r="AD111" s="23" t="n">
        <v>43555</v>
      </c>
      <c r="AE111" s="67" t="n">
        <v>0.002865362794038821</v>
      </c>
    </row>
    <row r="112" customFormat="1" s="107">
      <c r="A112" s="23" t="n">
        <v>41971</v>
      </c>
      <c r="B112" s="110" t="n">
        <v>16240.11</v>
      </c>
      <c r="C112" s="31">
        <f>(B112/B111-1)/(A112-A111)*30</f>
        <v/>
      </c>
      <c r="D112" s="25" t="n"/>
      <c r="E112" s="25" t="n"/>
      <c r="F112" s="25" t="n"/>
      <c r="I112" s="108" t="n"/>
      <c r="AD112" s="23" t="n">
        <v>43585</v>
      </c>
      <c r="AE112" s="67" t="n">
        <v>0.002932409051613627</v>
      </c>
    </row>
    <row r="113" customFormat="1" s="107">
      <c r="A113" s="23" t="n">
        <v>42004</v>
      </c>
      <c r="B113" s="110" t="n">
        <v>16283.49</v>
      </c>
      <c r="C113" s="31">
        <f>(B113/B112-1)/(A113-A112)*30</f>
        <v/>
      </c>
      <c r="D113" s="25" t="n"/>
      <c r="E113" s="25" t="n"/>
      <c r="F113" s="25" t="n"/>
      <c r="I113" s="108" t="n"/>
    </row>
    <row r="114" customFormat="1" s="107">
      <c r="A114" s="23" t="n">
        <v>42034</v>
      </c>
      <c r="B114" s="110" t="n">
        <v>16325.65</v>
      </c>
      <c r="C114" s="31">
        <f>(B114/B113-1)/(A114-A113)*30</f>
        <v/>
      </c>
      <c r="D114" s="25" t="n"/>
      <c r="E114" s="25" t="n"/>
      <c r="F114" s="25" t="n"/>
      <c r="I114" s="108" t="n"/>
    </row>
    <row r="115">
      <c r="A115" s="23" t="n">
        <v>42062</v>
      </c>
      <c r="B115" s="110" t="n">
        <v>16363.77</v>
      </c>
      <c r="C115" s="31">
        <f>(B115/B114-1)/(A115-A114)*30</f>
        <v/>
      </c>
      <c r="D115" s="25" t="n"/>
      <c r="E115" s="25" t="n"/>
      <c r="F115" s="25" t="n"/>
      <c r="N115" s="107" t="n"/>
      <c r="O115" s="107" t="n"/>
      <c r="P115" s="107" t="n"/>
      <c r="Q115" s="107" t="n"/>
      <c r="R115" s="107" t="n"/>
      <c r="S115" s="107" t="n"/>
      <c r="T115" s="107" t="n"/>
      <c r="U115" s="107" t="n"/>
      <c r="V115" s="107" t="n"/>
      <c r="W115" s="107" t="n"/>
      <c r="X115" s="107" t="n"/>
      <c r="Y115" s="107" t="n"/>
      <c r="Z115" s="107" t="n"/>
      <c r="AA115" s="107" t="n"/>
      <c r="AB115" s="107" t="n"/>
      <c r="AC115" s="107" t="n"/>
      <c r="AD115" s="107" t="n"/>
      <c r="AE115" s="107" t="n"/>
      <c r="AF115" s="107" t="n"/>
      <c r="AG115" s="107" t="n"/>
      <c r="AH115" s="107" t="n"/>
      <c r="AI115" s="107" t="n"/>
      <c r="AJ115" s="107" t="n"/>
      <c r="AK115" s="107" t="n"/>
      <c r="AL115" s="107" t="n"/>
      <c r="AM115" s="107" t="n"/>
      <c r="AN115" s="107" t="n"/>
      <c r="AO115" s="107" t="n"/>
      <c r="AP115" s="107" t="n"/>
      <c r="AQ115" s="107" t="n"/>
      <c r="AR115" s="107" t="n"/>
      <c r="AS115" s="107" t="n"/>
      <c r="AT115" s="107" t="n"/>
    </row>
    <row r="116">
      <c r="A116" s="23" t="n">
        <v>42094</v>
      </c>
      <c r="B116" s="110" t="n">
        <v>16407.49</v>
      </c>
      <c r="C116" s="31">
        <f>(B116/B115-1)/(A116-A115)*30</f>
        <v/>
      </c>
      <c r="D116" s="25" t="n"/>
      <c r="E116" s="25" t="n"/>
      <c r="F116" s="25" t="n"/>
      <c r="O116" s="107" t="n"/>
      <c r="P116" s="107" t="n"/>
      <c r="Q116" s="107" t="n"/>
      <c r="R116" s="107" t="n"/>
      <c r="S116" s="107" t="n"/>
      <c r="T116" s="107" t="n"/>
      <c r="U116" s="107" t="n"/>
      <c r="V116" s="107" t="n"/>
      <c r="W116" s="107" t="n"/>
      <c r="X116" s="107" t="n"/>
      <c r="Y116" s="107" t="n"/>
      <c r="Z116" s="107" t="n"/>
      <c r="AA116" s="107" t="n"/>
      <c r="AB116" s="107" t="n"/>
      <c r="AC116" s="107" t="n"/>
      <c r="AD116" s="107" t="n"/>
      <c r="AE116" s="107" t="n"/>
      <c r="AF116" s="107" t="n"/>
      <c r="AG116" s="107" t="n"/>
      <c r="AH116" s="107" t="n"/>
      <c r="AI116" s="107" t="n"/>
      <c r="AJ116" s="107" t="n"/>
      <c r="AK116" s="107" t="n"/>
      <c r="AL116" s="107" t="n"/>
      <c r="AM116" s="107" t="n"/>
      <c r="AN116" s="107" t="n"/>
      <c r="AO116" s="107" t="n"/>
      <c r="AP116" s="107" t="n"/>
      <c r="AQ116" s="107" t="n"/>
      <c r="AR116" s="107" t="n"/>
      <c r="AS116" s="107" t="n"/>
    </row>
    <row r="117">
      <c r="A117" s="23" t="n">
        <v>42124</v>
      </c>
      <c r="B117" s="110" t="n">
        <v>16448.59</v>
      </c>
      <c r="C117" s="31">
        <f>(B117/B116-1)/(A117-A116)*30</f>
        <v/>
      </c>
      <c r="D117" s="25" t="n"/>
      <c r="E117" s="25" t="n"/>
      <c r="F117" s="25" t="n"/>
      <c r="O117" s="107" t="n"/>
      <c r="P117" s="107" t="n"/>
      <c r="Q117" s="107" t="n"/>
      <c r="R117" s="107" t="n"/>
      <c r="S117" s="107" t="n"/>
      <c r="T117" s="107" t="n"/>
      <c r="U117" s="107" t="n"/>
      <c r="V117" s="107" t="n"/>
      <c r="W117" s="107" t="n"/>
      <c r="X117" s="107" t="n"/>
      <c r="Y117" s="107" t="n"/>
      <c r="Z117" s="107" t="n"/>
      <c r="AA117" s="107" t="n"/>
      <c r="AB117" s="107" t="n"/>
      <c r="AC117" s="107" t="n"/>
      <c r="AD117" s="107" t="n"/>
      <c r="AE117" s="107" t="n"/>
      <c r="AF117" s="107" t="n"/>
      <c r="AG117" s="107" t="n"/>
      <c r="AH117" s="107" t="n"/>
      <c r="AI117" s="107" t="n"/>
      <c r="AJ117" s="107" t="n"/>
      <c r="AK117" s="107" t="n"/>
      <c r="AL117" s="107" t="n"/>
      <c r="AM117" s="107" t="n"/>
      <c r="AN117" s="107" t="n"/>
      <c r="AO117" s="107" t="n"/>
      <c r="AP117" s="107" t="n"/>
      <c r="AQ117" s="107" t="n"/>
      <c r="AR117" s="107" t="n"/>
      <c r="AS117" s="107" t="n"/>
    </row>
    <row r="118">
      <c r="A118" s="23" t="n">
        <v>42153</v>
      </c>
      <c r="B118" s="110" t="n">
        <v>16488.37</v>
      </c>
      <c r="C118" s="31">
        <f>(B118/B117-1)/(A118-A117)*30</f>
        <v/>
      </c>
      <c r="D118" s="25" t="n"/>
      <c r="E118" s="25" t="n"/>
      <c r="F118" s="25" t="n"/>
      <c r="O118" s="107" t="n"/>
      <c r="P118" s="107" t="n"/>
      <c r="Q118" s="107" t="n"/>
      <c r="R118" s="107" t="n"/>
      <c r="S118" s="107" t="n"/>
      <c r="T118" s="107" t="n"/>
      <c r="U118" s="107" t="n"/>
      <c r="V118" s="107" t="n"/>
      <c r="W118" s="107" t="n"/>
      <c r="X118" s="107" t="n"/>
      <c r="Y118" s="107" t="n"/>
      <c r="Z118" s="107" t="n"/>
      <c r="AA118" s="107" t="n"/>
      <c r="AB118" s="107" t="n"/>
      <c r="AC118" s="107" t="n"/>
      <c r="AD118" s="107" t="n"/>
      <c r="AE118" s="107" t="n"/>
      <c r="AF118" s="107" t="n"/>
      <c r="AG118" s="107" t="n"/>
      <c r="AH118" s="107" t="n"/>
      <c r="AI118" s="107" t="n"/>
      <c r="AJ118" s="107" t="n"/>
      <c r="AK118" s="107" t="n"/>
      <c r="AL118" s="107" t="n"/>
      <c r="AM118" s="107" t="n"/>
      <c r="AN118" s="107" t="n"/>
      <c r="AO118" s="107" t="n"/>
      <c r="AP118" s="107" t="n"/>
      <c r="AQ118" s="107" t="n"/>
      <c r="AR118" s="107" t="n"/>
      <c r="AS118" s="107" t="n"/>
    </row>
    <row r="119">
      <c r="A119" s="23" t="n">
        <v>42185</v>
      </c>
      <c r="B119" s="110" t="n">
        <v>16532.38</v>
      </c>
      <c r="C119" s="31">
        <f>(B119/B118-1)/(A119-A118)*30</f>
        <v/>
      </c>
      <c r="D119" s="25" t="n"/>
      <c r="E119" s="25" t="n"/>
      <c r="F119" s="25" t="n"/>
      <c r="O119" s="107" t="n"/>
      <c r="P119" s="107" t="n"/>
      <c r="Q119" s="107" t="n"/>
      <c r="R119" s="107" t="n"/>
      <c r="S119" s="107" t="n"/>
      <c r="T119" s="107" t="n"/>
      <c r="U119" s="107" t="n"/>
      <c r="V119" s="107" t="n"/>
      <c r="W119" s="107" t="n"/>
      <c r="X119" s="107" t="n"/>
      <c r="Y119" s="107" t="n"/>
      <c r="Z119" s="107" t="n"/>
      <c r="AA119" s="107" t="n"/>
      <c r="AC119" s="107" t="n"/>
      <c r="AD119" s="107" t="n"/>
      <c r="AE119" s="107" t="n"/>
      <c r="AF119" s="107" t="n"/>
      <c r="AG119" s="107" t="n"/>
      <c r="AH119" s="107" t="n"/>
      <c r="AI119" s="107" t="n"/>
      <c r="AJ119" s="107" t="n"/>
      <c r="AK119" s="107" t="n"/>
      <c r="AL119" s="107" t="n"/>
      <c r="AM119" s="107" t="n"/>
      <c r="AN119" s="107" t="n"/>
      <c r="AO119" s="107" t="n"/>
      <c r="AP119" s="107" t="n"/>
      <c r="AQ119" s="107" t="n"/>
      <c r="AR119" s="107" t="n"/>
      <c r="AS119" s="107" t="n"/>
    </row>
    <row r="120">
      <c r="A120" s="23" t="n">
        <v>42216</v>
      </c>
      <c r="B120" s="110" t="n">
        <v>16575.11</v>
      </c>
      <c r="C120" s="31">
        <f>(B120/B119-1)/(A120-A119)*30</f>
        <v/>
      </c>
      <c r="D120" s="25" t="n"/>
      <c r="E120" s="25" t="n"/>
      <c r="F120" s="25" t="n"/>
      <c r="O120" s="107" t="n"/>
      <c r="P120" s="107" t="n"/>
      <c r="Q120" s="107" t="n"/>
      <c r="R120" s="107" t="n"/>
      <c r="S120" s="107" t="n"/>
      <c r="T120" s="107" t="n"/>
      <c r="U120" s="107" t="n"/>
      <c r="V120" s="107" t="n"/>
      <c r="W120" s="107" t="n"/>
      <c r="X120" s="107" t="n"/>
      <c r="Y120" s="107" t="n"/>
      <c r="Z120" s="107" t="n"/>
      <c r="AA120" s="107" t="n"/>
      <c r="AC120" s="107" t="n"/>
      <c r="AD120" s="107" t="n"/>
      <c r="AE120" s="107" t="n"/>
      <c r="AF120" s="107" t="n"/>
      <c r="AG120" s="107" t="n"/>
      <c r="AH120" s="107" t="n"/>
      <c r="AI120" s="107" t="n"/>
      <c r="AJ120" s="107" t="n"/>
      <c r="AK120" s="107" t="n"/>
      <c r="AL120" s="107" t="n"/>
      <c r="AM120" s="107" t="n"/>
      <c r="AN120" s="107" t="n"/>
      <c r="AO120" s="107" t="n"/>
      <c r="AP120" s="107" t="n"/>
      <c r="AQ120" s="107" t="n"/>
      <c r="AR120" s="107" t="n"/>
      <c r="AS120" s="107" t="n"/>
    </row>
    <row r="121">
      <c r="A121" s="23" t="n">
        <v>42247</v>
      </c>
      <c r="B121" s="110" t="n">
        <v>16617.94</v>
      </c>
      <c r="C121" s="31">
        <f>(B121/B120-1)/(A121-A120)*30</f>
        <v/>
      </c>
      <c r="D121" s="25" t="n"/>
      <c r="E121" s="25" t="n"/>
      <c r="F121" s="25" t="n"/>
      <c r="O121" s="107" t="n"/>
      <c r="P121" s="107" t="n"/>
      <c r="Q121" s="107" t="n"/>
      <c r="R121" s="107" t="n"/>
      <c r="S121" s="107" t="n"/>
      <c r="T121" s="107" t="n"/>
      <c r="U121" s="107" t="n"/>
      <c r="V121" s="107" t="n"/>
      <c r="W121" s="107" t="n"/>
      <c r="X121" s="107" t="n"/>
      <c r="Y121" s="107" t="n"/>
      <c r="Z121" s="107" t="n"/>
      <c r="AA121" s="107" t="n"/>
      <c r="AC121" s="107" t="n"/>
      <c r="AD121" s="107" t="n"/>
      <c r="AE121" s="107" t="n"/>
      <c r="AF121" s="107" t="n"/>
      <c r="AG121" s="107" t="n"/>
      <c r="AH121" s="107" t="n"/>
      <c r="AI121" s="107" t="n"/>
      <c r="AJ121" s="107" t="n"/>
      <c r="AK121" s="107" t="n"/>
      <c r="AL121" s="107" t="n"/>
      <c r="AM121" s="107" t="n"/>
      <c r="AN121" s="107" t="n"/>
      <c r="AO121" s="107" t="n"/>
      <c r="AP121" s="107" t="n"/>
      <c r="AQ121" s="107" t="n"/>
      <c r="AR121" s="107" t="n"/>
      <c r="AS121" s="107" t="n"/>
    </row>
    <row r="122">
      <c r="A122" s="23" t="n">
        <v>42277</v>
      </c>
      <c r="B122" s="110" t="n">
        <v>16659.58</v>
      </c>
      <c r="C122" s="31">
        <f>(B122/B121-1)/(A122-A121)*30</f>
        <v/>
      </c>
      <c r="D122" s="25" t="n"/>
      <c r="E122" s="25" t="n"/>
      <c r="F122" s="25" t="n"/>
      <c r="O122" s="107" t="n"/>
      <c r="P122" s="107" t="n"/>
      <c r="Q122" s="107" t="n"/>
      <c r="R122" s="107" t="n"/>
      <c r="S122" s="107" t="n"/>
      <c r="T122" s="107" t="n"/>
      <c r="U122" s="107" t="n"/>
      <c r="V122" s="107" t="n"/>
      <c r="W122" s="107" t="n"/>
      <c r="X122" s="107" t="n"/>
      <c r="Y122" s="107" t="n"/>
      <c r="Z122" s="107" t="n"/>
      <c r="AA122" s="107" t="n"/>
      <c r="AC122" s="107" t="n"/>
      <c r="AD122" s="107" t="n"/>
      <c r="AE122" s="107" t="n"/>
      <c r="AF122" s="107" t="n"/>
      <c r="AG122" s="107" t="n"/>
      <c r="AH122" s="107" t="n"/>
      <c r="AI122" s="107" t="n"/>
      <c r="AJ122" s="107" t="n"/>
      <c r="AK122" s="107" t="n"/>
      <c r="AL122" s="107" t="n"/>
      <c r="AM122" s="107" t="n"/>
      <c r="AN122" s="107" t="n"/>
      <c r="AO122" s="107" t="n"/>
      <c r="AP122" s="107" t="n"/>
      <c r="AQ122" s="107" t="n"/>
      <c r="AR122" s="107" t="n"/>
      <c r="AS122" s="107" t="n"/>
    </row>
    <row r="123">
      <c r="A123" s="23" t="n">
        <v>42307</v>
      </c>
      <c r="B123" s="110" t="n">
        <v>16702.94</v>
      </c>
      <c r="C123" s="31">
        <f>(B123/B122-1)/(A123-A122)*30</f>
        <v/>
      </c>
      <c r="D123" s="25" t="n"/>
      <c r="E123" s="25" t="n"/>
      <c r="F123" s="25" t="n"/>
      <c r="O123" s="107" t="n"/>
      <c r="P123" s="107" t="n"/>
      <c r="Q123" s="107" t="n"/>
      <c r="R123" s="107" t="n"/>
      <c r="S123" s="107" t="n"/>
      <c r="T123" s="107" t="n"/>
      <c r="U123" s="107" t="n"/>
      <c r="V123" s="107" t="n"/>
      <c r="W123" s="107" t="n"/>
      <c r="X123" s="107" t="n"/>
      <c r="Y123" s="107" t="n"/>
      <c r="Z123" s="107" t="n"/>
      <c r="AA123" s="107" t="n"/>
      <c r="AC123" s="107" t="n"/>
      <c r="AD123" s="107" t="n"/>
      <c r="AE123" s="107" t="n"/>
      <c r="AF123" s="107" t="n"/>
      <c r="AG123" s="107" t="n"/>
      <c r="AH123" s="107" t="n"/>
      <c r="AI123" s="107" t="n"/>
      <c r="AJ123" s="107" t="n"/>
      <c r="AK123" s="107" t="n"/>
      <c r="AL123" s="107" t="n"/>
      <c r="AM123" s="107" t="n"/>
      <c r="AN123" s="107" t="n"/>
      <c r="AO123" s="107" t="n"/>
      <c r="AP123" s="107" t="n"/>
      <c r="AQ123" s="107" t="n"/>
      <c r="AR123" s="107" t="n"/>
      <c r="AS123" s="107" t="n"/>
    </row>
    <row r="124">
      <c r="A124" s="23" t="n">
        <v>42338</v>
      </c>
      <c r="B124" s="110" t="n">
        <v>16749.75</v>
      </c>
      <c r="C124" s="31">
        <f>(B124/B123-1)/(A124-A123)*30</f>
        <v/>
      </c>
      <c r="D124" s="25" t="n"/>
      <c r="E124" s="25" t="n"/>
      <c r="F124" s="23" t="n"/>
      <c r="O124" s="107" t="n"/>
      <c r="P124" s="107" t="n"/>
      <c r="Q124" s="107" t="n"/>
      <c r="R124" s="107" t="n"/>
      <c r="S124" s="107" t="n"/>
      <c r="T124" s="107" t="n"/>
      <c r="U124" s="107" t="n"/>
      <c r="V124" s="107" t="n"/>
      <c r="W124" s="107" t="n"/>
      <c r="X124" s="107" t="n"/>
      <c r="Y124" s="107" t="n"/>
      <c r="Z124" s="107" t="n"/>
      <c r="AA124" s="107" t="n"/>
      <c r="AC124" s="107" t="n"/>
      <c r="AD124" s="107" t="n"/>
      <c r="AE124" s="107" t="n"/>
      <c r="AF124" s="107" t="n"/>
      <c r="AG124" s="107" t="n"/>
      <c r="AH124" s="107" t="n"/>
      <c r="AI124" s="107" t="n"/>
      <c r="AJ124" s="107" t="n"/>
      <c r="AK124" s="107" t="n"/>
      <c r="AL124" s="107" t="n"/>
      <c r="AM124" s="107" t="n"/>
      <c r="AN124" s="107" t="n"/>
      <c r="AO124" s="107" t="n"/>
      <c r="AP124" s="107" t="n"/>
      <c r="AQ124" s="107" t="n"/>
      <c r="AR124" s="107" t="n"/>
      <c r="AS124" s="107" t="n"/>
    </row>
    <row r="125">
      <c r="A125" s="23" t="n">
        <v>42369</v>
      </c>
      <c r="B125" s="110" t="n">
        <v>16796.52</v>
      </c>
      <c r="C125" s="31">
        <f>(B125/B124-1)/(A125-A124)*30</f>
        <v/>
      </c>
      <c r="D125" s="25" t="n"/>
      <c r="E125" s="25" t="n"/>
      <c r="F125" s="23" t="n">
        <v>42369</v>
      </c>
      <c r="K125" s="107" t="n">
        <v>997.096492585025</v>
      </c>
      <c r="O125" s="107" t="n"/>
      <c r="P125" s="107" t="n"/>
      <c r="Q125" s="107" t="n"/>
      <c r="R125" s="107" t="n"/>
      <c r="S125" s="107" t="n"/>
      <c r="T125" s="107" t="n"/>
      <c r="U125" s="107" t="n"/>
      <c r="V125" s="107" t="n"/>
      <c r="W125" s="107" t="n"/>
      <c r="X125" s="107" t="n"/>
      <c r="Y125" s="107" t="n"/>
      <c r="Z125" s="107" t="n"/>
      <c r="AA125" s="107" t="n"/>
      <c r="AC125" s="107" t="n"/>
      <c r="AD125" s="107" t="n"/>
      <c r="AE125" s="107" t="n"/>
      <c r="AF125" s="107" t="n"/>
      <c r="AG125" s="107" t="n"/>
      <c r="AH125" s="107" t="n"/>
      <c r="AI125" s="107" t="n"/>
      <c r="AJ125" s="107" t="n"/>
      <c r="AK125" s="107" t="n"/>
      <c r="AL125" s="107" t="n"/>
      <c r="AM125" s="107" t="n"/>
      <c r="AN125" s="107" t="n"/>
      <c r="AO125" s="107" t="n"/>
      <c r="AP125" s="107" t="n"/>
      <c r="AQ125" s="107" t="n"/>
    </row>
    <row r="126">
      <c r="A126" s="23" t="n">
        <v>42398</v>
      </c>
      <c r="B126" s="110" t="n">
        <v>16845.59</v>
      </c>
      <c r="C126" s="31">
        <f>(B126/B125-1)/(A126-A125)*30</f>
        <v/>
      </c>
      <c r="D126" s="25" t="n"/>
      <c r="E126" s="25" t="n"/>
      <c r="F126" s="23" t="n">
        <v>42400</v>
      </c>
      <c r="K126" s="107" t="n">
        <v>999.91</v>
      </c>
      <c r="AC126" s="107" t="n"/>
      <c r="AD126" s="107" t="n"/>
      <c r="AE126" s="107" t="n"/>
      <c r="AF126" s="107" t="n"/>
      <c r="AG126" s="107" t="n"/>
      <c r="AH126" s="107" t="n"/>
      <c r="AI126" s="107" t="n"/>
      <c r="AJ126" s="107" t="n"/>
      <c r="AK126" s="107" t="n"/>
      <c r="AL126" s="107" t="n"/>
      <c r="AM126" s="107" t="n"/>
      <c r="AN126" s="107" t="n"/>
      <c r="AO126" s="107" t="n"/>
      <c r="AP126" s="107" t="n"/>
      <c r="AQ126" s="107" t="n"/>
    </row>
    <row r="127">
      <c r="A127" s="23" t="n">
        <v>42429</v>
      </c>
      <c r="B127" s="110" t="n">
        <v>16896.43</v>
      </c>
      <c r="C127" s="31">
        <f>(B127/B126-1)/(A127-A126)*30</f>
        <v/>
      </c>
      <c r="D127" s="25" t="n"/>
      <c r="E127" s="25" t="n"/>
      <c r="F127" s="23" t="n">
        <v>42428</v>
      </c>
      <c r="K127" s="107" t="n">
        <v>1003.0557</v>
      </c>
      <c r="AC127" s="107" t="n"/>
      <c r="AD127" s="107" t="n"/>
      <c r="AE127" s="107" t="n"/>
      <c r="AF127" s="107" t="n"/>
      <c r="AG127" s="107" t="n"/>
      <c r="AH127" s="107" t="n"/>
      <c r="AI127" s="107" t="n"/>
      <c r="AJ127" s="107" t="n"/>
      <c r="AK127" s="107" t="n"/>
      <c r="AL127" s="107" t="n"/>
      <c r="AM127" s="107" t="n"/>
      <c r="AN127" s="107" t="n"/>
      <c r="AO127" s="107" t="n"/>
      <c r="AP127" s="107" t="n"/>
      <c r="AQ127" s="107" t="n"/>
    </row>
    <row r="128">
      <c r="A128" s="23" t="n">
        <v>42460</v>
      </c>
      <c r="B128" s="110" t="n">
        <v>16947.43</v>
      </c>
      <c r="C128" s="31">
        <f>(B128/B127-1)/(A128-A127)*30</f>
        <v/>
      </c>
      <c r="D128" s="25" t="n"/>
      <c r="E128" s="25" t="n"/>
      <c r="F128" s="23" t="n">
        <v>42460</v>
      </c>
      <c r="K128" s="107" t="n">
        <v>1006.748</v>
      </c>
      <c r="AC128" s="107" t="n"/>
      <c r="AD128" s="107" t="n"/>
      <c r="AE128" s="107" t="n"/>
      <c r="AF128" s="107" t="n"/>
      <c r="AG128" s="107" t="n"/>
      <c r="AH128" s="107" t="n"/>
      <c r="AI128" s="107" t="n"/>
      <c r="AJ128" s="107" t="n"/>
      <c r="AK128" s="107" t="n"/>
      <c r="AL128" s="107" t="n"/>
      <c r="AM128" s="107" t="n"/>
      <c r="AN128" s="107" t="n"/>
      <c r="AO128" s="107" t="n"/>
      <c r="AP128" s="107" t="n"/>
      <c r="AQ128" s="107" t="n"/>
    </row>
    <row r="129">
      <c r="A129" s="23" t="n">
        <v>42489</v>
      </c>
      <c r="B129" s="110" t="n">
        <v>16995.27</v>
      </c>
      <c r="C129" s="31">
        <f>(B129/B128-1)/(A129-A128)*30</f>
        <v/>
      </c>
      <c r="D129" s="25" t="n"/>
      <c r="F129" s="23" t="n">
        <v>42490</v>
      </c>
      <c r="K129" s="107" t="n">
        <v>1010.1901</v>
      </c>
      <c r="AC129" s="107" t="n"/>
      <c r="AD129" s="107" t="n"/>
      <c r="AE129" s="107" t="n"/>
      <c r="AF129" s="107" t="n"/>
      <c r="AG129" s="107" t="n"/>
      <c r="AH129" s="107" t="n"/>
      <c r="AI129" s="107" t="n"/>
      <c r="AJ129" s="107" t="n"/>
      <c r="AK129" s="107" t="n"/>
      <c r="AL129" s="107" t="n"/>
      <c r="AM129" s="107" t="n"/>
      <c r="AN129" s="107" t="n"/>
      <c r="AO129" s="107" t="n"/>
      <c r="AP129" s="107" t="n"/>
      <c r="AQ129" s="107" t="n"/>
    </row>
    <row r="130">
      <c r="A130" s="23" t="n">
        <v>42521</v>
      </c>
      <c r="B130" s="110" t="n">
        <v>17048.23</v>
      </c>
      <c r="C130" s="31">
        <f>(B130/B129-1)/(A130-A129)*30</f>
        <v/>
      </c>
      <c r="D130" s="25" t="n"/>
      <c r="F130" s="23">
        <f>+A130</f>
        <v/>
      </c>
      <c r="G130" s="116" t="n"/>
      <c r="H130" s="116" t="n"/>
      <c r="J130" s="24" t="n"/>
      <c r="K130" s="107" t="n">
        <v>1013.6123</v>
      </c>
      <c r="L130" s="31">
        <f>+(K130/K129-1)/(F130-F129)*30</f>
        <v/>
      </c>
      <c r="AC130" s="107" t="n"/>
      <c r="AD130" s="107" t="n"/>
      <c r="AE130" s="107" t="n"/>
      <c r="AF130" s="107" t="n"/>
      <c r="AG130" s="107" t="n"/>
      <c r="AH130" s="107" t="n"/>
      <c r="AI130" s="107" t="n"/>
      <c r="AJ130" s="107" t="n"/>
      <c r="AK130" s="107" t="n"/>
      <c r="AL130" s="107" t="n"/>
      <c r="AM130" s="107" t="n"/>
      <c r="AN130" s="107" t="n"/>
      <c r="AO130" s="107" t="n"/>
      <c r="AP130" s="107" t="n"/>
      <c r="AQ130" s="107" t="n"/>
    </row>
    <row r="131">
      <c r="A131" s="23" t="n">
        <v>42551</v>
      </c>
      <c r="B131" s="110" t="n">
        <v>17098.02</v>
      </c>
      <c r="C131" s="31">
        <f>(B131/B130-1)/(A131-A130)*30</f>
        <v/>
      </c>
      <c r="D131" s="25" t="n"/>
      <c r="F131" s="23">
        <f>+A131</f>
        <v/>
      </c>
      <c r="H131" s="116" t="n"/>
      <c r="I131" s="31" t="n"/>
      <c r="J131" s="24" t="n"/>
      <c r="K131" s="107" t="n">
        <v>1016.7787</v>
      </c>
      <c r="L131" s="31">
        <f>+(K131/K130-1)/(F131-F130)*30</f>
        <v/>
      </c>
      <c r="M131" s="25" t="n"/>
      <c r="AC131" s="107" t="n"/>
      <c r="AD131" s="107" t="n"/>
      <c r="AE131" s="107" t="n"/>
      <c r="AF131" s="107" t="n"/>
      <c r="AG131" s="107" t="n"/>
      <c r="AH131" s="107" t="n"/>
      <c r="AI131" s="107" t="n"/>
      <c r="AJ131" s="107" t="n"/>
      <c r="AK131" s="107" t="n"/>
      <c r="AL131" s="107" t="n"/>
      <c r="AM131" s="107" t="n"/>
      <c r="AN131" s="107" t="n"/>
      <c r="AO131" s="107" t="n"/>
      <c r="AP131" s="107" t="n"/>
      <c r="AQ131" s="107" t="n"/>
    </row>
    <row r="132">
      <c r="A132" s="23" t="n">
        <v>42582</v>
      </c>
      <c r="B132" s="117" t="n">
        <v>17149.23</v>
      </c>
      <c r="C132" s="31">
        <f>(B132/B131-1)/(A132-A131)*30</f>
        <v/>
      </c>
      <c r="D132" s="25" t="n"/>
      <c r="F132" s="23">
        <f>+A132</f>
        <v/>
      </c>
      <c r="H132" s="116" t="n"/>
      <c r="I132" s="31" t="n"/>
      <c r="J132" s="24" t="n"/>
      <c r="K132" s="107" t="n">
        <v>1020.0427</v>
      </c>
      <c r="L132" s="31">
        <f>+(K132/K131-1)/(F132-F131)*30</f>
        <v/>
      </c>
      <c r="M132" s="25" t="n"/>
      <c r="AC132" s="107" t="n"/>
      <c r="AD132" s="107" t="n"/>
      <c r="AE132" s="107" t="n"/>
      <c r="AF132" s="107" t="n"/>
      <c r="AG132" s="107" t="n"/>
      <c r="AH132" s="107" t="n"/>
      <c r="AI132" s="107" t="n"/>
      <c r="AJ132" s="107" t="n"/>
      <c r="AK132" s="107" t="n"/>
      <c r="AL132" s="107" t="n"/>
      <c r="AM132" s="107" t="n"/>
      <c r="AN132" s="107" t="n"/>
      <c r="AO132" s="107" t="n"/>
      <c r="AP132" s="107" t="n"/>
      <c r="AQ132" s="107" t="n"/>
    </row>
    <row r="133">
      <c r="A133" s="23" t="n">
        <v>42613</v>
      </c>
      <c r="B133" s="110" t="n">
        <v>17201.38</v>
      </c>
      <c r="C133" s="31">
        <f>(B133/B132-1)/(A133-A132)*30</f>
        <v/>
      </c>
      <c r="D133" s="25" t="n"/>
      <c r="F133" s="23">
        <f>+A133</f>
        <v/>
      </c>
      <c r="H133" s="116" t="n"/>
      <c r="I133" s="31" t="n"/>
      <c r="J133" s="24" t="n"/>
      <c r="K133" s="107" t="n">
        <v>1023.2554</v>
      </c>
      <c r="L133" s="31">
        <f>+(K133/K132-1)/(F133-F132)*30</f>
        <v/>
      </c>
      <c r="M133" s="25" t="n"/>
      <c r="AC133" s="107" t="n"/>
      <c r="AD133" s="107" t="n"/>
      <c r="AE133" s="107" t="n"/>
      <c r="AF133" s="107" t="n"/>
      <c r="AG133" s="107" t="n"/>
      <c r="AH133" s="107" t="n"/>
      <c r="AI133" s="107" t="n"/>
      <c r="AJ133" s="107" t="n"/>
      <c r="AK133" s="107" t="n"/>
      <c r="AL133" s="107" t="n"/>
      <c r="AM133" s="107" t="n"/>
      <c r="AN133" s="107" t="n"/>
      <c r="AO133" s="107" t="n"/>
      <c r="AP133" s="107" t="n"/>
      <c r="AQ133" s="107" t="n"/>
    </row>
    <row r="134">
      <c r="A134" s="23">
        <f>+A133+30</f>
        <v/>
      </c>
      <c r="B134" s="110" t="n">
        <v>17251.61</v>
      </c>
      <c r="C134" s="31">
        <f>(B134/B133-1)/(A134-A133)*30</f>
        <v/>
      </c>
      <c r="D134" s="25" t="n"/>
      <c r="F134" s="23">
        <f>+A134</f>
        <v/>
      </c>
      <c r="H134" s="116" t="n"/>
      <c r="I134" s="31" t="n"/>
      <c r="J134" s="24" t="n"/>
      <c r="K134" s="107" t="n">
        <v>1026.3402</v>
      </c>
      <c r="L134" s="31">
        <f>+(K134/K133-1)/(F134-F133)*30</f>
        <v/>
      </c>
      <c r="M134" s="25" t="n"/>
      <c r="AC134" s="107" t="n"/>
      <c r="AD134" s="107" t="n"/>
      <c r="AE134" s="107" t="n"/>
      <c r="AF134" s="107" t="n"/>
      <c r="AG134" s="107" t="n"/>
      <c r="AH134" s="107" t="n"/>
      <c r="AI134" s="107" t="n"/>
      <c r="AJ134" s="107" t="n"/>
      <c r="AK134" s="107" t="n"/>
      <c r="AL134" s="107" t="n"/>
      <c r="AM134" s="107" t="n"/>
      <c r="AN134" s="107" t="n"/>
      <c r="AO134" s="107" t="n"/>
      <c r="AP134" s="107" t="n"/>
      <c r="AQ134" s="107" t="n"/>
    </row>
    <row r="135">
      <c r="A135" s="23" t="n">
        <v>42674</v>
      </c>
      <c r="B135" s="110" t="n">
        <v>17303.68</v>
      </c>
      <c r="C135" s="31">
        <f>(B135/B134-1)/(A135-A134)*30</f>
        <v/>
      </c>
      <c r="D135" s="25" t="n"/>
      <c r="F135" s="23">
        <f>+A135</f>
        <v/>
      </c>
      <c r="H135" s="116" t="n"/>
      <c r="I135" s="31" t="n"/>
      <c r="J135" s="24" t="n"/>
      <c r="K135" s="107" t="n">
        <v>1029.5221</v>
      </c>
      <c r="L135" s="31">
        <f>+(K135/K134-1)/(F135-F134)*30</f>
        <v/>
      </c>
      <c r="M135" s="25" t="n"/>
      <c r="AC135" s="107" t="n"/>
      <c r="AD135" s="107" t="n"/>
      <c r="AE135" s="107" t="n"/>
      <c r="AF135" s="107" t="n"/>
      <c r="AG135" s="107" t="n"/>
      <c r="AH135" s="107" t="n"/>
      <c r="AI135" s="107" t="n"/>
      <c r="AJ135" s="107" t="n"/>
      <c r="AK135" s="107" t="n"/>
      <c r="AL135" s="107" t="n"/>
      <c r="AM135" s="107" t="n"/>
      <c r="AN135" s="107" t="n"/>
      <c r="AO135" s="107" t="n"/>
      <c r="AP135" s="107" t="n"/>
      <c r="AQ135" s="107" t="n"/>
    </row>
    <row r="136">
      <c r="A136" s="23" t="n">
        <v>42704</v>
      </c>
      <c r="B136" s="110" t="n">
        <v>17354.21</v>
      </c>
      <c r="C136" s="31">
        <f>(B136/B135-1)/(A136-A135)*30</f>
        <v/>
      </c>
      <c r="D136" s="25" t="n"/>
      <c r="F136" s="23">
        <f>+A136</f>
        <v/>
      </c>
      <c r="H136" s="116" t="n"/>
      <c r="I136" s="31" t="n"/>
      <c r="J136" s="24" t="n"/>
      <c r="K136" s="107" t="n">
        <v>1032.6171</v>
      </c>
      <c r="L136" s="31">
        <f>+(K136/K135-1)/(F136-F135)*30</f>
        <v/>
      </c>
      <c r="M136" s="25" t="n"/>
      <c r="AC136" s="107" t="n"/>
      <c r="AD136" s="107" t="n"/>
      <c r="AE136" s="107" t="n"/>
      <c r="AF136" s="107" t="n"/>
      <c r="AG136" s="107" t="n"/>
      <c r="AH136" s="107" t="n"/>
      <c r="AI136" s="107" t="n"/>
      <c r="AJ136" s="107" t="n"/>
      <c r="AK136" s="107" t="n"/>
      <c r="AL136" s="107" t="n"/>
      <c r="AM136" s="107" t="n"/>
      <c r="AN136" s="107" t="n"/>
      <c r="AO136" s="107" t="n"/>
      <c r="AP136" s="107" t="n"/>
      <c r="AQ136" s="107" t="n"/>
    </row>
    <row r="137">
      <c r="A137" s="23" t="n">
        <v>42735</v>
      </c>
      <c r="B137" s="110" t="n">
        <v>17406.97</v>
      </c>
      <c r="C137" s="31">
        <f>(B137/B136-1)/(A137-A136)*30</f>
        <v/>
      </c>
      <c r="D137" s="25" t="n"/>
      <c r="F137" s="23">
        <f>+A137</f>
        <v/>
      </c>
      <c r="H137" s="116" t="n"/>
      <c r="I137" s="31" t="n"/>
      <c r="J137" s="24" t="n"/>
      <c r="K137" s="107" t="n">
        <v>1035.8294</v>
      </c>
      <c r="L137" s="31">
        <f>+(K137/K136-1)/(F137-F136)*30</f>
        <v/>
      </c>
      <c r="M137" s="25" t="n"/>
      <c r="AC137" s="107" t="n"/>
      <c r="AD137" s="107" t="n"/>
      <c r="AE137" s="107" t="n"/>
      <c r="AF137" s="107" t="n"/>
      <c r="AG137" s="107" t="n"/>
      <c r="AH137" s="107" t="n"/>
      <c r="AI137" s="107" t="n"/>
      <c r="AJ137" s="107" t="n"/>
      <c r="AK137" s="107" t="n"/>
      <c r="AL137" s="107" t="n"/>
      <c r="AM137" s="107" t="n"/>
      <c r="AN137" s="107" t="n"/>
      <c r="AO137" s="107" t="n"/>
      <c r="AP137" s="107" t="n"/>
      <c r="AQ137" s="107" t="n"/>
    </row>
    <row r="138">
      <c r="A138" s="23" t="n">
        <v>42766</v>
      </c>
      <c r="B138" s="110" t="n">
        <v>17457.39</v>
      </c>
      <c r="C138" s="31">
        <f>(B138/B137-1)/(A138-A137)*30</f>
        <v/>
      </c>
      <c r="D138" s="25" t="n"/>
      <c r="F138" s="23">
        <f>+A138</f>
        <v/>
      </c>
      <c r="I138" s="31" t="n"/>
      <c r="J138" s="24" t="n"/>
      <c r="K138" s="107" t="n">
        <v>1039.2621</v>
      </c>
      <c r="L138" s="31">
        <f>+(K138/K137-1)/(F138-F137)*30</f>
        <v/>
      </c>
      <c r="M138" s="25" t="n"/>
      <c r="AC138" s="107" t="n"/>
      <c r="AD138" s="107" t="n"/>
      <c r="AE138" s="107" t="n"/>
      <c r="AF138" s="107" t="n"/>
      <c r="AG138" s="107" t="n"/>
      <c r="AH138" s="107" t="n"/>
      <c r="AI138" s="107" t="n"/>
      <c r="AJ138" s="107" t="n"/>
      <c r="AK138" s="107" t="n"/>
      <c r="AL138" s="107" t="n"/>
      <c r="AM138" s="107" t="n"/>
      <c r="AN138" s="107" t="n"/>
      <c r="AO138" s="107" t="n"/>
      <c r="AP138" s="107" t="n"/>
      <c r="AQ138" s="107" t="n"/>
    </row>
    <row r="139">
      <c r="A139" s="23" t="n">
        <v>42794</v>
      </c>
      <c r="B139" s="110" t="n">
        <v>17501.06</v>
      </c>
      <c r="C139" s="31">
        <f>(B139/B138-1)/(A139-A138)*30</f>
        <v/>
      </c>
      <c r="D139" s="25" t="n"/>
      <c r="F139" s="23">
        <f>+A139</f>
        <v/>
      </c>
      <c r="I139" s="31" t="n"/>
      <c r="J139" s="24" t="n"/>
      <c r="K139" s="107" t="n">
        <v>1042.1611</v>
      </c>
      <c r="L139" s="31">
        <f>+(K139/K138-1)/(F139-F138)*30</f>
        <v/>
      </c>
      <c r="M139" s="25" t="n"/>
      <c r="AC139" s="107" t="n"/>
      <c r="AD139" s="107" t="n"/>
      <c r="AE139" s="107" t="n"/>
      <c r="AF139" s="107" t="n"/>
      <c r="AG139" s="107" t="n"/>
      <c r="AH139" s="107" t="n"/>
      <c r="AI139" s="107" t="n"/>
      <c r="AJ139" s="107" t="n"/>
      <c r="AK139" s="107" t="n"/>
      <c r="AL139" s="107" t="n"/>
      <c r="AM139" s="107" t="n"/>
      <c r="AN139" s="107" t="n"/>
      <c r="AO139" s="107" t="n"/>
      <c r="AP139" s="107" t="n"/>
      <c r="AQ139" s="107" t="n"/>
    </row>
    <row r="140">
      <c r="A140" s="23" t="n">
        <v>42825</v>
      </c>
      <c r="B140" s="110" t="n">
        <v>17548.35</v>
      </c>
      <c r="C140" s="31">
        <f>(B140/B139-1)/(A140-A139)*30</f>
        <v/>
      </c>
      <c r="D140" s="25" t="n"/>
      <c r="F140" s="23">
        <f>+A140</f>
        <v/>
      </c>
      <c r="I140" s="31" t="n"/>
      <c r="J140" s="24" t="n"/>
      <c r="K140" s="107" t="n">
        <v>1045.2075</v>
      </c>
      <c r="L140" s="31">
        <f>+(K140/K139-1)/(F140-F139)*30</f>
        <v/>
      </c>
      <c r="M140" s="25" t="n"/>
      <c r="AC140" s="107" t="n"/>
      <c r="AD140" s="107" t="n"/>
      <c r="AE140" s="107" t="n"/>
      <c r="AF140" s="107" t="n"/>
      <c r="AG140" s="107" t="n"/>
      <c r="AH140" s="107" t="n"/>
      <c r="AI140" s="107" t="n"/>
      <c r="AJ140" s="107" t="n"/>
      <c r="AK140" s="107" t="n"/>
      <c r="AL140" s="107" t="n"/>
      <c r="AM140" s="107" t="n"/>
      <c r="AN140" s="107" t="n"/>
      <c r="AO140" s="107" t="n"/>
      <c r="AP140" s="107" t="n"/>
      <c r="AQ140" s="107" t="n"/>
    </row>
    <row r="141">
      <c r="A141" s="23" t="n">
        <v>42855</v>
      </c>
      <c r="B141" s="110" t="n">
        <v>17587.92</v>
      </c>
      <c r="C141" s="31">
        <f>(B141/B140-1)/(A141-A140)*30</f>
        <v/>
      </c>
      <c r="D141" s="25" t="n"/>
      <c r="F141" s="23">
        <f>+A141</f>
        <v/>
      </c>
      <c r="I141" s="31" t="n"/>
      <c r="J141" s="24" t="n"/>
      <c r="K141" s="107" t="n">
        <v>1047.9294</v>
      </c>
      <c r="L141" s="31">
        <f>+(K141/K140-1)/(F141-F140)*30</f>
        <v/>
      </c>
      <c r="M141" s="25" t="n"/>
      <c r="AC141" s="107" t="n"/>
      <c r="AD141" s="107" t="n"/>
      <c r="AE141" s="107" t="n"/>
      <c r="AF141" s="107" t="n"/>
      <c r="AG141" s="107" t="n"/>
      <c r="AH141" s="107" t="n"/>
      <c r="AI141" s="107" t="n"/>
      <c r="AJ141" s="107" t="n"/>
      <c r="AK141" s="107" t="n"/>
      <c r="AL141" s="107" t="n"/>
      <c r="AM141" s="107" t="n"/>
      <c r="AN141" s="107" t="n"/>
      <c r="AO141" s="107" t="n"/>
      <c r="AP141" s="107" t="n"/>
      <c r="AQ141" s="107" t="n"/>
    </row>
    <row r="142">
      <c r="A142" s="23" t="n">
        <v>42886</v>
      </c>
      <c r="B142" s="110" t="n">
        <v>17630.79</v>
      </c>
      <c r="C142" s="31">
        <f>(B142/B141-1)/(A142-A141)*30</f>
        <v/>
      </c>
      <c r="D142" s="25" t="n"/>
      <c r="F142" s="23">
        <f>+A142</f>
        <v/>
      </c>
      <c r="I142" s="31" t="n"/>
      <c r="J142" s="24" t="n"/>
      <c r="K142" s="107" t="n">
        <v>1050.5427</v>
      </c>
      <c r="L142" s="31">
        <f>+(K142/K141-1)/(F142-F141)*30</f>
        <v/>
      </c>
      <c r="M142" s="25" t="n"/>
      <c r="AC142" s="107" t="n"/>
      <c r="AD142" s="107" t="n"/>
      <c r="AE142" s="107" t="n"/>
      <c r="AF142" s="107" t="n"/>
      <c r="AG142" s="107" t="n"/>
      <c r="AH142" s="107" t="n"/>
      <c r="AI142" s="107" t="n"/>
      <c r="AJ142" s="107" t="n"/>
      <c r="AK142" s="107" t="n"/>
      <c r="AL142" s="107" t="n"/>
      <c r="AM142" s="107" t="n"/>
      <c r="AN142" s="107" t="n"/>
      <c r="AO142" s="107" t="n"/>
      <c r="AP142" s="107" t="n"/>
      <c r="AQ142" s="107" t="n"/>
    </row>
    <row r="143">
      <c r="A143" s="23" t="n">
        <v>42916</v>
      </c>
      <c r="B143" s="110" t="n">
        <v>17667.59</v>
      </c>
      <c r="C143" s="31">
        <f>(B143/B142-1)/(A143-A142)*30</f>
        <v/>
      </c>
      <c r="D143" s="25" t="n"/>
      <c r="F143" s="23">
        <f>+A143</f>
        <v/>
      </c>
      <c r="I143" s="31" t="n"/>
      <c r="J143" s="24" t="n"/>
      <c r="K143" s="107" t="n">
        <v>1052.9694</v>
      </c>
      <c r="L143" s="31">
        <f>+(K143/K142-1)/(F143-F142)*30</f>
        <v/>
      </c>
      <c r="M143" s="25" t="n"/>
      <c r="AC143" s="107" t="n"/>
      <c r="AD143" s="107" t="n"/>
      <c r="AE143" s="107" t="n"/>
      <c r="AF143" s="107" t="n"/>
      <c r="AG143" s="107" t="n"/>
      <c r="AH143" s="107" t="n"/>
      <c r="AI143" s="107" t="n"/>
      <c r="AJ143" s="107" t="n"/>
      <c r="AK143" s="107" t="n"/>
      <c r="AL143" s="107" t="n"/>
      <c r="AM143" s="107" t="n"/>
      <c r="AN143" s="107" t="n"/>
      <c r="AO143" s="107" t="n"/>
      <c r="AP143" s="107" t="n"/>
      <c r="AQ143" s="107" t="n"/>
    </row>
    <row r="144">
      <c r="A144" s="23" t="n">
        <v>42947</v>
      </c>
      <c r="B144" s="110" t="n">
        <v>17705.69</v>
      </c>
      <c r="C144" s="31">
        <f>(B144/B143-1)/(A144-A143)*30</f>
        <v/>
      </c>
      <c r="D144" s="25" t="n"/>
      <c r="F144" s="23">
        <f>+A144</f>
        <v/>
      </c>
      <c r="I144" s="31" t="n"/>
      <c r="J144" s="24" t="n"/>
      <c r="K144" s="107" t="n">
        <v>1055.2846</v>
      </c>
      <c r="L144" s="31">
        <f>+(K144/K143-1)/(F144-F143)*30</f>
        <v/>
      </c>
      <c r="M144" s="25" t="n"/>
      <c r="AC144" s="107" t="n"/>
      <c r="AD144" s="107" t="n"/>
      <c r="AE144" s="107" t="n"/>
      <c r="AF144" s="107" t="n"/>
      <c r="AG144" s="107" t="n"/>
      <c r="AH144" s="107" t="n"/>
      <c r="AI144" s="107" t="n"/>
      <c r="AJ144" s="107" t="n"/>
      <c r="AK144" s="107" t="n"/>
      <c r="AL144" s="107" t="n"/>
      <c r="AM144" s="107" t="n"/>
      <c r="AN144" s="107" t="n"/>
      <c r="AO144" s="107" t="n"/>
      <c r="AP144" s="107" t="n"/>
      <c r="AQ144" s="107" t="n"/>
    </row>
    <row r="145">
      <c r="A145" s="23" t="n">
        <v>42978</v>
      </c>
      <c r="B145" s="110" t="n">
        <v>17743.83</v>
      </c>
      <c r="C145" s="31">
        <f>(B145/B144-1)/(A145-A144)*30</f>
        <v/>
      </c>
      <c r="D145" s="25" t="n"/>
      <c r="F145" s="23">
        <f>+A145</f>
        <v/>
      </c>
      <c r="I145" s="31" t="n"/>
      <c r="J145" s="24" t="n"/>
      <c r="K145" s="107" t="n">
        <v>1057.4719</v>
      </c>
      <c r="L145" s="31">
        <f>+(K145/K144-1)/(F145-F144)*30</f>
        <v/>
      </c>
      <c r="M145" s="25" t="n"/>
      <c r="AD145" s="107" t="n"/>
      <c r="AE145" s="107" t="n"/>
      <c r="AF145" s="107" t="n"/>
      <c r="AG145" s="107" t="n"/>
      <c r="AH145" s="107" t="n"/>
      <c r="AI145" s="107" t="n"/>
      <c r="AJ145" s="107" t="n"/>
      <c r="AK145" s="107" t="n"/>
      <c r="AL145" s="107" t="n"/>
      <c r="AM145" s="107" t="n"/>
      <c r="AN145" s="107" t="n"/>
      <c r="AO145" s="107" t="n"/>
      <c r="AP145" s="107" t="n"/>
      <c r="AQ145" s="107" t="n"/>
    </row>
    <row r="146">
      <c r="A146" s="23" t="n">
        <v>43008</v>
      </c>
      <c r="B146" s="110" t="n">
        <v>17780.7817</v>
      </c>
      <c r="C146" s="31">
        <f>(B146/B145-1)/(A146-A145)*30</f>
        <v/>
      </c>
      <c r="D146" s="25" t="n"/>
      <c r="F146" s="23" t="n">
        <v>43008</v>
      </c>
      <c r="I146" s="31" t="n"/>
      <c r="J146" s="24" t="n"/>
      <c r="K146" s="107" t="n">
        <v>1059.5996</v>
      </c>
      <c r="L146" s="31">
        <f>+(K146/K145-1)/(F146-F145)*30</f>
        <v/>
      </c>
      <c r="M146" s="25" t="n"/>
    </row>
    <row r="147">
      <c r="A147" s="23" t="n">
        <v>43039</v>
      </c>
      <c r="B147" s="9" t="n">
        <v>17819.15</v>
      </c>
      <c r="C147" s="31">
        <f>(B147/B146-1)/(A147-A146)*30</f>
        <v/>
      </c>
      <c r="D147" s="25" t="n"/>
      <c r="F147" s="23" t="n">
        <v>43039</v>
      </c>
      <c r="I147" s="31" t="n"/>
      <c r="J147" s="24" t="n"/>
      <c r="K147" s="107"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7" t="n"/>
      <c r="L148" s="31" t="n"/>
      <c r="M148" s="25" t="n"/>
      <c r="S148" s="9" t="n">
        <v>0</v>
      </c>
    </row>
    <row r="149">
      <c r="A149" s="23" t="n">
        <v>43100</v>
      </c>
      <c r="B149" s="9">
        <f>+VLOOKUP(A149,[2]Simple!$A$3790:$B$3818,2)</f>
        <v/>
      </c>
      <c r="C149" s="31">
        <f>(B149/B148-1)/(A149-A148)*30</f>
        <v/>
      </c>
      <c r="D149" s="25" t="n"/>
      <c r="F149" s="23" t="n">
        <v>43100</v>
      </c>
      <c r="I149" s="31" t="n"/>
      <c r="J149" s="24" t="n"/>
      <c r="K149" s="107" t="n"/>
      <c r="L149" s="31" t="n"/>
      <c r="M149" s="25" t="n"/>
      <c r="Q149" s="107">
        <f>+G137+S148</f>
        <v/>
      </c>
      <c r="S149" s="9" t="inlineStr">
        <is>
          <t>Dividendo 2017</t>
        </is>
      </c>
    </row>
    <row r="150">
      <c r="A150" s="23" t="n">
        <v>43131</v>
      </c>
      <c r="B150" s="9" t="n">
        <v>17933.28</v>
      </c>
      <c r="C150" s="31">
        <f>(B150/B149-1)/(A150-A149)*30</f>
        <v/>
      </c>
      <c r="D150" s="25" t="n"/>
      <c r="F150" s="23" t="n">
        <v>43131</v>
      </c>
      <c r="I150" s="31" t="n"/>
      <c r="J150" s="24" t="n"/>
      <c r="K150" s="107" t="n"/>
      <c r="L150" s="31" t="n"/>
      <c r="M150" s="25" t="n"/>
    </row>
    <row r="151">
      <c r="A151" s="23" t="n">
        <v>43159</v>
      </c>
      <c r="B151" s="9" t="n">
        <v>17968.11</v>
      </c>
      <c r="C151" s="31">
        <f>(B151/B150-1)/(A151-A150)*30</f>
        <v/>
      </c>
      <c r="D151" s="25" t="n"/>
      <c r="F151" s="23" t="n">
        <v>43159</v>
      </c>
      <c r="I151" s="31" t="n"/>
      <c r="J151" s="24" t="n"/>
      <c r="K151" s="107" t="n"/>
      <c r="L151" s="31" t="n"/>
      <c r="M151" s="25" t="n"/>
      <c r="S151" s="9" t="inlineStr">
        <is>
          <t>Dividendo 2018</t>
        </is>
      </c>
    </row>
    <row r="152">
      <c r="A152" s="23" t="n">
        <v>43190</v>
      </c>
      <c r="B152" s="9" t="n">
        <v>18006.83</v>
      </c>
      <c r="C152" s="31">
        <f>(B152/B151-1)/(A152-A151)*30</f>
        <v/>
      </c>
      <c r="D152" s="25" t="n"/>
      <c r="F152" s="23" t="n">
        <v>43190</v>
      </c>
      <c r="I152" s="31" t="n"/>
      <c r="J152" s="24" t="n"/>
      <c r="K152" s="107" t="n"/>
      <c r="L152" s="31" t="n"/>
      <c r="M152" s="25" t="n"/>
    </row>
    <row r="153">
      <c r="A153" s="23" t="n">
        <v>43220</v>
      </c>
      <c r="C153" s="31" t="n"/>
      <c r="D153" s="25" t="n"/>
      <c r="F153" s="23" t="n">
        <v>43220</v>
      </c>
      <c r="I153" s="31" t="n"/>
      <c r="J153" s="24" t="n"/>
      <c r="K153" s="107" t="n"/>
      <c r="L153" s="31" t="n"/>
      <c r="M153" s="25" t="n"/>
      <c r="S153" s="9" t="inlineStr">
        <is>
          <t>Dividendo 2018</t>
        </is>
      </c>
    </row>
    <row r="154">
      <c r="A154" s="23" t="n">
        <v>43251</v>
      </c>
      <c r="B154" s="24" t="n"/>
      <c r="C154" s="31" t="n"/>
      <c r="D154" s="25" t="n"/>
      <c r="F154" s="23" t="n">
        <v>43251</v>
      </c>
      <c r="I154" s="31" t="n"/>
      <c r="J154" s="24" t="n"/>
      <c r="K154" s="107" t="n"/>
      <c r="L154" s="31" t="n"/>
      <c r="M154" s="25" t="n"/>
    </row>
    <row r="155">
      <c r="A155" s="23" t="n">
        <v>43281</v>
      </c>
      <c r="B155" s="25" t="n"/>
      <c r="C155" s="31" t="n"/>
      <c r="D155" s="25" t="n"/>
      <c r="F155" s="23" t="n">
        <v>43281</v>
      </c>
      <c r="I155" s="31" t="n"/>
      <c r="J155" s="24" t="n"/>
      <c r="L155" s="31" t="n"/>
      <c r="M155" s="25" t="n"/>
      <c r="S155" s="9" t="inlineStr">
        <is>
          <t>Dividendo 2021</t>
        </is>
      </c>
    </row>
    <row r="156">
      <c r="A156" s="23" t="n">
        <v>43312</v>
      </c>
      <c r="B156" s="24" t="n"/>
      <c r="C156" s="31" t="n"/>
      <c r="D156" s="25" t="n"/>
      <c r="F156" s="23" t="n">
        <v>43312</v>
      </c>
      <c r="I156" s="31" t="n"/>
      <c r="J156" s="24" t="n"/>
      <c r="L156" s="31" t="n"/>
      <c r="M156" s="25" t="n"/>
      <c r="S156" s="9" t="n">
        <v>0</v>
      </c>
    </row>
    <row r="157">
      <c r="A157" s="23" t="n">
        <v>43343</v>
      </c>
      <c r="B157" s="24" t="n"/>
      <c r="C157" s="31" t="n"/>
      <c r="D157" s="25" t="n"/>
      <c r="F157" s="23" t="n">
        <v>43343</v>
      </c>
      <c r="I157" s="31" t="n"/>
      <c r="J157" s="24" t="n"/>
      <c r="L157" s="31" t="n"/>
      <c r="M157" s="25" t="n"/>
      <c r="S157" s="9" t="inlineStr">
        <is>
          <t>Dividendo 2022</t>
        </is>
      </c>
      <c r="AR157" s="62" t="n"/>
    </row>
    <row r="158">
      <c r="A158" s="23" t="n">
        <v>43373</v>
      </c>
      <c r="B158" s="118" t="n"/>
      <c r="C158" s="31" t="n"/>
      <c r="D158" s="25" t="n"/>
      <c r="F158" s="23" t="n">
        <v>43373</v>
      </c>
      <c r="I158" s="31" t="n"/>
      <c r="J158" s="24" t="n"/>
      <c r="L158" s="31" t="n"/>
      <c r="M158" s="25" t="n"/>
      <c r="S158" s="9" t="n">
        <v>0</v>
      </c>
    </row>
    <row r="159">
      <c r="A159" s="23" t="n">
        <v>43404</v>
      </c>
      <c r="C159" s="31" t="n"/>
      <c r="D159" s="25" t="n"/>
      <c r="F159" s="23" t="n">
        <v>43404</v>
      </c>
      <c r="I159" s="31" t="n"/>
      <c r="J159" s="24" t="n"/>
      <c r="L159" s="31" t="n"/>
      <c r="M159" s="25" t="n"/>
    </row>
    <row r="160">
      <c r="A160" s="23" t="n">
        <v>43434</v>
      </c>
      <c r="B160" s="25" t="n"/>
      <c r="C160" s="31" t="n"/>
      <c r="D160" s="25" t="n"/>
      <c r="F160" s="23" t="n">
        <v>43434</v>
      </c>
      <c r="I160" s="31" t="n"/>
      <c r="J160" s="24" t="n"/>
      <c r="K160" s="24" t="n"/>
      <c r="L160" s="31" t="n"/>
      <c r="M160" s="25" t="n"/>
    </row>
    <row r="161">
      <c r="A161" s="23" t="n">
        <v>43465</v>
      </c>
      <c r="C161" s="31" t="n"/>
      <c r="D161" s="25" t="n"/>
      <c r="F161" s="23" t="n">
        <v>43465</v>
      </c>
      <c r="I161" s="31" t="n"/>
      <c r="J161" s="24" t="n"/>
      <c r="K161" s="24" t="n"/>
      <c r="L161" s="31" t="n"/>
      <c r="M161" s="25" t="n"/>
    </row>
    <row r="162">
      <c r="A162" s="23" t="n">
        <v>43496</v>
      </c>
      <c r="C162" s="31" t="n"/>
      <c r="D162" s="25" t="n"/>
      <c r="F162" s="23" t="n">
        <v>43496</v>
      </c>
      <c r="I162" s="31" t="n"/>
      <c r="J162" s="24" t="n"/>
      <c r="L162" s="31" t="n"/>
      <c r="M162" s="25" t="n"/>
    </row>
    <row r="163">
      <c r="A163" s="23" t="n">
        <v>43524</v>
      </c>
      <c r="C163" s="31" t="n"/>
      <c r="D163" s="25" t="n"/>
      <c r="F163" s="23" t="n">
        <v>43524</v>
      </c>
      <c r="I163" s="31" t="n"/>
      <c r="J163" s="24" t="n"/>
      <c r="L163" s="31" t="n"/>
      <c r="M163" s="25" t="n"/>
    </row>
    <row r="164">
      <c r="A164" s="23" t="n">
        <v>43555</v>
      </c>
      <c r="C164" s="31" t="n"/>
      <c r="D164" s="25" t="n"/>
      <c r="F164" s="23" t="n">
        <v>43555</v>
      </c>
      <c r="I164" s="31" t="n"/>
      <c r="J164" s="24" t="n"/>
      <c r="K164" s="24" t="n"/>
      <c r="L164" s="31" t="n"/>
      <c r="M164" s="25" t="n"/>
    </row>
    <row r="165">
      <c r="A165" s="23" t="n">
        <v>43585</v>
      </c>
      <c r="C165" s="31" t="n"/>
      <c r="D165" s="25" t="n"/>
      <c r="F165" s="23" t="n">
        <v>43585</v>
      </c>
      <c r="I165" s="31" t="n"/>
      <c r="J165" s="24" t="n"/>
      <c r="K165" s="24" t="n"/>
      <c r="L165" s="31" t="n"/>
      <c r="M165" s="25" t="n"/>
    </row>
    <row r="166">
      <c r="A166" s="23" t="n">
        <v>43616</v>
      </c>
      <c r="C166" s="31" t="n"/>
      <c r="D166" s="25" t="n"/>
      <c r="F166" s="23" t="n">
        <v>43616</v>
      </c>
      <c r="I166" s="31" t="n"/>
      <c r="J166" s="24" t="n"/>
      <c r="K166" s="24" t="n"/>
      <c r="L166" s="31" t="n"/>
      <c r="M166" s="25" t="n"/>
    </row>
    <row r="167">
      <c r="A167" s="23" t="n">
        <v>43646</v>
      </c>
      <c r="B167" s="25" t="n"/>
      <c r="C167" s="31" t="n"/>
      <c r="D167" s="25" t="n"/>
      <c r="F167" s="23" t="n">
        <v>43646</v>
      </c>
      <c r="I167" s="31" t="n"/>
      <c r="J167" s="24" t="n"/>
      <c r="L167" s="31" t="n"/>
      <c r="M167" s="25" t="n"/>
    </row>
    <row r="168">
      <c r="A168" s="23" t="n">
        <v>43677</v>
      </c>
      <c r="C168" s="31" t="n"/>
      <c r="D168" s="25" t="n"/>
      <c r="F168" s="23" t="n">
        <v>43677</v>
      </c>
      <c r="I168" s="31" t="n"/>
      <c r="J168" s="24" t="n"/>
      <c r="L168" s="31" t="n"/>
      <c r="M168" s="25" t="n"/>
    </row>
    <row r="169">
      <c r="A169" s="23" t="n">
        <v>43708</v>
      </c>
      <c r="B169" s="25" t="n"/>
      <c r="C169" s="31" t="n"/>
      <c r="D169" s="25" t="n"/>
      <c r="F169" s="23" t="n">
        <v>43708</v>
      </c>
      <c r="I169" s="31" t="n"/>
      <c r="J169" s="24" t="n"/>
      <c r="L169" s="31" t="n"/>
      <c r="M169" s="25" t="n"/>
    </row>
    <row r="170">
      <c r="A170" s="23" t="n">
        <v>43738</v>
      </c>
      <c r="C170" s="31" t="n"/>
      <c r="D170" s="25" t="n"/>
      <c r="F170" s="23" t="n">
        <v>43738</v>
      </c>
      <c r="I170" s="31" t="n"/>
      <c r="J170" s="24" t="n"/>
      <c r="L170" s="31" t="n"/>
      <c r="M170" s="25" t="n"/>
    </row>
    <row r="171">
      <c r="A171" s="23" t="n">
        <v>43769</v>
      </c>
      <c r="B171" s="25" t="n"/>
      <c r="C171" s="31" t="n"/>
      <c r="D171" s="25" t="n"/>
      <c r="F171" s="23" t="n">
        <v>43769</v>
      </c>
      <c r="I171" s="31" t="n"/>
      <c r="J171" s="24" t="n"/>
      <c r="L171" s="31" t="n"/>
      <c r="M171" s="25" t="n"/>
    </row>
    <row r="172">
      <c r="A172" s="23" t="n">
        <v>43799</v>
      </c>
      <c r="C172" s="31" t="n"/>
      <c r="D172" s="25" t="n"/>
      <c r="F172" s="23" t="n">
        <v>43799</v>
      </c>
      <c r="I172" s="31" t="n"/>
      <c r="J172" s="24" t="n"/>
      <c r="L172" s="31" t="n"/>
      <c r="M172" s="25" t="n"/>
    </row>
    <row r="173">
      <c r="A173" s="23" t="n">
        <v>43830</v>
      </c>
      <c r="B173" s="25" t="n"/>
      <c r="C173" s="31" t="n"/>
      <c r="D173" s="25" t="n"/>
      <c r="F173" s="23" t="n">
        <v>43830</v>
      </c>
      <c r="I173" s="31" t="n"/>
      <c r="J173" s="24" t="n"/>
      <c r="L173" s="31" t="n"/>
      <c r="M173" s="25" t="n"/>
    </row>
    <row r="174">
      <c r="A174" s="23" t="n">
        <v>43861</v>
      </c>
      <c r="C174" s="31" t="n"/>
      <c r="D174" s="25" t="n"/>
      <c r="F174" s="23" t="n">
        <v>43861</v>
      </c>
      <c r="I174" s="31" t="n"/>
      <c r="J174" s="24" t="n"/>
      <c r="L174" s="31" t="n"/>
      <c r="M174" s="25" t="n"/>
    </row>
    <row r="175">
      <c r="A175" s="23" t="n">
        <v>43890</v>
      </c>
      <c r="B175" s="25" t="n"/>
      <c r="C175" s="31" t="n"/>
      <c r="D175" s="25" t="n"/>
      <c r="F175" s="23" t="n">
        <v>43890</v>
      </c>
      <c r="I175" s="31" t="n"/>
      <c r="J175" s="24" t="n"/>
      <c r="L175" s="31" t="n"/>
      <c r="M175" s="25" t="n"/>
    </row>
    <row r="176">
      <c r="A176" s="23" t="n">
        <v>43921</v>
      </c>
      <c r="C176" s="31" t="n"/>
      <c r="D176" s="25" t="n"/>
      <c r="F176" s="23" t="n">
        <v>43921</v>
      </c>
      <c r="I176" s="31" t="n"/>
      <c r="J176" s="24" t="n"/>
      <c r="L176" s="31" t="n"/>
      <c r="M176" s="25" t="n"/>
    </row>
    <row r="177">
      <c r="A177" s="23" t="n">
        <v>43951</v>
      </c>
      <c r="B177" s="25" t="n"/>
      <c r="C177" s="31" t="n"/>
      <c r="D177" s="25" t="n"/>
      <c r="F177" s="23" t="n">
        <v>43951</v>
      </c>
      <c r="I177" s="31" t="n"/>
      <c r="J177" s="24" t="n"/>
      <c r="L177" s="31" t="n"/>
      <c r="M177" s="25" t="n"/>
    </row>
    <row r="178">
      <c r="A178" s="23" t="n">
        <v>43982</v>
      </c>
      <c r="B178" s="25" t="n"/>
      <c r="C178" s="31" t="n"/>
      <c r="D178" s="25" t="n"/>
      <c r="F178" s="23" t="n">
        <v>43982</v>
      </c>
      <c r="I178" s="31" t="n"/>
      <c r="J178" s="24" t="n"/>
      <c r="L178" s="31" t="n"/>
      <c r="M178" s="25" t="n"/>
      <c r="AD178" s="62" t="n"/>
      <c r="AE178" s="62" t="n"/>
      <c r="AF178" s="62" t="n"/>
      <c r="AG178" s="62" t="n"/>
      <c r="AH178" s="62" t="n"/>
      <c r="AI178" s="62" t="n"/>
      <c r="AJ178" s="62" t="n"/>
      <c r="AK178" s="62" t="n"/>
      <c r="AL178" s="62" t="n"/>
      <c r="AM178" s="62" t="n"/>
      <c r="AN178" s="62" t="n"/>
      <c r="AO178" s="62" t="n"/>
      <c r="AP178" s="62" t="n"/>
      <c r="AQ178" s="62" t="n"/>
    </row>
    <row r="179">
      <c r="A179" s="23" t="n">
        <v>44012</v>
      </c>
      <c r="B179" s="25" t="n"/>
      <c r="C179" s="31" t="n"/>
      <c r="D179" s="25" t="n"/>
      <c r="F179" s="23" t="n">
        <v>44012</v>
      </c>
      <c r="I179" s="31" t="n"/>
      <c r="J179" s="24" t="n"/>
      <c r="L179" s="31" t="n"/>
      <c r="M179" s="25" t="n"/>
    </row>
    <row r="180">
      <c r="A180" s="23" t="n">
        <v>44043</v>
      </c>
      <c r="C180" s="31" t="n"/>
      <c r="D180" s="25" t="n"/>
      <c r="F180" s="23" t="n">
        <v>44043</v>
      </c>
      <c r="I180" s="31" t="n"/>
      <c r="J180" s="24" t="n"/>
      <c r="L180" s="31" t="n"/>
      <c r="M180" s="25" t="n"/>
    </row>
    <row r="181">
      <c r="A181" s="23" t="n">
        <v>44074</v>
      </c>
      <c r="C181" s="31" t="n"/>
      <c r="D181" s="25" t="n"/>
      <c r="F181" s="23" t="n">
        <v>44074</v>
      </c>
      <c r="I181" s="31" t="n"/>
      <c r="J181" s="24" t="n"/>
      <c r="L181" s="31" t="n"/>
      <c r="M181" s="25" t="n"/>
    </row>
    <row r="182">
      <c r="A182" s="23" t="n">
        <v>44104</v>
      </c>
      <c r="C182" s="31" t="n"/>
      <c r="D182" s="25" t="n"/>
      <c r="F182" s="23" t="n">
        <v>44104</v>
      </c>
      <c r="I182" s="31" t="n"/>
      <c r="J182" s="24" t="n"/>
      <c r="L182" s="31" t="n"/>
      <c r="M182" s="25" t="n"/>
    </row>
    <row r="183">
      <c r="A183" s="23" t="n">
        <v>44135</v>
      </c>
      <c r="C183" s="31" t="n"/>
      <c r="D183" s="25" t="n"/>
      <c r="F183" s="23" t="n">
        <v>44135</v>
      </c>
      <c r="I183" s="31" t="n"/>
      <c r="J183" s="24" t="n"/>
      <c r="L183" s="31" t="n"/>
      <c r="M183" s="25" t="n"/>
    </row>
    <row r="184">
      <c r="A184" s="23" t="n">
        <v>44165</v>
      </c>
      <c r="C184" s="31" t="n"/>
      <c r="D184" s="25" t="n"/>
      <c r="F184" s="23" t="n">
        <v>44165</v>
      </c>
      <c r="I184" s="31" t="n"/>
      <c r="J184" s="24" t="n"/>
      <c r="L184" s="31" t="n"/>
      <c r="M184" s="25" t="n"/>
    </row>
    <row r="185">
      <c r="A185" s="23" t="n">
        <v>44196</v>
      </c>
      <c r="C185" s="31" t="n"/>
      <c r="D185" s="25" t="n"/>
      <c r="F185" s="23" t="n">
        <v>44196</v>
      </c>
      <c r="I185" s="31" t="n"/>
      <c r="J185" s="24" t="n"/>
      <c r="L185" s="31" t="n"/>
      <c r="M185" s="25" t="n"/>
    </row>
    <row r="186">
      <c r="A186" s="23" t="n">
        <v>44246</v>
      </c>
      <c r="C186" s="31" t="n"/>
      <c r="D186" s="25" t="n"/>
      <c r="F186" s="23" t="n">
        <v>44246</v>
      </c>
      <c r="I186" s="31" t="n"/>
      <c r="J186" s="24" t="n"/>
      <c r="L186" s="31" t="n"/>
      <c r="M186" s="25" t="n"/>
    </row>
    <row r="187">
      <c r="A187" s="23" t="n">
        <v>44255</v>
      </c>
      <c r="C187" s="31" t="n"/>
      <c r="D187" s="25" t="n"/>
      <c r="F187" s="23" t="n">
        <v>44255</v>
      </c>
      <c r="I187" s="31" t="n"/>
      <c r="J187" s="24" t="n"/>
      <c r="L187" s="31" t="n"/>
      <c r="M187" s="25" t="n"/>
      <c r="Q187" s="23" t="n"/>
    </row>
    <row r="188">
      <c r="A188" s="23" t="n">
        <v>44286</v>
      </c>
      <c r="B188" s="25" t="n"/>
      <c r="C188" s="31" t="n"/>
      <c r="D188" s="25" t="n"/>
      <c r="F188" s="23" t="n">
        <v>44286</v>
      </c>
      <c r="I188" s="31" t="n"/>
      <c r="J188" s="24" t="n"/>
      <c r="L188" s="31" t="n"/>
      <c r="M188" s="25" t="n"/>
      <c r="Q188" s="23" t="n"/>
      <c r="R188" s="119" t="n"/>
    </row>
    <row r="189">
      <c r="A189" s="23" t="n">
        <v>44316</v>
      </c>
      <c r="C189" s="31" t="n"/>
      <c r="D189" s="25" t="n"/>
      <c r="F189" s="23" t="n">
        <v>44316</v>
      </c>
      <c r="I189" s="31" t="n"/>
      <c r="J189" s="24" t="n"/>
      <c r="L189" s="31" t="n"/>
      <c r="M189" s="25" t="n"/>
      <c r="Q189" s="120" t="n"/>
    </row>
    <row r="190">
      <c r="A190" s="23" t="n">
        <v>44347</v>
      </c>
      <c r="C190" s="31" t="n"/>
      <c r="D190" s="25" t="n"/>
      <c r="F190" s="23" t="n">
        <v>44347</v>
      </c>
      <c r="I190" s="31" t="n"/>
      <c r="J190" s="24" t="n"/>
      <c r="L190" s="31" t="n"/>
      <c r="M190" s="25" t="n"/>
      <c r="Q190" s="120" t="n"/>
    </row>
    <row r="191">
      <c r="A191" s="23" t="n">
        <v>44377</v>
      </c>
      <c r="C191" s="31" t="n"/>
      <c r="D191" s="25" t="n"/>
      <c r="F191" s="23" t="n">
        <v>44377</v>
      </c>
      <c r="I191" s="31" t="n"/>
      <c r="J191" s="24" t="n"/>
      <c r="L191" s="31" t="n"/>
      <c r="M191" s="25" t="n"/>
    </row>
    <row r="192">
      <c r="A192" s="23" t="n">
        <v>44408</v>
      </c>
      <c r="C192" s="31" t="n"/>
      <c r="D192" s="25" t="n"/>
      <c r="F192" s="23" t="n">
        <v>44408</v>
      </c>
      <c r="I192" s="31" t="n"/>
      <c r="J192" s="24" t="n"/>
      <c r="L192" s="31" t="n"/>
      <c r="M192" s="25" t="n"/>
    </row>
    <row r="193">
      <c r="A193" s="23" t="n">
        <v>44439</v>
      </c>
      <c r="C193" s="31" t="n"/>
      <c r="D193" s="25" t="n"/>
      <c r="F193" s="23" t="n">
        <v>44439</v>
      </c>
      <c r="I193" s="31" t="n"/>
      <c r="J193" s="24" t="n"/>
      <c r="L193" s="31" t="n"/>
      <c r="M193" s="25" t="n"/>
    </row>
    <row r="194">
      <c r="A194" s="23" t="n">
        <v>44469</v>
      </c>
      <c r="C194" s="31" t="n"/>
      <c r="D194" s="25" t="n"/>
      <c r="F194" s="23" t="n">
        <v>44469</v>
      </c>
      <c r="I194" s="31" t="n"/>
      <c r="J194" s="24" t="n"/>
      <c r="K194" s="24" t="n"/>
      <c r="L194" s="31" t="n"/>
      <c r="M194" s="25" t="n"/>
    </row>
    <row r="195">
      <c r="A195" s="23" t="n">
        <v>44500</v>
      </c>
      <c r="C195" s="31" t="n"/>
      <c r="D195" s="25" t="n"/>
      <c r="F195" s="23" t="n">
        <v>44500</v>
      </c>
      <c r="I195" s="31" t="n"/>
      <c r="J195" s="24" t="n"/>
      <c r="L195" s="31" t="n"/>
      <c r="M195" s="25" t="n"/>
    </row>
    <row r="196">
      <c r="A196" s="23" t="n">
        <v>44530</v>
      </c>
      <c r="C196" s="31" t="n"/>
      <c r="D196" s="25" t="n"/>
      <c r="F196" s="23" t="n">
        <v>44530</v>
      </c>
      <c r="I196" s="31" t="n"/>
      <c r="J196" s="24" t="n"/>
      <c r="K196" s="24" t="n"/>
      <c r="L196" s="31" t="n"/>
      <c r="M196" s="25" t="n"/>
    </row>
    <row r="197">
      <c r="A197" s="23" t="n">
        <v>44561</v>
      </c>
      <c r="C197" s="31" t="n"/>
      <c r="D197" s="25" t="n"/>
      <c r="F197" s="23" t="n">
        <v>44561</v>
      </c>
      <c r="I197" s="31" t="n"/>
      <c r="J197" s="24" t="n"/>
      <c r="L197" s="31" t="n"/>
      <c r="M197" s="25" t="n"/>
    </row>
    <row r="198">
      <c r="A198" s="23" t="n">
        <v>44592</v>
      </c>
      <c r="C198" s="31" t="n"/>
      <c r="D198" s="25" t="n"/>
      <c r="F198" s="23" t="n">
        <v>44592</v>
      </c>
      <c r="I198" s="31" t="n"/>
      <c r="J198" s="24" t="n"/>
      <c r="L198" s="31" t="n"/>
      <c r="M198" s="25" t="n"/>
    </row>
    <row r="199">
      <c r="A199" s="23" t="n">
        <v>44620</v>
      </c>
      <c r="B199" s="25" t="n"/>
      <c r="C199" s="31" t="n"/>
      <c r="D199" s="25" t="n"/>
      <c r="F199" s="23" t="n">
        <v>44620</v>
      </c>
      <c r="I199" s="31" t="n"/>
      <c r="J199" s="24" t="n"/>
      <c r="L199" s="31" t="n"/>
      <c r="M199" s="25" t="n"/>
    </row>
    <row r="200">
      <c r="A200" s="23" t="n">
        <v>44651</v>
      </c>
      <c r="C200" s="31" t="n"/>
      <c r="D200" s="25" t="n"/>
      <c r="F200" s="23" t="n">
        <v>44651</v>
      </c>
      <c r="I200" s="31" t="n"/>
      <c r="J200" s="24" t="n"/>
      <c r="L200" s="31" t="n"/>
      <c r="M200" s="25" t="n"/>
    </row>
    <row r="201">
      <c r="A201" s="23" t="n">
        <v>44681</v>
      </c>
      <c r="C201" s="31" t="n"/>
      <c r="D201" s="25" t="n"/>
      <c r="F201" s="23" t="n">
        <v>44681</v>
      </c>
      <c r="I201" s="31" t="n"/>
      <c r="J201" s="24" t="n"/>
      <c r="L201" s="31" t="n"/>
      <c r="M201" s="25" t="n"/>
    </row>
    <row r="202">
      <c r="A202" s="23" t="n">
        <v>44712</v>
      </c>
      <c r="C202" s="31" t="n"/>
      <c r="D202" s="25" t="n"/>
      <c r="F202" s="23" t="n">
        <v>44735</v>
      </c>
      <c r="I202" s="31" t="n"/>
      <c r="J202" s="24" t="n"/>
      <c r="L202" s="31" t="n"/>
      <c r="M202" s="25" t="n"/>
    </row>
    <row r="203">
      <c r="A203" s="23" t="n">
        <v>44742</v>
      </c>
      <c r="C203" s="31" t="n"/>
      <c r="D203" s="25" t="n"/>
      <c r="F203" s="23" t="n">
        <v>44742</v>
      </c>
      <c r="I203" s="31" t="n"/>
      <c r="J203" s="24" t="n"/>
      <c r="K203" s="24" t="n"/>
      <c r="L203" s="81" t="n"/>
      <c r="M203" s="25" t="n"/>
    </row>
    <row r="204">
      <c r="A204" s="23" t="n">
        <v>44773</v>
      </c>
      <c r="C204" s="31" t="n"/>
      <c r="D204" s="25" t="n"/>
      <c r="F204" s="23" t="n">
        <v>44773</v>
      </c>
      <c r="I204" s="31" t="n"/>
      <c r="J204" s="24" t="n"/>
      <c r="L204" s="81" t="n"/>
      <c r="M204" s="25" t="n"/>
    </row>
    <row r="205">
      <c r="A205" s="23" t="n">
        <v>44804</v>
      </c>
      <c r="C205" s="31" t="n"/>
      <c r="D205" s="25" t="n"/>
      <c r="F205" s="23" t="n">
        <v>44804</v>
      </c>
      <c r="I205" s="31" t="n"/>
      <c r="J205" s="24" t="n"/>
      <c r="K205" s="24" t="n"/>
      <c r="L205" s="81" t="n"/>
      <c r="M205" s="25" t="n"/>
    </row>
    <row r="206">
      <c r="A206" s="23" t="n">
        <v>44834</v>
      </c>
      <c r="C206" s="31" t="n"/>
      <c r="D206" s="25" t="n"/>
      <c r="F206" s="23" t="n">
        <v>44834</v>
      </c>
      <c r="I206" s="31" t="n"/>
      <c r="J206" s="24" t="n"/>
      <c r="K206" s="24" t="n"/>
      <c r="L206" s="81" t="n"/>
      <c r="M206" s="25" t="n"/>
    </row>
    <row r="207">
      <c r="A207" s="23" t="n">
        <v>44862</v>
      </c>
      <c r="C207" s="31" t="n"/>
      <c r="D207" s="25" t="n"/>
      <c r="F207" s="23" t="n">
        <v>44862</v>
      </c>
      <c r="I207" s="31" t="n"/>
      <c r="J207" s="24" t="n"/>
      <c r="K207" s="24" t="n"/>
      <c r="L207" s="81" t="n"/>
      <c r="M207" s="25" t="n"/>
    </row>
    <row r="208">
      <c r="A208" s="23" t="n">
        <v>44895</v>
      </c>
      <c r="C208" s="31" t="n"/>
      <c r="D208" s="25" t="n"/>
      <c r="F208" s="23" t="n">
        <v>44895</v>
      </c>
      <c r="I208" s="31" t="n"/>
      <c r="J208" s="24" t="n"/>
      <c r="L208" s="81" t="n"/>
      <c r="M208" s="25" t="n"/>
    </row>
    <row r="209">
      <c r="A209" s="23" t="n">
        <v>44925</v>
      </c>
      <c r="C209" s="31" t="n"/>
      <c r="D209" s="25" t="n"/>
      <c r="F209" s="23" t="n">
        <v>44925</v>
      </c>
      <c r="I209" s="31" t="n"/>
      <c r="J209" s="24" t="n"/>
      <c r="L209" s="81" t="n"/>
      <c r="M209" s="25" t="n"/>
    </row>
    <row r="210">
      <c r="A210" s="23" t="n">
        <v>44957</v>
      </c>
      <c r="C210" s="31" t="n"/>
      <c r="D210" s="25" t="n"/>
      <c r="F210" s="23" t="n">
        <v>44957</v>
      </c>
      <c r="I210" s="31" t="n"/>
      <c r="J210" s="24" t="n"/>
      <c r="L210" s="81" t="n"/>
      <c r="M210" s="25" t="n"/>
    </row>
    <row r="211">
      <c r="A211" s="23" t="n">
        <v>44985</v>
      </c>
      <c r="C211" s="31" t="n"/>
      <c r="D211" s="25" t="n"/>
      <c r="F211" s="23" t="n">
        <v>45014</v>
      </c>
      <c r="I211" s="31" t="n"/>
      <c r="J211" s="24" t="n"/>
      <c r="L211" s="81" t="n"/>
      <c r="M211" s="25" t="n"/>
    </row>
    <row r="212">
      <c r="A212" s="23" t="n">
        <v>45016</v>
      </c>
      <c r="C212" s="31" t="n"/>
      <c r="D212" s="25" t="n"/>
      <c r="F212" s="23" t="n">
        <v>45016</v>
      </c>
      <c r="I212" s="31" t="n"/>
      <c r="J212" s="24" t="n"/>
      <c r="L212" s="81" t="n"/>
      <c r="M212" s="25" t="n"/>
    </row>
    <row r="213">
      <c r="A213" s="23" t="n">
        <v>45044</v>
      </c>
      <c r="C213" s="31" t="n"/>
      <c r="D213" s="25" t="n"/>
      <c r="F213" s="23" t="n">
        <v>45044</v>
      </c>
      <c r="I213" s="31" t="n"/>
      <c r="J213" s="24" t="n"/>
      <c r="L213" s="81" t="n"/>
      <c r="M213" s="25" t="n"/>
    </row>
    <row r="214">
      <c r="A214" s="23" t="n">
        <v>45077</v>
      </c>
      <c r="C214" s="31" t="n"/>
      <c r="D214" s="25" t="n"/>
      <c r="F214" s="23" t="n">
        <v>45077</v>
      </c>
      <c r="I214" s="31" t="n"/>
      <c r="J214" s="24" t="n"/>
      <c r="K214" s="24" t="n"/>
      <c r="L214" s="81" t="n"/>
      <c r="M214" s="25" t="n"/>
    </row>
    <row r="215">
      <c r="A215" s="23" t="n">
        <v>45107</v>
      </c>
      <c r="C215" s="31" t="n"/>
      <c r="D215" s="25" t="n"/>
      <c r="F215" s="23" t="n">
        <v>45107</v>
      </c>
      <c r="I215" s="31" t="n"/>
      <c r="J215" s="24" t="n"/>
      <c r="L215" s="81" t="n"/>
      <c r="M215" s="25" t="n"/>
    </row>
    <row r="216">
      <c r="A216" s="23" t="n">
        <v>45138</v>
      </c>
      <c r="C216" s="31" t="n"/>
      <c r="D216" s="25" t="n"/>
      <c r="F216" s="23" t="n">
        <v>45138</v>
      </c>
      <c r="I216" s="31" t="n"/>
      <c r="J216" s="24" t="n"/>
      <c r="L216" s="81" t="n"/>
      <c r="M216" s="25" t="n"/>
    </row>
    <row r="217">
      <c r="A217" s="23" t="n">
        <v>45169</v>
      </c>
      <c r="C217" s="31" t="n"/>
      <c r="D217" s="25" t="n"/>
      <c r="F217" s="23" t="n">
        <v>45175</v>
      </c>
      <c r="I217" s="31" t="n"/>
      <c r="J217" s="24" t="n"/>
      <c r="K217" s="24" t="n"/>
      <c r="L217" s="81" t="n"/>
      <c r="M217" s="25" t="n"/>
    </row>
    <row r="218">
      <c r="A218" s="23" t="n">
        <v>45199</v>
      </c>
      <c r="C218" s="31" t="n"/>
      <c r="D218" s="25" t="n"/>
      <c r="F218" s="23" t="n">
        <v>45199</v>
      </c>
      <c r="I218" s="31" t="n"/>
      <c r="J218" s="24" t="n"/>
      <c r="K218" s="24" t="n"/>
      <c r="L218" s="81" t="n"/>
      <c r="M218" s="25" t="n"/>
    </row>
    <row r="219">
      <c r="A219" s="23" t="n">
        <v>45230</v>
      </c>
      <c r="B219" s="25" t="n"/>
      <c r="C219" s="31" t="n"/>
      <c r="D219" s="25" t="n"/>
      <c r="F219" s="23" t="n">
        <v>45230</v>
      </c>
      <c r="I219" s="31" t="n"/>
      <c r="J219" s="24" t="n"/>
      <c r="L219" s="81" t="n"/>
      <c r="M219" s="25" t="n"/>
    </row>
    <row r="220">
      <c r="A220" s="23" t="n">
        <v>45260</v>
      </c>
      <c r="C220" s="31" t="n"/>
      <c r="D220" s="25" t="n"/>
      <c r="F220" s="23" t="n">
        <v>45260</v>
      </c>
      <c r="I220" s="31" t="n"/>
      <c r="J220" s="24" t="n"/>
      <c r="K220" s="24" t="n"/>
      <c r="L220" s="31" t="n"/>
      <c r="M220" s="25" t="n"/>
    </row>
    <row r="221">
      <c r="A221" s="23" t="n">
        <v>45291</v>
      </c>
      <c r="C221" s="31" t="n"/>
      <c r="D221" s="25" t="n"/>
      <c r="F221" s="23" t="n">
        <v>45291</v>
      </c>
      <c r="I221" s="31" t="n"/>
      <c r="J221" s="24" t="n"/>
      <c r="L221" s="31" t="n"/>
      <c r="M221" s="25" t="n"/>
    </row>
    <row r="222">
      <c r="A222" s="23" t="n">
        <v>45322</v>
      </c>
      <c r="C222" s="31" t="n"/>
      <c r="D222" s="25" t="n"/>
      <c r="F222" s="23" t="n">
        <v>45322</v>
      </c>
      <c r="I222" s="31" t="n"/>
      <c r="J222" s="24" t="n"/>
      <c r="L222" s="31" t="n"/>
      <c r="M222" s="25" t="n"/>
    </row>
    <row r="223">
      <c r="A223" s="23" t="n">
        <v>45351</v>
      </c>
      <c r="C223" s="31" t="n"/>
      <c r="D223" s="25" t="n"/>
      <c r="F223" s="23" t="n">
        <v>45351</v>
      </c>
      <c r="I223" s="31" t="n"/>
      <c r="J223" s="24" t="n"/>
      <c r="L223" s="31" t="n"/>
      <c r="M223" s="25" t="n"/>
    </row>
    <row r="224">
      <c r="A224" s="23" t="n">
        <v>45379</v>
      </c>
      <c r="C224" s="31" t="n"/>
      <c r="D224" s="25" t="n"/>
      <c r="F224" s="23" t="n">
        <v>45379</v>
      </c>
      <c r="I224" s="31" t="n"/>
      <c r="J224" s="24" t="n"/>
      <c r="L224" s="31" t="n"/>
      <c r="M224" s="25" t="n"/>
    </row>
    <row r="225">
      <c r="A225" s="23" t="n">
        <v>45412</v>
      </c>
      <c r="C225" s="31" t="n"/>
      <c r="D225" s="25" t="n"/>
      <c r="F225" s="23" t="n">
        <v>45412</v>
      </c>
      <c r="I225" s="31" t="n"/>
      <c r="J225" s="24" t="n"/>
      <c r="L225" s="31" t="n"/>
      <c r="M225" s="25" t="n"/>
    </row>
    <row r="226">
      <c r="A226" s="23" t="n">
        <v>45443</v>
      </c>
      <c r="C226" s="31" t="n"/>
      <c r="D226" s="25" t="n"/>
      <c r="F226" s="23" t="n">
        <v>45443</v>
      </c>
      <c r="I226" s="31" t="n"/>
      <c r="J226" s="24" t="n"/>
      <c r="L226" s="31" t="n"/>
      <c r="M226" s="25" t="n"/>
    </row>
    <row r="227">
      <c r="A227" s="23" t="n">
        <v>45473</v>
      </c>
      <c r="B227" s="25" t="n"/>
      <c r="C227" s="31" t="n"/>
      <c r="D227" s="25" t="n"/>
      <c r="F227" s="23" t="n">
        <v>45473</v>
      </c>
      <c r="I227" s="31" t="n"/>
      <c r="J227" s="24" t="n"/>
      <c r="L227" s="31" t="n"/>
      <c r="M227" s="25" t="n"/>
    </row>
    <row r="228">
      <c r="A228" s="23" t="n">
        <v>45504</v>
      </c>
      <c r="C228" s="31" t="n"/>
      <c r="D228" s="25" t="n"/>
      <c r="F228" s="23" t="n">
        <v>45504</v>
      </c>
      <c r="I228" s="31" t="n"/>
      <c r="J228" s="24" t="n"/>
      <c r="L228" s="31" t="n"/>
      <c r="M228" s="25" t="n"/>
    </row>
    <row r="229">
      <c r="A229" s="23" t="n">
        <v>45535</v>
      </c>
      <c r="C229" s="31" t="n"/>
      <c r="D229" s="25" t="n"/>
      <c r="F229" s="23" t="n">
        <v>45535</v>
      </c>
      <c r="I229" s="31" t="n"/>
      <c r="J229" s="24" t="n"/>
      <c r="L229" s="31" t="n"/>
      <c r="M229" s="25" t="n"/>
    </row>
    <row r="230">
      <c r="A230" s="23" t="n">
        <v>45565</v>
      </c>
      <c r="C230" s="31" t="n"/>
      <c r="D230" s="25" t="n"/>
      <c r="F230" s="23" t="n">
        <v>45565</v>
      </c>
      <c r="I230" s="31" t="n"/>
      <c r="J230" s="24" t="n"/>
      <c r="L230" s="31" t="n"/>
      <c r="M230" s="25" t="n"/>
    </row>
    <row r="231">
      <c r="A231" s="23" t="n">
        <v>45596</v>
      </c>
      <c r="C231" s="31" t="n"/>
      <c r="D231" s="25" t="n"/>
      <c r="F231" s="23" t="n">
        <v>45625</v>
      </c>
      <c r="I231" s="31" t="n"/>
      <c r="J231" s="24" t="n"/>
      <c r="L231" s="31" t="n"/>
      <c r="M231" s="25" t="n"/>
    </row>
    <row r="232">
      <c r="A232" s="23" t="n">
        <v>45626</v>
      </c>
      <c r="C232" s="31" t="n"/>
      <c r="D232" s="25" t="n"/>
      <c r="F232" s="23" t="n">
        <v>45626</v>
      </c>
      <c r="I232" s="31" t="n"/>
      <c r="J232" s="24" t="n"/>
      <c r="L232" s="31" t="n"/>
      <c r="M232" s="25" t="n"/>
    </row>
    <row r="233">
      <c r="A233" s="23" t="n">
        <v>45657</v>
      </c>
      <c r="C233" s="31" t="n"/>
      <c r="D233" s="25" t="n"/>
      <c r="F233" s="23" t="n">
        <v>45657</v>
      </c>
      <c r="I233" s="31" t="n"/>
      <c r="J233" s="24" t="n"/>
      <c r="L233" s="31" t="n"/>
      <c r="M233" s="25" t="n"/>
    </row>
    <row r="234">
      <c r="A234" s="23" t="n">
        <v>45705</v>
      </c>
      <c r="B234" s="9" t="n">
        <v>24887.95</v>
      </c>
      <c r="C234" s="31">
        <f>IFERROR((B234/B233-1)/(A234-A233)*30,0)</f>
        <v/>
      </c>
      <c r="D234" s="25" t="n">
        <v>100</v>
      </c>
      <c r="F234" s="23" t="n">
        <v>45705</v>
      </c>
      <c r="G234" s="107" t="n">
        <v>999.9918</v>
      </c>
      <c r="H234" s="107">
        <f>+G234+$S$148+$S$150+$S$152+$S$154+$S$156+$S$158</f>
        <v/>
      </c>
      <c r="I234" s="31">
        <f>+IFERROR((H234/H233-1)/(F234-F233)*30,0)</f>
        <v/>
      </c>
      <c r="J234" s="24" t="n">
        <v>100</v>
      </c>
      <c r="K234" s="9" t="n">
        <v>6087.6762</v>
      </c>
      <c r="L234" s="31">
        <f>+IFERROR((K234/K233-1)/(F234-F233)*30,0)</f>
        <v/>
      </c>
      <c r="M234" s="25" t="n">
        <v>100</v>
      </c>
    </row>
    <row r="235">
      <c r="A235" s="23" t="n">
        <v>45716</v>
      </c>
      <c r="B235" s="9" t="n">
        <v>24984.92</v>
      </c>
      <c r="C235" s="31">
        <f>(B235/B234-1)/(A235-A234)*30/11</f>
        <v/>
      </c>
      <c r="D235" s="25">
        <f>+D234*(1+C235)</f>
        <v/>
      </c>
      <c r="F235" s="23" t="n">
        <v>45716</v>
      </c>
      <c r="G235" s="107" t="n">
        <v>1002.0847</v>
      </c>
      <c r="H235" s="107">
        <f>+G235+$S$148+$S$150+$S$152+$S$154+$S$156+$S$158</f>
        <v/>
      </c>
      <c r="I235" s="31">
        <f>+(H235/H234-1)/(F235-F234)*30/11</f>
        <v/>
      </c>
      <c r="J235" s="24">
        <f>+J234*(1+I235)</f>
        <v/>
      </c>
      <c r="K235" s="9" t="n">
        <v>6104.4912</v>
      </c>
      <c r="L235" s="31">
        <f>+(K235/K234-1)/(F235-F234)*30/11</f>
        <v/>
      </c>
      <c r="M235" s="25">
        <f>+M234*(1+L235)</f>
        <v/>
      </c>
    </row>
    <row r="236">
      <c r="A236" s="23" t="n">
        <v>45747</v>
      </c>
      <c r="B236" s="9" t="n">
        <v>25092.7</v>
      </c>
      <c r="C236" s="31">
        <f>(B236/B235-1)/(A236-A235)*30</f>
        <v/>
      </c>
      <c r="D236" s="25">
        <f>+D235*(1+C236)</f>
        <v/>
      </c>
      <c r="F236" s="23" t="n">
        <v>45747</v>
      </c>
      <c r="G236" s="107" t="n">
        <v>1008.4022</v>
      </c>
      <c r="H236" s="107">
        <f>+G236+$S$148+$S$150+$S$152+$S$154+$S$156+$S$158</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7" t="n">
        <v>1014.7219</v>
      </c>
      <c r="H237" s="107">
        <f>+G237+$S$148+$S$150+$S$152+$S$154+$S$156+$S$158</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107" t="n">
        <v>1021.5759</v>
      </c>
      <c r="H238" s="107">
        <f>+G238+$S$148+$S$150+$S$152+$S$154+$S$156+$S$158</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7" t="n">
        <v>1028.3749</v>
      </c>
      <c r="H239" s="107">
        <f>+G239+$S$148+$S$150+$S$152+$S$154+$S$156+$S$158</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7" t="n">
        <v>1034.8034</v>
      </c>
      <c r="H240" s="107">
        <f>+G240+$S$148+$S$150+$S$152+$S$154+$S$156+$S$158</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7" t="n">
        <v>1041.6512</v>
      </c>
      <c r="H241" s="107">
        <f>+G241+$S$148+$S$150+$S$152+$S$154+$S$156+$S$158</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7" t="n">
        <v>1048.1666</v>
      </c>
      <c r="H242" s="107">
        <f>+G242+$S$148+$S$150+$S$152+$S$154+$S$156+$S$158</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7" t="n">
        <v>1054.8636</v>
      </c>
      <c r="H243" s="107">
        <f>+G243+$S$148+$S$150+$S$152+$S$154+$S$156+$S$158</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7" t="n">
        <v>1061.5307</v>
      </c>
      <c r="H244" s="107">
        <f>+G244+$S$148+$S$150+$S$152+$S$154+$S$156+$S$158</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99" t="n">
        <v>1068.9431</v>
      </c>
      <c r="H245" s="107">
        <f>+G245+$S$148+$S$150+$S$152+$S$154+$S$156+$S$158</f>
        <v/>
      </c>
      <c r="I245" s="31">
        <f>+(H245/H244-1)/(F245-F244)*30</f>
        <v/>
      </c>
      <c r="J245" s="24">
        <f>+J244*(1+I245)</f>
        <v/>
      </c>
      <c r="K245" s="101" t="n">
        <v>6285.9566</v>
      </c>
      <c r="L245" s="31">
        <f>+(K245/K244-1)/(F245-F244)*30</f>
        <v/>
      </c>
      <c r="M245" s="25">
        <f>+M244*(1+L245)</f>
        <v/>
      </c>
    </row>
    <row r="246">
      <c r="A246" s="23" t="n">
        <v>46053</v>
      </c>
      <c r="B246" s="9" t="n">
        <v>26136.9</v>
      </c>
      <c r="C246" s="31">
        <f>(B246/B245-1)/(A246-A245)*30</f>
        <v/>
      </c>
      <c r="D246" s="25">
        <f>+D245*(1+C246)</f>
        <v/>
      </c>
      <c r="F246" s="23" t="n">
        <v>46053</v>
      </c>
      <c r="G246" s="99" t="n">
        <v>1075.5288</v>
      </c>
      <c r="H246" s="107">
        <f>+G246+$S$148+$S$150+$S$152+$S$154+$S$156+$S$158</f>
        <v/>
      </c>
      <c r="I246" s="31">
        <f>+(H246/H245-1)/(F246-F245)*30</f>
        <v/>
      </c>
      <c r="J246" s="24">
        <f>+J245*(1+I246)</f>
        <v/>
      </c>
      <c r="K246" s="101" t="n">
        <v>6303.0823</v>
      </c>
      <c r="L246" s="31">
        <f>+(K246/K245-1)/(F246-F245)*30</f>
        <v/>
      </c>
      <c r="M246" s="25">
        <f>+M245*(1+L246)</f>
        <v/>
      </c>
    </row>
    <row r="247" ht="14.25" customHeight="1">
      <c r="A247" s="97" t="n">
        <v>46081</v>
      </c>
      <c r="B247" s="98" t="n">
        <v>26231.81</v>
      </c>
      <c r="C247" s="31">
        <f>(B247/B246-1)/(A247-A246)*30</f>
        <v/>
      </c>
      <c r="D247" s="25">
        <f>+D246*(1+C247)</f>
        <v/>
      </c>
      <c r="F247" s="97" t="n">
        <v>46081</v>
      </c>
      <c r="G247" s="99" t="n">
        <v>1081.7699</v>
      </c>
      <c r="H247" s="107">
        <f>+G247+$S$148+$S$150+$S$152+$S$154+$S$156+$S$158</f>
        <v/>
      </c>
      <c r="I247" s="31">
        <f>+(H247/H246-1)/(F247-F246)*30</f>
        <v/>
      </c>
      <c r="J247" s="24">
        <f>+J246*(1+I247)</f>
        <v/>
      </c>
      <c r="K247" s="102" t="n">
        <v>6318.4947</v>
      </c>
      <c r="L247" s="31">
        <f>+(K247/K246-1)/(F247-F246)*30</f>
        <v/>
      </c>
      <c r="M247" s="25">
        <f>+M246*(1+L247)</f>
        <v/>
      </c>
    </row>
    <row r="248">
      <c r="A248" s="97" t="n">
        <v>46112</v>
      </c>
      <c r="B248" s="98" t="n">
        <v>26333.64</v>
      </c>
      <c r="C248" s="31">
        <f>(B248/B247-1)/(A248-A247)*30</f>
        <v/>
      </c>
      <c r="D248" s="25">
        <f>+D247*(1+C248)</f>
        <v/>
      </c>
      <c r="F248" s="97" t="n">
        <v>46112</v>
      </c>
      <c r="G248" s="100" t="n">
        <v>1088.2365</v>
      </c>
      <c r="H248" s="107">
        <f>+G248+$S$148+$S$150+$S$152+$S$154+$S$156+$S$158</f>
        <v/>
      </c>
      <c r="I248" s="31">
        <f>+(H248/H247-1)/(F248-F247)*30</f>
        <v/>
      </c>
      <c r="J248" s="24">
        <f>+J247*(1+I248)</f>
        <v/>
      </c>
      <c r="K248" s="103" t="n">
        <v>6335.4774</v>
      </c>
      <c r="L248" s="31">
        <f>+(K248/K247-1)/(F248-F247)*30</f>
        <v/>
      </c>
      <c r="M248" s="25">
        <f>+M247*(1+L248)</f>
        <v/>
      </c>
    </row>
    <row r="249">
      <c r="A249" s="23" t="n">
        <v>46142</v>
      </c>
      <c r="B249" s="9" t="n">
        <v>26432.56</v>
      </c>
      <c r="C249" s="31">
        <f>(B249/B248-1)/(A249-A248)*30</f>
        <v/>
      </c>
      <c r="D249" s="25">
        <f>+D248*(1+C249)</f>
        <v/>
      </c>
      <c r="F249" s="23" t="n">
        <v>46142</v>
      </c>
      <c r="G249" s="104" t="n">
        <v>1094.8104</v>
      </c>
      <c r="H249" s="107">
        <f>+G249+$S$148+$S$150+$S$152+$S$154+$S$156+$S$158</f>
        <v/>
      </c>
      <c r="I249" s="31">
        <f>+(H249/H248-1)/(F249-F248)*30</f>
        <v/>
      </c>
      <c r="J249" s="24">
        <f>+J248*(1+I249)</f>
        <v/>
      </c>
      <c r="K249" s="9" t="n">
        <v>6351.9305</v>
      </c>
      <c r="L249" s="31">
        <f>+(K249/K248-1)/(F249-F248)*30</f>
        <v/>
      </c>
      <c r="M249" s="25">
        <f>+M248*(1+L249)</f>
        <v/>
      </c>
    </row>
    <row r="250">
      <c r="A250" s="123" t="n">
        <v>46173</v>
      </c>
      <c r="B250" t="n">
        <v>26535.18</v>
      </c>
      <c r="C250">
        <f>(B250/B249-1)/(A250-A249)*30</f>
        <v/>
      </c>
      <c r="D250">
        <f>+D249*(1+C250)</f>
        <v/>
      </c>
      <c r="F250" s="123" t="n">
        <v>46173</v>
      </c>
      <c r="G250" t="n">
        <v>1101.4377</v>
      </c>
      <c r="H250">
        <f>+G250+$S$148+$S$150+$S$152+$S$154+$S$156+$S$158</f>
        <v/>
      </c>
      <c r="I250">
        <f>+(H250/H249-1)/(F250-F249)*30</f>
        <v/>
      </c>
      <c r="J250">
        <f>+J249*(1+I250)</f>
        <v/>
      </c>
      <c r="K250" t="n">
        <v>6368.94</v>
      </c>
      <c r="L250">
        <f>+(K250/K249-1)/(F250-F249)*30</f>
        <v/>
      </c>
      <c r="M250">
        <f>+M249*(1+L250)</f>
        <v/>
      </c>
    </row>
    <row r="251">
      <c r="A251" s="123" t="n">
        <v>46203</v>
      </c>
      <c r="B251" t="n">
        <v>26634.69</v>
      </c>
      <c r="C251">
        <f>(B251/B250-1)/(A251-A250)*30</f>
        <v/>
      </c>
      <c r="D251">
        <f>+D250*(1+C251)</f>
        <v/>
      </c>
      <c r="F251" s="123" t="n">
        <v>46203</v>
      </c>
      <c r="G251" t="n">
        <v>1107.8294</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60" zoomScaleNormal="60" workbookViewId="0">
      <selection activeCell="H47" sqref="H47"/>
    </sheetView>
  </sheetViews>
  <sheetFormatPr baseColWidth="8" defaultColWidth="11.42578125" defaultRowHeight="15"/>
  <cols>
    <col width="5.85546875" bestFit="1" customWidth="1" style="7" min="3" max="3"/>
    <col width="25.140625" bestFit="1"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ht="25.5" customHeight="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+'Datos ICP (2)'!AX30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CORRIENTE</t>
        </is>
      </c>
      <c r="T4" s="87">
        <f>+'Datos ICP (2)'!AX31</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1"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Presente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Presente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Presente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Presente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Presente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Presente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idden="1" ht="15" customHeight="1">
      <c r="C30" s="83" t="n">
        <v>2023</v>
      </c>
      <c r="D30" s="84" t="inlineStr">
        <is>
          <t>ICP</t>
        </is>
      </c>
      <c r="E30" s="87" t="n"/>
      <c r="F30" s="87" t="n"/>
      <c r="G30" s="87" t="n"/>
      <c r="H30" s="87" t="n"/>
      <c r="I30" s="87" t="n"/>
      <c r="J30" s="87" t="n"/>
      <c r="K30" s="87" t="n"/>
      <c r="L30" s="87" t="n"/>
      <c r="M30" s="87" t="n"/>
      <c r="N30" s="87" t="n"/>
      <c r="O30" s="87" t="n"/>
      <c r="P30" s="87" t="n"/>
      <c r="Q30" s="87" t="n"/>
      <c r="R30" s="84" t="n"/>
      <c r="S30" s="84" t="n"/>
      <c r="T30" s="84" t="n"/>
      <c r="U30" s="84" t="n"/>
      <c r="V30" s="84" t="n"/>
      <c r="W30" s="84" t="n"/>
      <c r="X30" s="84" t="n"/>
    </row>
    <row r="31" hidden="1" ht="15" customHeight="1">
      <c r="C31" s="83" t="n"/>
      <c r="D31" s="84" t="inlineStr">
        <is>
          <t>Competencia</t>
        </is>
      </c>
      <c r="E31" s="92" t="n"/>
      <c r="F31" s="92" t="n"/>
      <c r="G31" s="92" t="n"/>
      <c r="H31" s="92" t="n"/>
      <c r="I31" s="92" t="n"/>
      <c r="J31" s="92" t="n"/>
      <c r="K31" s="92" t="n"/>
      <c r="L31" s="92" t="n"/>
      <c r="M31" s="92" t="n"/>
      <c r="N31" s="92" t="n"/>
      <c r="O31" s="92" t="n"/>
      <c r="P31" s="92" t="n"/>
      <c r="Q31" s="87" t="n"/>
      <c r="R31" s="84" t="n"/>
      <c r="S31" s="84" t="n"/>
      <c r="T31" s="84" t="n"/>
      <c r="U31" s="84" t="n"/>
      <c r="V31" s="84" t="n"/>
      <c r="W31" s="84" t="n"/>
      <c r="X31" s="84" t="n"/>
    </row>
    <row r="32" hidden="1" ht="15" customHeight="1">
      <c r="C32" s="83" t="n"/>
      <c r="D32" s="84" t="inlineStr">
        <is>
          <t>FIP LIQUIDEZ Presente</t>
        </is>
      </c>
      <c r="E32" s="92" t="n"/>
      <c r="F32" s="92" t="n"/>
      <c r="G32" s="92" t="n"/>
      <c r="H32" s="92" t="n"/>
      <c r="I32" s="92" t="n"/>
      <c r="J32" s="92" t="n"/>
      <c r="K32" s="92" t="n"/>
      <c r="L32" s="92" t="n"/>
      <c r="M32" s="92" t="n"/>
      <c r="N32" s="92" t="n"/>
      <c r="O32" s="92" t="n"/>
      <c r="P32" s="92" t="n"/>
      <c r="Q32" s="87" t="n"/>
      <c r="R32" s="84" t="n"/>
      <c r="S32" s="84" t="n"/>
      <c r="T32" s="84" t="n"/>
      <c r="U32" s="84" t="n"/>
      <c r="V32" s="84" t="n"/>
      <c r="W32" s="84" t="n"/>
      <c r="X32" s="84" t="n"/>
    </row>
    <row r="33" ht="15" customHeight="1">
      <c r="C33" s="83" t="n">
        <v>2024</v>
      </c>
      <c r="D33" s="84" t="inlineStr">
        <is>
          <t>ICP</t>
        </is>
      </c>
      <c r="E33" s="87" t="n"/>
      <c r="F33" s="87" t="n"/>
      <c r="G33" s="87" t="n"/>
      <c r="H33" s="87" t="n"/>
      <c r="I33" s="87" t="n"/>
      <c r="J33" s="87" t="n"/>
      <c r="K33" s="87" t="n"/>
      <c r="L33" s="87" t="n"/>
      <c r="M33" s="87" t="n"/>
      <c r="N33" s="87" t="n"/>
      <c r="O33" s="87">
        <f>+'Datos ICP (2)'!AO80</f>
        <v/>
      </c>
      <c r="P33" s="87">
        <f>+'Datos ICP (2)'!AP80</f>
        <v/>
      </c>
      <c r="Q33" s="87">
        <f>+'Datos ICP (2)'!$AQ$80</f>
        <v/>
      </c>
      <c r="R33" s="84" t="n"/>
      <c r="S33" s="84" t="n"/>
      <c r="T33" s="84" t="n"/>
      <c r="U33" s="84" t="n"/>
      <c r="V33" s="84" t="n"/>
      <c r="W33" s="84" t="n"/>
      <c r="X33" s="84" t="n"/>
    </row>
    <row r="34" ht="15" customHeight="1">
      <c r="C34" s="83" t="n"/>
      <c r="D34" s="84" t="inlineStr">
        <is>
          <t>Competencia</t>
        </is>
      </c>
      <c r="E34" s="92" t="n"/>
      <c r="F34" s="92" t="n"/>
      <c r="G34" s="92" t="n"/>
      <c r="H34" s="92" t="n"/>
      <c r="I34" s="92" t="n"/>
      <c r="J34" s="92" t="n"/>
      <c r="K34" s="92" t="n"/>
      <c r="L34" s="92" t="n"/>
      <c r="M34" s="92" t="n"/>
      <c r="N34" s="92" t="n"/>
      <c r="O34" s="92">
        <f>+'Datos ICP (2)'!AO81</f>
        <v/>
      </c>
      <c r="P34" s="92">
        <f>+'Datos ICP (2)'!AP81</f>
        <v/>
      </c>
      <c r="Q34" s="87">
        <f>+'Datos ICP (2)'!$AQ$81</f>
        <v/>
      </c>
      <c r="R34" s="84" t="n"/>
      <c r="S34" s="84" t="n"/>
      <c r="T34" s="84" t="n"/>
      <c r="U34" s="84" t="n"/>
      <c r="V34" s="84" t="n"/>
      <c r="W34" s="84" t="n"/>
      <c r="X34" s="84" t="n"/>
    </row>
    <row r="35" ht="15" customHeight="1">
      <c r="C35" s="83" t="n"/>
      <c r="D35" s="84" t="inlineStr">
        <is>
          <t>FIP LIQUIDEZ CORRIENTE</t>
        </is>
      </c>
      <c r="E35" s="92" t="n"/>
      <c r="F35" s="92" t="n"/>
      <c r="G35" s="92" t="n"/>
      <c r="H35" s="92" t="n"/>
      <c r="I35" s="92" t="n"/>
      <c r="J35" s="92" t="n"/>
      <c r="K35" s="92" t="n"/>
      <c r="L35" s="92" t="n"/>
      <c r="M35" s="92" t="n"/>
      <c r="N35" s="92" t="n"/>
      <c r="O35" s="92">
        <f>+'Datos ICP (2)'!AO82</f>
        <v/>
      </c>
      <c r="P35" s="92">
        <f>+'Datos ICP (2)'!AP82</f>
        <v/>
      </c>
      <c r="Q35" s="87">
        <f>+'Datos ICP (2)'!$AQ$82</f>
        <v/>
      </c>
      <c r="R35" s="84" t="n"/>
      <c r="S35" s="84" t="n"/>
      <c r="T35" s="84" t="n"/>
      <c r="U35" s="84" t="n"/>
      <c r="V35" s="84" t="n"/>
      <c r="W35" s="84" t="n"/>
      <c r="X35" s="84" t="n"/>
    </row>
    <row r="36" ht="15" customHeight="1">
      <c r="C36" s="83" t="n">
        <v>2025</v>
      </c>
      <c r="D36" s="84" t="inlineStr">
        <is>
          <t>ICP</t>
        </is>
      </c>
      <c r="E36" s="92">
        <f>+'Datos ICP (2)'!AE83</f>
        <v/>
      </c>
      <c r="F36" s="92">
        <f>+'Datos ICP (2)'!AF83</f>
        <v/>
      </c>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f>+'Datos ICP (2)'!AP83</f>
        <v/>
      </c>
      <c r="Q36" s="87">
        <f>+'Datos ICP (2)'!AQ83</f>
        <v/>
      </c>
      <c r="R36" s="84" t="n"/>
      <c r="S36" s="84" t="n"/>
      <c r="T36" s="84" t="n"/>
      <c r="U36" s="84" t="n"/>
      <c r="V36" s="84" t="n"/>
      <c r="W36" s="84" t="n"/>
      <c r="X36" s="84" t="n"/>
    </row>
    <row r="37" ht="15" customHeight="1">
      <c r="C37" s="83" t="n"/>
      <c r="D37" s="84" t="inlineStr">
        <is>
          <t>Competencia</t>
        </is>
      </c>
      <c r="E37" s="92">
        <f>+'Datos ICP (2)'!AE84</f>
        <v/>
      </c>
      <c r="F37" s="92">
        <f>+'Datos ICP (2)'!AF84</f>
        <v/>
      </c>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f>+'Datos ICP (2)'!AP84</f>
        <v/>
      </c>
      <c r="Q37" s="87">
        <f>+'Datos ICP (2)'!AQ84</f>
        <v/>
      </c>
      <c r="R37" s="84" t="n"/>
      <c r="S37" s="84" t="n"/>
      <c r="T37" s="84" t="n"/>
      <c r="U37" s="84" t="n"/>
      <c r="V37" s="84" t="n"/>
      <c r="W37" s="84" t="n"/>
      <c r="X37" s="84" t="n"/>
    </row>
    <row r="38" ht="15" customHeight="1">
      <c r="C38" s="83" t="n"/>
      <c r="D38" s="84" t="inlineStr">
        <is>
          <t>FIP LIQUIDEZ CORRIENTE</t>
        </is>
      </c>
      <c r="E38" s="92">
        <f>+'Datos ICP (2)'!AE85</f>
        <v/>
      </c>
      <c r="F38" s="92">
        <f>+'Datos ICP (2)'!AF85</f>
        <v/>
      </c>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f>+'Datos ICP (2)'!AP85</f>
        <v/>
      </c>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c r="I39" s="92" t="n"/>
      <c r="J39" s="92" t="n"/>
      <c r="K39" s="92" t="n"/>
      <c r="L39" s="92" t="n"/>
      <c r="M39" s="92" t="n"/>
      <c r="N39" s="92" t="n"/>
      <c r="O39" s="92" t="n"/>
      <c r="P39" s="92" t="n"/>
      <c r="Q39" s="92">
        <f>+'Datos ICP (2)'!AQ86</f>
        <v/>
      </c>
    </row>
    <row r="40">
      <c r="C40" s="83" t="n"/>
      <c r="D40" s="84" t="inlineStr">
        <is>
          <t>Competencia</t>
        </is>
      </c>
      <c r="E40" s="92">
        <f>+'Datos ICP (2)'!AE87</f>
        <v/>
      </c>
      <c r="F40" s="92">
        <f>+'Datos ICP (2)'!AF87</f>
        <v/>
      </c>
      <c r="G40" s="92">
        <f>+'Datos ICP (2)'!AG87</f>
        <v/>
      </c>
      <c r="H40" s="92">
        <f>+'Datos ICP (2)'!AH87</f>
        <v/>
      </c>
      <c r="I40" s="92" t="n"/>
      <c r="J40" s="92" t="n"/>
      <c r="K40" s="92" t="n"/>
      <c r="L40" s="92" t="n"/>
      <c r="M40" s="92" t="n"/>
      <c r="N40" s="92" t="n"/>
      <c r="O40" s="92" t="n"/>
      <c r="P40" s="92" t="n"/>
      <c r="Q40" s="92">
        <f>+'Datos ICP (2)'!AQ87</f>
        <v/>
      </c>
    </row>
    <row r="41">
      <c r="C41" s="83" t="n"/>
      <c r="D41" s="84" t="inlineStr">
        <is>
          <t>FIP LIQUIDEZ CORRIENTE</t>
        </is>
      </c>
      <c r="E41" s="92">
        <f>+'Datos ICP (2)'!AE88</f>
        <v/>
      </c>
      <c r="F41" s="92">
        <f>+'Datos ICP (2)'!AF88</f>
        <v/>
      </c>
      <c r="G41" s="92">
        <f>+'Datos ICP (2)'!AG88</f>
        <v/>
      </c>
      <c r="H41" s="92">
        <f>+'Datos ICP (2)'!AH88</f>
        <v/>
      </c>
      <c r="I41" s="92" t="n"/>
      <c r="J41" s="92" t="n"/>
      <c r="K41" s="92" t="n"/>
      <c r="L41" s="92" t="n"/>
      <c r="M41" s="92" t="n"/>
      <c r="N41" s="92" t="n"/>
      <c r="O41" s="92" t="n"/>
      <c r="P41" s="92" t="n"/>
      <c r="Q41" s="92">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0.2228</v>
      </c>
      <c r="O3" s="94" t="inlineStr">
        <is>
          <t>Depósitos</t>
        </is>
      </c>
      <c r="P3" s="95" t="n">
        <v>0</v>
      </c>
      <c r="S3" s="94" t="inlineStr">
        <is>
          <t>Pesos</t>
        </is>
      </c>
      <c r="T3" s="95" t="n">
        <v>1</v>
      </c>
    </row>
    <row r="4">
      <c r="C4" s="1" t="n"/>
      <c r="K4" s="94" t="inlineStr">
        <is>
          <t>1-3 meses</t>
        </is>
      </c>
      <c r="L4" s="95" t="n">
        <v>0.4666</v>
      </c>
      <c r="O4" s="94" t="inlineStr">
        <is>
          <t>Factoring</t>
        </is>
      </c>
      <c r="P4" s="95" t="n">
        <v>0</v>
      </c>
      <c r="S4" s="94" t="inlineStr">
        <is>
          <t>UF</t>
        </is>
      </c>
      <c r="T4" s="95" t="n">
        <v>0</v>
      </c>
    </row>
    <row r="5">
      <c r="A5" s="3" t="n"/>
      <c r="B5" s="3" t="n"/>
      <c r="C5" s="1" t="n"/>
      <c r="K5" s="94" t="inlineStr">
        <is>
          <t>3-4 meses</t>
        </is>
      </c>
      <c r="L5" s="95" t="n">
        <v>0.3106</v>
      </c>
      <c r="O5" s="94" t="inlineStr">
        <is>
          <t>Financiamiento Inmobiliario</t>
        </is>
      </c>
      <c r="P5" s="95" t="n">
        <v>0.2617</v>
      </c>
    </row>
    <row r="6">
      <c r="A6" s="3" t="n"/>
      <c r="B6" s="3" t="n"/>
      <c r="C6" s="1" t="n"/>
      <c r="K6" s="94" t="inlineStr">
        <is>
          <t>Más de 4 meses</t>
        </is>
      </c>
      <c r="L6" s="95" t="n">
        <v>0</v>
      </c>
      <c r="O6" s="94" t="inlineStr">
        <is>
          <t>Financiamiento Mesa Moneda Extranjera</t>
        </is>
      </c>
      <c r="P6" s="95" t="n">
        <v>0.6388</v>
      </c>
    </row>
    <row r="7">
      <c r="B7" s="3" t="n"/>
      <c r="C7" s="1" t="n"/>
      <c r="L7" s="74">
        <f>SUM(L3:L6)</f>
        <v/>
      </c>
      <c r="O7" s="94" t="inlineStr">
        <is>
          <t>Garantías</t>
        </is>
      </c>
      <c r="P7" s="95" t="n">
        <v>0.09950000000000001</v>
      </c>
      <c r="Q7" s="74" t="n"/>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2026-07-02T16:09:15Z</dcterms:modified>
  <cp:lastModifiedBy>María Isabel Velasco Retamal</cp:lastModifiedBy>
</cp:coreProperties>
</file>