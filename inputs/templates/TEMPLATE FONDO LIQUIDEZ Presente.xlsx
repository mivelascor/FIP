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3" activeTab="2" autoFilterDateGrouping="1"/>
  </bookViews>
  <sheets>
    <sheet xmlns:r="http://schemas.openxmlformats.org/officeDocument/2006/relationships" name="Comentario" sheetId="1" state="visible" r:id="rId1"/>
    <sheet xmlns:r="http://schemas.openxmlformats.org/officeDocument/2006/relationships" name="Datos ICP (2)" sheetId="2" state="visible" r:id="rId2"/>
    <sheet xmlns:r="http://schemas.openxmlformats.org/officeDocument/2006/relationships" name="rentabilidad" sheetId="3" state="visible" r:id="rId3"/>
    <sheet xmlns:r="http://schemas.openxmlformats.org/officeDocument/2006/relationships" name="composición" sheetId="4" state="visible" r:id="rId4"/>
  </sheets>
  <externalReferences>
    <externalReference xmlns:r="http://schemas.openxmlformats.org/officeDocument/2006/relationships" r:id="rId5"/>
    <externalReference xmlns:r="http://schemas.openxmlformats.org/officeDocument/2006/relationships" r:id="rId6"/>
  </externalReferences>
  <definedNames>
    <definedName name="OLE_LINK1" localSheetId="1">'Datos ICP (2)'!#REF!</definedName>
  </definedNames>
  <calcPr calcId="191028" fullCalcOnLoad="1"/>
</workbook>
</file>

<file path=xl/styles.xml><?xml version="1.0" encoding="utf-8"?>
<styleSheet xmlns="http://schemas.openxmlformats.org/spreadsheetml/2006/main">
  <numFmts count="19">
    <numFmt numFmtId="164" formatCode="#,##0.0000"/>
    <numFmt numFmtId="165" formatCode="0.0000"/>
    <numFmt numFmtId="166" formatCode="#,##0.00_ ;[Red]\-#,##0.00\ "/>
    <numFmt numFmtId="167" formatCode="dd\-mm\-yyyy"/>
    <numFmt numFmtId="168" formatCode="_ * #,##0.00_ ;_ * \-#,##0.00_ ;_ * &quot;-&quot;_ ;_ @_ "/>
    <numFmt numFmtId="169" formatCode="_ * #,##0_ ;_ * \-#,##0_ ;_ * &quot;-&quot;_ ;_ @_ "/>
    <numFmt numFmtId="170" formatCode="_ * #,##0.000_ ;_ * \-#,##0.000_ ;_ * &quot;-&quot;_ ;_ @_ "/>
    <numFmt numFmtId="171" formatCode="0.000%"/>
    <numFmt numFmtId="172" formatCode="yyyy-mm-dd h:mm:ss"/>
    <numFmt numFmtId="173" formatCode="_-* #,##0.00_-;\-* #,##0.00_-;_-* &quot;-&quot;??_-;_-@_-"/>
    <numFmt numFmtId="174" formatCode="_ * #,##0.00_ ;_ * \-#,##0.00_ ;_ * &quot;-&quot;??_ ;_ @_ "/>
    <numFmt numFmtId="175" formatCode="_-* #,##0.00\ _€_-;\-* #,##0.00\ _€_-;_-* &quot;-&quot;??\ _€_-;_-@_-"/>
    <numFmt numFmtId="176" formatCode="_ &quot;$&quot;* #,##0_ ;_ &quot;$&quot;* \-#,##0_ ;_ &quot;$&quot;* &quot;-&quot;_ ;_ @_ "/>
    <numFmt numFmtId="177" formatCode="_-[$€-2]\ * #,##0.00_-;\-[$€-2]\ * #,##0.00_-;_-[$€-2]\ * &quot;-&quot;??_-"/>
    <numFmt numFmtId="178" formatCode="_-* #,##0.00\ &quot;€&quot;_-;\-* #,##0.00\ &quot;€&quot;_-;_-* &quot;-&quot;??\ &quot;€&quot;_-;_-@_-"/>
    <numFmt numFmtId="179" formatCode="_-&quot;$&quot;\ * #,##0.00_-;\-&quot;$&quot;\ * #,##0.00_-;_-&quot;$&quot;\ * &quot;-&quot;??_-;_-@_-"/>
    <numFmt numFmtId="180" formatCode="[$-C0A]mmmm\ yyyy;@"/>
    <numFmt numFmtId="181" formatCode="[$$-409]#,##0"/>
    <numFmt numFmtId="182" formatCode="_-* #,##0\ _$_-;\-* #,##0\ _$_-;_-* &quot;-&quot;\ _$_-;_-@_-"/>
  </numFmts>
  <fonts count="51">
    <font>
      <name val="Calibri"/>
      <family val="2"/>
      <color theme="1"/>
      <sz val="11"/>
      <scheme val="minor"/>
    </font>
    <font>
      <name val="Calibri"/>
      <family val="2"/>
      <sz val="11"/>
      <scheme val="minor"/>
    </font>
    <font>
      <name val="Acumin Pro Extra Light"/>
      <family val="2"/>
      <b val="1"/>
      <sz val="11"/>
    </font>
    <font>
      <name val="Acumin Pro Extra Light"/>
      <family val="2"/>
      <sz val="11"/>
    </font>
    <font>
      <name val="Calibri"/>
      <family val="2"/>
      <color theme="1"/>
      <sz val="11"/>
      <u val="single"/>
      <scheme val="minor"/>
    </font>
    <font>
      <name val="Calibri"/>
      <family val="2"/>
      <color theme="1"/>
      <sz val="11"/>
      <scheme val="minor"/>
    </font>
    <font>
      <name val="Aileron Light"/>
      <family val="3"/>
      <color theme="1"/>
      <sz val="11"/>
    </font>
    <font>
      <name val="Calibri"/>
      <family val="2"/>
      <color theme="1"/>
      <sz val="12"/>
      <scheme val="minor"/>
    </font>
    <font>
      <name val="Aileron Light"/>
      <family val="3"/>
      <b val="1"/>
      <color rgb="FF000000"/>
      <sz val="11"/>
    </font>
    <font>
      <name val="Aileron Light"/>
      <family val="3"/>
      <b val="1"/>
      <color rgb="FF000000"/>
      <sz val="8"/>
    </font>
    <font>
      <name val="Aileron Light"/>
      <family val="3"/>
      <color rgb="FF000000"/>
      <sz val="7"/>
    </font>
    <font>
      <name val="Aileron Light"/>
      <family val="3"/>
      <b val="1"/>
      <color rgb="FF000000"/>
      <sz val="7"/>
    </font>
    <font>
      <name val="Aileron Light"/>
      <family val="3"/>
      <b val="1"/>
      <color theme="1"/>
      <sz val="8"/>
    </font>
    <font>
      <name val="Aileron Light"/>
      <family val="3"/>
      <b val="1"/>
      <color rgb="FF000000"/>
      <sz val="9"/>
    </font>
    <font>
      <name val="Aileron Light"/>
      <family val="3"/>
      <color rgb="FF000000"/>
      <sz val="9"/>
    </font>
    <font>
      <name val="Aileron Light"/>
      <family val="3"/>
      <color rgb="FF000000"/>
      <sz val="6"/>
    </font>
    <font>
      <name val="Aileron Light"/>
      <family val="3"/>
      <b val="1"/>
      <color theme="1"/>
      <sz val="10"/>
    </font>
    <font>
      <name val="Aileron Light"/>
      <family val="3"/>
      <b val="1"/>
      <color rgb="FF000000"/>
      <sz val="10"/>
    </font>
    <font>
      <name val="Aileron Light"/>
      <family val="3"/>
      <color rgb="FF000000"/>
      <sz val="10"/>
    </font>
    <font>
      <name val="Aileron Light"/>
      <family val="3"/>
      <color rgb="FF000000"/>
      <sz val="8"/>
    </font>
    <font>
      <name val="Aileron Light"/>
      <family val="3"/>
      <color theme="1"/>
      <sz val="8"/>
    </font>
    <font>
      <name val="Aileron Light"/>
      <family val="3"/>
      <color rgb="FFFF0000"/>
      <sz val="11"/>
    </font>
    <font>
      <name val="Be Vietnam Pro Light"/>
      <color theme="1"/>
      <sz val="10"/>
    </font>
    <font>
      <name val="Be Vietnam Pro Medium"/>
      <color theme="1"/>
      <sz val="10"/>
    </font>
    <font>
      <name val="Be Vietnam Pro Light"/>
      <color theme="0"/>
      <sz val="10"/>
    </font>
    <font>
      <name val="Be Vietnam Pro Light"/>
      <color theme="1"/>
      <sz val="9"/>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color rgb="FF006100"/>
      <sz val="11"/>
      <scheme val="minor"/>
    </font>
    <font>
      <name val="Calibri"/>
      <family val="2"/>
      <color rgb="FF9C0006"/>
      <sz val="11"/>
      <scheme val="minor"/>
    </font>
    <font>
      <name val="Calibri"/>
      <family val="2"/>
      <color rgb="FF3F3F76"/>
      <sz val="11"/>
      <scheme val="minor"/>
    </font>
    <font>
      <name val="Calibri"/>
      <family val="2"/>
      <b val="1"/>
      <color rgb="FF3F3F3F"/>
      <sz val="11"/>
      <scheme val="minor"/>
    </font>
    <font>
      <name val="Calibri"/>
      <family val="2"/>
      <b val="1"/>
      <color rgb="FFFA7D00"/>
      <sz val="11"/>
      <scheme val="minor"/>
    </font>
    <font>
      <name val="Calibri"/>
      <family val="2"/>
      <color rgb="FFFA7D00"/>
      <sz val="11"/>
      <scheme val="minor"/>
    </font>
    <font>
      <name val="Calibri"/>
      <family val="2"/>
      <b val="1"/>
      <color theme="0"/>
      <sz val="11"/>
      <scheme val="minor"/>
    </font>
    <font>
      <name val="Calibri"/>
      <family val="2"/>
      <color rgb="FFFF0000"/>
      <sz val="11"/>
      <scheme val="minor"/>
    </font>
    <font>
      <name val="Calibri"/>
      <family val="2"/>
      <i val="1"/>
      <color rgb="FF7F7F7F"/>
      <sz val="11"/>
      <scheme val="minor"/>
    </font>
    <font>
      <name val="Calibri"/>
      <family val="2"/>
      <b val="1"/>
      <color theme="1"/>
      <sz val="11"/>
      <scheme val="minor"/>
    </font>
    <font>
      <name val="Calibri"/>
      <family val="2"/>
      <color theme="0"/>
      <sz val="11"/>
      <scheme val="minor"/>
    </font>
    <font>
      <name val="Arial"/>
      <family val="2"/>
      <color rgb="FF000000"/>
      <sz val="7"/>
    </font>
    <font>
      <name val="Arial"/>
      <family val="2"/>
      <color rgb="FFFFFFFF"/>
      <sz val="9"/>
    </font>
    <font>
      <name val="Calibri"/>
      <family val="2"/>
      <color rgb="FF9C6500"/>
      <sz val="11"/>
      <scheme val="minor"/>
    </font>
    <font>
      <name val="Arial"/>
      <family val="2"/>
      <sz val="10"/>
    </font>
    <font>
      <name val="Calibri"/>
      <family val="2"/>
      <color indexed="8"/>
      <sz val="11"/>
    </font>
    <font>
      <name val="Arial"/>
      <family val="2"/>
      <color indexed="12"/>
      <sz val="10"/>
      <u val="single"/>
    </font>
    <font>
      <name val="MS Sans Serif"/>
      <family val="2"/>
      <color indexed="8"/>
      <sz val="10"/>
    </font>
    <font>
      <name val="Calibri Light"/>
      <family val="2"/>
      <b val="1"/>
      <color theme="3"/>
      <sz val="18"/>
      <scheme val="major"/>
    </font>
    <font>
      <name val="Aptos Narrow"/>
      <color rgb="FF000000"/>
      <sz val="11"/>
    </font>
    <font>
      <name val="Muli"/>
      <charset val="1"/>
      <color rgb="FF666666"/>
      <sz val="8.800000000000001"/>
    </font>
    <font>
      <name val="Aptos Narrow"/>
      <family val="2"/>
      <color rgb="FF000000"/>
      <sz val="11"/>
    </font>
  </fonts>
  <fills count="49">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rgb="FF000000"/>
      </patternFill>
    </fill>
    <fill>
      <patternFill patternType="solid">
        <fgColor rgb="FFBFBFBF"/>
        <bgColor rgb="FF000000"/>
      </patternFill>
    </fill>
    <fill>
      <patternFill patternType="solid">
        <fgColor rgb="FFF2F2F2"/>
        <bgColor rgb="FF000000"/>
      </patternFill>
    </fill>
    <fill>
      <patternFill patternType="solid">
        <fgColor theme="0" tint="-0.0499893185216834"/>
        <bgColor rgb="FF000000"/>
      </patternFill>
    </fill>
    <fill>
      <patternFill patternType="solid">
        <fgColor theme="0"/>
        <bgColor rgb="FF000000"/>
      </patternFill>
    </fill>
    <fill>
      <patternFill patternType="solid">
        <fgColor theme="0" tint="-0.249977111117893"/>
        <bgColor rgb="FF000000"/>
      </patternFill>
    </fill>
    <fill>
      <patternFill patternType="solid">
        <fgColor theme="0" tint="-0.1499984740745262"/>
        <bgColor rgb="FF000000"/>
      </patternFill>
    </fill>
    <fill>
      <patternFill patternType="solid">
        <fgColor theme="0" tint="-0.1499984740745262"/>
        <bgColor indexed="64"/>
      </patternFill>
    </fill>
    <fill>
      <patternFill patternType="solid">
        <fgColor rgb="FFFFFF00"/>
        <bgColor indexed="64"/>
      </patternFill>
    </fill>
    <fill>
      <patternFill patternType="solid">
        <fgColor theme="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rgb="FFFFFFFF"/>
        <bgColor indexed="64"/>
      </patternFill>
    </fill>
    <fill>
      <patternFill patternType="solid">
        <fgColor rgb="FF0000FF"/>
        <bgColor indexed="64"/>
      </patternFill>
    </fill>
    <fill>
      <patternFill patternType="solid">
        <fgColor rgb="FFF8F8F8"/>
        <bgColor indexed="64"/>
      </patternFill>
    </fill>
    <fill>
      <patternFill patternType="solid">
        <fgColor rgb="FFDAF2D0"/>
        <bgColor rgb="FFDAF2D0"/>
      </patternFill>
    </fill>
  </fills>
  <borders count="14">
    <border>
      <left/>
      <right/>
      <top/>
      <bottom/>
      <diagonal/>
    </border>
    <border>
      <left style="thin">
        <color indexed="64"/>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style="thick">
        <color rgb="FFFFFFFF"/>
      </top>
      <bottom style="thick">
        <color rgb="FFD4D4D4"/>
      </bottom>
      <diagonal/>
    </border>
    <border>
      <left/>
      <right/>
      <top style="thin">
        <color rgb="FF8ED973"/>
      </top>
      <bottom style="thin">
        <color rgb="FF8ED973"/>
      </bottom>
      <diagonal/>
    </border>
  </borders>
  <cellStyleXfs count="52846">
    <xf numFmtId="0" fontId="5" fillId="0" borderId="0"/>
    <xf numFmtId="0" fontId="7" fillId="0" borderId="0"/>
    <xf numFmtId="9" fontId="7" fillId="0" borderId="0"/>
    <xf numFmtId="169" fontId="7" fillId="0" borderId="0"/>
    <xf numFmtId="9" fontId="5" fillId="0" borderId="0"/>
    <xf numFmtId="169" fontId="5" fillId="0" borderId="0"/>
    <xf numFmtId="0" fontId="40" fillId="45" borderId="11" applyAlignment="1">
      <alignment vertical="center"/>
    </xf>
    <xf numFmtId="0" fontId="41" fillId="46" borderId="11" applyAlignment="1">
      <alignment vertical="center"/>
    </xf>
    <xf numFmtId="173" fontId="5" fillId="0" borderId="0"/>
    <xf numFmtId="169" fontId="5" fillId="0" borderId="0"/>
    <xf numFmtId="174" fontId="5" fillId="0" borderId="0"/>
    <xf numFmtId="169" fontId="5" fillId="0" borderId="0"/>
    <xf numFmtId="174" fontId="5" fillId="0" borderId="0"/>
    <xf numFmtId="174" fontId="5" fillId="0" borderId="0"/>
    <xf numFmtId="174"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5" fontId="5" fillId="0" borderId="0"/>
    <xf numFmtId="175" fontId="5" fillId="0" borderId="0"/>
    <xf numFmtId="176" fontId="5" fillId="0" borderId="0"/>
    <xf numFmtId="169" fontId="5" fillId="0" borderId="0"/>
    <xf numFmtId="174" fontId="5" fillId="0" borderId="0"/>
    <xf numFmtId="177" fontId="43" fillId="0" borderId="0"/>
    <xf numFmtId="178" fontId="43" fillId="0" borderId="0"/>
    <xf numFmtId="173" fontId="43" fillId="0" borderId="0"/>
    <xf numFmtId="177" fontId="5" fillId="0" borderId="0"/>
    <xf numFmtId="177" fontId="43" fillId="0" borderId="0" applyAlignment="1">
      <alignment wrapText="1"/>
    </xf>
    <xf numFmtId="177" fontId="44" fillId="0" borderId="0"/>
    <xf numFmtId="177" fontId="5" fillId="0" borderId="0"/>
    <xf numFmtId="177" fontId="5" fillId="0" borderId="0"/>
    <xf numFmtId="177" fontId="5" fillId="0" borderId="0"/>
    <xf numFmtId="177" fontId="43" fillId="0" borderId="0"/>
    <xf numFmtId="177" fontId="45" fillId="0" borderId="0" applyAlignment="1" applyProtection="1">
      <alignment vertical="top"/>
      <protection locked="0" hidden="0"/>
    </xf>
    <xf numFmtId="177" fontId="43" fillId="0" borderId="0"/>
    <xf numFmtId="177" fontId="5" fillId="0" borderId="0"/>
    <xf numFmtId="177" fontId="43" fillId="0" borderId="0"/>
    <xf numFmtId="178" fontId="43" fillId="0" borderId="0"/>
    <xf numFmtId="177" fontId="5" fillId="0" borderId="0"/>
    <xf numFmtId="177" fontId="43" fillId="0" borderId="0" applyAlignment="1">
      <alignment wrapText="1"/>
    </xf>
    <xf numFmtId="177" fontId="5" fillId="0" borderId="0"/>
    <xf numFmtId="177" fontId="5" fillId="0" borderId="0"/>
    <xf numFmtId="177" fontId="5" fillId="0" borderId="0"/>
    <xf numFmtId="179" fontId="43"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43"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43" fillId="0" borderId="0"/>
    <xf numFmtId="177" fontId="43" fillId="0" borderId="0"/>
    <xf numFmtId="175" fontId="43" fillId="0" borderId="0"/>
    <xf numFmtId="177" fontId="5" fillId="0" borderId="0"/>
    <xf numFmtId="177" fontId="5" fillId="0" borderId="0"/>
    <xf numFmtId="177" fontId="5" fillId="0" borderId="0"/>
    <xf numFmtId="177" fontId="5" fillId="0" borderId="0"/>
    <xf numFmtId="177" fontId="43" fillId="0" borderId="0"/>
    <xf numFmtId="173" fontId="5" fillId="0" borderId="0"/>
    <xf numFmtId="178" fontId="43" fillId="0" borderId="0"/>
    <xf numFmtId="173" fontId="43" fillId="0" borderId="0"/>
    <xf numFmtId="177" fontId="43" fillId="0" borderId="0"/>
    <xf numFmtId="177" fontId="46" fillId="0" borderId="0"/>
    <xf numFmtId="177" fontId="46" fillId="0" borderId="0" applyAlignment="1">
      <alignment vertical="center"/>
    </xf>
    <xf numFmtId="177" fontId="43" fillId="0" borderId="0"/>
    <xf numFmtId="177" fontId="43" fillId="0" borderId="0"/>
    <xf numFmtId="177" fontId="43" fillId="0" borderId="0"/>
    <xf numFmtId="177" fontId="43" fillId="0" borderId="0"/>
    <xf numFmtId="177" fontId="43" fillId="0" borderId="0"/>
    <xf numFmtId="177" fontId="43" fillId="0" borderId="0"/>
    <xf numFmtId="177" fontId="5" fillId="0" borderId="0"/>
    <xf numFmtId="177" fontId="43" fillId="0" borderId="0"/>
    <xf numFmtId="177" fontId="43" fillId="0" borderId="0"/>
    <xf numFmtId="177" fontId="43" fillId="0" borderId="0"/>
    <xf numFmtId="177" fontId="43" fillId="0" borderId="0"/>
    <xf numFmtId="177" fontId="43" fillId="0" borderId="0"/>
    <xf numFmtId="177" fontId="43" fillId="0" borderId="0"/>
    <xf numFmtId="177" fontId="43" fillId="0" borderId="0"/>
    <xf numFmtId="177" fontId="43" fillId="0" borderId="0"/>
    <xf numFmtId="177" fontId="43" fillId="0" borderId="0"/>
    <xf numFmtId="177" fontId="43" fillId="0" borderId="0"/>
    <xf numFmtId="177" fontId="43" fillId="0" borderId="0"/>
    <xf numFmtId="177" fontId="43" fillId="0" borderId="0"/>
    <xf numFmtId="178" fontId="43"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43"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43"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3" fontId="43" fillId="0" borderId="0"/>
    <xf numFmtId="177" fontId="5" fillId="0" borderId="0"/>
    <xf numFmtId="177" fontId="5" fillId="0" borderId="0"/>
    <xf numFmtId="177" fontId="5" fillId="0" borderId="0"/>
    <xf numFmtId="177" fontId="5" fillId="0" borderId="0"/>
    <xf numFmtId="177" fontId="43" fillId="0" borderId="0"/>
    <xf numFmtId="177" fontId="43" fillId="0" borderId="0"/>
    <xf numFmtId="177" fontId="43" fillId="0" borderId="0"/>
    <xf numFmtId="177" fontId="43" fillId="0" borderId="0"/>
    <xf numFmtId="177" fontId="43" fillId="0" borderId="0"/>
    <xf numFmtId="177" fontId="43" fillId="0" borderId="0"/>
    <xf numFmtId="177" fontId="43" fillId="0" borderId="0"/>
    <xf numFmtId="177" fontId="43" fillId="0" borderId="0"/>
    <xf numFmtId="177" fontId="43" fillId="0" borderId="0"/>
    <xf numFmtId="177" fontId="5" fillId="0" borderId="0"/>
    <xf numFmtId="177" fontId="43" fillId="0" borderId="0"/>
    <xf numFmtId="177" fontId="43" fillId="0" borderId="0"/>
    <xf numFmtId="177" fontId="43" fillId="0" borderId="0"/>
    <xf numFmtId="177" fontId="43" fillId="0" borderId="0"/>
    <xf numFmtId="177" fontId="43" fillId="0" borderId="0"/>
    <xf numFmtId="177" fontId="43" fillId="0" borderId="0"/>
    <xf numFmtId="177" fontId="43" fillId="0" borderId="0"/>
    <xf numFmtId="177" fontId="43" fillId="0" borderId="0"/>
    <xf numFmtId="177" fontId="43" fillId="0" borderId="0"/>
    <xf numFmtId="177" fontId="43" fillId="0" borderId="0"/>
    <xf numFmtId="177" fontId="5" fillId="0" borderId="0"/>
    <xf numFmtId="177" fontId="43" fillId="0" borderId="0"/>
    <xf numFmtId="177" fontId="5" fillId="0" borderId="0"/>
    <xf numFmtId="177" fontId="5" fillId="0" borderId="0"/>
    <xf numFmtId="177" fontId="5" fillId="0" borderId="0"/>
    <xf numFmtId="177" fontId="5" fillId="0" borderId="0"/>
    <xf numFmtId="177" fontId="43"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43"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5" fontId="43" fillId="0" borderId="0"/>
    <xf numFmtId="177" fontId="5" fillId="0" borderId="0"/>
    <xf numFmtId="177" fontId="5" fillId="0" borderId="0"/>
    <xf numFmtId="177" fontId="5" fillId="0" borderId="0"/>
    <xf numFmtId="177" fontId="5" fillId="0" borderId="0"/>
    <xf numFmtId="173" fontId="5" fillId="0" borderId="0"/>
    <xf numFmtId="173" fontId="43" fillId="0" borderId="0"/>
    <xf numFmtId="177" fontId="46" fillId="0" borderId="0" applyAlignment="1">
      <alignment vertical="center"/>
    </xf>
    <xf numFmtId="177" fontId="43" fillId="0" borderId="0"/>
    <xf numFmtId="177" fontId="43" fillId="0" borderId="0"/>
    <xf numFmtId="177" fontId="5" fillId="0" borderId="0"/>
    <xf numFmtId="177" fontId="43" fillId="0" borderId="0"/>
    <xf numFmtId="177" fontId="43" fillId="0" borderId="0"/>
    <xf numFmtId="177" fontId="43" fillId="0" borderId="0"/>
    <xf numFmtId="177" fontId="5" fillId="0" borderId="0"/>
    <xf numFmtId="177" fontId="43" fillId="0" borderId="0"/>
    <xf numFmtId="177" fontId="43" fillId="0" borderId="0"/>
    <xf numFmtId="177" fontId="43" fillId="0" borderId="0"/>
    <xf numFmtId="177" fontId="43" fillId="0" borderId="0"/>
    <xf numFmtId="177" fontId="43" fillId="0" borderId="0"/>
    <xf numFmtId="177" fontId="43" fillId="0" borderId="0"/>
    <xf numFmtId="177" fontId="43" fillId="0" borderId="0"/>
    <xf numFmtId="177" fontId="43" fillId="0" borderId="0"/>
    <xf numFmtId="177" fontId="43" fillId="0" borderId="0"/>
    <xf numFmtId="177" fontId="43" fillId="0" borderId="0"/>
    <xf numFmtId="177" fontId="43"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43"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43" fillId="0" borderId="0"/>
    <xf numFmtId="177" fontId="5" fillId="0" borderId="0"/>
    <xf numFmtId="177" fontId="43" fillId="0" borderId="0"/>
    <xf numFmtId="177" fontId="43" fillId="0" borderId="0"/>
    <xf numFmtId="177" fontId="43" fillId="0" borderId="0"/>
    <xf numFmtId="177" fontId="43" fillId="0" borderId="0"/>
    <xf numFmtId="175" fontId="43" fillId="0" borderId="0"/>
    <xf numFmtId="177" fontId="43" fillId="0" borderId="0"/>
    <xf numFmtId="177" fontId="43" fillId="0" borderId="0"/>
    <xf numFmtId="177" fontId="43" fillId="0" borderId="0"/>
    <xf numFmtId="177" fontId="5" fillId="0" borderId="0"/>
    <xf numFmtId="175" fontId="43" fillId="0" borderId="0"/>
    <xf numFmtId="173" fontId="43" fillId="0" borderId="0"/>
    <xf numFmtId="177" fontId="46" fillId="0" borderId="0" applyAlignment="1">
      <alignment vertical="center"/>
    </xf>
    <xf numFmtId="177" fontId="43" fillId="0" borderId="0"/>
    <xf numFmtId="177" fontId="43" fillId="0" borderId="0"/>
    <xf numFmtId="177" fontId="43" fillId="0" borderId="0"/>
    <xf numFmtId="177" fontId="43" fillId="0" borderId="0"/>
    <xf numFmtId="177" fontId="43" fillId="0" borderId="0"/>
    <xf numFmtId="177" fontId="43" fillId="0" borderId="0"/>
    <xf numFmtId="177" fontId="43" fillId="0" borderId="0"/>
    <xf numFmtId="177" fontId="43" fillId="0" borderId="0"/>
    <xf numFmtId="177" fontId="43" fillId="0" borderId="0"/>
    <xf numFmtId="177" fontId="43" fillId="0" borderId="0"/>
    <xf numFmtId="177" fontId="43" fillId="0" borderId="0"/>
    <xf numFmtId="177" fontId="43" fillId="0" borderId="0"/>
    <xf numFmtId="177" fontId="43" fillId="0" borderId="0"/>
    <xf numFmtId="177" fontId="43" fillId="0" borderId="0"/>
    <xf numFmtId="177" fontId="43" fillId="0" borderId="0"/>
    <xf numFmtId="177" fontId="43" fillId="0" borderId="0"/>
    <xf numFmtId="177" fontId="43" fillId="0" borderId="0"/>
    <xf numFmtId="177" fontId="43" fillId="0" borderId="0"/>
    <xf numFmtId="177" fontId="43" fillId="0" borderId="0"/>
    <xf numFmtId="177" fontId="43" fillId="0" borderId="0"/>
    <xf numFmtId="177" fontId="43" fillId="0" borderId="0"/>
    <xf numFmtId="177" fontId="43" fillId="0" borderId="0"/>
    <xf numFmtId="177" fontId="43" fillId="0" borderId="0"/>
    <xf numFmtId="177" fontId="43" fillId="0" borderId="0"/>
    <xf numFmtId="177" fontId="43" fillId="0" borderId="0"/>
    <xf numFmtId="177" fontId="46" fillId="0" borderId="0" applyAlignment="1">
      <alignment vertical="center"/>
    </xf>
    <xf numFmtId="177" fontId="5" fillId="0" borderId="0"/>
    <xf numFmtId="177" fontId="5" fillId="0" borderId="0"/>
    <xf numFmtId="177" fontId="43" fillId="0" borderId="0"/>
    <xf numFmtId="177" fontId="43" fillId="0" borderId="0"/>
    <xf numFmtId="177" fontId="43" fillId="0" borderId="0"/>
    <xf numFmtId="177" fontId="43" fillId="0" borderId="0"/>
    <xf numFmtId="177" fontId="43" fillId="0" borderId="0"/>
    <xf numFmtId="177" fontId="5" fillId="0" borderId="0"/>
    <xf numFmtId="175" fontId="43" fillId="0" borderId="0"/>
    <xf numFmtId="173" fontId="43" fillId="0" borderId="0"/>
    <xf numFmtId="177" fontId="43" fillId="0" borderId="0"/>
    <xf numFmtId="177" fontId="43" fillId="0" borderId="0"/>
    <xf numFmtId="177" fontId="5" fillId="0" borderId="0"/>
    <xf numFmtId="177" fontId="5" fillId="0" borderId="0"/>
    <xf numFmtId="177" fontId="46" fillId="0" borderId="0" applyAlignment="1">
      <alignment vertical="center"/>
    </xf>
    <xf numFmtId="177" fontId="43" fillId="0" borderId="0"/>
    <xf numFmtId="177" fontId="5" fillId="0" borderId="0"/>
    <xf numFmtId="177" fontId="43" fillId="0" borderId="0"/>
    <xf numFmtId="173" fontId="43" fillId="0" borderId="0"/>
    <xf numFmtId="177" fontId="43" fillId="0" borderId="0"/>
    <xf numFmtId="177" fontId="43" fillId="0" borderId="0"/>
    <xf numFmtId="177" fontId="43" fillId="0" borderId="0"/>
    <xf numFmtId="175" fontId="43" fillId="0" borderId="0"/>
    <xf numFmtId="177" fontId="5" fillId="0" borderId="0"/>
    <xf numFmtId="173" fontId="43" fillId="0" borderId="0"/>
    <xf numFmtId="177" fontId="43" fillId="0" borderId="0"/>
    <xf numFmtId="177" fontId="43" fillId="0" borderId="0"/>
    <xf numFmtId="177" fontId="43" fillId="0" borderId="0"/>
    <xf numFmtId="177" fontId="43" fillId="0" borderId="0"/>
    <xf numFmtId="177" fontId="43" fillId="0" borderId="0"/>
    <xf numFmtId="177" fontId="43" fillId="0" borderId="0"/>
    <xf numFmtId="177" fontId="43" fillId="0" borderId="0"/>
    <xf numFmtId="177" fontId="43" fillId="0" borderId="0"/>
    <xf numFmtId="177" fontId="43" fillId="0" borderId="0"/>
    <xf numFmtId="177" fontId="46" fillId="0" borderId="0" applyAlignment="1">
      <alignment vertical="center"/>
    </xf>
    <xf numFmtId="177" fontId="5" fillId="0" borderId="0"/>
    <xf numFmtId="177" fontId="43" fillId="0" borderId="0"/>
    <xf numFmtId="177" fontId="43" fillId="0" borderId="0"/>
    <xf numFmtId="177" fontId="43" fillId="0" borderId="0"/>
    <xf numFmtId="175" fontId="43" fillId="0" borderId="0"/>
    <xf numFmtId="177" fontId="43" fillId="0" borderId="0"/>
    <xf numFmtId="177" fontId="43" fillId="0" borderId="0"/>
    <xf numFmtId="177" fontId="43" fillId="0" borderId="0"/>
    <xf numFmtId="177" fontId="43" fillId="0" borderId="0"/>
    <xf numFmtId="177" fontId="43" fillId="0" borderId="0"/>
    <xf numFmtId="177" fontId="43" fillId="0" borderId="0"/>
    <xf numFmtId="177" fontId="43" fillId="0" borderId="0"/>
    <xf numFmtId="177" fontId="5" fillId="0" borderId="0"/>
    <xf numFmtId="177" fontId="43" fillId="0" borderId="0"/>
    <xf numFmtId="177" fontId="43" fillId="0" borderId="0"/>
    <xf numFmtId="177" fontId="43" fillId="0" borderId="0"/>
    <xf numFmtId="177" fontId="43" fillId="0" borderId="0"/>
    <xf numFmtId="177" fontId="43" fillId="0" borderId="0"/>
    <xf numFmtId="177" fontId="43" fillId="0" borderId="0"/>
    <xf numFmtId="177" fontId="43" fillId="0" borderId="0"/>
    <xf numFmtId="177" fontId="43" fillId="0" borderId="0"/>
    <xf numFmtId="177" fontId="43" fillId="0" borderId="0"/>
    <xf numFmtId="177" fontId="43" fillId="0" borderId="0"/>
    <xf numFmtId="177" fontId="43" fillId="0" borderId="0"/>
    <xf numFmtId="177" fontId="43" fillId="0" borderId="0"/>
    <xf numFmtId="177" fontId="43" fillId="0" borderId="0"/>
    <xf numFmtId="177" fontId="43" fillId="0" borderId="0"/>
    <xf numFmtId="177" fontId="5" fillId="0" borderId="0"/>
    <xf numFmtId="177" fontId="46" fillId="0" borderId="0" applyAlignment="1">
      <alignment vertical="center"/>
    </xf>
    <xf numFmtId="177" fontId="43" fillId="0" borderId="0"/>
    <xf numFmtId="173" fontId="43" fillId="0" borderId="0"/>
    <xf numFmtId="177" fontId="43" fillId="0" borderId="0"/>
    <xf numFmtId="177" fontId="43" fillId="0" borderId="0"/>
    <xf numFmtId="177" fontId="43" fillId="0" borderId="0"/>
    <xf numFmtId="177" fontId="43" fillId="0" borderId="0"/>
    <xf numFmtId="177" fontId="43" fillId="0" borderId="0"/>
    <xf numFmtId="177" fontId="43" fillId="0" borderId="0"/>
    <xf numFmtId="177" fontId="43" fillId="0" borderId="0"/>
    <xf numFmtId="177" fontId="5" fillId="0" borderId="0"/>
    <xf numFmtId="177" fontId="43" fillId="0" borderId="0"/>
    <xf numFmtId="177" fontId="43" fillId="0" borderId="0"/>
    <xf numFmtId="177" fontId="43" fillId="0" borderId="0"/>
    <xf numFmtId="177" fontId="43" fillId="0" borderId="0"/>
    <xf numFmtId="177" fontId="43" fillId="0" borderId="0"/>
    <xf numFmtId="177" fontId="43" fillId="0" borderId="0"/>
    <xf numFmtId="177" fontId="43" fillId="0" borderId="0"/>
    <xf numFmtId="177" fontId="5" fillId="0" borderId="0"/>
    <xf numFmtId="177" fontId="43"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47" fillId="0" borderId="0"/>
    <xf numFmtId="177" fontId="26" fillId="0" borderId="2"/>
    <xf numFmtId="177" fontId="27" fillId="0" borderId="3"/>
    <xf numFmtId="177" fontId="28" fillId="0" borderId="4"/>
    <xf numFmtId="177" fontId="28" fillId="0" borderId="0"/>
    <xf numFmtId="177" fontId="29" fillId="14" borderId="0"/>
    <xf numFmtId="177" fontId="30" fillId="15" borderId="0"/>
    <xf numFmtId="177" fontId="42" fillId="16" borderId="0"/>
    <xf numFmtId="177" fontId="31" fillId="17" borderId="5"/>
    <xf numFmtId="177" fontId="32" fillId="18" borderId="6"/>
    <xf numFmtId="177" fontId="33" fillId="18" borderId="5"/>
    <xf numFmtId="177" fontId="34" fillId="0" borderId="7"/>
    <xf numFmtId="177" fontId="35" fillId="19" borderId="8"/>
    <xf numFmtId="177" fontId="36" fillId="0" borderId="0"/>
    <xf numFmtId="177" fontId="37" fillId="0" borderId="0"/>
    <xf numFmtId="177" fontId="38" fillId="0" borderId="10"/>
    <xf numFmtId="177" fontId="39" fillId="21" borderId="0"/>
    <xf numFmtId="177" fontId="5" fillId="22" borderId="0"/>
    <xf numFmtId="177" fontId="5" fillId="23" borderId="0"/>
    <xf numFmtId="177" fontId="39" fillId="24" borderId="0"/>
    <xf numFmtId="177" fontId="39" fillId="25" borderId="0"/>
    <xf numFmtId="177" fontId="5" fillId="26" borderId="0"/>
    <xf numFmtId="177" fontId="5" fillId="27" borderId="0"/>
    <xf numFmtId="177" fontId="39" fillId="28" borderId="0"/>
    <xf numFmtId="177" fontId="39" fillId="29" borderId="0"/>
    <xf numFmtId="177" fontId="5" fillId="30" borderId="0"/>
    <xf numFmtId="177" fontId="5" fillId="31" borderId="0"/>
    <xf numFmtId="177" fontId="39" fillId="32" borderId="0"/>
    <xf numFmtId="177" fontId="39" fillId="33" borderId="0"/>
    <xf numFmtId="177" fontId="5" fillId="34" borderId="0"/>
    <xf numFmtId="177" fontId="5" fillId="35" borderId="0"/>
    <xf numFmtId="177" fontId="39" fillId="36" borderId="0"/>
    <xf numFmtId="177" fontId="39" fillId="37" borderId="0"/>
    <xf numFmtId="177" fontId="5" fillId="38" borderId="0"/>
    <xf numFmtId="177" fontId="5" fillId="39" borderId="0"/>
    <xf numFmtId="177" fontId="39" fillId="40" borderId="0"/>
    <xf numFmtId="177" fontId="39" fillId="41" borderId="0"/>
    <xf numFmtId="177" fontId="5" fillId="42" borderId="0"/>
    <xf numFmtId="177" fontId="5" fillId="43" borderId="0"/>
    <xf numFmtId="177" fontId="39" fillId="44" borderId="0"/>
    <xf numFmtId="177" fontId="5" fillId="0" borderId="0"/>
    <xf numFmtId="177" fontId="5" fillId="0" borderId="0"/>
    <xf numFmtId="177" fontId="5" fillId="0" borderId="0"/>
    <xf numFmtId="177" fontId="5" fillId="0" borderId="0"/>
    <xf numFmtId="177" fontId="5" fillId="20" borderId="9"/>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43" fillId="0" borderId="0"/>
    <xf numFmtId="177" fontId="43" fillId="0" borderId="0"/>
    <xf numFmtId="177" fontId="43"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3"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43"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5" fillId="0" borderId="0"/>
    <xf numFmtId="177" fontId="43" fillId="0" borderId="0"/>
    <xf numFmtId="169" fontId="43" fillId="0" borderId="0"/>
    <xf numFmtId="177" fontId="5" fillId="0" borderId="0"/>
    <xf numFmtId="177" fontId="5" fillId="0" borderId="0"/>
    <xf numFmtId="177" fontId="47" fillId="0" borderId="0"/>
    <xf numFmtId="177" fontId="26" fillId="0" borderId="2"/>
    <xf numFmtId="177" fontId="27" fillId="0" borderId="3"/>
    <xf numFmtId="177" fontId="28" fillId="0" borderId="4"/>
    <xf numFmtId="177" fontId="28" fillId="0" borderId="0"/>
    <xf numFmtId="177" fontId="29" fillId="14" borderId="0"/>
    <xf numFmtId="177" fontId="30" fillId="15" borderId="0"/>
    <xf numFmtId="177" fontId="42" fillId="16" borderId="0"/>
    <xf numFmtId="177" fontId="31" fillId="17" borderId="5"/>
    <xf numFmtId="177" fontId="32" fillId="18" borderId="6"/>
    <xf numFmtId="177" fontId="33" fillId="18" borderId="5"/>
    <xf numFmtId="177" fontId="34" fillId="0" borderId="7"/>
    <xf numFmtId="177" fontId="35" fillId="19" borderId="8"/>
    <xf numFmtId="177" fontId="36" fillId="0" borderId="0"/>
    <xf numFmtId="177" fontId="5" fillId="20" borderId="9"/>
    <xf numFmtId="177" fontId="37" fillId="0" borderId="0"/>
    <xf numFmtId="177" fontId="38" fillId="0" borderId="10"/>
    <xf numFmtId="177" fontId="39" fillId="21" borderId="0"/>
    <xf numFmtId="177" fontId="5" fillId="22" borderId="0"/>
    <xf numFmtId="177" fontId="5" fillId="23" borderId="0"/>
    <xf numFmtId="177" fontId="39" fillId="24" borderId="0"/>
    <xf numFmtId="177" fontId="39" fillId="25" borderId="0"/>
    <xf numFmtId="177" fontId="5" fillId="26" borderId="0"/>
    <xf numFmtId="177" fontId="5" fillId="27" borderId="0"/>
    <xf numFmtId="177" fontId="39" fillId="28" borderId="0"/>
    <xf numFmtId="177" fontId="39" fillId="29" borderId="0"/>
    <xf numFmtId="177" fontId="5" fillId="30" borderId="0"/>
    <xf numFmtId="177" fontId="5" fillId="31" borderId="0"/>
    <xf numFmtId="177" fontId="39" fillId="32" borderId="0"/>
    <xf numFmtId="177" fontId="39" fillId="33" borderId="0"/>
    <xf numFmtId="177" fontId="5" fillId="34" borderId="0"/>
    <xf numFmtId="177" fontId="5" fillId="35" borderId="0"/>
    <xf numFmtId="177" fontId="39" fillId="36" borderId="0"/>
    <xf numFmtId="177" fontId="39" fillId="37" borderId="0"/>
    <xf numFmtId="177" fontId="5" fillId="38" borderId="0"/>
    <xf numFmtId="177" fontId="5" fillId="39" borderId="0"/>
    <xf numFmtId="177" fontId="39" fillId="40" borderId="0"/>
    <xf numFmtId="177" fontId="39" fillId="41" borderId="0"/>
    <xf numFmtId="177" fontId="5" fillId="42" borderId="0"/>
    <xf numFmtId="177" fontId="5" fillId="43" borderId="0"/>
    <xf numFmtId="177" fontId="39" fillId="44" borderId="0"/>
    <xf numFmtId="177" fontId="5" fillId="0" borderId="0"/>
    <xf numFmtId="177" fontId="5" fillId="20" borderId="9"/>
    <xf numFmtId="177" fontId="5" fillId="22" borderId="0"/>
    <xf numFmtId="177" fontId="5" fillId="23" borderId="0"/>
    <xf numFmtId="177" fontId="5" fillId="26" borderId="0"/>
    <xf numFmtId="177" fontId="5" fillId="27" borderId="0"/>
    <xf numFmtId="177" fontId="5" fillId="30" borderId="0"/>
    <xf numFmtId="177" fontId="5" fillId="31" borderId="0"/>
    <xf numFmtId="177" fontId="5" fillId="34" borderId="0"/>
    <xf numFmtId="177" fontId="5" fillId="35" borderId="0"/>
    <xf numFmtId="177" fontId="5" fillId="38" borderId="0"/>
    <xf numFmtId="177" fontId="5" fillId="39" borderId="0"/>
    <xf numFmtId="177" fontId="5" fillId="42" borderId="0"/>
    <xf numFmtId="177" fontId="5" fillId="43" borderId="0"/>
    <xf numFmtId="177" fontId="5" fillId="0" borderId="0"/>
    <xf numFmtId="177" fontId="5" fillId="0" borderId="0"/>
    <xf numFmtId="177" fontId="40" fillId="45" borderId="11" applyAlignment="1">
      <alignment vertical="center"/>
    </xf>
    <xf numFmtId="177" fontId="5" fillId="0" borderId="0"/>
    <xf numFmtId="177" fontId="5" fillId="0" borderId="0"/>
    <xf numFmtId="177" fontId="5" fillId="0" borderId="0"/>
    <xf numFmtId="177" fontId="5" fillId="0" borderId="0"/>
    <xf numFmtId="177" fontId="5" fillId="0" borderId="0"/>
    <xf numFmtId="177" fontId="40" fillId="45" borderId="11" applyAlignment="1">
      <alignment vertical="center"/>
    </xf>
    <xf numFmtId="177" fontId="41" fillId="46" borderId="11" applyAlignment="1">
      <alignment vertical="center"/>
    </xf>
    <xf numFmtId="177" fontId="5" fillId="0" borderId="0"/>
    <xf numFmtId="177" fontId="5" fillId="0" borderId="0"/>
    <xf numFmtId="177" fontId="5" fillId="0" borderId="0"/>
    <xf numFmtId="177" fontId="5" fillId="0" borderId="0"/>
    <xf numFmtId="177" fontId="5" fillId="0" borderId="0"/>
    <xf numFmtId="177" fontId="5" fillId="0" borderId="0"/>
    <xf numFmtId="169" fontId="5" fillId="0" borderId="0"/>
    <xf numFmtId="177" fontId="5" fillId="0" borderId="0"/>
    <xf numFmtId="177" fontId="5" fillId="0" borderId="0"/>
    <xf numFmtId="177" fontId="5" fillId="0" borderId="0"/>
    <xf numFmtId="169" fontId="5" fillId="0" borderId="0"/>
    <xf numFmtId="177" fontId="5" fillId="0" borderId="0"/>
    <xf numFmtId="177" fontId="5" fillId="0" borderId="0"/>
    <xf numFmtId="177" fontId="5" fillId="0" borderId="0"/>
    <xf numFmtId="177" fontId="5" fillId="0" borderId="0"/>
    <xf numFmtId="0" fontId="5" fillId="0" borderId="0"/>
    <xf numFmtId="0" fontId="40" fillId="45" borderId="11" applyAlignment="1">
      <alignment vertical="center"/>
    </xf>
    <xf numFmtId="0" fontId="41" fillId="46" borderId="11" applyAlignment="1">
      <alignment vertical="center"/>
    </xf>
    <xf numFmtId="169"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9" fontId="5" fillId="0" borderId="0"/>
    <xf numFmtId="0" fontId="5" fillId="0" borderId="0"/>
    <xf numFmtId="0" fontId="5" fillId="0" borderId="0"/>
    <xf numFmtId="0" fontId="5" fillId="0" borderId="0"/>
    <xf numFmtId="0" fontId="5" fillId="0" borderId="0"/>
    <xf numFmtId="0" fontId="5" fillId="0" borderId="0"/>
    <xf numFmtId="0" fontId="5" fillId="0" borderId="0"/>
    <xf numFmtId="169" fontId="5" fillId="0" borderId="0"/>
    <xf numFmtId="0" fontId="5" fillId="0" borderId="0"/>
    <xf numFmtId="0" fontId="5" fillId="0" borderId="0"/>
    <xf numFmtId="0" fontId="5" fillId="0" borderId="0"/>
    <xf numFmtId="0" fontId="5" fillId="0" borderId="0"/>
    <xf numFmtId="169" fontId="5" fillId="0" borderId="0"/>
    <xf numFmtId="0" fontId="5" fillId="0" borderId="0"/>
    <xf numFmtId="0" fontId="5" fillId="0" borderId="0"/>
    <xf numFmtId="0" fontId="5" fillId="0" borderId="0"/>
    <xf numFmtId="169" fontId="5" fillId="0" borderId="0"/>
    <xf numFmtId="0" fontId="5" fillId="0" borderId="0"/>
    <xf numFmtId="0" fontId="5" fillId="0" borderId="0"/>
    <xf numFmtId="169" fontId="5" fillId="0" borderId="0"/>
    <xf numFmtId="0" fontId="5" fillId="0" borderId="0"/>
    <xf numFmtId="169" fontId="5" fillId="0" borderId="0"/>
    <xf numFmtId="0" fontId="5" fillId="0" borderId="0"/>
    <xf numFmtId="169" fontId="5" fillId="0" borderId="0"/>
    <xf numFmtId="0" fontId="5" fillId="0" borderId="0"/>
    <xf numFmtId="169" fontId="5" fillId="0" borderId="0"/>
    <xf numFmtId="0" fontId="5" fillId="0" borderId="0"/>
    <xf numFmtId="169" fontId="5" fillId="0" borderId="0"/>
    <xf numFmtId="0" fontId="5" fillId="0" borderId="0"/>
    <xf numFmtId="169" fontId="5" fillId="0" borderId="0"/>
    <xf numFmtId="0" fontId="5" fillId="0" borderId="0"/>
    <xf numFmtId="169" fontId="5" fillId="0" borderId="0"/>
    <xf numFmtId="0" fontId="5" fillId="0" borderId="0"/>
    <xf numFmtId="169" fontId="5" fillId="0" borderId="0"/>
    <xf numFmtId="0" fontId="5" fillId="0" borderId="0"/>
    <xf numFmtId="169" fontId="5" fillId="0" borderId="0"/>
    <xf numFmtId="0" fontId="5" fillId="0" borderId="0"/>
    <xf numFmtId="169" fontId="5" fillId="0" borderId="0"/>
    <xf numFmtId="0" fontId="5" fillId="0" borderId="0"/>
    <xf numFmtId="169" fontId="5" fillId="0" borderId="0"/>
    <xf numFmtId="0" fontId="5" fillId="0" borderId="0"/>
    <xf numFmtId="169" fontId="5" fillId="0" borderId="0"/>
    <xf numFmtId="0" fontId="5" fillId="0" borderId="0"/>
    <xf numFmtId="169" fontId="5" fillId="0" borderId="0"/>
    <xf numFmtId="0" fontId="5" fillId="0" borderId="0"/>
    <xf numFmtId="0" fontId="5" fillId="0" borderId="0"/>
    <xf numFmtId="169" fontId="5" fillId="0" borderId="0"/>
    <xf numFmtId="0" fontId="5" fillId="0" borderId="0"/>
    <xf numFmtId="169" fontId="5" fillId="0" borderId="0"/>
    <xf numFmtId="0" fontId="5" fillId="0" borderId="0"/>
    <xf numFmtId="169" fontId="5" fillId="0" borderId="0"/>
    <xf numFmtId="0" fontId="5" fillId="0" borderId="0"/>
    <xf numFmtId="169" fontId="5" fillId="0" borderId="0"/>
    <xf numFmtId="0" fontId="5" fillId="0" borderId="0"/>
    <xf numFmtId="169" fontId="5" fillId="0" borderId="0"/>
    <xf numFmtId="0" fontId="5" fillId="0" borderId="0"/>
    <xf numFmtId="169" fontId="5" fillId="0" borderId="0"/>
    <xf numFmtId="0" fontId="5" fillId="0" borderId="0"/>
    <xf numFmtId="169" fontId="5" fillId="0" borderId="0"/>
    <xf numFmtId="0" fontId="5" fillId="0" borderId="0"/>
    <xf numFmtId="169" fontId="5" fillId="0" borderId="0"/>
    <xf numFmtId="0" fontId="5" fillId="0" borderId="0"/>
    <xf numFmtId="169" fontId="5" fillId="0" borderId="0"/>
    <xf numFmtId="0" fontId="5" fillId="0" borderId="0"/>
    <xf numFmtId="169" fontId="5" fillId="0" borderId="0"/>
    <xf numFmtId="0" fontId="5" fillId="0" borderId="0"/>
    <xf numFmtId="169" fontId="5" fillId="0" borderId="0"/>
    <xf numFmtId="0" fontId="5" fillId="0" borderId="0"/>
    <xf numFmtId="169" fontId="5" fillId="0" borderId="0"/>
    <xf numFmtId="0" fontId="5" fillId="0" borderId="0"/>
    <xf numFmtId="169" fontId="5" fillId="0" borderId="0"/>
    <xf numFmtId="0" fontId="5" fillId="0" borderId="0"/>
    <xf numFmtId="169" fontId="5" fillId="0" borderId="0"/>
    <xf numFmtId="0" fontId="5" fillId="0" borderId="0"/>
    <xf numFmtId="169" fontId="5" fillId="0" borderId="0"/>
    <xf numFmtId="0" fontId="5" fillId="0" borderId="0"/>
    <xf numFmtId="169" fontId="5" fillId="0" borderId="0"/>
    <xf numFmtId="0" fontId="5" fillId="0" borderId="0"/>
    <xf numFmtId="0" fontId="5" fillId="0" borderId="0"/>
    <xf numFmtId="0" fontId="5" fillId="0" borderId="0"/>
    <xf numFmtId="169" fontId="5" fillId="0" borderId="0"/>
    <xf numFmtId="0" fontId="5" fillId="0" borderId="0"/>
    <xf numFmtId="169" fontId="5" fillId="0" borderId="0"/>
    <xf numFmtId="0" fontId="5" fillId="0" borderId="0"/>
    <xf numFmtId="169" fontId="5" fillId="0" borderId="0"/>
    <xf numFmtId="0" fontId="5" fillId="0" borderId="0"/>
    <xf numFmtId="173" fontId="5" fillId="0" borderId="0"/>
    <xf numFmtId="9" fontId="5" fillId="0" borderId="0"/>
    <xf numFmtId="169"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173" fontId="5" fillId="0" borderId="0"/>
    <xf numFmtId="0" fontId="5" fillId="0" borderId="0"/>
    <xf numFmtId="169" fontId="5" fillId="0" borderId="0"/>
    <xf numFmtId="0" fontId="5" fillId="0" borderId="0"/>
    <xf numFmtId="169" fontId="5" fillId="0" borderId="0"/>
    <xf numFmtId="0" fontId="5" fillId="0" borderId="0"/>
    <xf numFmtId="169" fontId="5" fillId="0" borderId="0"/>
    <xf numFmtId="0" fontId="5" fillId="0" borderId="0"/>
    <xf numFmtId="169" fontId="5" fillId="0" borderId="0"/>
    <xf numFmtId="0" fontId="5" fillId="0" borderId="0"/>
    <xf numFmtId="169" fontId="5" fillId="0" borderId="0"/>
    <xf numFmtId="0" fontId="5" fillId="0" borderId="0"/>
    <xf numFmtId="169" fontId="5" fillId="0" borderId="0"/>
    <xf numFmtId="0" fontId="5" fillId="0" borderId="0"/>
    <xf numFmtId="169" fontId="5" fillId="0" borderId="0"/>
    <xf numFmtId="0" fontId="5" fillId="0" borderId="0"/>
    <xf numFmtId="169" fontId="5" fillId="0" borderId="0"/>
    <xf numFmtId="0" fontId="5" fillId="0" borderId="0"/>
    <xf numFmtId="169" fontId="5" fillId="0" borderId="0"/>
    <xf numFmtId="0" fontId="5" fillId="0" borderId="0"/>
    <xf numFmtId="169" fontId="5" fillId="0" borderId="0"/>
    <xf numFmtId="0" fontId="5" fillId="0" borderId="0"/>
    <xf numFmtId="0" fontId="5" fillId="0" borderId="0"/>
    <xf numFmtId="169" fontId="5" fillId="0" borderId="0"/>
    <xf numFmtId="0" fontId="5" fillId="0" borderId="0"/>
    <xf numFmtId="169" fontId="5" fillId="0" borderId="0"/>
    <xf numFmtId="0" fontId="5" fillId="0" borderId="0"/>
    <xf numFmtId="169" fontId="5" fillId="0" borderId="0"/>
    <xf numFmtId="0" fontId="5" fillId="0" borderId="0"/>
    <xf numFmtId="169" fontId="5" fillId="0" borderId="0"/>
    <xf numFmtId="0" fontId="5" fillId="0" borderId="0"/>
    <xf numFmtId="169" fontId="5" fillId="0" borderId="0"/>
    <xf numFmtId="0" fontId="5" fillId="0" borderId="0"/>
    <xf numFmtId="169" fontId="5" fillId="0" borderId="0"/>
    <xf numFmtId="0" fontId="5" fillId="0" borderId="0"/>
    <xf numFmtId="0" fontId="5" fillId="0" borderId="0"/>
    <xf numFmtId="169" fontId="5" fillId="0" borderId="0"/>
    <xf numFmtId="0" fontId="5" fillId="0" borderId="0"/>
    <xf numFmtId="169" fontId="5" fillId="0" borderId="0"/>
    <xf numFmtId="0" fontId="5" fillId="0" borderId="0"/>
    <xf numFmtId="169" fontId="5" fillId="0" borderId="0"/>
    <xf numFmtId="0" fontId="5" fillId="0" borderId="0"/>
    <xf numFmtId="169" fontId="5" fillId="0" borderId="0"/>
    <xf numFmtId="0" fontId="5" fillId="0" borderId="0"/>
    <xf numFmtId="169" fontId="5" fillId="0" borderId="0"/>
    <xf numFmtId="0" fontId="5" fillId="0" borderId="0"/>
    <xf numFmtId="0" fontId="5" fillId="0" borderId="0"/>
    <xf numFmtId="169" fontId="5" fillId="0" borderId="0"/>
    <xf numFmtId="0" fontId="5" fillId="0" borderId="0"/>
    <xf numFmtId="173" fontId="5" fillId="0" borderId="0"/>
    <xf numFmtId="9" fontId="5" fillId="0" borderId="0"/>
    <xf numFmtId="169"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9" fontId="5" fillId="0" borderId="0"/>
    <xf numFmtId="0" fontId="5" fillId="0" borderId="0"/>
    <xf numFmtId="0" fontId="5" fillId="0" borderId="0"/>
    <xf numFmtId="169" fontId="5" fillId="0" borderId="0"/>
    <xf numFmtId="0" fontId="5" fillId="0" borderId="0"/>
    <xf numFmtId="173" fontId="5" fillId="0" borderId="0"/>
    <xf numFmtId="0" fontId="47" fillId="0" borderId="0"/>
    <xf numFmtId="0" fontId="26" fillId="0" borderId="2"/>
    <xf numFmtId="0" fontId="27" fillId="0" borderId="3"/>
    <xf numFmtId="0" fontId="28" fillId="0" borderId="4"/>
    <xf numFmtId="0" fontId="28" fillId="0" borderId="0"/>
    <xf numFmtId="0" fontId="29" fillId="14" borderId="0"/>
    <xf numFmtId="0" fontId="30" fillId="15" borderId="0"/>
    <xf numFmtId="0" fontId="42" fillId="16" borderId="0"/>
    <xf numFmtId="0" fontId="31" fillId="17" borderId="5"/>
    <xf numFmtId="0" fontId="32" fillId="18" borderId="6"/>
    <xf numFmtId="0" fontId="33" fillId="18" borderId="5"/>
    <xf numFmtId="0" fontId="34" fillId="0" borderId="7"/>
    <xf numFmtId="0" fontId="35" fillId="19" borderId="8"/>
    <xf numFmtId="0" fontId="36" fillId="0" borderId="0"/>
    <xf numFmtId="0" fontId="5" fillId="20" borderId="9"/>
    <xf numFmtId="0" fontId="37" fillId="0" borderId="0"/>
    <xf numFmtId="0" fontId="38" fillId="0" borderId="10"/>
    <xf numFmtId="0" fontId="39" fillId="21" borderId="0"/>
    <xf numFmtId="0" fontId="5" fillId="22" borderId="0"/>
    <xf numFmtId="0" fontId="5" fillId="23" borderId="0"/>
    <xf numFmtId="0" fontId="39" fillId="24" borderId="0"/>
    <xf numFmtId="0" fontId="39" fillId="25" borderId="0"/>
    <xf numFmtId="0" fontId="5" fillId="26" borderId="0"/>
    <xf numFmtId="0" fontId="5" fillId="27" borderId="0"/>
    <xf numFmtId="0" fontId="39" fillId="28" borderId="0"/>
    <xf numFmtId="0" fontId="39" fillId="29" borderId="0"/>
    <xf numFmtId="0" fontId="5" fillId="30" borderId="0"/>
    <xf numFmtId="0" fontId="5" fillId="31" borderId="0"/>
    <xf numFmtId="0" fontId="39" fillId="32" borderId="0"/>
    <xf numFmtId="0" fontId="39" fillId="33" borderId="0"/>
    <xf numFmtId="0" fontId="5" fillId="34" borderId="0"/>
    <xf numFmtId="0" fontId="5" fillId="35" borderId="0"/>
    <xf numFmtId="0" fontId="39" fillId="36" borderId="0"/>
    <xf numFmtId="0" fontId="39" fillId="37" borderId="0"/>
    <xf numFmtId="0" fontId="5" fillId="38" borderId="0"/>
    <xf numFmtId="0" fontId="5" fillId="39" borderId="0"/>
    <xf numFmtId="0" fontId="39" fillId="40" borderId="0"/>
    <xf numFmtId="0" fontId="39" fillId="41" borderId="0"/>
    <xf numFmtId="0" fontId="5" fillId="42" borderId="0"/>
    <xf numFmtId="0" fontId="5" fillId="43" borderId="0"/>
    <xf numFmtId="0" fontId="39" fillId="44" borderId="0"/>
    <xf numFmtId="173" fontId="5" fillId="0" borderId="0"/>
    <xf numFmtId="0" fontId="5" fillId="0" borderId="0"/>
    <xf numFmtId="173" fontId="5" fillId="0" borderId="0"/>
    <xf numFmtId="0" fontId="5" fillId="0" borderId="0"/>
    <xf numFmtId="0" fontId="5" fillId="0" borderId="0"/>
    <xf numFmtId="169"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80" fontId="40" fillId="45" borderId="11" applyAlignment="1">
      <alignment vertical="center"/>
    </xf>
    <xf numFmtId="181" fontId="5" fillId="0" borderId="0"/>
    <xf numFmtId="175" fontId="44" fillId="0" borderId="0"/>
    <xf numFmtId="179" fontId="5" fillId="0" borderId="0"/>
    <xf numFmtId="176" fontId="5" fillId="0" borderId="0"/>
    <xf numFmtId="169" fontId="5" fillId="0" borderId="0"/>
    <xf numFmtId="0" fontId="5" fillId="0" borderId="0"/>
    <xf numFmtId="173" fontId="5" fillId="0" borderId="0"/>
    <xf numFmtId="169" fontId="5" fillId="0" borderId="0"/>
    <xf numFmtId="174" fontId="5" fillId="0" borderId="0"/>
    <xf numFmtId="169" fontId="5" fillId="0" borderId="0"/>
    <xf numFmtId="174" fontId="5" fillId="0" borderId="0"/>
    <xf numFmtId="174" fontId="5" fillId="0" borderId="0"/>
    <xf numFmtId="174" fontId="5" fillId="0" borderId="0"/>
    <xf numFmtId="0" fontId="43" fillId="0" borderId="0"/>
    <xf numFmtId="173" fontId="5" fillId="0" borderId="0"/>
    <xf numFmtId="173" fontId="5" fillId="0" borderId="0"/>
    <xf numFmtId="169" fontId="5" fillId="0" borderId="0"/>
    <xf numFmtId="169" fontId="5" fillId="0" borderId="0"/>
    <xf numFmtId="169" fontId="5" fillId="0" borderId="0"/>
    <xf numFmtId="169" fontId="5" fillId="0" borderId="0"/>
    <xf numFmtId="0" fontId="43" fillId="0" borderId="0"/>
    <xf numFmtId="0" fontId="5" fillId="0" borderId="0"/>
    <xf numFmtId="169" fontId="5" fillId="0" borderId="0"/>
    <xf numFmtId="169" fontId="5" fillId="0" borderId="0"/>
    <xf numFmtId="169" fontId="5" fillId="0" borderId="0"/>
    <xf numFmtId="169" fontId="5" fillId="0" borderId="0"/>
    <xf numFmtId="182" fontId="5" fillId="0" borderId="0"/>
  </cellStyleXfs>
  <cellXfs count="1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horizontal="center"/>
    </xf>
    <xf numFmtId="10" fontId="3" fillId="0" borderId="0" pivotButton="0" quotePrefix="0" xfId="0"/>
    <xf numFmtId="0" fontId="4" fillId="0" borderId="0" pivotButton="0" quotePrefix="0" xfId="0"/>
    <xf numFmtId="0" fontId="0" fillId="0" borderId="0" applyAlignment="1" pivotButton="0" quotePrefix="0" xfId="0">
      <alignment horizontal="left"/>
    </xf>
    <xf numFmtId="0" fontId="6" fillId="0" borderId="0" pivotButton="0" quotePrefix="0" xfId="0"/>
    <xf numFmtId="0" fontId="6" fillId="0" borderId="0" pivotButton="0" quotePrefix="0" xfId="1"/>
    <xf numFmtId="164" fontId="6" fillId="0" borderId="0" pivotButton="0" quotePrefix="0" xfId="1"/>
    <xf numFmtId="165" fontId="6" fillId="0" borderId="0" pivotButton="0" quotePrefix="0" xfId="1"/>
    <xf numFmtId="0" fontId="6" fillId="4" borderId="0" pivotButton="0" quotePrefix="0" xfId="1"/>
    <xf numFmtId="0" fontId="8" fillId="5" borderId="0" pivotButton="0" quotePrefix="0" xfId="1"/>
    <xf numFmtId="0" fontId="9" fillId="5" borderId="0" applyAlignment="1" pivotButton="0" quotePrefix="0" xfId="1">
      <alignment horizontal="center"/>
    </xf>
    <xf numFmtId="0" fontId="6" fillId="6" borderId="0" pivotButton="0" quotePrefix="0" xfId="1"/>
    <xf numFmtId="0" fontId="6" fillId="0" borderId="0" applyAlignment="1" pivotButton="0" quotePrefix="0" xfId="1">
      <alignment horizontal="center"/>
    </xf>
    <xf numFmtId="164" fontId="6" fillId="0" borderId="0" applyAlignment="1" pivotButton="0" quotePrefix="0" xfId="1">
      <alignment horizontal="center"/>
    </xf>
    <xf numFmtId="0" fontId="6" fillId="0" borderId="1" pivotButton="0" quotePrefix="0" xfId="0"/>
    <xf numFmtId="10" fontId="6" fillId="0" borderId="0" pivotButton="0" quotePrefix="0" xfId="4"/>
    <xf numFmtId="0" fontId="9" fillId="4" borderId="0" applyAlignment="1" pivotButton="0" quotePrefix="0" xfId="1">
      <alignment horizontal="center"/>
    </xf>
    <xf numFmtId="10" fontId="10" fillId="4" borderId="0" applyAlignment="1" pivotButton="0" quotePrefix="0" xfId="2">
      <alignment horizontal="center"/>
    </xf>
    <xf numFmtId="10" fontId="11" fillId="4" borderId="0" applyAlignment="1" pivotButton="0" quotePrefix="0" xfId="2">
      <alignment horizontal="center"/>
    </xf>
    <xf numFmtId="14" fontId="6" fillId="0" borderId="0" pivotButton="0" quotePrefix="0" xfId="1"/>
    <xf numFmtId="4" fontId="6" fillId="0" borderId="0" pivotButton="0" quotePrefix="0" xfId="1"/>
    <xf numFmtId="2" fontId="6" fillId="0" borderId="0" pivotButton="0" quotePrefix="0" xfId="1"/>
    <xf numFmtId="166" fontId="6" fillId="0" borderId="0" pivotButton="0" quotePrefix="0" xfId="1"/>
    <xf numFmtId="0" fontId="9" fillId="6" borderId="0" applyAlignment="1" pivotButton="0" quotePrefix="0" xfId="1">
      <alignment horizontal="center"/>
    </xf>
    <xf numFmtId="10" fontId="10" fillId="6" borderId="0" applyAlignment="1" pivotButton="0" quotePrefix="0" xfId="2">
      <alignment horizontal="center"/>
    </xf>
    <xf numFmtId="10" fontId="11" fillId="6" borderId="0" applyAlignment="1" pivotButton="0" quotePrefix="0" xfId="2">
      <alignment horizontal="center"/>
    </xf>
    <xf numFmtId="167" fontId="6" fillId="0" borderId="0" pivotButton="0" quotePrefix="0" xfId="1"/>
    <xf numFmtId="10" fontId="6" fillId="0" borderId="0" pivotButton="0" quotePrefix="0" xfId="2"/>
    <xf numFmtId="0" fontId="10" fillId="6" borderId="0" applyAlignment="1" pivotButton="0" quotePrefix="0" xfId="1">
      <alignment horizontal="left"/>
    </xf>
    <xf numFmtId="10" fontId="10" fillId="0" borderId="0" applyAlignment="1" pivotButton="0" quotePrefix="0" xfId="2">
      <alignment horizontal="center"/>
    </xf>
    <xf numFmtId="0" fontId="6" fillId="2" borderId="0" pivotButton="0" quotePrefix="0" xfId="1"/>
    <xf numFmtId="0" fontId="8" fillId="5" borderId="0" applyAlignment="1" pivotButton="0" quotePrefix="0" xfId="1">
      <alignment horizontal="right"/>
    </xf>
    <xf numFmtId="0" fontId="6" fillId="2" borderId="0" applyAlignment="1" pivotButton="0" quotePrefix="0" xfId="1">
      <alignment horizontal="right"/>
    </xf>
    <xf numFmtId="14" fontId="6" fillId="2" borderId="0" pivotButton="0" quotePrefix="0" xfId="1"/>
    <xf numFmtId="0" fontId="6" fillId="0" borderId="0" applyAlignment="1" pivotButton="0" quotePrefix="0" xfId="1">
      <alignment horizontal="right"/>
    </xf>
    <xf numFmtId="4" fontId="6" fillId="2" borderId="0" pivotButton="0" quotePrefix="0" xfId="1"/>
    <xf numFmtId="168" fontId="6" fillId="0" borderId="0" pivotButton="0" quotePrefix="1" xfId="3"/>
    <xf numFmtId="0" fontId="6" fillId="3" borderId="0" pivotButton="0" quotePrefix="0" xfId="1"/>
    <xf numFmtId="0" fontId="12" fillId="7" borderId="0" applyAlignment="1" pivotButton="0" quotePrefix="0" xfId="1">
      <alignment horizontal="center"/>
    </xf>
    <xf numFmtId="0" fontId="13" fillId="8" borderId="0" applyAlignment="1" pivotButton="0" quotePrefix="0" xfId="1">
      <alignment horizontal="center"/>
    </xf>
    <xf numFmtId="0" fontId="13" fillId="7" borderId="0" applyAlignment="1" pivotButton="0" quotePrefix="0" xfId="1">
      <alignment horizontal="center"/>
    </xf>
    <xf numFmtId="0" fontId="9" fillId="0" borderId="0" applyAlignment="1" pivotButton="0" quotePrefix="0" xfId="1">
      <alignment horizontal="center"/>
    </xf>
    <xf numFmtId="10" fontId="14" fillId="8" borderId="0" applyAlignment="1" pivotButton="0" quotePrefix="0" xfId="2">
      <alignment horizontal="center"/>
    </xf>
    <xf numFmtId="10" fontId="14" fillId="7" borderId="0" applyAlignment="1" pivotButton="0" quotePrefix="0" xfId="2">
      <alignment horizontal="center"/>
    </xf>
    <xf numFmtId="0" fontId="6" fillId="7" borderId="0" pivotButton="0" quotePrefix="0" xfId="1"/>
    <xf numFmtId="0" fontId="15" fillId="6" borderId="0" applyAlignment="1" pivotButton="0" quotePrefix="0" xfId="1">
      <alignment horizontal="left"/>
    </xf>
    <xf numFmtId="0" fontId="16" fillId="9" borderId="0" applyAlignment="1" pivotButton="0" quotePrefix="0" xfId="1">
      <alignment horizontal="center"/>
    </xf>
    <xf numFmtId="0" fontId="17" fillId="5" borderId="0" applyAlignment="1" pivotButton="0" quotePrefix="0" xfId="1">
      <alignment horizontal="center"/>
    </xf>
    <xf numFmtId="0" fontId="17" fillId="10" borderId="0" applyAlignment="1" pivotButton="0" quotePrefix="0" xfId="1">
      <alignment horizontal="center"/>
    </xf>
    <xf numFmtId="10" fontId="18" fillId="10" borderId="0" applyAlignment="1" pivotButton="0" quotePrefix="0" xfId="2">
      <alignment horizontal="center"/>
    </xf>
    <xf numFmtId="10" fontId="17" fillId="8" borderId="0" applyAlignment="1" pivotButton="0" quotePrefix="0" xfId="2">
      <alignment horizontal="center"/>
    </xf>
    <xf numFmtId="0" fontId="17" fillId="8" borderId="0" applyAlignment="1" pivotButton="0" quotePrefix="0" xfId="1">
      <alignment horizontal="center"/>
    </xf>
    <xf numFmtId="10" fontId="18" fillId="8" borderId="0" applyAlignment="1" pivotButton="0" quotePrefix="0" xfId="2">
      <alignment horizontal="center"/>
    </xf>
    <xf numFmtId="10" fontId="11" fillId="0" borderId="0" applyAlignment="1" pivotButton="0" quotePrefix="0" xfId="2">
      <alignment horizontal="center"/>
    </xf>
    <xf numFmtId="0" fontId="19" fillId="7" borderId="0" applyAlignment="1" pivotButton="0" quotePrefix="0" xfId="1">
      <alignment horizontal="left"/>
    </xf>
    <xf numFmtId="0" fontId="10" fillId="0" borderId="0" applyAlignment="1" pivotButton="0" quotePrefix="0" xfId="1">
      <alignment horizontal="left"/>
    </xf>
    <xf numFmtId="164" fontId="6" fillId="0" borderId="0" pivotButton="0" quotePrefix="0" xfId="2"/>
    <xf numFmtId="166" fontId="6" fillId="12" borderId="0" pivotButton="0" quotePrefix="0" xfId="1"/>
    <xf numFmtId="0" fontId="20" fillId="0" borderId="0" pivotButton="0" quotePrefix="0" xfId="1"/>
    <xf numFmtId="168" fontId="6" fillId="0" borderId="0" pivotButton="0" quotePrefix="0" xfId="3"/>
    <xf numFmtId="2" fontId="6" fillId="2" borderId="0" pivotButton="0" quotePrefix="0" xfId="1"/>
    <xf numFmtId="168" fontId="6" fillId="2" borderId="0" pivotButton="0" quotePrefix="1" xfId="3"/>
    <xf numFmtId="10" fontId="10" fillId="8" borderId="0" applyAlignment="1" pivotButton="0" quotePrefix="0" xfId="2">
      <alignment horizontal="center"/>
    </xf>
    <xf numFmtId="10" fontId="6" fillId="0" borderId="0" pivotButton="0" quotePrefix="0" xfId="4"/>
    <xf numFmtId="10" fontId="10" fillId="3" borderId="0" applyAlignment="1" pivotButton="0" quotePrefix="0" xfId="2">
      <alignment horizontal="center"/>
    </xf>
    <xf numFmtId="10" fontId="10" fillId="7" borderId="0" applyAlignment="1" pivotButton="0" quotePrefix="0" xfId="2">
      <alignment horizontal="center"/>
    </xf>
    <xf numFmtId="10" fontId="10" fillId="2" borderId="0" applyAlignment="1" pivotButton="0" quotePrefix="0" xfId="2">
      <alignment horizontal="center"/>
    </xf>
    <xf numFmtId="169" fontId="6" fillId="0" borderId="0" pivotButton="0" quotePrefix="0" xfId="5"/>
    <xf numFmtId="169" fontId="6" fillId="0" borderId="0" pivotButton="0" quotePrefix="0" xfId="1"/>
    <xf numFmtId="14" fontId="0" fillId="0" borderId="0" pivotButton="0" quotePrefix="0" xfId="0"/>
    <xf numFmtId="10" fontId="0" fillId="0" borderId="0" pivotButton="0" quotePrefix="0" xfId="0"/>
    <xf numFmtId="170" fontId="6" fillId="0" borderId="0" pivotButton="0" quotePrefix="0" xfId="5"/>
    <xf numFmtId="0" fontId="16" fillId="11" borderId="0" applyAlignment="1" pivotButton="0" quotePrefix="0" xfId="1">
      <alignment horizontal="center" vertical="center"/>
    </xf>
    <xf numFmtId="0" fontId="16" fillId="2" borderId="0" applyAlignment="1" pivotButton="0" quotePrefix="0" xfId="1">
      <alignment horizontal="center" vertical="center"/>
    </xf>
    <xf numFmtId="10" fontId="6" fillId="0" borderId="0" pivotButton="0" quotePrefix="0" xfId="1"/>
    <xf numFmtId="14" fontId="6" fillId="12" borderId="0" pivotButton="0" quotePrefix="0" xfId="1"/>
    <xf numFmtId="171" fontId="6" fillId="0" borderId="0" pivotButton="0" quotePrefix="0" xfId="4"/>
    <xf numFmtId="10" fontId="21" fillId="0" borderId="0" pivotButton="0" quotePrefix="0" xfId="2"/>
    <xf numFmtId="0" fontId="22" fillId="0" borderId="0" applyAlignment="1" pivotButton="0" quotePrefix="0" xfId="0">
      <alignment vertical="center"/>
    </xf>
    <xf numFmtId="0" fontId="22" fillId="0" borderId="0" applyAlignment="1" pivotButton="0" quotePrefix="0" xfId="0">
      <alignment horizontal="left"/>
    </xf>
    <xf numFmtId="0" fontId="22" fillId="0" borderId="0" pivotButton="0" quotePrefix="0" xfId="0"/>
    <xf numFmtId="0" fontId="22" fillId="0" borderId="0" applyAlignment="1" pivotButton="0" quotePrefix="0" xfId="0">
      <alignment horizontal="right"/>
    </xf>
    <xf numFmtId="171" fontId="22" fillId="0" borderId="0" pivotButton="0" quotePrefix="0" xfId="4"/>
    <xf numFmtId="10" fontId="22" fillId="0" borderId="0" applyAlignment="1" pivotButton="0" quotePrefix="0" xfId="0">
      <alignment horizontal="center"/>
    </xf>
    <xf numFmtId="0" fontId="23" fillId="0" borderId="0" applyAlignment="1" pivotButton="0" quotePrefix="0" xfId="0">
      <alignment horizontal="left" vertical="center"/>
    </xf>
    <xf numFmtId="0" fontId="23" fillId="0" borderId="0" applyAlignment="1" pivotButton="0" quotePrefix="0" xfId="0">
      <alignment horizontal="center" vertical="center"/>
    </xf>
    <xf numFmtId="0" fontId="23" fillId="0" borderId="0" applyAlignment="1" pivotButton="0" quotePrefix="0" xfId="0">
      <alignment horizontal="center" vertical="center" wrapText="1"/>
    </xf>
    <xf numFmtId="0" fontId="22" fillId="0" borderId="0" applyAlignment="1" pivotButton="0" quotePrefix="0" xfId="0">
      <alignment horizontal="center"/>
    </xf>
    <xf numFmtId="10" fontId="22" fillId="0" borderId="0" applyAlignment="1" pivotButton="0" quotePrefix="0" xfId="4">
      <alignment horizontal="center"/>
    </xf>
    <xf numFmtId="0" fontId="23" fillId="0" borderId="0" applyAlignment="1" pivotButton="0" quotePrefix="0" xfId="0">
      <alignment vertical="center"/>
    </xf>
    <xf numFmtId="0" fontId="24" fillId="13" borderId="0" pivotButton="0" quotePrefix="0" xfId="0"/>
    <xf numFmtId="10" fontId="24" fillId="13" borderId="0" pivotButton="0" quotePrefix="0" xfId="0"/>
    <xf numFmtId="0" fontId="25" fillId="0" borderId="0" applyAlignment="1" pivotButton="0" quotePrefix="0" xfId="0">
      <alignment vertical="center" wrapText="1"/>
    </xf>
    <xf numFmtId="14" fontId="48" fillId="0" borderId="0" pivotButton="0" quotePrefix="0" xfId="0"/>
    <xf numFmtId="2" fontId="48" fillId="0" borderId="0" pivotButton="0" quotePrefix="0" xfId="0"/>
    <xf numFmtId="0" fontId="49" fillId="47" borderId="12" applyAlignment="1" pivotButton="0" quotePrefix="0" xfId="0">
      <alignment wrapText="1"/>
    </xf>
    <xf numFmtId="0" fontId="49" fillId="47" borderId="12" pivotButton="0" quotePrefix="0" xfId="0"/>
    <xf numFmtId="164" fontId="48" fillId="48" borderId="13" pivotButton="0" quotePrefix="0" xfId="0"/>
    <xf numFmtId="164" fontId="48" fillId="0" borderId="13" pivotButton="0" quotePrefix="0" xfId="0"/>
    <xf numFmtId="164" fontId="50" fillId="48" borderId="13" pivotButton="0" quotePrefix="0" xfId="0"/>
    <xf numFmtId="0" fontId="16" fillId="2" borderId="0" applyAlignment="1" pivotButton="0" quotePrefix="0" xfId="1">
      <alignment horizontal="center" vertical="center"/>
    </xf>
    <xf numFmtId="0" fontId="9" fillId="7" borderId="0" applyAlignment="1" pivotButton="0" quotePrefix="0" xfId="1">
      <alignment horizontal="center" vertical="center"/>
    </xf>
    <xf numFmtId="164" fontId="6" fillId="0" borderId="0" pivotButton="0" quotePrefix="0" xfId="1"/>
    <xf numFmtId="165" fontId="6" fillId="0" borderId="0" pivotButton="0" quotePrefix="0" xfId="1"/>
    <xf numFmtId="164" fontId="6" fillId="0" borderId="0" applyAlignment="1" pivotButton="0" quotePrefix="0" xfId="1">
      <alignment horizontal="center"/>
    </xf>
    <xf numFmtId="166" fontId="6" fillId="0" borderId="0" pivotButton="0" quotePrefix="0" xfId="1"/>
    <xf numFmtId="167" fontId="6" fillId="0" borderId="0" pivotButton="0" quotePrefix="0" xfId="1"/>
    <xf numFmtId="168" fontId="6" fillId="0" borderId="0" pivotButton="0" quotePrefix="1" xfId="3"/>
    <xf numFmtId="168" fontId="6" fillId="2" borderId="0" pivotButton="0" quotePrefix="1" xfId="3"/>
    <xf numFmtId="171" fontId="6" fillId="0" borderId="0" pivotButton="0" quotePrefix="0" xfId="4"/>
    <xf numFmtId="170" fontId="6" fillId="0" borderId="0" pivotButton="0" quotePrefix="0" xfId="5"/>
    <xf numFmtId="164" fontId="6" fillId="0" borderId="0" pivotButton="0" quotePrefix="0" xfId="2"/>
    <xf numFmtId="166" fontId="6" fillId="12" borderId="0" pivotButton="0" quotePrefix="0" xfId="1"/>
    <xf numFmtId="168" fontId="6" fillId="0" borderId="0" pivotButton="0" quotePrefix="0" xfId="3"/>
    <xf numFmtId="169" fontId="6" fillId="0" borderId="0" pivotButton="0" quotePrefix="0" xfId="5"/>
    <xf numFmtId="169" fontId="6" fillId="0" borderId="0" pivotButton="0" quotePrefix="0" xfId="1"/>
    <xf numFmtId="164" fontId="48" fillId="48" borderId="13" pivotButton="0" quotePrefix="0" xfId="0"/>
    <xf numFmtId="164" fontId="48" fillId="0" borderId="13" pivotButton="0" quotePrefix="0" xfId="0"/>
    <xf numFmtId="164" fontId="50" fillId="48" borderId="13" pivotButton="0" quotePrefix="0" xfId="0"/>
    <xf numFmtId="171" fontId="22" fillId="0" borderId="0" pivotButton="0" quotePrefix="0" xfId="4"/>
    <xf numFmtId="172" fontId="0" fillId="0" borderId="0" pivotButton="0" quotePrefix="0" xfId="0"/>
    <xf numFmtId="172" fontId="0" fillId="0" borderId="0" pivotButton="0" quotePrefix="0" xfId="0"/>
  </cellXfs>
  <cellStyles count="52846">
    <cellStyle name="Normal" xfId="0" builtinId="0"/>
    <cellStyle name="Normal 2" xfId="1"/>
    <cellStyle name="Porcentaje 2" xfId="2"/>
    <cellStyle name="Millares [0] 2" xfId="3"/>
    <cellStyle name="Porcentaje" xfId="4" builtinId="5"/>
    <cellStyle name="Millares [0]" xfId="5" builtinId="6"/>
    <cellStyle name="EstiloDetalle" xfId="6"/>
    <cellStyle name="EstiloTotal" xfId="7"/>
    <cellStyle name="Millares 39" xfId="8"/>
    <cellStyle name="Millares [0] 73" xfId="9"/>
    <cellStyle name="Millares 3" xfId="10"/>
    <cellStyle name="Millares [0] 2 5" xfId="11"/>
    <cellStyle name="Millares 2" xfId="12"/>
    <cellStyle name="Millares 4" xfId="13"/>
    <cellStyle name="Millares 5" xfId="14"/>
    <cellStyle name="Millares 10" xfId="15"/>
    <cellStyle name="Millares 9" xfId="16"/>
    <cellStyle name="Millares 6" xfId="17"/>
    <cellStyle name="Millares 8" xfId="18"/>
    <cellStyle name="Millares 7" xfId="19"/>
    <cellStyle name="Millares 11" xfId="20"/>
    <cellStyle name="Millares 10 2" xfId="21"/>
    <cellStyle name="Millares 12" xfId="22"/>
    <cellStyle name="Millares 13" xfId="23"/>
    <cellStyle name="Millares 14" xfId="24"/>
    <cellStyle name="Millares 15" xfId="25"/>
    <cellStyle name="Millares 16" xfId="26"/>
    <cellStyle name="Millares 17" xfId="27"/>
    <cellStyle name="Millares 18" xfId="28"/>
    <cellStyle name="Millares 19" xfId="29"/>
    <cellStyle name="Millares 20" xfId="30"/>
    <cellStyle name="Millares 21" xfId="31"/>
    <cellStyle name="Millares 22" xfId="32"/>
    <cellStyle name="Millares 2 2" xfId="33"/>
    <cellStyle name="Millares 2 2 2" xfId="34"/>
    <cellStyle name="Moneda [0] 3" xfId="35"/>
    <cellStyle name="Millares [0] 71" xfId="36"/>
    <cellStyle name="Millares 38" xfId="37"/>
    <cellStyle name="Normal 194" xfId="38"/>
    <cellStyle name="Euro" xfId="39"/>
    <cellStyle name="Millares 36" xfId="40"/>
    <cellStyle name="Normal 2 27" xfId="41"/>
    <cellStyle name="Normal 2 2" xfId="42"/>
    <cellStyle name="Normal 2_V.Inmob.Vantrust I" xfId="43"/>
    <cellStyle name="Normal 3" xfId="44"/>
    <cellStyle name="Normal 4" xfId="45"/>
    <cellStyle name="Normal 5" xfId="46"/>
    <cellStyle name="Normal 6" xfId="47"/>
    <cellStyle name="Hipervínculo 2" xfId="48"/>
    <cellStyle name="Normal 3 2" xfId="49"/>
    <cellStyle name="Normal 7" xfId="50"/>
    <cellStyle name="Normal 8" xfId="51"/>
    <cellStyle name="Euro 2" xfId="52"/>
    <cellStyle name="Normal 2 3" xfId="53"/>
    <cellStyle name="Normal 2 2 2" xfId="54"/>
    <cellStyle name="Normal 3 3" xfId="55"/>
    <cellStyle name="Normal 4 2" xfId="56"/>
    <cellStyle name="Normal 5 2" xfId="57"/>
    <cellStyle name="Moneda 2" xfId="58"/>
    <cellStyle name="Normal 7 2" xfId="59"/>
    <cellStyle name="Normal 2 4" xfId="60"/>
    <cellStyle name="Normal 3 4" xfId="61"/>
    <cellStyle name="Normal 4 3" xfId="62"/>
    <cellStyle name="Normal 5 3" xfId="63"/>
    <cellStyle name="Normal 7 3" xfId="64"/>
    <cellStyle name="Normal 2 5" xfId="65"/>
    <cellStyle name="Normal 3 5" xfId="66"/>
    <cellStyle name="Normal 4 4" xfId="67"/>
    <cellStyle name="Normal 5 4" xfId="68"/>
    <cellStyle name="Normal 7 4" xfId="69"/>
    <cellStyle name="Normal 2 3 2" xfId="70"/>
    <cellStyle name="Normal 3 3 2" xfId="71"/>
    <cellStyle name="Normal 4 2 2" xfId="72"/>
    <cellStyle name="Normal 5 2 2" xfId="73"/>
    <cellStyle name="Normal 7 2 2" xfId="74"/>
    <cellStyle name="Normal 2 4 2" xfId="75"/>
    <cellStyle name="Normal 3 4 2" xfId="76"/>
    <cellStyle name="Normal 4 3 2" xfId="77"/>
    <cellStyle name="Normal 5 3 2" xfId="78"/>
    <cellStyle name="Normal 7 3 2" xfId="79"/>
    <cellStyle name="Normal 9" xfId="80"/>
    <cellStyle name="Normal 2 6" xfId="81"/>
    <cellStyle name="Normal 3 6" xfId="82"/>
    <cellStyle name="Normal 4 5" xfId="83"/>
    <cellStyle name="Normal 5 5" xfId="84"/>
    <cellStyle name="Normal 7 5" xfId="85"/>
    <cellStyle name="Normal 2 3 3" xfId="86"/>
    <cellStyle name="Normal 3 3 3" xfId="87"/>
    <cellStyle name="Normal 4 2 3" xfId="88"/>
    <cellStyle name="Normal 5 2 3" xfId="89"/>
    <cellStyle name="Normal 7 2 3" xfId="90"/>
    <cellStyle name="Normal 2 4 3" xfId="91"/>
    <cellStyle name="Normal 3 4 3" xfId="92"/>
    <cellStyle name="Normal 4 3 3" xfId="93"/>
    <cellStyle name="Normal 5 3 3" xfId="94"/>
    <cellStyle name="Normal 7 3 3" xfId="95"/>
    <cellStyle name="Normal 2 7" xfId="96"/>
    <cellStyle name="Normal 3 7" xfId="97"/>
    <cellStyle name="Normal 4 6" xfId="98"/>
    <cellStyle name="Normal 5 6" xfId="99"/>
    <cellStyle name="Normal 7 6" xfId="100"/>
    <cellStyle name="Normal 2 3 4" xfId="101"/>
    <cellStyle name="Normal 3 3 4" xfId="102"/>
    <cellStyle name="Normal 4 2 4" xfId="103"/>
    <cellStyle name="Normal 5 2 4" xfId="104"/>
    <cellStyle name="Normal 7 2 4" xfId="105"/>
    <cellStyle name="Normal 2 4 4" xfId="106"/>
    <cellStyle name="Normal 3 4 4" xfId="107"/>
    <cellStyle name="Normal 4 3 4" xfId="108"/>
    <cellStyle name="Normal 5 3 4" xfId="109"/>
    <cellStyle name="Normal 7 3 4" xfId="110"/>
    <cellStyle name="Normal 2 5 2" xfId="111"/>
    <cellStyle name="Normal 3 5 2" xfId="112"/>
    <cellStyle name="Normal 4 4 2" xfId="113"/>
    <cellStyle name="Normal 5 4 2" xfId="114"/>
    <cellStyle name="Normal 7 4 2" xfId="115"/>
    <cellStyle name="Normal 2 3 2 2" xfId="116"/>
    <cellStyle name="Normal 3 3 2 2" xfId="117"/>
    <cellStyle name="Normal 4 2 2 2" xfId="118"/>
    <cellStyle name="Normal 5 2 2 2" xfId="119"/>
    <cellStyle name="Normal 7 2 2 2" xfId="120"/>
    <cellStyle name="Normal 2 4 2 2" xfId="121"/>
    <cellStyle name="Normal 3 4 2 2" xfId="122"/>
    <cellStyle name="Normal 4 3 2 2" xfId="123"/>
    <cellStyle name="Normal 5 3 2 2" xfId="124"/>
    <cellStyle name="Normal 7 3 2 2" xfId="125"/>
    <cellStyle name="Normal 2 6 2" xfId="126"/>
    <cellStyle name="Normal 3 6 2" xfId="127"/>
    <cellStyle name="Normal 4 5 2" xfId="128"/>
    <cellStyle name="Normal 5 5 2" xfId="129"/>
    <cellStyle name="Normal 7 5 2" xfId="130"/>
    <cellStyle name="Normal 2 3 3 2" xfId="131"/>
    <cellStyle name="Normal 3 3 3 2" xfId="132"/>
    <cellStyle name="Normal 4 2 3 2" xfId="133"/>
    <cellStyle name="Normal 5 2 3 2" xfId="134"/>
    <cellStyle name="Normal 7 2 3 2" xfId="135"/>
    <cellStyle name="Normal 2 4 3 2" xfId="136"/>
    <cellStyle name="Normal 3 4 3 2" xfId="137"/>
    <cellStyle name="Normal 4 3 3 2" xfId="138"/>
    <cellStyle name="Normal 5 3 3 2" xfId="139"/>
    <cellStyle name="Normal 7 3 3 2" xfId="140"/>
    <cellStyle name="Normal 2 8" xfId="141"/>
    <cellStyle name="Normal 3 8" xfId="142"/>
    <cellStyle name="Normal 4 7" xfId="143"/>
    <cellStyle name="Normal 5 7" xfId="144"/>
    <cellStyle name="Normal 7 7" xfId="145"/>
    <cellStyle name="Normal 2 3 5" xfId="146"/>
    <cellStyle name="Normal 3 3 5" xfId="147"/>
    <cellStyle name="Normal 4 2 5" xfId="148"/>
    <cellStyle name="Normal 5 2 5" xfId="149"/>
    <cellStyle name="Normal 7 2 5" xfId="150"/>
    <cellStyle name="Normal 2 4 5" xfId="151"/>
    <cellStyle name="Normal 3 4 5" xfId="152"/>
    <cellStyle name="Normal 4 3 5" xfId="153"/>
    <cellStyle name="Normal 5 3 5" xfId="154"/>
    <cellStyle name="Normal 7 3 5" xfId="155"/>
    <cellStyle name="Normal 2 5 3" xfId="156"/>
    <cellStyle name="Normal 3 5 3" xfId="157"/>
    <cellStyle name="Normal 4 4 3" xfId="158"/>
    <cellStyle name="Normal 5 4 3" xfId="159"/>
    <cellStyle name="Normal 7 4 3" xfId="160"/>
    <cellStyle name="Normal 2 3 2 3" xfId="161"/>
    <cellStyle name="Normal 3 3 2 3" xfId="162"/>
    <cellStyle name="Normal 4 2 2 3" xfId="163"/>
    <cellStyle name="Normal 5 2 2 3" xfId="164"/>
    <cellStyle name="Normal 7 2 2 3" xfId="165"/>
    <cellStyle name="Normal 2 4 2 3" xfId="166"/>
    <cellStyle name="Normal 3 4 2 3" xfId="167"/>
    <cellStyle name="Normal 4 3 2 3" xfId="168"/>
    <cellStyle name="Normal 5 3 2 3" xfId="169"/>
    <cellStyle name="Normal 7 3 2 3" xfId="170"/>
    <cellStyle name="Normal 2 6 3" xfId="171"/>
    <cellStyle name="Normal 3 6 3" xfId="172"/>
    <cellStyle name="Normal 4 5 3" xfId="173"/>
    <cellStyle name="Normal 5 5 3" xfId="174"/>
    <cellStyle name="Normal 7 5 3" xfId="175"/>
    <cellStyle name="Normal 2 3 3 3" xfId="176"/>
    <cellStyle name="Normal 3 3 3 3" xfId="177"/>
    <cellStyle name="Normal 4 2 3 3" xfId="178"/>
    <cellStyle name="Normal 5 2 3 3" xfId="179"/>
    <cellStyle name="Normal 7 2 3 3" xfId="180"/>
    <cellStyle name="Normal 2 4 3 3" xfId="181"/>
    <cellStyle name="Normal 3 4 3 3" xfId="182"/>
    <cellStyle name="Normal 4 3 3 3" xfId="183"/>
    <cellStyle name="Normal 5 3 3 3" xfId="184"/>
    <cellStyle name="Normal 7 3 3 3" xfId="185"/>
    <cellStyle name="Normal 2 7 2" xfId="186"/>
    <cellStyle name="Normal 3 7 2" xfId="187"/>
    <cellStyle name="Normal 4 6 2" xfId="188"/>
    <cellStyle name="Normal 5 6 2" xfId="189"/>
    <cellStyle name="Normal 7 6 2" xfId="190"/>
    <cellStyle name="Normal 2 3 4 2" xfId="191"/>
    <cellStyle name="Normal 3 3 4 2" xfId="192"/>
    <cellStyle name="Normal 4 2 4 2" xfId="193"/>
    <cellStyle name="Normal 5 2 4 2" xfId="194"/>
    <cellStyle name="Normal 7 2 4 2" xfId="195"/>
    <cellStyle name="Normal 2 4 4 2" xfId="196"/>
    <cellStyle name="Normal 3 4 4 2" xfId="197"/>
    <cellStyle name="Normal 4 3 4 2" xfId="198"/>
    <cellStyle name="Normal 5 3 4 2" xfId="199"/>
    <cellStyle name="Normal 7 3 4 2" xfId="200"/>
    <cellStyle name="Normal 2 5 2 2" xfId="201"/>
    <cellStyle name="Normal 3 5 2 2" xfId="202"/>
    <cellStyle name="Normal 4 4 2 2" xfId="203"/>
    <cellStyle name="Normal 5 4 2 2" xfId="204"/>
    <cellStyle name="Normal 7 4 2 2" xfId="205"/>
    <cellStyle name="Normal 2 3 2 2 2" xfId="206"/>
    <cellStyle name="Normal 3 3 2 2 2" xfId="207"/>
    <cellStyle name="Normal 4 2 2 2 2" xfId="208"/>
    <cellStyle name="Normal 5 2 2 2 2" xfId="209"/>
    <cellStyle name="Normal 7 2 2 2 2" xfId="210"/>
    <cellStyle name="Normal 2 4 2 2 2" xfId="211"/>
    <cellStyle name="Normal 3 4 2 2 2" xfId="212"/>
    <cellStyle name="Normal 4 3 2 2 2" xfId="213"/>
    <cellStyle name="Normal 5 3 2 2 2" xfId="214"/>
    <cellStyle name="Normal 7 3 2 2 2" xfId="215"/>
    <cellStyle name="Normal 2 6 2 2" xfId="216"/>
    <cellStyle name="Normal 3 6 2 2" xfId="217"/>
    <cellStyle name="Normal 4 5 2 2" xfId="218"/>
    <cellStyle name="Normal 5 5 2 2" xfId="219"/>
    <cellStyle name="Normal 7 5 2 2" xfId="220"/>
    <cellStyle name="Normal 2 3 3 2 2" xfId="221"/>
    <cellStyle name="Normal 3 3 3 2 2" xfId="222"/>
    <cellStyle name="Normal 4 2 3 2 2" xfId="223"/>
    <cellStyle name="Normal 5 2 3 2 2" xfId="224"/>
    <cellStyle name="Normal 7 2 3 2 2" xfId="225"/>
    <cellStyle name="Normal 2 4 3 2 2" xfId="226"/>
    <cellStyle name="Normal 3 4 3 2 2" xfId="227"/>
    <cellStyle name="Normal 4 3 3 2 2" xfId="228"/>
    <cellStyle name="Normal 5 3 3 2 2" xfId="229"/>
    <cellStyle name="Normal 7 3 3 2 2" xfId="230"/>
    <cellStyle name="Normal 2 9" xfId="231"/>
    <cellStyle name="Normal 3 9" xfId="232"/>
    <cellStyle name="Normal 4 8" xfId="233"/>
    <cellStyle name="Normal 5 8" xfId="234"/>
    <cellStyle name="Normal 7 8" xfId="235"/>
    <cellStyle name="Normal 2 3 6" xfId="236"/>
    <cellStyle name="Normal 3 3 6" xfId="237"/>
    <cellStyle name="Normal 4 2 6" xfId="238"/>
    <cellStyle name="Normal 5 2 6" xfId="239"/>
    <cellStyle name="Normal 7 2 6" xfId="240"/>
    <cellStyle name="Normal 2 4 6" xfId="241"/>
    <cellStyle name="Normal 3 4 6" xfId="242"/>
    <cellStyle name="Normal 4 3 6" xfId="243"/>
    <cellStyle name="Normal 5 3 6" xfId="244"/>
    <cellStyle name="Normal 7 3 6" xfId="245"/>
    <cellStyle name="Normal 2 5 4" xfId="246"/>
    <cellStyle name="Normal 3 5 4" xfId="247"/>
    <cellStyle name="Normal 4 4 4" xfId="248"/>
    <cellStyle name="Normal 5 4 4" xfId="249"/>
    <cellStyle name="Normal 7 4 4" xfId="250"/>
    <cellStyle name="Normal 2 3 2 4" xfId="251"/>
    <cellStyle name="Normal 3 3 2 4" xfId="252"/>
    <cellStyle name="Normal 4 2 2 4" xfId="253"/>
    <cellStyle name="Normal 5 2 2 4" xfId="254"/>
    <cellStyle name="Normal 7 2 2 4" xfId="255"/>
    <cellStyle name="Normal 2 4 2 4" xfId="256"/>
    <cellStyle name="Normal 3 4 2 4" xfId="257"/>
    <cellStyle name="Normal 4 3 2 4" xfId="258"/>
    <cellStyle name="Normal 5 3 2 4" xfId="259"/>
    <cellStyle name="Normal 7 3 2 4" xfId="260"/>
    <cellStyle name="Normal 2 6 4" xfId="261"/>
    <cellStyle name="Normal 3 6 4" xfId="262"/>
    <cellStyle name="Normal 4 5 4" xfId="263"/>
    <cellStyle name="Normal 5 5 4" xfId="264"/>
    <cellStyle name="Normal 7 5 4" xfId="265"/>
    <cellStyle name="Normal 2 3 3 4" xfId="266"/>
    <cellStyle name="Normal 3 3 3 4" xfId="267"/>
    <cellStyle name="Normal 4 2 3 4" xfId="268"/>
    <cellStyle name="Normal 5 2 3 4" xfId="269"/>
    <cellStyle name="Normal 7 2 3 4" xfId="270"/>
    <cellStyle name="Normal 2 4 3 4" xfId="271"/>
    <cellStyle name="Normal 3 4 3 4" xfId="272"/>
    <cellStyle name="Normal 4 3 3 4" xfId="273"/>
    <cellStyle name="Normal 5 3 3 4" xfId="274"/>
    <cellStyle name="Normal 7 3 3 4" xfId="275"/>
    <cellStyle name="Normal 2 7 3" xfId="276"/>
    <cellStyle name="Normal 3 7 3" xfId="277"/>
    <cellStyle name="Normal 4 6 3" xfId="278"/>
    <cellStyle name="Normal 5 6 3" xfId="279"/>
    <cellStyle name="Normal 7 6 3" xfId="280"/>
    <cellStyle name="Normal 2 3 4 3" xfId="281"/>
    <cellStyle name="Normal 3 3 4 3" xfId="282"/>
    <cellStyle name="Normal 4 2 4 3" xfId="283"/>
    <cellStyle name="Normal 5 2 4 3" xfId="284"/>
    <cellStyle name="Normal 7 2 4 3" xfId="285"/>
    <cellStyle name="Normal 2 4 4 3" xfId="286"/>
    <cellStyle name="Normal 3 4 4 3" xfId="287"/>
    <cellStyle name="Normal 4 3 4 3" xfId="288"/>
    <cellStyle name="Normal 5 3 4 3" xfId="289"/>
    <cellStyle name="Normal 7 3 4 3" xfId="290"/>
    <cellStyle name="Normal 2 5 2 3" xfId="291"/>
    <cellStyle name="Normal 3 5 2 3" xfId="292"/>
    <cellStyle name="Normal 4 4 2 3" xfId="293"/>
    <cellStyle name="Normal 5 4 2 3" xfId="294"/>
    <cellStyle name="Normal 7 4 2 3" xfId="295"/>
    <cellStyle name="Normal 2 3 2 2 3" xfId="296"/>
    <cellStyle name="Normal 3 3 2 2 3" xfId="297"/>
    <cellStyle name="Normal 4 2 2 2 3" xfId="298"/>
    <cellStyle name="Normal 5 2 2 2 3" xfId="299"/>
    <cellStyle name="Normal 7 2 2 2 3" xfId="300"/>
    <cellStyle name="Normal 2 4 2 2 3" xfId="301"/>
    <cellStyle name="Normal 3 4 2 2 3" xfId="302"/>
    <cellStyle name="Normal 4 3 2 2 3" xfId="303"/>
    <cellStyle name="Normal 5 3 2 2 3" xfId="304"/>
    <cellStyle name="Normal 7 3 2 2 3" xfId="305"/>
    <cellStyle name="Normal 2 6 2 3" xfId="306"/>
    <cellStyle name="Normal 3 6 2 3" xfId="307"/>
    <cellStyle name="Normal 4 5 2 3" xfId="308"/>
    <cellStyle name="Normal 5 5 2 3" xfId="309"/>
    <cellStyle name="Normal 7 5 2 3" xfId="310"/>
    <cellStyle name="Normal 2 3 3 2 3" xfId="311"/>
    <cellStyle name="Normal 3 3 3 2 3" xfId="312"/>
    <cellStyle name="Normal 4 2 3 2 3" xfId="313"/>
    <cellStyle name="Normal 5 2 3 2 3" xfId="314"/>
    <cellStyle name="Normal 7 2 3 2 3" xfId="315"/>
    <cellStyle name="Normal 2 4 3 2 3" xfId="316"/>
    <cellStyle name="Normal 3 4 3 2 3" xfId="317"/>
    <cellStyle name="Normal 4 3 3 2 3" xfId="318"/>
    <cellStyle name="Normal 5 3 3 2 3" xfId="319"/>
    <cellStyle name="Normal 7 3 3 2 3" xfId="320"/>
    <cellStyle name="Normal 2 8 2" xfId="321"/>
    <cellStyle name="Normal 3 8 2" xfId="322"/>
    <cellStyle name="Normal 4 7 2" xfId="323"/>
    <cellStyle name="Normal 5 7 2" xfId="324"/>
    <cellStyle name="Normal 7 7 2" xfId="325"/>
    <cellStyle name="Normal 2 3 5 2" xfId="326"/>
    <cellStyle name="Normal 3 3 5 2" xfId="327"/>
    <cellStyle name="Normal 4 2 5 2" xfId="328"/>
    <cellStyle name="Normal 5 2 5 2" xfId="329"/>
    <cellStyle name="Normal 7 2 5 2" xfId="330"/>
    <cellStyle name="Normal 2 4 5 2" xfId="331"/>
    <cellStyle name="Normal 3 4 5 2" xfId="332"/>
    <cellStyle name="Normal 4 3 5 2" xfId="333"/>
    <cellStyle name="Normal 5 3 5 2" xfId="334"/>
    <cellStyle name="Normal 7 3 5 2" xfId="335"/>
    <cellStyle name="Normal 2 5 3 2" xfId="336"/>
    <cellStyle name="Normal 3 5 3 2" xfId="337"/>
    <cellStyle name="Normal 4 4 3 2" xfId="338"/>
    <cellStyle name="Normal 5 4 3 2" xfId="339"/>
    <cellStyle name="Normal 7 4 3 2" xfId="340"/>
    <cellStyle name="Normal 2 3 2 3 2" xfId="341"/>
    <cellStyle name="Normal 3 3 2 3 2" xfId="342"/>
    <cellStyle name="Normal 4 2 2 3 2" xfId="343"/>
    <cellStyle name="Normal 5 2 2 3 2" xfId="344"/>
    <cellStyle name="Normal 7 2 2 3 2" xfId="345"/>
    <cellStyle name="Normal 2 4 2 3 2" xfId="346"/>
    <cellStyle name="Normal 3 4 2 3 2" xfId="347"/>
    <cellStyle name="Normal 4 3 2 3 2" xfId="348"/>
    <cellStyle name="Normal 5 3 2 3 2" xfId="349"/>
    <cellStyle name="Normal 7 3 2 3 2" xfId="350"/>
    <cellStyle name="Normal 2 6 3 2" xfId="351"/>
    <cellStyle name="Normal 3 6 3 2" xfId="352"/>
    <cellStyle name="Normal 4 5 3 2" xfId="353"/>
    <cellStyle name="Normal 5 5 3 2" xfId="354"/>
    <cellStyle name="Normal 7 5 3 2" xfId="355"/>
    <cellStyle name="Normal 2 3 3 3 2" xfId="356"/>
    <cellStyle name="Normal 3 3 3 3 2" xfId="357"/>
    <cellStyle name="Normal 4 2 3 3 2" xfId="358"/>
    <cellStyle name="Normal 5 2 3 3 2" xfId="359"/>
    <cellStyle name="Normal 7 2 3 3 2" xfId="360"/>
    <cellStyle name="Normal 2 4 3 3 2" xfId="361"/>
    <cellStyle name="Normal 3 4 3 3 2" xfId="362"/>
    <cellStyle name="Normal 4 3 3 3 2" xfId="363"/>
    <cellStyle name="Normal 5 3 3 3 2" xfId="364"/>
    <cellStyle name="Normal 7 3 3 3 2" xfId="365"/>
    <cellStyle name="Normal 2 7 2 2" xfId="366"/>
    <cellStyle name="Normal 3 7 2 2" xfId="367"/>
    <cellStyle name="Normal 4 6 2 2" xfId="368"/>
    <cellStyle name="Normal 5 6 2 2" xfId="369"/>
    <cellStyle name="Normal 7 6 2 2" xfId="370"/>
    <cellStyle name="Normal 2 3 4 2 2" xfId="371"/>
    <cellStyle name="Normal 3 3 4 2 2" xfId="372"/>
    <cellStyle name="Normal 4 2 4 2 2" xfId="373"/>
    <cellStyle name="Normal 5 2 4 2 2" xfId="374"/>
    <cellStyle name="Normal 7 2 4 2 2" xfId="375"/>
    <cellStyle name="Normal 2 4 4 2 2" xfId="376"/>
    <cellStyle name="Normal 3 4 4 2 2" xfId="377"/>
    <cellStyle name="Normal 4 3 4 2 2" xfId="378"/>
    <cellStyle name="Normal 5 3 4 2 2" xfId="379"/>
    <cellStyle name="Normal 7 3 4 2 2" xfId="380"/>
    <cellStyle name="Normal 2 5 2 2 2" xfId="381"/>
    <cellStyle name="Normal 3 5 2 2 2" xfId="382"/>
    <cellStyle name="Normal 4 4 2 2 2" xfId="383"/>
    <cellStyle name="Normal 5 4 2 2 2" xfId="384"/>
    <cellStyle name="Normal 7 4 2 2 2" xfId="385"/>
    <cellStyle name="Normal 2 3 2 2 2 2" xfId="386"/>
    <cellStyle name="Normal 3 3 2 2 2 2" xfId="387"/>
    <cellStyle name="Normal 4 2 2 2 2 2" xfId="388"/>
    <cellStyle name="Normal 5 2 2 2 2 2" xfId="389"/>
    <cellStyle name="Normal 7 2 2 2 2 2" xfId="390"/>
    <cellStyle name="Normal 2 4 2 2 2 2" xfId="391"/>
    <cellStyle name="Normal 3 4 2 2 2 2" xfId="392"/>
    <cellStyle name="Normal 4 3 2 2 2 2" xfId="393"/>
    <cellStyle name="Normal 5 3 2 2 2 2" xfId="394"/>
    <cellStyle name="Normal 7 3 2 2 2 2" xfId="395"/>
    <cellStyle name="Normal 2 6 2 2 2" xfId="396"/>
    <cellStyle name="Normal 3 6 2 2 2" xfId="397"/>
    <cellStyle name="Normal 4 5 2 2 2" xfId="398"/>
    <cellStyle name="Normal 5 5 2 2 2" xfId="399"/>
    <cellStyle name="Normal 7 5 2 2 2" xfId="400"/>
    <cellStyle name="Normal 2 3 3 2 2 2" xfId="401"/>
    <cellStyle name="Normal 3 3 3 2 2 2" xfId="402"/>
    <cellStyle name="Normal 4 2 3 2 2 2" xfId="403"/>
    <cellStyle name="Normal 5 2 3 2 2 2" xfId="404"/>
    <cellStyle name="Normal 7 2 3 2 2 2" xfId="405"/>
    <cellStyle name="Normal 2 4 3 2 2 2" xfId="406"/>
    <cellStyle name="Normal 3 4 3 2 2 2" xfId="407"/>
    <cellStyle name="Normal 4 3 3 2 2 2" xfId="408"/>
    <cellStyle name="Normal 5 3 3 2 2 2" xfId="409"/>
    <cellStyle name="Normal 7 3 3 2 2 2" xfId="410"/>
    <cellStyle name="Normal 28" xfId="411"/>
    <cellStyle name="Normal 2 10" xfId="412"/>
    <cellStyle name="Euro 4" xfId="413"/>
    <cellStyle name="Millares 2 11" xfId="414"/>
    <cellStyle name="Normal 2 3 7" xfId="415"/>
    <cellStyle name="Normal 3 10" xfId="416"/>
    <cellStyle name="Normal 4 9" xfId="417"/>
    <cellStyle name="Normal 5 9" xfId="418"/>
    <cellStyle name="Normal 7 9" xfId="419"/>
    <cellStyle name="Millares 4 16" xfId="420"/>
    <cellStyle name="Euro 3" xfId="421"/>
    <cellStyle name="Millares 3 10" xfId="422"/>
    <cellStyle name="Normal 6 2" xfId="423"/>
    <cellStyle name="Normal 2 4 7" xfId="424"/>
    <cellStyle name="Millares 2 2 9" xfId="425"/>
    <cellStyle name="Normal 10" xfId="426"/>
    <cellStyle name="Normal 11" xfId="427"/>
    <cellStyle name="Normal 12" xfId="428"/>
    <cellStyle name="Normal 13" xfId="429"/>
    <cellStyle name="Normal 14" xfId="430"/>
    <cellStyle name="Normal 15" xfId="431"/>
    <cellStyle name="Normal 7 2 7" xfId="432"/>
    <cellStyle name="Normal 16" xfId="433"/>
    <cellStyle name="Normal 17" xfId="434"/>
    <cellStyle name="Normal 18" xfId="435"/>
    <cellStyle name="Normal 19" xfId="436"/>
    <cellStyle name="Normal 20" xfId="437"/>
    <cellStyle name="Normal 24" xfId="438"/>
    <cellStyle name="Normal 23" xfId="439"/>
    <cellStyle name="Normal 25" xfId="440"/>
    <cellStyle name="Normal 22" xfId="441"/>
    <cellStyle name="Normal 21" xfId="442"/>
    <cellStyle name="Normal 26" xfId="443"/>
    <cellStyle name="Normal 8 2" xfId="444"/>
    <cellStyle name="Euro 2 2" xfId="445"/>
    <cellStyle name="Normal 3 3 7" xfId="446"/>
    <cellStyle name="Normal 4 2 7" xfId="447"/>
    <cellStyle name="Normal 5 2 7" xfId="448"/>
    <cellStyle name="Normal 2 4 5 3" xfId="449"/>
    <cellStyle name="Normal 3 4 7" xfId="450"/>
    <cellStyle name="Normal 4 3 7" xfId="451"/>
    <cellStyle name="Normal 5 3 7" xfId="452"/>
    <cellStyle name="Normal 7 3 7" xfId="453"/>
    <cellStyle name="Normal 2 5 5" xfId="454"/>
    <cellStyle name="Normal 3 5 5" xfId="455"/>
    <cellStyle name="Normal 4 4 5" xfId="456"/>
    <cellStyle name="Normal 5 4 5" xfId="457"/>
    <cellStyle name="Normal 7 4 5" xfId="458"/>
    <cellStyle name="Normal 2 3 2 5" xfId="459"/>
    <cellStyle name="Normal 3 3 2 5" xfId="460"/>
    <cellStyle name="Normal 4 2 2 5" xfId="461"/>
    <cellStyle name="Normal 5 2 2 5" xfId="462"/>
    <cellStyle name="Normal 7 2 2 5" xfId="463"/>
    <cellStyle name="Normal 2 4 2 5" xfId="464"/>
    <cellStyle name="Normal 3 4 2 5" xfId="465"/>
    <cellStyle name="Normal 4 3 2 5" xfId="466"/>
    <cellStyle name="Normal 5 3 2 5" xfId="467"/>
    <cellStyle name="Normal 7 3 2 5" xfId="468"/>
    <cellStyle name="Normal 9 2" xfId="469"/>
    <cellStyle name="Normal 2 6 5" xfId="470"/>
    <cellStyle name="Normal 3 6 5" xfId="471"/>
    <cellStyle name="Normal 4 5 5" xfId="472"/>
    <cellStyle name="Normal 5 5 5" xfId="473"/>
    <cellStyle name="Normal 7 5 5" xfId="474"/>
    <cellStyle name="Normal 2 3 3 5" xfId="475"/>
    <cellStyle name="Normal 3 3 3 5" xfId="476"/>
    <cellStyle name="Normal 4 2 3 5" xfId="477"/>
    <cellStyle name="Normal 5 2 3 5" xfId="478"/>
    <cellStyle name="Normal 7 2 3 5" xfId="479"/>
    <cellStyle name="Normal 2 4 3 5" xfId="480"/>
    <cellStyle name="Normal 3 4 3 5" xfId="481"/>
    <cellStyle name="Normal 4 3 3 5" xfId="482"/>
    <cellStyle name="Normal 5 3 3 5" xfId="483"/>
    <cellStyle name="Normal 7 3 3 5" xfId="484"/>
    <cellStyle name="Normal 2 7 4" xfId="485"/>
    <cellStyle name="Normal 3 7 4" xfId="486"/>
    <cellStyle name="Normal 4 6 4" xfId="487"/>
    <cellStyle name="Normal 5 6 4" xfId="488"/>
    <cellStyle name="Normal 7 6 4" xfId="489"/>
    <cellStyle name="Normal 2 3 4 4" xfId="490"/>
    <cellStyle name="Normal 3 3 4 4" xfId="491"/>
    <cellStyle name="Normal 4 2 4 4" xfId="492"/>
    <cellStyle name="Normal 5 2 4 4" xfId="493"/>
    <cellStyle name="Normal 7 2 4 4" xfId="494"/>
    <cellStyle name="Normal 2 4 4 4" xfId="495"/>
    <cellStyle name="Normal 3 4 4 4" xfId="496"/>
    <cellStyle name="Normal 4 3 4 4" xfId="497"/>
    <cellStyle name="Normal 5 3 4 4" xfId="498"/>
    <cellStyle name="Normal 7 3 4 4" xfId="499"/>
    <cellStyle name="Normal 2 5 2 4" xfId="500"/>
    <cellStyle name="Normal 3 5 2 4" xfId="501"/>
    <cellStyle name="Normal 4 4 2 4" xfId="502"/>
    <cellStyle name="Normal 5 4 2 4" xfId="503"/>
    <cellStyle name="Normal 7 4 2 4" xfId="504"/>
    <cellStyle name="Normal 2 3 2 2 4" xfId="505"/>
    <cellStyle name="Normal 3 3 2 2 4" xfId="506"/>
    <cellStyle name="Normal 4 2 2 2 4" xfId="507"/>
    <cellStyle name="Normal 5 2 2 2 4" xfId="508"/>
    <cellStyle name="Normal 7 2 2 2 4" xfId="509"/>
    <cellStyle name="Normal 2 4 2 2 4" xfId="510"/>
    <cellStyle name="Normal 3 4 2 2 4" xfId="511"/>
    <cellStyle name="Normal 4 3 2 2 4" xfId="512"/>
    <cellStyle name="Normal 5 3 2 2 4" xfId="513"/>
    <cellStyle name="Normal 7 3 2 2 4" xfId="514"/>
    <cellStyle name="Normal 2 6 2 4" xfId="515"/>
    <cellStyle name="Normal 3 6 2 4" xfId="516"/>
    <cellStyle name="Normal 4 5 2 4" xfId="517"/>
    <cellStyle name="Normal 5 5 2 4" xfId="518"/>
    <cellStyle name="Normal 7 5 2 4" xfId="519"/>
    <cellStyle name="Normal 2 3 3 2 4" xfId="520"/>
    <cellStyle name="Normal 3 3 3 2 4" xfId="521"/>
    <cellStyle name="Normal 4 2 3 2 4" xfId="522"/>
    <cellStyle name="Normal 5 2 3 2 4" xfId="523"/>
    <cellStyle name="Normal 7 2 3 2 4" xfId="524"/>
    <cellStyle name="Normal 2 4 3 2 4" xfId="525"/>
    <cellStyle name="Normal 3 4 3 2 4" xfId="526"/>
    <cellStyle name="Normal 4 3 3 2 4" xfId="527"/>
    <cellStyle name="Normal 5 3 3 2 4" xfId="528"/>
    <cellStyle name="Normal 7 3 3 2 4" xfId="529"/>
    <cellStyle name="Normal 27" xfId="530"/>
    <cellStyle name="Normal 2 8 3" xfId="531"/>
    <cellStyle name="Normal 3 8 3" xfId="532"/>
    <cellStyle name="Normal 4 7 3" xfId="533"/>
    <cellStyle name="Normal 5 7 3" xfId="534"/>
    <cellStyle name="Normal 7 7 3" xfId="535"/>
    <cellStyle name="Normal 2 3 5 3" xfId="536"/>
    <cellStyle name="Normal 3 3 5 3" xfId="537"/>
    <cellStyle name="Normal 4 2 5 3" xfId="538"/>
    <cellStyle name="Normal 5 2 5 3" xfId="539"/>
    <cellStyle name="Normal 7 2 5 3" xfId="540"/>
    <cellStyle name="Normal 3 4 5 3" xfId="541"/>
    <cellStyle name="Normal 4 3 5 3" xfId="542"/>
    <cellStyle name="Normal 5 3 5 3" xfId="543"/>
    <cellStyle name="Normal 7 3 5 3" xfId="544"/>
    <cellStyle name="Normal 2 5 3 3" xfId="545"/>
    <cellStyle name="Normal 3 5 3 3" xfId="546"/>
    <cellStyle name="Normal 4 4 3 3" xfId="547"/>
    <cellStyle name="Normal 5 4 3 3" xfId="548"/>
    <cellStyle name="Normal 7 4 3 3" xfId="549"/>
    <cellStyle name="Normal 2 3 2 3 3" xfId="550"/>
    <cellStyle name="Normal 3 3 2 3 3" xfId="551"/>
    <cellStyle name="Normal 4 2 2 3 3" xfId="552"/>
    <cellStyle name="Normal 5 2 2 3 3" xfId="553"/>
    <cellStyle name="Normal 7 2 2 3 3" xfId="554"/>
    <cellStyle name="Normal 2 4 2 3 3" xfId="555"/>
    <cellStyle name="Normal 3 4 2 3 3" xfId="556"/>
    <cellStyle name="Normal 4 3 2 3 3" xfId="557"/>
    <cellStyle name="Normal 5 3 2 3 3" xfId="558"/>
    <cellStyle name="Normal 7 3 2 3 3" xfId="559"/>
    <cellStyle name="Normal 2 6 3 3" xfId="560"/>
    <cellStyle name="Normal 3 6 3 3" xfId="561"/>
    <cellStyle name="Normal 4 5 3 3" xfId="562"/>
    <cellStyle name="Normal 5 5 3 3" xfId="563"/>
    <cellStyle name="Normal 7 5 3 3" xfId="564"/>
    <cellStyle name="Normal 2 3 3 3 3" xfId="565"/>
    <cellStyle name="Normal 3 3 3 3 3" xfId="566"/>
    <cellStyle name="Normal 4 2 3 3 3" xfId="567"/>
    <cellStyle name="Normal 5 2 3 3 3" xfId="568"/>
    <cellStyle name="Normal 7 2 3 3 3" xfId="569"/>
    <cellStyle name="Normal 2 4 3 3 3" xfId="570"/>
    <cellStyle name="Normal 3 4 3 3 3" xfId="571"/>
    <cellStyle name="Normal 4 3 3 3 3" xfId="572"/>
    <cellStyle name="Normal 5 3 3 3 3" xfId="573"/>
    <cellStyle name="Normal 7 3 3 3 3" xfId="574"/>
    <cellStyle name="Normal 2 7 2 3" xfId="575"/>
    <cellStyle name="Normal 3 7 2 3" xfId="576"/>
    <cellStyle name="Normal 4 6 2 3" xfId="577"/>
    <cellStyle name="Normal 5 6 2 3" xfId="578"/>
    <cellStyle name="Normal 7 6 2 3" xfId="579"/>
    <cellStyle name="Normal 2 3 4 2 3" xfId="580"/>
    <cellStyle name="Normal 3 3 4 2 3" xfId="581"/>
    <cellStyle name="Normal 4 2 4 2 3" xfId="582"/>
    <cellStyle name="Normal 5 2 4 2 3" xfId="583"/>
    <cellStyle name="Normal 7 2 4 2 3" xfId="584"/>
    <cellStyle name="Normal 2 4 4 2 3" xfId="585"/>
    <cellStyle name="Normal 3 4 4 2 3" xfId="586"/>
    <cellStyle name="Normal 4 3 4 2 3" xfId="587"/>
    <cellStyle name="Normal 5 3 4 2 3" xfId="588"/>
    <cellStyle name="Normal 7 3 4 2 3" xfId="589"/>
    <cellStyle name="Normal 2 5 2 2 3" xfId="590"/>
    <cellStyle name="Normal 3 5 2 2 3" xfId="591"/>
    <cellStyle name="Normal 4 4 2 2 3" xfId="592"/>
    <cellStyle name="Normal 5 4 2 2 3" xfId="593"/>
    <cellStyle name="Normal 7 4 2 2 3" xfId="594"/>
    <cellStyle name="Normal 2 3 2 2 2 3" xfId="595"/>
    <cellStyle name="Normal 3 3 2 2 2 3" xfId="596"/>
    <cellStyle name="Normal 4 2 2 2 2 3" xfId="597"/>
    <cellStyle name="Normal 5 2 2 2 2 3" xfId="598"/>
    <cellStyle name="Normal 7 2 2 2 2 3" xfId="599"/>
    <cellStyle name="Normal 2 4 2 2 2 3" xfId="600"/>
    <cellStyle name="Normal 3 4 2 2 2 3" xfId="601"/>
    <cellStyle name="Normal 4 3 2 2 2 3" xfId="602"/>
    <cellStyle name="Normal 5 3 2 2 2 3" xfId="603"/>
    <cellStyle name="Normal 7 3 2 2 2 3" xfId="604"/>
    <cellStyle name="Normal 2 6 2 2 3" xfId="605"/>
    <cellStyle name="Normal 3 6 2 2 3" xfId="606"/>
    <cellStyle name="Normal 4 5 2 2 3" xfId="607"/>
    <cellStyle name="Normal 5 5 2 2 3" xfId="608"/>
    <cellStyle name="Normal 7 5 2 2 3" xfId="609"/>
    <cellStyle name="Normal 2 3 3 2 2 3" xfId="610"/>
    <cellStyle name="Normal 3 3 3 2 2 3" xfId="611"/>
    <cellStyle name="Normal 4 2 3 2 2 3" xfId="612"/>
    <cellStyle name="Normal 5 2 3 2 2 3" xfId="613"/>
    <cellStyle name="Normal 7 2 3 2 2 3" xfId="614"/>
    <cellStyle name="Normal 2 4 3 2 2 3" xfId="615"/>
    <cellStyle name="Normal 3 4 3 2 2 3" xfId="616"/>
    <cellStyle name="Normal 4 3 3 2 2 3" xfId="617"/>
    <cellStyle name="Normal 5 3 3 2 2 3" xfId="618"/>
    <cellStyle name="Normal 7 3 3 2 2 3" xfId="619"/>
    <cellStyle name="Normal 2 11" xfId="620"/>
    <cellStyle name="Normal 3 11" xfId="621"/>
    <cellStyle name="Normal 4 10" xfId="622"/>
    <cellStyle name="Normal 5 10" xfId="623"/>
    <cellStyle name="Normal 7 10" xfId="624"/>
    <cellStyle name="Normal 2 3 8" xfId="625"/>
    <cellStyle name="Normal 3 3 8" xfId="626"/>
    <cellStyle name="Normal 4 2 8" xfId="627"/>
    <cellStyle name="Normal 5 2 8" xfId="628"/>
    <cellStyle name="Normal 7 2 8" xfId="629"/>
    <cellStyle name="Normal 2 4 8" xfId="630"/>
    <cellStyle name="Normal 3 4 8" xfId="631"/>
    <cellStyle name="Normal 4 3 8" xfId="632"/>
    <cellStyle name="Normal 5 3 8" xfId="633"/>
    <cellStyle name="Normal 7 3 8" xfId="634"/>
    <cellStyle name="Normal 2 5 6" xfId="635"/>
    <cellStyle name="Normal 3 5 6" xfId="636"/>
    <cellStyle name="Normal 4 4 6" xfId="637"/>
    <cellStyle name="Normal 5 4 6" xfId="638"/>
    <cellStyle name="Normal 7 4 6" xfId="639"/>
    <cellStyle name="Normal 2 3 2 6" xfId="640"/>
    <cellStyle name="Normal 3 3 2 6" xfId="641"/>
    <cellStyle name="Normal 4 2 2 6" xfId="642"/>
    <cellStyle name="Normal 5 2 2 6" xfId="643"/>
    <cellStyle name="Normal 7 2 2 6" xfId="644"/>
    <cellStyle name="Normal 2 4 2 6" xfId="645"/>
    <cellStyle name="Normal 3 4 2 6" xfId="646"/>
    <cellStyle name="Normal 4 3 2 6" xfId="647"/>
    <cellStyle name="Normal 5 3 2 6" xfId="648"/>
    <cellStyle name="Normal 7 3 2 6" xfId="649"/>
    <cellStyle name="Normal 2 6 6" xfId="650"/>
    <cellStyle name="Normal 3 6 6" xfId="651"/>
    <cellStyle name="Normal 4 5 6" xfId="652"/>
    <cellStyle name="Normal 5 5 6" xfId="653"/>
    <cellStyle name="Normal 7 5 6" xfId="654"/>
    <cellStyle name="Normal 2 3 3 6" xfId="655"/>
    <cellStyle name="Normal 3 3 3 6" xfId="656"/>
    <cellStyle name="Normal 4 2 3 6" xfId="657"/>
    <cellStyle name="Normal 5 2 3 6" xfId="658"/>
    <cellStyle name="Normal 7 2 3 6" xfId="659"/>
    <cellStyle name="Normal 2 4 3 6" xfId="660"/>
    <cellStyle name="Normal 3 4 3 6" xfId="661"/>
    <cellStyle name="Normal 4 3 3 6" xfId="662"/>
    <cellStyle name="Normal 5 3 3 6" xfId="663"/>
    <cellStyle name="Normal 7 3 3 6" xfId="664"/>
    <cellStyle name="Normal 2 7 5" xfId="665"/>
    <cellStyle name="Normal 3 7 5" xfId="666"/>
    <cellStyle name="Normal 4 6 5" xfId="667"/>
    <cellStyle name="Normal 5 6 5" xfId="668"/>
    <cellStyle name="Normal 7 6 5" xfId="669"/>
    <cellStyle name="Normal 2 3 4 5" xfId="670"/>
    <cellStyle name="Normal 3 3 4 5" xfId="671"/>
    <cellStyle name="Normal 4 2 4 5" xfId="672"/>
    <cellStyle name="Normal 5 2 4 5" xfId="673"/>
    <cellStyle name="Normal 7 2 4 5" xfId="674"/>
    <cellStyle name="Normal 2 4 4 5" xfId="675"/>
    <cellStyle name="Normal 3 4 4 5" xfId="676"/>
    <cellStyle name="Normal 4 3 4 5" xfId="677"/>
    <cellStyle name="Normal 5 3 4 5" xfId="678"/>
    <cellStyle name="Normal 7 3 4 5" xfId="679"/>
    <cellStyle name="Normal 2 5 2 5" xfId="680"/>
    <cellStyle name="Normal 3 5 2 5" xfId="681"/>
    <cellStyle name="Normal 4 4 2 5" xfId="682"/>
    <cellStyle name="Normal 5 4 2 5" xfId="683"/>
    <cellStyle name="Normal 7 4 2 5" xfId="684"/>
    <cellStyle name="Normal 2 3 2 2 5" xfId="685"/>
    <cellStyle name="Normal 3 3 2 2 5" xfId="686"/>
    <cellStyle name="Normal 4 2 2 2 5" xfId="687"/>
    <cellStyle name="Normal 5 2 2 2 5" xfId="688"/>
    <cellStyle name="Normal 7 2 2 2 5" xfId="689"/>
    <cellStyle name="Normal 2 4 2 2 5" xfId="690"/>
    <cellStyle name="Normal 3 4 2 2 5" xfId="691"/>
    <cellStyle name="Normal 4 3 2 2 5" xfId="692"/>
    <cellStyle name="Normal 5 3 2 2 5" xfId="693"/>
    <cellStyle name="Normal 7 3 2 2 5" xfId="694"/>
    <cellStyle name="Normal 2 6 2 5" xfId="695"/>
    <cellStyle name="Normal 3 6 2 5" xfId="696"/>
    <cellStyle name="Normal 4 5 2 5" xfId="697"/>
    <cellStyle name="Normal 5 5 2 5" xfId="698"/>
    <cellStyle name="Normal 7 5 2 5" xfId="699"/>
    <cellStyle name="Normal 2 3 3 2 5" xfId="700"/>
    <cellStyle name="Normal 3 3 3 2 5" xfId="701"/>
    <cellStyle name="Normal 4 2 3 2 5" xfId="702"/>
    <cellStyle name="Normal 5 2 3 2 5" xfId="703"/>
    <cellStyle name="Normal 7 2 3 2 5" xfId="704"/>
    <cellStyle name="Normal 2 4 3 2 5" xfId="705"/>
    <cellStyle name="Normal 3 4 3 2 5" xfId="706"/>
    <cellStyle name="Normal 4 3 3 2 5" xfId="707"/>
    <cellStyle name="Normal 5 3 3 2 5" xfId="708"/>
    <cellStyle name="Normal 7 3 3 2 5" xfId="709"/>
    <cellStyle name="Normal 2 8 4" xfId="710"/>
    <cellStyle name="Normal 3 8 4" xfId="711"/>
    <cellStyle name="Normal 4 7 4" xfId="712"/>
    <cellStyle name="Normal 5 7 4" xfId="713"/>
    <cellStyle name="Normal 7 7 4" xfId="714"/>
    <cellStyle name="Normal 2 3 5 4" xfId="715"/>
    <cellStyle name="Normal 3 3 5 4" xfId="716"/>
    <cellStyle name="Normal 4 2 5 4" xfId="717"/>
    <cellStyle name="Normal 5 2 5 4" xfId="718"/>
    <cellStyle name="Normal 7 2 5 4" xfId="719"/>
    <cellStyle name="Normal 2 4 5 4" xfId="720"/>
    <cellStyle name="Normal 3 4 5 4" xfId="721"/>
    <cellStyle name="Normal 4 3 5 4" xfId="722"/>
    <cellStyle name="Normal 5 3 5 4" xfId="723"/>
    <cellStyle name="Normal 7 3 5 4" xfId="724"/>
    <cellStyle name="Normal 2 5 3 4" xfId="725"/>
    <cellStyle name="Normal 3 5 3 4" xfId="726"/>
    <cellStyle name="Normal 4 4 3 4" xfId="727"/>
    <cellStyle name="Normal 5 4 3 4" xfId="728"/>
    <cellStyle name="Normal 7 4 3 4" xfId="729"/>
    <cellStyle name="Normal 2 3 2 3 4" xfId="730"/>
    <cellStyle name="Normal 3 3 2 3 4" xfId="731"/>
    <cellStyle name="Normal 4 2 2 3 4" xfId="732"/>
    <cellStyle name="Normal 5 2 2 3 4" xfId="733"/>
    <cellStyle name="Normal 7 2 2 3 4" xfId="734"/>
    <cellStyle name="Normal 2 4 2 3 4" xfId="735"/>
    <cellStyle name="Normal 3 4 2 3 4" xfId="736"/>
    <cellStyle name="Normal 4 3 2 3 4" xfId="737"/>
    <cellStyle name="Normal 5 3 2 3 4" xfId="738"/>
    <cellStyle name="Normal 7 3 2 3 4" xfId="739"/>
    <cellStyle name="Normal 2 6 3 4" xfId="740"/>
    <cellStyle name="Normal 3 6 3 4" xfId="741"/>
    <cellStyle name="Normal 4 5 3 4" xfId="742"/>
    <cellStyle name="Normal 5 5 3 4" xfId="743"/>
    <cellStyle name="Normal 7 5 3 4" xfId="744"/>
    <cellStyle name="Normal 2 3 3 3 4" xfId="745"/>
    <cellStyle name="Normal 3 3 3 3 4" xfId="746"/>
    <cellStyle name="Normal 4 2 3 3 4" xfId="747"/>
    <cellStyle name="Normal 5 2 3 3 4" xfId="748"/>
    <cellStyle name="Normal 7 2 3 3 4" xfId="749"/>
    <cellStyle name="Normal 2 4 3 3 4" xfId="750"/>
    <cellStyle name="Normal 3 4 3 3 4" xfId="751"/>
    <cellStyle name="Normal 4 3 3 3 4" xfId="752"/>
    <cellStyle name="Normal 5 3 3 3 4" xfId="753"/>
    <cellStyle name="Normal 7 3 3 3 4" xfId="754"/>
    <cellStyle name="Normal 2 7 2 4" xfId="755"/>
    <cellStyle name="Normal 3 7 2 4" xfId="756"/>
    <cellStyle name="Normal 4 6 2 4" xfId="757"/>
    <cellStyle name="Normal 5 6 2 4" xfId="758"/>
    <cellStyle name="Normal 7 6 2 4" xfId="759"/>
    <cellStyle name="Normal 2 3 4 2 4" xfId="760"/>
    <cellStyle name="Normal 3 3 4 2 4" xfId="761"/>
    <cellStyle name="Normal 4 2 4 2 4" xfId="762"/>
    <cellStyle name="Normal 5 2 4 2 4" xfId="763"/>
    <cellStyle name="Normal 7 2 4 2 4" xfId="764"/>
    <cellStyle name="Normal 2 4 4 2 4" xfId="765"/>
    <cellStyle name="Normal 3 4 4 2 4" xfId="766"/>
    <cellStyle name="Normal 4 3 4 2 4" xfId="767"/>
    <cellStyle name="Normal 5 3 4 2 4" xfId="768"/>
    <cellStyle name="Normal 7 3 4 2 4" xfId="769"/>
    <cellStyle name="Normal 2 5 2 2 4" xfId="770"/>
    <cellStyle name="Normal 3 5 2 2 4" xfId="771"/>
    <cellStyle name="Normal 4 4 2 2 4" xfId="772"/>
    <cellStyle name="Normal 5 4 2 2 4" xfId="773"/>
    <cellStyle name="Normal 7 4 2 2 4" xfId="774"/>
    <cellStyle name="Normal 2 3 2 2 2 4" xfId="775"/>
    <cellStyle name="Normal 3 3 2 2 2 4" xfId="776"/>
    <cellStyle name="Normal 4 2 2 2 2 4" xfId="777"/>
    <cellStyle name="Normal 5 2 2 2 2 4" xfId="778"/>
    <cellStyle name="Normal 7 2 2 2 2 4" xfId="779"/>
    <cellStyle name="Normal 2 4 2 2 2 4" xfId="780"/>
    <cellStyle name="Normal 3 4 2 2 2 4" xfId="781"/>
    <cellStyle name="Normal 4 3 2 2 2 4" xfId="782"/>
    <cellStyle name="Normal 5 3 2 2 2 4" xfId="783"/>
    <cellStyle name="Normal 7 3 2 2 2 4" xfId="784"/>
    <cellStyle name="Normal 2 6 2 2 4" xfId="785"/>
    <cellStyle name="Normal 3 6 2 2 4" xfId="786"/>
    <cellStyle name="Normal 4 5 2 2 4" xfId="787"/>
    <cellStyle name="Normal 5 5 2 2 4" xfId="788"/>
    <cellStyle name="Normal 7 5 2 2 4" xfId="789"/>
    <cellStyle name="Normal 2 3 3 2 2 4" xfId="790"/>
    <cellStyle name="Normal 3 3 3 2 2 4" xfId="791"/>
    <cellStyle name="Normal 4 2 3 2 2 4" xfId="792"/>
    <cellStyle name="Normal 5 2 3 2 2 4" xfId="793"/>
    <cellStyle name="Normal 7 2 3 2 2 4" xfId="794"/>
    <cellStyle name="Normal 2 4 3 2 2 4" xfId="795"/>
    <cellStyle name="Normal 3 4 3 2 2 4" xfId="796"/>
    <cellStyle name="Normal 4 3 3 2 2 4" xfId="797"/>
    <cellStyle name="Normal 5 3 3 2 2 4" xfId="798"/>
    <cellStyle name="Normal 7 3 3 2 2 4" xfId="799"/>
    <cellStyle name="Normal 2 9 2" xfId="800"/>
    <cellStyle name="Normal 3 9 2" xfId="801"/>
    <cellStyle name="Normal 4 8 2" xfId="802"/>
    <cellStyle name="Normal 5 8 2" xfId="803"/>
    <cellStyle name="Normal 7 8 2" xfId="804"/>
    <cellStyle name="Normal 2 3 6 2" xfId="805"/>
    <cellStyle name="Normal 3 3 6 2" xfId="806"/>
    <cellStyle name="Normal 4 2 6 2" xfId="807"/>
    <cellStyle name="Normal 5 2 6 2" xfId="808"/>
    <cellStyle name="Normal 7 2 6 2" xfId="809"/>
    <cellStyle name="Normal 2 4 6 2" xfId="810"/>
    <cellStyle name="Normal 3 4 6 2" xfId="811"/>
    <cellStyle name="Normal 4 3 6 2" xfId="812"/>
    <cellStyle name="Normal 5 3 6 2" xfId="813"/>
    <cellStyle name="Normal 7 3 6 2" xfId="814"/>
    <cellStyle name="Normal 2 5 4 2" xfId="815"/>
    <cellStyle name="Normal 3 5 4 2" xfId="816"/>
    <cellStyle name="Normal 4 4 4 2" xfId="817"/>
    <cellStyle name="Normal 5 4 4 2" xfId="818"/>
    <cellStyle name="Normal 7 4 4 2" xfId="819"/>
    <cellStyle name="Normal 2 3 2 4 2" xfId="820"/>
    <cellStyle name="Normal 3 3 2 4 2" xfId="821"/>
    <cellStyle name="Normal 4 2 2 4 2" xfId="822"/>
    <cellStyle name="Normal 5 2 2 4 2" xfId="823"/>
    <cellStyle name="Normal 7 2 2 4 2" xfId="824"/>
    <cellStyle name="Normal 2 4 2 4 2" xfId="825"/>
    <cellStyle name="Normal 3 4 2 4 2" xfId="826"/>
    <cellStyle name="Normal 4 3 2 4 2" xfId="827"/>
    <cellStyle name="Normal 5 3 2 4 2" xfId="828"/>
    <cellStyle name="Normal 7 3 2 4 2" xfId="829"/>
    <cellStyle name="Normal 2 6 4 2" xfId="830"/>
    <cellStyle name="Normal 3 6 4 2" xfId="831"/>
    <cellStyle name="Normal 4 5 4 2" xfId="832"/>
    <cellStyle name="Normal 5 5 4 2" xfId="833"/>
    <cellStyle name="Normal 7 5 4 2" xfId="834"/>
    <cellStyle name="Normal 2 3 3 4 2" xfId="835"/>
    <cellStyle name="Normal 3 3 3 4 2" xfId="836"/>
    <cellStyle name="Normal 4 2 3 4 2" xfId="837"/>
    <cellStyle name="Normal 5 2 3 4 2" xfId="838"/>
    <cellStyle name="Normal 7 2 3 4 2" xfId="839"/>
    <cellStyle name="Normal 2 4 3 4 2" xfId="840"/>
    <cellStyle name="Normal 3 4 3 4 2" xfId="841"/>
    <cellStyle name="Normal 4 3 3 4 2" xfId="842"/>
    <cellStyle name="Normal 5 3 3 4 2" xfId="843"/>
    <cellStyle name="Normal 7 3 3 4 2" xfId="844"/>
    <cellStyle name="Normal 2 7 3 2" xfId="845"/>
    <cellStyle name="Normal 3 7 3 2" xfId="846"/>
    <cellStyle name="Normal 4 6 3 2" xfId="847"/>
    <cellStyle name="Normal 5 6 3 2" xfId="848"/>
    <cellStyle name="Normal 7 6 3 2" xfId="849"/>
    <cellStyle name="Normal 2 3 4 3 2" xfId="850"/>
    <cellStyle name="Normal 3 3 4 3 2" xfId="851"/>
    <cellStyle name="Normal 4 2 4 3 2" xfId="852"/>
    <cellStyle name="Normal 5 2 4 3 2" xfId="853"/>
    <cellStyle name="Normal 7 2 4 3 2" xfId="854"/>
    <cellStyle name="Normal 2 4 4 3 2" xfId="855"/>
    <cellStyle name="Normal 3 4 4 3 2" xfId="856"/>
    <cellStyle name="Normal 4 3 4 3 2" xfId="857"/>
    <cellStyle name="Normal 5 3 4 3 2" xfId="858"/>
    <cellStyle name="Normal 7 3 4 3 2" xfId="859"/>
    <cellStyle name="Normal 2 5 2 3 2" xfId="860"/>
    <cellStyle name="Normal 3 5 2 3 2" xfId="861"/>
    <cellStyle name="Normal 4 4 2 3 2" xfId="862"/>
    <cellStyle name="Normal 5 4 2 3 2" xfId="863"/>
    <cellStyle name="Normal 7 4 2 3 2" xfId="864"/>
    <cellStyle name="Normal 2 3 2 2 3 2" xfId="865"/>
    <cellStyle name="Normal 3 3 2 2 3 2" xfId="866"/>
    <cellStyle name="Normal 4 2 2 2 3 2" xfId="867"/>
    <cellStyle name="Normal 5 2 2 2 3 2" xfId="868"/>
    <cellStyle name="Normal 7 2 2 2 3 2" xfId="869"/>
    <cellStyle name="Normal 2 4 2 2 3 2" xfId="870"/>
    <cellStyle name="Normal 3 4 2 2 3 2" xfId="871"/>
    <cellStyle name="Normal 4 3 2 2 3 2" xfId="872"/>
    <cellStyle name="Normal 5 3 2 2 3 2" xfId="873"/>
    <cellStyle name="Normal 7 3 2 2 3 2" xfId="874"/>
    <cellStyle name="Normal 2 6 2 3 2" xfId="875"/>
    <cellStyle name="Normal 3 6 2 3 2" xfId="876"/>
    <cellStyle name="Normal 4 5 2 3 2" xfId="877"/>
    <cellStyle name="Normal 5 5 2 3 2" xfId="878"/>
    <cellStyle name="Normal 7 5 2 3 2" xfId="879"/>
    <cellStyle name="Normal 2 3 3 2 3 2" xfId="880"/>
    <cellStyle name="Normal 3 3 3 2 3 2" xfId="881"/>
    <cellStyle name="Normal 4 2 3 2 3 2" xfId="882"/>
    <cellStyle name="Normal 5 2 3 2 3 2" xfId="883"/>
    <cellStyle name="Normal 7 2 3 2 3 2" xfId="884"/>
    <cellStyle name="Normal 2 4 3 2 3 2" xfId="885"/>
    <cellStyle name="Normal 3 4 3 2 3 2" xfId="886"/>
    <cellStyle name="Normal 4 3 3 2 3 2" xfId="887"/>
    <cellStyle name="Normal 5 3 3 2 3 2" xfId="888"/>
    <cellStyle name="Normal 7 3 3 2 3 2" xfId="889"/>
    <cellStyle name="Normal 2 8 2 2" xfId="890"/>
    <cellStyle name="Normal 3 8 2 2" xfId="891"/>
    <cellStyle name="Normal 4 7 2 2" xfId="892"/>
    <cellStyle name="Normal 5 7 2 2" xfId="893"/>
    <cellStyle name="Normal 7 7 2 2" xfId="894"/>
    <cellStyle name="Normal 2 3 5 2 2" xfId="895"/>
    <cellStyle name="Normal 3 3 5 2 2" xfId="896"/>
    <cellStyle name="Normal 4 2 5 2 2" xfId="897"/>
    <cellStyle name="Normal 5 2 5 2 2" xfId="898"/>
    <cellStyle name="Normal 7 2 5 2 2" xfId="899"/>
    <cellStyle name="Normal 2 4 5 2 2" xfId="900"/>
    <cellStyle name="Normal 3 4 5 2 2" xfId="901"/>
    <cellStyle name="Normal 4 3 5 2 2" xfId="902"/>
    <cellStyle name="Normal 5 3 5 2 2" xfId="903"/>
    <cellStyle name="Normal 7 3 5 2 2" xfId="904"/>
    <cellStyle name="Normal 2 5 3 2 2" xfId="905"/>
    <cellStyle name="Normal 3 5 3 2 2" xfId="906"/>
    <cellStyle name="Normal 4 4 3 2 2" xfId="907"/>
    <cellStyle name="Normal 5 4 3 2 2" xfId="908"/>
    <cellStyle name="Normal 7 4 3 2 2" xfId="909"/>
    <cellStyle name="Normal 2 3 2 3 2 2" xfId="910"/>
    <cellStyle name="Normal 3 3 2 3 2 2" xfId="911"/>
    <cellStyle name="Normal 4 2 2 3 2 2" xfId="912"/>
    <cellStyle name="Normal 5 2 2 3 2 2" xfId="913"/>
    <cellStyle name="Normal 7 2 2 3 2 2" xfId="914"/>
    <cellStyle name="Normal 2 4 2 3 2 2" xfId="915"/>
    <cellStyle name="Normal 3 4 2 3 2 2" xfId="916"/>
    <cellStyle name="Normal 4 3 2 3 2 2" xfId="917"/>
    <cellStyle name="Normal 5 3 2 3 2 2" xfId="918"/>
    <cellStyle name="Normal 7 3 2 3 2 2" xfId="919"/>
    <cellStyle name="Normal 2 6 3 2 2" xfId="920"/>
    <cellStyle name="Normal 3 6 3 2 2" xfId="921"/>
    <cellStyle name="Normal 4 5 3 2 2" xfId="922"/>
    <cellStyle name="Normal 5 5 3 2 2" xfId="923"/>
    <cellStyle name="Normal 7 5 3 2 2" xfId="924"/>
    <cellStyle name="Normal 2 3 3 3 2 2" xfId="925"/>
    <cellStyle name="Normal 3 3 3 3 2 2" xfId="926"/>
    <cellStyle name="Normal 4 2 3 3 2 2" xfId="927"/>
    <cellStyle name="Normal 5 2 3 3 2 2" xfId="928"/>
    <cellStyle name="Normal 7 2 3 3 2 2" xfId="929"/>
    <cellStyle name="Normal 2 4 3 3 2 2" xfId="930"/>
    <cellStyle name="Normal 3 4 3 3 2 2" xfId="931"/>
    <cellStyle name="Normal 4 3 3 3 2 2" xfId="932"/>
    <cellStyle name="Normal 5 3 3 3 2 2" xfId="933"/>
    <cellStyle name="Normal 7 3 3 3 2 2" xfId="934"/>
    <cellStyle name="Normal 2 7 2 2 2" xfId="935"/>
    <cellStyle name="Normal 3 7 2 2 2" xfId="936"/>
    <cellStyle name="Normal 4 6 2 2 2" xfId="937"/>
    <cellStyle name="Normal 5 6 2 2 2" xfId="938"/>
    <cellStyle name="Normal 7 6 2 2 2" xfId="939"/>
    <cellStyle name="Normal 2 3 4 2 2 2" xfId="940"/>
    <cellStyle name="Normal 3 3 4 2 2 2" xfId="941"/>
    <cellStyle name="Normal 4 2 4 2 2 2" xfId="942"/>
    <cellStyle name="Normal 5 2 4 2 2 2" xfId="943"/>
    <cellStyle name="Normal 7 2 4 2 2 2" xfId="944"/>
    <cellStyle name="Normal 2 4 4 2 2 2" xfId="945"/>
    <cellStyle name="Normal 3 4 4 2 2 2" xfId="946"/>
    <cellStyle name="Normal 4 3 4 2 2 2" xfId="947"/>
    <cellStyle name="Normal 5 3 4 2 2 2" xfId="948"/>
    <cellStyle name="Normal 7 3 4 2 2 2" xfId="949"/>
    <cellStyle name="Normal 2 5 2 2 2 2" xfId="950"/>
    <cellStyle name="Normal 3 5 2 2 2 2" xfId="951"/>
    <cellStyle name="Normal 4 4 2 2 2 2" xfId="952"/>
    <cellStyle name="Normal 5 4 2 2 2 2" xfId="953"/>
    <cellStyle name="Normal 7 4 2 2 2 2" xfId="954"/>
    <cellStyle name="Normal 2 3 2 2 2 2 2" xfId="955"/>
    <cellStyle name="Normal 3 3 2 2 2 2 2" xfId="956"/>
    <cellStyle name="Normal 4 2 2 2 2 2 2" xfId="957"/>
    <cellStyle name="Normal 5 2 2 2 2 2 2" xfId="958"/>
    <cellStyle name="Normal 7 2 2 2 2 2 2" xfId="959"/>
    <cellStyle name="Normal 2 4 2 2 2 2 2" xfId="960"/>
    <cellStyle name="Normal 3 4 2 2 2 2 2" xfId="961"/>
    <cellStyle name="Normal 4 3 2 2 2 2 2" xfId="962"/>
    <cellStyle name="Normal 5 3 2 2 2 2 2" xfId="963"/>
    <cellStyle name="Normal 7 3 2 2 2 2 2" xfId="964"/>
    <cellStyle name="Normal 2 6 2 2 2 2" xfId="965"/>
    <cellStyle name="Normal 3 6 2 2 2 2" xfId="966"/>
    <cellStyle name="Normal 4 5 2 2 2 2" xfId="967"/>
    <cellStyle name="Normal 5 5 2 2 2 2" xfId="968"/>
    <cellStyle name="Normal 7 5 2 2 2 2" xfId="969"/>
    <cellStyle name="Normal 2 3 3 2 2 2 2" xfId="970"/>
    <cellStyle name="Normal 3 3 3 2 2 2 2" xfId="971"/>
    <cellStyle name="Normal 4 2 3 2 2 2 2" xfId="972"/>
    <cellStyle name="Normal 5 2 3 2 2 2 2" xfId="973"/>
    <cellStyle name="Normal 7 2 3 2 2 2 2" xfId="974"/>
    <cellStyle name="Normal 2 4 3 2 2 2 2" xfId="975"/>
    <cellStyle name="Normal 3 4 3 2 2 2 2" xfId="976"/>
    <cellStyle name="Normal 4 3 3 2 2 2 2" xfId="977"/>
    <cellStyle name="Normal 5 3 3 2 2 2 2" xfId="978"/>
    <cellStyle name="Normal 7 3 3 2 2 2 2" xfId="979"/>
    <cellStyle name="Normal 28 2" xfId="980"/>
    <cellStyle name="Normal 2 3 7 2" xfId="981"/>
    <cellStyle name="Normal 3 10 2" xfId="982"/>
    <cellStyle name="Normal 4 9 2" xfId="983"/>
    <cellStyle name="Normal 5 9 2" xfId="984"/>
    <cellStyle name="Millares 4 2" xfId="985"/>
    <cellStyle name="Normal 7 2 7 2" xfId="986"/>
    <cellStyle name="Normal 3 3 7 2" xfId="987"/>
    <cellStyle name="Normal 4 2 7 2" xfId="988"/>
    <cellStyle name="Normal 5 2 7 2" xfId="989"/>
    <cellStyle name="Normal 2 4 5 3 2" xfId="990"/>
    <cellStyle name="Normal 3 4 7 2" xfId="991"/>
    <cellStyle name="Normal 4 3 7 2" xfId="992"/>
    <cellStyle name="Normal 5 3 7 2" xfId="993"/>
    <cellStyle name="Normal 7 3 7 2" xfId="994"/>
    <cellStyle name="Normal 2 5 5 2" xfId="995"/>
    <cellStyle name="Normal 3 5 5 2" xfId="996"/>
    <cellStyle name="Normal 4 4 5 2" xfId="997"/>
    <cellStyle name="Normal 5 4 5 2" xfId="998"/>
    <cellStyle name="Normal 7 4 5 2" xfId="999"/>
    <cellStyle name="Normal 2 3 2 5 2" xfId="1000"/>
    <cellStyle name="Normal 3 3 2 5 2" xfId="1001"/>
    <cellStyle name="Normal 4 2 2 5 2" xfId="1002"/>
    <cellStyle name="Normal 5 2 2 5 2" xfId="1003"/>
    <cellStyle name="Normal 7 2 2 5 2" xfId="1004"/>
    <cellStyle name="Normal 2 4 2 5 2" xfId="1005"/>
    <cellStyle name="Normal 3 4 2 5 2" xfId="1006"/>
    <cellStyle name="Normal 4 3 2 5 2" xfId="1007"/>
    <cellStyle name="Normal 5 3 2 5 2" xfId="1008"/>
    <cellStyle name="Normal 7 3 2 5 2" xfId="1009"/>
    <cellStyle name="Normal 2 6 5 2" xfId="1010"/>
    <cellStyle name="Normal 3 6 5 2" xfId="1011"/>
    <cellStyle name="Normal 4 5 5 2" xfId="1012"/>
    <cellStyle name="Normal 5 5 5 2" xfId="1013"/>
    <cellStyle name="Normal 7 5 5 2" xfId="1014"/>
    <cellStyle name="Normal 2 3 3 5 2" xfId="1015"/>
    <cellStyle name="Normal 3 3 3 5 2" xfId="1016"/>
    <cellStyle name="Normal 4 2 3 5 2" xfId="1017"/>
    <cellStyle name="Normal 5 2 3 5 2" xfId="1018"/>
    <cellStyle name="Normal 7 2 3 5 2" xfId="1019"/>
    <cellStyle name="Normal 2 4 3 5 2" xfId="1020"/>
    <cellStyle name="Normal 3 4 3 5 2" xfId="1021"/>
    <cellStyle name="Normal 4 3 3 5 2" xfId="1022"/>
    <cellStyle name="Normal 5 3 3 5 2" xfId="1023"/>
    <cellStyle name="Normal 7 3 3 5 2" xfId="1024"/>
    <cellStyle name="Normal 2 7 4 2" xfId="1025"/>
    <cellStyle name="Normal 3 7 4 2" xfId="1026"/>
    <cellStyle name="Normal 4 6 4 2" xfId="1027"/>
    <cellStyle name="Normal 5 6 4 2" xfId="1028"/>
    <cellStyle name="Normal 7 6 4 2" xfId="1029"/>
    <cellStyle name="Normal 2 3 4 4 2" xfId="1030"/>
    <cellStyle name="Normal 3 3 4 4 2" xfId="1031"/>
    <cellStyle name="Normal 4 2 4 4 2" xfId="1032"/>
    <cellStyle name="Normal 5 2 4 4 2" xfId="1033"/>
    <cellStyle name="Normal 7 2 4 4 2" xfId="1034"/>
    <cellStyle name="Normal 2 4 4 4 2" xfId="1035"/>
    <cellStyle name="Normal 3 4 4 4 2" xfId="1036"/>
    <cellStyle name="Normal 4 3 4 4 2" xfId="1037"/>
    <cellStyle name="Normal 5 3 4 4 2" xfId="1038"/>
    <cellStyle name="Normal 7 3 4 4 2" xfId="1039"/>
    <cellStyle name="Normal 2 5 2 4 2" xfId="1040"/>
    <cellStyle name="Normal 3 5 2 4 2" xfId="1041"/>
    <cellStyle name="Normal 4 4 2 4 2" xfId="1042"/>
    <cellStyle name="Normal 5 4 2 4 2" xfId="1043"/>
    <cellStyle name="Normal 7 4 2 4 2" xfId="1044"/>
    <cellStyle name="Normal 2 3 2 2 4 2" xfId="1045"/>
    <cellStyle name="Normal 3 3 2 2 4 2" xfId="1046"/>
    <cellStyle name="Normal 4 2 2 2 4 2" xfId="1047"/>
    <cellStyle name="Normal 5 2 2 2 4 2" xfId="1048"/>
    <cellStyle name="Normal 7 2 2 2 4 2" xfId="1049"/>
    <cellStyle name="Normal 2 4 2 2 4 2" xfId="1050"/>
    <cellStyle name="Normal 3 4 2 2 4 2" xfId="1051"/>
    <cellStyle name="Normal 4 3 2 2 4 2" xfId="1052"/>
    <cellStyle name="Normal 5 3 2 2 4 2" xfId="1053"/>
    <cellStyle name="Normal 7 3 2 2 4 2" xfId="1054"/>
    <cellStyle name="Normal 2 6 2 4 2" xfId="1055"/>
    <cellStyle name="Normal 3 6 2 4 2" xfId="1056"/>
    <cellStyle name="Normal 4 5 2 4 2" xfId="1057"/>
    <cellStyle name="Normal 5 5 2 4 2" xfId="1058"/>
    <cellStyle name="Normal 7 5 2 4 2" xfId="1059"/>
    <cellStyle name="Normal 2 3 3 2 4 2" xfId="1060"/>
    <cellStyle name="Normal 3 3 3 2 4 2" xfId="1061"/>
    <cellStyle name="Normal 4 2 3 2 4 2" xfId="1062"/>
    <cellStyle name="Normal 5 2 3 2 4 2" xfId="1063"/>
    <cellStyle name="Normal 7 2 3 2 4 2" xfId="1064"/>
    <cellStyle name="Normal 2 4 3 2 4 2" xfId="1065"/>
    <cellStyle name="Normal 3 4 3 2 4 2" xfId="1066"/>
    <cellStyle name="Normal 4 3 3 2 4 2" xfId="1067"/>
    <cellStyle name="Normal 5 3 3 2 4 2" xfId="1068"/>
    <cellStyle name="Normal 7 3 3 2 4 2" xfId="1069"/>
    <cellStyle name="Normal 2 8 3 2" xfId="1070"/>
    <cellStyle name="Normal 3 8 3 2" xfId="1071"/>
    <cellStyle name="Normal 4 7 3 2" xfId="1072"/>
    <cellStyle name="Normal 5 7 3 2" xfId="1073"/>
    <cellStyle name="Normal 7 7 3 2" xfId="1074"/>
    <cellStyle name="Normal 2 3 5 3 2" xfId="1075"/>
    <cellStyle name="Normal 3 3 5 3 2" xfId="1076"/>
    <cellStyle name="Normal 4 2 5 3 2" xfId="1077"/>
    <cellStyle name="Normal 5 2 5 3 2" xfId="1078"/>
    <cellStyle name="Normal 7 2 5 3 2" xfId="1079"/>
    <cellStyle name="Normal 3 4 5 3 2" xfId="1080"/>
    <cellStyle name="Normal 4 3 5 3 2" xfId="1081"/>
    <cellStyle name="Normal 5 3 5 3 2" xfId="1082"/>
    <cellStyle name="Normal 7 3 5 3 2" xfId="1083"/>
    <cellStyle name="Normal 2 5 3 3 2" xfId="1084"/>
    <cellStyle name="Normal 3 5 3 3 2" xfId="1085"/>
    <cellStyle name="Normal 4 4 3 3 2" xfId="1086"/>
    <cellStyle name="Normal 5 4 3 3 2" xfId="1087"/>
    <cellStyle name="Normal 7 4 3 3 2" xfId="1088"/>
    <cellStyle name="Normal 2 3 2 3 3 2" xfId="1089"/>
    <cellStyle name="Normal 3 3 2 3 3 2" xfId="1090"/>
    <cellStyle name="Normal 4 2 2 3 3 2" xfId="1091"/>
    <cellStyle name="Normal 5 2 2 3 3 2" xfId="1092"/>
    <cellStyle name="Normal 7 2 2 3 3 2" xfId="1093"/>
    <cellStyle name="Normal 2 4 2 3 3 2" xfId="1094"/>
    <cellStyle name="Normal 3 4 2 3 3 2" xfId="1095"/>
    <cellStyle name="Normal 4 3 2 3 3 2" xfId="1096"/>
    <cellStyle name="Normal 5 3 2 3 3 2" xfId="1097"/>
    <cellStyle name="Normal 7 3 2 3 3 2" xfId="1098"/>
    <cellStyle name="Normal 2 6 3 3 2" xfId="1099"/>
    <cellStyle name="Normal 3 6 3 3 2" xfId="1100"/>
    <cellStyle name="Normal 4 5 3 3 2" xfId="1101"/>
    <cellStyle name="Normal 5 5 3 3 2" xfId="1102"/>
    <cellStyle name="Normal 7 5 3 3 2" xfId="1103"/>
    <cellStyle name="Normal 2 3 3 3 3 2" xfId="1104"/>
    <cellStyle name="Normal 3 3 3 3 3 2" xfId="1105"/>
    <cellStyle name="Normal 4 2 3 3 3 2" xfId="1106"/>
    <cellStyle name="Normal 5 2 3 3 3 2" xfId="1107"/>
    <cellStyle name="Normal 7 2 3 3 3 2" xfId="1108"/>
    <cellStyle name="Normal 2 4 3 3 3 2" xfId="1109"/>
    <cellStyle name="Normal 3 4 3 3 3 2" xfId="1110"/>
    <cellStyle name="Normal 4 3 3 3 3 2" xfId="1111"/>
    <cellStyle name="Normal 5 3 3 3 3 2" xfId="1112"/>
    <cellStyle name="Normal 7 3 3 3 3 2" xfId="1113"/>
    <cellStyle name="Normal 2 7 2 3 2" xfId="1114"/>
    <cellStyle name="Normal 3 7 2 3 2" xfId="1115"/>
    <cellStyle name="Normal 4 6 2 3 2" xfId="1116"/>
    <cellStyle name="Normal 5 6 2 3 2" xfId="1117"/>
    <cellStyle name="Normal 7 6 2 3 2" xfId="1118"/>
    <cellStyle name="Normal 2 3 4 2 3 2" xfId="1119"/>
    <cellStyle name="Normal 3 3 4 2 3 2" xfId="1120"/>
    <cellStyle name="Normal 4 2 4 2 3 2" xfId="1121"/>
    <cellStyle name="Normal 5 2 4 2 3 2" xfId="1122"/>
    <cellStyle name="Normal 7 2 4 2 3 2" xfId="1123"/>
    <cellStyle name="Normal 2 4 4 2 3 2" xfId="1124"/>
    <cellStyle name="Normal 3 4 4 2 3 2" xfId="1125"/>
    <cellStyle name="Normal 4 3 4 2 3 2" xfId="1126"/>
    <cellStyle name="Normal 5 3 4 2 3 2" xfId="1127"/>
    <cellStyle name="Normal 7 3 4 2 3 2" xfId="1128"/>
    <cellStyle name="Normal 2 5 2 2 3 2" xfId="1129"/>
    <cellStyle name="Normal 3 5 2 2 3 2" xfId="1130"/>
    <cellStyle name="Normal 4 4 2 2 3 2" xfId="1131"/>
    <cellStyle name="Normal 5 4 2 2 3 2" xfId="1132"/>
    <cellStyle name="Normal 7 4 2 2 3 2" xfId="1133"/>
    <cellStyle name="Normal 2 3 2 2 2 3 2" xfId="1134"/>
    <cellStyle name="Normal 3 3 2 2 2 3 2" xfId="1135"/>
    <cellStyle name="Normal 4 2 2 2 2 3 2" xfId="1136"/>
    <cellStyle name="Normal 5 2 2 2 2 3 2" xfId="1137"/>
    <cellStyle name="Normal 7 2 2 2 2 3 2" xfId="1138"/>
    <cellStyle name="Normal 2 4 2 2 2 3 2" xfId="1139"/>
    <cellStyle name="Normal 3 4 2 2 2 3 2" xfId="1140"/>
    <cellStyle name="Normal 4 3 2 2 2 3 2" xfId="1141"/>
    <cellStyle name="Normal 5 3 2 2 2 3 2" xfId="1142"/>
    <cellStyle name="Normal 7 3 2 2 2 3 2" xfId="1143"/>
    <cellStyle name="Normal 2 6 2 2 3 2" xfId="1144"/>
    <cellStyle name="Normal 3 6 2 2 3 2" xfId="1145"/>
    <cellStyle name="Normal 4 5 2 2 3 2" xfId="1146"/>
    <cellStyle name="Normal 5 5 2 2 3 2" xfId="1147"/>
    <cellStyle name="Normal 7 5 2 2 3 2" xfId="1148"/>
    <cellStyle name="Normal 2 3 3 2 2 3 2" xfId="1149"/>
    <cellStyle name="Normal 3 3 3 2 2 3 2" xfId="1150"/>
    <cellStyle name="Normal 4 2 3 2 2 3 2" xfId="1151"/>
    <cellStyle name="Normal 5 2 3 2 2 3 2" xfId="1152"/>
    <cellStyle name="Normal 7 2 3 2 2 3 2" xfId="1153"/>
    <cellStyle name="Normal 2 4 3 2 2 3 2" xfId="1154"/>
    <cellStyle name="Normal 3 4 3 2 2 3 2" xfId="1155"/>
    <cellStyle name="Normal 4 3 3 2 2 3 2" xfId="1156"/>
    <cellStyle name="Normal 5 3 3 2 2 3 2" xfId="1157"/>
    <cellStyle name="Normal 7 3 3 2 2 3 2" xfId="1158"/>
    <cellStyle name="Normal 2 12" xfId="1159"/>
    <cellStyle name="Normal 3 12" xfId="1160"/>
    <cellStyle name="Normal 4 11" xfId="1161"/>
    <cellStyle name="Normal 5 11" xfId="1162"/>
    <cellStyle name="Normal 7 11" xfId="1163"/>
    <cellStyle name="Normal 2 3 9" xfId="1164"/>
    <cellStyle name="Normal 3 3 9" xfId="1165"/>
    <cellStyle name="Normal 4 2 9" xfId="1166"/>
    <cellStyle name="Normal 5 2 9" xfId="1167"/>
    <cellStyle name="Normal 7 2 9" xfId="1168"/>
    <cellStyle name="Normal 2 4 9" xfId="1169"/>
    <cellStyle name="Normal 3 4 9" xfId="1170"/>
    <cellStyle name="Normal 4 3 9" xfId="1171"/>
    <cellStyle name="Normal 5 3 9" xfId="1172"/>
    <cellStyle name="Normal 7 3 9" xfId="1173"/>
    <cellStyle name="Normal 2 5 7" xfId="1174"/>
    <cellStyle name="Normal 3 5 7" xfId="1175"/>
    <cellStyle name="Normal 4 4 7" xfId="1176"/>
    <cellStyle name="Normal 5 4 7" xfId="1177"/>
    <cellStyle name="Normal 7 4 7" xfId="1178"/>
    <cellStyle name="Normal 2 3 2 7" xfId="1179"/>
    <cellStyle name="Normal 3 3 2 7" xfId="1180"/>
    <cellStyle name="Normal 4 2 2 7" xfId="1181"/>
    <cellStyle name="Normal 5 2 2 7" xfId="1182"/>
    <cellStyle name="Normal 7 2 2 7" xfId="1183"/>
    <cellStyle name="Normal 2 4 2 7" xfId="1184"/>
    <cellStyle name="Normal 3 4 2 7" xfId="1185"/>
    <cellStyle name="Normal 4 3 2 7" xfId="1186"/>
    <cellStyle name="Normal 5 3 2 7" xfId="1187"/>
    <cellStyle name="Normal 7 3 2 7" xfId="1188"/>
    <cellStyle name="Normal 2 6 7" xfId="1189"/>
    <cellStyle name="Normal 3 6 7" xfId="1190"/>
    <cellStyle name="Normal 4 5 7" xfId="1191"/>
    <cellStyle name="Normal 5 5 7" xfId="1192"/>
    <cellStyle name="Normal 7 5 7" xfId="1193"/>
    <cellStyle name="Normal 2 3 3 7" xfId="1194"/>
    <cellStyle name="Normal 3 3 3 7" xfId="1195"/>
    <cellStyle name="Normal 4 2 3 7" xfId="1196"/>
    <cellStyle name="Normal 5 2 3 7" xfId="1197"/>
    <cellStyle name="Normal 7 2 3 7" xfId="1198"/>
    <cellStyle name="Normal 2 4 3 7" xfId="1199"/>
    <cellStyle name="Normal 3 4 3 7" xfId="1200"/>
    <cellStyle name="Normal 4 3 3 7" xfId="1201"/>
    <cellStyle name="Normal 5 3 3 7" xfId="1202"/>
    <cellStyle name="Normal 7 3 3 7" xfId="1203"/>
    <cellStyle name="Normal 2 7 6" xfId="1204"/>
    <cellStyle name="Normal 3 7 6" xfId="1205"/>
    <cellStyle name="Normal 4 6 6" xfId="1206"/>
    <cellStyle name="Normal 5 6 6" xfId="1207"/>
    <cellStyle name="Normal 7 6 6" xfId="1208"/>
    <cellStyle name="Normal 2 3 4 6" xfId="1209"/>
    <cellStyle name="Normal 3 3 4 6" xfId="1210"/>
    <cellStyle name="Normal 4 2 4 6" xfId="1211"/>
    <cellStyle name="Normal 5 2 4 6" xfId="1212"/>
    <cellStyle name="Normal 7 2 4 6" xfId="1213"/>
    <cellStyle name="Normal 2 4 4 6" xfId="1214"/>
    <cellStyle name="Normal 3 4 4 6" xfId="1215"/>
    <cellStyle name="Normal 4 3 4 6" xfId="1216"/>
    <cellStyle name="Normal 5 3 4 6" xfId="1217"/>
    <cellStyle name="Normal 7 3 4 6" xfId="1218"/>
    <cellStyle name="Normal 2 5 2 6" xfId="1219"/>
    <cellStyle name="Normal 3 5 2 6" xfId="1220"/>
    <cellStyle name="Normal 4 4 2 6" xfId="1221"/>
    <cellStyle name="Normal 5 4 2 6" xfId="1222"/>
    <cellStyle name="Normal 7 4 2 6" xfId="1223"/>
    <cellStyle name="Normal 2 3 2 2 6" xfId="1224"/>
    <cellStyle name="Normal 3 3 2 2 6" xfId="1225"/>
    <cellStyle name="Normal 4 2 2 2 6" xfId="1226"/>
    <cellStyle name="Normal 5 2 2 2 6" xfId="1227"/>
    <cellStyle name="Normal 7 2 2 2 6" xfId="1228"/>
    <cellStyle name="Normal 2 4 2 2 6" xfId="1229"/>
    <cellStyle name="Normal 3 4 2 2 6" xfId="1230"/>
    <cellStyle name="Normal 4 3 2 2 6" xfId="1231"/>
    <cellStyle name="Normal 5 3 2 2 6" xfId="1232"/>
    <cellStyle name="Normal 7 3 2 2 6" xfId="1233"/>
    <cellStyle name="Normal 2 6 2 6" xfId="1234"/>
    <cellStyle name="Normal 3 6 2 6" xfId="1235"/>
    <cellStyle name="Normal 4 5 2 6" xfId="1236"/>
    <cellStyle name="Normal 5 5 2 6" xfId="1237"/>
    <cellStyle name="Normal 7 5 2 6" xfId="1238"/>
    <cellStyle name="Normal 2 3 3 2 6" xfId="1239"/>
    <cellStyle name="Normal 3 3 3 2 6" xfId="1240"/>
    <cellStyle name="Normal 4 2 3 2 6" xfId="1241"/>
    <cellStyle name="Normal 5 2 3 2 6" xfId="1242"/>
    <cellStyle name="Normal 7 2 3 2 6" xfId="1243"/>
    <cellStyle name="Normal 2 4 3 2 6" xfId="1244"/>
    <cellStyle name="Normal 3 4 3 2 6" xfId="1245"/>
    <cellStyle name="Normal 4 3 3 2 6" xfId="1246"/>
    <cellStyle name="Normal 5 3 3 2 6" xfId="1247"/>
    <cellStyle name="Normal 7 3 3 2 6" xfId="1248"/>
    <cellStyle name="Normal 2 8 5" xfId="1249"/>
    <cellStyle name="Normal 3 8 5" xfId="1250"/>
    <cellStyle name="Normal 4 7 5" xfId="1251"/>
    <cellStyle name="Normal 5 7 5" xfId="1252"/>
    <cellStyle name="Normal 7 7 5" xfId="1253"/>
    <cellStyle name="Normal 2 3 5 5" xfId="1254"/>
    <cellStyle name="Normal 3 3 5 5" xfId="1255"/>
    <cellStyle name="Normal 4 2 5 5" xfId="1256"/>
    <cellStyle name="Normal 5 2 5 5" xfId="1257"/>
    <cellStyle name="Normal 7 2 5 5" xfId="1258"/>
    <cellStyle name="Normal 2 4 5 5" xfId="1259"/>
    <cellStyle name="Normal 3 4 5 5" xfId="1260"/>
    <cellStyle name="Normal 4 3 5 5" xfId="1261"/>
    <cellStyle name="Normal 5 3 5 5" xfId="1262"/>
    <cellStyle name="Normal 7 3 5 5" xfId="1263"/>
    <cellStyle name="Normal 2 5 3 5" xfId="1264"/>
    <cellStyle name="Normal 3 5 3 5" xfId="1265"/>
    <cellStyle name="Normal 4 4 3 5" xfId="1266"/>
    <cellStyle name="Normal 5 4 3 5" xfId="1267"/>
    <cellStyle name="Normal 7 4 3 5" xfId="1268"/>
    <cellStyle name="Normal 2 3 2 3 5" xfId="1269"/>
    <cellStyle name="Normal 3 3 2 3 5" xfId="1270"/>
    <cellStyle name="Normal 4 2 2 3 5" xfId="1271"/>
    <cellStyle name="Normal 5 2 2 3 5" xfId="1272"/>
    <cellStyle name="Normal 7 2 2 3 5" xfId="1273"/>
    <cellStyle name="Normal 2 4 2 3 5" xfId="1274"/>
    <cellStyle name="Normal 3 4 2 3 5" xfId="1275"/>
    <cellStyle name="Normal 4 3 2 3 5" xfId="1276"/>
    <cellStyle name="Normal 5 3 2 3 5" xfId="1277"/>
    <cellStyle name="Normal 7 3 2 3 5" xfId="1278"/>
    <cellStyle name="Normal 2 6 3 5" xfId="1279"/>
    <cellStyle name="Normal 3 6 3 5" xfId="1280"/>
    <cellStyle name="Normal 4 5 3 5" xfId="1281"/>
    <cellStyle name="Normal 5 5 3 5" xfId="1282"/>
    <cellStyle name="Normal 7 5 3 5" xfId="1283"/>
    <cellStyle name="Normal 2 3 3 3 5" xfId="1284"/>
    <cellStyle name="Normal 3 3 3 3 5" xfId="1285"/>
    <cellStyle name="Normal 4 2 3 3 5" xfId="1286"/>
    <cellStyle name="Normal 5 2 3 3 5" xfId="1287"/>
    <cellStyle name="Normal 7 2 3 3 5" xfId="1288"/>
    <cellStyle name="Normal 2 4 3 3 5" xfId="1289"/>
    <cellStyle name="Normal 3 4 3 3 5" xfId="1290"/>
    <cellStyle name="Normal 4 3 3 3 5" xfId="1291"/>
    <cellStyle name="Normal 5 3 3 3 5" xfId="1292"/>
    <cellStyle name="Normal 7 3 3 3 5" xfId="1293"/>
    <cellStyle name="Normal 2 7 2 5" xfId="1294"/>
    <cellStyle name="Normal 3 7 2 5" xfId="1295"/>
    <cellStyle name="Normal 4 6 2 5" xfId="1296"/>
    <cellStyle name="Normal 5 6 2 5" xfId="1297"/>
    <cellStyle name="Normal 7 6 2 5" xfId="1298"/>
    <cellStyle name="Normal 2 3 4 2 5" xfId="1299"/>
    <cellStyle name="Normal 3 3 4 2 5" xfId="1300"/>
    <cellStyle name="Normal 4 2 4 2 5" xfId="1301"/>
    <cellStyle name="Normal 5 2 4 2 5" xfId="1302"/>
    <cellStyle name="Normal 7 2 4 2 5" xfId="1303"/>
    <cellStyle name="Normal 2 4 4 2 5" xfId="1304"/>
    <cellStyle name="Normal 3 4 4 2 5" xfId="1305"/>
    <cellStyle name="Normal 4 3 4 2 5" xfId="1306"/>
    <cellStyle name="Normal 5 3 4 2 5" xfId="1307"/>
    <cellStyle name="Normal 7 3 4 2 5" xfId="1308"/>
    <cellStyle name="Normal 2 5 2 2 5" xfId="1309"/>
    <cellStyle name="Normal 3 5 2 2 5" xfId="1310"/>
    <cellStyle name="Normal 4 4 2 2 5" xfId="1311"/>
    <cellStyle name="Normal 5 4 2 2 5" xfId="1312"/>
    <cellStyle name="Normal 7 4 2 2 5" xfId="1313"/>
    <cellStyle name="Normal 2 3 2 2 2 5" xfId="1314"/>
    <cellStyle name="Normal 3 3 2 2 2 5" xfId="1315"/>
    <cellStyle name="Normal 4 2 2 2 2 5" xfId="1316"/>
    <cellStyle name="Normal 5 2 2 2 2 5" xfId="1317"/>
    <cellStyle name="Normal 7 2 2 2 2 5" xfId="1318"/>
    <cellStyle name="Normal 2 4 2 2 2 5" xfId="1319"/>
    <cellStyle name="Normal 3 4 2 2 2 5" xfId="1320"/>
    <cellStyle name="Normal 4 3 2 2 2 5" xfId="1321"/>
    <cellStyle name="Normal 5 3 2 2 2 5" xfId="1322"/>
    <cellStyle name="Normal 7 3 2 2 2 5" xfId="1323"/>
    <cellStyle name="Normal 2 6 2 2 5" xfId="1324"/>
    <cellStyle name="Normal 3 6 2 2 5" xfId="1325"/>
    <cellStyle name="Normal 4 5 2 2 5" xfId="1326"/>
    <cellStyle name="Normal 5 5 2 2 5" xfId="1327"/>
    <cellStyle name="Normal 7 5 2 2 5" xfId="1328"/>
    <cellStyle name="Normal 2 3 3 2 2 5" xfId="1329"/>
    <cellStyle name="Normal 3 3 3 2 2 5" xfId="1330"/>
    <cellStyle name="Normal 4 2 3 2 2 5" xfId="1331"/>
    <cellStyle name="Normal 5 2 3 2 2 5" xfId="1332"/>
    <cellStyle name="Normal 7 2 3 2 2 5" xfId="1333"/>
    <cellStyle name="Normal 2 4 3 2 2 5" xfId="1334"/>
    <cellStyle name="Normal 3 4 3 2 2 5" xfId="1335"/>
    <cellStyle name="Normal 4 3 3 2 2 5" xfId="1336"/>
    <cellStyle name="Normal 5 3 3 2 2 5" xfId="1337"/>
    <cellStyle name="Normal 7 3 3 2 2 5" xfId="1338"/>
    <cellStyle name="Normal 2 9 3" xfId="1339"/>
    <cellStyle name="Normal 3 9 3" xfId="1340"/>
    <cellStyle name="Normal 4 8 3" xfId="1341"/>
    <cellStyle name="Normal 5 8 3" xfId="1342"/>
    <cellStyle name="Normal 7 8 3" xfId="1343"/>
    <cellStyle name="Normal 2 3 6 3" xfId="1344"/>
    <cellStyle name="Normal 3 3 6 3" xfId="1345"/>
    <cellStyle name="Normal 4 2 6 3" xfId="1346"/>
    <cellStyle name="Normal 5 2 6 3" xfId="1347"/>
    <cellStyle name="Normal 7 2 6 3" xfId="1348"/>
    <cellStyle name="Normal 2 4 6 3" xfId="1349"/>
    <cellStyle name="Normal 3 4 6 3" xfId="1350"/>
    <cellStyle name="Normal 4 3 6 3" xfId="1351"/>
    <cellStyle name="Normal 5 3 6 3" xfId="1352"/>
    <cellStyle name="Normal 7 3 6 3" xfId="1353"/>
    <cellStyle name="Normal 2 5 4 3" xfId="1354"/>
    <cellStyle name="Normal 3 5 4 3" xfId="1355"/>
    <cellStyle name="Normal 4 4 4 3" xfId="1356"/>
    <cellStyle name="Normal 5 4 4 3" xfId="1357"/>
    <cellStyle name="Normal 7 4 4 3" xfId="1358"/>
    <cellStyle name="Normal 2 3 2 4 3" xfId="1359"/>
    <cellStyle name="Normal 3 3 2 4 3" xfId="1360"/>
    <cellStyle name="Normal 4 2 2 4 3" xfId="1361"/>
    <cellStyle name="Normal 5 2 2 4 3" xfId="1362"/>
    <cellStyle name="Normal 7 2 2 4 3" xfId="1363"/>
    <cellStyle name="Normal 2 4 2 4 3" xfId="1364"/>
    <cellStyle name="Normal 3 4 2 4 3" xfId="1365"/>
    <cellStyle name="Normal 4 3 2 4 3" xfId="1366"/>
    <cellStyle name="Normal 5 3 2 4 3" xfId="1367"/>
    <cellStyle name="Normal 7 3 2 4 3" xfId="1368"/>
    <cellStyle name="Normal 2 6 4 3" xfId="1369"/>
    <cellStyle name="Normal 3 6 4 3" xfId="1370"/>
    <cellStyle name="Normal 4 5 4 3" xfId="1371"/>
    <cellStyle name="Normal 5 5 4 3" xfId="1372"/>
    <cellStyle name="Normal 7 5 4 3" xfId="1373"/>
    <cellStyle name="Normal 2 3 3 4 3" xfId="1374"/>
    <cellStyle name="Normal 3 3 3 4 3" xfId="1375"/>
    <cellStyle name="Normal 4 2 3 4 3" xfId="1376"/>
    <cellStyle name="Normal 5 2 3 4 3" xfId="1377"/>
    <cellStyle name="Normal 7 2 3 4 3" xfId="1378"/>
    <cellStyle name="Normal 2 4 3 4 3" xfId="1379"/>
    <cellStyle name="Normal 3 4 3 4 3" xfId="1380"/>
    <cellStyle name="Normal 4 3 3 4 3" xfId="1381"/>
    <cellStyle name="Normal 5 3 3 4 3" xfId="1382"/>
    <cellStyle name="Normal 7 3 3 4 3" xfId="1383"/>
    <cellStyle name="Normal 2 7 3 3" xfId="1384"/>
    <cellStyle name="Normal 3 7 3 3" xfId="1385"/>
    <cellStyle name="Normal 4 6 3 3" xfId="1386"/>
    <cellStyle name="Normal 5 6 3 3" xfId="1387"/>
    <cellStyle name="Normal 7 6 3 3" xfId="1388"/>
    <cellStyle name="Normal 2 3 4 3 3" xfId="1389"/>
    <cellStyle name="Normal 3 3 4 3 3" xfId="1390"/>
    <cellStyle name="Normal 4 2 4 3 3" xfId="1391"/>
    <cellStyle name="Normal 5 2 4 3 3" xfId="1392"/>
    <cellStyle name="Normal 7 2 4 3 3" xfId="1393"/>
    <cellStyle name="Normal 2 4 4 3 3" xfId="1394"/>
    <cellStyle name="Normal 3 4 4 3 3" xfId="1395"/>
    <cellStyle name="Normal 4 3 4 3 3" xfId="1396"/>
    <cellStyle name="Normal 5 3 4 3 3" xfId="1397"/>
    <cellStyle name="Normal 7 3 4 3 3" xfId="1398"/>
    <cellStyle name="Normal 2 5 2 3 3" xfId="1399"/>
    <cellStyle name="Normal 3 5 2 3 3" xfId="1400"/>
    <cellStyle name="Normal 4 4 2 3 3" xfId="1401"/>
    <cellStyle name="Normal 5 4 2 3 3" xfId="1402"/>
    <cellStyle name="Normal 7 4 2 3 3" xfId="1403"/>
    <cellStyle name="Normal 2 3 2 2 3 3" xfId="1404"/>
    <cellStyle name="Normal 3 3 2 2 3 3" xfId="1405"/>
    <cellStyle name="Normal 4 2 2 2 3 3" xfId="1406"/>
    <cellStyle name="Normal 5 2 2 2 3 3" xfId="1407"/>
    <cellStyle name="Normal 7 2 2 2 3 3" xfId="1408"/>
    <cellStyle name="Normal 2 4 2 2 3 3" xfId="1409"/>
    <cellStyle name="Normal 3 4 2 2 3 3" xfId="1410"/>
    <cellStyle name="Normal 4 3 2 2 3 3" xfId="1411"/>
    <cellStyle name="Normal 5 3 2 2 3 3" xfId="1412"/>
    <cellStyle name="Normal 7 3 2 2 3 3" xfId="1413"/>
    <cellStyle name="Normal 2 6 2 3 3" xfId="1414"/>
    <cellStyle name="Normal 3 6 2 3 3" xfId="1415"/>
    <cellStyle name="Normal 4 5 2 3 3" xfId="1416"/>
    <cellStyle name="Normal 5 5 2 3 3" xfId="1417"/>
    <cellStyle name="Normal 7 5 2 3 3" xfId="1418"/>
    <cellStyle name="Normal 2 3 3 2 3 3" xfId="1419"/>
    <cellStyle name="Normal 3 3 3 2 3 3" xfId="1420"/>
    <cellStyle name="Normal 4 2 3 2 3 3" xfId="1421"/>
    <cellStyle name="Normal 5 2 3 2 3 3" xfId="1422"/>
    <cellStyle name="Normal 7 2 3 2 3 3" xfId="1423"/>
    <cellStyle name="Normal 2 4 3 2 3 3" xfId="1424"/>
    <cellStyle name="Normal 3 4 3 2 3 3" xfId="1425"/>
    <cellStyle name="Normal 4 3 3 2 3 3" xfId="1426"/>
    <cellStyle name="Normal 5 3 3 2 3 3" xfId="1427"/>
    <cellStyle name="Normal 7 3 3 2 3 3" xfId="1428"/>
    <cellStyle name="Normal 2 8 2 3" xfId="1429"/>
    <cellStyle name="Normal 3 8 2 3" xfId="1430"/>
    <cellStyle name="Normal 4 7 2 3" xfId="1431"/>
    <cellStyle name="Normal 5 7 2 3" xfId="1432"/>
    <cellStyle name="Normal 7 7 2 3" xfId="1433"/>
    <cellStyle name="Normal 2 3 5 2 3" xfId="1434"/>
    <cellStyle name="Normal 3 3 5 2 3" xfId="1435"/>
    <cellStyle name="Normal 4 2 5 2 3" xfId="1436"/>
    <cellStyle name="Normal 5 2 5 2 3" xfId="1437"/>
    <cellStyle name="Normal 7 2 5 2 3" xfId="1438"/>
    <cellStyle name="Normal 2 4 5 2 3" xfId="1439"/>
    <cellStyle name="Normal 3 4 5 2 3" xfId="1440"/>
    <cellStyle name="Normal 4 3 5 2 3" xfId="1441"/>
    <cellStyle name="Normal 5 3 5 2 3" xfId="1442"/>
    <cellStyle name="Normal 7 3 5 2 3" xfId="1443"/>
    <cellStyle name="Normal 2 5 3 2 3" xfId="1444"/>
    <cellStyle name="Normal 3 5 3 2 3" xfId="1445"/>
    <cellStyle name="Normal 4 4 3 2 3" xfId="1446"/>
    <cellStyle name="Normal 5 4 3 2 3" xfId="1447"/>
    <cellStyle name="Normal 7 4 3 2 3" xfId="1448"/>
    <cellStyle name="Normal 2 3 2 3 2 3" xfId="1449"/>
    <cellStyle name="Normal 3 3 2 3 2 3" xfId="1450"/>
    <cellStyle name="Normal 4 2 2 3 2 3" xfId="1451"/>
    <cellStyle name="Normal 5 2 2 3 2 3" xfId="1452"/>
    <cellStyle name="Normal 7 2 2 3 2 3" xfId="1453"/>
    <cellStyle name="Normal 2 4 2 3 2 3" xfId="1454"/>
    <cellStyle name="Normal 3 4 2 3 2 3" xfId="1455"/>
    <cellStyle name="Normal 4 3 2 3 2 3" xfId="1456"/>
    <cellStyle name="Normal 5 3 2 3 2 3" xfId="1457"/>
    <cellStyle name="Normal 7 3 2 3 2 3" xfId="1458"/>
    <cellStyle name="Normal 2 6 3 2 3" xfId="1459"/>
    <cellStyle name="Normal 3 6 3 2 3" xfId="1460"/>
    <cellStyle name="Normal 4 5 3 2 3" xfId="1461"/>
    <cellStyle name="Normal 5 5 3 2 3" xfId="1462"/>
    <cellStyle name="Normal 7 5 3 2 3" xfId="1463"/>
    <cellStyle name="Normal 2 3 3 3 2 3" xfId="1464"/>
    <cellStyle name="Normal 3 3 3 3 2 3" xfId="1465"/>
    <cellStyle name="Normal 4 2 3 3 2 3" xfId="1466"/>
    <cellStyle name="Normal 5 2 3 3 2 3" xfId="1467"/>
    <cellStyle name="Normal 7 2 3 3 2 3" xfId="1468"/>
    <cellStyle name="Normal 2 4 3 3 2 3" xfId="1469"/>
    <cellStyle name="Normal 3 4 3 3 2 3" xfId="1470"/>
    <cellStyle name="Normal 4 3 3 3 2 3" xfId="1471"/>
    <cellStyle name="Normal 5 3 3 3 2 3" xfId="1472"/>
    <cellStyle name="Normal 7 3 3 3 2 3" xfId="1473"/>
    <cellStyle name="Normal 2 7 2 2 3" xfId="1474"/>
    <cellStyle name="Normal 3 7 2 2 3" xfId="1475"/>
    <cellStyle name="Normal 4 6 2 2 3" xfId="1476"/>
    <cellStyle name="Normal 5 6 2 2 3" xfId="1477"/>
    <cellStyle name="Normal 7 6 2 2 3" xfId="1478"/>
    <cellStyle name="Normal 2 3 4 2 2 3" xfId="1479"/>
    <cellStyle name="Normal 3 3 4 2 2 3" xfId="1480"/>
    <cellStyle name="Normal 4 2 4 2 2 3" xfId="1481"/>
    <cellStyle name="Normal 5 2 4 2 2 3" xfId="1482"/>
    <cellStyle name="Normal 7 2 4 2 2 3" xfId="1483"/>
    <cellStyle name="Normal 2 4 4 2 2 3" xfId="1484"/>
    <cellStyle name="Normal 3 4 4 2 2 3" xfId="1485"/>
    <cellStyle name="Normal 4 3 4 2 2 3" xfId="1486"/>
    <cellStyle name="Normal 5 3 4 2 2 3" xfId="1487"/>
    <cellStyle name="Normal 7 3 4 2 2 3" xfId="1488"/>
    <cellStyle name="Normal 2 5 2 2 2 3" xfId="1489"/>
    <cellStyle name="Normal 3 5 2 2 2 3" xfId="1490"/>
    <cellStyle name="Normal 4 4 2 2 2 3" xfId="1491"/>
    <cellStyle name="Normal 5 4 2 2 2 3" xfId="1492"/>
    <cellStyle name="Normal 7 4 2 2 2 3" xfId="1493"/>
    <cellStyle name="Normal 2 3 2 2 2 2 3" xfId="1494"/>
    <cellStyle name="Normal 3 3 2 2 2 2 3" xfId="1495"/>
    <cellStyle name="Normal 4 2 2 2 2 2 3" xfId="1496"/>
    <cellStyle name="Normal 5 2 2 2 2 2 3" xfId="1497"/>
    <cellStyle name="Normal 7 2 2 2 2 2 3" xfId="1498"/>
    <cellStyle name="Normal 2 4 2 2 2 2 3" xfId="1499"/>
    <cellStyle name="Normal 3 4 2 2 2 2 3" xfId="1500"/>
    <cellStyle name="Normal 4 3 2 2 2 2 3" xfId="1501"/>
    <cellStyle name="Normal 5 3 2 2 2 2 3" xfId="1502"/>
    <cellStyle name="Normal 7 3 2 2 2 2 3" xfId="1503"/>
    <cellStyle name="Normal 2 6 2 2 2 3" xfId="1504"/>
    <cellStyle name="Normal 3 6 2 2 2 3" xfId="1505"/>
    <cellStyle name="Normal 4 5 2 2 2 3" xfId="1506"/>
    <cellStyle name="Normal 5 5 2 2 2 3" xfId="1507"/>
    <cellStyle name="Normal 7 5 2 2 2 3" xfId="1508"/>
    <cellStyle name="Normal 2 3 3 2 2 2 3" xfId="1509"/>
    <cellStyle name="Normal 3 3 3 2 2 2 3" xfId="1510"/>
    <cellStyle name="Normal 4 2 3 2 2 2 3" xfId="1511"/>
    <cellStyle name="Normal 5 2 3 2 2 2 3" xfId="1512"/>
    <cellStyle name="Normal 7 2 3 2 2 2 3" xfId="1513"/>
    <cellStyle name="Normal 2 4 3 2 2 2 3" xfId="1514"/>
    <cellStyle name="Normal 3 4 3 2 2 2 3" xfId="1515"/>
    <cellStyle name="Normal 4 3 3 2 2 2 3" xfId="1516"/>
    <cellStyle name="Normal 5 3 3 2 2 2 3" xfId="1517"/>
    <cellStyle name="Normal 7 3 3 2 2 2 3" xfId="1518"/>
    <cellStyle name="Normal 28 3" xfId="1519"/>
    <cellStyle name="Normal 2 3 7 3" xfId="1520"/>
    <cellStyle name="Normal 3 10 3" xfId="1521"/>
    <cellStyle name="Normal 4 9 3" xfId="1522"/>
    <cellStyle name="Normal 5 9 3" xfId="1523"/>
    <cellStyle name="Millares 4 3" xfId="1524"/>
    <cellStyle name="Normal 7 2 7 3" xfId="1525"/>
    <cellStyle name="Normal 3 3 7 3" xfId="1526"/>
    <cellStyle name="Normal 4 2 7 3" xfId="1527"/>
    <cellStyle name="Normal 5 2 7 3" xfId="1528"/>
    <cellStyle name="Normal 2 4 5 3 3" xfId="1529"/>
    <cellStyle name="Normal 3 4 7 3" xfId="1530"/>
    <cellStyle name="Normal 4 3 7 3" xfId="1531"/>
    <cellStyle name="Normal 5 3 7 3" xfId="1532"/>
    <cellStyle name="Normal 7 3 7 3" xfId="1533"/>
    <cellStyle name="Normal 2 5 5 3" xfId="1534"/>
    <cellStyle name="Normal 3 5 5 3" xfId="1535"/>
    <cellStyle name="Normal 4 4 5 3" xfId="1536"/>
    <cellStyle name="Normal 5 4 5 3" xfId="1537"/>
    <cellStyle name="Normal 7 4 5 3" xfId="1538"/>
    <cellStyle name="Normal 2 3 2 5 3" xfId="1539"/>
    <cellStyle name="Normal 3 3 2 5 3" xfId="1540"/>
    <cellStyle name="Normal 4 2 2 5 3" xfId="1541"/>
    <cellStyle name="Normal 5 2 2 5 3" xfId="1542"/>
    <cellStyle name="Normal 7 2 2 5 3" xfId="1543"/>
    <cellStyle name="Normal 2 4 2 5 3" xfId="1544"/>
    <cellStyle name="Normal 3 4 2 5 3" xfId="1545"/>
    <cellStyle name="Normal 4 3 2 5 3" xfId="1546"/>
    <cellStyle name="Normal 5 3 2 5 3" xfId="1547"/>
    <cellStyle name="Normal 7 3 2 5 3" xfId="1548"/>
    <cellStyle name="Normal 2 6 5 3" xfId="1549"/>
    <cellStyle name="Normal 3 6 5 3" xfId="1550"/>
    <cellStyle name="Normal 4 5 5 3" xfId="1551"/>
    <cellStyle name="Normal 5 5 5 3" xfId="1552"/>
    <cellStyle name="Normal 7 5 5 3" xfId="1553"/>
    <cellStyle name="Normal 2 3 3 5 3" xfId="1554"/>
    <cellStyle name="Normal 3 3 3 5 3" xfId="1555"/>
    <cellStyle name="Normal 4 2 3 5 3" xfId="1556"/>
    <cellStyle name="Normal 5 2 3 5 3" xfId="1557"/>
    <cellStyle name="Normal 7 2 3 5 3" xfId="1558"/>
    <cellStyle name="Normal 2 4 3 5 3" xfId="1559"/>
    <cellStyle name="Normal 3 4 3 5 3" xfId="1560"/>
    <cellStyle name="Normal 4 3 3 5 3" xfId="1561"/>
    <cellStyle name="Normal 5 3 3 5 3" xfId="1562"/>
    <cellStyle name="Normal 7 3 3 5 3" xfId="1563"/>
    <cellStyle name="Normal 2 7 4 3" xfId="1564"/>
    <cellStyle name="Normal 3 7 4 3" xfId="1565"/>
    <cellStyle name="Normal 4 6 4 3" xfId="1566"/>
    <cellStyle name="Normal 5 6 4 3" xfId="1567"/>
    <cellStyle name="Normal 7 6 4 3" xfId="1568"/>
    <cellStyle name="Normal 2 3 4 4 3" xfId="1569"/>
    <cellStyle name="Normal 3 3 4 4 3" xfId="1570"/>
    <cellStyle name="Normal 4 2 4 4 3" xfId="1571"/>
    <cellStyle name="Normal 5 2 4 4 3" xfId="1572"/>
    <cellStyle name="Normal 7 2 4 4 3" xfId="1573"/>
    <cellStyle name="Normal 2 4 4 4 3" xfId="1574"/>
    <cellStyle name="Normal 3 4 4 4 3" xfId="1575"/>
    <cellStyle name="Normal 4 3 4 4 3" xfId="1576"/>
    <cellStyle name="Normal 5 3 4 4 3" xfId="1577"/>
    <cellStyle name="Normal 7 3 4 4 3" xfId="1578"/>
    <cellStyle name="Normal 2 5 2 4 3" xfId="1579"/>
    <cellStyle name="Normal 3 5 2 4 3" xfId="1580"/>
    <cellStyle name="Normal 4 4 2 4 3" xfId="1581"/>
    <cellStyle name="Normal 5 4 2 4 3" xfId="1582"/>
    <cellStyle name="Normal 7 4 2 4 3" xfId="1583"/>
    <cellStyle name="Normal 2 3 2 2 4 3" xfId="1584"/>
    <cellStyle name="Normal 3 3 2 2 4 3" xfId="1585"/>
    <cellStyle name="Normal 4 2 2 2 4 3" xfId="1586"/>
    <cellStyle name="Normal 5 2 2 2 4 3" xfId="1587"/>
    <cellStyle name="Normal 7 2 2 2 4 3" xfId="1588"/>
    <cellStyle name="Normal 2 4 2 2 4 3" xfId="1589"/>
    <cellStyle name="Normal 3 4 2 2 4 3" xfId="1590"/>
    <cellStyle name="Normal 4 3 2 2 4 3" xfId="1591"/>
    <cellStyle name="Normal 5 3 2 2 4 3" xfId="1592"/>
    <cellStyle name="Normal 7 3 2 2 4 3" xfId="1593"/>
    <cellStyle name="Normal 2 6 2 4 3" xfId="1594"/>
    <cellStyle name="Normal 3 6 2 4 3" xfId="1595"/>
    <cellStyle name="Normal 4 5 2 4 3" xfId="1596"/>
    <cellStyle name="Normal 5 5 2 4 3" xfId="1597"/>
    <cellStyle name="Normal 7 5 2 4 3" xfId="1598"/>
    <cellStyle name="Normal 2 3 3 2 4 3" xfId="1599"/>
    <cellStyle name="Normal 3 3 3 2 4 3" xfId="1600"/>
    <cellStyle name="Normal 4 2 3 2 4 3" xfId="1601"/>
    <cellStyle name="Normal 5 2 3 2 4 3" xfId="1602"/>
    <cellStyle name="Normal 7 2 3 2 4 3" xfId="1603"/>
    <cellStyle name="Normal 2 4 3 2 4 3" xfId="1604"/>
    <cellStyle name="Normal 3 4 3 2 4 3" xfId="1605"/>
    <cellStyle name="Normal 4 3 3 2 4 3" xfId="1606"/>
    <cellStyle name="Normal 5 3 3 2 4 3" xfId="1607"/>
    <cellStyle name="Normal 7 3 3 2 4 3" xfId="1608"/>
    <cellStyle name="Normal 2 8 3 3" xfId="1609"/>
    <cellStyle name="Normal 3 8 3 3" xfId="1610"/>
    <cellStyle name="Normal 4 7 3 3" xfId="1611"/>
    <cellStyle name="Normal 5 7 3 3" xfId="1612"/>
    <cellStyle name="Normal 7 7 3 3" xfId="1613"/>
    <cellStyle name="Normal 2 3 5 3 3" xfId="1614"/>
    <cellStyle name="Normal 3 3 5 3 3" xfId="1615"/>
    <cellStyle name="Normal 4 2 5 3 3" xfId="1616"/>
    <cellStyle name="Normal 5 2 5 3 3" xfId="1617"/>
    <cellStyle name="Normal 7 2 5 3 3" xfId="1618"/>
    <cellStyle name="Normal 3 4 5 3 3" xfId="1619"/>
    <cellStyle name="Normal 4 3 5 3 3" xfId="1620"/>
    <cellStyle name="Normal 5 3 5 3 3" xfId="1621"/>
    <cellStyle name="Normal 7 3 5 3 3" xfId="1622"/>
    <cellStyle name="Normal 2 5 3 3 3" xfId="1623"/>
    <cellStyle name="Normal 3 5 3 3 3" xfId="1624"/>
    <cellStyle name="Normal 4 4 3 3 3" xfId="1625"/>
    <cellStyle name="Normal 5 4 3 3 3" xfId="1626"/>
    <cellStyle name="Normal 7 4 3 3 3" xfId="1627"/>
    <cellStyle name="Normal 2 3 2 3 3 3" xfId="1628"/>
    <cellStyle name="Normal 3 3 2 3 3 3" xfId="1629"/>
    <cellStyle name="Normal 4 2 2 3 3 3" xfId="1630"/>
    <cellStyle name="Normal 5 2 2 3 3 3" xfId="1631"/>
    <cellStyle name="Normal 7 2 2 3 3 3" xfId="1632"/>
    <cellStyle name="Normal 2 4 2 3 3 3" xfId="1633"/>
    <cellStyle name="Normal 3 4 2 3 3 3" xfId="1634"/>
    <cellStyle name="Normal 4 3 2 3 3 3" xfId="1635"/>
    <cellStyle name="Normal 5 3 2 3 3 3" xfId="1636"/>
    <cellStyle name="Normal 7 3 2 3 3 3" xfId="1637"/>
    <cellStyle name="Normal 2 6 3 3 3" xfId="1638"/>
    <cellStyle name="Normal 3 6 3 3 3" xfId="1639"/>
    <cellStyle name="Normal 4 5 3 3 3" xfId="1640"/>
    <cellStyle name="Normal 5 5 3 3 3" xfId="1641"/>
    <cellStyle name="Normal 7 5 3 3 3" xfId="1642"/>
    <cellStyle name="Normal 2 3 3 3 3 3" xfId="1643"/>
    <cellStyle name="Normal 3 3 3 3 3 3" xfId="1644"/>
    <cellStyle name="Normal 4 2 3 3 3 3" xfId="1645"/>
    <cellStyle name="Normal 5 2 3 3 3 3" xfId="1646"/>
    <cellStyle name="Normal 7 2 3 3 3 3" xfId="1647"/>
    <cellStyle name="Normal 2 4 3 3 3 3" xfId="1648"/>
    <cellStyle name="Normal 3 4 3 3 3 3" xfId="1649"/>
    <cellStyle name="Normal 4 3 3 3 3 3" xfId="1650"/>
    <cellStyle name="Normal 5 3 3 3 3 3" xfId="1651"/>
    <cellStyle name="Normal 7 3 3 3 3 3" xfId="1652"/>
    <cellStyle name="Normal 2 7 2 3 3" xfId="1653"/>
    <cellStyle name="Normal 3 7 2 3 3" xfId="1654"/>
    <cellStyle name="Normal 4 6 2 3 3" xfId="1655"/>
    <cellStyle name="Normal 5 6 2 3 3" xfId="1656"/>
    <cellStyle name="Normal 7 6 2 3 3" xfId="1657"/>
    <cellStyle name="Normal 2 3 4 2 3 3" xfId="1658"/>
    <cellStyle name="Normal 3 3 4 2 3 3" xfId="1659"/>
    <cellStyle name="Normal 4 2 4 2 3 3" xfId="1660"/>
    <cellStyle name="Normal 5 2 4 2 3 3" xfId="1661"/>
    <cellStyle name="Normal 7 2 4 2 3 3" xfId="1662"/>
    <cellStyle name="Normal 2 4 4 2 3 3" xfId="1663"/>
    <cellStyle name="Normal 3 4 4 2 3 3" xfId="1664"/>
    <cellStyle name="Normal 4 3 4 2 3 3" xfId="1665"/>
    <cellStyle name="Normal 5 3 4 2 3 3" xfId="1666"/>
    <cellStyle name="Normal 7 3 4 2 3 3" xfId="1667"/>
    <cellStyle name="Normal 2 5 2 2 3 3" xfId="1668"/>
    <cellStyle name="Normal 3 5 2 2 3 3" xfId="1669"/>
    <cellStyle name="Normal 4 4 2 2 3 3" xfId="1670"/>
    <cellStyle name="Normal 5 4 2 2 3 3" xfId="1671"/>
    <cellStyle name="Normal 7 4 2 2 3 3" xfId="1672"/>
    <cellStyle name="Normal 2 3 2 2 2 3 3" xfId="1673"/>
    <cellStyle name="Normal 3 3 2 2 2 3 3" xfId="1674"/>
    <cellStyle name="Normal 4 2 2 2 2 3 3" xfId="1675"/>
    <cellStyle name="Normal 5 2 2 2 2 3 3" xfId="1676"/>
    <cellStyle name="Normal 7 2 2 2 2 3 3" xfId="1677"/>
    <cellStyle name="Normal 2 4 2 2 2 3 3" xfId="1678"/>
    <cellStyle name="Normal 3 4 2 2 2 3 3" xfId="1679"/>
    <cellStyle name="Normal 4 3 2 2 2 3 3" xfId="1680"/>
    <cellStyle name="Normal 5 3 2 2 2 3 3" xfId="1681"/>
    <cellStyle name="Normal 7 3 2 2 2 3 3" xfId="1682"/>
    <cellStyle name="Normal 2 6 2 2 3 3" xfId="1683"/>
    <cellStyle name="Normal 3 6 2 2 3 3" xfId="1684"/>
    <cellStyle name="Normal 4 5 2 2 3 3" xfId="1685"/>
    <cellStyle name="Normal 5 5 2 2 3 3" xfId="1686"/>
    <cellStyle name="Normal 7 5 2 2 3 3" xfId="1687"/>
    <cellStyle name="Normal 2 3 3 2 2 3 3" xfId="1688"/>
    <cellStyle name="Normal 3 3 3 2 2 3 3" xfId="1689"/>
    <cellStyle name="Normal 4 2 3 2 2 3 3" xfId="1690"/>
    <cellStyle name="Normal 5 2 3 2 2 3 3" xfId="1691"/>
    <cellStyle name="Normal 7 2 3 2 2 3 3" xfId="1692"/>
    <cellStyle name="Normal 2 4 3 2 2 3 3" xfId="1693"/>
    <cellStyle name="Normal 3 4 3 2 2 3 3" xfId="1694"/>
    <cellStyle name="Normal 4 3 3 2 2 3 3" xfId="1695"/>
    <cellStyle name="Normal 5 3 3 2 2 3 3" xfId="1696"/>
    <cellStyle name="Normal 7 3 3 2 2 3 3" xfId="1697"/>
    <cellStyle name="Normal 2 13" xfId="1698"/>
    <cellStyle name="Normal 3 13" xfId="1699"/>
    <cellStyle name="Normal 4 12" xfId="1700"/>
    <cellStyle name="Normal 5 12" xfId="1701"/>
    <cellStyle name="Normal 7 12" xfId="1702"/>
    <cellStyle name="Normal 2 3 10" xfId="1703"/>
    <cellStyle name="Normal 3 3 10" xfId="1704"/>
    <cellStyle name="Normal 4 2 10" xfId="1705"/>
    <cellStyle name="Normal 5 2 10" xfId="1706"/>
    <cellStyle name="Normal 7 2 10" xfId="1707"/>
    <cellStyle name="Normal 2 4 10" xfId="1708"/>
    <cellStyle name="Normal 3 4 10" xfId="1709"/>
    <cellStyle name="Normal 4 3 10" xfId="1710"/>
    <cellStyle name="Normal 5 3 10" xfId="1711"/>
    <cellStyle name="Normal 7 3 10" xfId="1712"/>
    <cellStyle name="Normal 2 5 8" xfId="1713"/>
    <cellStyle name="Normal 3 5 8" xfId="1714"/>
    <cellStyle name="Normal 4 4 8" xfId="1715"/>
    <cellStyle name="Normal 5 4 8" xfId="1716"/>
    <cellStyle name="Normal 7 4 8" xfId="1717"/>
    <cellStyle name="Normal 2 3 2 8" xfId="1718"/>
    <cellStyle name="Normal 3 3 2 8" xfId="1719"/>
    <cellStyle name="Normal 4 2 2 8" xfId="1720"/>
    <cellStyle name="Normal 5 2 2 8" xfId="1721"/>
    <cellStyle name="Normal 7 2 2 8" xfId="1722"/>
    <cellStyle name="Normal 2 4 2 8" xfId="1723"/>
    <cellStyle name="Normal 3 4 2 8" xfId="1724"/>
    <cellStyle name="Normal 4 3 2 8" xfId="1725"/>
    <cellStyle name="Normal 5 3 2 8" xfId="1726"/>
    <cellStyle name="Normal 7 3 2 8" xfId="1727"/>
    <cellStyle name="Normal 2 6 8" xfId="1728"/>
    <cellStyle name="Normal 3 6 8" xfId="1729"/>
    <cellStyle name="Normal 4 5 8" xfId="1730"/>
    <cellStyle name="Normal 5 5 8" xfId="1731"/>
    <cellStyle name="Normal 7 5 8" xfId="1732"/>
    <cellStyle name="Normal 2 3 3 8" xfId="1733"/>
    <cellStyle name="Normal 3 3 3 8" xfId="1734"/>
    <cellStyle name="Normal 4 2 3 8" xfId="1735"/>
    <cellStyle name="Normal 5 2 3 8" xfId="1736"/>
    <cellStyle name="Normal 7 2 3 8" xfId="1737"/>
    <cellStyle name="Normal 2 4 3 8" xfId="1738"/>
    <cellStyle name="Normal 3 4 3 8" xfId="1739"/>
    <cellStyle name="Normal 4 3 3 8" xfId="1740"/>
    <cellStyle name="Normal 5 3 3 8" xfId="1741"/>
    <cellStyle name="Normal 7 3 3 8" xfId="1742"/>
    <cellStyle name="Normal 2 7 7" xfId="1743"/>
    <cellStyle name="Normal 3 7 7" xfId="1744"/>
    <cellStyle name="Normal 4 6 7" xfId="1745"/>
    <cellStyle name="Normal 5 6 7" xfId="1746"/>
    <cellStyle name="Normal 7 6 7" xfId="1747"/>
    <cellStyle name="Normal 2 3 4 7" xfId="1748"/>
    <cellStyle name="Normal 3 3 4 7" xfId="1749"/>
    <cellStyle name="Normal 4 2 4 7" xfId="1750"/>
    <cellStyle name="Normal 5 2 4 7" xfId="1751"/>
    <cellStyle name="Normal 7 2 4 7" xfId="1752"/>
    <cellStyle name="Normal 2 4 4 7" xfId="1753"/>
    <cellStyle name="Normal 3 4 4 7" xfId="1754"/>
    <cellStyle name="Normal 4 3 4 7" xfId="1755"/>
    <cellStyle name="Normal 5 3 4 7" xfId="1756"/>
    <cellStyle name="Normal 7 3 4 7" xfId="1757"/>
    <cellStyle name="Normal 2 5 2 7" xfId="1758"/>
    <cellStyle name="Normal 3 5 2 7" xfId="1759"/>
    <cellStyle name="Normal 4 4 2 7" xfId="1760"/>
    <cellStyle name="Normal 5 4 2 7" xfId="1761"/>
    <cellStyle name="Normal 7 4 2 7" xfId="1762"/>
    <cellStyle name="Normal 2 3 2 2 7" xfId="1763"/>
    <cellStyle name="Normal 3 3 2 2 7" xfId="1764"/>
    <cellStyle name="Normal 4 2 2 2 7" xfId="1765"/>
    <cellStyle name="Normal 5 2 2 2 7" xfId="1766"/>
    <cellStyle name="Normal 7 2 2 2 7" xfId="1767"/>
    <cellStyle name="Normal 2 4 2 2 7" xfId="1768"/>
    <cellStyle name="Normal 3 4 2 2 7" xfId="1769"/>
    <cellStyle name="Normal 4 3 2 2 7" xfId="1770"/>
    <cellStyle name="Normal 5 3 2 2 7" xfId="1771"/>
    <cellStyle name="Normal 7 3 2 2 7" xfId="1772"/>
    <cellStyle name="Normal 2 6 2 7" xfId="1773"/>
    <cellStyle name="Normal 3 6 2 7" xfId="1774"/>
    <cellStyle name="Normal 4 5 2 7" xfId="1775"/>
    <cellStyle name="Normal 5 5 2 7" xfId="1776"/>
    <cellStyle name="Normal 7 5 2 7" xfId="1777"/>
    <cellStyle name="Normal 2 3 3 2 7" xfId="1778"/>
    <cellStyle name="Normal 3 3 3 2 7" xfId="1779"/>
    <cellStyle name="Normal 4 2 3 2 7" xfId="1780"/>
    <cellStyle name="Normal 5 2 3 2 7" xfId="1781"/>
    <cellStyle name="Normal 7 2 3 2 7" xfId="1782"/>
    <cellStyle name="Normal 2 4 3 2 7" xfId="1783"/>
    <cellStyle name="Normal 3 4 3 2 7" xfId="1784"/>
    <cellStyle name="Normal 4 3 3 2 7" xfId="1785"/>
    <cellStyle name="Normal 5 3 3 2 7" xfId="1786"/>
    <cellStyle name="Normal 7 3 3 2 7" xfId="1787"/>
    <cellStyle name="Normal 2 8 6" xfId="1788"/>
    <cellStyle name="Normal 3 8 6" xfId="1789"/>
    <cellStyle name="Normal 4 7 6" xfId="1790"/>
    <cellStyle name="Normal 5 7 6" xfId="1791"/>
    <cellStyle name="Normal 7 7 6" xfId="1792"/>
    <cellStyle name="Normal 2 3 5 6" xfId="1793"/>
    <cellStyle name="Normal 3 3 5 6" xfId="1794"/>
    <cellStyle name="Normal 4 2 5 6" xfId="1795"/>
    <cellStyle name="Normal 5 2 5 6" xfId="1796"/>
    <cellStyle name="Normal 7 2 5 6" xfId="1797"/>
    <cellStyle name="Normal 2 4 5 6" xfId="1798"/>
    <cellStyle name="Normal 3 4 5 6" xfId="1799"/>
    <cellStyle name="Normal 4 3 5 6" xfId="1800"/>
    <cellStyle name="Normal 5 3 5 6" xfId="1801"/>
    <cellStyle name="Normal 7 3 5 6" xfId="1802"/>
    <cellStyle name="Normal 2 5 3 6" xfId="1803"/>
    <cellStyle name="Normal 3 5 3 6" xfId="1804"/>
    <cellStyle name="Normal 4 4 3 6" xfId="1805"/>
    <cellStyle name="Normal 5 4 3 6" xfId="1806"/>
    <cellStyle name="Normal 7 4 3 6" xfId="1807"/>
    <cellStyle name="Normal 2 3 2 3 6" xfId="1808"/>
    <cellStyle name="Normal 3 3 2 3 6" xfId="1809"/>
    <cellStyle name="Normal 4 2 2 3 6" xfId="1810"/>
    <cellStyle name="Normal 5 2 2 3 6" xfId="1811"/>
    <cellStyle name="Normal 7 2 2 3 6" xfId="1812"/>
    <cellStyle name="Normal 2 4 2 3 6" xfId="1813"/>
    <cellStyle name="Normal 3 4 2 3 6" xfId="1814"/>
    <cellStyle name="Normal 4 3 2 3 6" xfId="1815"/>
    <cellStyle name="Normal 5 3 2 3 6" xfId="1816"/>
    <cellStyle name="Normal 7 3 2 3 6" xfId="1817"/>
    <cellStyle name="Normal 2 6 3 6" xfId="1818"/>
    <cellStyle name="Normal 3 6 3 6" xfId="1819"/>
    <cellStyle name="Normal 4 5 3 6" xfId="1820"/>
    <cellStyle name="Normal 5 5 3 6" xfId="1821"/>
    <cellStyle name="Normal 7 5 3 6" xfId="1822"/>
    <cellStyle name="Normal 2 3 3 3 6" xfId="1823"/>
    <cellStyle name="Normal 3 3 3 3 6" xfId="1824"/>
    <cellStyle name="Normal 4 2 3 3 6" xfId="1825"/>
    <cellStyle name="Normal 5 2 3 3 6" xfId="1826"/>
    <cellStyle name="Normal 7 2 3 3 6" xfId="1827"/>
    <cellStyle name="Normal 2 4 3 3 6" xfId="1828"/>
    <cellStyle name="Normal 3 4 3 3 6" xfId="1829"/>
    <cellStyle name="Normal 4 3 3 3 6" xfId="1830"/>
    <cellStyle name="Normal 5 3 3 3 6" xfId="1831"/>
    <cellStyle name="Normal 7 3 3 3 6" xfId="1832"/>
    <cellStyle name="Normal 2 7 2 6" xfId="1833"/>
    <cellStyle name="Normal 3 7 2 6" xfId="1834"/>
    <cellStyle name="Normal 4 6 2 6" xfId="1835"/>
    <cellStyle name="Normal 5 6 2 6" xfId="1836"/>
    <cellStyle name="Normal 7 6 2 6" xfId="1837"/>
    <cellStyle name="Normal 2 3 4 2 6" xfId="1838"/>
    <cellStyle name="Normal 3 3 4 2 6" xfId="1839"/>
    <cellStyle name="Normal 4 2 4 2 6" xfId="1840"/>
    <cellStyle name="Normal 5 2 4 2 6" xfId="1841"/>
    <cellStyle name="Normal 7 2 4 2 6" xfId="1842"/>
    <cellStyle name="Normal 2 4 4 2 6" xfId="1843"/>
    <cellStyle name="Normal 3 4 4 2 6" xfId="1844"/>
    <cellStyle name="Normal 4 3 4 2 6" xfId="1845"/>
    <cellStyle name="Normal 5 3 4 2 6" xfId="1846"/>
    <cellStyle name="Normal 7 3 4 2 6" xfId="1847"/>
    <cellStyle name="Normal 2 5 2 2 6" xfId="1848"/>
    <cellStyle name="Normal 3 5 2 2 6" xfId="1849"/>
    <cellStyle name="Normal 4 4 2 2 6" xfId="1850"/>
    <cellStyle name="Normal 5 4 2 2 6" xfId="1851"/>
    <cellStyle name="Normal 7 4 2 2 6" xfId="1852"/>
    <cellStyle name="Normal 2 3 2 2 2 6" xfId="1853"/>
    <cellStyle name="Normal 3 3 2 2 2 6" xfId="1854"/>
    <cellStyle name="Normal 4 2 2 2 2 6" xfId="1855"/>
    <cellStyle name="Normal 5 2 2 2 2 6" xfId="1856"/>
    <cellStyle name="Normal 7 2 2 2 2 6" xfId="1857"/>
    <cellStyle name="Normal 2 4 2 2 2 6" xfId="1858"/>
    <cellStyle name="Normal 3 4 2 2 2 6" xfId="1859"/>
    <cellStyle name="Normal 4 3 2 2 2 6" xfId="1860"/>
    <cellStyle name="Normal 5 3 2 2 2 6" xfId="1861"/>
    <cellStyle name="Normal 7 3 2 2 2 6" xfId="1862"/>
    <cellStyle name="Normal 2 6 2 2 6" xfId="1863"/>
    <cellStyle name="Normal 3 6 2 2 6" xfId="1864"/>
    <cellStyle name="Normal 4 5 2 2 6" xfId="1865"/>
    <cellStyle name="Normal 5 5 2 2 6" xfId="1866"/>
    <cellStyle name="Normal 7 5 2 2 6" xfId="1867"/>
    <cellStyle name="Normal 2 3 3 2 2 6" xfId="1868"/>
    <cellStyle name="Normal 3 3 3 2 2 6" xfId="1869"/>
    <cellStyle name="Normal 4 2 3 2 2 6" xfId="1870"/>
    <cellStyle name="Normal 5 2 3 2 2 6" xfId="1871"/>
    <cellStyle name="Normal 7 2 3 2 2 6" xfId="1872"/>
    <cellStyle name="Normal 2 4 3 2 2 6" xfId="1873"/>
    <cellStyle name="Normal 3 4 3 2 2 6" xfId="1874"/>
    <cellStyle name="Normal 4 3 3 2 2 6" xfId="1875"/>
    <cellStyle name="Normal 5 3 3 2 2 6" xfId="1876"/>
    <cellStyle name="Normal 7 3 3 2 2 6" xfId="1877"/>
    <cellStyle name="Normal 2 9 4" xfId="1878"/>
    <cellStyle name="Normal 3 9 4" xfId="1879"/>
    <cellStyle name="Normal 4 8 4" xfId="1880"/>
    <cellStyle name="Normal 5 8 4" xfId="1881"/>
    <cellStyle name="Normal 7 8 4" xfId="1882"/>
    <cellStyle name="Normal 2 3 6 4" xfId="1883"/>
    <cellStyle name="Normal 3 3 6 4" xfId="1884"/>
    <cellStyle name="Normal 4 2 6 4" xfId="1885"/>
    <cellStyle name="Normal 5 2 6 4" xfId="1886"/>
    <cellStyle name="Normal 7 2 6 4" xfId="1887"/>
    <cellStyle name="Normal 2 4 6 4" xfId="1888"/>
    <cellStyle name="Normal 3 4 6 4" xfId="1889"/>
    <cellStyle name="Normal 4 3 6 4" xfId="1890"/>
    <cellStyle name="Normal 5 3 6 4" xfId="1891"/>
    <cellStyle name="Normal 7 3 6 4" xfId="1892"/>
    <cellStyle name="Normal 2 5 4 4" xfId="1893"/>
    <cellStyle name="Normal 3 5 4 4" xfId="1894"/>
    <cellStyle name="Normal 4 4 4 4" xfId="1895"/>
    <cellStyle name="Normal 5 4 4 4" xfId="1896"/>
    <cellStyle name="Normal 7 4 4 4" xfId="1897"/>
    <cellStyle name="Normal 2 3 2 4 4" xfId="1898"/>
    <cellStyle name="Normal 3 3 2 4 4" xfId="1899"/>
    <cellStyle name="Normal 4 2 2 4 4" xfId="1900"/>
    <cellStyle name="Normal 5 2 2 4 4" xfId="1901"/>
    <cellStyle name="Normal 7 2 2 4 4" xfId="1902"/>
    <cellStyle name="Normal 2 4 2 4 4" xfId="1903"/>
    <cellStyle name="Normal 3 4 2 4 4" xfId="1904"/>
    <cellStyle name="Normal 4 3 2 4 4" xfId="1905"/>
    <cellStyle name="Normal 5 3 2 4 4" xfId="1906"/>
    <cellStyle name="Normal 7 3 2 4 4" xfId="1907"/>
    <cellStyle name="Normal 2 6 4 4" xfId="1908"/>
    <cellStyle name="Normal 3 6 4 4" xfId="1909"/>
    <cellStyle name="Normal 4 5 4 4" xfId="1910"/>
    <cellStyle name="Normal 5 5 4 4" xfId="1911"/>
    <cellStyle name="Normal 7 5 4 4" xfId="1912"/>
    <cellStyle name="Normal 2 3 3 4 4" xfId="1913"/>
    <cellStyle name="Normal 3 3 3 4 4" xfId="1914"/>
    <cellStyle name="Normal 4 2 3 4 4" xfId="1915"/>
    <cellStyle name="Normal 5 2 3 4 4" xfId="1916"/>
    <cellStyle name="Normal 7 2 3 4 4" xfId="1917"/>
    <cellStyle name="Normal 2 4 3 4 4" xfId="1918"/>
    <cellStyle name="Normal 3 4 3 4 4" xfId="1919"/>
    <cellStyle name="Normal 4 3 3 4 4" xfId="1920"/>
    <cellStyle name="Normal 5 3 3 4 4" xfId="1921"/>
    <cellStyle name="Normal 7 3 3 4 4" xfId="1922"/>
    <cellStyle name="Normal 2 7 3 4" xfId="1923"/>
    <cellStyle name="Normal 3 7 3 4" xfId="1924"/>
    <cellStyle name="Normal 4 6 3 4" xfId="1925"/>
    <cellStyle name="Normal 5 6 3 4" xfId="1926"/>
    <cellStyle name="Normal 7 6 3 4" xfId="1927"/>
    <cellStyle name="Normal 2 3 4 3 4" xfId="1928"/>
    <cellStyle name="Normal 3 3 4 3 4" xfId="1929"/>
    <cellStyle name="Normal 4 2 4 3 4" xfId="1930"/>
    <cellStyle name="Normal 5 2 4 3 4" xfId="1931"/>
    <cellStyle name="Normal 7 2 4 3 4" xfId="1932"/>
    <cellStyle name="Normal 2 4 4 3 4" xfId="1933"/>
    <cellStyle name="Normal 3 4 4 3 4" xfId="1934"/>
    <cellStyle name="Normal 4 3 4 3 4" xfId="1935"/>
    <cellStyle name="Normal 5 3 4 3 4" xfId="1936"/>
    <cellStyle name="Normal 7 3 4 3 4" xfId="1937"/>
    <cellStyle name="Normal 2 5 2 3 4" xfId="1938"/>
    <cellStyle name="Normal 3 5 2 3 4" xfId="1939"/>
    <cellStyle name="Normal 4 4 2 3 4" xfId="1940"/>
    <cellStyle name="Normal 5 4 2 3 4" xfId="1941"/>
    <cellStyle name="Normal 7 4 2 3 4" xfId="1942"/>
    <cellStyle name="Normal 2 3 2 2 3 4" xfId="1943"/>
    <cellStyle name="Normal 3 3 2 2 3 4" xfId="1944"/>
    <cellStyle name="Normal 4 2 2 2 3 4" xfId="1945"/>
    <cellStyle name="Normal 5 2 2 2 3 4" xfId="1946"/>
    <cellStyle name="Normal 7 2 2 2 3 4" xfId="1947"/>
    <cellStyle name="Normal 2 4 2 2 3 4" xfId="1948"/>
    <cellStyle name="Normal 3 4 2 2 3 4" xfId="1949"/>
    <cellStyle name="Normal 4 3 2 2 3 4" xfId="1950"/>
    <cellStyle name="Normal 5 3 2 2 3 4" xfId="1951"/>
    <cellStyle name="Normal 7 3 2 2 3 4" xfId="1952"/>
    <cellStyle name="Normal 2 6 2 3 4" xfId="1953"/>
    <cellStyle name="Normal 3 6 2 3 4" xfId="1954"/>
    <cellStyle name="Normal 4 5 2 3 4" xfId="1955"/>
    <cellStyle name="Normal 5 5 2 3 4" xfId="1956"/>
    <cellStyle name="Normal 7 5 2 3 4" xfId="1957"/>
    <cellStyle name="Normal 2 3 3 2 3 4" xfId="1958"/>
    <cellStyle name="Normal 3 3 3 2 3 4" xfId="1959"/>
    <cellStyle name="Normal 4 2 3 2 3 4" xfId="1960"/>
    <cellStyle name="Normal 5 2 3 2 3 4" xfId="1961"/>
    <cellStyle name="Normal 7 2 3 2 3 4" xfId="1962"/>
    <cellStyle name="Normal 2 4 3 2 3 4" xfId="1963"/>
    <cellStyle name="Normal 3 4 3 2 3 4" xfId="1964"/>
    <cellStyle name="Normal 4 3 3 2 3 4" xfId="1965"/>
    <cellStyle name="Normal 5 3 3 2 3 4" xfId="1966"/>
    <cellStyle name="Normal 7 3 3 2 3 4" xfId="1967"/>
    <cellStyle name="Normal 2 8 2 4" xfId="1968"/>
    <cellStyle name="Normal 3 8 2 4" xfId="1969"/>
    <cellStyle name="Normal 4 7 2 4" xfId="1970"/>
    <cellStyle name="Normal 5 7 2 4" xfId="1971"/>
    <cellStyle name="Normal 7 7 2 4" xfId="1972"/>
    <cellStyle name="Normal 2 3 5 2 4" xfId="1973"/>
    <cellStyle name="Normal 3 3 5 2 4" xfId="1974"/>
    <cellStyle name="Normal 4 2 5 2 4" xfId="1975"/>
    <cellStyle name="Normal 5 2 5 2 4" xfId="1976"/>
    <cellStyle name="Normal 7 2 5 2 4" xfId="1977"/>
    <cellStyle name="Normal 2 4 5 2 4" xfId="1978"/>
    <cellStyle name="Normal 3 4 5 2 4" xfId="1979"/>
    <cellStyle name="Normal 4 3 5 2 4" xfId="1980"/>
    <cellStyle name="Normal 5 3 5 2 4" xfId="1981"/>
    <cellStyle name="Normal 7 3 5 2 4" xfId="1982"/>
    <cellStyle name="Normal 2 5 3 2 4" xfId="1983"/>
    <cellStyle name="Normal 3 5 3 2 4" xfId="1984"/>
    <cellStyle name="Normal 4 4 3 2 4" xfId="1985"/>
    <cellStyle name="Normal 5 4 3 2 4" xfId="1986"/>
    <cellStyle name="Normal 7 4 3 2 4" xfId="1987"/>
    <cellStyle name="Normal 2 3 2 3 2 4" xfId="1988"/>
    <cellStyle name="Normal 3 3 2 3 2 4" xfId="1989"/>
    <cellStyle name="Normal 4 2 2 3 2 4" xfId="1990"/>
    <cellStyle name="Normal 5 2 2 3 2 4" xfId="1991"/>
    <cellStyle name="Normal 7 2 2 3 2 4" xfId="1992"/>
    <cellStyle name="Normal 2 4 2 3 2 4" xfId="1993"/>
    <cellStyle name="Normal 3 4 2 3 2 4" xfId="1994"/>
    <cellStyle name="Normal 4 3 2 3 2 4" xfId="1995"/>
    <cellStyle name="Normal 5 3 2 3 2 4" xfId="1996"/>
    <cellStyle name="Normal 7 3 2 3 2 4" xfId="1997"/>
    <cellStyle name="Normal 2 6 3 2 4" xfId="1998"/>
    <cellStyle name="Normal 3 6 3 2 4" xfId="1999"/>
    <cellStyle name="Normal 4 5 3 2 4" xfId="2000"/>
    <cellStyle name="Normal 5 5 3 2 4" xfId="2001"/>
    <cellStyle name="Normal 7 5 3 2 4" xfId="2002"/>
    <cellStyle name="Normal 2 3 3 3 2 4" xfId="2003"/>
    <cellStyle name="Normal 3 3 3 3 2 4" xfId="2004"/>
    <cellStyle name="Normal 4 2 3 3 2 4" xfId="2005"/>
    <cellStyle name="Normal 5 2 3 3 2 4" xfId="2006"/>
    <cellStyle name="Normal 7 2 3 3 2 4" xfId="2007"/>
    <cellStyle name="Normal 2 4 3 3 2 4" xfId="2008"/>
    <cellStyle name="Normal 3 4 3 3 2 4" xfId="2009"/>
    <cellStyle name="Normal 4 3 3 3 2 4" xfId="2010"/>
    <cellStyle name="Normal 5 3 3 3 2 4" xfId="2011"/>
    <cellStyle name="Normal 7 3 3 3 2 4" xfId="2012"/>
    <cellStyle name="Normal 2 7 2 2 4" xfId="2013"/>
    <cellStyle name="Normal 3 7 2 2 4" xfId="2014"/>
    <cellStyle name="Normal 4 6 2 2 4" xfId="2015"/>
    <cellStyle name="Normal 5 6 2 2 4" xfId="2016"/>
    <cellStyle name="Normal 7 6 2 2 4" xfId="2017"/>
    <cellStyle name="Normal 2 3 4 2 2 4" xfId="2018"/>
    <cellStyle name="Normal 3 3 4 2 2 4" xfId="2019"/>
    <cellStyle name="Normal 4 2 4 2 2 4" xfId="2020"/>
    <cellStyle name="Normal 5 2 4 2 2 4" xfId="2021"/>
    <cellStyle name="Normal 7 2 4 2 2 4" xfId="2022"/>
    <cellStyle name="Normal 2 4 4 2 2 4" xfId="2023"/>
    <cellStyle name="Normal 3 4 4 2 2 4" xfId="2024"/>
    <cellStyle name="Normal 4 3 4 2 2 4" xfId="2025"/>
    <cellStyle name="Normal 5 3 4 2 2 4" xfId="2026"/>
    <cellStyle name="Normal 7 3 4 2 2 4" xfId="2027"/>
    <cellStyle name="Normal 2 5 2 2 2 4" xfId="2028"/>
    <cellStyle name="Normal 3 5 2 2 2 4" xfId="2029"/>
    <cellStyle name="Normal 4 4 2 2 2 4" xfId="2030"/>
    <cellStyle name="Normal 5 4 2 2 2 4" xfId="2031"/>
    <cellStyle name="Normal 7 4 2 2 2 4" xfId="2032"/>
    <cellStyle name="Normal 2 3 2 2 2 2 4" xfId="2033"/>
    <cellStyle name="Normal 3 3 2 2 2 2 4" xfId="2034"/>
    <cellStyle name="Normal 4 2 2 2 2 2 4" xfId="2035"/>
    <cellStyle name="Normal 5 2 2 2 2 2 4" xfId="2036"/>
    <cellStyle name="Normal 7 2 2 2 2 2 4" xfId="2037"/>
    <cellStyle name="Normal 2 4 2 2 2 2 4" xfId="2038"/>
    <cellStyle name="Normal 3 4 2 2 2 2 4" xfId="2039"/>
    <cellStyle name="Normal 4 3 2 2 2 2 4" xfId="2040"/>
    <cellStyle name="Normal 5 3 2 2 2 2 4" xfId="2041"/>
    <cellStyle name="Normal 7 3 2 2 2 2 4" xfId="2042"/>
    <cellStyle name="Normal 2 6 2 2 2 4" xfId="2043"/>
    <cellStyle name="Normal 3 6 2 2 2 4" xfId="2044"/>
    <cellStyle name="Normal 4 5 2 2 2 4" xfId="2045"/>
    <cellStyle name="Normal 5 5 2 2 2 4" xfId="2046"/>
    <cellStyle name="Normal 7 5 2 2 2 4" xfId="2047"/>
    <cellStyle name="Normal 2 3 3 2 2 2 4" xfId="2048"/>
    <cellStyle name="Normal 3 3 3 2 2 2 4" xfId="2049"/>
    <cellStyle name="Normal 4 2 3 2 2 2 4" xfId="2050"/>
    <cellStyle name="Normal 5 2 3 2 2 2 4" xfId="2051"/>
    <cellStyle name="Normal 7 2 3 2 2 2 4" xfId="2052"/>
    <cellStyle name="Normal 2 4 3 2 2 2 4" xfId="2053"/>
    <cellStyle name="Normal 3 4 3 2 2 2 4" xfId="2054"/>
    <cellStyle name="Normal 4 3 3 2 2 2 4" xfId="2055"/>
    <cellStyle name="Normal 5 3 3 2 2 2 4" xfId="2056"/>
    <cellStyle name="Normal 7 3 3 2 2 2 4" xfId="2057"/>
    <cellStyle name="Normal 28 4" xfId="2058"/>
    <cellStyle name="Normal 2 3 7 4" xfId="2059"/>
    <cellStyle name="Normal 3 10 4" xfId="2060"/>
    <cellStyle name="Normal 4 9 4" xfId="2061"/>
    <cellStyle name="Normal 5 9 4" xfId="2062"/>
    <cellStyle name="Millares 4 4" xfId="2063"/>
    <cellStyle name="Normal 7 2 7 4" xfId="2064"/>
    <cellStyle name="Normal 3 3 7 4" xfId="2065"/>
    <cellStyle name="Normal 4 2 7 4" xfId="2066"/>
    <cellStyle name="Normal 5 2 7 4" xfId="2067"/>
    <cellStyle name="Normal 2 4 5 3 4" xfId="2068"/>
    <cellStyle name="Normal 3 4 7 4" xfId="2069"/>
    <cellStyle name="Normal 4 3 7 4" xfId="2070"/>
    <cellStyle name="Normal 5 3 7 4" xfId="2071"/>
    <cellStyle name="Normal 7 3 7 4" xfId="2072"/>
    <cellStyle name="Normal 2 5 5 4" xfId="2073"/>
    <cellStyle name="Normal 3 5 5 4" xfId="2074"/>
    <cellStyle name="Normal 4 4 5 4" xfId="2075"/>
    <cellStyle name="Normal 5 4 5 4" xfId="2076"/>
    <cellStyle name="Normal 7 4 5 4" xfId="2077"/>
    <cellStyle name="Normal 2 3 2 5 4" xfId="2078"/>
    <cellStyle name="Normal 3 3 2 5 4" xfId="2079"/>
    <cellStyle name="Normal 4 2 2 5 4" xfId="2080"/>
    <cellStyle name="Normal 5 2 2 5 4" xfId="2081"/>
    <cellStyle name="Normal 7 2 2 5 4" xfId="2082"/>
    <cellStyle name="Normal 2 4 2 5 4" xfId="2083"/>
    <cellStyle name="Normal 3 4 2 5 4" xfId="2084"/>
    <cellStyle name="Normal 4 3 2 5 4" xfId="2085"/>
    <cellStyle name="Normal 5 3 2 5 4" xfId="2086"/>
    <cellStyle name="Normal 7 3 2 5 4" xfId="2087"/>
    <cellStyle name="Normal 2 6 5 4" xfId="2088"/>
    <cellStyle name="Normal 3 6 5 4" xfId="2089"/>
    <cellStyle name="Normal 4 5 5 4" xfId="2090"/>
    <cellStyle name="Normal 5 5 5 4" xfId="2091"/>
    <cellStyle name="Normal 7 5 5 4" xfId="2092"/>
    <cellStyle name="Normal 2 3 3 5 4" xfId="2093"/>
    <cellStyle name="Normal 3 3 3 5 4" xfId="2094"/>
    <cellStyle name="Normal 4 2 3 5 4" xfId="2095"/>
    <cellStyle name="Normal 5 2 3 5 4" xfId="2096"/>
    <cellStyle name="Normal 7 2 3 5 4" xfId="2097"/>
    <cellStyle name="Normal 2 4 3 5 4" xfId="2098"/>
    <cellStyle name="Normal 3 4 3 5 4" xfId="2099"/>
    <cellStyle name="Normal 4 3 3 5 4" xfId="2100"/>
    <cellStyle name="Normal 5 3 3 5 4" xfId="2101"/>
    <cellStyle name="Normal 7 3 3 5 4" xfId="2102"/>
    <cellStyle name="Normal 2 7 4 4" xfId="2103"/>
    <cellStyle name="Normal 3 7 4 4" xfId="2104"/>
    <cellStyle name="Normal 4 6 4 4" xfId="2105"/>
    <cellStyle name="Normal 5 6 4 4" xfId="2106"/>
    <cellStyle name="Normal 7 6 4 4" xfId="2107"/>
    <cellStyle name="Normal 2 3 4 4 4" xfId="2108"/>
    <cellStyle name="Normal 3 3 4 4 4" xfId="2109"/>
    <cellStyle name="Normal 4 2 4 4 4" xfId="2110"/>
    <cellStyle name="Normal 5 2 4 4 4" xfId="2111"/>
    <cellStyle name="Normal 7 2 4 4 4" xfId="2112"/>
    <cellStyle name="Normal 2 4 4 4 4" xfId="2113"/>
    <cellStyle name="Normal 3 4 4 4 4" xfId="2114"/>
    <cellStyle name="Normal 4 3 4 4 4" xfId="2115"/>
    <cellStyle name="Normal 5 3 4 4 4" xfId="2116"/>
    <cellStyle name="Normal 7 3 4 4 4" xfId="2117"/>
    <cellStyle name="Normal 2 5 2 4 4" xfId="2118"/>
    <cellStyle name="Normal 3 5 2 4 4" xfId="2119"/>
    <cellStyle name="Normal 4 4 2 4 4" xfId="2120"/>
    <cellStyle name="Normal 5 4 2 4 4" xfId="2121"/>
    <cellStyle name="Normal 7 4 2 4 4" xfId="2122"/>
    <cellStyle name="Normal 2 3 2 2 4 4" xfId="2123"/>
    <cellStyle name="Normal 3 3 2 2 4 4" xfId="2124"/>
    <cellStyle name="Normal 4 2 2 2 4 4" xfId="2125"/>
    <cellStyle name="Normal 5 2 2 2 4 4" xfId="2126"/>
    <cellStyle name="Normal 7 2 2 2 4 4" xfId="2127"/>
    <cellStyle name="Normal 2 4 2 2 4 4" xfId="2128"/>
    <cellStyle name="Normal 3 4 2 2 4 4" xfId="2129"/>
    <cellStyle name="Normal 4 3 2 2 4 4" xfId="2130"/>
    <cellStyle name="Normal 5 3 2 2 4 4" xfId="2131"/>
    <cellStyle name="Normal 7 3 2 2 4 4" xfId="2132"/>
    <cellStyle name="Normal 2 6 2 4 4" xfId="2133"/>
    <cellStyle name="Normal 3 6 2 4 4" xfId="2134"/>
    <cellStyle name="Normal 4 5 2 4 4" xfId="2135"/>
    <cellStyle name="Normal 5 5 2 4 4" xfId="2136"/>
    <cellStyle name="Normal 7 5 2 4 4" xfId="2137"/>
    <cellStyle name="Normal 2 3 3 2 4 4" xfId="2138"/>
    <cellStyle name="Normal 3 3 3 2 4 4" xfId="2139"/>
    <cellStyle name="Normal 4 2 3 2 4 4" xfId="2140"/>
    <cellStyle name="Normal 5 2 3 2 4 4" xfId="2141"/>
    <cellStyle name="Normal 7 2 3 2 4 4" xfId="2142"/>
    <cellStyle name="Normal 2 4 3 2 4 4" xfId="2143"/>
    <cellStyle name="Normal 3 4 3 2 4 4" xfId="2144"/>
    <cellStyle name="Normal 4 3 3 2 4 4" xfId="2145"/>
    <cellStyle name="Normal 5 3 3 2 4 4" xfId="2146"/>
    <cellStyle name="Normal 7 3 3 2 4 4" xfId="2147"/>
    <cellStyle name="Normal 2 8 3 4" xfId="2148"/>
    <cellStyle name="Normal 3 8 3 4" xfId="2149"/>
    <cellStyle name="Normal 4 7 3 4" xfId="2150"/>
    <cellStyle name="Normal 5 7 3 4" xfId="2151"/>
    <cellStyle name="Normal 7 7 3 4" xfId="2152"/>
    <cellStyle name="Normal 2 3 5 3 4" xfId="2153"/>
    <cellStyle name="Normal 3 3 5 3 4" xfId="2154"/>
    <cellStyle name="Normal 4 2 5 3 4" xfId="2155"/>
    <cellStyle name="Normal 5 2 5 3 4" xfId="2156"/>
    <cellStyle name="Normal 7 2 5 3 4" xfId="2157"/>
    <cellStyle name="Normal 3 4 5 3 4" xfId="2158"/>
    <cellStyle name="Normal 4 3 5 3 4" xfId="2159"/>
    <cellStyle name="Normal 5 3 5 3 4" xfId="2160"/>
    <cellStyle name="Normal 7 3 5 3 4" xfId="2161"/>
    <cellStyle name="Normal 2 5 3 3 4" xfId="2162"/>
    <cellStyle name="Normal 3 5 3 3 4" xfId="2163"/>
    <cellStyle name="Normal 4 4 3 3 4" xfId="2164"/>
    <cellStyle name="Normal 5 4 3 3 4" xfId="2165"/>
    <cellStyle name="Normal 7 4 3 3 4" xfId="2166"/>
    <cellStyle name="Normal 2 3 2 3 3 4" xfId="2167"/>
    <cellStyle name="Normal 3 3 2 3 3 4" xfId="2168"/>
    <cellStyle name="Normal 4 2 2 3 3 4" xfId="2169"/>
    <cellStyle name="Normal 5 2 2 3 3 4" xfId="2170"/>
    <cellStyle name="Normal 7 2 2 3 3 4" xfId="2171"/>
    <cellStyle name="Normal 2 4 2 3 3 4" xfId="2172"/>
    <cellStyle name="Normal 3 4 2 3 3 4" xfId="2173"/>
    <cellStyle name="Normal 4 3 2 3 3 4" xfId="2174"/>
    <cellStyle name="Normal 5 3 2 3 3 4" xfId="2175"/>
    <cellStyle name="Normal 7 3 2 3 3 4" xfId="2176"/>
    <cellStyle name="Normal 2 6 3 3 4" xfId="2177"/>
    <cellStyle name="Normal 3 6 3 3 4" xfId="2178"/>
    <cellStyle name="Normal 4 5 3 3 4" xfId="2179"/>
    <cellStyle name="Normal 5 5 3 3 4" xfId="2180"/>
    <cellStyle name="Normal 7 5 3 3 4" xfId="2181"/>
    <cellStyle name="Normal 2 3 3 3 3 4" xfId="2182"/>
    <cellStyle name="Normal 3 3 3 3 3 4" xfId="2183"/>
    <cellStyle name="Normal 4 2 3 3 3 4" xfId="2184"/>
    <cellStyle name="Normal 5 2 3 3 3 4" xfId="2185"/>
    <cellStyle name="Normal 7 2 3 3 3 4" xfId="2186"/>
    <cellStyle name="Normal 2 4 3 3 3 4" xfId="2187"/>
    <cellStyle name="Normal 3 4 3 3 3 4" xfId="2188"/>
    <cellStyle name="Normal 4 3 3 3 3 4" xfId="2189"/>
    <cellStyle name="Normal 5 3 3 3 3 4" xfId="2190"/>
    <cellStyle name="Normal 7 3 3 3 3 4" xfId="2191"/>
    <cellStyle name="Normal 2 7 2 3 4" xfId="2192"/>
    <cellStyle name="Normal 3 7 2 3 4" xfId="2193"/>
    <cellStyle name="Normal 4 6 2 3 4" xfId="2194"/>
    <cellStyle name="Normal 5 6 2 3 4" xfId="2195"/>
    <cellStyle name="Normal 7 6 2 3 4" xfId="2196"/>
    <cellStyle name="Normal 2 3 4 2 3 4" xfId="2197"/>
    <cellStyle name="Normal 3 3 4 2 3 4" xfId="2198"/>
    <cellStyle name="Normal 4 2 4 2 3 4" xfId="2199"/>
    <cellStyle name="Normal 5 2 4 2 3 4" xfId="2200"/>
    <cellStyle name="Normal 7 2 4 2 3 4" xfId="2201"/>
    <cellStyle name="Normal 2 4 4 2 3 4" xfId="2202"/>
    <cellStyle name="Normal 3 4 4 2 3 4" xfId="2203"/>
    <cellStyle name="Normal 4 3 4 2 3 4" xfId="2204"/>
    <cellStyle name="Normal 5 3 4 2 3 4" xfId="2205"/>
    <cellStyle name="Normal 7 3 4 2 3 4" xfId="2206"/>
    <cellStyle name="Normal 2 5 2 2 3 4" xfId="2207"/>
    <cellStyle name="Normal 3 5 2 2 3 4" xfId="2208"/>
    <cellStyle name="Normal 4 4 2 2 3 4" xfId="2209"/>
    <cellStyle name="Normal 5 4 2 2 3 4" xfId="2210"/>
    <cellStyle name="Normal 7 4 2 2 3 4" xfId="2211"/>
    <cellStyle name="Normal 2 3 2 2 2 3 4" xfId="2212"/>
    <cellStyle name="Normal 3 3 2 2 2 3 4" xfId="2213"/>
    <cellStyle name="Normal 4 2 2 2 2 3 4" xfId="2214"/>
    <cellStyle name="Normal 5 2 2 2 2 3 4" xfId="2215"/>
    <cellStyle name="Normal 7 2 2 2 2 3 4" xfId="2216"/>
    <cellStyle name="Normal 2 4 2 2 2 3 4" xfId="2217"/>
    <cellStyle name="Normal 3 4 2 2 2 3 4" xfId="2218"/>
    <cellStyle name="Normal 4 3 2 2 2 3 4" xfId="2219"/>
    <cellStyle name="Normal 5 3 2 2 2 3 4" xfId="2220"/>
    <cellStyle name="Normal 7 3 2 2 2 3 4" xfId="2221"/>
    <cellStyle name="Normal 2 6 2 2 3 4" xfId="2222"/>
    <cellStyle name="Normal 3 6 2 2 3 4" xfId="2223"/>
    <cellStyle name="Normal 4 5 2 2 3 4" xfId="2224"/>
    <cellStyle name="Normal 5 5 2 2 3 4" xfId="2225"/>
    <cellStyle name="Normal 7 5 2 2 3 4" xfId="2226"/>
    <cellStyle name="Normal 2 3 3 2 2 3 4" xfId="2227"/>
    <cellStyle name="Normal 3 3 3 2 2 3 4" xfId="2228"/>
    <cellStyle name="Normal 4 2 3 2 2 3 4" xfId="2229"/>
    <cellStyle name="Normal 5 2 3 2 2 3 4" xfId="2230"/>
    <cellStyle name="Normal 7 2 3 2 2 3 4" xfId="2231"/>
    <cellStyle name="Normal 2 4 3 2 2 3 4" xfId="2232"/>
    <cellStyle name="Normal 3 4 3 2 2 3 4" xfId="2233"/>
    <cellStyle name="Normal 4 3 3 2 2 3 4" xfId="2234"/>
    <cellStyle name="Normal 5 3 3 2 2 3 4" xfId="2235"/>
    <cellStyle name="Normal 7 3 3 2 2 3 4" xfId="2236"/>
    <cellStyle name="Normal 2 11 2" xfId="2237"/>
    <cellStyle name="Normal 3 11 2" xfId="2238"/>
    <cellStyle name="Normal 4 10 2" xfId="2239"/>
    <cellStyle name="Normal 5 10 2" xfId="2240"/>
    <cellStyle name="Normal 7 10 2" xfId="2241"/>
    <cellStyle name="Normal 2 3 8 2" xfId="2242"/>
    <cellStyle name="Normal 3 3 8 2" xfId="2243"/>
    <cellStyle name="Normal 4 2 8 2" xfId="2244"/>
    <cellStyle name="Normal 5 2 8 2" xfId="2245"/>
    <cellStyle name="Normal 7 2 8 2" xfId="2246"/>
    <cellStyle name="Normal 2 4 8 2" xfId="2247"/>
    <cellStyle name="Normal 3 4 8 2" xfId="2248"/>
    <cellStyle name="Normal 4 3 8 2" xfId="2249"/>
    <cellStyle name="Normal 5 3 8 2" xfId="2250"/>
    <cellStyle name="Normal 7 3 8 2" xfId="2251"/>
    <cellStyle name="Normal 2 5 6 2" xfId="2252"/>
    <cellStyle name="Normal 3 5 6 2" xfId="2253"/>
    <cellStyle name="Normal 4 4 6 2" xfId="2254"/>
    <cellStyle name="Normal 5 4 6 2" xfId="2255"/>
    <cellStyle name="Normal 7 4 6 2" xfId="2256"/>
    <cellStyle name="Normal 2 3 2 6 2" xfId="2257"/>
    <cellStyle name="Normal 3 3 2 6 2" xfId="2258"/>
    <cellStyle name="Normal 4 2 2 6 2" xfId="2259"/>
    <cellStyle name="Normal 5 2 2 6 2" xfId="2260"/>
    <cellStyle name="Normal 7 2 2 6 2" xfId="2261"/>
    <cellStyle name="Normal 2 4 2 6 2" xfId="2262"/>
    <cellStyle name="Normal 3 4 2 6 2" xfId="2263"/>
    <cellStyle name="Normal 4 3 2 6 2" xfId="2264"/>
    <cellStyle name="Normal 5 3 2 6 2" xfId="2265"/>
    <cellStyle name="Normal 7 3 2 6 2" xfId="2266"/>
    <cellStyle name="Normal 2 6 6 2" xfId="2267"/>
    <cellStyle name="Normal 3 6 6 2" xfId="2268"/>
    <cellStyle name="Normal 4 5 6 2" xfId="2269"/>
    <cellStyle name="Normal 5 5 6 2" xfId="2270"/>
    <cellStyle name="Normal 7 5 6 2" xfId="2271"/>
    <cellStyle name="Normal 2 3 3 6 2" xfId="2272"/>
    <cellStyle name="Normal 3 3 3 6 2" xfId="2273"/>
    <cellStyle name="Normal 4 2 3 6 2" xfId="2274"/>
    <cellStyle name="Normal 5 2 3 6 2" xfId="2275"/>
    <cellStyle name="Normal 7 2 3 6 2" xfId="2276"/>
    <cellStyle name="Normal 2 4 3 6 2" xfId="2277"/>
    <cellStyle name="Normal 3 4 3 6 2" xfId="2278"/>
    <cellStyle name="Normal 4 3 3 6 2" xfId="2279"/>
    <cellStyle name="Normal 5 3 3 6 2" xfId="2280"/>
    <cellStyle name="Normal 7 3 3 6 2" xfId="2281"/>
    <cellStyle name="Normal 2 7 5 2" xfId="2282"/>
    <cellStyle name="Normal 3 7 5 2" xfId="2283"/>
    <cellStyle name="Normal 4 6 5 2" xfId="2284"/>
    <cellStyle name="Normal 5 6 5 2" xfId="2285"/>
    <cellStyle name="Normal 7 6 5 2" xfId="2286"/>
    <cellStyle name="Normal 2 3 4 5 2" xfId="2287"/>
    <cellStyle name="Normal 3 3 4 5 2" xfId="2288"/>
    <cellStyle name="Normal 4 2 4 5 2" xfId="2289"/>
    <cellStyle name="Normal 5 2 4 5 2" xfId="2290"/>
    <cellStyle name="Normal 7 2 4 5 2" xfId="2291"/>
    <cellStyle name="Normal 2 4 4 5 2" xfId="2292"/>
    <cellStyle name="Normal 3 4 4 5 2" xfId="2293"/>
    <cellStyle name="Normal 4 3 4 5 2" xfId="2294"/>
    <cellStyle name="Normal 5 3 4 5 2" xfId="2295"/>
    <cellStyle name="Normal 7 3 4 5 2" xfId="2296"/>
    <cellStyle name="Normal 2 5 2 5 2" xfId="2297"/>
    <cellStyle name="Normal 3 5 2 5 2" xfId="2298"/>
    <cellStyle name="Normal 4 4 2 5 2" xfId="2299"/>
    <cellStyle name="Normal 5 4 2 5 2" xfId="2300"/>
    <cellStyle name="Normal 7 4 2 5 2" xfId="2301"/>
    <cellStyle name="Normal 2 3 2 2 5 2" xfId="2302"/>
    <cellStyle name="Normal 3 3 2 2 5 2" xfId="2303"/>
    <cellStyle name="Normal 4 2 2 2 5 2" xfId="2304"/>
    <cellStyle name="Normal 5 2 2 2 5 2" xfId="2305"/>
    <cellStyle name="Normal 7 2 2 2 5 2" xfId="2306"/>
    <cellStyle name="Normal 2 4 2 2 5 2" xfId="2307"/>
    <cellStyle name="Normal 3 4 2 2 5 2" xfId="2308"/>
    <cellStyle name="Normal 4 3 2 2 5 2" xfId="2309"/>
    <cellStyle name="Normal 5 3 2 2 5 2" xfId="2310"/>
    <cellStyle name="Normal 7 3 2 2 5 2" xfId="2311"/>
    <cellStyle name="Normal 2 6 2 5 2" xfId="2312"/>
    <cellStyle name="Normal 3 6 2 5 2" xfId="2313"/>
    <cellStyle name="Normal 4 5 2 5 2" xfId="2314"/>
    <cellStyle name="Normal 5 5 2 5 2" xfId="2315"/>
    <cellStyle name="Normal 7 5 2 5 2" xfId="2316"/>
    <cellStyle name="Normal 2 3 3 2 5 2" xfId="2317"/>
    <cellStyle name="Normal 3 3 3 2 5 2" xfId="2318"/>
    <cellStyle name="Normal 4 2 3 2 5 2" xfId="2319"/>
    <cellStyle name="Normal 5 2 3 2 5 2" xfId="2320"/>
    <cellStyle name="Normal 7 2 3 2 5 2" xfId="2321"/>
    <cellStyle name="Normal 2 4 3 2 5 2" xfId="2322"/>
    <cellStyle name="Normal 3 4 3 2 5 2" xfId="2323"/>
    <cellStyle name="Normal 4 3 3 2 5 2" xfId="2324"/>
    <cellStyle name="Normal 5 3 3 2 5 2" xfId="2325"/>
    <cellStyle name="Normal 7 3 3 2 5 2" xfId="2326"/>
    <cellStyle name="Normal 2 8 4 2" xfId="2327"/>
    <cellStyle name="Normal 3 8 4 2" xfId="2328"/>
    <cellStyle name="Normal 4 7 4 2" xfId="2329"/>
    <cellStyle name="Normal 5 7 4 2" xfId="2330"/>
    <cellStyle name="Normal 7 7 4 2" xfId="2331"/>
    <cellStyle name="Normal 2 3 5 4 2" xfId="2332"/>
    <cellStyle name="Normal 3 3 5 4 2" xfId="2333"/>
    <cellStyle name="Normal 4 2 5 4 2" xfId="2334"/>
    <cellStyle name="Normal 5 2 5 4 2" xfId="2335"/>
    <cellStyle name="Normal 7 2 5 4 2" xfId="2336"/>
    <cellStyle name="Normal 2 4 5 4 2" xfId="2337"/>
    <cellStyle name="Normal 3 4 5 4 2" xfId="2338"/>
    <cellStyle name="Normal 4 3 5 4 2" xfId="2339"/>
    <cellStyle name="Normal 5 3 5 4 2" xfId="2340"/>
    <cellStyle name="Normal 7 3 5 4 2" xfId="2341"/>
    <cellStyle name="Normal 2 5 3 4 2" xfId="2342"/>
    <cellStyle name="Normal 3 5 3 4 2" xfId="2343"/>
    <cellStyle name="Normal 4 4 3 4 2" xfId="2344"/>
    <cellStyle name="Normal 5 4 3 4 2" xfId="2345"/>
    <cellStyle name="Normal 7 4 3 4 2" xfId="2346"/>
    <cellStyle name="Normal 2 3 2 3 4 2" xfId="2347"/>
    <cellStyle name="Normal 3 3 2 3 4 2" xfId="2348"/>
    <cellStyle name="Normal 4 2 2 3 4 2" xfId="2349"/>
    <cellStyle name="Normal 5 2 2 3 4 2" xfId="2350"/>
    <cellStyle name="Normal 7 2 2 3 4 2" xfId="2351"/>
    <cellStyle name="Normal 2 4 2 3 4 2" xfId="2352"/>
    <cellStyle name="Normal 3 4 2 3 4 2" xfId="2353"/>
    <cellStyle name="Normal 4 3 2 3 4 2" xfId="2354"/>
    <cellStyle name="Normal 5 3 2 3 4 2" xfId="2355"/>
    <cellStyle name="Normal 7 3 2 3 4 2" xfId="2356"/>
    <cellStyle name="Normal 2 6 3 4 2" xfId="2357"/>
    <cellStyle name="Normal 3 6 3 4 2" xfId="2358"/>
    <cellStyle name="Normal 4 5 3 4 2" xfId="2359"/>
    <cellStyle name="Normal 5 5 3 4 2" xfId="2360"/>
    <cellStyle name="Normal 7 5 3 4 2" xfId="2361"/>
    <cellStyle name="Normal 2 3 3 3 4 2" xfId="2362"/>
    <cellStyle name="Normal 3 3 3 3 4 2" xfId="2363"/>
    <cellStyle name="Normal 4 2 3 3 4 2" xfId="2364"/>
    <cellStyle name="Normal 5 2 3 3 4 2" xfId="2365"/>
    <cellStyle name="Normal 7 2 3 3 4 2" xfId="2366"/>
    <cellStyle name="Normal 2 4 3 3 4 2" xfId="2367"/>
    <cellStyle name="Normal 3 4 3 3 4 2" xfId="2368"/>
    <cellStyle name="Normal 4 3 3 3 4 2" xfId="2369"/>
    <cellStyle name="Normal 5 3 3 3 4 2" xfId="2370"/>
    <cellStyle name="Normal 7 3 3 3 4 2" xfId="2371"/>
    <cellStyle name="Normal 2 7 2 4 2" xfId="2372"/>
    <cellStyle name="Normal 3 7 2 4 2" xfId="2373"/>
    <cellStyle name="Normal 4 6 2 4 2" xfId="2374"/>
    <cellStyle name="Normal 5 6 2 4 2" xfId="2375"/>
    <cellStyle name="Normal 7 6 2 4 2" xfId="2376"/>
    <cellStyle name="Normal 2 3 4 2 4 2" xfId="2377"/>
    <cellStyle name="Normal 3 3 4 2 4 2" xfId="2378"/>
    <cellStyle name="Normal 4 2 4 2 4 2" xfId="2379"/>
    <cellStyle name="Normal 5 2 4 2 4 2" xfId="2380"/>
    <cellStyle name="Normal 7 2 4 2 4 2" xfId="2381"/>
    <cellStyle name="Normal 2 4 4 2 4 2" xfId="2382"/>
    <cellStyle name="Normal 3 4 4 2 4 2" xfId="2383"/>
    <cellStyle name="Normal 4 3 4 2 4 2" xfId="2384"/>
    <cellStyle name="Normal 5 3 4 2 4 2" xfId="2385"/>
    <cellStyle name="Normal 7 3 4 2 4 2" xfId="2386"/>
    <cellStyle name="Normal 2 5 2 2 4 2" xfId="2387"/>
    <cellStyle name="Normal 3 5 2 2 4 2" xfId="2388"/>
    <cellStyle name="Normal 4 4 2 2 4 2" xfId="2389"/>
    <cellStyle name="Normal 5 4 2 2 4 2" xfId="2390"/>
    <cellStyle name="Normal 7 4 2 2 4 2" xfId="2391"/>
    <cellStyle name="Normal 2 3 2 2 2 4 2" xfId="2392"/>
    <cellStyle name="Normal 3 3 2 2 2 4 2" xfId="2393"/>
    <cellStyle name="Normal 4 2 2 2 2 4 2" xfId="2394"/>
    <cellStyle name="Normal 5 2 2 2 2 4 2" xfId="2395"/>
    <cellStyle name="Normal 7 2 2 2 2 4 2" xfId="2396"/>
    <cellStyle name="Normal 2 4 2 2 2 4 2" xfId="2397"/>
    <cellStyle name="Normal 3 4 2 2 2 4 2" xfId="2398"/>
    <cellStyle name="Normal 4 3 2 2 2 4 2" xfId="2399"/>
    <cellStyle name="Normal 5 3 2 2 2 4 2" xfId="2400"/>
    <cellStyle name="Normal 7 3 2 2 2 4 2" xfId="2401"/>
    <cellStyle name="Normal 2 6 2 2 4 2" xfId="2402"/>
    <cellStyle name="Normal 3 6 2 2 4 2" xfId="2403"/>
    <cellStyle name="Normal 4 5 2 2 4 2" xfId="2404"/>
    <cellStyle name="Normal 5 5 2 2 4 2" xfId="2405"/>
    <cellStyle name="Normal 7 5 2 2 4 2" xfId="2406"/>
    <cellStyle name="Normal 2 3 3 2 2 4 2" xfId="2407"/>
    <cellStyle name="Normal 3 3 3 2 2 4 2" xfId="2408"/>
    <cellStyle name="Normal 4 2 3 2 2 4 2" xfId="2409"/>
    <cellStyle name="Normal 5 2 3 2 2 4 2" xfId="2410"/>
    <cellStyle name="Normal 7 2 3 2 2 4 2" xfId="2411"/>
    <cellStyle name="Normal 2 4 3 2 2 4 2" xfId="2412"/>
    <cellStyle name="Normal 3 4 3 2 2 4 2" xfId="2413"/>
    <cellStyle name="Normal 4 3 3 2 2 4 2" xfId="2414"/>
    <cellStyle name="Normal 5 3 3 2 2 4 2" xfId="2415"/>
    <cellStyle name="Normal 7 3 3 2 2 4 2" xfId="2416"/>
    <cellStyle name="Normal 2 9 2 2" xfId="2417"/>
    <cellStyle name="Normal 3 9 2 2" xfId="2418"/>
    <cellStyle name="Normal 4 8 2 2" xfId="2419"/>
    <cellStyle name="Normal 5 8 2 2" xfId="2420"/>
    <cellStyle name="Normal 7 8 2 2" xfId="2421"/>
    <cellStyle name="Normal 2 3 6 2 2" xfId="2422"/>
    <cellStyle name="Normal 3 3 6 2 2" xfId="2423"/>
    <cellStyle name="Normal 4 2 6 2 2" xfId="2424"/>
    <cellStyle name="Normal 5 2 6 2 2" xfId="2425"/>
    <cellStyle name="Normal 7 2 6 2 2" xfId="2426"/>
    <cellStyle name="Normal 2 4 6 2 2" xfId="2427"/>
    <cellStyle name="Normal 3 4 6 2 2" xfId="2428"/>
    <cellStyle name="Normal 4 3 6 2 2" xfId="2429"/>
    <cellStyle name="Normal 5 3 6 2 2" xfId="2430"/>
    <cellStyle name="Normal 7 3 6 2 2" xfId="2431"/>
    <cellStyle name="Normal 2 5 4 2 2" xfId="2432"/>
    <cellStyle name="Normal 3 5 4 2 2" xfId="2433"/>
    <cellStyle name="Normal 4 4 4 2 2" xfId="2434"/>
    <cellStyle name="Normal 5 4 4 2 2" xfId="2435"/>
    <cellStyle name="Normal 7 4 4 2 2" xfId="2436"/>
    <cellStyle name="Normal 2 3 2 4 2 2" xfId="2437"/>
    <cellStyle name="Normal 3 3 2 4 2 2" xfId="2438"/>
    <cellStyle name="Normal 4 2 2 4 2 2" xfId="2439"/>
    <cellStyle name="Normal 5 2 2 4 2 2" xfId="2440"/>
    <cellStyle name="Normal 7 2 2 4 2 2" xfId="2441"/>
    <cellStyle name="Normal 2 4 2 4 2 2" xfId="2442"/>
    <cellStyle name="Normal 3 4 2 4 2 2" xfId="2443"/>
    <cellStyle name="Normal 4 3 2 4 2 2" xfId="2444"/>
    <cellStyle name="Normal 5 3 2 4 2 2" xfId="2445"/>
    <cellStyle name="Normal 7 3 2 4 2 2" xfId="2446"/>
    <cellStyle name="Normal 2 6 4 2 2" xfId="2447"/>
    <cellStyle name="Normal 3 6 4 2 2" xfId="2448"/>
    <cellStyle name="Normal 4 5 4 2 2" xfId="2449"/>
    <cellStyle name="Normal 5 5 4 2 2" xfId="2450"/>
    <cellStyle name="Normal 7 5 4 2 2" xfId="2451"/>
    <cellStyle name="Normal 2 3 3 4 2 2" xfId="2452"/>
    <cellStyle name="Normal 3 3 3 4 2 2" xfId="2453"/>
    <cellStyle name="Normal 4 2 3 4 2 2" xfId="2454"/>
    <cellStyle name="Normal 5 2 3 4 2 2" xfId="2455"/>
    <cellStyle name="Normal 7 2 3 4 2 2" xfId="2456"/>
    <cellStyle name="Normal 2 4 3 4 2 2" xfId="2457"/>
    <cellStyle name="Normal 3 4 3 4 2 2" xfId="2458"/>
    <cellStyle name="Normal 4 3 3 4 2 2" xfId="2459"/>
    <cellStyle name="Normal 5 3 3 4 2 2" xfId="2460"/>
    <cellStyle name="Normal 7 3 3 4 2 2" xfId="2461"/>
    <cellStyle name="Normal 2 7 3 2 2" xfId="2462"/>
    <cellStyle name="Normal 3 7 3 2 2" xfId="2463"/>
    <cellStyle name="Normal 4 6 3 2 2" xfId="2464"/>
    <cellStyle name="Normal 5 6 3 2 2" xfId="2465"/>
    <cellStyle name="Normal 7 6 3 2 2" xfId="2466"/>
    <cellStyle name="Normal 2 3 4 3 2 2" xfId="2467"/>
    <cellStyle name="Normal 3 3 4 3 2 2" xfId="2468"/>
    <cellStyle name="Normal 4 2 4 3 2 2" xfId="2469"/>
    <cellStyle name="Normal 5 2 4 3 2 2" xfId="2470"/>
    <cellStyle name="Normal 7 2 4 3 2 2" xfId="2471"/>
    <cellStyle name="Normal 2 4 4 3 2 2" xfId="2472"/>
    <cellStyle name="Normal 3 4 4 3 2 2" xfId="2473"/>
    <cellStyle name="Normal 4 3 4 3 2 2" xfId="2474"/>
    <cellStyle name="Normal 5 3 4 3 2 2" xfId="2475"/>
    <cellStyle name="Normal 7 3 4 3 2 2" xfId="2476"/>
    <cellStyle name="Normal 2 5 2 3 2 2" xfId="2477"/>
    <cellStyle name="Normal 3 5 2 3 2 2" xfId="2478"/>
    <cellStyle name="Normal 4 4 2 3 2 2" xfId="2479"/>
    <cellStyle name="Normal 5 4 2 3 2 2" xfId="2480"/>
    <cellStyle name="Normal 7 4 2 3 2 2" xfId="2481"/>
    <cellStyle name="Normal 2 3 2 2 3 2 2" xfId="2482"/>
    <cellStyle name="Normal 3 3 2 2 3 2 2" xfId="2483"/>
    <cellStyle name="Normal 4 2 2 2 3 2 2" xfId="2484"/>
    <cellStyle name="Normal 5 2 2 2 3 2 2" xfId="2485"/>
    <cellStyle name="Normal 7 2 2 2 3 2 2" xfId="2486"/>
    <cellStyle name="Normal 2 4 2 2 3 2 2" xfId="2487"/>
    <cellStyle name="Normal 3 4 2 2 3 2 2" xfId="2488"/>
    <cellStyle name="Normal 4 3 2 2 3 2 2" xfId="2489"/>
    <cellStyle name="Normal 5 3 2 2 3 2 2" xfId="2490"/>
    <cellStyle name="Normal 7 3 2 2 3 2 2" xfId="2491"/>
    <cellStyle name="Normal 2 6 2 3 2 2" xfId="2492"/>
    <cellStyle name="Normal 3 6 2 3 2 2" xfId="2493"/>
    <cellStyle name="Normal 4 5 2 3 2 2" xfId="2494"/>
    <cellStyle name="Normal 5 5 2 3 2 2" xfId="2495"/>
    <cellStyle name="Normal 7 5 2 3 2 2" xfId="2496"/>
    <cellStyle name="Normal 2 3 3 2 3 2 2" xfId="2497"/>
    <cellStyle name="Normal 3 3 3 2 3 2 2" xfId="2498"/>
    <cellStyle name="Normal 4 2 3 2 3 2 2" xfId="2499"/>
    <cellStyle name="Normal 5 2 3 2 3 2 2" xfId="2500"/>
    <cellStyle name="Normal 7 2 3 2 3 2 2" xfId="2501"/>
    <cellStyle name="Normal 2 4 3 2 3 2 2" xfId="2502"/>
    <cellStyle name="Normal 3 4 3 2 3 2 2" xfId="2503"/>
    <cellStyle name="Normal 4 3 3 2 3 2 2" xfId="2504"/>
    <cellStyle name="Normal 5 3 3 2 3 2 2" xfId="2505"/>
    <cellStyle name="Normal 7 3 3 2 3 2 2" xfId="2506"/>
    <cellStyle name="Normal 2 8 2 2 2" xfId="2507"/>
    <cellStyle name="Normal 3 8 2 2 2" xfId="2508"/>
    <cellStyle name="Normal 4 7 2 2 2" xfId="2509"/>
    <cellStyle name="Normal 5 7 2 2 2" xfId="2510"/>
    <cellStyle name="Normal 7 7 2 2 2" xfId="2511"/>
    <cellStyle name="Normal 2 3 5 2 2 2" xfId="2512"/>
    <cellStyle name="Normal 3 3 5 2 2 2" xfId="2513"/>
    <cellStyle name="Normal 4 2 5 2 2 2" xfId="2514"/>
    <cellStyle name="Normal 5 2 5 2 2 2" xfId="2515"/>
    <cellStyle name="Normal 7 2 5 2 2 2" xfId="2516"/>
    <cellStyle name="Normal 2 4 5 2 2 2" xfId="2517"/>
    <cellStyle name="Normal 3 4 5 2 2 2" xfId="2518"/>
    <cellStyle name="Normal 4 3 5 2 2 2" xfId="2519"/>
    <cellStyle name="Normal 5 3 5 2 2 2" xfId="2520"/>
    <cellStyle name="Normal 7 3 5 2 2 2" xfId="2521"/>
    <cellStyle name="Normal 2 5 3 2 2 2" xfId="2522"/>
    <cellStyle name="Normal 3 5 3 2 2 2" xfId="2523"/>
    <cellStyle name="Normal 4 4 3 2 2 2" xfId="2524"/>
    <cellStyle name="Normal 5 4 3 2 2 2" xfId="2525"/>
    <cellStyle name="Normal 7 4 3 2 2 2" xfId="2526"/>
    <cellStyle name="Normal 2 3 2 3 2 2 2" xfId="2527"/>
    <cellStyle name="Normal 3 3 2 3 2 2 2" xfId="2528"/>
    <cellStyle name="Normal 4 2 2 3 2 2 2" xfId="2529"/>
    <cellStyle name="Normal 5 2 2 3 2 2 2" xfId="2530"/>
    <cellStyle name="Normal 7 2 2 3 2 2 2" xfId="2531"/>
    <cellStyle name="Normal 2 4 2 3 2 2 2" xfId="2532"/>
    <cellStyle name="Normal 3 4 2 3 2 2 2" xfId="2533"/>
    <cellStyle name="Normal 4 3 2 3 2 2 2" xfId="2534"/>
    <cellStyle name="Normal 5 3 2 3 2 2 2" xfId="2535"/>
    <cellStyle name="Normal 7 3 2 3 2 2 2" xfId="2536"/>
    <cellStyle name="Normal 2 6 3 2 2 2" xfId="2537"/>
    <cellStyle name="Normal 3 6 3 2 2 2" xfId="2538"/>
    <cellStyle name="Normal 4 5 3 2 2 2" xfId="2539"/>
    <cellStyle name="Normal 5 5 3 2 2 2" xfId="2540"/>
    <cellStyle name="Normal 7 5 3 2 2 2" xfId="2541"/>
    <cellStyle name="Normal 2 3 3 3 2 2 2" xfId="2542"/>
    <cellStyle name="Normal 3 3 3 3 2 2 2" xfId="2543"/>
    <cellStyle name="Normal 4 2 3 3 2 2 2" xfId="2544"/>
    <cellStyle name="Normal 5 2 3 3 2 2 2" xfId="2545"/>
    <cellStyle name="Normal 7 2 3 3 2 2 2" xfId="2546"/>
    <cellStyle name="Normal 2 4 3 3 2 2 2" xfId="2547"/>
    <cellStyle name="Normal 3 4 3 3 2 2 2" xfId="2548"/>
    <cellStyle name="Normal 4 3 3 3 2 2 2" xfId="2549"/>
    <cellStyle name="Normal 5 3 3 3 2 2 2" xfId="2550"/>
    <cellStyle name="Normal 7 3 3 3 2 2 2" xfId="2551"/>
    <cellStyle name="Normal 2 7 2 2 2 2" xfId="2552"/>
    <cellStyle name="Normal 3 7 2 2 2 2" xfId="2553"/>
    <cellStyle name="Normal 4 6 2 2 2 2" xfId="2554"/>
    <cellStyle name="Normal 5 6 2 2 2 2" xfId="2555"/>
    <cellStyle name="Normal 7 6 2 2 2 2" xfId="2556"/>
    <cellStyle name="Normal 2 3 4 2 2 2 2" xfId="2557"/>
    <cellStyle name="Normal 3 3 4 2 2 2 2" xfId="2558"/>
    <cellStyle name="Normal 4 2 4 2 2 2 2" xfId="2559"/>
    <cellStyle name="Normal 5 2 4 2 2 2 2" xfId="2560"/>
    <cellStyle name="Normal 7 2 4 2 2 2 2" xfId="2561"/>
    <cellStyle name="Normal 2 4 4 2 2 2 2" xfId="2562"/>
    <cellStyle name="Normal 3 4 4 2 2 2 2" xfId="2563"/>
    <cellStyle name="Normal 4 3 4 2 2 2 2" xfId="2564"/>
    <cellStyle name="Normal 5 3 4 2 2 2 2" xfId="2565"/>
    <cellStyle name="Normal 7 3 4 2 2 2 2" xfId="2566"/>
    <cellStyle name="Normal 2 5 2 2 2 2 2" xfId="2567"/>
    <cellStyle name="Normal 3 5 2 2 2 2 2" xfId="2568"/>
    <cellStyle name="Normal 4 4 2 2 2 2 2" xfId="2569"/>
    <cellStyle name="Normal 5 4 2 2 2 2 2" xfId="2570"/>
    <cellStyle name="Normal 7 4 2 2 2 2 2" xfId="2571"/>
    <cellStyle name="Normal 2 3 2 2 2 2 2 2" xfId="2572"/>
    <cellStyle name="Normal 3 3 2 2 2 2 2 2" xfId="2573"/>
    <cellStyle name="Normal 4 2 2 2 2 2 2 2" xfId="2574"/>
    <cellStyle name="Normal 5 2 2 2 2 2 2 2" xfId="2575"/>
    <cellStyle name="Normal 7 2 2 2 2 2 2 2" xfId="2576"/>
    <cellStyle name="Normal 2 4 2 2 2 2 2 2" xfId="2577"/>
    <cellStyle name="Normal 3 4 2 2 2 2 2 2" xfId="2578"/>
    <cellStyle name="Normal 4 3 2 2 2 2 2 2" xfId="2579"/>
    <cellStyle name="Normal 5 3 2 2 2 2 2 2" xfId="2580"/>
    <cellStyle name="Normal 7 3 2 2 2 2 2 2" xfId="2581"/>
    <cellStyle name="Normal 2 6 2 2 2 2 2" xfId="2582"/>
    <cellStyle name="Normal 3 6 2 2 2 2 2" xfId="2583"/>
    <cellStyle name="Normal 4 5 2 2 2 2 2" xfId="2584"/>
    <cellStyle name="Normal 5 5 2 2 2 2 2" xfId="2585"/>
    <cellStyle name="Normal 7 5 2 2 2 2 2" xfId="2586"/>
    <cellStyle name="Normal 2 3 3 2 2 2 2 2" xfId="2587"/>
    <cellStyle name="Normal 3 3 3 2 2 2 2 2" xfId="2588"/>
    <cellStyle name="Normal 4 2 3 2 2 2 2 2" xfId="2589"/>
    <cellStyle name="Normal 5 2 3 2 2 2 2 2" xfId="2590"/>
    <cellStyle name="Normal 7 2 3 2 2 2 2 2" xfId="2591"/>
    <cellStyle name="Normal 2 4 3 2 2 2 2 2" xfId="2592"/>
    <cellStyle name="Normal 3 4 3 2 2 2 2 2" xfId="2593"/>
    <cellStyle name="Normal 4 3 3 2 2 2 2 2" xfId="2594"/>
    <cellStyle name="Normal 5 3 3 2 2 2 2 2" xfId="2595"/>
    <cellStyle name="Normal 7 3 3 2 2 2 2 2" xfId="2596"/>
    <cellStyle name="Normal 28 2 2" xfId="2597"/>
    <cellStyle name="Normal 2 3 7 2 2" xfId="2598"/>
    <cellStyle name="Normal 3 10 2 2" xfId="2599"/>
    <cellStyle name="Normal 4 9 2 2" xfId="2600"/>
    <cellStyle name="Normal 5 9 2 2" xfId="2601"/>
    <cellStyle name="Millares 4 2 2" xfId="2602"/>
    <cellStyle name="Normal 7 2 7 2 2" xfId="2603"/>
    <cellStyle name="Normal 3 3 7 2 2" xfId="2604"/>
    <cellStyle name="Normal 4 2 7 2 2" xfId="2605"/>
    <cellStyle name="Normal 5 2 7 2 2" xfId="2606"/>
    <cellStyle name="Normal 2 4 5 3 2 2" xfId="2607"/>
    <cellStyle name="Normal 3 4 7 2 2" xfId="2608"/>
    <cellStyle name="Normal 4 3 7 2 2" xfId="2609"/>
    <cellStyle name="Normal 5 3 7 2 2" xfId="2610"/>
    <cellStyle name="Normal 7 3 7 2 2" xfId="2611"/>
    <cellStyle name="Normal 2 5 5 2 2" xfId="2612"/>
    <cellStyle name="Normal 3 5 5 2 2" xfId="2613"/>
    <cellStyle name="Normal 4 4 5 2 2" xfId="2614"/>
    <cellStyle name="Normal 5 4 5 2 2" xfId="2615"/>
    <cellStyle name="Normal 7 4 5 2 2" xfId="2616"/>
    <cellStyle name="Normal 2 3 2 5 2 2" xfId="2617"/>
    <cellStyle name="Normal 3 3 2 5 2 2" xfId="2618"/>
    <cellStyle name="Normal 4 2 2 5 2 2" xfId="2619"/>
    <cellStyle name="Normal 5 2 2 5 2 2" xfId="2620"/>
    <cellStyle name="Normal 7 2 2 5 2 2" xfId="2621"/>
    <cellStyle name="Normal 2 4 2 5 2 2" xfId="2622"/>
    <cellStyle name="Normal 3 4 2 5 2 2" xfId="2623"/>
    <cellStyle name="Normal 4 3 2 5 2 2" xfId="2624"/>
    <cellStyle name="Normal 5 3 2 5 2 2" xfId="2625"/>
    <cellStyle name="Normal 7 3 2 5 2 2" xfId="2626"/>
    <cellStyle name="Normal 2 6 5 2 2" xfId="2627"/>
    <cellStyle name="Normal 3 6 5 2 2" xfId="2628"/>
    <cellStyle name="Normal 4 5 5 2 2" xfId="2629"/>
    <cellStyle name="Normal 5 5 5 2 2" xfId="2630"/>
    <cellStyle name="Normal 7 5 5 2 2" xfId="2631"/>
    <cellStyle name="Normal 2 3 3 5 2 2" xfId="2632"/>
    <cellStyle name="Normal 3 3 3 5 2 2" xfId="2633"/>
    <cellStyle name="Normal 4 2 3 5 2 2" xfId="2634"/>
    <cellStyle name="Normal 5 2 3 5 2 2" xfId="2635"/>
    <cellStyle name="Normal 7 2 3 5 2 2" xfId="2636"/>
    <cellStyle name="Normal 2 4 3 5 2 2" xfId="2637"/>
    <cellStyle name="Normal 3 4 3 5 2 2" xfId="2638"/>
    <cellStyle name="Normal 4 3 3 5 2 2" xfId="2639"/>
    <cellStyle name="Normal 5 3 3 5 2 2" xfId="2640"/>
    <cellStyle name="Normal 7 3 3 5 2 2" xfId="2641"/>
    <cellStyle name="Normal 2 7 4 2 2" xfId="2642"/>
    <cellStyle name="Normal 3 7 4 2 2" xfId="2643"/>
    <cellStyle name="Normal 4 6 4 2 2" xfId="2644"/>
    <cellStyle name="Normal 5 6 4 2 2" xfId="2645"/>
    <cellStyle name="Normal 7 6 4 2 2" xfId="2646"/>
    <cellStyle name="Normal 2 3 4 4 2 2" xfId="2647"/>
    <cellStyle name="Normal 3 3 4 4 2 2" xfId="2648"/>
    <cellStyle name="Normal 4 2 4 4 2 2" xfId="2649"/>
    <cellStyle name="Normal 5 2 4 4 2 2" xfId="2650"/>
    <cellStyle name="Normal 7 2 4 4 2 2" xfId="2651"/>
    <cellStyle name="Normal 2 4 4 4 2 2" xfId="2652"/>
    <cellStyle name="Normal 3 4 4 4 2 2" xfId="2653"/>
    <cellStyle name="Normal 4 3 4 4 2 2" xfId="2654"/>
    <cellStyle name="Normal 5 3 4 4 2 2" xfId="2655"/>
    <cellStyle name="Normal 7 3 4 4 2 2" xfId="2656"/>
    <cellStyle name="Normal 2 5 2 4 2 2" xfId="2657"/>
    <cellStyle name="Normal 3 5 2 4 2 2" xfId="2658"/>
    <cellStyle name="Normal 4 4 2 4 2 2" xfId="2659"/>
    <cellStyle name="Normal 5 4 2 4 2 2" xfId="2660"/>
    <cellStyle name="Normal 7 4 2 4 2 2" xfId="2661"/>
    <cellStyle name="Normal 2 3 2 2 4 2 2" xfId="2662"/>
    <cellStyle name="Normal 3 3 2 2 4 2 2" xfId="2663"/>
    <cellStyle name="Normal 4 2 2 2 4 2 2" xfId="2664"/>
    <cellStyle name="Normal 5 2 2 2 4 2 2" xfId="2665"/>
    <cellStyle name="Normal 7 2 2 2 4 2 2" xfId="2666"/>
    <cellStyle name="Normal 2 4 2 2 4 2 2" xfId="2667"/>
    <cellStyle name="Normal 3 4 2 2 4 2 2" xfId="2668"/>
    <cellStyle name="Normal 4 3 2 2 4 2 2" xfId="2669"/>
    <cellStyle name="Normal 5 3 2 2 4 2 2" xfId="2670"/>
    <cellStyle name="Normal 7 3 2 2 4 2 2" xfId="2671"/>
    <cellStyle name="Normal 2 6 2 4 2 2" xfId="2672"/>
    <cellStyle name="Normal 3 6 2 4 2 2" xfId="2673"/>
    <cellStyle name="Normal 4 5 2 4 2 2" xfId="2674"/>
    <cellStyle name="Normal 5 5 2 4 2 2" xfId="2675"/>
    <cellStyle name="Normal 7 5 2 4 2 2" xfId="2676"/>
    <cellStyle name="Normal 2 3 3 2 4 2 2" xfId="2677"/>
    <cellStyle name="Normal 3 3 3 2 4 2 2" xfId="2678"/>
    <cellStyle name="Normal 4 2 3 2 4 2 2" xfId="2679"/>
    <cellStyle name="Normal 5 2 3 2 4 2 2" xfId="2680"/>
    <cellStyle name="Normal 7 2 3 2 4 2 2" xfId="2681"/>
    <cellStyle name="Normal 2 4 3 2 4 2 2" xfId="2682"/>
    <cellStyle name="Normal 3 4 3 2 4 2 2" xfId="2683"/>
    <cellStyle name="Normal 4 3 3 2 4 2 2" xfId="2684"/>
    <cellStyle name="Normal 5 3 3 2 4 2 2" xfId="2685"/>
    <cellStyle name="Normal 7 3 3 2 4 2 2" xfId="2686"/>
    <cellStyle name="Normal 2 8 3 2 2" xfId="2687"/>
    <cellStyle name="Normal 3 8 3 2 2" xfId="2688"/>
    <cellStyle name="Normal 4 7 3 2 2" xfId="2689"/>
    <cellStyle name="Normal 5 7 3 2 2" xfId="2690"/>
    <cellStyle name="Normal 7 7 3 2 2" xfId="2691"/>
    <cellStyle name="Normal 2 3 5 3 2 2" xfId="2692"/>
    <cellStyle name="Normal 3 3 5 3 2 2" xfId="2693"/>
    <cellStyle name="Normal 4 2 5 3 2 2" xfId="2694"/>
    <cellStyle name="Normal 5 2 5 3 2 2" xfId="2695"/>
    <cellStyle name="Normal 7 2 5 3 2 2" xfId="2696"/>
    <cellStyle name="Normal 3 4 5 3 2 2" xfId="2697"/>
    <cellStyle name="Normal 4 3 5 3 2 2" xfId="2698"/>
    <cellStyle name="Normal 5 3 5 3 2 2" xfId="2699"/>
    <cellStyle name="Normal 7 3 5 3 2 2" xfId="2700"/>
    <cellStyle name="Normal 2 5 3 3 2 2" xfId="2701"/>
    <cellStyle name="Normal 3 5 3 3 2 2" xfId="2702"/>
    <cellStyle name="Normal 4 4 3 3 2 2" xfId="2703"/>
    <cellStyle name="Normal 5 4 3 3 2 2" xfId="2704"/>
    <cellStyle name="Normal 7 4 3 3 2 2" xfId="2705"/>
    <cellStyle name="Normal 2 3 2 3 3 2 2" xfId="2706"/>
    <cellStyle name="Normal 3 3 2 3 3 2 2" xfId="2707"/>
    <cellStyle name="Normal 4 2 2 3 3 2 2" xfId="2708"/>
    <cellStyle name="Normal 5 2 2 3 3 2 2" xfId="2709"/>
    <cellStyle name="Normal 7 2 2 3 3 2 2" xfId="2710"/>
    <cellStyle name="Normal 2 4 2 3 3 2 2" xfId="2711"/>
    <cellStyle name="Normal 3 4 2 3 3 2 2" xfId="2712"/>
    <cellStyle name="Normal 4 3 2 3 3 2 2" xfId="2713"/>
    <cellStyle name="Normal 5 3 2 3 3 2 2" xfId="2714"/>
    <cellStyle name="Normal 7 3 2 3 3 2 2" xfId="2715"/>
    <cellStyle name="Normal 2 6 3 3 2 2" xfId="2716"/>
    <cellStyle name="Normal 3 6 3 3 2 2" xfId="2717"/>
    <cellStyle name="Normal 4 5 3 3 2 2" xfId="2718"/>
    <cellStyle name="Normal 5 5 3 3 2 2" xfId="2719"/>
    <cellStyle name="Normal 7 5 3 3 2 2" xfId="2720"/>
    <cellStyle name="Normal 2 3 3 3 3 2 2" xfId="2721"/>
    <cellStyle name="Normal 3 3 3 3 3 2 2" xfId="2722"/>
    <cellStyle name="Normal 4 2 3 3 3 2 2" xfId="2723"/>
    <cellStyle name="Normal 5 2 3 3 3 2 2" xfId="2724"/>
    <cellStyle name="Normal 7 2 3 3 3 2 2" xfId="2725"/>
    <cellStyle name="Normal 2 4 3 3 3 2 2" xfId="2726"/>
    <cellStyle name="Normal 3 4 3 3 3 2 2" xfId="2727"/>
    <cellStyle name="Normal 4 3 3 3 3 2 2" xfId="2728"/>
    <cellStyle name="Normal 5 3 3 3 3 2 2" xfId="2729"/>
    <cellStyle name="Normal 7 3 3 3 3 2 2" xfId="2730"/>
    <cellStyle name="Normal 2 7 2 3 2 2" xfId="2731"/>
    <cellStyle name="Normal 3 7 2 3 2 2" xfId="2732"/>
    <cellStyle name="Normal 4 6 2 3 2 2" xfId="2733"/>
    <cellStyle name="Normal 5 6 2 3 2 2" xfId="2734"/>
    <cellStyle name="Normal 7 6 2 3 2 2" xfId="2735"/>
    <cellStyle name="Normal 2 3 4 2 3 2 2" xfId="2736"/>
    <cellStyle name="Normal 3 3 4 2 3 2 2" xfId="2737"/>
    <cellStyle name="Normal 4 2 4 2 3 2 2" xfId="2738"/>
    <cellStyle name="Normal 5 2 4 2 3 2 2" xfId="2739"/>
    <cellStyle name="Normal 7 2 4 2 3 2 2" xfId="2740"/>
    <cellStyle name="Normal 2 4 4 2 3 2 2" xfId="2741"/>
    <cellStyle name="Normal 3 4 4 2 3 2 2" xfId="2742"/>
    <cellStyle name="Normal 4 3 4 2 3 2 2" xfId="2743"/>
    <cellStyle name="Normal 5 3 4 2 3 2 2" xfId="2744"/>
    <cellStyle name="Normal 7 3 4 2 3 2 2" xfId="2745"/>
    <cellStyle name="Normal 2 5 2 2 3 2 2" xfId="2746"/>
    <cellStyle name="Normal 3 5 2 2 3 2 2" xfId="2747"/>
    <cellStyle name="Normal 4 4 2 2 3 2 2" xfId="2748"/>
    <cellStyle name="Normal 5 4 2 2 3 2 2" xfId="2749"/>
    <cellStyle name="Normal 7 4 2 2 3 2 2" xfId="2750"/>
    <cellStyle name="Normal 2 3 2 2 2 3 2 2" xfId="2751"/>
    <cellStyle name="Normal 3 3 2 2 2 3 2 2" xfId="2752"/>
    <cellStyle name="Normal 4 2 2 2 2 3 2 2" xfId="2753"/>
    <cellStyle name="Normal 5 2 2 2 2 3 2 2" xfId="2754"/>
    <cellStyle name="Normal 7 2 2 2 2 3 2 2" xfId="2755"/>
    <cellStyle name="Normal 2 4 2 2 2 3 2 2" xfId="2756"/>
    <cellStyle name="Normal 3 4 2 2 2 3 2 2" xfId="2757"/>
    <cellStyle name="Normal 4 3 2 2 2 3 2 2" xfId="2758"/>
    <cellStyle name="Normal 5 3 2 2 2 3 2 2" xfId="2759"/>
    <cellStyle name="Normal 7 3 2 2 2 3 2 2" xfId="2760"/>
    <cellStyle name="Normal 2 6 2 2 3 2 2" xfId="2761"/>
    <cellStyle name="Normal 3 6 2 2 3 2 2" xfId="2762"/>
    <cellStyle name="Normal 4 5 2 2 3 2 2" xfId="2763"/>
    <cellStyle name="Normal 5 5 2 2 3 2 2" xfId="2764"/>
    <cellStyle name="Normal 7 5 2 2 3 2 2" xfId="2765"/>
    <cellStyle name="Normal 2 3 3 2 2 3 2 2" xfId="2766"/>
    <cellStyle name="Normal 3 3 3 2 2 3 2 2" xfId="2767"/>
    <cellStyle name="Normal 4 2 3 2 2 3 2 2" xfId="2768"/>
    <cellStyle name="Normal 5 2 3 2 2 3 2 2" xfId="2769"/>
    <cellStyle name="Normal 7 2 3 2 2 3 2 2" xfId="2770"/>
    <cellStyle name="Normal 2 4 3 2 2 3 2 2" xfId="2771"/>
    <cellStyle name="Normal 3 4 3 2 2 3 2 2" xfId="2772"/>
    <cellStyle name="Normal 4 3 3 2 2 3 2 2" xfId="2773"/>
    <cellStyle name="Normal 5 3 3 2 2 3 2 2" xfId="2774"/>
    <cellStyle name="Normal 7 3 3 2 2 3 2 2" xfId="2775"/>
    <cellStyle name="Normal 2 12 2" xfId="2776"/>
    <cellStyle name="Normal 3 12 2" xfId="2777"/>
    <cellStyle name="Normal 4 11 2" xfId="2778"/>
    <cellStyle name="Normal 5 11 2" xfId="2779"/>
    <cellStyle name="Normal 7 11 2" xfId="2780"/>
    <cellStyle name="Normal 2 3 9 2" xfId="2781"/>
    <cellStyle name="Normal 3 3 9 2" xfId="2782"/>
    <cellStyle name="Normal 4 2 9 2" xfId="2783"/>
    <cellStyle name="Normal 5 2 9 2" xfId="2784"/>
    <cellStyle name="Normal 7 2 9 2" xfId="2785"/>
    <cellStyle name="Normal 2 4 9 2" xfId="2786"/>
    <cellStyle name="Normal 3 4 9 2" xfId="2787"/>
    <cellStyle name="Normal 4 3 9 2" xfId="2788"/>
    <cellStyle name="Normal 5 3 9 2" xfId="2789"/>
    <cellStyle name="Normal 7 3 9 2" xfId="2790"/>
    <cellStyle name="Normal 2 5 7 2" xfId="2791"/>
    <cellStyle name="Normal 3 5 7 2" xfId="2792"/>
    <cellStyle name="Normal 4 4 7 2" xfId="2793"/>
    <cellStyle name="Normal 5 4 7 2" xfId="2794"/>
    <cellStyle name="Normal 7 4 7 2" xfId="2795"/>
    <cellStyle name="Normal 2 3 2 7 2" xfId="2796"/>
    <cellStyle name="Normal 3 3 2 7 2" xfId="2797"/>
    <cellStyle name="Normal 4 2 2 7 2" xfId="2798"/>
    <cellStyle name="Normal 5 2 2 7 2" xfId="2799"/>
    <cellStyle name="Normal 7 2 2 7 2" xfId="2800"/>
    <cellStyle name="Normal 2 4 2 7 2" xfId="2801"/>
    <cellStyle name="Normal 3 4 2 7 2" xfId="2802"/>
    <cellStyle name="Normal 4 3 2 7 2" xfId="2803"/>
    <cellStyle name="Normal 5 3 2 7 2" xfId="2804"/>
    <cellStyle name="Normal 7 3 2 7 2" xfId="2805"/>
    <cellStyle name="Normal 2 6 7 2" xfId="2806"/>
    <cellStyle name="Normal 3 6 7 2" xfId="2807"/>
    <cellStyle name="Normal 4 5 7 2" xfId="2808"/>
    <cellStyle name="Normal 5 5 7 2" xfId="2809"/>
    <cellStyle name="Normal 7 5 7 2" xfId="2810"/>
    <cellStyle name="Normal 2 3 3 7 2" xfId="2811"/>
    <cellStyle name="Normal 3 3 3 7 2" xfId="2812"/>
    <cellStyle name="Normal 4 2 3 7 2" xfId="2813"/>
    <cellStyle name="Normal 5 2 3 7 2" xfId="2814"/>
    <cellStyle name="Normal 7 2 3 7 2" xfId="2815"/>
    <cellStyle name="Normal 2 4 3 7 2" xfId="2816"/>
    <cellStyle name="Normal 3 4 3 7 2" xfId="2817"/>
    <cellStyle name="Normal 4 3 3 7 2" xfId="2818"/>
    <cellStyle name="Normal 5 3 3 7 2" xfId="2819"/>
    <cellStyle name="Normal 7 3 3 7 2" xfId="2820"/>
    <cellStyle name="Normal 2 7 6 2" xfId="2821"/>
    <cellStyle name="Normal 3 7 6 2" xfId="2822"/>
    <cellStyle name="Normal 4 6 6 2" xfId="2823"/>
    <cellStyle name="Normal 5 6 6 2" xfId="2824"/>
    <cellStyle name="Normal 7 6 6 2" xfId="2825"/>
    <cellStyle name="Normal 2 3 4 6 2" xfId="2826"/>
    <cellStyle name="Normal 3 3 4 6 2" xfId="2827"/>
    <cellStyle name="Normal 4 2 4 6 2" xfId="2828"/>
    <cellStyle name="Normal 5 2 4 6 2" xfId="2829"/>
    <cellStyle name="Normal 7 2 4 6 2" xfId="2830"/>
    <cellStyle name="Normal 2 4 4 6 2" xfId="2831"/>
    <cellStyle name="Normal 3 4 4 6 2" xfId="2832"/>
    <cellStyle name="Normal 4 3 4 6 2" xfId="2833"/>
    <cellStyle name="Normal 5 3 4 6 2" xfId="2834"/>
    <cellStyle name="Normal 7 3 4 6 2" xfId="2835"/>
    <cellStyle name="Normal 2 5 2 6 2" xfId="2836"/>
    <cellStyle name="Normal 3 5 2 6 2" xfId="2837"/>
    <cellStyle name="Normal 4 4 2 6 2" xfId="2838"/>
    <cellStyle name="Normal 5 4 2 6 2" xfId="2839"/>
    <cellStyle name="Normal 7 4 2 6 2" xfId="2840"/>
    <cellStyle name="Normal 2 3 2 2 6 2" xfId="2841"/>
    <cellStyle name="Normal 3 3 2 2 6 2" xfId="2842"/>
    <cellStyle name="Normal 4 2 2 2 6 2" xfId="2843"/>
    <cellStyle name="Normal 5 2 2 2 6 2" xfId="2844"/>
    <cellStyle name="Normal 7 2 2 2 6 2" xfId="2845"/>
    <cellStyle name="Normal 2 4 2 2 6 2" xfId="2846"/>
    <cellStyle name="Normal 3 4 2 2 6 2" xfId="2847"/>
    <cellStyle name="Normal 4 3 2 2 6 2" xfId="2848"/>
    <cellStyle name="Normal 5 3 2 2 6 2" xfId="2849"/>
    <cellStyle name="Normal 7 3 2 2 6 2" xfId="2850"/>
    <cellStyle name="Normal 2 6 2 6 2" xfId="2851"/>
    <cellStyle name="Normal 3 6 2 6 2" xfId="2852"/>
    <cellStyle name="Normal 4 5 2 6 2" xfId="2853"/>
    <cellStyle name="Normal 5 5 2 6 2" xfId="2854"/>
    <cellStyle name="Normal 7 5 2 6 2" xfId="2855"/>
    <cellStyle name="Normal 2 3 3 2 6 2" xfId="2856"/>
    <cellStyle name="Normal 3 3 3 2 6 2" xfId="2857"/>
    <cellStyle name="Normal 4 2 3 2 6 2" xfId="2858"/>
    <cellStyle name="Normal 5 2 3 2 6 2" xfId="2859"/>
    <cellStyle name="Normal 7 2 3 2 6 2" xfId="2860"/>
    <cellStyle name="Normal 2 4 3 2 6 2" xfId="2861"/>
    <cellStyle name="Normal 3 4 3 2 6 2" xfId="2862"/>
    <cellStyle name="Normal 4 3 3 2 6 2" xfId="2863"/>
    <cellStyle name="Normal 5 3 3 2 6 2" xfId="2864"/>
    <cellStyle name="Normal 7 3 3 2 6 2" xfId="2865"/>
    <cellStyle name="Normal 2 8 5 2" xfId="2866"/>
    <cellStyle name="Normal 3 8 5 2" xfId="2867"/>
    <cellStyle name="Normal 4 7 5 2" xfId="2868"/>
    <cellStyle name="Normal 5 7 5 2" xfId="2869"/>
    <cellStyle name="Normal 7 7 5 2" xfId="2870"/>
    <cellStyle name="Normal 2 3 5 5 2" xfId="2871"/>
    <cellStyle name="Normal 3 3 5 5 2" xfId="2872"/>
    <cellStyle name="Normal 4 2 5 5 2" xfId="2873"/>
    <cellStyle name="Normal 5 2 5 5 2" xfId="2874"/>
    <cellStyle name="Normal 7 2 5 5 2" xfId="2875"/>
    <cellStyle name="Normal 2 4 5 5 2" xfId="2876"/>
    <cellStyle name="Normal 3 4 5 5 2" xfId="2877"/>
    <cellStyle name="Normal 4 3 5 5 2" xfId="2878"/>
    <cellStyle name="Normal 5 3 5 5 2" xfId="2879"/>
    <cellStyle name="Normal 7 3 5 5 2" xfId="2880"/>
    <cellStyle name="Normal 2 5 3 5 2" xfId="2881"/>
    <cellStyle name="Normal 3 5 3 5 2" xfId="2882"/>
    <cellStyle name="Normal 4 4 3 5 2" xfId="2883"/>
    <cellStyle name="Normal 5 4 3 5 2" xfId="2884"/>
    <cellStyle name="Normal 7 4 3 5 2" xfId="2885"/>
    <cellStyle name="Normal 2 3 2 3 5 2" xfId="2886"/>
    <cellStyle name="Normal 3 3 2 3 5 2" xfId="2887"/>
    <cellStyle name="Normal 4 2 2 3 5 2" xfId="2888"/>
    <cellStyle name="Normal 5 2 2 3 5 2" xfId="2889"/>
    <cellStyle name="Normal 7 2 2 3 5 2" xfId="2890"/>
    <cellStyle name="Normal 2 4 2 3 5 2" xfId="2891"/>
    <cellStyle name="Normal 3 4 2 3 5 2" xfId="2892"/>
    <cellStyle name="Normal 4 3 2 3 5 2" xfId="2893"/>
    <cellStyle name="Normal 5 3 2 3 5 2" xfId="2894"/>
    <cellStyle name="Normal 7 3 2 3 5 2" xfId="2895"/>
    <cellStyle name="Normal 2 6 3 5 2" xfId="2896"/>
    <cellStyle name="Normal 3 6 3 5 2" xfId="2897"/>
    <cellStyle name="Normal 4 5 3 5 2" xfId="2898"/>
    <cellStyle name="Normal 5 5 3 5 2" xfId="2899"/>
    <cellStyle name="Normal 7 5 3 5 2" xfId="2900"/>
    <cellStyle name="Normal 2 3 3 3 5 2" xfId="2901"/>
    <cellStyle name="Normal 3 3 3 3 5 2" xfId="2902"/>
    <cellStyle name="Normal 4 2 3 3 5 2" xfId="2903"/>
    <cellStyle name="Normal 5 2 3 3 5 2" xfId="2904"/>
    <cellStyle name="Normal 7 2 3 3 5 2" xfId="2905"/>
    <cellStyle name="Normal 2 4 3 3 5 2" xfId="2906"/>
    <cellStyle name="Normal 3 4 3 3 5 2" xfId="2907"/>
    <cellStyle name="Normal 4 3 3 3 5 2" xfId="2908"/>
    <cellStyle name="Normal 5 3 3 3 5 2" xfId="2909"/>
    <cellStyle name="Normal 7 3 3 3 5 2" xfId="2910"/>
    <cellStyle name="Normal 2 7 2 5 2" xfId="2911"/>
    <cellStyle name="Normal 3 7 2 5 2" xfId="2912"/>
    <cellStyle name="Normal 4 6 2 5 2" xfId="2913"/>
    <cellStyle name="Normal 5 6 2 5 2" xfId="2914"/>
    <cellStyle name="Normal 7 6 2 5 2" xfId="2915"/>
    <cellStyle name="Normal 2 3 4 2 5 2" xfId="2916"/>
    <cellStyle name="Normal 3 3 4 2 5 2" xfId="2917"/>
    <cellStyle name="Normal 4 2 4 2 5 2" xfId="2918"/>
    <cellStyle name="Normal 5 2 4 2 5 2" xfId="2919"/>
    <cellStyle name="Normal 7 2 4 2 5 2" xfId="2920"/>
    <cellStyle name="Normal 2 4 4 2 5 2" xfId="2921"/>
    <cellStyle name="Normal 3 4 4 2 5 2" xfId="2922"/>
    <cellStyle name="Normal 4 3 4 2 5 2" xfId="2923"/>
    <cellStyle name="Normal 5 3 4 2 5 2" xfId="2924"/>
    <cellStyle name="Normal 7 3 4 2 5 2" xfId="2925"/>
    <cellStyle name="Normal 2 5 2 2 5 2" xfId="2926"/>
    <cellStyle name="Normal 3 5 2 2 5 2" xfId="2927"/>
    <cellStyle name="Normal 4 4 2 2 5 2" xfId="2928"/>
    <cellStyle name="Normal 5 4 2 2 5 2" xfId="2929"/>
    <cellStyle name="Normal 7 4 2 2 5 2" xfId="2930"/>
    <cellStyle name="Normal 2 3 2 2 2 5 2" xfId="2931"/>
    <cellStyle name="Normal 3 3 2 2 2 5 2" xfId="2932"/>
    <cellStyle name="Normal 4 2 2 2 2 5 2" xfId="2933"/>
    <cellStyle name="Normal 5 2 2 2 2 5 2" xfId="2934"/>
    <cellStyle name="Normal 7 2 2 2 2 5 2" xfId="2935"/>
    <cellStyle name="Normal 2 4 2 2 2 5 2" xfId="2936"/>
    <cellStyle name="Normal 3 4 2 2 2 5 2" xfId="2937"/>
    <cellStyle name="Normal 4 3 2 2 2 5 2" xfId="2938"/>
    <cellStyle name="Normal 5 3 2 2 2 5 2" xfId="2939"/>
    <cellStyle name="Normal 7 3 2 2 2 5 2" xfId="2940"/>
    <cellStyle name="Normal 2 6 2 2 5 2" xfId="2941"/>
    <cellStyle name="Normal 3 6 2 2 5 2" xfId="2942"/>
    <cellStyle name="Normal 4 5 2 2 5 2" xfId="2943"/>
    <cellStyle name="Normal 5 5 2 2 5 2" xfId="2944"/>
    <cellStyle name="Normal 7 5 2 2 5 2" xfId="2945"/>
    <cellStyle name="Normal 2 3 3 2 2 5 2" xfId="2946"/>
    <cellStyle name="Normal 3 3 3 2 2 5 2" xfId="2947"/>
    <cellStyle name="Normal 4 2 3 2 2 5 2" xfId="2948"/>
    <cellStyle name="Normal 5 2 3 2 2 5 2" xfId="2949"/>
    <cellStyle name="Normal 7 2 3 2 2 5 2" xfId="2950"/>
    <cellStyle name="Normal 2 4 3 2 2 5 2" xfId="2951"/>
    <cellStyle name="Normal 3 4 3 2 2 5 2" xfId="2952"/>
    <cellStyle name="Normal 4 3 3 2 2 5 2" xfId="2953"/>
    <cellStyle name="Normal 5 3 3 2 2 5 2" xfId="2954"/>
    <cellStyle name="Normal 7 3 3 2 2 5 2" xfId="2955"/>
    <cellStyle name="Normal 2 9 3 2" xfId="2956"/>
    <cellStyle name="Normal 3 9 3 2" xfId="2957"/>
    <cellStyle name="Normal 4 8 3 2" xfId="2958"/>
    <cellStyle name="Normal 5 8 3 2" xfId="2959"/>
    <cellStyle name="Normal 7 8 3 2" xfId="2960"/>
    <cellStyle name="Normal 2 3 6 3 2" xfId="2961"/>
    <cellStyle name="Normal 3 3 6 3 2" xfId="2962"/>
    <cellStyle name="Normal 4 2 6 3 2" xfId="2963"/>
    <cellStyle name="Normal 5 2 6 3 2" xfId="2964"/>
    <cellStyle name="Normal 7 2 6 3 2" xfId="2965"/>
    <cellStyle name="Normal 2 4 6 3 2" xfId="2966"/>
    <cellStyle name="Normal 3 4 6 3 2" xfId="2967"/>
    <cellStyle name="Normal 4 3 6 3 2" xfId="2968"/>
    <cellStyle name="Normal 5 3 6 3 2" xfId="2969"/>
    <cellStyle name="Normal 7 3 6 3 2" xfId="2970"/>
    <cellStyle name="Normal 2 5 4 3 2" xfId="2971"/>
    <cellStyle name="Normal 3 5 4 3 2" xfId="2972"/>
    <cellStyle name="Normal 4 4 4 3 2" xfId="2973"/>
    <cellStyle name="Normal 5 4 4 3 2" xfId="2974"/>
    <cellStyle name="Normal 7 4 4 3 2" xfId="2975"/>
    <cellStyle name="Normal 2 3 2 4 3 2" xfId="2976"/>
    <cellStyle name="Normal 3 3 2 4 3 2" xfId="2977"/>
    <cellStyle name="Normal 4 2 2 4 3 2" xfId="2978"/>
    <cellStyle name="Normal 5 2 2 4 3 2" xfId="2979"/>
    <cellStyle name="Normal 7 2 2 4 3 2" xfId="2980"/>
    <cellStyle name="Normal 2 4 2 4 3 2" xfId="2981"/>
    <cellStyle name="Normal 3 4 2 4 3 2" xfId="2982"/>
    <cellStyle name="Normal 4 3 2 4 3 2" xfId="2983"/>
    <cellStyle name="Normal 5 3 2 4 3 2" xfId="2984"/>
    <cellStyle name="Normal 7 3 2 4 3 2" xfId="2985"/>
    <cellStyle name="Normal 2 6 4 3 2" xfId="2986"/>
    <cellStyle name="Normal 3 6 4 3 2" xfId="2987"/>
    <cellStyle name="Normal 4 5 4 3 2" xfId="2988"/>
    <cellStyle name="Normal 5 5 4 3 2" xfId="2989"/>
    <cellStyle name="Normal 7 5 4 3 2" xfId="2990"/>
    <cellStyle name="Normal 2 3 3 4 3 2" xfId="2991"/>
    <cellStyle name="Normal 3 3 3 4 3 2" xfId="2992"/>
    <cellStyle name="Normal 4 2 3 4 3 2" xfId="2993"/>
    <cellStyle name="Normal 5 2 3 4 3 2" xfId="2994"/>
    <cellStyle name="Normal 7 2 3 4 3 2" xfId="2995"/>
    <cellStyle name="Normal 2 4 3 4 3 2" xfId="2996"/>
    <cellStyle name="Normal 3 4 3 4 3 2" xfId="2997"/>
    <cellStyle name="Normal 4 3 3 4 3 2" xfId="2998"/>
    <cellStyle name="Normal 5 3 3 4 3 2" xfId="2999"/>
    <cellStyle name="Normal 7 3 3 4 3 2" xfId="3000"/>
    <cellStyle name="Normal 2 7 3 3 2" xfId="3001"/>
    <cellStyle name="Normal 3 7 3 3 2" xfId="3002"/>
    <cellStyle name="Normal 4 6 3 3 2" xfId="3003"/>
    <cellStyle name="Normal 5 6 3 3 2" xfId="3004"/>
    <cellStyle name="Normal 7 6 3 3 2" xfId="3005"/>
    <cellStyle name="Normal 2 3 4 3 3 2" xfId="3006"/>
    <cellStyle name="Normal 3 3 4 3 3 2" xfId="3007"/>
    <cellStyle name="Normal 4 2 4 3 3 2" xfId="3008"/>
    <cellStyle name="Normal 5 2 4 3 3 2" xfId="3009"/>
    <cellStyle name="Normal 7 2 4 3 3 2" xfId="3010"/>
    <cellStyle name="Normal 2 4 4 3 3 2" xfId="3011"/>
    <cellStyle name="Normal 3 4 4 3 3 2" xfId="3012"/>
    <cellStyle name="Normal 4 3 4 3 3 2" xfId="3013"/>
    <cellStyle name="Normal 5 3 4 3 3 2" xfId="3014"/>
    <cellStyle name="Normal 7 3 4 3 3 2" xfId="3015"/>
    <cellStyle name="Normal 2 5 2 3 3 2" xfId="3016"/>
    <cellStyle name="Normal 3 5 2 3 3 2" xfId="3017"/>
    <cellStyle name="Normal 4 4 2 3 3 2" xfId="3018"/>
    <cellStyle name="Normal 5 4 2 3 3 2" xfId="3019"/>
    <cellStyle name="Normal 7 4 2 3 3 2" xfId="3020"/>
    <cellStyle name="Normal 2 3 2 2 3 3 2" xfId="3021"/>
    <cellStyle name="Normal 3 3 2 2 3 3 2" xfId="3022"/>
    <cellStyle name="Normal 4 2 2 2 3 3 2" xfId="3023"/>
    <cellStyle name="Normal 5 2 2 2 3 3 2" xfId="3024"/>
    <cellStyle name="Normal 7 2 2 2 3 3 2" xfId="3025"/>
    <cellStyle name="Normal 2 4 2 2 3 3 2" xfId="3026"/>
    <cellStyle name="Normal 3 4 2 2 3 3 2" xfId="3027"/>
    <cellStyle name="Normal 4 3 2 2 3 3 2" xfId="3028"/>
    <cellStyle name="Normal 5 3 2 2 3 3 2" xfId="3029"/>
    <cellStyle name="Normal 7 3 2 2 3 3 2" xfId="3030"/>
    <cellStyle name="Normal 2 6 2 3 3 2" xfId="3031"/>
    <cellStyle name="Normal 3 6 2 3 3 2" xfId="3032"/>
    <cellStyle name="Normal 4 5 2 3 3 2" xfId="3033"/>
    <cellStyle name="Normal 5 5 2 3 3 2" xfId="3034"/>
    <cellStyle name="Normal 7 5 2 3 3 2" xfId="3035"/>
    <cellStyle name="Normal 2 3 3 2 3 3 2" xfId="3036"/>
    <cellStyle name="Normal 3 3 3 2 3 3 2" xfId="3037"/>
    <cellStyle name="Normal 4 2 3 2 3 3 2" xfId="3038"/>
    <cellStyle name="Normal 5 2 3 2 3 3 2" xfId="3039"/>
    <cellStyle name="Normal 7 2 3 2 3 3 2" xfId="3040"/>
    <cellStyle name="Normal 2 4 3 2 3 3 2" xfId="3041"/>
    <cellStyle name="Normal 3 4 3 2 3 3 2" xfId="3042"/>
    <cellStyle name="Normal 4 3 3 2 3 3 2" xfId="3043"/>
    <cellStyle name="Normal 5 3 3 2 3 3 2" xfId="3044"/>
    <cellStyle name="Normal 7 3 3 2 3 3 2" xfId="3045"/>
    <cellStyle name="Normal 2 8 2 3 2" xfId="3046"/>
    <cellStyle name="Normal 3 8 2 3 2" xfId="3047"/>
    <cellStyle name="Normal 4 7 2 3 2" xfId="3048"/>
    <cellStyle name="Normal 5 7 2 3 2" xfId="3049"/>
    <cellStyle name="Normal 7 7 2 3 2" xfId="3050"/>
    <cellStyle name="Normal 2 3 5 2 3 2" xfId="3051"/>
    <cellStyle name="Normal 3 3 5 2 3 2" xfId="3052"/>
    <cellStyle name="Normal 4 2 5 2 3 2" xfId="3053"/>
    <cellStyle name="Normal 5 2 5 2 3 2" xfId="3054"/>
    <cellStyle name="Normal 7 2 5 2 3 2" xfId="3055"/>
    <cellStyle name="Normal 2 4 5 2 3 2" xfId="3056"/>
    <cellStyle name="Normal 3 4 5 2 3 2" xfId="3057"/>
    <cellStyle name="Normal 4 3 5 2 3 2" xfId="3058"/>
    <cellStyle name="Normal 5 3 5 2 3 2" xfId="3059"/>
    <cellStyle name="Normal 7 3 5 2 3 2" xfId="3060"/>
    <cellStyle name="Normal 2 5 3 2 3 2" xfId="3061"/>
    <cellStyle name="Normal 3 5 3 2 3 2" xfId="3062"/>
    <cellStyle name="Normal 4 4 3 2 3 2" xfId="3063"/>
    <cellStyle name="Normal 5 4 3 2 3 2" xfId="3064"/>
    <cellStyle name="Normal 7 4 3 2 3 2" xfId="3065"/>
    <cellStyle name="Normal 2 3 2 3 2 3 2" xfId="3066"/>
    <cellStyle name="Normal 3 3 2 3 2 3 2" xfId="3067"/>
    <cellStyle name="Normal 4 2 2 3 2 3 2" xfId="3068"/>
    <cellStyle name="Normal 5 2 2 3 2 3 2" xfId="3069"/>
    <cellStyle name="Normal 7 2 2 3 2 3 2" xfId="3070"/>
    <cellStyle name="Normal 2 4 2 3 2 3 2" xfId="3071"/>
    <cellStyle name="Normal 3 4 2 3 2 3 2" xfId="3072"/>
    <cellStyle name="Normal 4 3 2 3 2 3 2" xfId="3073"/>
    <cellStyle name="Normal 5 3 2 3 2 3 2" xfId="3074"/>
    <cellStyle name="Normal 7 3 2 3 2 3 2" xfId="3075"/>
    <cellStyle name="Normal 2 6 3 2 3 2" xfId="3076"/>
    <cellStyle name="Normal 3 6 3 2 3 2" xfId="3077"/>
    <cellStyle name="Normal 4 5 3 2 3 2" xfId="3078"/>
    <cellStyle name="Normal 5 5 3 2 3 2" xfId="3079"/>
    <cellStyle name="Normal 7 5 3 2 3 2" xfId="3080"/>
    <cellStyle name="Normal 2 3 3 3 2 3 2" xfId="3081"/>
    <cellStyle name="Normal 3 3 3 3 2 3 2" xfId="3082"/>
    <cellStyle name="Normal 4 2 3 3 2 3 2" xfId="3083"/>
    <cellStyle name="Normal 5 2 3 3 2 3 2" xfId="3084"/>
    <cellStyle name="Normal 7 2 3 3 2 3 2" xfId="3085"/>
    <cellStyle name="Normal 2 4 3 3 2 3 2" xfId="3086"/>
    <cellStyle name="Normal 3 4 3 3 2 3 2" xfId="3087"/>
    <cellStyle name="Normal 4 3 3 3 2 3 2" xfId="3088"/>
    <cellStyle name="Normal 5 3 3 3 2 3 2" xfId="3089"/>
    <cellStyle name="Normal 7 3 3 3 2 3 2" xfId="3090"/>
    <cellStyle name="Normal 2 7 2 2 3 2" xfId="3091"/>
    <cellStyle name="Normal 3 7 2 2 3 2" xfId="3092"/>
    <cellStyle name="Normal 4 6 2 2 3 2" xfId="3093"/>
    <cellStyle name="Normal 5 6 2 2 3 2" xfId="3094"/>
    <cellStyle name="Normal 7 6 2 2 3 2" xfId="3095"/>
    <cellStyle name="Normal 2 3 4 2 2 3 2" xfId="3096"/>
    <cellStyle name="Normal 3 3 4 2 2 3 2" xfId="3097"/>
    <cellStyle name="Normal 4 2 4 2 2 3 2" xfId="3098"/>
    <cellStyle name="Normal 5 2 4 2 2 3 2" xfId="3099"/>
    <cellStyle name="Normal 7 2 4 2 2 3 2" xfId="3100"/>
    <cellStyle name="Normal 2 4 4 2 2 3 2" xfId="3101"/>
    <cellStyle name="Normal 3 4 4 2 2 3 2" xfId="3102"/>
    <cellStyle name="Normal 4 3 4 2 2 3 2" xfId="3103"/>
    <cellStyle name="Normal 5 3 4 2 2 3 2" xfId="3104"/>
    <cellStyle name="Normal 7 3 4 2 2 3 2" xfId="3105"/>
    <cellStyle name="Normal 2 5 2 2 2 3 2" xfId="3106"/>
    <cellStyle name="Normal 3 5 2 2 2 3 2" xfId="3107"/>
    <cellStyle name="Normal 4 4 2 2 2 3 2" xfId="3108"/>
    <cellStyle name="Normal 5 4 2 2 2 3 2" xfId="3109"/>
    <cellStyle name="Normal 7 4 2 2 2 3 2" xfId="3110"/>
    <cellStyle name="Normal 2 3 2 2 2 2 3 2" xfId="3111"/>
    <cellStyle name="Normal 3 3 2 2 2 2 3 2" xfId="3112"/>
    <cellStyle name="Normal 4 2 2 2 2 2 3 2" xfId="3113"/>
    <cellStyle name="Normal 5 2 2 2 2 2 3 2" xfId="3114"/>
    <cellStyle name="Normal 7 2 2 2 2 2 3 2" xfId="3115"/>
    <cellStyle name="Normal 2 4 2 2 2 2 3 2" xfId="3116"/>
    <cellStyle name="Normal 3 4 2 2 2 2 3 2" xfId="3117"/>
    <cellStyle name="Normal 4 3 2 2 2 2 3 2" xfId="3118"/>
    <cellStyle name="Normal 5 3 2 2 2 2 3 2" xfId="3119"/>
    <cellStyle name="Normal 7 3 2 2 2 2 3 2" xfId="3120"/>
    <cellStyle name="Normal 2 6 2 2 2 3 2" xfId="3121"/>
    <cellStyle name="Normal 3 6 2 2 2 3 2" xfId="3122"/>
    <cellStyle name="Normal 4 5 2 2 2 3 2" xfId="3123"/>
    <cellStyle name="Normal 5 5 2 2 2 3 2" xfId="3124"/>
    <cellStyle name="Normal 7 5 2 2 2 3 2" xfId="3125"/>
    <cellStyle name="Normal 2 3 3 2 2 2 3 2" xfId="3126"/>
    <cellStyle name="Normal 3 3 3 2 2 2 3 2" xfId="3127"/>
    <cellStyle name="Normal 4 2 3 2 2 2 3 2" xfId="3128"/>
    <cellStyle name="Normal 5 2 3 2 2 2 3 2" xfId="3129"/>
    <cellStyle name="Normal 7 2 3 2 2 2 3 2" xfId="3130"/>
    <cellStyle name="Normal 2 4 3 2 2 2 3 2" xfId="3131"/>
    <cellStyle name="Normal 3 4 3 2 2 2 3 2" xfId="3132"/>
    <cellStyle name="Normal 4 3 3 2 2 2 3 2" xfId="3133"/>
    <cellStyle name="Normal 5 3 3 2 2 2 3 2" xfId="3134"/>
    <cellStyle name="Normal 7 3 3 2 2 2 3 2" xfId="3135"/>
    <cellStyle name="Normal 28 3 2" xfId="3136"/>
    <cellStyle name="Normal 2 3 7 3 2" xfId="3137"/>
    <cellStyle name="Normal 3 10 3 2" xfId="3138"/>
    <cellStyle name="Normal 4 9 3 2" xfId="3139"/>
    <cellStyle name="Normal 5 9 3 2" xfId="3140"/>
    <cellStyle name="Millares 4 3 2" xfId="3141"/>
    <cellStyle name="Normal 7 2 7 3 2" xfId="3142"/>
    <cellStyle name="Normal 3 3 7 3 2" xfId="3143"/>
    <cellStyle name="Normal 4 2 7 3 2" xfId="3144"/>
    <cellStyle name="Normal 5 2 7 3 2" xfId="3145"/>
    <cellStyle name="Normal 2 4 5 3 3 2" xfId="3146"/>
    <cellStyle name="Normal 3 4 7 3 2" xfId="3147"/>
    <cellStyle name="Normal 4 3 7 3 2" xfId="3148"/>
    <cellStyle name="Normal 5 3 7 3 2" xfId="3149"/>
    <cellStyle name="Normal 7 3 7 3 2" xfId="3150"/>
    <cellStyle name="Normal 2 5 5 3 2" xfId="3151"/>
    <cellStyle name="Normal 3 5 5 3 2" xfId="3152"/>
    <cellStyle name="Normal 4 4 5 3 2" xfId="3153"/>
    <cellStyle name="Normal 5 4 5 3 2" xfId="3154"/>
    <cellStyle name="Normal 7 4 5 3 2" xfId="3155"/>
    <cellStyle name="Normal 2 3 2 5 3 2" xfId="3156"/>
    <cellStyle name="Normal 3 3 2 5 3 2" xfId="3157"/>
    <cellStyle name="Normal 4 2 2 5 3 2" xfId="3158"/>
    <cellStyle name="Normal 5 2 2 5 3 2" xfId="3159"/>
    <cellStyle name="Normal 7 2 2 5 3 2" xfId="3160"/>
    <cellStyle name="Normal 2 4 2 5 3 2" xfId="3161"/>
    <cellStyle name="Normal 3 4 2 5 3 2" xfId="3162"/>
    <cellStyle name="Normal 4 3 2 5 3 2" xfId="3163"/>
    <cellStyle name="Normal 5 3 2 5 3 2" xfId="3164"/>
    <cellStyle name="Normal 7 3 2 5 3 2" xfId="3165"/>
    <cellStyle name="Normal 2 6 5 3 2" xfId="3166"/>
    <cellStyle name="Normal 3 6 5 3 2" xfId="3167"/>
    <cellStyle name="Normal 4 5 5 3 2" xfId="3168"/>
    <cellStyle name="Normal 5 5 5 3 2" xfId="3169"/>
    <cellStyle name="Normal 7 5 5 3 2" xfId="3170"/>
    <cellStyle name="Normal 2 3 3 5 3 2" xfId="3171"/>
    <cellStyle name="Normal 3 3 3 5 3 2" xfId="3172"/>
    <cellStyle name="Normal 4 2 3 5 3 2" xfId="3173"/>
    <cellStyle name="Normal 5 2 3 5 3 2" xfId="3174"/>
    <cellStyle name="Normal 7 2 3 5 3 2" xfId="3175"/>
    <cellStyle name="Normal 2 4 3 5 3 2" xfId="3176"/>
    <cellStyle name="Normal 3 4 3 5 3 2" xfId="3177"/>
    <cellStyle name="Normal 4 3 3 5 3 2" xfId="3178"/>
    <cellStyle name="Normal 5 3 3 5 3 2" xfId="3179"/>
    <cellStyle name="Normal 7 3 3 5 3 2" xfId="3180"/>
    <cellStyle name="Normal 2 7 4 3 2" xfId="3181"/>
    <cellStyle name="Normal 3 7 4 3 2" xfId="3182"/>
    <cellStyle name="Normal 4 6 4 3 2" xfId="3183"/>
    <cellStyle name="Normal 5 6 4 3 2" xfId="3184"/>
    <cellStyle name="Normal 7 6 4 3 2" xfId="3185"/>
    <cellStyle name="Normal 2 3 4 4 3 2" xfId="3186"/>
    <cellStyle name="Normal 3 3 4 4 3 2" xfId="3187"/>
    <cellStyle name="Normal 4 2 4 4 3 2" xfId="3188"/>
    <cellStyle name="Normal 5 2 4 4 3 2" xfId="3189"/>
    <cellStyle name="Normal 7 2 4 4 3 2" xfId="3190"/>
    <cellStyle name="Normal 2 4 4 4 3 2" xfId="3191"/>
    <cellStyle name="Normal 3 4 4 4 3 2" xfId="3192"/>
    <cellStyle name="Normal 4 3 4 4 3 2" xfId="3193"/>
    <cellStyle name="Normal 5 3 4 4 3 2" xfId="3194"/>
    <cellStyle name="Normal 7 3 4 4 3 2" xfId="3195"/>
    <cellStyle name="Normal 2 5 2 4 3 2" xfId="3196"/>
    <cellStyle name="Normal 3 5 2 4 3 2" xfId="3197"/>
    <cellStyle name="Normal 4 4 2 4 3 2" xfId="3198"/>
    <cellStyle name="Normal 5 4 2 4 3 2" xfId="3199"/>
    <cellStyle name="Normal 7 4 2 4 3 2" xfId="3200"/>
    <cellStyle name="Normal 2 3 2 2 4 3 2" xfId="3201"/>
    <cellStyle name="Normal 3 3 2 2 4 3 2" xfId="3202"/>
    <cellStyle name="Normal 4 2 2 2 4 3 2" xfId="3203"/>
    <cellStyle name="Normal 5 2 2 2 4 3 2" xfId="3204"/>
    <cellStyle name="Normal 7 2 2 2 4 3 2" xfId="3205"/>
    <cellStyle name="Normal 2 4 2 2 4 3 2" xfId="3206"/>
    <cellStyle name="Normal 3 4 2 2 4 3 2" xfId="3207"/>
    <cellStyle name="Normal 4 3 2 2 4 3 2" xfId="3208"/>
    <cellStyle name="Normal 5 3 2 2 4 3 2" xfId="3209"/>
    <cellStyle name="Normal 7 3 2 2 4 3 2" xfId="3210"/>
    <cellStyle name="Normal 2 6 2 4 3 2" xfId="3211"/>
    <cellStyle name="Normal 3 6 2 4 3 2" xfId="3212"/>
    <cellStyle name="Normal 4 5 2 4 3 2" xfId="3213"/>
    <cellStyle name="Normal 5 5 2 4 3 2" xfId="3214"/>
    <cellStyle name="Normal 7 5 2 4 3 2" xfId="3215"/>
    <cellStyle name="Normal 2 3 3 2 4 3 2" xfId="3216"/>
    <cellStyle name="Normal 3 3 3 2 4 3 2" xfId="3217"/>
    <cellStyle name="Normal 4 2 3 2 4 3 2" xfId="3218"/>
    <cellStyle name="Normal 5 2 3 2 4 3 2" xfId="3219"/>
    <cellStyle name="Normal 7 2 3 2 4 3 2" xfId="3220"/>
    <cellStyle name="Normal 2 4 3 2 4 3 2" xfId="3221"/>
    <cellStyle name="Normal 3 4 3 2 4 3 2" xfId="3222"/>
    <cellStyle name="Normal 4 3 3 2 4 3 2" xfId="3223"/>
    <cellStyle name="Normal 5 3 3 2 4 3 2" xfId="3224"/>
    <cellStyle name="Normal 7 3 3 2 4 3 2" xfId="3225"/>
    <cellStyle name="Normal 2 8 3 3 2" xfId="3226"/>
    <cellStyle name="Normal 3 8 3 3 2" xfId="3227"/>
    <cellStyle name="Normal 4 7 3 3 2" xfId="3228"/>
    <cellStyle name="Normal 5 7 3 3 2" xfId="3229"/>
    <cellStyle name="Normal 7 7 3 3 2" xfId="3230"/>
    <cellStyle name="Normal 2 3 5 3 3 2" xfId="3231"/>
    <cellStyle name="Normal 3 3 5 3 3 2" xfId="3232"/>
    <cellStyle name="Normal 4 2 5 3 3 2" xfId="3233"/>
    <cellStyle name="Normal 5 2 5 3 3 2" xfId="3234"/>
    <cellStyle name="Normal 7 2 5 3 3 2" xfId="3235"/>
    <cellStyle name="Normal 3 4 5 3 3 2" xfId="3236"/>
    <cellStyle name="Normal 4 3 5 3 3 2" xfId="3237"/>
    <cellStyle name="Normal 5 3 5 3 3 2" xfId="3238"/>
    <cellStyle name="Normal 7 3 5 3 3 2" xfId="3239"/>
    <cellStyle name="Normal 2 5 3 3 3 2" xfId="3240"/>
    <cellStyle name="Normal 3 5 3 3 3 2" xfId="3241"/>
    <cellStyle name="Normal 4 4 3 3 3 2" xfId="3242"/>
    <cellStyle name="Normal 5 4 3 3 3 2" xfId="3243"/>
    <cellStyle name="Normal 7 4 3 3 3 2" xfId="3244"/>
    <cellStyle name="Normal 2 3 2 3 3 3 2" xfId="3245"/>
    <cellStyle name="Normal 3 3 2 3 3 3 2" xfId="3246"/>
    <cellStyle name="Normal 4 2 2 3 3 3 2" xfId="3247"/>
    <cellStyle name="Normal 5 2 2 3 3 3 2" xfId="3248"/>
    <cellStyle name="Normal 7 2 2 3 3 3 2" xfId="3249"/>
    <cellStyle name="Normal 2 4 2 3 3 3 2" xfId="3250"/>
    <cellStyle name="Normal 3 4 2 3 3 3 2" xfId="3251"/>
    <cellStyle name="Normal 4 3 2 3 3 3 2" xfId="3252"/>
    <cellStyle name="Normal 5 3 2 3 3 3 2" xfId="3253"/>
    <cellStyle name="Normal 7 3 2 3 3 3 2" xfId="3254"/>
    <cellStyle name="Normal 2 6 3 3 3 2" xfId="3255"/>
    <cellStyle name="Normal 3 6 3 3 3 2" xfId="3256"/>
    <cellStyle name="Normal 4 5 3 3 3 2" xfId="3257"/>
    <cellStyle name="Normal 5 5 3 3 3 2" xfId="3258"/>
    <cellStyle name="Normal 7 5 3 3 3 2" xfId="3259"/>
    <cellStyle name="Normal 2 3 3 3 3 3 2" xfId="3260"/>
    <cellStyle name="Normal 3 3 3 3 3 3 2" xfId="3261"/>
    <cellStyle name="Normal 4 2 3 3 3 3 2" xfId="3262"/>
    <cellStyle name="Normal 5 2 3 3 3 3 2" xfId="3263"/>
    <cellStyle name="Normal 7 2 3 3 3 3 2" xfId="3264"/>
    <cellStyle name="Normal 2 4 3 3 3 3 2" xfId="3265"/>
    <cellStyle name="Normal 3 4 3 3 3 3 2" xfId="3266"/>
    <cellStyle name="Normal 4 3 3 3 3 3 2" xfId="3267"/>
    <cellStyle name="Normal 5 3 3 3 3 3 2" xfId="3268"/>
    <cellStyle name="Normal 7 3 3 3 3 3 2" xfId="3269"/>
    <cellStyle name="Normal 2 7 2 3 3 2" xfId="3270"/>
    <cellStyle name="Normal 3 7 2 3 3 2" xfId="3271"/>
    <cellStyle name="Normal 4 6 2 3 3 2" xfId="3272"/>
    <cellStyle name="Normal 5 6 2 3 3 2" xfId="3273"/>
    <cellStyle name="Normal 7 6 2 3 3 2" xfId="3274"/>
    <cellStyle name="Normal 2 3 4 2 3 3 2" xfId="3275"/>
    <cellStyle name="Normal 3 3 4 2 3 3 2" xfId="3276"/>
    <cellStyle name="Normal 4 2 4 2 3 3 2" xfId="3277"/>
    <cellStyle name="Normal 5 2 4 2 3 3 2" xfId="3278"/>
    <cellStyle name="Normal 7 2 4 2 3 3 2" xfId="3279"/>
    <cellStyle name="Normal 2 4 4 2 3 3 2" xfId="3280"/>
    <cellStyle name="Normal 3 4 4 2 3 3 2" xfId="3281"/>
    <cellStyle name="Normal 4 3 4 2 3 3 2" xfId="3282"/>
    <cellStyle name="Normal 5 3 4 2 3 3 2" xfId="3283"/>
    <cellStyle name="Normal 7 3 4 2 3 3 2" xfId="3284"/>
    <cellStyle name="Normal 2 5 2 2 3 3 2" xfId="3285"/>
    <cellStyle name="Normal 3 5 2 2 3 3 2" xfId="3286"/>
    <cellStyle name="Normal 4 4 2 2 3 3 2" xfId="3287"/>
    <cellStyle name="Normal 5 4 2 2 3 3 2" xfId="3288"/>
    <cellStyle name="Normal 7 4 2 2 3 3 2" xfId="3289"/>
    <cellStyle name="Normal 2 3 2 2 2 3 3 2" xfId="3290"/>
    <cellStyle name="Normal 3 3 2 2 2 3 3 2" xfId="3291"/>
    <cellStyle name="Normal 4 2 2 2 2 3 3 2" xfId="3292"/>
    <cellStyle name="Normal 5 2 2 2 2 3 3 2" xfId="3293"/>
    <cellStyle name="Normal 7 2 2 2 2 3 3 2" xfId="3294"/>
    <cellStyle name="Normal 2 4 2 2 2 3 3 2" xfId="3295"/>
    <cellStyle name="Normal 3 4 2 2 2 3 3 2" xfId="3296"/>
    <cellStyle name="Normal 4 3 2 2 2 3 3 2" xfId="3297"/>
    <cellStyle name="Normal 5 3 2 2 2 3 3 2" xfId="3298"/>
    <cellStyle name="Normal 7 3 2 2 2 3 3 2" xfId="3299"/>
    <cellStyle name="Normal 2 6 2 2 3 3 2" xfId="3300"/>
    <cellStyle name="Normal 3 6 2 2 3 3 2" xfId="3301"/>
    <cellStyle name="Normal 4 5 2 2 3 3 2" xfId="3302"/>
    <cellStyle name="Normal 5 5 2 2 3 3 2" xfId="3303"/>
    <cellStyle name="Normal 7 5 2 2 3 3 2" xfId="3304"/>
    <cellStyle name="Normal 2 3 3 2 2 3 3 2" xfId="3305"/>
    <cellStyle name="Normal 3 3 3 2 2 3 3 2" xfId="3306"/>
    <cellStyle name="Normal 4 2 3 2 2 3 3 2" xfId="3307"/>
    <cellStyle name="Normal 5 2 3 2 2 3 3 2" xfId="3308"/>
    <cellStyle name="Normal 7 2 3 2 2 3 3 2" xfId="3309"/>
    <cellStyle name="Normal 2 4 3 2 2 3 3 2" xfId="3310"/>
    <cellStyle name="Normal 3 4 3 2 2 3 3 2" xfId="3311"/>
    <cellStyle name="Normal 4 3 3 2 2 3 3 2" xfId="3312"/>
    <cellStyle name="Normal 5 3 3 2 2 3 3 2" xfId="3313"/>
    <cellStyle name="Normal 7 3 3 2 2 3 3 2" xfId="3314"/>
    <cellStyle name="Normal 2 14" xfId="3315"/>
    <cellStyle name="Normal 3 14" xfId="3316"/>
    <cellStyle name="Normal 4 13" xfId="3317"/>
    <cellStyle name="Normal 5 13" xfId="3318"/>
    <cellStyle name="Normal 7 13" xfId="3319"/>
    <cellStyle name="Normal 2 3 11" xfId="3320"/>
    <cellStyle name="Normal 3 3 11" xfId="3321"/>
    <cellStyle name="Normal 4 2 11" xfId="3322"/>
    <cellStyle name="Normal 5 2 11" xfId="3323"/>
    <cellStyle name="Normal 7 2 11" xfId="3324"/>
    <cellStyle name="Normal 2 4 11" xfId="3325"/>
    <cellStyle name="Normal 3 4 11" xfId="3326"/>
    <cellStyle name="Normal 4 3 11" xfId="3327"/>
    <cellStyle name="Normal 5 3 11" xfId="3328"/>
    <cellStyle name="Normal 7 3 11" xfId="3329"/>
    <cellStyle name="Normal 2 5 9" xfId="3330"/>
    <cellStyle name="Normal 3 5 9" xfId="3331"/>
    <cellStyle name="Normal 4 4 9" xfId="3332"/>
    <cellStyle name="Normal 5 4 9" xfId="3333"/>
    <cellStyle name="Normal 7 4 9" xfId="3334"/>
    <cellStyle name="Normal 2 3 2 9" xfId="3335"/>
    <cellStyle name="Normal 3 3 2 9" xfId="3336"/>
    <cellStyle name="Normal 4 2 2 9" xfId="3337"/>
    <cellStyle name="Normal 5 2 2 9" xfId="3338"/>
    <cellStyle name="Normal 7 2 2 9" xfId="3339"/>
    <cellStyle name="Normal 2 4 2 9" xfId="3340"/>
    <cellStyle name="Normal 3 4 2 9" xfId="3341"/>
    <cellStyle name="Normal 4 3 2 9" xfId="3342"/>
    <cellStyle name="Normal 5 3 2 9" xfId="3343"/>
    <cellStyle name="Normal 7 3 2 9" xfId="3344"/>
    <cellStyle name="Normal 2 6 9" xfId="3345"/>
    <cellStyle name="Normal 3 6 9" xfId="3346"/>
    <cellStyle name="Normal 4 5 9" xfId="3347"/>
    <cellStyle name="Normal 5 5 9" xfId="3348"/>
    <cellStyle name="Normal 7 5 9" xfId="3349"/>
    <cellStyle name="Normal 2 3 3 9" xfId="3350"/>
    <cellStyle name="Normal 3 3 3 9" xfId="3351"/>
    <cellStyle name="Normal 4 2 3 9" xfId="3352"/>
    <cellStyle name="Normal 5 2 3 9" xfId="3353"/>
    <cellStyle name="Normal 7 2 3 9" xfId="3354"/>
    <cellStyle name="Normal 2 4 3 9" xfId="3355"/>
    <cellStyle name="Normal 3 4 3 9" xfId="3356"/>
    <cellStyle name="Normal 4 3 3 9" xfId="3357"/>
    <cellStyle name="Normal 5 3 3 9" xfId="3358"/>
    <cellStyle name="Normal 7 3 3 9" xfId="3359"/>
    <cellStyle name="Normal 2 7 8" xfId="3360"/>
    <cellStyle name="Normal 3 7 8" xfId="3361"/>
    <cellStyle name="Normal 4 6 8" xfId="3362"/>
    <cellStyle name="Normal 5 6 8" xfId="3363"/>
    <cellStyle name="Normal 7 6 8" xfId="3364"/>
    <cellStyle name="Normal 2 3 4 8" xfId="3365"/>
    <cellStyle name="Normal 3 3 4 8" xfId="3366"/>
    <cellStyle name="Normal 4 2 4 8" xfId="3367"/>
    <cellStyle name="Normal 5 2 4 8" xfId="3368"/>
    <cellStyle name="Normal 7 2 4 8" xfId="3369"/>
    <cellStyle name="Normal 2 4 4 8" xfId="3370"/>
    <cellStyle name="Normal 3 4 4 8" xfId="3371"/>
    <cellStyle name="Normal 4 3 4 8" xfId="3372"/>
    <cellStyle name="Normal 5 3 4 8" xfId="3373"/>
    <cellStyle name="Normal 7 3 4 8" xfId="3374"/>
    <cellStyle name="Normal 2 5 2 8" xfId="3375"/>
    <cellStyle name="Normal 3 5 2 8" xfId="3376"/>
    <cellStyle name="Normal 4 4 2 8" xfId="3377"/>
    <cellStyle name="Normal 5 4 2 8" xfId="3378"/>
    <cellStyle name="Normal 7 4 2 8" xfId="3379"/>
    <cellStyle name="Normal 2 3 2 2 8" xfId="3380"/>
    <cellStyle name="Normal 3 3 2 2 8" xfId="3381"/>
    <cellStyle name="Normal 4 2 2 2 8" xfId="3382"/>
    <cellStyle name="Normal 5 2 2 2 8" xfId="3383"/>
    <cellStyle name="Normal 7 2 2 2 8" xfId="3384"/>
    <cellStyle name="Normal 2 4 2 2 8" xfId="3385"/>
    <cellStyle name="Normal 3 4 2 2 8" xfId="3386"/>
    <cellStyle name="Normal 4 3 2 2 8" xfId="3387"/>
    <cellStyle name="Normal 5 3 2 2 8" xfId="3388"/>
    <cellStyle name="Normal 7 3 2 2 8" xfId="3389"/>
    <cellStyle name="Normal 2 6 2 8" xfId="3390"/>
    <cellStyle name="Normal 3 6 2 8" xfId="3391"/>
    <cellStyle name="Normal 4 5 2 8" xfId="3392"/>
    <cellStyle name="Normal 5 5 2 8" xfId="3393"/>
    <cellStyle name="Normal 7 5 2 8" xfId="3394"/>
    <cellStyle name="Normal 2 3 3 2 8" xfId="3395"/>
    <cellStyle name="Normal 3 3 3 2 8" xfId="3396"/>
    <cellStyle name="Normal 4 2 3 2 8" xfId="3397"/>
    <cellStyle name="Normal 5 2 3 2 8" xfId="3398"/>
    <cellStyle name="Normal 7 2 3 2 8" xfId="3399"/>
    <cellStyle name="Normal 2 4 3 2 8" xfId="3400"/>
    <cellStyle name="Normal 3 4 3 2 8" xfId="3401"/>
    <cellStyle name="Normal 4 3 3 2 8" xfId="3402"/>
    <cellStyle name="Normal 5 3 3 2 8" xfId="3403"/>
    <cellStyle name="Normal 7 3 3 2 8" xfId="3404"/>
    <cellStyle name="Normal 2 8 7" xfId="3405"/>
    <cellStyle name="Normal 3 8 7" xfId="3406"/>
    <cellStyle name="Normal 4 7 7" xfId="3407"/>
    <cellStyle name="Normal 5 7 7" xfId="3408"/>
    <cellStyle name="Normal 7 7 7" xfId="3409"/>
    <cellStyle name="Normal 2 3 5 7" xfId="3410"/>
    <cellStyle name="Normal 3 3 5 7" xfId="3411"/>
    <cellStyle name="Normal 4 2 5 7" xfId="3412"/>
    <cellStyle name="Normal 5 2 5 7" xfId="3413"/>
    <cellStyle name="Normal 7 2 5 7" xfId="3414"/>
    <cellStyle name="Normal 2 4 5 7" xfId="3415"/>
    <cellStyle name="Normal 3 4 5 7" xfId="3416"/>
    <cellStyle name="Normal 4 3 5 7" xfId="3417"/>
    <cellStyle name="Normal 5 3 5 7" xfId="3418"/>
    <cellStyle name="Normal 7 3 5 7" xfId="3419"/>
    <cellStyle name="Normal 2 5 3 7" xfId="3420"/>
    <cellStyle name="Normal 3 5 3 7" xfId="3421"/>
    <cellStyle name="Normal 4 4 3 7" xfId="3422"/>
    <cellStyle name="Normal 5 4 3 7" xfId="3423"/>
    <cellStyle name="Normal 7 4 3 7" xfId="3424"/>
    <cellStyle name="Normal 2 3 2 3 7" xfId="3425"/>
    <cellStyle name="Normal 3 3 2 3 7" xfId="3426"/>
    <cellStyle name="Normal 4 2 2 3 7" xfId="3427"/>
    <cellStyle name="Normal 5 2 2 3 7" xfId="3428"/>
    <cellStyle name="Normal 7 2 2 3 7" xfId="3429"/>
    <cellStyle name="Normal 2 4 2 3 7" xfId="3430"/>
    <cellStyle name="Normal 3 4 2 3 7" xfId="3431"/>
    <cellStyle name="Normal 4 3 2 3 7" xfId="3432"/>
    <cellStyle name="Normal 5 3 2 3 7" xfId="3433"/>
    <cellStyle name="Normal 7 3 2 3 7" xfId="3434"/>
    <cellStyle name="Normal 2 6 3 7" xfId="3435"/>
    <cellStyle name="Normal 3 6 3 7" xfId="3436"/>
    <cellStyle name="Normal 4 5 3 7" xfId="3437"/>
    <cellStyle name="Normal 5 5 3 7" xfId="3438"/>
    <cellStyle name="Normal 7 5 3 7" xfId="3439"/>
    <cellStyle name="Normal 2 3 3 3 7" xfId="3440"/>
    <cellStyle name="Normal 3 3 3 3 7" xfId="3441"/>
    <cellStyle name="Normal 4 2 3 3 7" xfId="3442"/>
    <cellStyle name="Normal 5 2 3 3 7" xfId="3443"/>
    <cellStyle name="Normal 7 2 3 3 7" xfId="3444"/>
    <cellStyle name="Normal 2 4 3 3 7" xfId="3445"/>
    <cellStyle name="Normal 3 4 3 3 7" xfId="3446"/>
    <cellStyle name="Normal 4 3 3 3 7" xfId="3447"/>
    <cellStyle name="Normal 5 3 3 3 7" xfId="3448"/>
    <cellStyle name="Normal 7 3 3 3 7" xfId="3449"/>
    <cellStyle name="Normal 2 7 2 7" xfId="3450"/>
    <cellStyle name="Normal 3 7 2 7" xfId="3451"/>
    <cellStyle name="Normal 4 6 2 7" xfId="3452"/>
    <cellStyle name="Normal 5 6 2 7" xfId="3453"/>
    <cellStyle name="Normal 7 6 2 7" xfId="3454"/>
    <cellStyle name="Normal 2 3 4 2 7" xfId="3455"/>
    <cellStyle name="Normal 3 3 4 2 7" xfId="3456"/>
    <cellStyle name="Normal 4 2 4 2 7" xfId="3457"/>
    <cellStyle name="Normal 5 2 4 2 7" xfId="3458"/>
    <cellStyle name="Normal 7 2 4 2 7" xfId="3459"/>
    <cellStyle name="Normal 2 4 4 2 7" xfId="3460"/>
    <cellStyle name="Normal 3 4 4 2 7" xfId="3461"/>
    <cellStyle name="Normal 4 3 4 2 7" xfId="3462"/>
    <cellStyle name="Normal 5 3 4 2 7" xfId="3463"/>
    <cellStyle name="Normal 7 3 4 2 7" xfId="3464"/>
    <cellStyle name="Normal 2 5 2 2 7" xfId="3465"/>
    <cellStyle name="Normal 3 5 2 2 7" xfId="3466"/>
    <cellStyle name="Normal 4 4 2 2 7" xfId="3467"/>
    <cellStyle name="Normal 5 4 2 2 7" xfId="3468"/>
    <cellStyle name="Normal 7 4 2 2 7" xfId="3469"/>
    <cellStyle name="Normal 2 3 2 2 2 7" xfId="3470"/>
    <cellStyle name="Normal 3 3 2 2 2 7" xfId="3471"/>
    <cellStyle name="Normal 4 2 2 2 2 7" xfId="3472"/>
    <cellStyle name="Normal 5 2 2 2 2 7" xfId="3473"/>
    <cellStyle name="Normal 7 2 2 2 2 7" xfId="3474"/>
    <cellStyle name="Normal 2 4 2 2 2 7" xfId="3475"/>
    <cellStyle name="Normal 3 4 2 2 2 7" xfId="3476"/>
    <cellStyle name="Normal 4 3 2 2 2 7" xfId="3477"/>
    <cellStyle name="Normal 5 3 2 2 2 7" xfId="3478"/>
    <cellStyle name="Normal 7 3 2 2 2 7" xfId="3479"/>
    <cellStyle name="Normal 2 6 2 2 7" xfId="3480"/>
    <cellStyle name="Normal 3 6 2 2 7" xfId="3481"/>
    <cellStyle name="Normal 4 5 2 2 7" xfId="3482"/>
    <cellStyle name="Normal 5 5 2 2 7" xfId="3483"/>
    <cellStyle name="Normal 7 5 2 2 7" xfId="3484"/>
    <cellStyle name="Normal 2 3 3 2 2 7" xfId="3485"/>
    <cellStyle name="Normal 3 3 3 2 2 7" xfId="3486"/>
    <cellStyle name="Normal 4 2 3 2 2 7" xfId="3487"/>
    <cellStyle name="Normal 5 2 3 2 2 7" xfId="3488"/>
    <cellStyle name="Normal 7 2 3 2 2 7" xfId="3489"/>
    <cellStyle name="Normal 2 4 3 2 2 7" xfId="3490"/>
    <cellStyle name="Normal 3 4 3 2 2 7" xfId="3491"/>
    <cellStyle name="Normal 4 3 3 2 2 7" xfId="3492"/>
    <cellStyle name="Normal 5 3 3 2 2 7" xfId="3493"/>
    <cellStyle name="Normal 7 3 3 2 2 7" xfId="3494"/>
    <cellStyle name="Normal 2 9 5" xfId="3495"/>
    <cellStyle name="Normal 3 9 5" xfId="3496"/>
    <cellStyle name="Normal 4 8 5" xfId="3497"/>
    <cellStyle name="Normal 5 8 5" xfId="3498"/>
    <cellStyle name="Normal 7 8 5" xfId="3499"/>
    <cellStyle name="Normal 2 3 6 5" xfId="3500"/>
    <cellStyle name="Normal 3 3 6 5" xfId="3501"/>
    <cellStyle name="Normal 4 2 6 5" xfId="3502"/>
    <cellStyle name="Normal 5 2 6 5" xfId="3503"/>
    <cellStyle name="Normal 7 2 6 5" xfId="3504"/>
    <cellStyle name="Normal 2 4 6 5" xfId="3505"/>
    <cellStyle name="Normal 3 4 6 5" xfId="3506"/>
    <cellStyle name="Normal 4 3 6 5" xfId="3507"/>
    <cellStyle name="Normal 5 3 6 5" xfId="3508"/>
    <cellStyle name="Normal 7 3 6 5" xfId="3509"/>
    <cellStyle name="Normal 2 5 4 5" xfId="3510"/>
    <cellStyle name="Normal 3 5 4 5" xfId="3511"/>
    <cellStyle name="Normal 4 4 4 5" xfId="3512"/>
    <cellStyle name="Normal 5 4 4 5" xfId="3513"/>
    <cellStyle name="Normal 7 4 4 5" xfId="3514"/>
    <cellStyle name="Normal 2 3 2 4 5" xfId="3515"/>
    <cellStyle name="Normal 3 3 2 4 5" xfId="3516"/>
    <cellStyle name="Normal 4 2 2 4 5" xfId="3517"/>
    <cellStyle name="Normal 5 2 2 4 5" xfId="3518"/>
    <cellStyle name="Normal 7 2 2 4 5" xfId="3519"/>
    <cellStyle name="Normal 2 4 2 4 5" xfId="3520"/>
    <cellStyle name="Normal 3 4 2 4 5" xfId="3521"/>
    <cellStyle name="Normal 4 3 2 4 5" xfId="3522"/>
    <cellStyle name="Normal 5 3 2 4 5" xfId="3523"/>
    <cellStyle name="Normal 7 3 2 4 5" xfId="3524"/>
    <cellStyle name="Normal 2 6 4 5" xfId="3525"/>
    <cellStyle name="Normal 3 6 4 5" xfId="3526"/>
    <cellStyle name="Normal 4 5 4 5" xfId="3527"/>
    <cellStyle name="Normal 5 5 4 5" xfId="3528"/>
    <cellStyle name="Normal 7 5 4 5" xfId="3529"/>
    <cellStyle name="Normal 2 3 3 4 5" xfId="3530"/>
    <cellStyle name="Normal 3 3 3 4 5" xfId="3531"/>
    <cellStyle name="Normal 4 2 3 4 5" xfId="3532"/>
    <cellStyle name="Normal 5 2 3 4 5" xfId="3533"/>
    <cellStyle name="Normal 7 2 3 4 5" xfId="3534"/>
    <cellStyle name="Normal 2 4 3 4 5" xfId="3535"/>
    <cellStyle name="Normal 3 4 3 4 5" xfId="3536"/>
    <cellStyle name="Normal 4 3 3 4 5" xfId="3537"/>
    <cellStyle name="Normal 5 3 3 4 5" xfId="3538"/>
    <cellStyle name="Normal 7 3 3 4 5" xfId="3539"/>
    <cellStyle name="Normal 2 7 3 5" xfId="3540"/>
    <cellStyle name="Normal 3 7 3 5" xfId="3541"/>
    <cellStyle name="Normal 4 6 3 5" xfId="3542"/>
    <cellStyle name="Normal 5 6 3 5" xfId="3543"/>
    <cellStyle name="Normal 7 6 3 5" xfId="3544"/>
    <cellStyle name="Normal 2 3 4 3 5" xfId="3545"/>
    <cellStyle name="Normal 3 3 4 3 5" xfId="3546"/>
    <cellStyle name="Normal 4 2 4 3 5" xfId="3547"/>
    <cellStyle name="Normal 5 2 4 3 5" xfId="3548"/>
    <cellStyle name="Normal 7 2 4 3 5" xfId="3549"/>
    <cellStyle name="Normal 2 4 4 3 5" xfId="3550"/>
    <cellStyle name="Normal 3 4 4 3 5" xfId="3551"/>
    <cellStyle name="Normal 4 3 4 3 5" xfId="3552"/>
    <cellStyle name="Normal 5 3 4 3 5" xfId="3553"/>
    <cellStyle name="Normal 7 3 4 3 5" xfId="3554"/>
    <cellStyle name="Normal 2 5 2 3 5" xfId="3555"/>
    <cellStyle name="Normal 3 5 2 3 5" xfId="3556"/>
    <cellStyle name="Normal 4 4 2 3 5" xfId="3557"/>
    <cellStyle name="Normal 5 4 2 3 5" xfId="3558"/>
    <cellStyle name="Normal 7 4 2 3 5" xfId="3559"/>
    <cellStyle name="Normal 2 3 2 2 3 5" xfId="3560"/>
    <cellStyle name="Normal 3 3 2 2 3 5" xfId="3561"/>
    <cellStyle name="Normal 4 2 2 2 3 5" xfId="3562"/>
    <cellStyle name="Normal 5 2 2 2 3 5" xfId="3563"/>
    <cellStyle name="Normal 7 2 2 2 3 5" xfId="3564"/>
    <cellStyle name="Normal 2 4 2 2 3 5" xfId="3565"/>
    <cellStyle name="Normal 3 4 2 2 3 5" xfId="3566"/>
    <cellStyle name="Normal 4 3 2 2 3 5" xfId="3567"/>
    <cellStyle name="Normal 5 3 2 2 3 5" xfId="3568"/>
    <cellStyle name="Normal 7 3 2 2 3 5" xfId="3569"/>
    <cellStyle name="Normal 2 6 2 3 5" xfId="3570"/>
    <cellStyle name="Normal 3 6 2 3 5" xfId="3571"/>
    <cellStyle name="Normal 4 5 2 3 5" xfId="3572"/>
    <cellStyle name="Normal 5 5 2 3 5" xfId="3573"/>
    <cellStyle name="Normal 7 5 2 3 5" xfId="3574"/>
    <cellStyle name="Normal 2 3 3 2 3 5" xfId="3575"/>
    <cellStyle name="Normal 3 3 3 2 3 5" xfId="3576"/>
    <cellStyle name="Normal 4 2 3 2 3 5" xfId="3577"/>
    <cellStyle name="Normal 5 2 3 2 3 5" xfId="3578"/>
    <cellStyle name="Normal 7 2 3 2 3 5" xfId="3579"/>
    <cellStyle name="Normal 2 4 3 2 3 5" xfId="3580"/>
    <cellStyle name="Normal 3 4 3 2 3 5" xfId="3581"/>
    <cellStyle name="Normal 4 3 3 2 3 5" xfId="3582"/>
    <cellStyle name="Normal 5 3 3 2 3 5" xfId="3583"/>
    <cellStyle name="Normal 7 3 3 2 3 5" xfId="3584"/>
    <cellStyle name="Normal 2 8 2 5" xfId="3585"/>
    <cellStyle name="Normal 3 8 2 5" xfId="3586"/>
    <cellStyle name="Normal 4 7 2 5" xfId="3587"/>
    <cellStyle name="Normal 5 7 2 5" xfId="3588"/>
    <cellStyle name="Normal 7 7 2 5" xfId="3589"/>
    <cellStyle name="Normal 2 3 5 2 5" xfId="3590"/>
    <cellStyle name="Normal 3 3 5 2 5" xfId="3591"/>
    <cellStyle name="Normal 4 2 5 2 5" xfId="3592"/>
    <cellStyle name="Normal 5 2 5 2 5" xfId="3593"/>
    <cellStyle name="Normal 7 2 5 2 5" xfId="3594"/>
    <cellStyle name="Normal 2 4 5 2 5" xfId="3595"/>
    <cellStyle name="Normal 3 4 5 2 5" xfId="3596"/>
    <cellStyle name="Normal 4 3 5 2 5" xfId="3597"/>
    <cellStyle name="Normal 5 3 5 2 5" xfId="3598"/>
    <cellStyle name="Normal 7 3 5 2 5" xfId="3599"/>
    <cellStyle name="Normal 2 5 3 2 5" xfId="3600"/>
    <cellStyle name="Normal 3 5 3 2 5" xfId="3601"/>
    <cellStyle name="Normal 4 4 3 2 5" xfId="3602"/>
    <cellStyle name="Normal 5 4 3 2 5" xfId="3603"/>
    <cellStyle name="Normal 7 4 3 2 5" xfId="3604"/>
    <cellStyle name="Normal 2 3 2 3 2 5" xfId="3605"/>
    <cellStyle name="Normal 3 3 2 3 2 5" xfId="3606"/>
    <cellStyle name="Normal 4 2 2 3 2 5" xfId="3607"/>
    <cellStyle name="Normal 5 2 2 3 2 5" xfId="3608"/>
    <cellStyle name="Normal 7 2 2 3 2 5" xfId="3609"/>
    <cellStyle name="Normal 2 4 2 3 2 5" xfId="3610"/>
    <cellStyle name="Normal 3 4 2 3 2 5" xfId="3611"/>
    <cellStyle name="Normal 4 3 2 3 2 5" xfId="3612"/>
    <cellStyle name="Normal 5 3 2 3 2 5" xfId="3613"/>
    <cellStyle name="Normal 7 3 2 3 2 5" xfId="3614"/>
    <cellStyle name="Normal 2 6 3 2 5" xfId="3615"/>
    <cellStyle name="Normal 3 6 3 2 5" xfId="3616"/>
    <cellStyle name="Normal 4 5 3 2 5" xfId="3617"/>
    <cellStyle name="Normal 5 5 3 2 5" xfId="3618"/>
    <cellStyle name="Normal 7 5 3 2 5" xfId="3619"/>
    <cellStyle name="Normal 2 3 3 3 2 5" xfId="3620"/>
    <cellStyle name="Normal 3 3 3 3 2 5" xfId="3621"/>
    <cellStyle name="Normal 4 2 3 3 2 5" xfId="3622"/>
    <cellStyle name="Normal 5 2 3 3 2 5" xfId="3623"/>
    <cellStyle name="Normal 7 2 3 3 2 5" xfId="3624"/>
    <cellStyle name="Normal 2 4 3 3 2 5" xfId="3625"/>
    <cellStyle name="Normal 3 4 3 3 2 5" xfId="3626"/>
    <cellStyle name="Normal 4 3 3 3 2 5" xfId="3627"/>
    <cellStyle name="Normal 5 3 3 3 2 5" xfId="3628"/>
    <cellStyle name="Normal 7 3 3 3 2 5" xfId="3629"/>
    <cellStyle name="Normal 2 7 2 2 5" xfId="3630"/>
    <cellStyle name="Normal 3 7 2 2 5" xfId="3631"/>
    <cellStyle name="Normal 4 6 2 2 5" xfId="3632"/>
    <cellStyle name="Normal 5 6 2 2 5" xfId="3633"/>
    <cellStyle name="Normal 7 6 2 2 5" xfId="3634"/>
    <cellStyle name="Normal 2 3 4 2 2 5" xfId="3635"/>
    <cellStyle name="Normal 3 3 4 2 2 5" xfId="3636"/>
    <cellStyle name="Normal 4 2 4 2 2 5" xfId="3637"/>
    <cellStyle name="Normal 5 2 4 2 2 5" xfId="3638"/>
    <cellStyle name="Normal 7 2 4 2 2 5" xfId="3639"/>
    <cellStyle name="Normal 2 4 4 2 2 5" xfId="3640"/>
    <cellStyle name="Normal 3 4 4 2 2 5" xfId="3641"/>
    <cellStyle name="Normal 4 3 4 2 2 5" xfId="3642"/>
    <cellStyle name="Normal 5 3 4 2 2 5" xfId="3643"/>
    <cellStyle name="Normal 7 3 4 2 2 5" xfId="3644"/>
    <cellStyle name="Normal 2 5 2 2 2 5" xfId="3645"/>
    <cellStyle name="Normal 3 5 2 2 2 5" xfId="3646"/>
    <cellStyle name="Normal 4 4 2 2 2 5" xfId="3647"/>
    <cellStyle name="Normal 5 4 2 2 2 5" xfId="3648"/>
    <cellStyle name="Normal 7 4 2 2 2 5" xfId="3649"/>
    <cellStyle name="Normal 2 3 2 2 2 2 5" xfId="3650"/>
    <cellStyle name="Normal 3 3 2 2 2 2 5" xfId="3651"/>
    <cellStyle name="Normal 4 2 2 2 2 2 5" xfId="3652"/>
    <cellStyle name="Normal 5 2 2 2 2 2 5" xfId="3653"/>
    <cellStyle name="Normal 7 2 2 2 2 2 5" xfId="3654"/>
    <cellStyle name="Normal 2 4 2 2 2 2 5" xfId="3655"/>
    <cellStyle name="Normal 3 4 2 2 2 2 5" xfId="3656"/>
    <cellStyle name="Normal 4 3 2 2 2 2 5" xfId="3657"/>
    <cellStyle name="Normal 5 3 2 2 2 2 5" xfId="3658"/>
    <cellStyle name="Normal 7 3 2 2 2 2 5" xfId="3659"/>
    <cellStyle name="Normal 2 6 2 2 2 5" xfId="3660"/>
    <cellStyle name="Normal 3 6 2 2 2 5" xfId="3661"/>
    <cellStyle name="Normal 4 5 2 2 2 5" xfId="3662"/>
    <cellStyle name="Normal 5 5 2 2 2 5" xfId="3663"/>
    <cellStyle name="Normal 7 5 2 2 2 5" xfId="3664"/>
    <cellStyle name="Normal 2 3 3 2 2 2 5" xfId="3665"/>
    <cellStyle name="Normal 3 3 3 2 2 2 5" xfId="3666"/>
    <cellStyle name="Normal 4 2 3 2 2 2 5" xfId="3667"/>
    <cellStyle name="Normal 5 2 3 2 2 2 5" xfId="3668"/>
    <cellStyle name="Normal 7 2 3 2 2 2 5" xfId="3669"/>
    <cellStyle name="Normal 2 4 3 2 2 2 5" xfId="3670"/>
    <cellStyle name="Normal 3 4 3 2 2 2 5" xfId="3671"/>
    <cellStyle name="Normal 4 3 3 2 2 2 5" xfId="3672"/>
    <cellStyle name="Normal 5 3 3 2 2 2 5" xfId="3673"/>
    <cellStyle name="Normal 7 3 3 2 2 2 5" xfId="3674"/>
    <cellStyle name="Normal 28 5" xfId="3675"/>
    <cellStyle name="Normal 2 3 7 5" xfId="3676"/>
    <cellStyle name="Normal 3 10 5" xfId="3677"/>
    <cellStyle name="Normal 4 9 5" xfId="3678"/>
    <cellStyle name="Normal 5 9 5" xfId="3679"/>
    <cellStyle name="Millares 4 5" xfId="3680"/>
    <cellStyle name="Normal 7 2 7 5" xfId="3681"/>
    <cellStyle name="Normal 3 3 7 5" xfId="3682"/>
    <cellStyle name="Normal 4 2 7 5" xfId="3683"/>
    <cellStyle name="Normal 5 2 7 5" xfId="3684"/>
    <cellStyle name="Normal 2 4 5 3 5" xfId="3685"/>
    <cellStyle name="Normal 3 4 7 5" xfId="3686"/>
    <cellStyle name="Normal 4 3 7 5" xfId="3687"/>
    <cellStyle name="Normal 5 3 7 5" xfId="3688"/>
    <cellStyle name="Normal 7 3 7 5" xfId="3689"/>
    <cellStyle name="Normal 2 5 5 5" xfId="3690"/>
    <cellStyle name="Normal 3 5 5 5" xfId="3691"/>
    <cellStyle name="Normal 4 4 5 5" xfId="3692"/>
    <cellStyle name="Normal 5 4 5 5" xfId="3693"/>
    <cellStyle name="Normal 7 4 5 5" xfId="3694"/>
    <cellStyle name="Normal 2 3 2 5 5" xfId="3695"/>
    <cellStyle name="Normal 3 3 2 5 5" xfId="3696"/>
    <cellStyle name="Normal 4 2 2 5 5" xfId="3697"/>
    <cellStyle name="Normal 5 2 2 5 5" xfId="3698"/>
    <cellStyle name="Normal 7 2 2 5 5" xfId="3699"/>
    <cellStyle name="Normal 2 4 2 5 5" xfId="3700"/>
    <cellStyle name="Normal 3 4 2 5 5" xfId="3701"/>
    <cellStyle name="Normal 4 3 2 5 5" xfId="3702"/>
    <cellStyle name="Normal 5 3 2 5 5" xfId="3703"/>
    <cellStyle name="Normal 7 3 2 5 5" xfId="3704"/>
    <cellStyle name="Normal 2 6 5 5" xfId="3705"/>
    <cellStyle name="Normal 3 6 5 5" xfId="3706"/>
    <cellStyle name="Normal 4 5 5 5" xfId="3707"/>
    <cellStyle name="Normal 5 5 5 5" xfId="3708"/>
    <cellStyle name="Normal 7 5 5 5" xfId="3709"/>
    <cellStyle name="Normal 2 3 3 5 5" xfId="3710"/>
    <cellStyle name="Normal 3 3 3 5 5" xfId="3711"/>
    <cellStyle name="Normal 4 2 3 5 5" xfId="3712"/>
    <cellStyle name="Normal 5 2 3 5 5" xfId="3713"/>
    <cellStyle name="Normal 7 2 3 5 5" xfId="3714"/>
    <cellStyle name="Normal 2 4 3 5 5" xfId="3715"/>
    <cellStyle name="Normal 3 4 3 5 5" xfId="3716"/>
    <cellStyle name="Normal 4 3 3 5 5" xfId="3717"/>
    <cellStyle name="Normal 5 3 3 5 5" xfId="3718"/>
    <cellStyle name="Normal 7 3 3 5 5" xfId="3719"/>
    <cellStyle name="Normal 2 7 4 5" xfId="3720"/>
    <cellStyle name="Normal 3 7 4 5" xfId="3721"/>
    <cellStyle name="Normal 4 6 4 5" xfId="3722"/>
    <cellStyle name="Normal 5 6 4 5" xfId="3723"/>
    <cellStyle name="Normal 7 6 4 5" xfId="3724"/>
    <cellStyle name="Normal 2 3 4 4 5" xfId="3725"/>
    <cellStyle name="Normal 3 3 4 4 5" xfId="3726"/>
    <cellStyle name="Normal 4 2 4 4 5" xfId="3727"/>
    <cellStyle name="Normal 5 2 4 4 5" xfId="3728"/>
    <cellStyle name="Normal 7 2 4 4 5" xfId="3729"/>
    <cellStyle name="Normal 2 4 4 4 5" xfId="3730"/>
    <cellStyle name="Normal 3 4 4 4 5" xfId="3731"/>
    <cellStyle name="Normal 4 3 4 4 5" xfId="3732"/>
    <cellStyle name="Normal 5 3 4 4 5" xfId="3733"/>
    <cellStyle name="Normal 7 3 4 4 5" xfId="3734"/>
    <cellStyle name="Normal 2 5 2 4 5" xfId="3735"/>
    <cellStyle name="Normal 3 5 2 4 5" xfId="3736"/>
    <cellStyle name="Normal 4 4 2 4 5" xfId="3737"/>
    <cellStyle name="Normal 5 4 2 4 5" xfId="3738"/>
    <cellStyle name="Normal 7 4 2 4 5" xfId="3739"/>
    <cellStyle name="Normal 2 3 2 2 4 5" xfId="3740"/>
    <cellStyle name="Normal 3 3 2 2 4 5" xfId="3741"/>
    <cellStyle name="Normal 4 2 2 2 4 5" xfId="3742"/>
    <cellStyle name="Normal 5 2 2 2 4 5" xfId="3743"/>
    <cellStyle name="Normal 7 2 2 2 4 5" xfId="3744"/>
    <cellStyle name="Normal 2 4 2 2 4 5" xfId="3745"/>
    <cellStyle name="Normal 3 4 2 2 4 5" xfId="3746"/>
    <cellStyle name="Normal 4 3 2 2 4 5" xfId="3747"/>
    <cellStyle name="Normal 5 3 2 2 4 5" xfId="3748"/>
    <cellStyle name="Normal 7 3 2 2 4 5" xfId="3749"/>
    <cellStyle name="Normal 2 6 2 4 5" xfId="3750"/>
    <cellStyle name="Normal 3 6 2 4 5" xfId="3751"/>
    <cellStyle name="Normal 4 5 2 4 5" xfId="3752"/>
    <cellStyle name="Normal 5 5 2 4 5" xfId="3753"/>
    <cellStyle name="Normal 7 5 2 4 5" xfId="3754"/>
    <cellStyle name="Normal 2 3 3 2 4 5" xfId="3755"/>
    <cellStyle name="Normal 3 3 3 2 4 5" xfId="3756"/>
    <cellStyle name="Normal 4 2 3 2 4 5" xfId="3757"/>
    <cellStyle name="Normal 5 2 3 2 4 5" xfId="3758"/>
    <cellStyle name="Normal 7 2 3 2 4 5" xfId="3759"/>
    <cellStyle name="Normal 2 4 3 2 4 5" xfId="3760"/>
    <cellStyle name="Normal 3 4 3 2 4 5" xfId="3761"/>
    <cellStyle name="Normal 4 3 3 2 4 5" xfId="3762"/>
    <cellStyle name="Normal 5 3 3 2 4 5" xfId="3763"/>
    <cellStyle name="Normal 7 3 3 2 4 5" xfId="3764"/>
    <cellStyle name="Normal 2 8 3 5" xfId="3765"/>
    <cellStyle name="Normal 3 8 3 5" xfId="3766"/>
    <cellStyle name="Normal 4 7 3 5" xfId="3767"/>
    <cellStyle name="Normal 5 7 3 5" xfId="3768"/>
    <cellStyle name="Normal 7 7 3 5" xfId="3769"/>
    <cellStyle name="Normal 2 3 5 3 5" xfId="3770"/>
    <cellStyle name="Normal 3 3 5 3 5" xfId="3771"/>
    <cellStyle name="Normal 4 2 5 3 5" xfId="3772"/>
    <cellStyle name="Normal 5 2 5 3 5" xfId="3773"/>
    <cellStyle name="Normal 7 2 5 3 5" xfId="3774"/>
    <cellStyle name="Normal 3 4 5 3 5" xfId="3775"/>
    <cellStyle name="Normal 4 3 5 3 5" xfId="3776"/>
    <cellStyle name="Normal 5 3 5 3 5" xfId="3777"/>
    <cellStyle name="Normal 7 3 5 3 5" xfId="3778"/>
    <cellStyle name="Normal 2 5 3 3 5" xfId="3779"/>
    <cellStyle name="Normal 3 5 3 3 5" xfId="3780"/>
    <cellStyle name="Normal 4 4 3 3 5" xfId="3781"/>
    <cellStyle name="Normal 5 4 3 3 5" xfId="3782"/>
    <cellStyle name="Normal 7 4 3 3 5" xfId="3783"/>
    <cellStyle name="Normal 2 3 2 3 3 5" xfId="3784"/>
    <cellStyle name="Normal 3 3 2 3 3 5" xfId="3785"/>
    <cellStyle name="Normal 4 2 2 3 3 5" xfId="3786"/>
    <cellStyle name="Normal 5 2 2 3 3 5" xfId="3787"/>
    <cellStyle name="Normal 7 2 2 3 3 5" xfId="3788"/>
    <cellStyle name="Normal 2 4 2 3 3 5" xfId="3789"/>
    <cellStyle name="Normal 3 4 2 3 3 5" xfId="3790"/>
    <cellStyle name="Normal 4 3 2 3 3 5" xfId="3791"/>
    <cellStyle name="Normal 5 3 2 3 3 5" xfId="3792"/>
    <cellStyle name="Normal 7 3 2 3 3 5" xfId="3793"/>
    <cellStyle name="Normal 2 6 3 3 5" xfId="3794"/>
    <cellStyle name="Normal 3 6 3 3 5" xfId="3795"/>
    <cellStyle name="Normal 4 5 3 3 5" xfId="3796"/>
    <cellStyle name="Normal 5 5 3 3 5" xfId="3797"/>
    <cellStyle name="Normal 7 5 3 3 5" xfId="3798"/>
    <cellStyle name="Normal 2 3 3 3 3 5" xfId="3799"/>
    <cellStyle name="Normal 3 3 3 3 3 5" xfId="3800"/>
    <cellStyle name="Normal 4 2 3 3 3 5" xfId="3801"/>
    <cellStyle name="Normal 5 2 3 3 3 5" xfId="3802"/>
    <cellStyle name="Normal 7 2 3 3 3 5" xfId="3803"/>
    <cellStyle name="Normal 2 4 3 3 3 5" xfId="3804"/>
    <cellStyle name="Normal 3 4 3 3 3 5" xfId="3805"/>
    <cellStyle name="Normal 4 3 3 3 3 5" xfId="3806"/>
    <cellStyle name="Normal 5 3 3 3 3 5" xfId="3807"/>
    <cellStyle name="Normal 7 3 3 3 3 5" xfId="3808"/>
    <cellStyle name="Normal 2 7 2 3 5" xfId="3809"/>
    <cellStyle name="Normal 3 7 2 3 5" xfId="3810"/>
    <cellStyle name="Normal 4 6 2 3 5" xfId="3811"/>
    <cellStyle name="Normal 5 6 2 3 5" xfId="3812"/>
    <cellStyle name="Normal 7 6 2 3 5" xfId="3813"/>
    <cellStyle name="Normal 2 3 4 2 3 5" xfId="3814"/>
    <cellStyle name="Normal 3 3 4 2 3 5" xfId="3815"/>
    <cellStyle name="Normal 4 2 4 2 3 5" xfId="3816"/>
    <cellStyle name="Normal 5 2 4 2 3 5" xfId="3817"/>
    <cellStyle name="Normal 7 2 4 2 3 5" xfId="3818"/>
    <cellStyle name="Normal 2 4 4 2 3 5" xfId="3819"/>
    <cellStyle name="Normal 3 4 4 2 3 5" xfId="3820"/>
    <cellStyle name="Normal 4 3 4 2 3 5" xfId="3821"/>
    <cellStyle name="Normal 5 3 4 2 3 5" xfId="3822"/>
    <cellStyle name="Normal 7 3 4 2 3 5" xfId="3823"/>
    <cellStyle name="Normal 2 5 2 2 3 5" xfId="3824"/>
    <cellStyle name="Normal 3 5 2 2 3 5" xfId="3825"/>
    <cellStyle name="Normal 4 4 2 2 3 5" xfId="3826"/>
    <cellStyle name="Normal 5 4 2 2 3 5" xfId="3827"/>
    <cellStyle name="Normal 7 4 2 2 3 5" xfId="3828"/>
    <cellStyle name="Normal 2 3 2 2 2 3 5" xfId="3829"/>
    <cellStyle name="Normal 3 3 2 2 2 3 5" xfId="3830"/>
    <cellStyle name="Normal 4 2 2 2 2 3 5" xfId="3831"/>
    <cellStyle name="Normal 5 2 2 2 2 3 5" xfId="3832"/>
    <cellStyle name="Normal 7 2 2 2 2 3 5" xfId="3833"/>
    <cellStyle name="Normal 2 4 2 2 2 3 5" xfId="3834"/>
    <cellStyle name="Normal 3 4 2 2 2 3 5" xfId="3835"/>
    <cellStyle name="Normal 4 3 2 2 2 3 5" xfId="3836"/>
    <cellStyle name="Normal 5 3 2 2 2 3 5" xfId="3837"/>
    <cellStyle name="Normal 7 3 2 2 2 3 5" xfId="3838"/>
    <cellStyle name="Normal 2 6 2 2 3 5" xfId="3839"/>
    <cellStyle name="Normal 3 6 2 2 3 5" xfId="3840"/>
    <cellStyle name="Normal 4 5 2 2 3 5" xfId="3841"/>
    <cellStyle name="Normal 5 5 2 2 3 5" xfId="3842"/>
    <cellStyle name="Normal 7 5 2 2 3 5" xfId="3843"/>
    <cellStyle name="Normal 2 3 3 2 2 3 5" xfId="3844"/>
    <cellStyle name="Normal 3 3 3 2 2 3 5" xfId="3845"/>
    <cellStyle name="Normal 4 2 3 2 2 3 5" xfId="3846"/>
    <cellStyle name="Normal 5 2 3 2 2 3 5" xfId="3847"/>
    <cellStyle name="Normal 7 2 3 2 2 3 5" xfId="3848"/>
    <cellStyle name="Normal 2 4 3 2 2 3 5" xfId="3849"/>
    <cellStyle name="Normal 3 4 3 2 2 3 5" xfId="3850"/>
    <cellStyle name="Normal 4 3 3 2 2 3 5" xfId="3851"/>
    <cellStyle name="Normal 5 3 3 2 2 3 5" xfId="3852"/>
    <cellStyle name="Normal 7 3 3 2 2 3 5" xfId="3853"/>
    <cellStyle name="Normal 2 11 3" xfId="3854"/>
    <cellStyle name="Normal 3 11 3" xfId="3855"/>
    <cellStyle name="Normal 4 10 3" xfId="3856"/>
    <cellStyle name="Normal 5 10 3" xfId="3857"/>
    <cellStyle name="Normal 7 10 3" xfId="3858"/>
    <cellStyle name="Normal 2 3 8 3" xfId="3859"/>
    <cellStyle name="Normal 3 3 8 3" xfId="3860"/>
    <cellStyle name="Normal 4 2 8 3" xfId="3861"/>
    <cellStyle name="Normal 5 2 8 3" xfId="3862"/>
    <cellStyle name="Normal 7 2 8 3" xfId="3863"/>
    <cellStyle name="Normal 2 4 8 3" xfId="3864"/>
    <cellStyle name="Normal 3 4 8 3" xfId="3865"/>
    <cellStyle name="Normal 4 3 8 3" xfId="3866"/>
    <cellStyle name="Normal 5 3 8 3" xfId="3867"/>
    <cellStyle name="Normal 7 3 8 3" xfId="3868"/>
    <cellStyle name="Normal 2 5 6 3" xfId="3869"/>
    <cellStyle name="Normal 3 5 6 3" xfId="3870"/>
    <cellStyle name="Normal 4 4 6 3" xfId="3871"/>
    <cellStyle name="Normal 5 4 6 3" xfId="3872"/>
    <cellStyle name="Normal 7 4 6 3" xfId="3873"/>
    <cellStyle name="Normal 2 3 2 6 3" xfId="3874"/>
    <cellStyle name="Normal 3 3 2 6 3" xfId="3875"/>
    <cellStyle name="Normal 4 2 2 6 3" xfId="3876"/>
    <cellStyle name="Normal 5 2 2 6 3" xfId="3877"/>
    <cellStyle name="Normal 7 2 2 6 3" xfId="3878"/>
    <cellStyle name="Normal 2 4 2 6 3" xfId="3879"/>
    <cellStyle name="Normal 3 4 2 6 3" xfId="3880"/>
    <cellStyle name="Normal 4 3 2 6 3" xfId="3881"/>
    <cellStyle name="Normal 5 3 2 6 3" xfId="3882"/>
    <cellStyle name="Normal 7 3 2 6 3" xfId="3883"/>
    <cellStyle name="Normal 2 6 6 3" xfId="3884"/>
    <cellStyle name="Normal 3 6 6 3" xfId="3885"/>
    <cellStyle name="Normal 4 5 6 3" xfId="3886"/>
    <cellStyle name="Normal 5 5 6 3" xfId="3887"/>
    <cellStyle name="Normal 7 5 6 3" xfId="3888"/>
    <cellStyle name="Normal 2 3 3 6 3" xfId="3889"/>
    <cellStyle name="Normal 3 3 3 6 3" xfId="3890"/>
    <cellStyle name="Normal 4 2 3 6 3" xfId="3891"/>
    <cellStyle name="Normal 5 2 3 6 3" xfId="3892"/>
    <cellStyle name="Normal 7 2 3 6 3" xfId="3893"/>
    <cellStyle name="Normal 2 4 3 6 3" xfId="3894"/>
    <cellStyle name="Normal 3 4 3 6 3" xfId="3895"/>
    <cellStyle name="Normal 4 3 3 6 3" xfId="3896"/>
    <cellStyle name="Normal 5 3 3 6 3" xfId="3897"/>
    <cellStyle name="Normal 7 3 3 6 3" xfId="3898"/>
    <cellStyle name="Normal 2 7 5 3" xfId="3899"/>
    <cellStyle name="Normal 3 7 5 3" xfId="3900"/>
    <cellStyle name="Normal 4 6 5 3" xfId="3901"/>
    <cellStyle name="Normal 5 6 5 3" xfId="3902"/>
    <cellStyle name="Normal 7 6 5 3" xfId="3903"/>
    <cellStyle name="Normal 2 3 4 5 3" xfId="3904"/>
    <cellStyle name="Normal 3 3 4 5 3" xfId="3905"/>
    <cellStyle name="Normal 4 2 4 5 3" xfId="3906"/>
    <cellStyle name="Normal 5 2 4 5 3" xfId="3907"/>
    <cellStyle name="Normal 7 2 4 5 3" xfId="3908"/>
    <cellStyle name="Normal 2 4 4 5 3" xfId="3909"/>
    <cellStyle name="Normal 3 4 4 5 3" xfId="3910"/>
    <cellStyle name="Normal 4 3 4 5 3" xfId="3911"/>
    <cellStyle name="Normal 5 3 4 5 3" xfId="3912"/>
    <cellStyle name="Normal 7 3 4 5 3" xfId="3913"/>
    <cellStyle name="Normal 2 5 2 5 3" xfId="3914"/>
    <cellStyle name="Normal 3 5 2 5 3" xfId="3915"/>
    <cellStyle name="Normal 4 4 2 5 3" xfId="3916"/>
    <cellStyle name="Normal 5 4 2 5 3" xfId="3917"/>
    <cellStyle name="Normal 7 4 2 5 3" xfId="3918"/>
    <cellStyle name="Normal 2 3 2 2 5 3" xfId="3919"/>
    <cellStyle name="Normal 3 3 2 2 5 3" xfId="3920"/>
    <cellStyle name="Normal 4 2 2 2 5 3" xfId="3921"/>
    <cellStyle name="Normal 5 2 2 2 5 3" xfId="3922"/>
    <cellStyle name="Normal 7 2 2 2 5 3" xfId="3923"/>
    <cellStyle name="Normal 2 4 2 2 5 3" xfId="3924"/>
    <cellStyle name="Normal 3 4 2 2 5 3" xfId="3925"/>
    <cellStyle name="Normal 4 3 2 2 5 3" xfId="3926"/>
    <cellStyle name="Normal 5 3 2 2 5 3" xfId="3927"/>
    <cellStyle name="Normal 7 3 2 2 5 3" xfId="3928"/>
    <cellStyle name="Normal 2 6 2 5 3" xfId="3929"/>
    <cellStyle name="Normal 3 6 2 5 3" xfId="3930"/>
    <cellStyle name="Normal 4 5 2 5 3" xfId="3931"/>
    <cellStyle name="Normal 5 5 2 5 3" xfId="3932"/>
    <cellStyle name="Normal 7 5 2 5 3" xfId="3933"/>
    <cellStyle name="Normal 2 3 3 2 5 3" xfId="3934"/>
    <cellStyle name="Normal 3 3 3 2 5 3" xfId="3935"/>
    <cellStyle name="Normal 4 2 3 2 5 3" xfId="3936"/>
    <cellStyle name="Normal 5 2 3 2 5 3" xfId="3937"/>
    <cellStyle name="Normal 7 2 3 2 5 3" xfId="3938"/>
    <cellStyle name="Normal 2 4 3 2 5 3" xfId="3939"/>
    <cellStyle name="Normal 3 4 3 2 5 3" xfId="3940"/>
    <cellStyle name="Normal 4 3 3 2 5 3" xfId="3941"/>
    <cellStyle name="Normal 5 3 3 2 5 3" xfId="3942"/>
    <cellStyle name="Normal 7 3 3 2 5 3" xfId="3943"/>
    <cellStyle name="Normal 2 8 4 3" xfId="3944"/>
    <cellStyle name="Normal 3 8 4 3" xfId="3945"/>
    <cellStyle name="Normal 4 7 4 3" xfId="3946"/>
    <cellStyle name="Normal 5 7 4 3" xfId="3947"/>
    <cellStyle name="Normal 7 7 4 3" xfId="3948"/>
    <cellStyle name="Normal 2 3 5 4 3" xfId="3949"/>
    <cellStyle name="Normal 3 3 5 4 3" xfId="3950"/>
    <cellStyle name="Normal 4 2 5 4 3" xfId="3951"/>
    <cellStyle name="Normal 5 2 5 4 3" xfId="3952"/>
    <cellStyle name="Normal 7 2 5 4 3" xfId="3953"/>
    <cellStyle name="Normal 2 4 5 4 3" xfId="3954"/>
    <cellStyle name="Normal 3 4 5 4 3" xfId="3955"/>
    <cellStyle name="Normal 4 3 5 4 3" xfId="3956"/>
    <cellStyle name="Normal 5 3 5 4 3" xfId="3957"/>
    <cellStyle name="Normal 7 3 5 4 3" xfId="3958"/>
    <cellStyle name="Normal 2 5 3 4 3" xfId="3959"/>
    <cellStyle name="Normal 3 5 3 4 3" xfId="3960"/>
    <cellStyle name="Normal 4 4 3 4 3" xfId="3961"/>
    <cellStyle name="Normal 5 4 3 4 3" xfId="3962"/>
    <cellStyle name="Normal 7 4 3 4 3" xfId="3963"/>
    <cellStyle name="Normal 2 3 2 3 4 3" xfId="3964"/>
    <cellStyle name="Normal 3 3 2 3 4 3" xfId="3965"/>
    <cellStyle name="Normal 4 2 2 3 4 3" xfId="3966"/>
    <cellStyle name="Normal 5 2 2 3 4 3" xfId="3967"/>
    <cellStyle name="Normal 7 2 2 3 4 3" xfId="3968"/>
    <cellStyle name="Normal 2 4 2 3 4 3" xfId="3969"/>
    <cellStyle name="Normal 3 4 2 3 4 3" xfId="3970"/>
    <cellStyle name="Normal 4 3 2 3 4 3" xfId="3971"/>
    <cellStyle name="Normal 5 3 2 3 4 3" xfId="3972"/>
    <cellStyle name="Normal 7 3 2 3 4 3" xfId="3973"/>
    <cellStyle name="Normal 2 6 3 4 3" xfId="3974"/>
    <cellStyle name="Normal 3 6 3 4 3" xfId="3975"/>
    <cellStyle name="Normal 4 5 3 4 3" xfId="3976"/>
    <cellStyle name="Normal 5 5 3 4 3" xfId="3977"/>
    <cellStyle name="Normal 7 5 3 4 3" xfId="3978"/>
    <cellStyle name="Normal 2 3 3 3 4 3" xfId="3979"/>
    <cellStyle name="Normal 3 3 3 3 4 3" xfId="3980"/>
    <cellStyle name="Normal 4 2 3 3 4 3" xfId="3981"/>
    <cellStyle name="Normal 5 2 3 3 4 3" xfId="3982"/>
    <cellStyle name="Normal 7 2 3 3 4 3" xfId="3983"/>
    <cellStyle name="Normal 2 4 3 3 4 3" xfId="3984"/>
    <cellStyle name="Normal 3 4 3 3 4 3" xfId="3985"/>
    <cellStyle name="Normal 4 3 3 3 4 3" xfId="3986"/>
    <cellStyle name="Normal 5 3 3 3 4 3" xfId="3987"/>
    <cellStyle name="Normal 7 3 3 3 4 3" xfId="3988"/>
    <cellStyle name="Normal 2 7 2 4 3" xfId="3989"/>
    <cellStyle name="Normal 3 7 2 4 3" xfId="3990"/>
    <cellStyle name="Normal 4 6 2 4 3" xfId="3991"/>
    <cellStyle name="Normal 5 6 2 4 3" xfId="3992"/>
    <cellStyle name="Normal 7 6 2 4 3" xfId="3993"/>
    <cellStyle name="Normal 2 3 4 2 4 3" xfId="3994"/>
    <cellStyle name="Normal 3 3 4 2 4 3" xfId="3995"/>
    <cellStyle name="Normal 4 2 4 2 4 3" xfId="3996"/>
    <cellStyle name="Normal 5 2 4 2 4 3" xfId="3997"/>
    <cellStyle name="Normal 7 2 4 2 4 3" xfId="3998"/>
    <cellStyle name="Normal 2 4 4 2 4 3" xfId="3999"/>
    <cellStyle name="Normal 3 4 4 2 4 3" xfId="4000"/>
    <cellStyle name="Normal 4 3 4 2 4 3" xfId="4001"/>
    <cellStyle name="Normal 5 3 4 2 4 3" xfId="4002"/>
    <cellStyle name="Normal 7 3 4 2 4 3" xfId="4003"/>
    <cellStyle name="Normal 2 5 2 2 4 3" xfId="4004"/>
    <cellStyle name="Normal 3 5 2 2 4 3" xfId="4005"/>
    <cellStyle name="Normal 4 4 2 2 4 3" xfId="4006"/>
    <cellStyle name="Normal 5 4 2 2 4 3" xfId="4007"/>
    <cellStyle name="Normal 7 4 2 2 4 3" xfId="4008"/>
    <cellStyle name="Normal 2 3 2 2 2 4 3" xfId="4009"/>
    <cellStyle name="Normal 3 3 2 2 2 4 3" xfId="4010"/>
    <cellStyle name="Normal 4 2 2 2 2 4 3" xfId="4011"/>
    <cellStyle name="Normal 5 2 2 2 2 4 3" xfId="4012"/>
    <cellStyle name="Normal 7 2 2 2 2 4 3" xfId="4013"/>
    <cellStyle name="Normal 2 4 2 2 2 4 3" xfId="4014"/>
    <cellStyle name="Normal 3 4 2 2 2 4 3" xfId="4015"/>
    <cellStyle name="Normal 4 3 2 2 2 4 3" xfId="4016"/>
    <cellStyle name="Normal 5 3 2 2 2 4 3" xfId="4017"/>
    <cellStyle name="Normal 7 3 2 2 2 4 3" xfId="4018"/>
    <cellStyle name="Normal 2 6 2 2 4 3" xfId="4019"/>
    <cellStyle name="Normal 3 6 2 2 4 3" xfId="4020"/>
    <cellStyle name="Normal 4 5 2 2 4 3" xfId="4021"/>
    <cellStyle name="Normal 5 5 2 2 4 3" xfId="4022"/>
    <cellStyle name="Normal 7 5 2 2 4 3" xfId="4023"/>
    <cellStyle name="Normal 2 3 3 2 2 4 3" xfId="4024"/>
    <cellStyle name="Normal 3 3 3 2 2 4 3" xfId="4025"/>
    <cellStyle name="Normal 4 2 3 2 2 4 3" xfId="4026"/>
    <cellStyle name="Normal 5 2 3 2 2 4 3" xfId="4027"/>
    <cellStyle name="Normal 7 2 3 2 2 4 3" xfId="4028"/>
    <cellStyle name="Normal 2 4 3 2 2 4 3" xfId="4029"/>
    <cellStyle name="Normal 3 4 3 2 2 4 3" xfId="4030"/>
    <cellStyle name="Normal 4 3 3 2 2 4 3" xfId="4031"/>
    <cellStyle name="Normal 5 3 3 2 2 4 3" xfId="4032"/>
    <cellStyle name="Normal 7 3 3 2 2 4 3" xfId="4033"/>
    <cellStyle name="Normal 2 9 2 3" xfId="4034"/>
    <cellStyle name="Normal 3 9 2 3" xfId="4035"/>
    <cellStyle name="Normal 4 8 2 3" xfId="4036"/>
    <cellStyle name="Normal 5 8 2 3" xfId="4037"/>
    <cellStyle name="Normal 7 8 2 3" xfId="4038"/>
    <cellStyle name="Normal 2 3 6 2 3" xfId="4039"/>
    <cellStyle name="Normal 3 3 6 2 3" xfId="4040"/>
    <cellStyle name="Normal 4 2 6 2 3" xfId="4041"/>
    <cellStyle name="Normal 5 2 6 2 3" xfId="4042"/>
    <cellStyle name="Normal 7 2 6 2 3" xfId="4043"/>
    <cellStyle name="Normal 2 4 6 2 3" xfId="4044"/>
    <cellStyle name="Normal 3 4 6 2 3" xfId="4045"/>
    <cellStyle name="Normal 4 3 6 2 3" xfId="4046"/>
    <cellStyle name="Normal 5 3 6 2 3" xfId="4047"/>
    <cellStyle name="Normal 7 3 6 2 3" xfId="4048"/>
    <cellStyle name="Normal 2 5 4 2 3" xfId="4049"/>
    <cellStyle name="Normal 3 5 4 2 3" xfId="4050"/>
    <cellStyle name="Normal 4 4 4 2 3" xfId="4051"/>
    <cellStyle name="Normal 5 4 4 2 3" xfId="4052"/>
    <cellStyle name="Normal 7 4 4 2 3" xfId="4053"/>
    <cellStyle name="Normal 2 3 2 4 2 3" xfId="4054"/>
    <cellStyle name="Normal 3 3 2 4 2 3" xfId="4055"/>
    <cellStyle name="Normal 4 2 2 4 2 3" xfId="4056"/>
    <cellStyle name="Normal 5 2 2 4 2 3" xfId="4057"/>
    <cellStyle name="Normal 7 2 2 4 2 3" xfId="4058"/>
    <cellStyle name="Normal 2 4 2 4 2 3" xfId="4059"/>
    <cellStyle name="Normal 3 4 2 4 2 3" xfId="4060"/>
    <cellStyle name="Normal 4 3 2 4 2 3" xfId="4061"/>
    <cellStyle name="Normal 5 3 2 4 2 3" xfId="4062"/>
    <cellStyle name="Normal 7 3 2 4 2 3" xfId="4063"/>
    <cellStyle name="Normal 2 6 4 2 3" xfId="4064"/>
    <cellStyle name="Normal 3 6 4 2 3" xfId="4065"/>
    <cellStyle name="Normal 4 5 4 2 3" xfId="4066"/>
    <cellStyle name="Normal 5 5 4 2 3" xfId="4067"/>
    <cellStyle name="Normal 7 5 4 2 3" xfId="4068"/>
    <cellStyle name="Normal 2 3 3 4 2 3" xfId="4069"/>
    <cellStyle name="Normal 3 3 3 4 2 3" xfId="4070"/>
    <cellStyle name="Normal 4 2 3 4 2 3" xfId="4071"/>
    <cellStyle name="Normal 5 2 3 4 2 3" xfId="4072"/>
    <cellStyle name="Normal 7 2 3 4 2 3" xfId="4073"/>
    <cellStyle name="Normal 2 4 3 4 2 3" xfId="4074"/>
    <cellStyle name="Normal 3 4 3 4 2 3" xfId="4075"/>
    <cellStyle name="Normal 4 3 3 4 2 3" xfId="4076"/>
    <cellStyle name="Normal 5 3 3 4 2 3" xfId="4077"/>
    <cellStyle name="Normal 7 3 3 4 2 3" xfId="4078"/>
    <cellStyle name="Normal 2 7 3 2 3" xfId="4079"/>
    <cellStyle name="Normal 3 7 3 2 3" xfId="4080"/>
    <cellStyle name="Normal 4 6 3 2 3" xfId="4081"/>
    <cellStyle name="Normal 5 6 3 2 3" xfId="4082"/>
    <cellStyle name="Normal 7 6 3 2 3" xfId="4083"/>
    <cellStyle name="Normal 2 3 4 3 2 3" xfId="4084"/>
    <cellStyle name="Normal 3 3 4 3 2 3" xfId="4085"/>
    <cellStyle name="Normal 4 2 4 3 2 3" xfId="4086"/>
    <cellStyle name="Normal 5 2 4 3 2 3" xfId="4087"/>
    <cellStyle name="Normal 7 2 4 3 2 3" xfId="4088"/>
    <cellStyle name="Normal 2 4 4 3 2 3" xfId="4089"/>
    <cellStyle name="Normal 3 4 4 3 2 3" xfId="4090"/>
    <cellStyle name="Normal 4 3 4 3 2 3" xfId="4091"/>
    <cellStyle name="Normal 5 3 4 3 2 3" xfId="4092"/>
    <cellStyle name="Normal 7 3 4 3 2 3" xfId="4093"/>
    <cellStyle name="Normal 2 5 2 3 2 3" xfId="4094"/>
    <cellStyle name="Normal 3 5 2 3 2 3" xfId="4095"/>
    <cellStyle name="Normal 4 4 2 3 2 3" xfId="4096"/>
    <cellStyle name="Normal 5 4 2 3 2 3" xfId="4097"/>
    <cellStyle name="Normal 7 4 2 3 2 3" xfId="4098"/>
    <cellStyle name="Normal 2 3 2 2 3 2 3" xfId="4099"/>
    <cellStyle name="Normal 3 3 2 2 3 2 3" xfId="4100"/>
    <cellStyle name="Normal 4 2 2 2 3 2 3" xfId="4101"/>
    <cellStyle name="Normal 5 2 2 2 3 2 3" xfId="4102"/>
    <cellStyle name="Normal 7 2 2 2 3 2 3" xfId="4103"/>
    <cellStyle name="Normal 2 4 2 2 3 2 3" xfId="4104"/>
    <cellStyle name="Normal 3 4 2 2 3 2 3" xfId="4105"/>
    <cellStyle name="Normal 4 3 2 2 3 2 3" xfId="4106"/>
    <cellStyle name="Normal 5 3 2 2 3 2 3" xfId="4107"/>
    <cellStyle name="Normal 7 3 2 2 3 2 3" xfId="4108"/>
    <cellStyle name="Normal 2 6 2 3 2 3" xfId="4109"/>
    <cellStyle name="Normal 3 6 2 3 2 3" xfId="4110"/>
    <cellStyle name="Normal 4 5 2 3 2 3" xfId="4111"/>
    <cellStyle name="Normal 5 5 2 3 2 3" xfId="4112"/>
    <cellStyle name="Normal 7 5 2 3 2 3" xfId="4113"/>
    <cellStyle name="Normal 2 3 3 2 3 2 3" xfId="4114"/>
    <cellStyle name="Normal 3 3 3 2 3 2 3" xfId="4115"/>
    <cellStyle name="Normal 4 2 3 2 3 2 3" xfId="4116"/>
    <cellStyle name="Normal 5 2 3 2 3 2 3" xfId="4117"/>
    <cellStyle name="Normal 7 2 3 2 3 2 3" xfId="4118"/>
    <cellStyle name="Normal 2 4 3 2 3 2 3" xfId="4119"/>
    <cellStyle name="Normal 3 4 3 2 3 2 3" xfId="4120"/>
    <cellStyle name="Normal 4 3 3 2 3 2 3" xfId="4121"/>
    <cellStyle name="Normal 5 3 3 2 3 2 3" xfId="4122"/>
    <cellStyle name="Normal 7 3 3 2 3 2 3" xfId="4123"/>
    <cellStyle name="Normal 2 8 2 2 3" xfId="4124"/>
    <cellStyle name="Normal 3 8 2 2 3" xfId="4125"/>
    <cellStyle name="Normal 4 7 2 2 3" xfId="4126"/>
    <cellStyle name="Normal 5 7 2 2 3" xfId="4127"/>
    <cellStyle name="Normal 7 7 2 2 3" xfId="4128"/>
    <cellStyle name="Normal 2 3 5 2 2 3" xfId="4129"/>
    <cellStyle name="Normal 3 3 5 2 2 3" xfId="4130"/>
    <cellStyle name="Normal 4 2 5 2 2 3" xfId="4131"/>
    <cellStyle name="Normal 5 2 5 2 2 3" xfId="4132"/>
    <cellStyle name="Normal 7 2 5 2 2 3" xfId="4133"/>
    <cellStyle name="Normal 2 4 5 2 2 3" xfId="4134"/>
    <cellStyle name="Normal 3 4 5 2 2 3" xfId="4135"/>
    <cellStyle name="Normal 4 3 5 2 2 3" xfId="4136"/>
    <cellStyle name="Normal 5 3 5 2 2 3" xfId="4137"/>
    <cellStyle name="Normal 7 3 5 2 2 3" xfId="4138"/>
    <cellStyle name="Normal 2 5 3 2 2 3" xfId="4139"/>
    <cellStyle name="Normal 3 5 3 2 2 3" xfId="4140"/>
    <cellStyle name="Normal 4 4 3 2 2 3" xfId="4141"/>
    <cellStyle name="Normal 5 4 3 2 2 3" xfId="4142"/>
    <cellStyle name="Normal 7 4 3 2 2 3" xfId="4143"/>
    <cellStyle name="Normal 2 3 2 3 2 2 3" xfId="4144"/>
    <cellStyle name="Normal 3 3 2 3 2 2 3" xfId="4145"/>
    <cellStyle name="Normal 4 2 2 3 2 2 3" xfId="4146"/>
    <cellStyle name="Normal 5 2 2 3 2 2 3" xfId="4147"/>
    <cellStyle name="Normal 7 2 2 3 2 2 3" xfId="4148"/>
    <cellStyle name="Normal 2 4 2 3 2 2 3" xfId="4149"/>
    <cellStyle name="Normal 3 4 2 3 2 2 3" xfId="4150"/>
    <cellStyle name="Normal 4 3 2 3 2 2 3" xfId="4151"/>
    <cellStyle name="Normal 5 3 2 3 2 2 3" xfId="4152"/>
    <cellStyle name="Normal 7 3 2 3 2 2 3" xfId="4153"/>
    <cellStyle name="Normal 2 6 3 2 2 3" xfId="4154"/>
    <cellStyle name="Normal 3 6 3 2 2 3" xfId="4155"/>
    <cellStyle name="Normal 4 5 3 2 2 3" xfId="4156"/>
    <cellStyle name="Normal 5 5 3 2 2 3" xfId="4157"/>
    <cellStyle name="Normal 7 5 3 2 2 3" xfId="4158"/>
    <cellStyle name="Normal 2 3 3 3 2 2 3" xfId="4159"/>
    <cellStyle name="Normal 3 3 3 3 2 2 3" xfId="4160"/>
    <cellStyle name="Normal 4 2 3 3 2 2 3" xfId="4161"/>
    <cellStyle name="Normal 5 2 3 3 2 2 3" xfId="4162"/>
    <cellStyle name="Normal 7 2 3 3 2 2 3" xfId="4163"/>
    <cellStyle name="Normal 2 4 3 3 2 2 3" xfId="4164"/>
    <cellStyle name="Normal 3 4 3 3 2 2 3" xfId="4165"/>
    <cellStyle name="Normal 4 3 3 3 2 2 3" xfId="4166"/>
    <cellStyle name="Normal 5 3 3 3 2 2 3" xfId="4167"/>
    <cellStyle name="Normal 7 3 3 3 2 2 3" xfId="4168"/>
    <cellStyle name="Normal 2 7 2 2 2 3" xfId="4169"/>
    <cellStyle name="Normal 3 7 2 2 2 3" xfId="4170"/>
    <cellStyle name="Normal 4 6 2 2 2 3" xfId="4171"/>
    <cellStyle name="Normal 5 6 2 2 2 3" xfId="4172"/>
    <cellStyle name="Normal 7 6 2 2 2 3" xfId="4173"/>
    <cellStyle name="Normal 2 3 4 2 2 2 3" xfId="4174"/>
    <cellStyle name="Normal 3 3 4 2 2 2 3" xfId="4175"/>
    <cellStyle name="Normal 4 2 4 2 2 2 3" xfId="4176"/>
    <cellStyle name="Normal 5 2 4 2 2 2 3" xfId="4177"/>
    <cellStyle name="Normal 7 2 4 2 2 2 3" xfId="4178"/>
    <cellStyle name="Normal 2 4 4 2 2 2 3" xfId="4179"/>
    <cellStyle name="Normal 3 4 4 2 2 2 3" xfId="4180"/>
    <cellStyle name="Normal 4 3 4 2 2 2 3" xfId="4181"/>
    <cellStyle name="Normal 5 3 4 2 2 2 3" xfId="4182"/>
    <cellStyle name="Normal 7 3 4 2 2 2 3" xfId="4183"/>
    <cellStyle name="Normal 2 5 2 2 2 2 3" xfId="4184"/>
    <cellStyle name="Normal 3 5 2 2 2 2 3" xfId="4185"/>
    <cellStyle name="Normal 4 4 2 2 2 2 3" xfId="4186"/>
    <cellStyle name="Normal 5 4 2 2 2 2 3" xfId="4187"/>
    <cellStyle name="Normal 7 4 2 2 2 2 3" xfId="4188"/>
    <cellStyle name="Normal 2 3 2 2 2 2 2 3" xfId="4189"/>
    <cellStyle name="Normal 3 3 2 2 2 2 2 3" xfId="4190"/>
    <cellStyle name="Normal 4 2 2 2 2 2 2 3" xfId="4191"/>
    <cellStyle name="Normal 5 2 2 2 2 2 2 3" xfId="4192"/>
    <cellStyle name="Normal 7 2 2 2 2 2 2 3" xfId="4193"/>
    <cellStyle name="Normal 2 4 2 2 2 2 2 3" xfId="4194"/>
    <cellStyle name="Normal 3 4 2 2 2 2 2 3" xfId="4195"/>
    <cellStyle name="Normal 4 3 2 2 2 2 2 3" xfId="4196"/>
    <cellStyle name="Normal 5 3 2 2 2 2 2 3" xfId="4197"/>
    <cellStyle name="Normal 7 3 2 2 2 2 2 3" xfId="4198"/>
    <cellStyle name="Normal 2 6 2 2 2 2 3" xfId="4199"/>
    <cellStyle name="Normal 3 6 2 2 2 2 3" xfId="4200"/>
    <cellStyle name="Normal 4 5 2 2 2 2 3" xfId="4201"/>
    <cellStyle name="Normal 5 5 2 2 2 2 3" xfId="4202"/>
    <cellStyle name="Normal 7 5 2 2 2 2 3" xfId="4203"/>
    <cellStyle name="Normal 2 3 3 2 2 2 2 3" xfId="4204"/>
    <cellStyle name="Normal 3 3 3 2 2 2 2 3" xfId="4205"/>
    <cellStyle name="Normal 4 2 3 2 2 2 2 3" xfId="4206"/>
    <cellStyle name="Normal 5 2 3 2 2 2 2 3" xfId="4207"/>
    <cellStyle name="Normal 7 2 3 2 2 2 2 3" xfId="4208"/>
    <cellStyle name="Normal 2 4 3 2 2 2 2 3" xfId="4209"/>
    <cellStyle name="Normal 3 4 3 2 2 2 2 3" xfId="4210"/>
    <cellStyle name="Normal 4 3 3 2 2 2 2 3" xfId="4211"/>
    <cellStyle name="Normal 5 3 3 2 2 2 2 3" xfId="4212"/>
    <cellStyle name="Normal 7 3 3 2 2 2 2 3" xfId="4213"/>
    <cellStyle name="Normal 28 2 3" xfId="4214"/>
    <cellStyle name="Normal 2 3 7 2 3" xfId="4215"/>
    <cellStyle name="Normal 3 10 2 3" xfId="4216"/>
    <cellStyle name="Normal 4 9 2 3" xfId="4217"/>
    <cellStyle name="Normal 5 9 2 3" xfId="4218"/>
    <cellStyle name="Millares 4 2 3" xfId="4219"/>
    <cellStyle name="Normal 7 2 7 2 3" xfId="4220"/>
    <cellStyle name="Normal 3 3 7 2 3" xfId="4221"/>
    <cellStyle name="Normal 4 2 7 2 3" xfId="4222"/>
    <cellStyle name="Normal 5 2 7 2 3" xfId="4223"/>
    <cellStyle name="Normal 2 4 5 3 2 3" xfId="4224"/>
    <cellStyle name="Normal 3 4 7 2 3" xfId="4225"/>
    <cellStyle name="Normal 4 3 7 2 3" xfId="4226"/>
    <cellStyle name="Normal 5 3 7 2 3" xfId="4227"/>
    <cellStyle name="Normal 7 3 7 2 3" xfId="4228"/>
    <cellStyle name="Normal 2 5 5 2 3" xfId="4229"/>
    <cellStyle name="Normal 3 5 5 2 3" xfId="4230"/>
    <cellStyle name="Normal 4 4 5 2 3" xfId="4231"/>
    <cellStyle name="Normal 5 4 5 2 3" xfId="4232"/>
    <cellStyle name="Normal 7 4 5 2 3" xfId="4233"/>
    <cellStyle name="Normal 2 3 2 5 2 3" xfId="4234"/>
    <cellStyle name="Normal 3 3 2 5 2 3" xfId="4235"/>
    <cellStyle name="Normal 4 2 2 5 2 3" xfId="4236"/>
    <cellStyle name="Normal 5 2 2 5 2 3" xfId="4237"/>
    <cellStyle name="Normal 7 2 2 5 2 3" xfId="4238"/>
    <cellStyle name="Normal 2 4 2 5 2 3" xfId="4239"/>
    <cellStyle name="Normal 3 4 2 5 2 3" xfId="4240"/>
    <cellStyle name="Normal 4 3 2 5 2 3" xfId="4241"/>
    <cellStyle name="Normal 5 3 2 5 2 3" xfId="4242"/>
    <cellStyle name="Normal 7 3 2 5 2 3" xfId="4243"/>
    <cellStyle name="Normal 2 6 5 2 3" xfId="4244"/>
    <cellStyle name="Normal 3 6 5 2 3" xfId="4245"/>
    <cellStyle name="Normal 4 5 5 2 3" xfId="4246"/>
    <cellStyle name="Normal 5 5 5 2 3" xfId="4247"/>
    <cellStyle name="Normal 7 5 5 2 3" xfId="4248"/>
    <cellStyle name="Normal 2 3 3 5 2 3" xfId="4249"/>
    <cellStyle name="Normal 3 3 3 5 2 3" xfId="4250"/>
    <cellStyle name="Normal 4 2 3 5 2 3" xfId="4251"/>
    <cellStyle name="Normal 5 2 3 5 2 3" xfId="4252"/>
    <cellStyle name="Normal 7 2 3 5 2 3" xfId="4253"/>
    <cellStyle name="Normal 2 4 3 5 2 3" xfId="4254"/>
    <cellStyle name="Normal 3 4 3 5 2 3" xfId="4255"/>
    <cellStyle name="Normal 4 3 3 5 2 3" xfId="4256"/>
    <cellStyle name="Normal 5 3 3 5 2 3" xfId="4257"/>
    <cellStyle name="Normal 7 3 3 5 2 3" xfId="4258"/>
    <cellStyle name="Normal 2 7 4 2 3" xfId="4259"/>
    <cellStyle name="Normal 3 7 4 2 3" xfId="4260"/>
    <cellStyle name="Normal 4 6 4 2 3" xfId="4261"/>
    <cellStyle name="Normal 5 6 4 2 3" xfId="4262"/>
    <cellStyle name="Normal 7 6 4 2 3" xfId="4263"/>
    <cellStyle name="Normal 2 3 4 4 2 3" xfId="4264"/>
    <cellStyle name="Normal 3 3 4 4 2 3" xfId="4265"/>
    <cellStyle name="Normal 4 2 4 4 2 3" xfId="4266"/>
    <cellStyle name="Normal 5 2 4 4 2 3" xfId="4267"/>
    <cellStyle name="Normal 7 2 4 4 2 3" xfId="4268"/>
    <cellStyle name="Normal 2 4 4 4 2 3" xfId="4269"/>
    <cellStyle name="Normal 3 4 4 4 2 3" xfId="4270"/>
    <cellStyle name="Normal 4 3 4 4 2 3" xfId="4271"/>
    <cellStyle name="Normal 5 3 4 4 2 3" xfId="4272"/>
    <cellStyle name="Normal 7 3 4 4 2 3" xfId="4273"/>
    <cellStyle name="Normal 2 5 2 4 2 3" xfId="4274"/>
    <cellStyle name="Normal 3 5 2 4 2 3" xfId="4275"/>
    <cellStyle name="Normal 4 4 2 4 2 3" xfId="4276"/>
    <cellStyle name="Normal 5 4 2 4 2 3" xfId="4277"/>
    <cellStyle name="Normal 7 4 2 4 2 3" xfId="4278"/>
    <cellStyle name="Normal 2 3 2 2 4 2 3" xfId="4279"/>
    <cellStyle name="Normal 3 3 2 2 4 2 3" xfId="4280"/>
    <cellStyle name="Normal 4 2 2 2 4 2 3" xfId="4281"/>
    <cellStyle name="Normal 5 2 2 2 4 2 3" xfId="4282"/>
    <cellStyle name="Normal 7 2 2 2 4 2 3" xfId="4283"/>
    <cellStyle name="Normal 2 4 2 2 4 2 3" xfId="4284"/>
    <cellStyle name="Normal 3 4 2 2 4 2 3" xfId="4285"/>
    <cellStyle name="Normal 4 3 2 2 4 2 3" xfId="4286"/>
    <cellStyle name="Normal 5 3 2 2 4 2 3" xfId="4287"/>
    <cellStyle name="Normal 7 3 2 2 4 2 3" xfId="4288"/>
    <cellStyle name="Normal 2 6 2 4 2 3" xfId="4289"/>
    <cellStyle name="Normal 3 6 2 4 2 3" xfId="4290"/>
    <cellStyle name="Normal 4 5 2 4 2 3" xfId="4291"/>
    <cellStyle name="Normal 5 5 2 4 2 3" xfId="4292"/>
    <cellStyle name="Normal 7 5 2 4 2 3" xfId="4293"/>
    <cellStyle name="Normal 2 3 3 2 4 2 3" xfId="4294"/>
    <cellStyle name="Normal 3 3 3 2 4 2 3" xfId="4295"/>
    <cellStyle name="Normal 4 2 3 2 4 2 3" xfId="4296"/>
    <cellStyle name="Normal 5 2 3 2 4 2 3" xfId="4297"/>
    <cellStyle name="Normal 7 2 3 2 4 2 3" xfId="4298"/>
    <cellStyle name="Normal 2 4 3 2 4 2 3" xfId="4299"/>
    <cellStyle name="Normal 3 4 3 2 4 2 3" xfId="4300"/>
    <cellStyle name="Normal 4 3 3 2 4 2 3" xfId="4301"/>
    <cellStyle name="Normal 5 3 3 2 4 2 3" xfId="4302"/>
    <cellStyle name="Normal 7 3 3 2 4 2 3" xfId="4303"/>
    <cellStyle name="Normal 2 8 3 2 3" xfId="4304"/>
    <cellStyle name="Normal 3 8 3 2 3" xfId="4305"/>
    <cellStyle name="Normal 4 7 3 2 3" xfId="4306"/>
    <cellStyle name="Normal 5 7 3 2 3" xfId="4307"/>
    <cellStyle name="Normal 7 7 3 2 3" xfId="4308"/>
    <cellStyle name="Normal 2 3 5 3 2 3" xfId="4309"/>
    <cellStyle name="Normal 3 3 5 3 2 3" xfId="4310"/>
    <cellStyle name="Normal 4 2 5 3 2 3" xfId="4311"/>
    <cellStyle name="Normal 5 2 5 3 2 3" xfId="4312"/>
    <cellStyle name="Normal 7 2 5 3 2 3" xfId="4313"/>
    <cellStyle name="Normal 3 4 5 3 2 3" xfId="4314"/>
    <cellStyle name="Normal 4 3 5 3 2 3" xfId="4315"/>
    <cellStyle name="Normal 5 3 5 3 2 3" xfId="4316"/>
    <cellStyle name="Normal 7 3 5 3 2 3" xfId="4317"/>
    <cellStyle name="Normal 2 5 3 3 2 3" xfId="4318"/>
    <cellStyle name="Normal 3 5 3 3 2 3" xfId="4319"/>
    <cellStyle name="Normal 4 4 3 3 2 3" xfId="4320"/>
    <cellStyle name="Normal 5 4 3 3 2 3" xfId="4321"/>
    <cellStyle name="Normal 7 4 3 3 2 3" xfId="4322"/>
    <cellStyle name="Normal 2 3 2 3 3 2 3" xfId="4323"/>
    <cellStyle name="Normal 3 3 2 3 3 2 3" xfId="4324"/>
    <cellStyle name="Normal 4 2 2 3 3 2 3" xfId="4325"/>
    <cellStyle name="Normal 5 2 2 3 3 2 3" xfId="4326"/>
    <cellStyle name="Normal 7 2 2 3 3 2 3" xfId="4327"/>
    <cellStyle name="Normal 2 4 2 3 3 2 3" xfId="4328"/>
    <cellStyle name="Normal 3 4 2 3 3 2 3" xfId="4329"/>
    <cellStyle name="Normal 4 3 2 3 3 2 3" xfId="4330"/>
    <cellStyle name="Normal 5 3 2 3 3 2 3" xfId="4331"/>
    <cellStyle name="Normal 7 3 2 3 3 2 3" xfId="4332"/>
    <cellStyle name="Normal 2 6 3 3 2 3" xfId="4333"/>
    <cellStyle name="Normal 3 6 3 3 2 3" xfId="4334"/>
    <cellStyle name="Normal 4 5 3 3 2 3" xfId="4335"/>
    <cellStyle name="Normal 5 5 3 3 2 3" xfId="4336"/>
    <cellStyle name="Normal 7 5 3 3 2 3" xfId="4337"/>
    <cellStyle name="Normal 2 3 3 3 3 2 3" xfId="4338"/>
    <cellStyle name="Normal 3 3 3 3 3 2 3" xfId="4339"/>
    <cellStyle name="Normal 4 2 3 3 3 2 3" xfId="4340"/>
    <cellStyle name="Normal 5 2 3 3 3 2 3" xfId="4341"/>
    <cellStyle name="Normal 7 2 3 3 3 2 3" xfId="4342"/>
    <cellStyle name="Normal 2 4 3 3 3 2 3" xfId="4343"/>
    <cellStyle name="Normal 3 4 3 3 3 2 3" xfId="4344"/>
    <cellStyle name="Normal 4 3 3 3 3 2 3" xfId="4345"/>
    <cellStyle name="Normal 5 3 3 3 3 2 3" xfId="4346"/>
    <cellStyle name="Normal 7 3 3 3 3 2 3" xfId="4347"/>
    <cellStyle name="Normal 2 7 2 3 2 3" xfId="4348"/>
    <cellStyle name="Normal 3 7 2 3 2 3" xfId="4349"/>
    <cellStyle name="Normal 4 6 2 3 2 3" xfId="4350"/>
    <cellStyle name="Normal 5 6 2 3 2 3" xfId="4351"/>
    <cellStyle name="Normal 7 6 2 3 2 3" xfId="4352"/>
    <cellStyle name="Normal 2 3 4 2 3 2 3" xfId="4353"/>
    <cellStyle name="Normal 3 3 4 2 3 2 3" xfId="4354"/>
    <cellStyle name="Normal 4 2 4 2 3 2 3" xfId="4355"/>
    <cellStyle name="Normal 5 2 4 2 3 2 3" xfId="4356"/>
    <cellStyle name="Normal 7 2 4 2 3 2 3" xfId="4357"/>
    <cellStyle name="Normal 2 4 4 2 3 2 3" xfId="4358"/>
    <cellStyle name="Normal 3 4 4 2 3 2 3" xfId="4359"/>
    <cellStyle name="Normal 4 3 4 2 3 2 3" xfId="4360"/>
    <cellStyle name="Normal 5 3 4 2 3 2 3" xfId="4361"/>
    <cellStyle name="Normal 7 3 4 2 3 2 3" xfId="4362"/>
    <cellStyle name="Normal 2 5 2 2 3 2 3" xfId="4363"/>
    <cellStyle name="Normal 3 5 2 2 3 2 3" xfId="4364"/>
    <cellStyle name="Normal 4 4 2 2 3 2 3" xfId="4365"/>
    <cellStyle name="Normal 5 4 2 2 3 2 3" xfId="4366"/>
    <cellStyle name="Normal 7 4 2 2 3 2 3" xfId="4367"/>
    <cellStyle name="Normal 2 3 2 2 2 3 2 3" xfId="4368"/>
    <cellStyle name="Normal 3 3 2 2 2 3 2 3" xfId="4369"/>
    <cellStyle name="Normal 4 2 2 2 2 3 2 3" xfId="4370"/>
    <cellStyle name="Normal 5 2 2 2 2 3 2 3" xfId="4371"/>
    <cellStyle name="Normal 7 2 2 2 2 3 2 3" xfId="4372"/>
    <cellStyle name="Normal 2 4 2 2 2 3 2 3" xfId="4373"/>
    <cellStyle name="Normal 3 4 2 2 2 3 2 3" xfId="4374"/>
    <cellStyle name="Normal 4 3 2 2 2 3 2 3" xfId="4375"/>
    <cellStyle name="Normal 5 3 2 2 2 3 2 3" xfId="4376"/>
    <cellStyle name="Normal 7 3 2 2 2 3 2 3" xfId="4377"/>
    <cellStyle name="Normal 2 6 2 2 3 2 3" xfId="4378"/>
    <cellStyle name="Normal 3 6 2 2 3 2 3" xfId="4379"/>
    <cellStyle name="Normal 4 5 2 2 3 2 3" xfId="4380"/>
    <cellStyle name="Normal 5 5 2 2 3 2 3" xfId="4381"/>
    <cellStyle name="Normal 7 5 2 2 3 2 3" xfId="4382"/>
    <cellStyle name="Normal 2 3 3 2 2 3 2 3" xfId="4383"/>
    <cellStyle name="Normal 3 3 3 2 2 3 2 3" xfId="4384"/>
    <cellStyle name="Normal 4 2 3 2 2 3 2 3" xfId="4385"/>
    <cellStyle name="Normal 5 2 3 2 2 3 2 3" xfId="4386"/>
    <cellStyle name="Normal 7 2 3 2 2 3 2 3" xfId="4387"/>
    <cellStyle name="Normal 2 4 3 2 2 3 2 3" xfId="4388"/>
    <cellStyle name="Normal 3 4 3 2 2 3 2 3" xfId="4389"/>
    <cellStyle name="Normal 4 3 3 2 2 3 2 3" xfId="4390"/>
    <cellStyle name="Normal 5 3 3 2 2 3 2 3" xfId="4391"/>
    <cellStyle name="Normal 7 3 3 2 2 3 2 3" xfId="4392"/>
    <cellStyle name="Normal 2 12 3" xfId="4393"/>
    <cellStyle name="Normal 3 12 3" xfId="4394"/>
    <cellStyle name="Normal 4 11 3" xfId="4395"/>
    <cellStyle name="Normal 5 11 3" xfId="4396"/>
    <cellStyle name="Normal 7 11 3" xfId="4397"/>
    <cellStyle name="Normal 2 3 9 3" xfId="4398"/>
    <cellStyle name="Normal 3 3 9 3" xfId="4399"/>
    <cellStyle name="Normal 4 2 9 3" xfId="4400"/>
    <cellStyle name="Normal 5 2 9 3" xfId="4401"/>
    <cellStyle name="Normal 7 2 9 3" xfId="4402"/>
    <cellStyle name="Normal 2 4 9 3" xfId="4403"/>
    <cellStyle name="Normal 3 4 9 3" xfId="4404"/>
    <cellStyle name="Normal 4 3 9 3" xfId="4405"/>
    <cellStyle name="Normal 5 3 9 3" xfId="4406"/>
    <cellStyle name="Normal 7 3 9 3" xfId="4407"/>
    <cellStyle name="Normal 2 5 7 3" xfId="4408"/>
    <cellStyle name="Normal 3 5 7 3" xfId="4409"/>
    <cellStyle name="Normal 4 4 7 3" xfId="4410"/>
    <cellStyle name="Normal 5 4 7 3" xfId="4411"/>
    <cellStyle name="Normal 7 4 7 3" xfId="4412"/>
    <cellStyle name="Normal 2 3 2 7 3" xfId="4413"/>
    <cellStyle name="Normal 3 3 2 7 3" xfId="4414"/>
    <cellStyle name="Normal 4 2 2 7 3" xfId="4415"/>
    <cellStyle name="Normal 5 2 2 7 3" xfId="4416"/>
    <cellStyle name="Normal 7 2 2 7 3" xfId="4417"/>
    <cellStyle name="Normal 2 4 2 7 3" xfId="4418"/>
    <cellStyle name="Normal 3 4 2 7 3" xfId="4419"/>
    <cellStyle name="Normal 4 3 2 7 3" xfId="4420"/>
    <cellStyle name="Normal 5 3 2 7 3" xfId="4421"/>
    <cellStyle name="Normal 7 3 2 7 3" xfId="4422"/>
    <cellStyle name="Normal 2 6 7 3" xfId="4423"/>
    <cellStyle name="Normal 3 6 7 3" xfId="4424"/>
    <cellStyle name="Normal 4 5 7 3" xfId="4425"/>
    <cellStyle name="Normal 5 5 7 3" xfId="4426"/>
    <cellStyle name="Normal 7 5 7 3" xfId="4427"/>
    <cellStyle name="Normal 2 3 3 7 3" xfId="4428"/>
    <cellStyle name="Normal 3 3 3 7 3" xfId="4429"/>
    <cellStyle name="Normal 4 2 3 7 3" xfId="4430"/>
    <cellStyle name="Normal 5 2 3 7 3" xfId="4431"/>
    <cellStyle name="Normal 7 2 3 7 3" xfId="4432"/>
    <cellStyle name="Normal 2 4 3 7 3" xfId="4433"/>
    <cellStyle name="Normal 3 4 3 7 3" xfId="4434"/>
    <cellStyle name="Normal 4 3 3 7 3" xfId="4435"/>
    <cellStyle name="Normal 5 3 3 7 3" xfId="4436"/>
    <cellStyle name="Normal 7 3 3 7 3" xfId="4437"/>
    <cellStyle name="Normal 2 7 6 3" xfId="4438"/>
    <cellStyle name="Normal 3 7 6 3" xfId="4439"/>
    <cellStyle name="Normal 4 6 6 3" xfId="4440"/>
    <cellStyle name="Normal 5 6 6 3" xfId="4441"/>
    <cellStyle name="Normal 7 6 6 3" xfId="4442"/>
    <cellStyle name="Normal 2 3 4 6 3" xfId="4443"/>
    <cellStyle name="Normal 3 3 4 6 3" xfId="4444"/>
    <cellStyle name="Normal 4 2 4 6 3" xfId="4445"/>
    <cellStyle name="Normal 5 2 4 6 3" xfId="4446"/>
    <cellStyle name="Normal 7 2 4 6 3" xfId="4447"/>
    <cellStyle name="Normal 2 4 4 6 3" xfId="4448"/>
    <cellStyle name="Normal 3 4 4 6 3" xfId="4449"/>
    <cellStyle name="Normal 4 3 4 6 3" xfId="4450"/>
    <cellStyle name="Normal 5 3 4 6 3" xfId="4451"/>
    <cellStyle name="Normal 7 3 4 6 3" xfId="4452"/>
    <cellStyle name="Normal 2 5 2 6 3" xfId="4453"/>
    <cellStyle name="Normal 3 5 2 6 3" xfId="4454"/>
    <cellStyle name="Normal 4 4 2 6 3" xfId="4455"/>
    <cellStyle name="Normal 5 4 2 6 3" xfId="4456"/>
    <cellStyle name="Normal 7 4 2 6 3" xfId="4457"/>
    <cellStyle name="Normal 2 3 2 2 6 3" xfId="4458"/>
    <cellStyle name="Normal 3 3 2 2 6 3" xfId="4459"/>
    <cellStyle name="Normal 4 2 2 2 6 3" xfId="4460"/>
    <cellStyle name="Normal 5 2 2 2 6 3" xfId="4461"/>
    <cellStyle name="Normal 7 2 2 2 6 3" xfId="4462"/>
    <cellStyle name="Normal 2 4 2 2 6 3" xfId="4463"/>
    <cellStyle name="Normal 3 4 2 2 6 3" xfId="4464"/>
    <cellStyle name="Normal 4 3 2 2 6 3" xfId="4465"/>
    <cellStyle name="Normal 5 3 2 2 6 3" xfId="4466"/>
    <cellStyle name="Normal 7 3 2 2 6 3" xfId="4467"/>
    <cellStyle name="Normal 2 6 2 6 3" xfId="4468"/>
    <cellStyle name="Normal 3 6 2 6 3" xfId="4469"/>
    <cellStyle name="Normal 4 5 2 6 3" xfId="4470"/>
    <cellStyle name="Normal 5 5 2 6 3" xfId="4471"/>
    <cellStyle name="Normal 7 5 2 6 3" xfId="4472"/>
    <cellStyle name="Normal 2 3 3 2 6 3" xfId="4473"/>
    <cellStyle name="Normal 3 3 3 2 6 3" xfId="4474"/>
    <cellStyle name="Normal 4 2 3 2 6 3" xfId="4475"/>
    <cellStyle name="Normal 5 2 3 2 6 3" xfId="4476"/>
    <cellStyle name="Normal 7 2 3 2 6 3" xfId="4477"/>
    <cellStyle name="Normal 2 4 3 2 6 3" xfId="4478"/>
    <cellStyle name="Normal 3 4 3 2 6 3" xfId="4479"/>
    <cellStyle name="Normal 4 3 3 2 6 3" xfId="4480"/>
    <cellStyle name="Normal 5 3 3 2 6 3" xfId="4481"/>
    <cellStyle name="Normal 7 3 3 2 6 3" xfId="4482"/>
    <cellStyle name="Normal 2 8 5 3" xfId="4483"/>
    <cellStyle name="Normal 3 8 5 3" xfId="4484"/>
    <cellStyle name="Normal 4 7 5 3" xfId="4485"/>
    <cellStyle name="Normal 5 7 5 3" xfId="4486"/>
    <cellStyle name="Normal 7 7 5 3" xfId="4487"/>
    <cellStyle name="Normal 2 3 5 5 3" xfId="4488"/>
    <cellStyle name="Normal 3 3 5 5 3" xfId="4489"/>
    <cellStyle name="Normal 4 2 5 5 3" xfId="4490"/>
    <cellStyle name="Normal 5 2 5 5 3" xfId="4491"/>
    <cellStyle name="Normal 7 2 5 5 3" xfId="4492"/>
    <cellStyle name="Normal 2 4 5 5 3" xfId="4493"/>
    <cellStyle name="Normal 3 4 5 5 3" xfId="4494"/>
    <cellStyle name="Normal 4 3 5 5 3" xfId="4495"/>
    <cellStyle name="Normal 5 3 5 5 3" xfId="4496"/>
    <cellStyle name="Normal 7 3 5 5 3" xfId="4497"/>
    <cellStyle name="Normal 2 5 3 5 3" xfId="4498"/>
    <cellStyle name="Normal 3 5 3 5 3" xfId="4499"/>
    <cellStyle name="Normal 4 4 3 5 3" xfId="4500"/>
    <cellStyle name="Normal 5 4 3 5 3" xfId="4501"/>
    <cellStyle name="Normal 7 4 3 5 3" xfId="4502"/>
    <cellStyle name="Normal 2 3 2 3 5 3" xfId="4503"/>
    <cellStyle name="Normal 3 3 2 3 5 3" xfId="4504"/>
    <cellStyle name="Normal 4 2 2 3 5 3" xfId="4505"/>
    <cellStyle name="Normal 5 2 2 3 5 3" xfId="4506"/>
    <cellStyle name="Normal 7 2 2 3 5 3" xfId="4507"/>
    <cellStyle name="Normal 2 4 2 3 5 3" xfId="4508"/>
    <cellStyle name="Normal 3 4 2 3 5 3" xfId="4509"/>
    <cellStyle name="Normal 4 3 2 3 5 3" xfId="4510"/>
    <cellStyle name="Normal 5 3 2 3 5 3" xfId="4511"/>
    <cellStyle name="Normal 7 3 2 3 5 3" xfId="4512"/>
    <cellStyle name="Normal 2 6 3 5 3" xfId="4513"/>
    <cellStyle name="Normal 3 6 3 5 3" xfId="4514"/>
    <cellStyle name="Normal 4 5 3 5 3" xfId="4515"/>
    <cellStyle name="Normal 5 5 3 5 3" xfId="4516"/>
    <cellStyle name="Normal 7 5 3 5 3" xfId="4517"/>
    <cellStyle name="Normal 2 3 3 3 5 3" xfId="4518"/>
    <cellStyle name="Normal 3 3 3 3 5 3" xfId="4519"/>
    <cellStyle name="Normal 4 2 3 3 5 3" xfId="4520"/>
    <cellStyle name="Normal 5 2 3 3 5 3" xfId="4521"/>
    <cellStyle name="Normal 7 2 3 3 5 3" xfId="4522"/>
    <cellStyle name="Normal 2 4 3 3 5 3" xfId="4523"/>
    <cellStyle name="Normal 3 4 3 3 5 3" xfId="4524"/>
    <cellStyle name="Normal 4 3 3 3 5 3" xfId="4525"/>
    <cellStyle name="Normal 5 3 3 3 5 3" xfId="4526"/>
    <cellStyle name="Normal 7 3 3 3 5 3" xfId="4527"/>
    <cellStyle name="Normal 2 7 2 5 3" xfId="4528"/>
    <cellStyle name="Normal 3 7 2 5 3" xfId="4529"/>
    <cellStyle name="Normal 4 6 2 5 3" xfId="4530"/>
    <cellStyle name="Normal 5 6 2 5 3" xfId="4531"/>
    <cellStyle name="Normal 7 6 2 5 3" xfId="4532"/>
    <cellStyle name="Normal 2 3 4 2 5 3" xfId="4533"/>
    <cellStyle name="Normal 3 3 4 2 5 3" xfId="4534"/>
    <cellStyle name="Normal 4 2 4 2 5 3" xfId="4535"/>
    <cellStyle name="Normal 5 2 4 2 5 3" xfId="4536"/>
    <cellStyle name="Normal 7 2 4 2 5 3" xfId="4537"/>
    <cellStyle name="Normal 2 4 4 2 5 3" xfId="4538"/>
    <cellStyle name="Normal 3 4 4 2 5 3" xfId="4539"/>
    <cellStyle name="Normal 4 3 4 2 5 3" xfId="4540"/>
    <cellStyle name="Normal 5 3 4 2 5 3" xfId="4541"/>
    <cellStyle name="Normal 7 3 4 2 5 3" xfId="4542"/>
    <cellStyle name="Normal 2 5 2 2 5 3" xfId="4543"/>
    <cellStyle name="Normal 3 5 2 2 5 3" xfId="4544"/>
    <cellStyle name="Normal 4 4 2 2 5 3" xfId="4545"/>
    <cellStyle name="Normal 5 4 2 2 5 3" xfId="4546"/>
    <cellStyle name="Normal 7 4 2 2 5 3" xfId="4547"/>
    <cellStyle name="Normal 2 3 2 2 2 5 3" xfId="4548"/>
    <cellStyle name="Normal 3 3 2 2 2 5 3" xfId="4549"/>
    <cellStyle name="Normal 4 2 2 2 2 5 3" xfId="4550"/>
    <cellStyle name="Normal 5 2 2 2 2 5 3" xfId="4551"/>
    <cellStyle name="Normal 7 2 2 2 2 5 3" xfId="4552"/>
    <cellStyle name="Normal 2 4 2 2 2 5 3" xfId="4553"/>
    <cellStyle name="Normal 3 4 2 2 2 5 3" xfId="4554"/>
    <cellStyle name="Normal 4 3 2 2 2 5 3" xfId="4555"/>
    <cellStyle name="Normal 5 3 2 2 2 5 3" xfId="4556"/>
    <cellStyle name="Normal 7 3 2 2 2 5 3" xfId="4557"/>
    <cellStyle name="Normal 2 6 2 2 5 3" xfId="4558"/>
    <cellStyle name="Normal 3 6 2 2 5 3" xfId="4559"/>
    <cellStyle name="Normal 4 5 2 2 5 3" xfId="4560"/>
    <cellStyle name="Normal 5 5 2 2 5 3" xfId="4561"/>
    <cellStyle name="Normal 7 5 2 2 5 3" xfId="4562"/>
    <cellStyle name="Normal 2 3 3 2 2 5 3" xfId="4563"/>
    <cellStyle name="Normal 3 3 3 2 2 5 3" xfId="4564"/>
    <cellStyle name="Normal 4 2 3 2 2 5 3" xfId="4565"/>
    <cellStyle name="Normal 5 2 3 2 2 5 3" xfId="4566"/>
    <cellStyle name="Normal 7 2 3 2 2 5 3" xfId="4567"/>
    <cellStyle name="Normal 2 4 3 2 2 5 3" xfId="4568"/>
    <cellStyle name="Normal 3 4 3 2 2 5 3" xfId="4569"/>
    <cellStyle name="Normal 4 3 3 2 2 5 3" xfId="4570"/>
    <cellStyle name="Normal 5 3 3 2 2 5 3" xfId="4571"/>
    <cellStyle name="Normal 7 3 3 2 2 5 3" xfId="4572"/>
    <cellStyle name="Normal 2 9 3 3" xfId="4573"/>
    <cellStyle name="Normal 3 9 3 3" xfId="4574"/>
    <cellStyle name="Normal 4 8 3 3" xfId="4575"/>
    <cellStyle name="Normal 5 8 3 3" xfId="4576"/>
    <cellStyle name="Normal 7 8 3 3" xfId="4577"/>
    <cellStyle name="Normal 2 3 6 3 3" xfId="4578"/>
    <cellStyle name="Normal 3 3 6 3 3" xfId="4579"/>
    <cellStyle name="Normal 4 2 6 3 3" xfId="4580"/>
    <cellStyle name="Normal 5 2 6 3 3" xfId="4581"/>
    <cellStyle name="Normal 7 2 6 3 3" xfId="4582"/>
    <cellStyle name="Normal 2 4 6 3 3" xfId="4583"/>
    <cellStyle name="Normal 3 4 6 3 3" xfId="4584"/>
    <cellStyle name="Normal 4 3 6 3 3" xfId="4585"/>
    <cellStyle name="Normal 5 3 6 3 3" xfId="4586"/>
    <cellStyle name="Normal 7 3 6 3 3" xfId="4587"/>
    <cellStyle name="Normal 2 5 4 3 3" xfId="4588"/>
    <cellStyle name="Normal 3 5 4 3 3" xfId="4589"/>
    <cellStyle name="Normal 4 4 4 3 3" xfId="4590"/>
    <cellStyle name="Normal 5 4 4 3 3" xfId="4591"/>
    <cellStyle name="Normal 7 4 4 3 3" xfId="4592"/>
    <cellStyle name="Normal 2 3 2 4 3 3" xfId="4593"/>
    <cellStyle name="Normal 3 3 2 4 3 3" xfId="4594"/>
    <cellStyle name="Normal 4 2 2 4 3 3" xfId="4595"/>
    <cellStyle name="Normal 5 2 2 4 3 3" xfId="4596"/>
    <cellStyle name="Normal 7 2 2 4 3 3" xfId="4597"/>
    <cellStyle name="Normal 2 4 2 4 3 3" xfId="4598"/>
    <cellStyle name="Normal 3 4 2 4 3 3" xfId="4599"/>
    <cellStyle name="Normal 4 3 2 4 3 3" xfId="4600"/>
    <cellStyle name="Normal 5 3 2 4 3 3" xfId="4601"/>
    <cellStyle name="Normal 7 3 2 4 3 3" xfId="4602"/>
    <cellStyle name="Normal 2 6 4 3 3" xfId="4603"/>
    <cellStyle name="Normal 3 6 4 3 3" xfId="4604"/>
    <cellStyle name="Normal 4 5 4 3 3" xfId="4605"/>
    <cellStyle name="Normal 5 5 4 3 3" xfId="4606"/>
    <cellStyle name="Normal 7 5 4 3 3" xfId="4607"/>
    <cellStyle name="Normal 2 3 3 4 3 3" xfId="4608"/>
    <cellStyle name="Normal 3 3 3 4 3 3" xfId="4609"/>
    <cellStyle name="Normal 4 2 3 4 3 3" xfId="4610"/>
    <cellStyle name="Normal 5 2 3 4 3 3" xfId="4611"/>
    <cellStyle name="Normal 7 2 3 4 3 3" xfId="4612"/>
    <cellStyle name="Normal 2 4 3 4 3 3" xfId="4613"/>
    <cellStyle name="Normal 3 4 3 4 3 3" xfId="4614"/>
    <cellStyle name="Normal 4 3 3 4 3 3" xfId="4615"/>
    <cellStyle name="Normal 5 3 3 4 3 3" xfId="4616"/>
    <cellStyle name="Normal 7 3 3 4 3 3" xfId="4617"/>
    <cellStyle name="Normal 2 7 3 3 3" xfId="4618"/>
    <cellStyle name="Normal 3 7 3 3 3" xfId="4619"/>
    <cellStyle name="Normal 4 6 3 3 3" xfId="4620"/>
    <cellStyle name="Normal 5 6 3 3 3" xfId="4621"/>
    <cellStyle name="Normal 7 6 3 3 3" xfId="4622"/>
    <cellStyle name="Normal 2 3 4 3 3 3" xfId="4623"/>
    <cellStyle name="Normal 3 3 4 3 3 3" xfId="4624"/>
    <cellStyle name="Normal 4 2 4 3 3 3" xfId="4625"/>
    <cellStyle name="Normal 5 2 4 3 3 3" xfId="4626"/>
    <cellStyle name="Normal 7 2 4 3 3 3" xfId="4627"/>
    <cellStyle name="Normal 2 4 4 3 3 3" xfId="4628"/>
    <cellStyle name="Normal 3 4 4 3 3 3" xfId="4629"/>
    <cellStyle name="Normal 4 3 4 3 3 3" xfId="4630"/>
    <cellStyle name="Normal 5 3 4 3 3 3" xfId="4631"/>
    <cellStyle name="Normal 7 3 4 3 3 3" xfId="4632"/>
    <cellStyle name="Normal 2 5 2 3 3 3" xfId="4633"/>
    <cellStyle name="Normal 3 5 2 3 3 3" xfId="4634"/>
    <cellStyle name="Normal 4 4 2 3 3 3" xfId="4635"/>
    <cellStyle name="Normal 5 4 2 3 3 3" xfId="4636"/>
    <cellStyle name="Normal 7 4 2 3 3 3" xfId="4637"/>
    <cellStyle name="Normal 2 3 2 2 3 3 3" xfId="4638"/>
    <cellStyle name="Normal 3 3 2 2 3 3 3" xfId="4639"/>
    <cellStyle name="Normal 4 2 2 2 3 3 3" xfId="4640"/>
    <cellStyle name="Normal 5 2 2 2 3 3 3" xfId="4641"/>
    <cellStyle name="Normal 7 2 2 2 3 3 3" xfId="4642"/>
    <cellStyle name="Normal 2 4 2 2 3 3 3" xfId="4643"/>
    <cellStyle name="Normal 3 4 2 2 3 3 3" xfId="4644"/>
    <cellStyle name="Normal 4 3 2 2 3 3 3" xfId="4645"/>
    <cellStyle name="Normal 5 3 2 2 3 3 3" xfId="4646"/>
    <cellStyle name="Normal 7 3 2 2 3 3 3" xfId="4647"/>
    <cellStyle name="Normal 2 6 2 3 3 3" xfId="4648"/>
    <cellStyle name="Normal 3 6 2 3 3 3" xfId="4649"/>
    <cellStyle name="Normal 4 5 2 3 3 3" xfId="4650"/>
    <cellStyle name="Normal 5 5 2 3 3 3" xfId="4651"/>
    <cellStyle name="Normal 7 5 2 3 3 3" xfId="4652"/>
    <cellStyle name="Normal 2 3 3 2 3 3 3" xfId="4653"/>
    <cellStyle name="Normal 3 3 3 2 3 3 3" xfId="4654"/>
    <cellStyle name="Normal 4 2 3 2 3 3 3" xfId="4655"/>
    <cellStyle name="Normal 5 2 3 2 3 3 3" xfId="4656"/>
    <cellStyle name="Normal 7 2 3 2 3 3 3" xfId="4657"/>
    <cellStyle name="Normal 2 4 3 2 3 3 3" xfId="4658"/>
    <cellStyle name="Normal 3 4 3 2 3 3 3" xfId="4659"/>
    <cellStyle name="Normal 4 3 3 2 3 3 3" xfId="4660"/>
    <cellStyle name="Normal 5 3 3 2 3 3 3" xfId="4661"/>
    <cellStyle name="Normal 7 3 3 2 3 3 3" xfId="4662"/>
    <cellStyle name="Normal 2 8 2 3 3" xfId="4663"/>
    <cellStyle name="Normal 3 8 2 3 3" xfId="4664"/>
    <cellStyle name="Normal 4 7 2 3 3" xfId="4665"/>
    <cellStyle name="Normal 5 7 2 3 3" xfId="4666"/>
    <cellStyle name="Normal 7 7 2 3 3" xfId="4667"/>
    <cellStyle name="Normal 2 3 5 2 3 3" xfId="4668"/>
    <cellStyle name="Normal 3 3 5 2 3 3" xfId="4669"/>
    <cellStyle name="Normal 4 2 5 2 3 3" xfId="4670"/>
    <cellStyle name="Normal 5 2 5 2 3 3" xfId="4671"/>
    <cellStyle name="Normal 7 2 5 2 3 3" xfId="4672"/>
    <cellStyle name="Normal 2 4 5 2 3 3" xfId="4673"/>
    <cellStyle name="Normal 3 4 5 2 3 3" xfId="4674"/>
    <cellStyle name="Normal 4 3 5 2 3 3" xfId="4675"/>
    <cellStyle name="Normal 5 3 5 2 3 3" xfId="4676"/>
    <cellStyle name="Normal 7 3 5 2 3 3" xfId="4677"/>
    <cellStyle name="Normal 2 5 3 2 3 3" xfId="4678"/>
    <cellStyle name="Normal 3 5 3 2 3 3" xfId="4679"/>
    <cellStyle name="Normal 4 4 3 2 3 3" xfId="4680"/>
    <cellStyle name="Normal 5 4 3 2 3 3" xfId="4681"/>
    <cellStyle name="Normal 7 4 3 2 3 3" xfId="4682"/>
    <cellStyle name="Normal 2 3 2 3 2 3 3" xfId="4683"/>
    <cellStyle name="Normal 3 3 2 3 2 3 3" xfId="4684"/>
    <cellStyle name="Normal 4 2 2 3 2 3 3" xfId="4685"/>
    <cellStyle name="Normal 5 2 2 3 2 3 3" xfId="4686"/>
    <cellStyle name="Normal 7 2 2 3 2 3 3" xfId="4687"/>
    <cellStyle name="Normal 2 4 2 3 2 3 3" xfId="4688"/>
    <cellStyle name="Normal 3 4 2 3 2 3 3" xfId="4689"/>
    <cellStyle name="Normal 4 3 2 3 2 3 3" xfId="4690"/>
    <cellStyle name="Normal 5 3 2 3 2 3 3" xfId="4691"/>
    <cellStyle name="Normal 7 3 2 3 2 3 3" xfId="4692"/>
    <cellStyle name="Normal 2 6 3 2 3 3" xfId="4693"/>
    <cellStyle name="Normal 3 6 3 2 3 3" xfId="4694"/>
    <cellStyle name="Normal 4 5 3 2 3 3" xfId="4695"/>
    <cellStyle name="Normal 5 5 3 2 3 3" xfId="4696"/>
    <cellStyle name="Normal 7 5 3 2 3 3" xfId="4697"/>
    <cellStyle name="Normal 2 3 3 3 2 3 3" xfId="4698"/>
    <cellStyle name="Normal 3 3 3 3 2 3 3" xfId="4699"/>
    <cellStyle name="Normal 4 2 3 3 2 3 3" xfId="4700"/>
    <cellStyle name="Normal 5 2 3 3 2 3 3" xfId="4701"/>
    <cellStyle name="Normal 7 2 3 3 2 3 3" xfId="4702"/>
    <cellStyle name="Normal 2 4 3 3 2 3 3" xfId="4703"/>
    <cellStyle name="Normal 3 4 3 3 2 3 3" xfId="4704"/>
    <cellStyle name="Normal 4 3 3 3 2 3 3" xfId="4705"/>
    <cellStyle name="Normal 5 3 3 3 2 3 3" xfId="4706"/>
    <cellStyle name="Normal 7 3 3 3 2 3 3" xfId="4707"/>
    <cellStyle name="Normal 2 7 2 2 3 3" xfId="4708"/>
    <cellStyle name="Normal 3 7 2 2 3 3" xfId="4709"/>
    <cellStyle name="Normal 4 6 2 2 3 3" xfId="4710"/>
    <cellStyle name="Normal 5 6 2 2 3 3" xfId="4711"/>
    <cellStyle name="Normal 7 6 2 2 3 3" xfId="4712"/>
    <cellStyle name="Normal 2 3 4 2 2 3 3" xfId="4713"/>
    <cellStyle name="Normal 3 3 4 2 2 3 3" xfId="4714"/>
    <cellStyle name="Normal 4 2 4 2 2 3 3" xfId="4715"/>
    <cellStyle name="Normal 5 2 4 2 2 3 3" xfId="4716"/>
    <cellStyle name="Normal 7 2 4 2 2 3 3" xfId="4717"/>
    <cellStyle name="Normal 2 4 4 2 2 3 3" xfId="4718"/>
    <cellStyle name="Normal 3 4 4 2 2 3 3" xfId="4719"/>
    <cellStyle name="Normal 4 3 4 2 2 3 3" xfId="4720"/>
    <cellStyle name="Normal 5 3 4 2 2 3 3" xfId="4721"/>
    <cellStyle name="Normal 7 3 4 2 2 3 3" xfId="4722"/>
    <cellStyle name="Normal 2 5 2 2 2 3 3" xfId="4723"/>
    <cellStyle name="Normal 3 5 2 2 2 3 3" xfId="4724"/>
    <cellStyle name="Normal 4 4 2 2 2 3 3" xfId="4725"/>
    <cellStyle name="Normal 5 4 2 2 2 3 3" xfId="4726"/>
    <cellStyle name="Normal 7 4 2 2 2 3 3" xfId="4727"/>
    <cellStyle name="Normal 2 3 2 2 2 2 3 3" xfId="4728"/>
    <cellStyle name="Normal 3 3 2 2 2 2 3 3" xfId="4729"/>
    <cellStyle name="Normal 4 2 2 2 2 2 3 3" xfId="4730"/>
    <cellStyle name="Normal 5 2 2 2 2 2 3 3" xfId="4731"/>
    <cellStyle name="Normal 7 2 2 2 2 2 3 3" xfId="4732"/>
    <cellStyle name="Normal 2 4 2 2 2 2 3 3" xfId="4733"/>
    <cellStyle name="Normal 3 4 2 2 2 2 3 3" xfId="4734"/>
    <cellStyle name="Normal 4 3 2 2 2 2 3 3" xfId="4735"/>
    <cellStyle name="Normal 5 3 2 2 2 2 3 3" xfId="4736"/>
    <cellStyle name="Normal 7 3 2 2 2 2 3 3" xfId="4737"/>
    <cellStyle name="Normal 2 6 2 2 2 3 3" xfId="4738"/>
    <cellStyle name="Normal 3 6 2 2 2 3 3" xfId="4739"/>
    <cellStyle name="Normal 4 5 2 2 2 3 3" xfId="4740"/>
    <cellStyle name="Normal 5 5 2 2 2 3 3" xfId="4741"/>
    <cellStyle name="Normal 7 5 2 2 2 3 3" xfId="4742"/>
    <cellStyle name="Normal 2 3 3 2 2 2 3 3" xfId="4743"/>
    <cellStyle name="Normal 3 3 3 2 2 2 3 3" xfId="4744"/>
    <cellStyle name="Normal 4 2 3 2 2 2 3 3" xfId="4745"/>
    <cellStyle name="Normal 5 2 3 2 2 2 3 3" xfId="4746"/>
    <cellStyle name="Normal 7 2 3 2 2 2 3 3" xfId="4747"/>
    <cellStyle name="Normal 2 4 3 2 2 2 3 3" xfId="4748"/>
    <cellStyle name="Normal 3 4 3 2 2 2 3 3" xfId="4749"/>
    <cellStyle name="Normal 4 3 3 2 2 2 3 3" xfId="4750"/>
    <cellStyle name="Normal 5 3 3 2 2 2 3 3" xfId="4751"/>
    <cellStyle name="Normal 7 3 3 2 2 2 3 3" xfId="4752"/>
    <cellStyle name="Normal 28 3 3" xfId="4753"/>
    <cellStyle name="Normal 2 3 7 3 3" xfId="4754"/>
    <cellStyle name="Normal 3 10 3 3" xfId="4755"/>
    <cellStyle name="Normal 4 9 3 3" xfId="4756"/>
    <cellStyle name="Normal 5 9 3 3" xfId="4757"/>
    <cellStyle name="Millares 4 3 3" xfId="4758"/>
    <cellStyle name="Normal 7 2 7 3 3" xfId="4759"/>
    <cellStyle name="Normal 3 3 7 3 3" xfId="4760"/>
    <cellStyle name="Normal 4 2 7 3 3" xfId="4761"/>
    <cellStyle name="Normal 5 2 7 3 3" xfId="4762"/>
    <cellStyle name="Normal 2 4 5 3 3 3" xfId="4763"/>
    <cellStyle name="Normal 3 4 7 3 3" xfId="4764"/>
    <cellStyle name="Normal 4 3 7 3 3" xfId="4765"/>
    <cellStyle name="Normal 5 3 7 3 3" xfId="4766"/>
    <cellStyle name="Normal 7 3 7 3 3" xfId="4767"/>
    <cellStyle name="Normal 2 5 5 3 3" xfId="4768"/>
    <cellStyle name="Normal 3 5 5 3 3" xfId="4769"/>
    <cellStyle name="Normal 4 4 5 3 3" xfId="4770"/>
    <cellStyle name="Normal 5 4 5 3 3" xfId="4771"/>
    <cellStyle name="Normal 7 4 5 3 3" xfId="4772"/>
    <cellStyle name="Normal 2 3 2 5 3 3" xfId="4773"/>
    <cellStyle name="Normal 3 3 2 5 3 3" xfId="4774"/>
    <cellStyle name="Normal 4 2 2 5 3 3" xfId="4775"/>
    <cellStyle name="Normal 5 2 2 5 3 3" xfId="4776"/>
    <cellStyle name="Normal 7 2 2 5 3 3" xfId="4777"/>
    <cellStyle name="Normal 2 4 2 5 3 3" xfId="4778"/>
    <cellStyle name="Normal 3 4 2 5 3 3" xfId="4779"/>
    <cellStyle name="Normal 4 3 2 5 3 3" xfId="4780"/>
    <cellStyle name="Normal 5 3 2 5 3 3" xfId="4781"/>
    <cellStyle name="Normal 7 3 2 5 3 3" xfId="4782"/>
    <cellStyle name="Normal 2 6 5 3 3" xfId="4783"/>
    <cellStyle name="Normal 3 6 5 3 3" xfId="4784"/>
    <cellStyle name="Normal 4 5 5 3 3" xfId="4785"/>
    <cellStyle name="Normal 5 5 5 3 3" xfId="4786"/>
    <cellStyle name="Normal 7 5 5 3 3" xfId="4787"/>
    <cellStyle name="Normal 2 3 3 5 3 3" xfId="4788"/>
    <cellStyle name="Normal 3 3 3 5 3 3" xfId="4789"/>
    <cellStyle name="Normal 4 2 3 5 3 3" xfId="4790"/>
    <cellStyle name="Normal 5 2 3 5 3 3" xfId="4791"/>
    <cellStyle name="Normal 7 2 3 5 3 3" xfId="4792"/>
    <cellStyle name="Normal 2 4 3 5 3 3" xfId="4793"/>
    <cellStyle name="Normal 3 4 3 5 3 3" xfId="4794"/>
    <cellStyle name="Normal 4 3 3 5 3 3" xfId="4795"/>
    <cellStyle name="Normal 5 3 3 5 3 3" xfId="4796"/>
    <cellStyle name="Normal 7 3 3 5 3 3" xfId="4797"/>
    <cellStyle name="Normal 2 7 4 3 3" xfId="4798"/>
    <cellStyle name="Normal 3 7 4 3 3" xfId="4799"/>
    <cellStyle name="Normal 4 6 4 3 3" xfId="4800"/>
    <cellStyle name="Normal 5 6 4 3 3" xfId="4801"/>
    <cellStyle name="Normal 7 6 4 3 3" xfId="4802"/>
    <cellStyle name="Normal 2 3 4 4 3 3" xfId="4803"/>
    <cellStyle name="Normal 3 3 4 4 3 3" xfId="4804"/>
    <cellStyle name="Normal 4 2 4 4 3 3" xfId="4805"/>
    <cellStyle name="Normal 5 2 4 4 3 3" xfId="4806"/>
    <cellStyle name="Normal 7 2 4 4 3 3" xfId="4807"/>
    <cellStyle name="Normal 2 4 4 4 3 3" xfId="4808"/>
    <cellStyle name="Normal 3 4 4 4 3 3" xfId="4809"/>
    <cellStyle name="Normal 4 3 4 4 3 3" xfId="4810"/>
    <cellStyle name="Normal 5 3 4 4 3 3" xfId="4811"/>
    <cellStyle name="Normal 7 3 4 4 3 3" xfId="4812"/>
    <cellStyle name="Normal 2 5 2 4 3 3" xfId="4813"/>
    <cellStyle name="Normal 3 5 2 4 3 3" xfId="4814"/>
    <cellStyle name="Normal 4 4 2 4 3 3" xfId="4815"/>
    <cellStyle name="Normal 5 4 2 4 3 3" xfId="4816"/>
    <cellStyle name="Normal 7 4 2 4 3 3" xfId="4817"/>
    <cellStyle name="Normal 2 3 2 2 4 3 3" xfId="4818"/>
    <cellStyle name="Normal 3 3 2 2 4 3 3" xfId="4819"/>
    <cellStyle name="Normal 4 2 2 2 4 3 3" xfId="4820"/>
    <cellStyle name="Normal 5 2 2 2 4 3 3" xfId="4821"/>
    <cellStyle name="Normal 7 2 2 2 4 3 3" xfId="4822"/>
    <cellStyle name="Normal 2 4 2 2 4 3 3" xfId="4823"/>
    <cellStyle name="Normal 3 4 2 2 4 3 3" xfId="4824"/>
    <cellStyle name="Normal 4 3 2 2 4 3 3" xfId="4825"/>
    <cellStyle name="Normal 5 3 2 2 4 3 3" xfId="4826"/>
    <cellStyle name="Normal 7 3 2 2 4 3 3" xfId="4827"/>
    <cellStyle name="Normal 2 6 2 4 3 3" xfId="4828"/>
    <cellStyle name="Normal 3 6 2 4 3 3" xfId="4829"/>
    <cellStyle name="Normal 4 5 2 4 3 3" xfId="4830"/>
    <cellStyle name="Normal 5 5 2 4 3 3" xfId="4831"/>
    <cellStyle name="Normal 7 5 2 4 3 3" xfId="4832"/>
    <cellStyle name="Normal 2 3 3 2 4 3 3" xfId="4833"/>
    <cellStyle name="Normal 3 3 3 2 4 3 3" xfId="4834"/>
    <cellStyle name="Normal 4 2 3 2 4 3 3" xfId="4835"/>
    <cellStyle name="Normal 5 2 3 2 4 3 3" xfId="4836"/>
    <cellStyle name="Normal 7 2 3 2 4 3 3" xfId="4837"/>
    <cellStyle name="Normal 2 4 3 2 4 3 3" xfId="4838"/>
    <cellStyle name="Normal 3 4 3 2 4 3 3" xfId="4839"/>
    <cellStyle name="Normal 4 3 3 2 4 3 3" xfId="4840"/>
    <cellStyle name="Normal 5 3 3 2 4 3 3" xfId="4841"/>
    <cellStyle name="Normal 7 3 3 2 4 3 3" xfId="4842"/>
    <cellStyle name="Normal 2 8 3 3 3" xfId="4843"/>
    <cellStyle name="Normal 3 8 3 3 3" xfId="4844"/>
    <cellStyle name="Normal 4 7 3 3 3" xfId="4845"/>
    <cellStyle name="Normal 5 7 3 3 3" xfId="4846"/>
    <cellStyle name="Normal 7 7 3 3 3" xfId="4847"/>
    <cellStyle name="Normal 2 3 5 3 3 3" xfId="4848"/>
    <cellStyle name="Normal 3 3 5 3 3 3" xfId="4849"/>
    <cellStyle name="Normal 4 2 5 3 3 3" xfId="4850"/>
    <cellStyle name="Normal 5 2 5 3 3 3" xfId="4851"/>
    <cellStyle name="Normal 7 2 5 3 3 3" xfId="4852"/>
    <cellStyle name="Normal 3 4 5 3 3 3" xfId="4853"/>
    <cellStyle name="Normal 4 3 5 3 3 3" xfId="4854"/>
    <cellStyle name="Normal 5 3 5 3 3 3" xfId="4855"/>
    <cellStyle name="Normal 7 3 5 3 3 3" xfId="4856"/>
    <cellStyle name="Normal 2 5 3 3 3 3" xfId="4857"/>
    <cellStyle name="Normal 3 5 3 3 3 3" xfId="4858"/>
    <cellStyle name="Normal 4 4 3 3 3 3" xfId="4859"/>
    <cellStyle name="Normal 5 4 3 3 3 3" xfId="4860"/>
    <cellStyle name="Normal 7 4 3 3 3 3" xfId="4861"/>
    <cellStyle name="Normal 2 3 2 3 3 3 3" xfId="4862"/>
    <cellStyle name="Normal 3 3 2 3 3 3 3" xfId="4863"/>
    <cellStyle name="Normal 4 2 2 3 3 3 3" xfId="4864"/>
    <cellStyle name="Normal 5 2 2 3 3 3 3" xfId="4865"/>
    <cellStyle name="Normal 7 2 2 3 3 3 3" xfId="4866"/>
    <cellStyle name="Normal 2 4 2 3 3 3 3" xfId="4867"/>
    <cellStyle name="Normal 3 4 2 3 3 3 3" xfId="4868"/>
    <cellStyle name="Normal 4 3 2 3 3 3 3" xfId="4869"/>
    <cellStyle name="Normal 5 3 2 3 3 3 3" xfId="4870"/>
    <cellStyle name="Normal 7 3 2 3 3 3 3" xfId="4871"/>
    <cellStyle name="Normal 2 6 3 3 3 3" xfId="4872"/>
    <cellStyle name="Normal 3 6 3 3 3 3" xfId="4873"/>
    <cellStyle name="Normal 4 5 3 3 3 3" xfId="4874"/>
    <cellStyle name="Normal 5 5 3 3 3 3" xfId="4875"/>
    <cellStyle name="Normal 7 5 3 3 3 3" xfId="4876"/>
    <cellStyle name="Normal 2 3 3 3 3 3 3" xfId="4877"/>
    <cellStyle name="Normal 3 3 3 3 3 3 3" xfId="4878"/>
    <cellStyle name="Normal 4 2 3 3 3 3 3" xfId="4879"/>
    <cellStyle name="Normal 5 2 3 3 3 3 3" xfId="4880"/>
    <cellStyle name="Normal 7 2 3 3 3 3 3" xfId="4881"/>
    <cellStyle name="Normal 2 4 3 3 3 3 3" xfId="4882"/>
    <cellStyle name="Normal 3 4 3 3 3 3 3" xfId="4883"/>
    <cellStyle name="Normal 4 3 3 3 3 3 3" xfId="4884"/>
    <cellStyle name="Normal 5 3 3 3 3 3 3" xfId="4885"/>
    <cellStyle name="Normal 7 3 3 3 3 3 3" xfId="4886"/>
    <cellStyle name="Normal 2 7 2 3 3 3" xfId="4887"/>
    <cellStyle name="Normal 3 7 2 3 3 3" xfId="4888"/>
    <cellStyle name="Normal 4 6 2 3 3 3" xfId="4889"/>
    <cellStyle name="Normal 5 6 2 3 3 3" xfId="4890"/>
    <cellStyle name="Normal 7 6 2 3 3 3" xfId="4891"/>
    <cellStyle name="Normal 2 3 4 2 3 3 3" xfId="4892"/>
    <cellStyle name="Normal 3 3 4 2 3 3 3" xfId="4893"/>
    <cellStyle name="Normal 4 2 4 2 3 3 3" xfId="4894"/>
    <cellStyle name="Normal 5 2 4 2 3 3 3" xfId="4895"/>
    <cellStyle name="Normal 7 2 4 2 3 3 3" xfId="4896"/>
    <cellStyle name="Normal 2 4 4 2 3 3 3" xfId="4897"/>
    <cellStyle name="Normal 3 4 4 2 3 3 3" xfId="4898"/>
    <cellStyle name="Normal 4 3 4 2 3 3 3" xfId="4899"/>
    <cellStyle name="Normal 5 3 4 2 3 3 3" xfId="4900"/>
    <cellStyle name="Normal 7 3 4 2 3 3 3" xfId="4901"/>
    <cellStyle name="Normal 2 5 2 2 3 3 3" xfId="4902"/>
    <cellStyle name="Normal 3 5 2 2 3 3 3" xfId="4903"/>
    <cellStyle name="Normal 4 4 2 2 3 3 3" xfId="4904"/>
    <cellStyle name="Normal 5 4 2 2 3 3 3" xfId="4905"/>
    <cellStyle name="Normal 7 4 2 2 3 3 3" xfId="4906"/>
    <cellStyle name="Normal 2 3 2 2 2 3 3 3" xfId="4907"/>
    <cellStyle name="Normal 3 3 2 2 2 3 3 3" xfId="4908"/>
    <cellStyle name="Normal 4 2 2 2 2 3 3 3" xfId="4909"/>
    <cellStyle name="Normal 5 2 2 2 2 3 3 3" xfId="4910"/>
    <cellStyle name="Normal 7 2 2 2 2 3 3 3" xfId="4911"/>
    <cellStyle name="Normal 2 4 2 2 2 3 3 3" xfId="4912"/>
    <cellStyle name="Normal 3 4 2 2 2 3 3 3" xfId="4913"/>
    <cellStyle name="Normal 4 3 2 2 2 3 3 3" xfId="4914"/>
    <cellStyle name="Normal 5 3 2 2 2 3 3 3" xfId="4915"/>
    <cellStyle name="Normal 7 3 2 2 2 3 3 3" xfId="4916"/>
    <cellStyle name="Normal 2 6 2 2 3 3 3" xfId="4917"/>
    <cellStyle name="Normal 3 6 2 2 3 3 3" xfId="4918"/>
    <cellStyle name="Normal 4 5 2 2 3 3 3" xfId="4919"/>
    <cellStyle name="Normal 5 5 2 2 3 3 3" xfId="4920"/>
    <cellStyle name="Normal 7 5 2 2 3 3 3" xfId="4921"/>
    <cellStyle name="Normal 2 3 3 2 2 3 3 3" xfId="4922"/>
    <cellStyle name="Normal 3 3 3 2 2 3 3 3" xfId="4923"/>
    <cellStyle name="Normal 4 2 3 2 2 3 3 3" xfId="4924"/>
    <cellStyle name="Normal 5 2 3 2 2 3 3 3" xfId="4925"/>
    <cellStyle name="Normal 7 2 3 2 2 3 3 3" xfId="4926"/>
    <cellStyle name="Normal 2 4 3 2 2 3 3 3" xfId="4927"/>
    <cellStyle name="Normal 3 4 3 2 2 3 3 3" xfId="4928"/>
    <cellStyle name="Normal 4 3 3 2 2 3 3 3" xfId="4929"/>
    <cellStyle name="Normal 5 3 3 2 2 3 3 3" xfId="4930"/>
    <cellStyle name="Normal 7 3 3 2 2 3 3 3" xfId="4931"/>
    <cellStyle name="Normal 2 13 2" xfId="4932"/>
    <cellStyle name="Normal 3 13 2" xfId="4933"/>
    <cellStyle name="Normal 4 12 2" xfId="4934"/>
    <cellStyle name="Normal 5 12 2" xfId="4935"/>
    <cellStyle name="Normal 7 12 2" xfId="4936"/>
    <cellStyle name="Normal 2 3 10 2" xfId="4937"/>
    <cellStyle name="Normal 3 3 10 2" xfId="4938"/>
    <cellStyle name="Normal 4 2 10 2" xfId="4939"/>
    <cellStyle name="Normal 5 2 10 2" xfId="4940"/>
    <cellStyle name="Normal 7 2 10 2" xfId="4941"/>
    <cellStyle name="Normal 2 4 10 2" xfId="4942"/>
    <cellStyle name="Normal 3 4 10 2" xfId="4943"/>
    <cellStyle name="Normal 4 3 10 2" xfId="4944"/>
    <cellStyle name="Normal 5 3 10 2" xfId="4945"/>
    <cellStyle name="Normal 7 3 10 2" xfId="4946"/>
    <cellStyle name="Normal 2 5 8 2" xfId="4947"/>
    <cellStyle name="Normal 3 5 8 2" xfId="4948"/>
    <cellStyle name="Normal 4 4 8 2" xfId="4949"/>
    <cellStyle name="Normal 5 4 8 2" xfId="4950"/>
    <cellStyle name="Normal 7 4 8 2" xfId="4951"/>
    <cellStyle name="Normal 2 3 2 8 2" xfId="4952"/>
    <cellStyle name="Normal 3 3 2 8 2" xfId="4953"/>
    <cellStyle name="Normal 4 2 2 8 2" xfId="4954"/>
    <cellStyle name="Normal 5 2 2 8 2" xfId="4955"/>
    <cellStyle name="Normal 7 2 2 8 2" xfId="4956"/>
    <cellStyle name="Normal 2 4 2 8 2" xfId="4957"/>
    <cellStyle name="Normal 3 4 2 8 2" xfId="4958"/>
    <cellStyle name="Normal 4 3 2 8 2" xfId="4959"/>
    <cellStyle name="Normal 5 3 2 8 2" xfId="4960"/>
    <cellStyle name="Normal 7 3 2 8 2" xfId="4961"/>
    <cellStyle name="Normal 2 6 8 2" xfId="4962"/>
    <cellStyle name="Normal 3 6 8 2" xfId="4963"/>
    <cellStyle name="Normal 4 5 8 2" xfId="4964"/>
    <cellStyle name="Normal 5 5 8 2" xfId="4965"/>
    <cellStyle name="Normal 7 5 8 2" xfId="4966"/>
    <cellStyle name="Normal 2 3 3 8 2" xfId="4967"/>
    <cellStyle name="Normal 3 3 3 8 2" xfId="4968"/>
    <cellStyle name="Normal 4 2 3 8 2" xfId="4969"/>
    <cellStyle name="Normal 5 2 3 8 2" xfId="4970"/>
    <cellStyle name="Normal 7 2 3 8 2" xfId="4971"/>
    <cellStyle name="Normal 2 4 3 8 2" xfId="4972"/>
    <cellStyle name="Normal 3 4 3 8 2" xfId="4973"/>
    <cellStyle name="Normal 4 3 3 8 2" xfId="4974"/>
    <cellStyle name="Normal 5 3 3 8 2" xfId="4975"/>
    <cellStyle name="Normal 7 3 3 8 2" xfId="4976"/>
    <cellStyle name="Normal 2 7 7 2" xfId="4977"/>
    <cellStyle name="Normal 3 7 7 2" xfId="4978"/>
    <cellStyle name="Normal 4 6 7 2" xfId="4979"/>
    <cellStyle name="Normal 5 6 7 2" xfId="4980"/>
    <cellStyle name="Normal 7 6 7 2" xfId="4981"/>
    <cellStyle name="Normal 2 3 4 7 2" xfId="4982"/>
    <cellStyle name="Normal 3 3 4 7 2" xfId="4983"/>
    <cellStyle name="Normal 4 2 4 7 2" xfId="4984"/>
    <cellStyle name="Normal 5 2 4 7 2" xfId="4985"/>
    <cellStyle name="Normal 7 2 4 7 2" xfId="4986"/>
    <cellStyle name="Normal 2 4 4 7 2" xfId="4987"/>
    <cellStyle name="Normal 3 4 4 7 2" xfId="4988"/>
    <cellStyle name="Normal 4 3 4 7 2" xfId="4989"/>
    <cellStyle name="Normal 5 3 4 7 2" xfId="4990"/>
    <cellStyle name="Normal 7 3 4 7 2" xfId="4991"/>
    <cellStyle name="Normal 2 5 2 7 2" xfId="4992"/>
    <cellStyle name="Normal 3 5 2 7 2" xfId="4993"/>
    <cellStyle name="Normal 4 4 2 7 2" xfId="4994"/>
    <cellStyle name="Normal 5 4 2 7 2" xfId="4995"/>
    <cellStyle name="Normal 7 4 2 7 2" xfId="4996"/>
    <cellStyle name="Normal 2 3 2 2 7 2" xfId="4997"/>
    <cellStyle name="Normal 3 3 2 2 7 2" xfId="4998"/>
    <cellStyle name="Normal 4 2 2 2 7 2" xfId="4999"/>
    <cellStyle name="Normal 5 2 2 2 7 2" xfId="5000"/>
    <cellStyle name="Normal 7 2 2 2 7 2" xfId="5001"/>
    <cellStyle name="Normal 2 4 2 2 7 2" xfId="5002"/>
    <cellStyle name="Normal 3 4 2 2 7 2" xfId="5003"/>
    <cellStyle name="Normal 4 3 2 2 7 2" xfId="5004"/>
    <cellStyle name="Normal 5 3 2 2 7 2" xfId="5005"/>
    <cellStyle name="Normal 7 3 2 2 7 2" xfId="5006"/>
    <cellStyle name="Normal 2 6 2 7 2" xfId="5007"/>
    <cellStyle name="Normal 3 6 2 7 2" xfId="5008"/>
    <cellStyle name="Normal 4 5 2 7 2" xfId="5009"/>
    <cellStyle name="Normal 5 5 2 7 2" xfId="5010"/>
    <cellStyle name="Normal 7 5 2 7 2" xfId="5011"/>
    <cellStyle name="Normal 2 3 3 2 7 2" xfId="5012"/>
    <cellStyle name="Normal 3 3 3 2 7 2" xfId="5013"/>
    <cellStyle name="Normal 4 2 3 2 7 2" xfId="5014"/>
    <cellStyle name="Normal 5 2 3 2 7 2" xfId="5015"/>
    <cellStyle name="Normal 7 2 3 2 7 2" xfId="5016"/>
    <cellStyle name="Normal 2 4 3 2 7 2" xfId="5017"/>
    <cellStyle name="Normal 3 4 3 2 7 2" xfId="5018"/>
    <cellStyle name="Normal 4 3 3 2 7 2" xfId="5019"/>
    <cellStyle name="Normal 5 3 3 2 7 2" xfId="5020"/>
    <cellStyle name="Normal 7 3 3 2 7 2" xfId="5021"/>
    <cellStyle name="Normal 2 8 6 2" xfId="5022"/>
    <cellStyle name="Normal 3 8 6 2" xfId="5023"/>
    <cellStyle name="Normal 4 7 6 2" xfId="5024"/>
    <cellStyle name="Normal 5 7 6 2" xfId="5025"/>
    <cellStyle name="Normal 7 7 6 2" xfId="5026"/>
    <cellStyle name="Normal 2 3 5 6 2" xfId="5027"/>
    <cellStyle name="Normal 3 3 5 6 2" xfId="5028"/>
    <cellStyle name="Normal 4 2 5 6 2" xfId="5029"/>
    <cellStyle name="Normal 5 2 5 6 2" xfId="5030"/>
    <cellStyle name="Normal 7 2 5 6 2" xfId="5031"/>
    <cellStyle name="Normal 2 4 5 6 2" xfId="5032"/>
    <cellStyle name="Normal 3 4 5 6 2" xfId="5033"/>
    <cellStyle name="Normal 4 3 5 6 2" xfId="5034"/>
    <cellStyle name="Normal 5 3 5 6 2" xfId="5035"/>
    <cellStyle name="Normal 7 3 5 6 2" xfId="5036"/>
    <cellStyle name="Normal 2 5 3 6 2" xfId="5037"/>
    <cellStyle name="Normal 3 5 3 6 2" xfId="5038"/>
    <cellStyle name="Normal 4 4 3 6 2" xfId="5039"/>
    <cellStyle name="Normal 5 4 3 6 2" xfId="5040"/>
    <cellStyle name="Normal 7 4 3 6 2" xfId="5041"/>
    <cellStyle name="Normal 2 3 2 3 6 2" xfId="5042"/>
    <cellStyle name="Normal 3 3 2 3 6 2" xfId="5043"/>
    <cellStyle name="Normal 4 2 2 3 6 2" xfId="5044"/>
    <cellStyle name="Normal 5 2 2 3 6 2" xfId="5045"/>
    <cellStyle name="Normal 7 2 2 3 6 2" xfId="5046"/>
    <cellStyle name="Normal 2 4 2 3 6 2" xfId="5047"/>
    <cellStyle name="Normal 3 4 2 3 6 2" xfId="5048"/>
    <cellStyle name="Normal 4 3 2 3 6 2" xfId="5049"/>
    <cellStyle name="Normal 5 3 2 3 6 2" xfId="5050"/>
    <cellStyle name="Normal 7 3 2 3 6 2" xfId="5051"/>
    <cellStyle name="Normal 2 6 3 6 2" xfId="5052"/>
    <cellStyle name="Normal 3 6 3 6 2" xfId="5053"/>
    <cellStyle name="Normal 4 5 3 6 2" xfId="5054"/>
    <cellStyle name="Normal 5 5 3 6 2" xfId="5055"/>
    <cellStyle name="Normal 7 5 3 6 2" xfId="5056"/>
    <cellStyle name="Normal 2 3 3 3 6 2" xfId="5057"/>
    <cellStyle name="Normal 3 3 3 3 6 2" xfId="5058"/>
    <cellStyle name="Normal 4 2 3 3 6 2" xfId="5059"/>
    <cellStyle name="Normal 5 2 3 3 6 2" xfId="5060"/>
    <cellStyle name="Normal 7 2 3 3 6 2" xfId="5061"/>
    <cellStyle name="Normal 2 4 3 3 6 2" xfId="5062"/>
    <cellStyle name="Normal 3 4 3 3 6 2" xfId="5063"/>
    <cellStyle name="Normal 4 3 3 3 6 2" xfId="5064"/>
    <cellStyle name="Normal 5 3 3 3 6 2" xfId="5065"/>
    <cellStyle name="Normal 7 3 3 3 6 2" xfId="5066"/>
    <cellStyle name="Normal 2 7 2 6 2" xfId="5067"/>
    <cellStyle name="Normal 3 7 2 6 2" xfId="5068"/>
    <cellStyle name="Normal 4 6 2 6 2" xfId="5069"/>
    <cellStyle name="Normal 5 6 2 6 2" xfId="5070"/>
    <cellStyle name="Normal 7 6 2 6 2" xfId="5071"/>
    <cellStyle name="Normal 2 3 4 2 6 2" xfId="5072"/>
    <cellStyle name="Normal 3 3 4 2 6 2" xfId="5073"/>
    <cellStyle name="Normal 4 2 4 2 6 2" xfId="5074"/>
    <cellStyle name="Normal 5 2 4 2 6 2" xfId="5075"/>
    <cellStyle name="Normal 7 2 4 2 6 2" xfId="5076"/>
    <cellStyle name="Normal 2 4 4 2 6 2" xfId="5077"/>
    <cellStyle name="Normal 3 4 4 2 6 2" xfId="5078"/>
    <cellStyle name="Normal 4 3 4 2 6 2" xfId="5079"/>
    <cellStyle name="Normal 5 3 4 2 6 2" xfId="5080"/>
    <cellStyle name="Normal 7 3 4 2 6 2" xfId="5081"/>
    <cellStyle name="Normal 2 5 2 2 6 2" xfId="5082"/>
    <cellStyle name="Normal 3 5 2 2 6 2" xfId="5083"/>
    <cellStyle name="Normal 4 4 2 2 6 2" xfId="5084"/>
    <cellStyle name="Normal 5 4 2 2 6 2" xfId="5085"/>
    <cellStyle name="Normal 7 4 2 2 6 2" xfId="5086"/>
    <cellStyle name="Normal 2 3 2 2 2 6 2" xfId="5087"/>
    <cellStyle name="Normal 3 3 2 2 2 6 2" xfId="5088"/>
    <cellStyle name="Normal 4 2 2 2 2 6 2" xfId="5089"/>
    <cellStyle name="Normal 5 2 2 2 2 6 2" xfId="5090"/>
    <cellStyle name="Normal 7 2 2 2 2 6 2" xfId="5091"/>
    <cellStyle name="Normal 2 4 2 2 2 6 2" xfId="5092"/>
    <cellStyle name="Normal 3 4 2 2 2 6 2" xfId="5093"/>
    <cellStyle name="Normal 4 3 2 2 2 6 2" xfId="5094"/>
    <cellStyle name="Normal 5 3 2 2 2 6 2" xfId="5095"/>
    <cellStyle name="Normal 7 3 2 2 2 6 2" xfId="5096"/>
    <cellStyle name="Normal 2 6 2 2 6 2" xfId="5097"/>
    <cellStyle name="Normal 3 6 2 2 6 2" xfId="5098"/>
    <cellStyle name="Normal 4 5 2 2 6 2" xfId="5099"/>
    <cellStyle name="Normal 5 5 2 2 6 2" xfId="5100"/>
    <cellStyle name="Normal 7 5 2 2 6 2" xfId="5101"/>
    <cellStyle name="Normal 2 3 3 2 2 6 2" xfId="5102"/>
    <cellStyle name="Normal 3 3 3 2 2 6 2" xfId="5103"/>
    <cellStyle name="Normal 4 2 3 2 2 6 2" xfId="5104"/>
    <cellStyle name="Normal 5 2 3 2 2 6 2" xfId="5105"/>
    <cellStyle name="Normal 7 2 3 2 2 6 2" xfId="5106"/>
    <cellStyle name="Normal 2 4 3 2 2 6 2" xfId="5107"/>
    <cellStyle name="Normal 3 4 3 2 2 6 2" xfId="5108"/>
    <cellStyle name="Normal 4 3 3 2 2 6 2" xfId="5109"/>
    <cellStyle name="Normal 5 3 3 2 2 6 2" xfId="5110"/>
    <cellStyle name="Normal 7 3 3 2 2 6 2" xfId="5111"/>
    <cellStyle name="Normal 2 9 4 2" xfId="5112"/>
    <cellStyle name="Normal 3 9 4 2" xfId="5113"/>
    <cellStyle name="Normal 4 8 4 2" xfId="5114"/>
    <cellStyle name="Normal 5 8 4 2" xfId="5115"/>
    <cellStyle name="Normal 7 8 4 2" xfId="5116"/>
    <cellStyle name="Normal 2 3 6 4 2" xfId="5117"/>
    <cellStyle name="Normal 3 3 6 4 2" xfId="5118"/>
    <cellStyle name="Normal 4 2 6 4 2" xfId="5119"/>
    <cellStyle name="Normal 5 2 6 4 2" xfId="5120"/>
    <cellStyle name="Normal 7 2 6 4 2" xfId="5121"/>
    <cellStyle name="Normal 2 4 6 4 2" xfId="5122"/>
    <cellStyle name="Normal 3 4 6 4 2" xfId="5123"/>
    <cellStyle name="Normal 4 3 6 4 2" xfId="5124"/>
    <cellStyle name="Normal 5 3 6 4 2" xfId="5125"/>
    <cellStyle name="Normal 7 3 6 4 2" xfId="5126"/>
    <cellStyle name="Normal 2 5 4 4 2" xfId="5127"/>
    <cellStyle name="Normal 3 5 4 4 2" xfId="5128"/>
    <cellStyle name="Normal 4 4 4 4 2" xfId="5129"/>
    <cellStyle name="Normal 5 4 4 4 2" xfId="5130"/>
    <cellStyle name="Normal 7 4 4 4 2" xfId="5131"/>
    <cellStyle name="Normal 2 3 2 4 4 2" xfId="5132"/>
    <cellStyle name="Normal 3 3 2 4 4 2" xfId="5133"/>
    <cellStyle name="Normal 4 2 2 4 4 2" xfId="5134"/>
    <cellStyle name="Normal 5 2 2 4 4 2" xfId="5135"/>
    <cellStyle name="Normal 7 2 2 4 4 2" xfId="5136"/>
    <cellStyle name="Normal 2 4 2 4 4 2" xfId="5137"/>
    <cellStyle name="Normal 3 4 2 4 4 2" xfId="5138"/>
    <cellStyle name="Normal 4 3 2 4 4 2" xfId="5139"/>
    <cellStyle name="Normal 5 3 2 4 4 2" xfId="5140"/>
    <cellStyle name="Normal 7 3 2 4 4 2" xfId="5141"/>
    <cellStyle name="Normal 2 6 4 4 2" xfId="5142"/>
    <cellStyle name="Normal 3 6 4 4 2" xfId="5143"/>
    <cellStyle name="Normal 4 5 4 4 2" xfId="5144"/>
    <cellStyle name="Normal 5 5 4 4 2" xfId="5145"/>
    <cellStyle name="Normal 7 5 4 4 2" xfId="5146"/>
    <cellStyle name="Normal 2 3 3 4 4 2" xfId="5147"/>
    <cellStyle name="Normal 3 3 3 4 4 2" xfId="5148"/>
    <cellStyle name="Normal 4 2 3 4 4 2" xfId="5149"/>
    <cellStyle name="Normal 5 2 3 4 4 2" xfId="5150"/>
    <cellStyle name="Normal 7 2 3 4 4 2" xfId="5151"/>
    <cellStyle name="Normal 2 4 3 4 4 2" xfId="5152"/>
    <cellStyle name="Normal 3 4 3 4 4 2" xfId="5153"/>
    <cellStyle name="Normal 4 3 3 4 4 2" xfId="5154"/>
    <cellStyle name="Normal 5 3 3 4 4 2" xfId="5155"/>
    <cellStyle name="Normal 7 3 3 4 4 2" xfId="5156"/>
    <cellStyle name="Normal 2 7 3 4 2" xfId="5157"/>
    <cellStyle name="Normal 3 7 3 4 2" xfId="5158"/>
    <cellStyle name="Normal 4 6 3 4 2" xfId="5159"/>
    <cellStyle name="Normal 5 6 3 4 2" xfId="5160"/>
    <cellStyle name="Normal 7 6 3 4 2" xfId="5161"/>
    <cellStyle name="Normal 2 3 4 3 4 2" xfId="5162"/>
    <cellStyle name="Normal 3 3 4 3 4 2" xfId="5163"/>
    <cellStyle name="Normal 4 2 4 3 4 2" xfId="5164"/>
    <cellStyle name="Normal 5 2 4 3 4 2" xfId="5165"/>
    <cellStyle name="Normal 7 2 4 3 4 2" xfId="5166"/>
    <cellStyle name="Normal 2 4 4 3 4 2" xfId="5167"/>
    <cellStyle name="Normal 3 4 4 3 4 2" xfId="5168"/>
    <cellStyle name="Normal 4 3 4 3 4 2" xfId="5169"/>
    <cellStyle name="Normal 5 3 4 3 4 2" xfId="5170"/>
    <cellStyle name="Normal 7 3 4 3 4 2" xfId="5171"/>
    <cellStyle name="Normal 2 5 2 3 4 2" xfId="5172"/>
    <cellStyle name="Normal 3 5 2 3 4 2" xfId="5173"/>
    <cellStyle name="Normal 4 4 2 3 4 2" xfId="5174"/>
    <cellStyle name="Normal 5 4 2 3 4 2" xfId="5175"/>
    <cellStyle name="Normal 7 4 2 3 4 2" xfId="5176"/>
    <cellStyle name="Normal 2 3 2 2 3 4 2" xfId="5177"/>
    <cellStyle name="Normal 3 3 2 2 3 4 2" xfId="5178"/>
    <cellStyle name="Normal 4 2 2 2 3 4 2" xfId="5179"/>
    <cellStyle name="Normal 5 2 2 2 3 4 2" xfId="5180"/>
    <cellStyle name="Normal 7 2 2 2 3 4 2" xfId="5181"/>
    <cellStyle name="Normal 2 4 2 2 3 4 2" xfId="5182"/>
    <cellStyle name="Normal 3 4 2 2 3 4 2" xfId="5183"/>
    <cellStyle name="Normal 4 3 2 2 3 4 2" xfId="5184"/>
    <cellStyle name="Normal 5 3 2 2 3 4 2" xfId="5185"/>
    <cellStyle name="Normal 7 3 2 2 3 4 2" xfId="5186"/>
    <cellStyle name="Normal 2 6 2 3 4 2" xfId="5187"/>
    <cellStyle name="Normal 3 6 2 3 4 2" xfId="5188"/>
    <cellStyle name="Normal 4 5 2 3 4 2" xfId="5189"/>
    <cellStyle name="Normal 5 5 2 3 4 2" xfId="5190"/>
    <cellStyle name="Normal 7 5 2 3 4 2" xfId="5191"/>
    <cellStyle name="Normal 2 3 3 2 3 4 2" xfId="5192"/>
    <cellStyle name="Normal 3 3 3 2 3 4 2" xfId="5193"/>
    <cellStyle name="Normal 4 2 3 2 3 4 2" xfId="5194"/>
    <cellStyle name="Normal 5 2 3 2 3 4 2" xfId="5195"/>
    <cellStyle name="Normal 7 2 3 2 3 4 2" xfId="5196"/>
    <cellStyle name="Normal 2 4 3 2 3 4 2" xfId="5197"/>
    <cellStyle name="Normal 3 4 3 2 3 4 2" xfId="5198"/>
    <cellStyle name="Normal 4 3 3 2 3 4 2" xfId="5199"/>
    <cellStyle name="Normal 5 3 3 2 3 4 2" xfId="5200"/>
    <cellStyle name="Normal 7 3 3 2 3 4 2" xfId="5201"/>
    <cellStyle name="Normal 2 8 2 4 2" xfId="5202"/>
    <cellStyle name="Normal 3 8 2 4 2" xfId="5203"/>
    <cellStyle name="Normal 4 7 2 4 2" xfId="5204"/>
    <cellStyle name="Normal 5 7 2 4 2" xfId="5205"/>
    <cellStyle name="Normal 7 7 2 4 2" xfId="5206"/>
    <cellStyle name="Normal 2 3 5 2 4 2" xfId="5207"/>
    <cellStyle name="Normal 3 3 5 2 4 2" xfId="5208"/>
    <cellStyle name="Normal 4 2 5 2 4 2" xfId="5209"/>
    <cellStyle name="Normal 5 2 5 2 4 2" xfId="5210"/>
    <cellStyle name="Normal 7 2 5 2 4 2" xfId="5211"/>
    <cellStyle name="Normal 2 4 5 2 4 2" xfId="5212"/>
    <cellStyle name="Normal 3 4 5 2 4 2" xfId="5213"/>
    <cellStyle name="Normal 4 3 5 2 4 2" xfId="5214"/>
    <cellStyle name="Normal 5 3 5 2 4 2" xfId="5215"/>
    <cellStyle name="Normal 7 3 5 2 4 2" xfId="5216"/>
    <cellStyle name="Normal 2 5 3 2 4 2" xfId="5217"/>
    <cellStyle name="Normal 3 5 3 2 4 2" xfId="5218"/>
    <cellStyle name="Normal 4 4 3 2 4 2" xfId="5219"/>
    <cellStyle name="Normal 5 4 3 2 4 2" xfId="5220"/>
    <cellStyle name="Normal 7 4 3 2 4 2" xfId="5221"/>
    <cellStyle name="Normal 2 3 2 3 2 4 2" xfId="5222"/>
    <cellStyle name="Normal 3 3 2 3 2 4 2" xfId="5223"/>
    <cellStyle name="Normal 4 2 2 3 2 4 2" xfId="5224"/>
    <cellStyle name="Normal 5 2 2 3 2 4 2" xfId="5225"/>
    <cellStyle name="Normal 7 2 2 3 2 4 2" xfId="5226"/>
    <cellStyle name="Normal 2 4 2 3 2 4 2" xfId="5227"/>
    <cellStyle name="Normal 3 4 2 3 2 4 2" xfId="5228"/>
    <cellStyle name="Normal 4 3 2 3 2 4 2" xfId="5229"/>
    <cellStyle name="Normal 5 3 2 3 2 4 2" xfId="5230"/>
    <cellStyle name="Normal 7 3 2 3 2 4 2" xfId="5231"/>
    <cellStyle name="Normal 2 6 3 2 4 2" xfId="5232"/>
    <cellStyle name="Normal 3 6 3 2 4 2" xfId="5233"/>
    <cellStyle name="Normal 4 5 3 2 4 2" xfId="5234"/>
    <cellStyle name="Normal 5 5 3 2 4 2" xfId="5235"/>
    <cellStyle name="Normal 7 5 3 2 4 2" xfId="5236"/>
    <cellStyle name="Normal 2 3 3 3 2 4 2" xfId="5237"/>
    <cellStyle name="Normal 3 3 3 3 2 4 2" xfId="5238"/>
    <cellStyle name="Normal 4 2 3 3 2 4 2" xfId="5239"/>
    <cellStyle name="Normal 5 2 3 3 2 4 2" xfId="5240"/>
    <cellStyle name="Normal 7 2 3 3 2 4 2" xfId="5241"/>
    <cellStyle name="Normal 2 4 3 3 2 4 2" xfId="5242"/>
    <cellStyle name="Normal 3 4 3 3 2 4 2" xfId="5243"/>
    <cellStyle name="Normal 4 3 3 3 2 4 2" xfId="5244"/>
    <cellStyle name="Normal 5 3 3 3 2 4 2" xfId="5245"/>
    <cellStyle name="Normal 7 3 3 3 2 4 2" xfId="5246"/>
    <cellStyle name="Normal 2 7 2 2 4 2" xfId="5247"/>
    <cellStyle name="Normal 3 7 2 2 4 2" xfId="5248"/>
    <cellStyle name="Normal 4 6 2 2 4 2" xfId="5249"/>
    <cellStyle name="Normal 5 6 2 2 4 2" xfId="5250"/>
    <cellStyle name="Normal 7 6 2 2 4 2" xfId="5251"/>
    <cellStyle name="Normal 2 3 4 2 2 4 2" xfId="5252"/>
    <cellStyle name="Normal 3 3 4 2 2 4 2" xfId="5253"/>
    <cellStyle name="Normal 4 2 4 2 2 4 2" xfId="5254"/>
    <cellStyle name="Normal 5 2 4 2 2 4 2" xfId="5255"/>
    <cellStyle name="Normal 7 2 4 2 2 4 2" xfId="5256"/>
    <cellStyle name="Normal 2 4 4 2 2 4 2" xfId="5257"/>
    <cellStyle name="Normal 3 4 4 2 2 4 2" xfId="5258"/>
    <cellStyle name="Normal 4 3 4 2 2 4 2" xfId="5259"/>
    <cellStyle name="Normal 5 3 4 2 2 4 2" xfId="5260"/>
    <cellStyle name="Normal 7 3 4 2 2 4 2" xfId="5261"/>
    <cellStyle name="Normal 2 5 2 2 2 4 2" xfId="5262"/>
    <cellStyle name="Normal 3 5 2 2 2 4 2" xfId="5263"/>
    <cellStyle name="Normal 4 4 2 2 2 4 2" xfId="5264"/>
    <cellStyle name="Normal 5 4 2 2 2 4 2" xfId="5265"/>
    <cellStyle name="Normal 7 4 2 2 2 4 2" xfId="5266"/>
    <cellStyle name="Normal 2 3 2 2 2 2 4 2" xfId="5267"/>
    <cellStyle name="Normal 3 3 2 2 2 2 4 2" xfId="5268"/>
    <cellStyle name="Normal 4 2 2 2 2 2 4 2" xfId="5269"/>
    <cellStyle name="Normal 5 2 2 2 2 2 4 2" xfId="5270"/>
    <cellStyle name="Normal 7 2 2 2 2 2 4 2" xfId="5271"/>
    <cellStyle name="Normal 2 4 2 2 2 2 4 2" xfId="5272"/>
    <cellStyle name="Normal 3 4 2 2 2 2 4 2" xfId="5273"/>
    <cellStyle name="Normal 4 3 2 2 2 2 4 2" xfId="5274"/>
    <cellStyle name="Normal 5 3 2 2 2 2 4 2" xfId="5275"/>
    <cellStyle name="Normal 7 3 2 2 2 2 4 2" xfId="5276"/>
    <cellStyle name="Normal 2 6 2 2 2 4 2" xfId="5277"/>
    <cellStyle name="Normal 3 6 2 2 2 4 2" xfId="5278"/>
    <cellStyle name="Normal 4 5 2 2 2 4 2" xfId="5279"/>
    <cellStyle name="Normal 5 5 2 2 2 4 2" xfId="5280"/>
    <cellStyle name="Normal 7 5 2 2 2 4 2" xfId="5281"/>
    <cellStyle name="Normal 2 3 3 2 2 2 4 2" xfId="5282"/>
    <cellStyle name="Normal 3 3 3 2 2 2 4 2" xfId="5283"/>
    <cellStyle name="Normal 4 2 3 2 2 2 4 2" xfId="5284"/>
    <cellStyle name="Normal 5 2 3 2 2 2 4 2" xfId="5285"/>
    <cellStyle name="Normal 7 2 3 2 2 2 4 2" xfId="5286"/>
    <cellStyle name="Normal 2 4 3 2 2 2 4 2" xfId="5287"/>
    <cellStyle name="Normal 3 4 3 2 2 2 4 2" xfId="5288"/>
    <cellStyle name="Normal 4 3 3 2 2 2 4 2" xfId="5289"/>
    <cellStyle name="Normal 5 3 3 2 2 2 4 2" xfId="5290"/>
    <cellStyle name="Normal 7 3 3 2 2 2 4 2" xfId="5291"/>
    <cellStyle name="Normal 28 4 2" xfId="5292"/>
    <cellStyle name="Normal 2 3 7 4 2" xfId="5293"/>
    <cellStyle name="Normal 3 10 4 2" xfId="5294"/>
    <cellStyle name="Normal 4 9 4 2" xfId="5295"/>
    <cellStyle name="Normal 5 9 4 2" xfId="5296"/>
    <cellStyle name="Millares 4 4 2" xfId="5297"/>
    <cellStyle name="Normal 7 2 7 4 2" xfId="5298"/>
    <cellStyle name="Normal 3 3 7 4 2" xfId="5299"/>
    <cellStyle name="Normal 4 2 7 4 2" xfId="5300"/>
    <cellStyle name="Normal 5 2 7 4 2" xfId="5301"/>
    <cellStyle name="Normal 2 4 5 3 4 2" xfId="5302"/>
    <cellStyle name="Normal 3 4 7 4 2" xfId="5303"/>
    <cellStyle name="Normal 4 3 7 4 2" xfId="5304"/>
    <cellStyle name="Normal 5 3 7 4 2" xfId="5305"/>
    <cellStyle name="Normal 7 3 7 4 2" xfId="5306"/>
    <cellStyle name="Normal 2 5 5 4 2" xfId="5307"/>
    <cellStyle name="Normal 3 5 5 4 2" xfId="5308"/>
    <cellStyle name="Normal 4 4 5 4 2" xfId="5309"/>
    <cellStyle name="Normal 5 4 5 4 2" xfId="5310"/>
    <cellStyle name="Normal 7 4 5 4 2" xfId="5311"/>
    <cellStyle name="Normal 2 3 2 5 4 2" xfId="5312"/>
    <cellStyle name="Normal 3 3 2 5 4 2" xfId="5313"/>
    <cellStyle name="Normal 4 2 2 5 4 2" xfId="5314"/>
    <cellStyle name="Normal 5 2 2 5 4 2" xfId="5315"/>
    <cellStyle name="Normal 7 2 2 5 4 2" xfId="5316"/>
    <cellStyle name="Normal 2 4 2 5 4 2" xfId="5317"/>
    <cellStyle name="Normal 3 4 2 5 4 2" xfId="5318"/>
    <cellStyle name="Normal 4 3 2 5 4 2" xfId="5319"/>
    <cellStyle name="Normal 5 3 2 5 4 2" xfId="5320"/>
    <cellStyle name="Normal 7 3 2 5 4 2" xfId="5321"/>
    <cellStyle name="Normal 2 6 5 4 2" xfId="5322"/>
    <cellStyle name="Normal 3 6 5 4 2" xfId="5323"/>
    <cellStyle name="Normal 4 5 5 4 2" xfId="5324"/>
    <cellStyle name="Normal 5 5 5 4 2" xfId="5325"/>
    <cellStyle name="Normal 7 5 5 4 2" xfId="5326"/>
    <cellStyle name="Normal 2 3 3 5 4 2" xfId="5327"/>
    <cellStyle name="Normal 3 3 3 5 4 2" xfId="5328"/>
    <cellStyle name="Normal 4 2 3 5 4 2" xfId="5329"/>
    <cellStyle name="Normal 5 2 3 5 4 2" xfId="5330"/>
    <cellStyle name="Normal 7 2 3 5 4 2" xfId="5331"/>
    <cellStyle name="Normal 2 4 3 5 4 2" xfId="5332"/>
    <cellStyle name="Normal 3 4 3 5 4 2" xfId="5333"/>
    <cellStyle name="Normal 4 3 3 5 4 2" xfId="5334"/>
    <cellStyle name="Normal 5 3 3 5 4 2" xfId="5335"/>
    <cellStyle name="Normal 7 3 3 5 4 2" xfId="5336"/>
    <cellStyle name="Normal 2 7 4 4 2" xfId="5337"/>
    <cellStyle name="Normal 3 7 4 4 2" xfId="5338"/>
    <cellStyle name="Normal 4 6 4 4 2" xfId="5339"/>
    <cellStyle name="Normal 5 6 4 4 2" xfId="5340"/>
    <cellStyle name="Normal 7 6 4 4 2" xfId="5341"/>
    <cellStyle name="Normal 2 3 4 4 4 2" xfId="5342"/>
    <cellStyle name="Normal 3 3 4 4 4 2" xfId="5343"/>
    <cellStyle name="Normal 4 2 4 4 4 2" xfId="5344"/>
    <cellStyle name="Normal 5 2 4 4 4 2" xfId="5345"/>
    <cellStyle name="Normal 7 2 4 4 4 2" xfId="5346"/>
    <cellStyle name="Normal 2 4 4 4 4 2" xfId="5347"/>
    <cellStyle name="Normal 3 4 4 4 4 2" xfId="5348"/>
    <cellStyle name="Normal 4 3 4 4 4 2" xfId="5349"/>
    <cellStyle name="Normal 5 3 4 4 4 2" xfId="5350"/>
    <cellStyle name="Normal 7 3 4 4 4 2" xfId="5351"/>
    <cellStyle name="Normal 2 5 2 4 4 2" xfId="5352"/>
    <cellStyle name="Normal 3 5 2 4 4 2" xfId="5353"/>
    <cellStyle name="Normal 4 4 2 4 4 2" xfId="5354"/>
    <cellStyle name="Normal 5 4 2 4 4 2" xfId="5355"/>
    <cellStyle name="Normal 7 4 2 4 4 2" xfId="5356"/>
    <cellStyle name="Normal 2 3 2 2 4 4 2" xfId="5357"/>
    <cellStyle name="Normal 3 3 2 2 4 4 2" xfId="5358"/>
    <cellStyle name="Normal 4 2 2 2 4 4 2" xfId="5359"/>
    <cellStyle name="Normal 5 2 2 2 4 4 2" xfId="5360"/>
    <cellStyle name="Normal 7 2 2 2 4 4 2" xfId="5361"/>
    <cellStyle name="Normal 2 4 2 2 4 4 2" xfId="5362"/>
    <cellStyle name="Normal 3 4 2 2 4 4 2" xfId="5363"/>
    <cellStyle name="Normal 4 3 2 2 4 4 2" xfId="5364"/>
    <cellStyle name="Normal 5 3 2 2 4 4 2" xfId="5365"/>
    <cellStyle name="Normal 7 3 2 2 4 4 2" xfId="5366"/>
    <cellStyle name="Normal 2 6 2 4 4 2" xfId="5367"/>
    <cellStyle name="Normal 3 6 2 4 4 2" xfId="5368"/>
    <cellStyle name="Normal 4 5 2 4 4 2" xfId="5369"/>
    <cellStyle name="Normal 5 5 2 4 4 2" xfId="5370"/>
    <cellStyle name="Normal 7 5 2 4 4 2" xfId="5371"/>
    <cellStyle name="Normal 2 3 3 2 4 4 2" xfId="5372"/>
    <cellStyle name="Normal 3 3 3 2 4 4 2" xfId="5373"/>
    <cellStyle name="Normal 4 2 3 2 4 4 2" xfId="5374"/>
    <cellStyle name="Normal 5 2 3 2 4 4 2" xfId="5375"/>
    <cellStyle name="Normal 7 2 3 2 4 4 2" xfId="5376"/>
    <cellStyle name="Normal 2 4 3 2 4 4 2" xfId="5377"/>
    <cellStyle name="Normal 3 4 3 2 4 4 2" xfId="5378"/>
    <cellStyle name="Normal 4 3 3 2 4 4 2" xfId="5379"/>
    <cellStyle name="Normal 5 3 3 2 4 4 2" xfId="5380"/>
    <cellStyle name="Normal 7 3 3 2 4 4 2" xfId="5381"/>
    <cellStyle name="Normal 2 8 3 4 2" xfId="5382"/>
    <cellStyle name="Normal 3 8 3 4 2" xfId="5383"/>
    <cellStyle name="Normal 4 7 3 4 2" xfId="5384"/>
    <cellStyle name="Normal 5 7 3 4 2" xfId="5385"/>
    <cellStyle name="Normal 7 7 3 4 2" xfId="5386"/>
    <cellStyle name="Normal 2 3 5 3 4 2" xfId="5387"/>
    <cellStyle name="Normal 3 3 5 3 4 2" xfId="5388"/>
    <cellStyle name="Normal 4 2 5 3 4 2" xfId="5389"/>
    <cellStyle name="Normal 5 2 5 3 4 2" xfId="5390"/>
    <cellStyle name="Normal 7 2 5 3 4 2" xfId="5391"/>
    <cellStyle name="Normal 3 4 5 3 4 2" xfId="5392"/>
    <cellStyle name="Normal 4 3 5 3 4 2" xfId="5393"/>
    <cellStyle name="Normal 5 3 5 3 4 2" xfId="5394"/>
    <cellStyle name="Normal 7 3 5 3 4 2" xfId="5395"/>
    <cellStyle name="Normal 2 5 3 3 4 2" xfId="5396"/>
    <cellStyle name="Normal 3 5 3 3 4 2" xfId="5397"/>
    <cellStyle name="Normal 4 4 3 3 4 2" xfId="5398"/>
    <cellStyle name="Normal 5 4 3 3 4 2" xfId="5399"/>
    <cellStyle name="Normal 7 4 3 3 4 2" xfId="5400"/>
    <cellStyle name="Normal 2 3 2 3 3 4 2" xfId="5401"/>
    <cellStyle name="Normal 3 3 2 3 3 4 2" xfId="5402"/>
    <cellStyle name="Normal 4 2 2 3 3 4 2" xfId="5403"/>
    <cellStyle name="Normal 5 2 2 3 3 4 2" xfId="5404"/>
    <cellStyle name="Normal 7 2 2 3 3 4 2" xfId="5405"/>
    <cellStyle name="Normal 2 4 2 3 3 4 2" xfId="5406"/>
    <cellStyle name="Normal 3 4 2 3 3 4 2" xfId="5407"/>
    <cellStyle name="Normal 4 3 2 3 3 4 2" xfId="5408"/>
    <cellStyle name="Normal 5 3 2 3 3 4 2" xfId="5409"/>
    <cellStyle name="Normal 7 3 2 3 3 4 2" xfId="5410"/>
    <cellStyle name="Normal 2 6 3 3 4 2" xfId="5411"/>
    <cellStyle name="Normal 3 6 3 3 4 2" xfId="5412"/>
    <cellStyle name="Normal 4 5 3 3 4 2" xfId="5413"/>
    <cellStyle name="Normal 5 5 3 3 4 2" xfId="5414"/>
    <cellStyle name="Normal 7 5 3 3 4 2" xfId="5415"/>
    <cellStyle name="Normal 2 3 3 3 3 4 2" xfId="5416"/>
    <cellStyle name="Normal 3 3 3 3 3 4 2" xfId="5417"/>
    <cellStyle name="Normal 4 2 3 3 3 4 2" xfId="5418"/>
    <cellStyle name="Normal 5 2 3 3 3 4 2" xfId="5419"/>
    <cellStyle name="Normal 7 2 3 3 3 4 2" xfId="5420"/>
    <cellStyle name="Normal 2 4 3 3 3 4 2" xfId="5421"/>
    <cellStyle name="Normal 3 4 3 3 3 4 2" xfId="5422"/>
    <cellStyle name="Normal 4 3 3 3 3 4 2" xfId="5423"/>
    <cellStyle name="Normal 5 3 3 3 3 4 2" xfId="5424"/>
    <cellStyle name="Normal 7 3 3 3 3 4 2" xfId="5425"/>
    <cellStyle name="Normal 2 7 2 3 4 2" xfId="5426"/>
    <cellStyle name="Normal 3 7 2 3 4 2" xfId="5427"/>
    <cellStyle name="Normal 4 6 2 3 4 2" xfId="5428"/>
    <cellStyle name="Normal 5 6 2 3 4 2" xfId="5429"/>
    <cellStyle name="Normal 7 6 2 3 4 2" xfId="5430"/>
    <cellStyle name="Normal 2 3 4 2 3 4 2" xfId="5431"/>
    <cellStyle name="Normal 3 3 4 2 3 4 2" xfId="5432"/>
    <cellStyle name="Normal 4 2 4 2 3 4 2" xfId="5433"/>
    <cellStyle name="Normal 5 2 4 2 3 4 2" xfId="5434"/>
    <cellStyle name="Normal 7 2 4 2 3 4 2" xfId="5435"/>
    <cellStyle name="Normal 2 4 4 2 3 4 2" xfId="5436"/>
    <cellStyle name="Normal 3 4 4 2 3 4 2" xfId="5437"/>
    <cellStyle name="Normal 4 3 4 2 3 4 2" xfId="5438"/>
    <cellStyle name="Normal 5 3 4 2 3 4 2" xfId="5439"/>
    <cellStyle name="Normal 7 3 4 2 3 4 2" xfId="5440"/>
    <cellStyle name="Normal 2 5 2 2 3 4 2" xfId="5441"/>
    <cellStyle name="Normal 3 5 2 2 3 4 2" xfId="5442"/>
    <cellStyle name="Normal 4 4 2 2 3 4 2" xfId="5443"/>
    <cellStyle name="Normal 5 4 2 2 3 4 2" xfId="5444"/>
    <cellStyle name="Normal 7 4 2 2 3 4 2" xfId="5445"/>
    <cellStyle name="Normal 2 3 2 2 2 3 4 2" xfId="5446"/>
    <cellStyle name="Normal 3 3 2 2 2 3 4 2" xfId="5447"/>
    <cellStyle name="Normal 4 2 2 2 2 3 4 2" xfId="5448"/>
    <cellStyle name="Normal 5 2 2 2 2 3 4 2" xfId="5449"/>
    <cellStyle name="Normal 7 2 2 2 2 3 4 2" xfId="5450"/>
    <cellStyle name="Normal 2 4 2 2 2 3 4 2" xfId="5451"/>
    <cellStyle name="Normal 3 4 2 2 2 3 4 2" xfId="5452"/>
    <cellStyle name="Normal 4 3 2 2 2 3 4 2" xfId="5453"/>
    <cellStyle name="Normal 5 3 2 2 2 3 4 2" xfId="5454"/>
    <cellStyle name="Normal 7 3 2 2 2 3 4 2" xfId="5455"/>
    <cellStyle name="Normal 2 6 2 2 3 4 2" xfId="5456"/>
    <cellStyle name="Normal 3 6 2 2 3 4 2" xfId="5457"/>
    <cellStyle name="Normal 4 5 2 2 3 4 2" xfId="5458"/>
    <cellStyle name="Normal 5 5 2 2 3 4 2" xfId="5459"/>
    <cellStyle name="Normal 7 5 2 2 3 4 2" xfId="5460"/>
    <cellStyle name="Normal 2 3 3 2 2 3 4 2" xfId="5461"/>
    <cellStyle name="Normal 3 3 3 2 2 3 4 2" xfId="5462"/>
    <cellStyle name="Normal 4 2 3 2 2 3 4 2" xfId="5463"/>
    <cellStyle name="Normal 5 2 3 2 2 3 4 2" xfId="5464"/>
    <cellStyle name="Normal 7 2 3 2 2 3 4 2" xfId="5465"/>
    <cellStyle name="Normal 2 4 3 2 2 3 4 2" xfId="5466"/>
    <cellStyle name="Normal 3 4 3 2 2 3 4 2" xfId="5467"/>
    <cellStyle name="Normal 4 3 3 2 2 3 4 2" xfId="5468"/>
    <cellStyle name="Normal 5 3 3 2 2 3 4 2" xfId="5469"/>
    <cellStyle name="Normal 7 3 3 2 2 3 4 2" xfId="5470"/>
    <cellStyle name="Normal 2 11 2 2" xfId="5471"/>
    <cellStyle name="Normal 3 11 2 2" xfId="5472"/>
    <cellStyle name="Normal 4 10 2 2" xfId="5473"/>
    <cellStyle name="Normal 5 10 2 2" xfId="5474"/>
    <cellStyle name="Normal 7 10 2 2" xfId="5475"/>
    <cellStyle name="Normal 2 3 8 2 2" xfId="5476"/>
    <cellStyle name="Normal 3 3 8 2 2" xfId="5477"/>
    <cellStyle name="Normal 4 2 8 2 2" xfId="5478"/>
    <cellStyle name="Normal 5 2 8 2 2" xfId="5479"/>
    <cellStyle name="Normal 7 2 8 2 2" xfId="5480"/>
    <cellStyle name="Normal 2 4 8 2 2" xfId="5481"/>
    <cellStyle name="Normal 3 4 8 2 2" xfId="5482"/>
    <cellStyle name="Normal 4 3 8 2 2" xfId="5483"/>
    <cellStyle name="Normal 5 3 8 2 2" xfId="5484"/>
    <cellStyle name="Normal 7 3 8 2 2" xfId="5485"/>
    <cellStyle name="Normal 2 5 6 2 2" xfId="5486"/>
    <cellStyle name="Normal 3 5 6 2 2" xfId="5487"/>
    <cellStyle name="Normal 4 4 6 2 2" xfId="5488"/>
    <cellStyle name="Normal 5 4 6 2 2" xfId="5489"/>
    <cellStyle name="Normal 7 4 6 2 2" xfId="5490"/>
    <cellStyle name="Normal 2 3 2 6 2 2" xfId="5491"/>
    <cellStyle name="Normal 3 3 2 6 2 2" xfId="5492"/>
    <cellStyle name="Normal 4 2 2 6 2 2" xfId="5493"/>
    <cellStyle name="Normal 5 2 2 6 2 2" xfId="5494"/>
    <cellStyle name="Normal 7 2 2 6 2 2" xfId="5495"/>
    <cellStyle name="Normal 2 4 2 6 2 2" xfId="5496"/>
    <cellStyle name="Normal 3 4 2 6 2 2" xfId="5497"/>
    <cellStyle name="Normal 4 3 2 6 2 2" xfId="5498"/>
    <cellStyle name="Normal 5 3 2 6 2 2" xfId="5499"/>
    <cellStyle name="Normal 7 3 2 6 2 2" xfId="5500"/>
    <cellStyle name="Normal 2 6 6 2 2" xfId="5501"/>
    <cellStyle name="Normal 3 6 6 2 2" xfId="5502"/>
    <cellStyle name="Normal 4 5 6 2 2" xfId="5503"/>
    <cellStyle name="Normal 5 5 6 2 2" xfId="5504"/>
    <cellStyle name="Normal 7 5 6 2 2" xfId="5505"/>
    <cellStyle name="Normal 2 3 3 6 2 2" xfId="5506"/>
    <cellStyle name="Normal 3 3 3 6 2 2" xfId="5507"/>
    <cellStyle name="Normal 4 2 3 6 2 2" xfId="5508"/>
    <cellStyle name="Normal 5 2 3 6 2 2" xfId="5509"/>
    <cellStyle name="Normal 7 2 3 6 2 2" xfId="5510"/>
    <cellStyle name="Normal 2 4 3 6 2 2" xfId="5511"/>
    <cellStyle name="Normal 3 4 3 6 2 2" xfId="5512"/>
    <cellStyle name="Normal 4 3 3 6 2 2" xfId="5513"/>
    <cellStyle name="Normal 5 3 3 6 2 2" xfId="5514"/>
    <cellStyle name="Normal 7 3 3 6 2 2" xfId="5515"/>
    <cellStyle name="Normal 2 7 5 2 2" xfId="5516"/>
    <cellStyle name="Normal 3 7 5 2 2" xfId="5517"/>
    <cellStyle name="Normal 4 6 5 2 2" xfId="5518"/>
    <cellStyle name="Normal 5 6 5 2 2" xfId="5519"/>
    <cellStyle name="Normal 7 6 5 2 2" xfId="5520"/>
    <cellStyle name="Normal 2 3 4 5 2 2" xfId="5521"/>
    <cellStyle name="Normal 3 3 4 5 2 2" xfId="5522"/>
    <cellStyle name="Normal 4 2 4 5 2 2" xfId="5523"/>
    <cellStyle name="Normal 5 2 4 5 2 2" xfId="5524"/>
    <cellStyle name="Normal 7 2 4 5 2 2" xfId="5525"/>
    <cellStyle name="Normal 2 4 4 5 2 2" xfId="5526"/>
    <cellStyle name="Normal 3 4 4 5 2 2" xfId="5527"/>
    <cellStyle name="Normal 4 3 4 5 2 2" xfId="5528"/>
    <cellStyle name="Normal 5 3 4 5 2 2" xfId="5529"/>
    <cellStyle name="Normal 7 3 4 5 2 2" xfId="5530"/>
    <cellStyle name="Normal 2 5 2 5 2 2" xfId="5531"/>
    <cellStyle name="Normal 3 5 2 5 2 2" xfId="5532"/>
    <cellStyle name="Normal 4 4 2 5 2 2" xfId="5533"/>
    <cellStyle name="Normal 5 4 2 5 2 2" xfId="5534"/>
    <cellStyle name="Normal 7 4 2 5 2 2" xfId="5535"/>
    <cellStyle name="Normal 2 3 2 2 5 2 2" xfId="5536"/>
    <cellStyle name="Normal 3 3 2 2 5 2 2" xfId="5537"/>
    <cellStyle name="Normal 4 2 2 2 5 2 2" xfId="5538"/>
    <cellStyle name="Normal 5 2 2 2 5 2 2" xfId="5539"/>
    <cellStyle name="Normal 7 2 2 2 5 2 2" xfId="5540"/>
    <cellStyle name="Normal 2 4 2 2 5 2 2" xfId="5541"/>
    <cellStyle name="Normal 3 4 2 2 5 2 2" xfId="5542"/>
    <cellStyle name="Normal 4 3 2 2 5 2 2" xfId="5543"/>
    <cellStyle name="Normal 5 3 2 2 5 2 2" xfId="5544"/>
    <cellStyle name="Normal 7 3 2 2 5 2 2" xfId="5545"/>
    <cellStyle name="Normal 2 6 2 5 2 2" xfId="5546"/>
    <cellStyle name="Normal 3 6 2 5 2 2" xfId="5547"/>
    <cellStyle name="Normal 4 5 2 5 2 2" xfId="5548"/>
    <cellStyle name="Normal 5 5 2 5 2 2" xfId="5549"/>
    <cellStyle name="Normal 7 5 2 5 2 2" xfId="5550"/>
    <cellStyle name="Normal 2 3 3 2 5 2 2" xfId="5551"/>
    <cellStyle name="Normal 3 3 3 2 5 2 2" xfId="5552"/>
    <cellStyle name="Normal 4 2 3 2 5 2 2" xfId="5553"/>
    <cellStyle name="Normal 5 2 3 2 5 2 2" xfId="5554"/>
    <cellStyle name="Normal 7 2 3 2 5 2 2" xfId="5555"/>
    <cellStyle name="Normal 2 4 3 2 5 2 2" xfId="5556"/>
    <cellStyle name="Normal 3 4 3 2 5 2 2" xfId="5557"/>
    <cellStyle name="Normal 4 3 3 2 5 2 2" xfId="5558"/>
    <cellStyle name="Normal 5 3 3 2 5 2 2" xfId="5559"/>
    <cellStyle name="Normal 7 3 3 2 5 2 2" xfId="5560"/>
    <cellStyle name="Normal 2 8 4 2 2" xfId="5561"/>
    <cellStyle name="Normal 3 8 4 2 2" xfId="5562"/>
    <cellStyle name="Normal 4 7 4 2 2" xfId="5563"/>
    <cellStyle name="Normal 5 7 4 2 2" xfId="5564"/>
    <cellStyle name="Normal 7 7 4 2 2" xfId="5565"/>
    <cellStyle name="Normal 2 3 5 4 2 2" xfId="5566"/>
    <cellStyle name="Normal 3 3 5 4 2 2" xfId="5567"/>
    <cellStyle name="Normal 4 2 5 4 2 2" xfId="5568"/>
    <cellStyle name="Normal 5 2 5 4 2 2" xfId="5569"/>
    <cellStyle name="Normal 7 2 5 4 2 2" xfId="5570"/>
    <cellStyle name="Normal 2 4 5 4 2 2" xfId="5571"/>
    <cellStyle name="Normal 3 4 5 4 2 2" xfId="5572"/>
    <cellStyle name="Normal 4 3 5 4 2 2" xfId="5573"/>
    <cellStyle name="Normal 5 3 5 4 2 2" xfId="5574"/>
    <cellStyle name="Normal 7 3 5 4 2 2" xfId="5575"/>
    <cellStyle name="Normal 2 5 3 4 2 2" xfId="5576"/>
    <cellStyle name="Normal 3 5 3 4 2 2" xfId="5577"/>
    <cellStyle name="Normal 4 4 3 4 2 2" xfId="5578"/>
    <cellStyle name="Normal 5 4 3 4 2 2" xfId="5579"/>
    <cellStyle name="Normal 7 4 3 4 2 2" xfId="5580"/>
    <cellStyle name="Normal 2 3 2 3 4 2 2" xfId="5581"/>
    <cellStyle name="Normal 3 3 2 3 4 2 2" xfId="5582"/>
    <cellStyle name="Normal 4 2 2 3 4 2 2" xfId="5583"/>
    <cellStyle name="Normal 5 2 2 3 4 2 2" xfId="5584"/>
    <cellStyle name="Normal 7 2 2 3 4 2 2" xfId="5585"/>
    <cellStyle name="Normal 2 4 2 3 4 2 2" xfId="5586"/>
    <cellStyle name="Normal 3 4 2 3 4 2 2" xfId="5587"/>
    <cellStyle name="Normal 4 3 2 3 4 2 2" xfId="5588"/>
    <cellStyle name="Normal 5 3 2 3 4 2 2" xfId="5589"/>
    <cellStyle name="Normal 7 3 2 3 4 2 2" xfId="5590"/>
    <cellStyle name="Normal 2 6 3 4 2 2" xfId="5591"/>
    <cellStyle name="Normal 3 6 3 4 2 2" xfId="5592"/>
    <cellStyle name="Normal 4 5 3 4 2 2" xfId="5593"/>
    <cellStyle name="Normal 5 5 3 4 2 2" xfId="5594"/>
    <cellStyle name="Normal 7 5 3 4 2 2" xfId="5595"/>
    <cellStyle name="Normal 2 3 3 3 4 2 2" xfId="5596"/>
    <cellStyle name="Normal 3 3 3 3 4 2 2" xfId="5597"/>
    <cellStyle name="Normal 4 2 3 3 4 2 2" xfId="5598"/>
    <cellStyle name="Normal 5 2 3 3 4 2 2" xfId="5599"/>
    <cellStyle name="Normal 7 2 3 3 4 2 2" xfId="5600"/>
    <cellStyle name="Normal 2 4 3 3 4 2 2" xfId="5601"/>
    <cellStyle name="Normal 3 4 3 3 4 2 2" xfId="5602"/>
    <cellStyle name="Normal 4 3 3 3 4 2 2" xfId="5603"/>
    <cellStyle name="Normal 5 3 3 3 4 2 2" xfId="5604"/>
    <cellStyle name="Normal 7 3 3 3 4 2 2" xfId="5605"/>
    <cellStyle name="Normal 2 7 2 4 2 2" xfId="5606"/>
    <cellStyle name="Normal 3 7 2 4 2 2" xfId="5607"/>
    <cellStyle name="Normal 4 6 2 4 2 2" xfId="5608"/>
    <cellStyle name="Normal 5 6 2 4 2 2" xfId="5609"/>
    <cellStyle name="Normal 7 6 2 4 2 2" xfId="5610"/>
    <cellStyle name="Normal 2 3 4 2 4 2 2" xfId="5611"/>
    <cellStyle name="Normal 3 3 4 2 4 2 2" xfId="5612"/>
    <cellStyle name="Normal 4 2 4 2 4 2 2" xfId="5613"/>
    <cellStyle name="Normal 5 2 4 2 4 2 2" xfId="5614"/>
    <cellStyle name="Normal 7 2 4 2 4 2 2" xfId="5615"/>
    <cellStyle name="Normal 2 4 4 2 4 2 2" xfId="5616"/>
    <cellStyle name="Normal 3 4 4 2 4 2 2" xfId="5617"/>
    <cellStyle name="Normal 4 3 4 2 4 2 2" xfId="5618"/>
    <cellStyle name="Normal 5 3 4 2 4 2 2" xfId="5619"/>
    <cellStyle name="Normal 7 3 4 2 4 2 2" xfId="5620"/>
    <cellStyle name="Normal 2 5 2 2 4 2 2" xfId="5621"/>
    <cellStyle name="Normal 3 5 2 2 4 2 2" xfId="5622"/>
    <cellStyle name="Normal 4 4 2 2 4 2 2" xfId="5623"/>
    <cellStyle name="Normal 5 4 2 2 4 2 2" xfId="5624"/>
    <cellStyle name="Normal 7 4 2 2 4 2 2" xfId="5625"/>
    <cellStyle name="Normal 2 3 2 2 2 4 2 2" xfId="5626"/>
    <cellStyle name="Normal 3 3 2 2 2 4 2 2" xfId="5627"/>
    <cellStyle name="Normal 4 2 2 2 2 4 2 2" xfId="5628"/>
    <cellStyle name="Normal 5 2 2 2 2 4 2 2" xfId="5629"/>
    <cellStyle name="Normal 7 2 2 2 2 4 2 2" xfId="5630"/>
    <cellStyle name="Normal 2 4 2 2 2 4 2 2" xfId="5631"/>
    <cellStyle name="Normal 3 4 2 2 2 4 2 2" xfId="5632"/>
    <cellStyle name="Normal 4 3 2 2 2 4 2 2" xfId="5633"/>
    <cellStyle name="Normal 5 3 2 2 2 4 2 2" xfId="5634"/>
    <cellStyle name="Normal 7 3 2 2 2 4 2 2" xfId="5635"/>
    <cellStyle name="Normal 2 6 2 2 4 2 2" xfId="5636"/>
    <cellStyle name="Normal 3 6 2 2 4 2 2" xfId="5637"/>
    <cellStyle name="Normal 4 5 2 2 4 2 2" xfId="5638"/>
    <cellStyle name="Normal 5 5 2 2 4 2 2" xfId="5639"/>
    <cellStyle name="Normal 7 5 2 2 4 2 2" xfId="5640"/>
    <cellStyle name="Normal 2 3 3 2 2 4 2 2" xfId="5641"/>
    <cellStyle name="Normal 3 3 3 2 2 4 2 2" xfId="5642"/>
    <cellStyle name="Normal 4 2 3 2 2 4 2 2" xfId="5643"/>
    <cellStyle name="Normal 5 2 3 2 2 4 2 2" xfId="5644"/>
    <cellStyle name="Normal 7 2 3 2 2 4 2 2" xfId="5645"/>
    <cellStyle name="Normal 2 4 3 2 2 4 2 2" xfId="5646"/>
    <cellStyle name="Normal 3 4 3 2 2 4 2 2" xfId="5647"/>
    <cellStyle name="Normal 4 3 3 2 2 4 2 2" xfId="5648"/>
    <cellStyle name="Normal 5 3 3 2 2 4 2 2" xfId="5649"/>
    <cellStyle name="Normal 7 3 3 2 2 4 2 2" xfId="5650"/>
    <cellStyle name="Normal 2 9 2 2 2" xfId="5651"/>
    <cellStyle name="Normal 3 9 2 2 2" xfId="5652"/>
    <cellStyle name="Normal 4 8 2 2 2" xfId="5653"/>
    <cellStyle name="Normal 5 8 2 2 2" xfId="5654"/>
    <cellStyle name="Normal 7 8 2 2 2" xfId="5655"/>
    <cellStyle name="Normal 2 3 6 2 2 2" xfId="5656"/>
    <cellStyle name="Normal 3 3 6 2 2 2" xfId="5657"/>
    <cellStyle name="Normal 4 2 6 2 2 2" xfId="5658"/>
    <cellStyle name="Normal 5 2 6 2 2 2" xfId="5659"/>
    <cellStyle name="Normal 7 2 6 2 2 2" xfId="5660"/>
    <cellStyle name="Normal 2 4 6 2 2 2" xfId="5661"/>
    <cellStyle name="Normal 3 4 6 2 2 2" xfId="5662"/>
    <cellStyle name="Normal 4 3 6 2 2 2" xfId="5663"/>
    <cellStyle name="Normal 5 3 6 2 2 2" xfId="5664"/>
    <cellStyle name="Normal 7 3 6 2 2 2" xfId="5665"/>
    <cellStyle name="Normal 2 5 4 2 2 2" xfId="5666"/>
    <cellStyle name="Normal 3 5 4 2 2 2" xfId="5667"/>
    <cellStyle name="Normal 4 4 4 2 2 2" xfId="5668"/>
    <cellStyle name="Normal 5 4 4 2 2 2" xfId="5669"/>
    <cellStyle name="Normal 7 4 4 2 2 2" xfId="5670"/>
    <cellStyle name="Normal 2 3 2 4 2 2 2" xfId="5671"/>
    <cellStyle name="Normal 3 3 2 4 2 2 2" xfId="5672"/>
    <cellStyle name="Normal 4 2 2 4 2 2 2" xfId="5673"/>
    <cellStyle name="Normal 5 2 2 4 2 2 2" xfId="5674"/>
    <cellStyle name="Normal 7 2 2 4 2 2 2" xfId="5675"/>
    <cellStyle name="Normal 2 4 2 4 2 2 2" xfId="5676"/>
    <cellStyle name="Normal 3 4 2 4 2 2 2" xfId="5677"/>
    <cellStyle name="Normal 4 3 2 4 2 2 2" xfId="5678"/>
    <cellStyle name="Normal 5 3 2 4 2 2 2" xfId="5679"/>
    <cellStyle name="Normal 7 3 2 4 2 2 2" xfId="5680"/>
    <cellStyle name="Normal 2 6 4 2 2 2" xfId="5681"/>
    <cellStyle name="Normal 3 6 4 2 2 2" xfId="5682"/>
    <cellStyle name="Normal 4 5 4 2 2 2" xfId="5683"/>
    <cellStyle name="Normal 5 5 4 2 2 2" xfId="5684"/>
    <cellStyle name="Normal 7 5 4 2 2 2" xfId="5685"/>
    <cellStyle name="Normal 2 3 3 4 2 2 2" xfId="5686"/>
    <cellStyle name="Normal 3 3 3 4 2 2 2" xfId="5687"/>
    <cellStyle name="Normal 4 2 3 4 2 2 2" xfId="5688"/>
    <cellStyle name="Normal 5 2 3 4 2 2 2" xfId="5689"/>
    <cellStyle name="Normal 7 2 3 4 2 2 2" xfId="5690"/>
    <cellStyle name="Normal 2 4 3 4 2 2 2" xfId="5691"/>
    <cellStyle name="Normal 3 4 3 4 2 2 2" xfId="5692"/>
    <cellStyle name="Normal 4 3 3 4 2 2 2" xfId="5693"/>
    <cellStyle name="Normal 5 3 3 4 2 2 2" xfId="5694"/>
    <cellStyle name="Normal 7 3 3 4 2 2 2" xfId="5695"/>
    <cellStyle name="Normal 2 7 3 2 2 2" xfId="5696"/>
    <cellStyle name="Normal 3 7 3 2 2 2" xfId="5697"/>
    <cellStyle name="Normal 4 6 3 2 2 2" xfId="5698"/>
    <cellStyle name="Normal 5 6 3 2 2 2" xfId="5699"/>
    <cellStyle name="Normal 7 6 3 2 2 2" xfId="5700"/>
    <cellStyle name="Normal 2 3 4 3 2 2 2" xfId="5701"/>
    <cellStyle name="Normal 3 3 4 3 2 2 2" xfId="5702"/>
    <cellStyle name="Normal 4 2 4 3 2 2 2" xfId="5703"/>
    <cellStyle name="Normal 5 2 4 3 2 2 2" xfId="5704"/>
    <cellStyle name="Normal 7 2 4 3 2 2 2" xfId="5705"/>
    <cellStyle name="Normal 2 4 4 3 2 2 2" xfId="5706"/>
    <cellStyle name="Normal 3 4 4 3 2 2 2" xfId="5707"/>
    <cellStyle name="Normal 4 3 4 3 2 2 2" xfId="5708"/>
    <cellStyle name="Normal 5 3 4 3 2 2 2" xfId="5709"/>
    <cellStyle name="Normal 7 3 4 3 2 2 2" xfId="5710"/>
    <cellStyle name="Normal 2 5 2 3 2 2 2" xfId="5711"/>
    <cellStyle name="Normal 3 5 2 3 2 2 2" xfId="5712"/>
    <cellStyle name="Normal 4 4 2 3 2 2 2" xfId="5713"/>
    <cellStyle name="Normal 5 4 2 3 2 2 2" xfId="5714"/>
    <cellStyle name="Normal 7 4 2 3 2 2 2" xfId="5715"/>
    <cellStyle name="Normal 2 3 2 2 3 2 2 2" xfId="5716"/>
    <cellStyle name="Normal 3 3 2 2 3 2 2 2" xfId="5717"/>
    <cellStyle name="Normal 4 2 2 2 3 2 2 2" xfId="5718"/>
    <cellStyle name="Normal 5 2 2 2 3 2 2 2" xfId="5719"/>
    <cellStyle name="Normal 7 2 2 2 3 2 2 2" xfId="5720"/>
    <cellStyle name="Normal 2 4 2 2 3 2 2 2" xfId="5721"/>
    <cellStyle name="Normal 3 4 2 2 3 2 2 2" xfId="5722"/>
    <cellStyle name="Normal 4 3 2 2 3 2 2 2" xfId="5723"/>
    <cellStyle name="Normal 5 3 2 2 3 2 2 2" xfId="5724"/>
    <cellStyle name="Normal 7 3 2 2 3 2 2 2" xfId="5725"/>
    <cellStyle name="Normal 2 6 2 3 2 2 2" xfId="5726"/>
    <cellStyle name="Normal 3 6 2 3 2 2 2" xfId="5727"/>
    <cellStyle name="Normal 4 5 2 3 2 2 2" xfId="5728"/>
    <cellStyle name="Normal 5 5 2 3 2 2 2" xfId="5729"/>
    <cellStyle name="Normal 7 5 2 3 2 2 2" xfId="5730"/>
    <cellStyle name="Normal 2 3 3 2 3 2 2 2" xfId="5731"/>
    <cellStyle name="Normal 3 3 3 2 3 2 2 2" xfId="5732"/>
    <cellStyle name="Normal 4 2 3 2 3 2 2 2" xfId="5733"/>
    <cellStyle name="Normal 5 2 3 2 3 2 2 2" xfId="5734"/>
    <cellStyle name="Normal 7 2 3 2 3 2 2 2" xfId="5735"/>
    <cellStyle name="Normal 2 4 3 2 3 2 2 2" xfId="5736"/>
    <cellStyle name="Normal 3 4 3 2 3 2 2 2" xfId="5737"/>
    <cellStyle name="Normal 4 3 3 2 3 2 2 2" xfId="5738"/>
    <cellStyle name="Normal 5 3 3 2 3 2 2 2" xfId="5739"/>
    <cellStyle name="Normal 7 3 3 2 3 2 2 2" xfId="5740"/>
    <cellStyle name="Normal 2 8 2 2 2 2" xfId="5741"/>
    <cellStyle name="Normal 3 8 2 2 2 2" xfId="5742"/>
    <cellStyle name="Normal 4 7 2 2 2 2" xfId="5743"/>
    <cellStyle name="Normal 5 7 2 2 2 2" xfId="5744"/>
    <cellStyle name="Normal 7 7 2 2 2 2" xfId="5745"/>
    <cellStyle name="Normal 2 3 5 2 2 2 2" xfId="5746"/>
    <cellStyle name="Normal 3 3 5 2 2 2 2" xfId="5747"/>
    <cellStyle name="Normal 4 2 5 2 2 2 2" xfId="5748"/>
    <cellStyle name="Normal 5 2 5 2 2 2 2" xfId="5749"/>
    <cellStyle name="Normal 7 2 5 2 2 2 2" xfId="5750"/>
    <cellStyle name="Normal 2 4 5 2 2 2 2" xfId="5751"/>
    <cellStyle name="Normal 3 4 5 2 2 2 2" xfId="5752"/>
    <cellStyle name="Normal 4 3 5 2 2 2 2" xfId="5753"/>
    <cellStyle name="Normal 5 3 5 2 2 2 2" xfId="5754"/>
    <cellStyle name="Normal 7 3 5 2 2 2 2" xfId="5755"/>
    <cellStyle name="Normal 2 5 3 2 2 2 2" xfId="5756"/>
    <cellStyle name="Normal 3 5 3 2 2 2 2" xfId="5757"/>
    <cellStyle name="Normal 4 4 3 2 2 2 2" xfId="5758"/>
    <cellStyle name="Normal 5 4 3 2 2 2 2" xfId="5759"/>
    <cellStyle name="Normal 7 4 3 2 2 2 2" xfId="5760"/>
    <cellStyle name="Normal 2 3 2 3 2 2 2 2" xfId="5761"/>
    <cellStyle name="Normal 3 3 2 3 2 2 2 2" xfId="5762"/>
    <cellStyle name="Normal 4 2 2 3 2 2 2 2" xfId="5763"/>
    <cellStyle name="Normal 5 2 2 3 2 2 2 2" xfId="5764"/>
    <cellStyle name="Normal 7 2 2 3 2 2 2 2" xfId="5765"/>
    <cellStyle name="Normal 2 4 2 3 2 2 2 2" xfId="5766"/>
    <cellStyle name="Normal 3 4 2 3 2 2 2 2" xfId="5767"/>
    <cellStyle name="Normal 4 3 2 3 2 2 2 2" xfId="5768"/>
    <cellStyle name="Normal 5 3 2 3 2 2 2 2" xfId="5769"/>
    <cellStyle name="Normal 7 3 2 3 2 2 2 2" xfId="5770"/>
    <cellStyle name="Normal 2 6 3 2 2 2 2" xfId="5771"/>
    <cellStyle name="Normal 3 6 3 2 2 2 2" xfId="5772"/>
    <cellStyle name="Normal 4 5 3 2 2 2 2" xfId="5773"/>
    <cellStyle name="Normal 5 5 3 2 2 2 2" xfId="5774"/>
    <cellStyle name="Normal 7 5 3 2 2 2 2" xfId="5775"/>
    <cellStyle name="Normal 2 3 3 3 2 2 2 2" xfId="5776"/>
    <cellStyle name="Normal 3 3 3 3 2 2 2 2" xfId="5777"/>
    <cellStyle name="Normal 4 2 3 3 2 2 2 2" xfId="5778"/>
    <cellStyle name="Normal 5 2 3 3 2 2 2 2" xfId="5779"/>
    <cellStyle name="Normal 7 2 3 3 2 2 2 2" xfId="5780"/>
    <cellStyle name="Normal 2 4 3 3 2 2 2 2" xfId="5781"/>
    <cellStyle name="Normal 3 4 3 3 2 2 2 2" xfId="5782"/>
    <cellStyle name="Normal 4 3 3 3 2 2 2 2" xfId="5783"/>
    <cellStyle name="Normal 5 3 3 3 2 2 2 2" xfId="5784"/>
    <cellStyle name="Normal 7 3 3 3 2 2 2 2" xfId="5785"/>
    <cellStyle name="Normal 2 7 2 2 2 2 2" xfId="5786"/>
    <cellStyle name="Normal 3 7 2 2 2 2 2" xfId="5787"/>
    <cellStyle name="Normal 4 6 2 2 2 2 2" xfId="5788"/>
    <cellStyle name="Normal 5 6 2 2 2 2 2" xfId="5789"/>
    <cellStyle name="Normal 7 6 2 2 2 2 2" xfId="5790"/>
    <cellStyle name="Normal 2 3 4 2 2 2 2 2" xfId="5791"/>
    <cellStyle name="Normal 3 3 4 2 2 2 2 2" xfId="5792"/>
    <cellStyle name="Normal 4 2 4 2 2 2 2 2" xfId="5793"/>
    <cellStyle name="Normal 5 2 4 2 2 2 2 2" xfId="5794"/>
    <cellStyle name="Normal 7 2 4 2 2 2 2 2" xfId="5795"/>
    <cellStyle name="Normal 2 4 4 2 2 2 2 2" xfId="5796"/>
    <cellStyle name="Normal 3 4 4 2 2 2 2 2" xfId="5797"/>
    <cellStyle name="Normal 4 3 4 2 2 2 2 2" xfId="5798"/>
    <cellStyle name="Normal 5 3 4 2 2 2 2 2" xfId="5799"/>
    <cellStyle name="Normal 7 3 4 2 2 2 2 2" xfId="5800"/>
    <cellStyle name="Normal 2 5 2 2 2 2 2 2" xfId="5801"/>
    <cellStyle name="Normal 3 5 2 2 2 2 2 2" xfId="5802"/>
    <cellStyle name="Normal 4 4 2 2 2 2 2 2" xfId="5803"/>
    <cellStyle name="Normal 5 4 2 2 2 2 2 2" xfId="5804"/>
    <cellStyle name="Normal 7 4 2 2 2 2 2 2" xfId="5805"/>
    <cellStyle name="Normal 2 3 2 2 2 2 2 2 2" xfId="5806"/>
    <cellStyle name="Normal 3 3 2 2 2 2 2 2 2" xfId="5807"/>
    <cellStyle name="Normal 4 2 2 2 2 2 2 2 2" xfId="5808"/>
    <cellStyle name="Normal 5 2 2 2 2 2 2 2 2" xfId="5809"/>
    <cellStyle name="Normal 7 2 2 2 2 2 2 2 2" xfId="5810"/>
    <cellStyle name="Normal 2 4 2 2 2 2 2 2 2" xfId="5811"/>
    <cellStyle name="Normal 3 4 2 2 2 2 2 2 2" xfId="5812"/>
    <cellStyle name="Normal 4 3 2 2 2 2 2 2 2" xfId="5813"/>
    <cellStyle name="Normal 5 3 2 2 2 2 2 2 2" xfId="5814"/>
    <cellStyle name="Normal 7 3 2 2 2 2 2 2 2" xfId="5815"/>
    <cellStyle name="Normal 2 6 2 2 2 2 2 2" xfId="5816"/>
    <cellStyle name="Normal 3 6 2 2 2 2 2 2" xfId="5817"/>
    <cellStyle name="Normal 4 5 2 2 2 2 2 2" xfId="5818"/>
    <cellStyle name="Normal 5 5 2 2 2 2 2 2" xfId="5819"/>
    <cellStyle name="Normal 7 5 2 2 2 2 2 2" xfId="5820"/>
    <cellStyle name="Normal 2 3 3 2 2 2 2 2 2" xfId="5821"/>
    <cellStyle name="Normal 3 3 3 2 2 2 2 2 2" xfId="5822"/>
    <cellStyle name="Normal 4 2 3 2 2 2 2 2 2" xfId="5823"/>
    <cellStyle name="Normal 5 2 3 2 2 2 2 2 2" xfId="5824"/>
    <cellStyle name="Normal 7 2 3 2 2 2 2 2 2" xfId="5825"/>
    <cellStyle name="Normal 2 4 3 2 2 2 2 2 2" xfId="5826"/>
    <cellStyle name="Normal 3 4 3 2 2 2 2 2 2" xfId="5827"/>
    <cellStyle name="Normal 4 3 3 2 2 2 2 2 2" xfId="5828"/>
    <cellStyle name="Normal 5 3 3 2 2 2 2 2 2" xfId="5829"/>
    <cellStyle name="Normal 7 3 3 2 2 2 2 2 2" xfId="5830"/>
    <cellStyle name="Normal 28 2 2 2" xfId="5831"/>
    <cellStyle name="Normal 2 3 7 2 2 2" xfId="5832"/>
    <cellStyle name="Normal 3 10 2 2 2" xfId="5833"/>
    <cellStyle name="Normal 4 9 2 2 2" xfId="5834"/>
    <cellStyle name="Normal 5 9 2 2 2" xfId="5835"/>
    <cellStyle name="Millares 4 2 2 2" xfId="5836"/>
    <cellStyle name="Normal 7 2 7 2 2 2" xfId="5837"/>
    <cellStyle name="Normal 3 3 7 2 2 2" xfId="5838"/>
    <cellStyle name="Normal 4 2 7 2 2 2" xfId="5839"/>
    <cellStyle name="Normal 5 2 7 2 2 2" xfId="5840"/>
    <cellStyle name="Normal 2 4 5 3 2 2 2" xfId="5841"/>
    <cellStyle name="Normal 3 4 7 2 2 2" xfId="5842"/>
    <cellStyle name="Normal 4 3 7 2 2 2" xfId="5843"/>
    <cellStyle name="Normal 5 3 7 2 2 2" xfId="5844"/>
    <cellStyle name="Normal 7 3 7 2 2 2" xfId="5845"/>
    <cellStyle name="Normal 2 5 5 2 2 2" xfId="5846"/>
    <cellStyle name="Normal 3 5 5 2 2 2" xfId="5847"/>
    <cellStyle name="Normal 4 4 5 2 2 2" xfId="5848"/>
    <cellStyle name="Normal 5 4 5 2 2 2" xfId="5849"/>
    <cellStyle name="Normal 7 4 5 2 2 2" xfId="5850"/>
    <cellStyle name="Normal 2 3 2 5 2 2 2" xfId="5851"/>
    <cellStyle name="Normal 3 3 2 5 2 2 2" xfId="5852"/>
    <cellStyle name="Normal 4 2 2 5 2 2 2" xfId="5853"/>
    <cellStyle name="Normal 5 2 2 5 2 2 2" xfId="5854"/>
    <cellStyle name="Normal 7 2 2 5 2 2 2" xfId="5855"/>
    <cellStyle name="Normal 2 4 2 5 2 2 2" xfId="5856"/>
    <cellStyle name="Normal 3 4 2 5 2 2 2" xfId="5857"/>
    <cellStyle name="Normal 4 3 2 5 2 2 2" xfId="5858"/>
    <cellStyle name="Normal 5 3 2 5 2 2 2" xfId="5859"/>
    <cellStyle name="Normal 7 3 2 5 2 2 2" xfId="5860"/>
    <cellStyle name="Normal 2 6 5 2 2 2" xfId="5861"/>
    <cellStyle name="Normal 3 6 5 2 2 2" xfId="5862"/>
    <cellStyle name="Normal 4 5 5 2 2 2" xfId="5863"/>
    <cellStyle name="Normal 5 5 5 2 2 2" xfId="5864"/>
    <cellStyle name="Normal 7 5 5 2 2 2" xfId="5865"/>
    <cellStyle name="Normal 2 3 3 5 2 2 2" xfId="5866"/>
    <cellStyle name="Normal 3 3 3 5 2 2 2" xfId="5867"/>
    <cellStyle name="Normal 4 2 3 5 2 2 2" xfId="5868"/>
    <cellStyle name="Normal 5 2 3 5 2 2 2" xfId="5869"/>
    <cellStyle name="Normal 7 2 3 5 2 2 2" xfId="5870"/>
    <cellStyle name="Normal 2 4 3 5 2 2 2" xfId="5871"/>
    <cellStyle name="Normal 3 4 3 5 2 2 2" xfId="5872"/>
    <cellStyle name="Normal 4 3 3 5 2 2 2" xfId="5873"/>
    <cellStyle name="Normal 5 3 3 5 2 2 2" xfId="5874"/>
    <cellStyle name="Normal 7 3 3 5 2 2 2" xfId="5875"/>
    <cellStyle name="Normal 2 7 4 2 2 2" xfId="5876"/>
    <cellStyle name="Normal 3 7 4 2 2 2" xfId="5877"/>
    <cellStyle name="Normal 4 6 4 2 2 2" xfId="5878"/>
    <cellStyle name="Normal 5 6 4 2 2 2" xfId="5879"/>
    <cellStyle name="Normal 7 6 4 2 2 2" xfId="5880"/>
    <cellStyle name="Normal 2 3 4 4 2 2 2" xfId="5881"/>
    <cellStyle name="Normal 3 3 4 4 2 2 2" xfId="5882"/>
    <cellStyle name="Normal 4 2 4 4 2 2 2" xfId="5883"/>
    <cellStyle name="Normal 5 2 4 4 2 2 2" xfId="5884"/>
    <cellStyle name="Normal 7 2 4 4 2 2 2" xfId="5885"/>
    <cellStyle name="Normal 2 4 4 4 2 2 2" xfId="5886"/>
    <cellStyle name="Normal 3 4 4 4 2 2 2" xfId="5887"/>
    <cellStyle name="Normal 4 3 4 4 2 2 2" xfId="5888"/>
    <cellStyle name="Normal 5 3 4 4 2 2 2" xfId="5889"/>
    <cellStyle name="Normal 7 3 4 4 2 2 2" xfId="5890"/>
    <cellStyle name="Normal 2 5 2 4 2 2 2" xfId="5891"/>
    <cellStyle name="Normal 3 5 2 4 2 2 2" xfId="5892"/>
    <cellStyle name="Normal 4 4 2 4 2 2 2" xfId="5893"/>
    <cellStyle name="Normal 5 4 2 4 2 2 2" xfId="5894"/>
    <cellStyle name="Normal 7 4 2 4 2 2 2" xfId="5895"/>
    <cellStyle name="Normal 2 3 2 2 4 2 2 2" xfId="5896"/>
    <cellStyle name="Normal 3 3 2 2 4 2 2 2" xfId="5897"/>
    <cellStyle name="Normal 4 2 2 2 4 2 2 2" xfId="5898"/>
    <cellStyle name="Normal 5 2 2 2 4 2 2 2" xfId="5899"/>
    <cellStyle name="Normal 7 2 2 2 4 2 2 2" xfId="5900"/>
    <cellStyle name="Normal 2 4 2 2 4 2 2 2" xfId="5901"/>
    <cellStyle name="Normal 3 4 2 2 4 2 2 2" xfId="5902"/>
    <cellStyle name="Normal 4 3 2 2 4 2 2 2" xfId="5903"/>
    <cellStyle name="Normal 5 3 2 2 4 2 2 2" xfId="5904"/>
    <cellStyle name="Normal 7 3 2 2 4 2 2 2" xfId="5905"/>
    <cellStyle name="Normal 2 6 2 4 2 2 2" xfId="5906"/>
    <cellStyle name="Normal 3 6 2 4 2 2 2" xfId="5907"/>
    <cellStyle name="Normal 4 5 2 4 2 2 2" xfId="5908"/>
    <cellStyle name="Normal 5 5 2 4 2 2 2" xfId="5909"/>
    <cellStyle name="Normal 7 5 2 4 2 2 2" xfId="5910"/>
    <cellStyle name="Normal 2 3 3 2 4 2 2 2" xfId="5911"/>
    <cellStyle name="Normal 3 3 3 2 4 2 2 2" xfId="5912"/>
    <cellStyle name="Normal 4 2 3 2 4 2 2 2" xfId="5913"/>
    <cellStyle name="Normal 5 2 3 2 4 2 2 2" xfId="5914"/>
    <cellStyle name="Normal 7 2 3 2 4 2 2 2" xfId="5915"/>
    <cellStyle name="Normal 2 4 3 2 4 2 2 2" xfId="5916"/>
    <cellStyle name="Normal 3 4 3 2 4 2 2 2" xfId="5917"/>
    <cellStyle name="Normal 4 3 3 2 4 2 2 2" xfId="5918"/>
    <cellStyle name="Normal 5 3 3 2 4 2 2 2" xfId="5919"/>
    <cellStyle name="Normal 7 3 3 2 4 2 2 2" xfId="5920"/>
    <cellStyle name="Normal 2 8 3 2 2 2" xfId="5921"/>
    <cellStyle name="Normal 3 8 3 2 2 2" xfId="5922"/>
    <cellStyle name="Normal 4 7 3 2 2 2" xfId="5923"/>
    <cellStyle name="Normal 5 7 3 2 2 2" xfId="5924"/>
    <cellStyle name="Normal 7 7 3 2 2 2" xfId="5925"/>
    <cellStyle name="Normal 2 3 5 3 2 2 2" xfId="5926"/>
    <cellStyle name="Normal 3 3 5 3 2 2 2" xfId="5927"/>
    <cellStyle name="Normal 4 2 5 3 2 2 2" xfId="5928"/>
    <cellStyle name="Normal 5 2 5 3 2 2 2" xfId="5929"/>
    <cellStyle name="Normal 7 2 5 3 2 2 2" xfId="5930"/>
    <cellStyle name="Normal 3 4 5 3 2 2 2" xfId="5931"/>
    <cellStyle name="Normal 4 3 5 3 2 2 2" xfId="5932"/>
    <cellStyle name="Normal 5 3 5 3 2 2 2" xfId="5933"/>
    <cellStyle name="Normal 7 3 5 3 2 2 2" xfId="5934"/>
    <cellStyle name="Normal 2 5 3 3 2 2 2" xfId="5935"/>
    <cellStyle name="Normal 3 5 3 3 2 2 2" xfId="5936"/>
    <cellStyle name="Normal 4 4 3 3 2 2 2" xfId="5937"/>
    <cellStyle name="Normal 5 4 3 3 2 2 2" xfId="5938"/>
    <cellStyle name="Normal 7 4 3 3 2 2 2" xfId="5939"/>
    <cellStyle name="Normal 2 3 2 3 3 2 2 2" xfId="5940"/>
    <cellStyle name="Normal 3 3 2 3 3 2 2 2" xfId="5941"/>
    <cellStyle name="Normal 4 2 2 3 3 2 2 2" xfId="5942"/>
    <cellStyle name="Normal 5 2 2 3 3 2 2 2" xfId="5943"/>
    <cellStyle name="Normal 7 2 2 3 3 2 2 2" xfId="5944"/>
    <cellStyle name="Normal 2 4 2 3 3 2 2 2" xfId="5945"/>
    <cellStyle name="Normal 3 4 2 3 3 2 2 2" xfId="5946"/>
    <cellStyle name="Normal 4 3 2 3 3 2 2 2" xfId="5947"/>
    <cellStyle name="Normal 5 3 2 3 3 2 2 2" xfId="5948"/>
    <cellStyle name="Normal 7 3 2 3 3 2 2 2" xfId="5949"/>
    <cellStyle name="Normal 2 6 3 3 2 2 2" xfId="5950"/>
    <cellStyle name="Normal 3 6 3 3 2 2 2" xfId="5951"/>
    <cellStyle name="Normal 4 5 3 3 2 2 2" xfId="5952"/>
    <cellStyle name="Normal 5 5 3 3 2 2 2" xfId="5953"/>
    <cellStyle name="Normal 7 5 3 3 2 2 2" xfId="5954"/>
    <cellStyle name="Normal 2 3 3 3 3 2 2 2" xfId="5955"/>
    <cellStyle name="Normal 3 3 3 3 3 2 2 2" xfId="5956"/>
    <cellStyle name="Normal 4 2 3 3 3 2 2 2" xfId="5957"/>
    <cellStyle name="Normal 5 2 3 3 3 2 2 2" xfId="5958"/>
    <cellStyle name="Normal 7 2 3 3 3 2 2 2" xfId="5959"/>
    <cellStyle name="Normal 2 4 3 3 3 2 2 2" xfId="5960"/>
    <cellStyle name="Normal 3 4 3 3 3 2 2 2" xfId="5961"/>
    <cellStyle name="Normal 4 3 3 3 3 2 2 2" xfId="5962"/>
    <cellStyle name="Normal 5 3 3 3 3 2 2 2" xfId="5963"/>
    <cellStyle name="Normal 7 3 3 3 3 2 2 2" xfId="5964"/>
    <cellStyle name="Normal 2 7 2 3 2 2 2" xfId="5965"/>
    <cellStyle name="Normal 3 7 2 3 2 2 2" xfId="5966"/>
    <cellStyle name="Normal 4 6 2 3 2 2 2" xfId="5967"/>
    <cellStyle name="Normal 5 6 2 3 2 2 2" xfId="5968"/>
    <cellStyle name="Normal 7 6 2 3 2 2 2" xfId="5969"/>
    <cellStyle name="Normal 2 3 4 2 3 2 2 2" xfId="5970"/>
    <cellStyle name="Normal 3 3 4 2 3 2 2 2" xfId="5971"/>
    <cellStyle name="Normal 4 2 4 2 3 2 2 2" xfId="5972"/>
    <cellStyle name="Normal 5 2 4 2 3 2 2 2" xfId="5973"/>
    <cellStyle name="Normal 7 2 4 2 3 2 2 2" xfId="5974"/>
    <cellStyle name="Normal 2 4 4 2 3 2 2 2" xfId="5975"/>
    <cellStyle name="Normal 3 4 4 2 3 2 2 2" xfId="5976"/>
    <cellStyle name="Normal 4 3 4 2 3 2 2 2" xfId="5977"/>
    <cellStyle name="Normal 5 3 4 2 3 2 2 2" xfId="5978"/>
    <cellStyle name="Normal 7 3 4 2 3 2 2 2" xfId="5979"/>
    <cellStyle name="Normal 2 5 2 2 3 2 2 2" xfId="5980"/>
    <cellStyle name="Normal 3 5 2 2 3 2 2 2" xfId="5981"/>
    <cellStyle name="Normal 4 4 2 2 3 2 2 2" xfId="5982"/>
    <cellStyle name="Normal 5 4 2 2 3 2 2 2" xfId="5983"/>
    <cellStyle name="Normal 7 4 2 2 3 2 2 2" xfId="5984"/>
    <cellStyle name="Normal 2 3 2 2 2 3 2 2 2" xfId="5985"/>
    <cellStyle name="Normal 3 3 2 2 2 3 2 2 2" xfId="5986"/>
    <cellStyle name="Normal 4 2 2 2 2 3 2 2 2" xfId="5987"/>
    <cellStyle name="Normal 5 2 2 2 2 3 2 2 2" xfId="5988"/>
    <cellStyle name="Normal 7 2 2 2 2 3 2 2 2" xfId="5989"/>
    <cellStyle name="Normal 2 4 2 2 2 3 2 2 2" xfId="5990"/>
    <cellStyle name="Normal 3 4 2 2 2 3 2 2 2" xfId="5991"/>
    <cellStyle name="Normal 4 3 2 2 2 3 2 2 2" xfId="5992"/>
    <cellStyle name="Normal 5 3 2 2 2 3 2 2 2" xfId="5993"/>
    <cellStyle name="Normal 7 3 2 2 2 3 2 2 2" xfId="5994"/>
    <cellStyle name="Normal 2 6 2 2 3 2 2 2" xfId="5995"/>
    <cellStyle name="Normal 3 6 2 2 3 2 2 2" xfId="5996"/>
    <cellStyle name="Normal 4 5 2 2 3 2 2 2" xfId="5997"/>
    <cellStyle name="Normal 5 5 2 2 3 2 2 2" xfId="5998"/>
    <cellStyle name="Normal 7 5 2 2 3 2 2 2" xfId="5999"/>
    <cellStyle name="Normal 2 3 3 2 2 3 2 2 2" xfId="6000"/>
    <cellStyle name="Normal 3 3 3 2 2 3 2 2 2" xfId="6001"/>
    <cellStyle name="Normal 4 2 3 2 2 3 2 2 2" xfId="6002"/>
    <cellStyle name="Normal 5 2 3 2 2 3 2 2 2" xfId="6003"/>
    <cellStyle name="Normal 7 2 3 2 2 3 2 2 2" xfId="6004"/>
    <cellStyle name="Normal 2 4 3 2 2 3 2 2 2" xfId="6005"/>
    <cellStyle name="Normal 3 4 3 2 2 3 2 2 2" xfId="6006"/>
    <cellStyle name="Normal 4 3 3 2 2 3 2 2 2" xfId="6007"/>
    <cellStyle name="Normal 5 3 3 2 2 3 2 2 2" xfId="6008"/>
    <cellStyle name="Normal 7 3 3 2 2 3 2 2 2" xfId="6009"/>
    <cellStyle name="Normal 2 12 2 2" xfId="6010"/>
    <cellStyle name="Normal 3 12 2 2" xfId="6011"/>
    <cellStyle name="Normal 4 11 2 2" xfId="6012"/>
    <cellStyle name="Normal 5 11 2 2" xfId="6013"/>
    <cellStyle name="Normal 7 11 2 2" xfId="6014"/>
    <cellStyle name="Normal 2 3 9 2 2" xfId="6015"/>
    <cellStyle name="Normal 3 3 9 2 2" xfId="6016"/>
    <cellStyle name="Normal 4 2 9 2 2" xfId="6017"/>
    <cellStyle name="Normal 5 2 9 2 2" xfId="6018"/>
    <cellStyle name="Normal 7 2 9 2 2" xfId="6019"/>
    <cellStyle name="Normal 2 4 9 2 2" xfId="6020"/>
    <cellStyle name="Normal 3 4 9 2 2" xfId="6021"/>
    <cellStyle name="Normal 4 3 9 2 2" xfId="6022"/>
    <cellStyle name="Normal 5 3 9 2 2" xfId="6023"/>
    <cellStyle name="Normal 7 3 9 2 2" xfId="6024"/>
    <cellStyle name="Normal 2 5 7 2 2" xfId="6025"/>
    <cellStyle name="Normal 3 5 7 2 2" xfId="6026"/>
    <cellStyle name="Normal 4 4 7 2 2" xfId="6027"/>
    <cellStyle name="Normal 5 4 7 2 2" xfId="6028"/>
    <cellStyle name="Normal 7 4 7 2 2" xfId="6029"/>
    <cellStyle name="Normal 2 3 2 7 2 2" xfId="6030"/>
    <cellStyle name="Normal 3 3 2 7 2 2" xfId="6031"/>
    <cellStyle name="Normal 4 2 2 7 2 2" xfId="6032"/>
    <cellStyle name="Normal 5 2 2 7 2 2" xfId="6033"/>
    <cellStyle name="Normal 7 2 2 7 2 2" xfId="6034"/>
    <cellStyle name="Normal 2 4 2 7 2 2" xfId="6035"/>
    <cellStyle name="Normal 3 4 2 7 2 2" xfId="6036"/>
    <cellStyle name="Normal 4 3 2 7 2 2" xfId="6037"/>
    <cellStyle name="Normal 5 3 2 7 2 2" xfId="6038"/>
    <cellStyle name="Normal 7 3 2 7 2 2" xfId="6039"/>
    <cellStyle name="Normal 2 6 7 2 2" xfId="6040"/>
    <cellStyle name="Normal 3 6 7 2 2" xfId="6041"/>
    <cellStyle name="Normal 4 5 7 2 2" xfId="6042"/>
    <cellStyle name="Normal 5 5 7 2 2" xfId="6043"/>
    <cellStyle name="Normal 7 5 7 2 2" xfId="6044"/>
    <cellStyle name="Normal 2 3 3 7 2 2" xfId="6045"/>
    <cellStyle name="Normal 3 3 3 7 2 2" xfId="6046"/>
    <cellStyle name="Normal 4 2 3 7 2 2" xfId="6047"/>
    <cellStyle name="Normal 5 2 3 7 2 2" xfId="6048"/>
    <cellStyle name="Normal 7 2 3 7 2 2" xfId="6049"/>
    <cellStyle name="Normal 2 4 3 7 2 2" xfId="6050"/>
    <cellStyle name="Normal 3 4 3 7 2 2" xfId="6051"/>
    <cellStyle name="Normal 4 3 3 7 2 2" xfId="6052"/>
    <cellStyle name="Normal 5 3 3 7 2 2" xfId="6053"/>
    <cellStyle name="Normal 7 3 3 7 2 2" xfId="6054"/>
    <cellStyle name="Normal 2 7 6 2 2" xfId="6055"/>
    <cellStyle name="Normal 3 7 6 2 2" xfId="6056"/>
    <cellStyle name="Normal 4 6 6 2 2" xfId="6057"/>
    <cellStyle name="Normal 5 6 6 2 2" xfId="6058"/>
    <cellStyle name="Normal 7 6 6 2 2" xfId="6059"/>
    <cellStyle name="Normal 2 3 4 6 2 2" xfId="6060"/>
    <cellStyle name="Normal 3 3 4 6 2 2" xfId="6061"/>
    <cellStyle name="Normal 4 2 4 6 2 2" xfId="6062"/>
    <cellStyle name="Normal 5 2 4 6 2 2" xfId="6063"/>
    <cellStyle name="Normal 7 2 4 6 2 2" xfId="6064"/>
    <cellStyle name="Normal 2 4 4 6 2 2" xfId="6065"/>
    <cellStyle name="Normal 3 4 4 6 2 2" xfId="6066"/>
    <cellStyle name="Normal 4 3 4 6 2 2" xfId="6067"/>
    <cellStyle name="Normal 5 3 4 6 2 2" xfId="6068"/>
    <cellStyle name="Normal 7 3 4 6 2 2" xfId="6069"/>
    <cellStyle name="Normal 2 5 2 6 2 2" xfId="6070"/>
    <cellStyle name="Normal 3 5 2 6 2 2" xfId="6071"/>
    <cellStyle name="Normal 4 4 2 6 2 2" xfId="6072"/>
    <cellStyle name="Normal 5 4 2 6 2 2" xfId="6073"/>
    <cellStyle name="Normal 7 4 2 6 2 2" xfId="6074"/>
    <cellStyle name="Normal 2 3 2 2 6 2 2" xfId="6075"/>
    <cellStyle name="Normal 3 3 2 2 6 2 2" xfId="6076"/>
    <cellStyle name="Normal 4 2 2 2 6 2 2" xfId="6077"/>
    <cellStyle name="Normal 5 2 2 2 6 2 2" xfId="6078"/>
    <cellStyle name="Normal 7 2 2 2 6 2 2" xfId="6079"/>
    <cellStyle name="Normal 2 4 2 2 6 2 2" xfId="6080"/>
    <cellStyle name="Normal 3 4 2 2 6 2 2" xfId="6081"/>
    <cellStyle name="Normal 4 3 2 2 6 2 2" xfId="6082"/>
    <cellStyle name="Normal 5 3 2 2 6 2 2" xfId="6083"/>
    <cellStyle name="Normal 7 3 2 2 6 2 2" xfId="6084"/>
    <cellStyle name="Normal 2 6 2 6 2 2" xfId="6085"/>
    <cellStyle name="Normal 3 6 2 6 2 2" xfId="6086"/>
    <cellStyle name="Normal 4 5 2 6 2 2" xfId="6087"/>
    <cellStyle name="Normal 5 5 2 6 2 2" xfId="6088"/>
    <cellStyle name="Normal 7 5 2 6 2 2" xfId="6089"/>
    <cellStyle name="Normal 2 3 3 2 6 2 2" xfId="6090"/>
    <cellStyle name="Normal 3 3 3 2 6 2 2" xfId="6091"/>
    <cellStyle name="Normal 4 2 3 2 6 2 2" xfId="6092"/>
    <cellStyle name="Normal 5 2 3 2 6 2 2" xfId="6093"/>
    <cellStyle name="Normal 7 2 3 2 6 2 2" xfId="6094"/>
    <cellStyle name="Normal 2 4 3 2 6 2 2" xfId="6095"/>
    <cellStyle name="Normal 3 4 3 2 6 2 2" xfId="6096"/>
    <cellStyle name="Normal 4 3 3 2 6 2 2" xfId="6097"/>
    <cellStyle name="Normal 5 3 3 2 6 2 2" xfId="6098"/>
    <cellStyle name="Normal 7 3 3 2 6 2 2" xfId="6099"/>
    <cellStyle name="Normal 2 8 5 2 2" xfId="6100"/>
    <cellStyle name="Normal 3 8 5 2 2" xfId="6101"/>
    <cellStyle name="Normal 4 7 5 2 2" xfId="6102"/>
    <cellStyle name="Normal 5 7 5 2 2" xfId="6103"/>
    <cellStyle name="Normal 7 7 5 2 2" xfId="6104"/>
    <cellStyle name="Normal 2 3 5 5 2 2" xfId="6105"/>
    <cellStyle name="Normal 3 3 5 5 2 2" xfId="6106"/>
    <cellStyle name="Normal 4 2 5 5 2 2" xfId="6107"/>
    <cellStyle name="Normal 5 2 5 5 2 2" xfId="6108"/>
    <cellStyle name="Normal 7 2 5 5 2 2" xfId="6109"/>
    <cellStyle name="Normal 2 4 5 5 2 2" xfId="6110"/>
    <cellStyle name="Normal 3 4 5 5 2 2" xfId="6111"/>
    <cellStyle name="Normal 4 3 5 5 2 2" xfId="6112"/>
    <cellStyle name="Normal 5 3 5 5 2 2" xfId="6113"/>
    <cellStyle name="Normal 7 3 5 5 2 2" xfId="6114"/>
    <cellStyle name="Normal 2 5 3 5 2 2" xfId="6115"/>
    <cellStyle name="Normal 3 5 3 5 2 2" xfId="6116"/>
    <cellStyle name="Normal 4 4 3 5 2 2" xfId="6117"/>
    <cellStyle name="Normal 5 4 3 5 2 2" xfId="6118"/>
    <cellStyle name="Normal 7 4 3 5 2 2" xfId="6119"/>
    <cellStyle name="Normal 2 3 2 3 5 2 2" xfId="6120"/>
    <cellStyle name="Normal 3 3 2 3 5 2 2" xfId="6121"/>
    <cellStyle name="Normal 4 2 2 3 5 2 2" xfId="6122"/>
    <cellStyle name="Normal 5 2 2 3 5 2 2" xfId="6123"/>
    <cellStyle name="Normal 7 2 2 3 5 2 2" xfId="6124"/>
    <cellStyle name="Normal 2 4 2 3 5 2 2" xfId="6125"/>
    <cellStyle name="Normal 3 4 2 3 5 2 2" xfId="6126"/>
    <cellStyle name="Normal 4 3 2 3 5 2 2" xfId="6127"/>
    <cellStyle name="Normal 5 3 2 3 5 2 2" xfId="6128"/>
    <cellStyle name="Normal 7 3 2 3 5 2 2" xfId="6129"/>
    <cellStyle name="Normal 2 6 3 5 2 2" xfId="6130"/>
    <cellStyle name="Normal 3 6 3 5 2 2" xfId="6131"/>
    <cellStyle name="Normal 4 5 3 5 2 2" xfId="6132"/>
    <cellStyle name="Normal 5 5 3 5 2 2" xfId="6133"/>
    <cellStyle name="Normal 7 5 3 5 2 2" xfId="6134"/>
    <cellStyle name="Normal 2 3 3 3 5 2 2" xfId="6135"/>
    <cellStyle name="Normal 3 3 3 3 5 2 2" xfId="6136"/>
    <cellStyle name="Normal 4 2 3 3 5 2 2" xfId="6137"/>
    <cellStyle name="Normal 5 2 3 3 5 2 2" xfId="6138"/>
    <cellStyle name="Normal 7 2 3 3 5 2 2" xfId="6139"/>
    <cellStyle name="Normal 2 4 3 3 5 2 2" xfId="6140"/>
    <cellStyle name="Normal 3 4 3 3 5 2 2" xfId="6141"/>
    <cellStyle name="Normal 4 3 3 3 5 2 2" xfId="6142"/>
    <cellStyle name="Normal 5 3 3 3 5 2 2" xfId="6143"/>
    <cellStyle name="Normal 7 3 3 3 5 2 2" xfId="6144"/>
    <cellStyle name="Normal 2 7 2 5 2 2" xfId="6145"/>
    <cellStyle name="Normal 3 7 2 5 2 2" xfId="6146"/>
    <cellStyle name="Normal 4 6 2 5 2 2" xfId="6147"/>
    <cellStyle name="Normal 5 6 2 5 2 2" xfId="6148"/>
    <cellStyle name="Normal 7 6 2 5 2 2" xfId="6149"/>
    <cellStyle name="Normal 2 3 4 2 5 2 2" xfId="6150"/>
    <cellStyle name="Normal 3 3 4 2 5 2 2" xfId="6151"/>
    <cellStyle name="Normal 4 2 4 2 5 2 2" xfId="6152"/>
    <cellStyle name="Normal 5 2 4 2 5 2 2" xfId="6153"/>
    <cellStyle name="Normal 7 2 4 2 5 2 2" xfId="6154"/>
    <cellStyle name="Normal 2 4 4 2 5 2 2" xfId="6155"/>
    <cellStyle name="Normal 3 4 4 2 5 2 2" xfId="6156"/>
    <cellStyle name="Normal 4 3 4 2 5 2 2" xfId="6157"/>
    <cellStyle name="Normal 5 3 4 2 5 2 2" xfId="6158"/>
    <cellStyle name="Normal 7 3 4 2 5 2 2" xfId="6159"/>
    <cellStyle name="Normal 2 5 2 2 5 2 2" xfId="6160"/>
    <cellStyle name="Normal 3 5 2 2 5 2 2" xfId="6161"/>
    <cellStyle name="Normal 4 4 2 2 5 2 2" xfId="6162"/>
    <cellStyle name="Normal 5 4 2 2 5 2 2" xfId="6163"/>
    <cellStyle name="Normal 7 4 2 2 5 2 2" xfId="6164"/>
    <cellStyle name="Normal 2 3 2 2 2 5 2 2" xfId="6165"/>
    <cellStyle name="Normal 3 3 2 2 2 5 2 2" xfId="6166"/>
    <cellStyle name="Normal 4 2 2 2 2 5 2 2" xfId="6167"/>
    <cellStyle name="Normal 5 2 2 2 2 5 2 2" xfId="6168"/>
    <cellStyle name="Normal 7 2 2 2 2 5 2 2" xfId="6169"/>
    <cellStyle name="Normal 2 4 2 2 2 5 2 2" xfId="6170"/>
    <cellStyle name="Normal 3 4 2 2 2 5 2 2" xfId="6171"/>
    <cellStyle name="Normal 4 3 2 2 2 5 2 2" xfId="6172"/>
    <cellStyle name="Normal 5 3 2 2 2 5 2 2" xfId="6173"/>
    <cellStyle name="Normal 7 3 2 2 2 5 2 2" xfId="6174"/>
    <cellStyle name="Normal 2 6 2 2 5 2 2" xfId="6175"/>
    <cellStyle name="Normal 3 6 2 2 5 2 2" xfId="6176"/>
    <cellStyle name="Normal 4 5 2 2 5 2 2" xfId="6177"/>
    <cellStyle name="Normal 5 5 2 2 5 2 2" xfId="6178"/>
    <cellStyle name="Normal 7 5 2 2 5 2 2" xfId="6179"/>
    <cellStyle name="Normal 2 3 3 2 2 5 2 2" xfId="6180"/>
    <cellStyle name="Normal 3 3 3 2 2 5 2 2" xfId="6181"/>
    <cellStyle name="Normal 4 2 3 2 2 5 2 2" xfId="6182"/>
    <cellStyle name="Normal 5 2 3 2 2 5 2 2" xfId="6183"/>
    <cellStyle name="Normal 7 2 3 2 2 5 2 2" xfId="6184"/>
    <cellStyle name="Normal 2 4 3 2 2 5 2 2" xfId="6185"/>
    <cellStyle name="Normal 3 4 3 2 2 5 2 2" xfId="6186"/>
    <cellStyle name="Normal 4 3 3 2 2 5 2 2" xfId="6187"/>
    <cellStyle name="Normal 5 3 3 2 2 5 2 2" xfId="6188"/>
    <cellStyle name="Normal 7 3 3 2 2 5 2 2" xfId="6189"/>
    <cellStyle name="Normal 2 9 3 2 2" xfId="6190"/>
    <cellStyle name="Normal 3 9 3 2 2" xfId="6191"/>
    <cellStyle name="Normal 4 8 3 2 2" xfId="6192"/>
    <cellStyle name="Normal 5 8 3 2 2" xfId="6193"/>
    <cellStyle name="Normal 7 8 3 2 2" xfId="6194"/>
    <cellStyle name="Normal 2 3 6 3 2 2" xfId="6195"/>
    <cellStyle name="Normal 3 3 6 3 2 2" xfId="6196"/>
    <cellStyle name="Normal 4 2 6 3 2 2" xfId="6197"/>
    <cellStyle name="Normal 5 2 6 3 2 2" xfId="6198"/>
    <cellStyle name="Normal 7 2 6 3 2 2" xfId="6199"/>
    <cellStyle name="Normal 2 4 6 3 2 2" xfId="6200"/>
    <cellStyle name="Normal 3 4 6 3 2 2" xfId="6201"/>
    <cellStyle name="Normal 4 3 6 3 2 2" xfId="6202"/>
    <cellStyle name="Normal 5 3 6 3 2 2" xfId="6203"/>
    <cellStyle name="Normal 7 3 6 3 2 2" xfId="6204"/>
    <cellStyle name="Normal 2 5 4 3 2 2" xfId="6205"/>
    <cellStyle name="Normal 3 5 4 3 2 2" xfId="6206"/>
    <cellStyle name="Normal 4 4 4 3 2 2" xfId="6207"/>
    <cellStyle name="Normal 5 4 4 3 2 2" xfId="6208"/>
    <cellStyle name="Normal 7 4 4 3 2 2" xfId="6209"/>
    <cellStyle name="Normal 2 3 2 4 3 2 2" xfId="6210"/>
    <cellStyle name="Normal 3 3 2 4 3 2 2" xfId="6211"/>
    <cellStyle name="Normal 4 2 2 4 3 2 2" xfId="6212"/>
    <cellStyle name="Normal 5 2 2 4 3 2 2" xfId="6213"/>
    <cellStyle name="Normal 7 2 2 4 3 2 2" xfId="6214"/>
    <cellStyle name="Normal 2 4 2 4 3 2 2" xfId="6215"/>
    <cellStyle name="Normal 3 4 2 4 3 2 2" xfId="6216"/>
    <cellStyle name="Normal 4 3 2 4 3 2 2" xfId="6217"/>
    <cellStyle name="Normal 5 3 2 4 3 2 2" xfId="6218"/>
    <cellStyle name="Normal 7 3 2 4 3 2 2" xfId="6219"/>
    <cellStyle name="Normal 2 6 4 3 2 2" xfId="6220"/>
    <cellStyle name="Normal 3 6 4 3 2 2" xfId="6221"/>
    <cellStyle name="Normal 4 5 4 3 2 2" xfId="6222"/>
    <cellStyle name="Normal 5 5 4 3 2 2" xfId="6223"/>
    <cellStyle name="Normal 7 5 4 3 2 2" xfId="6224"/>
    <cellStyle name="Normal 2 3 3 4 3 2 2" xfId="6225"/>
    <cellStyle name="Normal 3 3 3 4 3 2 2" xfId="6226"/>
    <cellStyle name="Normal 4 2 3 4 3 2 2" xfId="6227"/>
    <cellStyle name="Normal 5 2 3 4 3 2 2" xfId="6228"/>
    <cellStyle name="Normal 7 2 3 4 3 2 2" xfId="6229"/>
    <cellStyle name="Normal 2 4 3 4 3 2 2" xfId="6230"/>
    <cellStyle name="Normal 3 4 3 4 3 2 2" xfId="6231"/>
    <cellStyle name="Normal 4 3 3 4 3 2 2" xfId="6232"/>
    <cellStyle name="Normal 5 3 3 4 3 2 2" xfId="6233"/>
    <cellStyle name="Normal 7 3 3 4 3 2 2" xfId="6234"/>
    <cellStyle name="Normal 2 7 3 3 2 2" xfId="6235"/>
    <cellStyle name="Normal 3 7 3 3 2 2" xfId="6236"/>
    <cellStyle name="Normal 4 6 3 3 2 2" xfId="6237"/>
    <cellStyle name="Normal 5 6 3 3 2 2" xfId="6238"/>
    <cellStyle name="Normal 7 6 3 3 2 2" xfId="6239"/>
    <cellStyle name="Normal 2 3 4 3 3 2 2" xfId="6240"/>
    <cellStyle name="Normal 3 3 4 3 3 2 2" xfId="6241"/>
    <cellStyle name="Normal 4 2 4 3 3 2 2" xfId="6242"/>
    <cellStyle name="Normal 5 2 4 3 3 2 2" xfId="6243"/>
    <cellStyle name="Normal 7 2 4 3 3 2 2" xfId="6244"/>
    <cellStyle name="Normal 2 4 4 3 3 2 2" xfId="6245"/>
    <cellStyle name="Normal 3 4 4 3 3 2 2" xfId="6246"/>
    <cellStyle name="Normal 4 3 4 3 3 2 2" xfId="6247"/>
    <cellStyle name="Normal 5 3 4 3 3 2 2" xfId="6248"/>
    <cellStyle name="Normal 7 3 4 3 3 2 2" xfId="6249"/>
    <cellStyle name="Normal 2 5 2 3 3 2 2" xfId="6250"/>
    <cellStyle name="Normal 3 5 2 3 3 2 2" xfId="6251"/>
    <cellStyle name="Normal 4 4 2 3 3 2 2" xfId="6252"/>
    <cellStyle name="Normal 5 4 2 3 3 2 2" xfId="6253"/>
    <cellStyle name="Normal 7 4 2 3 3 2 2" xfId="6254"/>
    <cellStyle name="Normal 2 3 2 2 3 3 2 2" xfId="6255"/>
    <cellStyle name="Normal 3 3 2 2 3 3 2 2" xfId="6256"/>
    <cellStyle name="Normal 4 2 2 2 3 3 2 2" xfId="6257"/>
    <cellStyle name="Normal 5 2 2 2 3 3 2 2" xfId="6258"/>
    <cellStyle name="Normal 7 2 2 2 3 3 2 2" xfId="6259"/>
    <cellStyle name="Normal 2 4 2 2 3 3 2 2" xfId="6260"/>
    <cellStyle name="Normal 3 4 2 2 3 3 2 2" xfId="6261"/>
    <cellStyle name="Normal 4 3 2 2 3 3 2 2" xfId="6262"/>
    <cellStyle name="Normal 5 3 2 2 3 3 2 2" xfId="6263"/>
    <cellStyle name="Normal 7 3 2 2 3 3 2 2" xfId="6264"/>
    <cellStyle name="Normal 2 6 2 3 3 2 2" xfId="6265"/>
    <cellStyle name="Normal 3 6 2 3 3 2 2" xfId="6266"/>
    <cellStyle name="Normal 4 5 2 3 3 2 2" xfId="6267"/>
    <cellStyle name="Normal 5 5 2 3 3 2 2" xfId="6268"/>
    <cellStyle name="Normal 7 5 2 3 3 2 2" xfId="6269"/>
    <cellStyle name="Normal 2 3 3 2 3 3 2 2" xfId="6270"/>
    <cellStyle name="Normal 3 3 3 2 3 3 2 2" xfId="6271"/>
    <cellStyle name="Normal 4 2 3 2 3 3 2 2" xfId="6272"/>
    <cellStyle name="Normal 5 2 3 2 3 3 2 2" xfId="6273"/>
    <cellStyle name="Normal 7 2 3 2 3 3 2 2" xfId="6274"/>
    <cellStyle name="Normal 2 4 3 2 3 3 2 2" xfId="6275"/>
    <cellStyle name="Normal 3 4 3 2 3 3 2 2" xfId="6276"/>
    <cellStyle name="Normal 4 3 3 2 3 3 2 2" xfId="6277"/>
    <cellStyle name="Normal 5 3 3 2 3 3 2 2" xfId="6278"/>
    <cellStyle name="Normal 7 3 3 2 3 3 2 2" xfId="6279"/>
    <cellStyle name="Normal 2 8 2 3 2 2" xfId="6280"/>
    <cellStyle name="Normal 3 8 2 3 2 2" xfId="6281"/>
    <cellStyle name="Normal 4 7 2 3 2 2" xfId="6282"/>
    <cellStyle name="Normal 5 7 2 3 2 2" xfId="6283"/>
    <cellStyle name="Normal 7 7 2 3 2 2" xfId="6284"/>
    <cellStyle name="Normal 2 3 5 2 3 2 2" xfId="6285"/>
    <cellStyle name="Normal 3 3 5 2 3 2 2" xfId="6286"/>
    <cellStyle name="Normal 4 2 5 2 3 2 2" xfId="6287"/>
    <cellStyle name="Normal 5 2 5 2 3 2 2" xfId="6288"/>
    <cellStyle name="Normal 7 2 5 2 3 2 2" xfId="6289"/>
    <cellStyle name="Normal 2 4 5 2 3 2 2" xfId="6290"/>
    <cellStyle name="Normal 3 4 5 2 3 2 2" xfId="6291"/>
    <cellStyle name="Normal 4 3 5 2 3 2 2" xfId="6292"/>
    <cellStyle name="Normal 5 3 5 2 3 2 2" xfId="6293"/>
    <cellStyle name="Normal 7 3 5 2 3 2 2" xfId="6294"/>
    <cellStyle name="Normal 2 5 3 2 3 2 2" xfId="6295"/>
    <cellStyle name="Normal 3 5 3 2 3 2 2" xfId="6296"/>
    <cellStyle name="Normal 4 4 3 2 3 2 2" xfId="6297"/>
    <cellStyle name="Normal 5 4 3 2 3 2 2" xfId="6298"/>
    <cellStyle name="Normal 7 4 3 2 3 2 2" xfId="6299"/>
    <cellStyle name="Normal 2 3 2 3 2 3 2 2" xfId="6300"/>
    <cellStyle name="Normal 3 3 2 3 2 3 2 2" xfId="6301"/>
    <cellStyle name="Normal 4 2 2 3 2 3 2 2" xfId="6302"/>
    <cellStyle name="Normal 5 2 2 3 2 3 2 2" xfId="6303"/>
    <cellStyle name="Normal 7 2 2 3 2 3 2 2" xfId="6304"/>
    <cellStyle name="Normal 2 4 2 3 2 3 2 2" xfId="6305"/>
    <cellStyle name="Normal 3 4 2 3 2 3 2 2" xfId="6306"/>
    <cellStyle name="Normal 4 3 2 3 2 3 2 2" xfId="6307"/>
    <cellStyle name="Normal 5 3 2 3 2 3 2 2" xfId="6308"/>
    <cellStyle name="Normal 7 3 2 3 2 3 2 2" xfId="6309"/>
    <cellStyle name="Normal 2 6 3 2 3 2 2" xfId="6310"/>
    <cellStyle name="Normal 3 6 3 2 3 2 2" xfId="6311"/>
    <cellStyle name="Normal 4 5 3 2 3 2 2" xfId="6312"/>
    <cellStyle name="Normal 5 5 3 2 3 2 2" xfId="6313"/>
    <cellStyle name="Normal 7 5 3 2 3 2 2" xfId="6314"/>
    <cellStyle name="Normal 2 3 3 3 2 3 2 2" xfId="6315"/>
    <cellStyle name="Normal 3 3 3 3 2 3 2 2" xfId="6316"/>
    <cellStyle name="Normal 4 2 3 3 2 3 2 2" xfId="6317"/>
    <cellStyle name="Normal 5 2 3 3 2 3 2 2" xfId="6318"/>
    <cellStyle name="Normal 7 2 3 3 2 3 2 2" xfId="6319"/>
    <cellStyle name="Normal 2 4 3 3 2 3 2 2" xfId="6320"/>
    <cellStyle name="Normal 3 4 3 3 2 3 2 2" xfId="6321"/>
    <cellStyle name="Normal 4 3 3 3 2 3 2 2" xfId="6322"/>
    <cellStyle name="Normal 5 3 3 3 2 3 2 2" xfId="6323"/>
    <cellStyle name="Normal 7 3 3 3 2 3 2 2" xfId="6324"/>
    <cellStyle name="Normal 2 7 2 2 3 2 2" xfId="6325"/>
    <cellStyle name="Normal 3 7 2 2 3 2 2" xfId="6326"/>
    <cellStyle name="Normal 4 6 2 2 3 2 2" xfId="6327"/>
    <cellStyle name="Normal 5 6 2 2 3 2 2" xfId="6328"/>
    <cellStyle name="Normal 7 6 2 2 3 2 2" xfId="6329"/>
    <cellStyle name="Normal 2 3 4 2 2 3 2 2" xfId="6330"/>
    <cellStyle name="Normal 3 3 4 2 2 3 2 2" xfId="6331"/>
    <cellStyle name="Normal 4 2 4 2 2 3 2 2" xfId="6332"/>
    <cellStyle name="Normal 5 2 4 2 2 3 2 2" xfId="6333"/>
    <cellStyle name="Normal 7 2 4 2 2 3 2 2" xfId="6334"/>
    <cellStyle name="Normal 2 4 4 2 2 3 2 2" xfId="6335"/>
    <cellStyle name="Normal 3 4 4 2 2 3 2 2" xfId="6336"/>
    <cellStyle name="Normal 4 3 4 2 2 3 2 2" xfId="6337"/>
    <cellStyle name="Normal 5 3 4 2 2 3 2 2" xfId="6338"/>
    <cellStyle name="Normal 7 3 4 2 2 3 2 2" xfId="6339"/>
    <cellStyle name="Normal 2 5 2 2 2 3 2 2" xfId="6340"/>
    <cellStyle name="Normal 3 5 2 2 2 3 2 2" xfId="6341"/>
    <cellStyle name="Normal 4 4 2 2 2 3 2 2" xfId="6342"/>
    <cellStyle name="Normal 5 4 2 2 2 3 2 2" xfId="6343"/>
    <cellStyle name="Normal 7 4 2 2 2 3 2 2" xfId="6344"/>
    <cellStyle name="Normal 2 3 2 2 2 2 3 2 2" xfId="6345"/>
    <cellStyle name="Normal 3 3 2 2 2 2 3 2 2" xfId="6346"/>
    <cellStyle name="Normal 4 2 2 2 2 2 3 2 2" xfId="6347"/>
    <cellStyle name="Normal 5 2 2 2 2 2 3 2 2" xfId="6348"/>
    <cellStyle name="Normal 7 2 2 2 2 2 3 2 2" xfId="6349"/>
    <cellStyle name="Normal 2 4 2 2 2 2 3 2 2" xfId="6350"/>
    <cellStyle name="Normal 3 4 2 2 2 2 3 2 2" xfId="6351"/>
    <cellStyle name="Normal 4 3 2 2 2 2 3 2 2" xfId="6352"/>
    <cellStyle name="Normal 5 3 2 2 2 2 3 2 2" xfId="6353"/>
    <cellStyle name="Normal 7 3 2 2 2 2 3 2 2" xfId="6354"/>
    <cellStyle name="Normal 2 6 2 2 2 3 2 2" xfId="6355"/>
    <cellStyle name="Normal 3 6 2 2 2 3 2 2" xfId="6356"/>
    <cellStyle name="Normal 4 5 2 2 2 3 2 2" xfId="6357"/>
    <cellStyle name="Normal 5 5 2 2 2 3 2 2" xfId="6358"/>
    <cellStyle name="Normal 7 5 2 2 2 3 2 2" xfId="6359"/>
    <cellStyle name="Normal 2 3 3 2 2 2 3 2 2" xfId="6360"/>
    <cellStyle name="Normal 3 3 3 2 2 2 3 2 2" xfId="6361"/>
    <cellStyle name="Normal 4 2 3 2 2 2 3 2 2" xfId="6362"/>
    <cellStyle name="Normal 5 2 3 2 2 2 3 2 2" xfId="6363"/>
    <cellStyle name="Normal 7 2 3 2 2 2 3 2 2" xfId="6364"/>
    <cellStyle name="Normal 2 4 3 2 2 2 3 2 2" xfId="6365"/>
    <cellStyle name="Normal 3 4 3 2 2 2 3 2 2" xfId="6366"/>
    <cellStyle name="Normal 4 3 3 2 2 2 3 2 2" xfId="6367"/>
    <cellStyle name="Normal 5 3 3 2 2 2 3 2 2" xfId="6368"/>
    <cellStyle name="Normal 7 3 3 2 2 2 3 2 2" xfId="6369"/>
    <cellStyle name="Normal 28 3 2 2" xfId="6370"/>
    <cellStyle name="Normal 2 3 7 3 2 2" xfId="6371"/>
    <cellStyle name="Normal 3 10 3 2 2" xfId="6372"/>
    <cellStyle name="Normal 4 9 3 2 2" xfId="6373"/>
    <cellStyle name="Normal 5 9 3 2 2" xfId="6374"/>
    <cellStyle name="Millares 4 3 2 2" xfId="6375"/>
    <cellStyle name="Normal 7 2 7 3 2 2" xfId="6376"/>
    <cellStyle name="Normal 3 3 7 3 2 2" xfId="6377"/>
    <cellStyle name="Normal 4 2 7 3 2 2" xfId="6378"/>
    <cellStyle name="Normal 5 2 7 3 2 2" xfId="6379"/>
    <cellStyle name="Normal 2 4 5 3 3 2 2" xfId="6380"/>
    <cellStyle name="Normal 3 4 7 3 2 2" xfId="6381"/>
    <cellStyle name="Normal 4 3 7 3 2 2" xfId="6382"/>
    <cellStyle name="Normal 5 3 7 3 2 2" xfId="6383"/>
    <cellStyle name="Normal 7 3 7 3 2 2" xfId="6384"/>
    <cellStyle name="Normal 2 5 5 3 2 2" xfId="6385"/>
    <cellStyle name="Normal 3 5 5 3 2 2" xfId="6386"/>
    <cellStyle name="Normal 4 4 5 3 2 2" xfId="6387"/>
    <cellStyle name="Normal 5 4 5 3 2 2" xfId="6388"/>
    <cellStyle name="Normal 7 4 5 3 2 2" xfId="6389"/>
    <cellStyle name="Normal 2 3 2 5 3 2 2" xfId="6390"/>
    <cellStyle name="Normal 3 3 2 5 3 2 2" xfId="6391"/>
    <cellStyle name="Normal 4 2 2 5 3 2 2" xfId="6392"/>
    <cellStyle name="Normal 5 2 2 5 3 2 2" xfId="6393"/>
    <cellStyle name="Normal 7 2 2 5 3 2 2" xfId="6394"/>
    <cellStyle name="Normal 2 4 2 5 3 2 2" xfId="6395"/>
    <cellStyle name="Normal 3 4 2 5 3 2 2" xfId="6396"/>
    <cellStyle name="Normal 4 3 2 5 3 2 2" xfId="6397"/>
    <cellStyle name="Normal 5 3 2 5 3 2 2" xfId="6398"/>
    <cellStyle name="Normal 7 3 2 5 3 2 2" xfId="6399"/>
    <cellStyle name="Normal 2 6 5 3 2 2" xfId="6400"/>
    <cellStyle name="Normal 3 6 5 3 2 2" xfId="6401"/>
    <cellStyle name="Normal 4 5 5 3 2 2" xfId="6402"/>
    <cellStyle name="Normal 5 5 5 3 2 2" xfId="6403"/>
    <cellStyle name="Normal 7 5 5 3 2 2" xfId="6404"/>
    <cellStyle name="Normal 2 3 3 5 3 2 2" xfId="6405"/>
    <cellStyle name="Normal 3 3 3 5 3 2 2" xfId="6406"/>
    <cellStyle name="Normal 4 2 3 5 3 2 2" xfId="6407"/>
    <cellStyle name="Normal 5 2 3 5 3 2 2" xfId="6408"/>
    <cellStyle name="Normal 7 2 3 5 3 2 2" xfId="6409"/>
    <cellStyle name="Normal 2 4 3 5 3 2 2" xfId="6410"/>
    <cellStyle name="Normal 3 4 3 5 3 2 2" xfId="6411"/>
    <cellStyle name="Normal 4 3 3 5 3 2 2" xfId="6412"/>
    <cellStyle name="Normal 5 3 3 5 3 2 2" xfId="6413"/>
    <cellStyle name="Normal 7 3 3 5 3 2 2" xfId="6414"/>
    <cellStyle name="Normal 2 7 4 3 2 2" xfId="6415"/>
    <cellStyle name="Normal 3 7 4 3 2 2" xfId="6416"/>
    <cellStyle name="Normal 4 6 4 3 2 2" xfId="6417"/>
    <cellStyle name="Normal 5 6 4 3 2 2" xfId="6418"/>
    <cellStyle name="Normal 7 6 4 3 2 2" xfId="6419"/>
    <cellStyle name="Normal 2 3 4 4 3 2 2" xfId="6420"/>
    <cellStyle name="Normal 3 3 4 4 3 2 2" xfId="6421"/>
    <cellStyle name="Normal 4 2 4 4 3 2 2" xfId="6422"/>
    <cellStyle name="Normal 5 2 4 4 3 2 2" xfId="6423"/>
    <cellStyle name="Normal 7 2 4 4 3 2 2" xfId="6424"/>
    <cellStyle name="Normal 2 4 4 4 3 2 2" xfId="6425"/>
    <cellStyle name="Normal 3 4 4 4 3 2 2" xfId="6426"/>
    <cellStyle name="Normal 4 3 4 4 3 2 2" xfId="6427"/>
    <cellStyle name="Normal 5 3 4 4 3 2 2" xfId="6428"/>
    <cellStyle name="Normal 7 3 4 4 3 2 2" xfId="6429"/>
    <cellStyle name="Normal 2 5 2 4 3 2 2" xfId="6430"/>
    <cellStyle name="Normal 3 5 2 4 3 2 2" xfId="6431"/>
    <cellStyle name="Normal 4 4 2 4 3 2 2" xfId="6432"/>
    <cellStyle name="Normal 5 4 2 4 3 2 2" xfId="6433"/>
    <cellStyle name="Normal 7 4 2 4 3 2 2" xfId="6434"/>
    <cellStyle name="Normal 2 3 2 2 4 3 2 2" xfId="6435"/>
    <cellStyle name="Normal 3 3 2 2 4 3 2 2" xfId="6436"/>
    <cellStyle name="Normal 4 2 2 2 4 3 2 2" xfId="6437"/>
    <cellStyle name="Normal 5 2 2 2 4 3 2 2" xfId="6438"/>
    <cellStyle name="Normal 7 2 2 2 4 3 2 2" xfId="6439"/>
    <cellStyle name="Normal 2 4 2 2 4 3 2 2" xfId="6440"/>
    <cellStyle name="Normal 3 4 2 2 4 3 2 2" xfId="6441"/>
    <cellStyle name="Normal 4 3 2 2 4 3 2 2" xfId="6442"/>
    <cellStyle name="Normal 5 3 2 2 4 3 2 2" xfId="6443"/>
    <cellStyle name="Normal 7 3 2 2 4 3 2 2" xfId="6444"/>
    <cellStyle name="Normal 2 6 2 4 3 2 2" xfId="6445"/>
    <cellStyle name="Normal 3 6 2 4 3 2 2" xfId="6446"/>
    <cellStyle name="Normal 4 5 2 4 3 2 2" xfId="6447"/>
    <cellStyle name="Normal 5 5 2 4 3 2 2" xfId="6448"/>
    <cellStyle name="Normal 7 5 2 4 3 2 2" xfId="6449"/>
    <cellStyle name="Normal 2 3 3 2 4 3 2 2" xfId="6450"/>
    <cellStyle name="Normal 3 3 3 2 4 3 2 2" xfId="6451"/>
    <cellStyle name="Normal 4 2 3 2 4 3 2 2" xfId="6452"/>
    <cellStyle name="Normal 5 2 3 2 4 3 2 2" xfId="6453"/>
    <cellStyle name="Normal 7 2 3 2 4 3 2 2" xfId="6454"/>
    <cellStyle name="Normal 2 4 3 2 4 3 2 2" xfId="6455"/>
    <cellStyle name="Normal 3 4 3 2 4 3 2 2" xfId="6456"/>
    <cellStyle name="Normal 4 3 3 2 4 3 2 2" xfId="6457"/>
    <cellStyle name="Normal 5 3 3 2 4 3 2 2" xfId="6458"/>
    <cellStyle name="Normal 7 3 3 2 4 3 2 2" xfId="6459"/>
    <cellStyle name="Normal 2 8 3 3 2 2" xfId="6460"/>
    <cellStyle name="Normal 3 8 3 3 2 2" xfId="6461"/>
    <cellStyle name="Normal 4 7 3 3 2 2" xfId="6462"/>
    <cellStyle name="Normal 5 7 3 3 2 2" xfId="6463"/>
    <cellStyle name="Normal 7 7 3 3 2 2" xfId="6464"/>
    <cellStyle name="Normal 2 3 5 3 3 2 2" xfId="6465"/>
    <cellStyle name="Normal 3 3 5 3 3 2 2" xfId="6466"/>
    <cellStyle name="Normal 4 2 5 3 3 2 2" xfId="6467"/>
    <cellStyle name="Normal 5 2 5 3 3 2 2" xfId="6468"/>
    <cellStyle name="Normal 7 2 5 3 3 2 2" xfId="6469"/>
    <cellStyle name="Normal 3 4 5 3 3 2 2" xfId="6470"/>
    <cellStyle name="Normal 4 3 5 3 3 2 2" xfId="6471"/>
    <cellStyle name="Normal 5 3 5 3 3 2 2" xfId="6472"/>
    <cellStyle name="Normal 7 3 5 3 3 2 2" xfId="6473"/>
    <cellStyle name="Normal 2 5 3 3 3 2 2" xfId="6474"/>
    <cellStyle name="Normal 3 5 3 3 3 2 2" xfId="6475"/>
    <cellStyle name="Normal 4 4 3 3 3 2 2" xfId="6476"/>
    <cellStyle name="Normal 5 4 3 3 3 2 2" xfId="6477"/>
    <cellStyle name="Normal 7 4 3 3 3 2 2" xfId="6478"/>
    <cellStyle name="Normal 2 3 2 3 3 3 2 2" xfId="6479"/>
    <cellStyle name="Normal 3 3 2 3 3 3 2 2" xfId="6480"/>
    <cellStyle name="Normal 4 2 2 3 3 3 2 2" xfId="6481"/>
    <cellStyle name="Normal 5 2 2 3 3 3 2 2" xfId="6482"/>
    <cellStyle name="Normal 7 2 2 3 3 3 2 2" xfId="6483"/>
    <cellStyle name="Normal 2 4 2 3 3 3 2 2" xfId="6484"/>
    <cellStyle name="Normal 3 4 2 3 3 3 2 2" xfId="6485"/>
    <cellStyle name="Normal 4 3 2 3 3 3 2 2" xfId="6486"/>
    <cellStyle name="Normal 5 3 2 3 3 3 2 2" xfId="6487"/>
    <cellStyle name="Normal 7 3 2 3 3 3 2 2" xfId="6488"/>
    <cellStyle name="Normal 2 6 3 3 3 2 2" xfId="6489"/>
    <cellStyle name="Normal 3 6 3 3 3 2 2" xfId="6490"/>
    <cellStyle name="Normal 4 5 3 3 3 2 2" xfId="6491"/>
    <cellStyle name="Normal 5 5 3 3 3 2 2" xfId="6492"/>
    <cellStyle name="Normal 7 5 3 3 3 2 2" xfId="6493"/>
    <cellStyle name="Normal 2 3 3 3 3 3 2 2" xfId="6494"/>
    <cellStyle name="Normal 3 3 3 3 3 3 2 2" xfId="6495"/>
    <cellStyle name="Normal 4 2 3 3 3 3 2 2" xfId="6496"/>
    <cellStyle name="Normal 5 2 3 3 3 3 2 2" xfId="6497"/>
    <cellStyle name="Normal 7 2 3 3 3 3 2 2" xfId="6498"/>
    <cellStyle name="Normal 2 4 3 3 3 3 2 2" xfId="6499"/>
    <cellStyle name="Normal 3 4 3 3 3 3 2 2" xfId="6500"/>
    <cellStyle name="Normal 4 3 3 3 3 3 2 2" xfId="6501"/>
    <cellStyle name="Normal 5 3 3 3 3 3 2 2" xfId="6502"/>
    <cellStyle name="Normal 7 3 3 3 3 3 2 2" xfId="6503"/>
    <cellStyle name="Normal 2 7 2 3 3 2 2" xfId="6504"/>
    <cellStyle name="Normal 3 7 2 3 3 2 2" xfId="6505"/>
    <cellStyle name="Normal 4 6 2 3 3 2 2" xfId="6506"/>
    <cellStyle name="Normal 5 6 2 3 3 2 2" xfId="6507"/>
    <cellStyle name="Normal 7 6 2 3 3 2 2" xfId="6508"/>
    <cellStyle name="Normal 2 3 4 2 3 3 2 2" xfId="6509"/>
    <cellStyle name="Normal 3 3 4 2 3 3 2 2" xfId="6510"/>
    <cellStyle name="Normal 4 2 4 2 3 3 2 2" xfId="6511"/>
    <cellStyle name="Normal 5 2 4 2 3 3 2 2" xfId="6512"/>
    <cellStyle name="Normal 7 2 4 2 3 3 2 2" xfId="6513"/>
    <cellStyle name="Normal 2 4 4 2 3 3 2 2" xfId="6514"/>
    <cellStyle name="Normal 3 4 4 2 3 3 2 2" xfId="6515"/>
    <cellStyle name="Normal 4 3 4 2 3 3 2 2" xfId="6516"/>
    <cellStyle name="Normal 5 3 4 2 3 3 2 2" xfId="6517"/>
    <cellStyle name="Normal 7 3 4 2 3 3 2 2" xfId="6518"/>
    <cellStyle name="Normal 2 5 2 2 3 3 2 2" xfId="6519"/>
    <cellStyle name="Normal 3 5 2 2 3 3 2 2" xfId="6520"/>
    <cellStyle name="Normal 4 4 2 2 3 3 2 2" xfId="6521"/>
    <cellStyle name="Normal 5 4 2 2 3 3 2 2" xfId="6522"/>
    <cellStyle name="Normal 7 4 2 2 3 3 2 2" xfId="6523"/>
    <cellStyle name="Normal 2 3 2 2 2 3 3 2 2" xfId="6524"/>
    <cellStyle name="Normal 3 3 2 2 2 3 3 2 2" xfId="6525"/>
    <cellStyle name="Normal 4 2 2 2 2 3 3 2 2" xfId="6526"/>
    <cellStyle name="Normal 5 2 2 2 2 3 3 2 2" xfId="6527"/>
    <cellStyle name="Normal 7 2 2 2 2 3 3 2 2" xfId="6528"/>
    <cellStyle name="Normal 2 4 2 2 2 3 3 2 2" xfId="6529"/>
    <cellStyle name="Normal 3 4 2 2 2 3 3 2 2" xfId="6530"/>
    <cellStyle name="Normal 4 3 2 2 2 3 3 2 2" xfId="6531"/>
    <cellStyle name="Normal 5 3 2 2 2 3 3 2 2" xfId="6532"/>
    <cellStyle name="Normal 7 3 2 2 2 3 3 2 2" xfId="6533"/>
    <cellStyle name="Normal 2 6 2 2 3 3 2 2" xfId="6534"/>
    <cellStyle name="Normal 3 6 2 2 3 3 2 2" xfId="6535"/>
    <cellStyle name="Normal 4 5 2 2 3 3 2 2" xfId="6536"/>
    <cellStyle name="Normal 5 5 2 2 3 3 2 2" xfId="6537"/>
    <cellStyle name="Normal 7 5 2 2 3 3 2 2" xfId="6538"/>
    <cellStyle name="Normal 2 3 3 2 2 3 3 2 2" xfId="6539"/>
    <cellStyle name="Normal 3 3 3 2 2 3 3 2 2" xfId="6540"/>
    <cellStyle name="Normal 4 2 3 2 2 3 3 2 2" xfId="6541"/>
    <cellStyle name="Normal 5 2 3 2 2 3 3 2 2" xfId="6542"/>
    <cellStyle name="Normal 7 2 3 2 2 3 3 2 2" xfId="6543"/>
    <cellStyle name="Normal 2 4 3 2 2 3 3 2 2" xfId="6544"/>
    <cellStyle name="Normal 3 4 3 2 2 3 3 2 2" xfId="6545"/>
    <cellStyle name="Normal 4 3 3 2 2 3 3 2 2" xfId="6546"/>
    <cellStyle name="Normal 5 3 3 2 2 3 3 2 2" xfId="6547"/>
    <cellStyle name="Normal 7 3 3 2 2 3 3 2 2" xfId="6548"/>
    <cellStyle name="Normal 2 15" xfId="6549"/>
    <cellStyle name="Normal 3 15" xfId="6550"/>
    <cellStyle name="Normal 4 14" xfId="6551"/>
    <cellStyle name="Normal 5 14" xfId="6552"/>
    <cellStyle name="Normal 7 14" xfId="6553"/>
    <cellStyle name="Normal 2 3 12" xfId="6554"/>
    <cellStyle name="Normal 3 3 12" xfId="6555"/>
    <cellStyle name="Normal 4 2 12" xfId="6556"/>
    <cellStyle name="Normal 5 2 12" xfId="6557"/>
    <cellStyle name="Normal 7 2 12" xfId="6558"/>
    <cellStyle name="Normal 2 4 12" xfId="6559"/>
    <cellStyle name="Normal 3 4 12" xfId="6560"/>
    <cellStyle name="Normal 4 3 12" xfId="6561"/>
    <cellStyle name="Normal 5 3 12" xfId="6562"/>
    <cellStyle name="Normal 7 3 12" xfId="6563"/>
    <cellStyle name="Normal 2 5 10" xfId="6564"/>
    <cellStyle name="Normal 3 5 10" xfId="6565"/>
    <cellStyle name="Normal 4 4 10" xfId="6566"/>
    <cellStyle name="Normal 5 4 10" xfId="6567"/>
    <cellStyle name="Normal 7 4 10" xfId="6568"/>
    <cellStyle name="Normal 2 3 2 10" xfId="6569"/>
    <cellStyle name="Normal 3 3 2 10" xfId="6570"/>
    <cellStyle name="Normal 4 2 2 10" xfId="6571"/>
    <cellStyle name="Normal 5 2 2 10" xfId="6572"/>
    <cellStyle name="Normal 7 2 2 10" xfId="6573"/>
    <cellStyle name="Normal 2 4 2 10" xfId="6574"/>
    <cellStyle name="Normal 3 4 2 10" xfId="6575"/>
    <cellStyle name="Normal 4 3 2 10" xfId="6576"/>
    <cellStyle name="Normal 5 3 2 10" xfId="6577"/>
    <cellStyle name="Normal 7 3 2 10" xfId="6578"/>
    <cellStyle name="Normal 2 6 10" xfId="6579"/>
    <cellStyle name="Normal 3 6 10" xfId="6580"/>
    <cellStyle name="Normal 4 5 10" xfId="6581"/>
    <cellStyle name="Normal 5 5 10" xfId="6582"/>
    <cellStyle name="Normal 7 5 10" xfId="6583"/>
    <cellStyle name="Normal 2 3 3 10" xfId="6584"/>
    <cellStyle name="Normal 3 3 3 10" xfId="6585"/>
    <cellStyle name="Normal 4 2 3 10" xfId="6586"/>
    <cellStyle name="Normal 5 2 3 10" xfId="6587"/>
    <cellStyle name="Normal 7 2 3 10" xfId="6588"/>
    <cellStyle name="Normal 2 4 3 10" xfId="6589"/>
    <cellStyle name="Normal 3 4 3 10" xfId="6590"/>
    <cellStyle name="Normal 4 3 3 10" xfId="6591"/>
    <cellStyle name="Normal 5 3 3 10" xfId="6592"/>
    <cellStyle name="Normal 7 3 3 10" xfId="6593"/>
    <cellStyle name="Normal 2 7 9" xfId="6594"/>
    <cellStyle name="Normal 3 7 9" xfId="6595"/>
    <cellStyle name="Normal 4 6 9" xfId="6596"/>
    <cellStyle name="Normal 5 6 9" xfId="6597"/>
    <cellStyle name="Normal 7 6 9" xfId="6598"/>
    <cellStyle name="Normal 2 3 4 9" xfId="6599"/>
    <cellStyle name="Normal 3 3 4 9" xfId="6600"/>
    <cellStyle name="Normal 4 2 4 9" xfId="6601"/>
    <cellStyle name="Normal 5 2 4 9" xfId="6602"/>
    <cellStyle name="Normal 7 2 4 9" xfId="6603"/>
    <cellStyle name="Normal 2 4 4 9" xfId="6604"/>
    <cellStyle name="Normal 3 4 4 9" xfId="6605"/>
    <cellStyle name="Normal 4 3 4 9" xfId="6606"/>
    <cellStyle name="Normal 5 3 4 9" xfId="6607"/>
    <cellStyle name="Normal 7 3 4 9" xfId="6608"/>
    <cellStyle name="Normal 2 5 2 9" xfId="6609"/>
    <cellStyle name="Normal 3 5 2 9" xfId="6610"/>
    <cellStyle name="Normal 4 4 2 9" xfId="6611"/>
    <cellStyle name="Normal 5 4 2 9" xfId="6612"/>
    <cellStyle name="Normal 7 4 2 9" xfId="6613"/>
    <cellStyle name="Normal 2 3 2 2 9" xfId="6614"/>
    <cellStyle name="Normal 3 3 2 2 9" xfId="6615"/>
    <cellStyle name="Normal 4 2 2 2 9" xfId="6616"/>
    <cellStyle name="Normal 5 2 2 2 9" xfId="6617"/>
    <cellStyle name="Normal 7 2 2 2 9" xfId="6618"/>
    <cellStyle name="Normal 2 4 2 2 9" xfId="6619"/>
    <cellStyle name="Normal 3 4 2 2 9" xfId="6620"/>
    <cellStyle name="Normal 4 3 2 2 9" xfId="6621"/>
    <cellStyle name="Normal 5 3 2 2 9" xfId="6622"/>
    <cellStyle name="Normal 7 3 2 2 9" xfId="6623"/>
    <cellStyle name="Normal 2 6 2 9" xfId="6624"/>
    <cellStyle name="Normal 3 6 2 9" xfId="6625"/>
    <cellStyle name="Normal 4 5 2 9" xfId="6626"/>
    <cellStyle name="Normal 5 5 2 9" xfId="6627"/>
    <cellStyle name="Normal 7 5 2 9" xfId="6628"/>
    <cellStyle name="Normal 2 3 3 2 9" xfId="6629"/>
    <cellStyle name="Normal 3 3 3 2 9" xfId="6630"/>
    <cellStyle name="Normal 4 2 3 2 9" xfId="6631"/>
    <cellStyle name="Normal 5 2 3 2 9" xfId="6632"/>
    <cellStyle name="Normal 7 2 3 2 9" xfId="6633"/>
    <cellStyle name="Normal 2 4 3 2 9" xfId="6634"/>
    <cellStyle name="Normal 3 4 3 2 9" xfId="6635"/>
    <cellStyle name="Normal 4 3 3 2 9" xfId="6636"/>
    <cellStyle name="Normal 5 3 3 2 9" xfId="6637"/>
    <cellStyle name="Normal 7 3 3 2 9" xfId="6638"/>
    <cellStyle name="Normal 2 8 8" xfId="6639"/>
    <cellStyle name="Normal 3 8 8" xfId="6640"/>
    <cellStyle name="Normal 4 7 8" xfId="6641"/>
    <cellStyle name="Normal 5 7 8" xfId="6642"/>
    <cellStyle name="Normal 7 7 8" xfId="6643"/>
    <cellStyle name="Normal 2 3 5 8" xfId="6644"/>
    <cellStyle name="Normal 3 3 5 8" xfId="6645"/>
    <cellStyle name="Normal 4 2 5 8" xfId="6646"/>
    <cellStyle name="Normal 5 2 5 8" xfId="6647"/>
    <cellStyle name="Normal 7 2 5 8" xfId="6648"/>
    <cellStyle name="Normal 2 4 5 8" xfId="6649"/>
    <cellStyle name="Normal 3 4 5 8" xfId="6650"/>
    <cellStyle name="Normal 4 3 5 8" xfId="6651"/>
    <cellStyle name="Normal 5 3 5 8" xfId="6652"/>
    <cellStyle name="Normal 7 3 5 8" xfId="6653"/>
    <cellStyle name="Normal 2 5 3 8" xfId="6654"/>
    <cellStyle name="Normal 3 5 3 8" xfId="6655"/>
    <cellStyle name="Normal 4 4 3 8" xfId="6656"/>
    <cellStyle name="Normal 5 4 3 8" xfId="6657"/>
    <cellStyle name="Normal 7 4 3 8" xfId="6658"/>
    <cellStyle name="Normal 2 3 2 3 8" xfId="6659"/>
    <cellStyle name="Normal 3 3 2 3 8" xfId="6660"/>
    <cellStyle name="Normal 4 2 2 3 8" xfId="6661"/>
    <cellStyle name="Normal 5 2 2 3 8" xfId="6662"/>
    <cellStyle name="Normal 7 2 2 3 8" xfId="6663"/>
    <cellStyle name="Normal 2 4 2 3 8" xfId="6664"/>
    <cellStyle name="Normal 3 4 2 3 8" xfId="6665"/>
    <cellStyle name="Normal 4 3 2 3 8" xfId="6666"/>
    <cellStyle name="Normal 5 3 2 3 8" xfId="6667"/>
    <cellStyle name="Normal 7 3 2 3 8" xfId="6668"/>
    <cellStyle name="Normal 2 6 3 8" xfId="6669"/>
    <cellStyle name="Normal 3 6 3 8" xfId="6670"/>
    <cellStyle name="Normal 4 5 3 8" xfId="6671"/>
    <cellStyle name="Normal 5 5 3 8" xfId="6672"/>
    <cellStyle name="Normal 7 5 3 8" xfId="6673"/>
    <cellStyle name="Normal 2 3 3 3 8" xfId="6674"/>
    <cellStyle name="Normal 3 3 3 3 8" xfId="6675"/>
    <cellStyle name="Normal 4 2 3 3 8" xfId="6676"/>
    <cellStyle name="Normal 5 2 3 3 8" xfId="6677"/>
    <cellStyle name="Normal 7 2 3 3 8" xfId="6678"/>
    <cellStyle name="Normal 2 4 3 3 8" xfId="6679"/>
    <cellStyle name="Normal 3 4 3 3 8" xfId="6680"/>
    <cellStyle name="Normal 4 3 3 3 8" xfId="6681"/>
    <cellStyle name="Normal 5 3 3 3 8" xfId="6682"/>
    <cellStyle name="Normal 7 3 3 3 8" xfId="6683"/>
    <cellStyle name="Normal 2 7 2 8" xfId="6684"/>
    <cellStyle name="Normal 3 7 2 8" xfId="6685"/>
    <cellStyle name="Normal 4 6 2 8" xfId="6686"/>
    <cellStyle name="Normal 5 6 2 8" xfId="6687"/>
    <cellStyle name="Normal 7 6 2 8" xfId="6688"/>
    <cellStyle name="Normal 2 3 4 2 8" xfId="6689"/>
    <cellStyle name="Normal 3 3 4 2 8" xfId="6690"/>
    <cellStyle name="Normal 4 2 4 2 8" xfId="6691"/>
    <cellStyle name="Normal 5 2 4 2 8" xfId="6692"/>
    <cellStyle name="Normal 7 2 4 2 8" xfId="6693"/>
    <cellStyle name="Normal 2 4 4 2 8" xfId="6694"/>
    <cellStyle name="Normal 3 4 4 2 8" xfId="6695"/>
    <cellStyle name="Normal 4 3 4 2 8" xfId="6696"/>
    <cellStyle name="Normal 5 3 4 2 8" xfId="6697"/>
    <cellStyle name="Normal 7 3 4 2 8" xfId="6698"/>
    <cellStyle name="Normal 2 5 2 2 8" xfId="6699"/>
    <cellStyle name="Normal 3 5 2 2 8" xfId="6700"/>
    <cellStyle name="Normal 4 4 2 2 8" xfId="6701"/>
    <cellStyle name="Normal 5 4 2 2 8" xfId="6702"/>
    <cellStyle name="Normal 7 4 2 2 8" xfId="6703"/>
    <cellStyle name="Normal 2 3 2 2 2 8" xfId="6704"/>
    <cellStyle name="Normal 3 3 2 2 2 8" xfId="6705"/>
    <cellStyle name="Normal 4 2 2 2 2 8" xfId="6706"/>
    <cellStyle name="Normal 5 2 2 2 2 8" xfId="6707"/>
    <cellStyle name="Normal 7 2 2 2 2 8" xfId="6708"/>
    <cellStyle name="Normal 2 4 2 2 2 8" xfId="6709"/>
    <cellStyle name="Normal 3 4 2 2 2 8" xfId="6710"/>
    <cellStyle name="Normal 4 3 2 2 2 8" xfId="6711"/>
    <cellStyle name="Normal 5 3 2 2 2 8" xfId="6712"/>
    <cellStyle name="Normal 7 3 2 2 2 8" xfId="6713"/>
    <cellStyle name="Normal 2 6 2 2 8" xfId="6714"/>
    <cellStyle name="Normal 3 6 2 2 8" xfId="6715"/>
    <cellStyle name="Normal 4 5 2 2 8" xfId="6716"/>
    <cellStyle name="Normal 5 5 2 2 8" xfId="6717"/>
    <cellStyle name="Normal 7 5 2 2 8" xfId="6718"/>
    <cellStyle name="Normal 2 3 3 2 2 8" xfId="6719"/>
    <cellStyle name="Normal 3 3 3 2 2 8" xfId="6720"/>
    <cellStyle name="Normal 4 2 3 2 2 8" xfId="6721"/>
    <cellStyle name="Normal 5 2 3 2 2 8" xfId="6722"/>
    <cellStyle name="Normal 7 2 3 2 2 8" xfId="6723"/>
    <cellStyle name="Normal 2 4 3 2 2 8" xfId="6724"/>
    <cellStyle name="Normal 3 4 3 2 2 8" xfId="6725"/>
    <cellStyle name="Normal 4 3 3 2 2 8" xfId="6726"/>
    <cellStyle name="Normal 5 3 3 2 2 8" xfId="6727"/>
    <cellStyle name="Normal 7 3 3 2 2 8" xfId="6728"/>
    <cellStyle name="Normal 2 9 6" xfId="6729"/>
    <cellStyle name="Normal 3 9 6" xfId="6730"/>
    <cellStyle name="Normal 4 8 6" xfId="6731"/>
    <cellStyle name="Normal 5 8 6" xfId="6732"/>
    <cellStyle name="Normal 7 8 6" xfId="6733"/>
    <cellStyle name="Normal 2 3 6 6" xfId="6734"/>
    <cellStyle name="Normal 3 3 6 6" xfId="6735"/>
    <cellStyle name="Normal 4 2 6 6" xfId="6736"/>
    <cellStyle name="Normal 5 2 6 6" xfId="6737"/>
    <cellStyle name="Normal 7 2 6 6" xfId="6738"/>
    <cellStyle name="Normal 2 4 6 6" xfId="6739"/>
    <cellStyle name="Normal 3 4 6 6" xfId="6740"/>
    <cellStyle name="Normal 4 3 6 6" xfId="6741"/>
    <cellStyle name="Normal 5 3 6 6" xfId="6742"/>
    <cellStyle name="Normal 7 3 6 6" xfId="6743"/>
    <cellStyle name="Normal 2 5 4 6" xfId="6744"/>
    <cellStyle name="Normal 3 5 4 6" xfId="6745"/>
    <cellStyle name="Normal 4 4 4 6" xfId="6746"/>
    <cellStyle name="Normal 5 4 4 6" xfId="6747"/>
    <cellStyle name="Normal 7 4 4 6" xfId="6748"/>
    <cellStyle name="Normal 2 3 2 4 6" xfId="6749"/>
    <cellStyle name="Normal 3 3 2 4 6" xfId="6750"/>
    <cellStyle name="Normal 4 2 2 4 6" xfId="6751"/>
    <cellStyle name="Normal 5 2 2 4 6" xfId="6752"/>
    <cellStyle name="Normal 7 2 2 4 6" xfId="6753"/>
    <cellStyle name="Normal 2 4 2 4 6" xfId="6754"/>
    <cellStyle name="Normal 3 4 2 4 6" xfId="6755"/>
    <cellStyle name="Normal 4 3 2 4 6" xfId="6756"/>
    <cellStyle name="Normal 5 3 2 4 6" xfId="6757"/>
    <cellStyle name="Normal 7 3 2 4 6" xfId="6758"/>
    <cellStyle name="Normal 2 6 4 6" xfId="6759"/>
    <cellStyle name="Normal 3 6 4 6" xfId="6760"/>
    <cellStyle name="Normal 4 5 4 6" xfId="6761"/>
    <cellStyle name="Normal 5 5 4 6" xfId="6762"/>
    <cellStyle name="Normal 7 5 4 6" xfId="6763"/>
    <cellStyle name="Normal 2 3 3 4 6" xfId="6764"/>
    <cellStyle name="Normal 3 3 3 4 6" xfId="6765"/>
    <cellStyle name="Normal 4 2 3 4 6" xfId="6766"/>
    <cellStyle name="Normal 5 2 3 4 6" xfId="6767"/>
    <cellStyle name="Normal 7 2 3 4 6" xfId="6768"/>
    <cellStyle name="Normal 2 4 3 4 6" xfId="6769"/>
    <cellStyle name="Normal 3 4 3 4 6" xfId="6770"/>
    <cellStyle name="Normal 4 3 3 4 6" xfId="6771"/>
    <cellStyle name="Normal 5 3 3 4 6" xfId="6772"/>
    <cellStyle name="Normal 7 3 3 4 6" xfId="6773"/>
    <cellStyle name="Normal 2 7 3 6" xfId="6774"/>
    <cellStyle name="Normal 3 7 3 6" xfId="6775"/>
    <cellStyle name="Normal 4 6 3 6" xfId="6776"/>
    <cellStyle name="Normal 5 6 3 6" xfId="6777"/>
    <cellStyle name="Normal 7 6 3 6" xfId="6778"/>
    <cellStyle name="Normal 2 3 4 3 6" xfId="6779"/>
    <cellStyle name="Normal 3 3 4 3 6" xfId="6780"/>
    <cellStyle name="Normal 4 2 4 3 6" xfId="6781"/>
    <cellStyle name="Normal 5 2 4 3 6" xfId="6782"/>
    <cellStyle name="Normal 7 2 4 3 6" xfId="6783"/>
    <cellStyle name="Normal 2 4 4 3 6" xfId="6784"/>
    <cellStyle name="Normal 3 4 4 3 6" xfId="6785"/>
    <cellStyle name="Normal 4 3 4 3 6" xfId="6786"/>
    <cellStyle name="Normal 5 3 4 3 6" xfId="6787"/>
    <cellStyle name="Normal 7 3 4 3 6" xfId="6788"/>
    <cellStyle name="Normal 2 5 2 3 6" xfId="6789"/>
    <cellStyle name="Normal 3 5 2 3 6" xfId="6790"/>
    <cellStyle name="Normal 4 4 2 3 6" xfId="6791"/>
    <cellStyle name="Normal 5 4 2 3 6" xfId="6792"/>
    <cellStyle name="Normal 7 4 2 3 6" xfId="6793"/>
    <cellStyle name="Normal 2 3 2 2 3 6" xfId="6794"/>
    <cellStyle name="Normal 3 3 2 2 3 6" xfId="6795"/>
    <cellStyle name="Normal 4 2 2 2 3 6" xfId="6796"/>
    <cellStyle name="Normal 5 2 2 2 3 6" xfId="6797"/>
    <cellStyle name="Normal 7 2 2 2 3 6" xfId="6798"/>
    <cellStyle name="Normal 2 4 2 2 3 6" xfId="6799"/>
    <cellStyle name="Normal 3 4 2 2 3 6" xfId="6800"/>
    <cellStyle name="Normal 4 3 2 2 3 6" xfId="6801"/>
    <cellStyle name="Normal 5 3 2 2 3 6" xfId="6802"/>
    <cellStyle name="Normal 7 3 2 2 3 6" xfId="6803"/>
    <cellStyle name="Normal 2 6 2 3 6" xfId="6804"/>
    <cellStyle name="Normal 3 6 2 3 6" xfId="6805"/>
    <cellStyle name="Normal 4 5 2 3 6" xfId="6806"/>
    <cellStyle name="Normal 5 5 2 3 6" xfId="6807"/>
    <cellStyle name="Normal 7 5 2 3 6" xfId="6808"/>
    <cellStyle name="Normal 2 3 3 2 3 6" xfId="6809"/>
    <cellStyle name="Normal 3 3 3 2 3 6" xfId="6810"/>
    <cellStyle name="Normal 4 2 3 2 3 6" xfId="6811"/>
    <cellStyle name="Normal 5 2 3 2 3 6" xfId="6812"/>
    <cellStyle name="Normal 7 2 3 2 3 6" xfId="6813"/>
    <cellStyle name="Normal 2 4 3 2 3 6" xfId="6814"/>
    <cellStyle name="Normal 3 4 3 2 3 6" xfId="6815"/>
    <cellStyle name="Normal 4 3 3 2 3 6" xfId="6816"/>
    <cellStyle name="Normal 5 3 3 2 3 6" xfId="6817"/>
    <cellStyle name="Normal 7 3 3 2 3 6" xfId="6818"/>
    <cellStyle name="Normal 2 8 2 6" xfId="6819"/>
    <cellStyle name="Normal 3 8 2 6" xfId="6820"/>
    <cellStyle name="Normal 4 7 2 6" xfId="6821"/>
    <cellStyle name="Normal 5 7 2 6" xfId="6822"/>
    <cellStyle name="Normal 7 7 2 6" xfId="6823"/>
    <cellStyle name="Normal 2 3 5 2 6" xfId="6824"/>
    <cellStyle name="Normal 3 3 5 2 6" xfId="6825"/>
    <cellStyle name="Normal 4 2 5 2 6" xfId="6826"/>
    <cellStyle name="Normal 5 2 5 2 6" xfId="6827"/>
    <cellStyle name="Normal 7 2 5 2 6" xfId="6828"/>
    <cellStyle name="Normal 2 4 5 2 6" xfId="6829"/>
    <cellStyle name="Normal 3 4 5 2 6" xfId="6830"/>
    <cellStyle name="Normal 4 3 5 2 6" xfId="6831"/>
    <cellStyle name="Normal 5 3 5 2 6" xfId="6832"/>
    <cellStyle name="Normal 7 3 5 2 6" xfId="6833"/>
    <cellStyle name="Normal 2 5 3 2 6" xfId="6834"/>
    <cellStyle name="Normal 3 5 3 2 6" xfId="6835"/>
    <cellStyle name="Normal 4 4 3 2 6" xfId="6836"/>
    <cellStyle name="Normal 5 4 3 2 6" xfId="6837"/>
    <cellStyle name="Normal 7 4 3 2 6" xfId="6838"/>
    <cellStyle name="Normal 2 3 2 3 2 6" xfId="6839"/>
    <cellStyle name="Normal 3 3 2 3 2 6" xfId="6840"/>
    <cellStyle name="Normal 4 2 2 3 2 6" xfId="6841"/>
    <cellStyle name="Normal 5 2 2 3 2 6" xfId="6842"/>
    <cellStyle name="Normal 7 2 2 3 2 6" xfId="6843"/>
    <cellStyle name="Normal 2 4 2 3 2 6" xfId="6844"/>
    <cellStyle name="Normal 3 4 2 3 2 6" xfId="6845"/>
    <cellStyle name="Normal 4 3 2 3 2 6" xfId="6846"/>
    <cellStyle name="Normal 5 3 2 3 2 6" xfId="6847"/>
    <cellStyle name="Normal 7 3 2 3 2 6" xfId="6848"/>
    <cellStyle name="Normal 2 6 3 2 6" xfId="6849"/>
    <cellStyle name="Normal 3 6 3 2 6" xfId="6850"/>
    <cellStyle name="Normal 4 5 3 2 6" xfId="6851"/>
    <cellStyle name="Normal 5 5 3 2 6" xfId="6852"/>
    <cellStyle name="Normal 7 5 3 2 6" xfId="6853"/>
    <cellStyle name="Normal 2 3 3 3 2 6" xfId="6854"/>
    <cellStyle name="Normal 3 3 3 3 2 6" xfId="6855"/>
    <cellStyle name="Normal 4 2 3 3 2 6" xfId="6856"/>
    <cellStyle name="Normal 5 2 3 3 2 6" xfId="6857"/>
    <cellStyle name="Normal 7 2 3 3 2 6" xfId="6858"/>
    <cellStyle name="Normal 2 4 3 3 2 6" xfId="6859"/>
    <cellStyle name="Normal 3 4 3 3 2 6" xfId="6860"/>
    <cellStyle name="Normal 4 3 3 3 2 6" xfId="6861"/>
    <cellStyle name="Normal 5 3 3 3 2 6" xfId="6862"/>
    <cellStyle name="Normal 7 3 3 3 2 6" xfId="6863"/>
    <cellStyle name="Normal 2 7 2 2 6" xfId="6864"/>
    <cellStyle name="Normal 3 7 2 2 6" xfId="6865"/>
    <cellStyle name="Normal 4 6 2 2 6" xfId="6866"/>
    <cellStyle name="Normal 5 6 2 2 6" xfId="6867"/>
    <cellStyle name="Normal 7 6 2 2 6" xfId="6868"/>
    <cellStyle name="Normal 2 3 4 2 2 6" xfId="6869"/>
    <cellStyle name="Normal 3 3 4 2 2 6" xfId="6870"/>
    <cellStyle name="Normal 4 2 4 2 2 6" xfId="6871"/>
    <cellStyle name="Normal 5 2 4 2 2 6" xfId="6872"/>
    <cellStyle name="Normal 7 2 4 2 2 6" xfId="6873"/>
    <cellStyle name="Normal 2 4 4 2 2 6" xfId="6874"/>
    <cellStyle name="Normal 3 4 4 2 2 6" xfId="6875"/>
    <cellStyle name="Normal 4 3 4 2 2 6" xfId="6876"/>
    <cellStyle name="Normal 5 3 4 2 2 6" xfId="6877"/>
    <cellStyle name="Normal 7 3 4 2 2 6" xfId="6878"/>
    <cellStyle name="Normal 2 5 2 2 2 6" xfId="6879"/>
    <cellStyle name="Normal 3 5 2 2 2 6" xfId="6880"/>
    <cellStyle name="Normal 4 4 2 2 2 6" xfId="6881"/>
    <cellStyle name="Normal 5 4 2 2 2 6" xfId="6882"/>
    <cellStyle name="Normal 7 4 2 2 2 6" xfId="6883"/>
    <cellStyle name="Normal 2 3 2 2 2 2 6" xfId="6884"/>
    <cellStyle name="Normal 3 3 2 2 2 2 6" xfId="6885"/>
    <cellStyle name="Normal 4 2 2 2 2 2 6" xfId="6886"/>
    <cellStyle name="Normal 5 2 2 2 2 2 6" xfId="6887"/>
    <cellStyle name="Normal 7 2 2 2 2 2 6" xfId="6888"/>
    <cellStyle name="Normal 2 4 2 2 2 2 6" xfId="6889"/>
    <cellStyle name="Normal 3 4 2 2 2 2 6" xfId="6890"/>
    <cellStyle name="Normal 4 3 2 2 2 2 6" xfId="6891"/>
    <cellStyle name="Normal 5 3 2 2 2 2 6" xfId="6892"/>
    <cellStyle name="Normal 7 3 2 2 2 2 6" xfId="6893"/>
    <cellStyle name="Normal 2 6 2 2 2 6" xfId="6894"/>
    <cellStyle name="Normal 3 6 2 2 2 6" xfId="6895"/>
    <cellStyle name="Normal 4 5 2 2 2 6" xfId="6896"/>
    <cellStyle name="Normal 5 5 2 2 2 6" xfId="6897"/>
    <cellStyle name="Normal 7 5 2 2 2 6" xfId="6898"/>
    <cellStyle name="Normal 2 3 3 2 2 2 6" xfId="6899"/>
    <cellStyle name="Normal 3 3 3 2 2 2 6" xfId="6900"/>
    <cellStyle name="Normal 4 2 3 2 2 2 6" xfId="6901"/>
    <cellStyle name="Normal 5 2 3 2 2 2 6" xfId="6902"/>
    <cellStyle name="Normal 7 2 3 2 2 2 6" xfId="6903"/>
    <cellStyle name="Normal 2 4 3 2 2 2 6" xfId="6904"/>
    <cellStyle name="Normal 3 4 3 2 2 2 6" xfId="6905"/>
    <cellStyle name="Normal 4 3 3 2 2 2 6" xfId="6906"/>
    <cellStyle name="Normal 5 3 3 2 2 2 6" xfId="6907"/>
    <cellStyle name="Normal 7 3 3 2 2 2 6" xfId="6908"/>
    <cellStyle name="Normal 28 6" xfId="6909"/>
    <cellStyle name="Normal 2 3 7 6" xfId="6910"/>
    <cellStyle name="Normal 3 10 6" xfId="6911"/>
    <cellStyle name="Normal 4 9 6" xfId="6912"/>
    <cellStyle name="Normal 5 9 6" xfId="6913"/>
    <cellStyle name="Millares 4 6" xfId="6914"/>
    <cellStyle name="Normal 7 2 7 6" xfId="6915"/>
    <cellStyle name="Normal 3 3 7 6" xfId="6916"/>
    <cellStyle name="Normal 4 2 7 6" xfId="6917"/>
    <cellStyle name="Normal 5 2 7 6" xfId="6918"/>
    <cellStyle name="Normal 2 4 5 3 6" xfId="6919"/>
    <cellStyle name="Normal 3 4 7 6" xfId="6920"/>
    <cellStyle name="Normal 4 3 7 6" xfId="6921"/>
    <cellStyle name="Normal 5 3 7 6" xfId="6922"/>
    <cellStyle name="Normal 7 3 7 6" xfId="6923"/>
    <cellStyle name="Normal 2 5 5 6" xfId="6924"/>
    <cellStyle name="Normal 3 5 5 6" xfId="6925"/>
    <cellStyle name="Normal 4 4 5 6" xfId="6926"/>
    <cellStyle name="Normal 5 4 5 6" xfId="6927"/>
    <cellStyle name="Normal 7 4 5 6" xfId="6928"/>
    <cellStyle name="Normal 2 3 2 5 6" xfId="6929"/>
    <cellStyle name="Normal 3 3 2 5 6" xfId="6930"/>
    <cellStyle name="Normal 4 2 2 5 6" xfId="6931"/>
    <cellStyle name="Normal 5 2 2 5 6" xfId="6932"/>
    <cellStyle name="Normal 7 2 2 5 6" xfId="6933"/>
    <cellStyle name="Normal 2 4 2 5 6" xfId="6934"/>
    <cellStyle name="Normal 3 4 2 5 6" xfId="6935"/>
    <cellStyle name="Normal 4 3 2 5 6" xfId="6936"/>
    <cellStyle name="Normal 5 3 2 5 6" xfId="6937"/>
    <cellStyle name="Normal 7 3 2 5 6" xfId="6938"/>
    <cellStyle name="Normal 2 6 5 6" xfId="6939"/>
    <cellStyle name="Normal 3 6 5 6" xfId="6940"/>
    <cellStyle name="Normal 4 5 5 6" xfId="6941"/>
    <cellStyle name="Normal 5 5 5 6" xfId="6942"/>
    <cellStyle name="Normal 7 5 5 6" xfId="6943"/>
    <cellStyle name="Normal 2 3 3 5 6" xfId="6944"/>
    <cellStyle name="Normal 3 3 3 5 6" xfId="6945"/>
    <cellStyle name="Normal 4 2 3 5 6" xfId="6946"/>
    <cellStyle name="Normal 5 2 3 5 6" xfId="6947"/>
    <cellStyle name="Normal 7 2 3 5 6" xfId="6948"/>
    <cellStyle name="Normal 2 4 3 5 6" xfId="6949"/>
    <cellStyle name="Normal 3 4 3 5 6" xfId="6950"/>
    <cellStyle name="Normal 4 3 3 5 6" xfId="6951"/>
    <cellStyle name="Normal 5 3 3 5 6" xfId="6952"/>
    <cellStyle name="Normal 7 3 3 5 6" xfId="6953"/>
    <cellStyle name="Normal 2 7 4 6" xfId="6954"/>
    <cellStyle name="Normal 3 7 4 6" xfId="6955"/>
    <cellStyle name="Normal 4 6 4 6" xfId="6956"/>
    <cellStyle name="Normal 5 6 4 6" xfId="6957"/>
    <cellStyle name="Normal 7 6 4 6" xfId="6958"/>
    <cellStyle name="Normal 2 3 4 4 6" xfId="6959"/>
    <cellStyle name="Normal 3 3 4 4 6" xfId="6960"/>
    <cellStyle name="Normal 4 2 4 4 6" xfId="6961"/>
    <cellStyle name="Normal 5 2 4 4 6" xfId="6962"/>
    <cellStyle name="Normal 7 2 4 4 6" xfId="6963"/>
    <cellStyle name="Normal 2 4 4 4 6" xfId="6964"/>
    <cellStyle name="Normal 3 4 4 4 6" xfId="6965"/>
    <cellStyle name="Normal 4 3 4 4 6" xfId="6966"/>
    <cellStyle name="Normal 5 3 4 4 6" xfId="6967"/>
    <cellStyle name="Normal 7 3 4 4 6" xfId="6968"/>
    <cellStyle name="Normal 2 5 2 4 6" xfId="6969"/>
    <cellStyle name="Normal 3 5 2 4 6" xfId="6970"/>
    <cellStyle name="Normal 4 4 2 4 6" xfId="6971"/>
    <cellStyle name="Normal 5 4 2 4 6" xfId="6972"/>
    <cellStyle name="Normal 7 4 2 4 6" xfId="6973"/>
    <cellStyle name="Normal 2 3 2 2 4 6" xfId="6974"/>
    <cellStyle name="Normal 3 3 2 2 4 6" xfId="6975"/>
    <cellStyle name="Normal 4 2 2 2 4 6" xfId="6976"/>
    <cellStyle name="Normal 5 2 2 2 4 6" xfId="6977"/>
    <cellStyle name="Normal 7 2 2 2 4 6" xfId="6978"/>
    <cellStyle name="Normal 2 4 2 2 4 6" xfId="6979"/>
    <cellStyle name="Normal 3 4 2 2 4 6" xfId="6980"/>
    <cellStyle name="Normal 4 3 2 2 4 6" xfId="6981"/>
    <cellStyle name="Normal 5 3 2 2 4 6" xfId="6982"/>
    <cellStyle name="Normal 7 3 2 2 4 6" xfId="6983"/>
    <cellStyle name="Normal 2 6 2 4 6" xfId="6984"/>
    <cellStyle name="Normal 3 6 2 4 6" xfId="6985"/>
    <cellStyle name="Normal 4 5 2 4 6" xfId="6986"/>
    <cellStyle name="Normal 5 5 2 4 6" xfId="6987"/>
    <cellStyle name="Normal 7 5 2 4 6" xfId="6988"/>
    <cellStyle name="Normal 2 3 3 2 4 6" xfId="6989"/>
    <cellStyle name="Normal 3 3 3 2 4 6" xfId="6990"/>
    <cellStyle name="Normal 4 2 3 2 4 6" xfId="6991"/>
    <cellStyle name="Normal 5 2 3 2 4 6" xfId="6992"/>
    <cellStyle name="Normal 7 2 3 2 4 6" xfId="6993"/>
    <cellStyle name="Normal 2 4 3 2 4 6" xfId="6994"/>
    <cellStyle name="Normal 3 4 3 2 4 6" xfId="6995"/>
    <cellStyle name="Normal 4 3 3 2 4 6" xfId="6996"/>
    <cellStyle name="Normal 5 3 3 2 4 6" xfId="6997"/>
    <cellStyle name="Normal 7 3 3 2 4 6" xfId="6998"/>
    <cellStyle name="Normal 2 8 3 6" xfId="6999"/>
    <cellStyle name="Normal 3 8 3 6" xfId="7000"/>
    <cellStyle name="Normal 4 7 3 6" xfId="7001"/>
    <cellStyle name="Normal 5 7 3 6" xfId="7002"/>
    <cellStyle name="Normal 7 7 3 6" xfId="7003"/>
    <cellStyle name="Normal 2 3 5 3 6" xfId="7004"/>
    <cellStyle name="Normal 3 3 5 3 6" xfId="7005"/>
    <cellStyle name="Normal 4 2 5 3 6" xfId="7006"/>
    <cellStyle name="Normal 5 2 5 3 6" xfId="7007"/>
    <cellStyle name="Normal 7 2 5 3 6" xfId="7008"/>
    <cellStyle name="Normal 3 4 5 3 6" xfId="7009"/>
    <cellStyle name="Normal 4 3 5 3 6" xfId="7010"/>
    <cellStyle name="Normal 5 3 5 3 6" xfId="7011"/>
    <cellStyle name="Normal 7 3 5 3 6" xfId="7012"/>
    <cellStyle name="Normal 2 5 3 3 6" xfId="7013"/>
    <cellStyle name="Normal 3 5 3 3 6" xfId="7014"/>
    <cellStyle name="Normal 4 4 3 3 6" xfId="7015"/>
    <cellStyle name="Normal 5 4 3 3 6" xfId="7016"/>
    <cellStyle name="Normal 7 4 3 3 6" xfId="7017"/>
    <cellStyle name="Normal 2 3 2 3 3 6" xfId="7018"/>
    <cellStyle name="Normal 3 3 2 3 3 6" xfId="7019"/>
    <cellStyle name="Normal 4 2 2 3 3 6" xfId="7020"/>
    <cellStyle name="Normal 5 2 2 3 3 6" xfId="7021"/>
    <cellStyle name="Normal 7 2 2 3 3 6" xfId="7022"/>
    <cellStyle name="Normal 2 4 2 3 3 6" xfId="7023"/>
    <cellStyle name="Normal 3 4 2 3 3 6" xfId="7024"/>
    <cellStyle name="Normal 4 3 2 3 3 6" xfId="7025"/>
    <cellStyle name="Normal 5 3 2 3 3 6" xfId="7026"/>
    <cellStyle name="Normal 7 3 2 3 3 6" xfId="7027"/>
    <cellStyle name="Normal 2 6 3 3 6" xfId="7028"/>
    <cellStyle name="Normal 3 6 3 3 6" xfId="7029"/>
    <cellStyle name="Normal 4 5 3 3 6" xfId="7030"/>
    <cellStyle name="Normal 5 5 3 3 6" xfId="7031"/>
    <cellStyle name="Normal 7 5 3 3 6" xfId="7032"/>
    <cellStyle name="Normal 2 3 3 3 3 6" xfId="7033"/>
    <cellStyle name="Normal 3 3 3 3 3 6" xfId="7034"/>
    <cellStyle name="Normal 4 2 3 3 3 6" xfId="7035"/>
    <cellStyle name="Normal 5 2 3 3 3 6" xfId="7036"/>
    <cellStyle name="Normal 7 2 3 3 3 6" xfId="7037"/>
    <cellStyle name="Normal 2 4 3 3 3 6" xfId="7038"/>
    <cellStyle name="Normal 3 4 3 3 3 6" xfId="7039"/>
    <cellStyle name="Normal 4 3 3 3 3 6" xfId="7040"/>
    <cellStyle name="Normal 5 3 3 3 3 6" xfId="7041"/>
    <cellStyle name="Normal 7 3 3 3 3 6" xfId="7042"/>
    <cellStyle name="Normal 2 7 2 3 6" xfId="7043"/>
    <cellStyle name="Normal 3 7 2 3 6" xfId="7044"/>
    <cellStyle name="Normal 4 6 2 3 6" xfId="7045"/>
    <cellStyle name="Normal 5 6 2 3 6" xfId="7046"/>
    <cellStyle name="Normal 7 6 2 3 6" xfId="7047"/>
    <cellStyle name="Normal 2 3 4 2 3 6" xfId="7048"/>
    <cellStyle name="Normal 3 3 4 2 3 6" xfId="7049"/>
    <cellStyle name="Normal 4 2 4 2 3 6" xfId="7050"/>
    <cellStyle name="Normal 5 2 4 2 3 6" xfId="7051"/>
    <cellStyle name="Normal 7 2 4 2 3 6" xfId="7052"/>
    <cellStyle name="Normal 2 4 4 2 3 6" xfId="7053"/>
    <cellStyle name="Normal 3 4 4 2 3 6" xfId="7054"/>
    <cellStyle name="Normal 4 3 4 2 3 6" xfId="7055"/>
    <cellStyle name="Normal 5 3 4 2 3 6" xfId="7056"/>
    <cellStyle name="Normal 7 3 4 2 3 6" xfId="7057"/>
    <cellStyle name="Normal 2 5 2 2 3 6" xfId="7058"/>
    <cellStyle name="Normal 3 5 2 2 3 6" xfId="7059"/>
    <cellStyle name="Normal 4 4 2 2 3 6" xfId="7060"/>
    <cellStyle name="Normal 5 4 2 2 3 6" xfId="7061"/>
    <cellStyle name="Normal 7 4 2 2 3 6" xfId="7062"/>
    <cellStyle name="Normal 2 3 2 2 2 3 6" xfId="7063"/>
    <cellStyle name="Normal 3 3 2 2 2 3 6" xfId="7064"/>
    <cellStyle name="Normal 4 2 2 2 2 3 6" xfId="7065"/>
    <cellStyle name="Normal 5 2 2 2 2 3 6" xfId="7066"/>
    <cellStyle name="Normal 7 2 2 2 2 3 6" xfId="7067"/>
    <cellStyle name="Normal 2 4 2 2 2 3 6" xfId="7068"/>
    <cellStyle name="Normal 3 4 2 2 2 3 6" xfId="7069"/>
    <cellStyle name="Normal 4 3 2 2 2 3 6" xfId="7070"/>
    <cellStyle name="Normal 5 3 2 2 2 3 6" xfId="7071"/>
    <cellStyle name="Normal 7 3 2 2 2 3 6" xfId="7072"/>
    <cellStyle name="Normal 2 6 2 2 3 6" xfId="7073"/>
    <cellStyle name="Normal 3 6 2 2 3 6" xfId="7074"/>
    <cellStyle name="Normal 4 5 2 2 3 6" xfId="7075"/>
    <cellStyle name="Normal 5 5 2 2 3 6" xfId="7076"/>
    <cellStyle name="Normal 7 5 2 2 3 6" xfId="7077"/>
    <cellStyle name="Normal 2 3 3 2 2 3 6" xfId="7078"/>
    <cellStyle name="Normal 3 3 3 2 2 3 6" xfId="7079"/>
    <cellStyle name="Normal 4 2 3 2 2 3 6" xfId="7080"/>
    <cellStyle name="Normal 5 2 3 2 2 3 6" xfId="7081"/>
    <cellStyle name="Normal 7 2 3 2 2 3 6" xfId="7082"/>
    <cellStyle name="Normal 2 4 3 2 2 3 6" xfId="7083"/>
    <cellStyle name="Normal 3 4 3 2 2 3 6" xfId="7084"/>
    <cellStyle name="Normal 4 3 3 2 2 3 6" xfId="7085"/>
    <cellStyle name="Normal 5 3 3 2 2 3 6" xfId="7086"/>
    <cellStyle name="Normal 7 3 3 2 2 3 6" xfId="7087"/>
    <cellStyle name="Normal 2 11 4" xfId="7088"/>
    <cellStyle name="Normal 3 11 4" xfId="7089"/>
    <cellStyle name="Normal 4 10 4" xfId="7090"/>
    <cellStyle name="Normal 5 10 4" xfId="7091"/>
    <cellStyle name="Normal 7 10 4" xfId="7092"/>
    <cellStyle name="Normal 2 3 8 4" xfId="7093"/>
    <cellStyle name="Normal 3 3 8 4" xfId="7094"/>
    <cellStyle name="Normal 4 2 8 4" xfId="7095"/>
    <cellStyle name="Normal 5 2 8 4" xfId="7096"/>
    <cellStyle name="Normal 7 2 8 4" xfId="7097"/>
    <cellStyle name="Normal 2 4 8 4" xfId="7098"/>
    <cellStyle name="Normal 3 4 8 4" xfId="7099"/>
    <cellStyle name="Normal 4 3 8 4" xfId="7100"/>
    <cellStyle name="Normal 5 3 8 4" xfId="7101"/>
    <cellStyle name="Normal 7 3 8 4" xfId="7102"/>
    <cellStyle name="Normal 2 5 6 4" xfId="7103"/>
    <cellStyle name="Normal 3 5 6 4" xfId="7104"/>
    <cellStyle name="Normal 4 4 6 4" xfId="7105"/>
    <cellStyle name="Normal 5 4 6 4" xfId="7106"/>
    <cellStyle name="Normal 7 4 6 4" xfId="7107"/>
    <cellStyle name="Normal 2 3 2 6 4" xfId="7108"/>
    <cellStyle name="Normal 3 3 2 6 4" xfId="7109"/>
    <cellStyle name="Normal 4 2 2 6 4" xfId="7110"/>
    <cellStyle name="Normal 5 2 2 6 4" xfId="7111"/>
    <cellStyle name="Normal 7 2 2 6 4" xfId="7112"/>
    <cellStyle name="Normal 2 4 2 6 4" xfId="7113"/>
    <cellStyle name="Normal 3 4 2 6 4" xfId="7114"/>
    <cellStyle name="Normal 4 3 2 6 4" xfId="7115"/>
    <cellStyle name="Normal 5 3 2 6 4" xfId="7116"/>
    <cellStyle name="Normal 7 3 2 6 4" xfId="7117"/>
    <cellStyle name="Normal 2 6 6 4" xfId="7118"/>
    <cellStyle name="Normal 3 6 6 4" xfId="7119"/>
    <cellStyle name="Normal 4 5 6 4" xfId="7120"/>
    <cellStyle name="Normal 5 5 6 4" xfId="7121"/>
    <cellStyle name="Normal 7 5 6 4" xfId="7122"/>
    <cellStyle name="Normal 2 3 3 6 4" xfId="7123"/>
    <cellStyle name="Normal 3 3 3 6 4" xfId="7124"/>
    <cellStyle name="Normal 4 2 3 6 4" xfId="7125"/>
    <cellStyle name="Normal 5 2 3 6 4" xfId="7126"/>
    <cellStyle name="Normal 7 2 3 6 4" xfId="7127"/>
    <cellStyle name="Normal 2 4 3 6 4" xfId="7128"/>
    <cellStyle name="Normal 3 4 3 6 4" xfId="7129"/>
    <cellStyle name="Normal 4 3 3 6 4" xfId="7130"/>
    <cellStyle name="Normal 5 3 3 6 4" xfId="7131"/>
    <cellStyle name="Normal 7 3 3 6 4" xfId="7132"/>
    <cellStyle name="Normal 2 7 5 4" xfId="7133"/>
    <cellStyle name="Normal 3 7 5 4" xfId="7134"/>
    <cellStyle name="Normal 4 6 5 4" xfId="7135"/>
    <cellStyle name="Normal 5 6 5 4" xfId="7136"/>
    <cellStyle name="Normal 7 6 5 4" xfId="7137"/>
    <cellStyle name="Normal 2 3 4 5 4" xfId="7138"/>
    <cellStyle name="Normal 3 3 4 5 4" xfId="7139"/>
    <cellStyle name="Normal 4 2 4 5 4" xfId="7140"/>
    <cellStyle name="Normal 5 2 4 5 4" xfId="7141"/>
    <cellStyle name="Normal 7 2 4 5 4" xfId="7142"/>
    <cellStyle name="Normal 2 4 4 5 4" xfId="7143"/>
    <cellStyle name="Normal 3 4 4 5 4" xfId="7144"/>
    <cellStyle name="Normal 4 3 4 5 4" xfId="7145"/>
    <cellStyle name="Normal 5 3 4 5 4" xfId="7146"/>
    <cellStyle name="Normal 7 3 4 5 4" xfId="7147"/>
    <cellStyle name="Normal 2 5 2 5 4" xfId="7148"/>
    <cellStyle name="Normal 3 5 2 5 4" xfId="7149"/>
    <cellStyle name="Normal 4 4 2 5 4" xfId="7150"/>
    <cellStyle name="Normal 5 4 2 5 4" xfId="7151"/>
    <cellStyle name="Normal 7 4 2 5 4" xfId="7152"/>
    <cellStyle name="Normal 2 3 2 2 5 4" xfId="7153"/>
    <cellStyle name="Normal 3 3 2 2 5 4" xfId="7154"/>
    <cellStyle name="Normal 4 2 2 2 5 4" xfId="7155"/>
    <cellStyle name="Normal 5 2 2 2 5 4" xfId="7156"/>
    <cellStyle name="Normal 7 2 2 2 5 4" xfId="7157"/>
    <cellStyle name="Normal 2 4 2 2 5 4" xfId="7158"/>
    <cellStyle name="Normal 3 4 2 2 5 4" xfId="7159"/>
    <cellStyle name="Normal 4 3 2 2 5 4" xfId="7160"/>
    <cellStyle name="Normal 5 3 2 2 5 4" xfId="7161"/>
    <cellStyle name="Normal 7 3 2 2 5 4" xfId="7162"/>
    <cellStyle name="Normal 2 6 2 5 4" xfId="7163"/>
    <cellStyle name="Normal 3 6 2 5 4" xfId="7164"/>
    <cellStyle name="Normal 4 5 2 5 4" xfId="7165"/>
    <cellStyle name="Normal 5 5 2 5 4" xfId="7166"/>
    <cellStyle name="Normal 7 5 2 5 4" xfId="7167"/>
    <cellStyle name="Normal 2 3 3 2 5 4" xfId="7168"/>
    <cellStyle name="Normal 3 3 3 2 5 4" xfId="7169"/>
    <cellStyle name="Normal 4 2 3 2 5 4" xfId="7170"/>
    <cellStyle name="Normal 5 2 3 2 5 4" xfId="7171"/>
    <cellStyle name="Normal 7 2 3 2 5 4" xfId="7172"/>
    <cellStyle name="Normal 2 4 3 2 5 4" xfId="7173"/>
    <cellStyle name="Normal 3 4 3 2 5 4" xfId="7174"/>
    <cellStyle name="Normal 4 3 3 2 5 4" xfId="7175"/>
    <cellStyle name="Normal 5 3 3 2 5 4" xfId="7176"/>
    <cellStyle name="Normal 7 3 3 2 5 4" xfId="7177"/>
    <cellStyle name="Normal 2 8 4 4" xfId="7178"/>
    <cellStyle name="Normal 3 8 4 4" xfId="7179"/>
    <cellStyle name="Normal 4 7 4 4" xfId="7180"/>
    <cellStyle name="Normal 5 7 4 4" xfId="7181"/>
    <cellStyle name="Normal 7 7 4 4" xfId="7182"/>
    <cellStyle name="Normal 2 3 5 4 4" xfId="7183"/>
    <cellStyle name="Normal 3 3 5 4 4" xfId="7184"/>
    <cellStyle name="Normal 4 2 5 4 4" xfId="7185"/>
    <cellStyle name="Normal 5 2 5 4 4" xfId="7186"/>
    <cellStyle name="Normal 7 2 5 4 4" xfId="7187"/>
    <cellStyle name="Normal 2 4 5 4 4" xfId="7188"/>
    <cellStyle name="Normal 3 4 5 4 4" xfId="7189"/>
    <cellStyle name="Normal 4 3 5 4 4" xfId="7190"/>
    <cellStyle name="Normal 5 3 5 4 4" xfId="7191"/>
    <cellStyle name="Normal 7 3 5 4 4" xfId="7192"/>
    <cellStyle name="Normal 2 5 3 4 4" xfId="7193"/>
    <cellStyle name="Normal 3 5 3 4 4" xfId="7194"/>
    <cellStyle name="Normal 4 4 3 4 4" xfId="7195"/>
    <cellStyle name="Normal 5 4 3 4 4" xfId="7196"/>
    <cellStyle name="Normal 7 4 3 4 4" xfId="7197"/>
    <cellStyle name="Normal 2 3 2 3 4 4" xfId="7198"/>
    <cellStyle name="Normal 3 3 2 3 4 4" xfId="7199"/>
    <cellStyle name="Normal 4 2 2 3 4 4" xfId="7200"/>
    <cellStyle name="Normal 5 2 2 3 4 4" xfId="7201"/>
    <cellStyle name="Normal 7 2 2 3 4 4" xfId="7202"/>
    <cellStyle name="Normal 2 4 2 3 4 4" xfId="7203"/>
    <cellStyle name="Normal 3 4 2 3 4 4" xfId="7204"/>
    <cellStyle name="Normal 4 3 2 3 4 4" xfId="7205"/>
    <cellStyle name="Normal 5 3 2 3 4 4" xfId="7206"/>
    <cellStyle name="Normal 7 3 2 3 4 4" xfId="7207"/>
    <cellStyle name="Normal 2 6 3 4 4" xfId="7208"/>
    <cellStyle name="Normal 3 6 3 4 4" xfId="7209"/>
    <cellStyle name="Normal 4 5 3 4 4" xfId="7210"/>
    <cellStyle name="Normal 5 5 3 4 4" xfId="7211"/>
    <cellStyle name="Normal 7 5 3 4 4" xfId="7212"/>
    <cellStyle name="Normal 2 3 3 3 4 4" xfId="7213"/>
    <cellStyle name="Normal 3 3 3 3 4 4" xfId="7214"/>
    <cellStyle name="Normal 4 2 3 3 4 4" xfId="7215"/>
    <cellStyle name="Normal 5 2 3 3 4 4" xfId="7216"/>
    <cellStyle name="Normal 7 2 3 3 4 4" xfId="7217"/>
    <cellStyle name="Normal 2 4 3 3 4 4" xfId="7218"/>
    <cellStyle name="Normal 3 4 3 3 4 4" xfId="7219"/>
    <cellStyle name="Normal 4 3 3 3 4 4" xfId="7220"/>
    <cellStyle name="Normal 5 3 3 3 4 4" xfId="7221"/>
    <cellStyle name="Normal 7 3 3 3 4 4" xfId="7222"/>
    <cellStyle name="Normal 2 7 2 4 4" xfId="7223"/>
    <cellStyle name="Normal 3 7 2 4 4" xfId="7224"/>
    <cellStyle name="Normal 4 6 2 4 4" xfId="7225"/>
    <cellStyle name="Normal 5 6 2 4 4" xfId="7226"/>
    <cellStyle name="Normal 7 6 2 4 4" xfId="7227"/>
    <cellStyle name="Normal 2 3 4 2 4 4" xfId="7228"/>
    <cellStyle name="Normal 3 3 4 2 4 4" xfId="7229"/>
    <cellStyle name="Normal 4 2 4 2 4 4" xfId="7230"/>
    <cellStyle name="Normal 5 2 4 2 4 4" xfId="7231"/>
    <cellStyle name="Normal 7 2 4 2 4 4" xfId="7232"/>
    <cellStyle name="Normal 2 4 4 2 4 4" xfId="7233"/>
    <cellStyle name="Normal 3 4 4 2 4 4" xfId="7234"/>
    <cellStyle name="Normal 4 3 4 2 4 4" xfId="7235"/>
    <cellStyle name="Normal 5 3 4 2 4 4" xfId="7236"/>
    <cellStyle name="Normal 7 3 4 2 4 4" xfId="7237"/>
    <cellStyle name="Normal 2 5 2 2 4 4" xfId="7238"/>
    <cellStyle name="Normal 3 5 2 2 4 4" xfId="7239"/>
    <cellStyle name="Normal 4 4 2 2 4 4" xfId="7240"/>
    <cellStyle name="Normal 5 4 2 2 4 4" xfId="7241"/>
    <cellStyle name="Normal 7 4 2 2 4 4" xfId="7242"/>
    <cellStyle name="Normal 2 3 2 2 2 4 4" xfId="7243"/>
    <cellStyle name="Normal 3 3 2 2 2 4 4" xfId="7244"/>
    <cellStyle name="Normal 4 2 2 2 2 4 4" xfId="7245"/>
    <cellStyle name="Normal 5 2 2 2 2 4 4" xfId="7246"/>
    <cellStyle name="Normal 7 2 2 2 2 4 4" xfId="7247"/>
    <cellStyle name="Normal 2 4 2 2 2 4 4" xfId="7248"/>
    <cellStyle name="Normal 3 4 2 2 2 4 4" xfId="7249"/>
    <cellStyle name="Normal 4 3 2 2 2 4 4" xfId="7250"/>
    <cellStyle name="Normal 5 3 2 2 2 4 4" xfId="7251"/>
    <cellStyle name="Normal 7 3 2 2 2 4 4" xfId="7252"/>
    <cellStyle name="Normal 2 6 2 2 4 4" xfId="7253"/>
    <cellStyle name="Normal 3 6 2 2 4 4" xfId="7254"/>
    <cellStyle name="Normal 4 5 2 2 4 4" xfId="7255"/>
    <cellStyle name="Normal 5 5 2 2 4 4" xfId="7256"/>
    <cellStyle name="Normal 7 5 2 2 4 4" xfId="7257"/>
    <cellStyle name="Normal 2 3 3 2 2 4 4" xfId="7258"/>
    <cellStyle name="Normal 3 3 3 2 2 4 4" xfId="7259"/>
    <cellStyle name="Normal 4 2 3 2 2 4 4" xfId="7260"/>
    <cellStyle name="Normal 5 2 3 2 2 4 4" xfId="7261"/>
    <cellStyle name="Normal 7 2 3 2 2 4 4" xfId="7262"/>
    <cellStyle name="Normal 2 4 3 2 2 4 4" xfId="7263"/>
    <cellStyle name="Normal 3 4 3 2 2 4 4" xfId="7264"/>
    <cellStyle name="Normal 4 3 3 2 2 4 4" xfId="7265"/>
    <cellStyle name="Normal 5 3 3 2 2 4 4" xfId="7266"/>
    <cellStyle name="Normal 7 3 3 2 2 4 4" xfId="7267"/>
    <cellStyle name="Normal 2 9 2 4" xfId="7268"/>
    <cellStyle name="Normal 3 9 2 4" xfId="7269"/>
    <cellStyle name="Normal 4 8 2 4" xfId="7270"/>
    <cellStyle name="Normal 5 8 2 4" xfId="7271"/>
    <cellStyle name="Normal 7 8 2 4" xfId="7272"/>
    <cellStyle name="Normal 2 3 6 2 4" xfId="7273"/>
    <cellStyle name="Normal 3 3 6 2 4" xfId="7274"/>
    <cellStyle name="Normal 4 2 6 2 4" xfId="7275"/>
    <cellStyle name="Normal 5 2 6 2 4" xfId="7276"/>
    <cellStyle name="Normal 7 2 6 2 4" xfId="7277"/>
    <cellStyle name="Normal 2 4 6 2 4" xfId="7278"/>
    <cellStyle name="Normal 3 4 6 2 4" xfId="7279"/>
    <cellStyle name="Normal 4 3 6 2 4" xfId="7280"/>
    <cellStyle name="Normal 5 3 6 2 4" xfId="7281"/>
    <cellStyle name="Normal 7 3 6 2 4" xfId="7282"/>
    <cellStyle name="Normal 2 5 4 2 4" xfId="7283"/>
    <cellStyle name="Normal 3 5 4 2 4" xfId="7284"/>
    <cellStyle name="Normal 4 4 4 2 4" xfId="7285"/>
    <cellStyle name="Normal 5 4 4 2 4" xfId="7286"/>
    <cellStyle name="Normal 7 4 4 2 4" xfId="7287"/>
    <cellStyle name="Normal 2 3 2 4 2 4" xfId="7288"/>
    <cellStyle name="Normal 3 3 2 4 2 4" xfId="7289"/>
    <cellStyle name="Normal 4 2 2 4 2 4" xfId="7290"/>
    <cellStyle name="Normal 5 2 2 4 2 4" xfId="7291"/>
    <cellStyle name="Normal 7 2 2 4 2 4" xfId="7292"/>
    <cellStyle name="Normal 2 4 2 4 2 4" xfId="7293"/>
    <cellStyle name="Normal 3 4 2 4 2 4" xfId="7294"/>
    <cellStyle name="Normal 4 3 2 4 2 4" xfId="7295"/>
    <cellStyle name="Normal 5 3 2 4 2 4" xfId="7296"/>
    <cellStyle name="Normal 7 3 2 4 2 4" xfId="7297"/>
    <cellStyle name="Normal 2 6 4 2 4" xfId="7298"/>
    <cellStyle name="Normal 3 6 4 2 4" xfId="7299"/>
    <cellStyle name="Normal 4 5 4 2 4" xfId="7300"/>
    <cellStyle name="Normal 5 5 4 2 4" xfId="7301"/>
    <cellStyle name="Normal 7 5 4 2 4" xfId="7302"/>
    <cellStyle name="Normal 2 3 3 4 2 4" xfId="7303"/>
    <cellStyle name="Normal 3 3 3 4 2 4" xfId="7304"/>
    <cellStyle name="Normal 4 2 3 4 2 4" xfId="7305"/>
    <cellStyle name="Normal 5 2 3 4 2 4" xfId="7306"/>
    <cellStyle name="Normal 7 2 3 4 2 4" xfId="7307"/>
    <cellStyle name="Normal 2 4 3 4 2 4" xfId="7308"/>
    <cellStyle name="Normal 3 4 3 4 2 4" xfId="7309"/>
    <cellStyle name="Normal 4 3 3 4 2 4" xfId="7310"/>
    <cellStyle name="Normal 5 3 3 4 2 4" xfId="7311"/>
    <cellStyle name="Normal 7 3 3 4 2 4" xfId="7312"/>
    <cellStyle name="Normal 2 7 3 2 4" xfId="7313"/>
    <cellStyle name="Normal 3 7 3 2 4" xfId="7314"/>
    <cellStyle name="Normal 4 6 3 2 4" xfId="7315"/>
    <cellStyle name="Normal 5 6 3 2 4" xfId="7316"/>
    <cellStyle name="Normal 7 6 3 2 4" xfId="7317"/>
    <cellStyle name="Normal 2 3 4 3 2 4" xfId="7318"/>
    <cellStyle name="Normal 3 3 4 3 2 4" xfId="7319"/>
    <cellStyle name="Normal 4 2 4 3 2 4" xfId="7320"/>
    <cellStyle name="Normal 5 2 4 3 2 4" xfId="7321"/>
    <cellStyle name="Normal 7 2 4 3 2 4" xfId="7322"/>
    <cellStyle name="Normal 2 4 4 3 2 4" xfId="7323"/>
    <cellStyle name="Normal 3 4 4 3 2 4" xfId="7324"/>
    <cellStyle name="Normal 4 3 4 3 2 4" xfId="7325"/>
    <cellStyle name="Normal 5 3 4 3 2 4" xfId="7326"/>
    <cellStyle name="Normal 7 3 4 3 2 4" xfId="7327"/>
    <cellStyle name="Normal 2 5 2 3 2 4" xfId="7328"/>
    <cellStyle name="Normal 3 5 2 3 2 4" xfId="7329"/>
    <cellStyle name="Normal 4 4 2 3 2 4" xfId="7330"/>
    <cellStyle name="Normal 5 4 2 3 2 4" xfId="7331"/>
    <cellStyle name="Normal 7 4 2 3 2 4" xfId="7332"/>
    <cellStyle name="Normal 2 3 2 2 3 2 4" xfId="7333"/>
    <cellStyle name="Normal 3 3 2 2 3 2 4" xfId="7334"/>
    <cellStyle name="Normal 4 2 2 2 3 2 4" xfId="7335"/>
    <cellStyle name="Normal 5 2 2 2 3 2 4" xfId="7336"/>
    <cellStyle name="Normal 7 2 2 2 3 2 4" xfId="7337"/>
    <cellStyle name="Normal 2 4 2 2 3 2 4" xfId="7338"/>
    <cellStyle name="Normal 3 4 2 2 3 2 4" xfId="7339"/>
    <cellStyle name="Normal 4 3 2 2 3 2 4" xfId="7340"/>
    <cellStyle name="Normal 5 3 2 2 3 2 4" xfId="7341"/>
    <cellStyle name="Normal 7 3 2 2 3 2 4" xfId="7342"/>
    <cellStyle name="Normal 2 6 2 3 2 4" xfId="7343"/>
    <cellStyle name="Normal 3 6 2 3 2 4" xfId="7344"/>
    <cellStyle name="Normal 4 5 2 3 2 4" xfId="7345"/>
    <cellStyle name="Normal 5 5 2 3 2 4" xfId="7346"/>
    <cellStyle name="Normal 7 5 2 3 2 4" xfId="7347"/>
    <cellStyle name="Normal 2 3 3 2 3 2 4" xfId="7348"/>
    <cellStyle name="Normal 3 3 3 2 3 2 4" xfId="7349"/>
    <cellStyle name="Normal 4 2 3 2 3 2 4" xfId="7350"/>
    <cellStyle name="Normal 5 2 3 2 3 2 4" xfId="7351"/>
    <cellStyle name="Normal 7 2 3 2 3 2 4" xfId="7352"/>
    <cellStyle name="Normal 2 4 3 2 3 2 4" xfId="7353"/>
    <cellStyle name="Normal 3 4 3 2 3 2 4" xfId="7354"/>
    <cellStyle name="Normal 4 3 3 2 3 2 4" xfId="7355"/>
    <cellStyle name="Normal 5 3 3 2 3 2 4" xfId="7356"/>
    <cellStyle name="Normal 7 3 3 2 3 2 4" xfId="7357"/>
    <cellStyle name="Normal 2 8 2 2 4" xfId="7358"/>
    <cellStyle name="Normal 3 8 2 2 4" xfId="7359"/>
    <cellStyle name="Normal 4 7 2 2 4" xfId="7360"/>
    <cellStyle name="Normal 5 7 2 2 4" xfId="7361"/>
    <cellStyle name="Normal 7 7 2 2 4" xfId="7362"/>
    <cellStyle name="Normal 2 3 5 2 2 4" xfId="7363"/>
    <cellStyle name="Normal 3 3 5 2 2 4" xfId="7364"/>
    <cellStyle name="Normal 4 2 5 2 2 4" xfId="7365"/>
    <cellStyle name="Normal 5 2 5 2 2 4" xfId="7366"/>
    <cellStyle name="Normal 7 2 5 2 2 4" xfId="7367"/>
    <cellStyle name="Normal 2 4 5 2 2 4" xfId="7368"/>
    <cellStyle name="Normal 3 4 5 2 2 4" xfId="7369"/>
    <cellStyle name="Normal 4 3 5 2 2 4" xfId="7370"/>
    <cellStyle name="Normal 5 3 5 2 2 4" xfId="7371"/>
    <cellStyle name="Normal 7 3 5 2 2 4" xfId="7372"/>
    <cellStyle name="Normal 2 5 3 2 2 4" xfId="7373"/>
    <cellStyle name="Normal 3 5 3 2 2 4" xfId="7374"/>
    <cellStyle name="Normal 4 4 3 2 2 4" xfId="7375"/>
    <cellStyle name="Normal 5 4 3 2 2 4" xfId="7376"/>
    <cellStyle name="Normal 7 4 3 2 2 4" xfId="7377"/>
    <cellStyle name="Normal 2 3 2 3 2 2 4" xfId="7378"/>
    <cellStyle name="Normal 3 3 2 3 2 2 4" xfId="7379"/>
    <cellStyle name="Normal 4 2 2 3 2 2 4" xfId="7380"/>
    <cellStyle name="Normal 5 2 2 3 2 2 4" xfId="7381"/>
    <cellStyle name="Normal 7 2 2 3 2 2 4" xfId="7382"/>
    <cellStyle name="Normal 2 4 2 3 2 2 4" xfId="7383"/>
    <cellStyle name="Normal 3 4 2 3 2 2 4" xfId="7384"/>
    <cellStyle name="Normal 4 3 2 3 2 2 4" xfId="7385"/>
    <cellStyle name="Normal 5 3 2 3 2 2 4" xfId="7386"/>
    <cellStyle name="Normal 7 3 2 3 2 2 4" xfId="7387"/>
    <cellStyle name="Normal 2 6 3 2 2 4" xfId="7388"/>
    <cellStyle name="Normal 3 6 3 2 2 4" xfId="7389"/>
    <cellStyle name="Normal 4 5 3 2 2 4" xfId="7390"/>
    <cellStyle name="Normal 5 5 3 2 2 4" xfId="7391"/>
    <cellStyle name="Normal 7 5 3 2 2 4" xfId="7392"/>
    <cellStyle name="Normal 2 3 3 3 2 2 4" xfId="7393"/>
    <cellStyle name="Normal 3 3 3 3 2 2 4" xfId="7394"/>
    <cellStyle name="Normal 4 2 3 3 2 2 4" xfId="7395"/>
    <cellStyle name="Normal 5 2 3 3 2 2 4" xfId="7396"/>
    <cellStyle name="Normal 7 2 3 3 2 2 4" xfId="7397"/>
    <cellStyle name="Normal 2 4 3 3 2 2 4" xfId="7398"/>
    <cellStyle name="Normal 3 4 3 3 2 2 4" xfId="7399"/>
    <cellStyle name="Normal 4 3 3 3 2 2 4" xfId="7400"/>
    <cellStyle name="Normal 5 3 3 3 2 2 4" xfId="7401"/>
    <cellStyle name="Normal 7 3 3 3 2 2 4" xfId="7402"/>
    <cellStyle name="Normal 2 7 2 2 2 4" xfId="7403"/>
    <cellStyle name="Normal 3 7 2 2 2 4" xfId="7404"/>
    <cellStyle name="Normal 4 6 2 2 2 4" xfId="7405"/>
    <cellStyle name="Normal 5 6 2 2 2 4" xfId="7406"/>
    <cellStyle name="Normal 7 6 2 2 2 4" xfId="7407"/>
    <cellStyle name="Normal 2 3 4 2 2 2 4" xfId="7408"/>
    <cellStyle name="Normal 3 3 4 2 2 2 4" xfId="7409"/>
    <cellStyle name="Normal 4 2 4 2 2 2 4" xfId="7410"/>
    <cellStyle name="Normal 5 2 4 2 2 2 4" xfId="7411"/>
    <cellStyle name="Normal 7 2 4 2 2 2 4" xfId="7412"/>
    <cellStyle name="Normal 2 4 4 2 2 2 4" xfId="7413"/>
    <cellStyle name="Normal 3 4 4 2 2 2 4" xfId="7414"/>
    <cellStyle name="Normal 4 3 4 2 2 2 4" xfId="7415"/>
    <cellStyle name="Normal 5 3 4 2 2 2 4" xfId="7416"/>
    <cellStyle name="Normal 7 3 4 2 2 2 4" xfId="7417"/>
    <cellStyle name="Normal 2 5 2 2 2 2 4" xfId="7418"/>
    <cellStyle name="Normal 3 5 2 2 2 2 4" xfId="7419"/>
    <cellStyle name="Normal 4 4 2 2 2 2 4" xfId="7420"/>
    <cellStyle name="Normal 5 4 2 2 2 2 4" xfId="7421"/>
    <cellStyle name="Normal 7 4 2 2 2 2 4" xfId="7422"/>
    <cellStyle name="Normal 2 3 2 2 2 2 2 4" xfId="7423"/>
    <cellStyle name="Normal 3 3 2 2 2 2 2 4" xfId="7424"/>
    <cellStyle name="Normal 4 2 2 2 2 2 2 4" xfId="7425"/>
    <cellStyle name="Normal 5 2 2 2 2 2 2 4" xfId="7426"/>
    <cellStyle name="Normal 7 2 2 2 2 2 2 4" xfId="7427"/>
    <cellStyle name="Normal 2 4 2 2 2 2 2 4" xfId="7428"/>
    <cellStyle name="Normal 3 4 2 2 2 2 2 4" xfId="7429"/>
    <cellStyle name="Normal 4 3 2 2 2 2 2 4" xfId="7430"/>
    <cellStyle name="Normal 5 3 2 2 2 2 2 4" xfId="7431"/>
    <cellStyle name="Normal 7 3 2 2 2 2 2 4" xfId="7432"/>
    <cellStyle name="Normal 2 6 2 2 2 2 4" xfId="7433"/>
    <cellStyle name="Normal 3 6 2 2 2 2 4" xfId="7434"/>
    <cellStyle name="Normal 4 5 2 2 2 2 4" xfId="7435"/>
    <cellStyle name="Normal 5 5 2 2 2 2 4" xfId="7436"/>
    <cellStyle name="Normal 7 5 2 2 2 2 4" xfId="7437"/>
    <cellStyle name="Normal 2 3 3 2 2 2 2 4" xfId="7438"/>
    <cellStyle name="Normal 3 3 3 2 2 2 2 4" xfId="7439"/>
    <cellStyle name="Normal 4 2 3 2 2 2 2 4" xfId="7440"/>
    <cellStyle name="Normal 5 2 3 2 2 2 2 4" xfId="7441"/>
    <cellStyle name="Normal 7 2 3 2 2 2 2 4" xfId="7442"/>
    <cellStyle name="Normal 2 4 3 2 2 2 2 4" xfId="7443"/>
    <cellStyle name="Normal 3 4 3 2 2 2 2 4" xfId="7444"/>
    <cellStyle name="Normal 4 3 3 2 2 2 2 4" xfId="7445"/>
    <cellStyle name="Normal 5 3 3 2 2 2 2 4" xfId="7446"/>
    <cellStyle name="Normal 7 3 3 2 2 2 2 4" xfId="7447"/>
    <cellStyle name="Normal 28 2 4" xfId="7448"/>
    <cellStyle name="Normal 2 3 7 2 4" xfId="7449"/>
    <cellStyle name="Normal 3 10 2 4" xfId="7450"/>
    <cellStyle name="Normal 4 9 2 4" xfId="7451"/>
    <cellStyle name="Normal 5 9 2 4" xfId="7452"/>
    <cellStyle name="Millares 4 2 4" xfId="7453"/>
    <cellStyle name="Normal 7 2 7 2 4" xfId="7454"/>
    <cellStyle name="Normal 3 3 7 2 4" xfId="7455"/>
    <cellStyle name="Normal 4 2 7 2 4" xfId="7456"/>
    <cellStyle name="Normal 5 2 7 2 4" xfId="7457"/>
    <cellStyle name="Normal 2 4 5 3 2 4" xfId="7458"/>
    <cellStyle name="Normal 3 4 7 2 4" xfId="7459"/>
    <cellStyle name="Normal 4 3 7 2 4" xfId="7460"/>
    <cellStyle name="Normal 5 3 7 2 4" xfId="7461"/>
    <cellStyle name="Normal 7 3 7 2 4" xfId="7462"/>
    <cellStyle name="Normal 2 5 5 2 4" xfId="7463"/>
    <cellStyle name="Normal 3 5 5 2 4" xfId="7464"/>
    <cellStyle name="Normal 4 4 5 2 4" xfId="7465"/>
    <cellStyle name="Normal 5 4 5 2 4" xfId="7466"/>
    <cellStyle name="Normal 7 4 5 2 4" xfId="7467"/>
    <cellStyle name="Normal 2 3 2 5 2 4" xfId="7468"/>
    <cellStyle name="Normal 3 3 2 5 2 4" xfId="7469"/>
    <cellStyle name="Normal 4 2 2 5 2 4" xfId="7470"/>
    <cellStyle name="Normal 5 2 2 5 2 4" xfId="7471"/>
    <cellStyle name="Normal 7 2 2 5 2 4" xfId="7472"/>
    <cellStyle name="Normal 2 4 2 5 2 4" xfId="7473"/>
    <cellStyle name="Normal 3 4 2 5 2 4" xfId="7474"/>
    <cellStyle name="Normal 4 3 2 5 2 4" xfId="7475"/>
    <cellStyle name="Normal 5 3 2 5 2 4" xfId="7476"/>
    <cellStyle name="Normal 7 3 2 5 2 4" xfId="7477"/>
    <cellStyle name="Normal 2 6 5 2 4" xfId="7478"/>
    <cellStyle name="Normal 3 6 5 2 4" xfId="7479"/>
    <cellStyle name="Normal 4 5 5 2 4" xfId="7480"/>
    <cellStyle name="Normal 5 5 5 2 4" xfId="7481"/>
    <cellStyle name="Normal 7 5 5 2 4" xfId="7482"/>
    <cellStyle name="Normal 2 3 3 5 2 4" xfId="7483"/>
    <cellStyle name="Normal 3 3 3 5 2 4" xfId="7484"/>
    <cellStyle name="Normal 4 2 3 5 2 4" xfId="7485"/>
    <cellStyle name="Normal 5 2 3 5 2 4" xfId="7486"/>
    <cellStyle name="Normal 7 2 3 5 2 4" xfId="7487"/>
    <cellStyle name="Normal 2 4 3 5 2 4" xfId="7488"/>
    <cellStyle name="Normal 3 4 3 5 2 4" xfId="7489"/>
    <cellStyle name="Normal 4 3 3 5 2 4" xfId="7490"/>
    <cellStyle name="Normal 5 3 3 5 2 4" xfId="7491"/>
    <cellStyle name="Normal 7 3 3 5 2 4" xfId="7492"/>
    <cellStyle name="Normal 2 7 4 2 4" xfId="7493"/>
    <cellStyle name="Normal 3 7 4 2 4" xfId="7494"/>
    <cellStyle name="Normal 4 6 4 2 4" xfId="7495"/>
    <cellStyle name="Normal 5 6 4 2 4" xfId="7496"/>
    <cellStyle name="Normal 7 6 4 2 4" xfId="7497"/>
    <cellStyle name="Normal 2 3 4 4 2 4" xfId="7498"/>
    <cellStyle name="Normal 3 3 4 4 2 4" xfId="7499"/>
    <cellStyle name="Normal 4 2 4 4 2 4" xfId="7500"/>
    <cellStyle name="Normal 5 2 4 4 2 4" xfId="7501"/>
    <cellStyle name="Normal 7 2 4 4 2 4" xfId="7502"/>
    <cellStyle name="Normal 2 4 4 4 2 4" xfId="7503"/>
    <cellStyle name="Normal 3 4 4 4 2 4" xfId="7504"/>
    <cellStyle name="Normal 4 3 4 4 2 4" xfId="7505"/>
    <cellStyle name="Normal 5 3 4 4 2 4" xfId="7506"/>
    <cellStyle name="Normal 7 3 4 4 2 4" xfId="7507"/>
    <cellStyle name="Normal 2 5 2 4 2 4" xfId="7508"/>
    <cellStyle name="Normal 3 5 2 4 2 4" xfId="7509"/>
    <cellStyle name="Normal 4 4 2 4 2 4" xfId="7510"/>
    <cellStyle name="Normal 5 4 2 4 2 4" xfId="7511"/>
    <cellStyle name="Normal 7 4 2 4 2 4" xfId="7512"/>
    <cellStyle name="Normal 2 3 2 2 4 2 4" xfId="7513"/>
    <cellStyle name="Normal 3 3 2 2 4 2 4" xfId="7514"/>
    <cellStyle name="Normal 4 2 2 2 4 2 4" xfId="7515"/>
    <cellStyle name="Normal 5 2 2 2 4 2 4" xfId="7516"/>
    <cellStyle name="Normal 7 2 2 2 4 2 4" xfId="7517"/>
    <cellStyle name="Normal 2 4 2 2 4 2 4" xfId="7518"/>
    <cellStyle name="Normal 3 4 2 2 4 2 4" xfId="7519"/>
    <cellStyle name="Normal 4 3 2 2 4 2 4" xfId="7520"/>
    <cellStyle name="Normal 5 3 2 2 4 2 4" xfId="7521"/>
    <cellStyle name="Normal 7 3 2 2 4 2 4" xfId="7522"/>
    <cellStyle name="Normal 2 6 2 4 2 4" xfId="7523"/>
    <cellStyle name="Normal 3 6 2 4 2 4" xfId="7524"/>
    <cellStyle name="Normal 4 5 2 4 2 4" xfId="7525"/>
    <cellStyle name="Normal 5 5 2 4 2 4" xfId="7526"/>
    <cellStyle name="Normal 7 5 2 4 2 4" xfId="7527"/>
    <cellStyle name="Normal 2 3 3 2 4 2 4" xfId="7528"/>
    <cellStyle name="Normal 3 3 3 2 4 2 4" xfId="7529"/>
    <cellStyle name="Normal 4 2 3 2 4 2 4" xfId="7530"/>
    <cellStyle name="Normal 5 2 3 2 4 2 4" xfId="7531"/>
    <cellStyle name="Normal 7 2 3 2 4 2 4" xfId="7532"/>
    <cellStyle name="Normal 2 4 3 2 4 2 4" xfId="7533"/>
    <cellStyle name="Normal 3 4 3 2 4 2 4" xfId="7534"/>
    <cellStyle name="Normal 4 3 3 2 4 2 4" xfId="7535"/>
    <cellStyle name="Normal 5 3 3 2 4 2 4" xfId="7536"/>
    <cellStyle name="Normal 7 3 3 2 4 2 4" xfId="7537"/>
    <cellStyle name="Normal 2 8 3 2 4" xfId="7538"/>
    <cellStyle name="Normal 3 8 3 2 4" xfId="7539"/>
    <cellStyle name="Normal 4 7 3 2 4" xfId="7540"/>
    <cellStyle name="Normal 5 7 3 2 4" xfId="7541"/>
    <cellStyle name="Normal 7 7 3 2 4" xfId="7542"/>
    <cellStyle name="Normal 2 3 5 3 2 4" xfId="7543"/>
    <cellStyle name="Normal 3 3 5 3 2 4" xfId="7544"/>
    <cellStyle name="Normal 4 2 5 3 2 4" xfId="7545"/>
    <cellStyle name="Normal 5 2 5 3 2 4" xfId="7546"/>
    <cellStyle name="Normal 7 2 5 3 2 4" xfId="7547"/>
    <cellStyle name="Normal 3 4 5 3 2 4" xfId="7548"/>
    <cellStyle name="Normal 4 3 5 3 2 4" xfId="7549"/>
    <cellStyle name="Normal 5 3 5 3 2 4" xfId="7550"/>
    <cellStyle name="Normal 7 3 5 3 2 4" xfId="7551"/>
    <cellStyle name="Normal 2 5 3 3 2 4" xfId="7552"/>
    <cellStyle name="Normal 3 5 3 3 2 4" xfId="7553"/>
    <cellStyle name="Normal 4 4 3 3 2 4" xfId="7554"/>
    <cellStyle name="Normal 5 4 3 3 2 4" xfId="7555"/>
    <cellStyle name="Normal 7 4 3 3 2 4" xfId="7556"/>
    <cellStyle name="Normal 2 3 2 3 3 2 4" xfId="7557"/>
    <cellStyle name="Normal 3 3 2 3 3 2 4" xfId="7558"/>
    <cellStyle name="Normal 4 2 2 3 3 2 4" xfId="7559"/>
    <cellStyle name="Normal 5 2 2 3 3 2 4" xfId="7560"/>
    <cellStyle name="Normal 7 2 2 3 3 2 4" xfId="7561"/>
    <cellStyle name="Normal 2 4 2 3 3 2 4" xfId="7562"/>
    <cellStyle name="Normal 3 4 2 3 3 2 4" xfId="7563"/>
    <cellStyle name="Normal 4 3 2 3 3 2 4" xfId="7564"/>
    <cellStyle name="Normal 5 3 2 3 3 2 4" xfId="7565"/>
    <cellStyle name="Normal 7 3 2 3 3 2 4" xfId="7566"/>
    <cellStyle name="Normal 2 6 3 3 2 4" xfId="7567"/>
    <cellStyle name="Normal 3 6 3 3 2 4" xfId="7568"/>
    <cellStyle name="Normal 4 5 3 3 2 4" xfId="7569"/>
    <cellStyle name="Normal 5 5 3 3 2 4" xfId="7570"/>
    <cellStyle name="Normal 7 5 3 3 2 4" xfId="7571"/>
    <cellStyle name="Normal 2 3 3 3 3 2 4" xfId="7572"/>
    <cellStyle name="Normal 3 3 3 3 3 2 4" xfId="7573"/>
    <cellStyle name="Normal 4 2 3 3 3 2 4" xfId="7574"/>
    <cellStyle name="Normal 5 2 3 3 3 2 4" xfId="7575"/>
    <cellStyle name="Normal 7 2 3 3 3 2 4" xfId="7576"/>
    <cellStyle name="Normal 2 4 3 3 3 2 4" xfId="7577"/>
    <cellStyle name="Normal 3 4 3 3 3 2 4" xfId="7578"/>
    <cellStyle name="Normal 4 3 3 3 3 2 4" xfId="7579"/>
    <cellStyle name="Normal 5 3 3 3 3 2 4" xfId="7580"/>
    <cellStyle name="Normal 7 3 3 3 3 2 4" xfId="7581"/>
    <cellStyle name="Normal 2 7 2 3 2 4" xfId="7582"/>
    <cellStyle name="Normal 3 7 2 3 2 4" xfId="7583"/>
    <cellStyle name="Normal 4 6 2 3 2 4" xfId="7584"/>
    <cellStyle name="Normal 5 6 2 3 2 4" xfId="7585"/>
    <cellStyle name="Normal 7 6 2 3 2 4" xfId="7586"/>
    <cellStyle name="Normal 2 3 4 2 3 2 4" xfId="7587"/>
    <cellStyle name="Normal 3 3 4 2 3 2 4" xfId="7588"/>
    <cellStyle name="Normal 4 2 4 2 3 2 4" xfId="7589"/>
    <cellStyle name="Normal 5 2 4 2 3 2 4" xfId="7590"/>
    <cellStyle name="Normal 7 2 4 2 3 2 4" xfId="7591"/>
    <cellStyle name="Normal 2 4 4 2 3 2 4" xfId="7592"/>
    <cellStyle name="Normal 3 4 4 2 3 2 4" xfId="7593"/>
    <cellStyle name="Normal 4 3 4 2 3 2 4" xfId="7594"/>
    <cellStyle name="Normal 5 3 4 2 3 2 4" xfId="7595"/>
    <cellStyle name="Normal 7 3 4 2 3 2 4" xfId="7596"/>
    <cellStyle name="Normal 2 5 2 2 3 2 4" xfId="7597"/>
    <cellStyle name="Normal 3 5 2 2 3 2 4" xfId="7598"/>
    <cellStyle name="Normal 4 4 2 2 3 2 4" xfId="7599"/>
    <cellStyle name="Normal 5 4 2 2 3 2 4" xfId="7600"/>
    <cellStyle name="Normal 7 4 2 2 3 2 4" xfId="7601"/>
    <cellStyle name="Normal 2 3 2 2 2 3 2 4" xfId="7602"/>
    <cellStyle name="Normal 3 3 2 2 2 3 2 4" xfId="7603"/>
    <cellStyle name="Normal 4 2 2 2 2 3 2 4" xfId="7604"/>
    <cellStyle name="Normal 5 2 2 2 2 3 2 4" xfId="7605"/>
    <cellStyle name="Normal 7 2 2 2 2 3 2 4" xfId="7606"/>
    <cellStyle name="Normal 2 4 2 2 2 3 2 4" xfId="7607"/>
    <cellStyle name="Normal 3 4 2 2 2 3 2 4" xfId="7608"/>
    <cellStyle name="Normal 4 3 2 2 2 3 2 4" xfId="7609"/>
    <cellStyle name="Normal 5 3 2 2 2 3 2 4" xfId="7610"/>
    <cellStyle name="Normal 7 3 2 2 2 3 2 4" xfId="7611"/>
    <cellStyle name="Normal 2 6 2 2 3 2 4" xfId="7612"/>
    <cellStyle name="Normal 3 6 2 2 3 2 4" xfId="7613"/>
    <cellStyle name="Normal 4 5 2 2 3 2 4" xfId="7614"/>
    <cellStyle name="Normal 5 5 2 2 3 2 4" xfId="7615"/>
    <cellStyle name="Normal 7 5 2 2 3 2 4" xfId="7616"/>
    <cellStyle name="Normal 2 3 3 2 2 3 2 4" xfId="7617"/>
    <cellStyle name="Normal 3 3 3 2 2 3 2 4" xfId="7618"/>
    <cellStyle name="Normal 4 2 3 2 2 3 2 4" xfId="7619"/>
    <cellStyle name="Normal 5 2 3 2 2 3 2 4" xfId="7620"/>
    <cellStyle name="Normal 7 2 3 2 2 3 2 4" xfId="7621"/>
    <cellStyle name="Normal 2 4 3 2 2 3 2 4" xfId="7622"/>
    <cellStyle name="Normal 3 4 3 2 2 3 2 4" xfId="7623"/>
    <cellStyle name="Normal 4 3 3 2 2 3 2 4" xfId="7624"/>
    <cellStyle name="Normal 5 3 3 2 2 3 2 4" xfId="7625"/>
    <cellStyle name="Normal 7 3 3 2 2 3 2 4" xfId="7626"/>
    <cellStyle name="Normal 2 12 4" xfId="7627"/>
    <cellStyle name="Normal 3 12 4" xfId="7628"/>
    <cellStyle name="Normal 4 11 4" xfId="7629"/>
    <cellStyle name="Normal 5 11 4" xfId="7630"/>
    <cellStyle name="Normal 7 11 4" xfId="7631"/>
    <cellStyle name="Normal 2 3 9 4" xfId="7632"/>
    <cellStyle name="Normal 3 3 9 4" xfId="7633"/>
    <cellStyle name="Normal 4 2 9 4" xfId="7634"/>
    <cellStyle name="Normal 5 2 9 4" xfId="7635"/>
    <cellStyle name="Normal 7 2 9 4" xfId="7636"/>
    <cellStyle name="Normal 2 4 9 4" xfId="7637"/>
    <cellStyle name="Normal 3 4 9 4" xfId="7638"/>
    <cellStyle name="Normal 4 3 9 4" xfId="7639"/>
    <cellStyle name="Normal 5 3 9 4" xfId="7640"/>
    <cellStyle name="Normal 7 3 9 4" xfId="7641"/>
    <cellStyle name="Normal 2 5 7 4" xfId="7642"/>
    <cellStyle name="Normal 3 5 7 4" xfId="7643"/>
    <cellStyle name="Normal 4 4 7 4" xfId="7644"/>
    <cellStyle name="Normal 5 4 7 4" xfId="7645"/>
    <cellStyle name="Normal 7 4 7 4" xfId="7646"/>
    <cellStyle name="Normal 2 3 2 7 4" xfId="7647"/>
    <cellStyle name="Normal 3 3 2 7 4" xfId="7648"/>
    <cellStyle name="Normal 4 2 2 7 4" xfId="7649"/>
    <cellStyle name="Normal 5 2 2 7 4" xfId="7650"/>
    <cellStyle name="Normal 7 2 2 7 4" xfId="7651"/>
    <cellStyle name="Normal 2 4 2 7 4" xfId="7652"/>
    <cellStyle name="Normal 3 4 2 7 4" xfId="7653"/>
    <cellStyle name="Normal 4 3 2 7 4" xfId="7654"/>
    <cellStyle name="Normal 5 3 2 7 4" xfId="7655"/>
    <cellStyle name="Normal 7 3 2 7 4" xfId="7656"/>
    <cellStyle name="Normal 2 6 7 4" xfId="7657"/>
    <cellStyle name="Normal 3 6 7 4" xfId="7658"/>
    <cellStyle name="Normal 4 5 7 4" xfId="7659"/>
    <cellStyle name="Normal 5 5 7 4" xfId="7660"/>
    <cellStyle name="Normal 7 5 7 4" xfId="7661"/>
    <cellStyle name="Normal 2 3 3 7 4" xfId="7662"/>
    <cellStyle name="Normal 3 3 3 7 4" xfId="7663"/>
    <cellStyle name="Normal 4 2 3 7 4" xfId="7664"/>
    <cellStyle name="Normal 5 2 3 7 4" xfId="7665"/>
    <cellStyle name="Normal 7 2 3 7 4" xfId="7666"/>
    <cellStyle name="Normal 2 4 3 7 4" xfId="7667"/>
    <cellStyle name="Normal 3 4 3 7 4" xfId="7668"/>
    <cellStyle name="Normal 4 3 3 7 4" xfId="7669"/>
    <cellStyle name="Normal 5 3 3 7 4" xfId="7670"/>
    <cellStyle name="Normal 7 3 3 7 4" xfId="7671"/>
    <cellStyle name="Normal 2 7 6 4" xfId="7672"/>
    <cellStyle name="Normal 3 7 6 4" xfId="7673"/>
    <cellStyle name="Normal 4 6 6 4" xfId="7674"/>
    <cellStyle name="Normal 5 6 6 4" xfId="7675"/>
    <cellStyle name="Normal 7 6 6 4" xfId="7676"/>
    <cellStyle name="Normal 2 3 4 6 4" xfId="7677"/>
    <cellStyle name="Normal 3 3 4 6 4" xfId="7678"/>
    <cellStyle name="Normal 4 2 4 6 4" xfId="7679"/>
    <cellStyle name="Normal 5 2 4 6 4" xfId="7680"/>
    <cellStyle name="Normal 7 2 4 6 4" xfId="7681"/>
    <cellStyle name="Normal 2 4 4 6 4" xfId="7682"/>
    <cellStyle name="Normal 3 4 4 6 4" xfId="7683"/>
    <cellStyle name="Normal 4 3 4 6 4" xfId="7684"/>
    <cellStyle name="Normal 5 3 4 6 4" xfId="7685"/>
    <cellStyle name="Normal 7 3 4 6 4" xfId="7686"/>
    <cellStyle name="Normal 2 5 2 6 4" xfId="7687"/>
    <cellStyle name="Normal 3 5 2 6 4" xfId="7688"/>
    <cellStyle name="Normal 4 4 2 6 4" xfId="7689"/>
    <cellStyle name="Normal 5 4 2 6 4" xfId="7690"/>
    <cellStyle name="Normal 7 4 2 6 4" xfId="7691"/>
    <cellStyle name="Normal 2 3 2 2 6 4" xfId="7692"/>
    <cellStyle name="Normal 3 3 2 2 6 4" xfId="7693"/>
    <cellStyle name="Normal 4 2 2 2 6 4" xfId="7694"/>
    <cellStyle name="Normal 5 2 2 2 6 4" xfId="7695"/>
    <cellStyle name="Normal 7 2 2 2 6 4" xfId="7696"/>
    <cellStyle name="Normal 2 4 2 2 6 4" xfId="7697"/>
    <cellStyle name="Normal 3 4 2 2 6 4" xfId="7698"/>
    <cellStyle name="Normal 4 3 2 2 6 4" xfId="7699"/>
    <cellStyle name="Normal 5 3 2 2 6 4" xfId="7700"/>
    <cellStyle name="Normal 7 3 2 2 6 4" xfId="7701"/>
    <cellStyle name="Normal 2 6 2 6 4" xfId="7702"/>
    <cellStyle name="Normal 3 6 2 6 4" xfId="7703"/>
    <cellStyle name="Normal 4 5 2 6 4" xfId="7704"/>
    <cellStyle name="Normal 5 5 2 6 4" xfId="7705"/>
    <cellStyle name="Normal 7 5 2 6 4" xfId="7706"/>
    <cellStyle name="Normal 2 3 3 2 6 4" xfId="7707"/>
    <cellStyle name="Normal 3 3 3 2 6 4" xfId="7708"/>
    <cellStyle name="Normal 4 2 3 2 6 4" xfId="7709"/>
    <cellStyle name="Normal 5 2 3 2 6 4" xfId="7710"/>
    <cellStyle name="Normal 7 2 3 2 6 4" xfId="7711"/>
    <cellStyle name="Normal 2 4 3 2 6 4" xfId="7712"/>
    <cellStyle name="Normal 3 4 3 2 6 4" xfId="7713"/>
    <cellStyle name="Normal 4 3 3 2 6 4" xfId="7714"/>
    <cellStyle name="Normal 5 3 3 2 6 4" xfId="7715"/>
    <cellStyle name="Normal 7 3 3 2 6 4" xfId="7716"/>
    <cellStyle name="Normal 2 8 5 4" xfId="7717"/>
    <cellStyle name="Normal 3 8 5 4" xfId="7718"/>
    <cellStyle name="Normal 4 7 5 4" xfId="7719"/>
    <cellStyle name="Normal 5 7 5 4" xfId="7720"/>
    <cellStyle name="Normal 7 7 5 4" xfId="7721"/>
    <cellStyle name="Normal 2 3 5 5 4" xfId="7722"/>
    <cellStyle name="Normal 3 3 5 5 4" xfId="7723"/>
    <cellStyle name="Normal 4 2 5 5 4" xfId="7724"/>
    <cellStyle name="Normal 5 2 5 5 4" xfId="7725"/>
    <cellStyle name="Normal 7 2 5 5 4" xfId="7726"/>
    <cellStyle name="Normal 2 4 5 5 4" xfId="7727"/>
    <cellStyle name="Normal 3 4 5 5 4" xfId="7728"/>
    <cellStyle name="Normal 4 3 5 5 4" xfId="7729"/>
    <cellStyle name="Normal 5 3 5 5 4" xfId="7730"/>
    <cellStyle name="Normal 7 3 5 5 4" xfId="7731"/>
    <cellStyle name="Normal 2 5 3 5 4" xfId="7732"/>
    <cellStyle name="Normal 3 5 3 5 4" xfId="7733"/>
    <cellStyle name="Normal 4 4 3 5 4" xfId="7734"/>
    <cellStyle name="Normal 5 4 3 5 4" xfId="7735"/>
    <cellStyle name="Normal 7 4 3 5 4" xfId="7736"/>
    <cellStyle name="Normal 2 3 2 3 5 4" xfId="7737"/>
    <cellStyle name="Normal 3 3 2 3 5 4" xfId="7738"/>
    <cellStyle name="Normal 4 2 2 3 5 4" xfId="7739"/>
    <cellStyle name="Normal 5 2 2 3 5 4" xfId="7740"/>
    <cellStyle name="Normal 7 2 2 3 5 4" xfId="7741"/>
    <cellStyle name="Normal 2 4 2 3 5 4" xfId="7742"/>
    <cellStyle name="Normal 3 4 2 3 5 4" xfId="7743"/>
    <cellStyle name="Normal 4 3 2 3 5 4" xfId="7744"/>
    <cellStyle name="Normal 5 3 2 3 5 4" xfId="7745"/>
    <cellStyle name="Normal 7 3 2 3 5 4" xfId="7746"/>
    <cellStyle name="Normal 2 6 3 5 4" xfId="7747"/>
    <cellStyle name="Normal 3 6 3 5 4" xfId="7748"/>
    <cellStyle name="Normal 4 5 3 5 4" xfId="7749"/>
    <cellStyle name="Normal 5 5 3 5 4" xfId="7750"/>
    <cellStyle name="Normal 7 5 3 5 4" xfId="7751"/>
    <cellStyle name="Normal 2 3 3 3 5 4" xfId="7752"/>
    <cellStyle name="Normal 3 3 3 3 5 4" xfId="7753"/>
    <cellStyle name="Normal 4 2 3 3 5 4" xfId="7754"/>
    <cellStyle name="Normal 5 2 3 3 5 4" xfId="7755"/>
    <cellStyle name="Normal 7 2 3 3 5 4" xfId="7756"/>
    <cellStyle name="Normal 2 4 3 3 5 4" xfId="7757"/>
    <cellStyle name="Normal 3 4 3 3 5 4" xfId="7758"/>
    <cellStyle name="Normal 4 3 3 3 5 4" xfId="7759"/>
    <cellStyle name="Normal 5 3 3 3 5 4" xfId="7760"/>
    <cellStyle name="Normal 7 3 3 3 5 4" xfId="7761"/>
    <cellStyle name="Normal 2 7 2 5 4" xfId="7762"/>
    <cellStyle name="Normal 3 7 2 5 4" xfId="7763"/>
    <cellStyle name="Normal 4 6 2 5 4" xfId="7764"/>
    <cellStyle name="Normal 5 6 2 5 4" xfId="7765"/>
    <cellStyle name="Normal 7 6 2 5 4" xfId="7766"/>
    <cellStyle name="Normal 2 3 4 2 5 4" xfId="7767"/>
    <cellStyle name="Normal 3 3 4 2 5 4" xfId="7768"/>
    <cellStyle name="Normal 4 2 4 2 5 4" xfId="7769"/>
    <cellStyle name="Normal 5 2 4 2 5 4" xfId="7770"/>
    <cellStyle name="Normal 7 2 4 2 5 4" xfId="7771"/>
    <cellStyle name="Normal 2 4 4 2 5 4" xfId="7772"/>
    <cellStyle name="Normal 3 4 4 2 5 4" xfId="7773"/>
    <cellStyle name="Normal 4 3 4 2 5 4" xfId="7774"/>
    <cellStyle name="Normal 5 3 4 2 5 4" xfId="7775"/>
    <cellStyle name="Normal 7 3 4 2 5 4" xfId="7776"/>
    <cellStyle name="Normal 2 5 2 2 5 4" xfId="7777"/>
    <cellStyle name="Normal 3 5 2 2 5 4" xfId="7778"/>
    <cellStyle name="Normal 4 4 2 2 5 4" xfId="7779"/>
    <cellStyle name="Normal 5 4 2 2 5 4" xfId="7780"/>
    <cellStyle name="Normal 7 4 2 2 5 4" xfId="7781"/>
    <cellStyle name="Normal 2 3 2 2 2 5 4" xfId="7782"/>
    <cellStyle name="Normal 3 3 2 2 2 5 4" xfId="7783"/>
    <cellStyle name="Normal 4 2 2 2 2 5 4" xfId="7784"/>
    <cellStyle name="Normal 5 2 2 2 2 5 4" xfId="7785"/>
    <cellStyle name="Normal 7 2 2 2 2 5 4" xfId="7786"/>
    <cellStyle name="Normal 2 4 2 2 2 5 4" xfId="7787"/>
    <cellStyle name="Normal 3 4 2 2 2 5 4" xfId="7788"/>
    <cellStyle name="Normal 4 3 2 2 2 5 4" xfId="7789"/>
    <cellStyle name="Normal 5 3 2 2 2 5 4" xfId="7790"/>
    <cellStyle name="Normal 7 3 2 2 2 5 4" xfId="7791"/>
    <cellStyle name="Normal 2 6 2 2 5 4" xfId="7792"/>
    <cellStyle name="Normal 3 6 2 2 5 4" xfId="7793"/>
    <cellStyle name="Normal 4 5 2 2 5 4" xfId="7794"/>
    <cellStyle name="Normal 5 5 2 2 5 4" xfId="7795"/>
    <cellStyle name="Normal 7 5 2 2 5 4" xfId="7796"/>
    <cellStyle name="Normal 2 3 3 2 2 5 4" xfId="7797"/>
    <cellStyle name="Normal 3 3 3 2 2 5 4" xfId="7798"/>
    <cellStyle name="Normal 4 2 3 2 2 5 4" xfId="7799"/>
    <cellStyle name="Normal 5 2 3 2 2 5 4" xfId="7800"/>
    <cellStyle name="Normal 7 2 3 2 2 5 4" xfId="7801"/>
    <cellStyle name="Normal 2 4 3 2 2 5 4" xfId="7802"/>
    <cellStyle name="Normal 3 4 3 2 2 5 4" xfId="7803"/>
    <cellStyle name="Normal 4 3 3 2 2 5 4" xfId="7804"/>
    <cellStyle name="Normal 5 3 3 2 2 5 4" xfId="7805"/>
    <cellStyle name="Normal 7 3 3 2 2 5 4" xfId="7806"/>
    <cellStyle name="Normal 2 9 3 4" xfId="7807"/>
    <cellStyle name="Normal 3 9 3 4" xfId="7808"/>
    <cellStyle name="Normal 4 8 3 4" xfId="7809"/>
    <cellStyle name="Normal 5 8 3 4" xfId="7810"/>
    <cellStyle name="Normal 7 8 3 4" xfId="7811"/>
    <cellStyle name="Normal 2 3 6 3 4" xfId="7812"/>
    <cellStyle name="Normal 3 3 6 3 4" xfId="7813"/>
    <cellStyle name="Normal 4 2 6 3 4" xfId="7814"/>
    <cellStyle name="Normal 5 2 6 3 4" xfId="7815"/>
    <cellStyle name="Normal 7 2 6 3 4" xfId="7816"/>
    <cellStyle name="Normal 2 4 6 3 4" xfId="7817"/>
    <cellStyle name="Normal 3 4 6 3 4" xfId="7818"/>
    <cellStyle name="Normal 4 3 6 3 4" xfId="7819"/>
    <cellStyle name="Normal 5 3 6 3 4" xfId="7820"/>
    <cellStyle name="Normal 7 3 6 3 4" xfId="7821"/>
    <cellStyle name="Normal 2 5 4 3 4" xfId="7822"/>
    <cellStyle name="Normal 3 5 4 3 4" xfId="7823"/>
    <cellStyle name="Normal 4 4 4 3 4" xfId="7824"/>
    <cellStyle name="Normal 5 4 4 3 4" xfId="7825"/>
    <cellStyle name="Normal 7 4 4 3 4" xfId="7826"/>
    <cellStyle name="Normal 2 3 2 4 3 4" xfId="7827"/>
    <cellStyle name="Normal 3 3 2 4 3 4" xfId="7828"/>
    <cellStyle name="Normal 4 2 2 4 3 4" xfId="7829"/>
    <cellStyle name="Normal 5 2 2 4 3 4" xfId="7830"/>
    <cellStyle name="Normal 7 2 2 4 3 4" xfId="7831"/>
    <cellStyle name="Normal 2 4 2 4 3 4" xfId="7832"/>
    <cellStyle name="Normal 3 4 2 4 3 4" xfId="7833"/>
    <cellStyle name="Normal 4 3 2 4 3 4" xfId="7834"/>
    <cellStyle name="Normal 5 3 2 4 3 4" xfId="7835"/>
    <cellStyle name="Normal 7 3 2 4 3 4" xfId="7836"/>
    <cellStyle name="Normal 2 6 4 3 4" xfId="7837"/>
    <cellStyle name="Normal 3 6 4 3 4" xfId="7838"/>
    <cellStyle name="Normal 4 5 4 3 4" xfId="7839"/>
    <cellStyle name="Normal 5 5 4 3 4" xfId="7840"/>
    <cellStyle name="Normal 7 5 4 3 4" xfId="7841"/>
    <cellStyle name="Normal 2 3 3 4 3 4" xfId="7842"/>
    <cellStyle name="Normal 3 3 3 4 3 4" xfId="7843"/>
    <cellStyle name="Normal 4 2 3 4 3 4" xfId="7844"/>
    <cellStyle name="Normal 5 2 3 4 3 4" xfId="7845"/>
    <cellStyle name="Normal 7 2 3 4 3 4" xfId="7846"/>
    <cellStyle name="Normal 2 4 3 4 3 4" xfId="7847"/>
    <cellStyle name="Normal 3 4 3 4 3 4" xfId="7848"/>
    <cellStyle name="Normal 4 3 3 4 3 4" xfId="7849"/>
    <cellStyle name="Normal 5 3 3 4 3 4" xfId="7850"/>
    <cellStyle name="Normal 7 3 3 4 3 4" xfId="7851"/>
    <cellStyle name="Normal 2 7 3 3 4" xfId="7852"/>
    <cellStyle name="Normal 3 7 3 3 4" xfId="7853"/>
    <cellStyle name="Normal 4 6 3 3 4" xfId="7854"/>
    <cellStyle name="Normal 5 6 3 3 4" xfId="7855"/>
    <cellStyle name="Normal 7 6 3 3 4" xfId="7856"/>
    <cellStyle name="Normal 2 3 4 3 3 4" xfId="7857"/>
    <cellStyle name="Normal 3 3 4 3 3 4" xfId="7858"/>
    <cellStyle name="Normal 4 2 4 3 3 4" xfId="7859"/>
    <cellStyle name="Normal 5 2 4 3 3 4" xfId="7860"/>
    <cellStyle name="Normal 7 2 4 3 3 4" xfId="7861"/>
    <cellStyle name="Normal 2 4 4 3 3 4" xfId="7862"/>
    <cellStyle name="Normal 3 4 4 3 3 4" xfId="7863"/>
    <cellStyle name="Normal 4 3 4 3 3 4" xfId="7864"/>
    <cellStyle name="Normal 5 3 4 3 3 4" xfId="7865"/>
    <cellStyle name="Normal 7 3 4 3 3 4" xfId="7866"/>
    <cellStyle name="Normal 2 5 2 3 3 4" xfId="7867"/>
    <cellStyle name="Normal 3 5 2 3 3 4" xfId="7868"/>
    <cellStyle name="Normal 4 4 2 3 3 4" xfId="7869"/>
    <cellStyle name="Normal 5 4 2 3 3 4" xfId="7870"/>
    <cellStyle name="Normal 7 4 2 3 3 4" xfId="7871"/>
    <cellStyle name="Normal 2 3 2 2 3 3 4" xfId="7872"/>
    <cellStyle name="Normal 3 3 2 2 3 3 4" xfId="7873"/>
    <cellStyle name="Normal 4 2 2 2 3 3 4" xfId="7874"/>
    <cellStyle name="Normal 5 2 2 2 3 3 4" xfId="7875"/>
    <cellStyle name="Normal 7 2 2 2 3 3 4" xfId="7876"/>
    <cellStyle name="Normal 2 4 2 2 3 3 4" xfId="7877"/>
    <cellStyle name="Normal 3 4 2 2 3 3 4" xfId="7878"/>
    <cellStyle name="Normal 4 3 2 2 3 3 4" xfId="7879"/>
    <cellStyle name="Normal 5 3 2 2 3 3 4" xfId="7880"/>
    <cellStyle name="Normal 7 3 2 2 3 3 4" xfId="7881"/>
    <cellStyle name="Normal 2 6 2 3 3 4" xfId="7882"/>
    <cellStyle name="Normal 3 6 2 3 3 4" xfId="7883"/>
    <cellStyle name="Normal 4 5 2 3 3 4" xfId="7884"/>
    <cellStyle name="Normal 5 5 2 3 3 4" xfId="7885"/>
    <cellStyle name="Normal 7 5 2 3 3 4" xfId="7886"/>
    <cellStyle name="Normal 2 3 3 2 3 3 4" xfId="7887"/>
    <cellStyle name="Normal 3 3 3 2 3 3 4" xfId="7888"/>
    <cellStyle name="Normal 4 2 3 2 3 3 4" xfId="7889"/>
    <cellStyle name="Normal 5 2 3 2 3 3 4" xfId="7890"/>
    <cellStyle name="Normal 7 2 3 2 3 3 4" xfId="7891"/>
    <cellStyle name="Normal 2 4 3 2 3 3 4" xfId="7892"/>
    <cellStyle name="Normal 3 4 3 2 3 3 4" xfId="7893"/>
    <cellStyle name="Normal 4 3 3 2 3 3 4" xfId="7894"/>
    <cellStyle name="Normal 5 3 3 2 3 3 4" xfId="7895"/>
    <cellStyle name="Normal 7 3 3 2 3 3 4" xfId="7896"/>
    <cellStyle name="Normal 2 8 2 3 4" xfId="7897"/>
    <cellStyle name="Normal 3 8 2 3 4" xfId="7898"/>
    <cellStyle name="Normal 4 7 2 3 4" xfId="7899"/>
    <cellStyle name="Normal 5 7 2 3 4" xfId="7900"/>
    <cellStyle name="Normal 7 7 2 3 4" xfId="7901"/>
    <cellStyle name="Normal 2 3 5 2 3 4" xfId="7902"/>
    <cellStyle name="Normal 3 3 5 2 3 4" xfId="7903"/>
    <cellStyle name="Normal 4 2 5 2 3 4" xfId="7904"/>
    <cellStyle name="Normal 5 2 5 2 3 4" xfId="7905"/>
    <cellStyle name="Normal 7 2 5 2 3 4" xfId="7906"/>
    <cellStyle name="Normal 2 4 5 2 3 4" xfId="7907"/>
    <cellStyle name="Normal 3 4 5 2 3 4" xfId="7908"/>
    <cellStyle name="Normal 4 3 5 2 3 4" xfId="7909"/>
    <cellStyle name="Normal 5 3 5 2 3 4" xfId="7910"/>
    <cellStyle name="Normal 7 3 5 2 3 4" xfId="7911"/>
    <cellStyle name="Normal 2 5 3 2 3 4" xfId="7912"/>
    <cellStyle name="Normal 3 5 3 2 3 4" xfId="7913"/>
    <cellStyle name="Normal 4 4 3 2 3 4" xfId="7914"/>
    <cellStyle name="Normal 5 4 3 2 3 4" xfId="7915"/>
    <cellStyle name="Normal 7 4 3 2 3 4" xfId="7916"/>
    <cellStyle name="Normal 2 3 2 3 2 3 4" xfId="7917"/>
    <cellStyle name="Normal 3 3 2 3 2 3 4" xfId="7918"/>
    <cellStyle name="Normal 4 2 2 3 2 3 4" xfId="7919"/>
    <cellStyle name="Normal 5 2 2 3 2 3 4" xfId="7920"/>
    <cellStyle name="Normal 7 2 2 3 2 3 4" xfId="7921"/>
    <cellStyle name="Normal 2 4 2 3 2 3 4" xfId="7922"/>
    <cellStyle name="Normal 3 4 2 3 2 3 4" xfId="7923"/>
    <cellStyle name="Normal 4 3 2 3 2 3 4" xfId="7924"/>
    <cellStyle name="Normal 5 3 2 3 2 3 4" xfId="7925"/>
    <cellStyle name="Normal 7 3 2 3 2 3 4" xfId="7926"/>
    <cellStyle name="Normal 2 6 3 2 3 4" xfId="7927"/>
    <cellStyle name="Normal 3 6 3 2 3 4" xfId="7928"/>
    <cellStyle name="Normal 4 5 3 2 3 4" xfId="7929"/>
    <cellStyle name="Normal 5 5 3 2 3 4" xfId="7930"/>
    <cellStyle name="Normal 7 5 3 2 3 4" xfId="7931"/>
    <cellStyle name="Normal 2 3 3 3 2 3 4" xfId="7932"/>
    <cellStyle name="Normal 3 3 3 3 2 3 4" xfId="7933"/>
    <cellStyle name="Normal 4 2 3 3 2 3 4" xfId="7934"/>
    <cellStyle name="Normal 5 2 3 3 2 3 4" xfId="7935"/>
    <cellStyle name="Normal 7 2 3 3 2 3 4" xfId="7936"/>
    <cellStyle name="Normal 2 4 3 3 2 3 4" xfId="7937"/>
    <cellStyle name="Normal 3 4 3 3 2 3 4" xfId="7938"/>
    <cellStyle name="Normal 4 3 3 3 2 3 4" xfId="7939"/>
    <cellStyle name="Normal 5 3 3 3 2 3 4" xfId="7940"/>
    <cellStyle name="Normal 7 3 3 3 2 3 4" xfId="7941"/>
    <cellStyle name="Normal 2 7 2 2 3 4" xfId="7942"/>
    <cellStyle name="Normal 3 7 2 2 3 4" xfId="7943"/>
    <cellStyle name="Normal 4 6 2 2 3 4" xfId="7944"/>
    <cellStyle name="Normal 5 6 2 2 3 4" xfId="7945"/>
    <cellStyle name="Normal 7 6 2 2 3 4" xfId="7946"/>
    <cellStyle name="Normal 2 3 4 2 2 3 4" xfId="7947"/>
    <cellStyle name="Normal 3 3 4 2 2 3 4" xfId="7948"/>
    <cellStyle name="Normal 4 2 4 2 2 3 4" xfId="7949"/>
    <cellStyle name="Normal 5 2 4 2 2 3 4" xfId="7950"/>
    <cellStyle name="Normal 7 2 4 2 2 3 4" xfId="7951"/>
    <cellStyle name="Normal 2 4 4 2 2 3 4" xfId="7952"/>
    <cellStyle name="Normal 3 4 4 2 2 3 4" xfId="7953"/>
    <cellStyle name="Normal 4 3 4 2 2 3 4" xfId="7954"/>
    <cellStyle name="Normal 5 3 4 2 2 3 4" xfId="7955"/>
    <cellStyle name="Normal 7 3 4 2 2 3 4" xfId="7956"/>
    <cellStyle name="Normal 2 5 2 2 2 3 4" xfId="7957"/>
    <cellStyle name="Normal 3 5 2 2 2 3 4" xfId="7958"/>
    <cellStyle name="Normal 4 4 2 2 2 3 4" xfId="7959"/>
    <cellStyle name="Normal 5 4 2 2 2 3 4" xfId="7960"/>
    <cellStyle name="Normal 7 4 2 2 2 3 4" xfId="7961"/>
    <cellStyle name="Normal 2 3 2 2 2 2 3 4" xfId="7962"/>
    <cellStyle name="Normal 3 3 2 2 2 2 3 4" xfId="7963"/>
    <cellStyle name="Normal 4 2 2 2 2 2 3 4" xfId="7964"/>
    <cellStyle name="Normal 5 2 2 2 2 2 3 4" xfId="7965"/>
    <cellStyle name="Normal 7 2 2 2 2 2 3 4" xfId="7966"/>
    <cellStyle name="Normal 2 4 2 2 2 2 3 4" xfId="7967"/>
    <cellStyle name="Normal 3 4 2 2 2 2 3 4" xfId="7968"/>
    <cellStyle name="Normal 4 3 2 2 2 2 3 4" xfId="7969"/>
    <cellStyle name="Normal 5 3 2 2 2 2 3 4" xfId="7970"/>
    <cellStyle name="Normal 7 3 2 2 2 2 3 4" xfId="7971"/>
    <cellStyle name="Normal 2 6 2 2 2 3 4" xfId="7972"/>
    <cellStyle name="Normal 3 6 2 2 2 3 4" xfId="7973"/>
    <cellStyle name="Normal 4 5 2 2 2 3 4" xfId="7974"/>
    <cellStyle name="Normal 5 5 2 2 2 3 4" xfId="7975"/>
    <cellStyle name="Normal 7 5 2 2 2 3 4" xfId="7976"/>
    <cellStyle name="Normal 2 3 3 2 2 2 3 4" xfId="7977"/>
    <cellStyle name="Normal 3 3 3 2 2 2 3 4" xfId="7978"/>
    <cellStyle name="Normal 4 2 3 2 2 2 3 4" xfId="7979"/>
    <cellStyle name="Normal 5 2 3 2 2 2 3 4" xfId="7980"/>
    <cellStyle name="Normal 7 2 3 2 2 2 3 4" xfId="7981"/>
    <cellStyle name="Normal 2 4 3 2 2 2 3 4" xfId="7982"/>
    <cellStyle name="Normal 3 4 3 2 2 2 3 4" xfId="7983"/>
    <cellStyle name="Normal 4 3 3 2 2 2 3 4" xfId="7984"/>
    <cellStyle name="Normal 5 3 3 2 2 2 3 4" xfId="7985"/>
    <cellStyle name="Normal 7 3 3 2 2 2 3 4" xfId="7986"/>
    <cellStyle name="Normal 28 3 4" xfId="7987"/>
    <cellStyle name="Normal 2 3 7 3 4" xfId="7988"/>
    <cellStyle name="Normal 3 10 3 4" xfId="7989"/>
    <cellStyle name="Normal 4 9 3 4" xfId="7990"/>
    <cellStyle name="Normal 5 9 3 4" xfId="7991"/>
    <cellStyle name="Millares 4 3 4" xfId="7992"/>
    <cellStyle name="Normal 7 2 7 3 4" xfId="7993"/>
    <cellStyle name="Normal 3 3 7 3 4" xfId="7994"/>
    <cellStyle name="Normal 4 2 7 3 4" xfId="7995"/>
    <cellStyle name="Normal 5 2 7 3 4" xfId="7996"/>
    <cellStyle name="Normal 2 4 5 3 3 4" xfId="7997"/>
    <cellStyle name="Normal 3 4 7 3 4" xfId="7998"/>
    <cellStyle name="Normal 4 3 7 3 4" xfId="7999"/>
    <cellStyle name="Normal 5 3 7 3 4" xfId="8000"/>
    <cellStyle name="Normal 7 3 7 3 4" xfId="8001"/>
    <cellStyle name="Normal 2 5 5 3 4" xfId="8002"/>
    <cellStyle name="Normal 3 5 5 3 4" xfId="8003"/>
    <cellStyle name="Normal 4 4 5 3 4" xfId="8004"/>
    <cellStyle name="Normal 5 4 5 3 4" xfId="8005"/>
    <cellStyle name="Normal 7 4 5 3 4" xfId="8006"/>
    <cellStyle name="Normal 2 3 2 5 3 4" xfId="8007"/>
    <cellStyle name="Normal 3 3 2 5 3 4" xfId="8008"/>
    <cellStyle name="Normal 4 2 2 5 3 4" xfId="8009"/>
    <cellStyle name="Normal 5 2 2 5 3 4" xfId="8010"/>
    <cellStyle name="Normal 7 2 2 5 3 4" xfId="8011"/>
    <cellStyle name="Normal 2 4 2 5 3 4" xfId="8012"/>
    <cellStyle name="Normal 3 4 2 5 3 4" xfId="8013"/>
    <cellStyle name="Normal 4 3 2 5 3 4" xfId="8014"/>
    <cellStyle name="Normal 5 3 2 5 3 4" xfId="8015"/>
    <cellStyle name="Normal 7 3 2 5 3 4" xfId="8016"/>
    <cellStyle name="Normal 2 6 5 3 4" xfId="8017"/>
    <cellStyle name="Normal 3 6 5 3 4" xfId="8018"/>
    <cellStyle name="Normal 4 5 5 3 4" xfId="8019"/>
    <cellStyle name="Normal 5 5 5 3 4" xfId="8020"/>
    <cellStyle name="Normal 7 5 5 3 4" xfId="8021"/>
    <cellStyle name="Normal 2 3 3 5 3 4" xfId="8022"/>
    <cellStyle name="Normal 3 3 3 5 3 4" xfId="8023"/>
    <cellStyle name="Normal 4 2 3 5 3 4" xfId="8024"/>
    <cellStyle name="Normal 5 2 3 5 3 4" xfId="8025"/>
    <cellStyle name="Normal 7 2 3 5 3 4" xfId="8026"/>
    <cellStyle name="Normal 2 4 3 5 3 4" xfId="8027"/>
    <cellStyle name="Normal 3 4 3 5 3 4" xfId="8028"/>
    <cellStyle name="Normal 4 3 3 5 3 4" xfId="8029"/>
    <cellStyle name="Normal 5 3 3 5 3 4" xfId="8030"/>
    <cellStyle name="Normal 7 3 3 5 3 4" xfId="8031"/>
    <cellStyle name="Normal 2 7 4 3 4" xfId="8032"/>
    <cellStyle name="Normal 3 7 4 3 4" xfId="8033"/>
    <cellStyle name="Normal 4 6 4 3 4" xfId="8034"/>
    <cellStyle name="Normal 5 6 4 3 4" xfId="8035"/>
    <cellStyle name="Normal 7 6 4 3 4" xfId="8036"/>
    <cellStyle name="Normal 2 3 4 4 3 4" xfId="8037"/>
    <cellStyle name="Normal 3 3 4 4 3 4" xfId="8038"/>
    <cellStyle name="Normal 4 2 4 4 3 4" xfId="8039"/>
    <cellStyle name="Normal 5 2 4 4 3 4" xfId="8040"/>
    <cellStyle name="Normal 7 2 4 4 3 4" xfId="8041"/>
    <cellStyle name="Normal 2 4 4 4 3 4" xfId="8042"/>
    <cellStyle name="Normal 3 4 4 4 3 4" xfId="8043"/>
    <cellStyle name="Normal 4 3 4 4 3 4" xfId="8044"/>
    <cellStyle name="Normal 5 3 4 4 3 4" xfId="8045"/>
    <cellStyle name="Normal 7 3 4 4 3 4" xfId="8046"/>
    <cellStyle name="Normal 2 5 2 4 3 4" xfId="8047"/>
    <cellStyle name="Normal 3 5 2 4 3 4" xfId="8048"/>
    <cellStyle name="Normal 4 4 2 4 3 4" xfId="8049"/>
    <cellStyle name="Normal 5 4 2 4 3 4" xfId="8050"/>
    <cellStyle name="Normal 7 4 2 4 3 4" xfId="8051"/>
    <cellStyle name="Normal 2 3 2 2 4 3 4" xfId="8052"/>
    <cellStyle name="Normal 3 3 2 2 4 3 4" xfId="8053"/>
    <cellStyle name="Normal 4 2 2 2 4 3 4" xfId="8054"/>
    <cellStyle name="Normal 5 2 2 2 4 3 4" xfId="8055"/>
    <cellStyle name="Normal 7 2 2 2 4 3 4" xfId="8056"/>
    <cellStyle name="Normal 2 4 2 2 4 3 4" xfId="8057"/>
    <cellStyle name="Normal 3 4 2 2 4 3 4" xfId="8058"/>
    <cellStyle name="Normal 4 3 2 2 4 3 4" xfId="8059"/>
    <cellStyle name="Normal 5 3 2 2 4 3 4" xfId="8060"/>
    <cellStyle name="Normal 7 3 2 2 4 3 4" xfId="8061"/>
    <cellStyle name="Normal 2 6 2 4 3 4" xfId="8062"/>
    <cellStyle name="Normal 3 6 2 4 3 4" xfId="8063"/>
    <cellStyle name="Normal 4 5 2 4 3 4" xfId="8064"/>
    <cellStyle name="Normal 5 5 2 4 3 4" xfId="8065"/>
    <cellStyle name="Normal 7 5 2 4 3 4" xfId="8066"/>
    <cellStyle name="Normal 2 3 3 2 4 3 4" xfId="8067"/>
    <cellStyle name="Normal 3 3 3 2 4 3 4" xfId="8068"/>
    <cellStyle name="Normal 4 2 3 2 4 3 4" xfId="8069"/>
    <cellStyle name="Normal 5 2 3 2 4 3 4" xfId="8070"/>
    <cellStyle name="Normal 7 2 3 2 4 3 4" xfId="8071"/>
    <cellStyle name="Normal 2 4 3 2 4 3 4" xfId="8072"/>
    <cellStyle name="Normal 3 4 3 2 4 3 4" xfId="8073"/>
    <cellStyle name="Normal 4 3 3 2 4 3 4" xfId="8074"/>
    <cellStyle name="Normal 5 3 3 2 4 3 4" xfId="8075"/>
    <cellStyle name="Normal 7 3 3 2 4 3 4" xfId="8076"/>
    <cellStyle name="Normal 2 8 3 3 4" xfId="8077"/>
    <cellStyle name="Normal 3 8 3 3 4" xfId="8078"/>
    <cellStyle name="Normal 4 7 3 3 4" xfId="8079"/>
    <cellStyle name="Normal 5 7 3 3 4" xfId="8080"/>
    <cellStyle name="Normal 7 7 3 3 4" xfId="8081"/>
    <cellStyle name="Normal 2 3 5 3 3 4" xfId="8082"/>
    <cellStyle name="Normal 3 3 5 3 3 4" xfId="8083"/>
    <cellStyle name="Normal 4 2 5 3 3 4" xfId="8084"/>
    <cellStyle name="Normal 5 2 5 3 3 4" xfId="8085"/>
    <cellStyle name="Normal 7 2 5 3 3 4" xfId="8086"/>
    <cellStyle name="Normal 3 4 5 3 3 4" xfId="8087"/>
    <cellStyle name="Normal 4 3 5 3 3 4" xfId="8088"/>
    <cellStyle name="Normal 5 3 5 3 3 4" xfId="8089"/>
    <cellStyle name="Normal 7 3 5 3 3 4" xfId="8090"/>
    <cellStyle name="Normal 2 5 3 3 3 4" xfId="8091"/>
    <cellStyle name="Normal 3 5 3 3 3 4" xfId="8092"/>
    <cellStyle name="Normal 4 4 3 3 3 4" xfId="8093"/>
    <cellStyle name="Normal 5 4 3 3 3 4" xfId="8094"/>
    <cellStyle name="Normal 7 4 3 3 3 4" xfId="8095"/>
    <cellStyle name="Normal 2 3 2 3 3 3 4" xfId="8096"/>
    <cellStyle name="Normal 3 3 2 3 3 3 4" xfId="8097"/>
    <cellStyle name="Normal 4 2 2 3 3 3 4" xfId="8098"/>
    <cellStyle name="Normal 5 2 2 3 3 3 4" xfId="8099"/>
    <cellStyle name="Normal 7 2 2 3 3 3 4" xfId="8100"/>
    <cellStyle name="Normal 2 4 2 3 3 3 4" xfId="8101"/>
    <cellStyle name="Normal 3 4 2 3 3 3 4" xfId="8102"/>
    <cellStyle name="Normal 4 3 2 3 3 3 4" xfId="8103"/>
    <cellStyle name="Normal 5 3 2 3 3 3 4" xfId="8104"/>
    <cellStyle name="Normal 7 3 2 3 3 3 4" xfId="8105"/>
    <cellStyle name="Normal 2 6 3 3 3 4" xfId="8106"/>
    <cellStyle name="Normal 3 6 3 3 3 4" xfId="8107"/>
    <cellStyle name="Normal 4 5 3 3 3 4" xfId="8108"/>
    <cellStyle name="Normal 5 5 3 3 3 4" xfId="8109"/>
    <cellStyle name="Normal 7 5 3 3 3 4" xfId="8110"/>
    <cellStyle name="Normal 2 3 3 3 3 3 4" xfId="8111"/>
    <cellStyle name="Normal 3 3 3 3 3 3 4" xfId="8112"/>
    <cellStyle name="Normal 4 2 3 3 3 3 4" xfId="8113"/>
    <cellStyle name="Normal 5 2 3 3 3 3 4" xfId="8114"/>
    <cellStyle name="Normal 7 2 3 3 3 3 4" xfId="8115"/>
    <cellStyle name="Normal 2 4 3 3 3 3 4" xfId="8116"/>
    <cellStyle name="Normal 3 4 3 3 3 3 4" xfId="8117"/>
    <cellStyle name="Normal 4 3 3 3 3 3 4" xfId="8118"/>
    <cellStyle name="Normal 5 3 3 3 3 3 4" xfId="8119"/>
    <cellStyle name="Normal 7 3 3 3 3 3 4" xfId="8120"/>
    <cellStyle name="Normal 2 7 2 3 3 4" xfId="8121"/>
    <cellStyle name="Normal 3 7 2 3 3 4" xfId="8122"/>
    <cellStyle name="Normal 4 6 2 3 3 4" xfId="8123"/>
    <cellStyle name="Normal 5 6 2 3 3 4" xfId="8124"/>
    <cellStyle name="Normal 7 6 2 3 3 4" xfId="8125"/>
    <cellStyle name="Normal 2 3 4 2 3 3 4" xfId="8126"/>
    <cellStyle name="Normal 3 3 4 2 3 3 4" xfId="8127"/>
    <cellStyle name="Normal 4 2 4 2 3 3 4" xfId="8128"/>
    <cellStyle name="Normal 5 2 4 2 3 3 4" xfId="8129"/>
    <cellStyle name="Normal 7 2 4 2 3 3 4" xfId="8130"/>
    <cellStyle name="Normal 2 4 4 2 3 3 4" xfId="8131"/>
    <cellStyle name="Normal 3 4 4 2 3 3 4" xfId="8132"/>
    <cellStyle name="Normal 4 3 4 2 3 3 4" xfId="8133"/>
    <cellStyle name="Normal 5 3 4 2 3 3 4" xfId="8134"/>
    <cellStyle name="Normal 7 3 4 2 3 3 4" xfId="8135"/>
    <cellStyle name="Normal 2 5 2 2 3 3 4" xfId="8136"/>
    <cellStyle name="Normal 3 5 2 2 3 3 4" xfId="8137"/>
    <cellStyle name="Normal 4 4 2 2 3 3 4" xfId="8138"/>
    <cellStyle name="Normal 5 4 2 2 3 3 4" xfId="8139"/>
    <cellStyle name="Normal 7 4 2 2 3 3 4" xfId="8140"/>
    <cellStyle name="Normal 2 3 2 2 2 3 3 4" xfId="8141"/>
    <cellStyle name="Normal 3 3 2 2 2 3 3 4" xfId="8142"/>
    <cellStyle name="Normal 4 2 2 2 2 3 3 4" xfId="8143"/>
    <cellStyle name="Normal 5 2 2 2 2 3 3 4" xfId="8144"/>
    <cellStyle name="Normal 7 2 2 2 2 3 3 4" xfId="8145"/>
    <cellStyle name="Normal 2 4 2 2 2 3 3 4" xfId="8146"/>
    <cellStyle name="Normal 3 4 2 2 2 3 3 4" xfId="8147"/>
    <cellStyle name="Normal 4 3 2 2 2 3 3 4" xfId="8148"/>
    <cellStyle name="Normal 5 3 2 2 2 3 3 4" xfId="8149"/>
    <cellStyle name="Normal 7 3 2 2 2 3 3 4" xfId="8150"/>
    <cellStyle name="Normal 2 6 2 2 3 3 4" xfId="8151"/>
    <cellStyle name="Normal 3 6 2 2 3 3 4" xfId="8152"/>
    <cellStyle name="Normal 4 5 2 2 3 3 4" xfId="8153"/>
    <cellStyle name="Normal 5 5 2 2 3 3 4" xfId="8154"/>
    <cellStyle name="Normal 7 5 2 2 3 3 4" xfId="8155"/>
    <cellStyle name="Normal 2 3 3 2 2 3 3 4" xfId="8156"/>
    <cellStyle name="Normal 3 3 3 2 2 3 3 4" xfId="8157"/>
    <cellStyle name="Normal 4 2 3 2 2 3 3 4" xfId="8158"/>
    <cellStyle name="Normal 5 2 3 2 2 3 3 4" xfId="8159"/>
    <cellStyle name="Normal 7 2 3 2 2 3 3 4" xfId="8160"/>
    <cellStyle name="Normal 2 4 3 2 2 3 3 4" xfId="8161"/>
    <cellStyle name="Normal 3 4 3 2 2 3 3 4" xfId="8162"/>
    <cellStyle name="Normal 4 3 3 2 2 3 3 4" xfId="8163"/>
    <cellStyle name="Normal 5 3 3 2 2 3 3 4" xfId="8164"/>
    <cellStyle name="Normal 7 3 3 2 2 3 3 4" xfId="8165"/>
    <cellStyle name="Normal 2 13 3" xfId="8166"/>
    <cellStyle name="Normal 3 13 3" xfId="8167"/>
    <cellStyle name="Normal 4 12 3" xfId="8168"/>
    <cellStyle name="Normal 5 12 3" xfId="8169"/>
    <cellStyle name="Normal 7 12 3" xfId="8170"/>
    <cellStyle name="Normal 2 3 10 3" xfId="8171"/>
    <cellStyle name="Normal 3 3 10 3" xfId="8172"/>
    <cellStyle name="Normal 4 2 10 3" xfId="8173"/>
    <cellStyle name="Normal 5 2 10 3" xfId="8174"/>
    <cellStyle name="Normal 7 2 10 3" xfId="8175"/>
    <cellStyle name="Normal 2 4 10 3" xfId="8176"/>
    <cellStyle name="Normal 3 4 10 3" xfId="8177"/>
    <cellStyle name="Normal 4 3 10 3" xfId="8178"/>
    <cellStyle name="Normal 5 3 10 3" xfId="8179"/>
    <cellStyle name="Normal 7 3 10 3" xfId="8180"/>
    <cellStyle name="Normal 2 5 8 3" xfId="8181"/>
    <cellStyle name="Normal 3 5 8 3" xfId="8182"/>
    <cellStyle name="Normal 4 4 8 3" xfId="8183"/>
    <cellStyle name="Normal 5 4 8 3" xfId="8184"/>
    <cellStyle name="Normal 7 4 8 3" xfId="8185"/>
    <cellStyle name="Normal 2 3 2 8 3" xfId="8186"/>
    <cellStyle name="Normal 3 3 2 8 3" xfId="8187"/>
    <cellStyle name="Normal 4 2 2 8 3" xfId="8188"/>
    <cellStyle name="Normal 5 2 2 8 3" xfId="8189"/>
    <cellStyle name="Normal 7 2 2 8 3" xfId="8190"/>
    <cellStyle name="Normal 2 4 2 8 3" xfId="8191"/>
    <cellStyle name="Normal 3 4 2 8 3" xfId="8192"/>
    <cellStyle name="Normal 4 3 2 8 3" xfId="8193"/>
    <cellStyle name="Normal 5 3 2 8 3" xfId="8194"/>
    <cellStyle name="Normal 7 3 2 8 3" xfId="8195"/>
    <cellStyle name="Normal 2 6 8 3" xfId="8196"/>
    <cellStyle name="Normal 3 6 8 3" xfId="8197"/>
    <cellStyle name="Normal 4 5 8 3" xfId="8198"/>
    <cellStyle name="Normal 5 5 8 3" xfId="8199"/>
    <cellStyle name="Normal 7 5 8 3" xfId="8200"/>
    <cellStyle name="Normal 2 3 3 8 3" xfId="8201"/>
    <cellStyle name="Normal 3 3 3 8 3" xfId="8202"/>
    <cellStyle name="Normal 4 2 3 8 3" xfId="8203"/>
    <cellStyle name="Normal 5 2 3 8 3" xfId="8204"/>
    <cellStyle name="Normal 7 2 3 8 3" xfId="8205"/>
    <cellStyle name="Normal 2 4 3 8 3" xfId="8206"/>
    <cellStyle name="Normal 3 4 3 8 3" xfId="8207"/>
    <cellStyle name="Normal 4 3 3 8 3" xfId="8208"/>
    <cellStyle name="Normal 5 3 3 8 3" xfId="8209"/>
    <cellStyle name="Normal 7 3 3 8 3" xfId="8210"/>
    <cellStyle name="Normal 2 7 7 3" xfId="8211"/>
    <cellStyle name="Normal 3 7 7 3" xfId="8212"/>
    <cellStyle name="Normal 4 6 7 3" xfId="8213"/>
    <cellStyle name="Normal 5 6 7 3" xfId="8214"/>
    <cellStyle name="Normal 7 6 7 3" xfId="8215"/>
    <cellStyle name="Normal 2 3 4 7 3" xfId="8216"/>
    <cellStyle name="Normal 3 3 4 7 3" xfId="8217"/>
    <cellStyle name="Normal 4 2 4 7 3" xfId="8218"/>
    <cellStyle name="Normal 5 2 4 7 3" xfId="8219"/>
    <cellStyle name="Normal 7 2 4 7 3" xfId="8220"/>
    <cellStyle name="Normal 2 4 4 7 3" xfId="8221"/>
    <cellStyle name="Normal 3 4 4 7 3" xfId="8222"/>
    <cellStyle name="Normal 4 3 4 7 3" xfId="8223"/>
    <cellStyle name="Normal 5 3 4 7 3" xfId="8224"/>
    <cellStyle name="Normal 7 3 4 7 3" xfId="8225"/>
    <cellStyle name="Normal 2 5 2 7 3" xfId="8226"/>
    <cellStyle name="Normal 3 5 2 7 3" xfId="8227"/>
    <cellStyle name="Normal 4 4 2 7 3" xfId="8228"/>
    <cellStyle name="Normal 5 4 2 7 3" xfId="8229"/>
    <cellStyle name="Normal 7 4 2 7 3" xfId="8230"/>
    <cellStyle name="Normal 2 3 2 2 7 3" xfId="8231"/>
    <cellStyle name="Normal 3 3 2 2 7 3" xfId="8232"/>
    <cellStyle name="Normal 4 2 2 2 7 3" xfId="8233"/>
    <cellStyle name="Normal 5 2 2 2 7 3" xfId="8234"/>
    <cellStyle name="Normal 7 2 2 2 7 3" xfId="8235"/>
    <cellStyle name="Normal 2 4 2 2 7 3" xfId="8236"/>
    <cellStyle name="Normal 3 4 2 2 7 3" xfId="8237"/>
    <cellStyle name="Normal 4 3 2 2 7 3" xfId="8238"/>
    <cellStyle name="Normal 5 3 2 2 7 3" xfId="8239"/>
    <cellStyle name="Normal 7 3 2 2 7 3" xfId="8240"/>
    <cellStyle name="Normal 2 6 2 7 3" xfId="8241"/>
    <cellStyle name="Normal 3 6 2 7 3" xfId="8242"/>
    <cellStyle name="Normal 4 5 2 7 3" xfId="8243"/>
    <cellStyle name="Normal 5 5 2 7 3" xfId="8244"/>
    <cellStyle name="Normal 7 5 2 7 3" xfId="8245"/>
    <cellStyle name="Normal 2 3 3 2 7 3" xfId="8246"/>
    <cellStyle name="Normal 3 3 3 2 7 3" xfId="8247"/>
    <cellStyle name="Normal 4 2 3 2 7 3" xfId="8248"/>
    <cellStyle name="Normal 5 2 3 2 7 3" xfId="8249"/>
    <cellStyle name="Normal 7 2 3 2 7 3" xfId="8250"/>
    <cellStyle name="Normal 2 4 3 2 7 3" xfId="8251"/>
    <cellStyle name="Normal 3 4 3 2 7 3" xfId="8252"/>
    <cellStyle name="Normal 4 3 3 2 7 3" xfId="8253"/>
    <cellStyle name="Normal 5 3 3 2 7 3" xfId="8254"/>
    <cellStyle name="Normal 7 3 3 2 7 3" xfId="8255"/>
    <cellStyle name="Normal 2 8 6 3" xfId="8256"/>
    <cellStyle name="Normal 3 8 6 3" xfId="8257"/>
    <cellStyle name="Normal 4 7 6 3" xfId="8258"/>
    <cellStyle name="Normal 5 7 6 3" xfId="8259"/>
    <cellStyle name="Normal 7 7 6 3" xfId="8260"/>
    <cellStyle name="Normal 2 3 5 6 3" xfId="8261"/>
    <cellStyle name="Normal 3 3 5 6 3" xfId="8262"/>
    <cellStyle name="Normal 4 2 5 6 3" xfId="8263"/>
    <cellStyle name="Normal 5 2 5 6 3" xfId="8264"/>
    <cellStyle name="Normal 7 2 5 6 3" xfId="8265"/>
    <cellStyle name="Normal 2 4 5 6 3" xfId="8266"/>
    <cellStyle name="Normal 3 4 5 6 3" xfId="8267"/>
    <cellStyle name="Normal 4 3 5 6 3" xfId="8268"/>
    <cellStyle name="Normal 5 3 5 6 3" xfId="8269"/>
    <cellStyle name="Normal 7 3 5 6 3" xfId="8270"/>
    <cellStyle name="Normal 2 5 3 6 3" xfId="8271"/>
    <cellStyle name="Normal 3 5 3 6 3" xfId="8272"/>
    <cellStyle name="Normal 4 4 3 6 3" xfId="8273"/>
    <cellStyle name="Normal 5 4 3 6 3" xfId="8274"/>
    <cellStyle name="Normal 7 4 3 6 3" xfId="8275"/>
    <cellStyle name="Normal 2 3 2 3 6 3" xfId="8276"/>
    <cellStyle name="Normal 3 3 2 3 6 3" xfId="8277"/>
    <cellStyle name="Normal 4 2 2 3 6 3" xfId="8278"/>
    <cellStyle name="Normal 5 2 2 3 6 3" xfId="8279"/>
    <cellStyle name="Normal 7 2 2 3 6 3" xfId="8280"/>
    <cellStyle name="Normal 2 4 2 3 6 3" xfId="8281"/>
    <cellStyle name="Normal 3 4 2 3 6 3" xfId="8282"/>
    <cellStyle name="Normal 4 3 2 3 6 3" xfId="8283"/>
    <cellStyle name="Normal 5 3 2 3 6 3" xfId="8284"/>
    <cellStyle name="Normal 7 3 2 3 6 3" xfId="8285"/>
    <cellStyle name="Normal 2 6 3 6 3" xfId="8286"/>
    <cellStyle name="Normal 3 6 3 6 3" xfId="8287"/>
    <cellStyle name="Normal 4 5 3 6 3" xfId="8288"/>
    <cellStyle name="Normal 5 5 3 6 3" xfId="8289"/>
    <cellStyle name="Normal 7 5 3 6 3" xfId="8290"/>
    <cellStyle name="Normal 2 3 3 3 6 3" xfId="8291"/>
    <cellStyle name="Normal 3 3 3 3 6 3" xfId="8292"/>
    <cellStyle name="Normal 4 2 3 3 6 3" xfId="8293"/>
    <cellStyle name="Normal 5 2 3 3 6 3" xfId="8294"/>
    <cellStyle name="Normal 7 2 3 3 6 3" xfId="8295"/>
    <cellStyle name="Normal 2 4 3 3 6 3" xfId="8296"/>
    <cellStyle name="Normal 3 4 3 3 6 3" xfId="8297"/>
    <cellStyle name="Normal 4 3 3 3 6 3" xfId="8298"/>
    <cellStyle name="Normal 5 3 3 3 6 3" xfId="8299"/>
    <cellStyle name="Normal 7 3 3 3 6 3" xfId="8300"/>
    <cellStyle name="Normal 2 7 2 6 3" xfId="8301"/>
    <cellStyle name="Normal 3 7 2 6 3" xfId="8302"/>
    <cellStyle name="Normal 4 6 2 6 3" xfId="8303"/>
    <cellStyle name="Normal 5 6 2 6 3" xfId="8304"/>
    <cellStyle name="Normal 7 6 2 6 3" xfId="8305"/>
    <cellStyle name="Normal 2 3 4 2 6 3" xfId="8306"/>
    <cellStyle name="Normal 3 3 4 2 6 3" xfId="8307"/>
    <cellStyle name="Normal 4 2 4 2 6 3" xfId="8308"/>
    <cellStyle name="Normal 5 2 4 2 6 3" xfId="8309"/>
    <cellStyle name="Normal 7 2 4 2 6 3" xfId="8310"/>
    <cellStyle name="Normal 2 4 4 2 6 3" xfId="8311"/>
    <cellStyle name="Normal 3 4 4 2 6 3" xfId="8312"/>
    <cellStyle name="Normal 4 3 4 2 6 3" xfId="8313"/>
    <cellStyle name="Normal 5 3 4 2 6 3" xfId="8314"/>
    <cellStyle name="Normal 7 3 4 2 6 3" xfId="8315"/>
    <cellStyle name="Normal 2 5 2 2 6 3" xfId="8316"/>
    <cellStyle name="Normal 3 5 2 2 6 3" xfId="8317"/>
    <cellStyle name="Normal 4 4 2 2 6 3" xfId="8318"/>
    <cellStyle name="Normal 5 4 2 2 6 3" xfId="8319"/>
    <cellStyle name="Normal 7 4 2 2 6 3" xfId="8320"/>
    <cellStyle name="Normal 2 3 2 2 2 6 3" xfId="8321"/>
    <cellStyle name="Normal 3 3 2 2 2 6 3" xfId="8322"/>
    <cellStyle name="Normal 4 2 2 2 2 6 3" xfId="8323"/>
    <cellStyle name="Normal 5 2 2 2 2 6 3" xfId="8324"/>
    <cellStyle name="Normal 7 2 2 2 2 6 3" xfId="8325"/>
    <cellStyle name="Normal 2 4 2 2 2 6 3" xfId="8326"/>
    <cellStyle name="Normal 3 4 2 2 2 6 3" xfId="8327"/>
    <cellStyle name="Normal 4 3 2 2 2 6 3" xfId="8328"/>
    <cellStyle name="Normal 5 3 2 2 2 6 3" xfId="8329"/>
    <cellStyle name="Normal 7 3 2 2 2 6 3" xfId="8330"/>
    <cellStyle name="Normal 2 6 2 2 6 3" xfId="8331"/>
    <cellStyle name="Normal 3 6 2 2 6 3" xfId="8332"/>
    <cellStyle name="Normal 4 5 2 2 6 3" xfId="8333"/>
    <cellStyle name="Normal 5 5 2 2 6 3" xfId="8334"/>
    <cellStyle name="Normal 7 5 2 2 6 3" xfId="8335"/>
    <cellStyle name="Normal 2 3 3 2 2 6 3" xfId="8336"/>
    <cellStyle name="Normal 3 3 3 2 2 6 3" xfId="8337"/>
    <cellStyle name="Normal 4 2 3 2 2 6 3" xfId="8338"/>
    <cellStyle name="Normal 5 2 3 2 2 6 3" xfId="8339"/>
    <cellStyle name="Normal 7 2 3 2 2 6 3" xfId="8340"/>
    <cellStyle name="Normal 2 4 3 2 2 6 3" xfId="8341"/>
    <cellStyle name="Normal 3 4 3 2 2 6 3" xfId="8342"/>
    <cellStyle name="Normal 4 3 3 2 2 6 3" xfId="8343"/>
    <cellStyle name="Normal 5 3 3 2 2 6 3" xfId="8344"/>
    <cellStyle name="Normal 7 3 3 2 2 6 3" xfId="8345"/>
    <cellStyle name="Normal 2 9 4 3" xfId="8346"/>
    <cellStyle name="Normal 3 9 4 3" xfId="8347"/>
    <cellStyle name="Normal 4 8 4 3" xfId="8348"/>
    <cellStyle name="Normal 5 8 4 3" xfId="8349"/>
    <cellStyle name="Normal 7 8 4 3" xfId="8350"/>
    <cellStyle name="Normal 2 3 6 4 3" xfId="8351"/>
    <cellStyle name="Normal 3 3 6 4 3" xfId="8352"/>
    <cellStyle name="Normal 4 2 6 4 3" xfId="8353"/>
    <cellStyle name="Normal 5 2 6 4 3" xfId="8354"/>
    <cellStyle name="Normal 7 2 6 4 3" xfId="8355"/>
    <cellStyle name="Normal 2 4 6 4 3" xfId="8356"/>
    <cellStyle name="Normal 3 4 6 4 3" xfId="8357"/>
    <cellStyle name="Normal 4 3 6 4 3" xfId="8358"/>
    <cellStyle name="Normal 5 3 6 4 3" xfId="8359"/>
    <cellStyle name="Normal 7 3 6 4 3" xfId="8360"/>
    <cellStyle name="Normal 2 5 4 4 3" xfId="8361"/>
    <cellStyle name="Normal 3 5 4 4 3" xfId="8362"/>
    <cellStyle name="Normal 4 4 4 4 3" xfId="8363"/>
    <cellStyle name="Normal 5 4 4 4 3" xfId="8364"/>
    <cellStyle name="Normal 7 4 4 4 3" xfId="8365"/>
    <cellStyle name="Normal 2 3 2 4 4 3" xfId="8366"/>
    <cellStyle name="Normal 3 3 2 4 4 3" xfId="8367"/>
    <cellStyle name="Normal 4 2 2 4 4 3" xfId="8368"/>
    <cellStyle name="Normal 5 2 2 4 4 3" xfId="8369"/>
    <cellStyle name="Normal 7 2 2 4 4 3" xfId="8370"/>
    <cellStyle name="Normal 2 4 2 4 4 3" xfId="8371"/>
    <cellStyle name="Normal 3 4 2 4 4 3" xfId="8372"/>
    <cellStyle name="Normal 4 3 2 4 4 3" xfId="8373"/>
    <cellStyle name="Normal 5 3 2 4 4 3" xfId="8374"/>
    <cellStyle name="Normal 7 3 2 4 4 3" xfId="8375"/>
    <cellStyle name="Normal 2 6 4 4 3" xfId="8376"/>
    <cellStyle name="Normal 3 6 4 4 3" xfId="8377"/>
    <cellStyle name="Normal 4 5 4 4 3" xfId="8378"/>
    <cellStyle name="Normal 5 5 4 4 3" xfId="8379"/>
    <cellStyle name="Normal 7 5 4 4 3" xfId="8380"/>
    <cellStyle name="Normal 2 3 3 4 4 3" xfId="8381"/>
    <cellStyle name="Normal 3 3 3 4 4 3" xfId="8382"/>
    <cellStyle name="Normal 4 2 3 4 4 3" xfId="8383"/>
    <cellStyle name="Normal 5 2 3 4 4 3" xfId="8384"/>
    <cellStyle name="Normal 7 2 3 4 4 3" xfId="8385"/>
    <cellStyle name="Normal 2 4 3 4 4 3" xfId="8386"/>
    <cellStyle name="Normal 3 4 3 4 4 3" xfId="8387"/>
    <cellStyle name="Normal 4 3 3 4 4 3" xfId="8388"/>
    <cellStyle name="Normal 5 3 3 4 4 3" xfId="8389"/>
    <cellStyle name="Normal 7 3 3 4 4 3" xfId="8390"/>
    <cellStyle name="Normal 2 7 3 4 3" xfId="8391"/>
    <cellStyle name="Normal 3 7 3 4 3" xfId="8392"/>
    <cellStyle name="Normal 4 6 3 4 3" xfId="8393"/>
    <cellStyle name="Normal 5 6 3 4 3" xfId="8394"/>
    <cellStyle name="Normal 7 6 3 4 3" xfId="8395"/>
    <cellStyle name="Normal 2 3 4 3 4 3" xfId="8396"/>
    <cellStyle name="Normal 3 3 4 3 4 3" xfId="8397"/>
    <cellStyle name="Normal 4 2 4 3 4 3" xfId="8398"/>
    <cellStyle name="Normal 5 2 4 3 4 3" xfId="8399"/>
    <cellStyle name="Normal 7 2 4 3 4 3" xfId="8400"/>
    <cellStyle name="Normal 2 4 4 3 4 3" xfId="8401"/>
    <cellStyle name="Normal 3 4 4 3 4 3" xfId="8402"/>
    <cellStyle name="Normal 4 3 4 3 4 3" xfId="8403"/>
    <cellStyle name="Normal 5 3 4 3 4 3" xfId="8404"/>
    <cellStyle name="Normal 7 3 4 3 4 3" xfId="8405"/>
    <cellStyle name="Normal 2 5 2 3 4 3" xfId="8406"/>
    <cellStyle name="Normal 3 5 2 3 4 3" xfId="8407"/>
    <cellStyle name="Normal 4 4 2 3 4 3" xfId="8408"/>
    <cellStyle name="Normal 5 4 2 3 4 3" xfId="8409"/>
    <cellStyle name="Normal 7 4 2 3 4 3" xfId="8410"/>
    <cellStyle name="Normal 2 3 2 2 3 4 3" xfId="8411"/>
    <cellStyle name="Normal 3 3 2 2 3 4 3" xfId="8412"/>
    <cellStyle name="Normal 4 2 2 2 3 4 3" xfId="8413"/>
    <cellStyle name="Normal 5 2 2 2 3 4 3" xfId="8414"/>
    <cellStyle name="Normal 7 2 2 2 3 4 3" xfId="8415"/>
    <cellStyle name="Normal 2 4 2 2 3 4 3" xfId="8416"/>
    <cellStyle name="Normal 3 4 2 2 3 4 3" xfId="8417"/>
    <cellStyle name="Normal 4 3 2 2 3 4 3" xfId="8418"/>
    <cellStyle name="Normal 5 3 2 2 3 4 3" xfId="8419"/>
    <cellStyle name="Normal 7 3 2 2 3 4 3" xfId="8420"/>
    <cellStyle name="Normal 2 6 2 3 4 3" xfId="8421"/>
    <cellStyle name="Normal 3 6 2 3 4 3" xfId="8422"/>
    <cellStyle name="Normal 4 5 2 3 4 3" xfId="8423"/>
    <cellStyle name="Normal 5 5 2 3 4 3" xfId="8424"/>
    <cellStyle name="Normal 7 5 2 3 4 3" xfId="8425"/>
    <cellStyle name="Normal 2 3 3 2 3 4 3" xfId="8426"/>
    <cellStyle name="Normal 3 3 3 2 3 4 3" xfId="8427"/>
    <cellStyle name="Normal 4 2 3 2 3 4 3" xfId="8428"/>
    <cellStyle name="Normal 5 2 3 2 3 4 3" xfId="8429"/>
    <cellStyle name="Normal 7 2 3 2 3 4 3" xfId="8430"/>
    <cellStyle name="Normal 2 4 3 2 3 4 3" xfId="8431"/>
    <cellStyle name="Normal 3 4 3 2 3 4 3" xfId="8432"/>
    <cellStyle name="Normal 4 3 3 2 3 4 3" xfId="8433"/>
    <cellStyle name="Normal 5 3 3 2 3 4 3" xfId="8434"/>
    <cellStyle name="Normal 7 3 3 2 3 4 3" xfId="8435"/>
    <cellStyle name="Normal 2 8 2 4 3" xfId="8436"/>
    <cellStyle name="Normal 3 8 2 4 3" xfId="8437"/>
    <cellStyle name="Normal 4 7 2 4 3" xfId="8438"/>
    <cellStyle name="Normal 5 7 2 4 3" xfId="8439"/>
    <cellStyle name="Normal 7 7 2 4 3" xfId="8440"/>
    <cellStyle name="Normal 2 3 5 2 4 3" xfId="8441"/>
    <cellStyle name="Normal 3 3 5 2 4 3" xfId="8442"/>
    <cellStyle name="Normal 4 2 5 2 4 3" xfId="8443"/>
    <cellStyle name="Normal 5 2 5 2 4 3" xfId="8444"/>
    <cellStyle name="Normal 7 2 5 2 4 3" xfId="8445"/>
    <cellStyle name="Normal 2 4 5 2 4 3" xfId="8446"/>
    <cellStyle name="Normal 3 4 5 2 4 3" xfId="8447"/>
    <cellStyle name="Normal 4 3 5 2 4 3" xfId="8448"/>
    <cellStyle name="Normal 5 3 5 2 4 3" xfId="8449"/>
    <cellStyle name="Normal 7 3 5 2 4 3" xfId="8450"/>
    <cellStyle name="Normal 2 5 3 2 4 3" xfId="8451"/>
    <cellStyle name="Normal 3 5 3 2 4 3" xfId="8452"/>
    <cellStyle name="Normal 4 4 3 2 4 3" xfId="8453"/>
    <cellStyle name="Normal 5 4 3 2 4 3" xfId="8454"/>
    <cellStyle name="Normal 7 4 3 2 4 3" xfId="8455"/>
    <cellStyle name="Normal 2 3 2 3 2 4 3" xfId="8456"/>
    <cellStyle name="Normal 3 3 2 3 2 4 3" xfId="8457"/>
    <cellStyle name="Normal 4 2 2 3 2 4 3" xfId="8458"/>
    <cellStyle name="Normal 5 2 2 3 2 4 3" xfId="8459"/>
    <cellStyle name="Normal 7 2 2 3 2 4 3" xfId="8460"/>
    <cellStyle name="Normal 2 4 2 3 2 4 3" xfId="8461"/>
    <cellStyle name="Normal 3 4 2 3 2 4 3" xfId="8462"/>
    <cellStyle name="Normal 4 3 2 3 2 4 3" xfId="8463"/>
    <cellStyle name="Normal 5 3 2 3 2 4 3" xfId="8464"/>
    <cellStyle name="Normal 7 3 2 3 2 4 3" xfId="8465"/>
    <cellStyle name="Normal 2 6 3 2 4 3" xfId="8466"/>
    <cellStyle name="Normal 3 6 3 2 4 3" xfId="8467"/>
    <cellStyle name="Normal 4 5 3 2 4 3" xfId="8468"/>
    <cellStyle name="Normal 5 5 3 2 4 3" xfId="8469"/>
    <cellStyle name="Normal 7 5 3 2 4 3" xfId="8470"/>
    <cellStyle name="Normal 2 3 3 3 2 4 3" xfId="8471"/>
    <cellStyle name="Normal 3 3 3 3 2 4 3" xfId="8472"/>
    <cellStyle name="Normal 4 2 3 3 2 4 3" xfId="8473"/>
    <cellStyle name="Normal 5 2 3 3 2 4 3" xfId="8474"/>
    <cellStyle name="Normal 7 2 3 3 2 4 3" xfId="8475"/>
    <cellStyle name="Normal 2 4 3 3 2 4 3" xfId="8476"/>
    <cellStyle name="Normal 3 4 3 3 2 4 3" xfId="8477"/>
    <cellStyle name="Normal 4 3 3 3 2 4 3" xfId="8478"/>
    <cellStyle name="Normal 5 3 3 3 2 4 3" xfId="8479"/>
    <cellStyle name="Normal 7 3 3 3 2 4 3" xfId="8480"/>
    <cellStyle name="Normal 2 7 2 2 4 3" xfId="8481"/>
    <cellStyle name="Normal 3 7 2 2 4 3" xfId="8482"/>
    <cellStyle name="Normal 4 6 2 2 4 3" xfId="8483"/>
    <cellStyle name="Normal 5 6 2 2 4 3" xfId="8484"/>
    <cellStyle name="Normal 7 6 2 2 4 3" xfId="8485"/>
    <cellStyle name="Normal 2 3 4 2 2 4 3" xfId="8486"/>
    <cellStyle name="Normal 3 3 4 2 2 4 3" xfId="8487"/>
    <cellStyle name="Normal 4 2 4 2 2 4 3" xfId="8488"/>
    <cellStyle name="Normal 5 2 4 2 2 4 3" xfId="8489"/>
    <cellStyle name="Normal 7 2 4 2 2 4 3" xfId="8490"/>
    <cellStyle name="Normal 2 4 4 2 2 4 3" xfId="8491"/>
    <cellStyle name="Normal 3 4 4 2 2 4 3" xfId="8492"/>
    <cellStyle name="Normal 4 3 4 2 2 4 3" xfId="8493"/>
    <cellStyle name="Normal 5 3 4 2 2 4 3" xfId="8494"/>
    <cellStyle name="Normal 7 3 4 2 2 4 3" xfId="8495"/>
    <cellStyle name="Normal 2 5 2 2 2 4 3" xfId="8496"/>
    <cellStyle name="Normal 3 5 2 2 2 4 3" xfId="8497"/>
    <cellStyle name="Normal 4 4 2 2 2 4 3" xfId="8498"/>
    <cellStyle name="Normal 5 4 2 2 2 4 3" xfId="8499"/>
    <cellStyle name="Normal 7 4 2 2 2 4 3" xfId="8500"/>
    <cellStyle name="Normal 2 3 2 2 2 2 4 3" xfId="8501"/>
    <cellStyle name="Normal 3 3 2 2 2 2 4 3" xfId="8502"/>
    <cellStyle name="Normal 4 2 2 2 2 2 4 3" xfId="8503"/>
    <cellStyle name="Normal 5 2 2 2 2 2 4 3" xfId="8504"/>
    <cellStyle name="Normal 7 2 2 2 2 2 4 3" xfId="8505"/>
    <cellStyle name="Normal 2 4 2 2 2 2 4 3" xfId="8506"/>
    <cellStyle name="Normal 3 4 2 2 2 2 4 3" xfId="8507"/>
    <cellStyle name="Normal 4 3 2 2 2 2 4 3" xfId="8508"/>
    <cellStyle name="Normal 5 3 2 2 2 2 4 3" xfId="8509"/>
    <cellStyle name="Normal 7 3 2 2 2 2 4 3" xfId="8510"/>
    <cellStyle name="Normal 2 6 2 2 2 4 3" xfId="8511"/>
    <cellStyle name="Normal 3 6 2 2 2 4 3" xfId="8512"/>
    <cellStyle name="Normal 4 5 2 2 2 4 3" xfId="8513"/>
    <cellStyle name="Normal 5 5 2 2 2 4 3" xfId="8514"/>
    <cellStyle name="Normal 7 5 2 2 2 4 3" xfId="8515"/>
    <cellStyle name="Normal 2 3 3 2 2 2 4 3" xfId="8516"/>
    <cellStyle name="Normal 3 3 3 2 2 2 4 3" xfId="8517"/>
    <cellStyle name="Normal 4 2 3 2 2 2 4 3" xfId="8518"/>
    <cellStyle name="Normal 5 2 3 2 2 2 4 3" xfId="8519"/>
    <cellStyle name="Normal 7 2 3 2 2 2 4 3" xfId="8520"/>
    <cellStyle name="Normal 2 4 3 2 2 2 4 3" xfId="8521"/>
    <cellStyle name="Normal 3 4 3 2 2 2 4 3" xfId="8522"/>
    <cellStyle name="Normal 4 3 3 2 2 2 4 3" xfId="8523"/>
    <cellStyle name="Normal 5 3 3 2 2 2 4 3" xfId="8524"/>
    <cellStyle name="Normal 7 3 3 2 2 2 4 3" xfId="8525"/>
    <cellStyle name="Normal 28 4 3" xfId="8526"/>
    <cellStyle name="Normal 2 3 7 4 3" xfId="8527"/>
    <cellStyle name="Normal 3 10 4 3" xfId="8528"/>
    <cellStyle name="Normal 4 9 4 3" xfId="8529"/>
    <cellStyle name="Normal 5 9 4 3" xfId="8530"/>
    <cellStyle name="Millares 4 4 3" xfId="8531"/>
    <cellStyle name="Normal 7 2 7 4 3" xfId="8532"/>
    <cellStyle name="Normal 3 3 7 4 3" xfId="8533"/>
    <cellStyle name="Normal 4 2 7 4 3" xfId="8534"/>
    <cellStyle name="Normal 5 2 7 4 3" xfId="8535"/>
    <cellStyle name="Normal 2 4 5 3 4 3" xfId="8536"/>
    <cellStyle name="Normal 3 4 7 4 3" xfId="8537"/>
    <cellStyle name="Normal 4 3 7 4 3" xfId="8538"/>
    <cellStyle name="Normal 5 3 7 4 3" xfId="8539"/>
    <cellStyle name="Normal 7 3 7 4 3" xfId="8540"/>
    <cellStyle name="Normal 2 5 5 4 3" xfId="8541"/>
    <cellStyle name="Normal 3 5 5 4 3" xfId="8542"/>
    <cellStyle name="Normal 4 4 5 4 3" xfId="8543"/>
    <cellStyle name="Normal 5 4 5 4 3" xfId="8544"/>
    <cellStyle name="Normal 7 4 5 4 3" xfId="8545"/>
    <cellStyle name="Normal 2 3 2 5 4 3" xfId="8546"/>
    <cellStyle name="Normal 3 3 2 5 4 3" xfId="8547"/>
    <cellStyle name="Normal 4 2 2 5 4 3" xfId="8548"/>
    <cellStyle name="Normal 5 2 2 5 4 3" xfId="8549"/>
    <cellStyle name="Normal 7 2 2 5 4 3" xfId="8550"/>
    <cellStyle name="Normal 2 4 2 5 4 3" xfId="8551"/>
    <cellStyle name="Normal 3 4 2 5 4 3" xfId="8552"/>
    <cellStyle name="Normal 4 3 2 5 4 3" xfId="8553"/>
    <cellStyle name="Normal 5 3 2 5 4 3" xfId="8554"/>
    <cellStyle name="Normal 7 3 2 5 4 3" xfId="8555"/>
    <cellStyle name="Normal 2 6 5 4 3" xfId="8556"/>
    <cellStyle name="Normal 3 6 5 4 3" xfId="8557"/>
    <cellStyle name="Normal 4 5 5 4 3" xfId="8558"/>
    <cellStyle name="Normal 5 5 5 4 3" xfId="8559"/>
    <cellStyle name="Normal 7 5 5 4 3" xfId="8560"/>
    <cellStyle name="Normal 2 3 3 5 4 3" xfId="8561"/>
    <cellStyle name="Normal 3 3 3 5 4 3" xfId="8562"/>
    <cellStyle name="Normal 4 2 3 5 4 3" xfId="8563"/>
    <cellStyle name="Normal 5 2 3 5 4 3" xfId="8564"/>
    <cellStyle name="Normal 7 2 3 5 4 3" xfId="8565"/>
    <cellStyle name="Normal 2 4 3 5 4 3" xfId="8566"/>
    <cellStyle name="Normal 3 4 3 5 4 3" xfId="8567"/>
    <cellStyle name="Normal 4 3 3 5 4 3" xfId="8568"/>
    <cellStyle name="Normal 5 3 3 5 4 3" xfId="8569"/>
    <cellStyle name="Normal 7 3 3 5 4 3" xfId="8570"/>
    <cellStyle name="Normal 2 7 4 4 3" xfId="8571"/>
    <cellStyle name="Normal 3 7 4 4 3" xfId="8572"/>
    <cellStyle name="Normal 4 6 4 4 3" xfId="8573"/>
    <cellStyle name="Normal 5 6 4 4 3" xfId="8574"/>
    <cellStyle name="Normal 7 6 4 4 3" xfId="8575"/>
    <cellStyle name="Normal 2 3 4 4 4 3" xfId="8576"/>
    <cellStyle name="Normal 3 3 4 4 4 3" xfId="8577"/>
    <cellStyle name="Normal 4 2 4 4 4 3" xfId="8578"/>
    <cellStyle name="Normal 5 2 4 4 4 3" xfId="8579"/>
    <cellStyle name="Normal 7 2 4 4 4 3" xfId="8580"/>
    <cellStyle name="Normal 2 4 4 4 4 3" xfId="8581"/>
    <cellStyle name="Normal 3 4 4 4 4 3" xfId="8582"/>
    <cellStyle name="Normal 4 3 4 4 4 3" xfId="8583"/>
    <cellStyle name="Normal 5 3 4 4 4 3" xfId="8584"/>
    <cellStyle name="Normal 7 3 4 4 4 3" xfId="8585"/>
    <cellStyle name="Normal 2 5 2 4 4 3" xfId="8586"/>
    <cellStyle name="Normal 3 5 2 4 4 3" xfId="8587"/>
    <cellStyle name="Normal 4 4 2 4 4 3" xfId="8588"/>
    <cellStyle name="Normal 5 4 2 4 4 3" xfId="8589"/>
    <cellStyle name="Normal 7 4 2 4 4 3" xfId="8590"/>
    <cellStyle name="Normal 2 3 2 2 4 4 3" xfId="8591"/>
    <cellStyle name="Normal 3 3 2 2 4 4 3" xfId="8592"/>
    <cellStyle name="Normal 4 2 2 2 4 4 3" xfId="8593"/>
    <cellStyle name="Normal 5 2 2 2 4 4 3" xfId="8594"/>
    <cellStyle name="Normal 7 2 2 2 4 4 3" xfId="8595"/>
    <cellStyle name="Normal 2 4 2 2 4 4 3" xfId="8596"/>
    <cellStyle name="Normal 3 4 2 2 4 4 3" xfId="8597"/>
    <cellStyle name="Normal 4 3 2 2 4 4 3" xfId="8598"/>
    <cellStyle name="Normal 5 3 2 2 4 4 3" xfId="8599"/>
    <cellStyle name="Normal 7 3 2 2 4 4 3" xfId="8600"/>
    <cellStyle name="Normal 2 6 2 4 4 3" xfId="8601"/>
    <cellStyle name="Normal 3 6 2 4 4 3" xfId="8602"/>
    <cellStyle name="Normal 4 5 2 4 4 3" xfId="8603"/>
    <cellStyle name="Normal 5 5 2 4 4 3" xfId="8604"/>
    <cellStyle name="Normal 7 5 2 4 4 3" xfId="8605"/>
    <cellStyle name="Normal 2 3 3 2 4 4 3" xfId="8606"/>
    <cellStyle name="Normal 3 3 3 2 4 4 3" xfId="8607"/>
    <cellStyle name="Normal 4 2 3 2 4 4 3" xfId="8608"/>
    <cellStyle name="Normal 5 2 3 2 4 4 3" xfId="8609"/>
    <cellStyle name="Normal 7 2 3 2 4 4 3" xfId="8610"/>
    <cellStyle name="Normal 2 4 3 2 4 4 3" xfId="8611"/>
    <cellStyle name="Normal 3 4 3 2 4 4 3" xfId="8612"/>
    <cellStyle name="Normal 4 3 3 2 4 4 3" xfId="8613"/>
    <cellStyle name="Normal 5 3 3 2 4 4 3" xfId="8614"/>
    <cellStyle name="Normal 7 3 3 2 4 4 3" xfId="8615"/>
    <cellStyle name="Normal 2 8 3 4 3" xfId="8616"/>
    <cellStyle name="Normal 3 8 3 4 3" xfId="8617"/>
    <cellStyle name="Normal 4 7 3 4 3" xfId="8618"/>
    <cellStyle name="Normal 5 7 3 4 3" xfId="8619"/>
    <cellStyle name="Normal 7 7 3 4 3" xfId="8620"/>
    <cellStyle name="Normal 2 3 5 3 4 3" xfId="8621"/>
    <cellStyle name="Normal 3 3 5 3 4 3" xfId="8622"/>
    <cellStyle name="Normal 4 2 5 3 4 3" xfId="8623"/>
    <cellStyle name="Normal 5 2 5 3 4 3" xfId="8624"/>
    <cellStyle name="Normal 7 2 5 3 4 3" xfId="8625"/>
    <cellStyle name="Normal 3 4 5 3 4 3" xfId="8626"/>
    <cellStyle name="Normal 4 3 5 3 4 3" xfId="8627"/>
    <cellStyle name="Normal 5 3 5 3 4 3" xfId="8628"/>
    <cellStyle name="Normal 7 3 5 3 4 3" xfId="8629"/>
    <cellStyle name="Normal 2 5 3 3 4 3" xfId="8630"/>
    <cellStyle name="Normal 3 5 3 3 4 3" xfId="8631"/>
    <cellStyle name="Normal 4 4 3 3 4 3" xfId="8632"/>
    <cellStyle name="Normal 5 4 3 3 4 3" xfId="8633"/>
    <cellStyle name="Normal 7 4 3 3 4 3" xfId="8634"/>
    <cellStyle name="Normal 2 3 2 3 3 4 3" xfId="8635"/>
    <cellStyle name="Normal 3 3 2 3 3 4 3" xfId="8636"/>
    <cellStyle name="Normal 4 2 2 3 3 4 3" xfId="8637"/>
    <cellStyle name="Normal 5 2 2 3 3 4 3" xfId="8638"/>
    <cellStyle name="Normal 7 2 2 3 3 4 3" xfId="8639"/>
    <cellStyle name="Normal 2 4 2 3 3 4 3" xfId="8640"/>
    <cellStyle name="Normal 3 4 2 3 3 4 3" xfId="8641"/>
    <cellStyle name="Normal 4 3 2 3 3 4 3" xfId="8642"/>
    <cellStyle name="Normal 5 3 2 3 3 4 3" xfId="8643"/>
    <cellStyle name="Normal 7 3 2 3 3 4 3" xfId="8644"/>
    <cellStyle name="Normal 2 6 3 3 4 3" xfId="8645"/>
    <cellStyle name="Normal 3 6 3 3 4 3" xfId="8646"/>
    <cellStyle name="Normal 4 5 3 3 4 3" xfId="8647"/>
    <cellStyle name="Normal 5 5 3 3 4 3" xfId="8648"/>
    <cellStyle name="Normal 7 5 3 3 4 3" xfId="8649"/>
    <cellStyle name="Normal 2 3 3 3 3 4 3" xfId="8650"/>
    <cellStyle name="Normal 3 3 3 3 3 4 3" xfId="8651"/>
    <cellStyle name="Normal 4 2 3 3 3 4 3" xfId="8652"/>
    <cellStyle name="Normal 5 2 3 3 3 4 3" xfId="8653"/>
    <cellStyle name="Normal 7 2 3 3 3 4 3" xfId="8654"/>
    <cellStyle name="Normal 2 4 3 3 3 4 3" xfId="8655"/>
    <cellStyle name="Normal 3 4 3 3 3 4 3" xfId="8656"/>
    <cellStyle name="Normal 4 3 3 3 3 4 3" xfId="8657"/>
    <cellStyle name="Normal 5 3 3 3 3 4 3" xfId="8658"/>
    <cellStyle name="Normal 7 3 3 3 3 4 3" xfId="8659"/>
    <cellStyle name="Normal 2 7 2 3 4 3" xfId="8660"/>
    <cellStyle name="Normal 3 7 2 3 4 3" xfId="8661"/>
    <cellStyle name="Normal 4 6 2 3 4 3" xfId="8662"/>
    <cellStyle name="Normal 5 6 2 3 4 3" xfId="8663"/>
    <cellStyle name="Normal 7 6 2 3 4 3" xfId="8664"/>
    <cellStyle name="Normal 2 3 4 2 3 4 3" xfId="8665"/>
    <cellStyle name="Normal 3 3 4 2 3 4 3" xfId="8666"/>
    <cellStyle name="Normal 4 2 4 2 3 4 3" xfId="8667"/>
    <cellStyle name="Normal 5 2 4 2 3 4 3" xfId="8668"/>
    <cellStyle name="Normal 7 2 4 2 3 4 3" xfId="8669"/>
    <cellStyle name="Normal 2 4 4 2 3 4 3" xfId="8670"/>
    <cellStyle name="Normal 3 4 4 2 3 4 3" xfId="8671"/>
    <cellStyle name="Normal 4 3 4 2 3 4 3" xfId="8672"/>
    <cellStyle name="Normal 5 3 4 2 3 4 3" xfId="8673"/>
    <cellStyle name="Normal 7 3 4 2 3 4 3" xfId="8674"/>
    <cellStyle name="Normal 2 5 2 2 3 4 3" xfId="8675"/>
    <cellStyle name="Normal 3 5 2 2 3 4 3" xfId="8676"/>
    <cellStyle name="Normal 4 4 2 2 3 4 3" xfId="8677"/>
    <cellStyle name="Normal 5 4 2 2 3 4 3" xfId="8678"/>
    <cellStyle name="Normal 7 4 2 2 3 4 3" xfId="8679"/>
    <cellStyle name="Normal 2 3 2 2 2 3 4 3" xfId="8680"/>
    <cellStyle name="Normal 3 3 2 2 2 3 4 3" xfId="8681"/>
    <cellStyle name="Normal 4 2 2 2 2 3 4 3" xfId="8682"/>
    <cellStyle name="Normal 5 2 2 2 2 3 4 3" xfId="8683"/>
    <cellStyle name="Normal 7 2 2 2 2 3 4 3" xfId="8684"/>
    <cellStyle name="Normal 2 4 2 2 2 3 4 3" xfId="8685"/>
    <cellStyle name="Normal 3 4 2 2 2 3 4 3" xfId="8686"/>
    <cellStyle name="Normal 4 3 2 2 2 3 4 3" xfId="8687"/>
    <cellStyle name="Normal 5 3 2 2 2 3 4 3" xfId="8688"/>
    <cellStyle name="Normal 7 3 2 2 2 3 4 3" xfId="8689"/>
    <cellStyle name="Normal 2 6 2 2 3 4 3" xfId="8690"/>
    <cellStyle name="Normal 3 6 2 2 3 4 3" xfId="8691"/>
    <cellStyle name="Normal 4 5 2 2 3 4 3" xfId="8692"/>
    <cellStyle name="Normal 5 5 2 2 3 4 3" xfId="8693"/>
    <cellStyle name="Normal 7 5 2 2 3 4 3" xfId="8694"/>
    <cellStyle name="Normal 2 3 3 2 2 3 4 3" xfId="8695"/>
    <cellStyle name="Normal 3 3 3 2 2 3 4 3" xfId="8696"/>
    <cellStyle name="Normal 4 2 3 2 2 3 4 3" xfId="8697"/>
    <cellStyle name="Normal 5 2 3 2 2 3 4 3" xfId="8698"/>
    <cellStyle name="Normal 7 2 3 2 2 3 4 3" xfId="8699"/>
    <cellStyle name="Normal 2 4 3 2 2 3 4 3" xfId="8700"/>
    <cellStyle name="Normal 3 4 3 2 2 3 4 3" xfId="8701"/>
    <cellStyle name="Normal 4 3 3 2 2 3 4 3" xfId="8702"/>
    <cellStyle name="Normal 5 3 3 2 2 3 4 3" xfId="8703"/>
    <cellStyle name="Normal 7 3 3 2 2 3 4 3" xfId="8704"/>
    <cellStyle name="Normal 2 11 2 3" xfId="8705"/>
    <cellStyle name="Normal 3 11 2 3" xfId="8706"/>
    <cellStyle name="Normal 4 10 2 3" xfId="8707"/>
    <cellStyle name="Normal 5 10 2 3" xfId="8708"/>
    <cellStyle name="Normal 7 10 2 3" xfId="8709"/>
    <cellStyle name="Normal 2 3 8 2 3" xfId="8710"/>
    <cellStyle name="Normal 3 3 8 2 3" xfId="8711"/>
    <cellStyle name="Normal 4 2 8 2 3" xfId="8712"/>
    <cellStyle name="Normal 5 2 8 2 3" xfId="8713"/>
    <cellStyle name="Normal 7 2 8 2 3" xfId="8714"/>
    <cellStyle name="Normal 2 4 8 2 3" xfId="8715"/>
    <cellStyle name="Normal 3 4 8 2 3" xfId="8716"/>
    <cellStyle name="Normal 4 3 8 2 3" xfId="8717"/>
    <cellStyle name="Normal 5 3 8 2 3" xfId="8718"/>
    <cellStyle name="Normal 7 3 8 2 3" xfId="8719"/>
    <cellStyle name="Normal 2 5 6 2 3" xfId="8720"/>
    <cellStyle name="Normal 3 5 6 2 3" xfId="8721"/>
    <cellStyle name="Normal 4 4 6 2 3" xfId="8722"/>
    <cellStyle name="Normal 5 4 6 2 3" xfId="8723"/>
    <cellStyle name="Normal 7 4 6 2 3" xfId="8724"/>
    <cellStyle name="Normal 2 3 2 6 2 3" xfId="8725"/>
    <cellStyle name="Normal 3 3 2 6 2 3" xfId="8726"/>
    <cellStyle name="Normal 4 2 2 6 2 3" xfId="8727"/>
    <cellStyle name="Normal 5 2 2 6 2 3" xfId="8728"/>
    <cellStyle name="Normal 7 2 2 6 2 3" xfId="8729"/>
    <cellStyle name="Normal 2 4 2 6 2 3" xfId="8730"/>
    <cellStyle name="Normal 3 4 2 6 2 3" xfId="8731"/>
    <cellStyle name="Normal 4 3 2 6 2 3" xfId="8732"/>
    <cellStyle name="Normal 5 3 2 6 2 3" xfId="8733"/>
    <cellStyle name="Normal 7 3 2 6 2 3" xfId="8734"/>
    <cellStyle name="Normal 2 6 6 2 3" xfId="8735"/>
    <cellStyle name="Normal 3 6 6 2 3" xfId="8736"/>
    <cellStyle name="Normal 4 5 6 2 3" xfId="8737"/>
    <cellStyle name="Normal 5 5 6 2 3" xfId="8738"/>
    <cellStyle name="Normal 7 5 6 2 3" xfId="8739"/>
    <cellStyle name="Normal 2 3 3 6 2 3" xfId="8740"/>
    <cellStyle name="Normal 3 3 3 6 2 3" xfId="8741"/>
    <cellStyle name="Normal 4 2 3 6 2 3" xfId="8742"/>
    <cellStyle name="Normal 5 2 3 6 2 3" xfId="8743"/>
    <cellStyle name="Normal 7 2 3 6 2 3" xfId="8744"/>
    <cellStyle name="Normal 2 4 3 6 2 3" xfId="8745"/>
    <cellStyle name="Normal 3 4 3 6 2 3" xfId="8746"/>
    <cellStyle name="Normal 4 3 3 6 2 3" xfId="8747"/>
    <cellStyle name="Normal 5 3 3 6 2 3" xfId="8748"/>
    <cellStyle name="Normal 7 3 3 6 2 3" xfId="8749"/>
    <cellStyle name="Normal 2 7 5 2 3" xfId="8750"/>
    <cellStyle name="Normal 3 7 5 2 3" xfId="8751"/>
    <cellStyle name="Normal 4 6 5 2 3" xfId="8752"/>
    <cellStyle name="Normal 5 6 5 2 3" xfId="8753"/>
    <cellStyle name="Normal 7 6 5 2 3" xfId="8754"/>
    <cellStyle name="Normal 2 3 4 5 2 3" xfId="8755"/>
    <cellStyle name="Normal 3 3 4 5 2 3" xfId="8756"/>
    <cellStyle name="Normal 4 2 4 5 2 3" xfId="8757"/>
    <cellStyle name="Normal 5 2 4 5 2 3" xfId="8758"/>
    <cellStyle name="Normal 7 2 4 5 2 3" xfId="8759"/>
    <cellStyle name="Normal 2 4 4 5 2 3" xfId="8760"/>
    <cellStyle name="Normal 3 4 4 5 2 3" xfId="8761"/>
    <cellStyle name="Normal 4 3 4 5 2 3" xfId="8762"/>
    <cellStyle name="Normal 5 3 4 5 2 3" xfId="8763"/>
    <cellStyle name="Normal 7 3 4 5 2 3" xfId="8764"/>
    <cellStyle name="Normal 2 5 2 5 2 3" xfId="8765"/>
    <cellStyle name="Normal 3 5 2 5 2 3" xfId="8766"/>
    <cellStyle name="Normal 4 4 2 5 2 3" xfId="8767"/>
    <cellStyle name="Normal 5 4 2 5 2 3" xfId="8768"/>
    <cellStyle name="Normal 7 4 2 5 2 3" xfId="8769"/>
    <cellStyle name="Normal 2 3 2 2 5 2 3" xfId="8770"/>
    <cellStyle name="Normal 3 3 2 2 5 2 3" xfId="8771"/>
    <cellStyle name="Normal 4 2 2 2 5 2 3" xfId="8772"/>
    <cellStyle name="Normal 5 2 2 2 5 2 3" xfId="8773"/>
    <cellStyle name="Normal 7 2 2 2 5 2 3" xfId="8774"/>
    <cellStyle name="Normal 2 4 2 2 5 2 3" xfId="8775"/>
    <cellStyle name="Normal 3 4 2 2 5 2 3" xfId="8776"/>
    <cellStyle name="Normal 4 3 2 2 5 2 3" xfId="8777"/>
    <cellStyle name="Normal 5 3 2 2 5 2 3" xfId="8778"/>
    <cellStyle name="Normal 7 3 2 2 5 2 3" xfId="8779"/>
    <cellStyle name="Normal 2 6 2 5 2 3" xfId="8780"/>
    <cellStyle name="Normal 3 6 2 5 2 3" xfId="8781"/>
    <cellStyle name="Normal 4 5 2 5 2 3" xfId="8782"/>
    <cellStyle name="Normal 5 5 2 5 2 3" xfId="8783"/>
    <cellStyle name="Normal 7 5 2 5 2 3" xfId="8784"/>
    <cellStyle name="Normal 2 3 3 2 5 2 3" xfId="8785"/>
    <cellStyle name="Normal 3 3 3 2 5 2 3" xfId="8786"/>
    <cellStyle name="Normal 4 2 3 2 5 2 3" xfId="8787"/>
    <cellStyle name="Normal 5 2 3 2 5 2 3" xfId="8788"/>
    <cellStyle name="Normal 7 2 3 2 5 2 3" xfId="8789"/>
    <cellStyle name="Normal 2 4 3 2 5 2 3" xfId="8790"/>
    <cellStyle name="Normal 3 4 3 2 5 2 3" xfId="8791"/>
    <cellStyle name="Normal 4 3 3 2 5 2 3" xfId="8792"/>
    <cellStyle name="Normal 5 3 3 2 5 2 3" xfId="8793"/>
    <cellStyle name="Normal 7 3 3 2 5 2 3" xfId="8794"/>
    <cellStyle name="Normal 2 8 4 2 3" xfId="8795"/>
    <cellStyle name="Normal 3 8 4 2 3" xfId="8796"/>
    <cellStyle name="Normal 4 7 4 2 3" xfId="8797"/>
    <cellStyle name="Normal 5 7 4 2 3" xfId="8798"/>
    <cellStyle name="Normal 7 7 4 2 3" xfId="8799"/>
    <cellStyle name="Normal 2 3 5 4 2 3" xfId="8800"/>
    <cellStyle name="Normal 3 3 5 4 2 3" xfId="8801"/>
    <cellStyle name="Normal 4 2 5 4 2 3" xfId="8802"/>
    <cellStyle name="Normal 5 2 5 4 2 3" xfId="8803"/>
    <cellStyle name="Normal 7 2 5 4 2 3" xfId="8804"/>
    <cellStyle name="Normal 2 4 5 4 2 3" xfId="8805"/>
    <cellStyle name="Normal 3 4 5 4 2 3" xfId="8806"/>
    <cellStyle name="Normal 4 3 5 4 2 3" xfId="8807"/>
    <cellStyle name="Normal 5 3 5 4 2 3" xfId="8808"/>
    <cellStyle name="Normal 7 3 5 4 2 3" xfId="8809"/>
    <cellStyle name="Normal 2 5 3 4 2 3" xfId="8810"/>
    <cellStyle name="Normal 3 5 3 4 2 3" xfId="8811"/>
    <cellStyle name="Normal 4 4 3 4 2 3" xfId="8812"/>
    <cellStyle name="Normal 5 4 3 4 2 3" xfId="8813"/>
    <cellStyle name="Normal 7 4 3 4 2 3" xfId="8814"/>
    <cellStyle name="Normal 2 3 2 3 4 2 3" xfId="8815"/>
    <cellStyle name="Normal 3 3 2 3 4 2 3" xfId="8816"/>
    <cellStyle name="Normal 4 2 2 3 4 2 3" xfId="8817"/>
    <cellStyle name="Normal 5 2 2 3 4 2 3" xfId="8818"/>
    <cellStyle name="Normal 7 2 2 3 4 2 3" xfId="8819"/>
    <cellStyle name="Normal 2 4 2 3 4 2 3" xfId="8820"/>
    <cellStyle name="Normal 3 4 2 3 4 2 3" xfId="8821"/>
    <cellStyle name="Normal 4 3 2 3 4 2 3" xfId="8822"/>
    <cellStyle name="Normal 5 3 2 3 4 2 3" xfId="8823"/>
    <cellStyle name="Normal 7 3 2 3 4 2 3" xfId="8824"/>
    <cellStyle name="Normal 2 6 3 4 2 3" xfId="8825"/>
    <cellStyle name="Normal 3 6 3 4 2 3" xfId="8826"/>
    <cellStyle name="Normal 4 5 3 4 2 3" xfId="8827"/>
    <cellStyle name="Normal 5 5 3 4 2 3" xfId="8828"/>
    <cellStyle name="Normal 7 5 3 4 2 3" xfId="8829"/>
    <cellStyle name="Normal 2 3 3 3 4 2 3" xfId="8830"/>
    <cellStyle name="Normal 3 3 3 3 4 2 3" xfId="8831"/>
    <cellStyle name="Normal 4 2 3 3 4 2 3" xfId="8832"/>
    <cellStyle name="Normal 5 2 3 3 4 2 3" xfId="8833"/>
    <cellStyle name="Normal 7 2 3 3 4 2 3" xfId="8834"/>
    <cellStyle name="Normal 2 4 3 3 4 2 3" xfId="8835"/>
    <cellStyle name="Normal 3 4 3 3 4 2 3" xfId="8836"/>
    <cellStyle name="Normal 4 3 3 3 4 2 3" xfId="8837"/>
    <cellStyle name="Normal 5 3 3 3 4 2 3" xfId="8838"/>
    <cellStyle name="Normal 7 3 3 3 4 2 3" xfId="8839"/>
    <cellStyle name="Normal 2 7 2 4 2 3" xfId="8840"/>
    <cellStyle name="Normal 3 7 2 4 2 3" xfId="8841"/>
    <cellStyle name="Normal 4 6 2 4 2 3" xfId="8842"/>
    <cellStyle name="Normal 5 6 2 4 2 3" xfId="8843"/>
    <cellStyle name="Normal 7 6 2 4 2 3" xfId="8844"/>
    <cellStyle name="Normal 2 3 4 2 4 2 3" xfId="8845"/>
    <cellStyle name="Normal 3 3 4 2 4 2 3" xfId="8846"/>
    <cellStyle name="Normal 4 2 4 2 4 2 3" xfId="8847"/>
    <cellStyle name="Normal 5 2 4 2 4 2 3" xfId="8848"/>
    <cellStyle name="Normal 7 2 4 2 4 2 3" xfId="8849"/>
    <cellStyle name="Normal 2 4 4 2 4 2 3" xfId="8850"/>
    <cellStyle name="Normal 3 4 4 2 4 2 3" xfId="8851"/>
    <cellStyle name="Normal 4 3 4 2 4 2 3" xfId="8852"/>
    <cellStyle name="Normal 5 3 4 2 4 2 3" xfId="8853"/>
    <cellStyle name="Normal 7 3 4 2 4 2 3" xfId="8854"/>
    <cellStyle name="Normal 2 5 2 2 4 2 3" xfId="8855"/>
    <cellStyle name="Normal 3 5 2 2 4 2 3" xfId="8856"/>
    <cellStyle name="Normal 4 4 2 2 4 2 3" xfId="8857"/>
    <cellStyle name="Normal 5 4 2 2 4 2 3" xfId="8858"/>
    <cellStyle name="Normal 7 4 2 2 4 2 3" xfId="8859"/>
    <cellStyle name="Normal 2 3 2 2 2 4 2 3" xfId="8860"/>
    <cellStyle name="Normal 3 3 2 2 2 4 2 3" xfId="8861"/>
    <cellStyle name="Normal 4 2 2 2 2 4 2 3" xfId="8862"/>
    <cellStyle name="Normal 5 2 2 2 2 4 2 3" xfId="8863"/>
    <cellStyle name="Normal 7 2 2 2 2 4 2 3" xfId="8864"/>
    <cellStyle name="Normal 2 4 2 2 2 4 2 3" xfId="8865"/>
    <cellStyle name="Normal 3 4 2 2 2 4 2 3" xfId="8866"/>
    <cellStyle name="Normal 4 3 2 2 2 4 2 3" xfId="8867"/>
    <cellStyle name="Normal 5 3 2 2 2 4 2 3" xfId="8868"/>
    <cellStyle name="Normal 7 3 2 2 2 4 2 3" xfId="8869"/>
    <cellStyle name="Normal 2 6 2 2 4 2 3" xfId="8870"/>
    <cellStyle name="Normal 3 6 2 2 4 2 3" xfId="8871"/>
    <cellStyle name="Normal 4 5 2 2 4 2 3" xfId="8872"/>
    <cellStyle name="Normal 5 5 2 2 4 2 3" xfId="8873"/>
    <cellStyle name="Normal 7 5 2 2 4 2 3" xfId="8874"/>
    <cellStyle name="Normal 2 3 3 2 2 4 2 3" xfId="8875"/>
    <cellStyle name="Normal 3 3 3 2 2 4 2 3" xfId="8876"/>
    <cellStyle name="Normal 4 2 3 2 2 4 2 3" xfId="8877"/>
    <cellStyle name="Normal 5 2 3 2 2 4 2 3" xfId="8878"/>
    <cellStyle name="Normal 7 2 3 2 2 4 2 3" xfId="8879"/>
    <cellStyle name="Normal 2 4 3 2 2 4 2 3" xfId="8880"/>
    <cellStyle name="Normal 3 4 3 2 2 4 2 3" xfId="8881"/>
    <cellStyle name="Normal 4 3 3 2 2 4 2 3" xfId="8882"/>
    <cellStyle name="Normal 5 3 3 2 2 4 2 3" xfId="8883"/>
    <cellStyle name="Normal 7 3 3 2 2 4 2 3" xfId="8884"/>
    <cellStyle name="Normal 2 9 2 2 3" xfId="8885"/>
    <cellStyle name="Normal 3 9 2 2 3" xfId="8886"/>
    <cellStyle name="Normal 4 8 2 2 3" xfId="8887"/>
    <cellStyle name="Normal 5 8 2 2 3" xfId="8888"/>
    <cellStyle name="Normal 7 8 2 2 3" xfId="8889"/>
    <cellStyle name="Normal 2 3 6 2 2 3" xfId="8890"/>
    <cellStyle name="Normal 3 3 6 2 2 3" xfId="8891"/>
    <cellStyle name="Normal 4 2 6 2 2 3" xfId="8892"/>
    <cellStyle name="Normal 5 2 6 2 2 3" xfId="8893"/>
    <cellStyle name="Normal 7 2 6 2 2 3" xfId="8894"/>
    <cellStyle name="Normal 2 4 6 2 2 3" xfId="8895"/>
    <cellStyle name="Normal 3 4 6 2 2 3" xfId="8896"/>
    <cellStyle name="Normal 4 3 6 2 2 3" xfId="8897"/>
    <cellStyle name="Normal 5 3 6 2 2 3" xfId="8898"/>
    <cellStyle name="Normal 7 3 6 2 2 3" xfId="8899"/>
    <cellStyle name="Normal 2 5 4 2 2 3" xfId="8900"/>
    <cellStyle name="Normal 3 5 4 2 2 3" xfId="8901"/>
    <cellStyle name="Normal 4 4 4 2 2 3" xfId="8902"/>
    <cellStyle name="Normal 5 4 4 2 2 3" xfId="8903"/>
    <cellStyle name="Normal 7 4 4 2 2 3" xfId="8904"/>
    <cellStyle name="Normal 2 3 2 4 2 2 3" xfId="8905"/>
    <cellStyle name="Normal 3 3 2 4 2 2 3" xfId="8906"/>
    <cellStyle name="Normal 4 2 2 4 2 2 3" xfId="8907"/>
    <cellStyle name="Normal 5 2 2 4 2 2 3" xfId="8908"/>
    <cellStyle name="Normal 7 2 2 4 2 2 3" xfId="8909"/>
    <cellStyle name="Normal 2 4 2 4 2 2 3" xfId="8910"/>
    <cellStyle name="Normal 3 4 2 4 2 2 3" xfId="8911"/>
    <cellStyle name="Normal 4 3 2 4 2 2 3" xfId="8912"/>
    <cellStyle name="Normal 5 3 2 4 2 2 3" xfId="8913"/>
    <cellStyle name="Normal 7 3 2 4 2 2 3" xfId="8914"/>
    <cellStyle name="Normal 2 6 4 2 2 3" xfId="8915"/>
    <cellStyle name="Normal 3 6 4 2 2 3" xfId="8916"/>
    <cellStyle name="Normal 4 5 4 2 2 3" xfId="8917"/>
    <cellStyle name="Normal 5 5 4 2 2 3" xfId="8918"/>
    <cellStyle name="Normal 7 5 4 2 2 3" xfId="8919"/>
    <cellStyle name="Normal 2 3 3 4 2 2 3" xfId="8920"/>
    <cellStyle name="Normal 3 3 3 4 2 2 3" xfId="8921"/>
    <cellStyle name="Normal 4 2 3 4 2 2 3" xfId="8922"/>
    <cellStyle name="Normal 5 2 3 4 2 2 3" xfId="8923"/>
    <cellStyle name="Normal 7 2 3 4 2 2 3" xfId="8924"/>
    <cellStyle name="Normal 2 4 3 4 2 2 3" xfId="8925"/>
    <cellStyle name="Normal 3 4 3 4 2 2 3" xfId="8926"/>
    <cellStyle name="Normal 4 3 3 4 2 2 3" xfId="8927"/>
    <cellStyle name="Normal 5 3 3 4 2 2 3" xfId="8928"/>
    <cellStyle name="Normal 7 3 3 4 2 2 3" xfId="8929"/>
    <cellStyle name="Normal 2 7 3 2 2 3" xfId="8930"/>
    <cellStyle name="Normal 3 7 3 2 2 3" xfId="8931"/>
    <cellStyle name="Normal 4 6 3 2 2 3" xfId="8932"/>
    <cellStyle name="Normal 5 6 3 2 2 3" xfId="8933"/>
    <cellStyle name="Normal 7 6 3 2 2 3" xfId="8934"/>
    <cellStyle name="Normal 2 3 4 3 2 2 3" xfId="8935"/>
    <cellStyle name="Normal 3 3 4 3 2 2 3" xfId="8936"/>
    <cellStyle name="Normal 4 2 4 3 2 2 3" xfId="8937"/>
    <cellStyle name="Normal 5 2 4 3 2 2 3" xfId="8938"/>
    <cellStyle name="Normal 7 2 4 3 2 2 3" xfId="8939"/>
    <cellStyle name="Normal 2 4 4 3 2 2 3" xfId="8940"/>
    <cellStyle name="Normal 3 4 4 3 2 2 3" xfId="8941"/>
    <cellStyle name="Normal 4 3 4 3 2 2 3" xfId="8942"/>
    <cellStyle name="Normal 5 3 4 3 2 2 3" xfId="8943"/>
    <cellStyle name="Normal 7 3 4 3 2 2 3" xfId="8944"/>
    <cellStyle name="Normal 2 5 2 3 2 2 3" xfId="8945"/>
    <cellStyle name="Normal 3 5 2 3 2 2 3" xfId="8946"/>
    <cellStyle name="Normal 4 4 2 3 2 2 3" xfId="8947"/>
    <cellStyle name="Normal 5 4 2 3 2 2 3" xfId="8948"/>
    <cellStyle name="Normal 7 4 2 3 2 2 3" xfId="8949"/>
    <cellStyle name="Normal 2 3 2 2 3 2 2 3" xfId="8950"/>
    <cellStyle name="Normal 3 3 2 2 3 2 2 3" xfId="8951"/>
    <cellStyle name="Normal 4 2 2 2 3 2 2 3" xfId="8952"/>
    <cellStyle name="Normal 5 2 2 2 3 2 2 3" xfId="8953"/>
    <cellStyle name="Normal 7 2 2 2 3 2 2 3" xfId="8954"/>
    <cellStyle name="Normal 2 4 2 2 3 2 2 3" xfId="8955"/>
    <cellStyle name="Normal 3 4 2 2 3 2 2 3" xfId="8956"/>
    <cellStyle name="Normal 4 3 2 2 3 2 2 3" xfId="8957"/>
    <cellStyle name="Normal 5 3 2 2 3 2 2 3" xfId="8958"/>
    <cellStyle name="Normal 7 3 2 2 3 2 2 3" xfId="8959"/>
    <cellStyle name="Normal 2 6 2 3 2 2 3" xfId="8960"/>
    <cellStyle name="Normal 3 6 2 3 2 2 3" xfId="8961"/>
    <cellStyle name="Normal 4 5 2 3 2 2 3" xfId="8962"/>
    <cellStyle name="Normal 5 5 2 3 2 2 3" xfId="8963"/>
    <cellStyle name="Normal 7 5 2 3 2 2 3" xfId="8964"/>
    <cellStyle name="Normal 2 3 3 2 3 2 2 3" xfId="8965"/>
    <cellStyle name="Normal 3 3 3 2 3 2 2 3" xfId="8966"/>
    <cellStyle name="Normal 4 2 3 2 3 2 2 3" xfId="8967"/>
    <cellStyle name="Normal 5 2 3 2 3 2 2 3" xfId="8968"/>
    <cellStyle name="Normal 7 2 3 2 3 2 2 3" xfId="8969"/>
    <cellStyle name="Normal 2 4 3 2 3 2 2 3" xfId="8970"/>
    <cellStyle name="Normal 3 4 3 2 3 2 2 3" xfId="8971"/>
    <cellStyle name="Normal 4 3 3 2 3 2 2 3" xfId="8972"/>
    <cellStyle name="Normal 5 3 3 2 3 2 2 3" xfId="8973"/>
    <cellStyle name="Normal 7 3 3 2 3 2 2 3" xfId="8974"/>
    <cellStyle name="Normal 2 8 2 2 2 3" xfId="8975"/>
    <cellStyle name="Normal 3 8 2 2 2 3" xfId="8976"/>
    <cellStyle name="Normal 4 7 2 2 2 3" xfId="8977"/>
    <cellStyle name="Normal 5 7 2 2 2 3" xfId="8978"/>
    <cellStyle name="Normal 7 7 2 2 2 3" xfId="8979"/>
    <cellStyle name="Normal 2 3 5 2 2 2 3" xfId="8980"/>
    <cellStyle name="Normal 3 3 5 2 2 2 3" xfId="8981"/>
    <cellStyle name="Normal 4 2 5 2 2 2 3" xfId="8982"/>
    <cellStyle name="Normal 5 2 5 2 2 2 3" xfId="8983"/>
    <cellStyle name="Normal 7 2 5 2 2 2 3" xfId="8984"/>
    <cellStyle name="Normal 2 4 5 2 2 2 3" xfId="8985"/>
    <cellStyle name="Normal 3 4 5 2 2 2 3" xfId="8986"/>
    <cellStyle name="Normal 4 3 5 2 2 2 3" xfId="8987"/>
    <cellStyle name="Normal 5 3 5 2 2 2 3" xfId="8988"/>
    <cellStyle name="Normal 7 3 5 2 2 2 3" xfId="8989"/>
    <cellStyle name="Normal 2 5 3 2 2 2 3" xfId="8990"/>
    <cellStyle name="Normal 3 5 3 2 2 2 3" xfId="8991"/>
    <cellStyle name="Normal 4 4 3 2 2 2 3" xfId="8992"/>
    <cellStyle name="Normal 5 4 3 2 2 2 3" xfId="8993"/>
    <cellStyle name="Normal 7 4 3 2 2 2 3" xfId="8994"/>
    <cellStyle name="Normal 2 3 2 3 2 2 2 3" xfId="8995"/>
    <cellStyle name="Normal 3 3 2 3 2 2 2 3" xfId="8996"/>
    <cellStyle name="Normal 4 2 2 3 2 2 2 3" xfId="8997"/>
    <cellStyle name="Normal 5 2 2 3 2 2 2 3" xfId="8998"/>
    <cellStyle name="Normal 7 2 2 3 2 2 2 3" xfId="8999"/>
    <cellStyle name="Normal 2 4 2 3 2 2 2 3" xfId="9000"/>
    <cellStyle name="Normal 3 4 2 3 2 2 2 3" xfId="9001"/>
    <cellStyle name="Normal 4 3 2 3 2 2 2 3" xfId="9002"/>
    <cellStyle name="Normal 5 3 2 3 2 2 2 3" xfId="9003"/>
    <cellStyle name="Normal 7 3 2 3 2 2 2 3" xfId="9004"/>
    <cellStyle name="Normal 2 6 3 2 2 2 3" xfId="9005"/>
    <cellStyle name="Normal 3 6 3 2 2 2 3" xfId="9006"/>
    <cellStyle name="Normal 4 5 3 2 2 2 3" xfId="9007"/>
    <cellStyle name="Normal 5 5 3 2 2 2 3" xfId="9008"/>
    <cellStyle name="Normal 7 5 3 2 2 2 3" xfId="9009"/>
    <cellStyle name="Normal 2 3 3 3 2 2 2 3" xfId="9010"/>
    <cellStyle name="Normal 3 3 3 3 2 2 2 3" xfId="9011"/>
    <cellStyle name="Normal 4 2 3 3 2 2 2 3" xfId="9012"/>
    <cellStyle name="Normal 5 2 3 3 2 2 2 3" xfId="9013"/>
    <cellStyle name="Normal 7 2 3 3 2 2 2 3" xfId="9014"/>
    <cellStyle name="Normal 2 4 3 3 2 2 2 3" xfId="9015"/>
    <cellStyle name="Normal 3 4 3 3 2 2 2 3" xfId="9016"/>
    <cellStyle name="Normal 4 3 3 3 2 2 2 3" xfId="9017"/>
    <cellStyle name="Normal 5 3 3 3 2 2 2 3" xfId="9018"/>
    <cellStyle name="Normal 7 3 3 3 2 2 2 3" xfId="9019"/>
    <cellStyle name="Normal 2 7 2 2 2 2 3" xfId="9020"/>
    <cellStyle name="Normal 3 7 2 2 2 2 3" xfId="9021"/>
    <cellStyle name="Normal 4 6 2 2 2 2 3" xfId="9022"/>
    <cellStyle name="Normal 5 6 2 2 2 2 3" xfId="9023"/>
    <cellStyle name="Normal 7 6 2 2 2 2 3" xfId="9024"/>
    <cellStyle name="Normal 2 3 4 2 2 2 2 3" xfId="9025"/>
    <cellStyle name="Normal 3 3 4 2 2 2 2 3" xfId="9026"/>
    <cellStyle name="Normal 4 2 4 2 2 2 2 3" xfId="9027"/>
    <cellStyle name="Normal 5 2 4 2 2 2 2 3" xfId="9028"/>
    <cellStyle name="Normal 7 2 4 2 2 2 2 3" xfId="9029"/>
    <cellStyle name="Normal 2 4 4 2 2 2 2 3" xfId="9030"/>
    <cellStyle name="Normal 3 4 4 2 2 2 2 3" xfId="9031"/>
    <cellStyle name="Normal 4 3 4 2 2 2 2 3" xfId="9032"/>
    <cellStyle name="Normal 5 3 4 2 2 2 2 3" xfId="9033"/>
    <cellStyle name="Normal 7 3 4 2 2 2 2 3" xfId="9034"/>
    <cellStyle name="Normal 2 5 2 2 2 2 2 3" xfId="9035"/>
    <cellStyle name="Normal 3 5 2 2 2 2 2 3" xfId="9036"/>
    <cellStyle name="Normal 4 4 2 2 2 2 2 3" xfId="9037"/>
    <cellStyle name="Normal 5 4 2 2 2 2 2 3" xfId="9038"/>
    <cellStyle name="Normal 7 4 2 2 2 2 2 3" xfId="9039"/>
    <cellStyle name="Normal 2 3 2 2 2 2 2 2 3" xfId="9040"/>
    <cellStyle name="Normal 3 3 2 2 2 2 2 2 3" xfId="9041"/>
    <cellStyle name="Normal 4 2 2 2 2 2 2 2 3" xfId="9042"/>
    <cellStyle name="Normal 5 2 2 2 2 2 2 2 3" xfId="9043"/>
    <cellStyle name="Normal 7 2 2 2 2 2 2 2 3" xfId="9044"/>
    <cellStyle name="Normal 2 4 2 2 2 2 2 2 3" xfId="9045"/>
    <cellStyle name="Normal 3 4 2 2 2 2 2 2 3" xfId="9046"/>
    <cellStyle name="Normal 4 3 2 2 2 2 2 2 3" xfId="9047"/>
    <cellStyle name="Normal 5 3 2 2 2 2 2 2 3" xfId="9048"/>
    <cellStyle name="Normal 7 3 2 2 2 2 2 2 3" xfId="9049"/>
    <cellStyle name="Normal 2 6 2 2 2 2 2 3" xfId="9050"/>
    <cellStyle name="Normal 3 6 2 2 2 2 2 3" xfId="9051"/>
    <cellStyle name="Normal 4 5 2 2 2 2 2 3" xfId="9052"/>
    <cellStyle name="Normal 5 5 2 2 2 2 2 3" xfId="9053"/>
    <cellStyle name="Normal 7 5 2 2 2 2 2 3" xfId="9054"/>
    <cellStyle name="Normal 2 3 3 2 2 2 2 2 3" xfId="9055"/>
    <cellStyle name="Normal 3 3 3 2 2 2 2 2 3" xfId="9056"/>
    <cellStyle name="Normal 4 2 3 2 2 2 2 2 3" xfId="9057"/>
    <cellStyle name="Normal 5 2 3 2 2 2 2 2 3" xfId="9058"/>
    <cellStyle name="Normal 7 2 3 2 2 2 2 2 3" xfId="9059"/>
    <cellStyle name="Normal 2 4 3 2 2 2 2 2 3" xfId="9060"/>
    <cellStyle name="Normal 3 4 3 2 2 2 2 2 3" xfId="9061"/>
    <cellStyle name="Normal 4 3 3 2 2 2 2 2 3" xfId="9062"/>
    <cellStyle name="Normal 5 3 3 2 2 2 2 2 3" xfId="9063"/>
    <cellStyle name="Normal 7 3 3 2 2 2 2 2 3" xfId="9064"/>
    <cellStyle name="Normal 28 2 2 3" xfId="9065"/>
    <cellStyle name="Normal 2 3 7 2 2 3" xfId="9066"/>
    <cellStyle name="Normal 3 10 2 2 3" xfId="9067"/>
    <cellStyle name="Normal 4 9 2 2 3" xfId="9068"/>
    <cellStyle name="Normal 5 9 2 2 3" xfId="9069"/>
    <cellStyle name="Millares 4 2 2 3" xfId="9070"/>
    <cellStyle name="Normal 7 2 7 2 2 3" xfId="9071"/>
    <cellStyle name="Normal 3 3 7 2 2 3" xfId="9072"/>
    <cellStyle name="Normal 4 2 7 2 2 3" xfId="9073"/>
    <cellStyle name="Normal 5 2 7 2 2 3" xfId="9074"/>
    <cellStyle name="Normal 2 4 5 3 2 2 3" xfId="9075"/>
    <cellStyle name="Normal 3 4 7 2 2 3" xfId="9076"/>
    <cellStyle name="Normal 4 3 7 2 2 3" xfId="9077"/>
    <cellStyle name="Normal 5 3 7 2 2 3" xfId="9078"/>
    <cellStyle name="Normal 7 3 7 2 2 3" xfId="9079"/>
    <cellStyle name="Normal 2 5 5 2 2 3" xfId="9080"/>
    <cellStyle name="Normal 3 5 5 2 2 3" xfId="9081"/>
    <cellStyle name="Normal 4 4 5 2 2 3" xfId="9082"/>
    <cellStyle name="Normal 5 4 5 2 2 3" xfId="9083"/>
    <cellStyle name="Normal 7 4 5 2 2 3" xfId="9084"/>
    <cellStyle name="Normal 2 3 2 5 2 2 3" xfId="9085"/>
    <cellStyle name="Normal 3 3 2 5 2 2 3" xfId="9086"/>
    <cellStyle name="Normal 4 2 2 5 2 2 3" xfId="9087"/>
    <cellStyle name="Normal 5 2 2 5 2 2 3" xfId="9088"/>
    <cellStyle name="Normal 7 2 2 5 2 2 3" xfId="9089"/>
    <cellStyle name="Normal 2 4 2 5 2 2 3" xfId="9090"/>
    <cellStyle name="Normal 3 4 2 5 2 2 3" xfId="9091"/>
    <cellStyle name="Normal 4 3 2 5 2 2 3" xfId="9092"/>
    <cellStyle name="Normal 5 3 2 5 2 2 3" xfId="9093"/>
    <cellStyle name="Normal 7 3 2 5 2 2 3" xfId="9094"/>
    <cellStyle name="Normal 2 6 5 2 2 3" xfId="9095"/>
    <cellStyle name="Normal 3 6 5 2 2 3" xfId="9096"/>
    <cellStyle name="Normal 4 5 5 2 2 3" xfId="9097"/>
    <cellStyle name="Normal 5 5 5 2 2 3" xfId="9098"/>
    <cellStyle name="Normal 7 5 5 2 2 3" xfId="9099"/>
    <cellStyle name="Normal 2 3 3 5 2 2 3" xfId="9100"/>
    <cellStyle name="Normal 3 3 3 5 2 2 3" xfId="9101"/>
    <cellStyle name="Normal 4 2 3 5 2 2 3" xfId="9102"/>
    <cellStyle name="Normal 5 2 3 5 2 2 3" xfId="9103"/>
    <cellStyle name="Normal 7 2 3 5 2 2 3" xfId="9104"/>
    <cellStyle name="Normal 2 4 3 5 2 2 3" xfId="9105"/>
    <cellStyle name="Normal 3 4 3 5 2 2 3" xfId="9106"/>
    <cellStyle name="Normal 4 3 3 5 2 2 3" xfId="9107"/>
    <cellStyle name="Normal 5 3 3 5 2 2 3" xfId="9108"/>
    <cellStyle name="Normal 7 3 3 5 2 2 3" xfId="9109"/>
    <cellStyle name="Normal 2 7 4 2 2 3" xfId="9110"/>
    <cellStyle name="Normal 3 7 4 2 2 3" xfId="9111"/>
    <cellStyle name="Normal 4 6 4 2 2 3" xfId="9112"/>
    <cellStyle name="Normal 5 6 4 2 2 3" xfId="9113"/>
    <cellStyle name="Normal 7 6 4 2 2 3" xfId="9114"/>
    <cellStyle name="Normal 2 3 4 4 2 2 3" xfId="9115"/>
    <cellStyle name="Normal 3 3 4 4 2 2 3" xfId="9116"/>
    <cellStyle name="Normal 4 2 4 4 2 2 3" xfId="9117"/>
    <cellStyle name="Normal 5 2 4 4 2 2 3" xfId="9118"/>
    <cellStyle name="Normal 7 2 4 4 2 2 3" xfId="9119"/>
    <cellStyle name="Normal 2 4 4 4 2 2 3" xfId="9120"/>
    <cellStyle name="Normal 3 4 4 4 2 2 3" xfId="9121"/>
    <cellStyle name="Normal 4 3 4 4 2 2 3" xfId="9122"/>
    <cellStyle name="Normal 5 3 4 4 2 2 3" xfId="9123"/>
    <cellStyle name="Normal 7 3 4 4 2 2 3" xfId="9124"/>
    <cellStyle name="Normal 2 5 2 4 2 2 3" xfId="9125"/>
    <cellStyle name="Normal 3 5 2 4 2 2 3" xfId="9126"/>
    <cellStyle name="Normal 4 4 2 4 2 2 3" xfId="9127"/>
    <cellStyle name="Normal 5 4 2 4 2 2 3" xfId="9128"/>
    <cellStyle name="Normal 7 4 2 4 2 2 3" xfId="9129"/>
    <cellStyle name="Normal 2 3 2 2 4 2 2 3" xfId="9130"/>
    <cellStyle name="Normal 3 3 2 2 4 2 2 3" xfId="9131"/>
    <cellStyle name="Normal 4 2 2 2 4 2 2 3" xfId="9132"/>
    <cellStyle name="Normal 5 2 2 2 4 2 2 3" xfId="9133"/>
    <cellStyle name="Normal 7 2 2 2 4 2 2 3" xfId="9134"/>
    <cellStyle name="Normal 2 4 2 2 4 2 2 3" xfId="9135"/>
    <cellStyle name="Normal 3 4 2 2 4 2 2 3" xfId="9136"/>
    <cellStyle name="Normal 4 3 2 2 4 2 2 3" xfId="9137"/>
    <cellStyle name="Normal 5 3 2 2 4 2 2 3" xfId="9138"/>
    <cellStyle name="Normal 7 3 2 2 4 2 2 3" xfId="9139"/>
    <cellStyle name="Normal 2 6 2 4 2 2 3" xfId="9140"/>
    <cellStyle name="Normal 3 6 2 4 2 2 3" xfId="9141"/>
    <cellStyle name="Normal 4 5 2 4 2 2 3" xfId="9142"/>
    <cellStyle name="Normal 5 5 2 4 2 2 3" xfId="9143"/>
    <cellStyle name="Normal 7 5 2 4 2 2 3" xfId="9144"/>
    <cellStyle name="Normal 2 3 3 2 4 2 2 3" xfId="9145"/>
    <cellStyle name="Normal 3 3 3 2 4 2 2 3" xfId="9146"/>
    <cellStyle name="Normal 4 2 3 2 4 2 2 3" xfId="9147"/>
    <cellStyle name="Normal 5 2 3 2 4 2 2 3" xfId="9148"/>
    <cellStyle name="Normal 7 2 3 2 4 2 2 3" xfId="9149"/>
    <cellStyle name="Normal 2 4 3 2 4 2 2 3" xfId="9150"/>
    <cellStyle name="Normal 3 4 3 2 4 2 2 3" xfId="9151"/>
    <cellStyle name="Normal 4 3 3 2 4 2 2 3" xfId="9152"/>
    <cellStyle name="Normal 5 3 3 2 4 2 2 3" xfId="9153"/>
    <cellStyle name="Normal 7 3 3 2 4 2 2 3" xfId="9154"/>
    <cellStyle name="Normal 2 8 3 2 2 3" xfId="9155"/>
    <cellStyle name="Normal 3 8 3 2 2 3" xfId="9156"/>
    <cellStyle name="Normal 4 7 3 2 2 3" xfId="9157"/>
    <cellStyle name="Normal 5 7 3 2 2 3" xfId="9158"/>
    <cellStyle name="Normal 7 7 3 2 2 3" xfId="9159"/>
    <cellStyle name="Normal 2 3 5 3 2 2 3" xfId="9160"/>
    <cellStyle name="Normal 3 3 5 3 2 2 3" xfId="9161"/>
    <cellStyle name="Normal 4 2 5 3 2 2 3" xfId="9162"/>
    <cellStyle name="Normal 5 2 5 3 2 2 3" xfId="9163"/>
    <cellStyle name="Normal 7 2 5 3 2 2 3" xfId="9164"/>
    <cellStyle name="Normal 3 4 5 3 2 2 3" xfId="9165"/>
    <cellStyle name="Normal 4 3 5 3 2 2 3" xfId="9166"/>
    <cellStyle name="Normal 5 3 5 3 2 2 3" xfId="9167"/>
    <cellStyle name="Normal 7 3 5 3 2 2 3" xfId="9168"/>
    <cellStyle name="Normal 2 5 3 3 2 2 3" xfId="9169"/>
    <cellStyle name="Normal 3 5 3 3 2 2 3" xfId="9170"/>
    <cellStyle name="Normal 4 4 3 3 2 2 3" xfId="9171"/>
    <cellStyle name="Normal 5 4 3 3 2 2 3" xfId="9172"/>
    <cellStyle name="Normal 7 4 3 3 2 2 3" xfId="9173"/>
    <cellStyle name="Normal 2 3 2 3 3 2 2 3" xfId="9174"/>
    <cellStyle name="Normal 3 3 2 3 3 2 2 3" xfId="9175"/>
    <cellStyle name="Normal 4 2 2 3 3 2 2 3" xfId="9176"/>
    <cellStyle name="Normal 5 2 2 3 3 2 2 3" xfId="9177"/>
    <cellStyle name="Normal 7 2 2 3 3 2 2 3" xfId="9178"/>
    <cellStyle name="Normal 2 4 2 3 3 2 2 3" xfId="9179"/>
    <cellStyle name="Normal 3 4 2 3 3 2 2 3" xfId="9180"/>
    <cellStyle name="Normal 4 3 2 3 3 2 2 3" xfId="9181"/>
    <cellStyle name="Normal 5 3 2 3 3 2 2 3" xfId="9182"/>
    <cellStyle name="Normal 7 3 2 3 3 2 2 3" xfId="9183"/>
    <cellStyle name="Normal 2 6 3 3 2 2 3" xfId="9184"/>
    <cellStyle name="Normal 3 6 3 3 2 2 3" xfId="9185"/>
    <cellStyle name="Normal 4 5 3 3 2 2 3" xfId="9186"/>
    <cellStyle name="Normal 5 5 3 3 2 2 3" xfId="9187"/>
    <cellStyle name="Normal 7 5 3 3 2 2 3" xfId="9188"/>
    <cellStyle name="Normal 2 3 3 3 3 2 2 3" xfId="9189"/>
    <cellStyle name="Normal 3 3 3 3 3 2 2 3" xfId="9190"/>
    <cellStyle name="Normal 4 2 3 3 3 2 2 3" xfId="9191"/>
    <cellStyle name="Normal 5 2 3 3 3 2 2 3" xfId="9192"/>
    <cellStyle name="Normal 7 2 3 3 3 2 2 3" xfId="9193"/>
    <cellStyle name="Normal 2 4 3 3 3 2 2 3" xfId="9194"/>
    <cellStyle name="Normal 3 4 3 3 3 2 2 3" xfId="9195"/>
    <cellStyle name="Normal 4 3 3 3 3 2 2 3" xfId="9196"/>
    <cellStyle name="Normal 5 3 3 3 3 2 2 3" xfId="9197"/>
    <cellStyle name="Normal 7 3 3 3 3 2 2 3" xfId="9198"/>
    <cellStyle name="Normal 2 7 2 3 2 2 3" xfId="9199"/>
    <cellStyle name="Normal 3 7 2 3 2 2 3" xfId="9200"/>
    <cellStyle name="Normal 4 6 2 3 2 2 3" xfId="9201"/>
    <cellStyle name="Normal 5 6 2 3 2 2 3" xfId="9202"/>
    <cellStyle name="Normal 7 6 2 3 2 2 3" xfId="9203"/>
    <cellStyle name="Normal 2 3 4 2 3 2 2 3" xfId="9204"/>
    <cellStyle name="Normal 3 3 4 2 3 2 2 3" xfId="9205"/>
    <cellStyle name="Normal 4 2 4 2 3 2 2 3" xfId="9206"/>
    <cellStyle name="Normal 5 2 4 2 3 2 2 3" xfId="9207"/>
    <cellStyle name="Normal 7 2 4 2 3 2 2 3" xfId="9208"/>
    <cellStyle name="Normal 2 4 4 2 3 2 2 3" xfId="9209"/>
    <cellStyle name="Normal 3 4 4 2 3 2 2 3" xfId="9210"/>
    <cellStyle name="Normal 4 3 4 2 3 2 2 3" xfId="9211"/>
    <cellStyle name="Normal 5 3 4 2 3 2 2 3" xfId="9212"/>
    <cellStyle name="Normal 7 3 4 2 3 2 2 3" xfId="9213"/>
    <cellStyle name="Normal 2 5 2 2 3 2 2 3" xfId="9214"/>
    <cellStyle name="Normal 3 5 2 2 3 2 2 3" xfId="9215"/>
    <cellStyle name="Normal 4 4 2 2 3 2 2 3" xfId="9216"/>
    <cellStyle name="Normal 5 4 2 2 3 2 2 3" xfId="9217"/>
    <cellStyle name="Normal 7 4 2 2 3 2 2 3" xfId="9218"/>
    <cellStyle name="Normal 2 3 2 2 2 3 2 2 3" xfId="9219"/>
    <cellStyle name="Normal 3 3 2 2 2 3 2 2 3" xfId="9220"/>
    <cellStyle name="Normal 4 2 2 2 2 3 2 2 3" xfId="9221"/>
    <cellStyle name="Normal 5 2 2 2 2 3 2 2 3" xfId="9222"/>
    <cellStyle name="Normal 7 2 2 2 2 3 2 2 3" xfId="9223"/>
    <cellStyle name="Normal 2 4 2 2 2 3 2 2 3" xfId="9224"/>
    <cellStyle name="Normal 3 4 2 2 2 3 2 2 3" xfId="9225"/>
    <cellStyle name="Normal 4 3 2 2 2 3 2 2 3" xfId="9226"/>
    <cellStyle name="Normal 5 3 2 2 2 3 2 2 3" xfId="9227"/>
    <cellStyle name="Normal 7 3 2 2 2 3 2 2 3" xfId="9228"/>
    <cellStyle name="Normal 2 6 2 2 3 2 2 3" xfId="9229"/>
    <cellStyle name="Normal 3 6 2 2 3 2 2 3" xfId="9230"/>
    <cellStyle name="Normal 4 5 2 2 3 2 2 3" xfId="9231"/>
    <cellStyle name="Normal 5 5 2 2 3 2 2 3" xfId="9232"/>
    <cellStyle name="Normal 7 5 2 2 3 2 2 3" xfId="9233"/>
    <cellStyle name="Normal 2 3 3 2 2 3 2 2 3" xfId="9234"/>
    <cellStyle name="Normal 3 3 3 2 2 3 2 2 3" xfId="9235"/>
    <cellStyle name="Normal 4 2 3 2 2 3 2 2 3" xfId="9236"/>
    <cellStyle name="Normal 5 2 3 2 2 3 2 2 3" xfId="9237"/>
    <cellStyle name="Normal 7 2 3 2 2 3 2 2 3" xfId="9238"/>
    <cellStyle name="Normal 2 4 3 2 2 3 2 2 3" xfId="9239"/>
    <cellStyle name="Normal 3 4 3 2 2 3 2 2 3" xfId="9240"/>
    <cellStyle name="Normal 4 3 3 2 2 3 2 2 3" xfId="9241"/>
    <cellStyle name="Normal 5 3 3 2 2 3 2 2 3" xfId="9242"/>
    <cellStyle name="Normal 7 3 3 2 2 3 2 2 3" xfId="9243"/>
    <cellStyle name="Normal 2 12 2 3" xfId="9244"/>
    <cellStyle name="Normal 3 12 2 3" xfId="9245"/>
    <cellStyle name="Normal 4 11 2 3" xfId="9246"/>
    <cellStyle name="Normal 5 11 2 3" xfId="9247"/>
    <cellStyle name="Normal 7 11 2 3" xfId="9248"/>
    <cellStyle name="Normal 2 3 9 2 3" xfId="9249"/>
    <cellStyle name="Normal 3 3 9 2 3" xfId="9250"/>
    <cellStyle name="Normal 4 2 9 2 3" xfId="9251"/>
    <cellStyle name="Normal 5 2 9 2 3" xfId="9252"/>
    <cellStyle name="Normal 7 2 9 2 3" xfId="9253"/>
    <cellStyle name="Normal 2 4 9 2 3" xfId="9254"/>
    <cellStyle name="Normal 3 4 9 2 3" xfId="9255"/>
    <cellStyle name="Normal 4 3 9 2 3" xfId="9256"/>
    <cellStyle name="Normal 5 3 9 2 3" xfId="9257"/>
    <cellStyle name="Normal 7 3 9 2 3" xfId="9258"/>
    <cellStyle name="Normal 2 5 7 2 3" xfId="9259"/>
    <cellStyle name="Normal 3 5 7 2 3" xfId="9260"/>
    <cellStyle name="Normal 4 4 7 2 3" xfId="9261"/>
    <cellStyle name="Normal 5 4 7 2 3" xfId="9262"/>
    <cellStyle name="Normal 7 4 7 2 3" xfId="9263"/>
    <cellStyle name="Normal 2 3 2 7 2 3" xfId="9264"/>
    <cellStyle name="Normal 3 3 2 7 2 3" xfId="9265"/>
    <cellStyle name="Normal 4 2 2 7 2 3" xfId="9266"/>
    <cellStyle name="Normal 5 2 2 7 2 3" xfId="9267"/>
    <cellStyle name="Normal 7 2 2 7 2 3" xfId="9268"/>
    <cellStyle name="Normal 2 4 2 7 2 3" xfId="9269"/>
    <cellStyle name="Normal 3 4 2 7 2 3" xfId="9270"/>
    <cellStyle name="Normal 4 3 2 7 2 3" xfId="9271"/>
    <cellStyle name="Normal 5 3 2 7 2 3" xfId="9272"/>
    <cellStyle name="Normal 7 3 2 7 2 3" xfId="9273"/>
    <cellStyle name="Normal 2 6 7 2 3" xfId="9274"/>
    <cellStyle name="Normal 3 6 7 2 3" xfId="9275"/>
    <cellStyle name="Normal 4 5 7 2 3" xfId="9276"/>
    <cellStyle name="Normal 5 5 7 2 3" xfId="9277"/>
    <cellStyle name="Normal 7 5 7 2 3" xfId="9278"/>
    <cellStyle name="Normal 2 3 3 7 2 3" xfId="9279"/>
    <cellStyle name="Normal 3 3 3 7 2 3" xfId="9280"/>
    <cellStyle name="Normal 4 2 3 7 2 3" xfId="9281"/>
    <cellStyle name="Normal 5 2 3 7 2 3" xfId="9282"/>
    <cellStyle name="Normal 7 2 3 7 2 3" xfId="9283"/>
    <cellStyle name="Normal 2 4 3 7 2 3" xfId="9284"/>
    <cellStyle name="Normal 3 4 3 7 2 3" xfId="9285"/>
    <cellStyle name="Normal 4 3 3 7 2 3" xfId="9286"/>
    <cellStyle name="Normal 5 3 3 7 2 3" xfId="9287"/>
    <cellStyle name="Normal 7 3 3 7 2 3" xfId="9288"/>
    <cellStyle name="Normal 2 7 6 2 3" xfId="9289"/>
    <cellStyle name="Normal 3 7 6 2 3" xfId="9290"/>
    <cellStyle name="Normal 4 6 6 2 3" xfId="9291"/>
    <cellStyle name="Normal 5 6 6 2 3" xfId="9292"/>
    <cellStyle name="Normal 7 6 6 2 3" xfId="9293"/>
    <cellStyle name="Normal 2 3 4 6 2 3" xfId="9294"/>
    <cellStyle name="Normal 3 3 4 6 2 3" xfId="9295"/>
    <cellStyle name="Normal 4 2 4 6 2 3" xfId="9296"/>
    <cellStyle name="Normal 5 2 4 6 2 3" xfId="9297"/>
    <cellStyle name="Normal 7 2 4 6 2 3" xfId="9298"/>
    <cellStyle name="Normal 2 4 4 6 2 3" xfId="9299"/>
    <cellStyle name="Normal 3 4 4 6 2 3" xfId="9300"/>
    <cellStyle name="Normal 4 3 4 6 2 3" xfId="9301"/>
    <cellStyle name="Normal 5 3 4 6 2 3" xfId="9302"/>
    <cellStyle name="Normal 7 3 4 6 2 3" xfId="9303"/>
    <cellStyle name="Normal 2 5 2 6 2 3" xfId="9304"/>
    <cellStyle name="Normal 3 5 2 6 2 3" xfId="9305"/>
    <cellStyle name="Normal 4 4 2 6 2 3" xfId="9306"/>
    <cellStyle name="Normal 5 4 2 6 2 3" xfId="9307"/>
    <cellStyle name="Normal 7 4 2 6 2 3" xfId="9308"/>
    <cellStyle name="Normal 2 3 2 2 6 2 3" xfId="9309"/>
    <cellStyle name="Normal 3 3 2 2 6 2 3" xfId="9310"/>
    <cellStyle name="Normal 4 2 2 2 6 2 3" xfId="9311"/>
    <cellStyle name="Normal 5 2 2 2 6 2 3" xfId="9312"/>
    <cellStyle name="Normal 7 2 2 2 6 2 3" xfId="9313"/>
    <cellStyle name="Normal 2 4 2 2 6 2 3" xfId="9314"/>
    <cellStyle name="Normal 3 4 2 2 6 2 3" xfId="9315"/>
    <cellStyle name="Normal 4 3 2 2 6 2 3" xfId="9316"/>
    <cellStyle name="Normal 5 3 2 2 6 2 3" xfId="9317"/>
    <cellStyle name="Normal 7 3 2 2 6 2 3" xfId="9318"/>
    <cellStyle name="Normal 2 6 2 6 2 3" xfId="9319"/>
    <cellStyle name="Normal 3 6 2 6 2 3" xfId="9320"/>
    <cellStyle name="Normal 4 5 2 6 2 3" xfId="9321"/>
    <cellStyle name="Normal 5 5 2 6 2 3" xfId="9322"/>
    <cellStyle name="Normal 7 5 2 6 2 3" xfId="9323"/>
    <cellStyle name="Normal 2 3 3 2 6 2 3" xfId="9324"/>
    <cellStyle name="Normal 3 3 3 2 6 2 3" xfId="9325"/>
    <cellStyle name="Normal 4 2 3 2 6 2 3" xfId="9326"/>
    <cellStyle name="Normal 5 2 3 2 6 2 3" xfId="9327"/>
    <cellStyle name="Normal 7 2 3 2 6 2 3" xfId="9328"/>
    <cellStyle name="Normal 2 4 3 2 6 2 3" xfId="9329"/>
    <cellStyle name="Normal 3 4 3 2 6 2 3" xfId="9330"/>
    <cellStyle name="Normal 4 3 3 2 6 2 3" xfId="9331"/>
    <cellStyle name="Normal 5 3 3 2 6 2 3" xfId="9332"/>
    <cellStyle name="Normal 7 3 3 2 6 2 3" xfId="9333"/>
    <cellStyle name="Normal 2 8 5 2 3" xfId="9334"/>
    <cellStyle name="Normal 3 8 5 2 3" xfId="9335"/>
    <cellStyle name="Normal 4 7 5 2 3" xfId="9336"/>
    <cellStyle name="Normal 5 7 5 2 3" xfId="9337"/>
    <cellStyle name="Normal 7 7 5 2 3" xfId="9338"/>
    <cellStyle name="Normal 2 3 5 5 2 3" xfId="9339"/>
    <cellStyle name="Normal 3 3 5 5 2 3" xfId="9340"/>
    <cellStyle name="Normal 4 2 5 5 2 3" xfId="9341"/>
    <cellStyle name="Normal 5 2 5 5 2 3" xfId="9342"/>
    <cellStyle name="Normal 7 2 5 5 2 3" xfId="9343"/>
    <cellStyle name="Normal 2 4 5 5 2 3" xfId="9344"/>
    <cellStyle name="Normal 3 4 5 5 2 3" xfId="9345"/>
    <cellStyle name="Normal 4 3 5 5 2 3" xfId="9346"/>
    <cellStyle name="Normal 5 3 5 5 2 3" xfId="9347"/>
    <cellStyle name="Normal 7 3 5 5 2 3" xfId="9348"/>
    <cellStyle name="Normal 2 5 3 5 2 3" xfId="9349"/>
    <cellStyle name="Normal 3 5 3 5 2 3" xfId="9350"/>
    <cellStyle name="Normal 4 4 3 5 2 3" xfId="9351"/>
    <cellStyle name="Normal 5 4 3 5 2 3" xfId="9352"/>
    <cellStyle name="Normal 7 4 3 5 2 3" xfId="9353"/>
    <cellStyle name="Normal 2 3 2 3 5 2 3" xfId="9354"/>
    <cellStyle name="Normal 3 3 2 3 5 2 3" xfId="9355"/>
    <cellStyle name="Normal 4 2 2 3 5 2 3" xfId="9356"/>
    <cellStyle name="Normal 5 2 2 3 5 2 3" xfId="9357"/>
    <cellStyle name="Normal 7 2 2 3 5 2 3" xfId="9358"/>
    <cellStyle name="Normal 2 4 2 3 5 2 3" xfId="9359"/>
    <cellStyle name="Normal 3 4 2 3 5 2 3" xfId="9360"/>
    <cellStyle name="Normal 4 3 2 3 5 2 3" xfId="9361"/>
    <cellStyle name="Normal 5 3 2 3 5 2 3" xfId="9362"/>
    <cellStyle name="Normal 7 3 2 3 5 2 3" xfId="9363"/>
    <cellStyle name="Normal 2 6 3 5 2 3" xfId="9364"/>
    <cellStyle name="Normal 3 6 3 5 2 3" xfId="9365"/>
    <cellStyle name="Normal 4 5 3 5 2 3" xfId="9366"/>
    <cellStyle name="Normal 5 5 3 5 2 3" xfId="9367"/>
    <cellStyle name="Normal 7 5 3 5 2 3" xfId="9368"/>
    <cellStyle name="Normal 2 3 3 3 5 2 3" xfId="9369"/>
    <cellStyle name="Normal 3 3 3 3 5 2 3" xfId="9370"/>
    <cellStyle name="Normal 4 2 3 3 5 2 3" xfId="9371"/>
    <cellStyle name="Normal 5 2 3 3 5 2 3" xfId="9372"/>
    <cellStyle name="Normal 7 2 3 3 5 2 3" xfId="9373"/>
    <cellStyle name="Normal 2 4 3 3 5 2 3" xfId="9374"/>
    <cellStyle name="Normal 3 4 3 3 5 2 3" xfId="9375"/>
    <cellStyle name="Normal 4 3 3 3 5 2 3" xfId="9376"/>
    <cellStyle name="Normal 5 3 3 3 5 2 3" xfId="9377"/>
    <cellStyle name="Normal 7 3 3 3 5 2 3" xfId="9378"/>
    <cellStyle name="Normal 2 7 2 5 2 3" xfId="9379"/>
    <cellStyle name="Normal 3 7 2 5 2 3" xfId="9380"/>
    <cellStyle name="Normal 4 6 2 5 2 3" xfId="9381"/>
    <cellStyle name="Normal 5 6 2 5 2 3" xfId="9382"/>
    <cellStyle name="Normal 7 6 2 5 2 3" xfId="9383"/>
    <cellStyle name="Normal 2 3 4 2 5 2 3" xfId="9384"/>
    <cellStyle name="Normal 3 3 4 2 5 2 3" xfId="9385"/>
    <cellStyle name="Normal 4 2 4 2 5 2 3" xfId="9386"/>
    <cellStyle name="Normal 5 2 4 2 5 2 3" xfId="9387"/>
    <cellStyle name="Normal 7 2 4 2 5 2 3" xfId="9388"/>
    <cellStyle name="Normal 2 4 4 2 5 2 3" xfId="9389"/>
    <cellStyle name="Normal 3 4 4 2 5 2 3" xfId="9390"/>
    <cellStyle name="Normal 4 3 4 2 5 2 3" xfId="9391"/>
    <cellStyle name="Normal 5 3 4 2 5 2 3" xfId="9392"/>
    <cellStyle name="Normal 7 3 4 2 5 2 3" xfId="9393"/>
    <cellStyle name="Normal 2 5 2 2 5 2 3" xfId="9394"/>
    <cellStyle name="Normal 3 5 2 2 5 2 3" xfId="9395"/>
    <cellStyle name="Normal 4 4 2 2 5 2 3" xfId="9396"/>
    <cellStyle name="Normal 5 4 2 2 5 2 3" xfId="9397"/>
    <cellStyle name="Normal 7 4 2 2 5 2 3" xfId="9398"/>
    <cellStyle name="Normal 2 3 2 2 2 5 2 3" xfId="9399"/>
    <cellStyle name="Normal 3 3 2 2 2 5 2 3" xfId="9400"/>
    <cellStyle name="Normal 4 2 2 2 2 5 2 3" xfId="9401"/>
    <cellStyle name="Normal 5 2 2 2 2 5 2 3" xfId="9402"/>
    <cellStyle name="Normal 7 2 2 2 2 5 2 3" xfId="9403"/>
    <cellStyle name="Normal 2 4 2 2 2 5 2 3" xfId="9404"/>
    <cellStyle name="Normal 3 4 2 2 2 5 2 3" xfId="9405"/>
    <cellStyle name="Normal 4 3 2 2 2 5 2 3" xfId="9406"/>
    <cellStyle name="Normal 5 3 2 2 2 5 2 3" xfId="9407"/>
    <cellStyle name="Normal 7 3 2 2 2 5 2 3" xfId="9408"/>
    <cellStyle name="Normal 2 6 2 2 5 2 3" xfId="9409"/>
    <cellStyle name="Normal 3 6 2 2 5 2 3" xfId="9410"/>
    <cellStyle name="Normal 4 5 2 2 5 2 3" xfId="9411"/>
    <cellStyle name="Normal 5 5 2 2 5 2 3" xfId="9412"/>
    <cellStyle name="Normal 7 5 2 2 5 2 3" xfId="9413"/>
    <cellStyle name="Normal 2 3 3 2 2 5 2 3" xfId="9414"/>
    <cellStyle name="Normal 3 3 3 2 2 5 2 3" xfId="9415"/>
    <cellStyle name="Normal 4 2 3 2 2 5 2 3" xfId="9416"/>
    <cellStyle name="Normal 5 2 3 2 2 5 2 3" xfId="9417"/>
    <cellStyle name="Normal 7 2 3 2 2 5 2 3" xfId="9418"/>
    <cellStyle name="Normal 2 4 3 2 2 5 2 3" xfId="9419"/>
    <cellStyle name="Normal 3 4 3 2 2 5 2 3" xfId="9420"/>
    <cellStyle name="Normal 4 3 3 2 2 5 2 3" xfId="9421"/>
    <cellStyle name="Normal 5 3 3 2 2 5 2 3" xfId="9422"/>
    <cellStyle name="Normal 7 3 3 2 2 5 2 3" xfId="9423"/>
    <cellStyle name="Normal 2 9 3 2 3" xfId="9424"/>
    <cellStyle name="Normal 3 9 3 2 3" xfId="9425"/>
    <cellStyle name="Normal 4 8 3 2 3" xfId="9426"/>
    <cellStyle name="Normal 5 8 3 2 3" xfId="9427"/>
    <cellStyle name="Normal 7 8 3 2 3" xfId="9428"/>
    <cellStyle name="Normal 2 3 6 3 2 3" xfId="9429"/>
    <cellStyle name="Normal 3 3 6 3 2 3" xfId="9430"/>
    <cellStyle name="Normal 4 2 6 3 2 3" xfId="9431"/>
    <cellStyle name="Normal 5 2 6 3 2 3" xfId="9432"/>
    <cellStyle name="Normal 7 2 6 3 2 3" xfId="9433"/>
    <cellStyle name="Normal 2 4 6 3 2 3" xfId="9434"/>
    <cellStyle name="Normal 3 4 6 3 2 3" xfId="9435"/>
    <cellStyle name="Normal 4 3 6 3 2 3" xfId="9436"/>
    <cellStyle name="Normal 5 3 6 3 2 3" xfId="9437"/>
    <cellStyle name="Normal 7 3 6 3 2 3" xfId="9438"/>
    <cellStyle name="Normal 2 5 4 3 2 3" xfId="9439"/>
    <cellStyle name="Normal 3 5 4 3 2 3" xfId="9440"/>
    <cellStyle name="Normal 4 4 4 3 2 3" xfId="9441"/>
    <cellStyle name="Normal 5 4 4 3 2 3" xfId="9442"/>
    <cellStyle name="Normal 7 4 4 3 2 3" xfId="9443"/>
    <cellStyle name="Normal 2 3 2 4 3 2 3" xfId="9444"/>
    <cellStyle name="Normal 3 3 2 4 3 2 3" xfId="9445"/>
    <cellStyle name="Normal 4 2 2 4 3 2 3" xfId="9446"/>
    <cellStyle name="Normal 5 2 2 4 3 2 3" xfId="9447"/>
    <cellStyle name="Normal 7 2 2 4 3 2 3" xfId="9448"/>
    <cellStyle name="Normal 2 4 2 4 3 2 3" xfId="9449"/>
    <cellStyle name="Normal 3 4 2 4 3 2 3" xfId="9450"/>
    <cellStyle name="Normal 4 3 2 4 3 2 3" xfId="9451"/>
    <cellStyle name="Normal 5 3 2 4 3 2 3" xfId="9452"/>
    <cellStyle name="Normal 7 3 2 4 3 2 3" xfId="9453"/>
    <cellStyle name="Normal 2 6 4 3 2 3" xfId="9454"/>
    <cellStyle name="Normal 3 6 4 3 2 3" xfId="9455"/>
    <cellStyle name="Normal 4 5 4 3 2 3" xfId="9456"/>
    <cellStyle name="Normal 5 5 4 3 2 3" xfId="9457"/>
    <cellStyle name="Normal 7 5 4 3 2 3" xfId="9458"/>
    <cellStyle name="Normal 2 3 3 4 3 2 3" xfId="9459"/>
    <cellStyle name="Normal 3 3 3 4 3 2 3" xfId="9460"/>
    <cellStyle name="Normal 4 2 3 4 3 2 3" xfId="9461"/>
    <cellStyle name="Normal 5 2 3 4 3 2 3" xfId="9462"/>
    <cellStyle name="Normal 7 2 3 4 3 2 3" xfId="9463"/>
    <cellStyle name="Normal 2 4 3 4 3 2 3" xfId="9464"/>
    <cellStyle name="Normal 3 4 3 4 3 2 3" xfId="9465"/>
    <cellStyle name="Normal 4 3 3 4 3 2 3" xfId="9466"/>
    <cellStyle name="Normal 5 3 3 4 3 2 3" xfId="9467"/>
    <cellStyle name="Normal 7 3 3 4 3 2 3" xfId="9468"/>
    <cellStyle name="Normal 2 7 3 3 2 3" xfId="9469"/>
    <cellStyle name="Normal 3 7 3 3 2 3" xfId="9470"/>
    <cellStyle name="Normal 4 6 3 3 2 3" xfId="9471"/>
    <cellStyle name="Normal 5 6 3 3 2 3" xfId="9472"/>
    <cellStyle name="Normal 7 6 3 3 2 3" xfId="9473"/>
    <cellStyle name="Normal 2 3 4 3 3 2 3" xfId="9474"/>
    <cellStyle name="Normal 3 3 4 3 3 2 3" xfId="9475"/>
    <cellStyle name="Normal 4 2 4 3 3 2 3" xfId="9476"/>
    <cellStyle name="Normal 5 2 4 3 3 2 3" xfId="9477"/>
    <cellStyle name="Normal 7 2 4 3 3 2 3" xfId="9478"/>
    <cellStyle name="Normal 2 4 4 3 3 2 3" xfId="9479"/>
    <cellStyle name="Normal 3 4 4 3 3 2 3" xfId="9480"/>
    <cellStyle name="Normal 4 3 4 3 3 2 3" xfId="9481"/>
    <cellStyle name="Normal 5 3 4 3 3 2 3" xfId="9482"/>
    <cellStyle name="Normal 7 3 4 3 3 2 3" xfId="9483"/>
    <cellStyle name="Normal 2 5 2 3 3 2 3" xfId="9484"/>
    <cellStyle name="Normal 3 5 2 3 3 2 3" xfId="9485"/>
    <cellStyle name="Normal 4 4 2 3 3 2 3" xfId="9486"/>
    <cellStyle name="Normal 5 4 2 3 3 2 3" xfId="9487"/>
    <cellStyle name="Normal 7 4 2 3 3 2 3" xfId="9488"/>
    <cellStyle name="Normal 2 3 2 2 3 3 2 3" xfId="9489"/>
    <cellStyle name="Normal 3 3 2 2 3 3 2 3" xfId="9490"/>
    <cellStyle name="Normal 4 2 2 2 3 3 2 3" xfId="9491"/>
    <cellStyle name="Normal 5 2 2 2 3 3 2 3" xfId="9492"/>
    <cellStyle name="Normal 7 2 2 2 3 3 2 3" xfId="9493"/>
    <cellStyle name="Normal 2 4 2 2 3 3 2 3" xfId="9494"/>
    <cellStyle name="Normal 3 4 2 2 3 3 2 3" xfId="9495"/>
    <cellStyle name="Normal 4 3 2 2 3 3 2 3" xfId="9496"/>
    <cellStyle name="Normal 5 3 2 2 3 3 2 3" xfId="9497"/>
    <cellStyle name="Normal 7 3 2 2 3 3 2 3" xfId="9498"/>
    <cellStyle name="Normal 2 6 2 3 3 2 3" xfId="9499"/>
    <cellStyle name="Normal 3 6 2 3 3 2 3" xfId="9500"/>
    <cellStyle name="Normal 4 5 2 3 3 2 3" xfId="9501"/>
    <cellStyle name="Normal 5 5 2 3 3 2 3" xfId="9502"/>
    <cellStyle name="Normal 7 5 2 3 3 2 3" xfId="9503"/>
    <cellStyle name="Normal 2 3 3 2 3 3 2 3" xfId="9504"/>
    <cellStyle name="Normal 3 3 3 2 3 3 2 3" xfId="9505"/>
    <cellStyle name="Normal 4 2 3 2 3 3 2 3" xfId="9506"/>
    <cellStyle name="Normal 5 2 3 2 3 3 2 3" xfId="9507"/>
    <cellStyle name="Normal 7 2 3 2 3 3 2 3" xfId="9508"/>
    <cellStyle name="Normal 2 4 3 2 3 3 2 3" xfId="9509"/>
    <cellStyle name="Normal 3 4 3 2 3 3 2 3" xfId="9510"/>
    <cellStyle name="Normal 4 3 3 2 3 3 2 3" xfId="9511"/>
    <cellStyle name="Normal 5 3 3 2 3 3 2 3" xfId="9512"/>
    <cellStyle name="Normal 7 3 3 2 3 3 2 3" xfId="9513"/>
    <cellStyle name="Normal 2 8 2 3 2 3" xfId="9514"/>
    <cellStyle name="Normal 3 8 2 3 2 3" xfId="9515"/>
    <cellStyle name="Normal 4 7 2 3 2 3" xfId="9516"/>
    <cellStyle name="Normal 5 7 2 3 2 3" xfId="9517"/>
    <cellStyle name="Normal 7 7 2 3 2 3" xfId="9518"/>
    <cellStyle name="Normal 2 3 5 2 3 2 3" xfId="9519"/>
    <cellStyle name="Normal 3 3 5 2 3 2 3" xfId="9520"/>
    <cellStyle name="Normal 4 2 5 2 3 2 3" xfId="9521"/>
    <cellStyle name="Normal 5 2 5 2 3 2 3" xfId="9522"/>
    <cellStyle name="Normal 7 2 5 2 3 2 3" xfId="9523"/>
    <cellStyle name="Normal 2 4 5 2 3 2 3" xfId="9524"/>
    <cellStyle name="Normal 3 4 5 2 3 2 3" xfId="9525"/>
    <cellStyle name="Normal 4 3 5 2 3 2 3" xfId="9526"/>
    <cellStyle name="Normal 5 3 5 2 3 2 3" xfId="9527"/>
    <cellStyle name="Normal 7 3 5 2 3 2 3" xfId="9528"/>
    <cellStyle name="Normal 2 5 3 2 3 2 3" xfId="9529"/>
    <cellStyle name="Normal 3 5 3 2 3 2 3" xfId="9530"/>
    <cellStyle name="Normal 4 4 3 2 3 2 3" xfId="9531"/>
    <cellStyle name="Normal 5 4 3 2 3 2 3" xfId="9532"/>
    <cellStyle name="Normal 7 4 3 2 3 2 3" xfId="9533"/>
    <cellStyle name="Normal 2 3 2 3 2 3 2 3" xfId="9534"/>
    <cellStyle name="Normal 3 3 2 3 2 3 2 3" xfId="9535"/>
    <cellStyle name="Normal 4 2 2 3 2 3 2 3" xfId="9536"/>
    <cellStyle name="Normal 5 2 2 3 2 3 2 3" xfId="9537"/>
    <cellStyle name="Normal 7 2 2 3 2 3 2 3" xfId="9538"/>
    <cellStyle name="Normal 2 4 2 3 2 3 2 3" xfId="9539"/>
    <cellStyle name="Normal 3 4 2 3 2 3 2 3" xfId="9540"/>
    <cellStyle name="Normal 4 3 2 3 2 3 2 3" xfId="9541"/>
    <cellStyle name="Normal 5 3 2 3 2 3 2 3" xfId="9542"/>
    <cellStyle name="Normal 7 3 2 3 2 3 2 3" xfId="9543"/>
    <cellStyle name="Normal 2 6 3 2 3 2 3" xfId="9544"/>
    <cellStyle name="Normal 3 6 3 2 3 2 3" xfId="9545"/>
    <cellStyle name="Normal 4 5 3 2 3 2 3" xfId="9546"/>
    <cellStyle name="Normal 5 5 3 2 3 2 3" xfId="9547"/>
    <cellStyle name="Normal 7 5 3 2 3 2 3" xfId="9548"/>
    <cellStyle name="Normal 2 3 3 3 2 3 2 3" xfId="9549"/>
    <cellStyle name="Normal 3 3 3 3 2 3 2 3" xfId="9550"/>
    <cellStyle name="Normal 4 2 3 3 2 3 2 3" xfId="9551"/>
    <cellStyle name="Normal 5 2 3 3 2 3 2 3" xfId="9552"/>
    <cellStyle name="Normal 7 2 3 3 2 3 2 3" xfId="9553"/>
    <cellStyle name="Normal 2 4 3 3 2 3 2 3" xfId="9554"/>
    <cellStyle name="Normal 3 4 3 3 2 3 2 3" xfId="9555"/>
    <cellStyle name="Normal 4 3 3 3 2 3 2 3" xfId="9556"/>
    <cellStyle name="Normal 5 3 3 3 2 3 2 3" xfId="9557"/>
    <cellStyle name="Normal 7 3 3 3 2 3 2 3" xfId="9558"/>
    <cellStyle name="Normal 2 7 2 2 3 2 3" xfId="9559"/>
    <cellStyle name="Normal 3 7 2 2 3 2 3" xfId="9560"/>
    <cellStyle name="Normal 4 6 2 2 3 2 3" xfId="9561"/>
    <cellStyle name="Normal 5 6 2 2 3 2 3" xfId="9562"/>
    <cellStyle name="Normal 7 6 2 2 3 2 3" xfId="9563"/>
    <cellStyle name="Normal 2 3 4 2 2 3 2 3" xfId="9564"/>
    <cellStyle name="Normal 3 3 4 2 2 3 2 3" xfId="9565"/>
    <cellStyle name="Normal 4 2 4 2 2 3 2 3" xfId="9566"/>
    <cellStyle name="Normal 5 2 4 2 2 3 2 3" xfId="9567"/>
    <cellStyle name="Normal 7 2 4 2 2 3 2 3" xfId="9568"/>
    <cellStyle name="Normal 2 4 4 2 2 3 2 3" xfId="9569"/>
    <cellStyle name="Normal 3 4 4 2 2 3 2 3" xfId="9570"/>
    <cellStyle name="Normal 4 3 4 2 2 3 2 3" xfId="9571"/>
    <cellStyle name="Normal 5 3 4 2 2 3 2 3" xfId="9572"/>
    <cellStyle name="Normal 7 3 4 2 2 3 2 3" xfId="9573"/>
    <cellStyle name="Normal 2 5 2 2 2 3 2 3" xfId="9574"/>
    <cellStyle name="Normal 3 5 2 2 2 3 2 3" xfId="9575"/>
    <cellStyle name="Normal 4 4 2 2 2 3 2 3" xfId="9576"/>
    <cellStyle name="Normal 5 4 2 2 2 3 2 3" xfId="9577"/>
    <cellStyle name="Normal 7 4 2 2 2 3 2 3" xfId="9578"/>
    <cellStyle name="Normal 2 3 2 2 2 2 3 2 3" xfId="9579"/>
    <cellStyle name="Normal 3 3 2 2 2 2 3 2 3" xfId="9580"/>
    <cellStyle name="Normal 4 2 2 2 2 2 3 2 3" xfId="9581"/>
    <cellStyle name="Normal 5 2 2 2 2 2 3 2 3" xfId="9582"/>
    <cellStyle name="Normal 7 2 2 2 2 2 3 2 3" xfId="9583"/>
    <cellStyle name="Normal 2 4 2 2 2 2 3 2 3" xfId="9584"/>
    <cellStyle name="Normal 3 4 2 2 2 2 3 2 3" xfId="9585"/>
    <cellStyle name="Normal 4 3 2 2 2 2 3 2 3" xfId="9586"/>
    <cellStyle name="Normal 5 3 2 2 2 2 3 2 3" xfId="9587"/>
    <cellStyle name="Normal 7 3 2 2 2 2 3 2 3" xfId="9588"/>
    <cellStyle name="Normal 2 6 2 2 2 3 2 3" xfId="9589"/>
    <cellStyle name="Normal 3 6 2 2 2 3 2 3" xfId="9590"/>
    <cellStyle name="Normal 4 5 2 2 2 3 2 3" xfId="9591"/>
    <cellStyle name="Normal 5 5 2 2 2 3 2 3" xfId="9592"/>
    <cellStyle name="Normal 7 5 2 2 2 3 2 3" xfId="9593"/>
    <cellStyle name="Normal 2 3 3 2 2 2 3 2 3" xfId="9594"/>
    <cellStyle name="Normal 3 3 3 2 2 2 3 2 3" xfId="9595"/>
    <cellStyle name="Normal 4 2 3 2 2 2 3 2 3" xfId="9596"/>
    <cellStyle name="Normal 5 2 3 2 2 2 3 2 3" xfId="9597"/>
    <cellStyle name="Normal 7 2 3 2 2 2 3 2 3" xfId="9598"/>
    <cellStyle name="Normal 2 4 3 2 2 2 3 2 3" xfId="9599"/>
    <cellStyle name="Normal 3 4 3 2 2 2 3 2 3" xfId="9600"/>
    <cellStyle name="Normal 4 3 3 2 2 2 3 2 3" xfId="9601"/>
    <cellStyle name="Normal 5 3 3 2 2 2 3 2 3" xfId="9602"/>
    <cellStyle name="Normal 7 3 3 2 2 2 3 2 3" xfId="9603"/>
    <cellStyle name="Normal 28 3 2 3" xfId="9604"/>
    <cellStyle name="Normal 2 3 7 3 2 3" xfId="9605"/>
    <cellStyle name="Normal 3 10 3 2 3" xfId="9606"/>
    <cellStyle name="Normal 4 9 3 2 3" xfId="9607"/>
    <cellStyle name="Normal 5 9 3 2 3" xfId="9608"/>
    <cellStyle name="Millares 4 3 2 3" xfId="9609"/>
    <cellStyle name="Normal 7 2 7 3 2 3" xfId="9610"/>
    <cellStyle name="Normal 3 3 7 3 2 3" xfId="9611"/>
    <cellStyle name="Normal 4 2 7 3 2 3" xfId="9612"/>
    <cellStyle name="Normal 5 2 7 3 2 3" xfId="9613"/>
    <cellStyle name="Normal 2 4 5 3 3 2 3" xfId="9614"/>
    <cellStyle name="Normal 3 4 7 3 2 3" xfId="9615"/>
    <cellStyle name="Normal 4 3 7 3 2 3" xfId="9616"/>
    <cellStyle name="Normal 5 3 7 3 2 3" xfId="9617"/>
    <cellStyle name="Normal 7 3 7 3 2 3" xfId="9618"/>
    <cellStyle name="Normal 2 5 5 3 2 3" xfId="9619"/>
    <cellStyle name="Normal 3 5 5 3 2 3" xfId="9620"/>
    <cellStyle name="Normal 4 4 5 3 2 3" xfId="9621"/>
    <cellStyle name="Normal 5 4 5 3 2 3" xfId="9622"/>
    <cellStyle name="Normal 7 4 5 3 2 3" xfId="9623"/>
    <cellStyle name="Normal 2 3 2 5 3 2 3" xfId="9624"/>
    <cellStyle name="Normal 3 3 2 5 3 2 3" xfId="9625"/>
    <cellStyle name="Normal 4 2 2 5 3 2 3" xfId="9626"/>
    <cellStyle name="Normal 5 2 2 5 3 2 3" xfId="9627"/>
    <cellStyle name="Normal 7 2 2 5 3 2 3" xfId="9628"/>
    <cellStyle name="Normal 2 4 2 5 3 2 3" xfId="9629"/>
    <cellStyle name="Normal 3 4 2 5 3 2 3" xfId="9630"/>
    <cellStyle name="Normal 4 3 2 5 3 2 3" xfId="9631"/>
    <cellStyle name="Normal 5 3 2 5 3 2 3" xfId="9632"/>
    <cellStyle name="Normal 7 3 2 5 3 2 3" xfId="9633"/>
    <cellStyle name="Normal 2 6 5 3 2 3" xfId="9634"/>
    <cellStyle name="Normal 3 6 5 3 2 3" xfId="9635"/>
    <cellStyle name="Normal 4 5 5 3 2 3" xfId="9636"/>
    <cellStyle name="Normal 5 5 5 3 2 3" xfId="9637"/>
    <cellStyle name="Normal 7 5 5 3 2 3" xfId="9638"/>
    <cellStyle name="Normal 2 3 3 5 3 2 3" xfId="9639"/>
    <cellStyle name="Normal 3 3 3 5 3 2 3" xfId="9640"/>
    <cellStyle name="Normal 4 2 3 5 3 2 3" xfId="9641"/>
    <cellStyle name="Normal 5 2 3 5 3 2 3" xfId="9642"/>
    <cellStyle name="Normal 7 2 3 5 3 2 3" xfId="9643"/>
    <cellStyle name="Normal 2 4 3 5 3 2 3" xfId="9644"/>
    <cellStyle name="Normal 3 4 3 5 3 2 3" xfId="9645"/>
    <cellStyle name="Normal 4 3 3 5 3 2 3" xfId="9646"/>
    <cellStyle name="Normal 5 3 3 5 3 2 3" xfId="9647"/>
    <cellStyle name="Normal 7 3 3 5 3 2 3" xfId="9648"/>
    <cellStyle name="Normal 2 7 4 3 2 3" xfId="9649"/>
    <cellStyle name="Normal 3 7 4 3 2 3" xfId="9650"/>
    <cellStyle name="Normal 4 6 4 3 2 3" xfId="9651"/>
    <cellStyle name="Normal 5 6 4 3 2 3" xfId="9652"/>
    <cellStyle name="Normal 7 6 4 3 2 3" xfId="9653"/>
    <cellStyle name="Normal 2 3 4 4 3 2 3" xfId="9654"/>
    <cellStyle name="Normal 3 3 4 4 3 2 3" xfId="9655"/>
    <cellStyle name="Normal 4 2 4 4 3 2 3" xfId="9656"/>
    <cellStyle name="Normal 5 2 4 4 3 2 3" xfId="9657"/>
    <cellStyle name="Normal 7 2 4 4 3 2 3" xfId="9658"/>
    <cellStyle name="Normal 2 4 4 4 3 2 3" xfId="9659"/>
    <cellStyle name="Normal 3 4 4 4 3 2 3" xfId="9660"/>
    <cellStyle name="Normal 4 3 4 4 3 2 3" xfId="9661"/>
    <cellStyle name="Normal 5 3 4 4 3 2 3" xfId="9662"/>
    <cellStyle name="Normal 7 3 4 4 3 2 3" xfId="9663"/>
    <cellStyle name="Normal 2 5 2 4 3 2 3" xfId="9664"/>
    <cellStyle name="Normal 3 5 2 4 3 2 3" xfId="9665"/>
    <cellStyle name="Normal 4 4 2 4 3 2 3" xfId="9666"/>
    <cellStyle name="Normal 5 4 2 4 3 2 3" xfId="9667"/>
    <cellStyle name="Normal 7 4 2 4 3 2 3" xfId="9668"/>
    <cellStyle name="Normal 2 3 2 2 4 3 2 3" xfId="9669"/>
    <cellStyle name="Normal 3 3 2 2 4 3 2 3" xfId="9670"/>
    <cellStyle name="Normal 4 2 2 2 4 3 2 3" xfId="9671"/>
    <cellStyle name="Normal 5 2 2 2 4 3 2 3" xfId="9672"/>
    <cellStyle name="Normal 7 2 2 2 4 3 2 3" xfId="9673"/>
    <cellStyle name="Normal 2 4 2 2 4 3 2 3" xfId="9674"/>
    <cellStyle name="Normal 3 4 2 2 4 3 2 3" xfId="9675"/>
    <cellStyle name="Normal 4 3 2 2 4 3 2 3" xfId="9676"/>
    <cellStyle name="Normal 5 3 2 2 4 3 2 3" xfId="9677"/>
    <cellStyle name="Normal 7 3 2 2 4 3 2 3" xfId="9678"/>
    <cellStyle name="Normal 2 6 2 4 3 2 3" xfId="9679"/>
    <cellStyle name="Normal 3 6 2 4 3 2 3" xfId="9680"/>
    <cellStyle name="Normal 4 5 2 4 3 2 3" xfId="9681"/>
    <cellStyle name="Normal 5 5 2 4 3 2 3" xfId="9682"/>
    <cellStyle name="Normal 7 5 2 4 3 2 3" xfId="9683"/>
    <cellStyle name="Normal 2 3 3 2 4 3 2 3" xfId="9684"/>
    <cellStyle name="Normal 3 3 3 2 4 3 2 3" xfId="9685"/>
    <cellStyle name="Normal 4 2 3 2 4 3 2 3" xfId="9686"/>
    <cellStyle name="Normal 5 2 3 2 4 3 2 3" xfId="9687"/>
    <cellStyle name="Normal 7 2 3 2 4 3 2 3" xfId="9688"/>
    <cellStyle name="Normal 2 4 3 2 4 3 2 3" xfId="9689"/>
    <cellStyle name="Normal 3 4 3 2 4 3 2 3" xfId="9690"/>
    <cellStyle name="Normal 4 3 3 2 4 3 2 3" xfId="9691"/>
    <cellStyle name="Normal 5 3 3 2 4 3 2 3" xfId="9692"/>
    <cellStyle name="Normal 7 3 3 2 4 3 2 3" xfId="9693"/>
    <cellStyle name="Normal 2 8 3 3 2 3" xfId="9694"/>
    <cellStyle name="Normal 3 8 3 3 2 3" xfId="9695"/>
    <cellStyle name="Normal 4 7 3 3 2 3" xfId="9696"/>
    <cellStyle name="Normal 5 7 3 3 2 3" xfId="9697"/>
    <cellStyle name="Normal 7 7 3 3 2 3" xfId="9698"/>
    <cellStyle name="Normal 2 3 5 3 3 2 3" xfId="9699"/>
    <cellStyle name="Normal 3 3 5 3 3 2 3" xfId="9700"/>
    <cellStyle name="Normal 4 2 5 3 3 2 3" xfId="9701"/>
    <cellStyle name="Normal 5 2 5 3 3 2 3" xfId="9702"/>
    <cellStyle name="Normal 7 2 5 3 3 2 3" xfId="9703"/>
    <cellStyle name="Normal 3 4 5 3 3 2 3" xfId="9704"/>
    <cellStyle name="Normal 4 3 5 3 3 2 3" xfId="9705"/>
    <cellStyle name="Normal 5 3 5 3 3 2 3" xfId="9706"/>
    <cellStyle name="Normal 7 3 5 3 3 2 3" xfId="9707"/>
    <cellStyle name="Normal 2 5 3 3 3 2 3" xfId="9708"/>
    <cellStyle name="Normal 3 5 3 3 3 2 3" xfId="9709"/>
    <cellStyle name="Normal 4 4 3 3 3 2 3" xfId="9710"/>
    <cellStyle name="Normal 5 4 3 3 3 2 3" xfId="9711"/>
    <cellStyle name="Normal 7 4 3 3 3 2 3" xfId="9712"/>
    <cellStyle name="Normal 2 3 2 3 3 3 2 3" xfId="9713"/>
    <cellStyle name="Normal 3 3 2 3 3 3 2 3" xfId="9714"/>
    <cellStyle name="Normal 4 2 2 3 3 3 2 3" xfId="9715"/>
    <cellStyle name="Normal 5 2 2 3 3 3 2 3" xfId="9716"/>
    <cellStyle name="Normal 7 2 2 3 3 3 2 3" xfId="9717"/>
    <cellStyle name="Normal 2 4 2 3 3 3 2 3" xfId="9718"/>
    <cellStyle name="Normal 3 4 2 3 3 3 2 3" xfId="9719"/>
    <cellStyle name="Normal 4 3 2 3 3 3 2 3" xfId="9720"/>
    <cellStyle name="Normal 5 3 2 3 3 3 2 3" xfId="9721"/>
    <cellStyle name="Normal 7 3 2 3 3 3 2 3" xfId="9722"/>
    <cellStyle name="Normal 2 6 3 3 3 2 3" xfId="9723"/>
    <cellStyle name="Normal 3 6 3 3 3 2 3" xfId="9724"/>
    <cellStyle name="Normal 4 5 3 3 3 2 3" xfId="9725"/>
    <cellStyle name="Normal 5 5 3 3 3 2 3" xfId="9726"/>
    <cellStyle name="Normal 7 5 3 3 3 2 3" xfId="9727"/>
    <cellStyle name="Normal 2 3 3 3 3 3 2 3" xfId="9728"/>
    <cellStyle name="Normal 3 3 3 3 3 3 2 3" xfId="9729"/>
    <cellStyle name="Normal 4 2 3 3 3 3 2 3" xfId="9730"/>
    <cellStyle name="Normal 5 2 3 3 3 3 2 3" xfId="9731"/>
    <cellStyle name="Normal 7 2 3 3 3 3 2 3" xfId="9732"/>
    <cellStyle name="Normal 2 4 3 3 3 3 2 3" xfId="9733"/>
    <cellStyle name="Normal 3 4 3 3 3 3 2 3" xfId="9734"/>
    <cellStyle name="Normal 4 3 3 3 3 3 2 3" xfId="9735"/>
    <cellStyle name="Normal 5 3 3 3 3 3 2 3" xfId="9736"/>
    <cellStyle name="Normal 7 3 3 3 3 3 2 3" xfId="9737"/>
    <cellStyle name="Normal 2 7 2 3 3 2 3" xfId="9738"/>
    <cellStyle name="Normal 3 7 2 3 3 2 3" xfId="9739"/>
    <cellStyle name="Normal 4 6 2 3 3 2 3" xfId="9740"/>
    <cellStyle name="Normal 5 6 2 3 3 2 3" xfId="9741"/>
    <cellStyle name="Normal 7 6 2 3 3 2 3" xfId="9742"/>
    <cellStyle name="Normal 2 3 4 2 3 3 2 3" xfId="9743"/>
    <cellStyle name="Normal 3 3 4 2 3 3 2 3" xfId="9744"/>
    <cellStyle name="Normal 4 2 4 2 3 3 2 3" xfId="9745"/>
    <cellStyle name="Normal 5 2 4 2 3 3 2 3" xfId="9746"/>
    <cellStyle name="Normal 7 2 4 2 3 3 2 3" xfId="9747"/>
    <cellStyle name="Normal 2 4 4 2 3 3 2 3" xfId="9748"/>
    <cellStyle name="Normal 3 4 4 2 3 3 2 3" xfId="9749"/>
    <cellStyle name="Normal 4 3 4 2 3 3 2 3" xfId="9750"/>
    <cellStyle name="Normal 5 3 4 2 3 3 2 3" xfId="9751"/>
    <cellStyle name="Normal 7 3 4 2 3 3 2 3" xfId="9752"/>
    <cellStyle name="Normal 2 5 2 2 3 3 2 3" xfId="9753"/>
    <cellStyle name="Normal 3 5 2 2 3 3 2 3" xfId="9754"/>
    <cellStyle name="Normal 4 4 2 2 3 3 2 3" xfId="9755"/>
    <cellStyle name="Normal 5 4 2 2 3 3 2 3" xfId="9756"/>
    <cellStyle name="Normal 7 4 2 2 3 3 2 3" xfId="9757"/>
    <cellStyle name="Normal 2 3 2 2 2 3 3 2 3" xfId="9758"/>
    <cellStyle name="Normal 3 3 2 2 2 3 3 2 3" xfId="9759"/>
    <cellStyle name="Normal 4 2 2 2 2 3 3 2 3" xfId="9760"/>
    <cellStyle name="Normal 5 2 2 2 2 3 3 2 3" xfId="9761"/>
    <cellStyle name="Normal 7 2 2 2 2 3 3 2 3" xfId="9762"/>
    <cellStyle name="Normal 2 4 2 2 2 3 3 2 3" xfId="9763"/>
    <cellStyle name="Normal 3 4 2 2 2 3 3 2 3" xfId="9764"/>
    <cellStyle name="Normal 4 3 2 2 2 3 3 2 3" xfId="9765"/>
    <cellStyle name="Normal 5 3 2 2 2 3 3 2 3" xfId="9766"/>
    <cellStyle name="Normal 7 3 2 2 2 3 3 2 3" xfId="9767"/>
    <cellStyle name="Normal 2 6 2 2 3 3 2 3" xfId="9768"/>
    <cellStyle name="Normal 3 6 2 2 3 3 2 3" xfId="9769"/>
    <cellStyle name="Normal 4 5 2 2 3 3 2 3" xfId="9770"/>
    <cellStyle name="Normal 5 5 2 2 3 3 2 3" xfId="9771"/>
    <cellStyle name="Normal 7 5 2 2 3 3 2 3" xfId="9772"/>
    <cellStyle name="Normal 2 3 3 2 2 3 3 2 3" xfId="9773"/>
    <cellStyle name="Normal 3 3 3 2 2 3 3 2 3" xfId="9774"/>
    <cellStyle name="Normal 4 2 3 2 2 3 3 2 3" xfId="9775"/>
    <cellStyle name="Normal 5 2 3 2 2 3 3 2 3" xfId="9776"/>
    <cellStyle name="Normal 7 2 3 2 2 3 3 2 3" xfId="9777"/>
    <cellStyle name="Normal 2 4 3 2 2 3 3 2 3" xfId="9778"/>
    <cellStyle name="Normal 3 4 3 2 2 3 3 2 3" xfId="9779"/>
    <cellStyle name="Normal 4 3 3 2 2 3 3 2 3" xfId="9780"/>
    <cellStyle name="Normal 5 3 3 2 2 3 3 2 3" xfId="9781"/>
    <cellStyle name="Normal 7 3 3 2 2 3 3 2 3" xfId="9782"/>
    <cellStyle name="Normal 2 14 2" xfId="9783"/>
    <cellStyle name="Normal 3 14 2" xfId="9784"/>
    <cellStyle name="Normal 4 13 2" xfId="9785"/>
    <cellStyle name="Normal 5 13 2" xfId="9786"/>
    <cellStyle name="Normal 7 13 2" xfId="9787"/>
    <cellStyle name="Normal 2 3 11 2" xfId="9788"/>
    <cellStyle name="Normal 3 3 11 2" xfId="9789"/>
    <cellStyle name="Normal 4 2 11 2" xfId="9790"/>
    <cellStyle name="Normal 5 2 11 2" xfId="9791"/>
    <cellStyle name="Normal 7 2 11 2" xfId="9792"/>
    <cellStyle name="Normal 2 4 11 2" xfId="9793"/>
    <cellStyle name="Normal 3 4 11 2" xfId="9794"/>
    <cellStyle name="Normal 4 3 11 2" xfId="9795"/>
    <cellStyle name="Normal 5 3 11 2" xfId="9796"/>
    <cellStyle name="Normal 7 3 11 2" xfId="9797"/>
    <cellStyle name="Normal 2 5 9 2" xfId="9798"/>
    <cellStyle name="Normal 3 5 9 2" xfId="9799"/>
    <cellStyle name="Normal 4 4 9 2" xfId="9800"/>
    <cellStyle name="Normal 5 4 9 2" xfId="9801"/>
    <cellStyle name="Normal 7 4 9 2" xfId="9802"/>
    <cellStyle name="Normal 2 3 2 9 2" xfId="9803"/>
    <cellStyle name="Normal 3 3 2 9 2" xfId="9804"/>
    <cellStyle name="Normal 4 2 2 9 2" xfId="9805"/>
    <cellStyle name="Normal 5 2 2 9 2" xfId="9806"/>
    <cellStyle name="Normal 7 2 2 9 2" xfId="9807"/>
    <cellStyle name="Normal 2 4 2 9 2" xfId="9808"/>
    <cellStyle name="Normal 3 4 2 9 2" xfId="9809"/>
    <cellStyle name="Normal 4 3 2 9 2" xfId="9810"/>
    <cellStyle name="Normal 5 3 2 9 2" xfId="9811"/>
    <cellStyle name="Normal 7 3 2 9 2" xfId="9812"/>
    <cellStyle name="Normal 2 6 9 2" xfId="9813"/>
    <cellStyle name="Normal 3 6 9 2" xfId="9814"/>
    <cellStyle name="Normal 4 5 9 2" xfId="9815"/>
    <cellStyle name="Normal 5 5 9 2" xfId="9816"/>
    <cellStyle name="Normal 7 5 9 2" xfId="9817"/>
    <cellStyle name="Normal 2 3 3 9 2" xfId="9818"/>
    <cellStyle name="Normal 3 3 3 9 2" xfId="9819"/>
    <cellStyle name="Normal 4 2 3 9 2" xfId="9820"/>
    <cellStyle name="Normal 5 2 3 9 2" xfId="9821"/>
    <cellStyle name="Normal 7 2 3 9 2" xfId="9822"/>
    <cellStyle name="Normal 2 4 3 9 2" xfId="9823"/>
    <cellStyle name="Normal 3 4 3 9 2" xfId="9824"/>
    <cellStyle name="Normal 4 3 3 9 2" xfId="9825"/>
    <cellStyle name="Normal 5 3 3 9 2" xfId="9826"/>
    <cellStyle name="Normal 7 3 3 9 2" xfId="9827"/>
    <cellStyle name="Normal 2 7 8 2" xfId="9828"/>
    <cellStyle name="Normal 3 7 8 2" xfId="9829"/>
    <cellStyle name="Normal 4 6 8 2" xfId="9830"/>
    <cellStyle name="Normal 5 6 8 2" xfId="9831"/>
    <cellStyle name="Normal 7 6 8 2" xfId="9832"/>
    <cellStyle name="Normal 2 3 4 8 2" xfId="9833"/>
    <cellStyle name="Normal 3 3 4 8 2" xfId="9834"/>
    <cellStyle name="Normal 4 2 4 8 2" xfId="9835"/>
    <cellStyle name="Normal 5 2 4 8 2" xfId="9836"/>
    <cellStyle name="Normal 7 2 4 8 2" xfId="9837"/>
    <cellStyle name="Normal 2 4 4 8 2" xfId="9838"/>
    <cellStyle name="Normal 3 4 4 8 2" xfId="9839"/>
    <cellStyle name="Normal 4 3 4 8 2" xfId="9840"/>
    <cellStyle name="Normal 5 3 4 8 2" xfId="9841"/>
    <cellStyle name="Normal 7 3 4 8 2" xfId="9842"/>
    <cellStyle name="Normal 2 5 2 8 2" xfId="9843"/>
    <cellStyle name="Normal 3 5 2 8 2" xfId="9844"/>
    <cellStyle name="Normal 4 4 2 8 2" xfId="9845"/>
    <cellStyle name="Normal 5 4 2 8 2" xfId="9846"/>
    <cellStyle name="Normal 7 4 2 8 2" xfId="9847"/>
    <cellStyle name="Normal 2 3 2 2 8 2" xfId="9848"/>
    <cellStyle name="Normal 3 3 2 2 8 2" xfId="9849"/>
    <cellStyle name="Normal 4 2 2 2 8 2" xfId="9850"/>
    <cellStyle name="Normal 5 2 2 2 8 2" xfId="9851"/>
    <cellStyle name="Normal 7 2 2 2 8 2" xfId="9852"/>
    <cellStyle name="Normal 2 4 2 2 8 2" xfId="9853"/>
    <cellStyle name="Normal 3 4 2 2 8 2" xfId="9854"/>
    <cellStyle name="Normal 4 3 2 2 8 2" xfId="9855"/>
    <cellStyle name="Normal 5 3 2 2 8 2" xfId="9856"/>
    <cellStyle name="Normal 7 3 2 2 8 2" xfId="9857"/>
    <cellStyle name="Normal 2 6 2 8 2" xfId="9858"/>
    <cellStyle name="Normal 3 6 2 8 2" xfId="9859"/>
    <cellStyle name="Normal 4 5 2 8 2" xfId="9860"/>
    <cellStyle name="Normal 5 5 2 8 2" xfId="9861"/>
    <cellStyle name="Normal 7 5 2 8 2" xfId="9862"/>
    <cellStyle name="Normal 2 3 3 2 8 2" xfId="9863"/>
    <cellStyle name="Normal 3 3 3 2 8 2" xfId="9864"/>
    <cellStyle name="Normal 4 2 3 2 8 2" xfId="9865"/>
    <cellStyle name="Normal 5 2 3 2 8 2" xfId="9866"/>
    <cellStyle name="Normal 7 2 3 2 8 2" xfId="9867"/>
    <cellStyle name="Normal 2 4 3 2 8 2" xfId="9868"/>
    <cellStyle name="Normal 3 4 3 2 8 2" xfId="9869"/>
    <cellStyle name="Normal 4 3 3 2 8 2" xfId="9870"/>
    <cellStyle name="Normal 5 3 3 2 8 2" xfId="9871"/>
    <cellStyle name="Normal 7 3 3 2 8 2" xfId="9872"/>
    <cellStyle name="Normal 2 8 7 2" xfId="9873"/>
    <cellStyle name="Normal 3 8 7 2" xfId="9874"/>
    <cellStyle name="Normal 4 7 7 2" xfId="9875"/>
    <cellStyle name="Normal 5 7 7 2" xfId="9876"/>
    <cellStyle name="Normal 7 7 7 2" xfId="9877"/>
    <cellStyle name="Normal 2 3 5 7 2" xfId="9878"/>
    <cellStyle name="Normal 3 3 5 7 2" xfId="9879"/>
    <cellStyle name="Normal 4 2 5 7 2" xfId="9880"/>
    <cellStyle name="Normal 5 2 5 7 2" xfId="9881"/>
    <cellStyle name="Normal 7 2 5 7 2" xfId="9882"/>
    <cellStyle name="Normal 2 4 5 7 2" xfId="9883"/>
    <cellStyle name="Normal 3 4 5 7 2" xfId="9884"/>
    <cellStyle name="Normal 4 3 5 7 2" xfId="9885"/>
    <cellStyle name="Normal 5 3 5 7 2" xfId="9886"/>
    <cellStyle name="Normal 7 3 5 7 2" xfId="9887"/>
    <cellStyle name="Normal 2 5 3 7 2" xfId="9888"/>
    <cellStyle name="Normal 3 5 3 7 2" xfId="9889"/>
    <cellStyle name="Normal 4 4 3 7 2" xfId="9890"/>
    <cellStyle name="Normal 5 4 3 7 2" xfId="9891"/>
    <cellStyle name="Normal 7 4 3 7 2" xfId="9892"/>
    <cellStyle name="Normal 2 3 2 3 7 2" xfId="9893"/>
    <cellStyle name="Normal 3 3 2 3 7 2" xfId="9894"/>
    <cellStyle name="Normal 4 2 2 3 7 2" xfId="9895"/>
    <cellStyle name="Normal 5 2 2 3 7 2" xfId="9896"/>
    <cellStyle name="Normal 7 2 2 3 7 2" xfId="9897"/>
    <cellStyle name="Normal 2 4 2 3 7 2" xfId="9898"/>
    <cellStyle name="Normal 3 4 2 3 7 2" xfId="9899"/>
    <cellStyle name="Normal 4 3 2 3 7 2" xfId="9900"/>
    <cellStyle name="Normal 5 3 2 3 7 2" xfId="9901"/>
    <cellStyle name="Normal 7 3 2 3 7 2" xfId="9902"/>
    <cellStyle name="Normal 2 6 3 7 2" xfId="9903"/>
    <cellStyle name="Normal 3 6 3 7 2" xfId="9904"/>
    <cellStyle name="Normal 4 5 3 7 2" xfId="9905"/>
    <cellStyle name="Normal 5 5 3 7 2" xfId="9906"/>
    <cellStyle name="Normal 7 5 3 7 2" xfId="9907"/>
    <cellStyle name="Normal 2 3 3 3 7 2" xfId="9908"/>
    <cellStyle name="Normal 3 3 3 3 7 2" xfId="9909"/>
    <cellStyle name="Normal 4 2 3 3 7 2" xfId="9910"/>
    <cellStyle name="Normal 5 2 3 3 7 2" xfId="9911"/>
    <cellStyle name="Normal 7 2 3 3 7 2" xfId="9912"/>
    <cellStyle name="Normal 2 4 3 3 7 2" xfId="9913"/>
    <cellStyle name="Normal 3 4 3 3 7 2" xfId="9914"/>
    <cellStyle name="Normal 4 3 3 3 7 2" xfId="9915"/>
    <cellStyle name="Normal 5 3 3 3 7 2" xfId="9916"/>
    <cellStyle name="Normal 7 3 3 3 7 2" xfId="9917"/>
    <cellStyle name="Normal 2 7 2 7 2" xfId="9918"/>
    <cellStyle name="Normal 3 7 2 7 2" xfId="9919"/>
    <cellStyle name="Normal 4 6 2 7 2" xfId="9920"/>
    <cellStyle name="Normal 5 6 2 7 2" xfId="9921"/>
    <cellStyle name="Normal 7 6 2 7 2" xfId="9922"/>
    <cellStyle name="Normal 2 3 4 2 7 2" xfId="9923"/>
    <cellStyle name="Normal 3 3 4 2 7 2" xfId="9924"/>
    <cellStyle name="Normal 4 2 4 2 7 2" xfId="9925"/>
    <cellStyle name="Normal 5 2 4 2 7 2" xfId="9926"/>
    <cellStyle name="Normal 7 2 4 2 7 2" xfId="9927"/>
    <cellStyle name="Normal 2 4 4 2 7 2" xfId="9928"/>
    <cellStyle name="Normal 3 4 4 2 7 2" xfId="9929"/>
    <cellStyle name="Normal 4 3 4 2 7 2" xfId="9930"/>
    <cellStyle name="Normal 5 3 4 2 7 2" xfId="9931"/>
    <cellStyle name="Normal 7 3 4 2 7 2" xfId="9932"/>
    <cellStyle name="Normal 2 5 2 2 7 2" xfId="9933"/>
    <cellStyle name="Normal 3 5 2 2 7 2" xfId="9934"/>
    <cellStyle name="Normal 4 4 2 2 7 2" xfId="9935"/>
    <cellStyle name="Normal 5 4 2 2 7 2" xfId="9936"/>
    <cellStyle name="Normal 7 4 2 2 7 2" xfId="9937"/>
    <cellStyle name="Normal 2 3 2 2 2 7 2" xfId="9938"/>
    <cellStyle name="Normal 3 3 2 2 2 7 2" xfId="9939"/>
    <cellStyle name="Normal 4 2 2 2 2 7 2" xfId="9940"/>
    <cellStyle name="Normal 5 2 2 2 2 7 2" xfId="9941"/>
    <cellStyle name="Normal 7 2 2 2 2 7 2" xfId="9942"/>
    <cellStyle name="Normal 2 4 2 2 2 7 2" xfId="9943"/>
    <cellStyle name="Normal 3 4 2 2 2 7 2" xfId="9944"/>
    <cellStyle name="Normal 4 3 2 2 2 7 2" xfId="9945"/>
    <cellStyle name="Normal 5 3 2 2 2 7 2" xfId="9946"/>
    <cellStyle name="Normal 7 3 2 2 2 7 2" xfId="9947"/>
    <cellStyle name="Normal 2 6 2 2 7 2" xfId="9948"/>
    <cellStyle name="Normal 3 6 2 2 7 2" xfId="9949"/>
    <cellStyle name="Normal 4 5 2 2 7 2" xfId="9950"/>
    <cellStyle name="Normal 5 5 2 2 7 2" xfId="9951"/>
    <cellStyle name="Normal 7 5 2 2 7 2" xfId="9952"/>
    <cellStyle name="Normal 2 3 3 2 2 7 2" xfId="9953"/>
    <cellStyle name="Normal 3 3 3 2 2 7 2" xfId="9954"/>
    <cellStyle name="Normal 4 2 3 2 2 7 2" xfId="9955"/>
    <cellStyle name="Normal 5 2 3 2 2 7 2" xfId="9956"/>
    <cellStyle name="Normal 7 2 3 2 2 7 2" xfId="9957"/>
    <cellStyle name="Normal 2 4 3 2 2 7 2" xfId="9958"/>
    <cellStyle name="Normal 3 4 3 2 2 7 2" xfId="9959"/>
    <cellStyle name="Normal 4 3 3 2 2 7 2" xfId="9960"/>
    <cellStyle name="Normal 5 3 3 2 2 7 2" xfId="9961"/>
    <cellStyle name="Normal 7 3 3 2 2 7 2" xfId="9962"/>
    <cellStyle name="Normal 2 9 5 2" xfId="9963"/>
    <cellStyle name="Normal 3 9 5 2" xfId="9964"/>
    <cellStyle name="Normal 4 8 5 2" xfId="9965"/>
    <cellStyle name="Normal 5 8 5 2" xfId="9966"/>
    <cellStyle name="Normal 7 8 5 2" xfId="9967"/>
    <cellStyle name="Normal 2 3 6 5 2" xfId="9968"/>
    <cellStyle name="Normal 3 3 6 5 2" xfId="9969"/>
    <cellStyle name="Normal 4 2 6 5 2" xfId="9970"/>
    <cellStyle name="Normal 5 2 6 5 2" xfId="9971"/>
    <cellStyle name="Normal 7 2 6 5 2" xfId="9972"/>
    <cellStyle name="Normal 2 4 6 5 2" xfId="9973"/>
    <cellStyle name="Normal 3 4 6 5 2" xfId="9974"/>
    <cellStyle name="Normal 4 3 6 5 2" xfId="9975"/>
    <cellStyle name="Normal 5 3 6 5 2" xfId="9976"/>
    <cellStyle name="Normal 7 3 6 5 2" xfId="9977"/>
    <cellStyle name="Normal 2 5 4 5 2" xfId="9978"/>
    <cellStyle name="Normal 3 5 4 5 2" xfId="9979"/>
    <cellStyle name="Normal 4 4 4 5 2" xfId="9980"/>
    <cellStyle name="Normal 5 4 4 5 2" xfId="9981"/>
    <cellStyle name="Normal 7 4 4 5 2" xfId="9982"/>
    <cellStyle name="Normal 2 3 2 4 5 2" xfId="9983"/>
    <cellStyle name="Normal 3 3 2 4 5 2" xfId="9984"/>
    <cellStyle name="Normal 4 2 2 4 5 2" xfId="9985"/>
    <cellStyle name="Normal 5 2 2 4 5 2" xfId="9986"/>
    <cellStyle name="Normal 7 2 2 4 5 2" xfId="9987"/>
    <cellStyle name="Normal 2 4 2 4 5 2" xfId="9988"/>
    <cellStyle name="Normal 3 4 2 4 5 2" xfId="9989"/>
    <cellStyle name="Normal 4 3 2 4 5 2" xfId="9990"/>
    <cellStyle name="Normal 5 3 2 4 5 2" xfId="9991"/>
    <cellStyle name="Normal 7 3 2 4 5 2" xfId="9992"/>
    <cellStyle name="Normal 2 6 4 5 2" xfId="9993"/>
    <cellStyle name="Normal 3 6 4 5 2" xfId="9994"/>
    <cellStyle name="Normal 4 5 4 5 2" xfId="9995"/>
    <cellStyle name="Normal 5 5 4 5 2" xfId="9996"/>
    <cellStyle name="Normal 7 5 4 5 2" xfId="9997"/>
    <cellStyle name="Normal 2 3 3 4 5 2" xfId="9998"/>
    <cellStyle name="Normal 3 3 3 4 5 2" xfId="9999"/>
    <cellStyle name="Normal 4 2 3 4 5 2" xfId="10000"/>
    <cellStyle name="Normal 5 2 3 4 5 2" xfId="10001"/>
    <cellStyle name="Normal 7 2 3 4 5 2" xfId="10002"/>
    <cellStyle name="Normal 2 4 3 4 5 2" xfId="10003"/>
    <cellStyle name="Normal 3 4 3 4 5 2" xfId="10004"/>
    <cellStyle name="Normal 4 3 3 4 5 2" xfId="10005"/>
    <cellStyle name="Normal 5 3 3 4 5 2" xfId="10006"/>
    <cellStyle name="Normal 7 3 3 4 5 2" xfId="10007"/>
    <cellStyle name="Normal 2 7 3 5 2" xfId="10008"/>
    <cellStyle name="Normal 3 7 3 5 2" xfId="10009"/>
    <cellStyle name="Normal 4 6 3 5 2" xfId="10010"/>
    <cellStyle name="Normal 5 6 3 5 2" xfId="10011"/>
    <cellStyle name="Normal 7 6 3 5 2" xfId="10012"/>
    <cellStyle name="Normal 2 3 4 3 5 2" xfId="10013"/>
    <cellStyle name="Normal 3 3 4 3 5 2" xfId="10014"/>
    <cellStyle name="Normal 4 2 4 3 5 2" xfId="10015"/>
    <cellStyle name="Normal 5 2 4 3 5 2" xfId="10016"/>
    <cellStyle name="Normal 7 2 4 3 5 2" xfId="10017"/>
    <cellStyle name="Normal 2 4 4 3 5 2" xfId="10018"/>
    <cellStyle name="Normal 3 4 4 3 5 2" xfId="10019"/>
    <cellStyle name="Normal 4 3 4 3 5 2" xfId="10020"/>
    <cellStyle name="Normal 5 3 4 3 5 2" xfId="10021"/>
    <cellStyle name="Normal 7 3 4 3 5 2" xfId="10022"/>
    <cellStyle name="Normal 2 5 2 3 5 2" xfId="10023"/>
    <cellStyle name="Normal 3 5 2 3 5 2" xfId="10024"/>
    <cellStyle name="Normal 4 4 2 3 5 2" xfId="10025"/>
    <cellStyle name="Normal 5 4 2 3 5 2" xfId="10026"/>
    <cellStyle name="Normal 7 4 2 3 5 2" xfId="10027"/>
    <cellStyle name="Normal 2 3 2 2 3 5 2" xfId="10028"/>
    <cellStyle name="Normal 3 3 2 2 3 5 2" xfId="10029"/>
    <cellStyle name="Normal 4 2 2 2 3 5 2" xfId="10030"/>
    <cellStyle name="Normal 5 2 2 2 3 5 2" xfId="10031"/>
    <cellStyle name="Normal 7 2 2 2 3 5 2" xfId="10032"/>
    <cellStyle name="Normal 2 4 2 2 3 5 2" xfId="10033"/>
    <cellStyle name="Normal 3 4 2 2 3 5 2" xfId="10034"/>
    <cellStyle name="Normal 4 3 2 2 3 5 2" xfId="10035"/>
    <cellStyle name="Normal 5 3 2 2 3 5 2" xfId="10036"/>
    <cellStyle name="Normal 7 3 2 2 3 5 2" xfId="10037"/>
    <cellStyle name="Normal 2 6 2 3 5 2" xfId="10038"/>
    <cellStyle name="Normal 3 6 2 3 5 2" xfId="10039"/>
    <cellStyle name="Normal 4 5 2 3 5 2" xfId="10040"/>
    <cellStyle name="Normal 5 5 2 3 5 2" xfId="10041"/>
    <cellStyle name="Normal 7 5 2 3 5 2" xfId="10042"/>
    <cellStyle name="Normal 2 3 3 2 3 5 2" xfId="10043"/>
    <cellStyle name="Normal 3 3 3 2 3 5 2" xfId="10044"/>
    <cellStyle name="Normal 4 2 3 2 3 5 2" xfId="10045"/>
    <cellStyle name="Normal 5 2 3 2 3 5 2" xfId="10046"/>
    <cellStyle name="Normal 7 2 3 2 3 5 2" xfId="10047"/>
    <cellStyle name="Normal 2 4 3 2 3 5 2" xfId="10048"/>
    <cellStyle name="Normal 3 4 3 2 3 5 2" xfId="10049"/>
    <cellStyle name="Normal 4 3 3 2 3 5 2" xfId="10050"/>
    <cellStyle name="Normal 5 3 3 2 3 5 2" xfId="10051"/>
    <cellStyle name="Normal 7 3 3 2 3 5 2" xfId="10052"/>
    <cellStyle name="Normal 2 8 2 5 2" xfId="10053"/>
    <cellStyle name="Normal 3 8 2 5 2" xfId="10054"/>
    <cellStyle name="Normal 4 7 2 5 2" xfId="10055"/>
    <cellStyle name="Normal 5 7 2 5 2" xfId="10056"/>
    <cellStyle name="Normal 7 7 2 5 2" xfId="10057"/>
    <cellStyle name="Normal 2 3 5 2 5 2" xfId="10058"/>
    <cellStyle name="Normal 3 3 5 2 5 2" xfId="10059"/>
    <cellStyle name="Normal 4 2 5 2 5 2" xfId="10060"/>
    <cellStyle name="Normal 5 2 5 2 5 2" xfId="10061"/>
    <cellStyle name="Normal 7 2 5 2 5 2" xfId="10062"/>
    <cellStyle name="Normal 2 4 5 2 5 2" xfId="10063"/>
    <cellStyle name="Normal 3 4 5 2 5 2" xfId="10064"/>
    <cellStyle name="Normal 4 3 5 2 5 2" xfId="10065"/>
    <cellStyle name="Normal 5 3 5 2 5 2" xfId="10066"/>
    <cellStyle name="Normal 7 3 5 2 5 2" xfId="10067"/>
    <cellStyle name="Normal 2 5 3 2 5 2" xfId="10068"/>
    <cellStyle name="Normal 3 5 3 2 5 2" xfId="10069"/>
    <cellStyle name="Normal 4 4 3 2 5 2" xfId="10070"/>
    <cellStyle name="Normal 5 4 3 2 5 2" xfId="10071"/>
    <cellStyle name="Normal 7 4 3 2 5 2" xfId="10072"/>
    <cellStyle name="Normal 2 3 2 3 2 5 2" xfId="10073"/>
    <cellStyle name="Normal 3 3 2 3 2 5 2" xfId="10074"/>
    <cellStyle name="Normal 4 2 2 3 2 5 2" xfId="10075"/>
    <cellStyle name="Normal 5 2 2 3 2 5 2" xfId="10076"/>
    <cellStyle name="Normal 7 2 2 3 2 5 2" xfId="10077"/>
    <cellStyle name="Normal 2 4 2 3 2 5 2" xfId="10078"/>
    <cellStyle name="Normal 3 4 2 3 2 5 2" xfId="10079"/>
    <cellStyle name="Normal 4 3 2 3 2 5 2" xfId="10080"/>
    <cellStyle name="Normal 5 3 2 3 2 5 2" xfId="10081"/>
    <cellStyle name="Normal 7 3 2 3 2 5 2" xfId="10082"/>
    <cellStyle name="Normal 2 6 3 2 5 2" xfId="10083"/>
    <cellStyle name="Normal 3 6 3 2 5 2" xfId="10084"/>
    <cellStyle name="Normal 4 5 3 2 5 2" xfId="10085"/>
    <cellStyle name="Normal 5 5 3 2 5 2" xfId="10086"/>
    <cellStyle name="Normal 7 5 3 2 5 2" xfId="10087"/>
    <cellStyle name="Normal 2 3 3 3 2 5 2" xfId="10088"/>
    <cellStyle name="Normal 3 3 3 3 2 5 2" xfId="10089"/>
    <cellStyle name="Normal 4 2 3 3 2 5 2" xfId="10090"/>
    <cellStyle name="Normal 5 2 3 3 2 5 2" xfId="10091"/>
    <cellStyle name="Normal 7 2 3 3 2 5 2" xfId="10092"/>
    <cellStyle name="Normal 2 4 3 3 2 5 2" xfId="10093"/>
    <cellStyle name="Normal 3 4 3 3 2 5 2" xfId="10094"/>
    <cellStyle name="Normal 4 3 3 3 2 5 2" xfId="10095"/>
    <cellStyle name="Normal 5 3 3 3 2 5 2" xfId="10096"/>
    <cellStyle name="Normal 7 3 3 3 2 5 2" xfId="10097"/>
    <cellStyle name="Normal 2 7 2 2 5 2" xfId="10098"/>
    <cellStyle name="Normal 3 7 2 2 5 2" xfId="10099"/>
    <cellStyle name="Normal 4 6 2 2 5 2" xfId="10100"/>
    <cellStyle name="Normal 5 6 2 2 5 2" xfId="10101"/>
    <cellStyle name="Normal 7 6 2 2 5 2" xfId="10102"/>
    <cellStyle name="Normal 2 3 4 2 2 5 2" xfId="10103"/>
    <cellStyle name="Normal 3 3 4 2 2 5 2" xfId="10104"/>
    <cellStyle name="Normal 4 2 4 2 2 5 2" xfId="10105"/>
    <cellStyle name="Normal 5 2 4 2 2 5 2" xfId="10106"/>
    <cellStyle name="Normal 7 2 4 2 2 5 2" xfId="10107"/>
    <cellStyle name="Normal 2 4 4 2 2 5 2" xfId="10108"/>
    <cellStyle name="Normal 3 4 4 2 2 5 2" xfId="10109"/>
    <cellStyle name="Normal 4 3 4 2 2 5 2" xfId="10110"/>
    <cellStyle name="Normal 5 3 4 2 2 5 2" xfId="10111"/>
    <cellStyle name="Normal 7 3 4 2 2 5 2" xfId="10112"/>
    <cellStyle name="Normal 2 5 2 2 2 5 2" xfId="10113"/>
    <cellStyle name="Normal 3 5 2 2 2 5 2" xfId="10114"/>
    <cellStyle name="Normal 4 4 2 2 2 5 2" xfId="10115"/>
    <cellStyle name="Normal 5 4 2 2 2 5 2" xfId="10116"/>
    <cellStyle name="Normal 7 4 2 2 2 5 2" xfId="10117"/>
    <cellStyle name="Normal 2 3 2 2 2 2 5 2" xfId="10118"/>
    <cellStyle name="Normal 3 3 2 2 2 2 5 2" xfId="10119"/>
    <cellStyle name="Normal 4 2 2 2 2 2 5 2" xfId="10120"/>
    <cellStyle name="Normal 5 2 2 2 2 2 5 2" xfId="10121"/>
    <cellStyle name="Normal 7 2 2 2 2 2 5 2" xfId="10122"/>
    <cellStyle name="Normal 2 4 2 2 2 2 5 2" xfId="10123"/>
    <cellStyle name="Normal 3 4 2 2 2 2 5 2" xfId="10124"/>
    <cellStyle name="Normal 4 3 2 2 2 2 5 2" xfId="10125"/>
    <cellStyle name="Normal 5 3 2 2 2 2 5 2" xfId="10126"/>
    <cellStyle name="Normal 7 3 2 2 2 2 5 2" xfId="10127"/>
    <cellStyle name="Normal 2 6 2 2 2 5 2" xfId="10128"/>
    <cellStyle name="Normal 3 6 2 2 2 5 2" xfId="10129"/>
    <cellStyle name="Normal 4 5 2 2 2 5 2" xfId="10130"/>
    <cellStyle name="Normal 5 5 2 2 2 5 2" xfId="10131"/>
    <cellStyle name="Normal 7 5 2 2 2 5 2" xfId="10132"/>
    <cellStyle name="Normal 2 3 3 2 2 2 5 2" xfId="10133"/>
    <cellStyle name="Normal 3 3 3 2 2 2 5 2" xfId="10134"/>
    <cellStyle name="Normal 4 2 3 2 2 2 5 2" xfId="10135"/>
    <cellStyle name="Normal 5 2 3 2 2 2 5 2" xfId="10136"/>
    <cellStyle name="Normal 7 2 3 2 2 2 5 2" xfId="10137"/>
    <cellStyle name="Normal 2 4 3 2 2 2 5 2" xfId="10138"/>
    <cellStyle name="Normal 3 4 3 2 2 2 5 2" xfId="10139"/>
    <cellStyle name="Normal 4 3 3 2 2 2 5 2" xfId="10140"/>
    <cellStyle name="Normal 5 3 3 2 2 2 5 2" xfId="10141"/>
    <cellStyle name="Normal 7 3 3 2 2 2 5 2" xfId="10142"/>
    <cellStyle name="Normal 28 5 2" xfId="10143"/>
    <cellStyle name="Normal 2 3 7 5 2" xfId="10144"/>
    <cellStyle name="Normal 3 10 5 2" xfId="10145"/>
    <cellStyle name="Normal 4 9 5 2" xfId="10146"/>
    <cellStyle name="Normal 5 9 5 2" xfId="10147"/>
    <cellStyle name="Millares 4 5 2" xfId="10148"/>
    <cellStyle name="Normal 7 2 7 5 2" xfId="10149"/>
    <cellStyle name="Normal 3 3 7 5 2" xfId="10150"/>
    <cellStyle name="Normal 4 2 7 5 2" xfId="10151"/>
    <cellStyle name="Normal 5 2 7 5 2" xfId="10152"/>
    <cellStyle name="Normal 2 4 5 3 5 2" xfId="10153"/>
    <cellStyle name="Normal 3 4 7 5 2" xfId="10154"/>
    <cellStyle name="Normal 4 3 7 5 2" xfId="10155"/>
    <cellStyle name="Normal 5 3 7 5 2" xfId="10156"/>
    <cellStyle name="Normal 7 3 7 5 2" xfId="10157"/>
    <cellStyle name="Normal 2 5 5 5 2" xfId="10158"/>
    <cellStyle name="Normal 3 5 5 5 2" xfId="10159"/>
    <cellStyle name="Normal 4 4 5 5 2" xfId="10160"/>
    <cellStyle name="Normal 5 4 5 5 2" xfId="10161"/>
    <cellStyle name="Normal 7 4 5 5 2" xfId="10162"/>
    <cellStyle name="Normal 2 3 2 5 5 2" xfId="10163"/>
    <cellStyle name="Normal 3 3 2 5 5 2" xfId="10164"/>
    <cellStyle name="Normal 4 2 2 5 5 2" xfId="10165"/>
    <cellStyle name="Normal 5 2 2 5 5 2" xfId="10166"/>
    <cellStyle name="Normal 7 2 2 5 5 2" xfId="10167"/>
    <cellStyle name="Normal 2 4 2 5 5 2" xfId="10168"/>
    <cellStyle name="Normal 3 4 2 5 5 2" xfId="10169"/>
    <cellStyle name="Normal 4 3 2 5 5 2" xfId="10170"/>
    <cellStyle name="Normal 5 3 2 5 5 2" xfId="10171"/>
    <cellStyle name="Normal 7 3 2 5 5 2" xfId="10172"/>
    <cellStyle name="Normal 2 6 5 5 2" xfId="10173"/>
    <cellStyle name="Normal 3 6 5 5 2" xfId="10174"/>
    <cellStyle name="Normal 4 5 5 5 2" xfId="10175"/>
    <cellStyle name="Normal 5 5 5 5 2" xfId="10176"/>
    <cellStyle name="Normal 7 5 5 5 2" xfId="10177"/>
    <cellStyle name="Normal 2 3 3 5 5 2" xfId="10178"/>
    <cellStyle name="Normal 3 3 3 5 5 2" xfId="10179"/>
    <cellStyle name="Normal 4 2 3 5 5 2" xfId="10180"/>
    <cellStyle name="Normal 5 2 3 5 5 2" xfId="10181"/>
    <cellStyle name="Normal 7 2 3 5 5 2" xfId="10182"/>
    <cellStyle name="Normal 2 4 3 5 5 2" xfId="10183"/>
    <cellStyle name="Normal 3 4 3 5 5 2" xfId="10184"/>
    <cellStyle name="Normal 4 3 3 5 5 2" xfId="10185"/>
    <cellStyle name="Normal 5 3 3 5 5 2" xfId="10186"/>
    <cellStyle name="Normal 7 3 3 5 5 2" xfId="10187"/>
    <cellStyle name="Normal 2 7 4 5 2" xfId="10188"/>
    <cellStyle name="Normal 3 7 4 5 2" xfId="10189"/>
    <cellStyle name="Normal 4 6 4 5 2" xfId="10190"/>
    <cellStyle name="Normal 5 6 4 5 2" xfId="10191"/>
    <cellStyle name="Normal 7 6 4 5 2" xfId="10192"/>
    <cellStyle name="Normal 2 3 4 4 5 2" xfId="10193"/>
    <cellStyle name="Normal 3 3 4 4 5 2" xfId="10194"/>
    <cellStyle name="Normal 4 2 4 4 5 2" xfId="10195"/>
    <cellStyle name="Normal 5 2 4 4 5 2" xfId="10196"/>
    <cellStyle name="Normal 7 2 4 4 5 2" xfId="10197"/>
    <cellStyle name="Normal 2 4 4 4 5 2" xfId="10198"/>
    <cellStyle name="Normal 3 4 4 4 5 2" xfId="10199"/>
    <cellStyle name="Normal 4 3 4 4 5 2" xfId="10200"/>
    <cellStyle name="Normal 5 3 4 4 5 2" xfId="10201"/>
    <cellStyle name="Normal 7 3 4 4 5 2" xfId="10202"/>
    <cellStyle name="Normal 2 5 2 4 5 2" xfId="10203"/>
    <cellStyle name="Normal 3 5 2 4 5 2" xfId="10204"/>
    <cellStyle name="Normal 4 4 2 4 5 2" xfId="10205"/>
    <cellStyle name="Normal 5 4 2 4 5 2" xfId="10206"/>
    <cellStyle name="Normal 7 4 2 4 5 2" xfId="10207"/>
    <cellStyle name="Normal 2 3 2 2 4 5 2" xfId="10208"/>
    <cellStyle name="Normal 3 3 2 2 4 5 2" xfId="10209"/>
    <cellStyle name="Normal 4 2 2 2 4 5 2" xfId="10210"/>
    <cellStyle name="Normal 5 2 2 2 4 5 2" xfId="10211"/>
    <cellStyle name="Normal 7 2 2 2 4 5 2" xfId="10212"/>
    <cellStyle name="Normal 2 4 2 2 4 5 2" xfId="10213"/>
    <cellStyle name="Normal 3 4 2 2 4 5 2" xfId="10214"/>
    <cellStyle name="Normal 4 3 2 2 4 5 2" xfId="10215"/>
    <cellStyle name="Normal 5 3 2 2 4 5 2" xfId="10216"/>
    <cellStyle name="Normal 7 3 2 2 4 5 2" xfId="10217"/>
    <cellStyle name="Normal 2 6 2 4 5 2" xfId="10218"/>
    <cellStyle name="Normal 3 6 2 4 5 2" xfId="10219"/>
    <cellStyle name="Normal 4 5 2 4 5 2" xfId="10220"/>
    <cellStyle name="Normal 5 5 2 4 5 2" xfId="10221"/>
    <cellStyle name="Normal 7 5 2 4 5 2" xfId="10222"/>
    <cellStyle name="Normal 2 3 3 2 4 5 2" xfId="10223"/>
    <cellStyle name="Normal 3 3 3 2 4 5 2" xfId="10224"/>
    <cellStyle name="Normal 4 2 3 2 4 5 2" xfId="10225"/>
    <cellStyle name="Normal 5 2 3 2 4 5 2" xfId="10226"/>
    <cellStyle name="Normal 7 2 3 2 4 5 2" xfId="10227"/>
    <cellStyle name="Normal 2 4 3 2 4 5 2" xfId="10228"/>
    <cellStyle name="Normal 3 4 3 2 4 5 2" xfId="10229"/>
    <cellStyle name="Normal 4 3 3 2 4 5 2" xfId="10230"/>
    <cellStyle name="Normal 5 3 3 2 4 5 2" xfId="10231"/>
    <cellStyle name="Normal 7 3 3 2 4 5 2" xfId="10232"/>
    <cellStyle name="Normal 2 8 3 5 2" xfId="10233"/>
    <cellStyle name="Normal 3 8 3 5 2" xfId="10234"/>
    <cellStyle name="Normal 4 7 3 5 2" xfId="10235"/>
    <cellStyle name="Normal 5 7 3 5 2" xfId="10236"/>
    <cellStyle name="Normal 7 7 3 5 2" xfId="10237"/>
    <cellStyle name="Normal 2 3 5 3 5 2" xfId="10238"/>
    <cellStyle name="Normal 3 3 5 3 5 2" xfId="10239"/>
    <cellStyle name="Normal 4 2 5 3 5 2" xfId="10240"/>
    <cellStyle name="Normal 5 2 5 3 5 2" xfId="10241"/>
    <cellStyle name="Normal 7 2 5 3 5 2" xfId="10242"/>
    <cellStyle name="Normal 3 4 5 3 5 2" xfId="10243"/>
    <cellStyle name="Normal 4 3 5 3 5 2" xfId="10244"/>
    <cellStyle name="Normal 5 3 5 3 5 2" xfId="10245"/>
    <cellStyle name="Normal 7 3 5 3 5 2" xfId="10246"/>
    <cellStyle name="Normal 2 5 3 3 5 2" xfId="10247"/>
    <cellStyle name="Normal 3 5 3 3 5 2" xfId="10248"/>
    <cellStyle name="Normal 4 4 3 3 5 2" xfId="10249"/>
    <cellStyle name="Normal 5 4 3 3 5 2" xfId="10250"/>
    <cellStyle name="Normal 7 4 3 3 5 2" xfId="10251"/>
    <cellStyle name="Normal 2 3 2 3 3 5 2" xfId="10252"/>
    <cellStyle name="Normal 3 3 2 3 3 5 2" xfId="10253"/>
    <cellStyle name="Normal 4 2 2 3 3 5 2" xfId="10254"/>
    <cellStyle name="Normal 5 2 2 3 3 5 2" xfId="10255"/>
    <cellStyle name="Normal 7 2 2 3 3 5 2" xfId="10256"/>
    <cellStyle name="Normal 2 4 2 3 3 5 2" xfId="10257"/>
    <cellStyle name="Normal 3 4 2 3 3 5 2" xfId="10258"/>
    <cellStyle name="Normal 4 3 2 3 3 5 2" xfId="10259"/>
    <cellStyle name="Normal 5 3 2 3 3 5 2" xfId="10260"/>
    <cellStyle name="Normal 7 3 2 3 3 5 2" xfId="10261"/>
    <cellStyle name="Normal 2 6 3 3 5 2" xfId="10262"/>
    <cellStyle name="Normal 3 6 3 3 5 2" xfId="10263"/>
    <cellStyle name="Normal 4 5 3 3 5 2" xfId="10264"/>
    <cellStyle name="Normal 5 5 3 3 5 2" xfId="10265"/>
    <cellStyle name="Normal 7 5 3 3 5 2" xfId="10266"/>
    <cellStyle name="Normal 2 3 3 3 3 5 2" xfId="10267"/>
    <cellStyle name="Normal 3 3 3 3 3 5 2" xfId="10268"/>
    <cellStyle name="Normal 4 2 3 3 3 5 2" xfId="10269"/>
    <cellStyle name="Normal 5 2 3 3 3 5 2" xfId="10270"/>
    <cellStyle name="Normal 7 2 3 3 3 5 2" xfId="10271"/>
    <cellStyle name="Normal 2 4 3 3 3 5 2" xfId="10272"/>
    <cellStyle name="Normal 3 4 3 3 3 5 2" xfId="10273"/>
    <cellStyle name="Normal 4 3 3 3 3 5 2" xfId="10274"/>
    <cellStyle name="Normal 5 3 3 3 3 5 2" xfId="10275"/>
    <cellStyle name="Normal 7 3 3 3 3 5 2" xfId="10276"/>
    <cellStyle name="Normal 2 7 2 3 5 2" xfId="10277"/>
    <cellStyle name="Normal 3 7 2 3 5 2" xfId="10278"/>
    <cellStyle name="Normal 4 6 2 3 5 2" xfId="10279"/>
    <cellStyle name="Normal 5 6 2 3 5 2" xfId="10280"/>
    <cellStyle name="Normal 7 6 2 3 5 2" xfId="10281"/>
    <cellStyle name="Normal 2 3 4 2 3 5 2" xfId="10282"/>
    <cellStyle name="Normal 3 3 4 2 3 5 2" xfId="10283"/>
    <cellStyle name="Normal 4 2 4 2 3 5 2" xfId="10284"/>
    <cellStyle name="Normal 5 2 4 2 3 5 2" xfId="10285"/>
    <cellStyle name="Normal 7 2 4 2 3 5 2" xfId="10286"/>
    <cellStyle name="Normal 2 4 4 2 3 5 2" xfId="10287"/>
    <cellStyle name="Normal 3 4 4 2 3 5 2" xfId="10288"/>
    <cellStyle name="Normal 4 3 4 2 3 5 2" xfId="10289"/>
    <cellStyle name="Normal 5 3 4 2 3 5 2" xfId="10290"/>
    <cellStyle name="Normal 7 3 4 2 3 5 2" xfId="10291"/>
    <cellStyle name="Normal 2 5 2 2 3 5 2" xfId="10292"/>
    <cellStyle name="Normal 3 5 2 2 3 5 2" xfId="10293"/>
    <cellStyle name="Normal 4 4 2 2 3 5 2" xfId="10294"/>
    <cellStyle name="Normal 5 4 2 2 3 5 2" xfId="10295"/>
    <cellStyle name="Normal 7 4 2 2 3 5 2" xfId="10296"/>
    <cellStyle name="Normal 2 3 2 2 2 3 5 2" xfId="10297"/>
    <cellStyle name="Normal 3 3 2 2 2 3 5 2" xfId="10298"/>
    <cellStyle name="Normal 4 2 2 2 2 3 5 2" xfId="10299"/>
    <cellStyle name="Normal 5 2 2 2 2 3 5 2" xfId="10300"/>
    <cellStyle name="Normal 7 2 2 2 2 3 5 2" xfId="10301"/>
    <cellStyle name="Normal 2 4 2 2 2 3 5 2" xfId="10302"/>
    <cellStyle name="Normal 3 4 2 2 2 3 5 2" xfId="10303"/>
    <cellStyle name="Normal 4 3 2 2 2 3 5 2" xfId="10304"/>
    <cellStyle name="Normal 5 3 2 2 2 3 5 2" xfId="10305"/>
    <cellStyle name="Normal 7 3 2 2 2 3 5 2" xfId="10306"/>
    <cellStyle name="Normal 2 6 2 2 3 5 2" xfId="10307"/>
    <cellStyle name="Normal 3 6 2 2 3 5 2" xfId="10308"/>
    <cellStyle name="Normal 4 5 2 2 3 5 2" xfId="10309"/>
    <cellStyle name="Normal 5 5 2 2 3 5 2" xfId="10310"/>
    <cellStyle name="Normal 7 5 2 2 3 5 2" xfId="10311"/>
    <cellStyle name="Normal 2 3 3 2 2 3 5 2" xfId="10312"/>
    <cellStyle name="Normal 3 3 3 2 2 3 5 2" xfId="10313"/>
    <cellStyle name="Normal 4 2 3 2 2 3 5 2" xfId="10314"/>
    <cellStyle name="Normal 5 2 3 2 2 3 5 2" xfId="10315"/>
    <cellStyle name="Normal 7 2 3 2 2 3 5 2" xfId="10316"/>
    <cellStyle name="Normal 2 4 3 2 2 3 5 2" xfId="10317"/>
    <cellStyle name="Normal 3 4 3 2 2 3 5 2" xfId="10318"/>
    <cellStyle name="Normal 4 3 3 2 2 3 5 2" xfId="10319"/>
    <cellStyle name="Normal 5 3 3 2 2 3 5 2" xfId="10320"/>
    <cellStyle name="Normal 7 3 3 2 2 3 5 2" xfId="10321"/>
    <cellStyle name="Normal 2 11 3 2" xfId="10322"/>
    <cellStyle name="Normal 3 11 3 2" xfId="10323"/>
    <cellStyle name="Normal 4 10 3 2" xfId="10324"/>
    <cellStyle name="Normal 5 10 3 2" xfId="10325"/>
    <cellStyle name="Normal 7 10 3 2" xfId="10326"/>
    <cellStyle name="Normal 2 3 8 3 2" xfId="10327"/>
    <cellStyle name="Normal 3 3 8 3 2" xfId="10328"/>
    <cellStyle name="Normal 4 2 8 3 2" xfId="10329"/>
    <cellStyle name="Normal 5 2 8 3 2" xfId="10330"/>
    <cellStyle name="Normal 7 2 8 3 2" xfId="10331"/>
    <cellStyle name="Normal 2 4 8 3 2" xfId="10332"/>
    <cellStyle name="Normal 3 4 8 3 2" xfId="10333"/>
    <cellStyle name="Normal 4 3 8 3 2" xfId="10334"/>
    <cellStyle name="Normal 5 3 8 3 2" xfId="10335"/>
    <cellStyle name="Normal 7 3 8 3 2" xfId="10336"/>
    <cellStyle name="Normal 2 5 6 3 2" xfId="10337"/>
    <cellStyle name="Normal 3 5 6 3 2" xfId="10338"/>
    <cellStyle name="Normal 4 4 6 3 2" xfId="10339"/>
    <cellStyle name="Normal 5 4 6 3 2" xfId="10340"/>
    <cellStyle name="Normal 7 4 6 3 2" xfId="10341"/>
    <cellStyle name="Normal 2 3 2 6 3 2" xfId="10342"/>
    <cellStyle name="Normal 3 3 2 6 3 2" xfId="10343"/>
    <cellStyle name="Normal 4 2 2 6 3 2" xfId="10344"/>
    <cellStyle name="Normal 5 2 2 6 3 2" xfId="10345"/>
    <cellStyle name="Normal 7 2 2 6 3 2" xfId="10346"/>
    <cellStyle name="Normal 2 4 2 6 3 2" xfId="10347"/>
    <cellStyle name="Normal 3 4 2 6 3 2" xfId="10348"/>
    <cellStyle name="Normal 4 3 2 6 3 2" xfId="10349"/>
    <cellStyle name="Normal 5 3 2 6 3 2" xfId="10350"/>
    <cellStyle name="Normal 7 3 2 6 3 2" xfId="10351"/>
    <cellStyle name="Normal 2 6 6 3 2" xfId="10352"/>
    <cellStyle name="Normal 3 6 6 3 2" xfId="10353"/>
    <cellStyle name="Normal 4 5 6 3 2" xfId="10354"/>
    <cellStyle name="Normal 5 5 6 3 2" xfId="10355"/>
    <cellStyle name="Normal 7 5 6 3 2" xfId="10356"/>
    <cellStyle name="Normal 2 3 3 6 3 2" xfId="10357"/>
    <cellStyle name="Normal 3 3 3 6 3 2" xfId="10358"/>
    <cellStyle name="Normal 4 2 3 6 3 2" xfId="10359"/>
    <cellStyle name="Normal 5 2 3 6 3 2" xfId="10360"/>
    <cellStyle name="Normal 7 2 3 6 3 2" xfId="10361"/>
    <cellStyle name="Normal 2 4 3 6 3 2" xfId="10362"/>
    <cellStyle name="Normal 3 4 3 6 3 2" xfId="10363"/>
    <cellStyle name="Normal 4 3 3 6 3 2" xfId="10364"/>
    <cellStyle name="Normal 5 3 3 6 3 2" xfId="10365"/>
    <cellStyle name="Normal 7 3 3 6 3 2" xfId="10366"/>
    <cellStyle name="Normal 2 7 5 3 2" xfId="10367"/>
    <cellStyle name="Normal 3 7 5 3 2" xfId="10368"/>
    <cellStyle name="Normal 4 6 5 3 2" xfId="10369"/>
    <cellStyle name="Normal 5 6 5 3 2" xfId="10370"/>
    <cellStyle name="Normal 7 6 5 3 2" xfId="10371"/>
    <cellStyle name="Normal 2 3 4 5 3 2" xfId="10372"/>
    <cellStyle name="Normal 3 3 4 5 3 2" xfId="10373"/>
    <cellStyle name="Normal 4 2 4 5 3 2" xfId="10374"/>
    <cellStyle name="Normal 5 2 4 5 3 2" xfId="10375"/>
    <cellStyle name="Normal 7 2 4 5 3 2" xfId="10376"/>
    <cellStyle name="Normal 2 4 4 5 3 2" xfId="10377"/>
    <cellStyle name="Normal 3 4 4 5 3 2" xfId="10378"/>
    <cellStyle name="Normal 4 3 4 5 3 2" xfId="10379"/>
    <cellStyle name="Normal 5 3 4 5 3 2" xfId="10380"/>
    <cellStyle name="Normal 7 3 4 5 3 2" xfId="10381"/>
    <cellStyle name="Normal 2 5 2 5 3 2" xfId="10382"/>
    <cellStyle name="Normal 3 5 2 5 3 2" xfId="10383"/>
    <cellStyle name="Normal 4 4 2 5 3 2" xfId="10384"/>
    <cellStyle name="Normal 5 4 2 5 3 2" xfId="10385"/>
    <cellStyle name="Normal 7 4 2 5 3 2" xfId="10386"/>
    <cellStyle name="Normal 2 3 2 2 5 3 2" xfId="10387"/>
    <cellStyle name="Normal 3 3 2 2 5 3 2" xfId="10388"/>
    <cellStyle name="Normal 4 2 2 2 5 3 2" xfId="10389"/>
    <cellStyle name="Normal 5 2 2 2 5 3 2" xfId="10390"/>
    <cellStyle name="Normal 7 2 2 2 5 3 2" xfId="10391"/>
    <cellStyle name="Normal 2 4 2 2 5 3 2" xfId="10392"/>
    <cellStyle name="Normal 3 4 2 2 5 3 2" xfId="10393"/>
    <cellStyle name="Normal 4 3 2 2 5 3 2" xfId="10394"/>
    <cellStyle name="Normal 5 3 2 2 5 3 2" xfId="10395"/>
    <cellStyle name="Normal 7 3 2 2 5 3 2" xfId="10396"/>
    <cellStyle name="Normal 2 6 2 5 3 2" xfId="10397"/>
    <cellStyle name="Normal 3 6 2 5 3 2" xfId="10398"/>
    <cellStyle name="Normal 4 5 2 5 3 2" xfId="10399"/>
    <cellStyle name="Normal 5 5 2 5 3 2" xfId="10400"/>
    <cellStyle name="Normal 7 5 2 5 3 2" xfId="10401"/>
    <cellStyle name="Normal 2 3 3 2 5 3 2" xfId="10402"/>
    <cellStyle name="Normal 3 3 3 2 5 3 2" xfId="10403"/>
    <cellStyle name="Normal 4 2 3 2 5 3 2" xfId="10404"/>
    <cellStyle name="Normal 5 2 3 2 5 3 2" xfId="10405"/>
    <cellStyle name="Normal 7 2 3 2 5 3 2" xfId="10406"/>
    <cellStyle name="Normal 2 4 3 2 5 3 2" xfId="10407"/>
    <cellStyle name="Normal 3 4 3 2 5 3 2" xfId="10408"/>
    <cellStyle name="Normal 4 3 3 2 5 3 2" xfId="10409"/>
    <cellStyle name="Normal 5 3 3 2 5 3 2" xfId="10410"/>
    <cellStyle name="Normal 7 3 3 2 5 3 2" xfId="10411"/>
    <cellStyle name="Normal 2 8 4 3 2" xfId="10412"/>
    <cellStyle name="Normal 3 8 4 3 2" xfId="10413"/>
    <cellStyle name="Normal 4 7 4 3 2" xfId="10414"/>
    <cellStyle name="Normal 5 7 4 3 2" xfId="10415"/>
    <cellStyle name="Normal 7 7 4 3 2" xfId="10416"/>
    <cellStyle name="Normal 2 3 5 4 3 2" xfId="10417"/>
    <cellStyle name="Normal 3 3 5 4 3 2" xfId="10418"/>
    <cellStyle name="Normal 4 2 5 4 3 2" xfId="10419"/>
    <cellStyle name="Normal 5 2 5 4 3 2" xfId="10420"/>
    <cellStyle name="Normal 7 2 5 4 3 2" xfId="10421"/>
    <cellStyle name="Normal 2 4 5 4 3 2" xfId="10422"/>
    <cellStyle name="Normal 3 4 5 4 3 2" xfId="10423"/>
    <cellStyle name="Normal 4 3 5 4 3 2" xfId="10424"/>
    <cellStyle name="Normal 5 3 5 4 3 2" xfId="10425"/>
    <cellStyle name="Normal 7 3 5 4 3 2" xfId="10426"/>
    <cellStyle name="Normal 2 5 3 4 3 2" xfId="10427"/>
    <cellStyle name="Normal 3 5 3 4 3 2" xfId="10428"/>
    <cellStyle name="Normal 4 4 3 4 3 2" xfId="10429"/>
    <cellStyle name="Normal 5 4 3 4 3 2" xfId="10430"/>
    <cellStyle name="Normal 7 4 3 4 3 2" xfId="10431"/>
    <cellStyle name="Normal 2 3 2 3 4 3 2" xfId="10432"/>
    <cellStyle name="Normal 3 3 2 3 4 3 2" xfId="10433"/>
    <cellStyle name="Normal 4 2 2 3 4 3 2" xfId="10434"/>
    <cellStyle name="Normal 5 2 2 3 4 3 2" xfId="10435"/>
    <cellStyle name="Normal 7 2 2 3 4 3 2" xfId="10436"/>
    <cellStyle name="Normal 2 4 2 3 4 3 2" xfId="10437"/>
    <cellStyle name="Normal 3 4 2 3 4 3 2" xfId="10438"/>
    <cellStyle name="Normal 4 3 2 3 4 3 2" xfId="10439"/>
    <cellStyle name="Normal 5 3 2 3 4 3 2" xfId="10440"/>
    <cellStyle name="Normal 7 3 2 3 4 3 2" xfId="10441"/>
    <cellStyle name="Normal 2 6 3 4 3 2" xfId="10442"/>
    <cellStyle name="Normal 3 6 3 4 3 2" xfId="10443"/>
    <cellStyle name="Normal 4 5 3 4 3 2" xfId="10444"/>
    <cellStyle name="Normal 5 5 3 4 3 2" xfId="10445"/>
    <cellStyle name="Normal 7 5 3 4 3 2" xfId="10446"/>
    <cellStyle name="Normal 2 3 3 3 4 3 2" xfId="10447"/>
    <cellStyle name="Normal 3 3 3 3 4 3 2" xfId="10448"/>
    <cellStyle name="Normal 4 2 3 3 4 3 2" xfId="10449"/>
    <cellStyle name="Normal 5 2 3 3 4 3 2" xfId="10450"/>
    <cellStyle name="Normal 7 2 3 3 4 3 2" xfId="10451"/>
    <cellStyle name="Normal 2 4 3 3 4 3 2" xfId="10452"/>
    <cellStyle name="Normal 3 4 3 3 4 3 2" xfId="10453"/>
    <cellStyle name="Normal 4 3 3 3 4 3 2" xfId="10454"/>
    <cellStyle name="Normal 5 3 3 3 4 3 2" xfId="10455"/>
    <cellStyle name="Normal 7 3 3 3 4 3 2" xfId="10456"/>
    <cellStyle name="Normal 2 7 2 4 3 2" xfId="10457"/>
    <cellStyle name="Normal 3 7 2 4 3 2" xfId="10458"/>
    <cellStyle name="Normal 4 6 2 4 3 2" xfId="10459"/>
    <cellStyle name="Normal 5 6 2 4 3 2" xfId="10460"/>
    <cellStyle name="Normal 7 6 2 4 3 2" xfId="10461"/>
    <cellStyle name="Normal 2 3 4 2 4 3 2" xfId="10462"/>
    <cellStyle name="Normal 3 3 4 2 4 3 2" xfId="10463"/>
    <cellStyle name="Normal 4 2 4 2 4 3 2" xfId="10464"/>
    <cellStyle name="Normal 5 2 4 2 4 3 2" xfId="10465"/>
    <cellStyle name="Normal 7 2 4 2 4 3 2" xfId="10466"/>
    <cellStyle name="Normal 2 4 4 2 4 3 2" xfId="10467"/>
    <cellStyle name="Normal 3 4 4 2 4 3 2" xfId="10468"/>
    <cellStyle name="Normal 4 3 4 2 4 3 2" xfId="10469"/>
    <cellStyle name="Normal 5 3 4 2 4 3 2" xfId="10470"/>
    <cellStyle name="Normal 7 3 4 2 4 3 2" xfId="10471"/>
    <cellStyle name="Normal 2 5 2 2 4 3 2" xfId="10472"/>
    <cellStyle name="Normal 3 5 2 2 4 3 2" xfId="10473"/>
    <cellStyle name="Normal 4 4 2 2 4 3 2" xfId="10474"/>
    <cellStyle name="Normal 5 4 2 2 4 3 2" xfId="10475"/>
    <cellStyle name="Normal 7 4 2 2 4 3 2" xfId="10476"/>
    <cellStyle name="Normal 2 3 2 2 2 4 3 2" xfId="10477"/>
    <cellStyle name="Normal 3 3 2 2 2 4 3 2" xfId="10478"/>
    <cellStyle name="Normal 4 2 2 2 2 4 3 2" xfId="10479"/>
    <cellStyle name="Normal 5 2 2 2 2 4 3 2" xfId="10480"/>
    <cellStyle name="Normal 7 2 2 2 2 4 3 2" xfId="10481"/>
    <cellStyle name="Normal 2 4 2 2 2 4 3 2" xfId="10482"/>
    <cellStyle name="Normal 3 4 2 2 2 4 3 2" xfId="10483"/>
    <cellStyle name="Normal 4 3 2 2 2 4 3 2" xfId="10484"/>
    <cellStyle name="Normal 5 3 2 2 2 4 3 2" xfId="10485"/>
    <cellStyle name="Normal 7 3 2 2 2 4 3 2" xfId="10486"/>
    <cellStyle name="Normal 2 6 2 2 4 3 2" xfId="10487"/>
    <cellStyle name="Normal 3 6 2 2 4 3 2" xfId="10488"/>
    <cellStyle name="Normal 4 5 2 2 4 3 2" xfId="10489"/>
    <cellStyle name="Normal 5 5 2 2 4 3 2" xfId="10490"/>
    <cellStyle name="Normal 7 5 2 2 4 3 2" xfId="10491"/>
    <cellStyle name="Normal 2 3 3 2 2 4 3 2" xfId="10492"/>
    <cellStyle name="Normal 3 3 3 2 2 4 3 2" xfId="10493"/>
    <cellStyle name="Normal 4 2 3 2 2 4 3 2" xfId="10494"/>
    <cellStyle name="Normal 5 2 3 2 2 4 3 2" xfId="10495"/>
    <cellStyle name="Normal 7 2 3 2 2 4 3 2" xfId="10496"/>
    <cellStyle name="Normal 2 4 3 2 2 4 3 2" xfId="10497"/>
    <cellStyle name="Normal 3 4 3 2 2 4 3 2" xfId="10498"/>
    <cellStyle name="Normal 4 3 3 2 2 4 3 2" xfId="10499"/>
    <cellStyle name="Normal 5 3 3 2 2 4 3 2" xfId="10500"/>
    <cellStyle name="Normal 7 3 3 2 2 4 3 2" xfId="10501"/>
    <cellStyle name="Normal 2 9 2 3 2" xfId="10502"/>
    <cellStyle name="Normal 3 9 2 3 2" xfId="10503"/>
    <cellStyle name="Normal 4 8 2 3 2" xfId="10504"/>
    <cellStyle name="Normal 5 8 2 3 2" xfId="10505"/>
    <cellStyle name="Normal 7 8 2 3 2" xfId="10506"/>
    <cellStyle name="Normal 2 3 6 2 3 2" xfId="10507"/>
    <cellStyle name="Normal 3 3 6 2 3 2" xfId="10508"/>
    <cellStyle name="Normal 4 2 6 2 3 2" xfId="10509"/>
    <cellStyle name="Normal 5 2 6 2 3 2" xfId="10510"/>
    <cellStyle name="Normal 7 2 6 2 3 2" xfId="10511"/>
    <cellStyle name="Normal 2 4 6 2 3 2" xfId="10512"/>
    <cellStyle name="Normal 3 4 6 2 3 2" xfId="10513"/>
    <cellStyle name="Normal 4 3 6 2 3 2" xfId="10514"/>
    <cellStyle name="Normal 5 3 6 2 3 2" xfId="10515"/>
    <cellStyle name="Normal 7 3 6 2 3 2" xfId="10516"/>
    <cellStyle name="Normal 2 5 4 2 3 2" xfId="10517"/>
    <cellStyle name="Normal 3 5 4 2 3 2" xfId="10518"/>
    <cellStyle name="Normal 4 4 4 2 3 2" xfId="10519"/>
    <cellStyle name="Normal 5 4 4 2 3 2" xfId="10520"/>
    <cellStyle name="Normal 7 4 4 2 3 2" xfId="10521"/>
    <cellStyle name="Normal 2 3 2 4 2 3 2" xfId="10522"/>
    <cellStyle name="Normal 3 3 2 4 2 3 2" xfId="10523"/>
    <cellStyle name="Normal 4 2 2 4 2 3 2" xfId="10524"/>
    <cellStyle name="Normal 5 2 2 4 2 3 2" xfId="10525"/>
    <cellStyle name="Normal 7 2 2 4 2 3 2" xfId="10526"/>
    <cellStyle name="Normal 2 4 2 4 2 3 2" xfId="10527"/>
    <cellStyle name="Normal 3 4 2 4 2 3 2" xfId="10528"/>
    <cellStyle name="Normal 4 3 2 4 2 3 2" xfId="10529"/>
    <cellStyle name="Normal 5 3 2 4 2 3 2" xfId="10530"/>
    <cellStyle name="Normal 7 3 2 4 2 3 2" xfId="10531"/>
    <cellStyle name="Normal 2 6 4 2 3 2" xfId="10532"/>
    <cellStyle name="Normal 3 6 4 2 3 2" xfId="10533"/>
    <cellStyle name="Normal 4 5 4 2 3 2" xfId="10534"/>
    <cellStyle name="Normal 5 5 4 2 3 2" xfId="10535"/>
    <cellStyle name="Normal 7 5 4 2 3 2" xfId="10536"/>
    <cellStyle name="Normal 2 3 3 4 2 3 2" xfId="10537"/>
    <cellStyle name="Normal 3 3 3 4 2 3 2" xfId="10538"/>
    <cellStyle name="Normal 4 2 3 4 2 3 2" xfId="10539"/>
    <cellStyle name="Normal 5 2 3 4 2 3 2" xfId="10540"/>
    <cellStyle name="Normal 7 2 3 4 2 3 2" xfId="10541"/>
    <cellStyle name="Normal 2 4 3 4 2 3 2" xfId="10542"/>
    <cellStyle name="Normal 3 4 3 4 2 3 2" xfId="10543"/>
    <cellStyle name="Normal 4 3 3 4 2 3 2" xfId="10544"/>
    <cellStyle name="Normal 5 3 3 4 2 3 2" xfId="10545"/>
    <cellStyle name="Normal 7 3 3 4 2 3 2" xfId="10546"/>
    <cellStyle name="Normal 2 7 3 2 3 2" xfId="10547"/>
    <cellStyle name="Normal 3 7 3 2 3 2" xfId="10548"/>
    <cellStyle name="Normal 4 6 3 2 3 2" xfId="10549"/>
    <cellStyle name="Normal 5 6 3 2 3 2" xfId="10550"/>
    <cellStyle name="Normal 7 6 3 2 3 2" xfId="10551"/>
    <cellStyle name="Normal 2 3 4 3 2 3 2" xfId="10552"/>
    <cellStyle name="Normal 3 3 4 3 2 3 2" xfId="10553"/>
    <cellStyle name="Normal 4 2 4 3 2 3 2" xfId="10554"/>
    <cellStyle name="Normal 5 2 4 3 2 3 2" xfId="10555"/>
    <cellStyle name="Normal 7 2 4 3 2 3 2" xfId="10556"/>
    <cellStyle name="Normal 2 4 4 3 2 3 2" xfId="10557"/>
    <cellStyle name="Normal 3 4 4 3 2 3 2" xfId="10558"/>
    <cellStyle name="Normal 4 3 4 3 2 3 2" xfId="10559"/>
    <cellStyle name="Normal 5 3 4 3 2 3 2" xfId="10560"/>
    <cellStyle name="Normal 7 3 4 3 2 3 2" xfId="10561"/>
    <cellStyle name="Normal 2 5 2 3 2 3 2" xfId="10562"/>
    <cellStyle name="Normal 3 5 2 3 2 3 2" xfId="10563"/>
    <cellStyle name="Normal 4 4 2 3 2 3 2" xfId="10564"/>
    <cellStyle name="Normal 5 4 2 3 2 3 2" xfId="10565"/>
    <cellStyle name="Normal 7 4 2 3 2 3 2" xfId="10566"/>
    <cellStyle name="Normal 2 3 2 2 3 2 3 2" xfId="10567"/>
    <cellStyle name="Normal 3 3 2 2 3 2 3 2" xfId="10568"/>
    <cellStyle name="Normal 4 2 2 2 3 2 3 2" xfId="10569"/>
    <cellStyle name="Normal 5 2 2 2 3 2 3 2" xfId="10570"/>
    <cellStyle name="Normal 7 2 2 2 3 2 3 2" xfId="10571"/>
    <cellStyle name="Normal 2 4 2 2 3 2 3 2" xfId="10572"/>
    <cellStyle name="Normal 3 4 2 2 3 2 3 2" xfId="10573"/>
    <cellStyle name="Normal 4 3 2 2 3 2 3 2" xfId="10574"/>
    <cellStyle name="Normal 5 3 2 2 3 2 3 2" xfId="10575"/>
    <cellStyle name="Normal 7 3 2 2 3 2 3 2" xfId="10576"/>
    <cellStyle name="Normal 2 6 2 3 2 3 2" xfId="10577"/>
    <cellStyle name="Normal 3 6 2 3 2 3 2" xfId="10578"/>
    <cellStyle name="Normal 4 5 2 3 2 3 2" xfId="10579"/>
    <cellStyle name="Normal 5 5 2 3 2 3 2" xfId="10580"/>
    <cellStyle name="Normal 7 5 2 3 2 3 2" xfId="10581"/>
    <cellStyle name="Normal 2 3 3 2 3 2 3 2" xfId="10582"/>
    <cellStyle name="Normal 3 3 3 2 3 2 3 2" xfId="10583"/>
    <cellStyle name="Normal 4 2 3 2 3 2 3 2" xfId="10584"/>
    <cellStyle name="Normal 5 2 3 2 3 2 3 2" xfId="10585"/>
    <cellStyle name="Normal 7 2 3 2 3 2 3 2" xfId="10586"/>
    <cellStyle name="Normal 2 4 3 2 3 2 3 2" xfId="10587"/>
    <cellStyle name="Normal 3 4 3 2 3 2 3 2" xfId="10588"/>
    <cellStyle name="Normal 4 3 3 2 3 2 3 2" xfId="10589"/>
    <cellStyle name="Normal 5 3 3 2 3 2 3 2" xfId="10590"/>
    <cellStyle name="Normal 7 3 3 2 3 2 3 2" xfId="10591"/>
    <cellStyle name="Normal 2 8 2 2 3 2" xfId="10592"/>
    <cellStyle name="Normal 3 8 2 2 3 2" xfId="10593"/>
    <cellStyle name="Normal 4 7 2 2 3 2" xfId="10594"/>
    <cellStyle name="Normal 5 7 2 2 3 2" xfId="10595"/>
    <cellStyle name="Normal 7 7 2 2 3 2" xfId="10596"/>
    <cellStyle name="Normal 2 3 5 2 2 3 2" xfId="10597"/>
    <cellStyle name="Normal 3 3 5 2 2 3 2" xfId="10598"/>
    <cellStyle name="Normal 4 2 5 2 2 3 2" xfId="10599"/>
    <cellStyle name="Normal 5 2 5 2 2 3 2" xfId="10600"/>
    <cellStyle name="Normal 7 2 5 2 2 3 2" xfId="10601"/>
    <cellStyle name="Normal 2 4 5 2 2 3 2" xfId="10602"/>
    <cellStyle name="Normal 3 4 5 2 2 3 2" xfId="10603"/>
    <cellStyle name="Normal 4 3 5 2 2 3 2" xfId="10604"/>
    <cellStyle name="Normal 5 3 5 2 2 3 2" xfId="10605"/>
    <cellStyle name="Normal 7 3 5 2 2 3 2" xfId="10606"/>
    <cellStyle name="Normal 2 5 3 2 2 3 2" xfId="10607"/>
    <cellStyle name="Normal 3 5 3 2 2 3 2" xfId="10608"/>
    <cellStyle name="Normal 4 4 3 2 2 3 2" xfId="10609"/>
    <cellStyle name="Normal 5 4 3 2 2 3 2" xfId="10610"/>
    <cellStyle name="Normal 7 4 3 2 2 3 2" xfId="10611"/>
    <cellStyle name="Normal 2 3 2 3 2 2 3 2" xfId="10612"/>
    <cellStyle name="Normal 3 3 2 3 2 2 3 2" xfId="10613"/>
    <cellStyle name="Normal 4 2 2 3 2 2 3 2" xfId="10614"/>
    <cellStyle name="Normal 5 2 2 3 2 2 3 2" xfId="10615"/>
    <cellStyle name="Normal 7 2 2 3 2 2 3 2" xfId="10616"/>
    <cellStyle name="Normal 2 4 2 3 2 2 3 2" xfId="10617"/>
    <cellStyle name="Normal 3 4 2 3 2 2 3 2" xfId="10618"/>
    <cellStyle name="Normal 4 3 2 3 2 2 3 2" xfId="10619"/>
    <cellStyle name="Normal 5 3 2 3 2 2 3 2" xfId="10620"/>
    <cellStyle name="Normal 7 3 2 3 2 2 3 2" xfId="10621"/>
    <cellStyle name="Normal 2 6 3 2 2 3 2" xfId="10622"/>
    <cellStyle name="Normal 3 6 3 2 2 3 2" xfId="10623"/>
    <cellStyle name="Normal 4 5 3 2 2 3 2" xfId="10624"/>
    <cellStyle name="Normal 5 5 3 2 2 3 2" xfId="10625"/>
    <cellStyle name="Normal 7 5 3 2 2 3 2" xfId="10626"/>
    <cellStyle name="Normal 2 3 3 3 2 2 3 2" xfId="10627"/>
    <cellStyle name="Normal 3 3 3 3 2 2 3 2" xfId="10628"/>
    <cellStyle name="Normal 4 2 3 3 2 2 3 2" xfId="10629"/>
    <cellStyle name="Normal 5 2 3 3 2 2 3 2" xfId="10630"/>
    <cellStyle name="Normal 7 2 3 3 2 2 3 2" xfId="10631"/>
    <cellStyle name="Normal 2 4 3 3 2 2 3 2" xfId="10632"/>
    <cellStyle name="Normal 3 4 3 3 2 2 3 2" xfId="10633"/>
    <cellStyle name="Normal 4 3 3 3 2 2 3 2" xfId="10634"/>
    <cellStyle name="Normal 5 3 3 3 2 2 3 2" xfId="10635"/>
    <cellStyle name="Normal 7 3 3 3 2 2 3 2" xfId="10636"/>
    <cellStyle name="Normal 2 7 2 2 2 3 2" xfId="10637"/>
    <cellStyle name="Normal 3 7 2 2 2 3 2" xfId="10638"/>
    <cellStyle name="Normal 4 6 2 2 2 3 2" xfId="10639"/>
    <cellStyle name="Normal 5 6 2 2 2 3 2" xfId="10640"/>
    <cellStyle name="Normal 7 6 2 2 2 3 2" xfId="10641"/>
    <cellStyle name="Normal 2 3 4 2 2 2 3 2" xfId="10642"/>
    <cellStyle name="Normal 3 3 4 2 2 2 3 2" xfId="10643"/>
    <cellStyle name="Normal 4 2 4 2 2 2 3 2" xfId="10644"/>
    <cellStyle name="Normal 5 2 4 2 2 2 3 2" xfId="10645"/>
    <cellStyle name="Normal 7 2 4 2 2 2 3 2" xfId="10646"/>
    <cellStyle name="Normal 2 4 4 2 2 2 3 2" xfId="10647"/>
    <cellStyle name="Normal 3 4 4 2 2 2 3 2" xfId="10648"/>
    <cellStyle name="Normal 4 3 4 2 2 2 3 2" xfId="10649"/>
    <cellStyle name="Normal 5 3 4 2 2 2 3 2" xfId="10650"/>
    <cellStyle name="Normal 7 3 4 2 2 2 3 2" xfId="10651"/>
    <cellStyle name="Normal 2 5 2 2 2 2 3 2" xfId="10652"/>
    <cellStyle name="Normal 3 5 2 2 2 2 3 2" xfId="10653"/>
    <cellStyle name="Normal 4 4 2 2 2 2 3 2" xfId="10654"/>
    <cellStyle name="Normal 5 4 2 2 2 2 3 2" xfId="10655"/>
    <cellStyle name="Normal 7 4 2 2 2 2 3 2" xfId="10656"/>
    <cellStyle name="Normal 2 3 2 2 2 2 2 3 2" xfId="10657"/>
    <cellStyle name="Normal 3 3 2 2 2 2 2 3 2" xfId="10658"/>
    <cellStyle name="Normal 4 2 2 2 2 2 2 3 2" xfId="10659"/>
    <cellStyle name="Normal 5 2 2 2 2 2 2 3 2" xfId="10660"/>
    <cellStyle name="Normal 7 2 2 2 2 2 2 3 2" xfId="10661"/>
    <cellStyle name="Normal 2 4 2 2 2 2 2 3 2" xfId="10662"/>
    <cellStyle name="Normal 3 4 2 2 2 2 2 3 2" xfId="10663"/>
    <cellStyle name="Normal 4 3 2 2 2 2 2 3 2" xfId="10664"/>
    <cellStyle name="Normal 5 3 2 2 2 2 2 3 2" xfId="10665"/>
    <cellStyle name="Normal 7 3 2 2 2 2 2 3 2" xfId="10666"/>
    <cellStyle name="Normal 2 6 2 2 2 2 3 2" xfId="10667"/>
    <cellStyle name="Normal 3 6 2 2 2 2 3 2" xfId="10668"/>
    <cellStyle name="Normal 4 5 2 2 2 2 3 2" xfId="10669"/>
    <cellStyle name="Normal 5 5 2 2 2 2 3 2" xfId="10670"/>
    <cellStyle name="Normal 7 5 2 2 2 2 3 2" xfId="10671"/>
    <cellStyle name="Normal 2 3 3 2 2 2 2 3 2" xfId="10672"/>
    <cellStyle name="Normal 3 3 3 2 2 2 2 3 2" xfId="10673"/>
    <cellStyle name="Normal 4 2 3 2 2 2 2 3 2" xfId="10674"/>
    <cellStyle name="Normal 5 2 3 2 2 2 2 3 2" xfId="10675"/>
    <cellStyle name="Normal 7 2 3 2 2 2 2 3 2" xfId="10676"/>
    <cellStyle name="Normal 2 4 3 2 2 2 2 3 2" xfId="10677"/>
    <cellStyle name="Normal 3 4 3 2 2 2 2 3 2" xfId="10678"/>
    <cellStyle name="Normal 4 3 3 2 2 2 2 3 2" xfId="10679"/>
    <cellStyle name="Normal 5 3 3 2 2 2 2 3 2" xfId="10680"/>
    <cellStyle name="Normal 7 3 3 2 2 2 2 3 2" xfId="10681"/>
    <cellStyle name="Normal 28 2 3 2" xfId="10682"/>
    <cellStyle name="Normal 2 3 7 2 3 2" xfId="10683"/>
    <cellStyle name="Normal 3 10 2 3 2" xfId="10684"/>
    <cellStyle name="Normal 4 9 2 3 2" xfId="10685"/>
    <cellStyle name="Normal 5 9 2 3 2" xfId="10686"/>
    <cellStyle name="Millares 4 2 3 2" xfId="10687"/>
    <cellStyle name="Normal 7 2 7 2 3 2" xfId="10688"/>
    <cellStyle name="Normal 3 3 7 2 3 2" xfId="10689"/>
    <cellStyle name="Normal 4 2 7 2 3 2" xfId="10690"/>
    <cellStyle name="Normal 5 2 7 2 3 2" xfId="10691"/>
    <cellStyle name="Normal 2 4 5 3 2 3 2" xfId="10692"/>
    <cellStyle name="Normal 3 4 7 2 3 2" xfId="10693"/>
    <cellStyle name="Normal 4 3 7 2 3 2" xfId="10694"/>
    <cellStyle name="Normal 5 3 7 2 3 2" xfId="10695"/>
    <cellStyle name="Normal 7 3 7 2 3 2" xfId="10696"/>
    <cellStyle name="Normal 2 5 5 2 3 2" xfId="10697"/>
    <cellStyle name="Normal 3 5 5 2 3 2" xfId="10698"/>
    <cellStyle name="Normal 4 4 5 2 3 2" xfId="10699"/>
    <cellStyle name="Normal 5 4 5 2 3 2" xfId="10700"/>
    <cellStyle name="Normal 7 4 5 2 3 2" xfId="10701"/>
    <cellStyle name="Normal 2 3 2 5 2 3 2" xfId="10702"/>
    <cellStyle name="Normal 3 3 2 5 2 3 2" xfId="10703"/>
    <cellStyle name="Normal 4 2 2 5 2 3 2" xfId="10704"/>
    <cellStyle name="Normal 5 2 2 5 2 3 2" xfId="10705"/>
    <cellStyle name="Normal 7 2 2 5 2 3 2" xfId="10706"/>
    <cellStyle name="Normal 2 4 2 5 2 3 2" xfId="10707"/>
    <cellStyle name="Normal 3 4 2 5 2 3 2" xfId="10708"/>
    <cellStyle name="Normal 4 3 2 5 2 3 2" xfId="10709"/>
    <cellStyle name="Normal 5 3 2 5 2 3 2" xfId="10710"/>
    <cellStyle name="Normal 7 3 2 5 2 3 2" xfId="10711"/>
    <cellStyle name="Normal 2 6 5 2 3 2" xfId="10712"/>
    <cellStyle name="Normal 3 6 5 2 3 2" xfId="10713"/>
    <cellStyle name="Normal 4 5 5 2 3 2" xfId="10714"/>
    <cellStyle name="Normal 5 5 5 2 3 2" xfId="10715"/>
    <cellStyle name="Normal 7 5 5 2 3 2" xfId="10716"/>
    <cellStyle name="Normal 2 3 3 5 2 3 2" xfId="10717"/>
    <cellStyle name="Normal 3 3 3 5 2 3 2" xfId="10718"/>
    <cellStyle name="Normal 4 2 3 5 2 3 2" xfId="10719"/>
    <cellStyle name="Normal 5 2 3 5 2 3 2" xfId="10720"/>
    <cellStyle name="Normal 7 2 3 5 2 3 2" xfId="10721"/>
    <cellStyle name="Normal 2 4 3 5 2 3 2" xfId="10722"/>
    <cellStyle name="Normal 3 4 3 5 2 3 2" xfId="10723"/>
    <cellStyle name="Normal 4 3 3 5 2 3 2" xfId="10724"/>
    <cellStyle name="Normal 5 3 3 5 2 3 2" xfId="10725"/>
    <cellStyle name="Normal 7 3 3 5 2 3 2" xfId="10726"/>
    <cellStyle name="Normal 2 7 4 2 3 2" xfId="10727"/>
    <cellStyle name="Normal 3 7 4 2 3 2" xfId="10728"/>
    <cellStyle name="Normal 4 6 4 2 3 2" xfId="10729"/>
    <cellStyle name="Normal 5 6 4 2 3 2" xfId="10730"/>
    <cellStyle name="Normal 7 6 4 2 3 2" xfId="10731"/>
    <cellStyle name="Normal 2 3 4 4 2 3 2" xfId="10732"/>
    <cellStyle name="Normal 3 3 4 4 2 3 2" xfId="10733"/>
    <cellStyle name="Normal 4 2 4 4 2 3 2" xfId="10734"/>
    <cellStyle name="Normal 5 2 4 4 2 3 2" xfId="10735"/>
    <cellStyle name="Normal 7 2 4 4 2 3 2" xfId="10736"/>
    <cellStyle name="Normal 2 4 4 4 2 3 2" xfId="10737"/>
    <cellStyle name="Normal 3 4 4 4 2 3 2" xfId="10738"/>
    <cellStyle name="Normal 4 3 4 4 2 3 2" xfId="10739"/>
    <cellStyle name="Normal 5 3 4 4 2 3 2" xfId="10740"/>
    <cellStyle name="Normal 7 3 4 4 2 3 2" xfId="10741"/>
    <cellStyle name="Normal 2 5 2 4 2 3 2" xfId="10742"/>
    <cellStyle name="Normal 3 5 2 4 2 3 2" xfId="10743"/>
    <cellStyle name="Normal 4 4 2 4 2 3 2" xfId="10744"/>
    <cellStyle name="Normal 5 4 2 4 2 3 2" xfId="10745"/>
    <cellStyle name="Normal 7 4 2 4 2 3 2" xfId="10746"/>
    <cellStyle name="Normal 2 3 2 2 4 2 3 2" xfId="10747"/>
    <cellStyle name="Normal 3 3 2 2 4 2 3 2" xfId="10748"/>
    <cellStyle name="Normal 4 2 2 2 4 2 3 2" xfId="10749"/>
    <cellStyle name="Normal 5 2 2 2 4 2 3 2" xfId="10750"/>
    <cellStyle name="Normal 7 2 2 2 4 2 3 2" xfId="10751"/>
    <cellStyle name="Normal 2 4 2 2 4 2 3 2" xfId="10752"/>
    <cellStyle name="Normal 3 4 2 2 4 2 3 2" xfId="10753"/>
    <cellStyle name="Normal 4 3 2 2 4 2 3 2" xfId="10754"/>
    <cellStyle name="Normal 5 3 2 2 4 2 3 2" xfId="10755"/>
    <cellStyle name="Normal 7 3 2 2 4 2 3 2" xfId="10756"/>
    <cellStyle name="Normal 2 6 2 4 2 3 2" xfId="10757"/>
    <cellStyle name="Normal 3 6 2 4 2 3 2" xfId="10758"/>
    <cellStyle name="Normal 4 5 2 4 2 3 2" xfId="10759"/>
    <cellStyle name="Normal 5 5 2 4 2 3 2" xfId="10760"/>
    <cellStyle name="Normal 7 5 2 4 2 3 2" xfId="10761"/>
    <cellStyle name="Normal 2 3 3 2 4 2 3 2" xfId="10762"/>
    <cellStyle name="Normal 3 3 3 2 4 2 3 2" xfId="10763"/>
    <cellStyle name="Normal 4 2 3 2 4 2 3 2" xfId="10764"/>
    <cellStyle name="Normal 5 2 3 2 4 2 3 2" xfId="10765"/>
    <cellStyle name="Normal 7 2 3 2 4 2 3 2" xfId="10766"/>
    <cellStyle name="Normal 2 4 3 2 4 2 3 2" xfId="10767"/>
    <cellStyle name="Normal 3 4 3 2 4 2 3 2" xfId="10768"/>
    <cellStyle name="Normal 4 3 3 2 4 2 3 2" xfId="10769"/>
    <cellStyle name="Normal 5 3 3 2 4 2 3 2" xfId="10770"/>
    <cellStyle name="Normal 7 3 3 2 4 2 3 2" xfId="10771"/>
    <cellStyle name="Normal 2 8 3 2 3 2" xfId="10772"/>
    <cellStyle name="Normal 3 8 3 2 3 2" xfId="10773"/>
    <cellStyle name="Normal 4 7 3 2 3 2" xfId="10774"/>
    <cellStyle name="Normal 5 7 3 2 3 2" xfId="10775"/>
    <cellStyle name="Normal 7 7 3 2 3 2" xfId="10776"/>
    <cellStyle name="Normal 2 3 5 3 2 3 2" xfId="10777"/>
    <cellStyle name="Normal 3 3 5 3 2 3 2" xfId="10778"/>
    <cellStyle name="Normal 4 2 5 3 2 3 2" xfId="10779"/>
    <cellStyle name="Normal 5 2 5 3 2 3 2" xfId="10780"/>
    <cellStyle name="Normal 7 2 5 3 2 3 2" xfId="10781"/>
    <cellStyle name="Normal 3 4 5 3 2 3 2" xfId="10782"/>
    <cellStyle name="Normal 4 3 5 3 2 3 2" xfId="10783"/>
    <cellStyle name="Normal 5 3 5 3 2 3 2" xfId="10784"/>
    <cellStyle name="Normal 7 3 5 3 2 3 2" xfId="10785"/>
    <cellStyle name="Normal 2 5 3 3 2 3 2" xfId="10786"/>
    <cellStyle name="Normal 3 5 3 3 2 3 2" xfId="10787"/>
    <cellStyle name="Normal 4 4 3 3 2 3 2" xfId="10788"/>
    <cellStyle name="Normal 5 4 3 3 2 3 2" xfId="10789"/>
    <cellStyle name="Normal 7 4 3 3 2 3 2" xfId="10790"/>
    <cellStyle name="Normal 2 3 2 3 3 2 3 2" xfId="10791"/>
    <cellStyle name="Normal 3 3 2 3 3 2 3 2" xfId="10792"/>
    <cellStyle name="Normal 4 2 2 3 3 2 3 2" xfId="10793"/>
    <cellStyle name="Normal 5 2 2 3 3 2 3 2" xfId="10794"/>
    <cellStyle name="Normal 7 2 2 3 3 2 3 2" xfId="10795"/>
    <cellStyle name="Normal 2 4 2 3 3 2 3 2" xfId="10796"/>
    <cellStyle name="Normal 3 4 2 3 3 2 3 2" xfId="10797"/>
    <cellStyle name="Normal 4 3 2 3 3 2 3 2" xfId="10798"/>
    <cellStyle name="Normal 5 3 2 3 3 2 3 2" xfId="10799"/>
    <cellStyle name="Normal 7 3 2 3 3 2 3 2" xfId="10800"/>
    <cellStyle name="Normal 2 6 3 3 2 3 2" xfId="10801"/>
    <cellStyle name="Normal 3 6 3 3 2 3 2" xfId="10802"/>
    <cellStyle name="Normal 4 5 3 3 2 3 2" xfId="10803"/>
    <cellStyle name="Normal 5 5 3 3 2 3 2" xfId="10804"/>
    <cellStyle name="Normal 7 5 3 3 2 3 2" xfId="10805"/>
    <cellStyle name="Normal 2 3 3 3 3 2 3 2" xfId="10806"/>
    <cellStyle name="Normal 3 3 3 3 3 2 3 2" xfId="10807"/>
    <cellStyle name="Normal 4 2 3 3 3 2 3 2" xfId="10808"/>
    <cellStyle name="Normal 5 2 3 3 3 2 3 2" xfId="10809"/>
    <cellStyle name="Normal 7 2 3 3 3 2 3 2" xfId="10810"/>
    <cellStyle name="Normal 2 4 3 3 3 2 3 2" xfId="10811"/>
    <cellStyle name="Normal 3 4 3 3 3 2 3 2" xfId="10812"/>
    <cellStyle name="Normal 4 3 3 3 3 2 3 2" xfId="10813"/>
    <cellStyle name="Normal 5 3 3 3 3 2 3 2" xfId="10814"/>
    <cellStyle name="Normal 7 3 3 3 3 2 3 2" xfId="10815"/>
    <cellStyle name="Normal 2 7 2 3 2 3 2" xfId="10816"/>
    <cellStyle name="Normal 3 7 2 3 2 3 2" xfId="10817"/>
    <cellStyle name="Normal 4 6 2 3 2 3 2" xfId="10818"/>
    <cellStyle name="Normal 5 6 2 3 2 3 2" xfId="10819"/>
    <cellStyle name="Normal 7 6 2 3 2 3 2" xfId="10820"/>
    <cellStyle name="Normal 2 3 4 2 3 2 3 2" xfId="10821"/>
    <cellStyle name="Normal 3 3 4 2 3 2 3 2" xfId="10822"/>
    <cellStyle name="Normal 4 2 4 2 3 2 3 2" xfId="10823"/>
    <cellStyle name="Normal 5 2 4 2 3 2 3 2" xfId="10824"/>
    <cellStyle name="Normal 7 2 4 2 3 2 3 2" xfId="10825"/>
    <cellStyle name="Normal 2 4 4 2 3 2 3 2" xfId="10826"/>
    <cellStyle name="Normal 3 4 4 2 3 2 3 2" xfId="10827"/>
    <cellStyle name="Normal 4 3 4 2 3 2 3 2" xfId="10828"/>
    <cellStyle name="Normal 5 3 4 2 3 2 3 2" xfId="10829"/>
    <cellStyle name="Normal 7 3 4 2 3 2 3 2" xfId="10830"/>
    <cellStyle name="Normal 2 5 2 2 3 2 3 2" xfId="10831"/>
    <cellStyle name="Normal 3 5 2 2 3 2 3 2" xfId="10832"/>
    <cellStyle name="Normal 4 4 2 2 3 2 3 2" xfId="10833"/>
    <cellStyle name="Normal 5 4 2 2 3 2 3 2" xfId="10834"/>
    <cellStyle name="Normal 7 4 2 2 3 2 3 2" xfId="10835"/>
    <cellStyle name="Normal 2 3 2 2 2 3 2 3 2" xfId="10836"/>
    <cellStyle name="Normal 3 3 2 2 2 3 2 3 2" xfId="10837"/>
    <cellStyle name="Normal 4 2 2 2 2 3 2 3 2" xfId="10838"/>
    <cellStyle name="Normal 5 2 2 2 2 3 2 3 2" xfId="10839"/>
    <cellStyle name="Normal 7 2 2 2 2 3 2 3 2" xfId="10840"/>
    <cellStyle name="Normal 2 4 2 2 2 3 2 3 2" xfId="10841"/>
    <cellStyle name="Normal 3 4 2 2 2 3 2 3 2" xfId="10842"/>
    <cellStyle name="Normal 4 3 2 2 2 3 2 3 2" xfId="10843"/>
    <cellStyle name="Normal 5 3 2 2 2 3 2 3 2" xfId="10844"/>
    <cellStyle name="Normal 7 3 2 2 2 3 2 3 2" xfId="10845"/>
    <cellStyle name="Normal 2 6 2 2 3 2 3 2" xfId="10846"/>
    <cellStyle name="Normal 3 6 2 2 3 2 3 2" xfId="10847"/>
    <cellStyle name="Normal 4 5 2 2 3 2 3 2" xfId="10848"/>
    <cellStyle name="Normal 5 5 2 2 3 2 3 2" xfId="10849"/>
    <cellStyle name="Normal 7 5 2 2 3 2 3 2" xfId="10850"/>
    <cellStyle name="Normal 2 3 3 2 2 3 2 3 2" xfId="10851"/>
    <cellStyle name="Normal 3 3 3 2 2 3 2 3 2" xfId="10852"/>
    <cellStyle name="Normal 4 2 3 2 2 3 2 3 2" xfId="10853"/>
    <cellStyle name="Normal 5 2 3 2 2 3 2 3 2" xfId="10854"/>
    <cellStyle name="Normal 7 2 3 2 2 3 2 3 2" xfId="10855"/>
    <cellStyle name="Normal 2 4 3 2 2 3 2 3 2" xfId="10856"/>
    <cellStyle name="Normal 3 4 3 2 2 3 2 3 2" xfId="10857"/>
    <cellStyle name="Normal 4 3 3 2 2 3 2 3 2" xfId="10858"/>
    <cellStyle name="Normal 5 3 3 2 2 3 2 3 2" xfId="10859"/>
    <cellStyle name="Normal 7 3 3 2 2 3 2 3 2" xfId="10860"/>
    <cellStyle name="Normal 2 12 3 2" xfId="10861"/>
    <cellStyle name="Normal 3 12 3 2" xfId="10862"/>
    <cellStyle name="Normal 4 11 3 2" xfId="10863"/>
    <cellStyle name="Normal 5 11 3 2" xfId="10864"/>
    <cellStyle name="Normal 7 11 3 2" xfId="10865"/>
    <cellStyle name="Normal 2 3 9 3 2" xfId="10866"/>
    <cellStyle name="Normal 3 3 9 3 2" xfId="10867"/>
    <cellStyle name="Normal 4 2 9 3 2" xfId="10868"/>
    <cellStyle name="Normal 5 2 9 3 2" xfId="10869"/>
    <cellStyle name="Normal 7 2 9 3 2" xfId="10870"/>
    <cellStyle name="Normal 2 4 9 3 2" xfId="10871"/>
    <cellStyle name="Normal 3 4 9 3 2" xfId="10872"/>
    <cellStyle name="Normal 4 3 9 3 2" xfId="10873"/>
    <cellStyle name="Normal 5 3 9 3 2" xfId="10874"/>
    <cellStyle name="Normal 7 3 9 3 2" xfId="10875"/>
    <cellStyle name="Normal 2 5 7 3 2" xfId="10876"/>
    <cellStyle name="Normal 3 5 7 3 2" xfId="10877"/>
    <cellStyle name="Normal 4 4 7 3 2" xfId="10878"/>
    <cellStyle name="Normal 5 4 7 3 2" xfId="10879"/>
    <cellStyle name="Normal 7 4 7 3 2" xfId="10880"/>
    <cellStyle name="Normal 2 3 2 7 3 2" xfId="10881"/>
    <cellStyle name="Normal 3 3 2 7 3 2" xfId="10882"/>
    <cellStyle name="Normal 4 2 2 7 3 2" xfId="10883"/>
    <cellStyle name="Normal 5 2 2 7 3 2" xfId="10884"/>
    <cellStyle name="Normal 7 2 2 7 3 2" xfId="10885"/>
    <cellStyle name="Normal 2 4 2 7 3 2" xfId="10886"/>
    <cellStyle name="Normal 3 4 2 7 3 2" xfId="10887"/>
    <cellStyle name="Normal 4 3 2 7 3 2" xfId="10888"/>
    <cellStyle name="Normal 5 3 2 7 3 2" xfId="10889"/>
    <cellStyle name="Normal 7 3 2 7 3 2" xfId="10890"/>
    <cellStyle name="Normal 2 6 7 3 2" xfId="10891"/>
    <cellStyle name="Normal 3 6 7 3 2" xfId="10892"/>
    <cellStyle name="Normal 4 5 7 3 2" xfId="10893"/>
    <cellStyle name="Normal 5 5 7 3 2" xfId="10894"/>
    <cellStyle name="Normal 7 5 7 3 2" xfId="10895"/>
    <cellStyle name="Normal 2 3 3 7 3 2" xfId="10896"/>
    <cellStyle name="Normal 3 3 3 7 3 2" xfId="10897"/>
    <cellStyle name="Normal 4 2 3 7 3 2" xfId="10898"/>
    <cellStyle name="Normal 5 2 3 7 3 2" xfId="10899"/>
    <cellStyle name="Normal 7 2 3 7 3 2" xfId="10900"/>
    <cellStyle name="Normal 2 4 3 7 3 2" xfId="10901"/>
    <cellStyle name="Normal 3 4 3 7 3 2" xfId="10902"/>
    <cellStyle name="Normal 4 3 3 7 3 2" xfId="10903"/>
    <cellStyle name="Normal 5 3 3 7 3 2" xfId="10904"/>
    <cellStyle name="Normal 7 3 3 7 3 2" xfId="10905"/>
    <cellStyle name="Normal 2 7 6 3 2" xfId="10906"/>
    <cellStyle name="Normal 3 7 6 3 2" xfId="10907"/>
    <cellStyle name="Normal 4 6 6 3 2" xfId="10908"/>
    <cellStyle name="Normal 5 6 6 3 2" xfId="10909"/>
    <cellStyle name="Normal 7 6 6 3 2" xfId="10910"/>
    <cellStyle name="Normal 2 3 4 6 3 2" xfId="10911"/>
    <cellStyle name="Normal 3 3 4 6 3 2" xfId="10912"/>
    <cellStyle name="Normal 4 2 4 6 3 2" xfId="10913"/>
    <cellStyle name="Normal 5 2 4 6 3 2" xfId="10914"/>
    <cellStyle name="Normal 7 2 4 6 3 2" xfId="10915"/>
    <cellStyle name="Normal 2 4 4 6 3 2" xfId="10916"/>
    <cellStyle name="Normal 3 4 4 6 3 2" xfId="10917"/>
    <cellStyle name="Normal 4 3 4 6 3 2" xfId="10918"/>
    <cellStyle name="Normal 5 3 4 6 3 2" xfId="10919"/>
    <cellStyle name="Normal 7 3 4 6 3 2" xfId="10920"/>
    <cellStyle name="Normal 2 5 2 6 3 2" xfId="10921"/>
    <cellStyle name="Normal 3 5 2 6 3 2" xfId="10922"/>
    <cellStyle name="Normal 4 4 2 6 3 2" xfId="10923"/>
    <cellStyle name="Normal 5 4 2 6 3 2" xfId="10924"/>
    <cellStyle name="Normal 7 4 2 6 3 2" xfId="10925"/>
    <cellStyle name="Normal 2 3 2 2 6 3 2" xfId="10926"/>
    <cellStyle name="Normal 3 3 2 2 6 3 2" xfId="10927"/>
    <cellStyle name="Normal 4 2 2 2 6 3 2" xfId="10928"/>
    <cellStyle name="Normal 5 2 2 2 6 3 2" xfId="10929"/>
    <cellStyle name="Normal 7 2 2 2 6 3 2" xfId="10930"/>
    <cellStyle name="Normal 2 4 2 2 6 3 2" xfId="10931"/>
    <cellStyle name="Normal 3 4 2 2 6 3 2" xfId="10932"/>
    <cellStyle name="Normal 4 3 2 2 6 3 2" xfId="10933"/>
    <cellStyle name="Normal 5 3 2 2 6 3 2" xfId="10934"/>
    <cellStyle name="Normal 7 3 2 2 6 3 2" xfId="10935"/>
    <cellStyle name="Normal 2 6 2 6 3 2" xfId="10936"/>
    <cellStyle name="Normal 3 6 2 6 3 2" xfId="10937"/>
    <cellStyle name="Normal 4 5 2 6 3 2" xfId="10938"/>
    <cellStyle name="Normal 5 5 2 6 3 2" xfId="10939"/>
    <cellStyle name="Normal 7 5 2 6 3 2" xfId="10940"/>
    <cellStyle name="Normal 2 3 3 2 6 3 2" xfId="10941"/>
    <cellStyle name="Normal 3 3 3 2 6 3 2" xfId="10942"/>
    <cellStyle name="Normal 4 2 3 2 6 3 2" xfId="10943"/>
    <cellStyle name="Normal 5 2 3 2 6 3 2" xfId="10944"/>
    <cellStyle name="Normal 7 2 3 2 6 3 2" xfId="10945"/>
    <cellStyle name="Normal 2 4 3 2 6 3 2" xfId="10946"/>
    <cellStyle name="Normal 3 4 3 2 6 3 2" xfId="10947"/>
    <cellStyle name="Normal 4 3 3 2 6 3 2" xfId="10948"/>
    <cellStyle name="Normal 5 3 3 2 6 3 2" xfId="10949"/>
    <cellStyle name="Normal 7 3 3 2 6 3 2" xfId="10950"/>
    <cellStyle name="Normal 2 8 5 3 2" xfId="10951"/>
    <cellStyle name="Normal 3 8 5 3 2" xfId="10952"/>
    <cellStyle name="Normal 4 7 5 3 2" xfId="10953"/>
    <cellStyle name="Normal 5 7 5 3 2" xfId="10954"/>
    <cellStyle name="Normal 7 7 5 3 2" xfId="10955"/>
    <cellStyle name="Normal 2 3 5 5 3 2" xfId="10956"/>
    <cellStyle name="Normal 3 3 5 5 3 2" xfId="10957"/>
    <cellStyle name="Normal 4 2 5 5 3 2" xfId="10958"/>
    <cellStyle name="Normal 5 2 5 5 3 2" xfId="10959"/>
    <cellStyle name="Normal 7 2 5 5 3 2" xfId="10960"/>
    <cellStyle name="Normal 2 4 5 5 3 2" xfId="10961"/>
    <cellStyle name="Normal 3 4 5 5 3 2" xfId="10962"/>
    <cellStyle name="Normal 4 3 5 5 3 2" xfId="10963"/>
    <cellStyle name="Normal 5 3 5 5 3 2" xfId="10964"/>
    <cellStyle name="Normal 7 3 5 5 3 2" xfId="10965"/>
    <cellStyle name="Normal 2 5 3 5 3 2" xfId="10966"/>
    <cellStyle name="Normal 3 5 3 5 3 2" xfId="10967"/>
    <cellStyle name="Normal 4 4 3 5 3 2" xfId="10968"/>
    <cellStyle name="Normal 5 4 3 5 3 2" xfId="10969"/>
    <cellStyle name="Normal 7 4 3 5 3 2" xfId="10970"/>
    <cellStyle name="Normal 2 3 2 3 5 3 2" xfId="10971"/>
    <cellStyle name="Normal 3 3 2 3 5 3 2" xfId="10972"/>
    <cellStyle name="Normal 4 2 2 3 5 3 2" xfId="10973"/>
    <cellStyle name="Normal 5 2 2 3 5 3 2" xfId="10974"/>
    <cellStyle name="Normal 7 2 2 3 5 3 2" xfId="10975"/>
    <cellStyle name="Normal 2 4 2 3 5 3 2" xfId="10976"/>
    <cellStyle name="Normal 3 4 2 3 5 3 2" xfId="10977"/>
    <cellStyle name="Normal 4 3 2 3 5 3 2" xfId="10978"/>
    <cellStyle name="Normal 5 3 2 3 5 3 2" xfId="10979"/>
    <cellStyle name="Normal 7 3 2 3 5 3 2" xfId="10980"/>
    <cellStyle name="Normal 2 6 3 5 3 2" xfId="10981"/>
    <cellStyle name="Normal 3 6 3 5 3 2" xfId="10982"/>
    <cellStyle name="Normal 4 5 3 5 3 2" xfId="10983"/>
    <cellStyle name="Normal 5 5 3 5 3 2" xfId="10984"/>
    <cellStyle name="Normal 7 5 3 5 3 2" xfId="10985"/>
    <cellStyle name="Normal 2 3 3 3 5 3 2" xfId="10986"/>
    <cellStyle name="Normal 3 3 3 3 5 3 2" xfId="10987"/>
    <cellStyle name="Normal 4 2 3 3 5 3 2" xfId="10988"/>
    <cellStyle name="Normal 5 2 3 3 5 3 2" xfId="10989"/>
    <cellStyle name="Normal 7 2 3 3 5 3 2" xfId="10990"/>
    <cellStyle name="Normal 2 4 3 3 5 3 2" xfId="10991"/>
    <cellStyle name="Normal 3 4 3 3 5 3 2" xfId="10992"/>
    <cellStyle name="Normal 4 3 3 3 5 3 2" xfId="10993"/>
    <cellStyle name="Normal 5 3 3 3 5 3 2" xfId="10994"/>
    <cellStyle name="Normal 7 3 3 3 5 3 2" xfId="10995"/>
    <cellStyle name="Normal 2 7 2 5 3 2" xfId="10996"/>
    <cellStyle name="Normal 3 7 2 5 3 2" xfId="10997"/>
    <cellStyle name="Normal 4 6 2 5 3 2" xfId="10998"/>
    <cellStyle name="Normal 5 6 2 5 3 2" xfId="10999"/>
    <cellStyle name="Normal 7 6 2 5 3 2" xfId="11000"/>
    <cellStyle name="Normal 2 3 4 2 5 3 2" xfId="11001"/>
    <cellStyle name="Normal 3 3 4 2 5 3 2" xfId="11002"/>
    <cellStyle name="Normal 4 2 4 2 5 3 2" xfId="11003"/>
    <cellStyle name="Normal 5 2 4 2 5 3 2" xfId="11004"/>
    <cellStyle name="Normal 7 2 4 2 5 3 2" xfId="11005"/>
    <cellStyle name="Normal 2 4 4 2 5 3 2" xfId="11006"/>
    <cellStyle name="Normal 3 4 4 2 5 3 2" xfId="11007"/>
    <cellStyle name="Normal 4 3 4 2 5 3 2" xfId="11008"/>
    <cellStyle name="Normal 5 3 4 2 5 3 2" xfId="11009"/>
    <cellStyle name="Normal 7 3 4 2 5 3 2" xfId="11010"/>
    <cellStyle name="Normal 2 5 2 2 5 3 2" xfId="11011"/>
    <cellStyle name="Normal 3 5 2 2 5 3 2" xfId="11012"/>
    <cellStyle name="Normal 4 4 2 2 5 3 2" xfId="11013"/>
    <cellStyle name="Normal 5 4 2 2 5 3 2" xfId="11014"/>
    <cellStyle name="Normal 7 4 2 2 5 3 2" xfId="11015"/>
    <cellStyle name="Normal 2 3 2 2 2 5 3 2" xfId="11016"/>
    <cellStyle name="Normal 3 3 2 2 2 5 3 2" xfId="11017"/>
    <cellStyle name="Normal 4 2 2 2 2 5 3 2" xfId="11018"/>
    <cellStyle name="Normal 5 2 2 2 2 5 3 2" xfId="11019"/>
    <cellStyle name="Normal 7 2 2 2 2 5 3 2" xfId="11020"/>
    <cellStyle name="Normal 2 4 2 2 2 5 3 2" xfId="11021"/>
    <cellStyle name="Normal 3 4 2 2 2 5 3 2" xfId="11022"/>
    <cellStyle name="Normal 4 3 2 2 2 5 3 2" xfId="11023"/>
    <cellStyle name="Normal 5 3 2 2 2 5 3 2" xfId="11024"/>
    <cellStyle name="Normal 7 3 2 2 2 5 3 2" xfId="11025"/>
    <cellStyle name="Normal 2 6 2 2 5 3 2" xfId="11026"/>
    <cellStyle name="Normal 3 6 2 2 5 3 2" xfId="11027"/>
    <cellStyle name="Normal 4 5 2 2 5 3 2" xfId="11028"/>
    <cellStyle name="Normal 5 5 2 2 5 3 2" xfId="11029"/>
    <cellStyle name="Normal 7 5 2 2 5 3 2" xfId="11030"/>
    <cellStyle name="Normal 2 3 3 2 2 5 3 2" xfId="11031"/>
    <cellStyle name="Normal 3 3 3 2 2 5 3 2" xfId="11032"/>
    <cellStyle name="Normal 4 2 3 2 2 5 3 2" xfId="11033"/>
    <cellStyle name="Normal 5 2 3 2 2 5 3 2" xfId="11034"/>
    <cellStyle name="Normal 7 2 3 2 2 5 3 2" xfId="11035"/>
    <cellStyle name="Normal 2 4 3 2 2 5 3 2" xfId="11036"/>
    <cellStyle name="Normal 3 4 3 2 2 5 3 2" xfId="11037"/>
    <cellStyle name="Normal 4 3 3 2 2 5 3 2" xfId="11038"/>
    <cellStyle name="Normal 5 3 3 2 2 5 3 2" xfId="11039"/>
    <cellStyle name="Normal 7 3 3 2 2 5 3 2" xfId="11040"/>
    <cellStyle name="Normal 2 9 3 3 2" xfId="11041"/>
    <cellStyle name="Normal 3 9 3 3 2" xfId="11042"/>
    <cellStyle name="Normal 4 8 3 3 2" xfId="11043"/>
    <cellStyle name="Normal 5 8 3 3 2" xfId="11044"/>
    <cellStyle name="Normal 7 8 3 3 2" xfId="11045"/>
    <cellStyle name="Normal 2 3 6 3 3 2" xfId="11046"/>
    <cellStyle name="Normal 3 3 6 3 3 2" xfId="11047"/>
    <cellStyle name="Normal 4 2 6 3 3 2" xfId="11048"/>
    <cellStyle name="Normal 5 2 6 3 3 2" xfId="11049"/>
    <cellStyle name="Normal 7 2 6 3 3 2" xfId="11050"/>
    <cellStyle name="Normal 2 4 6 3 3 2" xfId="11051"/>
    <cellStyle name="Normal 3 4 6 3 3 2" xfId="11052"/>
    <cellStyle name="Normal 4 3 6 3 3 2" xfId="11053"/>
    <cellStyle name="Normal 5 3 6 3 3 2" xfId="11054"/>
    <cellStyle name="Normal 7 3 6 3 3 2" xfId="11055"/>
    <cellStyle name="Normal 2 5 4 3 3 2" xfId="11056"/>
    <cellStyle name="Normal 3 5 4 3 3 2" xfId="11057"/>
    <cellStyle name="Normal 4 4 4 3 3 2" xfId="11058"/>
    <cellStyle name="Normal 5 4 4 3 3 2" xfId="11059"/>
    <cellStyle name="Normal 7 4 4 3 3 2" xfId="11060"/>
    <cellStyle name="Normal 2 3 2 4 3 3 2" xfId="11061"/>
    <cellStyle name="Normal 3 3 2 4 3 3 2" xfId="11062"/>
    <cellStyle name="Normal 4 2 2 4 3 3 2" xfId="11063"/>
    <cellStyle name="Normal 5 2 2 4 3 3 2" xfId="11064"/>
    <cellStyle name="Normal 7 2 2 4 3 3 2" xfId="11065"/>
    <cellStyle name="Normal 2 4 2 4 3 3 2" xfId="11066"/>
    <cellStyle name="Normal 3 4 2 4 3 3 2" xfId="11067"/>
    <cellStyle name="Normal 4 3 2 4 3 3 2" xfId="11068"/>
    <cellStyle name="Normal 5 3 2 4 3 3 2" xfId="11069"/>
    <cellStyle name="Normal 7 3 2 4 3 3 2" xfId="11070"/>
    <cellStyle name="Normal 2 6 4 3 3 2" xfId="11071"/>
    <cellStyle name="Normal 3 6 4 3 3 2" xfId="11072"/>
    <cellStyle name="Normal 4 5 4 3 3 2" xfId="11073"/>
    <cellStyle name="Normal 5 5 4 3 3 2" xfId="11074"/>
    <cellStyle name="Normal 7 5 4 3 3 2" xfId="11075"/>
    <cellStyle name="Normal 2 3 3 4 3 3 2" xfId="11076"/>
    <cellStyle name="Normal 3 3 3 4 3 3 2" xfId="11077"/>
    <cellStyle name="Normal 4 2 3 4 3 3 2" xfId="11078"/>
    <cellStyle name="Normal 5 2 3 4 3 3 2" xfId="11079"/>
    <cellStyle name="Normal 7 2 3 4 3 3 2" xfId="11080"/>
    <cellStyle name="Normal 2 4 3 4 3 3 2" xfId="11081"/>
    <cellStyle name="Normal 3 4 3 4 3 3 2" xfId="11082"/>
    <cellStyle name="Normal 4 3 3 4 3 3 2" xfId="11083"/>
    <cellStyle name="Normal 5 3 3 4 3 3 2" xfId="11084"/>
    <cellStyle name="Normal 7 3 3 4 3 3 2" xfId="11085"/>
    <cellStyle name="Normal 2 7 3 3 3 2" xfId="11086"/>
    <cellStyle name="Normal 3 7 3 3 3 2" xfId="11087"/>
    <cellStyle name="Normal 4 6 3 3 3 2" xfId="11088"/>
    <cellStyle name="Normal 5 6 3 3 3 2" xfId="11089"/>
    <cellStyle name="Normal 7 6 3 3 3 2" xfId="11090"/>
    <cellStyle name="Normal 2 3 4 3 3 3 2" xfId="11091"/>
    <cellStyle name="Normal 3 3 4 3 3 3 2" xfId="11092"/>
    <cellStyle name="Normal 4 2 4 3 3 3 2" xfId="11093"/>
    <cellStyle name="Normal 5 2 4 3 3 3 2" xfId="11094"/>
    <cellStyle name="Normal 7 2 4 3 3 3 2" xfId="11095"/>
    <cellStyle name="Normal 2 4 4 3 3 3 2" xfId="11096"/>
    <cellStyle name="Normal 3 4 4 3 3 3 2" xfId="11097"/>
    <cellStyle name="Normal 4 3 4 3 3 3 2" xfId="11098"/>
    <cellStyle name="Normal 5 3 4 3 3 3 2" xfId="11099"/>
    <cellStyle name="Normal 7 3 4 3 3 3 2" xfId="11100"/>
    <cellStyle name="Normal 2 5 2 3 3 3 2" xfId="11101"/>
    <cellStyle name="Normal 3 5 2 3 3 3 2" xfId="11102"/>
    <cellStyle name="Normal 4 4 2 3 3 3 2" xfId="11103"/>
    <cellStyle name="Normal 5 4 2 3 3 3 2" xfId="11104"/>
    <cellStyle name="Normal 7 4 2 3 3 3 2" xfId="11105"/>
    <cellStyle name="Normal 2 3 2 2 3 3 3 2" xfId="11106"/>
    <cellStyle name="Normal 3 3 2 2 3 3 3 2" xfId="11107"/>
    <cellStyle name="Normal 4 2 2 2 3 3 3 2" xfId="11108"/>
    <cellStyle name="Normal 5 2 2 2 3 3 3 2" xfId="11109"/>
    <cellStyle name="Normal 7 2 2 2 3 3 3 2" xfId="11110"/>
    <cellStyle name="Normal 2 4 2 2 3 3 3 2" xfId="11111"/>
    <cellStyle name="Normal 3 4 2 2 3 3 3 2" xfId="11112"/>
    <cellStyle name="Normal 4 3 2 2 3 3 3 2" xfId="11113"/>
    <cellStyle name="Normal 5 3 2 2 3 3 3 2" xfId="11114"/>
    <cellStyle name="Normal 7 3 2 2 3 3 3 2" xfId="11115"/>
    <cellStyle name="Normal 2 6 2 3 3 3 2" xfId="11116"/>
    <cellStyle name="Normal 3 6 2 3 3 3 2" xfId="11117"/>
    <cellStyle name="Normal 4 5 2 3 3 3 2" xfId="11118"/>
    <cellStyle name="Normal 5 5 2 3 3 3 2" xfId="11119"/>
    <cellStyle name="Normal 7 5 2 3 3 3 2" xfId="11120"/>
    <cellStyle name="Normal 2 3 3 2 3 3 3 2" xfId="11121"/>
    <cellStyle name="Normal 3 3 3 2 3 3 3 2" xfId="11122"/>
    <cellStyle name="Normal 4 2 3 2 3 3 3 2" xfId="11123"/>
    <cellStyle name="Normal 5 2 3 2 3 3 3 2" xfId="11124"/>
    <cellStyle name="Normal 7 2 3 2 3 3 3 2" xfId="11125"/>
    <cellStyle name="Normal 2 4 3 2 3 3 3 2" xfId="11126"/>
    <cellStyle name="Normal 3 4 3 2 3 3 3 2" xfId="11127"/>
    <cellStyle name="Normal 4 3 3 2 3 3 3 2" xfId="11128"/>
    <cellStyle name="Normal 5 3 3 2 3 3 3 2" xfId="11129"/>
    <cellStyle name="Normal 7 3 3 2 3 3 3 2" xfId="11130"/>
    <cellStyle name="Normal 2 8 2 3 3 2" xfId="11131"/>
    <cellStyle name="Normal 3 8 2 3 3 2" xfId="11132"/>
    <cellStyle name="Normal 4 7 2 3 3 2" xfId="11133"/>
    <cellStyle name="Normal 5 7 2 3 3 2" xfId="11134"/>
    <cellStyle name="Normal 7 7 2 3 3 2" xfId="11135"/>
    <cellStyle name="Normal 2 3 5 2 3 3 2" xfId="11136"/>
    <cellStyle name="Normal 3 3 5 2 3 3 2" xfId="11137"/>
    <cellStyle name="Normal 4 2 5 2 3 3 2" xfId="11138"/>
    <cellStyle name="Normal 5 2 5 2 3 3 2" xfId="11139"/>
    <cellStyle name="Normal 7 2 5 2 3 3 2" xfId="11140"/>
    <cellStyle name="Normal 2 4 5 2 3 3 2" xfId="11141"/>
    <cellStyle name="Normal 3 4 5 2 3 3 2" xfId="11142"/>
    <cellStyle name="Normal 4 3 5 2 3 3 2" xfId="11143"/>
    <cellStyle name="Normal 5 3 5 2 3 3 2" xfId="11144"/>
    <cellStyle name="Normal 7 3 5 2 3 3 2" xfId="11145"/>
    <cellStyle name="Normal 2 5 3 2 3 3 2" xfId="11146"/>
    <cellStyle name="Normal 3 5 3 2 3 3 2" xfId="11147"/>
    <cellStyle name="Normal 4 4 3 2 3 3 2" xfId="11148"/>
    <cellStyle name="Normal 5 4 3 2 3 3 2" xfId="11149"/>
    <cellStyle name="Normal 7 4 3 2 3 3 2" xfId="11150"/>
    <cellStyle name="Normal 2 3 2 3 2 3 3 2" xfId="11151"/>
    <cellStyle name="Normal 3 3 2 3 2 3 3 2" xfId="11152"/>
    <cellStyle name="Normal 4 2 2 3 2 3 3 2" xfId="11153"/>
    <cellStyle name="Normal 5 2 2 3 2 3 3 2" xfId="11154"/>
    <cellStyle name="Normal 7 2 2 3 2 3 3 2" xfId="11155"/>
    <cellStyle name="Normal 2 4 2 3 2 3 3 2" xfId="11156"/>
    <cellStyle name="Normal 3 4 2 3 2 3 3 2" xfId="11157"/>
    <cellStyle name="Normal 4 3 2 3 2 3 3 2" xfId="11158"/>
    <cellStyle name="Normal 5 3 2 3 2 3 3 2" xfId="11159"/>
    <cellStyle name="Normal 7 3 2 3 2 3 3 2" xfId="11160"/>
    <cellStyle name="Normal 2 6 3 2 3 3 2" xfId="11161"/>
    <cellStyle name="Normal 3 6 3 2 3 3 2" xfId="11162"/>
    <cellStyle name="Normal 4 5 3 2 3 3 2" xfId="11163"/>
    <cellStyle name="Normal 5 5 3 2 3 3 2" xfId="11164"/>
    <cellStyle name="Normal 7 5 3 2 3 3 2" xfId="11165"/>
    <cellStyle name="Normal 2 3 3 3 2 3 3 2" xfId="11166"/>
    <cellStyle name="Normal 3 3 3 3 2 3 3 2" xfId="11167"/>
    <cellStyle name="Normal 4 2 3 3 2 3 3 2" xfId="11168"/>
    <cellStyle name="Normal 5 2 3 3 2 3 3 2" xfId="11169"/>
    <cellStyle name="Normal 7 2 3 3 2 3 3 2" xfId="11170"/>
    <cellStyle name="Normal 2 4 3 3 2 3 3 2" xfId="11171"/>
    <cellStyle name="Normal 3 4 3 3 2 3 3 2" xfId="11172"/>
    <cellStyle name="Normal 4 3 3 3 2 3 3 2" xfId="11173"/>
    <cellStyle name="Normal 5 3 3 3 2 3 3 2" xfId="11174"/>
    <cellStyle name="Normal 7 3 3 3 2 3 3 2" xfId="11175"/>
    <cellStyle name="Normal 2 7 2 2 3 3 2" xfId="11176"/>
    <cellStyle name="Normal 3 7 2 2 3 3 2" xfId="11177"/>
    <cellStyle name="Normal 4 6 2 2 3 3 2" xfId="11178"/>
    <cellStyle name="Normal 5 6 2 2 3 3 2" xfId="11179"/>
    <cellStyle name="Normal 7 6 2 2 3 3 2" xfId="11180"/>
    <cellStyle name="Normal 2 3 4 2 2 3 3 2" xfId="11181"/>
    <cellStyle name="Normal 3 3 4 2 2 3 3 2" xfId="11182"/>
    <cellStyle name="Normal 4 2 4 2 2 3 3 2" xfId="11183"/>
    <cellStyle name="Normal 5 2 4 2 2 3 3 2" xfId="11184"/>
    <cellStyle name="Normal 7 2 4 2 2 3 3 2" xfId="11185"/>
    <cellStyle name="Normal 2 4 4 2 2 3 3 2" xfId="11186"/>
    <cellStyle name="Normal 3 4 4 2 2 3 3 2" xfId="11187"/>
    <cellStyle name="Normal 4 3 4 2 2 3 3 2" xfId="11188"/>
    <cellStyle name="Normal 5 3 4 2 2 3 3 2" xfId="11189"/>
    <cellStyle name="Normal 7 3 4 2 2 3 3 2" xfId="11190"/>
    <cellStyle name="Normal 2 5 2 2 2 3 3 2" xfId="11191"/>
    <cellStyle name="Normal 3 5 2 2 2 3 3 2" xfId="11192"/>
    <cellStyle name="Normal 4 4 2 2 2 3 3 2" xfId="11193"/>
    <cellStyle name="Normal 5 4 2 2 2 3 3 2" xfId="11194"/>
    <cellStyle name="Normal 7 4 2 2 2 3 3 2" xfId="11195"/>
    <cellStyle name="Normal 2 3 2 2 2 2 3 3 2" xfId="11196"/>
    <cellStyle name="Normal 3 3 2 2 2 2 3 3 2" xfId="11197"/>
    <cellStyle name="Normal 4 2 2 2 2 2 3 3 2" xfId="11198"/>
    <cellStyle name="Normal 5 2 2 2 2 2 3 3 2" xfId="11199"/>
    <cellStyle name="Normal 7 2 2 2 2 2 3 3 2" xfId="11200"/>
    <cellStyle name="Normal 2 4 2 2 2 2 3 3 2" xfId="11201"/>
    <cellStyle name="Normal 3 4 2 2 2 2 3 3 2" xfId="11202"/>
    <cellStyle name="Normal 4 3 2 2 2 2 3 3 2" xfId="11203"/>
    <cellStyle name="Normal 5 3 2 2 2 2 3 3 2" xfId="11204"/>
    <cellStyle name="Normal 7 3 2 2 2 2 3 3 2" xfId="11205"/>
    <cellStyle name="Normal 2 6 2 2 2 3 3 2" xfId="11206"/>
    <cellStyle name="Normal 3 6 2 2 2 3 3 2" xfId="11207"/>
    <cellStyle name="Normal 4 5 2 2 2 3 3 2" xfId="11208"/>
    <cellStyle name="Normal 5 5 2 2 2 3 3 2" xfId="11209"/>
    <cellStyle name="Normal 7 5 2 2 2 3 3 2" xfId="11210"/>
    <cellStyle name="Normal 2 3 3 2 2 2 3 3 2" xfId="11211"/>
    <cellStyle name="Normal 3 3 3 2 2 2 3 3 2" xfId="11212"/>
    <cellStyle name="Normal 4 2 3 2 2 2 3 3 2" xfId="11213"/>
    <cellStyle name="Normal 5 2 3 2 2 2 3 3 2" xfId="11214"/>
    <cellStyle name="Normal 7 2 3 2 2 2 3 3 2" xfId="11215"/>
    <cellStyle name="Normal 2 4 3 2 2 2 3 3 2" xfId="11216"/>
    <cellStyle name="Normal 3 4 3 2 2 2 3 3 2" xfId="11217"/>
    <cellStyle name="Normal 4 3 3 2 2 2 3 3 2" xfId="11218"/>
    <cellStyle name="Normal 5 3 3 2 2 2 3 3 2" xfId="11219"/>
    <cellStyle name="Normal 7 3 3 2 2 2 3 3 2" xfId="11220"/>
    <cellStyle name="Normal 28 3 3 2" xfId="11221"/>
    <cellStyle name="Normal 2 3 7 3 3 2" xfId="11222"/>
    <cellStyle name="Normal 3 10 3 3 2" xfId="11223"/>
    <cellStyle name="Normal 4 9 3 3 2" xfId="11224"/>
    <cellStyle name="Normal 5 9 3 3 2" xfId="11225"/>
    <cellStyle name="Millares 4 3 3 2" xfId="11226"/>
    <cellStyle name="Normal 7 2 7 3 3 2" xfId="11227"/>
    <cellStyle name="Normal 3 3 7 3 3 2" xfId="11228"/>
    <cellStyle name="Normal 4 2 7 3 3 2" xfId="11229"/>
    <cellStyle name="Normal 5 2 7 3 3 2" xfId="11230"/>
    <cellStyle name="Normal 2 4 5 3 3 3 2" xfId="11231"/>
    <cellStyle name="Normal 3 4 7 3 3 2" xfId="11232"/>
    <cellStyle name="Normal 4 3 7 3 3 2" xfId="11233"/>
    <cellStyle name="Normal 5 3 7 3 3 2" xfId="11234"/>
    <cellStyle name="Normal 7 3 7 3 3 2" xfId="11235"/>
    <cellStyle name="Normal 2 5 5 3 3 2" xfId="11236"/>
    <cellStyle name="Normal 3 5 5 3 3 2" xfId="11237"/>
    <cellStyle name="Normal 4 4 5 3 3 2" xfId="11238"/>
    <cellStyle name="Normal 5 4 5 3 3 2" xfId="11239"/>
    <cellStyle name="Normal 7 4 5 3 3 2" xfId="11240"/>
    <cellStyle name="Normal 2 3 2 5 3 3 2" xfId="11241"/>
    <cellStyle name="Normal 3 3 2 5 3 3 2" xfId="11242"/>
    <cellStyle name="Normal 4 2 2 5 3 3 2" xfId="11243"/>
    <cellStyle name="Normal 5 2 2 5 3 3 2" xfId="11244"/>
    <cellStyle name="Normal 7 2 2 5 3 3 2" xfId="11245"/>
    <cellStyle name="Normal 2 4 2 5 3 3 2" xfId="11246"/>
    <cellStyle name="Normal 3 4 2 5 3 3 2" xfId="11247"/>
    <cellStyle name="Normal 4 3 2 5 3 3 2" xfId="11248"/>
    <cellStyle name="Normal 5 3 2 5 3 3 2" xfId="11249"/>
    <cellStyle name="Normal 7 3 2 5 3 3 2" xfId="11250"/>
    <cellStyle name="Normal 2 6 5 3 3 2" xfId="11251"/>
    <cellStyle name="Normal 3 6 5 3 3 2" xfId="11252"/>
    <cellStyle name="Normal 4 5 5 3 3 2" xfId="11253"/>
    <cellStyle name="Normal 5 5 5 3 3 2" xfId="11254"/>
    <cellStyle name="Normal 7 5 5 3 3 2" xfId="11255"/>
    <cellStyle name="Normal 2 3 3 5 3 3 2" xfId="11256"/>
    <cellStyle name="Normal 3 3 3 5 3 3 2" xfId="11257"/>
    <cellStyle name="Normal 4 2 3 5 3 3 2" xfId="11258"/>
    <cellStyle name="Normal 5 2 3 5 3 3 2" xfId="11259"/>
    <cellStyle name="Normal 7 2 3 5 3 3 2" xfId="11260"/>
    <cellStyle name="Normal 2 4 3 5 3 3 2" xfId="11261"/>
    <cellStyle name="Normal 3 4 3 5 3 3 2" xfId="11262"/>
    <cellStyle name="Normal 4 3 3 5 3 3 2" xfId="11263"/>
    <cellStyle name="Normal 5 3 3 5 3 3 2" xfId="11264"/>
    <cellStyle name="Normal 7 3 3 5 3 3 2" xfId="11265"/>
    <cellStyle name="Normal 2 7 4 3 3 2" xfId="11266"/>
    <cellStyle name="Normal 3 7 4 3 3 2" xfId="11267"/>
    <cellStyle name="Normal 4 6 4 3 3 2" xfId="11268"/>
    <cellStyle name="Normal 5 6 4 3 3 2" xfId="11269"/>
    <cellStyle name="Normal 7 6 4 3 3 2" xfId="11270"/>
    <cellStyle name="Normal 2 3 4 4 3 3 2" xfId="11271"/>
    <cellStyle name="Normal 3 3 4 4 3 3 2" xfId="11272"/>
    <cellStyle name="Normal 4 2 4 4 3 3 2" xfId="11273"/>
    <cellStyle name="Normal 5 2 4 4 3 3 2" xfId="11274"/>
    <cellStyle name="Normal 7 2 4 4 3 3 2" xfId="11275"/>
    <cellStyle name="Normal 2 4 4 4 3 3 2" xfId="11276"/>
    <cellStyle name="Normal 3 4 4 4 3 3 2" xfId="11277"/>
    <cellStyle name="Normal 4 3 4 4 3 3 2" xfId="11278"/>
    <cellStyle name="Normal 5 3 4 4 3 3 2" xfId="11279"/>
    <cellStyle name="Normal 7 3 4 4 3 3 2" xfId="11280"/>
    <cellStyle name="Normal 2 5 2 4 3 3 2" xfId="11281"/>
    <cellStyle name="Normal 3 5 2 4 3 3 2" xfId="11282"/>
    <cellStyle name="Normal 4 4 2 4 3 3 2" xfId="11283"/>
    <cellStyle name="Normal 5 4 2 4 3 3 2" xfId="11284"/>
    <cellStyle name="Normal 7 4 2 4 3 3 2" xfId="11285"/>
    <cellStyle name="Normal 2 3 2 2 4 3 3 2" xfId="11286"/>
    <cellStyle name="Normal 3 3 2 2 4 3 3 2" xfId="11287"/>
    <cellStyle name="Normal 4 2 2 2 4 3 3 2" xfId="11288"/>
    <cellStyle name="Normal 5 2 2 2 4 3 3 2" xfId="11289"/>
    <cellStyle name="Normal 7 2 2 2 4 3 3 2" xfId="11290"/>
    <cellStyle name="Normal 2 4 2 2 4 3 3 2" xfId="11291"/>
    <cellStyle name="Normal 3 4 2 2 4 3 3 2" xfId="11292"/>
    <cellStyle name="Normal 4 3 2 2 4 3 3 2" xfId="11293"/>
    <cellStyle name="Normal 5 3 2 2 4 3 3 2" xfId="11294"/>
    <cellStyle name="Normal 7 3 2 2 4 3 3 2" xfId="11295"/>
    <cellStyle name="Normal 2 6 2 4 3 3 2" xfId="11296"/>
    <cellStyle name="Normal 3 6 2 4 3 3 2" xfId="11297"/>
    <cellStyle name="Normal 4 5 2 4 3 3 2" xfId="11298"/>
    <cellStyle name="Normal 5 5 2 4 3 3 2" xfId="11299"/>
    <cellStyle name="Normal 7 5 2 4 3 3 2" xfId="11300"/>
    <cellStyle name="Normal 2 3 3 2 4 3 3 2" xfId="11301"/>
    <cellStyle name="Normal 3 3 3 2 4 3 3 2" xfId="11302"/>
    <cellStyle name="Normal 4 2 3 2 4 3 3 2" xfId="11303"/>
    <cellStyle name="Normal 5 2 3 2 4 3 3 2" xfId="11304"/>
    <cellStyle name="Normal 7 2 3 2 4 3 3 2" xfId="11305"/>
    <cellStyle name="Normal 2 4 3 2 4 3 3 2" xfId="11306"/>
    <cellStyle name="Normal 3 4 3 2 4 3 3 2" xfId="11307"/>
    <cellStyle name="Normal 4 3 3 2 4 3 3 2" xfId="11308"/>
    <cellStyle name="Normal 5 3 3 2 4 3 3 2" xfId="11309"/>
    <cellStyle name="Normal 7 3 3 2 4 3 3 2" xfId="11310"/>
    <cellStyle name="Normal 2 8 3 3 3 2" xfId="11311"/>
    <cellStyle name="Normal 3 8 3 3 3 2" xfId="11312"/>
    <cellStyle name="Normal 4 7 3 3 3 2" xfId="11313"/>
    <cellStyle name="Normal 5 7 3 3 3 2" xfId="11314"/>
    <cellStyle name="Normal 7 7 3 3 3 2" xfId="11315"/>
    <cellStyle name="Normal 2 3 5 3 3 3 2" xfId="11316"/>
    <cellStyle name="Normal 3 3 5 3 3 3 2" xfId="11317"/>
    <cellStyle name="Normal 4 2 5 3 3 3 2" xfId="11318"/>
    <cellStyle name="Normal 5 2 5 3 3 3 2" xfId="11319"/>
    <cellStyle name="Normal 7 2 5 3 3 3 2" xfId="11320"/>
    <cellStyle name="Normal 3 4 5 3 3 3 2" xfId="11321"/>
    <cellStyle name="Normal 4 3 5 3 3 3 2" xfId="11322"/>
    <cellStyle name="Normal 5 3 5 3 3 3 2" xfId="11323"/>
    <cellStyle name="Normal 7 3 5 3 3 3 2" xfId="11324"/>
    <cellStyle name="Normal 2 5 3 3 3 3 2" xfId="11325"/>
    <cellStyle name="Normal 3 5 3 3 3 3 2" xfId="11326"/>
    <cellStyle name="Normal 4 4 3 3 3 3 2" xfId="11327"/>
    <cellStyle name="Normal 5 4 3 3 3 3 2" xfId="11328"/>
    <cellStyle name="Normal 7 4 3 3 3 3 2" xfId="11329"/>
    <cellStyle name="Normal 2 3 2 3 3 3 3 2" xfId="11330"/>
    <cellStyle name="Normal 3 3 2 3 3 3 3 2" xfId="11331"/>
    <cellStyle name="Normal 4 2 2 3 3 3 3 2" xfId="11332"/>
    <cellStyle name="Normal 5 2 2 3 3 3 3 2" xfId="11333"/>
    <cellStyle name="Normal 7 2 2 3 3 3 3 2" xfId="11334"/>
    <cellStyle name="Normal 2 4 2 3 3 3 3 2" xfId="11335"/>
    <cellStyle name="Normal 3 4 2 3 3 3 3 2" xfId="11336"/>
    <cellStyle name="Normal 4 3 2 3 3 3 3 2" xfId="11337"/>
    <cellStyle name="Normal 5 3 2 3 3 3 3 2" xfId="11338"/>
    <cellStyle name="Normal 7 3 2 3 3 3 3 2" xfId="11339"/>
    <cellStyle name="Normal 2 6 3 3 3 3 2" xfId="11340"/>
    <cellStyle name="Normal 3 6 3 3 3 3 2" xfId="11341"/>
    <cellStyle name="Normal 4 5 3 3 3 3 2" xfId="11342"/>
    <cellStyle name="Normal 5 5 3 3 3 3 2" xfId="11343"/>
    <cellStyle name="Normal 7 5 3 3 3 3 2" xfId="11344"/>
    <cellStyle name="Normal 2 3 3 3 3 3 3 2" xfId="11345"/>
    <cellStyle name="Normal 3 3 3 3 3 3 3 2" xfId="11346"/>
    <cellStyle name="Normal 4 2 3 3 3 3 3 2" xfId="11347"/>
    <cellStyle name="Normal 5 2 3 3 3 3 3 2" xfId="11348"/>
    <cellStyle name="Normal 7 2 3 3 3 3 3 2" xfId="11349"/>
    <cellStyle name="Normal 2 4 3 3 3 3 3 2" xfId="11350"/>
    <cellStyle name="Normal 3 4 3 3 3 3 3 2" xfId="11351"/>
    <cellStyle name="Normal 4 3 3 3 3 3 3 2" xfId="11352"/>
    <cellStyle name="Normal 5 3 3 3 3 3 3 2" xfId="11353"/>
    <cellStyle name="Normal 7 3 3 3 3 3 3 2" xfId="11354"/>
    <cellStyle name="Normal 2 7 2 3 3 3 2" xfId="11355"/>
    <cellStyle name="Normal 3 7 2 3 3 3 2" xfId="11356"/>
    <cellStyle name="Normal 4 6 2 3 3 3 2" xfId="11357"/>
    <cellStyle name="Normal 5 6 2 3 3 3 2" xfId="11358"/>
    <cellStyle name="Normal 7 6 2 3 3 3 2" xfId="11359"/>
    <cellStyle name="Normal 2 3 4 2 3 3 3 2" xfId="11360"/>
    <cellStyle name="Normal 3 3 4 2 3 3 3 2" xfId="11361"/>
    <cellStyle name="Normal 4 2 4 2 3 3 3 2" xfId="11362"/>
    <cellStyle name="Normal 5 2 4 2 3 3 3 2" xfId="11363"/>
    <cellStyle name="Normal 7 2 4 2 3 3 3 2" xfId="11364"/>
    <cellStyle name="Normal 2 4 4 2 3 3 3 2" xfId="11365"/>
    <cellStyle name="Normal 3 4 4 2 3 3 3 2" xfId="11366"/>
    <cellStyle name="Normal 4 3 4 2 3 3 3 2" xfId="11367"/>
    <cellStyle name="Normal 5 3 4 2 3 3 3 2" xfId="11368"/>
    <cellStyle name="Normal 7 3 4 2 3 3 3 2" xfId="11369"/>
    <cellStyle name="Normal 2 5 2 2 3 3 3 2" xfId="11370"/>
    <cellStyle name="Normal 3 5 2 2 3 3 3 2" xfId="11371"/>
    <cellStyle name="Normal 4 4 2 2 3 3 3 2" xfId="11372"/>
    <cellStyle name="Normal 5 4 2 2 3 3 3 2" xfId="11373"/>
    <cellStyle name="Normal 7 4 2 2 3 3 3 2" xfId="11374"/>
    <cellStyle name="Normal 2 3 2 2 2 3 3 3 2" xfId="11375"/>
    <cellStyle name="Normal 3 3 2 2 2 3 3 3 2" xfId="11376"/>
    <cellStyle name="Normal 4 2 2 2 2 3 3 3 2" xfId="11377"/>
    <cellStyle name="Normal 5 2 2 2 2 3 3 3 2" xfId="11378"/>
    <cellStyle name="Normal 7 2 2 2 2 3 3 3 2" xfId="11379"/>
    <cellStyle name="Normal 2 4 2 2 2 3 3 3 2" xfId="11380"/>
    <cellStyle name="Normal 3 4 2 2 2 3 3 3 2" xfId="11381"/>
    <cellStyle name="Normal 4 3 2 2 2 3 3 3 2" xfId="11382"/>
    <cellStyle name="Normal 5 3 2 2 2 3 3 3 2" xfId="11383"/>
    <cellStyle name="Normal 7 3 2 2 2 3 3 3 2" xfId="11384"/>
    <cellStyle name="Normal 2 6 2 2 3 3 3 2" xfId="11385"/>
    <cellStyle name="Normal 3 6 2 2 3 3 3 2" xfId="11386"/>
    <cellStyle name="Normal 4 5 2 2 3 3 3 2" xfId="11387"/>
    <cellStyle name="Normal 5 5 2 2 3 3 3 2" xfId="11388"/>
    <cellStyle name="Normal 7 5 2 2 3 3 3 2" xfId="11389"/>
    <cellStyle name="Normal 2 3 3 2 2 3 3 3 2" xfId="11390"/>
    <cellStyle name="Normal 3 3 3 2 2 3 3 3 2" xfId="11391"/>
    <cellStyle name="Normal 4 2 3 2 2 3 3 3 2" xfId="11392"/>
    <cellStyle name="Normal 5 2 3 2 2 3 3 3 2" xfId="11393"/>
    <cellStyle name="Normal 7 2 3 2 2 3 3 3 2" xfId="11394"/>
    <cellStyle name="Normal 2 4 3 2 2 3 3 3 2" xfId="11395"/>
    <cellStyle name="Normal 3 4 3 2 2 3 3 3 2" xfId="11396"/>
    <cellStyle name="Normal 4 3 3 2 2 3 3 3 2" xfId="11397"/>
    <cellStyle name="Normal 5 3 3 2 2 3 3 3 2" xfId="11398"/>
    <cellStyle name="Normal 7 3 3 2 2 3 3 3 2" xfId="11399"/>
    <cellStyle name="Normal 2 13 2 2" xfId="11400"/>
    <cellStyle name="Normal 3 13 2 2" xfId="11401"/>
    <cellStyle name="Normal 4 12 2 2" xfId="11402"/>
    <cellStyle name="Normal 5 12 2 2" xfId="11403"/>
    <cellStyle name="Normal 7 12 2 2" xfId="11404"/>
    <cellStyle name="Normal 2 3 10 2 2" xfId="11405"/>
    <cellStyle name="Normal 3 3 10 2 2" xfId="11406"/>
    <cellStyle name="Normal 4 2 10 2 2" xfId="11407"/>
    <cellStyle name="Normal 5 2 10 2 2" xfId="11408"/>
    <cellStyle name="Normal 7 2 10 2 2" xfId="11409"/>
    <cellStyle name="Normal 2 4 10 2 2" xfId="11410"/>
    <cellStyle name="Normal 3 4 10 2 2" xfId="11411"/>
    <cellStyle name="Normal 4 3 10 2 2" xfId="11412"/>
    <cellStyle name="Normal 5 3 10 2 2" xfId="11413"/>
    <cellStyle name="Normal 7 3 10 2 2" xfId="11414"/>
    <cellStyle name="Normal 2 5 8 2 2" xfId="11415"/>
    <cellStyle name="Normal 3 5 8 2 2" xfId="11416"/>
    <cellStyle name="Normal 4 4 8 2 2" xfId="11417"/>
    <cellStyle name="Normal 5 4 8 2 2" xfId="11418"/>
    <cellStyle name="Normal 7 4 8 2 2" xfId="11419"/>
    <cellStyle name="Normal 2 3 2 8 2 2" xfId="11420"/>
    <cellStyle name="Normal 3 3 2 8 2 2" xfId="11421"/>
    <cellStyle name="Normal 4 2 2 8 2 2" xfId="11422"/>
    <cellStyle name="Normal 5 2 2 8 2 2" xfId="11423"/>
    <cellStyle name="Normal 7 2 2 8 2 2" xfId="11424"/>
    <cellStyle name="Normal 2 4 2 8 2 2" xfId="11425"/>
    <cellStyle name="Normal 3 4 2 8 2 2" xfId="11426"/>
    <cellStyle name="Normal 4 3 2 8 2 2" xfId="11427"/>
    <cellStyle name="Normal 5 3 2 8 2 2" xfId="11428"/>
    <cellStyle name="Normal 7 3 2 8 2 2" xfId="11429"/>
    <cellStyle name="Normal 2 6 8 2 2" xfId="11430"/>
    <cellStyle name="Normal 3 6 8 2 2" xfId="11431"/>
    <cellStyle name="Normal 4 5 8 2 2" xfId="11432"/>
    <cellStyle name="Normal 5 5 8 2 2" xfId="11433"/>
    <cellStyle name="Normal 7 5 8 2 2" xfId="11434"/>
    <cellStyle name="Normal 2 3 3 8 2 2" xfId="11435"/>
    <cellStyle name="Normal 3 3 3 8 2 2" xfId="11436"/>
    <cellStyle name="Normal 4 2 3 8 2 2" xfId="11437"/>
    <cellStyle name="Normal 5 2 3 8 2 2" xfId="11438"/>
    <cellStyle name="Normal 7 2 3 8 2 2" xfId="11439"/>
    <cellStyle name="Normal 2 4 3 8 2 2" xfId="11440"/>
    <cellStyle name="Normal 3 4 3 8 2 2" xfId="11441"/>
    <cellStyle name="Normal 4 3 3 8 2 2" xfId="11442"/>
    <cellStyle name="Normal 5 3 3 8 2 2" xfId="11443"/>
    <cellStyle name="Normal 7 3 3 8 2 2" xfId="11444"/>
    <cellStyle name="Normal 2 7 7 2 2" xfId="11445"/>
    <cellStyle name="Normal 3 7 7 2 2" xfId="11446"/>
    <cellStyle name="Normal 4 6 7 2 2" xfId="11447"/>
    <cellStyle name="Normal 5 6 7 2 2" xfId="11448"/>
    <cellStyle name="Normal 7 6 7 2 2" xfId="11449"/>
    <cellStyle name="Normal 2 3 4 7 2 2" xfId="11450"/>
    <cellStyle name="Normal 3 3 4 7 2 2" xfId="11451"/>
    <cellStyle name="Normal 4 2 4 7 2 2" xfId="11452"/>
    <cellStyle name="Normal 5 2 4 7 2 2" xfId="11453"/>
    <cellStyle name="Normal 7 2 4 7 2 2" xfId="11454"/>
    <cellStyle name="Normal 2 4 4 7 2 2" xfId="11455"/>
    <cellStyle name="Normal 3 4 4 7 2 2" xfId="11456"/>
    <cellStyle name="Normal 4 3 4 7 2 2" xfId="11457"/>
    <cellStyle name="Normal 5 3 4 7 2 2" xfId="11458"/>
    <cellStyle name="Normal 7 3 4 7 2 2" xfId="11459"/>
    <cellStyle name="Normal 2 5 2 7 2 2" xfId="11460"/>
    <cellStyle name="Normal 3 5 2 7 2 2" xfId="11461"/>
    <cellStyle name="Normal 4 4 2 7 2 2" xfId="11462"/>
    <cellStyle name="Normal 5 4 2 7 2 2" xfId="11463"/>
    <cellStyle name="Normal 7 4 2 7 2 2" xfId="11464"/>
    <cellStyle name="Normal 2 3 2 2 7 2 2" xfId="11465"/>
    <cellStyle name="Normal 3 3 2 2 7 2 2" xfId="11466"/>
    <cellStyle name="Normal 4 2 2 2 7 2 2" xfId="11467"/>
    <cellStyle name="Normal 5 2 2 2 7 2 2" xfId="11468"/>
    <cellStyle name="Normal 7 2 2 2 7 2 2" xfId="11469"/>
    <cellStyle name="Normal 2 4 2 2 7 2 2" xfId="11470"/>
    <cellStyle name="Normal 3 4 2 2 7 2 2" xfId="11471"/>
    <cellStyle name="Normal 4 3 2 2 7 2 2" xfId="11472"/>
    <cellStyle name="Normal 5 3 2 2 7 2 2" xfId="11473"/>
    <cellStyle name="Normal 7 3 2 2 7 2 2" xfId="11474"/>
    <cellStyle name="Normal 2 6 2 7 2 2" xfId="11475"/>
    <cellStyle name="Normal 3 6 2 7 2 2" xfId="11476"/>
    <cellStyle name="Normal 4 5 2 7 2 2" xfId="11477"/>
    <cellStyle name="Normal 5 5 2 7 2 2" xfId="11478"/>
    <cellStyle name="Normal 7 5 2 7 2 2" xfId="11479"/>
    <cellStyle name="Normal 2 3 3 2 7 2 2" xfId="11480"/>
    <cellStyle name="Normal 3 3 3 2 7 2 2" xfId="11481"/>
    <cellStyle name="Normal 4 2 3 2 7 2 2" xfId="11482"/>
    <cellStyle name="Normal 5 2 3 2 7 2 2" xfId="11483"/>
    <cellStyle name="Normal 7 2 3 2 7 2 2" xfId="11484"/>
    <cellStyle name="Normal 2 4 3 2 7 2 2" xfId="11485"/>
    <cellStyle name="Normal 3 4 3 2 7 2 2" xfId="11486"/>
    <cellStyle name="Normal 4 3 3 2 7 2 2" xfId="11487"/>
    <cellStyle name="Normal 5 3 3 2 7 2 2" xfId="11488"/>
    <cellStyle name="Normal 7 3 3 2 7 2 2" xfId="11489"/>
    <cellStyle name="Normal 2 8 6 2 2" xfId="11490"/>
    <cellStyle name="Normal 3 8 6 2 2" xfId="11491"/>
    <cellStyle name="Normal 4 7 6 2 2" xfId="11492"/>
    <cellStyle name="Normal 5 7 6 2 2" xfId="11493"/>
    <cellStyle name="Normal 7 7 6 2 2" xfId="11494"/>
    <cellStyle name="Normal 2 3 5 6 2 2" xfId="11495"/>
    <cellStyle name="Normal 3 3 5 6 2 2" xfId="11496"/>
    <cellStyle name="Normal 4 2 5 6 2 2" xfId="11497"/>
    <cellStyle name="Normal 5 2 5 6 2 2" xfId="11498"/>
    <cellStyle name="Normal 7 2 5 6 2 2" xfId="11499"/>
    <cellStyle name="Normal 2 4 5 6 2 2" xfId="11500"/>
    <cellStyle name="Normal 3 4 5 6 2 2" xfId="11501"/>
    <cellStyle name="Normal 4 3 5 6 2 2" xfId="11502"/>
    <cellStyle name="Normal 5 3 5 6 2 2" xfId="11503"/>
    <cellStyle name="Normal 7 3 5 6 2 2" xfId="11504"/>
    <cellStyle name="Normal 2 5 3 6 2 2" xfId="11505"/>
    <cellStyle name="Normal 3 5 3 6 2 2" xfId="11506"/>
    <cellStyle name="Normal 4 4 3 6 2 2" xfId="11507"/>
    <cellStyle name="Normal 5 4 3 6 2 2" xfId="11508"/>
    <cellStyle name="Normal 7 4 3 6 2 2" xfId="11509"/>
    <cellStyle name="Normal 2 3 2 3 6 2 2" xfId="11510"/>
    <cellStyle name="Normal 3 3 2 3 6 2 2" xfId="11511"/>
    <cellStyle name="Normal 4 2 2 3 6 2 2" xfId="11512"/>
    <cellStyle name="Normal 5 2 2 3 6 2 2" xfId="11513"/>
    <cellStyle name="Normal 7 2 2 3 6 2 2" xfId="11514"/>
    <cellStyle name="Normal 2 4 2 3 6 2 2" xfId="11515"/>
    <cellStyle name="Normal 3 4 2 3 6 2 2" xfId="11516"/>
    <cellStyle name="Normal 4 3 2 3 6 2 2" xfId="11517"/>
    <cellStyle name="Normal 5 3 2 3 6 2 2" xfId="11518"/>
    <cellStyle name="Normal 7 3 2 3 6 2 2" xfId="11519"/>
    <cellStyle name="Normal 2 6 3 6 2 2" xfId="11520"/>
    <cellStyle name="Normal 3 6 3 6 2 2" xfId="11521"/>
    <cellStyle name="Normal 4 5 3 6 2 2" xfId="11522"/>
    <cellStyle name="Normal 5 5 3 6 2 2" xfId="11523"/>
    <cellStyle name="Normal 7 5 3 6 2 2" xfId="11524"/>
    <cellStyle name="Normal 2 3 3 3 6 2 2" xfId="11525"/>
    <cellStyle name="Normal 3 3 3 3 6 2 2" xfId="11526"/>
    <cellStyle name="Normal 4 2 3 3 6 2 2" xfId="11527"/>
    <cellStyle name="Normal 5 2 3 3 6 2 2" xfId="11528"/>
    <cellStyle name="Normal 7 2 3 3 6 2 2" xfId="11529"/>
    <cellStyle name="Normal 2 4 3 3 6 2 2" xfId="11530"/>
    <cellStyle name="Normal 3 4 3 3 6 2 2" xfId="11531"/>
    <cellStyle name="Normal 4 3 3 3 6 2 2" xfId="11532"/>
    <cellStyle name="Normal 5 3 3 3 6 2 2" xfId="11533"/>
    <cellStyle name="Normal 7 3 3 3 6 2 2" xfId="11534"/>
    <cellStyle name="Normal 2 7 2 6 2 2" xfId="11535"/>
    <cellStyle name="Normal 3 7 2 6 2 2" xfId="11536"/>
    <cellStyle name="Normal 4 6 2 6 2 2" xfId="11537"/>
    <cellStyle name="Normal 5 6 2 6 2 2" xfId="11538"/>
    <cellStyle name="Normal 7 6 2 6 2 2" xfId="11539"/>
    <cellStyle name="Normal 2 3 4 2 6 2 2" xfId="11540"/>
    <cellStyle name="Normal 3 3 4 2 6 2 2" xfId="11541"/>
    <cellStyle name="Normal 4 2 4 2 6 2 2" xfId="11542"/>
    <cellStyle name="Normal 5 2 4 2 6 2 2" xfId="11543"/>
    <cellStyle name="Normal 7 2 4 2 6 2 2" xfId="11544"/>
    <cellStyle name="Normal 2 4 4 2 6 2 2" xfId="11545"/>
    <cellStyle name="Normal 3 4 4 2 6 2 2" xfId="11546"/>
    <cellStyle name="Normal 4 3 4 2 6 2 2" xfId="11547"/>
    <cellStyle name="Normal 5 3 4 2 6 2 2" xfId="11548"/>
    <cellStyle name="Normal 7 3 4 2 6 2 2" xfId="11549"/>
    <cellStyle name="Normal 2 5 2 2 6 2 2" xfId="11550"/>
    <cellStyle name="Normal 3 5 2 2 6 2 2" xfId="11551"/>
    <cellStyle name="Normal 4 4 2 2 6 2 2" xfId="11552"/>
    <cellStyle name="Normal 5 4 2 2 6 2 2" xfId="11553"/>
    <cellStyle name="Normal 7 4 2 2 6 2 2" xfId="11554"/>
    <cellStyle name="Normal 2 3 2 2 2 6 2 2" xfId="11555"/>
    <cellStyle name="Normal 3 3 2 2 2 6 2 2" xfId="11556"/>
    <cellStyle name="Normal 4 2 2 2 2 6 2 2" xfId="11557"/>
    <cellStyle name="Normal 5 2 2 2 2 6 2 2" xfId="11558"/>
    <cellStyle name="Normal 7 2 2 2 2 6 2 2" xfId="11559"/>
    <cellStyle name="Normal 2 4 2 2 2 6 2 2" xfId="11560"/>
    <cellStyle name="Normal 3 4 2 2 2 6 2 2" xfId="11561"/>
    <cellStyle name="Normal 4 3 2 2 2 6 2 2" xfId="11562"/>
    <cellStyle name="Normal 5 3 2 2 2 6 2 2" xfId="11563"/>
    <cellStyle name="Normal 7 3 2 2 2 6 2 2" xfId="11564"/>
    <cellStyle name="Normal 2 6 2 2 6 2 2" xfId="11565"/>
    <cellStyle name="Normal 3 6 2 2 6 2 2" xfId="11566"/>
    <cellStyle name="Normal 4 5 2 2 6 2 2" xfId="11567"/>
    <cellStyle name="Normal 5 5 2 2 6 2 2" xfId="11568"/>
    <cellStyle name="Normal 7 5 2 2 6 2 2" xfId="11569"/>
    <cellStyle name="Normal 2 3 3 2 2 6 2 2" xfId="11570"/>
    <cellStyle name="Normal 3 3 3 2 2 6 2 2" xfId="11571"/>
    <cellStyle name="Normal 4 2 3 2 2 6 2 2" xfId="11572"/>
    <cellStyle name="Normal 5 2 3 2 2 6 2 2" xfId="11573"/>
    <cellStyle name="Normal 7 2 3 2 2 6 2 2" xfId="11574"/>
    <cellStyle name="Normal 2 4 3 2 2 6 2 2" xfId="11575"/>
    <cellStyle name="Normal 3 4 3 2 2 6 2 2" xfId="11576"/>
    <cellStyle name="Normal 4 3 3 2 2 6 2 2" xfId="11577"/>
    <cellStyle name="Normal 5 3 3 2 2 6 2 2" xfId="11578"/>
    <cellStyle name="Normal 7 3 3 2 2 6 2 2" xfId="11579"/>
    <cellStyle name="Normal 2 9 4 2 2" xfId="11580"/>
    <cellStyle name="Normal 3 9 4 2 2" xfId="11581"/>
    <cellStyle name="Normal 4 8 4 2 2" xfId="11582"/>
    <cellStyle name="Normal 5 8 4 2 2" xfId="11583"/>
    <cellStyle name="Normal 7 8 4 2 2" xfId="11584"/>
    <cellStyle name="Normal 2 3 6 4 2 2" xfId="11585"/>
    <cellStyle name="Normal 3 3 6 4 2 2" xfId="11586"/>
    <cellStyle name="Normal 4 2 6 4 2 2" xfId="11587"/>
    <cellStyle name="Normal 5 2 6 4 2 2" xfId="11588"/>
    <cellStyle name="Normal 7 2 6 4 2 2" xfId="11589"/>
    <cellStyle name="Normal 2 4 6 4 2 2" xfId="11590"/>
    <cellStyle name="Normal 3 4 6 4 2 2" xfId="11591"/>
    <cellStyle name="Normal 4 3 6 4 2 2" xfId="11592"/>
    <cellStyle name="Normal 5 3 6 4 2 2" xfId="11593"/>
    <cellStyle name="Normal 7 3 6 4 2 2" xfId="11594"/>
    <cellStyle name="Normal 2 5 4 4 2 2" xfId="11595"/>
    <cellStyle name="Normal 3 5 4 4 2 2" xfId="11596"/>
    <cellStyle name="Normal 4 4 4 4 2 2" xfId="11597"/>
    <cellStyle name="Normal 5 4 4 4 2 2" xfId="11598"/>
    <cellStyle name="Normal 7 4 4 4 2 2" xfId="11599"/>
    <cellStyle name="Normal 2 3 2 4 4 2 2" xfId="11600"/>
    <cellStyle name="Normal 3 3 2 4 4 2 2" xfId="11601"/>
    <cellStyle name="Normal 4 2 2 4 4 2 2" xfId="11602"/>
    <cellStyle name="Normal 5 2 2 4 4 2 2" xfId="11603"/>
    <cellStyle name="Normal 7 2 2 4 4 2 2" xfId="11604"/>
    <cellStyle name="Normal 2 4 2 4 4 2 2" xfId="11605"/>
    <cellStyle name="Normal 3 4 2 4 4 2 2" xfId="11606"/>
    <cellStyle name="Normal 4 3 2 4 4 2 2" xfId="11607"/>
    <cellStyle name="Normal 5 3 2 4 4 2 2" xfId="11608"/>
    <cellStyle name="Normal 7 3 2 4 4 2 2" xfId="11609"/>
    <cellStyle name="Normal 2 6 4 4 2 2" xfId="11610"/>
    <cellStyle name="Normal 3 6 4 4 2 2" xfId="11611"/>
    <cellStyle name="Normal 4 5 4 4 2 2" xfId="11612"/>
    <cellStyle name="Normal 5 5 4 4 2 2" xfId="11613"/>
    <cellStyle name="Normal 7 5 4 4 2 2" xfId="11614"/>
    <cellStyle name="Normal 2 3 3 4 4 2 2" xfId="11615"/>
    <cellStyle name="Normal 3 3 3 4 4 2 2" xfId="11616"/>
    <cellStyle name="Normal 4 2 3 4 4 2 2" xfId="11617"/>
    <cellStyle name="Normal 5 2 3 4 4 2 2" xfId="11618"/>
    <cellStyle name="Normal 7 2 3 4 4 2 2" xfId="11619"/>
    <cellStyle name="Normal 2 4 3 4 4 2 2" xfId="11620"/>
    <cellStyle name="Normal 3 4 3 4 4 2 2" xfId="11621"/>
    <cellStyle name="Normal 4 3 3 4 4 2 2" xfId="11622"/>
    <cellStyle name="Normal 5 3 3 4 4 2 2" xfId="11623"/>
    <cellStyle name="Normal 7 3 3 4 4 2 2" xfId="11624"/>
    <cellStyle name="Normal 2 7 3 4 2 2" xfId="11625"/>
    <cellStyle name="Normal 3 7 3 4 2 2" xfId="11626"/>
    <cellStyle name="Normal 4 6 3 4 2 2" xfId="11627"/>
    <cellStyle name="Normal 5 6 3 4 2 2" xfId="11628"/>
    <cellStyle name="Normal 7 6 3 4 2 2" xfId="11629"/>
    <cellStyle name="Normal 2 3 4 3 4 2 2" xfId="11630"/>
    <cellStyle name="Normal 3 3 4 3 4 2 2" xfId="11631"/>
    <cellStyle name="Normal 4 2 4 3 4 2 2" xfId="11632"/>
    <cellStyle name="Normal 5 2 4 3 4 2 2" xfId="11633"/>
    <cellStyle name="Normal 7 2 4 3 4 2 2" xfId="11634"/>
    <cellStyle name="Normal 2 4 4 3 4 2 2" xfId="11635"/>
    <cellStyle name="Normal 3 4 4 3 4 2 2" xfId="11636"/>
    <cellStyle name="Normal 4 3 4 3 4 2 2" xfId="11637"/>
    <cellStyle name="Normal 5 3 4 3 4 2 2" xfId="11638"/>
    <cellStyle name="Normal 7 3 4 3 4 2 2" xfId="11639"/>
    <cellStyle name="Normal 2 5 2 3 4 2 2" xfId="11640"/>
    <cellStyle name="Normal 3 5 2 3 4 2 2" xfId="11641"/>
    <cellStyle name="Normal 4 4 2 3 4 2 2" xfId="11642"/>
    <cellStyle name="Normal 5 4 2 3 4 2 2" xfId="11643"/>
    <cellStyle name="Normal 7 4 2 3 4 2 2" xfId="11644"/>
    <cellStyle name="Normal 2 3 2 2 3 4 2 2" xfId="11645"/>
    <cellStyle name="Normal 3 3 2 2 3 4 2 2" xfId="11646"/>
    <cellStyle name="Normal 4 2 2 2 3 4 2 2" xfId="11647"/>
    <cellStyle name="Normal 5 2 2 2 3 4 2 2" xfId="11648"/>
    <cellStyle name="Normal 7 2 2 2 3 4 2 2" xfId="11649"/>
    <cellStyle name="Normal 2 4 2 2 3 4 2 2" xfId="11650"/>
    <cellStyle name="Normal 3 4 2 2 3 4 2 2" xfId="11651"/>
    <cellStyle name="Normal 4 3 2 2 3 4 2 2" xfId="11652"/>
    <cellStyle name="Normal 5 3 2 2 3 4 2 2" xfId="11653"/>
    <cellStyle name="Normal 7 3 2 2 3 4 2 2" xfId="11654"/>
    <cellStyle name="Normal 2 6 2 3 4 2 2" xfId="11655"/>
    <cellStyle name="Normal 3 6 2 3 4 2 2" xfId="11656"/>
    <cellStyle name="Normal 4 5 2 3 4 2 2" xfId="11657"/>
    <cellStyle name="Normal 5 5 2 3 4 2 2" xfId="11658"/>
    <cellStyle name="Normal 7 5 2 3 4 2 2" xfId="11659"/>
    <cellStyle name="Normal 2 3 3 2 3 4 2 2" xfId="11660"/>
    <cellStyle name="Normal 3 3 3 2 3 4 2 2" xfId="11661"/>
    <cellStyle name="Normal 4 2 3 2 3 4 2 2" xfId="11662"/>
    <cellStyle name="Normal 5 2 3 2 3 4 2 2" xfId="11663"/>
    <cellStyle name="Normal 7 2 3 2 3 4 2 2" xfId="11664"/>
    <cellStyle name="Normal 2 4 3 2 3 4 2 2" xfId="11665"/>
    <cellStyle name="Normal 3 4 3 2 3 4 2 2" xfId="11666"/>
    <cellStyle name="Normal 4 3 3 2 3 4 2 2" xfId="11667"/>
    <cellStyle name="Normal 5 3 3 2 3 4 2 2" xfId="11668"/>
    <cellStyle name="Normal 7 3 3 2 3 4 2 2" xfId="11669"/>
    <cellStyle name="Normal 2 8 2 4 2 2" xfId="11670"/>
    <cellStyle name="Normal 3 8 2 4 2 2" xfId="11671"/>
    <cellStyle name="Normal 4 7 2 4 2 2" xfId="11672"/>
    <cellStyle name="Normal 5 7 2 4 2 2" xfId="11673"/>
    <cellStyle name="Normal 7 7 2 4 2 2" xfId="11674"/>
    <cellStyle name="Normal 2 3 5 2 4 2 2" xfId="11675"/>
    <cellStyle name="Normal 3 3 5 2 4 2 2" xfId="11676"/>
    <cellStyle name="Normal 4 2 5 2 4 2 2" xfId="11677"/>
    <cellStyle name="Normal 5 2 5 2 4 2 2" xfId="11678"/>
    <cellStyle name="Normal 7 2 5 2 4 2 2" xfId="11679"/>
    <cellStyle name="Normal 2 4 5 2 4 2 2" xfId="11680"/>
    <cellStyle name="Normal 3 4 5 2 4 2 2" xfId="11681"/>
    <cellStyle name="Normal 4 3 5 2 4 2 2" xfId="11682"/>
    <cellStyle name="Normal 5 3 5 2 4 2 2" xfId="11683"/>
    <cellStyle name="Normal 7 3 5 2 4 2 2" xfId="11684"/>
    <cellStyle name="Normal 2 5 3 2 4 2 2" xfId="11685"/>
    <cellStyle name="Normal 3 5 3 2 4 2 2" xfId="11686"/>
    <cellStyle name="Normal 4 4 3 2 4 2 2" xfId="11687"/>
    <cellStyle name="Normal 5 4 3 2 4 2 2" xfId="11688"/>
    <cellStyle name="Normal 7 4 3 2 4 2 2" xfId="11689"/>
    <cellStyle name="Normal 2 3 2 3 2 4 2 2" xfId="11690"/>
    <cellStyle name="Normal 3 3 2 3 2 4 2 2" xfId="11691"/>
    <cellStyle name="Normal 4 2 2 3 2 4 2 2" xfId="11692"/>
    <cellStyle name="Normal 5 2 2 3 2 4 2 2" xfId="11693"/>
    <cellStyle name="Normal 7 2 2 3 2 4 2 2" xfId="11694"/>
    <cellStyle name="Normal 2 4 2 3 2 4 2 2" xfId="11695"/>
    <cellStyle name="Normal 3 4 2 3 2 4 2 2" xfId="11696"/>
    <cellStyle name="Normal 4 3 2 3 2 4 2 2" xfId="11697"/>
    <cellStyle name="Normal 5 3 2 3 2 4 2 2" xfId="11698"/>
    <cellStyle name="Normal 7 3 2 3 2 4 2 2" xfId="11699"/>
    <cellStyle name="Normal 2 6 3 2 4 2 2" xfId="11700"/>
    <cellStyle name="Normal 3 6 3 2 4 2 2" xfId="11701"/>
    <cellStyle name="Normal 4 5 3 2 4 2 2" xfId="11702"/>
    <cellStyle name="Normal 5 5 3 2 4 2 2" xfId="11703"/>
    <cellStyle name="Normal 7 5 3 2 4 2 2" xfId="11704"/>
    <cellStyle name="Normal 2 3 3 3 2 4 2 2" xfId="11705"/>
    <cellStyle name="Normal 3 3 3 3 2 4 2 2" xfId="11706"/>
    <cellStyle name="Normal 4 2 3 3 2 4 2 2" xfId="11707"/>
    <cellStyle name="Normal 5 2 3 3 2 4 2 2" xfId="11708"/>
    <cellStyle name="Normal 7 2 3 3 2 4 2 2" xfId="11709"/>
    <cellStyle name="Normal 2 4 3 3 2 4 2 2" xfId="11710"/>
    <cellStyle name="Normal 3 4 3 3 2 4 2 2" xfId="11711"/>
    <cellStyle name="Normal 4 3 3 3 2 4 2 2" xfId="11712"/>
    <cellStyle name="Normal 5 3 3 3 2 4 2 2" xfId="11713"/>
    <cellStyle name="Normal 7 3 3 3 2 4 2 2" xfId="11714"/>
    <cellStyle name="Normal 2 7 2 2 4 2 2" xfId="11715"/>
    <cellStyle name="Normal 3 7 2 2 4 2 2" xfId="11716"/>
    <cellStyle name="Normal 4 6 2 2 4 2 2" xfId="11717"/>
    <cellStyle name="Normal 5 6 2 2 4 2 2" xfId="11718"/>
    <cellStyle name="Normal 7 6 2 2 4 2 2" xfId="11719"/>
    <cellStyle name="Normal 2 3 4 2 2 4 2 2" xfId="11720"/>
    <cellStyle name="Normal 3 3 4 2 2 4 2 2" xfId="11721"/>
    <cellStyle name="Normal 4 2 4 2 2 4 2 2" xfId="11722"/>
    <cellStyle name="Normal 5 2 4 2 2 4 2 2" xfId="11723"/>
    <cellStyle name="Normal 7 2 4 2 2 4 2 2" xfId="11724"/>
    <cellStyle name="Normal 2 4 4 2 2 4 2 2" xfId="11725"/>
    <cellStyle name="Normal 3 4 4 2 2 4 2 2" xfId="11726"/>
    <cellStyle name="Normal 4 3 4 2 2 4 2 2" xfId="11727"/>
    <cellStyle name="Normal 5 3 4 2 2 4 2 2" xfId="11728"/>
    <cellStyle name="Normal 7 3 4 2 2 4 2 2" xfId="11729"/>
    <cellStyle name="Normal 2 5 2 2 2 4 2 2" xfId="11730"/>
    <cellStyle name="Normal 3 5 2 2 2 4 2 2" xfId="11731"/>
    <cellStyle name="Normal 4 4 2 2 2 4 2 2" xfId="11732"/>
    <cellStyle name="Normal 5 4 2 2 2 4 2 2" xfId="11733"/>
    <cellStyle name="Normal 7 4 2 2 2 4 2 2" xfId="11734"/>
    <cellStyle name="Normal 2 3 2 2 2 2 4 2 2" xfId="11735"/>
    <cellStyle name="Normal 3 3 2 2 2 2 4 2 2" xfId="11736"/>
    <cellStyle name="Normal 4 2 2 2 2 2 4 2 2" xfId="11737"/>
    <cellStyle name="Normal 5 2 2 2 2 2 4 2 2" xfId="11738"/>
    <cellStyle name="Normal 7 2 2 2 2 2 4 2 2" xfId="11739"/>
    <cellStyle name="Normal 2 4 2 2 2 2 4 2 2" xfId="11740"/>
    <cellStyle name="Normal 3 4 2 2 2 2 4 2 2" xfId="11741"/>
    <cellStyle name="Normal 4 3 2 2 2 2 4 2 2" xfId="11742"/>
    <cellStyle name="Normal 5 3 2 2 2 2 4 2 2" xfId="11743"/>
    <cellStyle name="Normal 7 3 2 2 2 2 4 2 2" xfId="11744"/>
    <cellStyle name="Normal 2 6 2 2 2 4 2 2" xfId="11745"/>
    <cellStyle name="Normal 3 6 2 2 2 4 2 2" xfId="11746"/>
    <cellStyle name="Normal 4 5 2 2 2 4 2 2" xfId="11747"/>
    <cellStyle name="Normal 5 5 2 2 2 4 2 2" xfId="11748"/>
    <cellStyle name="Normal 7 5 2 2 2 4 2 2" xfId="11749"/>
    <cellStyle name="Normal 2 3 3 2 2 2 4 2 2" xfId="11750"/>
    <cellStyle name="Normal 3 3 3 2 2 2 4 2 2" xfId="11751"/>
    <cellStyle name="Normal 4 2 3 2 2 2 4 2 2" xfId="11752"/>
    <cellStyle name="Normal 5 2 3 2 2 2 4 2 2" xfId="11753"/>
    <cellStyle name="Normal 7 2 3 2 2 2 4 2 2" xfId="11754"/>
    <cellStyle name="Normal 2 4 3 2 2 2 4 2 2" xfId="11755"/>
    <cellStyle name="Normal 3 4 3 2 2 2 4 2 2" xfId="11756"/>
    <cellStyle name="Normal 4 3 3 2 2 2 4 2 2" xfId="11757"/>
    <cellStyle name="Normal 5 3 3 2 2 2 4 2 2" xfId="11758"/>
    <cellStyle name="Normal 7 3 3 2 2 2 4 2 2" xfId="11759"/>
    <cellStyle name="Normal 28 4 2 2" xfId="11760"/>
    <cellStyle name="Normal 2 3 7 4 2 2" xfId="11761"/>
    <cellStyle name="Normal 3 10 4 2 2" xfId="11762"/>
    <cellStyle name="Normal 4 9 4 2 2" xfId="11763"/>
    <cellStyle name="Normal 5 9 4 2 2" xfId="11764"/>
    <cellStyle name="Millares 4 4 2 2" xfId="11765"/>
    <cellStyle name="Normal 7 2 7 4 2 2" xfId="11766"/>
    <cellStyle name="Normal 3 3 7 4 2 2" xfId="11767"/>
    <cellStyle name="Normal 4 2 7 4 2 2" xfId="11768"/>
    <cellStyle name="Normal 5 2 7 4 2 2" xfId="11769"/>
    <cellStyle name="Normal 2 4 5 3 4 2 2" xfId="11770"/>
    <cellStyle name="Normal 3 4 7 4 2 2" xfId="11771"/>
    <cellStyle name="Normal 4 3 7 4 2 2" xfId="11772"/>
    <cellStyle name="Normal 5 3 7 4 2 2" xfId="11773"/>
    <cellStyle name="Normal 7 3 7 4 2 2" xfId="11774"/>
    <cellStyle name="Normal 2 5 5 4 2 2" xfId="11775"/>
    <cellStyle name="Normal 3 5 5 4 2 2" xfId="11776"/>
    <cellStyle name="Normal 4 4 5 4 2 2" xfId="11777"/>
    <cellStyle name="Normal 5 4 5 4 2 2" xfId="11778"/>
    <cellStyle name="Normal 7 4 5 4 2 2" xfId="11779"/>
    <cellStyle name="Normal 2 3 2 5 4 2 2" xfId="11780"/>
    <cellStyle name="Normal 3 3 2 5 4 2 2" xfId="11781"/>
    <cellStyle name="Normal 4 2 2 5 4 2 2" xfId="11782"/>
    <cellStyle name="Normal 5 2 2 5 4 2 2" xfId="11783"/>
    <cellStyle name="Normal 7 2 2 5 4 2 2" xfId="11784"/>
    <cellStyle name="Normal 2 4 2 5 4 2 2" xfId="11785"/>
    <cellStyle name="Normal 3 4 2 5 4 2 2" xfId="11786"/>
    <cellStyle name="Normal 4 3 2 5 4 2 2" xfId="11787"/>
    <cellStyle name="Normal 5 3 2 5 4 2 2" xfId="11788"/>
    <cellStyle name="Normal 7 3 2 5 4 2 2" xfId="11789"/>
    <cellStyle name="Normal 2 6 5 4 2 2" xfId="11790"/>
    <cellStyle name="Normal 3 6 5 4 2 2" xfId="11791"/>
    <cellStyle name="Normal 4 5 5 4 2 2" xfId="11792"/>
    <cellStyle name="Normal 5 5 5 4 2 2" xfId="11793"/>
    <cellStyle name="Normal 7 5 5 4 2 2" xfId="11794"/>
    <cellStyle name="Normal 2 3 3 5 4 2 2" xfId="11795"/>
    <cellStyle name="Normal 3 3 3 5 4 2 2" xfId="11796"/>
    <cellStyle name="Normal 4 2 3 5 4 2 2" xfId="11797"/>
    <cellStyle name="Normal 5 2 3 5 4 2 2" xfId="11798"/>
    <cellStyle name="Normal 7 2 3 5 4 2 2" xfId="11799"/>
    <cellStyle name="Normal 2 4 3 5 4 2 2" xfId="11800"/>
    <cellStyle name="Normal 3 4 3 5 4 2 2" xfId="11801"/>
    <cellStyle name="Normal 4 3 3 5 4 2 2" xfId="11802"/>
    <cellStyle name="Normal 5 3 3 5 4 2 2" xfId="11803"/>
    <cellStyle name="Normal 7 3 3 5 4 2 2" xfId="11804"/>
    <cellStyle name="Normal 2 7 4 4 2 2" xfId="11805"/>
    <cellStyle name="Normal 3 7 4 4 2 2" xfId="11806"/>
    <cellStyle name="Normal 4 6 4 4 2 2" xfId="11807"/>
    <cellStyle name="Normal 5 6 4 4 2 2" xfId="11808"/>
    <cellStyle name="Normal 7 6 4 4 2 2" xfId="11809"/>
    <cellStyle name="Normal 2 3 4 4 4 2 2" xfId="11810"/>
    <cellStyle name="Normal 3 3 4 4 4 2 2" xfId="11811"/>
    <cellStyle name="Normal 4 2 4 4 4 2 2" xfId="11812"/>
    <cellStyle name="Normal 5 2 4 4 4 2 2" xfId="11813"/>
    <cellStyle name="Normal 7 2 4 4 4 2 2" xfId="11814"/>
    <cellStyle name="Normal 2 4 4 4 4 2 2" xfId="11815"/>
    <cellStyle name="Normal 3 4 4 4 4 2 2" xfId="11816"/>
    <cellStyle name="Normal 4 3 4 4 4 2 2" xfId="11817"/>
    <cellStyle name="Normal 5 3 4 4 4 2 2" xfId="11818"/>
    <cellStyle name="Normal 7 3 4 4 4 2 2" xfId="11819"/>
    <cellStyle name="Normal 2 5 2 4 4 2 2" xfId="11820"/>
    <cellStyle name="Normal 3 5 2 4 4 2 2" xfId="11821"/>
    <cellStyle name="Normal 4 4 2 4 4 2 2" xfId="11822"/>
    <cellStyle name="Normal 5 4 2 4 4 2 2" xfId="11823"/>
    <cellStyle name="Normal 7 4 2 4 4 2 2" xfId="11824"/>
    <cellStyle name="Normal 2 3 2 2 4 4 2 2" xfId="11825"/>
    <cellStyle name="Normal 3 3 2 2 4 4 2 2" xfId="11826"/>
    <cellStyle name="Normal 4 2 2 2 4 4 2 2" xfId="11827"/>
    <cellStyle name="Normal 5 2 2 2 4 4 2 2" xfId="11828"/>
    <cellStyle name="Normal 7 2 2 2 4 4 2 2" xfId="11829"/>
    <cellStyle name="Normal 2 4 2 2 4 4 2 2" xfId="11830"/>
    <cellStyle name="Normal 3 4 2 2 4 4 2 2" xfId="11831"/>
    <cellStyle name="Normal 4 3 2 2 4 4 2 2" xfId="11832"/>
    <cellStyle name="Normal 5 3 2 2 4 4 2 2" xfId="11833"/>
    <cellStyle name="Normal 7 3 2 2 4 4 2 2" xfId="11834"/>
    <cellStyle name="Normal 2 6 2 4 4 2 2" xfId="11835"/>
    <cellStyle name="Normal 3 6 2 4 4 2 2" xfId="11836"/>
    <cellStyle name="Normal 4 5 2 4 4 2 2" xfId="11837"/>
    <cellStyle name="Normal 5 5 2 4 4 2 2" xfId="11838"/>
    <cellStyle name="Normal 7 5 2 4 4 2 2" xfId="11839"/>
    <cellStyle name="Normal 2 3 3 2 4 4 2 2" xfId="11840"/>
    <cellStyle name="Normal 3 3 3 2 4 4 2 2" xfId="11841"/>
    <cellStyle name="Normal 4 2 3 2 4 4 2 2" xfId="11842"/>
    <cellStyle name="Normal 5 2 3 2 4 4 2 2" xfId="11843"/>
    <cellStyle name="Normal 7 2 3 2 4 4 2 2" xfId="11844"/>
    <cellStyle name="Normal 2 4 3 2 4 4 2 2" xfId="11845"/>
    <cellStyle name="Normal 3 4 3 2 4 4 2 2" xfId="11846"/>
    <cellStyle name="Normal 4 3 3 2 4 4 2 2" xfId="11847"/>
    <cellStyle name="Normal 5 3 3 2 4 4 2 2" xfId="11848"/>
    <cellStyle name="Normal 7 3 3 2 4 4 2 2" xfId="11849"/>
    <cellStyle name="Normal 2 8 3 4 2 2" xfId="11850"/>
    <cellStyle name="Normal 3 8 3 4 2 2" xfId="11851"/>
    <cellStyle name="Normal 4 7 3 4 2 2" xfId="11852"/>
    <cellStyle name="Normal 5 7 3 4 2 2" xfId="11853"/>
    <cellStyle name="Normal 7 7 3 4 2 2" xfId="11854"/>
    <cellStyle name="Normal 2 3 5 3 4 2 2" xfId="11855"/>
    <cellStyle name="Normal 3 3 5 3 4 2 2" xfId="11856"/>
    <cellStyle name="Normal 4 2 5 3 4 2 2" xfId="11857"/>
    <cellStyle name="Normal 5 2 5 3 4 2 2" xfId="11858"/>
    <cellStyle name="Normal 7 2 5 3 4 2 2" xfId="11859"/>
    <cellStyle name="Normal 3 4 5 3 4 2 2" xfId="11860"/>
    <cellStyle name="Normal 4 3 5 3 4 2 2" xfId="11861"/>
    <cellStyle name="Normal 5 3 5 3 4 2 2" xfId="11862"/>
    <cellStyle name="Normal 7 3 5 3 4 2 2" xfId="11863"/>
    <cellStyle name="Normal 2 5 3 3 4 2 2" xfId="11864"/>
    <cellStyle name="Normal 3 5 3 3 4 2 2" xfId="11865"/>
    <cellStyle name="Normal 4 4 3 3 4 2 2" xfId="11866"/>
    <cellStyle name="Normal 5 4 3 3 4 2 2" xfId="11867"/>
    <cellStyle name="Normal 7 4 3 3 4 2 2" xfId="11868"/>
    <cellStyle name="Normal 2 3 2 3 3 4 2 2" xfId="11869"/>
    <cellStyle name="Normal 3 3 2 3 3 4 2 2" xfId="11870"/>
    <cellStyle name="Normal 4 2 2 3 3 4 2 2" xfId="11871"/>
    <cellStyle name="Normal 5 2 2 3 3 4 2 2" xfId="11872"/>
    <cellStyle name="Normal 7 2 2 3 3 4 2 2" xfId="11873"/>
    <cellStyle name="Normal 2 4 2 3 3 4 2 2" xfId="11874"/>
    <cellStyle name="Normal 3 4 2 3 3 4 2 2" xfId="11875"/>
    <cellStyle name="Normal 4 3 2 3 3 4 2 2" xfId="11876"/>
    <cellStyle name="Normal 5 3 2 3 3 4 2 2" xfId="11877"/>
    <cellStyle name="Normal 7 3 2 3 3 4 2 2" xfId="11878"/>
    <cellStyle name="Normal 2 6 3 3 4 2 2" xfId="11879"/>
    <cellStyle name="Normal 3 6 3 3 4 2 2" xfId="11880"/>
    <cellStyle name="Normal 4 5 3 3 4 2 2" xfId="11881"/>
    <cellStyle name="Normal 5 5 3 3 4 2 2" xfId="11882"/>
    <cellStyle name="Normal 7 5 3 3 4 2 2" xfId="11883"/>
    <cellStyle name="Normal 2 3 3 3 3 4 2 2" xfId="11884"/>
    <cellStyle name="Normal 3 3 3 3 3 4 2 2" xfId="11885"/>
    <cellStyle name="Normal 4 2 3 3 3 4 2 2" xfId="11886"/>
    <cellStyle name="Normal 5 2 3 3 3 4 2 2" xfId="11887"/>
    <cellStyle name="Normal 7 2 3 3 3 4 2 2" xfId="11888"/>
    <cellStyle name="Normal 2 4 3 3 3 4 2 2" xfId="11889"/>
    <cellStyle name="Normal 3 4 3 3 3 4 2 2" xfId="11890"/>
    <cellStyle name="Normal 4 3 3 3 3 4 2 2" xfId="11891"/>
    <cellStyle name="Normal 5 3 3 3 3 4 2 2" xfId="11892"/>
    <cellStyle name="Normal 7 3 3 3 3 4 2 2" xfId="11893"/>
    <cellStyle name="Normal 2 7 2 3 4 2 2" xfId="11894"/>
    <cellStyle name="Normal 3 7 2 3 4 2 2" xfId="11895"/>
    <cellStyle name="Normal 4 6 2 3 4 2 2" xfId="11896"/>
    <cellStyle name="Normal 5 6 2 3 4 2 2" xfId="11897"/>
    <cellStyle name="Normal 7 6 2 3 4 2 2" xfId="11898"/>
    <cellStyle name="Normal 2 3 4 2 3 4 2 2" xfId="11899"/>
    <cellStyle name="Normal 3 3 4 2 3 4 2 2" xfId="11900"/>
    <cellStyle name="Normal 4 2 4 2 3 4 2 2" xfId="11901"/>
    <cellStyle name="Normal 5 2 4 2 3 4 2 2" xfId="11902"/>
    <cellStyle name="Normal 7 2 4 2 3 4 2 2" xfId="11903"/>
    <cellStyle name="Normal 2 4 4 2 3 4 2 2" xfId="11904"/>
    <cellStyle name="Normal 3 4 4 2 3 4 2 2" xfId="11905"/>
    <cellStyle name="Normal 4 3 4 2 3 4 2 2" xfId="11906"/>
    <cellStyle name="Normal 5 3 4 2 3 4 2 2" xfId="11907"/>
    <cellStyle name="Normal 7 3 4 2 3 4 2 2" xfId="11908"/>
    <cellStyle name="Normal 2 5 2 2 3 4 2 2" xfId="11909"/>
    <cellStyle name="Normal 3 5 2 2 3 4 2 2" xfId="11910"/>
    <cellStyle name="Normal 4 4 2 2 3 4 2 2" xfId="11911"/>
    <cellStyle name="Normal 5 4 2 2 3 4 2 2" xfId="11912"/>
    <cellStyle name="Normal 7 4 2 2 3 4 2 2" xfId="11913"/>
    <cellStyle name="Normal 2 3 2 2 2 3 4 2 2" xfId="11914"/>
    <cellStyle name="Normal 3 3 2 2 2 3 4 2 2" xfId="11915"/>
    <cellStyle name="Normal 4 2 2 2 2 3 4 2 2" xfId="11916"/>
    <cellStyle name="Normal 5 2 2 2 2 3 4 2 2" xfId="11917"/>
    <cellStyle name="Normal 7 2 2 2 2 3 4 2 2" xfId="11918"/>
    <cellStyle name="Normal 2 4 2 2 2 3 4 2 2" xfId="11919"/>
    <cellStyle name="Normal 3 4 2 2 2 3 4 2 2" xfId="11920"/>
    <cellStyle name="Normal 4 3 2 2 2 3 4 2 2" xfId="11921"/>
    <cellStyle name="Normal 5 3 2 2 2 3 4 2 2" xfId="11922"/>
    <cellStyle name="Normal 7 3 2 2 2 3 4 2 2" xfId="11923"/>
    <cellStyle name="Normal 2 6 2 2 3 4 2 2" xfId="11924"/>
    <cellStyle name="Normal 3 6 2 2 3 4 2 2" xfId="11925"/>
    <cellStyle name="Normal 4 5 2 2 3 4 2 2" xfId="11926"/>
    <cellStyle name="Normal 5 5 2 2 3 4 2 2" xfId="11927"/>
    <cellStyle name="Normal 7 5 2 2 3 4 2 2" xfId="11928"/>
    <cellStyle name="Normal 2 3 3 2 2 3 4 2 2" xfId="11929"/>
    <cellStyle name="Normal 3 3 3 2 2 3 4 2 2" xfId="11930"/>
    <cellStyle name="Normal 4 2 3 2 2 3 4 2 2" xfId="11931"/>
    <cellStyle name="Normal 5 2 3 2 2 3 4 2 2" xfId="11932"/>
    <cellStyle name="Normal 7 2 3 2 2 3 4 2 2" xfId="11933"/>
    <cellStyle name="Normal 2 4 3 2 2 3 4 2 2" xfId="11934"/>
    <cellStyle name="Normal 3 4 3 2 2 3 4 2 2" xfId="11935"/>
    <cellStyle name="Normal 4 3 3 2 2 3 4 2 2" xfId="11936"/>
    <cellStyle name="Normal 5 3 3 2 2 3 4 2 2" xfId="11937"/>
    <cellStyle name="Normal 7 3 3 2 2 3 4 2 2" xfId="11938"/>
    <cellStyle name="Normal 2 11 2 2 2" xfId="11939"/>
    <cellStyle name="Normal 3 11 2 2 2" xfId="11940"/>
    <cellStyle name="Normal 4 10 2 2 2" xfId="11941"/>
    <cellStyle name="Normal 5 10 2 2 2" xfId="11942"/>
    <cellStyle name="Normal 7 10 2 2 2" xfId="11943"/>
    <cellStyle name="Normal 2 3 8 2 2 2" xfId="11944"/>
    <cellStyle name="Normal 3 3 8 2 2 2" xfId="11945"/>
    <cellStyle name="Normal 4 2 8 2 2 2" xfId="11946"/>
    <cellStyle name="Normal 5 2 8 2 2 2" xfId="11947"/>
    <cellStyle name="Normal 7 2 8 2 2 2" xfId="11948"/>
    <cellStyle name="Normal 2 4 8 2 2 2" xfId="11949"/>
    <cellStyle name="Normal 3 4 8 2 2 2" xfId="11950"/>
    <cellStyle name="Normal 4 3 8 2 2 2" xfId="11951"/>
    <cellStyle name="Normal 5 3 8 2 2 2" xfId="11952"/>
    <cellStyle name="Normal 7 3 8 2 2 2" xfId="11953"/>
    <cellStyle name="Normal 2 5 6 2 2 2" xfId="11954"/>
    <cellStyle name="Normal 3 5 6 2 2 2" xfId="11955"/>
    <cellStyle name="Normal 4 4 6 2 2 2" xfId="11956"/>
    <cellStyle name="Normal 5 4 6 2 2 2" xfId="11957"/>
    <cellStyle name="Normal 7 4 6 2 2 2" xfId="11958"/>
    <cellStyle name="Normal 2 3 2 6 2 2 2" xfId="11959"/>
    <cellStyle name="Normal 3 3 2 6 2 2 2" xfId="11960"/>
    <cellStyle name="Normal 4 2 2 6 2 2 2" xfId="11961"/>
    <cellStyle name="Normal 5 2 2 6 2 2 2" xfId="11962"/>
    <cellStyle name="Normal 7 2 2 6 2 2 2" xfId="11963"/>
    <cellStyle name="Normal 2 4 2 6 2 2 2" xfId="11964"/>
    <cellStyle name="Normal 3 4 2 6 2 2 2" xfId="11965"/>
    <cellStyle name="Normal 4 3 2 6 2 2 2" xfId="11966"/>
    <cellStyle name="Normal 5 3 2 6 2 2 2" xfId="11967"/>
    <cellStyle name="Normal 7 3 2 6 2 2 2" xfId="11968"/>
    <cellStyle name="Normal 2 6 6 2 2 2" xfId="11969"/>
    <cellStyle name="Normal 3 6 6 2 2 2" xfId="11970"/>
    <cellStyle name="Normal 4 5 6 2 2 2" xfId="11971"/>
    <cellStyle name="Normal 5 5 6 2 2 2" xfId="11972"/>
    <cellStyle name="Normal 7 5 6 2 2 2" xfId="11973"/>
    <cellStyle name="Normal 2 3 3 6 2 2 2" xfId="11974"/>
    <cellStyle name="Normal 3 3 3 6 2 2 2" xfId="11975"/>
    <cellStyle name="Normal 4 2 3 6 2 2 2" xfId="11976"/>
    <cellStyle name="Normal 5 2 3 6 2 2 2" xfId="11977"/>
    <cellStyle name="Normal 7 2 3 6 2 2 2" xfId="11978"/>
    <cellStyle name="Normal 2 4 3 6 2 2 2" xfId="11979"/>
    <cellStyle name="Normal 3 4 3 6 2 2 2" xfId="11980"/>
    <cellStyle name="Normal 4 3 3 6 2 2 2" xfId="11981"/>
    <cellStyle name="Normal 5 3 3 6 2 2 2" xfId="11982"/>
    <cellStyle name="Normal 7 3 3 6 2 2 2" xfId="11983"/>
    <cellStyle name="Normal 2 7 5 2 2 2" xfId="11984"/>
    <cellStyle name="Normal 3 7 5 2 2 2" xfId="11985"/>
    <cellStyle name="Normal 4 6 5 2 2 2" xfId="11986"/>
    <cellStyle name="Normal 5 6 5 2 2 2" xfId="11987"/>
    <cellStyle name="Normal 7 6 5 2 2 2" xfId="11988"/>
    <cellStyle name="Normal 2 3 4 5 2 2 2" xfId="11989"/>
    <cellStyle name="Normal 3 3 4 5 2 2 2" xfId="11990"/>
    <cellStyle name="Normal 4 2 4 5 2 2 2" xfId="11991"/>
    <cellStyle name="Normal 5 2 4 5 2 2 2" xfId="11992"/>
    <cellStyle name="Normal 7 2 4 5 2 2 2" xfId="11993"/>
    <cellStyle name="Normal 2 4 4 5 2 2 2" xfId="11994"/>
    <cellStyle name="Normal 3 4 4 5 2 2 2" xfId="11995"/>
    <cellStyle name="Normal 4 3 4 5 2 2 2" xfId="11996"/>
    <cellStyle name="Normal 5 3 4 5 2 2 2" xfId="11997"/>
    <cellStyle name="Normal 7 3 4 5 2 2 2" xfId="11998"/>
    <cellStyle name="Normal 2 5 2 5 2 2 2" xfId="11999"/>
    <cellStyle name="Normal 3 5 2 5 2 2 2" xfId="12000"/>
    <cellStyle name="Normal 4 4 2 5 2 2 2" xfId="12001"/>
    <cellStyle name="Normal 5 4 2 5 2 2 2" xfId="12002"/>
    <cellStyle name="Normal 7 4 2 5 2 2 2" xfId="12003"/>
    <cellStyle name="Normal 2 3 2 2 5 2 2 2" xfId="12004"/>
    <cellStyle name="Normal 3 3 2 2 5 2 2 2" xfId="12005"/>
    <cellStyle name="Normal 4 2 2 2 5 2 2 2" xfId="12006"/>
    <cellStyle name="Normal 5 2 2 2 5 2 2 2" xfId="12007"/>
    <cellStyle name="Normal 7 2 2 2 5 2 2 2" xfId="12008"/>
    <cellStyle name="Normal 2 4 2 2 5 2 2 2" xfId="12009"/>
    <cellStyle name="Normal 3 4 2 2 5 2 2 2" xfId="12010"/>
    <cellStyle name="Normal 4 3 2 2 5 2 2 2" xfId="12011"/>
    <cellStyle name="Normal 5 3 2 2 5 2 2 2" xfId="12012"/>
    <cellStyle name="Normal 7 3 2 2 5 2 2 2" xfId="12013"/>
    <cellStyle name="Normal 2 6 2 5 2 2 2" xfId="12014"/>
    <cellStyle name="Normal 3 6 2 5 2 2 2" xfId="12015"/>
    <cellStyle name="Normal 4 5 2 5 2 2 2" xfId="12016"/>
    <cellStyle name="Normal 5 5 2 5 2 2 2" xfId="12017"/>
    <cellStyle name="Normal 7 5 2 5 2 2 2" xfId="12018"/>
    <cellStyle name="Normal 2 3 3 2 5 2 2 2" xfId="12019"/>
    <cellStyle name="Normal 3 3 3 2 5 2 2 2" xfId="12020"/>
    <cellStyle name="Normal 4 2 3 2 5 2 2 2" xfId="12021"/>
    <cellStyle name="Normal 5 2 3 2 5 2 2 2" xfId="12022"/>
    <cellStyle name="Normal 7 2 3 2 5 2 2 2" xfId="12023"/>
    <cellStyle name="Normal 2 4 3 2 5 2 2 2" xfId="12024"/>
    <cellStyle name="Normal 3 4 3 2 5 2 2 2" xfId="12025"/>
    <cellStyle name="Normal 4 3 3 2 5 2 2 2" xfId="12026"/>
    <cellStyle name="Normal 5 3 3 2 5 2 2 2" xfId="12027"/>
    <cellStyle name="Normal 7 3 3 2 5 2 2 2" xfId="12028"/>
    <cellStyle name="Normal 2 8 4 2 2 2" xfId="12029"/>
    <cellStyle name="Normal 3 8 4 2 2 2" xfId="12030"/>
    <cellStyle name="Normal 4 7 4 2 2 2" xfId="12031"/>
    <cellStyle name="Normal 5 7 4 2 2 2" xfId="12032"/>
    <cellStyle name="Normal 7 7 4 2 2 2" xfId="12033"/>
    <cellStyle name="Normal 2 3 5 4 2 2 2" xfId="12034"/>
    <cellStyle name="Normal 3 3 5 4 2 2 2" xfId="12035"/>
    <cellStyle name="Normal 4 2 5 4 2 2 2" xfId="12036"/>
    <cellStyle name="Normal 5 2 5 4 2 2 2" xfId="12037"/>
    <cellStyle name="Normal 7 2 5 4 2 2 2" xfId="12038"/>
    <cellStyle name="Normal 2 4 5 4 2 2 2" xfId="12039"/>
    <cellStyle name="Normal 3 4 5 4 2 2 2" xfId="12040"/>
    <cellStyle name="Normal 4 3 5 4 2 2 2" xfId="12041"/>
    <cellStyle name="Normal 5 3 5 4 2 2 2" xfId="12042"/>
    <cellStyle name="Normal 7 3 5 4 2 2 2" xfId="12043"/>
    <cellStyle name="Normal 2 5 3 4 2 2 2" xfId="12044"/>
    <cellStyle name="Normal 3 5 3 4 2 2 2" xfId="12045"/>
    <cellStyle name="Normal 4 4 3 4 2 2 2" xfId="12046"/>
    <cellStyle name="Normal 5 4 3 4 2 2 2" xfId="12047"/>
    <cellStyle name="Normal 7 4 3 4 2 2 2" xfId="12048"/>
    <cellStyle name="Normal 2 3 2 3 4 2 2 2" xfId="12049"/>
    <cellStyle name="Normal 3 3 2 3 4 2 2 2" xfId="12050"/>
    <cellStyle name="Normal 4 2 2 3 4 2 2 2" xfId="12051"/>
    <cellStyle name="Normal 5 2 2 3 4 2 2 2" xfId="12052"/>
    <cellStyle name="Normal 7 2 2 3 4 2 2 2" xfId="12053"/>
    <cellStyle name="Normal 2 4 2 3 4 2 2 2" xfId="12054"/>
    <cellStyle name="Normal 3 4 2 3 4 2 2 2" xfId="12055"/>
    <cellStyle name="Normal 4 3 2 3 4 2 2 2" xfId="12056"/>
    <cellStyle name="Normal 5 3 2 3 4 2 2 2" xfId="12057"/>
    <cellStyle name="Normal 7 3 2 3 4 2 2 2" xfId="12058"/>
    <cellStyle name="Normal 2 6 3 4 2 2 2" xfId="12059"/>
    <cellStyle name="Normal 3 6 3 4 2 2 2" xfId="12060"/>
    <cellStyle name="Normal 4 5 3 4 2 2 2" xfId="12061"/>
    <cellStyle name="Normal 5 5 3 4 2 2 2" xfId="12062"/>
    <cellStyle name="Normal 7 5 3 4 2 2 2" xfId="12063"/>
    <cellStyle name="Normal 2 3 3 3 4 2 2 2" xfId="12064"/>
    <cellStyle name="Normal 3 3 3 3 4 2 2 2" xfId="12065"/>
    <cellStyle name="Normal 4 2 3 3 4 2 2 2" xfId="12066"/>
    <cellStyle name="Normal 5 2 3 3 4 2 2 2" xfId="12067"/>
    <cellStyle name="Normal 7 2 3 3 4 2 2 2" xfId="12068"/>
    <cellStyle name="Normal 2 4 3 3 4 2 2 2" xfId="12069"/>
    <cellStyle name="Normal 3 4 3 3 4 2 2 2" xfId="12070"/>
    <cellStyle name="Normal 4 3 3 3 4 2 2 2" xfId="12071"/>
    <cellStyle name="Normal 5 3 3 3 4 2 2 2" xfId="12072"/>
    <cellStyle name="Normal 7 3 3 3 4 2 2 2" xfId="12073"/>
    <cellStyle name="Normal 2 7 2 4 2 2 2" xfId="12074"/>
    <cellStyle name="Normal 3 7 2 4 2 2 2" xfId="12075"/>
    <cellStyle name="Normal 4 6 2 4 2 2 2" xfId="12076"/>
    <cellStyle name="Normal 5 6 2 4 2 2 2" xfId="12077"/>
    <cellStyle name="Normal 7 6 2 4 2 2 2" xfId="12078"/>
    <cellStyle name="Normal 2 3 4 2 4 2 2 2" xfId="12079"/>
    <cellStyle name="Normal 3 3 4 2 4 2 2 2" xfId="12080"/>
    <cellStyle name="Normal 4 2 4 2 4 2 2 2" xfId="12081"/>
    <cellStyle name="Normal 5 2 4 2 4 2 2 2" xfId="12082"/>
    <cellStyle name="Normal 7 2 4 2 4 2 2 2" xfId="12083"/>
    <cellStyle name="Normal 2 4 4 2 4 2 2 2" xfId="12084"/>
    <cellStyle name="Normal 3 4 4 2 4 2 2 2" xfId="12085"/>
    <cellStyle name="Normal 4 3 4 2 4 2 2 2" xfId="12086"/>
    <cellStyle name="Normal 5 3 4 2 4 2 2 2" xfId="12087"/>
    <cellStyle name="Normal 7 3 4 2 4 2 2 2" xfId="12088"/>
    <cellStyle name="Normal 2 5 2 2 4 2 2 2" xfId="12089"/>
    <cellStyle name="Normal 3 5 2 2 4 2 2 2" xfId="12090"/>
    <cellStyle name="Normal 4 4 2 2 4 2 2 2" xfId="12091"/>
    <cellStyle name="Normal 5 4 2 2 4 2 2 2" xfId="12092"/>
    <cellStyle name="Normal 7 4 2 2 4 2 2 2" xfId="12093"/>
    <cellStyle name="Normal 2 3 2 2 2 4 2 2 2" xfId="12094"/>
    <cellStyle name="Normal 3 3 2 2 2 4 2 2 2" xfId="12095"/>
    <cellStyle name="Normal 4 2 2 2 2 4 2 2 2" xfId="12096"/>
    <cellStyle name="Normal 5 2 2 2 2 4 2 2 2" xfId="12097"/>
    <cellStyle name="Normal 7 2 2 2 2 4 2 2 2" xfId="12098"/>
    <cellStyle name="Normal 2 4 2 2 2 4 2 2 2" xfId="12099"/>
    <cellStyle name="Normal 3 4 2 2 2 4 2 2 2" xfId="12100"/>
    <cellStyle name="Normal 4 3 2 2 2 4 2 2 2" xfId="12101"/>
    <cellStyle name="Normal 5 3 2 2 2 4 2 2 2" xfId="12102"/>
    <cellStyle name="Normal 7 3 2 2 2 4 2 2 2" xfId="12103"/>
    <cellStyle name="Normal 2 6 2 2 4 2 2 2" xfId="12104"/>
    <cellStyle name="Normal 3 6 2 2 4 2 2 2" xfId="12105"/>
    <cellStyle name="Normal 4 5 2 2 4 2 2 2" xfId="12106"/>
    <cellStyle name="Normal 5 5 2 2 4 2 2 2" xfId="12107"/>
    <cellStyle name="Normal 7 5 2 2 4 2 2 2" xfId="12108"/>
    <cellStyle name="Normal 2 3 3 2 2 4 2 2 2" xfId="12109"/>
    <cellStyle name="Normal 3 3 3 2 2 4 2 2 2" xfId="12110"/>
    <cellStyle name="Normal 4 2 3 2 2 4 2 2 2" xfId="12111"/>
    <cellStyle name="Normal 5 2 3 2 2 4 2 2 2" xfId="12112"/>
    <cellStyle name="Normal 7 2 3 2 2 4 2 2 2" xfId="12113"/>
    <cellStyle name="Normal 2 4 3 2 2 4 2 2 2" xfId="12114"/>
    <cellStyle name="Normal 3 4 3 2 2 4 2 2 2" xfId="12115"/>
    <cellStyle name="Normal 4 3 3 2 2 4 2 2 2" xfId="12116"/>
    <cellStyle name="Normal 5 3 3 2 2 4 2 2 2" xfId="12117"/>
    <cellStyle name="Normal 7 3 3 2 2 4 2 2 2" xfId="12118"/>
    <cellStyle name="Normal 2 9 2 2 2 2" xfId="12119"/>
    <cellStyle name="Normal 3 9 2 2 2 2" xfId="12120"/>
    <cellStyle name="Normal 4 8 2 2 2 2" xfId="12121"/>
    <cellStyle name="Normal 5 8 2 2 2 2" xfId="12122"/>
    <cellStyle name="Normal 7 8 2 2 2 2" xfId="12123"/>
    <cellStyle name="Normal 2 3 6 2 2 2 2" xfId="12124"/>
    <cellStyle name="Normal 3 3 6 2 2 2 2" xfId="12125"/>
    <cellStyle name="Normal 4 2 6 2 2 2 2" xfId="12126"/>
    <cellStyle name="Normal 5 2 6 2 2 2 2" xfId="12127"/>
    <cellStyle name="Normal 7 2 6 2 2 2 2" xfId="12128"/>
    <cellStyle name="Normal 2 4 6 2 2 2 2" xfId="12129"/>
    <cellStyle name="Normal 3 4 6 2 2 2 2" xfId="12130"/>
    <cellStyle name="Normal 4 3 6 2 2 2 2" xfId="12131"/>
    <cellStyle name="Normal 5 3 6 2 2 2 2" xfId="12132"/>
    <cellStyle name="Normal 7 3 6 2 2 2 2" xfId="12133"/>
    <cellStyle name="Normal 2 5 4 2 2 2 2" xfId="12134"/>
    <cellStyle name="Normal 3 5 4 2 2 2 2" xfId="12135"/>
    <cellStyle name="Normal 4 4 4 2 2 2 2" xfId="12136"/>
    <cellStyle name="Normal 5 4 4 2 2 2 2" xfId="12137"/>
    <cellStyle name="Normal 7 4 4 2 2 2 2" xfId="12138"/>
    <cellStyle name="Normal 2 3 2 4 2 2 2 2" xfId="12139"/>
    <cellStyle name="Normal 3 3 2 4 2 2 2 2" xfId="12140"/>
    <cellStyle name="Normal 4 2 2 4 2 2 2 2" xfId="12141"/>
    <cellStyle name="Normal 5 2 2 4 2 2 2 2" xfId="12142"/>
    <cellStyle name="Normal 7 2 2 4 2 2 2 2" xfId="12143"/>
    <cellStyle name="Normal 2 4 2 4 2 2 2 2" xfId="12144"/>
    <cellStyle name="Normal 3 4 2 4 2 2 2 2" xfId="12145"/>
    <cellStyle name="Normal 4 3 2 4 2 2 2 2" xfId="12146"/>
    <cellStyle name="Normal 5 3 2 4 2 2 2 2" xfId="12147"/>
    <cellStyle name="Normal 7 3 2 4 2 2 2 2" xfId="12148"/>
    <cellStyle name="Normal 2 6 4 2 2 2 2" xfId="12149"/>
    <cellStyle name="Normal 3 6 4 2 2 2 2" xfId="12150"/>
    <cellStyle name="Normal 4 5 4 2 2 2 2" xfId="12151"/>
    <cellStyle name="Normal 5 5 4 2 2 2 2" xfId="12152"/>
    <cellStyle name="Normal 7 5 4 2 2 2 2" xfId="12153"/>
    <cellStyle name="Normal 2 3 3 4 2 2 2 2" xfId="12154"/>
    <cellStyle name="Normal 3 3 3 4 2 2 2 2" xfId="12155"/>
    <cellStyle name="Normal 4 2 3 4 2 2 2 2" xfId="12156"/>
    <cellStyle name="Normal 5 2 3 4 2 2 2 2" xfId="12157"/>
    <cellStyle name="Normal 7 2 3 4 2 2 2 2" xfId="12158"/>
    <cellStyle name="Normal 2 4 3 4 2 2 2 2" xfId="12159"/>
    <cellStyle name="Normal 3 4 3 4 2 2 2 2" xfId="12160"/>
    <cellStyle name="Normal 4 3 3 4 2 2 2 2" xfId="12161"/>
    <cellStyle name="Normal 5 3 3 4 2 2 2 2" xfId="12162"/>
    <cellStyle name="Normal 7 3 3 4 2 2 2 2" xfId="12163"/>
    <cellStyle name="Normal 2 7 3 2 2 2 2" xfId="12164"/>
    <cellStyle name="Normal 3 7 3 2 2 2 2" xfId="12165"/>
    <cellStyle name="Normal 4 6 3 2 2 2 2" xfId="12166"/>
    <cellStyle name="Normal 5 6 3 2 2 2 2" xfId="12167"/>
    <cellStyle name="Normal 7 6 3 2 2 2 2" xfId="12168"/>
    <cellStyle name="Normal 2 3 4 3 2 2 2 2" xfId="12169"/>
    <cellStyle name="Normal 3 3 4 3 2 2 2 2" xfId="12170"/>
    <cellStyle name="Normal 4 2 4 3 2 2 2 2" xfId="12171"/>
    <cellStyle name="Normal 5 2 4 3 2 2 2 2" xfId="12172"/>
    <cellStyle name="Normal 7 2 4 3 2 2 2 2" xfId="12173"/>
    <cellStyle name="Normal 2 4 4 3 2 2 2 2" xfId="12174"/>
    <cellStyle name="Normal 3 4 4 3 2 2 2 2" xfId="12175"/>
    <cellStyle name="Normal 4 3 4 3 2 2 2 2" xfId="12176"/>
    <cellStyle name="Normal 5 3 4 3 2 2 2 2" xfId="12177"/>
    <cellStyle name="Normal 7 3 4 3 2 2 2 2" xfId="12178"/>
    <cellStyle name="Normal 2 5 2 3 2 2 2 2" xfId="12179"/>
    <cellStyle name="Normal 3 5 2 3 2 2 2 2" xfId="12180"/>
    <cellStyle name="Normal 4 4 2 3 2 2 2 2" xfId="12181"/>
    <cellStyle name="Normal 5 4 2 3 2 2 2 2" xfId="12182"/>
    <cellStyle name="Normal 7 4 2 3 2 2 2 2" xfId="12183"/>
    <cellStyle name="Normal 2 3 2 2 3 2 2 2 2" xfId="12184"/>
    <cellStyle name="Normal 3 3 2 2 3 2 2 2 2" xfId="12185"/>
    <cellStyle name="Normal 4 2 2 2 3 2 2 2 2" xfId="12186"/>
    <cellStyle name="Normal 5 2 2 2 3 2 2 2 2" xfId="12187"/>
    <cellStyle name="Normal 7 2 2 2 3 2 2 2 2" xfId="12188"/>
    <cellStyle name="Normal 2 4 2 2 3 2 2 2 2" xfId="12189"/>
    <cellStyle name="Normal 3 4 2 2 3 2 2 2 2" xfId="12190"/>
    <cellStyle name="Normal 4 3 2 2 3 2 2 2 2" xfId="12191"/>
    <cellStyle name="Normal 5 3 2 2 3 2 2 2 2" xfId="12192"/>
    <cellStyle name="Normal 7 3 2 2 3 2 2 2 2" xfId="12193"/>
    <cellStyle name="Normal 2 6 2 3 2 2 2 2" xfId="12194"/>
    <cellStyle name="Normal 3 6 2 3 2 2 2 2" xfId="12195"/>
    <cellStyle name="Normal 4 5 2 3 2 2 2 2" xfId="12196"/>
    <cellStyle name="Normal 5 5 2 3 2 2 2 2" xfId="12197"/>
    <cellStyle name="Normal 7 5 2 3 2 2 2 2" xfId="12198"/>
    <cellStyle name="Normal 2 3 3 2 3 2 2 2 2" xfId="12199"/>
    <cellStyle name="Normal 3 3 3 2 3 2 2 2 2" xfId="12200"/>
    <cellStyle name="Normal 4 2 3 2 3 2 2 2 2" xfId="12201"/>
    <cellStyle name="Normal 5 2 3 2 3 2 2 2 2" xfId="12202"/>
    <cellStyle name="Normal 7 2 3 2 3 2 2 2 2" xfId="12203"/>
    <cellStyle name="Normal 2 4 3 2 3 2 2 2 2" xfId="12204"/>
    <cellStyle name="Normal 3 4 3 2 3 2 2 2 2" xfId="12205"/>
    <cellStyle name="Normal 4 3 3 2 3 2 2 2 2" xfId="12206"/>
    <cellStyle name="Normal 5 3 3 2 3 2 2 2 2" xfId="12207"/>
    <cellStyle name="Normal 7 3 3 2 3 2 2 2 2" xfId="12208"/>
    <cellStyle name="Normal 2 8 2 2 2 2 2" xfId="12209"/>
    <cellStyle name="Normal 3 8 2 2 2 2 2" xfId="12210"/>
    <cellStyle name="Normal 4 7 2 2 2 2 2" xfId="12211"/>
    <cellStyle name="Normal 5 7 2 2 2 2 2" xfId="12212"/>
    <cellStyle name="Normal 7 7 2 2 2 2 2" xfId="12213"/>
    <cellStyle name="Normal 2 3 5 2 2 2 2 2" xfId="12214"/>
    <cellStyle name="Normal 3 3 5 2 2 2 2 2" xfId="12215"/>
    <cellStyle name="Normal 4 2 5 2 2 2 2 2" xfId="12216"/>
    <cellStyle name="Normal 5 2 5 2 2 2 2 2" xfId="12217"/>
    <cellStyle name="Normal 7 2 5 2 2 2 2 2" xfId="12218"/>
    <cellStyle name="Normal 2 4 5 2 2 2 2 2" xfId="12219"/>
    <cellStyle name="Normal 3 4 5 2 2 2 2 2" xfId="12220"/>
    <cellStyle name="Normal 4 3 5 2 2 2 2 2" xfId="12221"/>
    <cellStyle name="Normal 5 3 5 2 2 2 2 2" xfId="12222"/>
    <cellStyle name="Normal 7 3 5 2 2 2 2 2" xfId="12223"/>
    <cellStyle name="Normal 2 5 3 2 2 2 2 2" xfId="12224"/>
    <cellStyle name="Normal 3 5 3 2 2 2 2 2" xfId="12225"/>
    <cellStyle name="Normal 4 4 3 2 2 2 2 2" xfId="12226"/>
    <cellStyle name="Normal 5 4 3 2 2 2 2 2" xfId="12227"/>
    <cellStyle name="Normal 7 4 3 2 2 2 2 2" xfId="12228"/>
    <cellStyle name="Normal 2 3 2 3 2 2 2 2 2" xfId="12229"/>
    <cellStyle name="Normal 3 3 2 3 2 2 2 2 2" xfId="12230"/>
    <cellStyle name="Normal 4 2 2 3 2 2 2 2 2" xfId="12231"/>
    <cellStyle name="Normal 5 2 2 3 2 2 2 2 2" xfId="12232"/>
    <cellStyle name="Normal 7 2 2 3 2 2 2 2 2" xfId="12233"/>
    <cellStyle name="Normal 2 4 2 3 2 2 2 2 2" xfId="12234"/>
    <cellStyle name="Normal 3 4 2 3 2 2 2 2 2" xfId="12235"/>
    <cellStyle name="Normal 4 3 2 3 2 2 2 2 2" xfId="12236"/>
    <cellStyle name="Normal 5 3 2 3 2 2 2 2 2" xfId="12237"/>
    <cellStyle name="Normal 7 3 2 3 2 2 2 2 2" xfId="12238"/>
    <cellStyle name="Normal 2 6 3 2 2 2 2 2" xfId="12239"/>
    <cellStyle name="Normal 3 6 3 2 2 2 2 2" xfId="12240"/>
    <cellStyle name="Normal 4 5 3 2 2 2 2 2" xfId="12241"/>
    <cellStyle name="Normal 5 5 3 2 2 2 2 2" xfId="12242"/>
    <cellStyle name="Normal 7 5 3 2 2 2 2 2" xfId="12243"/>
    <cellStyle name="Normal 2 3 3 3 2 2 2 2 2" xfId="12244"/>
    <cellStyle name="Normal 3 3 3 3 2 2 2 2 2" xfId="12245"/>
    <cellStyle name="Normal 4 2 3 3 2 2 2 2 2" xfId="12246"/>
    <cellStyle name="Normal 5 2 3 3 2 2 2 2 2" xfId="12247"/>
    <cellStyle name="Normal 7 2 3 3 2 2 2 2 2" xfId="12248"/>
    <cellStyle name="Normal 2 4 3 3 2 2 2 2 2" xfId="12249"/>
    <cellStyle name="Normal 3 4 3 3 2 2 2 2 2" xfId="12250"/>
    <cellStyle name="Normal 4 3 3 3 2 2 2 2 2" xfId="12251"/>
    <cellStyle name="Normal 5 3 3 3 2 2 2 2 2" xfId="12252"/>
    <cellStyle name="Normal 7 3 3 3 2 2 2 2 2" xfId="12253"/>
    <cellStyle name="Normal 2 7 2 2 2 2 2 2" xfId="12254"/>
    <cellStyle name="Normal 3 7 2 2 2 2 2 2" xfId="12255"/>
    <cellStyle name="Normal 4 6 2 2 2 2 2 2" xfId="12256"/>
    <cellStyle name="Normal 5 6 2 2 2 2 2 2" xfId="12257"/>
    <cellStyle name="Normal 7 6 2 2 2 2 2 2" xfId="12258"/>
    <cellStyle name="Normal 2 3 4 2 2 2 2 2 2" xfId="12259"/>
    <cellStyle name="Normal 3 3 4 2 2 2 2 2 2" xfId="12260"/>
    <cellStyle name="Normal 4 2 4 2 2 2 2 2 2" xfId="12261"/>
    <cellStyle name="Normal 5 2 4 2 2 2 2 2 2" xfId="12262"/>
    <cellStyle name="Normal 7 2 4 2 2 2 2 2 2" xfId="12263"/>
    <cellStyle name="Normal 2 4 4 2 2 2 2 2 2" xfId="12264"/>
    <cellStyle name="Normal 3 4 4 2 2 2 2 2 2" xfId="12265"/>
    <cellStyle name="Normal 4 3 4 2 2 2 2 2 2" xfId="12266"/>
    <cellStyle name="Normal 5 3 4 2 2 2 2 2 2" xfId="12267"/>
    <cellStyle name="Normal 7 3 4 2 2 2 2 2 2" xfId="12268"/>
    <cellStyle name="Normal 2 5 2 2 2 2 2 2 2" xfId="12269"/>
    <cellStyle name="Normal 3 5 2 2 2 2 2 2 2" xfId="12270"/>
    <cellStyle name="Normal 4 4 2 2 2 2 2 2 2" xfId="12271"/>
    <cellStyle name="Normal 5 4 2 2 2 2 2 2 2" xfId="12272"/>
    <cellStyle name="Normal 7 4 2 2 2 2 2 2 2" xfId="12273"/>
    <cellStyle name="Normal 2 3 2 2 2 2 2 2 2 2" xfId="12274"/>
    <cellStyle name="Normal 3 3 2 2 2 2 2 2 2 2" xfId="12275"/>
    <cellStyle name="Normal 4 2 2 2 2 2 2 2 2 2" xfId="12276"/>
    <cellStyle name="Normal 5 2 2 2 2 2 2 2 2 2" xfId="12277"/>
    <cellStyle name="Normal 7 2 2 2 2 2 2 2 2 2" xfId="12278"/>
    <cellStyle name="Normal 2 4 2 2 2 2 2 2 2 2" xfId="12279"/>
    <cellStyle name="Normal 3 4 2 2 2 2 2 2 2 2" xfId="12280"/>
    <cellStyle name="Normal 4 3 2 2 2 2 2 2 2 2" xfId="12281"/>
    <cellStyle name="Normal 5 3 2 2 2 2 2 2 2 2" xfId="12282"/>
    <cellStyle name="Normal 7 3 2 2 2 2 2 2 2 2" xfId="12283"/>
    <cellStyle name="Normal 2 6 2 2 2 2 2 2 2" xfId="12284"/>
    <cellStyle name="Normal 3 6 2 2 2 2 2 2 2" xfId="12285"/>
    <cellStyle name="Normal 4 5 2 2 2 2 2 2 2" xfId="12286"/>
    <cellStyle name="Normal 5 5 2 2 2 2 2 2 2" xfId="12287"/>
    <cellStyle name="Normal 7 5 2 2 2 2 2 2 2" xfId="12288"/>
    <cellStyle name="Normal 2 3 3 2 2 2 2 2 2 2" xfId="12289"/>
    <cellStyle name="Normal 3 3 3 2 2 2 2 2 2 2" xfId="12290"/>
    <cellStyle name="Normal 4 2 3 2 2 2 2 2 2 2" xfId="12291"/>
    <cellStyle name="Normal 5 2 3 2 2 2 2 2 2 2" xfId="12292"/>
    <cellStyle name="Normal 7 2 3 2 2 2 2 2 2 2" xfId="12293"/>
    <cellStyle name="Normal 2 4 3 2 2 2 2 2 2 2" xfId="12294"/>
    <cellStyle name="Normal 3 4 3 2 2 2 2 2 2 2" xfId="12295"/>
    <cellStyle name="Normal 4 3 3 2 2 2 2 2 2 2" xfId="12296"/>
    <cellStyle name="Normal 5 3 3 2 2 2 2 2 2 2" xfId="12297"/>
    <cellStyle name="Normal 7 3 3 2 2 2 2 2 2 2" xfId="12298"/>
    <cellStyle name="Normal 28 2 2 2 2" xfId="12299"/>
    <cellStyle name="Normal 2 3 7 2 2 2 2" xfId="12300"/>
    <cellStyle name="Normal 3 10 2 2 2 2" xfId="12301"/>
    <cellStyle name="Normal 4 9 2 2 2 2" xfId="12302"/>
    <cellStyle name="Normal 5 9 2 2 2 2" xfId="12303"/>
    <cellStyle name="Millares 4 2 2 2 2" xfId="12304"/>
    <cellStyle name="Normal 7 2 7 2 2 2 2" xfId="12305"/>
    <cellStyle name="Normal 3 3 7 2 2 2 2" xfId="12306"/>
    <cellStyle name="Normal 4 2 7 2 2 2 2" xfId="12307"/>
    <cellStyle name="Normal 5 2 7 2 2 2 2" xfId="12308"/>
    <cellStyle name="Normal 2 4 5 3 2 2 2 2" xfId="12309"/>
    <cellStyle name="Normal 3 4 7 2 2 2 2" xfId="12310"/>
    <cellStyle name="Normal 4 3 7 2 2 2 2" xfId="12311"/>
    <cellStyle name="Normal 5 3 7 2 2 2 2" xfId="12312"/>
    <cellStyle name="Normal 7 3 7 2 2 2 2" xfId="12313"/>
    <cellStyle name="Normal 2 5 5 2 2 2 2" xfId="12314"/>
    <cellStyle name="Normal 3 5 5 2 2 2 2" xfId="12315"/>
    <cellStyle name="Normal 4 4 5 2 2 2 2" xfId="12316"/>
    <cellStyle name="Normal 5 4 5 2 2 2 2" xfId="12317"/>
    <cellStyle name="Normal 7 4 5 2 2 2 2" xfId="12318"/>
    <cellStyle name="Normal 2 3 2 5 2 2 2 2" xfId="12319"/>
    <cellStyle name="Normal 3 3 2 5 2 2 2 2" xfId="12320"/>
    <cellStyle name="Normal 4 2 2 5 2 2 2 2" xfId="12321"/>
    <cellStyle name="Normal 5 2 2 5 2 2 2 2" xfId="12322"/>
    <cellStyle name="Normal 7 2 2 5 2 2 2 2" xfId="12323"/>
    <cellStyle name="Normal 2 4 2 5 2 2 2 2" xfId="12324"/>
    <cellStyle name="Normal 3 4 2 5 2 2 2 2" xfId="12325"/>
    <cellStyle name="Normal 4 3 2 5 2 2 2 2" xfId="12326"/>
    <cellStyle name="Normal 5 3 2 5 2 2 2 2" xfId="12327"/>
    <cellStyle name="Normal 7 3 2 5 2 2 2 2" xfId="12328"/>
    <cellStyle name="Normal 2 6 5 2 2 2 2" xfId="12329"/>
    <cellStyle name="Normal 3 6 5 2 2 2 2" xfId="12330"/>
    <cellStyle name="Normal 4 5 5 2 2 2 2" xfId="12331"/>
    <cellStyle name="Normal 5 5 5 2 2 2 2" xfId="12332"/>
    <cellStyle name="Normal 7 5 5 2 2 2 2" xfId="12333"/>
    <cellStyle name="Normal 2 3 3 5 2 2 2 2" xfId="12334"/>
    <cellStyle name="Normal 3 3 3 5 2 2 2 2" xfId="12335"/>
    <cellStyle name="Normal 4 2 3 5 2 2 2 2" xfId="12336"/>
    <cellStyle name="Normal 5 2 3 5 2 2 2 2" xfId="12337"/>
    <cellStyle name="Normal 7 2 3 5 2 2 2 2" xfId="12338"/>
    <cellStyle name="Normal 2 4 3 5 2 2 2 2" xfId="12339"/>
    <cellStyle name="Normal 3 4 3 5 2 2 2 2" xfId="12340"/>
    <cellStyle name="Normal 4 3 3 5 2 2 2 2" xfId="12341"/>
    <cellStyle name="Normal 5 3 3 5 2 2 2 2" xfId="12342"/>
    <cellStyle name="Normal 7 3 3 5 2 2 2 2" xfId="12343"/>
    <cellStyle name="Normal 2 7 4 2 2 2 2" xfId="12344"/>
    <cellStyle name="Normal 3 7 4 2 2 2 2" xfId="12345"/>
    <cellStyle name="Normal 4 6 4 2 2 2 2" xfId="12346"/>
    <cellStyle name="Normal 5 6 4 2 2 2 2" xfId="12347"/>
    <cellStyle name="Normal 7 6 4 2 2 2 2" xfId="12348"/>
    <cellStyle name="Normal 2 3 4 4 2 2 2 2" xfId="12349"/>
    <cellStyle name="Normal 3 3 4 4 2 2 2 2" xfId="12350"/>
    <cellStyle name="Normal 4 2 4 4 2 2 2 2" xfId="12351"/>
    <cellStyle name="Normal 5 2 4 4 2 2 2 2" xfId="12352"/>
    <cellStyle name="Normal 7 2 4 4 2 2 2 2" xfId="12353"/>
    <cellStyle name="Normal 2 4 4 4 2 2 2 2" xfId="12354"/>
    <cellStyle name="Normal 3 4 4 4 2 2 2 2" xfId="12355"/>
    <cellStyle name="Normal 4 3 4 4 2 2 2 2" xfId="12356"/>
    <cellStyle name="Normal 5 3 4 4 2 2 2 2" xfId="12357"/>
    <cellStyle name="Normal 7 3 4 4 2 2 2 2" xfId="12358"/>
    <cellStyle name="Normal 2 5 2 4 2 2 2 2" xfId="12359"/>
    <cellStyle name="Normal 3 5 2 4 2 2 2 2" xfId="12360"/>
    <cellStyle name="Normal 4 4 2 4 2 2 2 2" xfId="12361"/>
    <cellStyle name="Normal 5 4 2 4 2 2 2 2" xfId="12362"/>
    <cellStyle name="Normal 7 4 2 4 2 2 2 2" xfId="12363"/>
    <cellStyle name="Normal 2 3 2 2 4 2 2 2 2" xfId="12364"/>
    <cellStyle name="Normal 3 3 2 2 4 2 2 2 2" xfId="12365"/>
    <cellStyle name="Normal 4 2 2 2 4 2 2 2 2" xfId="12366"/>
    <cellStyle name="Normal 5 2 2 2 4 2 2 2 2" xfId="12367"/>
    <cellStyle name="Normal 7 2 2 2 4 2 2 2 2" xfId="12368"/>
    <cellStyle name="Normal 2 4 2 2 4 2 2 2 2" xfId="12369"/>
    <cellStyle name="Normal 3 4 2 2 4 2 2 2 2" xfId="12370"/>
    <cellStyle name="Normal 4 3 2 2 4 2 2 2 2" xfId="12371"/>
    <cellStyle name="Normal 5 3 2 2 4 2 2 2 2" xfId="12372"/>
    <cellStyle name="Normal 7 3 2 2 4 2 2 2 2" xfId="12373"/>
    <cellStyle name="Normal 2 6 2 4 2 2 2 2" xfId="12374"/>
    <cellStyle name="Normal 3 6 2 4 2 2 2 2" xfId="12375"/>
    <cellStyle name="Normal 4 5 2 4 2 2 2 2" xfId="12376"/>
    <cellStyle name="Normal 5 5 2 4 2 2 2 2" xfId="12377"/>
    <cellStyle name="Normal 7 5 2 4 2 2 2 2" xfId="12378"/>
    <cellStyle name="Normal 2 3 3 2 4 2 2 2 2" xfId="12379"/>
    <cellStyle name="Normal 3 3 3 2 4 2 2 2 2" xfId="12380"/>
    <cellStyle name="Normal 4 2 3 2 4 2 2 2 2" xfId="12381"/>
    <cellStyle name="Normal 5 2 3 2 4 2 2 2 2" xfId="12382"/>
    <cellStyle name="Normal 7 2 3 2 4 2 2 2 2" xfId="12383"/>
    <cellStyle name="Normal 2 4 3 2 4 2 2 2 2" xfId="12384"/>
    <cellStyle name="Normal 3 4 3 2 4 2 2 2 2" xfId="12385"/>
    <cellStyle name="Normal 4 3 3 2 4 2 2 2 2" xfId="12386"/>
    <cellStyle name="Normal 5 3 3 2 4 2 2 2 2" xfId="12387"/>
    <cellStyle name="Normal 7 3 3 2 4 2 2 2 2" xfId="12388"/>
    <cellStyle name="Normal 2 8 3 2 2 2 2" xfId="12389"/>
    <cellStyle name="Normal 3 8 3 2 2 2 2" xfId="12390"/>
    <cellStyle name="Normal 4 7 3 2 2 2 2" xfId="12391"/>
    <cellStyle name="Normal 5 7 3 2 2 2 2" xfId="12392"/>
    <cellStyle name="Normal 7 7 3 2 2 2 2" xfId="12393"/>
    <cellStyle name="Normal 2 3 5 3 2 2 2 2" xfId="12394"/>
    <cellStyle name="Normal 3 3 5 3 2 2 2 2" xfId="12395"/>
    <cellStyle name="Normal 4 2 5 3 2 2 2 2" xfId="12396"/>
    <cellStyle name="Normal 5 2 5 3 2 2 2 2" xfId="12397"/>
    <cellStyle name="Normal 7 2 5 3 2 2 2 2" xfId="12398"/>
    <cellStyle name="Normal 3 4 5 3 2 2 2 2" xfId="12399"/>
    <cellStyle name="Normal 4 3 5 3 2 2 2 2" xfId="12400"/>
    <cellStyle name="Normal 5 3 5 3 2 2 2 2" xfId="12401"/>
    <cellStyle name="Normal 7 3 5 3 2 2 2 2" xfId="12402"/>
    <cellStyle name="Normal 2 5 3 3 2 2 2 2" xfId="12403"/>
    <cellStyle name="Normal 3 5 3 3 2 2 2 2" xfId="12404"/>
    <cellStyle name="Normal 4 4 3 3 2 2 2 2" xfId="12405"/>
    <cellStyle name="Normal 5 4 3 3 2 2 2 2" xfId="12406"/>
    <cellStyle name="Normal 7 4 3 3 2 2 2 2" xfId="12407"/>
    <cellStyle name="Normal 2 3 2 3 3 2 2 2 2" xfId="12408"/>
    <cellStyle name="Normal 3 3 2 3 3 2 2 2 2" xfId="12409"/>
    <cellStyle name="Normal 4 2 2 3 3 2 2 2 2" xfId="12410"/>
    <cellStyle name="Normal 5 2 2 3 3 2 2 2 2" xfId="12411"/>
    <cellStyle name="Normal 7 2 2 3 3 2 2 2 2" xfId="12412"/>
    <cellStyle name="Normal 2 4 2 3 3 2 2 2 2" xfId="12413"/>
    <cellStyle name="Normal 3 4 2 3 3 2 2 2 2" xfId="12414"/>
    <cellStyle name="Normal 4 3 2 3 3 2 2 2 2" xfId="12415"/>
    <cellStyle name="Normal 5 3 2 3 3 2 2 2 2" xfId="12416"/>
    <cellStyle name="Normal 7 3 2 3 3 2 2 2 2" xfId="12417"/>
    <cellStyle name="Normal 2 6 3 3 2 2 2 2" xfId="12418"/>
    <cellStyle name="Normal 3 6 3 3 2 2 2 2" xfId="12419"/>
    <cellStyle name="Normal 4 5 3 3 2 2 2 2" xfId="12420"/>
    <cellStyle name="Normal 5 5 3 3 2 2 2 2" xfId="12421"/>
    <cellStyle name="Normal 7 5 3 3 2 2 2 2" xfId="12422"/>
    <cellStyle name="Normal 2 3 3 3 3 2 2 2 2" xfId="12423"/>
    <cellStyle name="Normal 3 3 3 3 3 2 2 2 2" xfId="12424"/>
    <cellStyle name="Normal 4 2 3 3 3 2 2 2 2" xfId="12425"/>
    <cellStyle name="Normal 5 2 3 3 3 2 2 2 2" xfId="12426"/>
    <cellStyle name="Normal 7 2 3 3 3 2 2 2 2" xfId="12427"/>
    <cellStyle name="Normal 2 4 3 3 3 2 2 2 2" xfId="12428"/>
    <cellStyle name="Normal 3 4 3 3 3 2 2 2 2" xfId="12429"/>
    <cellStyle name="Normal 4 3 3 3 3 2 2 2 2" xfId="12430"/>
    <cellStyle name="Normal 5 3 3 3 3 2 2 2 2" xfId="12431"/>
    <cellStyle name="Normal 7 3 3 3 3 2 2 2 2" xfId="12432"/>
    <cellStyle name="Normal 2 7 2 3 2 2 2 2" xfId="12433"/>
    <cellStyle name="Normal 3 7 2 3 2 2 2 2" xfId="12434"/>
    <cellStyle name="Normal 4 6 2 3 2 2 2 2" xfId="12435"/>
    <cellStyle name="Normal 5 6 2 3 2 2 2 2" xfId="12436"/>
    <cellStyle name="Normal 7 6 2 3 2 2 2 2" xfId="12437"/>
    <cellStyle name="Normal 2 3 4 2 3 2 2 2 2" xfId="12438"/>
    <cellStyle name="Normal 3 3 4 2 3 2 2 2 2" xfId="12439"/>
    <cellStyle name="Normal 4 2 4 2 3 2 2 2 2" xfId="12440"/>
    <cellStyle name="Normal 5 2 4 2 3 2 2 2 2" xfId="12441"/>
    <cellStyle name="Normal 7 2 4 2 3 2 2 2 2" xfId="12442"/>
    <cellStyle name="Normal 2 4 4 2 3 2 2 2 2" xfId="12443"/>
    <cellStyle name="Normal 3 4 4 2 3 2 2 2 2" xfId="12444"/>
    <cellStyle name="Normal 4 3 4 2 3 2 2 2 2" xfId="12445"/>
    <cellStyle name="Normal 5 3 4 2 3 2 2 2 2" xfId="12446"/>
    <cellStyle name="Normal 7 3 4 2 3 2 2 2 2" xfId="12447"/>
    <cellStyle name="Normal 2 5 2 2 3 2 2 2 2" xfId="12448"/>
    <cellStyle name="Normal 3 5 2 2 3 2 2 2 2" xfId="12449"/>
    <cellStyle name="Normal 4 4 2 2 3 2 2 2 2" xfId="12450"/>
    <cellStyle name="Normal 5 4 2 2 3 2 2 2 2" xfId="12451"/>
    <cellStyle name="Normal 7 4 2 2 3 2 2 2 2" xfId="12452"/>
    <cellStyle name="Normal 2 3 2 2 2 3 2 2 2 2" xfId="12453"/>
    <cellStyle name="Normal 3 3 2 2 2 3 2 2 2 2" xfId="12454"/>
    <cellStyle name="Normal 4 2 2 2 2 3 2 2 2 2" xfId="12455"/>
    <cellStyle name="Normal 5 2 2 2 2 3 2 2 2 2" xfId="12456"/>
    <cellStyle name="Normal 7 2 2 2 2 3 2 2 2 2" xfId="12457"/>
    <cellStyle name="Normal 2 4 2 2 2 3 2 2 2 2" xfId="12458"/>
    <cellStyle name="Normal 3 4 2 2 2 3 2 2 2 2" xfId="12459"/>
    <cellStyle name="Normal 4 3 2 2 2 3 2 2 2 2" xfId="12460"/>
    <cellStyle name="Normal 5 3 2 2 2 3 2 2 2 2" xfId="12461"/>
    <cellStyle name="Normal 7 3 2 2 2 3 2 2 2 2" xfId="12462"/>
    <cellStyle name="Normal 2 6 2 2 3 2 2 2 2" xfId="12463"/>
    <cellStyle name="Normal 3 6 2 2 3 2 2 2 2" xfId="12464"/>
    <cellStyle name="Normal 4 5 2 2 3 2 2 2 2" xfId="12465"/>
    <cellStyle name="Normal 5 5 2 2 3 2 2 2 2" xfId="12466"/>
    <cellStyle name="Normal 7 5 2 2 3 2 2 2 2" xfId="12467"/>
    <cellStyle name="Normal 2 3 3 2 2 3 2 2 2 2" xfId="12468"/>
    <cellStyle name="Normal 3 3 3 2 2 3 2 2 2 2" xfId="12469"/>
    <cellStyle name="Normal 4 2 3 2 2 3 2 2 2 2" xfId="12470"/>
    <cellStyle name="Normal 5 2 3 2 2 3 2 2 2 2" xfId="12471"/>
    <cellStyle name="Normal 7 2 3 2 2 3 2 2 2 2" xfId="12472"/>
    <cellStyle name="Normal 2 4 3 2 2 3 2 2 2 2" xfId="12473"/>
    <cellStyle name="Normal 3 4 3 2 2 3 2 2 2 2" xfId="12474"/>
    <cellStyle name="Normal 4 3 3 2 2 3 2 2 2 2" xfId="12475"/>
    <cellStyle name="Normal 5 3 3 2 2 3 2 2 2 2" xfId="12476"/>
    <cellStyle name="Normal 7 3 3 2 2 3 2 2 2 2" xfId="12477"/>
    <cellStyle name="Normal 2 12 2 2 2" xfId="12478"/>
    <cellStyle name="Normal 3 12 2 2 2" xfId="12479"/>
    <cellStyle name="Normal 4 11 2 2 2" xfId="12480"/>
    <cellStyle name="Normal 5 11 2 2 2" xfId="12481"/>
    <cellStyle name="Normal 7 11 2 2 2" xfId="12482"/>
    <cellStyle name="Normal 2 3 9 2 2 2" xfId="12483"/>
    <cellStyle name="Normal 3 3 9 2 2 2" xfId="12484"/>
    <cellStyle name="Normal 4 2 9 2 2 2" xfId="12485"/>
    <cellStyle name="Normal 5 2 9 2 2 2" xfId="12486"/>
    <cellStyle name="Normal 7 2 9 2 2 2" xfId="12487"/>
    <cellStyle name="Normal 2 4 9 2 2 2" xfId="12488"/>
    <cellStyle name="Normal 3 4 9 2 2 2" xfId="12489"/>
    <cellStyle name="Normal 4 3 9 2 2 2" xfId="12490"/>
    <cellStyle name="Normal 5 3 9 2 2 2" xfId="12491"/>
    <cellStyle name="Normal 7 3 9 2 2 2" xfId="12492"/>
    <cellStyle name="Normal 2 5 7 2 2 2" xfId="12493"/>
    <cellStyle name="Normal 3 5 7 2 2 2" xfId="12494"/>
    <cellStyle name="Normal 4 4 7 2 2 2" xfId="12495"/>
    <cellStyle name="Normal 5 4 7 2 2 2" xfId="12496"/>
    <cellStyle name="Normal 7 4 7 2 2 2" xfId="12497"/>
    <cellStyle name="Normal 2 3 2 7 2 2 2" xfId="12498"/>
    <cellStyle name="Normal 3 3 2 7 2 2 2" xfId="12499"/>
    <cellStyle name="Normal 4 2 2 7 2 2 2" xfId="12500"/>
    <cellStyle name="Normal 5 2 2 7 2 2 2" xfId="12501"/>
    <cellStyle name="Normal 7 2 2 7 2 2 2" xfId="12502"/>
    <cellStyle name="Normal 2 4 2 7 2 2 2" xfId="12503"/>
    <cellStyle name="Normal 3 4 2 7 2 2 2" xfId="12504"/>
    <cellStyle name="Normal 4 3 2 7 2 2 2" xfId="12505"/>
    <cellStyle name="Normal 5 3 2 7 2 2 2" xfId="12506"/>
    <cellStyle name="Normal 7 3 2 7 2 2 2" xfId="12507"/>
    <cellStyle name="Normal 2 6 7 2 2 2" xfId="12508"/>
    <cellStyle name="Normal 3 6 7 2 2 2" xfId="12509"/>
    <cellStyle name="Normal 4 5 7 2 2 2" xfId="12510"/>
    <cellStyle name="Normal 5 5 7 2 2 2" xfId="12511"/>
    <cellStyle name="Normal 7 5 7 2 2 2" xfId="12512"/>
    <cellStyle name="Normal 2 3 3 7 2 2 2" xfId="12513"/>
    <cellStyle name="Normal 3 3 3 7 2 2 2" xfId="12514"/>
    <cellStyle name="Normal 4 2 3 7 2 2 2" xfId="12515"/>
    <cellStyle name="Normal 5 2 3 7 2 2 2" xfId="12516"/>
    <cellStyle name="Normal 7 2 3 7 2 2 2" xfId="12517"/>
    <cellStyle name="Normal 2 4 3 7 2 2 2" xfId="12518"/>
    <cellStyle name="Normal 3 4 3 7 2 2 2" xfId="12519"/>
    <cellStyle name="Normal 4 3 3 7 2 2 2" xfId="12520"/>
    <cellStyle name="Normal 5 3 3 7 2 2 2" xfId="12521"/>
    <cellStyle name="Normal 7 3 3 7 2 2 2" xfId="12522"/>
    <cellStyle name="Normal 2 7 6 2 2 2" xfId="12523"/>
    <cellStyle name="Normal 3 7 6 2 2 2" xfId="12524"/>
    <cellStyle name="Normal 4 6 6 2 2 2" xfId="12525"/>
    <cellStyle name="Normal 5 6 6 2 2 2" xfId="12526"/>
    <cellStyle name="Normal 7 6 6 2 2 2" xfId="12527"/>
    <cellStyle name="Normal 2 3 4 6 2 2 2" xfId="12528"/>
    <cellStyle name="Normal 3 3 4 6 2 2 2" xfId="12529"/>
    <cellStyle name="Normal 4 2 4 6 2 2 2" xfId="12530"/>
    <cellStyle name="Normal 5 2 4 6 2 2 2" xfId="12531"/>
    <cellStyle name="Normal 7 2 4 6 2 2 2" xfId="12532"/>
    <cellStyle name="Normal 2 4 4 6 2 2 2" xfId="12533"/>
    <cellStyle name="Normal 3 4 4 6 2 2 2" xfId="12534"/>
    <cellStyle name="Normal 4 3 4 6 2 2 2" xfId="12535"/>
    <cellStyle name="Normal 5 3 4 6 2 2 2" xfId="12536"/>
    <cellStyle name="Normal 7 3 4 6 2 2 2" xfId="12537"/>
    <cellStyle name="Normal 2 5 2 6 2 2 2" xfId="12538"/>
    <cellStyle name="Normal 3 5 2 6 2 2 2" xfId="12539"/>
    <cellStyle name="Normal 4 4 2 6 2 2 2" xfId="12540"/>
    <cellStyle name="Normal 5 4 2 6 2 2 2" xfId="12541"/>
    <cellStyle name="Normal 7 4 2 6 2 2 2" xfId="12542"/>
    <cellStyle name="Normal 2 3 2 2 6 2 2 2" xfId="12543"/>
    <cellStyle name="Normal 3 3 2 2 6 2 2 2" xfId="12544"/>
    <cellStyle name="Normal 4 2 2 2 6 2 2 2" xfId="12545"/>
    <cellStyle name="Normal 5 2 2 2 6 2 2 2" xfId="12546"/>
    <cellStyle name="Normal 7 2 2 2 6 2 2 2" xfId="12547"/>
    <cellStyle name="Normal 2 4 2 2 6 2 2 2" xfId="12548"/>
    <cellStyle name="Normal 3 4 2 2 6 2 2 2" xfId="12549"/>
    <cellStyle name="Normal 4 3 2 2 6 2 2 2" xfId="12550"/>
    <cellStyle name="Normal 5 3 2 2 6 2 2 2" xfId="12551"/>
    <cellStyle name="Normal 7 3 2 2 6 2 2 2" xfId="12552"/>
    <cellStyle name="Normal 2 6 2 6 2 2 2" xfId="12553"/>
    <cellStyle name="Normal 3 6 2 6 2 2 2" xfId="12554"/>
    <cellStyle name="Normal 4 5 2 6 2 2 2" xfId="12555"/>
    <cellStyle name="Normal 5 5 2 6 2 2 2" xfId="12556"/>
    <cellStyle name="Normal 7 5 2 6 2 2 2" xfId="12557"/>
    <cellStyle name="Normal 2 3 3 2 6 2 2 2" xfId="12558"/>
    <cellStyle name="Normal 3 3 3 2 6 2 2 2" xfId="12559"/>
    <cellStyle name="Normal 4 2 3 2 6 2 2 2" xfId="12560"/>
    <cellStyle name="Normal 5 2 3 2 6 2 2 2" xfId="12561"/>
    <cellStyle name="Normal 7 2 3 2 6 2 2 2" xfId="12562"/>
    <cellStyle name="Normal 2 4 3 2 6 2 2 2" xfId="12563"/>
    <cellStyle name="Normal 3 4 3 2 6 2 2 2" xfId="12564"/>
    <cellStyle name="Normal 4 3 3 2 6 2 2 2" xfId="12565"/>
    <cellStyle name="Normal 5 3 3 2 6 2 2 2" xfId="12566"/>
    <cellStyle name="Normal 7 3 3 2 6 2 2 2" xfId="12567"/>
    <cellStyle name="Normal 2 8 5 2 2 2" xfId="12568"/>
    <cellStyle name="Normal 3 8 5 2 2 2" xfId="12569"/>
    <cellStyle name="Normal 4 7 5 2 2 2" xfId="12570"/>
    <cellStyle name="Normal 5 7 5 2 2 2" xfId="12571"/>
    <cellStyle name="Normal 7 7 5 2 2 2" xfId="12572"/>
    <cellStyle name="Normal 2 3 5 5 2 2 2" xfId="12573"/>
    <cellStyle name="Normal 3 3 5 5 2 2 2" xfId="12574"/>
    <cellStyle name="Normal 4 2 5 5 2 2 2" xfId="12575"/>
    <cellStyle name="Normal 5 2 5 5 2 2 2" xfId="12576"/>
    <cellStyle name="Normal 7 2 5 5 2 2 2" xfId="12577"/>
    <cellStyle name="Normal 2 4 5 5 2 2 2" xfId="12578"/>
    <cellStyle name="Normal 3 4 5 5 2 2 2" xfId="12579"/>
    <cellStyle name="Normal 4 3 5 5 2 2 2" xfId="12580"/>
    <cellStyle name="Normal 5 3 5 5 2 2 2" xfId="12581"/>
    <cellStyle name="Normal 7 3 5 5 2 2 2" xfId="12582"/>
    <cellStyle name="Normal 2 5 3 5 2 2 2" xfId="12583"/>
    <cellStyle name="Normal 3 5 3 5 2 2 2" xfId="12584"/>
    <cellStyle name="Normal 4 4 3 5 2 2 2" xfId="12585"/>
    <cellStyle name="Normal 5 4 3 5 2 2 2" xfId="12586"/>
    <cellStyle name="Normal 7 4 3 5 2 2 2" xfId="12587"/>
    <cellStyle name="Normal 2 3 2 3 5 2 2 2" xfId="12588"/>
    <cellStyle name="Normal 3 3 2 3 5 2 2 2" xfId="12589"/>
    <cellStyle name="Normal 4 2 2 3 5 2 2 2" xfId="12590"/>
    <cellStyle name="Normal 5 2 2 3 5 2 2 2" xfId="12591"/>
    <cellStyle name="Normal 7 2 2 3 5 2 2 2" xfId="12592"/>
    <cellStyle name="Normal 2 4 2 3 5 2 2 2" xfId="12593"/>
    <cellStyle name="Normal 3 4 2 3 5 2 2 2" xfId="12594"/>
    <cellStyle name="Normal 4 3 2 3 5 2 2 2" xfId="12595"/>
    <cellStyle name="Normal 5 3 2 3 5 2 2 2" xfId="12596"/>
    <cellStyle name="Normal 7 3 2 3 5 2 2 2" xfId="12597"/>
    <cellStyle name="Normal 2 6 3 5 2 2 2" xfId="12598"/>
    <cellStyle name="Normal 3 6 3 5 2 2 2" xfId="12599"/>
    <cellStyle name="Normal 4 5 3 5 2 2 2" xfId="12600"/>
    <cellStyle name="Normal 5 5 3 5 2 2 2" xfId="12601"/>
    <cellStyle name="Normal 7 5 3 5 2 2 2" xfId="12602"/>
    <cellStyle name="Normal 2 3 3 3 5 2 2 2" xfId="12603"/>
    <cellStyle name="Normal 3 3 3 3 5 2 2 2" xfId="12604"/>
    <cellStyle name="Normal 4 2 3 3 5 2 2 2" xfId="12605"/>
    <cellStyle name="Normal 5 2 3 3 5 2 2 2" xfId="12606"/>
    <cellStyle name="Normal 7 2 3 3 5 2 2 2" xfId="12607"/>
    <cellStyle name="Normal 2 4 3 3 5 2 2 2" xfId="12608"/>
    <cellStyle name="Normal 3 4 3 3 5 2 2 2" xfId="12609"/>
    <cellStyle name="Normal 4 3 3 3 5 2 2 2" xfId="12610"/>
    <cellStyle name="Normal 5 3 3 3 5 2 2 2" xfId="12611"/>
    <cellStyle name="Normal 7 3 3 3 5 2 2 2" xfId="12612"/>
    <cellStyle name="Normal 2 7 2 5 2 2 2" xfId="12613"/>
    <cellStyle name="Normal 3 7 2 5 2 2 2" xfId="12614"/>
    <cellStyle name="Normal 4 6 2 5 2 2 2" xfId="12615"/>
    <cellStyle name="Normal 5 6 2 5 2 2 2" xfId="12616"/>
    <cellStyle name="Normal 7 6 2 5 2 2 2" xfId="12617"/>
    <cellStyle name="Normal 2 3 4 2 5 2 2 2" xfId="12618"/>
    <cellStyle name="Normal 3 3 4 2 5 2 2 2" xfId="12619"/>
    <cellStyle name="Normal 4 2 4 2 5 2 2 2" xfId="12620"/>
    <cellStyle name="Normal 5 2 4 2 5 2 2 2" xfId="12621"/>
    <cellStyle name="Normal 7 2 4 2 5 2 2 2" xfId="12622"/>
    <cellStyle name="Normal 2 4 4 2 5 2 2 2" xfId="12623"/>
    <cellStyle name="Normal 3 4 4 2 5 2 2 2" xfId="12624"/>
    <cellStyle name="Normal 4 3 4 2 5 2 2 2" xfId="12625"/>
    <cellStyle name="Normal 5 3 4 2 5 2 2 2" xfId="12626"/>
    <cellStyle name="Normal 7 3 4 2 5 2 2 2" xfId="12627"/>
    <cellStyle name="Normal 2 5 2 2 5 2 2 2" xfId="12628"/>
    <cellStyle name="Normal 3 5 2 2 5 2 2 2" xfId="12629"/>
    <cellStyle name="Normal 4 4 2 2 5 2 2 2" xfId="12630"/>
    <cellStyle name="Normal 5 4 2 2 5 2 2 2" xfId="12631"/>
    <cellStyle name="Normal 7 4 2 2 5 2 2 2" xfId="12632"/>
    <cellStyle name="Normal 2 3 2 2 2 5 2 2 2" xfId="12633"/>
    <cellStyle name="Normal 3 3 2 2 2 5 2 2 2" xfId="12634"/>
    <cellStyle name="Normal 4 2 2 2 2 5 2 2 2" xfId="12635"/>
    <cellStyle name="Normal 5 2 2 2 2 5 2 2 2" xfId="12636"/>
    <cellStyle name="Normal 7 2 2 2 2 5 2 2 2" xfId="12637"/>
    <cellStyle name="Normal 2 4 2 2 2 5 2 2 2" xfId="12638"/>
    <cellStyle name="Normal 3 4 2 2 2 5 2 2 2" xfId="12639"/>
    <cellStyle name="Normal 4 3 2 2 2 5 2 2 2" xfId="12640"/>
    <cellStyle name="Normal 5 3 2 2 2 5 2 2 2" xfId="12641"/>
    <cellStyle name="Normal 7 3 2 2 2 5 2 2 2" xfId="12642"/>
    <cellStyle name="Normal 2 6 2 2 5 2 2 2" xfId="12643"/>
    <cellStyle name="Normal 3 6 2 2 5 2 2 2" xfId="12644"/>
    <cellStyle name="Normal 4 5 2 2 5 2 2 2" xfId="12645"/>
    <cellStyle name="Normal 5 5 2 2 5 2 2 2" xfId="12646"/>
    <cellStyle name="Normal 7 5 2 2 5 2 2 2" xfId="12647"/>
    <cellStyle name="Normal 2 3 3 2 2 5 2 2 2" xfId="12648"/>
    <cellStyle name="Normal 3 3 3 2 2 5 2 2 2" xfId="12649"/>
    <cellStyle name="Normal 4 2 3 2 2 5 2 2 2" xfId="12650"/>
    <cellStyle name="Normal 5 2 3 2 2 5 2 2 2" xfId="12651"/>
    <cellStyle name="Normal 7 2 3 2 2 5 2 2 2" xfId="12652"/>
    <cellStyle name="Normal 2 4 3 2 2 5 2 2 2" xfId="12653"/>
    <cellStyle name="Normal 3 4 3 2 2 5 2 2 2" xfId="12654"/>
    <cellStyle name="Normal 4 3 3 2 2 5 2 2 2" xfId="12655"/>
    <cellStyle name="Normal 5 3 3 2 2 5 2 2 2" xfId="12656"/>
    <cellStyle name="Normal 7 3 3 2 2 5 2 2 2" xfId="12657"/>
    <cellStyle name="Normal 2 9 3 2 2 2" xfId="12658"/>
    <cellStyle name="Normal 3 9 3 2 2 2" xfId="12659"/>
    <cellStyle name="Normal 4 8 3 2 2 2" xfId="12660"/>
    <cellStyle name="Normal 5 8 3 2 2 2" xfId="12661"/>
    <cellStyle name="Normal 7 8 3 2 2 2" xfId="12662"/>
    <cellStyle name="Normal 2 3 6 3 2 2 2" xfId="12663"/>
    <cellStyle name="Normal 3 3 6 3 2 2 2" xfId="12664"/>
    <cellStyle name="Normal 4 2 6 3 2 2 2" xfId="12665"/>
    <cellStyle name="Normal 5 2 6 3 2 2 2" xfId="12666"/>
    <cellStyle name="Normal 7 2 6 3 2 2 2" xfId="12667"/>
    <cellStyle name="Normal 2 4 6 3 2 2 2" xfId="12668"/>
    <cellStyle name="Normal 3 4 6 3 2 2 2" xfId="12669"/>
    <cellStyle name="Normal 4 3 6 3 2 2 2" xfId="12670"/>
    <cellStyle name="Normal 5 3 6 3 2 2 2" xfId="12671"/>
    <cellStyle name="Normal 7 3 6 3 2 2 2" xfId="12672"/>
    <cellStyle name="Normal 2 5 4 3 2 2 2" xfId="12673"/>
    <cellStyle name="Normal 3 5 4 3 2 2 2" xfId="12674"/>
    <cellStyle name="Normal 4 4 4 3 2 2 2" xfId="12675"/>
    <cellStyle name="Normal 5 4 4 3 2 2 2" xfId="12676"/>
    <cellStyle name="Normal 7 4 4 3 2 2 2" xfId="12677"/>
    <cellStyle name="Normal 2 3 2 4 3 2 2 2" xfId="12678"/>
    <cellStyle name="Normal 3 3 2 4 3 2 2 2" xfId="12679"/>
    <cellStyle name="Normal 4 2 2 4 3 2 2 2" xfId="12680"/>
    <cellStyle name="Normal 5 2 2 4 3 2 2 2" xfId="12681"/>
    <cellStyle name="Normal 7 2 2 4 3 2 2 2" xfId="12682"/>
    <cellStyle name="Normal 2 4 2 4 3 2 2 2" xfId="12683"/>
    <cellStyle name="Normal 3 4 2 4 3 2 2 2" xfId="12684"/>
    <cellStyle name="Normal 4 3 2 4 3 2 2 2" xfId="12685"/>
    <cellStyle name="Normal 5 3 2 4 3 2 2 2" xfId="12686"/>
    <cellStyle name="Normal 7 3 2 4 3 2 2 2" xfId="12687"/>
    <cellStyle name="Normal 2 6 4 3 2 2 2" xfId="12688"/>
    <cellStyle name="Normal 3 6 4 3 2 2 2" xfId="12689"/>
    <cellStyle name="Normal 4 5 4 3 2 2 2" xfId="12690"/>
    <cellStyle name="Normal 5 5 4 3 2 2 2" xfId="12691"/>
    <cellStyle name="Normal 7 5 4 3 2 2 2" xfId="12692"/>
    <cellStyle name="Normal 2 3 3 4 3 2 2 2" xfId="12693"/>
    <cellStyle name="Normal 3 3 3 4 3 2 2 2" xfId="12694"/>
    <cellStyle name="Normal 4 2 3 4 3 2 2 2" xfId="12695"/>
    <cellStyle name="Normal 5 2 3 4 3 2 2 2" xfId="12696"/>
    <cellStyle name="Normal 7 2 3 4 3 2 2 2" xfId="12697"/>
    <cellStyle name="Normal 2 4 3 4 3 2 2 2" xfId="12698"/>
    <cellStyle name="Normal 3 4 3 4 3 2 2 2" xfId="12699"/>
    <cellStyle name="Normal 4 3 3 4 3 2 2 2" xfId="12700"/>
    <cellStyle name="Normal 5 3 3 4 3 2 2 2" xfId="12701"/>
    <cellStyle name="Normal 7 3 3 4 3 2 2 2" xfId="12702"/>
    <cellStyle name="Normal 2 7 3 3 2 2 2" xfId="12703"/>
    <cellStyle name="Normal 3 7 3 3 2 2 2" xfId="12704"/>
    <cellStyle name="Normal 4 6 3 3 2 2 2" xfId="12705"/>
    <cellStyle name="Normal 5 6 3 3 2 2 2" xfId="12706"/>
    <cellStyle name="Normal 7 6 3 3 2 2 2" xfId="12707"/>
    <cellStyle name="Normal 2 3 4 3 3 2 2 2" xfId="12708"/>
    <cellStyle name="Normal 3 3 4 3 3 2 2 2" xfId="12709"/>
    <cellStyle name="Normal 4 2 4 3 3 2 2 2" xfId="12710"/>
    <cellStyle name="Normal 5 2 4 3 3 2 2 2" xfId="12711"/>
    <cellStyle name="Normal 7 2 4 3 3 2 2 2" xfId="12712"/>
    <cellStyle name="Normal 2 4 4 3 3 2 2 2" xfId="12713"/>
    <cellStyle name="Normal 3 4 4 3 3 2 2 2" xfId="12714"/>
    <cellStyle name="Normal 4 3 4 3 3 2 2 2" xfId="12715"/>
    <cellStyle name="Normal 5 3 4 3 3 2 2 2" xfId="12716"/>
    <cellStyle name="Normal 7 3 4 3 3 2 2 2" xfId="12717"/>
    <cellStyle name="Normal 2 5 2 3 3 2 2 2" xfId="12718"/>
    <cellStyle name="Normal 3 5 2 3 3 2 2 2" xfId="12719"/>
    <cellStyle name="Normal 4 4 2 3 3 2 2 2" xfId="12720"/>
    <cellStyle name="Normal 5 4 2 3 3 2 2 2" xfId="12721"/>
    <cellStyle name="Normal 7 4 2 3 3 2 2 2" xfId="12722"/>
    <cellStyle name="Normal 2 3 2 2 3 3 2 2 2" xfId="12723"/>
    <cellStyle name="Normal 3 3 2 2 3 3 2 2 2" xfId="12724"/>
    <cellStyle name="Normal 4 2 2 2 3 3 2 2 2" xfId="12725"/>
    <cellStyle name="Normal 5 2 2 2 3 3 2 2 2" xfId="12726"/>
    <cellStyle name="Normal 7 2 2 2 3 3 2 2 2" xfId="12727"/>
    <cellStyle name="Normal 2 4 2 2 3 3 2 2 2" xfId="12728"/>
    <cellStyle name="Normal 3 4 2 2 3 3 2 2 2" xfId="12729"/>
    <cellStyle name="Normal 4 3 2 2 3 3 2 2 2" xfId="12730"/>
    <cellStyle name="Normal 5 3 2 2 3 3 2 2 2" xfId="12731"/>
    <cellStyle name="Normal 7 3 2 2 3 3 2 2 2" xfId="12732"/>
    <cellStyle name="Normal 2 6 2 3 3 2 2 2" xfId="12733"/>
    <cellStyle name="Normal 3 6 2 3 3 2 2 2" xfId="12734"/>
    <cellStyle name="Normal 4 5 2 3 3 2 2 2" xfId="12735"/>
    <cellStyle name="Normal 5 5 2 3 3 2 2 2" xfId="12736"/>
    <cellStyle name="Normal 7 5 2 3 3 2 2 2" xfId="12737"/>
    <cellStyle name="Normal 2 3 3 2 3 3 2 2 2" xfId="12738"/>
    <cellStyle name="Normal 3 3 3 2 3 3 2 2 2" xfId="12739"/>
    <cellStyle name="Normal 4 2 3 2 3 3 2 2 2" xfId="12740"/>
    <cellStyle name="Normal 5 2 3 2 3 3 2 2 2" xfId="12741"/>
    <cellStyle name="Normal 7 2 3 2 3 3 2 2 2" xfId="12742"/>
    <cellStyle name="Normal 2 4 3 2 3 3 2 2 2" xfId="12743"/>
    <cellStyle name="Normal 3 4 3 2 3 3 2 2 2" xfId="12744"/>
    <cellStyle name="Normal 4 3 3 2 3 3 2 2 2" xfId="12745"/>
    <cellStyle name="Normal 5 3 3 2 3 3 2 2 2" xfId="12746"/>
    <cellStyle name="Normal 7 3 3 2 3 3 2 2 2" xfId="12747"/>
    <cellStyle name="Normal 2 8 2 3 2 2 2" xfId="12748"/>
    <cellStyle name="Normal 3 8 2 3 2 2 2" xfId="12749"/>
    <cellStyle name="Normal 4 7 2 3 2 2 2" xfId="12750"/>
    <cellStyle name="Normal 5 7 2 3 2 2 2" xfId="12751"/>
    <cellStyle name="Normal 7 7 2 3 2 2 2" xfId="12752"/>
    <cellStyle name="Normal 2 3 5 2 3 2 2 2" xfId="12753"/>
    <cellStyle name="Normal 3 3 5 2 3 2 2 2" xfId="12754"/>
    <cellStyle name="Normal 4 2 5 2 3 2 2 2" xfId="12755"/>
    <cellStyle name="Normal 5 2 5 2 3 2 2 2" xfId="12756"/>
    <cellStyle name="Normal 7 2 5 2 3 2 2 2" xfId="12757"/>
    <cellStyle name="Normal 2 4 5 2 3 2 2 2" xfId="12758"/>
    <cellStyle name="Normal 3 4 5 2 3 2 2 2" xfId="12759"/>
    <cellStyle name="Normal 4 3 5 2 3 2 2 2" xfId="12760"/>
    <cellStyle name="Normal 5 3 5 2 3 2 2 2" xfId="12761"/>
    <cellStyle name="Normal 7 3 5 2 3 2 2 2" xfId="12762"/>
    <cellStyle name="Normal 2 5 3 2 3 2 2 2" xfId="12763"/>
    <cellStyle name="Normal 3 5 3 2 3 2 2 2" xfId="12764"/>
    <cellStyle name="Normal 4 4 3 2 3 2 2 2" xfId="12765"/>
    <cellStyle name="Normal 5 4 3 2 3 2 2 2" xfId="12766"/>
    <cellStyle name="Normal 7 4 3 2 3 2 2 2" xfId="12767"/>
    <cellStyle name="Normal 2 3 2 3 2 3 2 2 2" xfId="12768"/>
    <cellStyle name="Normal 3 3 2 3 2 3 2 2 2" xfId="12769"/>
    <cellStyle name="Normal 4 2 2 3 2 3 2 2 2" xfId="12770"/>
    <cellStyle name="Normal 5 2 2 3 2 3 2 2 2" xfId="12771"/>
    <cellStyle name="Normal 7 2 2 3 2 3 2 2 2" xfId="12772"/>
    <cellStyle name="Normal 2 4 2 3 2 3 2 2 2" xfId="12773"/>
    <cellStyle name="Normal 3 4 2 3 2 3 2 2 2" xfId="12774"/>
    <cellStyle name="Normal 4 3 2 3 2 3 2 2 2" xfId="12775"/>
    <cellStyle name="Normal 5 3 2 3 2 3 2 2 2" xfId="12776"/>
    <cellStyle name="Normal 7 3 2 3 2 3 2 2 2" xfId="12777"/>
    <cellStyle name="Normal 2 6 3 2 3 2 2 2" xfId="12778"/>
    <cellStyle name="Normal 3 6 3 2 3 2 2 2" xfId="12779"/>
    <cellStyle name="Normal 4 5 3 2 3 2 2 2" xfId="12780"/>
    <cellStyle name="Normal 5 5 3 2 3 2 2 2" xfId="12781"/>
    <cellStyle name="Normal 7 5 3 2 3 2 2 2" xfId="12782"/>
    <cellStyle name="Normal 2 3 3 3 2 3 2 2 2" xfId="12783"/>
    <cellStyle name="Normal 3 3 3 3 2 3 2 2 2" xfId="12784"/>
    <cellStyle name="Normal 4 2 3 3 2 3 2 2 2" xfId="12785"/>
    <cellStyle name="Normal 5 2 3 3 2 3 2 2 2" xfId="12786"/>
    <cellStyle name="Normal 7 2 3 3 2 3 2 2 2" xfId="12787"/>
    <cellStyle name="Normal 2 4 3 3 2 3 2 2 2" xfId="12788"/>
    <cellStyle name="Normal 3 4 3 3 2 3 2 2 2" xfId="12789"/>
    <cellStyle name="Normal 4 3 3 3 2 3 2 2 2" xfId="12790"/>
    <cellStyle name="Normal 5 3 3 3 2 3 2 2 2" xfId="12791"/>
    <cellStyle name="Normal 7 3 3 3 2 3 2 2 2" xfId="12792"/>
    <cellStyle name="Normal 2 7 2 2 3 2 2 2" xfId="12793"/>
    <cellStyle name="Normal 3 7 2 2 3 2 2 2" xfId="12794"/>
    <cellStyle name="Normal 4 6 2 2 3 2 2 2" xfId="12795"/>
    <cellStyle name="Normal 5 6 2 2 3 2 2 2" xfId="12796"/>
    <cellStyle name="Normal 7 6 2 2 3 2 2 2" xfId="12797"/>
    <cellStyle name="Normal 2 3 4 2 2 3 2 2 2" xfId="12798"/>
    <cellStyle name="Normal 3 3 4 2 2 3 2 2 2" xfId="12799"/>
    <cellStyle name="Normal 4 2 4 2 2 3 2 2 2" xfId="12800"/>
    <cellStyle name="Normal 5 2 4 2 2 3 2 2 2" xfId="12801"/>
    <cellStyle name="Normal 7 2 4 2 2 3 2 2 2" xfId="12802"/>
    <cellStyle name="Normal 2 4 4 2 2 3 2 2 2" xfId="12803"/>
    <cellStyle name="Normal 3 4 4 2 2 3 2 2 2" xfId="12804"/>
    <cellStyle name="Normal 4 3 4 2 2 3 2 2 2" xfId="12805"/>
    <cellStyle name="Normal 5 3 4 2 2 3 2 2 2" xfId="12806"/>
    <cellStyle name="Normal 7 3 4 2 2 3 2 2 2" xfId="12807"/>
    <cellStyle name="Normal 2 5 2 2 2 3 2 2 2" xfId="12808"/>
    <cellStyle name="Normal 3 5 2 2 2 3 2 2 2" xfId="12809"/>
    <cellStyle name="Normal 4 4 2 2 2 3 2 2 2" xfId="12810"/>
    <cellStyle name="Normal 5 4 2 2 2 3 2 2 2" xfId="12811"/>
    <cellStyle name="Normal 7 4 2 2 2 3 2 2 2" xfId="12812"/>
    <cellStyle name="Normal 2 3 2 2 2 2 3 2 2 2" xfId="12813"/>
    <cellStyle name="Normal 3 3 2 2 2 2 3 2 2 2" xfId="12814"/>
    <cellStyle name="Normal 4 2 2 2 2 2 3 2 2 2" xfId="12815"/>
    <cellStyle name="Normal 5 2 2 2 2 2 3 2 2 2" xfId="12816"/>
    <cellStyle name="Normal 7 2 2 2 2 2 3 2 2 2" xfId="12817"/>
    <cellStyle name="Normal 2 4 2 2 2 2 3 2 2 2" xfId="12818"/>
    <cellStyle name="Normal 3 4 2 2 2 2 3 2 2 2" xfId="12819"/>
    <cellStyle name="Normal 4 3 2 2 2 2 3 2 2 2" xfId="12820"/>
    <cellStyle name="Normal 5 3 2 2 2 2 3 2 2 2" xfId="12821"/>
    <cellStyle name="Normal 7 3 2 2 2 2 3 2 2 2" xfId="12822"/>
    <cellStyle name="Normal 2 6 2 2 2 3 2 2 2" xfId="12823"/>
    <cellStyle name="Normal 3 6 2 2 2 3 2 2 2" xfId="12824"/>
    <cellStyle name="Normal 4 5 2 2 2 3 2 2 2" xfId="12825"/>
    <cellStyle name="Normal 5 5 2 2 2 3 2 2 2" xfId="12826"/>
    <cellStyle name="Normal 7 5 2 2 2 3 2 2 2" xfId="12827"/>
    <cellStyle name="Normal 2 3 3 2 2 2 3 2 2 2" xfId="12828"/>
    <cellStyle name="Normal 3 3 3 2 2 2 3 2 2 2" xfId="12829"/>
    <cellStyle name="Normal 4 2 3 2 2 2 3 2 2 2" xfId="12830"/>
    <cellStyle name="Normal 5 2 3 2 2 2 3 2 2 2" xfId="12831"/>
    <cellStyle name="Normal 7 2 3 2 2 2 3 2 2 2" xfId="12832"/>
    <cellStyle name="Normal 2 4 3 2 2 2 3 2 2 2" xfId="12833"/>
    <cellStyle name="Normal 3 4 3 2 2 2 3 2 2 2" xfId="12834"/>
    <cellStyle name="Normal 4 3 3 2 2 2 3 2 2 2" xfId="12835"/>
    <cellStyle name="Normal 5 3 3 2 2 2 3 2 2 2" xfId="12836"/>
    <cellStyle name="Normal 7 3 3 2 2 2 3 2 2 2" xfId="12837"/>
    <cellStyle name="Normal 28 3 2 2 2" xfId="12838"/>
    <cellStyle name="Normal 2 3 7 3 2 2 2" xfId="12839"/>
    <cellStyle name="Normal 3 10 3 2 2 2" xfId="12840"/>
    <cellStyle name="Normal 4 9 3 2 2 2" xfId="12841"/>
    <cellStyle name="Normal 5 9 3 2 2 2" xfId="12842"/>
    <cellStyle name="Millares 4 3 2 2 2" xfId="12843"/>
    <cellStyle name="Normal 7 2 7 3 2 2 2" xfId="12844"/>
    <cellStyle name="Normal 3 3 7 3 2 2 2" xfId="12845"/>
    <cellStyle name="Normal 4 2 7 3 2 2 2" xfId="12846"/>
    <cellStyle name="Normal 5 2 7 3 2 2 2" xfId="12847"/>
    <cellStyle name="Normal 2 4 5 3 3 2 2 2" xfId="12848"/>
    <cellStyle name="Normal 3 4 7 3 2 2 2" xfId="12849"/>
    <cellStyle name="Normal 4 3 7 3 2 2 2" xfId="12850"/>
    <cellStyle name="Normal 5 3 7 3 2 2 2" xfId="12851"/>
    <cellStyle name="Normal 7 3 7 3 2 2 2" xfId="12852"/>
    <cellStyle name="Normal 2 5 5 3 2 2 2" xfId="12853"/>
    <cellStyle name="Normal 3 5 5 3 2 2 2" xfId="12854"/>
    <cellStyle name="Normal 4 4 5 3 2 2 2" xfId="12855"/>
    <cellStyle name="Normal 5 4 5 3 2 2 2" xfId="12856"/>
    <cellStyle name="Normal 7 4 5 3 2 2 2" xfId="12857"/>
    <cellStyle name="Normal 2 3 2 5 3 2 2 2" xfId="12858"/>
    <cellStyle name="Normal 3 3 2 5 3 2 2 2" xfId="12859"/>
    <cellStyle name="Normal 4 2 2 5 3 2 2 2" xfId="12860"/>
    <cellStyle name="Normal 5 2 2 5 3 2 2 2" xfId="12861"/>
    <cellStyle name="Normal 7 2 2 5 3 2 2 2" xfId="12862"/>
    <cellStyle name="Normal 2 4 2 5 3 2 2 2" xfId="12863"/>
    <cellStyle name="Normal 3 4 2 5 3 2 2 2" xfId="12864"/>
    <cellStyle name="Normal 4 3 2 5 3 2 2 2" xfId="12865"/>
    <cellStyle name="Normal 5 3 2 5 3 2 2 2" xfId="12866"/>
    <cellStyle name="Normal 7 3 2 5 3 2 2 2" xfId="12867"/>
    <cellStyle name="Normal 2 6 5 3 2 2 2" xfId="12868"/>
    <cellStyle name="Normal 3 6 5 3 2 2 2" xfId="12869"/>
    <cellStyle name="Normal 4 5 5 3 2 2 2" xfId="12870"/>
    <cellStyle name="Normal 5 5 5 3 2 2 2" xfId="12871"/>
    <cellStyle name="Normal 7 5 5 3 2 2 2" xfId="12872"/>
    <cellStyle name="Normal 2 3 3 5 3 2 2 2" xfId="12873"/>
    <cellStyle name="Normal 3 3 3 5 3 2 2 2" xfId="12874"/>
    <cellStyle name="Normal 4 2 3 5 3 2 2 2" xfId="12875"/>
    <cellStyle name="Normal 5 2 3 5 3 2 2 2" xfId="12876"/>
    <cellStyle name="Normal 7 2 3 5 3 2 2 2" xfId="12877"/>
    <cellStyle name="Normal 2 4 3 5 3 2 2 2" xfId="12878"/>
    <cellStyle name="Normal 3 4 3 5 3 2 2 2" xfId="12879"/>
    <cellStyle name="Normal 4 3 3 5 3 2 2 2" xfId="12880"/>
    <cellStyle name="Normal 5 3 3 5 3 2 2 2" xfId="12881"/>
    <cellStyle name="Normal 7 3 3 5 3 2 2 2" xfId="12882"/>
    <cellStyle name="Normal 2 7 4 3 2 2 2" xfId="12883"/>
    <cellStyle name="Normal 3 7 4 3 2 2 2" xfId="12884"/>
    <cellStyle name="Normal 4 6 4 3 2 2 2" xfId="12885"/>
    <cellStyle name="Normal 5 6 4 3 2 2 2" xfId="12886"/>
    <cellStyle name="Normal 7 6 4 3 2 2 2" xfId="12887"/>
    <cellStyle name="Normal 2 3 4 4 3 2 2 2" xfId="12888"/>
    <cellStyle name="Normal 3 3 4 4 3 2 2 2" xfId="12889"/>
    <cellStyle name="Normal 4 2 4 4 3 2 2 2" xfId="12890"/>
    <cellStyle name="Normal 5 2 4 4 3 2 2 2" xfId="12891"/>
    <cellStyle name="Normal 7 2 4 4 3 2 2 2" xfId="12892"/>
    <cellStyle name="Normal 2 4 4 4 3 2 2 2" xfId="12893"/>
    <cellStyle name="Normal 3 4 4 4 3 2 2 2" xfId="12894"/>
    <cellStyle name="Normal 4 3 4 4 3 2 2 2" xfId="12895"/>
    <cellStyle name="Normal 5 3 4 4 3 2 2 2" xfId="12896"/>
    <cellStyle name="Normal 7 3 4 4 3 2 2 2" xfId="12897"/>
    <cellStyle name="Normal 2 5 2 4 3 2 2 2" xfId="12898"/>
    <cellStyle name="Normal 3 5 2 4 3 2 2 2" xfId="12899"/>
    <cellStyle name="Normal 4 4 2 4 3 2 2 2" xfId="12900"/>
    <cellStyle name="Normal 5 4 2 4 3 2 2 2" xfId="12901"/>
    <cellStyle name="Normal 7 4 2 4 3 2 2 2" xfId="12902"/>
    <cellStyle name="Normal 2 3 2 2 4 3 2 2 2" xfId="12903"/>
    <cellStyle name="Normal 3 3 2 2 4 3 2 2 2" xfId="12904"/>
    <cellStyle name="Normal 4 2 2 2 4 3 2 2 2" xfId="12905"/>
    <cellStyle name="Normal 5 2 2 2 4 3 2 2 2" xfId="12906"/>
    <cellStyle name="Normal 7 2 2 2 4 3 2 2 2" xfId="12907"/>
    <cellStyle name="Normal 2 4 2 2 4 3 2 2 2" xfId="12908"/>
    <cellStyle name="Normal 3 4 2 2 4 3 2 2 2" xfId="12909"/>
    <cellStyle name="Normal 4 3 2 2 4 3 2 2 2" xfId="12910"/>
    <cellStyle name="Normal 5 3 2 2 4 3 2 2 2" xfId="12911"/>
    <cellStyle name="Normal 7 3 2 2 4 3 2 2 2" xfId="12912"/>
    <cellStyle name="Normal 2 6 2 4 3 2 2 2" xfId="12913"/>
    <cellStyle name="Normal 3 6 2 4 3 2 2 2" xfId="12914"/>
    <cellStyle name="Normal 4 5 2 4 3 2 2 2" xfId="12915"/>
    <cellStyle name="Normal 5 5 2 4 3 2 2 2" xfId="12916"/>
    <cellStyle name="Normal 7 5 2 4 3 2 2 2" xfId="12917"/>
    <cellStyle name="Normal 2 3 3 2 4 3 2 2 2" xfId="12918"/>
    <cellStyle name="Normal 3 3 3 2 4 3 2 2 2" xfId="12919"/>
    <cellStyle name="Normal 4 2 3 2 4 3 2 2 2" xfId="12920"/>
    <cellStyle name="Normal 5 2 3 2 4 3 2 2 2" xfId="12921"/>
    <cellStyle name="Normal 7 2 3 2 4 3 2 2 2" xfId="12922"/>
    <cellStyle name="Normal 2 4 3 2 4 3 2 2 2" xfId="12923"/>
    <cellStyle name="Normal 3 4 3 2 4 3 2 2 2" xfId="12924"/>
    <cellStyle name="Normal 4 3 3 2 4 3 2 2 2" xfId="12925"/>
    <cellStyle name="Normal 5 3 3 2 4 3 2 2 2" xfId="12926"/>
    <cellStyle name="Normal 7 3 3 2 4 3 2 2 2" xfId="12927"/>
    <cellStyle name="Normal 2 8 3 3 2 2 2" xfId="12928"/>
    <cellStyle name="Normal 3 8 3 3 2 2 2" xfId="12929"/>
    <cellStyle name="Normal 4 7 3 3 2 2 2" xfId="12930"/>
    <cellStyle name="Normal 5 7 3 3 2 2 2" xfId="12931"/>
    <cellStyle name="Normal 7 7 3 3 2 2 2" xfId="12932"/>
    <cellStyle name="Normal 2 3 5 3 3 2 2 2" xfId="12933"/>
    <cellStyle name="Normal 3 3 5 3 3 2 2 2" xfId="12934"/>
    <cellStyle name="Normal 4 2 5 3 3 2 2 2" xfId="12935"/>
    <cellStyle name="Normal 5 2 5 3 3 2 2 2" xfId="12936"/>
    <cellStyle name="Normal 7 2 5 3 3 2 2 2" xfId="12937"/>
    <cellStyle name="Normal 3 4 5 3 3 2 2 2" xfId="12938"/>
    <cellStyle name="Normal 4 3 5 3 3 2 2 2" xfId="12939"/>
    <cellStyle name="Normal 5 3 5 3 3 2 2 2" xfId="12940"/>
    <cellStyle name="Normal 7 3 5 3 3 2 2 2" xfId="12941"/>
    <cellStyle name="Normal 2 5 3 3 3 2 2 2" xfId="12942"/>
    <cellStyle name="Normal 3 5 3 3 3 2 2 2" xfId="12943"/>
    <cellStyle name="Normal 4 4 3 3 3 2 2 2" xfId="12944"/>
    <cellStyle name="Normal 5 4 3 3 3 2 2 2" xfId="12945"/>
    <cellStyle name="Normal 7 4 3 3 3 2 2 2" xfId="12946"/>
    <cellStyle name="Normal 2 3 2 3 3 3 2 2 2" xfId="12947"/>
    <cellStyle name="Normal 3 3 2 3 3 3 2 2 2" xfId="12948"/>
    <cellStyle name="Normal 4 2 2 3 3 3 2 2 2" xfId="12949"/>
    <cellStyle name="Normal 5 2 2 3 3 3 2 2 2" xfId="12950"/>
    <cellStyle name="Normal 7 2 2 3 3 3 2 2 2" xfId="12951"/>
    <cellStyle name="Normal 2 4 2 3 3 3 2 2 2" xfId="12952"/>
    <cellStyle name="Normal 3 4 2 3 3 3 2 2 2" xfId="12953"/>
    <cellStyle name="Normal 4 3 2 3 3 3 2 2 2" xfId="12954"/>
    <cellStyle name="Normal 5 3 2 3 3 3 2 2 2" xfId="12955"/>
    <cellStyle name="Normal 7 3 2 3 3 3 2 2 2" xfId="12956"/>
    <cellStyle name="Normal 2 6 3 3 3 2 2 2" xfId="12957"/>
    <cellStyle name="Normal 3 6 3 3 3 2 2 2" xfId="12958"/>
    <cellStyle name="Normal 4 5 3 3 3 2 2 2" xfId="12959"/>
    <cellStyle name="Normal 5 5 3 3 3 2 2 2" xfId="12960"/>
    <cellStyle name="Normal 7 5 3 3 3 2 2 2" xfId="12961"/>
    <cellStyle name="Normal 2 3 3 3 3 3 2 2 2" xfId="12962"/>
    <cellStyle name="Normal 3 3 3 3 3 3 2 2 2" xfId="12963"/>
    <cellStyle name="Normal 4 2 3 3 3 3 2 2 2" xfId="12964"/>
    <cellStyle name="Normal 5 2 3 3 3 3 2 2 2" xfId="12965"/>
    <cellStyle name="Normal 7 2 3 3 3 3 2 2 2" xfId="12966"/>
    <cellStyle name="Normal 2 4 3 3 3 3 2 2 2" xfId="12967"/>
    <cellStyle name="Normal 3 4 3 3 3 3 2 2 2" xfId="12968"/>
    <cellStyle name="Normal 4 3 3 3 3 3 2 2 2" xfId="12969"/>
    <cellStyle name="Normal 5 3 3 3 3 3 2 2 2" xfId="12970"/>
    <cellStyle name="Normal 7 3 3 3 3 3 2 2 2" xfId="12971"/>
    <cellStyle name="Normal 2 7 2 3 3 2 2 2" xfId="12972"/>
    <cellStyle name="Normal 3 7 2 3 3 2 2 2" xfId="12973"/>
    <cellStyle name="Normal 4 6 2 3 3 2 2 2" xfId="12974"/>
    <cellStyle name="Normal 5 6 2 3 3 2 2 2" xfId="12975"/>
    <cellStyle name="Normal 7 6 2 3 3 2 2 2" xfId="12976"/>
    <cellStyle name="Normal 2 3 4 2 3 3 2 2 2" xfId="12977"/>
    <cellStyle name="Normal 3 3 4 2 3 3 2 2 2" xfId="12978"/>
    <cellStyle name="Normal 4 2 4 2 3 3 2 2 2" xfId="12979"/>
    <cellStyle name="Normal 5 2 4 2 3 3 2 2 2" xfId="12980"/>
    <cellStyle name="Normal 7 2 4 2 3 3 2 2 2" xfId="12981"/>
    <cellStyle name="Normal 2 4 4 2 3 3 2 2 2" xfId="12982"/>
    <cellStyle name="Normal 3 4 4 2 3 3 2 2 2" xfId="12983"/>
    <cellStyle name="Normal 4 3 4 2 3 3 2 2 2" xfId="12984"/>
    <cellStyle name="Normal 5 3 4 2 3 3 2 2 2" xfId="12985"/>
    <cellStyle name="Normal 7 3 4 2 3 3 2 2 2" xfId="12986"/>
    <cellStyle name="Normal 2 5 2 2 3 3 2 2 2" xfId="12987"/>
    <cellStyle name="Normal 3 5 2 2 3 3 2 2 2" xfId="12988"/>
    <cellStyle name="Normal 4 4 2 2 3 3 2 2 2" xfId="12989"/>
    <cellStyle name="Normal 5 4 2 2 3 3 2 2 2" xfId="12990"/>
    <cellStyle name="Normal 7 4 2 2 3 3 2 2 2" xfId="12991"/>
    <cellStyle name="Normal 2 3 2 2 2 3 3 2 2 2" xfId="12992"/>
    <cellStyle name="Normal 3 3 2 2 2 3 3 2 2 2" xfId="12993"/>
    <cellStyle name="Normal 4 2 2 2 2 3 3 2 2 2" xfId="12994"/>
    <cellStyle name="Normal 5 2 2 2 2 3 3 2 2 2" xfId="12995"/>
    <cellStyle name="Normal 7 2 2 2 2 3 3 2 2 2" xfId="12996"/>
    <cellStyle name="Normal 2 4 2 2 2 3 3 2 2 2" xfId="12997"/>
    <cellStyle name="Normal 3 4 2 2 2 3 3 2 2 2" xfId="12998"/>
    <cellStyle name="Normal 4 3 2 2 2 3 3 2 2 2" xfId="12999"/>
    <cellStyle name="Normal 5 3 2 2 2 3 3 2 2 2" xfId="13000"/>
    <cellStyle name="Normal 7 3 2 2 2 3 3 2 2 2" xfId="13001"/>
    <cellStyle name="Normal 2 6 2 2 3 3 2 2 2" xfId="13002"/>
    <cellStyle name="Normal 3 6 2 2 3 3 2 2 2" xfId="13003"/>
    <cellStyle name="Normal 4 5 2 2 3 3 2 2 2" xfId="13004"/>
    <cellStyle name="Normal 5 5 2 2 3 3 2 2 2" xfId="13005"/>
    <cellStyle name="Normal 7 5 2 2 3 3 2 2 2" xfId="13006"/>
    <cellStyle name="Normal 2 3 3 2 2 3 3 2 2 2" xfId="13007"/>
    <cellStyle name="Normal 3 3 3 2 2 3 3 2 2 2" xfId="13008"/>
    <cellStyle name="Normal 4 2 3 2 2 3 3 2 2 2" xfId="13009"/>
    <cellStyle name="Normal 5 2 3 2 2 3 3 2 2 2" xfId="13010"/>
    <cellStyle name="Normal 7 2 3 2 2 3 3 2 2 2" xfId="13011"/>
    <cellStyle name="Normal 2 4 3 2 2 3 3 2 2 2" xfId="13012"/>
    <cellStyle name="Normal 3 4 3 2 2 3 3 2 2 2" xfId="13013"/>
    <cellStyle name="Normal 4 3 3 2 2 3 3 2 2 2" xfId="13014"/>
    <cellStyle name="Normal 5 3 3 2 2 3 3 2 2 2" xfId="13015"/>
    <cellStyle name="Normal 7 3 3 2 2 3 3 2 2 2" xfId="13016"/>
    <cellStyle name="Normal 34" xfId="13017"/>
    <cellStyle name="Millares 5 4" xfId="13018"/>
    <cellStyle name="Millares 2 8" xfId="13019"/>
    <cellStyle name="Normal 2 16" xfId="13020"/>
    <cellStyle name="Normal 3 16" xfId="13021"/>
    <cellStyle name="Normal 4 15" xfId="13022"/>
    <cellStyle name="Normal 5 15" xfId="13023"/>
    <cellStyle name="Normal 7 2 16" xfId="13024"/>
    <cellStyle name="Normal 10 2" xfId="13025"/>
    <cellStyle name="Normal 11 2" xfId="13026"/>
    <cellStyle name="Normal 13 2" xfId="13027"/>
    <cellStyle name="Normal 14 2" xfId="13028"/>
    <cellStyle name="Normal 15 2" xfId="13029"/>
    <cellStyle name="Normal 16 2" xfId="13030"/>
    <cellStyle name="Normal 17 2" xfId="13031"/>
    <cellStyle name="Normal 18 2" xfId="13032"/>
    <cellStyle name="Normal 7 3 13" xfId="13033"/>
    <cellStyle name="Normal 19 2" xfId="13034"/>
    <cellStyle name="Normal 20 2" xfId="13035"/>
    <cellStyle name="Normal 21 2" xfId="13036"/>
    <cellStyle name="Normal 22 2" xfId="13037"/>
    <cellStyle name="Normal 29" xfId="13038"/>
    <cellStyle name="Normal 28 10" xfId="13039"/>
    <cellStyle name="Normal 30" xfId="13040"/>
    <cellStyle name="Normal 33" xfId="13041"/>
    <cellStyle name="Normal 32" xfId="13042"/>
    <cellStyle name="Normal 31" xfId="13043"/>
    <cellStyle name="Normal 7 4 11" xfId="13044"/>
    <cellStyle name="Normal 8 3" xfId="13045"/>
    <cellStyle name="Normal 2 3 13" xfId="13046"/>
    <cellStyle name="Normal 3 3 13" xfId="13047"/>
    <cellStyle name="Normal 4 2 13" xfId="13048"/>
    <cellStyle name="Normal 5 2 13" xfId="13049"/>
    <cellStyle name="Normal 8 4" xfId="13050"/>
    <cellStyle name="Normal 7 2 2 11" xfId="13051"/>
    <cellStyle name="Normal 2 4 13" xfId="13052"/>
    <cellStyle name="Normal 3 4 13" xfId="13053"/>
    <cellStyle name="Normal 4 3 13" xfId="13054"/>
    <cellStyle name="Normal 5 3 13" xfId="13055"/>
    <cellStyle name="Normal 2 5 11" xfId="13056"/>
    <cellStyle name="Normal 3 5 11" xfId="13057"/>
    <cellStyle name="Normal 4 4 11" xfId="13058"/>
    <cellStyle name="Normal 5 4 11" xfId="13059"/>
    <cellStyle name="Normal 2 3 2 11" xfId="13060"/>
    <cellStyle name="Normal 3 3 2 11" xfId="13061"/>
    <cellStyle name="Normal 4 2 2 11" xfId="13062"/>
    <cellStyle name="Normal 5 2 2 11" xfId="13063"/>
    <cellStyle name="Normal 2 4 2 11" xfId="13064"/>
    <cellStyle name="Normal 3 4 2 11" xfId="13065"/>
    <cellStyle name="Normal 4 3 2 11" xfId="13066"/>
    <cellStyle name="Normal 5 3 2 11" xfId="13067"/>
    <cellStyle name="Normal 7 3 2 11" xfId="13068"/>
    <cellStyle name="Normal 9 3" xfId="13069"/>
    <cellStyle name="Normal 2 6 11" xfId="13070"/>
    <cellStyle name="Normal 3 6 11" xfId="13071"/>
    <cellStyle name="Normal 4 5 11" xfId="13072"/>
    <cellStyle name="Normal 5 5 11" xfId="13073"/>
    <cellStyle name="Normal 7 5 11" xfId="13074"/>
    <cellStyle name="Normal 2 3 3 11" xfId="13075"/>
    <cellStyle name="Normal 3 3 3 11" xfId="13076"/>
    <cellStyle name="Normal 4 2 3 11" xfId="13077"/>
    <cellStyle name="Normal 5 2 3 11" xfId="13078"/>
    <cellStyle name="Normal 7 2 3 11" xfId="13079"/>
    <cellStyle name="Normal 2 4 3 11" xfId="13080"/>
    <cellStyle name="Normal 3 4 3 11" xfId="13081"/>
    <cellStyle name="Normal 4 3 3 11" xfId="13082"/>
    <cellStyle name="Normal 5 3 3 11" xfId="13083"/>
    <cellStyle name="Normal 7 3 3 11" xfId="13084"/>
    <cellStyle name="Normal 2 7 10" xfId="13085"/>
    <cellStyle name="Normal 3 7 10" xfId="13086"/>
    <cellStyle name="Normal 4 6 10" xfId="13087"/>
    <cellStyle name="Normal 5 6 10" xfId="13088"/>
    <cellStyle name="Normal 7 6 10" xfId="13089"/>
    <cellStyle name="Normal 2 3 4 10" xfId="13090"/>
    <cellStyle name="Normal 3 3 4 10" xfId="13091"/>
    <cellStyle name="Normal 4 2 4 10" xfId="13092"/>
    <cellStyle name="Normal 5 2 4 10" xfId="13093"/>
    <cellStyle name="Normal 7 2 4 10" xfId="13094"/>
    <cellStyle name="Normal 2 4 4 10" xfId="13095"/>
    <cellStyle name="Normal 3 4 4 10" xfId="13096"/>
    <cellStyle name="Normal 4 3 4 10" xfId="13097"/>
    <cellStyle name="Normal 5 3 4 10" xfId="13098"/>
    <cellStyle name="Normal 7 3 4 10" xfId="13099"/>
    <cellStyle name="Normal 2 5 2 10" xfId="13100"/>
    <cellStyle name="Normal 3 5 2 10" xfId="13101"/>
    <cellStyle name="Normal 4 4 2 10" xfId="13102"/>
    <cellStyle name="Normal 5 4 2 10" xfId="13103"/>
    <cellStyle name="Normal 7 4 2 10" xfId="13104"/>
    <cellStyle name="Normal 2 3 2 2 10" xfId="13105"/>
    <cellStyle name="Normal 3 3 2 2 10" xfId="13106"/>
    <cellStyle name="Normal 4 2 2 2 10" xfId="13107"/>
    <cellStyle name="Normal 5 2 2 2 10" xfId="13108"/>
    <cellStyle name="Normal 7 2 2 2 10" xfId="13109"/>
    <cellStyle name="Normal 2 4 2 2 10" xfId="13110"/>
    <cellStyle name="Normal 3 4 2 2 10" xfId="13111"/>
    <cellStyle name="Normal 4 3 2 2 10" xfId="13112"/>
    <cellStyle name="Normal 5 3 2 2 10" xfId="13113"/>
    <cellStyle name="Normal 7 3 2 2 10" xfId="13114"/>
    <cellStyle name="Normal 2 6 2 10" xfId="13115"/>
    <cellStyle name="Normal 3 6 2 10" xfId="13116"/>
    <cellStyle name="Normal 4 5 2 10" xfId="13117"/>
    <cellStyle name="Normal 5 5 2 10" xfId="13118"/>
    <cellStyle name="Normal 7 5 2 10" xfId="13119"/>
    <cellStyle name="Normal 2 3 3 2 10" xfId="13120"/>
    <cellStyle name="Normal 3 3 3 2 10" xfId="13121"/>
    <cellStyle name="Normal 4 2 3 2 10" xfId="13122"/>
    <cellStyle name="Normal 5 2 3 2 10" xfId="13123"/>
    <cellStyle name="Normal 7 2 3 2 10" xfId="13124"/>
    <cellStyle name="Normal 2 4 3 2 10" xfId="13125"/>
    <cellStyle name="Normal 3 4 3 2 10" xfId="13126"/>
    <cellStyle name="Normal 4 3 3 2 10" xfId="13127"/>
    <cellStyle name="Normal 5 3 3 2 10" xfId="13128"/>
    <cellStyle name="Normal 7 3 3 2 10" xfId="13129"/>
    <cellStyle name="Normal 2 8 9" xfId="13130"/>
    <cellStyle name="Normal 3 8 9" xfId="13131"/>
    <cellStyle name="Normal 4 7 9" xfId="13132"/>
    <cellStyle name="Normal 5 7 9" xfId="13133"/>
    <cellStyle name="Normal 7 7 9" xfId="13134"/>
    <cellStyle name="Normal 2 3 5 9" xfId="13135"/>
    <cellStyle name="Normal 3 3 5 9" xfId="13136"/>
    <cellStyle name="Normal 4 2 5 9" xfId="13137"/>
    <cellStyle name="Normal 5 2 5 9" xfId="13138"/>
    <cellStyle name="Normal 7 2 5 9" xfId="13139"/>
    <cellStyle name="Normal 2 4 5 9" xfId="13140"/>
    <cellStyle name="Normal 3 4 5 9" xfId="13141"/>
    <cellStyle name="Normal 4 3 5 9" xfId="13142"/>
    <cellStyle name="Normal 5 3 5 9" xfId="13143"/>
    <cellStyle name="Normal 7 3 5 9" xfId="13144"/>
    <cellStyle name="Normal 2 5 3 9" xfId="13145"/>
    <cellStyle name="Normal 3 5 3 9" xfId="13146"/>
    <cellStyle name="Normal 4 4 3 9" xfId="13147"/>
    <cellStyle name="Normal 5 4 3 9" xfId="13148"/>
    <cellStyle name="Normal 7 4 3 9" xfId="13149"/>
    <cellStyle name="Normal 2 3 2 3 9" xfId="13150"/>
    <cellStyle name="Normal 3 3 2 3 9" xfId="13151"/>
    <cellStyle name="Normal 4 2 2 3 9" xfId="13152"/>
    <cellStyle name="Normal 5 2 2 3 9" xfId="13153"/>
    <cellStyle name="Normal 7 2 2 3 9" xfId="13154"/>
    <cellStyle name="Normal 2 4 2 3 9" xfId="13155"/>
    <cellStyle name="Normal 3 4 2 3 9" xfId="13156"/>
    <cellStyle name="Normal 4 3 2 3 9" xfId="13157"/>
    <cellStyle name="Normal 5 3 2 3 9" xfId="13158"/>
    <cellStyle name="Normal 7 3 2 3 9" xfId="13159"/>
    <cellStyle name="Normal 2 6 3 9" xfId="13160"/>
    <cellStyle name="Normal 3 6 3 9" xfId="13161"/>
    <cellStyle name="Normal 4 5 3 9" xfId="13162"/>
    <cellStyle name="Normal 5 5 3 9" xfId="13163"/>
    <cellStyle name="Normal 7 5 3 9" xfId="13164"/>
    <cellStyle name="Normal 2 3 3 3 9" xfId="13165"/>
    <cellStyle name="Normal 3 3 3 3 9" xfId="13166"/>
    <cellStyle name="Normal 4 2 3 3 9" xfId="13167"/>
    <cellStyle name="Normal 5 2 3 3 9" xfId="13168"/>
    <cellStyle name="Normal 7 2 3 3 9" xfId="13169"/>
    <cellStyle name="Normal 2 4 3 3 9" xfId="13170"/>
    <cellStyle name="Normal 3 4 3 3 9" xfId="13171"/>
    <cellStyle name="Normal 4 3 3 3 9" xfId="13172"/>
    <cellStyle name="Normal 5 3 3 3 9" xfId="13173"/>
    <cellStyle name="Normal 7 3 3 3 9" xfId="13174"/>
    <cellStyle name="Normal 2 7 2 9" xfId="13175"/>
    <cellStyle name="Normal 3 7 2 9" xfId="13176"/>
    <cellStyle name="Normal 4 6 2 9" xfId="13177"/>
    <cellStyle name="Normal 5 6 2 9" xfId="13178"/>
    <cellStyle name="Normal 7 6 2 9" xfId="13179"/>
    <cellStyle name="Normal 2 3 4 2 9" xfId="13180"/>
    <cellStyle name="Normal 3 3 4 2 9" xfId="13181"/>
    <cellStyle name="Normal 4 2 4 2 9" xfId="13182"/>
    <cellStyle name="Normal 5 2 4 2 9" xfId="13183"/>
    <cellStyle name="Normal 7 2 4 2 9" xfId="13184"/>
    <cellStyle name="Normal 2 4 4 2 9" xfId="13185"/>
    <cellStyle name="Normal 3 4 4 2 9" xfId="13186"/>
    <cellStyle name="Normal 4 3 4 2 9" xfId="13187"/>
    <cellStyle name="Normal 5 3 4 2 9" xfId="13188"/>
    <cellStyle name="Normal 7 3 4 2 9" xfId="13189"/>
    <cellStyle name="Normal 2 5 2 2 9" xfId="13190"/>
    <cellStyle name="Normal 3 5 2 2 9" xfId="13191"/>
    <cellStyle name="Normal 4 4 2 2 9" xfId="13192"/>
    <cellStyle name="Normal 5 4 2 2 9" xfId="13193"/>
    <cellStyle name="Normal 7 4 2 2 9" xfId="13194"/>
    <cellStyle name="Normal 2 3 2 2 2 9" xfId="13195"/>
    <cellStyle name="Normal 3 3 2 2 2 9" xfId="13196"/>
    <cellStyle name="Normal 4 2 2 2 2 9" xfId="13197"/>
    <cellStyle name="Normal 5 2 2 2 2 9" xfId="13198"/>
    <cellStyle name="Normal 7 2 2 2 2 9" xfId="13199"/>
    <cellStyle name="Normal 2 4 2 2 2 9" xfId="13200"/>
    <cellStyle name="Normal 3 4 2 2 2 9" xfId="13201"/>
    <cellStyle name="Normal 4 3 2 2 2 9" xfId="13202"/>
    <cellStyle name="Normal 5 3 2 2 2 9" xfId="13203"/>
    <cellStyle name="Normal 7 3 2 2 2 9" xfId="13204"/>
    <cellStyle name="Normal 2 6 2 2 9" xfId="13205"/>
    <cellStyle name="Normal 3 6 2 2 9" xfId="13206"/>
    <cellStyle name="Normal 4 5 2 2 9" xfId="13207"/>
    <cellStyle name="Normal 5 5 2 2 9" xfId="13208"/>
    <cellStyle name="Normal 7 5 2 2 9" xfId="13209"/>
    <cellStyle name="Normal 2 3 3 2 2 9" xfId="13210"/>
    <cellStyle name="Normal 3 3 3 2 2 9" xfId="13211"/>
    <cellStyle name="Normal 4 2 3 2 2 9" xfId="13212"/>
    <cellStyle name="Normal 5 2 3 2 2 9" xfId="13213"/>
    <cellStyle name="Normal 7 2 3 2 2 9" xfId="13214"/>
    <cellStyle name="Normal 2 4 3 2 2 9" xfId="13215"/>
    <cellStyle name="Normal 3 4 3 2 2 9" xfId="13216"/>
    <cellStyle name="Normal 4 3 3 2 2 9" xfId="13217"/>
    <cellStyle name="Normal 5 3 3 2 2 9" xfId="13218"/>
    <cellStyle name="Normal 7 3 3 2 2 9" xfId="13219"/>
    <cellStyle name="Normal 2 9 7" xfId="13220"/>
    <cellStyle name="Normal 3 9 7" xfId="13221"/>
    <cellStyle name="Normal 4 8 7" xfId="13222"/>
    <cellStyle name="Normal 5 8 7" xfId="13223"/>
    <cellStyle name="Normal 7 8 7" xfId="13224"/>
    <cellStyle name="Normal 2 3 6 7" xfId="13225"/>
    <cellStyle name="Normal 3 3 6 7" xfId="13226"/>
    <cellStyle name="Normal 4 2 6 7" xfId="13227"/>
    <cellStyle name="Normal 5 2 6 7" xfId="13228"/>
    <cellStyle name="Normal 7 2 6 7" xfId="13229"/>
    <cellStyle name="Normal 2 4 6 7" xfId="13230"/>
    <cellStyle name="Normal 3 4 6 7" xfId="13231"/>
    <cellStyle name="Normal 4 3 6 7" xfId="13232"/>
    <cellStyle name="Normal 5 3 6 7" xfId="13233"/>
    <cellStyle name="Normal 7 3 6 7" xfId="13234"/>
    <cellStyle name="Normal 2 5 4 7" xfId="13235"/>
    <cellStyle name="Normal 3 5 4 7" xfId="13236"/>
    <cellStyle name="Normal 4 4 4 7" xfId="13237"/>
    <cellStyle name="Normal 5 4 4 7" xfId="13238"/>
    <cellStyle name="Normal 7 4 4 7" xfId="13239"/>
    <cellStyle name="Normal 2 3 2 4 7" xfId="13240"/>
    <cellStyle name="Normal 3 3 2 4 7" xfId="13241"/>
    <cellStyle name="Normal 4 2 2 4 7" xfId="13242"/>
    <cellStyle name="Normal 5 2 2 4 7" xfId="13243"/>
    <cellStyle name="Normal 7 2 2 4 7" xfId="13244"/>
    <cellStyle name="Normal 2 4 2 4 7" xfId="13245"/>
    <cellStyle name="Normal 3 4 2 4 7" xfId="13246"/>
    <cellStyle name="Normal 4 3 2 4 7" xfId="13247"/>
    <cellStyle name="Normal 5 3 2 4 7" xfId="13248"/>
    <cellStyle name="Normal 7 3 2 4 7" xfId="13249"/>
    <cellStyle name="Normal 2 6 4 7" xfId="13250"/>
    <cellStyle name="Normal 3 6 4 7" xfId="13251"/>
    <cellStyle name="Normal 4 5 4 7" xfId="13252"/>
    <cellStyle name="Normal 5 5 4 7" xfId="13253"/>
    <cellStyle name="Normal 7 5 4 7" xfId="13254"/>
    <cellStyle name="Normal 2 3 3 4 7" xfId="13255"/>
    <cellStyle name="Normal 3 3 3 4 7" xfId="13256"/>
    <cellStyle name="Normal 4 2 3 4 7" xfId="13257"/>
    <cellStyle name="Normal 5 2 3 4 7" xfId="13258"/>
    <cellStyle name="Normal 7 2 3 4 7" xfId="13259"/>
    <cellStyle name="Normal 2 4 3 4 7" xfId="13260"/>
    <cellStyle name="Normal 3 4 3 4 7" xfId="13261"/>
    <cellStyle name="Normal 4 3 3 4 7" xfId="13262"/>
    <cellStyle name="Normal 5 3 3 4 7" xfId="13263"/>
    <cellStyle name="Normal 7 3 3 4 7" xfId="13264"/>
    <cellStyle name="Normal 2 7 3 7" xfId="13265"/>
    <cellStyle name="Normal 3 7 3 7" xfId="13266"/>
    <cellStyle name="Normal 4 6 3 7" xfId="13267"/>
    <cellStyle name="Normal 5 6 3 7" xfId="13268"/>
    <cellStyle name="Normal 7 6 3 7" xfId="13269"/>
    <cellStyle name="Normal 2 3 4 3 7" xfId="13270"/>
    <cellStyle name="Normal 3 3 4 3 7" xfId="13271"/>
    <cellStyle name="Normal 4 2 4 3 7" xfId="13272"/>
    <cellStyle name="Normal 5 2 4 3 7" xfId="13273"/>
    <cellStyle name="Normal 7 2 4 3 7" xfId="13274"/>
    <cellStyle name="Normal 2 4 4 3 7" xfId="13275"/>
    <cellStyle name="Normal 3 4 4 3 7" xfId="13276"/>
    <cellStyle name="Normal 4 3 4 3 7" xfId="13277"/>
    <cellStyle name="Normal 5 3 4 3 7" xfId="13278"/>
    <cellStyle name="Normal 7 3 4 3 7" xfId="13279"/>
    <cellStyle name="Normal 2 5 2 3 7" xfId="13280"/>
    <cellStyle name="Normal 3 5 2 3 7" xfId="13281"/>
    <cellStyle name="Normal 4 4 2 3 7" xfId="13282"/>
    <cellStyle name="Normal 5 4 2 3 7" xfId="13283"/>
    <cellStyle name="Normal 7 4 2 3 7" xfId="13284"/>
    <cellStyle name="Normal 2 3 2 2 3 7" xfId="13285"/>
    <cellStyle name="Normal 3 3 2 2 3 7" xfId="13286"/>
    <cellStyle name="Normal 4 2 2 2 3 7" xfId="13287"/>
    <cellStyle name="Normal 5 2 2 2 3 7" xfId="13288"/>
    <cellStyle name="Normal 7 2 2 2 3 7" xfId="13289"/>
    <cellStyle name="Normal 2 4 2 2 3 7" xfId="13290"/>
    <cellStyle name="Normal 3 4 2 2 3 7" xfId="13291"/>
    <cellStyle name="Normal 4 3 2 2 3 7" xfId="13292"/>
    <cellStyle name="Normal 5 3 2 2 3 7" xfId="13293"/>
    <cellStyle name="Normal 7 3 2 2 3 7" xfId="13294"/>
    <cellStyle name="Normal 2 6 2 3 7" xfId="13295"/>
    <cellStyle name="Normal 3 6 2 3 7" xfId="13296"/>
    <cellStyle name="Normal 4 5 2 3 7" xfId="13297"/>
    <cellStyle name="Normal 5 5 2 3 7" xfId="13298"/>
    <cellStyle name="Normal 7 5 2 3 7" xfId="13299"/>
    <cellStyle name="Normal 2 3 3 2 3 7" xfId="13300"/>
    <cellStyle name="Normal 3 3 3 2 3 7" xfId="13301"/>
    <cellStyle name="Normal 4 2 3 2 3 7" xfId="13302"/>
    <cellStyle name="Normal 5 2 3 2 3 7" xfId="13303"/>
    <cellStyle name="Normal 7 2 3 2 3 7" xfId="13304"/>
    <cellStyle name="Normal 2 4 3 2 3 7" xfId="13305"/>
    <cellStyle name="Normal 3 4 3 2 3 7" xfId="13306"/>
    <cellStyle name="Normal 4 3 3 2 3 7" xfId="13307"/>
    <cellStyle name="Normal 5 3 3 2 3 7" xfId="13308"/>
    <cellStyle name="Normal 7 3 3 2 3 7" xfId="13309"/>
    <cellStyle name="Normal 2 8 2 7" xfId="13310"/>
    <cellStyle name="Normal 3 8 2 7" xfId="13311"/>
    <cellStyle name="Normal 4 7 2 7" xfId="13312"/>
    <cellStyle name="Normal 5 7 2 7" xfId="13313"/>
    <cellStyle name="Normal 7 7 2 7" xfId="13314"/>
    <cellStyle name="Normal 2 3 5 2 7" xfId="13315"/>
    <cellStyle name="Normal 3 3 5 2 7" xfId="13316"/>
    <cellStyle name="Normal 4 2 5 2 7" xfId="13317"/>
    <cellStyle name="Normal 5 2 5 2 7" xfId="13318"/>
    <cellStyle name="Normal 7 2 5 2 7" xfId="13319"/>
    <cellStyle name="Normal 2 4 5 2 7" xfId="13320"/>
    <cellStyle name="Normal 3 4 5 2 7" xfId="13321"/>
    <cellStyle name="Normal 4 3 5 2 7" xfId="13322"/>
    <cellStyle name="Normal 5 3 5 2 7" xfId="13323"/>
    <cellStyle name="Normal 7 3 5 2 7" xfId="13324"/>
    <cellStyle name="Normal 2 5 3 2 7" xfId="13325"/>
    <cellStyle name="Normal 3 5 3 2 7" xfId="13326"/>
    <cellStyle name="Normal 4 4 3 2 7" xfId="13327"/>
    <cellStyle name="Normal 5 4 3 2 7" xfId="13328"/>
    <cellStyle name="Normal 7 4 3 2 7" xfId="13329"/>
    <cellStyle name="Normal 2 3 2 3 2 7" xfId="13330"/>
    <cellStyle name="Normal 3 3 2 3 2 7" xfId="13331"/>
    <cellStyle name="Normal 4 2 2 3 2 7" xfId="13332"/>
    <cellStyle name="Normal 5 2 2 3 2 7" xfId="13333"/>
    <cellStyle name="Normal 7 2 2 3 2 7" xfId="13334"/>
    <cellStyle name="Normal 2 4 2 3 2 7" xfId="13335"/>
    <cellStyle name="Normal 3 4 2 3 2 7" xfId="13336"/>
    <cellStyle name="Normal 4 3 2 3 2 7" xfId="13337"/>
    <cellStyle name="Normal 5 3 2 3 2 7" xfId="13338"/>
    <cellStyle name="Normal 7 3 2 3 2 7" xfId="13339"/>
    <cellStyle name="Normal 2 6 3 2 7" xfId="13340"/>
    <cellStyle name="Normal 3 6 3 2 7" xfId="13341"/>
    <cellStyle name="Normal 4 5 3 2 7" xfId="13342"/>
    <cellStyle name="Normal 5 5 3 2 7" xfId="13343"/>
    <cellStyle name="Normal 7 5 3 2 7" xfId="13344"/>
    <cellStyle name="Normal 2 3 3 3 2 7" xfId="13345"/>
    <cellStyle name="Normal 3 3 3 3 2 7" xfId="13346"/>
    <cellStyle name="Normal 4 2 3 3 2 7" xfId="13347"/>
    <cellStyle name="Normal 5 2 3 3 2 7" xfId="13348"/>
    <cellStyle name="Normal 7 2 3 3 2 7" xfId="13349"/>
    <cellStyle name="Normal 2 4 3 3 2 7" xfId="13350"/>
    <cellStyle name="Normal 3 4 3 3 2 7" xfId="13351"/>
    <cellStyle name="Normal 4 3 3 3 2 7" xfId="13352"/>
    <cellStyle name="Normal 5 3 3 3 2 7" xfId="13353"/>
    <cellStyle name="Normal 7 3 3 3 2 7" xfId="13354"/>
    <cellStyle name="Normal 2 7 2 2 7" xfId="13355"/>
    <cellStyle name="Normal 3 7 2 2 7" xfId="13356"/>
    <cellStyle name="Normal 4 6 2 2 7" xfId="13357"/>
    <cellStyle name="Normal 5 6 2 2 7" xfId="13358"/>
    <cellStyle name="Normal 7 6 2 2 7" xfId="13359"/>
    <cellStyle name="Normal 2 3 4 2 2 7" xfId="13360"/>
    <cellStyle name="Normal 3 3 4 2 2 7" xfId="13361"/>
    <cellStyle name="Normal 4 2 4 2 2 7" xfId="13362"/>
    <cellStyle name="Normal 5 2 4 2 2 7" xfId="13363"/>
    <cellStyle name="Normal 7 2 4 2 2 7" xfId="13364"/>
    <cellStyle name="Normal 2 4 4 2 2 7" xfId="13365"/>
    <cellStyle name="Normal 3 4 4 2 2 7" xfId="13366"/>
    <cellStyle name="Normal 4 3 4 2 2 7" xfId="13367"/>
    <cellStyle name="Normal 5 3 4 2 2 7" xfId="13368"/>
    <cellStyle name="Normal 7 3 4 2 2 7" xfId="13369"/>
    <cellStyle name="Normal 2 5 2 2 2 7" xfId="13370"/>
    <cellStyle name="Normal 3 5 2 2 2 7" xfId="13371"/>
    <cellStyle name="Normal 4 4 2 2 2 7" xfId="13372"/>
    <cellStyle name="Normal 5 4 2 2 2 7" xfId="13373"/>
    <cellStyle name="Normal 7 4 2 2 2 7" xfId="13374"/>
    <cellStyle name="Normal 2 3 2 2 2 2 7" xfId="13375"/>
    <cellStyle name="Normal 3 3 2 2 2 2 7" xfId="13376"/>
    <cellStyle name="Normal 4 2 2 2 2 2 7" xfId="13377"/>
    <cellStyle name="Normal 5 2 2 2 2 2 7" xfId="13378"/>
    <cellStyle name="Normal 7 2 2 2 2 2 7" xfId="13379"/>
    <cellStyle name="Normal 2 4 2 2 2 2 7" xfId="13380"/>
    <cellStyle name="Normal 3 4 2 2 2 2 7" xfId="13381"/>
    <cellStyle name="Normal 4 3 2 2 2 2 7" xfId="13382"/>
    <cellStyle name="Normal 5 3 2 2 2 2 7" xfId="13383"/>
    <cellStyle name="Normal 7 3 2 2 2 2 7" xfId="13384"/>
    <cellStyle name="Normal 2 6 2 2 2 7" xfId="13385"/>
    <cellStyle name="Normal 3 6 2 2 2 7" xfId="13386"/>
    <cellStyle name="Normal 4 5 2 2 2 7" xfId="13387"/>
    <cellStyle name="Normal 5 5 2 2 2 7" xfId="13388"/>
    <cellStyle name="Normal 7 5 2 2 2 7" xfId="13389"/>
    <cellStyle name="Normal 2 3 3 2 2 2 7" xfId="13390"/>
    <cellStyle name="Normal 3 3 3 2 2 2 7" xfId="13391"/>
    <cellStyle name="Normal 4 2 3 2 2 2 7" xfId="13392"/>
    <cellStyle name="Normal 5 2 3 2 2 2 7" xfId="13393"/>
    <cellStyle name="Normal 7 2 3 2 2 2 7" xfId="13394"/>
    <cellStyle name="Normal 2 4 3 2 2 2 7" xfId="13395"/>
    <cellStyle name="Normal 3 4 3 2 2 2 7" xfId="13396"/>
    <cellStyle name="Normal 4 3 3 2 2 2 7" xfId="13397"/>
    <cellStyle name="Normal 5 3 3 2 2 2 7" xfId="13398"/>
    <cellStyle name="Normal 7 3 3 2 2 2 7" xfId="13399"/>
    <cellStyle name="Normal 28 2 5" xfId="13400"/>
    <cellStyle name="Millares 2 2 8" xfId="13401"/>
    <cellStyle name="Normal 2 3 7 7" xfId="13402"/>
    <cellStyle name="Normal 3 10 7" xfId="13403"/>
    <cellStyle name="Normal 4 9 7" xfId="13404"/>
    <cellStyle name="Normal 5 9 7" xfId="13405"/>
    <cellStyle name="Millares 4 7" xfId="13406"/>
    <cellStyle name="Millares 3 2" xfId="13407"/>
    <cellStyle name="Millares 2 2 2 2" xfId="13408"/>
    <cellStyle name="Normal 10 3" xfId="13409"/>
    <cellStyle name="Normal 11 3" xfId="13410"/>
    <cellStyle name="Normal 7 13 3" xfId="13411"/>
    <cellStyle name="Normal 13 3" xfId="13412"/>
    <cellStyle name="Normal 14 3" xfId="13413"/>
    <cellStyle name="Normal 15 3" xfId="13414"/>
    <cellStyle name="Normal 7 2 7 7" xfId="13415"/>
    <cellStyle name="Normal 16 3" xfId="13416"/>
    <cellStyle name="Normal 17 3" xfId="13417"/>
    <cellStyle name="Normal 18 3" xfId="13418"/>
    <cellStyle name="Normal 19 3" xfId="13419"/>
    <cellStyle name="Normal 20 3" xfId="13420"/>
    <cellStyle name="Normal 24 2" xfId="13421"/>
    <cellStyle name="Normal 23 2" xfId="13422"/>
    <cellStyle name="Normal 25 2" xfId="13423"/>
    <cellStyle name="Normal 22 3" xfId="13424"/>
    <cellStyle name="Normal 21 3" xfId="13425"/>
    <cellStyle name="Normal 26 2" xfId="13426"/>
    <cellStyle name="Normal 3 3 7 7" xfId="13427"/>
    <cellStyle name="Normal 4 2 7 7" xfId="13428"/>
    <cellStyle name="Normal 5 2 7 7" xfId="13429"/>
    <cellStyle name="Normal 2 4 5 3 7" xfId="13430"/>
    <cellStyle name="Normal 3 4 7 7" xfId="13431"/>
    <cellStyle name="Normal 4 3 7 7" xfId="13432"/>
    <cellStyle name="Normal 5 3 7 7" xfId="13433"/>
    <cellStyle name="Normal 7 3 7 7" xfId="13434"/>
    <cellStyle name="Normal 2 5 5 7" xfId="13435"/>
    <cellStyle name="Normal 3 5 5 7" xfId="13436"/>
    <cellStyle name="Normal 4 4 5 7" xfId="13437"/>
    <cellStyle name="Normal 5 4 5 7" xfId="13438"/>
    <cellStyle name="Normal 7 4 5 7" xfId="13439"/>
    <cellStyle name="Normal 2 3 2 5 7" xfId="13440"/>
    <cellStyle name="Normal 3 3 2 5 7" xfId="13441"/>
    <cellStyle name="Normal 4 2 2 5 7" xfId="13442"/>
    <cellStyle name="Normal 5 2 2 5 7" xfId="13443"/>
    <cellStyle name="Normal 7 2 2 5 7" xfId="13444"/>
    <cellStyle name="Normal 2 4 2 5 7" xfId="13445"/>
    <cellStyle name="Normal 3 4 2 5 7" xfId="13446"/>
    <cellStyle name="Normal 4 3 2 5 7" xfId="13447"/>
    <cellStyle name="Normal 5 3 2 5 7" xfId="13448"/>
    <cellStyle name="Normal 7 3 2 5 7" xfId="13449"/>
    <cellStyle name="Normal 2 6 5 7" xfId="13450"/>
    <cellStyle name="Normal 3 6 5 7" xfId="13451"/>
    <cellStyle name="Normal 4 5 5 7" xfId="13452"/>
    <cellStyle name="Normal 5 5 5 7" xfId="13453"/>
    <cellStyle name="Normal 7 5 5 7" xfId="13454"/>
    <cellStyle name="Normal 2 3 3 5 7" xfId="13455"/>
    <cellStyle name="Normal 3 3 3 5 7" xfId="13456"/>
    <cellStyle name="Normal 4 2 3 5 7" xfId="13457"/>
    <cellStyle name="Normal 5 2 3 5 7" xfId="13458"/>
    <cellStyle name="Normal 7 2 3 5 7" xfId="13459"/>
    <cellStyle name="Normal 2 4 3 5 7" xfId="13460"/>
    <cellStyle name="Normal 3 4 3 5 7" xfId="13461"/>
    <cellStyle name="Normal 4 3 3 5 7" xfId="13462"/>
    <cellStyle name="Normal 5 3 3 5 7" xfId="13463"/>
    <cellStyle name="Normal 7 3 3 5 7" xfId="13464"/>
    <cellStyle name="Normal 2 7 4 7" xfId="13465"/>
    <cellStyle name="Normal 3 7 4 7" xfId="13466"/>
    <cellStyle name="Normal 4 6 4 7" xfId="13467"/>
    <cellStyle name="Normal 5 6 4 7" xfId="13468"/>
    <cellStyle name="Normal 7 6 4 7" xfId="13469"/>
    <cellStyle name="Normal 2 3 4 4 7" xfId="13470"/>
    <cellStyle name="Normal 3 3 4 4 7" xfId="13471"/>
    <cellStyle name="Normal 4 2 4 4 7" xfId="13472"/>
    <cellStyle name="Normal 5 2 4 4 7" xfId="13473"/>
    <cellStyle name="Normal 7 2 4 4 7" xfId="13474"/>
    <cellStyle name="Normal 2 4 4 4 7" xfId="13475"/>
    <cellStyle name="Normal 3 4 4 4 7" xfId="13476"/>
    <cellStyle name="Normal 4 3 4 4 7" xfId="13477"/>
    <cellStyle name="Normal 5 3 4 4 7" xfId="13478"/>
    <cellStyle name="Normal 7 3 4 4 7" xfId="13479"/>
    <cellStyle name="Normal 2 5 2 4 7" xfId="13480"/>
    <cellStyle name="Normal 3 5 2 4 7" xfId="13481"/>
    <cellStyle name="Normal 4 4 2 4 7" xfId="13482"/>
    <cellStyle name="Normal 5 4 2 4 7" xfId="13483"/>
    <cellStyle name="Normal 7 4 2 4 7" xfId="13484"/>
    <cellStyle name="Normal 2 3 2 2 4 7" xfId="13485"/>
    <cellStyle name="Normal 3 3 2 2 4 7" xfId="13486"/>
    <cellStyle name="Normal 4 2 2 2 4 7" xfId="13487"/>
    <cellStyle name="Normal 5 2 2 2 4 7" xfId="13488"/>
    <cellStyle name="Normal 7 2 2 2 4 7" xfId="13489"/>
    <cellStyle name="Normal 2 4 2 2 4 7" xfId="13490"/>
    <cellStyle name="Normal 3 4 2 2 4 7" xfId="13491"/>
    <cellStyle name="Normal 4 3 2 2 4 7" xfId="13492"/>
    <cellStyle name="Normal 5 3 2 2 4 7" xfId="13493"/>
    <cellStyle name="Normal 7 3 2 2 4 7" xfId="13494"/>
    <cellStyle name="Normal 2 6 2 4 7" xfId="13495"/>
    <cellStyle name="Normal 3 6 2 4 7" xfId="13496"/>
    <cellStyle name="Normal 4 5 2 4 7" xfId="13497"/>
    <cellStyle name="Normal 5 5 2 4 7" xfId="13498"/>
    <cellStyle name="Normal 7 5 2 4 7" xfId="13499"/>
    <cellStyle name="Normal 2 3 3 2 4 7" xfId="13500"/>
    <cellStyle name="Normal 3 3 3 2 4 7" xfId="13501"/>
    <cellStyle name="Normal 4 2 3 2 4 7" xfId="13502"/>
    <cellStyle name="Normal 5 2 3 2 4 7" xfId="13503"/>
    <cellStyle name="Normal 7 2 3 2 4 7" xfId="13504"/>
    <cellStyle name="Normal 2 4 3 2 4 7" xfId="13505"/>
    <cellStyle name="Normal 3 4 3 2 4 7" xfId="13506"/>
    <cellStyle name="Normal 4 3 3 2 4 7" xfId="13507"/>
    <cellStyle name="Normal 5 3 3 2 4 7" xfId="13508"/>
    <cellStyle name="Normal 7 3 3 2 4 7" xfId="13509"/>
    <cellStyle name="Normal 27 2" xfId="13510"/>
    <cellStyle name="Normal 2 8 3 7" xfId="13511"/>
    <cellStyle name="Normal 3 8 3 7" xfId="13512"/>
    <cellStyle name="Normal 4 7 3 7" xfId="13513"/>
    <cellStyle name="Normal 5 7 3 7" xfId="13514"/>
    <cellStyle name="Normal 7 7 3 7" xfId="13515"/>
    <cellStyle name="Normal 2 3 5 3 7" xfId="13516"/>
    <cellStyle name="Normal 3 3 5 3 7" xfId="13517"/>
    <cellStyle name="Normal 4 2 5 3 7" xfId="13518"/>
    <cellStyle name="Normal 5 2 5 3 7" xfId="13519"/>
    <cellStyle name="Normal 7 2 5 3 7" xfId="13520"/>
    <cellStyle name="Normal 3 4 5 3 7" xfId="13521"/>
    <cellStyle name="Normal 4 3 5 3 7" xfId="13522"/>
    <cellStyle name="Normal 5 3 5 3 7" xfId="13523"/>
    <cellStyle name="Normal 7 3 5 3 7" xfId="13524"/>
    <cellStyle name="Normal 2 5 3 3 7" xfId="13525"/>
    <cellStyle name="Normal 3 5 3 3 7" xfId="13526"/>
    <cellStyle name="Normal 4 4 3 3 7" xfId="13527"/>
    <cellStyle name="Normal 5 4 3 3 7" xfId="13528"/>
    <cellStyle name="Normal 7 4 3 3 7" xfId="13529"/>
    <cellStyle name="Normal 2 3 2 3 3 7" xfId="13530"/>
    <cellStyle name="Normal 3 3 2 3 3 7" xfId="13531"/>
    <cellStyle name="Normal 4 2 2 3 3 7" xfId="13532"/>
    <cellStyle name="Normal 5 2 2 3 3 7" xfId="13533"/>
    <cellStyle name="Normal 7 2 2 3 3 7" xfId="13534"/>
    <cellStyle name="Normal 2 4 2 3 3 7" xfId="13535"/>
    <cellStyle name="Normal 3 4 2 3 3 7" xfId="13536"/>
    <cellStyle name="Normal 4 3 2 3 3 7" xfId="13537"/>
    <cellStyle name="Normal 5 3 2 3 3 7" xfId="13538"/>
    <cellStyle name="Normal 7 3 2 3 3 7" xfId="13539"/>
    <cellStyle name="Normal 2 6 3 3 7" xfId="13540"/>
    <cellStyle name="Normal 3 6 3 3 7" xfId="13541"/>
    <cellStyle name="Normal 4 5 3 3 7" xfId="13542"/>
    <cellStyle name="Normal 5 5 3 3 7" xfId="13543"/>
    <cellStyle name="Normal 7 5 3 3 7" xfId="13544"/>
    <cellStyle name="Normal 2 3 3 3 3 7" xfId="13545"/>
    <cellStyle name="Normal 3 3 3 3 3 7" xfId="13546"/>
    <cellStyle name="Normal 4 2 3 3 3 7" xfId="13547"/>
    <cellStyle name="Normal 5 2 3 3 3 7" xfId="13548"/>
    <cellStyle name="Normal 7 2 3 3 3 7" xfId="13549"/>
    <cellStyle name="Normal 2 4 3 3 3 7" xfId="13550"/>
    <cellStyle name="Normal 3 4 3 3 3 7" xfId="13551"/>
    <cellStyle name="Normal 4 3 3 3 3 7" xfId="13552"/>
    <cellStyle name="Normal 5 3 3 3 3 7" xfId="13553"/>
    <cellStyle name="Normal 7 3 3 3 3 7" xfId="13554"/>
    <cellStyle name="Normal 2 7 2 3 7" xfId="13555"/>
    <cellStyle name="Normal 3 7 2 3 7" xfId="13556"/>
    <cellStyle name="Normal 4 6 2 3 7" xfId="13557"/>
    <cellStyle name="Normal 5 6 2 3 7" xfId="13558"/>
    <cellStyle name="Normal 7 6 2 3 7" xfId="13559"/>
    <cellStyle name="Normal 2 3 4 2 3 7" xfId="13560"/>
    <cellStyle name="Normal 3 3 4 2 3 7" xfId="13561"/>
    <cellStyle name="Normal 4 2 4 2 3 7" xfId="13562"/>
    <cellStyle name="Normal 5 2 4 2 3 7" xfId="13563"/>
    <cellStyle name="Normal 7 2 4 2 3 7" xfId="13564"/>
    <cellStyle name="Normal 2 4 4 2 3 7" xfId="13565"/>
    <cellStyle name="Normal 3 4 4 2 3 7" xfId="13566"/>
    <cellStyle name="Normal 4 3 4 2 3 7" xfId="13567"/>
    <cellStyle name="Normal 5 3 4 2 3 7" xfId="13568"/>
    <cellStyle name="Normal 7 3 4 2 3 7" xfId="13569"/>
    <cellStyle name="Normal 2 5 2 2 3 7" xfId="13570"/>
    <cellStyle name="Normal 3 5 2 2 3 7" xfId="13571"/>
    <cellStyle name="Normal 4 4 2 2 3 7" xfId="13572"/>
    <cellStyle name="Normal 5 4 2 2 3 7" xfId="13573"/>
    <cellStyle name="Normal 7 4 2 2 3 7" xfId="13574"/>
    <cellStyle name="Normal 2 3 2 2 2 3 7" xfId="13575"/>
    <cellStyle name="Normal 3 3 2 2 2 3 7" xfId="13576"/>
    <cellStyle name="Normal 4 2 2 2 2 3 7" xfId="13577"/>
    <cellStyle name="Normal 5 2 2 2 2 3 7" xfId="13578"/>
    <cellStyle name="Normal 7 2 2 2 2 3 7" xfId="13579"/>
    <cellStyle name="Normal 2 4 2 2 2 3 7" xfId="13580"/>
    <cellStyle name="Normal 3 4 2 2 2 3 7" xfId="13581"/>
    <cellStyle name="Normal 4 3 2 2 2 3 7" xfId="13582"/>
    <cellStyle name="Normal 5 3 2 2 2 3 7" xfId="13583"/>
    <cellStyle name="Normal 7 3 2 2 2 3 7" xfId="13584"/>
    <cellStyle name="Normal 2 6 2 2 3 7" xfId="13585"/>
    <cellStyle name="Normal 3 6 2 2 3 7" xfId="13586"/>
    <cellStyle name="Normal 4 5 2 2 3 7" xfId="13587"/>
    <cellStyle name="Normal 5 5 2 2 3 7" xfId="13588"/>
    <cellStyle name="Normal 7 5 2 2 3 7" xfId="13589"/>
    <cellStyle name="Normal 2 3 3 2 2 3 7" xfId="13590"/>
    <cellStyle name="Normal 3 3 3 2 2 3 7" xfId="13591"/>
    <cellStyle name="Normal 4 2 3 2 2 3 7" xfId="13592"/>
    <cellStyle name="Normal 5 2 3 2 2 3 7" xfId="13593"/>
    <cellStyle name="Normal 7 2 3 2 2 3 7" xfId="13594"/>
    <cellStyle name="Normal 2 4 3 2 2 3 7" xfId="13595"/>
    <cellStyle name="Normal 3 4 3 2 2 3 7" xfId="13596"/>
    <cellStyle name="Normal 4 3 3 2 2 3 7" xfId="13597"/>
    <cellStyle name="Normal 5 3 3 2 2 3 7" xfId="13598"/>
    <cellStyle name="Normal 7 3 3 2 2 3 7" xfId="13599"/>
    <cellStyle name="Normal 2 11 5" xfId="13600"/>
    <cellStyle name="Normal 3 11 5" xfId="13601"/>
    <cellStyle name="Normal 4 10 5" xfId="13602"/>
    <cellStyle name="Normal 5 10 5" xfId="13603"/>
    <cellStyle name="Normal 7 10 5" xfId="13604"/>
    <cellStyle name="Normal 2 3 8 5" xfId="13605"/>
    <cellStyle name="Normal 3 3 8 5" xfId="13606"/>
    <cellStyle name="Normal 4 2 8 5" xfId="13607"/>
    <cellStyle name="Normal 5 2 8 5" xfId="13608"/>
    <cellStyle name="Normal 7 2 8 5" xfId="13609"/>
    <cellStyle name="Normal 2 4 8 5" xfId="13610"/>
    <cellStyle name="Normal 3 4 8 5" xfId="13611"/>
    <cellStyle name="Normal 4 3 8 5" xfId="13612"/>
    <cellStyle name="Normal 5 3 8 5" xfId="13613"/>
    <cellStyle name="Normal 7 3 8 5" xfId="13614"/>
    <cellStyle name="Normal 2 5 6 5" xfId="13615"/>
    <cellStyle name="Normal 3 5 6 5" xfId="13616"/>
    <cellStyle name="Normal 4 4 6 5" xfId="13617"/>
    <cellStyle name="Normal 5 4 6 5" xfId="13618"/>
    <cellStyle name="Normal 7 4 6 5" xfId="13619"/>
    <cellStyle name="Normal 2 3 2 6 5" xfId="13620"/>
    <cellStyle name="Normal 3 3 2 6 5" xfId="13621"/>
    <cellStyle name="Normal 4 2 2 6 5" xfId="13622"/>
    <cellStyle name="Normal 5 2 2 6 5" xfId="13623"/>
    <cellStyle name="Normal 7 2 2 6 5" xfId="13624"/>
    <cellStyle name="Normal 2 4 2 6 5" xfId="13625"/>
    <cellStyle name="Normal 3 4 2 6 5" xfId="13626"/>
    <cellStyle name="Normal 4 3 2 6 5" xfId="13627"/>
    <cellStyle name="Normal 5 3 2 6 5" xfId="13628"/>
    <cellStyle name="Normal 7 3 2 6 5" xfId="13629"/>
    <cellStyle name="Normal 2 6 6 5" xfId="13630"/>
    <cellStyle name="Normal 3 6 6 5" xfId="13631"/>
    <cellStyle name="Normal 4 5 6 5" xfId="13632"/>
    <cellStyle name="Normal 5 5 6 5" xfId="13633"/>
    <cellStyle name="Normal 7 5 6 5" xfId="13634"/>
    <cellStyle name="Normal 2 3 3 6 5" xfId="13635"/>
    <cellStyle name="Normal 3 3 3 6 5" xfId="13636"/>
    <cellStyle name="Normal 4 2 3 6 5" xfId="13637"/>
    <cellStyle name="Normal 5 2 3 6 5" xfId="13638"/>
    <cellStyle name="Normal 7 2 3 6 5" xfId="13639"/>
    <cellStyle name="Normal 2 4 3 6 5" xfId="13640"/>
    <cellStyle name="Normal 3 4 3 6 5" xfId="13641"/>
    <cellStyle name="Normal 4 3 3 6 5" xfId="13642"/>
    <cellStyle name="Normal 5 3 3 6 5" xfId="13643"/>
    <cellStyle name="Normal 7 3 3 6 5" xfId="13644"/>
    <cellStyle name="Normal 2 7 5 5" xfId="13645"/>
    <cellStyle name="Normal 3 7 5 5" xfId="13646"/>
    <cellStyle name="Normal 4 6 5 5" xfId="13647"/>
    <cellStyle name="Normal 5 6 5 5" xfId="13648"/>
    <cellStyle name="Normal 7 6 5 5" xfId="13649"/>
    <cellStyle name="Normal 2 3 4 5 5" xfId="13650"/>
    <cellStyle name="Normal 3 3 4 5 5" xfId="13651"/>
    <cellStyle name="Normal 4 2 4 5 5" xfId="13652"/>
    <cellStyle name="Normal 5 2 4 5 5" xfId="13653"/>
    <cellStyle name="Normal 7 2 4 5 5" xfId="13654"/>
    <cellStyle name="Normal 2 4 4 5 5" xfId="13655"/>
    <cellStyle name="Normal 3 4 4 5 5" xfId="13656"/>
    <cellStyle name="Normal 4 3 4 5 5" xfId="13657"/>
    <cellStyle name="Normal 5 3 4 5 5" xfId="13658"/>
    <cellStyle name="Normal 7 3 4 5 5" xfId="13659"/>
    <cellStyle name="Normal 2 5 2 5 5" xfId="13660"/>
    <cellStyle name="Normal 3 5 2 5 5" xfId="13661"/>
    <cellStyle name="Normal 4 4 2 5 5" xfId="13662"/>
    <cellStyle name="Normal 5 4 2 5 5" xfId="13663"/>
    <cellStyle name="Normal 7 4 2 5 5" xfId="13664"/>
    <cellStyle name="Normal 2 3 2 2 5 5" xfId="13665"/>
    <cellStyle name="Normal 3 3 2 2 5 5" xfId="13666"/>
    <cellStyle name="Normal 4 2 2 2 5 5" xfId="13667"/>
    <cellStyle name="Normal 5 2 2 2 5 5" xfId="13668"/>
    <cellStyle name="Normal 7 2 2 2 5 5" xfId="13669"/>
    <cellStyle name="Normal 2 4 2 2 5 5" xfId="13670"/>
    <cellStyle name="Normal 3 4 2 2 5 5" xfId="13671"/>
    <cellStyle name="Normal 4 3 2 2 5 5" xfId="13672"/>
    <cellStyle name="Normal 5 3 2 2 5 5" xfId="13673"/>
    <cellStyle name="Normal 7 3 2 2 5 5" xfId="13674"/>
    <cellStyle name="Normal 2 6 2 5 5" xfId="13675"/>
    <cellStyle name="Normal 3 6 2 5 5" xfId="13676"/>
    <cellStyle name="Normal 4 5 2 5 5" xfId="13677"/>
    <cellStyle name="Normal 5 5 2 5 5" xfId="13678"/>
    <cellStyle name="Normal 7 5 2 5 5" xfId="13679"/>
    <cellStyle name="Normal 2 3 3 2 5 5" xfId="13680"/>
    <cellStyle name="Normal 3 3 3 2 5 5" xfId="13681"/>
    <cellStyle name="Normal 4 2 3 2 5 5" xfId="13682"/>
    <cellStyle name="Normal 5 2 3 2 5 5" xfId="13683"/>
    <cellStyle name="Normal 7 2 3 2 5 5" xfId="13684"/>
    <cellStyle name="Normal 2 4 3 2 5 5" xfId="13685"/>
    <cellStyle name="Normal 3 4 3 2 5 5" xfId="13686"/>
    <cellStyle name="Normal 4 3 3 2 5 5" xfId="13687"/>
    <cellStyle name="Normal 5 3 3 2 5 5" xfId="13688"/>
    <cellStyle name="Normal 7 3 3 2 5 5" xfId="13689"/>
    <cellStyle name="Normal 2 8 4 5" xfId="13690"/>
    <cellStyle name="Normal 3 8 4 5" xfId="13691"/>
    <cellStyle name="Normal 4 7 4 5" xfId="13692"/>
    <cellStyle name="Normal 5 7 4 5" xfId="13693"/>
    <cellStyle name="Normal 7 7 4 5" xfId="13694"/>
    <cellStyle name="Normal 2 3 5 4 5" xfId="13695"/>
    <cellStyle name="Normal 3 3 5 4 5" xfId="13696"/>
    <cellStyle name="Normal 4 2 5 4 5" xfId="13697"/>
    <cellStyle name="Normal 5 2 5 4 5" xfId="13698"/>
    <cellStyle name="Normal 7 2 5 4 5" xfId="13699"/>
    <cellStyle name="Normal 2 4 5 4 5" xfId="13700"/>
    <cellStyle name="Normal 3 4 5 4 5" xfId="13701"/>
    <cellStyle name="Normal 4 3 5 4 5" xfId="13702"/>
    <cellStyle name="Normal 5 3 5 4 5" xfId="13703"/>
    <cellStyle name="Normal 7 3 5 4 5" xfId="13704"/>
    <cellStyle name="Normal 2 5 3 4 5" xfId="13705"/>
    <cellStyle name="Normal 3 5 3 4 5" xfId="13706"/>
    <cellStyle name="Normal 4 4 3 4 5" xfId="13707"/>
    <cellStyle name="Normal 5 4 3 4 5" xfId="13708"/>
    <cellStyle name="Normal 7 4 3 4 5" xfId="13709"/>
    <cellStyle name="Normal 2 3 2 3 4 5" xfId="13710"/>
    <cellStyle name="Normal 3 3 2 3 4 5" xfId="13711"/>
    <cellStyle name="Normal 4 2 2 3 4 5" xfId="13712"/>
    <cellStyle name="Normal 5 2 2 3 4 5" xfId="13713"/>
    <cellStyle name="Normal 7 2 2 3 4 5" xfId="13714"/>
    <cellStyle name="Normal 2 4 2 3 4 5" xfId="13715"/>
    <cellStyle name="Normal 3 4 2 3 4 5" xfId="13716"/>
    <cellStyle name="Normal 4 3 2 3 4 5" xfId="13717"/>
    <cellStyle name="Normal 5 3 2 3 4 5" xfId="13718"/>
    <cellStyle name="Normal 7 3 2 3 4 5" xfId="13719"/>
    <cellStyle name="Normal 2 6 3 4 5" xfId="13720"/>
    <cellStyle name="Normal 3 6 3 4 5" xfId="13721"/>
    <cellStyle name="Normal 4 5 3 4 5" xfId="13722"/>
    <cellStyle name="Normal 5 5 3 4 5" xfId="13723"/>
    <cellStyle name="Normal 7 5 3 4 5" xfId="13724"/>
    <cellStyle name="Normal 2 3 3 3 4 5" xfId="13725"/>
    <cellStyle name="Normal 3 3 3 3 4 5" xfId="13726"/>
    <cellStyle name="Normal 4 2 3 3 4 5" xfId="13727"/>
    <cellStyle name="Normal 5 2 3 3 4 5" xfId="13728"/>
    <cellStyle name="Normal 7 2 3 3 4 5" xfId="13729"/>
    <cellStyle name="Normal 2 4 3 3 4 5" xfId="13730"/>
    <cellStyle name="Normal 3 4 3 3 4 5" xfId="13731"/>
    <cellStyle name="Normal 4 3 3 3 4 5" xfId="13732"/>
    <cellStyle name="Normal 5 3 3 3 4 5" xfId="13733"/>
    <cellStyle name="Normal 7 3 3 3 4 5" xfId="13734"/>
    <cellStyle name="Normal 2 7 2 4 5" xfId="13735"/>
    <cellStyle name="Normal 3 7 2 4 5" xfId="13736"/>
    <cellStyle name="Normal 4 6 2 4 5" xfId="13737"/>
    <cellStyle name="Normal 5 6 2 4 5" xfId="13738"/>
    <cellStyle name="Normal 7 6 2 4 5" xfId="13739"/>
    <cellStyle name="Normal 2 3 4 2 4 5" xfId="13740"/>
    <cellStyle name="Normal 3 3 4 2 4 5" xfId="13741"/>
    <cellStyle name="Normal 4 2 4 2 4 5" xfId="13742"/>
    <cellStyle name="Normal 5 2 4 2 4 5" xfId="13743"/>
    <cellStyle name="Normal 7 2 4 2 4 5" xfId="13744"/>
    <cellStyle name="Normal 2 4 4 2 4 5" xfId="13745"/>
    <cellStyle name="Normal 3 4 4 2 4 5" xfId="13746"/>
    <cellStyle name="Normal 4 3 4 2 4 5" xfId="13747"/>
    <cellStyle name="Normal 5 3 4 2 4 5" xfId="13748"/>
    <cellStyle name="Normal 7 3 4 2 4 5" xfId="13749"/>
    <cellStyle name="Normal 2 5 2 2 4 5" xfId="13750"/>
    <cellStyle name="Normal 3 5 2 2 4 5" xfId="13751"/>
    <cellStyle name="Normal 4 4 2 2 4 5" xfId="13752"/>
    <cellStyle name="Normal 5 4 2 2 4 5" xfId="13753"/>
    <cellStyle name="Normal 7 4 2 2 4 5" xfId="13754"/>
    <cellStyle name="Normal 2 3 2 2 2 4 5" xfId="13755"/>
    <cellStyle name="Normal 3 3 2 2 2 4 5" xfId="13756"/>
    <cellStyle name="Normal 4 2 2 2 2 4 5" xfId="13757"/>
    <cellStyle name="Normal 5 2 2 2 2 4 5" xfId="13758"/>
    <cellStyle name="Normal 7 2 2 2 2 4 5" xfId="13759"/>
    <cellStyle name="Normal 2 4 2 2 2 4 5" xfId="13760"/>
    <cellStyle name="Normal 3 4 2 2 2 4 5" xfId="13761"/>
    <cellStyle name="Normal 4 3 2 2 2 4 5" xfId="13762"/>
    <cellStyle name="Normal 5 3 2 2 2 4 5" xfId="13763"/>
    <cellStyle name="Normal 7 3 2 2 2 4 5" xfId="13764"/>
    <cellStyle name="Normal 2 6 2 2 4 5" xfId="13765"/>
    <cellStyle name="Normal 3 6 2 2 4 5" xfId="13766"/>
    <cellStyle name="Normal 4 5 2 2 4 5" xfId="13767"/>
    <cellStyle name="Normal 5 5 2 2 4 5" xfId="13768"/>
    <cellStyle name="Normal 7 5 2 2 4 5" xfId="13769"/>
    <cellStyle name="Normal 2 3 3 2 2 4 5" xfId="13770"/>
    <cellStyle name="Normal 3 3 3 2 2 4 5" xfId="13771"/>
    <cellStyle name="Normal 4 2 3 2 2 4 5" xfId="13772"/>
    <cellStyle name="Normal 5 2 3 2 2 4 5" xfId="13773"/>
    <cellStyle name="Normal 7 2 3 2 2 4 5" xfId="13774"/>
    <cellStyle name="Normal 2 4 3 2 2 4 5" xfId="13775"/>
    <cellStyle name="Normal 3 4 3 2 2 4 5" xfId="13776"/>
    <cellStyle name="Normal 4 3 3 2 2 4 5" xfId="13777"/>
    <cellStyle name="Normal 5 3 3 2 2 4 5" xfId="13778"/>
    <cellStyle name="Normal 7 3 3 2 2 4 5" xfId="13779"/>
    <cellStyle name="Normal 2 9 2 5" xfId="13780"/>
    <cellStyle name="Normal 3 9 2 5" xfId="13781"/>
    <cellStyle name="Normal 4 8 2 5" xfId="13782"/>
    <cellStyle name="Normal 5 8 2 5" xfId="13783"/>
    <cellStyle name="Normal 7 8 2 5" xfId="13784"/>
    <cellStyle name="Normal 2 3 6 2 5" xfId="13785"/>
    <cellStyle name="Normal 3 3 6 2 5" xfId="13786"/>
    <cellStyle name="Normal 4 2 6 2 5" xfId="13787"/>
    <cellStyle name="Normal 5 2 6 2 5" xfId="13788"/>
    <cellStyle name="Normal 7 2 6 2 5" xfId="13789"/>
    <cellStyle name="Normal 2 4 6 2 5" xfId="13790"/>
    <cellStyle name="Normal 3 4 6 2 5" xfId="13791"/>
    <cellStyle name="Normal 4 3 6 2 5" xfId="13792"/>
    <cellStyle name="Normal 5 3 6 2 5" xfId="13793"/>
    <cellStyle name="Normal 7 3 6 2 5" xfId="13794"/>
    <cellStyle name="Normal 2 5 4 2 5" xfId="13795"/>
    <cellStyle name="Normal 3 5 4 2 5" xfId="13796"/>
    <cellStyle name="Normal 4 4 4 2 5" xfId="13797"/>
    <cellStyle name="Normal 5 4 4 2 5" xfId="13798"/>
    <cellStyle name="Normal 7 4 4 2 5" xfId="13799"/>
    <cellStyle name="Normal 2 3 2 4 2 5" xfId="13800"/>
    <cellStyle name="Normal 3 3 2 4 2 5" xfId="13801"/>
    <cellStyle name="Normal 4 2 2 4 2 5" xfId="13802"/>
    <cellStyle name="Normal 5 2 2 4 2 5" xfId="13803"/>
    <cellStyle name="Normal 7 2 2 4 2 5" xfId="13804"/>
    <cellStyle name="Normal 2 4 2 4 2 5" xfId="13805"/>
    <cellStyle name="Normal 3 4 2 4 2 5" xfId="13806"/>
    <cellStyle name="Normal 4 3 2 4 2 5" xfId="13807"/>
    <cellStyle name="Normal 5 3 2 4 2 5" xfId="13808"/>
    <cellStyle name="Normal 7 3 2 4 2 5" xfId="13809"/>
    <cellStyle name="Normal 2 6 4 2 5" xfId="13810"/>
    <cellStyle name="Normal 3 6 4 2 5" xfId="13811"/>
    <cellStyle name="Normal 4 5 4 2 5" xfId="13812"/>
    <cellStyle name="Normal 5 5 4 2 5" xfId="13813"/>
    <cellStyle name="Normal 7 5 4 2 5" xfId="13814"/>
    <cellStyle name="Normal 2 3 3 4 2 5" xfId="13815"/>
    <cellStyle name="Normal 3 3 3 4 2 5" xfId="13816"/>
    <cellStyle name="Normal 4 2 3 4 2 5" xfId="13817"/>
    <cellStyle name="Normal 5 2 3 4 2 5" xfId="13818"/>
    <cellStyle name="Normal 7 2 3 4 2 5" xfId="13819"/>
    <cellStyle name="Normal 2 4 3 4 2 5" xfId="13820"/>
    <cellStyle name="Normal 3 4 3 4 2 5" xfId="13821"/>
    <cellStyle name="Normal 4 3 3 4 2 5" xfId="13822"/>
    <cellStyle name="Normal 5 3 3 4 2 5" xfId="13823"/>
    <cellStyle name="Normal 7 3 3 4 2 5" xfId="13824"/>
    <cellStyle name="Normal 2 7 3 2 5" xfId="13825"/>
    <cellStyle name="Normal 3 7 3 2 5" xfId="13826"/>
    <cellStyle name="Normal 4 6 3 2 5" xfId="13827"/>
    <cellStyle name="Normal 5 6 3 2 5" xfId="13828"/>
    <cellStyle name="Normal 7 6 3 2 5" xfId="13829"/>
    <cellStyle name="Normal 2 3 4 3 2 5" xfId="13830"/>
    <cellStyle name="Normal 3 3 4 3 2 5" xfId="13831"/>
    <cellStyle name="Normal 4 2 4 3 2 5" xfId="13832"/>
    <cellStyle name="Normal 5 2 4 3 2 5" xfId="13833"/>
    <cellStyle name="Normal 7 2 4 3 2 5" xfId="13834"/>
    <cellStyle name="Normal 2 4 4 3 2 5" xfId="13835"/>
    <cellStyle name="Normal 3 4 4 3 2 5" xfId="13836"/>
    <cellStyle name="Normal 4 3 4 3 2 5" xfId="13837"/>
    <cellStyle name="Normal 5 3 4 3 2 5" xfId="13838"/>
    <cellStyle name="Normal 7 3 4 3 2 5" xfId="13839"/>
    <cellStyle name="Normal 2 5 2 3 2 5" xfId="13840"/>
    <cellStyle name="Normal 3 5 2 3 2 5" xfId="13841"/>
    <cellStyle name="Normal 4 4 2 3 2 5" xfId="13842"/>
    <cellStyle name="Normal 5 4 2 3 2 5" xfId="13843"/>
    <cellStyle name="Normal 7 4 2 3 2 5" xfId="13844"/>
    <cellStyle name="Normal 2 3 2 2 3 2 5" xfId="13845"/>
    <cellStyle name="Normal 3 3 2 2 3 2 5" xfId="13846"/>
    <cellStyle name="Normal 4 2 2 2 3 2 5" xfId="13847"/>
    <cellStyle name="Normal 5 2 2 2 3 2 5" xfId="13848"/>
    <cellStyle name="Normal 7 2 2 2 3 2 5" xfId="13849"/>
    <cellStyle name="Normal 2 4 2 2 3 2 5" xfId="13850"/>
    <cellStyle name="Normal 3 4 2 2 3 2 5" xfId="13851"/>
    <cellStyle name="Normal 4 3 2 2 3 2 5" xfId="13852"/>
    <cellStyle name="Normal 5 3 2 2 3 2 5" xfId="13853"/>
    <cellStyle name="Normal 7 3 2 2 3 2 5" xfId="13854"/>
    <cellStyle name="Normal 2 6 2 3 2 5" xfId="13855"/>
    <cellStyle name="Normal 3 6 2 3 2 5" xfId="13856"/>
    <cellStyle name="Normal 4 5 2 3 2 5" xfId="13857"/>
    <cellStyle name="Normal 5 5 2 3 2 5" xfId="13858"/>
    <cellStyle name="Normal 7 5 2 3 2 5" xfId="13859"/>
    <cellStyle name="Normal 2 3 3 2 3 2 5" xfId="13860"/>
    <cellStyle name="Normal 3 3 3 2 3 2 5" xfId="13861"/>
    <cellStyle name="Normal 4 2 3 2 3 2 5" xfId="13862"/>
    <cellStyle name="Normal 5 2 3 2 3 2 5" xfId="13863"/>
    <cellStyle name="Normal 7 2 3 2 3 2 5" xfId="13864"/>
    <cellStyle name="Normal 2 4 3 2 3 2 5" xfId="13865"/>
    <cellStyle name="Normal 3 4 3 2 3 2 5" xfId="13866"/>
    <cellStyle name="Normal 4 3 3 2 3 2 5" xfId="13867"/>
    <cellStyle name="Normal 5 3 3 2 3 2 5" xfId="13868"/>
    <cellStyle name="Normal 7 3 3 2 3 2 5" xfId="13869"/>
    <cellStyle name="Normal 2 8 2 2 5" xfId="13870"/>
    <cellStyle name="Normal 3 8 2 2 5" xfId="13871"/>
    <cellStyle name="Normal 4 7 2 2 5" xfId="13872"/>
    <cellStyle name="Normal 5 7 2 2 5" xfId="13873"/>
    <cellStyle name="Normal 7 7 2 2 5" xfId="13874"/>
    <cellStyle name="Normal 2 3 5 2 2 5" xfId="13875"/>
    <cellStyle name="Normal 3 3 5 2 2 5" xfId="13876"/>
    <cellStyle name="Normal 4 2 5 2 2 5" xfId="13877"/>
    <cellStyle name="Normal 5 2 5 2 2 5" xfId="13878"/>
    <cellStyle name="Normal 7 2 5 2 2 5" xfId="13879"/>
    <cellStyle name="Normal 2 4 5 2 2 5" xfId="13880"/>
    <cellStyle name="Normal 3 4 5 2 2 5" xfId="13881"/>
    <cellStyle name="Normal 4 3 5 2 2 5" xfId="13882"/>
    <cellStyle name="Normal 5 3 5 2 2 5" xfId="13883"/>
    <cellStyle name="Normal 7 3 5 2 2 5" xfId="13884"/>
    <cellStyle name="Normal 2 5 3 2 2 5" xfId="13885"/>
    <cellStyle name="Normal 3 5 3 2 2 5" xfId="13886"/>
    <cellStyle name="Normal 4 4 3 2 2 5" xfId="13887"/>
    <cellStyle name="Normal 5 4 3 2 2 5" xfId="13888"/>
    <cellStyle name="Normal 7 4 3 2 2 5" xfId="13889"/>
    <cellStyle name="Normal 2 3 2 3 2 2 5" xfId="13890"/>
    <cellStyle name="Normal 3 3 2 3 2 2 5" xfId="13891"/>
    <cellStyle name="Normal 4 2 2 3 2 2 5" xfId="13892"/>
    <cellStyle name="Normal 5 2 2 3 2 2 5" xfId="13893"/>
    <cellStyle name="Normal 7 2 2 3 2 2 5" xfId="13894"/>
    <cellStyle name="Normal 2 4 2 3 2 2 5" xfId="13895"/>
    <cellStyle name="Normal 3 4 2 3 2 2 5" xfId="13896"/>
    <cellStyle name="Normal 4 3 2 3 2 2 5" xfId="13897"/>
    <cellStyle name="Normal 5 3 2 3 2 2 5" xfId="13898"/>
    <cellStyle name="Normal 7 3 2 3 2 2 5" xfId="13899"/>
    <cellStyle name="Normal 2 6 3 2 2 5" xfId="13900"/>
    <cellStyle name="Normal 3 6 3 2 2 5" xfId="13901"/>
    <cellStyle name="Normal 4 5 3 2 2 5" xfId="13902"/>
    <cellStyle name="Normal 5 5 3 2 2 5" xfId="13903"/>
    <cellStyle name="Normal 7 5 3 2 2 5" xfId="13904"/>
    <cellStyle name="Normal 2 3 3 3 2 2 5" xfId="13905"/>
    <cellStyle name="Normal 3 3 3 3 2 2 5" xfId="13906"/>
    <cellStyle name="Normal 4 2 3 3 2 2 5" xfId="13907"/>
    <cellStyle name="Normal 5 2 3 3 2 2 5" xfId="13908"/>
    <cellStyle name="Normal 7 2 3 3 2 2 5" xfId="13909"/>
    <cellStyle name="Normal 2 4 3 3 2 2 5" xfId="13910"/>
    <cellStyle name="Normal 3 4 3 3 2 2 5" xfId="13911"/>
    <cellStyle name="Normal 4 3 3 3 2 2 5" xfId="13912"/>
    <cellStyle name="Normal 5 3 3 3 2 2 5" xfId="13913"/>
    <cellStyle name="Normal 7 3 3 3 2 2 5" xfId="13914"/>
    <cellStyle name="Normal 2 7 2 2 2 5" xfId="13915"/>
    <cellStyle name="Normal 3 7 2 2 2 5" xfId="13916"/>
    <cellStyle name="Normal 4 6 2 2 2 5" xfId="13917"/>
    <cellStyle name="Normal 5 6 2 2 2 5" xfId="13918"/>
    <cellStyle name="Normal 7 6 2 2 2 5" xfId="13919"/>
    <cellStyle name="Normal 2 3 4 2 2 2 5" xfId="13920"/>
    <cellStyle name="Normal 3 3 4 2 2 2 5" xfId="13921"/>
    <cellStyle name="Normal 4 2 4 2 2 2 5" xfId="13922"/>
    <cellStyle name="Normal 5 2 4 2 2 2 5" xfId="13923"/>
    <cellStyle name="Normal 7 2 4 2 2 2 5" xfId="13924"/>
    <cellStyle name="Normal 2 4 4 2 2 2 5" xfId="13925"/>
    <cellStyle name="Normal 3 4 4 2 2 2 5" xfId="13926"/>
    <cellStyle name="Normal 4 3 4 2 2 2 5" xfId="13927"/>
    <cellStyle name="Normal 5 3 4 2 2 2 5" xfId="13928"/>
    <cellStyle name="Normal 7 3 4 2 2 2 5" xfId="13929"/>
    <cellStyle name="Normal 2 5 2 2 2 2 5" xfId="13930"/>
    <cellStyle name="Normal 3 5 2 2 2 2 5" xfId="13931"/>
    <cellStyle name="Normal 4 4 2 2 2 2 5" xfId="13932"/>
    <cellStyle name="Normal 5 4 2 2 2 2 5" xfId="13933"/>
    <cellStyle name="Normal 7 4 2 2 2 2 5" xfId="13934"/>
    <cellStyle name="Normal 2 3 2 2 2 2 2 5" xfId="13935"/>
    <cellStyle name="Normal 3 3 2 2 2 2 2 5" xfId="13936"/>
    <cellStyle name="Normal 4 2 2 2 2 2 2 5" xfId="13937"/>
    <cellStyle name="Normal 5 2 2 2 2 2 2 5" xfId="13938"/>
    <cellStyle name="Normal 7 2 2 2 2 2 2 5" xfId="13939"/>
    <cellStyle name="Normal 2 4 2 2 2 2 2 5" xfId="13940"/>
    <cellStyle name="Normal 3 4 2 2 2 2 2 5" xfId="13941"/>
    <cellStyle name="Normal 4 3 2 2 2 2 2 5" xfId="13942"/>
    <cellStyle name="Normal 5 3 2 2 2 2 2 5" xfId="13943"/>
    <cellStyle name="Normal 7 3 2 2 2 2 2 5" xfId="13944"/>
    <cellStyle name="Normal 2 6 2 2 2 2 5" xfId="13945"/>
    <cellStyle name="Normal 3 6 2 2 2 2 5" xfId="13946"/>
    <cellStyle name="Normal 4 5 2 2 2 2 5" xfId="13947"/>
    <cellStyle name="Normal 5 5 2 2 2 2 5" xfId="13948"/>
    <cellStyle name="Normal 7 5 2 2 2 2 5" xfId="13949"/>
    <cellStyle name="Normal 2 3 3 2 2 2 2 5" xfId="13950"/>
    <cellStyle name="Normal 3 3 3 2 2 2 2 5" xfId="13951"/>
    <cellStyle name="Normal 4 2 3 2 2 2 2 5" xfId="13952"/>
    <cellStyle name="Normal 5 2 3 2 2 2 2 5" xfId="13953"/>
    <cellStyle name="Normal 7 2 3 2 2 2 2 5" xfId="13954"/>
    <cellStyle name="Normal 2 4 3 2 2 2 2 5" xfId="13955"/>
    <cellStyle name="Normal 3 4 3 2 2 2 2 5" xfId="13956"/>
    <cellStyle name="Normal 4 3 3 2 2 2 2 5" xfId="13957"/>
    <cellStyle name="Normal 5 3 3 2 2 2 2 5" xfId="13958"/>
    <cellStyle name="Normal 7 3 3 2 2 2 2 5" xfId="13959"/>
    <cellStyle name="Normal 2 3 7 2 5" xfId="13960"/>
    <cellStyle name="Normal 3 10 2 5" xfId="13961"/>
    <cellStyle name="Normal 4 9 2 5" xfId="13962"/>
    <cellStyle name="Normal 5 9 2 5" xfId="13963"/>
    <cellStyle name="Millares 4 2 5" xfId="13964"/>
    <cellStyle name="Normal 7 2 7 2 5" xfId="13965"/>
    <cellStyle name="Normal 3 3 7 2 5" xfId="13966"/>
    <cellStyle name="Normal 4 2 7 2 5" xfId="13967"/>
    <cellStyle name="Normal 5 2 7 2 5" xfId="13968"/>
    <cellStyle name="Normal 2 4 5 3 2 5" xfId="13969"/>
    <cellStyle name="Normal 3 4 7 2 5" xfId="13970"/>
    <cellStyle name="Normal 4 3 7 2 5" xfId="13971"/>
    <cellStyle name="Normal 5 3 7 2 5" xfId="13972"/>
    <cellStyle name="Normal 7 3 7 2 5" xfId="13973"/>
    <cellStyle name="Normal 2 5 5 2 5" xfId="13974"/>
    <cellStyle name="Normal 3 5 5 2 5" xfId="13975"/>
    <cellStyle name="Normal 4 4 5 2 5" xfId="13976"/>
    <cellStyle name="Normal 5 4 5 2 5" xfId="13977"/>
    <cellStyle name="Normal 7 4 5 2 5" xfId="13978"/>
    <cellStyle name="Normal 2 3 2 5 2 5" xfId="13979"/>
    <cellStyle name="Normal 3 3 2 5 2 5" xfId="13980"/>
    <cellStyle name="Normal 4 2 2 5 2 5" xfId="13981"/>
    <cellStyle name="Normal 5 2 2 5 2 5" xfId="13982"/>
    <cellStyle name="Normal 7 2 2 5 2 5" xfId="13983"/>
    <cellStyle name="Normal 2 4 2 5 2 5" xfId="13984"/>
    <cellStyle name="Normal 3 4 2 5 2 5" xfId="13985"/>
    <cellStyle name="Normal 4 3 2 5 2 5" xfId="13986"/>
    <cellStyle name="Normal 5 3 2 5 2 5" xfId="13987"/>
    <cellStyle name="Normal 7 3 2 5 2 5" xfId="13988"/>
    <cellStyle name="Normal 2 6 5 2 5" xfId="13989"/>
    <cellStyle name="Normal 3 6 5 2 5" xfId="13990"/>
    <cellStyle name="Normal 4 5 5 2 5" xfId="13991"/>
    <cellStyle name="Normal 5 5 5 2 5" xfId="13992"/>
    <cellStyle name="Normal 7 5 5 2 5" xfId="13993"/>
    <cellStyle name="Normal 2 3 3 5 2 5" xfId="13994"/>
    <cellStyle name="Normal 3 3 3 5 2 5" xfId="13995"/>
    <cellStyle name="Normal 4 2 3 5 2 5" xfId="13996"/>
    <cellStyle name="Normal 5 2 3 5 2 5" xfId="13997"/>
    <cellStyle name="Normal 7 2 3 5 2 5" xfId="13998"/>
    <cellStyle name="Normal 2 4 3 5 2 5" xfId="13999"/>
    <cellStyle name="Normal 3 4 3 5 2 5" xfId="14000"/>
    <cellStyle name="Normal 4 3 3 5 2 5" xfId="14001"/>
    <cellStyle name="Normal 5 3 3 5 2 5" xfId="14002"/>
    <cellStyle name="Normal 7 3 3 5 2 5" xfId="14003"/>
    <cellStyle name="Normal 2 7 4 2 5" xfId="14004"/>
    <cellStyle name="Normal 3 7 4 2 5" xfId="14005"/>
    <cellStyle name="Normal 4 6 4 2 5" xfId="14006"/>
    <cellStyle name="Normal 5 6 4 2 5" xfId="14007"/>
    <cellStyle name="Normal 7 6 4 2 5" xfId="14008"/>
    <cellStyle name="Normal 2 3 4 4 2 5" xfId="14009"/>
    <cellStyle name="Normal 3 3 4 4 2 5" xfId="14010"/>
    <cellStyle name="Normal 4 2 4 4 2 5" xfId="14011"/>
    <cellStyle name="Normal 5 2 4 4 2 5" xfId="14012"/>
    <cellStyle name="Normal 7 2 4 4 2 5" xfId="14013"/>
    <cellStyle name="Normal 2 4 4 4 2 5" xfId="14014"/>
    <cellStyle name="Normal 3 4 4 4 2 5" xfId="14015"/>
    <cellStyle name="Normal 4 3 4 4 2 5" xfId="14016"/>
    <cellStyle name="Normal 5 3 4 4 2 5" xfId="14017"/>
    <cellStyle name="Normal 7 3 4 4 2 5" xfId="14018"/>
    <cellStyle name="Normal 2 5 2 4 2 5" xfId="14019"/>
    <cellStyle name="Normal 3 5 2 4 2 5" xfId="14020"/>
    <cellStyle name="Normal 4 4 2 4 2 5" xfId="14021"/>
    <cellStyle name="Normal 5 4 2 4 2 5" xfId="14022"/>
    <cellStyle name="Normal 7 4 2 4 2 5" xfId="14023"/>
    <cellStyle name="Normal 2 3 2 2 4 2 5" xfId="14024"/>
    <cellStyle name="Normal 3 3 2 2 4 2 5" xfId="14025"/>
    <cellStyle name="Normal 4 2 2 2 4 2 5" xfId="14026"/>
    <cellStyle name="Normal 5 2 2 2 4 2 5" xfId="14027"/>
    <cellStyle name="Normal 7 2 2 2 4 2 5" xfId="14028"/>
    <cellStyle name="Normal 2 4 2 2 4 2 5" xfId="14029"/>
    <cellStyle name="Normal 3 4 2 2 4 2 5" xfId="14030"/>
    <cellStyle name="Normal 4 3 2 2 4 2 5" xfId="14031"/>
    <cellStyle name="Normal 5 3 2 2 4 2 5" xfId="14032"/>
    <cellStyle name="Normal 7 3 2 2 4 2 5" xfId="14033"/>
    <cellStyle name="Normal 2 6 2 4 2 5" xfId="14034"/>
    <cellStyle name="Normal 3 6 2 4 2 5" xfId="14035"/>
    <cellStyle name="Normal 4 5 2 4 2 5" xfId="14036"/>
    <cellStyle name="Normal 5 5 2 4 2 5" xfId="14037"/>
    <cellStyle name="Normal 7 5 2 4 2 5" xfId="14038"/>
    <cellStyle name="Normal 2 3 3 2 4 2 5" xfId="14039"/>
    <cellStyle name="Normal 3 3 3 2 4 2 5" xfId="14040"/>
    <cellStyle name="Normal 4 2 3 2 4 2 5" xfId="14041"/>
    <cellStyle name="Normal 5 2 3 2 4 2 5" xfId="14042"/>
    <cellStyle name="Normal 7 2 3 2 4 2 5" xfId="14043"/>
    <cellStyle name="Normal 2 4 3 2 4 2 5" xfId="14044"/>
    <cellStyle name="Normal 3 4 3 2 4 2 5" xfId="14045"/>
    <cellStyle name="Normal 4 3 3 2 4 2 5" xfId="14046"/>
    <cellStyle name="Normal 5 3 3 2 4 2 5" xfId="14047"/>
    <cellStyle name="Normal 7 3 3 2 4 2 5" xfId="14048"/>
    <cellStyle name="Normal 2 8 3 2 5" xfId="14049"/>
    <cellStyle name="Normal 3 8 3 2 5" xfId="14050"/>
    <cellStyle name="Normal 4 7 3 2 5" xfId="14051"/>
    <cellStyle name="Normal 5 7 3 2 5" xfId="14052"/>
    <cellStyle name="Normal 7 7 3 2 5" xfId="14053"/>
    <cellStyle name="Normal 2 3 5 3 2 5" xfId="14054"/>
    <cellStyle name="Normal 3 3 5 3 2 5" xfId="14055"/>
    <cellStyle name="Normal 4 2 5 3 2 5" xfId="14056"/>
    <cellStyle name="Normal 5 2 5 3 2 5" xfId="14057"/>
    <cellStyle name="Normal 7 2 5 3 2 5" xfId="14058"/>
    <cellStyle name="Normal 3 4 5 3 2 5" xfId="14059"/>
    <cellStyle name="Normal 4 3 5 3 2 5" xfId="14060"/>
    <cellStyle name="Normal 5 3 5 3 2 5" xfId="14061"/>
    <cellStyle name="Normal 7 3 5 3 2 5" xfId="14062"/>
    <cellStyle name="Normal 2 5 3 3 2 5" xfId="14063"/>
    <cellStyle name="Normal 3 5 3 3 2 5" xfId="14064"/>
    <cellStyle name="Normal 4 4 3 3 2 5" xfId="14065"/>
    <cellStyle name="Normal 5 4 3 3 2 5" xfId="14066"/>
    <cellStyle name="Normal 7 4 3 3 2 5" xfId="14067"/>
    <cellStyle name="Normal 2 3 2 3 3 2 5" xfId="14068"/>
    <cellStyle name="Normal 3 3 2 3 3 2 5" xfId="14069"/>
    <cellStyle name="Normal 4 2 2 3 3 2 5" xfId="14070"/>
    <cellStyle name="Normal 5 2 2 3 3 2 5" xfId="14071"/>
    <cellStyle name="Normal 7 2 2 3 3 2 5" xfId="14072"/>
    <cellStyle name="Normal 2 4 2 3 3 2 5" xfId="14073"/>
    <cellStyle name="Normal 3 4 2 3 3 2 5" xfId="14074"/>
    <cellStyle name="Normal 4 3 2 3 3 2 5" xfId="14075"/>
    <cellStyle name="Normal 5 3 2 3 3 2 5" xfId="14076"/>
    <cellStyle name="Normal 7 3 2 3 3 2 5" xfId="14077"/>
    <cellStyle name="Normal 2 6 3 3 2 5" xfId="14078"/>
    <cellStyle name="Normal 3 6 3 3 2 5" xfId="14079"/>
    <cellStyle name="Normal 4 5 3 3 2 5" xfId="14080"/>
    <cellStyle name="Normal 5 5 3 3 2 5" xfId="14081"/>
    <cellStyle name="Normal 7 5 3 3 2 5" xfId="14082"/>
    <cellStyle name="Normal 2 3 3 3 3 2 5" xfId="14083"/>
    <cellStyle name="Normal 3 3 3 3 3 2 5" xfId="14084"/>
    <cellStyle name="Normal 4 2 3 3 3 2 5" xfId="14085"/>
    <cellStyle name="Normal 5 2 3 3 3 2 5" xfId="14086"/>
    <cellStyle name="Normal 7 2 3 3 3 2 5" xfId="14087"/>
    <cellStyle name="Normal 2 4 3 3 3 2 5" xfId="14088"/>
    <cellStyle name="Normal 3 4 3 3 3 2 5" xfId="14089"/>
    <cellStyle name="Normal 4 3 3 3 3 2 5" xfId="14090"/>
    <cellStyle name="Normal 5 3 3 3 3 2 5" xfId="14091"/>
    <cellStyle name="Normal 7 3 3 3 3 2 5" xfId="14092"/>
    <cellStyle name="Normal 2 7 2 3 2 5" xfId="14093"/>
    <cellStyle name="Normal 3 7 2 3 2 5" xfId="14094"/>
    <cellStyle name="Normal 4 6 2 3 2 5" xfId="14095"/>
    <cellStyle name="Normal 5 6 2 3 2 5" xfId="14096"/>
    <cellStyle name="Normal 7 6 2 3 2 5" xfId="14097"/>
    <cellStyle name="Normal 2 3 4 2 3 2 5" xfId="14098"/>
    <cellStyle name="Normal 3 3 4 2 3 2 5" xfId="14099"/>
    <cellStyle name="Normal 4 2 4 2 3 2 5" xfId="14100"/>
    <cellStyle name="Normal 5 2 4 2 3 2 5" xfId="14101"/>
    <cellStyle name="Normal 7 2 4 2 3 2 5" xfId="14102"/>
    <cellStyle name="Normal 2 4 4 2 3 2 5" xfId="14103"/>
    <cellStyle name="Normal 3 4 4 2 3 2 5" xfId="14104"/>
    <cellStyle name="Normal 4 3 4 2 3 2 5" xfId="14105"/>
    <cellStyle name="Normal 5 3 4 2 3 2 5" xfId="14106"/>
    <cellStyle name="Normal 7 3 4 2 3 2 5" xfId="14107"/>
    <cellStyle name="Normal 2 5 2 2 3 2 5" xfId="14108"/>
    <cellStyle name="Normal 3 5 2 2 3 2 5" xfId="14109"/>
    <cellStyle name="Normal 4 4 2 2 3 2 5" xfId="14110"/>
    <cellStyle name="Normal 5 4 2 2 3 2 5" xfId="14111"/>
    <cellStyle name="Normal 7 4 2 2 3 2 5" xfId="14112"/>
    <cellStyle name="Normal 2 3 2 2 2 3 2 5" xfId="14113"/>
    <cellStyle name="Normal 3 3 2 2 2 3 2 5" xfId="14114"/>
    <cellStyle name="Normal 4 2 2 2 2 3 2 5" xfId="14115"/>
    <cellStyle name="Normal 5 2 2 2 2 3 2 5" xfId="14116"/>
    <cellStyle name="Normal 7 2 2 2 2 3 2 5" xfId="14117"/>
    <cellStyle name="Normal 2 4 2 2 2 3 2 5" xfId="14118"/>
    <cellStyle name="Normal 3 4 2 2 2 3 2 5" xfId="14119"/>
    <cellStyle name="Normal 4 3 2 2 2 3 2 5" xfId="14120"/>
    <cellStyle name="Normal 5 3 2 2 2 3 2 5" xfId="14121"/>
    <cellStyle name="Normal 7 3 2 2 2 3 2 5" xfId="14122"/>
    <cellStyle name="Normal 2 6 2 2 3 2 5" xfId="14123"/>
    <cellStyle name="Normal 3 6 2 2 3 2 5" xfId="14124"/>
    <cellStyle name="Normal 4 5 2 2 3 2 5" xfId="14125"/>
    <cellStyle name="Normal 5 5 2 2 3 2 5" xfId="14126"/>
    <cellStyle name="Normal 7 5 2 2 3 2 5" xfId="14127"/>
    <cellStyle name="Normal 2 3 3 2 2 3 2 5" xfId="14128"/>
    <cellStyle name="Normal 3 3 3 2 2 3 2 5" xfId="14129"/>
    <cellStyle name="Normal 4 2 3 2 2 3 2 5" xfId="14130"/>
    <cellStyle name="Normal 5 2 3 2 2 3 2 5" xfId="14131"/>
    <cellStyle name="Normal 7 2 3 2 2 3 2 5" xfId="14132"/>
    <cellStyle name="Normal 2 4 3 2 2 3 2 5" xfId="14133"/>
    <cellStyle name="Normal 3 4 3 2 2 3 2 5" xfId="14134"/>
    <cellStyle name="Normal 4 3 3 2 2 3 2 5" xfId="14135"/>
    <cellStyle name="Normal 5 3 3 2 2 3 2 5" xfId="14136"/>
    <cellStyle name="Normal 7 3 3 2 2 3 2 5" xfId="14137"/>
    <cellStyle name="Normal 2 12 5" xfId="14138"/>
    <cellStyle name="Normal 3 12 5" xfId="14139"/>
    <cellStyle name="Normal 4 11 5" xfId="14140"/>
    <cellStyle name="Normal 5 11 5" xfId="14141"/>
    <cellStyle name="Normal 7 11 5" xfId="14142"/>
    <cellStyle name="Normal 2 3 9 5" xfId="14143"/>
    <cellStyle name="Normal 3 3 9 5" xfId="14144"/>
    <cellStyle name="Normal 4 2 9 5" xfId="14145"/>
    <cellStyle name="Normal 5 2 9 5" xfId="14146"/>
    <cellStyle name="Normal 7 2 9 5" xfId="14147"/>
    <cellStyle name="Normal 2 4 9 5" xfId="14148"/>
    <cellStyle name="Normal 3 4 9 5" xfId="14149"/>
    <cellStyle name="Normal 4 3 9 5" xfId="14150"/>
    <cellStyle name="Normal 5 3 9 5" xfId="14151"/>
    <cellStyle name="Normal 7 3 9 5" xfId="14152"/>
    <cellStyle name="Normal 2 5 7 5" xfId="14153"/>
    <cellStyle name="Normal 3 5 7 5" xfId="14154"/>
    <cellStyle name="Normal 4 4 7 5" xfId="14155"/>
    <cellStyle name="Normal 5 4 7 5" xfId="14156"/>
    <cellStyle name="Normal 7 4 7 5" xfId="14157"/>
    <cellStyle name="Normal 2 3 2 7 5" xfId="14158"/>
    <cellStyle name="Normal 3 3 2 7 5" xfId="14159"/>
    <cellStyle name="Normal 4 2 2 7 5" xfId="14160"/>
    <cellStyle name="Normal 5 2 2 7 5" xfId="14161"/>
    <cellStyle name="Normal 7 2 2 7 5" xfId="14162"/>
    <cellStyle name="Normal 2 4 2 7 5" xfId="14163"/>
    <cellStyle name="Normal 3 4 2 7 5" xfId="14164"/>
    <cellStyle name="Normal 4 3 2 7 5" xfId="14165"/>
    <cellStyle name="Normal 5 3 2 7 5" xfId="14166"/>
    <cellStyle name="Normal 7 3 2 7 5" xfId="14167"/>
    <cellStyle name="Normal 2 6 7 5" xfId="14168"/>
    <cellStyle name="Normal 3 6 7 5" xfId="14169"/>
    <cellStyle name="Normal 4 5 7 5" xfId="14170"/>
    <cellStyle name="Normal 5 5 7 5" xfId="14171"/>
    <cellStyle name="Normal 7 5 7 5" xfId="14172"/>
    <cellStyle name="Normal 2 3 3 7 5" xfId="14173"/>
    <cellStyle name="Normal 3 3 3 7 5" xfId="14174"/>
    <cellStyle name="Normal 4 2 3 7 5" xfId="14175"/>
    <cellStyle name="Normal 5 2 3 7 5" xfId="14176"/>
    <cellStyle name="Normal 7 2 3 7 5" xfId="14177"/>
    <cellStyle name="Normal 2 4 3 7 5" xfId="14178"/>
    <cellStyle name="Normal 3 4 3 7 5" xfId="14179"/>
    <cellStyle name="Normal 4 3 3 7 5" xfId="14180"/>
    <cellStyle name="Normal 5 3 3 7 5" xfId="14181"/>
    <cellStyle name="Normal 7 3 3 7 5" xfId="14182"/>
    <cellStyle name="Normal 2 7 6 5" xfId="14183"/>
    <cellStyle name="Normal 3 7 6 5" xfId="14184"/>
    <cellStyle name="Normal 4 6 6 5" xfId="14185"/>
    <cellStyle name="Normal 5 6 6 5" xfId="14186"/>
    <cellStyle name="Normal 7 6 6 5" xfId="14187"/>
    <cellStyle name="Normal 2 3 4 6 5" xfId="14188"/>
    <cellStyle name="Normal 3 3 4 6 5" xfId="14189"/>
    <cellStyle name="Normal 4 2 4 6 5" xfId="14190"/>
    <cellStyle name="Normal 5 2 4 6 5" xfId="14191"/>
    <cellStyle name="Normal 7 2 4 6 5" xfId="14192"/>
    <cellStyle name="Normal 2 4 4 6 5" xfId="14193"/>
    <cellStyle name="Normal 3 4 4 6 5" xfId="14194"/>
    <cellStyle name="Normal 4 3 4 6 5" xfId="14195"/>
    <cellStyle name="Normal 5 3 4 6 5" xfId="14196"/>
    <cellStyle name="Normal 7 3 4 6 5" xfId="14197"/>
    <cellStyle name="Normal 2 5 2 6 5" xfId="14198"/>
    <cellStyle name="Normal 3 5 2 6 5" xfId="14199"/>
    <cellStyle name="Normal 4 4 2 6 5" xfId="14200"/>
    <cellStyle name="Normal 5 4 2 6 5" xfId="14201"/>
    <cellStyle name="Normal 7 4 2 6 5" xfId="14202"/>
    <cellStyle name="Normal 2 3 2 2 6 5" xfId="14203"/>
    <cellStyle name="Normal 3 3 2 2 6 5" xfId="14204"/>
    <cellStyle name="Normal 4 2 2 2 6 5" xfId="14205"/>
    <cellStyle name="Normal 5 2 2 2 6 5" xfId="14206"/>
    <cellStyle name="Normal 7 2 2 2 6 5" xfId="14207"/>
    <cellStyle name="Normal 2 4 2 2 6 5" xfId="14208"/>
    <cellStyle name="Normal 3 4 2 2 6 5" xfId="14209"/>
    <cellStyle name="Normal 4 3 2 2 6 5" xfId="14210"/>
    <cellStyle name="Normal 5 3 2 2 6 5" xfId="14211"/>
    <cellStyle name="Normal 7 3 2 2 6 5" xfId="14212"/>
    <cellStyle name="Normal 2 6 2 6 5" xfId="14213"/>
    <cellStyle name="Normal 3 6 2 6 5" xfId="14214"/>
    <cellStyle name="Normal 4 5 2 6 5" xfId="14215"/>
    <cellStyle name="Normal 5 5 2 6 5" xfId="14216"/>
    <cellStyle name="Normal 7 5 2 6 5" xfId="14217"/>
    <cellStyle name="Normal 2 3 3 2 6 5" xfId="14218"/>
    <cellStyle name="Normal 3 3 3 2 6 5" xfId="14219"/>
    <cellStyle name="Normal 4 2 3 2 6 5" xfId="14220"/>
    <cellStyle name="Normal 5 2 3 2 6 5" xfId="14221"/>
    <cellStyle name="Normal 7 2 3 2 6 5" xfId="14222"/>
    <cellStyle name="Normal 2 4 3 2 6 5" xfId="14223"/>
    <cellStyle name="Normal 3 4 3 2 6 5" xfId="14224"/>
    <cellStyle name="Normal 4 3 3 2 6 5" xfId="14225"/>
    <cellStyle name="Normal 5 3 3 2 6 5" xfId="14226"/>
    <cellStyle name="Normal 7 3 3 2 6 5" xfId="14227"/>
    <cellStyle name="Normal 2 8 5 5" xfId="14228"/>
    <cellStyle name="Normal 3 8 5 5" xfId="14229"/>
    <cellStyle name="Normal 4 7 5 5" xfId="14230"/>
    <cellStyle name="Normal 5 7 5 5" xfId="14231"/>
    <cellStyle name="Normal 7 7 5 5" xfId="14232"/>
    <cellStyle name="Normal 2 3 5 5 5" xfId="14233"/>
    <cellStyle name="Normal 3 3 5 5 5" xfId="14234"/>
    <cellStyle name="Normal 4 2 5 5 5" xfId="14235"/>
    <cellStyle name="Normal 5 2 5 5 5" xfId="14236"/>
    <cellStyle name="Normal 7 2 5 5 5" xfId="14237"/>
    <cellStyle name="Normal 2 4 5 5 5" xfId="14238"/>
    <cellStyle name="Normal 3 4 5 5 5" xfId="14239"/>
    <cellStyle name="Normal 4 3 5 5 5" xfId="14240"/>
    <cellStyle name="Normal 5 3 5 5 5" xfId="14241"/>
    <cellStyle name="Normal 7 3 5 5 5" xfId="14242"/>
    <cellStyle name="Normal 2 5 3 5 5" xfId="14243"/>
    <cellStyle name="Normal 3 5 3 5 5" xfId="14244"/>
    <cellStyle name="Normal 4 4 3 5 5" xfId="14245"/>
    <cellStyle name="Normal 5 4 3 5 5" xfId="14246"/>
    <cellStyle name="Normal 7 4 3 5 5" xfId="14247"/>
    <cellStyle name="Normal 2 3 2 3 5 5" xfId="14248"/>
    <cellStyle name="Normal 3 3 2 3 5 5" xfId="14249"/>
    <cellStyle name="Normal 4 2 2 3 5 5" xfId="14250"/>
    <cellStyle name="Normal 5 2 2 3 5 5" xfId="14251"/>
    <cellStyle name="Normal 7 2 2 3 5 5" xfId="14252"/>
    <cellStyle name="Normal 2 4 2 3 5 5" xfId="14253"/>
    <cellStyle name="Normal 3 4 2 3 5 5" xfId="14254"/>
    <cellStyle name="Normal 4 3 2 3 5 5" xfId="14255"/>
    <cellStyle name="Normal 5 3 2 3 5 5" xfId="14256"/>
    <cellStyle name="Normal 7 3 2 3 5 5" xfId="14257"/>
    <cellStyle name="Normal 2 6 3 5 5" xfId="14258"/>
    <cellStyle name="Normal 3 6 3 5 5" xfId="14259"/>
    <cellStyle name="Normal 4 5 3 5 5" xfId="14260"/>
    <cellStyle name="Normal 5 5 3 5 5" xfId="14261"/>
    <cellStyle name="Normal 7 5 3 5 5" xfId="14262"/>
    <cellStyle name="Normal 2 3 3 3 5 5" xfId="14263"/>
    <cellStyle name="Normal 3 3 3 3 5 5" xfId="14264"/>
    <cellStyle name="Normal 4 2 3 3 5 5" xfId="14265"/>
    <cellStyle name="Normal 5 2 3 3 5 5" xfId="14266"/>
    <cellStyle name="Normal 7 2 3 3 5 5" xfId="14267"/>
    <cellStyle name="Normal 2 4 3 3 5 5" xfId="14268"/>
    <cellStyle name="Normal 3 4 3 3 5 5" xfId="14269"/>
    <cellStyle name="Normal 4 3 3 3 5 5" xfId="14270"/>
    <cellStyle name="Normal 5 3 3 3 5 5" xfId="14271"/>
    <cellStyle name="Normal 7 3 3 3 5 5" xfId="14272"/>
    <cellStyle name="Normal 2 7 2 5 5" xfId="14273"/>
    <cellStyle name="Normal 3 7 2 5 5" xfId="14274"/>
    <cellStyle name="Normal 4 6 2 5 5" xfId="14275"/>
    <cellStyle name="Normal 5 6 2 5 5" xfId="14276"/>
    <cellStyle name="Normal 7 6 2 5 5" xfId="14277"/>
    <cellStyle name="Normal 2 3 4 2 5 5" xfId="14278"/>
    <cellStyle name="Normal 3 3 4 2 5 5" xfId="14279"/>
    <cellStyle name="Normal 4 2 4 2 5 5" xfId="14280"/>
    <cellStyle name="Normal 5 2 4 2 5 5" xfId="14281"/>
    <cellStyle name="Normal 7 2 4 2 5 5" xfId="14282"/>
    <cellStyle name="Normal 2 4 4 2 5 5" xfId="14283"/>
    <cellStyle name="Normal 3 4 4 2 5 5" xfId="14284"/>
    <cellStyle name="Normal 4 3 4 2 5 5" xfId="14285"/>
    <cellStyle name="Normal 5 3 4 2 5 5" xfId="14286"/>
    <cellStyle name="Normal 7 3 4 2 5 5" xfId="14287"/>
    <cellStyle name="Normal 2 5 2 2 5 5" xfId="14288"/>
    <cellStyle name="Normal 3 5 2 2 5 5" xfId="14289"/>
    <cellStyle name="Normal 4 4 2 2 5 5" xfId="14290"/>
    <cellStyle name="Normal 5 4 2 2 5 5" xfId="14291"/>
    <cellStyle name="Normal 7 4 2 2 5 5" xfId="14292"/>
    <cellStyle name="Normal 2 3 2 2 2 5 5" xfId="14293"/>
    <cellStyle name="Normal 3 3 2 2 2 5 5" xfId="14294"/>
    <cellStyle name="Normal 4 2 2 2 2 5 5" xfId="14295"/>
    <cellStyle name="Normal 5 2 2 2 2 5 5" xfId="14296"/>
    <cellStyle name="Normal 7 2 2 2 2 5 5" xfId="14297"/>
    <cellStyle name="Normal 2 4 2 2 2 5 5" xfId="14298"/>
    <cellStyle name="Normal 3 4 2 2 2 5 5" xfId="14299"/>
    <cellStyle name="Normal 4 3 2 2 2 5 5" xfId="14300"/>
    <cellStyle name="Normal 5 3 2 2 2 5 5" xfId="14301"/>
    <cellStyle name="Normal 7 3 2 2 2 5 5" xfId="14302"/>
    <cellStyle name="Normal 2 6 2 2 5 5" xfId="14303"/>
    <cellStyle name="Normal 3 6 2 2 5 5" xfId="14304"/>
    <cellStyle name="Normal 4 5 2 2 5 5" xfId="14305"/>
    <cellStyle name="Normal 5 5 2 2 5 5" xfId="14306"/>
    <cellStyle name="Normal 7 5 2 2 5 5" xfId="14307"/>
    <cellStyle name="Normal 2 3 3 2 2 5 5" xfId="14308"/>
    <cellStyle name="Normal 3 3 3 2 2 5 5" xfId="14309"/>
    <cellStyle name="Normal 4 2 3 2 2 5 5" xfId="14310"/>
    <cellStyle name="Normal 5 2 3 2 2 5 5" xfId="14311"/>
    <cellStyle name="Normal 7 2 3 2 2 5 5" xfId="14312"/>
    <cellStyle name="Normal 2 4 3 2 2 5 5" xfId="14313"/>
    <cellStyle name="Normal 3 4 3 2 2 5 5" xfId="14314"/>
    <cellStyle name="Normal 4 3 3 2 2 5 5" xfId="14315"/>
    <cellStyle name="Normal 5 3 3 2 2 5 5" xfId="14316"/>
    <cellStyle name="Normal 7 3 3 2 2 5 5" xfId="14317"/>
    <cellStyle name="Normal 2 9 3 5" xfId="14318"/>
    <cellStyle name="Normal 3 9 3 5" xfId="14319"/>
    <cellStyle name="Normal 4 8 3 5" xfId="14320"/>
    <cellStyle name="Normal 5 8 3 5" xfId="14321"/>
    <cellStyle name="Normal 7 8 3 5" xfId="14322"/>
    <cellStyle name="Normal 2 3 6 3 5" xfId="14323"/>
    <cellStyle name="Normal 3 3 6 3 5" xfId="14324"/>
    <cellStyle name="Normal 4 2 6 3 5" xfId="14325"/>
    <cellStyle name="Normal 5 2 6 3 5" xfId="14326"/>
    <cellStyle name="Normal 7 2 6 3 5" xfId="14327"/>
    <cellStyle name="Normal 2 4 6 3 5" xfId="14328"/>
    <cellStyle name="Normal 3 4 6 3 5" xfId="14329"/>
    <cellStyle name="Normal 4 3 6 3 5" xfId="14330"/>
    <cellStyle name="Normal 5 3 6 3 5" xfId="14331"/>
    <cellStyle name="Normal 7 3 6 3 5" xfId="14332"/>
    <cellStyle name="Normal 2 5 4 3 5" xfId="14333"/>
    <cellStyle name="Normal 3 5 4 3 5" xfId="14334"/>
    <cellStyle name="Normal 4 4 4 3 5" xfId="14335"/>
    <cellStyle name="Normal 5 4 4 3 5" xfId="14336"/>
    <cellStyle name="Normal 7 4 4 3 5" xfId="14337"/>
    <cellStyle name="Normal 2 3 2 4 3 5" xfId="14338"/>
    <cellStyle name="Normal 3 3 2 4 3 5" xfId="14339"/>
    <cellStyle name="Normal 4 2 2 4 3 5" xfId="14340"/>
    <cellStyle name="Normal 5 2 2 4 3 5" xfId="14341"/>
    <cellStyle name="Normal 7 2 2 4 3 5" xfId="14342"/>
    <cellStyle name="Normal 2 4 2 4 3 5" xfId="14343"/>
    <cellStyle name="Normal 3 4 2 4 3 5" xfId="14344"/>
    <cellStyle name="Normal 4 3 2 4 3 5" xfId="14345"/>
    <cellStyle name="Normal 5 3 2 4 3 5" xfId="14346"/>
    <cellStyle name="Normal 7 3 2 4 3 5" xfId="14347"/>
    <cellStyle name="Normal 2 6 4 3 5" xfId="14348"/>
    <cellStyle name="Normal 3 6 4 3 5" xfId="14349"/>
    <cellStyle name="Normal 4 5 4 3 5" xfId="14350"/>
    <cellStyle name="Normal 5 5 4 3 5" xfId="14351"/>
    <cellStyle name="Normal 7 5 4 3 5" xfId="14352"/>
    <cellStyle name="Normal 2 3 3 4 3 5" xfId="14353"/>
    <cellStyle name="Normal 3 3 3 4 3 5" xfId="14354"/>
    <cellStyle name="Normal 4 2 3 4 3 5" xfId="14355"/>
    <cellStyle name="Normal 5 2 3 4 3 5" xfId="14356"/>
    <cellStyle name="Normal 7 2 3 4 3 5" xfId="14357"/>
    <cellStyle name="Normal 2 4 3 4 3 5" xfId="14358"/>
    <cellStyle name="Normal 3 4 3 4 3 5" xfId="14359"/>
    <cellStyle name="Normal 4 3 3 4 3 5" xfId="14360"/>
    <cellStyle name="Normal 5 3 3 4 3 5" xfId="14361"/>
    <cellStyle name="Normal 7 3 3 4 3 5" xfId="14362"/>
    <cellStyle name="Normal 2 7 3 3 5" xfId="14363"/>
    <cellStyle name="Normal 3 7 3 3 5" xfId="14364"/>
    <cellStyle name="Normal 4 6 3 3 5" xfId="14365"/>
    <cellStyle name="Normal 5 6 3 3 5" xfId="14366"/>
    <cellStyle name="Normal 7 6 3 3 5" xfId="14367"/>
    <cellStyle name="Normal 2 3 4 3 3 5" xfId="14368"/>
    <cellStyle name="Normal 3 3 4 3 3 5" xfId="14369"/>
    <cellStyle name="Normal 4 2 4 3 3 5" xfId="14370"/>
    <cellStyle name="Normal 5 2 4 3 3 5" xfId="14371"/>
    <cellStyle name="Normal 7 2 4 3 3 5" xfId="14372"/>
    <cellStyle name="Normal 2 4 4 3 3 5" xfId="14373"/>
    <cellStyle name="Normal 3 4 4 3 3 5" xfId="14374"/>
    <cellStyle name="Normal 4 3 4 3 3 5" xfId="14375"/>
    <cellStyle name="Normal 5 3 4 3 3 5" xfId="14376"/>
    <cellStyle name="Normal 7 3 4 3 3 5" xfId="14377"/>
    <cellStyle name="Normal 2 5 2 3 3 5" xfId="14378"/>
    <cellStyle name="Normal 3 5 2 3 3 5" xfId="14379"/>
    <cellStyle name="Normal 4 4 2 3 3 5" xfId="14380"/>
    <cellStyle name="Normal 5 4 2 3 3 5" xfId="14381"/>
    <cellStyle name="Normal 7 4 2 3 3 5" xfId="14382"/>
    <cellStyle name="Normal 2 3 2 2 3 3 5" xfId="14383"/>
    <cellStyle name="Normal 3 3 2 2 3 3 5" xfId="14384"/>
    <cellStyle name="Normal 4 2 2 2 3 3 5" xfId="14385"/>
    <cellStyle name="Normal 5 2 2 2 3 3 5" xfId="14386"/>
    <cellStyle name="Normal 7 2 2 2 3 3 5" xfId="14387"/>
    <cellStyle name="Normal 2 4 2 2 3 3 5" xfId="14388"/>
    <cellStyle name="Normal 3 4 2 2 3 3 5" xfId="14389"/>
    <cellStyle name="Normal 4 3 2 2 3 3 5" xfId="14390"/>
    <cellStyle name="Normal 5 3 2 2 3 3 5" xfId="14391"/>
    <cellStyle name="Normal 7 3 2 2 3 3 5" xfId="14392"/>
    <cellStyle name="Normal 2 6 2 3 3 5" xfId="14393"/>
    <cellStyle name="Normal 3 6 2 3 3 5" xfId="14394"/>
    <cellStyle name="Normal 4 5 2 3 3 5" xfId="14395"/>
    <cellStyle name="Normal 5 5 2 3 3 5" xfId="14396"/>
    <cellStyle name="Normal 7 5 2 3 3 5" xfId="14397"/>
    <cellStyle name="Normal 2 3 3 2 3 3 5" xfId="14398"/>
    <cellStyle name="Normal 3 3 3 2 3 3 5" xfId="14399"/>
    <cellStyle name="Normal 4 2 3 2 3 3 5" xfId="14400"/>
    <cellStyle name="Normal 5 2 3 2 3 3 5" xfId="14401"/>
    <cellStyle name="Normal 7 2 3 2 3 3 5" xfId="14402"/>
    <cellStyle name="Normal 2 4 3 2 3 3 5" xfId="14403"/>
    <cellStyle name="Normal 3 4 3 2 3 3 5" xfId="14404"/>
    <cellStyle name="Normal 4 3 3 2 3 3 5" xfId="14405"/>
    <cellStyle name="Normal 5 3 3 2 3 3 5" xfId="14406"/>
    <cellStyle name="Normal 7 3 3 2 3 3 5" xfId="14407"/>
    <cellStyle name="Normal 2 8 2 3 5" xfId="14408"/>
    <cellStyle name="Normal 3 8 2 3 5" xfId="14409"/>
    <cellStyle name="Normal 4 7 2 3 5" xfId="14410"/>
    <cellStyle name="Normal 5 7 2 3 5" xfId="14411"/>
    <cellStyle name="Normal 7 7 2 3 5" xfId="14412"/>
    <cellStyle name="Normal 2 3 5 2 3 5" xfId="14413"/>
    <cellStyle name="Normal 3 3 5 2 3 5" xfId="14414"/>
    <cellStyle name="Normal 4 2 5 2 3 5" xfId="14415"/>
    <cellStyle name="Normal 5 2 5 2 3 5" xfId="14416"/>
    <cellStyle name="Normal 7 2 5 2 3 5" xfId="14417"/>
    <cellStyle name="Normal 2 4 5 2 3 5" xfId="14418"/>
    <cellStyle name="Normal 3 4 5 2 3 5" xfId="14419"/>
    <cellStyle name="Normal 4 3 5 2 3 5" xfId="14420"/>
    <cellStyle name="Normal 5 3 5 2 3 5" xfId="14421"/>
    <cellStyle name="Normal 7 3 5 2 3 5" xfId="14422"/>
    <cellStyle name="Normal 2 5 3 2 3 5" xfId="14423"/>
    <cellStyle name="Normal 3 5 3 2 3 5" xfId="14424"/>
    <cellStyle name="Normal 4 4 3 2 3 5" xfId="14425"/>
    <cellStyle name="Normal 5 4 3 2 3 5" xfId="14426"/>
    <cellStyle name="Normal 7 4 3 2 3 5" xfId="14427"/>
    <cellStyle name="Normal 2 3 2 3 2 3 5" xfId="14428"/>
    <cellStyle name="Normal 3 3 2 3 2 3 5" xfId="14429"/>
    <cellStyle name="Normal 4 2 2 3 2 3 5" xfId="14430"/>
    <cellStyle name="Normal 5 2 2 3 2 3 5" xfId="14431"/>
    <cellStyle name="Normal 7 2 2 3 2 3 5" xfId="14432"/>
    <cellStyle name="Normal 2 4 2 3 2 3 5" xfId="14433"/>
    <cellStyle name="Normal 3 4 2 3 2 3 5" xfId="14434"/>
    <cellStyle name="Normal 4 3 2 3 2 3 5" xfId="14435"/>
    <cellStyle name="Normal 5 3 2 3 2 3 5" xfId="14436"/>
    <cellStyle name="Normal 7 3 2 3 2 3 5" xfId="14437"/>
    <cellStyle name="Normal 2 6 3 2 3 5" xfId="14438"/>
    <cellStyle name="Normal 3 6 3 2 3 5" xfId="14439"/>
    <cellStyle name="Normal 4 5 3 2 3 5" xfId="14440"/>
    <cellStyle name="Normal 5 5 3 2 3 5" xfId="14441"/>
    <cellStyle name="Normal 7 5 3 2 3 5" xfId="14442"/>
    <cellStyle name="Normal 2 3 3 3 2 3 5" xfId="14443"/>
    <cellStyle name="Normal 3 3 3 3 2 3 5" xfId="14444"/>
    <cellStyle name="Normal 4 2 3 3 2 3 5" xfId="14445"/>
    <cellStyle name="Normal 5 2 3 3 2 3 5" xfId="14446"/>
    <cellStyle name="Normal 7 2 3 3 2 3 5" xfId="14447"/>
    <cellStyle name="Normal 2 4 3 3 2 3 5" xfId="14448"/>
    <cellStyle name="Normal 3 4 3 3 2 3 5" xfId="14449"/>
    <cellStyle name="Normal 4 3 3 3 2 3 5" xfId="14450"/>
    <cellStyle name="Normal 5 3 3 3 2 3 5" xfId="14451"/>
    <cellStyle name="Normal 7 3 3 3 2 3 5" xfId="14452"/>
    <cellStyle name="Normal 2 7 2 2 3 5" xfId="14453"/>
    <cellStyle name="Normal 3 7 2 2 3 5" xfId="14454"/>
    <cellStyle name="Normal 4 6 2 2 3 5" xfId="14455"/>
    <cellStyle name="Normal 5 6 2 2 3 5" xfId="14456"/>
    <cellStyle name="Normal 7 6 2 2 3 5" xfId="14457"/>
    <cellStyle name="Normal 2 3 4 2 2 3 5" xfId="14458"/>
    <cellStyle name="Normal 3 3 4 2 2 3 5" xfId="14459"/>
    <cellStyle name="Normal 4 2 4 2 2 3 5" xfId="14460"/>
    <cellStyle name="Normal 5 2 4 2 2 3 5" xfId="14461"/>
    <cellStyle name="Normal 7 2 4 2 2 3 5" xfId="14462"/>
    <cellStyle name="Normal 2 4 4 2 2 3 5" xfId="14463"/>
    <cellStyle name="Normal 3 4 4 2 2 3 5" xfId="14464"/>
    <cellStyle name="Normal 4 3 4 2 2 3 5" xfId="14465"/>
    <cellStyle name="Normal 5 3 4 2 2 3 5" xfId="14466"/>
    <cellStyle name="Normal 7 3 4 2 2 3 5" xfId="14467"/>
    <cellStyle name="Normal 2 5 2 2 2 3 5" xfId="14468"/>
    <cellStyle name="Normal 3 5 2 2 2 3 5" xfId="14469"/>
    <cellStyle name="Normal 4 4 2 2 2 3 5" xfId="14470"/>
    <cellStyle name="Normal 5 4 2 2 2 3 5" xfId="14471"/>
    <cellStyle name="Normal 7 4 2 2 2 3 5" xfId="14472"/>
    <cellStyle name="Normal 2 3 2 2 2 2 3 5" xfId="14473"/>
    <cellStyle name="Normal 3 3 2 2 2 2 3 5" xfId="14474"/>
    <cellStyle name="Normal 4 2 2 2 2 2 3 5" xfId="14475"/>
    <cellStyle name="Normal 5 2 2 2 2 2 3 5" xfId="14476"/>
    <cellStyle name="Normal 7 2 2 2 2 2 3 5" xfId="14477"/>
    <cellStyle name="Normal 2 4 2 2 2 2 3 5" xfId="14478"/>
    <cellStyle name="Normal 3 4 2 2 2 2 3 5" xfId="14479"/>
    <cellStyle name="Normal 4 3 2 2 2 2 3 5" xfId="14480"/>
    <cellStyle name="Normal 5 3 2 2 2 2 3 5" xfId="14481"/>
    <cellStyle name="Normal 7 3 2 2 2 2 3 5" xfId="14482"/>
    <cellStyle name="Normal 2 6 2 2 2 3 5" xfId="14483"/>
    <cellStyle name="Normal 3 6 2 2 2 3 5" xfId="14484"/>
    <cellStyle name="Normal 4 5 2 2 2 3 5" xfId="14485"/>
    <cellStyle name="Normal 5 5 2 2 2 3 5" xfId="14486"/>
    <cellStyle name="Normal 7 5 2 2 2 3 5" xfId="14487"/>
    <cellStyle name="Normal 2 3 3 2 2 2 3 5" xfId="14488"/>
    <cellStyle name="Normal 3 3 3 2 2 2 3 5" xfId="14489"/>
    <cellStyle name="Normal 4 2 3 2 2 2 3 5" xfId="14490"/>
    <cellStyle name="Normal 5 2 3 2 2 2 3 5" xfId="14491"/>
    <cellStyle name="Normal 7 2 3 2 2 2 3 5" xfId="14492"/>
    <cellStyle name="Normal 2 4 3 2 2 2 3 5" xfId="14493"/>
    <cellStyle name="Normal 3 4 3 2 2 2 3 5" xfId="14494"/>
    <cellStyle name="Normal 4 3 3 2 2 2 3 5" xfId="14495"/>
    <cellStyle name="Normal 5 3 3 2 2 2 3 5" xfId="14496"/>
    <cellStyle name="Normal 7 3 3 2 2 2 3 5" xfId="14497"/>
    <cellStyle name="Normal 28 3 5" xfId="14498"/>
    <cellStyle name="Normal 2 3 7 3 5" xfId="14499"/>
    <cellStyle name="Normal 3 10 3 5" xfId="14500"/>
    <cellStyle name="Normal 4 9 3 5" xfId="14501"/>
    <cellStyle name="Normal 5 9 3 5" xfId="14502"/>
    <cellStyle name="Millares 4 3 5" xfId="14503"/>
    <cellStyle name="Normal 7 2 7 3 5" xfId="14504"/>
    <cellStyle name="Normal 3 3 7 3 5" xfId="14505"/>
    <cellStyle name="Normal 4 2 7 3 5" xfId="14506"/>
    <cellStyle name="Normal 5 2 7 3 5" xfId="14507"/>
    <cellStyle name="Normal 2 4 5 3 3 5" xfId="14508"/>
    <cellStyle name="Normal 3 4 7 3 5" xfId="14509"/>
    <cellStyle name="Normal 4 3 7 3 5" xfId="14510"/>
    <cellStyle name="Normal 5 3 7 3 5" xfId="14511"/>
    <cellStyle name="Normal 7 3 7 3 5" xfId="14512"/>
    <cellStyle name="Normal 2 5 5 3 5" xfId="14513"/>
    <cellStyle name="Normal 3 5 5 3 5" xfId="14514"/>
    <cellStyle name="Normal 4 4 5 3 5" xfId="14515"/>
    <cellStyle name="Normal 5 4 5 3 5" xfId="14516"/>
    <cellStyle name="Normal 7 4 5 3 5" xfId="14517"/>
    <cellStyle name="Normal 2 3 2 5 3 5" xfId="14518"/>
    <cellStyle name="Normal 3 3 2 5 3 5" xfId="14519"/>
    <cellStyle name="Normal 4 2 2 5 3 5" xfId="14520"/>
    <cellStyle name="Normal 5 2 2 5 3 5" xfId="14521"/>
    <cellStyle name="Normal 7 2 2 5 3 5" xfId="14522"/>
    <cellStyle name="Normal 2 4 2 5 3 5" xfId="14523"/>
    <cellStyle name="Normal 3 4 2 5 3 5" xfId="14524"/>
    <cellStyle name="Normal 4 3 2 5 3 5" xfId="14525"/>
    <cellStyle name="Normal 5 3 2 5 3 5" xfId="14526"/>
    <cellStyle name="Normal 7 3 2 5 3 5" xfId="14527"/>
    <cellStyle name="Normal 2 6 5 3 5" xfId="14528"/>
    <cellStyle name="Normal 3 6 5 3 5" xfId="14529"/>
    <cellStyle name="Normal 4 5 5 3 5" xfId="14530"/>
    <cellStyle name="Normal 5 5 5 3 5" xfId="14531"/>
    <cellStyle name="Normal 7 5 5 3 5" xfId="14532"/>
    <cellStyle name="Normal 2 3 3 5 3 5" xfId="14533"/>
    <cellStyle name="Normal 3 3 3 5 3 5" xfId="14534"/>
    <cellStyle name="Normal 4 2 3 5 3 5" xfId="14535"/>
    <cellStyle name="Normal 5 2 3 5 3 5" xfId="14536"/>
    <cellStyle name="Normal 7 2 3 5 3 5" xfId="14537"/>
    <cellStyle name="Normal 2 4 3 5 3 5" xfId="14538"/>
    <cellStyle name="Normal 3 4 3 5 3 5" xfId="14539"/>
    <cellStyle name="Normal 4 3 3 5 3 5" xfId="14540"/>
    <cellStyle name="Normal 5 3 3 5 3 5" xfId="14541"/>
    <cellStyle name="Normal 7 3 3 5 3 5" xfId="14542"/>
    <cellStyle name="Normal 2 7 4 3 5" xfId="14543"/>
    <cellStyle name="Normal 3 7 4 3 5" xfId="14544"/>
    <cellStyle name="Normal 4 6 4 3 5" xfId="14545"/>
    <cellStyle name="Normal 5 6 4 3 5" xfId="14546"/>
    <cellStyle name="Normal 7 6 4 3 5" xfId="14547"/>
    <cellStyle name="Normal 2 3 4 4 3 5" xfId="14548"/>
    <cellStyle name="Normal 3 3 4 4 3 5" xfId="14549"/>
    <cellStyle name="Normal 4 2 4 4 3 5" xfId="14550"/>
    <cellStyle name="Normal 5 2 4 4 3 5" xfId="14551"/>
    <cellStyle name="Normal 7 2 4 4 3 5" xfId="14552"/>
    <cellStyle name="Normal 2 4 4 4 3 5" xfId="14553"/>
    <cellStyle name="Normal 3 4 4 4 3 5" xfId="14554"/>
    <cellStyle name="Normal 4 3 4 4 3 5" xfId="14555"/>
    <cellStyle name="Normal 5 3 4 4 3 5" xfId="14556"/>
    <cellStyle name="Normal 7 3 4 4 3 5" xfId="14557"/>
    <cellStyle name="Normal 2 5 2 4 3 5" xfId="14558"/>
    <cellStyle name="Normal 3 5 2 4 3 5" xfId="14559"/>
    <cellStyle name="Normal 4 4 2 4 3 5" xfId="14560"/>
    <cellStyle name="Normal 5 4 2 4 3 5" xfId="14561"/>
    <cellStyle name="Normal 7 4 2 4 3 5" xfId="14562"/>
    <cellStyle name="Normal 2 3 2 2 4 3 5" xfId="14563"/>
    <cellStyle name="Normal 3 3 2 2 4 3 5" xfId="14564"/>
    <cellStyle name="Normal 4 2 2 2 4 3 5" xfId="14565"/>
    <cellStyle name="Normal 5 2 2 2 4 3 5" xfId="14566"/>
    <cellStyle name="Normal 7 2 2 2 4 3 5" xfId="14567"/>
    <cellStyle name="Normal 2 4 2 2 4 3 5" xfId="14568"/>
    <cellStyle name="Normal 3 4 2 2 4 3 5" xfId="14569"/>
    <cellStyle name="Normal 4 3 2 2 4 3 5" xfId="14570"/>
    <cellStyle name="Normal 5 3 2 2 4 3 5" xfId="14571"/>
    <cellStyle name="Normal 7 3 2 2 4 3 5" xfId="14572"/>
    <cellStyle name="Normal 2 6 2 4 3 5" xfId="14573"/>
    <cellStyle name="Normal 3 6 2 4 3 5" xfId="14574"/>
    <cellStyle name="Normal 4 5 2 4 3 5" xfId="14575"/>
    <cellStyle name="Normal 5 5 2 4 3 5" xfId="14576"/>
    <cellStyle name="Normal 7 5 2 4 3 5" xfId="14577"/>
    <cellStyle name="Normal 2 3 3 2 4 3 5" xfId="14578"/>
    <cellStyle name="Normal 3 3 3 2 4 3 5" xfId="14579"/>
    <cellStyle name="Normal 4 2 3 2 4 3 5" xfId="14580"/>
    <cellStyle name="Normal 5 2 3 2 4 3 5" xfId="14581"/>
    <cellStyle name="Normal 7 2 3 2 4 3 5" xfId="14582"/>
    <cellStyle name="Normal 2 4 3 2 4 3 5" xfId="14583"/>
    <cellStyle name="Normal 3 4 3 2 4 3 5" xfId="14584"/>
    <cellStyle name="Normal 4 3 3 2 4 3 5" xfId="14585"/>
    <cellStyle name="Normal 5 3 3 2 4 3 5" xfId="14586"/>
    <cellStyle name="Normal 7 3 3 2 4 3 5" xfId="14587"/>
    <cellStyle name="Normal 2 8 3 3 5" xfId="14588"/>
    <cellStyle name="Normal 3 8 3 3 5" xfId="14589"/>
    <cellStyle name="Normal 4 7 3 3 5" xfId="14590"/>
    <cellStyle name="Normal 5 7 3 3 5" xfId="14591"/>
    <cellStyle name="Normal 7 7 3 3 5" xfId="14592"/>
    <cellStyle name="Normal 2 3 5 3 3 5" xfId="14593"/>
    <cellStyle name="Normal 3 3 5 3 3 5" xfId="14594"/>
    <cellStyle name="Normal 4 2 5 3 3 5" xfId="14595"/>
    <cellStyle name="Normal 5 2 5 3 3 5" xfId="14596"/>
    <cellStyle name="Normal 7 2 5 3 3 5" xfId="14597"/>
    <cellStyle name="Normal 3 4 5 3 3 5" xfId="14598"/>
    <cellStyle name="Normal 4 3 5 3 3 5" xfId="14599"/>
    <cellStyle name="Normal 5 3 5 3 3 5" xfId="14600"/>
    <cellStyle name="Normal 7 3 5 3 3 5" xfId="14601"/>
    <cellStyle name="Normal 2 5 3 3 3 5" xfId="14602"/>
    <cellStyle name="Normal 3 5 3 3 3 5" xfId="14603"/>
    <cellStyle name="Normal 4 4 3 3 3 5" xfId="14604"/>
    <cellStyle name="Normal 5 4 3 3 3 5" xfId="14605"/>
    <cellStyle name="Normal 7 4 3 3 3 5" xfId="14606"/>
    <cellStyle name="Normal 2 3 2 3 3 3 5" xfId="14607"/>
    <cellStyle name="Normal 3 3 2 3 3 3 5" xfId="14608"/>
    <cellStyle name="Normal 4 2 2 3 3 3 5" xfId="14609"/>
    <cellStyle name="Normal 5 2 2 3 3 3 5" xfId="14610"/>
    <cellStyle name="Normal 7 2 2 3 3 3 5" xfId="14611"/>
    <cellStyle name="Normal 2 4 2 3 3 3 5" xfId="14612"/>
    <cellStyle name="Normal 3 4 2 3 3 3 5" xfId="14613"/>
    <cellStyle name="Normal 4 3 2 3 3 3 5" xfId="14614"/>
    <cellStyle name="Normal 5 3 2 3 3 3 5" xfId="14615"/>
    <cellStyle name="Normal 7 3 2 3 3 3 5" xfId="14616"/>
    <cellStyle name="Normal 2 6 3 3 3 5" xfId="14617"/>
    <cellStyle name="Normal 3 6 3 3 3 5" xfId="14618"/>
    <cellStyle name="Normal 4 5 3 3 3 5" xfId="14619"/>
    <cellStyle name="Normal 5 5 3 3 3 5" xfId="14620"/>
    <cellStyle name="Normal 7 5 3 3 3 5" xfId="14621"/>
    <cellStyle name="Normal 2 3 3 3 3 3 5" xfId="14622"/>
    <cellStyle name="Normal 3 3 3 3 3 3 5" xfId="14623"/>
    <cellStyle name="Normal 4 2 3 3 3 3 5" xfId="14624"/>
    <cellStyle name="Normal 5 2 3 3 3 3 5" xfId="14625"/>
    <cellStyle name="Normal 7 2 3 3 3 3 5" xfId="14626"/>
    <cellStyle name="Normal 2 4 3 3 3 3 5" xfId="14627"/>
    <cellStyle name="Normal 3 4 3 3 3 3 5" xfId="14628"/>
    <cellStyle name="Normal 4 3 3 3 3 3 5" xfId="14629"/>
    <cellStyle name="Normal 5 3 3 3 3 3 5" xfId="14630"/>
    <cellStyle name="Normal 7 3 3 3 3 3 5" xfId="14631"/>
    <cellStyle name="Normal 2 7 2 3 3 5" xfId="14632"/>
    <cellStyle name="Normal 3 7 2 3 3 5" xfId="14633"/>
    <cellStyle name="Normal 4 6 2 3 3 5" xfId="14634"/>
    <cellStyle name="Normal 5 6 2 3 3 5" xfId="14635"/>
    <cellStyle name="Normal 7 6 2 3 3 5" xfId="14636"/>
    <cellStyle name="Normal 2 3 4 2 3 3 5" xfId="14637"/>
    <cellStyle name="Normal 3 3 4 2 3 3 5" xfId="14638"/>
    <cellStyle name="Normal 4 2 4 2 3 3 5" xfId="14639"/>
    <cellStyle name="Normal 5 2 4 2 3 3 5" xfId="14640"/>
    <cellStyle name="Normal 7 2 4 2 3 3 5" xfId="14641"/>
    <cellStyle name="Normal 2 4 4 2 3 3 5" xfId="14642"/>
    <cellStyle name="Normal 3 4 4 2 3 3 5" xfId="14643"/>
    <cellStyle name="Normal 4 3 4 2 3 3 5" xfId="14644"/>
    <cellStyle name="Normal 5 3 4 2 3 3 5" xfId="14645"/>
    <cellStyle name="Normal 7 3 4 2 3 3 5" xfId="14646"/>
    <cellStyle name="Normal 2 5 2 2 3 3 5" xfId="14647"/>
    <cellStyle name="Normal 3 5 2 2 3 3 5" xfId="14648"/>
    <cellStyle name="Normal 4 4 2 2 3 3 5" xfId="14649"/>
    <cellStyle name="Normal 5 4 2 2 3 3 5" xfId="14650"/>
    <cellStyle name="Normal 7 4 2 2 3 3 5" xfId="14651"/>
    <cellStyle name="Normal 2 3 2 2 2 3 3 5" xfId="14652"/>
    <cellStyle name="Normal 3 3 2 2 2 3 3 5" xfId="14653"/>
    <cellStyle name="Normal 4 2 2 2 2 3 3 5" xfId="14654"/>
    <cellStyle name="Normal 5 2 2 2 2 3 3 5" xfId="14655"/>
    <cellStyle name="Normal 7 2 2 2 2 3 3 5" xfId="14656"/>
    <cellStyle name="Normal 2 4 2 2 2 3 3 5" xfId="14657"/>
    <cellStyle name="Normal 3 4 2 2 2 3 3 5" xfId="14658"/>
    <cellStyle name="Normal 4 3 2 2 2 3 3 5" xfId="14659"/>
    <cellStyle name="Normal 5 3 2 2 2 3 3 5" xfId="14660"/>
    <cellStyle name="Normal 7 3 2 2 2 3 3 5" xfId="14661"/>
    <cellStyle name="Normal 2 6 2 2 3 3 5" xfId="14662"/>
    <cellStyle name="Normal 3 6 2 2 3 3 5" xfId="14663"/>
    <cellStyle name="Normal 4 5 2 2 3 3 5" xfId="14664"/>
    <cellStyle name="Normal 5 5 2 2 3 3 5" xfId="14665"/>
    <cellStyle name="Normal 7 5 2 2 3 3 5" xfId="14666"/>
    <cellStyle name="Normal 2 3 3 2 2 3 3 5" xfId="14667"/>
    <cellStyle name="Normal 3 3 3 2 2 3 3 5" xfId="14668"/>
    <cellStyle name="Normal 4 2 3 2 2 3 3 5" xfId="14669"/>
    <cellStyle name="Normal 5 2 3 2 2 3 3 5" xfId="14670"/>
    <cellStyle name="Normal 7 2 3 2 2 3 3 5" xfId="14671"/>
    <cellStyle name="Normal 2 4 3 2 2 3 3 5" xfId="14672"/>
    <cellStyle name="Normal 3 4 3 2 2 3 3 5" xfId="14673"/>
    <cellStyle name="Normal 4 3 3 2 2 3 3 5" xfId="14674"/>
    <cellStyle name="Normal 5 3 3 2 2 3 3 5" xfId="14675"/>
    <cellStyle name="Normal 7 3 3 2 2 3 3 5" xfId="14676"/>
    <cellStyle name="Normal 2 13 4" xfId="14677"/>
    <cellStyle name="Normal 3 13 4" xfId="14678"/>
    <cellStyle name="Normal 4 12 4" xfId="14679"/>
    <cellStyle name="Normal 5 12 4" xfId="14680"/>
    <cellStyle name="Normal 7 12 4" xfId="14681"/>
    <cellStyle name="Normal 2 3 10 4" xfId="14682"/>
    <cellStyle name="Normal 3 3 10 4" xfId="14683"/>
    <cellStyle name="Normal 4 2 10 4" xfId="14684"/>
    <cellStyle name="Normal 5 2 10 4" xfId="14685"/>
    <cellStyle name="Normal 7 2 10 4" xfId="14686"/>
    <cellStyle name="Normal 2 4 10 4" xfId="14687"/>
    <cellStyle name="Normal 3 4 10 4" xfId="14688"/>
    <cellStyle name="Normal 4 3 10 4" xfId="14689"/>
    <cellStyle name="Normal 5 3 10 4" xfId="14690"/>
    <cellStyle name="Normal 7 3 10 4" xfId="14691"/>
    <cellStyle name="Normal 2 5 8 4" xfId="14692"/>
    <cellStyle name="Normal 3 5 8 4" xfId="14693"/>
    <cellStyle name="Normal 4 4 8 4" xfId="14694"/>
    <cellStyle name="Normal 5 4 8 4" xfId="14695"/>
    <cellStyle name="Normal 7 4 8 4" xfId="14696"/>
    <cellStyle name="Normal 2 3 2 8 4" xfId="14697"/>
    <cellStyle name="Normal 3 3 2 8 4" xfId="14698"/>
    <cellStyle name="Normal 4 2 2 8 4" xfId="14699"/>
    <cellStyle name="Normal 5 2 2 8 4" xfId="14700"/>
    <cellStyle name="Normal 7 2 2 8 4" xfId="14701"/>
    <cellStyle name="Normal 2 4 2 8 4" xfId="14702"/>
    <cellStyle name="Normal 3 4 2 8 4" xfId="14703"/>
    <cellStyle name="Normal 4 3 2 8 4" xfId="14704"/>
    <cellStyle name="Normal 5 3 2 8 4" xfId="14705"/>
    <cellStyle name="Normal 7 3 2 8 4" xfId="14706"/>
    <cellStyle name="Normal 2 6 8 4" xfId="14707"/>
    <cellStyle name="Normal 3 6 8 4" xfId="14708"/>
    <cellStyle name="Normal 4 5 8 4" xfId="14709"/>
    <cellStyle name="Normal 5 5 8 4" xfId="14710"/>
    <cellStyle name="Normal 7 5 8 4" xfId="14711"/>
    <cellStyle name="Normal 2 3 3 8 4" xfId="14712"/>
    <cellStyle name="Normal 3 3 3 8 4" xfId="14713"/>
    <cellStyle name="Normal 4 2 3 8 4" xfId="14714"/>
    <cellStyle name="Normal 5 2 3 8 4" xfId="14715"/>
    <cellStyle name="Normal 7 2 3 8 4" xfId="14716"/>
    <cellStyle name="Normal 2 4 3 8 4" xfId="14717"/>
    <cellStyle name="Normal 3 4 3 8 4" xfId="14718"/>
    <cellStyle name="Normal 4 3 3 8 4" xfId="14719"/>
    <cellStyle name="Normal 5 3 3 8 4" xfId="14720"/>
    <cellStyle name="Normal 7 3 3 8 4" xfId="14721"/>
    <cellStyle name="Normal 2 7 7 4" xfId="14722"/>
    <cellStyle name="Normal 3 7 7 4" xfId="14723"/>
    <cellStyle name="Normal 4 6 7 4" xfId="14724"/>
    <cellStyle name="Normal 5 6 7 4" xfId="14725"/>
    <cellStyle name="Normal 7 6 7 4" xfId="14726"/>
    <cellStyle name="Normal 2 3 4 7 4" xfId="14727"/>
    <cellStyle name="Normal 3 3 4 7 4" xfId="14728"/>
    <cellStyle name="Normal 4 2 4 7 4" xfId="14729"/>
    <cellStyle name="Normal 5 2 4 7 4" xfId="14730"/>
    <cellStyle name="Normal 7 2 4 7 4" xfId="14731"/>
    <cellStyle name="Normal 2 4 4 7 4" xfId="14732"/>
    <cellStyle name="Normal 3 4 4 7 4" xfId="14733"/>
    <cellStyle name="Normal 4 3 4 7 4" xfId="14734"/>
    <cellStyle name="Normal 5 3 4 7 4" xfId="14735"/>
    <cellStyle name="Normal 7 3 4 7 4" xfId="14736"/>
    <cellStyle name="Normal 2 5 2 7 4" xfId="14737"/>
    <cellStyle name="Normal 3 5 2 7 4" xfId="14738"/>
    <cellStyle name="Normal 4 4 2 7 4" xfId="14739"/>
    <cellStyle name="Normal 5 4 2 7 4" xfId="14740"/>
    <cellStyle name="Normal 7 4 2 7 4" xfId="14741"/>
    <cellStyle name="Normal 2 3 2 2 7 4" xfId="14742"/>
    <cellStyle name="Normal 3 3 2 2 7 4" xfId="14743"/>
    <cellStyle name="Normal 4 2 2 2 7 4" xfId="14744"/>
    <cellStyle name="Normal 5 2 2 2 7 4" xfId="14745"/>
    <cellStyle name="Normal 7 2 2 2 7 4" xfId="14746"/>
    <cellStyle name="Normal 2 4 2 2 7 4" xfId="14747"/>
    <cellStyle name="Normal 3 4 2 2 7 4" xfId="14748"/>
    <cellStyle name="Normal 4 3 2 2 7 4" xfId="14749"/>
    <cellStyle name="Normal 5 3 2 2 7 4" xfId="14750"/>
    <cellStyle name="Normal 7 3 2 2 7 4" xfId="14751"/>
    <cellStyle name="Normal 2 6 2 7 4" xfId="14752"/>
    <cellStyle name="Normal 3 6 2 7 4" xfId="14753"/>
    <cellStyle name="Normal 4 5 2 7 4" xfId="14754"/>
    <cellStyle name="Normal 5 5 2 7 4" xfId="14755"/>
    <cellStyle name="Normal 7 5 2 7 4" xfId="14756"/>
    <cellStyle name="Normal 2 3 3 2 7 4" xfId="14757"/>
    <cellStyle name="Normal 3 3 3 2 7 4" xfId="14758"/>
    <cellStyle name="Normal 4 2 3 2 7 4" xfId="14759"/>
    <cellStyle name="Normal 5 2 3 2 7 4" xfId="14760"/>
    <cellStyle name="Normal 7 2 3 2 7 4" xfId="14761"/>
    <cellStyle name="Normal 2 4 3 2 7 4" xfId="14762"/>
    <cellStyle name="Normal 3 4 3 2 7 4" xfId="14763"/>
    <cellStyle name="Normal 4 3 3 2 7 4" xfId="14764"/>
    <cellStyle name="Normal 5 3 3 2 7 4" xfId="14765"/>
    <cellStyle name="Normal 7 3 3 2 7 4" xfId="14766"/>
    <cellStyle name="Normal 2 8 6 4" xfId="14767"/>
    <cellStyle name="Normal 3 8 6 4" xfId="14768"/>
    <cellStyle name="Normal 4 7 6 4" xfId="14769"/>
    <cellStyle name="Normal 5 7 6 4" xfId="14770"/>
    <cellStyle name="Normal 7 7 6 4" xfId="14771"/>
    <cellStyle name="Normal 2 3 5 6 4" xfId="14772"/>
    <cellStyle name="Normal 3 3 5 6 4" xfId="14773"/>
    <cellStyle name="Normal 4 2 5 6 4" xfId="14774"/>
    <cellStyle name="Normal 5 2 5 6 4" xfId="14775"/>
    <cellStyle name="Normal 7 2 5 6 4" xfId="14776"/>
    <cellStyle name="Normal 2 4 5 6 4" xfId="14777"/>
    <cellStyle name="Normal 3 4 5 6 4" xfId="14778"/>
    <cellStyle name="Normal 4 3 5 6 4" xfId="14779"/>
    <cellStyle name="Normal 5 3 5 6 4" xfId="14780"/>
    <cellStyle name="Normal 7 3 5 6 4" xfId="14781"/>
    <cellStyle name="Normal 2 5 3 6 4" xfId="14782"/>
    <cellStyle name="Normal 3 5 3 6 4" xfId="14783"/>
    <cellStyle name="Normal 4 4 3 6 4" xfId="14784"/>
    <cellStyle name="Normal 5 4 3 6 4" xfId="14785"/>
    <cellStyle name="Normal 7 4 3 6 4" xfId="14786"/>
    <cellStyle name="Normal 2 3 2 3 6 4" xfId="14787"/>
    <cellStyle name="Normal 3 3 2 3 6 4" xfId="14788"/>
    <cellStyle name="Normal 4 2 2 3 6 4" xfId="14789"/>
    <cellStyle name="Normal 5 2 2 3 6 4" xfId="14790"/>
    <cellStyle name="Normal 7 2 2 3 6 4" xfId="14791"/>
    <cellStyle name="Normal 2 4 2 3 6 4" xfId="14792"/>
    <cellStyle name="Normal 3 4 2 3 6 4" xfId="14793"/>
    <cellStyle name="Normal 4 3 2 3 6 4" xfId="14794"/>
    <cellStyle name="Normal 5 3 2 3 6 4" xfId="14795"/>
    <cellStyle name="Normal 7 3 2 3 6 4" xfId="14796"/>
    <cellStyle name="Normal 2 6 3 6 4" xfId="14797"/>
    <cellStyle name="Normal 3 6 3 6 4" xfId="14798"/>
    <cellStyle name="Normal 4 5 3 6 4" xfId="14799"/>
    <cellStyle name="Normal 5 5 3 6 4" xfId="14800"/>
    <cellStyle name="Normal 7 5 3 6 4" xfId="14801"/>
    <cellStyle name="Normal 2 3 3 3 6 4" xfId="14802"/>
    <cellStyle name="Normal 3 3 3 3 6 4" xfId="14803"/>
    <cellStyle name="Normal 4 2 3 3 6 4" xfId="14804"/>
    <cellStyle name="Normal 5 2 3 3 6 4" xfId="14805"/>
    <cellStyle name="Normal 7 2 3 3 6 4" xfId="14806"/>
    <cellStyle name="Normal 2 4 3 3 6 4" xfId="14807"/>
    <cellStyle name="Normal 3 4 3 3 6 4" xfId="14808"/>
    <cellStyle name="Normal 4 3 3 3 6 4" xfId="14809"/>
    <cellStyle name="Normal 5 3 3 3 6 4" xfId="14810"/>
    <cellStyle name="Normal 7 3 3 3 6 4" xfId="14811"/>
    <cellStyle name="Normal 2 7 2 6 4" xfId="14812"/>
    <cellStyle name="Normal 3 7 2 6 4" xfId="14813"/>
    <cellStyle name="Normal 4 6 2 6 4" xfId="14814"/>
    <cellStyle name="Normal 5 6 2 6 4" xfId="14815"/>
    <cellStyle name="Normal 7 6 2 6 4" xfId="14816"/>
    <cellStyle name="Normal 2 3 4 2 6 4" xfId="14817"/>
    <cellStyle name="Normal 3 3 4 2 6 4" xfId="14818"/>
    <cellStyle name="Normal 4 2 4 2 6 4" xfId="14819"/>
    <cellStyle name="Normal 5 2 4 2 6 4" xfId="14820"/>
    <cellStyle name="Normal 7 2 4 2 6 4" xfId="14821"/>
    <cellStyle name="Normal 2 4 4 2 6 4" xfId="14822"/>
    <cellStyle name="Normal 3 4 4 2 6 4" xfId="14823"/>
    <cellStyle name="Normal 4 3 4 2 6 4" xfId="14824"/>
    <cellStyle name="Normal 5 3 4 2 6 4" xfId="14825"/>
    <cellStyle name="Normal 7 3 4 2 6 4" xfId="14826"/>
    <cellStyle name="Normal 2 5 2 2 6 4" xfId="14827"/>
    <cellStyle name="Normal 3 5 2 2 6 4" xfId="14828"/>
    <cellStyle name="Normal 4 4 2 2 6 4" xfId="14829"/>
    <cellStyle name="Normal 5 4 2 2 6 4" xfId="14830"/>
    <cellStyle name="Normal 7 4 2 2 6 4" xfId="14831"/>
    <cellStyle name="Normal 2 3 2 2 2 6 4" xfId="14832"/>
    <cellStyle name="Normal 3 3 2 2 2 6 4" xfId="14833"/>
    <cellStyle name="Normal 4 2 2 2 2 6 4" xfId="14834"/>
    <cellStyle name="Normal 5 2 2 2 2 6 4" xfId="14835"/>
    <cellStyle name="Normal 7 2 2 2 2 6 4" xfId="14836"/>
    <cellStyle name="Normal 2 4 2 2 2 6 4" xfId="14837"/>
    <cellStyle name="Normal 3 4 2 2 2 6 4" xfId="14838"/>
    <cellStyle name="Normal 4 3 2 2 2 6 4" xfId="14839"/>
    <cellStyle name="Normal 5 3 2 2 2 6 4" xfId="14840"/>
    <cellStyle name="Normal 7 3 2 2 2 6 4" xfId="14841"/>
    <cellStyle name="Normal 2 6 2 2 6 4" xfId="14842"/>
    <cellStyle name="Normal 3 6 2 2 6 4" xfId="14843"/>
    <cellStyle name="Normal 4 5 2 2 6 4" xfId="14844"/>
    <cellStyle name="Normal 5 5 2 2 6 4" xfId="14845"/>
    <cellStyle name="Normal 7 5 2 2 6 4" xfId="14846"/>
    <cellStyle name="Normal 2 3 3 2 2 6 4" xfId="14847"/>
    <cellStyle name="Normal 3 3 3 2 2 6 4" xfId="14848"/>
    <cellStyle name="Normal 4 2 3 2 2 6 4" xfId="14849"/>
    <cellStyle name="Normal 5 2 3 2 2 6 4" xfId="14850"/>
    <cellStyle name="Normal 7 2 3 2 2 6 4" xfId="14851"/>
    <cellStyle name="Normal 2 4 3 2 2 6 4" xfId="14852"/>
    <cellStyle name="Normal 3 4 3 2 2 6 4" xfId="14853"/>
    <cellStyle name="Normal 4 3 3 2 2 6 4" xfId="14854"/>
    <cellStyle name="Normal 5 3 3 2 2 6 4" xfId="14855"/>
    <cellStyle name="Normal 7 3 3 2 2 6 4" xfId="14856"/>
    <cellStyle name="Normal 2 9 4 4" xfId="14857"/>
    <cellStyle name="Normal 3 9 4 4" xfId="14858"/>
    <cellStyle name="Normal 4 8 4 4" xfId="14859"/>
    <cellStyle name="Normal 5 8 4 4" xfId="14860"/>
    <cellStyle name="Normal 7 8 4 4" xfId="14861"/>
    <cellStyle name="Normal 2 3 6 4 4" xfId="14862"/>
    <cellStyle name="Normal 3 3 6 4 4" xfId="14863"/>
    <cellStyle name="Normal 4 2 6 4 4" xfId="14864"/>
    <cellStyle name="Normal 5 2 6 4 4" xfId="14865"/>
    <cellStyle name="Normal 7 2 6 4 4" xfId="14866"/>
    <cellStyle name="Normal 2 4 6 4 4" xfId="14867"/>
    <cellStyle name="Normal 3 4 6 4 4" xfId="14868"/>
    <cellStyle name="Normal 4 3 6 4 4" xfId="14869"/>
    <cellStyle name="Normal 5 3 6 4 4" xfId="14870"/>
    <cellStyle name="Normal 7 3 6 4 4" xfId="14871"/>
    <cellStyle name="Normal 2 5 4 4 4" xfId="14872"/>
    <cellStyle name="Normal 3 5 4 4 4" xfId="14873"/>
    <cellStyle name="Normal 4 4 4 4 4" xfId="14874"/>
    <cellStyle name="Normal 5 4 4 4 4" xfId="14875"/>
    <cellStyle name="Normal 7 4 4 4 4" xfId="14876"/>
    <cellStyle name="Normal 2 3 2 4 4 4" xfId="14877"/>
    <cellStyle name="Normal 3 3 2 4 4 4" xfId="14878"/>
    <cellStyle name="Normal 4 2 2 4 4 4" xfId="14879"/>
    <cellStyle name="Normal 5 2 2 4 4 4" xfId="14880"/>
    <cellStyle name="Normal 7 2 2 4 4 4" xfId="14881"/>
    <cellStyle name="Normal 2 4 2 4 4 4" xfId="14882"/>
    <cellStyle name="Normal 3 4 2 4 4 4" xfId="14883"/>
    <cellStyle name="Normal 4 3 2 4 4 4" xfId="14884"/>
    <cellStyle name="Normal 5 3 2 4 4 4" xfId="14885"/>
    <cellStyle name="Normal 7 3 2 4 4 4" xfId="14886"/>
    <cellStyle name="Normal 2 6 4 4 4" xfId="14887"/>
    <cellStyle name="Normal 3 6 4 4 4" xfId="14888"/>
    <cellStyle name="Normal 4 5 4 4 4" xfId="14889"/>
    <cellStyle name="Normal 5 5 4 4 4" xfId="14890"/>
    <cellStyle name="Normal 7 5 4 4 4" xfId="14891"/>
    <cellStyle name="Normal 2 3 3 4 4 4" xfId="14892"/>
    <cellStyle name="Normal 3 3 3 4 4 4" xfId="14893"/>
    <cellStyle name="Normal 4 2 3 4 4 4" xfId="14894"/>
    <cellStyle name="Normal 5 2 3 4 4 4" xfId="14895"/>
    <cellStyle name="Normal 7 2 3 4 4 4" xfId="14896"/>
    <cellStyle name="Normal 2 4 3 4 4 4" xfId="14897"/>
    <cellStyle name="Normal 3 4 3 4 4 4" xfId="14898"/>
    <cellStyle name="Normal 4 3 3 4 4 4" xfId="14899"/>
    <cellStyle name="Normal 5 3 3 4 4 4" xfId="14900"/>
    <cellStyle name="Normal 7 3 3 4 4 4" xfId="14901"/>
    <cellStyle name="Normal 2 7 3 4 4" xfId="14902"/>
    <cellStyle name="Normal 3 7 3 4 4" xfId="14903"/>
    <cellStyle name="Normal 4 6 3 4 4" xfId="14904"/>
    <cellStyle name="Normal 5 6 3 4 4" xfId="14905"/>
    <cellStyle name="Normal 7 6 3 4 4" xfId="14906"/>
    <cellStyle name="Normal 2 3 4 3 4 4" xfId="14907"/>
    <cellStyle name="Normal 3 3 4 3 4 4" xfId="14908"/>
    <cellStyle name="Normal 4 2 4 3 4 4" xfId="14909"/>
    <cellStyle name="Normal 5 2 4 3 4 4" xfId="14910"/>
    <cellStyle name="Normal 7 2 4 3 4 4" xfId="14911"/>
    <cellStyle name="Normal 2 4 4 3 4 4" xfId="14912"/>
    <cellStyle name="Normal 3 4 4 3 4 4" xfId="14913"/>
    <cellStyle name="Normal 4 3 4 3 4 4" xfId="14914"/>
    <cellStyle name="Normal 5 3 4 3 4 4" xfId="14915"/>
    <cellStyle name="Normal 7 3 4 3 4 4" xfId="14916"/>
    <cellStyle name="Normal 2 5 2 3 4 4" xfId="14917"/>
    <cellStyle name="Normal 3 5 2 3 4 4" xfId="14918"/>
    <cellStyle name="Normal 4 4 2 3 4 4" xfId="14919"/>
    <cellStyle name="Normal 5 4 2 3 4 4" xfId="14920"/>
    <cellStyle name="Normal 7 4 2 3 4 4" xfId="14921"/>
    <cellStyle name="Normal 2 3 2 2 3 4 4" xfId="14922"/>
    <cellStyle name="Normal 3 3 2 2 3 4 4" xfId="14923"/>
    <cellStyle name="Normal 4 2 2 2 3 4 4" xfId="14924"/>
    <cellStyle name="Normal 5 2 2 2 3 4 4" xfId="14925"/>
    <cellStyle name="Normal 7 2 2 2 3 4 4" xfId="14926"/>
    <cellStyle name="Normal 2 4 2 2 3 4 4" xfId="14927"/>
    <cellStyle name="Normal 3 4 2 2 3 4 4" xfId="14928"/>
    <cellStyle name="Normal 4 3 2 2 3 4 4" xfId="14929"/>
    <cellStyle name="Normal 5 3 2 2 3 4 4" xfId="14930"/>
    <cellStyle name="Normal 7 3 2 2 3 4 4" xfId="14931"/>
    <cellStyle name="Normal 2 6 2 3 4 4" xfId="14932"/>
    <cellStyle name="Normal 3 6 2 3 4 4" xfId="14933"/>
    <cellStyle name="Normal 4 5 2 3 4 4" xfId="14934"/>
    <cellStyle name="Normal 5 5 2 3 4 4" xfId="14935"/>
    <cellStyle name="Normal 7 5 2 3 4 4" xfId="14936"/>
    <cellStyle name="Normal 2 3 3 2 3 4 4" xfId="14937"/>
    <cellStyle name="Normal 3 3 3 2 3 4 4" xfId="14938"/>
    <cellStyle name="Normal 4 2 3 2 3 4 4" xfId="14939"/>
    <cellStyle name="Normal 5 2 3 2 3 4 4" xfId="14940"/>
    <cellStyle name="Normal 7 2 3 2 3 4 4" xfId="14941"/>
    <cellStyle name="Normal 2 4 3 2 3 4 4" xfId="14942"/>
    <cellStyle name="Normal 3 4 3 2 3 4 4" xfId="14943"/>
    <cellStyle name="Normal 4 3 3 2 3 4 4" xfId="14944"/>
    <cellStyle name="Normal 5 3 3 2 3 4 4" xfId="14945"/>
    <cellStyle name="Normal 7 3 3 2 3 4 4" xfId="14946"/>
    <cellStyle name="Normal 2 8 2 4 4" xfId="14947"/>
    <cellStyle name="Normal 3 8 2 4 4" xfId="14948"/>
    <cellStyle name="Normal 4 7 2 4 4" xfId="14949"/>
    <cellStyle name="Normal 5 7 2 4 4" xfId="14950"/>
    <cellStyle name="Normal 7 7 2 4 4" xfId="14951"/>
    <cellStyle name="Normal 2 3 5 2 4 4" xfId="14952"/>
    <cellStyle name="Normal 3 3 5 2 4 4" xfId="14953"/>
    <cellStyle name="Normal 4 2 5 2 4 4" xfId="14954"/>
    <cellStyle name="Normal 5 2 5 2 4 4" xfId="14955"/>
    <cellStyle name="Normal 7 2 5 2 4 4" xfId="14956"/>
    <cellStyle name="Normal 2 4 5 2 4 4" xfId="14957"/>
    <cellStyle name="Normal 3 4 5 2 4 4" xfId="14958"/>
    <cellStyle name="Normal 4 3 5 2 4 4" xfId="14959"/>
    <cellStyle name="Normal 5 3 5 2 4 4" xfId="14960"/>
    <cellStyle name="Normal 7 3 5 2 4 4" xfId="14961"/>
    <cellStyle name="Normal 2 5 3 2 4 4" xfId="14962"/>
    <cellStyle name="Normal 3 5 3 2 4 4" xfId="14963"/>
    <cellStyle name="Normal 4 4 3 2 4 4" xfId="14964"/>
    <cellStyle name="Normal 5 4 3 2 4 4" xfId="14965"/>
    <cellStyle name="Normal 7 4 3 2 4 4" xfId="14966"/>
    <cellStyle name="Normal 2 3 2 3 2 4 4" xfId="14967"/>
    <cellStyle name="Normal 3 3 2 3 2 4 4" xfId="14968"/>
    <cellStyle name="Normal 4 2 2 3 2 4 4" xfId="14969"/>
    <cellStyle name="Normal 5 2 2 3 2 4 4" xfId="14970"/>
    <cellStyle name="Normal 7 2 2 3 2 4 4" xfId="14971"/>
    <cellStyle name="Normal 2 4 2 3 2 4 4" xfId="14972"/>
    <cellStyle name="Normal 3 4 2 3 2 4 4" xfId="14973"/>
    <cellStyle name="Normal 4 3 2 3 2 4 4" xfId="14974"/>
    <cellStyle name="Normal 5 3 2 3 2 4 4" xfId="14975"/>
    <cellStyle name="Normal 7 3 2 3 2 4 4" xfId="14976"/>
    <cellStyle name="Normal 2 6 3 2 4 4" xfId="14977"/>
    <cellStyle name="Normal 3 6 3 2 4 4" xfId="14978"/>
    <cellStyle name="Normal 4 5 3 2 4 4" xfId="14979"/>
    <cellStyle name="Normal 5 5 3 2 4 4" xfId="14980"/>
    <cellStyle name="Normal 7 5 3 2 4 4" xfId="14981"/>
    <cellStyle name="Normal 2 3 3 3 2 4 4" xfId="14982"/>
    <cellStyle name="Normal 3 3 3 3 2 4 4" xfId="14983"/>
    <cellStyle name="Normal 4 2 3 3 2 4 4" xfId="14984"/>
    <cellStyle name="Normal 5 2 3 3 2 4 4" xfId="14985"/>
    <cellStyle name="Normal 7 2 3 3 2 4 4" xfId="14986"/>
    <cellStyle name="Normal 2 4 3 3 2 4 4" xfId="14987"/>
    <cellStyle name="Normal 3 4 3 3 2 4 4" xfId="14988"/>
    <cellStyle name="Normal 4 3 3 3 2 4 4" xfId="14989"/>
    <cellStyle name="Normal 5 3 3 3 2 4 4" xfId="14990"/>
    <cellStyle name="Normal 7 3 3 3 2 4 4" xfId="14991"/>
    <cellStyle name="Normal 2 7 2 2 4 4" xfId="14992"/>
    <cellStyle name="Normal 3 7 2 2 4 4" xfId="14993"/>
    <cellStyle name="Normal 4 6 2 2 4 4" xfId="14994"/>
    <cellStyle name="Normal 5 6 2 2 4 4" xfId="14995"/>
    <cellStyle name="Normal 7 6 2 2 4 4" xfId="14996"/>
    <cellStyle name="Normal 2 3 4 2 2 4 4" xfId="14997"/>
    <cellStyle name="Normal 3 3 4 2 2 4 4" xfId="14998"/>
    <cellStyle name="Normal 4 2 4 2 2 4 4" xfId="14999"/>
    <cellStyle name="Normal 5 2 4 2 2 4 4" xfId="15000"/>
    <cellStyle name="Normal 7 2 4 2 2 4 4" xfId="15001"/>
    <cellStyle name="Normal 2 4 4 2 2 4 4" xfId="15002"/>
    <cellStyle name="Normal 3 4 4 2 2 4 4" xfId="15003"/>
    <cellStyle name="Normal 4 3 4 2 2 4 4" xfId="15004"/>
    <cellStyle name="Normal 5 3 4 2 2 4 4" xfId="15005"/>
    <cellStyle name="Normal 7 3 4 2 2 4 4" xfId="15006"/>
    <cellStyle name="Normal 2 5 2 2 2 4 4" xfId="15007"/>
    <cellStyle name="Normal 3 5 2 2 2 4 4" xfId="15008"/>
    <cellStyle name="Normal 4 4 2 2 2 4 4" xfId="15009"/>
    <cellStyle name="Normal 5 4 2 2 2 4 4" xfId="15010"/>
    <cellStyle name="Normal 7 4 2 2 2 4 4" xfId="15011"/>
    <cellStyle name="Normal 2 3 2 2 2 2 4 4" xfId="15012"/>
    <cellStyle name="Normal 3 3 2 2 2 2 4 4" xfId="15013"/>
    <cellStyle name="Normal 4 2 2 2 2 2 4 4" xfId="15014"/>
    <cellStyle name="Normal 5 2 2 2 2 2 4 4" xfId="15015"/>
    <cellStyle name="Normal 7 2 2 2 2 2 4 4" xfId="15016"/>
    <cellStyle name="Normal 2 4 2 2 2 2 4 4" xfId="15017"/>
    <cellStyle name="Normal 3 4 2 2 2 2 4 4" xfId="15018"/>
    <cellStyle name="Normal 4 3 2 2 2 2 4 4" xfId="15019"/>
    <cellStyle name="Normal 5 3 2 2 2 2 4 4" xfId="15020"/>
    <cellStyle name="Normal 7 3 2 2 2 2 4 4" xfId="15021"/>
    <cellStyle name="Normal 2 6 2 2 2 4 4" xfId="15022"/>
    <cellStyle name="Normal 3 6 2 2 2 4 4" xfId="15023"/>
    <cellStyle name="Normal 4 5 2 2 2 4 4" xfId="15024"/>
    <cellStyle name="Normal 5 5 2 2 2 4 4" xfId="15025"/>
    <cellStyle name="Normal 7 5 2 2 2 4 4" xfId="15026"/>
    <cellStyle name="Normal 2 3 3 2 2 2 4 4" xfId="15027"/>
    <cellStyle name="Normal 3 3 3 2 2 2 4 4" xfId="15028"/>
    <cellStyle name="Normal 4 2 3 2 2 2 4 4" xfId="15029"/>
    <cellStyle name="Normal 5 2 3 2 2 2 4 4" xfId="15030"/>
    <cellStyle name="Normal 7 2 3 2 2 2 4 4" xfId="15031"/>
    <cellStyle name="Normal 2 4 3 2 2 2 4 4" xfId="15032"/>
    <cellStyle name="Normal 3 4 3 2 2 2 4 4" xfId="15033"/>
    <cellStyle name="Normal 4 3 3 2 2 2 4 4" xfId="15034"/>
    <cellStyle name="Normal 5 3 3 2 2 2 4 4" xfId="15035"/>
    <cellStyle name="Normal 7 3 3 2 2 2 4 4" xfId="15036"/>
    <cellStyle name="Normal 28 4 4" xfId="15037"/>
    <cellStyle name="Normal 2 3 7 4 4" xfId="15038"/>
    <cellStyle name="Normal 3 10 4 4" xfId="15039"/>
    <cellStyle name="Normal 4 9 4 4" xfId="15040"/>
    <cellStyle name="Normal 5 9 4 4" xfId="15041"/>
    <cellStyle name="Millares 4 4 4" xfId="15042"/>
    <cellStyle name="Normal 7 2 7 4 4" xfId="15043"/>
    <cellStyle name="Normal 3 3 7 4 4" xfId="15044"/>
    <cellStyle name="Normal 4 2 7 4 4" xfId="15045"/>
    <cellStyle name="Normal 5 2 7 4 4" xfId="15046"/>
    <cellStyle name="Normal 2 4 5 3 4 4" xfId="15047"/>
    <cellStyle name="Normal 3 4 7 4 4" xfId="15048"/>
    <cellStyle name="Normal 4 3 7 4 4" xfId="15049"/>
    <cellStyle name="Normal 5 3 7 4 4" xfId="15050"/>
    <cellStyle name="Normal 7 3 7 4 4" xfId="15051"/>
    <cellStyle name="Normal 2 5 5 4 4" xfId="15052"/>
    <cellStyle name="Normal 3 5 5 4 4" xfId="15053"/>
    <cellStyle name="Normal 4 4 5 4 4" xfId="15054"/>
    <cellStyle name="Normal 5 4 5 4 4" xfId="15055"/>
    <cellStyle name="Normal 7 4 5 4 4" xfId="15056"/>
    <cellStyle name="Normal 2 3 2 5 4 4" xfId="15057"/>
    <cellStyle name="Normal 3 3 2 5 4 4" xfId="15058"/>
    <cellStyle name="Normal 4 2 2 5 4 4" xfId="15059"/>
    <cellStyle name="Normal 5 2 2 5 4 4" xfId="15060"/>
    <cellStyle name="Normal 7 2 2 5 4 4" xfId="15061"/>
    <cellStyle name="Normal 2 4 2 5 4 4" xfId="15062"/>
    <cellStyle name="Normal 3 4 2 5 4 4" xfId="15063"/>
    <cellStyle name="Normal 4 3 2 5 4 4" xfId="15064"/>
    <cellStyle name="Normal 5 3 2 5 4 4" xfId="15065"/>
    <cellStyle name="Normal 7 3 2 5 4 4" xfId="15066"/>
    <cellStyle name="Normal 2 6 5 4 4" xfId="15067"/>
    <cellStyle name="Normal 3 6 5 4 4" xfId="15068"/>
    <cellStyle name="Normal 4 5 5 4 4" xfId="15069"/>
    <cellStyle name="Normal 5 5 5 4 4" xfId="15070"/>
    <cellStyle name="Normal 7 5 5 4 4" xfId="15071"/>
    <cellStyle name="Normal 2 3 3 5 4 4" xfId="15072"/>
    <cellStyle name="Normal 3 3 3 5 4 4" xfId="15073"/>
    <cellStyle name="Normal 4 2 3 5 4 4" xfId="15074"/>
    <cellStyle name="Normal 5 2 3 5 4 4" xfId="15075"/>
    <cellStyle name="Normal 7 2 3 5 4 4" xfId="15076"/>
    <cellStyle name="Normal 2 4 3 5 4 4" xfId="15077"/>
    <cellStyle name="Normal 3 4 3 5 4 4" xfId="15078"/>
    <cellStyle name="Normal 4 3 3 5 4 4" xfId="15079"/>
    <cellStyle name="Normal 5 3 3 5 4 4" xfId="15080"/>
    <cellStyle name="Normal 7 3 3 5 4 4" xfId="15081"/>
    <cellStyle name="Normal 2 7 4 4 4" xfId="15082"/>
    <cellStyle name="Normal 3 7 4 4 4" xfId="15083"/>
    <cellStyle name="Normal 4 6 4 4 4" xfId="15084"/>
    <cellStyle name="Normal 5 6 4 4 4" xfId="15085"/>
    <cellStyle name="Normal 7 6 4 4 4" xfId="15086"/>
    <cellStyle name="Normal 2 3 4 4 4 4" xfId="15087"/>
    <cellStyle name="Normal 3 3 4 4 4 4" xfId="15088"/>
    <cellStyle name="Normal 4 2 4 4 4 4" xfId="15089"/>
    <cellStyle name="Normal 5 2 4 4 4 4" xfId="15090"/>
    <cellStyle name="Normal 7 2 4 4 4 4" xfId="15091"/>
    <cellStyle name="Normal 2 4 4 4 4 4" xfId="15092"/>
    <cellStyle name="Normal 3 4 4 4 4 4" xfId="15093"/>
    <cellStyle name="Normal 4 3 4 4 4 4" xfId="15094"/>
    <cellStyle name="Normal 5 3 4 4 4 4" xfId="15095"/>
    <cellStyle name="Normal 7 3 4 4 4 4" xfId="15096"/>
    <cellStyle name="Normal 2 5 2 4 4 4" xfId="15097"/>
    <cellStyle name="Normal 3 5 2 4 4 4" xfId="15098"/>
    <cellStyle name="Normal 4 4 2 4 4 4" xfId="15099"/>
    <cellStyle name="Normal 5 4 2 4 4 4" xfId="15100"/>
    <cellStyle name="Normal 7 4 2 4 4 4" xfId="15101"/>
    <cellStyle name="Normal 2 3 2 2 4 4 4" xfId="15102"/>
    <cellStyle name="Normal 3 3 2 2 4 4 4" xfId="15103"/>
    <cellStyle name="Normal 4 2 2 2 4 4 4" xfId="15104"/>
    <cellStyle name="Normal 5 2 2 2 4 4 4" xfId="15105"/>
    <cellStyle name="Normal 7 2 2 2 4 4 4" xfId="15106"/>
    <cellStyle name="Normal 2 4 2 2 4 4 4" xfId="15107"/>
    <cellStyle name="Normal 3 4 2 2 4 4 4" xfId="15108"/>
    <cellStyle name="Normal 4 3 2 2 4 4 4" xfId="15109"/>
    <cellStyle name="Normal 5 3 2 2 4 4 4" xfId="15110"/>
    <cellStyle name="Normal 7 3 2 2 4 4 4" xfId="15111"/>
    <cellStyle name="Normal 2 6 2 4 4 4" xfId="15112"/>
    <cellStyle name="Normal 3 6 2 4 4 4" xfId="15113"/>
    <cellStyle name="Normal 4 5 2 4 4 4" xfId="15114"/>
    <cellStyle name="Normal 5 5 2 4 4 4" xfId="15115"/>
    <cellStyle name="Normal 7 5 2 4 4 4" xfId="15116"/>
    <cellStyle name="Normal 2 3 3 2 4 4 4" xfId="15117"/>
    <cellStyle name="Normal 3 3 3 2 4 4 4" xfId="15118"/>
    <cellStyle name="Normal 4 2 3 2 4 4 4" xfId="15119"/>
    <cellStyle name="Normal 5 2 3 2 4 4 4" xfId="15120"/>
    <cellStyle name="Normal 7 2 3 2 4 4 4" xfId="15121"/>
    <cellStyle name="Normal 2 4 3 2 4 4 4" xfId="15122"/>
    <cellStyle name="Normal 3 4 3 2 4 4 4" xfId="15123"/>
    <cellStyle name="Normal 4 3 3 2 4 4 4" xfId="15124"/>
    <cellStyle name="Normal 5 3 3 2 4 4 4" xfId="15125"/>
    <cellStyle name="Normal 7 3 3 2 4 4 4" xfId="15126"/>
    <cellStyle name="Normal 2 8 3 4 4" xfId="15127"/>
    <cellStyle name="Normal 3 8 3 4 4" xfId="15128"/>
    <cellStyle name="Normal 4 7 3 4 4" xfId="15129"/>
    <cellStyle name="Normal 5 7 3 4 4" xfId="15130"/>
    <cellStyle name="Normal 7 7 3 4 4" xfId="15131"/>
    <cellStyle name="Normal 2 3 5 3 4 4" xfId="15132"/>
    <cellStyle name="Normal 3 3 5 3 4 4" xfId="15133"/>
    <cellStyle name="Normal 4 2 5 3 4 4" xfId="15134"/>
    <cellStyle name="Normal 5 2 5 3 4 4" xfId="15135"/>
    <cellStyle name="Normal 7 2 5 3 4 4" xfId="15136"/>
    <cellStyle name="Normal 3 4 5 3 4 4" xfId="15137"/>
    <cellStyle name="Normal 4 3 5 3 4 4" xfId="15138"/>
    <cellStyle name="Normal 5 3 5 3 4 4" xfId="15139"/>
    <cellStyle name="Normal 7 3 5 3 4 4" xfId="15140"/>
    <cellStyle name="Normal 2 5 3 3 4 4" xfId="15141"/>
    <cellStyle name="Normal 3 5 3 3 4 4" xfId="15142"/>
    <cellStyle name="Normal 4 4 3 3 4 4" xfId="15143"/>
    <cellStyle name="Normal 5 4 3 3 4 4" xfId="15144"/>
    <cellStyle name="Normal 7 4 3 3 4 4" xfId="15145"/>
    <cellStyle name="Normal 2 3 2 3 3 4 4" xfId="15146"/>
    <cellStyle name="Normal 3 3 2 3 3 4 4" xfId="15147"/>
    <cellStyle name="Normal 4 2 2 3 3 4 4" xfId="15148"/>
    <cellStyle name="Normal 5 2 2 3 3 4 4" xfId="15149"/>
    <cellStyle name="Normal 7 2 2 3 3 4 4" xfId="15150"/>
    <cellStyle name="Normal 2 4 2 3 3 4 4" xfId="15151"/>
    <cellStyle name="Normal 3 4 2 3 3 4 4" xfId="15152"/>
    <cellStyle name="Normal 4 3 2 3 3 4 4" xfId="15153"/>
    <cellStyle name="Normal 5 3 2 3 3 4 4" xfId="15154"/>
    <cellStyle name="Normal 7 3 2 3 3 4 4" xfId="15155"/>
    <cellStyle name="Normal 2 6 3 3 4 4" xfId="15156"/>
    <cellStyle name="Normal 3 6 3 3 4 4" xfId="15157"/>
    <cellStyle name="Normal 4 5 3 3 4 4" xfId="15158"/>
    <cellStyle name="Normal 5 5 3 3 4 4" xfId="15159"/>
    <cellStyle name="Normal 7 5 3 3 4 4" xfId="15160"/>
    <cellStyle name="Normal 2 3 3 3 3 4 4" xfId="15161"/>
    <cellStyle name="Normal 3 3 3 3 3 4 4" xfId="15162"/>
    <cellStyle name="Normal 4 2 3 3 3 4 4" xfId="15163"/>
    <cellStyle name="Normal 5 2 3 3 3 4 4" xfId="15164"/>
    <cellStyle name="Normal 7 2 3 3 3 4 4" xfId="15165"/>
    <cellStyle name="Normal 2 4 3 3 3 4 4" xfId="15166"/>
    <cellStyle name="Normal 3 4 3 3 3 4 4" xfId="15167"/>
    <cellStyle name="Normal 4 3 3 3 3 4 4" xfId="15168"/>
    <cellStyle name="Normal 5 3 3 3 3 4 4" xfId="15169"/>
    <cellStyle name="Normal 7 3 3 3 3 4 4" xfId="15170"/>
    <cellStyle name="Normal 2 7 2 3 4 4" xfId="15171"/>
    <cellStyle name="Normal 3 7 2 3 4 4" xfId="15172"/>
    <cellStyle name="Normal 4 6 2 3 4 4" xfId="15173"/>
    <cellStyle name="Normal 5 6 2 3 4 4" xfId="15174"/>
    <cellStyle name="Normal 7 6 2 3 4 4" xfId="15175"/>
    <cellStyle name="Normal 2 3 4 2 3 4 4" xfId="15176"/>
    <cellStyle name="Normal 3 3 4 2 3 4 4" xfId="15177"/>
    <cellStyle name="Normal 4 2 4 2 3 4 4" xfId="15178"/>
    <cellStyle name="Normal 5 2 4 2 3 4 4" xfId="15179"/>
    <cellStyle name="Normal 7 2 4 2 3 4 4" xfId="15180"/>
    <cellStyle name="Normal 2 4 4 2 3 4 4" xfId="15181"/>
    <cellStyle name="Normal 3 4 4 2 3 4 4" xfId="15182"/>
    <cellStyle name="Normal 4 3 4 2 3 4 4" xfId="15183"/>
    <cellStyle name="Normal 5 3 4 2 3 4 4" xfId="15184"/>
    <cellStyle name="Normal 7 3 4 2 3 4 4" xfId="15185"/>
    <cellStyle name="Normal 2 5 2 2 3 4 4" xfId="15186"/>
    <cellStyle name="Normal 3 5 2 2 3 4 4" xfId="15187"/>
    <cellStyle name="Normal 4 4 2 2 3 4 4" xfId="15188"/>
    <cellStyle name="Normal 5 4 2 2 3 4 4" xfId="15189"/>
    <cellStyle name="Normal 7 4 2 2 3 4 4" xfId="15190"/>
    <cellStyle name="Normal 2 3 2 2 2 3 4 4" xfId="15191"/>
    <cellStyle name="Normal 3 3 2 2 2 3 4 4" xfId="15192"/>
    <cellStyle name="Normal 4 2 2 2 2 3 4 4" xfId="15193"/>
    <cellStyle name="Normal 5 2 2 2 2 3 4 4" xfId="15194"/>
    <cellStyle name="Normal 7 2 2 2 2 3 4 4" xfId="15195"/>
    <cellStyle name="Normal 2 4 2 2 2 3 4 4" xfId="15196"/>
    <cellStyle name="Normal 3 4 2 2 2 3 4 4" xfId="15197"/>
    <cellStyle name="Normal 4 3 2 2 2 3 4 4" xfId="15198"/>
    <cellStyle name="Normal 5 3 2 2 2 3 4 4" xfId="15199"/>
    <cellStyle name="Normal 7 3 2 2 2 3 4 4" xfId="15200"/>
    <cellStyle name="Normal 2 6 2 2 3 4 4" xfId="15201"/>
    <cellStyle name="Normal 3 6 2 2 3 4 4" xfId="15202"/>
    <cellStyle name="Normal 4 5 2 2 3 4 4" xfId="15203"/>
    <cellStyle name="Normal 5 5 2 2 3 4 4" xfId="15204"/>
    <cellStyle name="Normal 7 5 2 2 3 4 4" xfId="15205"/>
    <cellStyle name="Normal 2 3 3 2 2 3 4 4" xfId="15206"/>
    <cellStyle name="Normal 3 3 3 2 2 3 4 4" xfId="15207"/>
    <cellStyle name="Normal 4 2 3 2 2 3 4 4" xfId="15208"/>
    <cellStyle name="Normal 5 2 3 2 2 3 4 4" xfId="15209"/>
    <cellStyle name="Normal 7 2 3 2 2 3 4 4" xfId="15210"/>
    <cellStyle name="Normal 2 4 3 2 2 3 4 4" xfId="15211"/>
    <cellStyle name="Normal 3 4 3 2 2 3 4 4" xfId="15212"/>
    <cellStyle name="Normal 4 3 3 2 2 3 4 4" xfId="15213"/>
    <cellStyle name="Normal 5 3 3 2 2 3 4 4" xfId="15214"/>
    <cellStyle name="Normal 7 3 3 2 2 3 4 4" xfId="15215"/>
    <cellStyle name="Normal 2 11 2 4" xfId="15216"/>
    <cellStyle name="Normal 3 11 2 4" xfId="15217"/>
    <cellStyle name="Normal 4 10 2 4" xfId="15218"/>
    <cellStyle name="Normal 5 10 2 4" xfId="15219"/>
    <cellStyle name="Normal 7 10 2 4" xfId="15220"/>
    <cellStyle name="Normal 2 3 8 2 4" xfId="15221"/>
    <cellStyle name="Normal 3 3 8 2 4" xfId="15222"/>
    <cellStyle name="Normal 4 2 8 2 4" xfId="15223"/>
    <cellStyle name="Normal 5 2 8 2 4" xfId="15224"/>
    <cellStyle name="Normal 7 2 8 2 4" xfId="15225"/>
    <cellStyle name="Normal 2 4 8 2 4" xfId="15226"/>
    <cellStyle name="Normal 3 4 8 2 4" xfId="15227"/>
    <cellStyle name="Normal 4 3 8 2 4" xfId="15228"/>
    <cellStyle name="Normal 5 3 8 2 4" xfId="15229"/>
    <cellStyle name="Normal 7 3 8 2 4" xfId="15230"/>
    <cellStyle name="Normal 2 5 6 2 4" xfId="15231"/>
    <cellStyle name="Normal 3 5 6 2 4" xfId="15232"/>
    <cellStyle name="Normal 4 4 6 2 4" xfId="15233"/>
    <cellStyle name="Normal 5 4 6 2 4" xfId="15234"/>
    <cellStyle name="Normal 7 4 6 2 4" xfId="15235"/>
    <cellStyle name="Normal 2 3 2 6 2 4" xfId="15236"/>
    <cellStyle name="Normal 3 3 2 6 2 4" xfId="15237"/>
    <cellStyle name="Normal 4 2 2 6 2 4" xfId="15238"/>
    <cellStyle name="Normal 5 2 2 6 2 4" xfId="15239"/>
    <cellStyle name="Normal 7 2 2 6 2 4" xfId="15240"/>
    <cellStyle name="Normal 2 4 2 6 2 4" xfId="15241"/>
    <cellStyle name="Normal 3 4 2 6 2 4" xfId="15242"/>
    <cellStyle name="Normal 4 3 2 6 2 4" xfId="15243"/>
    <cellStyle name="Normal 5 3 2 6 2 4" xfId="15244"/>
    <cellStyle name="Normal 7 3 2 6 2 4" xfId="15245"/>
    <cellStyle name="Normal 2 6 6 2 4" xfId="15246"/>
    <cellStyle name="Normal 3 6 6 2 4" xfId="15247"/>
    <cellStyle name="Normal 4 5 6 2 4" xfId="15248"/>
    <cellStyle name="Normal 5 5 6 2 4" xfId="15249"/>
    <cellStyle name="Normal 7 5 6 2 4" xfId="15250"/>
    <cellStyle name="Normal 2 3 3 6 2 4" xfId="15251"/>
    <cellStyle name="Normal 3 3 3 6 2 4" xfId="15252"/>
    <cellStyle name="Normal 4 2 3 6 2 4" xfId="15253"/>
    <cellStyle name="Normal 5 2 3 6 2 4" xfId="15254"/>
    <cellStyle name="Normal 7 2 3 6 2 4" xfId="15255"/>
    <cellStyle name="Normal 2 4 3 6 2 4" xfId="15256"/>
    <cellStyle name="Normal 3 4 3 6 2 4" xfId="15257"/>
    <cellStyle name="Normal 4 3 3 6 2 4" xfId="15258"/>
    <cellStyle name="Normal 5 3 3 6 2 4" xfId="15259"/>
    <cellStyle name="Normal 7 3 3 6 2 4" xfId="15260"/>
    <cellStyle name="Normal 2 7 5 2 4" xfId="15261"/>
    <cellStyle name="Normal 3 7 5 2 4" xfId="15262"/>
    <cellStyle name="Normal 4 6 5 2 4" xfId="15263"/>
    <cellStyle name="Normal 5 6 5 2 4" xfId="15264"/>
    <cellStyle name="Normal 7 6 5 2 4" xfId="15265"/>
    <cellStyle name="Normal 2 3 4 5 2 4" xfId="15266"/>
    <cellStyle name="Normal 3 3 4 5 2 4" xfId="15267"/>
    <cellStyle name="Normal 4 2 4 5 2 4" xfId="15268"/>
    <cellStyle name="Normal 5 2 4 5 2 4" xfId="15269"/>
    <cellStyle name="Normal 7 2 4 5 2 4" xfId="15270"/>
    <cellStyle name="Normal 2 4 4 5 2 4" xfId="15271"/>
    <cellStyle name="Normal 3 4 4 5 2 4" xfId="15272"/>
    <cellStyle name="Normal 4 3 4 5 2 4" xfId="15273"/>
    <cellStyle name="Normal 5 3 4 5 2 4" xfId="15274"/>
    <cellStyle name="Normal 7 3 4 5 2 4" xfId="15275"/>
    <cellStyle name="Normal 2 5 2 5 2 4" xfId="15276"/>
    <cellStyle name="Normal 3 5 2 5 2 4" xfId="15277"/>
    <cellStyle name="Normal 4 4 2 5 2 4" xfId="15278"/>
    <cellStyle name="Normal 5 4 2 5 2 4" xfId="15279"/>
    <cellStyle name="Normal 7 4 2 5 2 4" xfId="15280"/>
    <cellStyle name="Normal 2 3 2 2 5 2 4" xfId="15281"/>
    <cellStyle name="Normal 3 3 2 2 5 2 4" xfId="15282"/>
    <cellStyle name="Normal 4 2 2 2 5 2 4" xfId="15283"/>
    <cellStyle name="Normal 5 2 2 2 5 2 4" xfId="15284"/>
    <cellStyle name="Normal 7 2 2 2 5 2 4" xfId="15285"/>
    <cellStyle name="Normal 2 4 2 2 5 2 4" xfId="15286"/>
    <cellStyle name="Normal 3 4 2 2 5 2 4" xfId="15287"/>
    <cellStyle name="Normal 4 3 2 2 5 2 4" xfId="15288"/>
    <cellStyle name="Normal 5 3 2 2 5 2 4" xfId="15289"/>
    <cellStyle name="Normal 7 3 2 2 5 2 4" xfId="15290"/>
    <cellStyle name="Normal 2 6 2 5 2 4" xfId="15291"/>
    <cellStyle name="Normal 3 6 2 5 2 4" xfId="15292"/>
    <cellStyle name="Normal 4 5 2 5 2 4" xfId="15293"/>
    <cellStyle name="Normal 5 5 2 5 2 4" xfId="15294"/>
    <cellStyle name="Normal 7 5 2 5 2 4" xfId="15295"/>
    <cellStyle name="Normal 2 3 3 2 5 2 4" xfId="15296"/>
    <cellStyle name="Normal 3 3 3 2 5 2 4" xfId="15297"/>
    <cellStyle name="Normal 4 2 3 2 5 2 4" xfId="15298"/>
    <cellStyle name="Normal 5 2 3 2 5 2 4" xfId="15299"/>
    <cellStyle name="Normal 7 2 3 2 5 2 4" xfId="15300"/>
    <cellStyle name="Normal 2 4 3 2 5 2 4" xfId="15301"/>
    <cellStyle name="Normal 3 4 3 2 5 2 4" xfId="15302"/>
    <cellStyle name="Normal 4 3 3 2 5 2 4" xfId="15303"/>
    <cellStyle name="Normal 5 3 3 2 5 2 4" xfId="15304"/>
    <cellStyle name="Normal 7 3 3 2 5 2 4" xfId="15305"/>
    <cellStyle name="Normal 2 8 4 2 4" xfId="15306"/>
    <cellStyle name="Normal 3 8 4 2 4" xfId="15307"/>
    <cellStyle name="Normal 4 7 4 2 4" xfId="15308"/>
    <cellStyle name="Normal 5 7 4 2 4" xfId="15309"/>
    <cellStyle name="Normal 7 7 4 2 4" xfId="15310"/>
    <cellStyle name="Normal 2 3 5 4 2 4" xfId="15311"/>
    <cellStyle name="Normal 3 3 5 4 2 4" xfId="15312"/>
    <cellStyle name="Normal 4 2 5 4 2 4" xfId="15313"/>
    <cellStyle name="Normal 5 2 5 4 2 4" xfId="15314"/>
    <cellStyle name="Normal 7 2 5 4 2 4" xfId="15315"/>
    <cellStyle name="Normal 2 4 5 4 2 4" xfId="15316"/>
    <cellStyle name="Normal 3 4 5 4 2 4" xfId="15317"/>
    <cellStyle name="Normal 4 3 5 4 2 4" xfId="15318"/>
    <cellStyle name="Normal 5 3 5 4 2 4" xfId="15319"/>
    <cellStyle name="Normal 7 3 5 4 2 4" xfId="15320"/>
    <cellStyle name="Normal 2 5 3 4 2 4" xfId="15321"/>
    <cellStyle name="Normal 3 5 3 4 2 4" xfId="15322"/>
    <cellStyle name="Normal 4 4 3 4 2 4" xfId="15323"/>
    <cellStyle name="Normal 5 4 3 4 2 4" xfId="15324"/>
    <cellStyle name="Normal 7 4 3 4 2 4" xfId="15325"/>
    <cellStyle name="Normal 2 3 2 3 4 2 4" xfId="15326"/>
    <cellStyle name="Normal 3 3 2 3 4 2 4" xfId="15327"/>
    <cellStyle name="Normal 4 2 2 3 4 2 4" xfId="15328"/>
    <cellStyle name="Normal 5 2 2 3 4 2 4" xfId="15329"/>
    <cellStyle name="Normal 7 2 2 3 4 2 4" xfId="15330"/>
    <cellStyle name="Normal 2 4 2 3 4 2 4" xfId="15331"/>
    <cellStyle name="Normal 3 4 2 3 4 2 4" xfId="15332"/>
    <cellStyle name="Normal 4 3 2 3 4 2 4" xfId="15333"/>
    <cellStyle name="Normal 5 3 2 3 4 2 4" xfId="15334"/>
    <cellStyle name="Normal 7 3 2 3 4 2 4" xfId="15335"/>
    <cellStyle name="Normal 2 6 3 4 2 4" xfId="15336"/>
    <cellStyle name="Normal 3 6 3 4 2 4" xfId="15337"/>
    <cellStyle name="Normal 4 5 3 4 2 4" xfId="15338"/>
    <cellStyle name="Normal 5 5 3 4 2 4" xfId="15339"/>
    <cellStyle name="Normal 7 5 3 4 2 4" xfId="15340"/>
    <cellStyle name="Normal 2 3 3 3 4 2 4" xfId="15341"/>
    <cellStyle name="Normal 3 3 3 3 4 2 4" xfId="15342"/>
    <cellStyle name="Normal 4 2 3 3 4 2 4" xfId="15343"/>
    <cellStyle name="Normal 5 2 3 3 4 2 4" xfId="15344"/>
    <cellStyle name="Normal 7 2 3 3 4 2 4" xfId="15345"/>
    <cellStyle name="Normal 2 4 3 3 4 2 4" xfId="15346"/>
    <cellStyle name="Normal 3 4 3 3 4 2 4" xfId="15347"/>
    <cellStyle name="Normal 4 3 3 3 4 2 4" xfId="15348"/>
    <cellStyle name="Normal 5 3 3 3 4 2 4" xfId="15349"/>
    <cellStyle name="Normal 7 3 3 3 4 2 4" xfId="15350"/>
    <cellStyle name="Normal 2 7 2 4 2 4" xfId="15351"/>
    <cellStyle name="Normal 3 7 2 4 2 4" xfId="15352"/>
    <cellStyle name="Normal 4 6 2 4 2 4" xfId="15353"/>
    <cellStyle name="Normal 5 6 2 4 2 4" xfId="15354"/>
    <cellStyle name="Normal 7 6 2 4 2 4" xfId="15355"/>
    <cellStyle name="Normal 2 3 4 2 4 2 4" xfId="15356"/>
    <cellStyle name="Normal 3 3 4 2 4 2 4" xfId="15357"/>
    <cellStyle name="Normal 4 2 4 2 4 2 4" xfId="15358"/>
    <cellStyle name="Normal 5 2 4 2 4 2 4" xfId="15359"/>
    <cellStyle name="Normal 7 2 4 2 4 2 4" xfId="15360"/>
    <cellStyle name="Normal 2 4 4 2 4 2 4" xfId="15361"/>
    <cellStyle name="Normal 3 4 4 2 4 2 4" xfId="15362"/>
    <cellStyle name="Normal 4 3 4 2 4 2 4" xfId="15363"/>
    <cellStyle name="Normal 5 3 4 2 4 2 4" xfId="15364"/>
    <cellStyle name="Normal 7 3 4 2 4 2 4" xfId="15365"/>
    <cellStyle name="Normal 2 5 2 2 4 2 4" xfId="15366"/>
    <cellStyle name="Normal 3 5 2 2 4 2 4" xfId="15367"/>
    <cellStyle name="Normal 4 4 2 2 4 2 4" xfId="15368"/>
    <cellStyle name="Normal 5 4 2 2 4 2 4" xfId="15369"/>
    <cellStyle name="Normal 7 4 2 2 4 2 4" xfId="15370"/>
    <cellStyle name="Normal 2 3 2 2 2 4 2 4" xfId="15371"/>
    <cellStyle name="Normal 3 3 2 2 2 4 2 4" xfId="15372"/>
    <cellStyle name="Normal 4 2 2 2 2 4 2 4" xfId="15373"/>
    <cellStyle name="Normal 5 2 2 2 2 4 2 4" xfId="15374"/>
    <cellStyle name="Normal 7 2 2 2 2 4 2 4" xfId="15375"/>
    <cellStyle name="Normal 2 4 2 2 2 4 2 4" xfId="15376"/>
    <cellStyle name="Normal 3 4 2 2 2 4 2 4" xfId="15377"/>
    <cellStyle name="Normal 4 3 2 2 2 4 2 4" xfId="15378"/>
    <cellStyle name="Normal 5 3 2 2 2 4 2 4" xfId="15379"/>
    <cellStyle name="Normal 7 3 2 2 2 4 2 4" xfId="15380"/>
    <cellStyle name="Normal 2 6 2 2 4 2 4" xfId="15381"/>
    <cellStyle name="Normal 3 6 2 2 4 2 4" xfId="15382"/>
    <cellStyle name="Normal 4 5 2 2 4 2 4" xfId="15383"/>
    <cellStyle name="Normal 5 5 2 2 4 2 4" xfId="15384"/>
    <cellStyle name="Normal 7 5 2 2 4 2 4" xfId="15385"/>
    <cellStyle name="Normal 2 3 3 2 2 4 2 4" xfId="15386"/>
    <cellStyle name="Normal 3 3 3 2 2 4 2 4" xfId="15387"/>
    <cellStyle name="Normal 4 2 3 2 2 4 2 4" xfId="15388"/>
    <cellStyle name="Normal 5 2 3 2 2 4 2 4" xfId="15389"/>
    <cellStyle name="Normal 7 2 3 2 2 4 2 4" xfId="15390"/>
    <cellStyle name="Normal 2 4 3 2 2 4 2 4" xfId="15391"/>
    <cellStyle name="Normal 3 4 3 2 2 4 2 4" xfId="15392"/>
    <cellStyle name="Normal 4 3 3 2 2 4 2 4" xfId="15393"/>
    <cellStyle name="Normal 5 3 3 2 2 4 2 4" xfId="15394"/>
    <cellStyle name="Normal 7 3 3 2 2 4 2 4" xfId="15395"/>
    <cellStyle name="Normal 2 9 2 2 4" xfId="15396"/>
    <cellStyle name="Normal 3 9 2 2 4" xfId="15397"/>
    <cellStyle name="Normal 4 8 2 2 4" xfId="15398"/>
    <cellStyle name="Normal 5 8 2 2 4" xfId="15399"/>
    <cellStyle name="Normal 7 8 2 2 4" xfId="15400"/>
    <cellStyle name="Normal 2 3 6 2 2 4" xfId="15401"/>
    <cellStyle name="Normal 3 3 6 2 2 4" xfId="15402"/>
    <cellStyle name="Normal 4 2 6 2 2 4" xfId="15403"/>
    <cellStyle name="Normal 5 2 6 2 2 4" xfId="15404"/>
    <cellStyle name="Normal 7 2 6 2 2 4" xfId="15405"/>
    <cellStyle name="Normal 2 4 6 2 2 4" xfId="15406"/>
    <cellStyle name="Normal 3 4 6 2 2 4" xfId="15407"/>
    <cellStyle name="Normal 4 3 6 2 2 4" xfId="15408"/>
    <cellStyle name="Normal 5 3 6 2 2 4" xfId="15409"/>
    <cellStyle name="Normal 7 3 6 2 2 4" xfId="15410"/>
    <cellStyle name="Normal 2 5 4 2 2 4" xfId="15411"/>
    <cellStyle name="Normal 3 5 4 2 2 4" xfId="15412"/>
    <cellStyle name="Normal 4 4 4 2 2 4" xfId="15413"/>
    <cellStyle name="Normal 5 4 4 2 2 4" xfId="15414"/>
    <cellStyle name="Normal 7 4 4 2 2 4" xfId="15415"/>
    <cellStyle name="Normal 2 3 2 4 2 2 4" xfId="15416"/>
    <cellStyle name="Normal 3 3 2 4 2 2 4" xfId="15417"/>
    <cellStyle name="Normal 4 2 2 4 2 2 4" xfId="15418"/>
    <cellStyle name="Normal 5 2 2 4 2 2 4" xfId="15419"/>
    <cellStyle name="Normal 7 2 2 4 2 2 4" xfId="15420"/>
    <cellStyle name="Normal 2 4 2 4 2 2 4" xfId="15421"/>
    <cellStyle name="Normal 3 4 2 4 2 2 4" xfId="15422"/>
    <cellStyle name="Normal 4 3 2 4 2 2 4" xfId="15423"/>
    <cellStyle name="Normal 5 3 2 4 2 2 4" xfId="15424"/>
    <cellStyle name="Normal 7 3 2 4 2 2 4" xfId="15425"/>
    <cellStyle name="Normal 2 6 4 2 2 4" xfId="15426"/>
    <cellStyle name="Normal 3 6 4 2 2 4" xfId="15427"/>
    <cellStyle name="Normal 4 5 4 2 2 4" xfId="15428"/>
    <cellStyle name="Normal 5 5 4 2 2 4" xfId="15429"/>
    <cellStyle name="Normal 7 5 4 2 2 4" xfId="15430"/>
    <cellStyle name="Normal 2 3 3 4 2 2 4" xfId="15431"/>
    <cellStyle name="Normal 3 3 3 4 2 2 4" xfId="15432"/>
    <cellStyle name="Normal 4 2 3 4 2 2 4" xfId="15433"/>
    <cellStyle name="Normal 5 2 3 4 2 2 4" xfId="15434"/>
    <cellStyle name="Normal 7 2 3 4 2 2 4" xfId="15435"/>
    <cellStyle name="Normal 2 4 3 4 2 2 4" xfId="15436"/>
    <cellStyle name="Normal 3 4 3 4 2 2 4" xfId="15437"/>
    <cellStyle name="Normal 4 3 3 4 2 2 4" xfId="15438"/>
    <cellStyle name="Normal 5 3 3 4 2 2 4" xfId="15439"/>
    <cellStyle name="Normal 7 3 3 4 2 2 4" xfId="15440"/>
    <cellStyle name="Normal 2 7 3 2 2 4" xfId="15441"/>
    <cellStyle name="Normal 3 7 3 2 2 4" xfId="15442"/>
    <cellStyle name="Normal 4 6 3 2 2 4" xfId="15443"/>
    <cellStyle name="Normal 5 6 3 2 2 4" xfId="15444"/>
    <cellStyle name="Normal 7 6 3 2 2 4" xfId="15445"/>
    <cellStyle name="Normal 2 3 4 3 2 2 4" xfId="15446"/>
    <cellStyle name="Normal 3 3 4 3 2 2 4" xfId="15447"/>
    <cellStyle name="Normal 4 2 4 3 2 2 4" xfId="15448"/>
    <cellStyle name="Normal 5 2 4 3 2 2 4" xfId="15449"/>
    <cellStyle name="Normal 7 2 4 3 2 2 4" xfId="15450"/>
    <cellStyle name="Normal 2 4 4 3 2 2 4" xfId="15451"/>
    <cellStyle name="Normal 3 4 4 3 2 2 4" xfId="15452"/>
    <cellStyle name="Normal 4 3 4 3 2 2 4" xfId="15453"/>
    <cellStyle name="Normal 5 3 4 3 2 2 4" xfId="15454"/>
    <cellStyle name="Normal 7 3 4 3 2 2 4" xfId="15455"/>
    <cellStyle name="Normal 2 5 2 3 2 2 4" xfId="15456"/>
    <cellStyle name="Normal 3 5 2 3 2 2 4" xfId="15457"/>
    <cellStyle name="Normal 4 4 2 3 2 2 4" xfId="15458"/>
    <cellStyle name="Normal 5 4 2 3 2 2 4" xfId="15459"/>
    <cellStyle name="Normal 7 4 2 3 2 2 4" xfId="15460"/>
    <cellStyle name="Normal 2 3 2 2 3 2 2 4" xfId="15461"/>
    <cellStyle name="Normal 3 3 2 2 3 2 2 4" xfId="15462"/>
    <cellStyle name="Normal 4 2 2 2 3 2 2 4" xfId="15463"/>
    <cellStyle name="Normal 5 2 2 2 3 2 2 4" xfId="15464"/>
    <cellStyle name="Normal 7 2 2 2 3 2 2 4" xfId="15465"/>
    <cellStyle name="Normal 2 4 2 2 3 2 2 4" xfId="15466"/>
    <cellStyle name="Normal 3 4 2 2 3 2 2 4" xfId="15467"/>
    <cellStyle name="Normal 4 3 2 2 3 2 2 4" xfId="15468"/>
    <cellStyle name="Normal 5 3 2 2 3 2 2 4" xfId="15469"/>
    <cellStyle name="Normal 7 3 2 2 3 2 2 4" xfId="15470"/>
    <cellStyle name="Normal 2 6 2 3 2 2 4" xfId="15471"/>
    <cellStyle name="Normal 3 6 2 3 2 2 4" xfId="15472"/>
    <cellStyle name="Normal 4 5 2 3 2 2 4" xfId="15473"/>
    <cellStyle name="Normal 5 5 2 3 2 2 4" xfId="15474"/>
    <cellStyle name="Normal 7 5 2 3 2 2 4" xfId="15475"/>
    <cellStyle name="Normal 2 3 3 2 3 2 2 4" xfId="15476"/>
    <cellStyle name="Normal 3 3 3 2 3 2 2 4" xfId="15477"/>
    <cellStyle name="Normal 4 2 3 2 3 2 2 4" xfId="15478"/>
    <cellStyle name="Normal 5 2 3 2 3 2 2 4" xfId="15479"/>
    <cellStyle name="Normal 7 2 3 2 3 2 2 4" xfId="15480"/>
    <cellStyle name="Normal 2 4 3 2 3 2 2 4" xfId="15481"/>
    <cellStyle name="Normal 3 4 3 2 3 2 2 4" xfId="15482"/>
    <cellStyle name="Normal 4 3 3 2 3 2 2 4" xfId="15483"/>
    <cellStyle name="Normal 5 3 3 2 3 2 2 4" xfId="15484"/>
    <cellStyle name="Normal 7 3 3 2 3 2 2 4" xfId="15485"/>
    <cellStyle name="Normal 2 8 2 2 2 4" xfId="15486"/>
    <cellStyle name="Normal 3 8 2 2 2 4" xfId="15487"/>
    <cellStyle name="Normal 4 7 2 2 2 4" xfId="15488"/>
    <cellStyle name="Normal 5 7 2 2 2 4" xfId="15489"/>
    <cellStyle name="Normal 7 7 2 2 2 4" xfId="15490"/>
    <cellStyle name="Normal 2 3 5 2 2 2 4" xfId="15491"/>
    <cellStyle name="Normal 3 3 5 2 2 2 4" xfId="15492"/>
    <cellStyle name="Normal 4 2 5 2 2 2 4" xfId="15493"/>
    <cellStyle name="Normal 5 2 5 2 2 2 4" xfId="15494"/>
    <cellStyle name="Normal 7 2 5 2 2 2 4" xfId="15495"/>
    <cellStyle name="Normal 2 4 5 2 2 2 4" xfId="15496"/>
    <cellStyle name="Normal 3 4 5 2 2 2 4" xfId="15497"/>
    <cellStyle name="Normal 4 3 5 2 2 2 4" xfId="15498"/>
    <cellStyle name="Normal 5 3 5 2 2 2 4" xfId="15499"/>
    <cellStyle name="Normal 7 3 5 2 2 2 4" xfId="15500"/>
    <cellStyle name="Normal 2 5 3 2 2 2 4" xfId="15501"/>
    <cellStyle name="Normal 3 5 3 2 2 2 4" xfId="15502"/>
    <cellStyle name="Normal 4 4 3 2 2 2 4" xfId="15503"/>
    <cellStyle name="Normal 5 4 3 2 2 2 4" xfId="15504"/>
    <cellStyle name="Normal 7 4 3 2 2 2 4" xfId="15505"/>
    <cellStyle name="Normal 2 3 2 3 2 2 2 4" xfId="15506"/>
    <cellStyle name="Normal 3 3 2 3 2 2 2 4" xfId="15507"/>
    <cellStyle name="Normal 4 2 2 3 2 2 2 4" xfId="15508"/>
    <cellStyle name="Normal 5 2 2 3 2 2 2 4" xfId="15509"/>
    <cellStyle name="Normal 7 2 2 3 2 2 2 4" xfId="15510"/>
    <cellStyle name="Normal 2 4 2 3 2 2 2 4" xfId="15511"/>
    <cellStyle name="Normal 3 4 2 3 2 2 2 4" xfId="15512"/>
    <cellStyle name="Normal 4 3 2 3 2 2 2 4" xfId="15513"/>
    <cellStyle name="Normal 5 3 2 3 2 2 2 4" xfId="15514"/>
    <cellStyle name="Normal 7 3 2 3 2 2 2 4" xfId="15515"/>
    <cellStyle name="Normal 2 6 3 2 2 2 4" xfId="15516"/>
    <cellStyle name="Normal 3 6 3 2 2 2 4" xfId="15517"/>
    <cellStyle name="Normal 4 5 3 2 2 2 4" xfId="15518"/>
    <cellStyle name="Normal 5 5 3 2 2 2 4" xfId="15519"/>
    <cellStyle name="Normal 7 5 3 2 2 2 4" xfId="15520"/>
    <cellStyle name="Normal 2 3 3 3 2 2 2 4" xfId="15521"/>
    <cellStyle name="Normal 3 3 3 3 2 2 2 4" xfId="15522"/>
    <cellStyle name="Normal 4 2 3 3 2 2 2 4" xfId="15523"/>
    <cellStyle name="Normal 5 2 3 3 2 2 2 4" xfId="15524"/>
    <cellStyle name="Normal 7 2 3 3 2 2 2 4" xfId="15525"/>
    <cellStyle name="Normal 2 4 3 3 2 2 2 4" xfId="15526"/>
    <cellStyle name="Normal 3 4 3 3 2 2 2 4" xfId="15527"/>
    <cellStyle name="Normal 4 3 3 3 2 2 2 4" xfId="15528"/>
    <cellStyle name="Normal 5 3 3 3 2 2 2 4" xfId="15529"/>
    <cellStyle name="Normal 7 3 3 3 2 2 2 4" xfId="15530"/>
    <cellStyle name="Normal 2 7 2 2 2 2 4" xfId="15531"/>
    <cellStyle name="Normal 3 7 2 2 2 2 4" xfId="15532"/>
    <cellStyle name="Normal 4 6 2 2 2 2 4" xfId="15533"/>
    <cellStyle name="Normal 5 6 2 2 2 2 4" xfId="15534"/>
    <cellStyle name="Normal 7 6 2 2 2 2 4" xfId="15535"/>
    <cellStyle name="Normal 2 3 4 2 2 2 2 4" xfId="15536"/>
    <cellStyle name="Normal 3 3 4 2 2 2 2 4" xfId="15537"/>
    <cellStyle name="Normal 4 2 4 2 2 2 2 4" xfId="15538"/>
    <cellStyle name="Normal 5 2 4 2 2 2 2 4" xfId="15539"/>
    <cellStyle name="Normal 7 2 4 2 2 2 2 4" xfId="15540"/>
    <cellStyle name="Normal 2 4 4 2 2 2 2 4" xfId="15541"/>
    <cellStyle name="Normal 3 4 4 2 2 2 2 4" xfId="15542"/>
    <cellStyle name="Normal 4 3 4 2 2 2 2 4" xfId="15543"/>
    <cellStyle name="Normal 5 3 4 2 2 2 2 4" xfId="15544"/>
    <cellStyle name="Normal 7 3 4 2 2 2 2 4" xfId="15545"/>
    <cellStyle name="Normal 2 5 2 2 2 2 2 4" xfId="15546"/>
    <cellStyle name="Normal 3 5 2 2 2 2 2 4" xfId="15547"/>
    <cellStyle name="Normal 4 4 2 2 2 2 2 4" xfId="15548"/>
    <cellStyle name="Normal 5 4 2 2 2 2 2 4" xfId="15549"/>
    <cellStyle name="Normal 7 4 2 2 2 2 2 4" xfId="15550"/>
    <cellStyle name="Normal 2 3 2 2 2 2 2 2 4" xfId="15551"/>
    <cellStyle name="Normal 3 3 2 2 2 2 2 2 4" xfId="15552"/>
    <cellStyle name="Normal 4 2 2 2 2 2 2 2 4" xfId="15553"/>
    <cellStyle name="Normal 5 2 2 2 2 2 2 2 4" xfId="15554"/>
    <cellStyle name="Normal 7 2 2 2 2 2 2 2 4" xfId="15555"/>
    <cellStyle name="Normal 2 4 2 2 2 2 2 2 4" xfId="15556"/>
    <cellStyle name="Normal 3 4 2 2 2 2 2 2 4" xfId="15557"/>
    <cellStyle name="Normal 4 3 2 2 2 2 2 2 4" xfId="15558"/>
    <cellStyle name="Normal 5 3 2 2 2 2 2 2 4" xfId="15559"/>
    <cellStyle name="Normal 7 3 2 2 2 2 2 2 4" xfId="15560"/>
    <cellStyle name="Normal 2 6 2 2 2 2 2 4" xfId="15561"/>
    <cellStyle name="Normal 3 6 2 2 2 2 2 4" xfId="15562"/>
    <cellStyle name="Normal 4 5 2 2 2 2 2 4" xfId="15563"/>
    <cellStyle name="Normal 5 5 2 2 2 2 2 4" xfId="15564"/>
    <cellStyle name="Normal 7 5 2 2 2 2 2 4" xfId="15565"/>
    <cellStyle name="Normal 2 3 3 2 2 2 2 2 4" xfId="15566"/>
    <cellStyle name="Normal 3 3 3 2 2 2 2 2 4" xfId="15567"/>
    <cellStyle name="Normal 4 2 3 2 2 2 2 2 4" xfId="15568"/>
    <cellStyle name="Normal 5 2 3 2 2 2 2 2 4" xfId="15569"/>
    <cellStyle name="Normal 7 2 3 2 2 2 2 2 4" xfId="15570"/>
    <cellStyle name="Normal 2 4 3 2 2 2 2 2 4" xfId="15571"/>
    <cellStyle name="Normal 3 4 3 2 2 2 2 2 4" xfId="15572"/>
    <cellStyle name="Normal 4 3 3 2 2 2 2 2 4" xfId="15573"/>
    <cellStyle name="Normal 5 3 3 2 2 2 2 2 4" xfId="15574"/>
    <cellStyle name="Normal 7 3 3 2 2 2 2 2 4" xfId="15575"/>
    <cellStyle name="Normal 28 2 2 4" xfId="15576"/>
    <cellStyle name="Normal 2 3 7 2 2 4" xfId="15577"/>
    <cellStyle name="Normal 3 10 2 2 4" xfId="15578"/>
    <cellStyle name="Normal 4 9 2 2 4" xfId="15579"/>
    <cellStyle name="Normal 5 9 2 2 4" xfId="15580"/>
    <cellStyle name="Millares 4 2 2 4" xfId="15581"/>
    <cellStyle name="Normal 7 2 7 2 2 4" xfId="15582"/>
    <cellStyle name="Normal 3 3 7 2 2 4" xfId="15583"/>
    <cellStyle name="Normal 4 2 7 2 2 4" xfId="15584"/>
    <cellStyle name="Normal 5 2 7 2 2 4" xfId="15585"/>
    <cellStyle name="Normal 2 4 5 3 2 2 4" xfId="15586"/>
    <cellStyle name="Normal 3 4 7 2 2 4" xfId="15587"/>
    <cellStyle name="Normal 4 3 7 2 2 4" xfId="15588"/>
    <cellStyle name="Normal 5 3 7 2 2 4" xfId="15589"/>
    <cellStyle name="Normal 7 3 7 2 2 4" xfId="15590"/>
    <cellStyle name="Normal 2 5 5 2 2 4" xfId="15591"/>
    <cellStyle name="Normal 3 5 5 2 2 4" xfId="15592"/>
    <cellStyle name="Normal 4 4 5 2 2 4" xfId="15593"/>
    <cellStyle name="Normal 5 4 5 2 2 4" xfId="15594"/>
    <cellStyle name="Normal 7 4 5 2 2 4" xfId="15595"/>
    <cellStyle name="Normal 2 3 2 5 2 2 4" xfId="15596"/>
    <cellStyle name="Normal 3 3 2 5 2 2 4" xfId="15597"/>
    <cellStyle name="Normal 4 2 2 5 2 2 4" xfId="15598"/>
    <cellStyle name="Normal 5 2 2 5 2 2 4" xfId="15599"/>
    <cellStyle name="Normal 7 2 2 5 2 2 4" xfId="15600"/>
    <cellStyle name="Normal 2 4 2 5 2 2 4" xfId="15601"/>
    <cellStyle name="Normal 3 4 2 5 2 2 4" xfId="15602"/>
    <cellStyle name="Normal 4 3 2 5 2 2 4" xfId="15603"/>
    <cellStyle name="Normal 5 3 2 5 2 2 4" xfId="15604"/>
    <cellStyle name="Normal 7 3 2 5 2 2 4" xfId="15605"/>
    <cellStyle name="Normal 2 6 5 2 2 4" xfId="15606"/>
    <cellStyle name="Normal 3 6 5 2 2 4" xfId="15607"/>
    <cellStyle name="Normal 4 5 5 2 2 4" xfId="15608"/>
    <cellStyle name="Normal 5 5 5 2 2 4" xfId="15609"/>
    <cellStyle name="Normal 7 5 5 2 2 4" xfId="15610"/>
    <cellStyle name="Normal 2 3 3 5 2 2 4" xfId="15611"/>
    <cellStyle name="Normal 3 3 3 5 2 2 4" xfId="15612"/>
    <cellStyle name="Normal 4 2 3 5 2 2 4" xfId="15613"/>
    <cellStyle name="Normal 5 2 3 5 2 2 4" xfId="15614"/>
    <cellStyle name="Normal 7 2 3 5 2 2 4" xfId="15615"/>
    <cellStyle name="Normal 2 4 3 5 2 2 4" xfId="15616"/>
    <cellStyle name="Normal 3 4 3 5 2 2 4" xfId="15617"/>
    <cellStyle name="Normal 4 3 3 5 2 2 4" xfId="15618"/>
    <cellStyle name="Normal 5 3 3 5 2 2 4" xfId="15619"/>
    <cellStyle name="Normal 7 3 3 5 2 2 4" xfId="15620"/>
    <cellStyle name="Normal 2 7 4 2 2 4" xfId="15621"/>
    <cellStyle name="Normal 3 7 4 2 2 4" xfId="15622"/>
    <cellStyle name="Normal 4 6 4 2 2 4" xfId="15623"/>
    <cellStyle name="Normal 5 6 4 2 2 4" xfId="15624"/>
    <cellStyle name="Normal 7 6 4 2 2 4" xfId="15625"/>
    <cellStyle name="Normal 2 3 4 4 2 2 4" xfId="15626"/>
    <cellStyle name="Normal 3 3 4 4 2 2 4" xfId="15627"/>
    <cellStyle name="Normal 4 2 4 4 2 2 4" xfId="15628"/>
    <cellStyle name="Normal 5 2 4 4 2 2 4" xfId="15629"/>
    <cellStyle name="Normal 7 2 4 4 2 2 4" xfId="15630"/>
    <cellStyle name="Normal 2 4 4 4 2 2 4" xfId="15631"/>
    <cellStyle name="Normal 3 4 4 4 2 2 4" xfId="15632"/>
    <cellStyle name="Normal 4 3 4 4 2 2 4" xfId="15633"/>
    <cellStyle name="Normal 5 3 4 4 2 2 4" xfId="15634"/>
    <cellStyle name="Normal 7 3 4 4 2 2 4" xfId="15635"/>
    <cellStyle name="Normal 2 5 2 4 2 2 4" xfId="15636"/>
    <cellStyle name="Normal 3 5 2 4 2 2 4" xfId="15637"/>
    <cellStyle name="Normal 4 4 2 4 2 2 4" xfId="15638"/>
    <cellStyle name="Normal 5 4 2 4 2 2 4" xfId="15639"/>
    <cellStyle name="Normal 7 4 2 4 2 2 4" xfId="15640"/>
    <cellStyle name="Normal 2 3 2 2 4 2 2 4" xfId="15641"/>
    <cellStyle name="Normal 3 3 2 2 4 2 2 4" xfId="15642"/>
    <cellStyle name="Normal 4 2 2 2 4 2 2 4" xfId="15643"/>
    <cellStyle name="Normal 5 2 2 2 4 2 2 4" xfId="15644"/>
    <cellStyle name="Normal 7 2 2 2 4 2 2 4" xfId="15645"/>
    <cellStyle name="Normal 2 4 2 2 4 2 2 4" xfId="15646"/>
    <cellStyle name="Normal 3 4 2 2 4 2 2 4" xfId="15647"/>
    <cellStyle name="Normal 4 3 2 2 4 2 2 4" xfId="15648"/>
    <cellStyle name="Normal 5 3 2 2 4 2 2 4" xfId="15649"/>
    <cellStyle name="Normal 7 3 2 2 4 2 2 4" xfId="15650"/>
    <cellStyle name="Normal 2 6 2 4 2 2 4" xfId="15651"/>
    <cellStyle name="Normal 3 6 2 4 2 2 4" xfId="15652"/>
    <cellStyle name="Normal 4 5 2 4 2 2 4" xfId="15653"/>
    <cellStyle name="Normal 5 5 2 4 2 2 4" xfId="15654"/>
    <cellStyle name="Normal 7 5 2 4 2 2 4" xfId="15655"/>
    <cellStyle name="Normal 2 3 3 2 4 2 2 4" xfId="15656"/>
    <cellStyle name="Normal 3 3 3 2 4 2 2 4" xfId="15657"/>
    <cellStyle name="Normal 4 2 3 2 4 2 2 4" xfId="15658"/>
    <cellStyle name="Normal 5 2 3 2 4 2 2 4" xfId="15659"/>
    <cellStyle name="Normal 7 2 3 2 4 2 2 4" xfId="15660"/>
    <cellStyle name="Normal 2 4 3 2 4 2 2 4" xfId="15661"/>
    <cellStyle name="Normal 3 4 3 2 4 2 2 4" xfId="15662"/>
    <cellStyle name="Normal 4 3 3 2 4 2 2 4" xfId="15663"/>
    <cellStyle name="Normal 5 3 3 2 4 2 2 4" xfId="15664"/>
    <cellStyle name="Normal 7 3 3 2 4 2 2 4" xfId="15665"/>
    <cellStyle name="Normal 2 8 3 2 2 4" xfId="15666"/>
    <cellStyle name="Normal 3 8 3 2 2 4" xfId="15667"/>
    <cellStyle name="Normal 4 7 3 2 2 4" xfId="15668"/>
    <cellStyle name="Normal 5 7 3 2 2 4" xfId="15669"/>
    <cellStyle name="Normal 7 7 3 2 2 4" xfId="15670"/>
    <cellStyle name="Normal 2 3 5 3 2 2 4" xfId="15671"/>
    <cellStyle name="Normal 3 3 5 3 2 2 4" xfId="15672"/>
    <cellStyle name="Normal 4 2 5 3 2 2 4" xfId="15673"/>
    <cellStyle name="Normal 5 2 5 3 2 2 4" xfId="15674"/>
    <cellStyle name="Normal 7 2 5 3 2 2 4" xfId="15675"/>
    <cellStyle name="Normal 3 4 5 3 2 2 4" xfId="15676"/>
    <cellStyle name="Normal 4 3 5 3 2 2 4" xfId="15677"/>
    <cellStyle name="Normal 5 3 5 3 2 2 4" xfId="15678"/>
    <cellStyle name="Normal 7 3 5 3 2 2 4" xfId="15679"/>
    <cellStyle name="Normal 2 5 3 3 2 2 4" xfId="15680"/>
    <cellStyle name="Normal 3 5 3 3 2 2 4" xfId="15681"/>
    <cellStyle name="Normal 4 4 3 3 2 2 4" xfId="15682"/>
    <cellStyle name="Normal 5 4 3 3 2 2 4" xfId="15683"/>
    <cellStyle name="Normal 7 4 3 3 2 2 4" xfId="15684"/>
    <cellStyle name="Normal 2 3 2 3 3 2 2 4" xfId="15685"/>
    <cellStyle name="Normal 3 3 2 3 3 2 2 4" xfId="15686"/>
    <cellStyle name="Normal 4 2 2 3 3 2 2 4" xfId="15687"/>
    <cellStyle name="Normal 5 2 2 3 3 2 2 4" xfId="15688"/>
    <cellStyle name="Normal 7 2 2 3 3 2 2 4" xfId="15689"/>
    <cellStyle name="Normal 2 4 2 3 3 2 2 4" xfId="15690"/>
    <cellStyle name="Normal 3 4 2 3 3 2 2 4" xfId="15691"/>
    <cellStyle name="Normal 4 3 2 3 3 2 2 4" xfId="15692"/>
    <cellStyle name="Normal 5 3 2 3 3 2 2 4" xfId="15693"/>
    <cellStyle name="Normal 7 3 2 3 3 2 2 4" xfId="15694"/>
    <cellStyle name="Normal 2 6 3 3 2 2 4" xfId="15695"/>
    <cellStyle name="Normal 3 6 3 3 2 2 4" xfId="15696"/>
    <cellStyle name="Normal 4 5 3 3 2 2 4" xfId="15697"/>
    <cellStyle name="Normal 5 5 3 3 2 2 4" xfId="15698"/>
    <cellStyle name="Normal 7 5 3 3 2 2 4" xfId="15699"/>
    <cellStyle name="Normal 2 3 3 3 3 2 2 4" xfId="15700"/>
    <cellStyle name="Normal 3 3 3 3 3 2 2 4" xfId="15701"/>
    <cellStyle name="Normal 4 2 3 3 3 2 2 4" xfId="15702"/>
    <cellStyle name="Normal 5 2 3 3 3 2 2 4" xfId="15703"/>
    <cellStyle name="Normal 7 2 3 3 3 2 2 4" xfId="15704"/>
    <cellStyle name="Normal 2 4 3 3 3 2 2 4" xfId="15705"/>
    <cellStyle name="Normal 3 4 3 3 3 2 2 4" xfId="15706"/>
    <cellStyle name="Normal 4 3 3 3 3 2 2 4" xfId="15707"/>
    <cellStyle name="Normal 5 3 3 3 3 2 2 4" xfId="15708"/>
    <cellStyle name="Normal 7 3 3 3 3 2 2 4" xfId="15709"/>
    <cellStyle name="Normal 2 7 2 3 2 2 4" xfId="15710"/>
    <cellStyle name="Normal 3 7 2 3 2 2 4" xfId="15711"/>
    <cellStyle name="Normal 4 6 2 3 2 2 4" xfId="15712"/>
    <cellStyle name="Normal 5 6 2 3 2 2 4" xfId="15713"/>
    <cellStyle name="Normal 7 6 2 3 2 2 4" xfId="15714"/>
    <cellStyle name="Normal 2 3 4 2 3 2 2 4" xfId="15715"/>
    <cellStyle name="Normal 3 3 4 2 3 2 2 4" xfId="15716"/>
    <cellStyle name="Normal 4 2 4 2 3 2 2 4" xfId="15717"/>
    <cellStyle name="Normal 5 2 4 2 3 2 2 4" xfId="15718"/>
    <cellStyle name="Normal 7 2 4 2 3 2 2 4" xfId="15719"/>
    <cellStyle name="Normal 2 4 4 2 3 2 2 4" xfId="15720"/>
    <cellStyle name="Normal 3 4 4 2 3 2 2 4" xfId="15721"/>
    <cellStyle name="Normal 4 3 4 2 3 2 2 4" xfId="15722"/>
    <cellStyle name="Normal 5 3 4 2 3 2 2 4" xfId="15723"/>
    <cellStyle name="Normal 7 3 4 2 3 2 2 4" xfId="15724"/>
    <cellStyle name="Normal 2 5 2 2 3 2 2 4" xfId="15725"/>
    <cellStyle name="Normal 3 5 2 2 3 2 2 4" xfId="15726"/>
    <cellStyle name="Normal 4 4 2 2 3 2 2 4" xfId="15727"/>
    <cellStyle name="Normal 5 4 2 2 3 2 2 4" xfId="15728"/>
    <cellStyle name="Normal 7 4 2 2 3 2 2 4" xfId="15729"/>
    <cellStyle name="Normal 2 3 2 2 2 3 2 2 4" xfId="15730"/>
    <cellStyle name="Normal 3 3 2 2 2 3 2 2 4" xfId="15731"/>
    <cellStyle name="Normal 4 2 2 2 2 3 2 2 4" xfId="15732"/>
    <cellStyle name="Normal 5 2 2 2 2 3 2 2 4" xfId="15733"/>
    <cellStyle name="Normal 7 2 2 2 2 3 2 2 4" xfId="15734"/>
    <cellStyle name="Normal 2 4 2 2 2 3 2 2 4" xfId="15735"/>
    <cellStyle name="Normal 3 4 2 2 2 3 2 2 4" xfId="15736"/>
    <cellStyle name="Normal 4 3 2 2 2 3 2 2 4" xfId="15737"/>
    <cellStyle name="Normal 5 3 2 2 2 3 2 2 4" xfId="15738"/>
    <cellStyle name="Normal 7 3 2 2 2 3 2 2 4" xfId="15739"/>
    <cellStyle name="Normal 2 6 2 2 3 2 2 4" xfId="15740"/>
    <cellStyle name="Normal 3 6 2 2 3 2 2 4" xfId="15741"/>
    <cellStyle name="Normal 4 5 2 2 3 2 2 4" xfId="15742"/>
    <cellStyle name="Normal 5 5 2 2 3 2 2 4" xfId="15743"/>
    <cellStyle name="Normal 7 5 2 2 3 2 2 4" xfId="15744"/>
    <cellStyle name="Normal 2 3 3 2 2 3 2 2 4" xfId="15745"/>
    <cellStyle name="Normal 3 3 3 2 2 3 2 2 4" xfId="15746"/>
    <cellStyle name="Normal 4 2 3 2 2 3 2 2 4" xfId="15747"/>
    <cellStyle name="Normal 5 2 3 2 2 3 2 2 4" xfId="15748"/>
    <cellStyle name="Normal 7 2 3 2 2 3 2 2 4" xfId="15749"/>
    <cellStyle name="Normal 2 4 3 2 2 3 2 2 4" xfId="15750"/>
    <cellStyle name="Normal 3 4 3 2 2 3 2 2 4" xfId="15751"/>
    <cellStyle name="Normal 4 3 3 2 2 3 2 2 4" xfId="15752"/>
    <cellStyle name="Normal 5 3 3 2 2 3 2 2 4" xfId="15753"/>
    <cellStyle name="Normal 7 3 3 2 2 3 2 2 4" xfId="15754"/>
    <cellStyle name="Normal 2 12 2 4" xfId="15755"/>
    <cellStyle name="Normal 3 12 2 4" xfId="15756"/>
    <cellStyle name="Normal 4 11 2 4" xfId="15757"/>
    <cellStyle name="Normal 5 11 2 4" xfId="15758"/>
    <cellStyle name="Normal 7 11 2 4" xfId="15759"/>
    <cellStyle name="Normal 2 3 9 2 4" xfId="15760"/>
    <cellStyle name="Normal 3 3 9 2 4" xfId="15761"/>
    <cellStyle name="Normal 4 2 9 2 4" xfId="15762"/>
    <cellStyle name="Normal 5 2 9 2 4" xfId="15763"/>
    <cellStyle name="Normal 7 2 9 2 4" xfId="15764"/>
    <cellStyle name="Normal 2 4 9 2 4" xfId="15765"/>
    <cellStyle name="Normal 3 4 9 2 4" xfId="15766"/>
    <cellStyle name="Normal 4 3 9 2 4" xfId="15767"/>
    <cellStyle name="Normal 5 3 9 2 4" xfId="15768"/>
    <cellStyle name="Normal 7 3 9 2 4" xfId="15769"/>
    <cellStyle name="Normal 2 5 7 2 4" xfId="15770"/>
    <cellStyle name="Normal 3 5 7 2 4" xfId="15771"/>
    <cellStyle name="Normal 4 4 7 2 4" xfId="15772"/>
    <cellStyle name="Normal 5 4 7 2 4" xfId="15773"/>
    <cellStyle name="Normal 7 4 7 2 4" xfId="15774"/>
    <cellStyle name="Normal 2 3 2 7 2 4" xfId="15775"/>
    <cellStyle name="Normal 3 3 2 7 2 4" xfId="15776"/>
    <cellStyle name="Normal 4 2 2 7 2 4" xfId="15777"/>
    <cellStyle name="Normal 5 2 2 7 2 4" xfId="15778"/>
    <cellStyle name="Normal 7 2 2 7 2 4" xfId="15779"/>
    <cellStyle name="Normal 2 4 2 7 2 4" xfId="15780"/>
    <cellStyle name="Normal 3 4 2 7 2 4" xfId="15781"/>
    <cellStyle name="Normal 4 3 2 7 2 4" xfId="15782"/>
    <cellStyle name="Normal 5 3 2 7 2 4" xfId="15783"/>
    <cellStyle name="Normal 7 3 2 7 2 4" xfId="15784"/>
    <cellStyle name="Normal 2 6 7 2 4" xfId="15785"/>
    <cellStyle name="Normal 3 6 7 2 4" xfId="15786"/>
    <cellStyle name="Normal 4 5 7 2 4" xfId="15787"/>
    <cellStyle name="Normal 5 5 7 2 4" xfId="15788"/>
    <cellStyle name="Normal 7 5 7 2 4" xfId="15789"/>
    <cellStyle name="Normal 2 3 3 7 2 4" xfId="15790"/>
    <cellStyle name="Normal 3 3 3 7 2 4" xfId="15791"/>
    <cellStyle name="Normal 4 2 3 7 2 4" xfId="15792"/>
    <cellStyle name="Normal 5 2 3 7 2 4" xfId="15793"/>
    <cellStyle name="Normal 7 2 3 7 2 4" xfId="15794"/>
    <cellStyle name="Normal 2 4 3 7 2 4" xfId="15795"/>
    <cellStyle name="Normal 3 4 3 7 2 4" xfId="15796"/>
    <cellStyle name="Normal 4 3 3 7 2 4" xfId="15797"/>
    <cellStyle name="Normal 5 3 3 7 2 4" xfId="15798"/>
    <cellStyle name="Normal 7 3 3 7 2 4" xfId="15799"/>
    <cellStyle name="Normal 2 7 6 2 4" xfId="15800"/>
    <cellStyle name="Normal 3 7 6 2 4" xfId="15801"/>
    <cellStyle name="Normal 4 6 6 2 4" xfId="15802"/>
    <cellStyle name="Normal 5 6 6 2 4" xfId="15803"/>
    <cellStyle name="Normal 7 6 6 2 4" xfId="15804"/>
    <cellStyle name="Normal 2 3 4 6 2 4" xfId="15805"/>
    <cellStyle name="Normal 3 3 4 6 2 4" xfId="15806"/>
    <cellStyle name="Normal 4 2 4 6 2 4" xfId="15807"/>
    <cellStyle name="Normal 5 2 4 6 2 4" xfId="15808"/>
    <cellStyle name="Normal 7 2 4 6 2 4" xfId="15809"/>
    <cellStyle name="Normal 2 4 4 6 2 4" xfId="15810"/>
    <cellStyle name="Normal 3 4 4 6 2 4" xfId="15811"/>
    <cellStyle name="Normal 4 3 4 6 2 4" xfId="15812"/>
    <cellStyle name="Normal 5 3 4 6 2 4" xfId="15813"/>
    <cellStyle name="Normal 7 3 4 6 2 4" xfId="15814"/>
    <cellStyle name="Normal 2 5 2 6 2 4" xfId="15815"/>
    <cellStyle name="Normal 3 5 2 6 2 4" xfId="15816"/>
    <cellStyle name="Normal 4 4 2 6 2 4" xfId="15817"/>
    <cellStyle name="Normal 5 4 2 6 2 4" xfId="15818"/>
    <cellStyle name="Normal 7 4 2 6 2 4" xfId="15819"/>
    <cellStyle name="Normal 2 3 2 2 6 2 4" xfId="15820"/>
    <cellStyle name="Normal 3 3 2 2 6 2 4" xfId="15821"/>
    <cellStyle name="Normal 4 2 2 2 6 2 4" xfId="15822"/>
    <cellStyle name="Normal 5 2 2 2 6 2 4" xfId="15823"/>
    <cellStyle name="Normal 7 2 2 2 6 2 4" xfId="15824"/>
    <cellStyle name="Normal 2 4 2 2 6 2 4" xfId="15825"/>
    <cellStyle name="Normal 3 4 2 2 6 2 4" xfId="15826"/>
    <cellStyle name="Normal 4 3 2 2 6 2 4" xfId="15827"/>
    <cellStyle name="Normal 5 3 2 2 6 2 4" xfId="15828"/>
    <cellStyle name="Normal 7 3 2 2 6 2 4" xfId="15829"/>
    <cellStyle name="Normal 2 6 2 6 2 4" xfId="15830"/>
    <cellStyle name="Normal 3 6 2 6 2 4" xfId="15831"/>
    <cellStyle name="Normal 4 5 2 6 2 4" xfId="15832"/>
    <cellStyle name="Normal 5 5 2 6 2 4" xfId="15833"/>
    <cellStyle name="Normal 7 5 2 6 2 4" xfId="15834"/>
    <cellStyle name="Normal 2 3 3 2 6 2 4" xfId="15835"/>
    <cellStyle name="Normal 3 3 3 2 6 2 4" xfId="15836"/>
    <cellStyle name="Normal 4 2 3 2 6 2 4" xfId="15837"/>
    <cellStyle name="Normal 5 2 3 2 6 2 4" xfId="15838"/>
    <cellStyle name="Normal 7 2 3 2 6 2 4" xfId="15839"/>
    <cellStyle name="Normal 2 4 3 2 6 2 4" xfId="15840"/>
    <cellStyle name="Normal 3 4 3 2 6 2 4" xfId="15841"/>
    <cellStyle name="Normal 4 3 3 2 6 2 4" xfId="15842"/>
    <cellStyle name="Normal 5 3 3 2 6 2 4" xfId="15843"/>
    <cellStyle name="Normal 7 3 3 2 6 2 4" xfId="15844"/>
    <cellStyle name="Normal 2 8 5 2 4" xfId="15845"/>
    <cellStyle name="Normal 3 8 5 2 4" xfId="15846"/>
    <cellStyle name="Normal 4 7 5 2 4" xfId="15847"/>
    <cellStyle name="Normal 5 7 5 2 4" xfId="15848"/>
    <cellStyle name="Normal 7 7 5 2 4" xfId="15849"/>
    <cellStyle name="Normal 2 3 5 5 2 4" xfId="15850"/>
    <cellStyle name="Normal 3 3 5 5 2 4" xfId="15851"/>
    <cellStyle name="Normal 4 2 5 5 2 4" xfId="15852"/>
    <cellStyle name="Normal 5 2 5 5 2 4" xfId="15853"/>
    <cellStyle name="Normal 7 2 5 5 2 4" xfId="15854"/>
    <cellStyle name="Normal 2 4 5 5 2 4" xfId="15855"/>
    <cellStyle name="Normal 3 4 5 5 2 4" xfId="15856"/>
    <cellStyle name="Normal 4 3 5 5 2 4" xfId="15857"/>
    <cellStyle name="Normal 5 3 5 5 2 4" xfId="15858"/>
    <cellStyle name="Normal 7 3 5 5 2 4" xfId="15859"/>
    <cellStyle name="Normal 2 5 3 5 2 4" xfId="15860"/>
    <cellStyle name="Normal 3 5 3 5 2 4" xfId="15861"/>
    <cellStyle name="Normal 4 4 3 5 2 4" xfId="15862"/>
    <cellStyle name="Normal 5 4 3 5 2 4" xfId="15863"/>
    <cellStyle name="Normal 7 4 3 5 2 4" xfId="15864"/>
    <cellStyle name="Normal 2 3 2 3 5 2 4" xfId="15865"/>
    <cellStyle name="Normal 3 3 2 3 5 2 4" xfId="15866"/>
    <cellStyle name="Normal 4 2 2 3 5 2 4" xfId="15867"/>
    <cellStyle name="Normal 5 2 2 3 5 2 4" xfId="15868"/>
    <cellStyle name="Normal 7 2 2 3 5 2 4" xfId="15869"/>
    <cellStyle name="Normal 2 4 2 3 5 2 4" xfId="15870"/>
    <cellStyle name="Normal 3 4 2 3 5 2 4" xfId="15871"/>
    <cellStyle name="Normal 4 3 2 3 5 2 4" xfId="15872"/>
    <cellStyle name="Normal 5 3 2 3 5 2 4" xfId="15873"/>
    <cellStyle name="Normal 7 3 2 3 5 2 4" xfId="15874"/>
    <cellStyle name="Normal 2 6 3 5 2 4" xfId="15875"/>
    <cellStyle name="Normal 3 6 3 5 2 4" xfId="15876"/>
    <cellStyle name="Normal 4 5 3 5 2 4" xfId="15877"/>
    <cellStyle name="Normal 5 5 3 5 2 4" xfId="15878"/>
    <cellStyle name="Normal 7 5 3 5 2 4" xfId="15879"/>
    <cellStyle name="Normal 2 3 3 3 5 2 4" xfId="15880"/>
    <cellStyle name="Normal 3 3 3 3 5 2 4" xfId="15881"/>
    <cellStyle name="Normal 4 2 3 3 5 2 4" xfId="15882"/>
    <cellStyle name="Normal 5 2 3 3 5 2 4" xfId="15883"/>
    <cellStyle name="Normal 7 2 3 3 5 2 4" xfId="15884"/>
    <cellStyle name="Normal 2 4 3 3 5 2 4" xfId="15885"/>
    <cellStyle name="Normal 3 4 3 3 5 2 4" xfId="15886"/>
    <cellStyle name="Normal 4 3 3 3 5 2 4" xfId="15887"/>
    <cellStyle name="Normal 5 3 3 3 5 2 4" xfId="15888"/>
    <cellStyle name="Normal 7 3 3 3 5 2 4" xfId="15889"/>
    <cellStyle name="Normal 2 7 2 5 2 4" xfId="15890"/>
    <cellStyle name="Normal 3 7 2 5 2 4" xfId="15891"/>
    <cellStyle name="Normal 4 6 2 5 2 4" xfId="15892"/>
    <cellStyle name="Normal 5 6 2 5 2 4" xfId="15893"/>
    <cellStyle name="Normal 7 6 2 5 2 4" xfId="15894"/>
    <cellStyle name="Normal 2 3 4 2 5 2 4" xfId="15895"/>
    <cellStyle name="Normal 3 3 4 2 5 2 4" xfId="15896"/>
    <cellStyle name="Normal 4 2 4 2 5 2 4" xfId="15897"/>
    <cellStyle name="Normal 5 2 4 2 5 2 4" xfId="15898"/>
    <cellStyle name="Normal 7 2 4 2 5 2 4" xfId="15899"/>
    <cellStyle name="Normal 2 4 4 2 5 2 4" xfId="15900"/>
    <cellStyle name="Normal 3 4 4 2 5 2 4" xfId="15901"/>
    <cellStyle name="Normal 4 3 4 2 5 2 4" xfId="15902"/>
    <cellStyle name="Normal 5 3 4 2 5 2 4" xfId="15903"/>
    <cellStyle name="Normal 7 3 4 2 5 2 4" xfId="15904"/>
    <cellStyle name="Normal 2 5 2 2 5 2 4" xfId="15905"/>
    <cellStyle name="Normal 3 5 2 2 5 2 4" xfId="15906"/>
    <cellStyle name="Normal 4 4 2 2 5 2 4" xfId="15907"/>
    <cellStyle name="Normal 5 4 2 2 5 2 4" xfId="15908"/>
    <cellStyle name="Normal 7 4 2 2 5 2 4" xfId="15909"/>
    <cellStyle name="Normal 2 3 2 2 2 5 2 4" xfId="15910"/>
    <cellStyle name="Normal 3 3 2 2 2 5 2 4" xfId="15911"/>
    <cellStyle name="Normal 4 2 2 2 2 5 2 4" xfId="15912"/>
    <cellStyle name="Normal 5 2 2 2 2 5 2 4" xfId="15913"/>
    <cellStyle name="Normal 7 2 2 2 2 5 2 4" xfId="15914"/>
    <cellStyle name="Normal 2 4 2 2 2 5 2 4" xfId="15915"/>
    <cellStyle name="Normal 3 4 2 2 2 5 2 4" xfId="15916"/>
    <cellStyle name="Normal 4 3 2 2 2 5 2 4" xfId="15917"/>
    <cellStyle name="Normal 5 3 2 2 2 5 2 4" xfId="15918"/>
    <cellStyle name="Normal 7 3 2 2 2 5 2 4" xfId="15919"/>
    <cellStyle name="Normal 2 6 2 2 5 2 4" xfId="15920"/>
    <cellStyle name="Normal 3 6 2 2 5 2 4" xfId="15921"/>
    <cellStyle name="Normal 4 5 2 2 5 2 4" xfId="15922"/>
    <cellStyle name="Normal 5 5 2 2 5 2 4" xfId="15923"/>
    <cellStyle name="Normal 7 5 2 2 5 2 4" xfId="15924"/>
    <cellStyle name="Normal 2 3 3 2 2 5 2 4" xfId="15925"/>
    <cellStyle name="Normal 3 3 3 2 2 5 2 4" xfId="15926"/>
    <cellStyle name="Normal 4 2 3 2 2 5 2 4" xfId="15927"/>
    <cellStyle name="Normal 5 2 3 2 2 5 2 4" xfId="15928"/>
    <cellStyle name="Normal 7 2 3 2 2 5 2 4" xfId="15929"/>
    <cellStyle name="Normal 2 4 3 2 2 5 2 4" xfId="15930"/>
    <cellStyle name="Normal 3 4 3 2 2 5 2 4" xfId="15931"/>
    <cellStyle name="Normal 4 3 3 2 2 5 2 4" xfId="15932"/>
    <cellStyle name="Normal 5 3 3 2 2 5 2 4" xfId="15933"/>
    <cellStyle name="Normal 7 3 3 2 2 5 2 4" xfId="15934"/>
    <cellStyle name="Normal 2 9 3 2 4" xfId="15935"/>
    <cellStyle name="Normal 3 9 3 2 4" xfId="15936"/>
    <cellStyle name="Normal 4 8 3 2 4" xfId="15937"/>
    <cellStyle name="Normal 5 8 3 2 4" xfId="15938"/>
    <cellStyle name="Normal 7 8 3 2 4" xfId="15939"/>
    <cellStyle name="Normal 2 3 6 3 2 4" xfId="15940"/>
    <cellStyle name="Normal 3 3 6 3 2 4" xfId="15941"/>
    <cellStyle name="Normal 4 2 6 3 2 4" xfId="15942"/>
    <cellStyle name="Normal 5 2 6 3 2 4" xfId="15943"/>
    <cellStyle name="Normal 7 2 6 3 2 4" xfId="15944"/>
    <cellStyle name="Normal 2 4 6 3 2 4" xfId="15945"/>
    <cellStyle name="Normal 3 4 6 3 2 4" xfId="15946"/>
    <cellStyle name="Normal 4 3 6 3 2 4" xfId="15947"/>
    <cellStyle name="Normal 5 3 6 3 2 4" xfId="15948"/>
    <cellStyle name="Normal 7 3 6 3 2 4" xfId="15949"/>
    <cellStyle name="Normal 2 5 4 3 2 4" xfId="15950"/>
    <cellStyle name="Normal 3 5 4 3 2 4" xfId="15951"/>
    <cellStyle name="Normal 4 4 4 3 2 4" xfId="15952"/>
    <cellStyle name="Normal 5 4 4 3 2 4" xfId="15953"/>
    <cellStyle name="Normal 7 4 4 3 2 4" xfId="15954"/>
    <cellStyle name="Normal 2 3 2 4 3 2 4" xfId="15955"/>
    <cellStyle name="Normal 3 3 2 4 3 2 4" xfId="15956"/>
    <cellStyle name="Normal 4 2 2 4 3 2 4" xfId="15957"/>
    <cellStyle name="Normal 5 2 2 4 3 2 4" xfId="15958"/>
    <cellStyle name="Normal 7 2 2 4 3 2 4" xfId="15959"/>
    <cellStyle name="Normal 2 4 2 4 3 2 4" xfId="15960"/>
    <cellStyle name="Normal 3 4 2 4 3 2 4" xfId="15961"/>
    <cellStyle name="Normal 4 3 2 4 3 2 4" xfId="15962"/>
    <cellStyle name="Normal 5 3 2 4 3 2 4" xfId="15963"/>
    <cellStyle name="Normal 7 3 2 4 3 2 4" xfId="15964"/>
    <cellStyle name="Normal 2 6 4 3 2 4" xfId="15965"/>
    <cellStyle name="Normal 3 6 4 3 2 4" xfId="15966"/>
    <cellStyle name="Normal 4 5 4 3 2 4" xfId="15967"/>
    <cellStyle name="Normal 5 5 4 3 2 4" xfId="15968"/>
    <cellStyle name="Normal 7 5 4 3 2 4" xfId="15969"/>
    <cellStyle name="Normal 2 3 3 4 3 2 4" xfId="15970"/>
    <cellStyle name="Normal 3 3 3 4 3 2 4" xfId="15971"/>
    <cellStyle name="Normal 4 2 3 4 3 2 4" xfId="15972"/>
    <cellStyle name="Normal 5 2 3 4 3 2 4" xfId="15973"/>
    <cellStyle name="Normal 7 2 3 4 3 2 4" xfId="15974"/>
    <cellStyle name="Normal 2 4 3 4 3 2 4" xfId="15975"/>
    <cellStyle name="Normal 3 4 3 4 3 2 4" xfId="15976"/>
    <cellStyle name="Normal 4 3 3 4 3 2 4" xfId="15977"/>
    <cellStyle name="Normal 5 3 3 4 3 2 4" xfId="15978"/>
    <cellStyle name="Normal 7 3 3 4 3 2 4" xfId="15979"/>
    <cellStyle name="Normal 2 7 3 3 2 4" xfId="15980"/>
    <cellStyle name="Normal 3 7 3 3 2 4" xfId="15981"/>
    <cellStyle name="Normal 4 6 3 3 2 4" xfId="15982"/>
    <cellStyle name="Normal 5 6 3 3 2 4" xfId="15983"/>
    <cellStyle name="Normal 7 6 3 3 2 4" xfId="15984"/>
    <cellStyle name="Normal 2 3 4 3 3 2 4" xfId="15985"/>
    <cellStyle name="Normal 3 3 4 3 3 2 4" xfId="15986"/>
    <cellStyle name="Normal 4 2 4 3 3 2 4" xfId="15987"/>
    <cellStyle name="Normal 5 2 4 3 3 2 4" xfId="15988"/>
    <cellStyle name="Normal 7 2 4 3 3 2 4" xfId="15989"/>
    <cellStyle name="Normal 2 4 4 3 3 2 4" xfId="15990"/>
    <cellStyle name="Normal 3 4 4 3 3 2 4" xfId="15991"/>
    <cellStyle name="Normal 4 3 4 3 3 2 4" xfId="15992"/>
    <cellStyle name="Normal 5 3 4 3 3 2 4" xfId="15993"/>
    <cellStyle name="Normal 7 3 4 3 3 2 4" xfId="15994"/>
    <cellStyle name="Normal 2 5 2 3 3 2 4" xfId="15995"/>
    <cellStyle name="Normal 3 5 2 3 3 2 4" xfId="15996"/>
    <cellStyle name="Normal 4 4 2 3 3 2 4" xfId="15997"/>
    <cellStyle name="Normal 5 4 2 3 3 2 4" xfId="15998"/>
    <cellStyle name="Normal 7 4 2 3 3 2 4" xfId="15999"/>
    <cellStyle name="Normal 2 3 2 2 3 3 2 4" xfId="16000"/>
    <cellStyle name="Normal 3 3 2 2 3 3 2 4" xfId="16001"/>
    <cellStyle name="Normal 4 2 2 2 3 3 2 4" xfId="16002"/>
    <cellStyle name="Normal 5 2 2 2 3 3 2 4" xfId="16003"/>
    <cellStyle name="Normal 7 2 2 2 3 3 2 4" xfId="16004"/>
    <cellStyle name="Normal 2 4 2 2 3 3 2 4" xfId="16005"/>
    <cellStyle name="Normal 3 4 2 2 3 3 2 4" xfId="16006"/>
    <cellStyle name="Normal 4 3 2 2 3 3 2 4" xfId="16007"/>
    <cellStyle name="Normal 5 3 2 2 3 3 2 4" xfId="16008"/>
    <cellStyle name="Normal 7 3 2 2 3 3 2 4" xfId="16009"/>
    <cellStyle name="Normal 2 6 2 3 3 2 4" xfId="16010"/>
    <cellStyle name="Normal 3 6 2 3 3 2 4" xfId="16011"/>
    <cellStyle name="Normal 4 5 2 3 3 2 4" xfId="16012"/>
    <cellStyle name="Normal 5 5 2 3 3 2 4" xfId="16013"/>
    <cellStyle name="Normal 7 5 2 3 3 2 4" xfId="16014"/>
    <cellStyle name="Normal 2 3 3 2 3 3 2 4" xfId="16015"/>
    <cellStyle name="Normal 3 3 3 2 3 3 2 4" xfId="16016"/>
    <cellStyle name="Normal 4 2 3 2 3 3 2 4" xfId="16017"/>
    <cellStyle name="Normal 5 2 3 2 3 3 2 4" xfId="16018"/>
    <cellStyle name="Normal 7 2 3 2 3 3 2 4" xfId="16019"/>
    <cellStyle name="Normal 2 4 3 2 3 3 2 4" xfId="16020"/>
    <cellStyle name="Normal 3 4 3 2 3 3 2 4" xfId="16021"/>
    <cellStyle name="Normal 4 3 3 2 3 3 2 4" xfId="16022"/>
    <cellStyle name="Normal 5 3 3 2 3 3 2 4" xfId="16023"/>
    <cellStyle name="Normal 7 3 3 2 3 3 2 4" xfId="16024"/>
    <cellStyle name="Normal 2 8 2 3 2 4" xfId="16025"/>
    <cellStyle name="Normal 3 8 2 3 2 4" xfId="16026"/>
    <cellStyle name="Normal 4 7 2 3 2 4" xfId="16027"/>
    <cellStyle name="Normal 5 7 2 3 2 4" xfId="16028"/>
    <cellStyle name="Normal 7 7 2 3 2 4" xfId="16029"/>
    <cellStyle name="Normal 2 3 5 2 3 2 4" xfId="16030"/>
    <cellStyle name="Normal 3 3 5 2 3 2 4" xfId="16031"/>
    <cellStyle name="Normal 4 2 5 2 3 2 4" xfId="16032"/>
    <cellStyle name="Normal 5 2 5 2 3 2 4" xfId="16033"/>
    <cellStyle name="Normal 7 2 5 2 3 2 4" xfId="16034"/>
    <cellStyle name="Normal 2 4 5 2 3 2 4" xfId="16035"/>
    <cellStyle name="Normal 3 4 5 2 3 2 4" xfId="16036"/>
    <cellStyle name="Normal 4 3 5 2 3 2 4" xfId="16037"/>
    <cellStyle name="Normal 5 3 5 2 3 2 4" xfId="16038"/>
    <cellStyle name="Normal 7 3 5 2 3 2 4" xfId="16039"/>
    <cellStyle name="Normal 2 5 3 2 3 2 4" xfId="16040"/>
    <cellStyle name="Normal 3 5 3 2 3 2 4" xfId="16041"/>
    <cellStyle name="Normal 4 4 3 2 3 2 4" xfId="16042"/>
    <cellStyle name="Normal 5 4 3 2 3 2 4" xfId="16043"/>
    <cellStyle name="Normal 7 4 3 2 3 2 4" xfId="16044"/>
    <cellStyle name="Normal 2 3 2 3 2 3 2 4" xfId="16045"/>
    <cellStyle name="Normal 3 3 2 3 2 3 2 4" xfId="16046"/>
    <cellStyle name="Normal 4 2 2 3 2 3 2 4" xfId="16047"/>
    <cellStyle name="Normal 5 2 2 3 2 3 2 4" xfId="16048"/>
    <cellStyle name="Normal 7 2 2 3 2 3 2 4" xfId="16049"/>
    <cellStyle name="Normal 2 4 2 3 2 3 2 4" xfId="16050"/>
    <cellStyle name="Normal 3 4 2 3 2 3 2 4" xfId="16051"/>
    <cellStyle name="Normal 4 3 2 3 2 3 2 4" xfId="16052"/>
    <cellStyle name="Normal 5 3 2 3 2 3 2 4" xfId="16053"/>
    <cellStyle name="Normal 7 3 2 3 2 3 2 4" xfId="16054"/>
    <cellStyle name="Normal 2 6 3 2 3 2 4" xfId="16055"/>
    <cellStyle name="Normal 3 6 3 2 3 2 4" xfId="16056"/>
    <cellStyle name="Normal 4 5 3 2 3 2 4" xfId="16057"/>
    <cellStyle name="Normal 5 5 3 2 3 2 4" xfId="16058"/>
    <cellStyle name="Normal 7 5 3 2 3 2 4" xfId="16059"/>
    <cellStyle name="Normal 2 3 3 3 2 3 2 4" xfId="16060"/>
    <cellStyle name="Normal 3 3 3 3 2 3 2 4" xfId="16061"/>
    <cellStyle name="Normal 4 2 3 3 2 3 2 4" xfId="16062"/>
    <cellStyle name="Normal 5 2 3 3 2 3 2 4" xfId="16063"/>
    <cellStyle name="Normal 7 2 3 3 2 3 2 4" xfId="16064"/>
    <cellStyle name="Normal 2 4 3 3 2 3 2 4" xfId="16065"/>
    <cellStyle name="Normal 3 4 3 3 2 3 2 4" xfId="16066"/>
    <cellStyle name="Normal 4 3 3 3 2 3 2 4" xfId="16067"/>
    <cellStyle name="Normal 5 3 3 3 2 3 2 4" xfId="16068"/>
    <cellStyle name="Normal 7 3 3 3 2 3 2 4" xfId="16069"/>
    <cellStyle name="Normal 2 7 2 2 3 2 4" xfId="16070"/>
    <cellStyle name="Normal 3 7 2 2 3 2 4" xfId="16071"/>
    <cellStyle name="Normal 4 6 2 2 3 2 4" xfId="16072"/>
    <cellStyle name="Normal 5 6 2 2 3 2 4" xfId="16073"/>
    <cellStyle name="Normal 7 6 2 2 3 2 4" xfId="16074"/>
    <cellStyle name="Normal 2 3 4 2 2 3 2 4" xfId="16075"/>
    <cellStyle name="Normal 3 3 4 2 2 3 2 4" xfId="16076"/>
    <cellStyle name="Normal 4 2 4 2 2 3 2 4" xfId="16077"/>
    <cellStyle name="Normal 5 2 4 2 2 3 2 4" xfId="16078"/>
    <cellStyle name="Normal 7 2 4 2 2 3 2 4" xfId="16079"/>
    <cellStyle name="Normal 2 4 4 2 2 3 2 4" xfId="16080"/>
    <cellStyle name="Normal 3 4 4 2 2 3 2 4" xfId="16081"/>
    <cellStyle name="Normal 4 3 4 2 2 3 2 4" xfId="16082"/>
    <cellStyle name="Normal 5 3 4 2 2 3 2 4" xfId="16083"/>
    <cellStyle name="Normal 7 3 4 2 2 3 2 4" xfId="16084"/>
    <cellStyle name="Normal 2 5 2 2 2 3 2 4" xfId="16085"/>
    <cellStyle name="Normal 3 5 2 2 2 3 2 4" xfId="16086"/>
    <cellStyle name="Normal 4 4 2 2 2 3 2 4" xfId="16087"/>
    <cellStyle name="Normal 5 4 2 2 2 3 2 4" xfId="16088"/>
    <cellStyle name="Normal 7 4 2 2 2 3 2 4" xfId="16089"/>
    <cellStyle name="Normal 2 3 2 2 2 2 3 2 4" xfId="16090"/>
    <cellStyle name="Normal 3 3 2 2 2 2 3 2 4" xfId="16091"/>
    <cellStyle name="Normal 4 2 2 2 2 2 3 2 4" xfId="16092"/>
    <cellStyle name="Normal 5 2 2 2 2 2 3 2 4" xfId="16093"/>
    <cellStyle name="Normal 7 2 2 2 2 2 3 2 4" xfId="16094"/>
    <cellStyle name="Normal 2 4 2 2 2 2 3 2 4" xfId="16095"/>
    <cellStyle name="Normal 3 4 2 2 2 2 3 2 4" xfId="16096"/>
    <cellStyle name="Normal 4 3 2 2 2 2 3 2 4" xfId="16097"/>
    <cellStyle name="Normal 5 3 2 2 2 2 3 2 4" xfId="16098"/>
    <cellStyle name="Normal 7 3 2 2 2 2 3 2 4" xfId="16099"/>
    <cellStyle name="Normal 2 6 2 2 2 3 2 4" xfId="16100"/>
    <cellStyle name="Normal 3 6 2 2 2 3 2 4" xfId="16101"/>
    <cellStyle name="Normal 4 5 2 2 2 3 2 4" xfId="16102"/>
    <cellStyle name="Normal 5 5 2 2 2 3 2 4" xfId="16103"/>
    <cellStyle name="Normal 7 5 2 2 2 3 2 4" xfId="16104"/>
    <cellStyle name="Normal 2 3 3 2 2 2 3 2 4" xfId="16105"/>
    <cellStyle name="Normal 3 3 3 2 2 2 3 2 4" xfId="16106"/>
    <cellStyle name="Normal 4 2 3 2 2 2 3 2 4" xfId="16107"/>
    <cellStyle name="Normal 5 2 3 2 2 2 3 2 4" xfId="16108"/>
    <cellStyle name="Normal 7 2 3 2 2 2 3 2 4" xfId="16109"/>
    <cellStyle name="Normal 2 4 3 2 2 2 3 2 4" xfId="16110"/>
    <cellStyle name="Normal 3 4 3 2 2 2 3 2 4" xfId="16111"/>
    <cellStyle name="Normal 4 3 3 2 2 2 3 2 4" xfId="16112"/>
    <cellStyle name="Normal 5 3 3 2 2 2 3 2 4" xfId="16113"/>
    <cellStyle name="Normal 7 3 3 2 2 2 3 2 4" xfId="16114"/>
    <cellStyle name="Normal 28 3 2 4" xfId="16115"/>
    <cellStyle name="Normal 2 3 7 3 2 4" xfId="16116"/>
    <cellStyle name="Normal 3 10 3 2 4" xfId="16117"/>
    <cellStyle name="Normal 4 9 3 2 4" xfId="16118"/>
    <cellStyle name="Normal 5 9 3 2 4" xfId="16119"/>
    <cellStyle name="Millares 4 3 2 4" xfId="16120"/>
    <cellStyle name="Normal 7 2 7 3 2 4" xfId="16121"/>
    <cellStyle name="Normal 3 3 7 3 2 4" xfId="16122"/>
    <cellStyle name="Normal 4 2 7 3 2 4" xfId="16123"/>
    <cellStyle name="Normal 5 2 7 3 2 4" xfId="16124"/>
    <cellStyle name="Normal 2 4 5 3 3 2 4" xfId="16125"/>
    <cellStyle name="Normal 3 4 7 3 2 4" xfId="16126"/>
    <cellStyle name="Normal 4 3 7 3 2 4" xfId="16127"/>
    <cellStyle name="Normal 5 3 7 3 2 4" xfId="16128"/>
    <cellStyle name="Normal 7 3 7 3 2 4" xfId="16129"/>
    <cellStyle name="Normal 2 5 5 3 2 4" xfId="16130"/>
    <cellStyle name="Normal 3 5 5 3 2 4" xfId="16131"/>
    <cellStyle name="Normal 4 4 5 3 2 4" xfId="16132"/>
    <cellStyle name="Normal 5 4 5 3 2 4" xfId="16133"/>
    <cellStyle name="Normal 7 4 5 3 2 4" xfId="16134"/>
    <cellStyle name="Normal 2 3 2 5 3 2 4" xfId="16135"/>
    <cellStyle name="Normal 3 3 2 5 3 2 4" xfId="16136"/>
    <cellStyle name="Normal 4 2 2 5 3 2 4" xfId="16137"/>
    <cellStyle name="Normal 5 2 2 5 3 2 4" xfId="16138"/>
    <cellStyle name="Normal 7 2 2 5 3 2 4" xfId="16139"/>
    <cellStyle name="Normal 2 4 2 5 3 2 4" xfId="16140"/>
    <cellStyle name="Normal 3 4 2 5 3 2 4" xfId="16141"/>
    <cellStyle name="Normal 4 3 2 5 3 2 4" xfId="16142"/>
    <cellStyle name="Normal 5 3 2 5 3 2 4" xfId="16143"/>
    <cellStyle name="Normal 7 3 2 5 3 2 4" xfId="16144"/>
    <cellStyle name="Normal 2 6 5 3 2 4" xfId="16145"/>
    <cellStyle name="Normal 3 6 5 3 2 4" xfId="16146"/>
    <cellStyle name="Normal 4 5 5 3 2 4" xfId="16147"/>
    <cellStyle name="Normal 5 5 5 3 2 4" xfId="16148"/>
    <cellStyle name="Normal 7 5 5 3 2 4" xfId="16149"/>
    <cellStyle name="Normal 2 3 3 5 3 2 4" xfId="16150"/>
    <cellStyle name="Normal 3 3 3 5 3 2 4" xfId="16151"/>
    <cellStyle name="Normal 4 2 3 5 3 2 4" xfId="16152"/>
    <cellStyle name="Normal 5 2 3 5 3 2 4" xfId="16153"/>
    <cellStyle name="Normal 7 2 3 5 3 2 4" xfId="16154"/>
    <cellStyle name="Normal 2 4 3 5 3 2 4" xfId="16155"/>
    <cellStyle name="Normal 3 4 3 5 3 2 4" xfId="16156"/>
    <cellStyle name="Normal 4 3 3 5 3 2 4" xfId="16157"/>
    <cellStyle name="Normal 5 3 3 5 3 2 4" xfId="16158"/>
    <cellStyle name="Normal 7 3 3 5 3 2 4" xfId="16159"/>
    <cellStyle name="Normal 2 7 4 3 2 4" xfId="16160"/>
    <cellStyle name="Normal 3 7 4 3 2 4" xfId="16161"/>
    <cellStyle name="Normal 4 6 4 3 2 4" xfId="16162"/>
    <cellStyle name="Normal 5 6 4 3 2 4" xfId="16163"/>
    <cellStyle name="Normal 7 6 4 3 2 4" xfId="16164"/>
    <cellStyle name="Normal 2 3 4 4 3 2 4" xfId="16165"/>
    <cellStyle name="Normal 3 3 4 4 3 2 4" xfId="16166"/>
    <cellStyle name="Normal 4 2 4 4 3 2 4" xfId="16167"/>
    <cellStyle name="Normal 5 2 4 4 3 2 4" xfId="16168"/>
    <cellStyle name="Normal 7 2 4 4 3 2 4" xfId="16169"/>
    <cellStyle name="Normal 2 4 4 4 3 2 4" xfId="16170"/>
    <cellStyle name="Normal 3 4 4 4 3 2 4" xfId="16171"/>
    <cellStyle name="Normal 4 3 4 4 3 2 4" xfId="16172"/>
    <cellStyle name="Normal 5 3 4 4 3 2 4" xfId="16173"/>
    <cellStyle name="Normal 7 3 4 4 3 2 4" xfId="16174"/>
    <cellStyle name="Normal 2 5 2 4 3 2 4" xfId="16175"/>
    <cellStyle name="Normal 3 5 2 4 3 2 4" xfId="16176"/>
    <cellStyle name="Normal 4 4 2 4 3 2 4" xfId="16177"/>
    <cellStyle name="Normal 5 4 2 4 3 2 4" xfId="16178"/>
    <cellStyle name="Normal 7 4 2 4 3 2 4" xfId="16179"/>
    <cellStyle name="Normal 2 3 2 2 4 3 2 4" xfId="16180"/>
    <cellStyle name="Normal 3 3 2 2 4 3 2 4" xfId="16181"/>
    <cellStyle name="Normal 4 2 2 2 4 3 2 4" xfId="16182"/>
    <cellStyle name="Normal 5 2 2 2 4 3 2 4" xfId="16183"/>
    <cellStyle name="Normal 7 2 2 2 4 3 2 4" xfId="16184"/>
    <cellStyle name="Normal 2 4 2 2 4 3 2 4" xfId="16185"/>
    <cellStyle name="Normal 3 4 2 2 4 3 2 4" xfId="16186"/>
    <cellStyle name="Normal 4 3 2 2 4 3 2 4" xfId="16187"/>
    <cellStyle name="Normal 5 3 2 2 4 3 2 4" xfId="16188"/>
    <cellStyle name="Normal 7 3 2 2 4 3 2 4" xfId="16189"/>
    <cellStyle name="Normal 2 6 2 4 3 2 4" xfId="16190"/>
    <cellStyle name="Normal 3 6 2 4 3 2 4" xfId="16191"/>
    <cellStyle name="Normal 4 5 2 4 3 2 4" xfId="16192"/>
    <cellStyle name="Normal 5 5 2 4 3 2 4" xfId="16193"/>
    <cellStyle name="Normal 7 5 2 4 3 2 4" xfId="16194"/>
    <cellStyle name="Normal 2 3 3 2 4 3 2 4" xfId="16195"/>
    <cellStyle name="Normal 3 3 3 2 4 3 2 4" xfId="16196"/>
    <cellStyle name="Normal 4 2 3 2 4 3 2 4" xfId="16197"/>
    <cellStyle name="Normal 5 2 3 2 4 3 2 4" xfId="16198"/>
    <cellStyle name="Normal 7 2 3 2 4 3 2 4" xfId="16199"/>
    <cellStyle name="Normal 2 4 3 2 4 3 2 4" xfId="16200"/>
    <cellStyle name="Normal 3 4 3 2 4 3 2 4" xfId="16201"/>
    <cellStyle name="Normal 4 3 3 2 4 3 2 4" xfId="16202"/>
    <cellStyle name="Normal 5 3 3 2 4 3 2 4" xfId="16203"/>
    <cellStyle name="Normal 7 3 3 2 4 3 2 4" xfId="16204"/>
    <cellStyle name="Normal 2 8 3 3 2 4" xfId="16205"/>
    <cellStyle name="Normal 3 8 3 3 2 4" xfId="16206"/>
    <cellStyle name="Normal 4 7 3 3 2 4" xfId="16207"/>
    <cellStyle name="Normal 5 7 3 3 2 4" xfId="16208"/>
    <cellStyle name="Normal 7 7 3 3 2 4" xfId="16209"/>
    <cellStyle name="Normal 2 3 5 3 3 2 4" xfId="16210"/>
    <cellStyle name="Normal 3 3 5 3 3 2 4" xfId="16211"/>
    <cellStyle name="Normal 4 2 5 3 3 2 4" xfId="16212"/>
    <cellStyle name="Normal 5 2 5 3 3 2 4" xfId="16213"/>
    <cellStyle name="Normal 7 2 5 3 3 2 4" xfId="16214"/>
    <cellStyle name="Normal 3 4 5 3 3 2 4" xfId="16215"/>
    <cellStyle name="Normal 4 3 5 3 3 2 4" xfId="16216"/>
    <cellStyle name="Normal 5 3 5 3 3 2 4" xfId="16217"/>
    <cellStyle name="Normal 7 3 5 3 3 2 4" xfId="16218"/>
    <cellStyle name="Normal 2 5 3 3 3 2 4" xfId="16219"/>
    <cellStyle name="Normal 3 5 3 3 3 2 4" xfId="16220"/>
    <cellStyle name="Normal 4 4 3 3 3 2 4" xfId="16221"/>
    <cellStyle name="Normal 5 4 3 3 3 2 4" xfId="16222"/>
    <cellStyle name="Normal 7 4 3 3 3 2 4" xfId="16223"/>
    <cellStyle name="Normal 2 3 2 3 3 3 2 4" xfId="16224"/>
    <cellStyle name="Normal 3 3 2 3 3 3 2 4" xfId="16225"/>
    <cellStyle name="Normal 4 2 2 3 3 3 2 4" xfId="16226"/>
    <cellStyle name="Normal 5 2 2 3 3 3 2 4" xfId="16227"/>
    <cellStyle name="Normal 7 2 2 3 3 3 2 4" xfId="16228"/>
    <cellStyle name="Normal 2 4 2 3 3 3 2 4" xfId="16229"/>
    <cellStyle name="Normal 3 4 2 3 3 3 2 4" xfId="16230"/>
    <cellStyle name="Normal 4 3 2 3 3 3 2 4" xfId="16231"/>
    <cellStyle name="Normal 5 3 2 3 3 3 2 4" xfId="16232"/>
    <cellStyle name="Normal 7 3 2 3 3 3 2 4" xfId="16233"/>
    <cellStyle name="Normal 2 6 3 3 3 2 4" xfId="16234"/>
    <cellStyle name="Normal 3 6 3 3 3 2 4" xfId="16235"/>
    <cellStyle name="Normal 4 5 3 3 3 2 4" xfId="16236"/>
    <cellStyle name="Normal 5 5 3 3 3 2 4" xfId="16237"/>
    <cellStyle name="Normal 7 5 3 3 3 2 4" xfId="16238"/>
    <cellStyle name="Normal 2 3 3 3 3 3 2 4" xfId="16239"/>
    <cellStyle name="Normal 3 3 3 3 3 3 2 4" xfId="16240"/>
    <cellStyle name="Normal 4 2 3 3 3 3 2 4" xfId="16241"/>
    <cellStyle name="Normal 5 2 3 3 3 3 2 4" xfId="16242"/>
    <cellStyle name="Normal 7 2 3 3 3 3 2 4" xfId="16243"/>
    <cellStyle name="Normal 2 4 3 3 3 3 2 4" xfId="16244"/>
    <cellStyle name="Normal 3 4 3 3 3 3 2 4" xfId="16245"/>
    <cellStyle name="Normal 4 3 3 3 3 3 2 4" xfId="16246"/>
    <cellStyle name="Normal 5 3 3 3 3 3 2 4" xfId="16247"/>
    <cellStyle name="Normal 7 3 3 3 3 3 2 4" xfId="16248"/>
    <cellStyle name="Normal 2 7 2 3 3 2 4" xfId="16249"/>
    <cellStyle name="Normal 3 7 2 3 3 2 4" xfId="16250"/>
    <cellStyle name="Normal 4 6 2 3 3 2 4" xfId="16251"/>
    <cellStyle name="Normal 5 6 2 3 3 2 4" xfId="16252"/>
    <cellStyle name="Normal 7 6 2 3 3 2 4" xfId="16253"/>
    <cellStyle name="Normal 2 3 4 2 3 3 2 4" xfId="16254"/>
    <cellStyle name="Normal 3 3 4 2 3 3 2 4" xfId="16255"/>
    <cellStyle name="Normal 4 2 4 2 3 3 2 4" xfId="16256"/>
    <cellStyle name="Normal 5 2 4 2 3 3 2 4" xfId="16257"/>
    <cellStyle name="Normal 7 2 4 2 3 3 2 4" xfId="16258"/>
    <cellStyle name="Normal 2 4 4 2 3 3 2 4" xfId="16259"/>
    <cellStyle name="Normal 3 4 4 2 3 3 2 4" xfId="16260"/>
    <cellStyle name="Normal 4 3 4 2 3 3 2 4" xfId="16261"/>
    <cellStyle name="Normal 5 3 4 2 3 3 2 4" xfId="16262"/>
    <cellStyle name="Normal 7 3 4 2 3 3 2 4" xfId="16263"/>
    <cellStyle name="Normal 2 5 2 2 3 3 2 4" xfId="16264"/>
    <cellStyle name="Normal 3 5 2 2 3 3 2 4" xfId="16265"/>
    <cellStyle name="Normal 4 4 2 2 3 3 2 4" xfId="16266"/>
    <cellStyle name="Normal 5 4 2 2 3 3 2 4" xfId="16267"/>
    <cellStyle name="Normal 7 4 2 2 3 3 2 4" xfId="16268"/>
    <cellStyle name="Normal 2 3 2 2 2 3 3 2 4" xfId="16269"/>
    <cellStyle name="Normal 3 3 2 2 2 3 3 2 4" xfId="16270"/>
    <cellStyle name="Normal 4 2 2 2 2 3 3 2 4" xfId="16271"/>
    <cellStyle name="Normal 5 2 2 2 2 3 3 2 4" xfId="16272"/>
    <cellStyle name="Normal 7 2 2 2 2 3 3 2 4" xfId="16273"/>
    <cellStyle name="Normal 2 4 2 2 2 3 3 2 4" xfId="16274"/>
    <cellStyle name="Normal 3 4 2 2 2 3 3 2 4" xfId="16275"/>
    <cellStyle name="Normal 4 3 2 2 2 3 3 2 4" xfId="16276"/>
    <cellStyle name="Normal 5 3 2 2 2 3 3 2 4" xfId="16277"/>
    <cellStyle name="Normal 7 3 2 2 2 3 3 2 4" xfId="16278"/>
    <cellStyle name="Normal 2 6 2 2 3 3 2 4" xfId="16279"/>
    <cellStyle name="Normal 3 6 2 2 3 3 2 4" xfId="16280"/>
    <cellStyle name="Normal 4 5 2 2 3 3 2 4" xfId="16281"/>
    <cellStyle name="Normal 5 5 2 2 3 3 2 4" xfId="16282"/>
    <cellStyle name="Normal 7 5 2 2 3 3 2 4" xfId="16283"/>
    <cellStyle name="Normal 2 3 3 2 2 3 3 2 4" xfId="16284"/>
    <cellStyle name="Normal 3 3 3 2 2 3 3 2 4" xfId="16285"/>
    <cellStyle name="Normal 4 2 3 2 2 3 3 2 4" xfId="16286"/>
    <cellStyle name="Normal 5 2 3 2 2 3 3 2 4" xfId="16287"/>
    <cellStyle name="Normal 7 2 3 2 2 3 3 2 4" xfId="16288"/>
    <cellStyle name="Normal 2 4 3 2 2 3 3 2 4" xfId="16289"/>
    <cellStyle name="Normal 3 4 3 2 2 3 3 2 4" xfId="16290"/>
    <cellStyle name="Normal 4 3 3 2 2 3 3 2 4" xfId="16291"/>
    <cellStyle name="Normal 5 3 3 2 2 3 3 2 4" xfId="16292"/>
    <cellStyle name="Normal 7 3 3 2 2 3 3 2 4" xfId="16293"/>
    <cellStyle name="Normal 25 5" xfId="16294"/>
    <cellStyle name="Normal 7 2 11 3" xfId="16295"/>
    <cellStyle name="Normal 18 7" xfId="16296"/>
    <cellStyle name="Normal 9 4" xfId="16297"/>
    <cellStyle name="Normal 23 6" xfId="16298"/>
    <cellStyle name="Normal 20 8" xfId="16299"/>
    <cellStyle name="Millares 2 6" xfId="16300"/>
    <cellStyle name="Normal 9 5" xfId="16301"/>
    <cellStyle name="Normal 20 5" xfId="16302"/>
    <cellStyle name="Normal 14 8" xfId="16303"/>
    <cellStyle name="Normal 28 5 3" xfId="16304"/>
    <cellStyle name="Millares 2 3" xfId="16305"/>
    <cellStyle name="Millares 3 3" xfId="16306"/>
    <cellStyle name="Millares 2 2 3" xfId="16307"/>
    <cellStyle name="Normal 10 4" xfId="16308"/>
    <cellStyle name="Normal 11 4" xfId="16309"/>
    <cellStyle name="Normal 13 4" xfId="16310"/>
    <cellStyle name="Normal 14 4" xfId="16311"/>
    <cellStyle name="Normal 15 4" xfId="16312"/>
    <cellStyle name="Normal 16 4" xfId="16313"/>
    <cellStyle name="Normal 17 4" xfId="16314"/>
    <cellStyle name="Normal 18 4" xfId="16315"/>
    <cellStyle name="Normal 19 4" xfId="16316"/>
    <cellStyle name="Normal 20 4" xfId="16317"/>
    <cellStyle name="Normal 24 3" xfId="16318"/>
    <cellStyle name="Normal 23 3" xfId="16319"/>
    <cellStyle name="Normal 25 3" xfId="16320"/>
    <cellStyle name="Normal 22 4" xfId="16321"/>
    <cellStyle name="Normal 21 4" xfId="16322"/>
    <cellStyle name="Normal 26 3" xfId="16323"/>
    <cellStyle name="Normal 24 6" xfId="16324"/>
    <cellStyle name="Normal 15 8" xfId="16325"/>
    <cellStyle name="Normal 15 5" xfId="16326"/>
    <cellStyle name="Normal 27 3" xfId="16327"/>
    <cellStyle name="Normal 8 8" xfId="16328"/>
    <cellStyle name="Normal 20 6" xfId="16329"/>
    <cellStyle name="Normal 19 7" xfId="16330"/>
    <cellStyle name="Normal 22 6" xfId="16331"/>
    <cellStyle name="Normal 26 6" xfId="16332"/>
    <cellStyle name="Millares 2 2 4" xfId="16333"/>
    <cellStyle name="Normal 7 2 15" xfId="16334"/>
    <cellStyle name="Normal 7 14 2" xfId="16335"/>
    <cellStyle name="Normal 16 6" xfId="16336"/>
    <cellStyle name="Normal 21 5" xfId="16337"/>
    <cellStyle name="Normal 19 5" xfId="16338"/>
    <cellStyle name="Normal 11 8" xfId="16339"/>
    <cellStyle name="Normal 16 7" xfId="16340"/>
    <cellStyle name="Normal 28 8" xfId="16341"/>
    <cellStyle name="Millares 2 7" xfId="16342"/>
    <cellStyle name="Millares 3 6" xfId="16343"/>
    <cellStyle name="Normal 14 5" xfId="16344"/>
    <cellStyle name="Normal 27 6" xfId="16345"/>
    <cellStyle name="Normal 7 17" xfId="16346"/>
    <cellStyle name="Normal 7 15" xfId="16347"/>
    <cellStyle name="Millares 2 2 7" xfId="16348"/>
    <cellStyle name="Normal 9 6" xfId="16349"/>
    <cellStyle name="Normal 7 2 13" xfId="16350"/>
    <cellStyle name="Normal 16 8" xfId="16351"/>
    <cellStyle name="Millares 3 5" xfId="16352"/>
    <cellStyle name="Normal 19 6" xfId="16353"/>
    <cellStyle name="Normal 25 4" xfId="16354"/>
    <cellStyle name="Normal 17 5" xfId="16355"/>
    <cellStyle name="Millares 2 5" xfId="16356"/>
    <cellStyle name="Normal 7 2 12 2" xfId="16357"/>
    <cellStyle name="Millares 3 7" xfId="16358"/>
    <cellStyle name="Normal 13 7" xfId="16359"/>
    <cellStyle name="Normal 17 7" xfId="16360"/>
    <cellStyle name="Normal 8 6" xfId="16361"/>
    <cellStyle name="Normal 22 7" xfId="16362"/>
    <cellStyle name="Normal 22 8" xfId="16363"/>
    <cellStyle name="Normal 20 7" xfId="16364"/>
    <cellStyle name="Normal 17 8" xfId="16365"/>
    <cellStyle name="Normal 27 4" xfId="16366"/>
    <cellStyle name="Normal 10 8" xfId="16367"/>
    <cellStyle name="Millares 2 2 5" xfId="16368"/>
    <cellStyle name="Normal 28 9" xfId="16369"/>
    <cellStyle name="Normal 17 6" xfId="16370"/>
    <cellStyle name="Normal 24 4" xfId="16371"/>
    <cellStyle name="Normal 25 6" xfId="16372"/>
    <cellStyle name="Millares 2 4" xfId="16373"/>
    <cellStyle name="Normal 19 8" xfId="16374"/>
    <cellStyle name="Normal 25 7" xfId="16375"/>
    <cellStyle name="Normal 26 5" xfId="16376"/>
    <cellStyle name="Normal 10 5" xfId="16377"/>
    <cellStyle name="Normal 9 7" xfId="16378"/>
    <cellStyle name="Normal 8 5" xfId="16379"/>
    <cellStyle name="Normal 10 6" xfId="16380"/>
    <cellStyle name="Normal 28 7" xfId="16381"/>
    <cellStyle name="Normal 18 8" xfId="16382"/>
    <cellStyle name="Normal 15 7" xfId="16383"/>
    <cellStyle name="Normal 26 4" xfId="16384"/>
    <cellStyle name="Normal 23 5" xfId="16385"/>
    <cellStyle name="Normal 11 6" xfId="16386"/>
    <cellStyle name="Normal 14 6" xfId="16387"/>
    <cellStyle name="Normal 15 6" xfId="16388"/>
    <cellStyle name="Normal 27 5" xfId="16389"/>
    <cellStyle name="Normal 22 5" xfId="16390"/>
    <cellStyle name="Normal 13 6" xfId="16391"/>
    <cellStyle name="Normal 18 5" xfId="16392"/>
    <cellStyle name="Normal 14 7" xfId="16393"/>
    <cellStyle name="Normal 9 8" xfId="16394"/>
    <cellStyle name="Normal 13 5" xfId="16395"/>
    <cellStyle name="Normal 28 6 2" xfId="16396"/>
    <cellStyle name="Millares 2 2 6" xfId="16397"/>
    <cellStyle name="Normal 27 7" xfId="16398"/>
    <cellStyle name="Millares 3 4" xfId="16399"/>
    <cellStyle name="Normal 21 6" xfId="16400"/>
    <cellStyle name="Normal 24 5" xfId="16401"/>
    <cellStyle name="Normal 26 7" xfId="16402"/>
    <cellStyle name="Normal 10 7" xfId="16403"/>
    <cellStyle name="Normal 23 4" xfId="16404"/>
    <cellStyle name="Normal 23 7" xfId="16405"/>
    <cellStyle name="Normal 16 5" xfId="16406"/>
    <cellStyle name="Normal 7 16" xfId="16407"/>
    <cellStyle name="Normal 21 7" xfId="16408"/>
    <cellStyle name="Normal 13 8" xfId="16409"/>
    <cellStyle name="Normal 8 7" xfId="16410"/>
    <cellStyle name="Normal 11 5" xfId="16411"/>
    <cellStyle name="Normal 11 7" xfId="16412"/>
    <cellStyle name="Normal 18 6" xfId="16413"/>
    <cellStyle name="Normal 21 8" xfId="16414"/>
    <cellStyle name="Normal 7 2 14" xfId="16415"/>
    <cellStyle name="Normal 24 7" xfId="16416"/>
    <cellStyle name="Normal 35" xfId="16417"/>
    <cellStyle name="Normal 2 17" xfId="16418"/>
    <cellStyle name="Normal 3 17" xfId="16419"/>
    <cellStyle name="Normal 4 16" xfId="16420"/>
    <cellStyle name="Normal 5 16" xfId="16421"/>
    <cellStyle name="Normal 7 18" xfId="16422"/>
    <cellStyle name="Normal 2 3 14" xfId="16423"/>
    <cellStyle name="Normal 3 3 14" xfId="16424"/>
    <cellStyle name="Normal 4 2 14" xfId="16425"/>
    <cellStyle name="Normal 5 2 14" xfId="16426"/>
    <cellStyle name="Normal 7 2 17" xfId="16427"/>
    <cellStyle name="Normal 2 4 14" xfId="16428"/>
    <cellStyle name="Normal 3 4 14" xfId="16429"/>
    <cellStyle name="Normal 4 3 14" xfId="16430"/>
    <cellStyle name="Normal 5 3 14" xfId="16431"/>
    <cellStyle name="Normal 7 3 14" xfId="16432"/>
    <cellStyle name="Normal 2 5 12" xfId="16433"/>
    <cellStyle name="Normal 3 5 12" xfId="16434"/>
    <cellStyle name="Normal 4 4 12" xfId="16435"/>
    <cellStyle name="Normal 5 4 12" xfId="16436"/>
    <cellStyle name="Normal 7 4 12" xfId="16437"/>
    <cellStyle name="Normal 2 3 2 12" xfId="16438"/>
    <cellStyle name="Normal 3 3 2 12" xfId="16439"/>
    <cellStyle name="Normal 4 2 2 12" xfId="16440"/>
    <cellStyle name="Normal 5 2 2 12" xfId="16441"/>
    <cellStyle name="Normal 7 2 2 12" xfId="16442"/>
    <cellStyle name="Normal 2 4 2 12" xfId="16443"/>
    <cellStyle name="Normal 3 4 2 12" xfId="16444"/>
    <cellStyle name="Normal 4 3 2 12" xfId="16445"/>
    <cellStyle name="Normal 5 3 2 12" xfId="16446"/>
    <cellStyle name="Normal 7 3 2 12" xfId="16447"/>
    <cellStyle name="Normal 2 6 12" xfId="16448"/>
    <cellStyle name="Normal 3 6 12" xfId="16449"/>
    <cellStyle name="Normal 4 5 12" xfId="16450"/>
    <cellStyle name="Normal 5 5 12" xfId="16451"/>
    <cellStyle name="Normal 7 5 12" xfId="16452"/>
    <cellStyle name="Normal 2 3 3 12" xfId="16453"/>
    <cellStyle name="Normal 3 3 3 12" xfId="16454"/>
    <cellStyle name="Normal 4 2 3 12" xfId="16455"/>
    <cellStyle name="Normal 5 2 3 12" xfId="16456"/>
    <cellStyle name="Normal 7 2 3 12" xfId="16457"/>
    <cellStyle name="Normal 2 4 3 12" xfId="16458"/>
    <cellStyle name="Normal 3 4 3 12" xfId="16459"/>
    <cellStyle name="Normal 4 3 3 12" xfId="16460"/>
    <cellStyle name="Normal 5 3 3 12" xfId="16461"/>
    <cellStyle name="Normal 7 3 3 12" xfId="16462"/>
    <cellStyle name="Normal 2 7 11" xfId="16463"/>
    <cellStyle name="Normal 3 7 11" xfId="16464"/>
    <cellStyle name="Normal 4 6 11" xfId="16465"/>
    <cellStyle name="Normal 5 6 11" xfId="16466"/>
    <cellStyle name="Normal 7 6 11" xfId="16467"/>
    <cellStyle name="Normal 2 3 4 11" xfId="16468"/>
    <cellStyle name="Normal 3 3 4 11" xfId="16469"/>
    <cellStyle name="Normal 4 2 4 11" xfId="16470"/>
    <cellStyle name="Normal 5 2 4 11" xfId="16471"/>
    <cellStyle name="Normal 7 2 4 11" xfId="16472"/>
    <cellStyle name="Normal 2 4 4 11" xfId="16473"/>
    <cellStyle name="Normal 3 4 4 11" xfId="16474"/>
    <cellStyle name="Normal 4 3 4 11" xfId="16475"/>
    <cellStyle name="Normal 5 3 4 11" xfId="16476"/>
    <cellStyle name="Normal 7 3 4 11" xfId="16477"/>
    <cellStyle name="Normal 2 5 2 11" xfId="16478"/>
    <cellStyle name="Normal 3 5 2 11" xfId="16479"/>
    <cellStyle name="Normal 4 4 2 11" xfId="16480"/>
    <cellStyle name="Normal 5 4 2 11" xfId="16481"/>
    <cellStyle name="Normal 7 4 2 11" xfId="16482"/>
    <cellStyle name="Normal 2 3 2 2 11" xfId="16483"/>
    <cellStyle name="Normal 3 3 2 2 11" xfId="16484"/>
    <cellStyle name="Normal 4 2 2 2 11" xfId="16485"/>
    <cellStyle name="Normal 5 2 2 2 11" xfId="16486"/>
    <cellStyle name="Normal 7 2 2 2 11" xfId="16487"/>
    <cellStyle name="Normal 2 4 2 2 11" xfId="16488"/>
    <cellStyle name="Normal 3 4 2 2 11" xfId="16489"/>
    <cellStyle name="Normal 4 3 2 2 11" xfId="16490"/>
    <cellStyle name="Normal 5 3 2 2 11" xfId="16491"/>
    <cellStyle name="Normal 7 3 2 2 11" xfId="16492"/>
    <cellStyle name="Normal 2 6 2 11" xfId="16493"/>
    <cellStyle name="Normal 3 6 2 11" xfId="16494"/>
    <cellStyle name="Normal 4 5 2 11" xfId="16495"/>
    <cellStyle name="Normal 5 5 2 11" xfId="16496"/>
    <cellStyle name="Normal 7 5 2 11" xfId="16497"/>
    <cellStyle name="Normal 2 3 3 2 11" xfId="16498"/>
    <cellStyle name="Normal 3 3 3 2 11" xfId="16499"/>
    <cellStyle name="Normal 4 2 3 2 11" xfId="16500"/>
    <cellStyle name="Normal 5 2 3 2 11" xfId="16501"/>
    <cellStyle name="Normal 7 2 3 2 11" xfId="16502"/>
    <cellStyle name="Normal 2 4 3 2 11" xfId="16503"/>
    <cellStyle name="Normal 3 4 3 2 11" xfId="16504"/>
    <cellStyle name="Normal 4 3 3 2 11" xfId="16505"/>
    <cellStyle name="Normal 5 3 3 2 11" xfId="16506"/>
    <cellStyle name="Normal 7 3 3 2 11" xfId="16507"/>
    <cellStyle name="Normal 2 8 10" xfId="16508"/>
    <cellStyle name="Normal 3 8 10" xfId="16509"/>
    <cellStyle name="Normal 4 7 10" xfId="16510"/>
    <cellStyle name="Normal 5 7 10" xfId="16511"/>
    <cellStyle name="Normal 7 7 10" xfId="16512"/>
    <cellStyle name="Normal 2 3 5 10" xfId="16513"/>
    <cellStyle name="Normal 3 3 5 10" xfId="16514"/>
    <cellStyle name="Normal 4 2 5 10" xfId="16515"/>
    <cellStyle name="Normal 5 2 5 10" xfId="16516"/>
    <cellStyle name="Normal 7 2 5 10" xfId="16517"/>
    <cellStyle name="Normal 2 4 5 10" xfId="16518"/>
    <cellStyle name="Normal 3 4 5 10" xfId="16519"/>
    <cellStyle name="Normal 4 3 5 10" xfId="16520"/>
    <cellStyle name="Normal 5 3 5 10" xfId="16521"/>
    <cellStyle name="Normal 7 3 5 10" xfId="16522"/>
    <cellStyle name="Normal 2 5 3 10" xfId="16523"/>
    <cellStyle name="Normal 3 5 3 10" xfId="16524"/>
    <cellStyle name="Normal 4 4 3 10" xfId="16525"/>
    <cellStyle name="Normal 5 4 3 10" xfId="16526"/>
    <cellStyle name="Normal 7 4 3 10" xfId="16527"/>
    <cellStyle name="Normal 2 3 2 3 10" xfId="16528"/>
    <cellStyle name="Normal 3 3 2 3 10" xfId="16529"/>
    <cellStyle name="Normal 4 2 2 3 10" xfId="16530"/>
    <cellStyle name="Normal 5 2 2 3 10" xfId="16531"/>
    <cellStyle name="Normal 7 2 2 3 10" xfId="16532"/>
    <cellStyle name="Normal 2 4 2 3 10" xfId="16533"/>
    <cellStyle name="Normal 3 4 2 3 10" xfId="16534"/>
    <cellStyle name="Normal 4 3 2 3 10" xfId="16535"/>
    <cellStyle name="Normal 5 3 2 3 10" xfId="16536"/>
    <cellStyle name="Normal 7 3 2 3 10" xfId="16537"/>
    <cellStyle name="Normal 2 6 3 10" xfId="16538"/>
    <cellStyle name="Normal 3 6 3 10" xfId="16539"/>
    <cellStyle name="Normal 4 5 3 10" xfId="16540"/>
    <cellStyle name="Normal 5 5 3 10" xfId="16541"/>
    <cellStyle name="Normal 7 5 3 10" xfId="16542"/>
    <cellStyle name="Normal 2 3 3 3 10" xfId="16543"/>
    <cellStyle name="Normal 3 3 3 3 10" xfId="16544"/>
    <cellStyle name="Normal 4 2 3 3 10" xfId="16545"/>
    <cellStyle name="Normal 5 2 3 3 10" xfId="16546"/>
    <cellStyle name="Normal 7 2 3 3 10" xfId="16547"/>
    <cellStyle name="Normal 2 4 3 3 10" xfId="16548"/>
    <cellStyle name="Normal 3 4 3 3 10" xfId="16549"/>
    <cellStyle name="Normal 4 3 3 3 10" xfId="16550"/>
    <cellStyle name="Normal 5 3 3 3 10" xfId="16551"/>
    <cellStyle name="Normal 7 3 3 3 10" xfId="16552"/>
    <cellStyle name="Normal 2 7 2 10" xfId="16553"/>
    <cellStyle name="Normal 3 7 2 10" xfId="16554"/>
    <cellStyle name="Normal 4 6 2 10" xfId="16555"/>
    <cellStyle name="Normal 5 6 2 10" xfId="16556"/>
    <cellStyle name="Normal 7 6 2 10" xfId="16557"/>
    <cellStyle name="Normal 2 3 4 2 10" xfId="16558"/>
    <cellStyle name="Normal 3 3 4 2 10" xfId="16559"/>
    <cellStyle name="Normal 4 2 4 2 10" xfId="16560"/>
    <cellStyle name="Normal 5 2 4 2 10" xfId="16561"/>
    <cellStyle name="Normal 7 2 4 2 10" xfId="16562"/>
    <cellStyle name="Normal 2 4 4 2 10" xfId="16563"/>
    <cellStyle name="Normal 3 4 4 2 10" xfId="16564"/>
    <cellStyle name="Normal 4 3 4 2 10" xfId="16565"/>
    <cellStyle name="Normal 5 3 4 2 10" xfId="16566"/>
    <cellStyle name="Normal 7 3 4 2 10" xfId="16567"/>
    <cellStyle name="Normal 2 5 2 2 10" xfId="16568"/>
    <cellStyle name="Normal 3 5 2 2 10" xfId="16569"/>
    <cellStyle name="Normal 4 4 2 2 10" xfId="16570"/>
    <cellStyle name="Normal 5 4 2 2 10" xfId="16571"/>
    <cellStyle name="Normal 7 4 2 2 10" xfId="16572"/>
    <cellStyle name="Normal 2 3 2 2 2 10" xfId="16573"/>
    <cellStyle name="Normal 3 3 2 2 2 10" xfId="16574"/>
    <cellStyle name="Normal 4 2 2 2 2 10" xfId="16575"/>
    <cellStyle name="Normal 5 2 2 2 2 10" xfId="16576"/>
    <cellStyle name="Normal 7 2 2 2 2 10" xfId="16577"/>
    <cellStyle name="Normal 2 4 2 2 2 10" xfId="16578"/>
    <cellStyle name="Normal 3 4 2 2 2 10" xfId="16579"/>
    <cellStyle name="Normal 4 3 2 2 2 10" xfId="16580"/>
    <cellStyle name="Normal 5 3 2 2 2 10" xfId="16581"/>
    <cellStyle name="Normal 7 3 2 2 2 10" xfId="16582"/>
    <cellStyle name="Normal 2 6 2 2 10" xfId="16583"/>
    <cellStyle name="Normal 3 6 2 2 10" xfId="16584"/>
    <cellStyle name="Normal 4 5 2 2 10" xfId="16585"/>
    <cellStyle name="Normal 5 5 2 2 10" xfId="16586"/>
    <cellStyle name="Normal 7 5 2 2 10" xfId="16587"/>
    <cellStyle name="Normal 2 3 3 2 2 10" xfId="16588"/>
    <cellStyle name="Normal 3 3 3 2 2 10" xfId="16589"/>
    <cellStyle name="Normal 4 2 3 2 2 10" xfId="16590"/>
    <cellStyle name="Normal 5 2 3 2 2 10" xfId="16591"/>
    <cellStyle name="Normal 7 2 3 2 2 10" xfId="16592"/>
    <cellStyle name="Normal 2 4 3 2 2 10" xfId="16593"/>
    <cellStyle name="Normal 3 4 3 2 2 10" xfId="16594"/>
    <cellStyle name="Normal 4 3 3 2 2 10" xfId="16595"/>
    <cellStyle name="Normal 5 3 3 2 2 10" xfId="16596"/>
    <cellStyle name="Normal 7 3 3 2 2 10" xfId="16597"/>
    <cellStyle name="Normal 2 9 8" xfId="16598"/>
    <cellStyle name="Normal 3 9 8" xfId="16599"/>
    <cellStyle name="Normal 4 8 8" xfId="16600"/>
    <cellStyle name="Normal 5 8 8" xfId="16601"/>
    <cellStyle name="Normal 7 8 8" xfId="16602"/>
    <cellStyle name="Normal 2 3 6 8" xfId="16603"/>
    <cellStyle name="Normal 3 3 6 8" xfId="16604"/>
    <cellStyle name="Normal 4 2 6 8" xfId="16605"/>
    <cellStyle name="Normal 5 2 6 8" xfId="16606"/>
    <cellStyle name="Normal 7 2 6 8" xfId="16607"/>
    <cellStyle name="Normal 2 4 6 8" xfId="16608"/>
    <cellStyle name="Normal 3 4 6 8" xfId="16609"/>
    <cellStyle name="Normal 4 3 6 8" xfId="16610"/>
    <cellStyle name="Normal 5 3 6 8" xfId="16611"/>
    <cellStyle name="Normal 7 3 6 8" xfId="16612"/>
    <cellStyle name="Normal 2 5 4 8" xfId="16613"/>
    <cellStyle name="Normal 3 5 4 8" xfId="16614"/>
    <cellStyle name="Normal 4 4 4 8" xfId="16615"/>
    <cellStyle name="Normal 5 4 4 8" xfId="16616"/>
    <cellStyle name="Normal 7 4 4 8" xfId="16617"/>
    <cellStyle name="Normal 2 3 2 4 8" xfId="16618"/>
    <cellStyle name="Normal 3 3 2 4 8" xfId="16619"/>
    <cellStyle name="Normal 4 2 2 4 8" xfId="16620"/>
    <cellStyle name="Normal 5 2 2 4 8" xfId="16621"/>
    <cellStyle name="Normal 7 2 2 4 8" xfId="16622"/>
    <cellStyle name="Normal 2 4 2 4 8" xfId="16623"/>
    <cellStyle name="Normal 3 4 2 4 8" xfId="16624"/>
    <cellStyle name="Normal 4 3 2 4 8" xfId="16625"/>
    <cellStyle name="Normal 5 3 2 4 8" xfId="16626"/>
    <cellStyle name="Normal 7 3 2 4 8" xfId="16627"/>
    <cellStyle name="Normal 2 6 4 8" xfId="16628"/>
    <cellStyle name="Normal 3 6 4 8" xfId="16629"/>
    <cellStyle name="Normal 4 5 4 8" xfId="16630"/>
    <cellStyle name="Normal 5 5 4 8" xfId="16631"/>
    <cellStyle name="Normal 7 5 4 8" xfId="16632"/>
    <cellStyle name="Normal 2 3 3 4 8" xfId="16633"/>
    <cellStyle name="Normal 3 3 3 4 8" xfId="16634"/>
    <cellStyle name="Normal 4 2 3 4 8" xfId="16635"/>
    <cellStyle name="Normal 5 2 3 4 8" xfId="16636"/>
    <cellStyle name="Normal 7 2 3 4 8" xfId="16637"/>
    <cellStyle name="Normal 2 4 3 4 8" xfId="16638"/>
    <cellStyle name="Normal 3 4 3 4 8" xfId="16639"/>
    <cellStyle name="Normal 4 3 3 4 8" xfId="16640"/>
    <cellStyle name="Normal 5 3 3 4 8" xfId="16641"/>
    <cellStyle name="Normal 7 3 3 4 8" xfId="16642"/>
    <cellStyle name="Normal 2 7 3 8" xfId="16643"/>
    <cellStyle name="Normal 3 7 3 8" xfId="16644"/>
    <cellStyle name="Normal 4 6 3 8" xfId="16645"/>
    <cellStyle name="Normal 5 6 3 8" xfId="16646"/>
    <cellStyle name="Normal 7 6 3 8" xfId="16647"/>
    <cellStyle name="Normal 2 3 4 3 8" xfId="16648"/>
    <cellStyle name="Normal 3 3 4 3 8" xfId="16649"/>
    <cellStyle name="Normal 4 2 4 3 8" xfId="16650"/>
    <cellStyle name="Normal 5 2 4 3 8" xfId="16651"/>
    <cellStyle name="Normal 7 2 4 3 8" xfId="16652"/>
    <cellStyle name="Normal 2 4 4 3 8" xfId="16653"/>
    <cellStyle name="Normal 3 4 4 3 8" xfId="16654"/>
    <cellStyle name="Normal 4 3 4 3 8" xfId="16655"/>
    <cellStyle name="Normal 5 3 4 3 8" xfId="16656"/>
    <cellStyle name="Normal 7 3 4 3 8" xfId="16657"/>
    <cellStyle name="Normal 2 5 2 3 8" xfId="16658"/>
    <cellStyle name="Normal 3 5 2 3 8" xfId="16659"/>
    <cellStyle name="Normal 4 4 2 3 8" xfId="16660"/>
    <cellStyle name="Normal 5 4 2 3 8" xfId="16661"/>
    <cellStyle name="Normal 7 4 2 3 8" xfId="16662"/>
    <cellStyle name="Normal 2 3 2 2 3 8" xfId="16663"/>
    <cellStyle name="Normal 3 3 2 2 3 8" xfId="16664"/>
    <cellStyle name="Normal 4 2 2 2 3 8" xfId="16665"/>
    <cellStyle name="Normal 5 2 2 2 3 8" xfId="16666"/>
    <cellStyle name="Normal 7 2 2 2 3 8" xfId="16667"/>
    <cellStyle name="Normal 2 4 2 2 3 8" xfId="16668"/>
    <cellStyle name="Normal 3 4 2 2 3 8" xfId="16669"/>
    <cellStyle name="Normal 4 3 2 2 3 8" xfId="16670"/>
    <cellStyle name="Normal 5 3 2 2 3 8" xfId="16671"/>
    <cellStyle name="Normal 7 3 2 2 3 8" xfId="16672"/>
    <cellStyle name="Normal 2 6 2 3 8" xfId="16673"/>
    <cellStyle name="Normal 3 6 2 3 8" xfId="16674"/>
    <cellStyle name="Normal 4 5 2 3 8" xfId="16675"/>
    <cellStyle name="Normal 5 5 2 3 8" xfId="16676"/>
    <cellStyle name="Normal 7 5 2 3 8" xfId="16677"/>
    <cellStyle name="Normal 2 3 3 2 3 8" xfId="16678"/>
    <cellStyle name="Normal 3 3 3 2 3 8" xfId="16679"/>
    <cellStyle name="Normal 4 2 3 2 3 8" xfId="16680"/>
    <cellStyle name="Normal 5 2 3 2 3 8" xfId="16681"/>
    <cellStyle name="Normal 7 2 3 2 3 8" xfId="16682"/>
    <cellStyle name="Normal 2 4 3 2 3 8" xfId="16683"/>
    <cellStyle name="Normal 3 4 3 2 3 8" xfId="16684"/>
    <cellStyle name="Normal 4 3 3 2 3 8" xfId="16685"/>
    <cellStyle name="Normal 5 3 3 2 3 8" xfId="16686"/>
    <cellStyle name="Normal 7 3 3 2 3 8" xfId="16687"/>
    <cellStyle name="Normal 2 8 2 8" xfId="16688"/>
    <cellStyle name="Normal 3 8 2 8" xfId="16689"/>
    <cellStyle name="Normal 4 7 2 8" xfId="16690"/>
    <cellStyle name="Normal 5 7 2 8" xfId="16691"/>
    <cellStyle name="Normal 7 7 2 8" xfId="16692"/>
    <cellStyle name="Normal 2 3 5 2 8" xfId="16693"/>
    <cellStyle name="Normal 3 3 5 2 8" xfId="16694"/>
    <cellStyle name="Normal 4 2 5 2 8" xfId="16695"/>
    <cellStyle name="Normal 5 2 5 2 8" xfId="16696"/>
    <cellStyle name="Normal 7 2 5 2 8" xfId="16697"/>
    <cellStyle name="Normal 2 4 5 2 8" xfId="16698"/>
    <cellStyle name="Normal 3 4 5 2 8" xfId="16699"/>
    <cellStyle name="Normal 4 3 5 2 8" xfId="16700"/>
    <cellStyle name="Normal 5 3 5 2 8" xfId="16701"/>
    <cellStyle name="Normal 7 3 5 2 8" xfId="16702"/>
    <cellStyle name="Normal 2 5 3 2 8" xfId="16703"/>
    <cellStyle name="Normal 3 5 3 2 8" xfId="16704"/>
    <cellStyle name="Normal 4 4 3 2 8" xfId="16705"/>
    <cellStyle name="Normal 5 4 3 2 8" xfId="16706"/>
    <cellStyle name="Normal 7 4 3 2 8" xfId="16707"/>
    <cellStyle name="Normal 2 3 2 3 2 8" xfId="16708"/>
    <cellStyle name="Normal 3 3 2 3 2 8" xfId="16709"/>
    <cellStyle name="Normal 4 2 2 3 2 8" xfId="16710"/>
    <cellStyle name="Normal 5 2 2 3 2 8" xfId="16711"/>
    <cellStyle name="Normal 7 2 2 3 2 8" xfId="16712"/>
    <cellStyle name="Normal 2 4 2 3 2 8" xfId="16713"/>
    <cellStyle name="Normal 3 4 2 3 2 8" xfId="16714"/>
    <cellStyle name="Normal 4 3 2 3 2 8" xfId="16715"/>
    <cellStyle name="Normal 5 3 2 3 2 8" xfId="16716"/>
    <cellStyle name="Normal 7 3 2 3 2 8" xfId="16717"/>
    <cellStyle name="Normal 2 6 3 2 8" xfId="16718"/>
    <cellStyle name="Normal 3 6 3 2 8" xfId="16719"/>
    <cellStyle name="Normal 4 5 3 2 8" xfId="16720"/>
    <cellStyle name="Normal 5 5 3 2 8" xfId="16721"/>
    <cellStyle name="Normal 7 5 3 2 8" xfId="16722"/>
    <cellStyle name="Normal 2 3 3 3 2 8" xfId="16723"/>
    <cellStyle name="Normal 3 3 3 3 2 8" xfId="16724"/>
    <cellStyle name="Normal 4 2 3 3 2 8" xfId="16725"/>
    <cellStyle name="Normal 5 2 3 3 2 8" xfId="16726"/>
    <cellStyle name="Normal 7 2 3 3 2 8" xfId="16727"/>
    <cellStyle name="Normal 2 4 3 3 2 8" xfId="16728"/>
    <cellStyle name="Normal 3 4 3 3 2 8" xfId="16729"/>
    <cellStyle name="Normal 4 3 3 3 2 8" xfId="16730"/>
    <cellStyle name="Normal 5 3 3 3 2 8" xfId="16731"/>
    <cellStyle name="Normal 7 3 3 3 2 8" xfId="16732"/>
    <cellStyle name="Normal 2 7 2 2 8" xfId="16733"/>
    <cellStyle name="Normal 3 7 2 2 8" xfId="16734"/>
    <cellStyle name="Normal 4 6 2 2 8" xfId="16735"/>
    <cellStyle name="Normal 5 6 2 2 8" xfId="16736"/>
    <cellStyle name="Normal 7 6 2 2 8" xfId="16737"/>
    <cellStyle name="Normal 2 3 4 2 2 8" xfId="16738"/>
    <cellStyle name="Normal 3 3 4 2 2 8" xfId="16739"/>
    <cellStyle name="Normal 4 2 4 2 2 8" xfId="16740"/>
    <cellStyle name="Normal 5 2 4 2 2 8" xfId="16741"/>
    <cellStyle name="Normal 7 2 4 2 2 8" xfId="16742"/>
    <cellStyle name="Normal 2 4 4 2 2 8" xfId="16743"/>
    <cellStyle name="Normal 3 4 4 2 2 8" xfId="16744"/>
    <cellStyle name="Normal 4 3 4 2 2 8" xfId="16745"/>
    <cellStyle name="Normal 5 3 4 2 2 8" xfId="16746"/>
    <cellStyle name="Normal 7 3 4 2 2 8" xfId="16747"/>
    <cellStyle name="Normal 2 5 2 2 2 8" xfId="16748"/>
    <cellStyle name="Normal 3 5 2 2 2 8" xfId="16749"/>
    <cellStyle name="Normal 4 4 2 2 2 8" xfId="16750"/>
    <cellStyle name="Normal 5 4 2 2 2 8" xfId="16751"/>
    <cellStyle name="Normal 7 4 2 2 2 8" xfId="16752"/>
    <cellStyle name="Normal 2 3 2 2 2 2 8" xfId="16753"/>
    <cellStyle name="Normal 3 3 2 2 2 2 8" xfId="16754"/>
    <cellStyle name="Normal 4 2 2 2 2 2 8" xfId="16755"/>
    <cellStyle name="Normal 5 2 2 2 2 2 8" xfId="16756"/>
    <cellStyle name="Normal 7 2 2 2 2 2 8" xfId="16757"/>
    <cellStyle name="Normal 2 4 2 2 2 2 8" xfId="16758"/>
    <cellStyle name="Normal 3 4 2 2 2 2 8" xfId="16759"/>
    <cellStyle name="Normal 4 3 2 2 2 2 8" xfId="16760"/>
    <cellStyle name="Normal 5 3 2 2 2 2 8" xfId="16761"/>
    <cellStyle name="Normal 7 3 2 2 2 2 8" xfId="16762"/>
    <cellStyle name="Normal 2 6 2 2 2 8" xfId="16763"/>
    <cellStyle name="Normal 3 6 2 2 2 8" xfId="16764"/>
    <cellStyle name="Normal 4 5 2 2 2 8" xfId="16765"/>
    <cellStyle name="Normal 5 5 2 2 2 8" xfId="16766"/>
    <cellStyle name="Normal 7 5 2 2 2 8" xfId="16767"/>
    <cellStyle name="Normal 2 3 3 2 2 2 8" xfId="16768"/>
    <cellStyle name="Normal 3 3 3 2 2 2 8" xfId="16769"/>
    <cellStyle name="Normal 4 2 3 2 2 2 8" xfId="16770"/>
    <cellStyle name="Normal 5 2 3 2 2 2 8" xfId="16771"/>
    <cellStyle name="Normal 7 2 3 2 2 2 8" xfId="16772"/>
    <cellStyle name="Normal 2 4 3 2 2 2 8" xfId="16773"/>
    <cellStyle name="Normal 3 4 3 2 2 2 8" xfId="16774"/>
    <cellStyle name="Normal 4 3 3 2 2 2 8" xfId="16775"/>
    <cellStyle name="Normal 5 3 3 2 2 2 8" xfId="16776"/>
    <cellStyle name="Normal 7 3 3 2 2 2 8" xfId="16777"/>
    <cellStyle name="Normal 28 11" xfId="16778"/>
    <cellStyle name="Normal 2 3 7 8" xfId="16779"/>
    <cellStyle name="Normal 3 10 8" xfId="16780"/>
    <cellStyle name="Normal 4 9 8" xfId="16781"/>
    <cellStyle name="Normal 5 9 8" xfId="16782"/>
    <cellStyle name="Millares 4 8" xfId="16783"/>
    <cellStyle name="Normal 7 2 7 8" xfId="16784"/>
    <cellStyle name="Normal 3 3 7 8" xfId="16785"/>
    <cellStyle name="Normal 4 2 7 8" xfId="16786"/>
    <cellStyle name="Normal 5 2 7 8" xfId="16787"/>
    <cellStyle name="Normal 2 4 5 3 8" xfId="16788"/>
    <cellStyle name="Normal 3 4 7 8" xfId="16789"/>
    <cellStyle name="Normal 4 3 7 8" xfId="16790"/>
    <cellStyle name="Normal 5 3 7 8" xfId="16791"/>
    <cellStyle name="Normal 7 3 7 8" xfId="16792"/>
    <cellStyle name="Normal 2 5 5 8" xfId="16793"/>
    <cellStyle name="Normal 3 5 5 8" xfId="16794"/>
    <cellStyle name="Normal 4 4 5 8" xfId="16795"/>
    <cellStyle name="Normal 5 4 5 8" xfId="16796"/>
    <cellStyle name="Normal 7 4 5 8" xfId="16797"/>
    <cellStyle name="Normal 2 3 2 5 8" xfId="16798"/>
    <cellStyle name="Normal 3 3 2 5 8" xfId="16799"/>
    <cellStyle name="Normal 4 2 2 5 8" xfId="16800"/>
    <cellStyle name="Normal 5 2 2 5 8" xfId="16801"/>
    <cellStyle name="Normal 7 2 2 5 8" xfId="16802"/>
    <cellStyle name="Normal 2 4 2 5 8" xfId="16803"/>
    <cellStyle name="Normal 3 4 2 5 8" xfId="16804"/>
    <cellStyle name="Normal 4 3 2 5 8" xfId="16805"/>
    <cellStyle name="Normal 5 3 2 5 8" xfId="16806"/>
    <cellStyle name="Normal 7 3 2 5 8" xfId="16807"/>
    <cellStyle name="Normal 2 6 5 8" xfId="16808"/>
    <cellStyle name="Normal 3 6 5 8" xfId="16809"/>
    <cellStyle name="Normal 4 5 5 8" xfId="16810"/>
    <cellStyle name="Normal 5 5 5 8" xfId="16811"/>
    <cellStyle name="Normal 7 5 5 8" xfId="16812"/>
    <cellStyle name="Normal 2 3 3 5 8" xfId="16813"/>
    <cellStyle name="Normal 3 3 3 5 8" xfId="16814"/>
    <cellStyle name="Normal 4 2 3 5 8" xfId="16815"/>
    <cellStyle name="Normal 5 2 3 5 8" xfId="16816"/>
    <cellStyle name="Normal 7 2 3 5 8" xfId="16817"/>
    <cellStyle name="Normal 2 4 3 5 8" xfId="16818"/>
    <cellStyle name="Normal 3 4 3 5 8" xfId="16819"/>
    <cellStyle name="Normal 4 3 3 5 8" xfId="16820"/>
    <cellStyle name="Normal 5 3 3 5 8" xfId="16821"/>
    <cellStyle name="Normal 7 3 3 5 8" xfId="16822"/>
    <cellStyle name="Normal 2 7 4 8" xfId="16823"/>
    <cellStyle name="Normal 3 7 4 8" xfId="16824"/>
    <cellStyle name="Normal 4 6 4 8" xfId="16825"/>
    <cellStyle name="Normal 5 6 4 8" xfId="16826"/>
    <cellStyle name="Normal 7 6 4 8" xfId="16827"/>
    <cellStyle name="Normal 2 3 4 4 8" xfId="16828"/>
    <cellStyle name="Normal 3 3 4 4 8" xfId="16829"/>
    <cellStyle name="Normal 4 2 4 4 8" xfId="16830"/>
    <cellStyle name="Normal 5 2 4 4 8" xfId="16831"/>
    <cellStyle name="Normal 7 2 4 4 8" xfId="16832"/>
    <cellStyle name="Normal 2 4 4 4 8" xfId="16833"/>
    <cellStyle name="Normal 3 4 4 4 8" xfId="16834"/>
    <cellStyle name="Normal 4 3 4 4 8" xfId="16835"/>
    <cellStyle name="Normal 5 3 4 4 8" xfId="16836"/>
    <cellStyle name="Normal 7 3 4 4 8" xfId="16837"/>
    <cellStyle name="Normal 2 5 2 4 8" xfId="16838"/>
    <cellStyle name="Normal 3 5 2 4 8" xfId="16839"/>
    <cellStyle name="Normal 4 4 2 4 8" xfId="16840"/>
    <cellStyle name="Normal 5 4 2 4 8" xfId="16841"/>
    <cellStyle name="Normal 7 4 2 4 8" xfId="16842"/>
    <cellStyle name="Normal 2 3 2 2 4 8" xfId="16843"/>
    <cellStyle name="Normal 3 3 2 2 4 8" xfId="16844"/>
    <cellStyle name="Normal 4 2 2 2 4 8" xfId="16845"/>
    <cellStyle name="Normal 5 2 2 2 4 8" xfId="16846"/>
    <cellStyle name="Normal 7 2 2 2 4 8" xfId="16847"/>
    <cellStyle name="Normal 2 4 2 2 4 8" xfId="16848"/>
    <cellStyle name="Normal 3 4 2 2 4 8" xfId="16849"/>
    <cellStyle name="Normal 4 3 2 2 4 8" xfId="16850"/>
    <cellStyle name="Normal 5 3 2 2 4 8" xfId="16851"/>
    <cellStyle name="Normal 7 3 2 2 4 8" xfId="16852"/>
    <cellStyle name="Normal 2 6 2 4 8" xfId="16853"/>
    <cellStyle name="Normal 3 6 2 4 8" xfId="16854"/>
    <cellStyle name="Normal 4 5 2 4 8" xfId="16855"/>
    <cellStyle name="Normal 5 5 2 4 8" xfId="16856"/>
    <cellStyle name="Normal 7 5 2 4 8" xfId="16857"/>
    <cellStyle name="Normal 2 3 3 2 4 8" xfId="16858"/>
    <cellStyle name="Normal 3 3 3 2 4 8" xfId="16859"/>
    <cellStyle name="Normal 4 2 3 2 4 8" xfId="16860"/>
    <cellStyle name="Normal 5 2 3 2 4 8" xfId="16861"/>
    <cellStyle name="Normal 7 2 3 2 4 8" xfId="16862"/>
    <cellStyle name="Normal 2 4 3 2 4 8" xfId="16863"/>
    <cellStyle name="Normal 3 4 3 2 4 8" xfId="16864"/>
    <cellStyle name="Normal 4 3 3 2 4 8" xfId="16865"/>
    <cellStyle name="Normal 5 3 3 2 4 8" xfId="16866"/>
    <cellStyle name="Normal 7 3 3 2 4 8" xfId="16867"/>
    <cellStyle name="Normal 2 8 3 8" xfId="16868"/>
    <cellStyle name="Normal 3 8 3 8" xfId="16869"/>
    <cellStyle name="Normal 4 7 3 8" xfId="16870"/>
    <cellStyle name="Normal 5 7 3 8" xfId="16871"/>
    <cellStyle name="Normal 7 7 3 8" xfId="16872"/>
    <cellStyle name="Normal 2 3 5 3 8" xfId="16873"/>
    <cellStyle name="Normal 3 3 5 3 8" xfId="16874"/>
    <cellStyle name="Normal 4 2 5 3 8" xfId="16875"/>
    <cellStyle name="Normal 5 2 5 3 8" xfId="16876"/>
    <cellStyle name="Normal 7 2 5 3 8" xfId="16877"/>
    <cellStyle name="Normal 3 4 5 3 8" xfId="16878"/>
    <cellStyle name="Normal 4 3 5 3 8" xfId="16879"/>
    <cellStyle name="Normal 5 3 5 3 8" xfId="16880"/>
    <cellStyle name="Normal 7 3 5 3 8" xfId="16881"/>
    <cellStyle name="Normal 2 5 3 3 8" xfId="16882"/>
    <cellStyle name="Normal 3 5 3 3 8" xfId="16883"/>
    <cellStyle name="Normal 4 4 3 3 8" xfId="16884"/>
    <cellStyle name="Normal 5 4 3 3 8" xfId="16885"/>
    <cellStyle name="Normal 7 4 3 3 8" xfId="16886"/>
    <cellStyle name="Normal 2 3 2 3 3 8" xfId="16887"/>
    <cellStyle name="Normal 3 3 2 3 3 8" xfId="16888"/>
    <cellStyle name="Normal 4 2 2 3 3 8" xfId="16889"/>
    <cellStyle name="Normal 5 2 2 3 3 8" xfId="16890"/>
    <cellStyle name="Normal 7 2 2 3 3 8" xfId="16891"/>
    <cellStyle name="Normal 2 4 2 3 3 8" xfId="16892"/>
    <cellStyle name="Normal 3 4 2 3 3 8" xfId="16893"/>
    <cellStyle name="Normal 4 3 2 3 3 8" xfId="16894"/>
    <cellStyle name="Normal 5 3 2 3 3 8" xfId="16895"/>
    <cellStyle name="Normal 7 3 2 3 3 8" xfId="16896"/>
    <cellStyle name="Normal 2 6 3 3 8" xfId="16897"/>
    <cellStyle name="Normal 3 6 3 3 8" xfId="16898"/>
    <cellStyle name="Normal 4 5 3 3 8" xfId="16899"/>
    <cellStyle name="Normal 5 5 3 3 8" xfId="16900"/>
    <cellStyle name="Normal 7 5 3 3 8" xfId="16901"/>
    <cellStyle name="Normal 2 3 3 3 3 8" xfId="16902"/>
    <cellStyle name="Normal 3 3 3 3 3 8" xfId="16903"/>
    <cellStyle name="Normal 4 2 3 3 3 8" xfId="16904"/>
    <cellStyle name="Normal 5 2 3 3 3 8" xfId="16905"/>
    <cellStyle name="Normal 7 2 3 3 3 8" xfId="16906"/>
    <cellStyle name="Normal 2 4 3 3 3 8" xfId="16907"/>
    <cellStyle name="Normal 3 4 3 3 3 8" xfId="16908"/>
    <cellStyle name="Normal 4 3 3 3 3 8" xfId="16909"/>
    <cellStyle name="Normal 5 3 3 3 3 8" xfId="16910"/>
    <cellStyle name="Normal 7 3 3 3 3 8" xfId="16911"/>
    <cellStyle name="Normal 2 7 2 3 8" xfId="16912"/>
    <cellStyle name="Normal 3 7 2 3 8" xfId="16913"/>
    <cellStyle name="Normal 4 6 2 3 8" xfId="16914"/>
    <cellStyle name="Normal 5 6 2 3 8" xfId="16915"/>
    <cellStyle name="Normal 7 6 2 3 8" xfId="16916"/>
    <cellStyle name="Normal 2 3 4 2 3 8" xfId="16917"/>
    <cellStyle name="Normal 3 3 4 2 3 8" xfId="16918"/>
    <cellStyle name="Normal 4 2 4 2 3 8" xfId="16919"/>
    <cellStyle name="Normal 5 2 4 2 3 8" xfId="16920"/>
    <cellStyle name="Normal 7 2 4 2 3 8" xfId="16921"/>
    <cellStyle name="Normal 2 4 4 2 3 8" xfId="16922"/>
    <cellStyle name="Normal 3 4 4 2 3 8" xfId="16923"/>
    <cellStyle name="Normal 4 3 4 2 3 8" xfId="16924"/>
    <cellStyle name="Normal 5 3 4 2 3 8" xfId="16925"/>
    <cellStyle name="Normal 7 3 4 2 3 8" xfId="16926"/>
    <cellStyle name="Normal 2 5 2 2 3 8" xfId="16927"/>
    <cellStyle name="Normal 3 5 2 2 3 8" xfId="16928"/>
    <cellStyle name="Normal 4 4 2 2 3 8" xfId="16929"/>
    <cellStyle name="Normal 5 4 2 2 3 8" xfId="16930"/>
    <cellStyle name="Normal 7 4 2 2 3 8" xfId="16931"/>
    <cellStyle name="Normal 2 3 2 2 2 3 8" xfId="16932"/>
    <cellStyle name="Normal 3 3 2 2 2 3 8" xfId="16933"/>
    <cellStyle name="Normal 4 2 2 2 2 3 8" xfId="16934"/>
    <cellStyle name="Normal 5 2 2 2 2 3 8" xfId="16935"/>
    <cellStyle name="Normal 7 2 2 2 2 3 8" xfId="16936"/>
    <cellStyle name="Normal 2 4 2 2 2 3 8" xfId="16937"/>
    <cellStyle name="Normal 3 4 2 2 2 3 8" xfId="16938"/>
    <cellStyle name="Normal 4 3 2 2 2 3 8" xfId="16939"/>
    <cellStyle name="Normal 5 3 2 2 2 3 8" xfId="16940"/>
    <cellStyle name="Normal 7 3 2 2 2 3 8" xfId="16941"/>
    <cellStyle name="Normal 2 6 2 2 3 8" xfId="16942"/>
    <cellStyle name="Normal 3 6 2 2 3 8" xfId="16943"/>
    <cellStyle name="Normal 4 5 2 2 3 8" xfId="16944"/>
    <cellStyle name="Normal 5 5 2 2 3 8" xfId="16945"/>
    <cellStyle name="Normal 7 5 2 2 3 8" xfId="16946"/>
    <cellStyle name="Normal 2 3 3 2 2 3 8" xfId="16947"/>
    <cellStyle name="Normal 3 3 3 2 2 3 8" xfId="16948"/>
    <cellStyle name="Normal 4 2 3 2 2 3 8" xfId="16949"/>
    <cellStyle name="Normal 5 2 3 2 2 3 8" xfId="16950"/>
    <cellStyle name="Normal 7 2 3 2 2 3 8" xfId="16951"/>
    <cellStyle name="Normal 2 4 3 2 2 3 8" xfId="16952"/>
    <cellStyle name="Normal 3 4 3 2 2 3 8" xfId="16953"/>
    <cellStyle name="Normal 4 3 3 2 2 3 8" xfId="16954"/>
    <cellStyle name="Normal 5 3 3 2 2 3 8" xfId="16955"/>
    <cellStyle name="Normal 7 3 3 2 2 3 8" xfId="16956"/>
    <cellStyle name="Normal 2 11 6" xfId="16957"/>
    <cellStyle name="Normal 3 11 6" xfId="16958"/>
    <cellStyle name="Normal 4 10 6" xfId="16959"/>
    <cellStyle name="Normal 5 10 6" xfId="16960"/>
    <cellStyle name="Normal 7 10 6" xfId="16961"/>
    <cellStyle name="Normal 2 3 8 6" xfId="16962"/>
    <cellStyle name="Normal 3 3 8 6" xfId="16963"/>
    <cellStyle name="Normal 4 2 8 6" xfId="16964"/>
    <cellStyle name="Normal 5 2 8 6" xfId="16965"/>
    <cellStyle name="Normal 7 2 8 6" xfId="16966"/>
    <cellStyle name="Normal 2 4 8 6" xfId="16967"/>
    <cellStyle name="Normal 3 4 8 6" xfId="16968"/>
    <cellStyle name="Normal 4 3 8 6" xfId="16969"/>
    <cellStyle name="Normal 5 3 8 6" xfId="16970"/>
    <cellStyle name="Normal 7 3 8 6" xfId="16971"/>
    <cellStyle name="Normal 2 5 6 6" xfId="16972"/>
    <cellStyle name="Normal 3 5 6 6" xfId="16973"/>
    <cellStyle name="Normal 4 4 6 6" xfId="16974"/>
    <cellStyle name="Normal 5 4 6 6" xfId="16975"/>
    <cellStyle name="Normal 7 4 6 6" xfId="16976"/>
    <cellStyle name="Normal 2 3 2 6 6" xfId="16977"/>
    <cellStyle name="Normal 3 3 2 6 6" xfId="16978"/>
    <cellStyle name="Normal 4 2 2 6 6" xfId="16979"/>
    <cellStyle name="Normal 5 2 2 6 6" xfId="16980"/>
    <cellStyle name="Normal 7 2 2 6 6" xfId="16981"/>
    <cellStyle name="Normal 2 4 2 6 6" xfId="16982"/>
    <cellStyle name="Normal 3 4 2 6 6" xfId="16983"/>
    <cellStyle name="Normal 4 3 2 6 6" xfId="16984"/>
    <cellStyle name="Normal 5 3 2 6 6" xfId="16985"/>
    <cellStyle name="Normal 7 3 2 6 6" xfId="16986"/>
    <cellStyle name="Normal 2 6 6 6" xfId="16987"/>
    <cellStyle name="Normal 3 6 6 6" xfId="16988"/>
    <cellStyle name="Normal 4 5 6 6" xfId="16989"/>
    <cellStyle name="Normal 5 5 6 6" xfId="16990"/>
    <cellStyle name="Normal 7 5 6 6" xfId="16991"/>
    <cellStyle name="Normal 2 3 3 6 6" xfId="16992"/>
    <cellStyle name="Normal 3 3 3 6 6" xfId="16993"/>
    <cellStyle name="Normal 4 2 3 6 6" xfId="16994"/>
    <cellStyle name="Normal 5 2 3 6 6" xfId="16995"/>
    <cellStyle name="Normal 7 2 3 6 6" xfId="16996"/>
    <cellStyle name="Normal 2 4 3 6 6" xfId="16997"/>
    <cellStyle name="Normal 3 4 3 6 6" xfId="16998"/>
    <cellStyle name="Normal 4 3 3 6 6" xfId="16999"/>
    <cellStyle name="Normal 5 3 3 6 6" xfId="17000"/>
    <cellStyle name="Normal 7 3 3 6 6" xfId="17001"/>
    <cellStyle name="Normal 2 7 5 6" xfId="17002"/>
    <cellStyle name="Normal 3 7 5 6" xfId="17003"/>
    <cellStyle name="Normal 4 6 5 6" xfId="17004"/>
    <cellStyle name="Normal 5 6 5 6" xfId="17005"/>
    <cellStyle name="Normal 7 6 5 6" xfId="17006"/>
    <cellStyle name="Normal 2 3 4 5 6" xfId="17007"/>
    <cellStyle name="Normal 3 3 4 5 6" xfId="17008"/>
    <cellStyle name="Normal 4 2 4 5 6" xfId="17009"/>
    <cellStyle name="Normal 5 2 4 5 6" xfId="17010"/>
    <cellStyle name="Normal 7 2 4 5 6" xfId="17011"/>
    <cellStyle name="Normal 2 4 4 5 6" xfId="17012"/>
    <cellStyle name="Normal 3 4 4 5 6" xfId="17013"/>
    <cellStyle name="Normal 4 3 4 5 6" xfId="17014"/>
    <cellStyle name="Normal 5 3 4 5 6" xfId="17015"/>
    <cellStyle name="Normal 7 3 4 5 6" xfId="17016"/>
    <cellStyle name="Normal 2 5 2 5 6" xfId="17017"/>
    <cellStyle name="Normal 3 5 2 5 6" xfId="17018"/>
    <cellStyle name="Normal 4 4 2 5 6" xfId="17019"/>
    <cellStyle name="Normal 5 4 2 5 6" xfId="17020"/>
    <cellStyle name="Normal 7 4 2 5 6" xfId="17021"/>
    <cellStyle name="Normal 2 3 2 2 5 6" xfId="17022"/>
    <cellStyle name="Normal 3 3 2 2 5 6" xfId="17023"/>
    <cellStyle name="Normal 4 2 2 2 5 6" xfId="17024"/>
    <cellStyle name="Normal 5 2 2 2 5 6" xfId="17025"/>
    <cellStyle name="Normal 7 2 2 2 5 6" xfId="17026"/>
    <cellStyle name="Normal 2 4 2 2 5 6" xfId="17027"/>
    <cellStyle name="Normal 3 4 2 2 5 6" xfId="17028"/>
    <cellStyle name="Normal 4 3 2 2 5 6" xfId="17029"/>
    <cellStyle name="Normal 5 3 2 2 5 6" xfId="17030"/>
    <cellStyle name="Normal 7 3 2 2 5 6" xfId="17031"/>
    <cellStyle name="Normal 2 6 2 5 6" xfId="17032"/>
    <cellStyle name="Normal 3 6 2 5 6" xfId="17033"/>
    <cellStyle name="Normal 4 5 2 5 6" xfId="17034"/>
    <cellStyle name="Normal 5 5 2 5 6" xfId="17035"/>
    <cellStyle name="Normal 7 5 2 5 6" xfId="17036"/>
    <cellStyle name="Normal 2 3 3 2 5 6" xfId="17037"/>
    <cellStyle name="Normal 3 3 3 2 5 6" xfId="17038"/>
    <cellStyle name="Normal 4 2 3 2 5 6" xfId="17039"/>
    <cellStyle name="Normal 5 2 3 2 5 6" xfId="17040"/>
    <cellStyle name="Normal 7 2 3 2 5 6" xfId="17041"/>
    <cellStyle name="Normal 2 4 3 2 5 6" xfId="17042"/>
    <cellStyle name="Normal 3 4 3 2 5 6" xfId="17043"/>
    <cellStyle name="Normal 4 3 3 2 5 6" xfId="17044"/>
    <cellStyle name="Normal 5 3 3 2 5 6" xfId="17045"/>
    <cellStyle name="Normal 7 3 3 2 5 6" xfId="17046"/>
    <cellStyle name="Normal 2 8 4 6" xfId="17047"/>
    <cellStyle name="Normal 3 8 4 6" xfId="17048"/>
    <cellStyle name="Normal 4 7 4 6" xfId="17049"/>
    <cellStyle name="Normal 5 7 4 6" xfId="17050"/>
    <cellStyle name="Normal 7 7 4 6" xfId="17051"/>
    <cellStyle name="Normal 2 3 5 4 6" xfId="17052"/>
    <cellStyle name="Normal 3 3 5 4 6" xfId="17053"/>
    <cellStyle name="Normal 4 2 5 4 6" xfId="17054"/>
    <cellStyle name="Normal 5 2 5 4 6" xfId="17055"/>
    <cellStyle name="Normal 7 2 5 4 6" xfId="17056"/>
    <cellStyle name="Normal 2 4 5 4 6" xfId="17057"/>
    <cellStyle name="Normal 3 4 5 4 6" xfId="17058"/>
    <cellStyle name="Normal 4 3 5 4 6" xfId="17059"/>
    <cellStyle name="Normal 5 3 5 4 6" xfId="17060"/>
    <cellStyle name="Normal 7 3 5 4 6" xfId="17061"/>
    <cellStyle name="Normal 2 5 3 4 6" xfId="17062"/>
    <cellStyle name="Normal 3 5 3 4 6" xfId="17063"/>
    <cellStyle name="Normal 4 4 3 4 6" xfId="17064"/>
    <cellStyle name="Normal 5 4 3 4 6" xfId="17065"/>
    <cellStyle name="Normal 7 4 3 4 6" xfId="17066"/>
    <cellStyle name="Normal 2 3 2 3 4 6" xfId="17067"/>
    <cellStyle name="Normal 3 3 2 3 4 6" xfId="17068"/>
    <cellStyle name="Normal 4 2 2 3 4 6" xfId="17069"/>
    <cellStyle name="Normal 5 2 2 3 4 6" xfId="17070"/>
    <cellStyle name="Normal 7 2 2 3 4 6" xfId="17071"/>
    <cellStyle name="Normal 2 4 2 3 4 6" xfId="17072"/>
    <cellStyle name="Normal 3 4 2 3 4 6" xfId="17073"/>
    <cellStyle name="Normal 4 3 2 3 4 6" xfId="17074"/>
    <cellStyle name="Normal 5 3 2 3 4 6" xfId="17075"/>
    <cellStyle name="Normal 7 3 2 3 4 6" xfId="17076"/>
    <cellStyle name="Normal 2 6 3 4 6" xfId="17077"/>
    <cellStyle name="Normal 3 6 3 4 6" xfId="17078"/>
    <cellStyle name="Normal 4 5 3 4 6" xfId="17079"/>
    <cellStyle name="Normal 5 5 3 4 6" xfId="17080"/>
    <cellStyle name="Normal 7 5 3 4 6" xfId="17081"/>
    <cellStyle name="Normal 2 3 3 3 4 6" xfId="17082"/>
    <cellStyle name="Normal 3 3 3 3 4 6" xfId="17083"/>
    <cellStyle name="Normal 4 2 3 3 4 6" xfId="17084"/>
    <cellStyle name="Normal 5 2 3 3 4 6" xfId="17085"/>
    <cellStyle name="Normal 7 2 3 3 4 6" xfId="17086"/>
    <cellStyle name="Normal 2 4 3 3 4 6" xfId="17087"/>
    <cellStyle name="Normal 3 4 3 3 4 6" xfId="17088"/>
    <cellStyle name="Normal 4 3 3 3 4 6" xfId="17089"/>
    <cellStyle name="Normal 5 3 3 3 4 6" xfId="17090"/>
    <cellStyle name="Normal 7 3 3 3 4 6" xfId="17091"/>
    <cellStyle name="Normal 2 7 2 4 6" xfId="17092"/>
    <cellStyle name="Normal 3 7 2 4 6" xfId="17093"/>
    <cellStyle name="Normal 4 6 2 4 6" xfId="17094"/>
    <cellStyle name="Normal 5 6 2 4 6" xfId="17095"/>
    <cellStyle name="Normal 7 6 2 4 6" xfId="17096"/>
    <cellStyle name="Normal 2 3 4 2 4 6" xfId="17097"/>
    <cellStyle name="Normal 3 3 4 2 4 6" xfId="17098"/>
    <cellStyle name="Normal 4 2 4 2 4 6" xfId="17099"/>
    <cellStyle name="Normal 5 2 4 2 4 6" xfId="17100"/>
    <cellStyle name="Normal 7 2 4 2 4 6" xfId="17101"/>
    <cellStyle name="Normal 2 4 4 2 4 6" xfId="17102"/>
    <cellStyle name="Normal 3 4 4 2 4 6" xfId="17103"/>
    <cellStyle name="Normal 4 3 4 2 4 6" xfId="17104"/>
    <cellStyle name="Normal 5 3 4 2 4 6" xfId="17105"/>
    <cellStyle name="Normal 7 3 4 2 4 6" xfId="17106"/>
    <cellStyle name="Normal 2 5 2 2 4 6" xfId="17107"/>
    <cellStyle name="Normal 3 5 2 2 4 6" xfId="17108"/>
    <cellStyle name="Normal 4 4 2 2 4 6" xfId="17109"/>
    <cellStyle name="Normal 5 4 2 2 4 6" xfId="17110"/>
    <cellStyle name="Normal 7 4 2 2 4 6" xfId="17111"/>
    <cellStyle name="Normal 2 3 2 2 2 4 6" xfId="17112"/>
    <cellStyle name="Normal 3 3 2 2 2 4 6" xfId="17113"/>
    <cellStyle name="Normal 4 2 2 2 2 4 6" xfId="17114"/>
    <cellStyle name="Normal 5 2 2 2 2 4 6" xfId="17115"/>
    <cellStyle name="Normal 7 2 2 2 2 4 6" xfId="17116"/>
    <cellStyle name="Normal 2 4 2 2 2 4 6" xfId="17117"/>
    <cellStyle name="Normal 3 4 2 2 2 4 6" xfId="17118"/>
    <cellStyle name="Normal 4 3 2 2 2 4 6" xfId="17119"/>
    <cellStyle name="Normal 5 3 2 2 2 4 6" xfId="17120"/>
    <cellStyle name="Normal 7 3 2 2 2 4 6" xfId="17121"/>
    <cellStyle name="Normal 2 6 2 2 4 6" xfId="17122"/>
    <cellStyle name="Normal 3 6 2 2 4 6" xfId="17123"/>
    <cellStyle name="Normal 4 5 2 2 4 6" xfId="17124"/>
    <cellStyle name="Normal 5 5 2 2 4 6" xfId="17125"/>
    <cellStyle name="Normal 7 5 2 2 4 6" xfId="17126"/>
    <cellStyle name="Normal 2 3 3 2 2 4 6" xfId="17127"/>
    <cellStyle name="Normal 3 3 3 2 2 4 6" xfId="17128"/>
    <cellStyle name="Normal 4 2 3 2 2 4 6" xfId="17129"/>
    <cellStyle name="Normal 5 2 3 2 2 4 6" xfId="17130"/>
    <cellStyle name="Normal 7 2 3 2 2 4 6" xfId="17131"/>
    <cellStyle name="Normal 2 4 3 2 2 4 6" xfId="17132"/>
    <cellStyle name="Normal 3 4 3 2 2 4 6" xfId="17133"/>
    <cellStyle name="Normal 4 3 3 2 2 4 6" xfId="17134"/>
    <cellStyle name="Normal 5 3 3 2 2 4 6" xfId="17135"/>
    <cellStyle name="Normal 7 3 3 2 2 4 6" xfId="17136"/>
    <cellStyle name="Normal 2 9 2 6" xfId="17137"/>
    <cellStyle name="Normal 3 9 2 6" xfId="17138"/>
    <cellStyle name="Normal 4 8 2 6" xfId="17139"/>
    <cellStyle name="Normal 5 8 2 6" xfId="17140"/>
    <cellStyle name="Normal 7 8 2 6" xfId="17141"/>
    <cellStyle name="Normal 2 3 6 2 6" xfId="17142"/>
    <cellStyle name="Normal 3 3 6 2 6" xfId="17143"/>
    <cellStyle name="Normal 4 2 6 2 6" xfId="17144"/>
    <cellStyle name="Normal 5 2 6 2 6" xfId="17145"/>
    <cellStyle name="Normal 7 2 6 2 6" xfId="17146"/>
    <cellStyle name="Normal 2 4 6 2 6" xfId="17147"/>
    <cellStyle name="Normal 3 4 6 2 6" xfId="17148"/>
    <cellStyle name="Normal 4 3 6 2 6" xfId="17149"/>
    <cellStyle name="Normal 5 3 6 2 6" xfId="17150"/>
    <cellStyle name="Normal 7 3 6 2 6" xfId="17151"/>
    <cellStyle name="Normal 2 5 4 2 6" xfId="17152"/>
    <cellStyle name="Normal 3 5 4 2 6" xfId="17153"/>
    <cellStyle name="Normal 4 4 4 2 6" xfId="17154"/>
    <cellStyle name="Normal 5 4 4 2 6" xfId="17155"/>
    <cellStyle name="Normal 7 4 4 2 6" xfId="17156"/>
    <cellStyle name="Normal 2 3 2 4 2 6" xfId="17157"/>
    <cellStyle name="Normal 3 3 2 4 2 6" xfId="17158"/>
    <cellStyle name="Normal 4 2 2 4 2 6" xfId="17159"/>
    <cellStyle name="Normal 5 2 2 4 2 6" xfId="17160"/>
    <cellStyle name="Normal 7 2 2 4 2 6" xfId="17161"/>
    <cellStyle name="Normal 2 4 2 4 2 6" xfId="17162"/>
    <cellStyle name="Normal 3 4 2 4 2 6" xfId="17163"/>
    <cellStyle name="Normal 4 3 2 4 2 6" xfId="17164"/>
    <cellStyle name="Normal 5 3 2 4 2 6" xfId="17165"/>
    <cellStyle name="Normal 7 3 2 4 2 6" xfId="17166"/>
    <cellStyle name="Normal 2 6 4 2 6" xfId="17167"/>
    <cellStyle name="Normal 3 6 4 2 6" xfId="17168"/>
    <cellStyle name="Normal 4 5 4 2 6" xfId="17169"/>
    <cellStyle name="Normal 5 5 4 2 6" xfId="17170"/>
    <cellStyle name="Normal 7 5 4 2 6" xfId="17171"/>
    <cellStyle name="Normal 2 3 3 4 2 6" xfId="17172"/>
    <cellStyle name="Normal 3 3 3 4 2 6" xfId="17173"/>
    <cellStyle name="Normal 4 2 3 4 2 6" xfId="17174"/>
    <cellStyle name="Normal 5 2 3 4 2 6" xfId="17175"/>
    <cellStyle name="Normal 7 2 3 4 2 6" xfId="17176"/>
    <cellStyle name="Normal 2 4 3 4 2 6" xfId="17177"/>
    <cellStyle name="Normal 3 4 3 4 2 6" xfId="17178"/>
    <cellStyle name="Normal 4 3 3 4 2 6" xfId="17179"/>
    <cellStyle name="Normal 5 3 3 4 2 6" xfId="17180"/>
    <cellStyle name="Normal 7 3 3 4 2 6" xfId="17181"/>
    <cellStyle name="Normal 2 7 3 2 6" xfId="17182"/>
    <cellStyle name="Normal 3 7 3 2 6" xfId="17183"/>
    <cellStyle name="Normal 4 6 3 2 6" xfId="17184"/>
    <cellStyle name="Normal 5 6 3 2 6" xfId="17185"/>
    <cellStyle name="Normal 7 6 3 2 6" xfId="17186"/>
    <cellStyle name="Normal 2 3 4 3 2 6" xfId="17187"/>
    <cellStyle name="Normal 3 3 4 3 2 6" xfId="17188"/>
    <cellStyle name="Normal 4 2 4 3 2 6" xfId="17189"/>
    <cellStyle name="Normal 5 2 4 3 2 6" xfId="17190"/>
    <cellStyle name="Normal 7 2 4 3 2 6" xfId="17191"/>
    <cellStyle name="Normal 2 4 4 3 2 6" xfId="17192"/>
    <cellStyle name="Normal 3 4 4 3 2 6" xfId="17193"/>
    <cellStyle name="Normal 4 3 4 3 2 6" xfId="17194"/>
    <cellStyle name="Normal 5 3 4 3 2 6" xfId="17195"/>
    <cellStyle name="Normal 7 3 4 3 2 6" xfId="17196"/>
    <cellStyle name="Normal 2 5 2 3 2 6" xfId="17197"/>
    <cellStyle name="Normal 3 5 2 3 2 6" xfId="17198"/>
    <cellStyle name="Normal 4 4 2 3 2 6" xfId="17199"/>
    <cellStyle name="Normal 5 4 2 3 2 6" xfId="17200"/>
    <cellStyle name="Normal 7 4 2 3 2 6" xfId="17201"/>
    <cellStyle name="Normal 2 3 2 2 3 2 6" xfId="17202"/>
    <cellStyle name="Normal 3 3 2 2 3 2 6" xfId="17203"/>
    <cellStyle name="Normal 4 2 2 2 3 2 6" xfId="17204"/>
    <cellStyle name="Normal 5 2 2 2 3 2 6" xfId="17205"/>
    <cellStyle name="Normal 7 2 2 2 3 2 6" xfId="17206"/>
    <cellStyle name="Normal 2 4 2 2 3 2 6" xfId="17207"/>
    <cellStyle name="Normal 3 4 2 2 3 2 6" xfId="17208"/>
    <cellStyle name="Normal 4 3 2 2 3 2 6" xfId="17209"/>
    <cellStyle name="Normal 5 3 2 2 3 2 6" xfId="17210"/>
    <cellStyle name="Normal 7 3 2 2 3 2 6" xfId="17211"/>
    <cellStyle name="Normal 2 6 2 3 2 6" xfId="17212"/>
    <cellStyle name="Normal 3 6 2 3 2 6" xfId="17213"/>
    <cellStyle name="Normal 4 5 2 3 2 6" xfId="17214"/>
    <cellStyle name="Normal 5 5 2 3 2 6" xfId="17215"/>
    <cellStyle name="Normal 7 5 2 3 2 6" xfId="17216"/>
    <cellStyle name="Normal 2 3 3 2 3 2 6" xfId="17217"/>
    <cellStyle name="Normal 3 3 3 2 3 2 6" xfId="17218"/>
    <cellStyle name="Normal 4 2 3 2 3 2 6" xfId="17219"/>
    <cellStyle name="Normal 5 2 3 2 3 2 6" xfId="17220"/>
    <cellStyle name="Normal 7 2 3 2 3 2 6" xfId="17221"/>
    <cellStyle name="Normal 2 4 3 2 3 2 6" xfId="17222"/>
    <cellStyle name="Normal 3 4 3 2 3 2 6" xfId="17223"/>
    <cellStyle name="Normal 4 3 3 2 3 2 6" xfId="17224"/>
    <cellStyle name="Normal 5 3 3 2 3 2 6" xfId="17225"/>
    <cellStyle name="Normal 7 3 3 2 3 2 6" xfId="17226"/>
    <cellStyle name="Normal 2 8 2 2 6" xfId="17227"/>
    <cellStyle name="Normal 3 8 2 2 6" xfId="17228"/>
    <cellStyle name="Normal 4 7 2 2 6" xfId="17229"/>
    <cellStyle name="Normal 5 7 2 2 6" xfId="17230"/>
    <cellStyle name="Normal 7 7 2 2 6" xfId="17231"/>
    <cellStyle name="Normal 2 3 5 2 2 6" xfId="17232"/>
    <cellStyle name="Normal 3 3 5 2 2 6" xfId="17233"/>
    <cellStyle name="Normal 4 2 5 2 2 6" xfId="17234"/>
    <cellStyle name="Normal 5 2 5 2 2 6" xfId="17235"/>
    <cellStyle name="Normal 7 2 5 2 2 6" xfId="17236"/>
    <cellStyle name="Normal 2 4 5 2 2 6" xfId="17237"/>
    <cellStyle name="Normal 3 4 5 2 2 6" xfId="17238"/>
    <cellStyle name="Normal 4 3 5 2 2 6" xfId="17239"/>
    <cellStyle name="Normal 5 3 5 2 2 6" xfId="17240"/>
    <cellStyle name="Normal 7 3 5 2 2 6" xfId="17241"/>
    <cellStyle name="Normal 2 5 3 2 2 6" xfId="17242"/>
    <cellStyle name="Normal 3 5 3 2 2 6" xfId="17243"/>
    <cellStyle name="Normal 4 4 3 2 2 6" xfId="17244"/>
    <cellStyle name="Normal 5 4 3 2 2 6" xfId="17245"/>
    <cellStyle name="Normal 7 4 3 2 2 6" xfId="17246"/>
    <cellStyle name="Normal 2 3 2 3 2 2 6" xfId="17247"/>
    <cellStyle name="Normal 3 3 2 3 2 2 6" xfId="17248"/>
    <cellStyle name="Normal 4 2 2 3 2 2 6" xfId="17249"/>
    <cellStyle name="Normal 5 2 2 3 2 2 6" xfId="17250"/>
    <cellStyle name="Normal 7 2 2 3 2 2 6" xfId="17251"/>
    <cellStyle name="Normal 2 4 2 3 2 2 6" xfId="17252"/>
    <cellStyle name="Normal 3 4 2 3 2 2 6" xfId="17253"/>
    <cellStyle name="Normal 4 3 2 3 2 2 6" xfId="17254"/>
    <cellStyle name="Normal 5 3 2 3 2 2 6" xfId="17255"/>
    <cellStyle name="Normal 7 3 2 3 2 2 6" xfId="17256"/>
    <cellStyle name="Normal 2 6 3 2 2 6" xfId="17257"/>
    <cellStyle name="Normal 3 6 3 2 2 6" xfId="17258"/>
    <cellStyle name="Normal 4 5 3 2 2 6" xfId="17259"/>
    <cellStyle name="Normal 5 5 3 2 2 6" xfId="17260"/>
    <cellStyle name="Normal 7 5 3 2 2 6" xfId="17261"/>
    <cellStyle name="Normal 2 3 3 3 2 2 6" xfId="17262"/>
    <cellStyle name="Normal 3 3 3 3 2 2 6" xfId="17263"/>
    <cellStyle name="Normal 4 2 3 3 2 2 6" xfId="17264"/>
    <cellStyle name="Normal 5 2 3 3 2 2 6" xfId="17265"/>
    <cellStyle name="Normal 7 2 3 3 2 2 6" xfId="17266"/>
    <cellStyle name="Normal 2 4 3 3 2 2 6" xfId="17267"/>
    <cellStyle name="Normal 3 4 3 3 2 2 6" xfId="17268"/>
    <cellStyle name="Normal 4 3 3 3 2 2 6" xfId="17269"/>
    <cellStyle name="Normal 5 3 3 3 2 2 6" xfId="17270"/>
    <cellStyle name="Normal 7 3 3 3 2 2 6" xfId="17271"/>
    <cellStyle name="Normal 2 7 2 2 2 6" xfId="17272"/>
    <cellStyle name="Normal 3 7 2 2 2 6" xfId="17273"/>
    <cellStyle name="Normal 4 6 2 2 2 6" xfId="17274"/>
    <cellStyle name="Normal 5 6 2 2 2 6" xfId="17275"/>
    <cellStyle name="Normal 7 6 2 2 2 6" xfId="17276"/>
    <cellStyle name="Normal 2 3 4 2 2 2 6" xfId="17277"/>
    <cellStyle name="Normal 3 3 4 2 2 2 6" xfId="17278"/>
    <cellStyle name="Normal 4 2 4 2 2 2 6" xfId="17279"/>
    <cellStyle name="Normal 5 2 4 2 2 2 6" xfId="17280"/>
    <cellStyle name="Normal 7 2 4 2 2 2 6" xfId="17281"/>
    <cellStyle name="Normal 2 4 4 2 2 2 6" xfId="17282"/>
    <cellStyle name="Normal 3 4 4 2 2 2 6" xfId="17283"/>
    <cellStyle name="Normal 4 3 4 2 2 2 6" xfId="17284"/>
    <cellStyle name="Normal 5 3 4 2 2 2 6" xfId="17285"/>
    <cellStyle name="Normal 7 3 4 2 2 2 6" xfId="17286"/>
    <cellStyle name="Normal 2 5 2 2 2 2 6" xfId="17287"/>
    <cellStyle name="Normal 3 5 2 2 2 2 6" xfId="17288"/>
    <cellStyle name="Normal 4 4 2 2 2 2 6" xfId="17289"/>
    <cellStyle name="Normal 5 4 2 2 2 2 6" xfId="17290"/>
    <cellStyle name="Normal 7 4 2 2 2 2 6" xfId="17291"/>
    <cellStyle name="Normal 2 3 2 2 2 2 2 6" xfId="17292"/>
    <cellStyle name="Normal 3 3 2 2 2 2 2 6" xfId="17293"/>
    <cellStyle name="Normal 4 2 2 2 2 2 2 6" xfId="17294"/>
    <cellStyle name="Normal 5 2 2 2 2 2 2 6" xfId="17295"/>
    <cellStyle name="Normal 7 2 2 2 2 2 2 6" xfId="17296"/>
    <cellStyle name="Normal 2 4 2 2 2 2 2 6" xfId="17297"/>
    <cellStyle name="Normal 3 4 2 2 2 2 2 6" xfId="17298"/>
    <cellStyle name="Normal 4 3 2 2 2 2 2 6" xfId="17299"/>
    <cellStyle name="Normal 5 3 2 2 2 2 2 6" xfId="17300"/>
    <cellStyle name="Normal 7 3 2 2 2 2 2 6" xfId="17301"/>
    <cellStyle name="Normal 2 6 2 2 2 2 6" xfId="17302"/>
    <cellStyle name="Normal 3 6 2 2 2 2 6" xfId="17303"/>
    <cellStyle name="Normal 4 5 2 2 2 2 6" xfId="17304"/>
    <cellStyle name="Normal 5 5 2 2 2 2 6" xfId="17305"/>
    <cellStyle name="Normal 7 5 2 2 2 2 6" xfId="17306"/>
    <cellStyle name="Normal 2 3 3 2 2 2 2 6" xfId="17307"/>
    <cellStyle name="Normal 3 3 3 2 2 2 2 6" xfId="17308"/>
    <cellStyle name="Normal 4 2 3 2 2 2 2 6" xfId="17309"/>
    <cellStyle name="Normal 5 2 3 2 2 2 2 6" xfId="17310"/>
    <cellStyle name="Normal 7 2 3 2 2 2 2 6" xfId="17311"/>
    <cellStyle name="Normal 2 4 3 2 2 2 2 6" xfId="17312"/>
    <cellStyle name="Normal 3 4 3 2 2 2 2 6" xfId="17313"/>
    <cellStyle name="Normal 4 3 3 2 2 2 2 6" xfId="17314"/>
    <cellStyle name="Normal 5 3 3 2 2 2 2 6" xfId="17315"/>
    <cellStyle name="Normal 7 3 3 2 2 2 2 6" xfId="17316"/>
    <cellStyle name="Normal 28 2 6" xfId="17317"/>
    <cellStyle name="Normal 2 3 7 2 6" xfId="17318"/>
    <cellStyle name="Normal 3 10 2 6" xfId="17319"/>
    <cellStyle name="Normal 4 9 2 6" xfId="17320"/>
    <cellStyle name="Normal 5 9 2 6" xfId="17321"/>
    <cellStyle name="Millares 4 2 6" xfId="17322"/>
    <cellStyle name="Normal 7 2 7 2 6" xfId="17323"/>
    <cellStyle name="Normal 3 3 7 2 6" xfId="17324"/>
    <cellStyle name="Normal 4 2 7 2 6" xfId="17325"/>
    <cellStyle name="Normal 5 2 7 2 6" xfId="17326"/>
    <cellStyle name="Normal 2 4 5 3 2 6" xfId="17327"/>
    <cellStyle name="Normal 3 4 7 2 6" xfId="17328"/>
    <cellStyle name="Normal 4 3 7 2 6" xfId="17329"/>
    <cellStyle name="Normal 5 3 7 2 6" xfId="17330"/>
    <cellStyle name="Normal 7 3 7 2 6" xfId="17331"/>
    <cellStyle name="Normal 2 5 5 2 6" xfId="17332"/>
    <cellStyle name="Normal 3 5 5 2 6" xfId="17333"/>
    <cellStyle name="Normal 4 4 5 2 6" xfId="17334"/>
    <cellStyle name="Normal 5 4 5 2 6" xfId="17335"/>
    <cellStyle name="Normal 7 4 5 2 6" xfId="17336"/>
    <cellStyle name="Normal 2 3 2 5 2 6" xfId="17337"/>
    <cellStyle name="Normal 3 3 2 5 2 6" xfId="17338"/>
    <cellStyle name="Normal 4 2 2 5 2 6" xfId="17339"/>
    <cellStyle name="Normal 5 2 2 5 2 6" xfId="17340"/>
    <cellStyle name="Normal 7 2 2 5 2 6" xfId="17341"/>
    <cellStyle name="Normal 2 4 2 5 2 6" xfId="17342"/>
    <cellStyle name="Normal 3 4 2 5 2 6" xfId="17343"/>
    <cellStyle name="Normal 4 3 2 5 2 6" xfId="17344"/>
    <cellStyle name="Normal 5 3 2 5 2 6" xfId="17345"/>
    <cellStyle name="Normal 7 3 2 5 2 6" xfId="17346"/>
    <cellStyle name="Normal 2 6 5 2 6" xfId="17347"/>
    <cellStyle name="Normal 3 6 5 2 6" xfId="17348"/>
    <cellStyle name="Normal 4 5 5 2 6" xfId="17349"/>
    <cellStyle name="Normal 5 5 5 2 6" xfId="17350"/>
    <cellStyle name="Normal 7 5 5 2 6" xfId="17351"/>
    <cellStyle name="Normal 2 3 3 5 2 6" xfId="17352"/>
    <cellStyle name="Normal 3 3 3 5 2 6" xfId="17353"/>
    <cellStyle name="Normal 4 2 3 5 2 6" xfId="17354"/>
    <cellStyle name="Normal 5 2 3 5 2 6" xfId="17355"/>
    <cellStyle name="Normal 7 2 3 5 2 6" xfId="17356"/>
    <cellStyle name="Normal 2 4 3 5 2 6" xfId="17357"/>
    <cellStyle name="Normal 3 4 3 5 2 6" xfId="17358"/>
    <cellStyle name="Normal 4 3 3 5 2 6" xfId="17359"/>
    <cellStyle name="Normal 5 3 3 5 2 6" xfId="17360"/>
    <cellStyle name="Normal 7 3 3 5 2 6" xfId="17361"/>
    <cellStyle name="Normal 2 7 4 2 6" xfId="17362"/>
    <cellStyle name="Normal 3 7 4 2 6" xfId="17363"/>
    <cellStyle name="Normal 4 6 4 2 6" xfId="17364"/>
    <cellStyle name="Normal 5 6 4 2 6" xfId="17365"/>
    <cellStyle name="Normal 7 6 4 2 6" xfId="17366"/>
    <cellStyle name="Normal 2 3 4 4 2 6" xfId="17367"/>
    <cellStyle name="Normal 3 3 4 4 2 6" xfId="17368"/>
    <cellStyle name="Normal 4 2 4 4 2 6" xfId="17369"/>
    <cellStyle name="Normal 5 2 4 4 2 6" xfId="17370"/>
    <cellStyle name="Normal 7 2 4 4 2 6" xfId="17371"/>
    <cellStyle name="Normal 2 4 4 4 2 6" xfId="17372"/>
    <cellStyle name="Normal 3 4 4 4 2 6" xfId="17373"/>
    <cellStyle name="Normal 4 3 4 4 2 6" xfId="17374"/>
    <cellStyle name="Normal 5 3 4 4 2 6" xfId="17375"/>
    <cellStyle name="Normal 7 3 4 4 2 6" xfId="17376"/>
    <cellStyle name="Normal 2 5 2 4 2 6" xfId="17377"/>
    <cellStyle name="Normal 3 5 2 4 2 6" xfId="17378"/>
    <cellStyle name="Normal 4 4 2 4 2 6" xfId="17379"/>
    <cellStyle name="Normal 5 4 2 4 2 6" xfId="17380"/>
    <cellStyle name="Normal 7 4 2 4 2 6" xfId="17381"/>
    <cellStyle name="Normal 2 3 2 2 4 2 6" xfId="17382"/>
    <cellStyle name="Normal 3 3 2 2 4 2 6" xfId="17383"/>
    <cellStyle name="Normal 4 2 2 2 4 2 6" xfId="17384"/>
    <cellStyle name="Normal 5 2 2 2 4 2 6" xfId="17385"/>
    <cellStyle name="Normal 7 2 2 2 4 2 6" xfId="17386"/>
    <cellStyle name="Normal 2 4 2 2 4 2 6" xfId="17387"/>
    <cellStyle name="Normal 3 4 2 2 4 2 6" xfId="17388"/>
    <cellStyle name="Normal 4 3 2 2 4 2 6" xfId="17389"/>
    <cellStyle name="Normal 5 3 2 2 4 2 6" xfId="17390"/>
    <cellStyle name="Normal 7 3 2 2 4 2 6" xfId="17391"/>
    <cellStyle name="Normal 2 6 2 4 2 6" xfId="17392"/>
    <cellStyle name="Normal 3 6 2 4 2 6" xfId="17393"/>
    <cellStyle name="Normal 4 5 2 4 2 6" xfId="17394"/>
    <cellStyle name="Normal 5 5 2 4 2 6" xfId="17395"/>
    <cellStyle name="Normal 7 5 2 4 2 6" xfId="17396"/>
    <cellStyle name="Normal 2 3 3 2 4 2 6" xfId="17397"/>
    <cellStyle name="Normal 3 3 3 2 4 2 6" xfId="17398"/>
    <cellStyle name="Normal 4 2 3 2 4 2 6" xfId="17399"/>
    <cellStyle name="Normal 5 2 3 2 4 2 6" xfId="17400"/>
    <cellStyle name="Normal 7 2 3 2 4 2 6" xfId="17401"/>
    <cellStyle name="Normal 2 4 3 2 4 2 6" xfId="17402"/>
    <cellStyle name="Normal 3 4 3 2 4 2 6" xfId="17403"/>
    <cellStyle name="Normal 4 3 3 2 4 2 6" xfId="17404"/>
    <cellStyle name="Normal 5 3 3 2 4 2 6" xfId="17405"/>
    <cellStyle name="Normal 7 3 3 2 4 2 6" xfId="17406"/>
    <cellStyle name="Normal 2 8 3 2 6" xfId="17407"/>
    <cellStyle name="Normal 3 8 3 2 6" xfId="17408"/>
    <cellStyle name="Normal 4 7 3 2 6" xfId="17409"/>
    <cellStyle name="Normal 5 7 3 2 6" xfId="17410"/>
    <cellStyle name="Normal 7 7 3 2 6" xfId="17411"/>
    <cellStyle name="Normal 2 3 5 3 2 6" xfId="17412"/>
    <cellStyle name="Normal 3 3 5 3 2 6" xfId="17413"/>
    <cellStyle name="Normal 4 2 5 3 2 6" xfId="17414"/>
    <cellStyle name="Normal 5 2 5 3 2 6" xfId="17415"/>
    <cellStyle name="Normal 7 2 5 3 2 6" xfId="17416"/>
    <cellStyle name="Normal 3 4 5 3 2 6" xfId="17417"/>
    <cellStyle name="Normal 4 3 5 3 2 6" xfId="17418"/>
    <cellStyle name="Normal 5 3 5 3 2 6" xfId="17419"/>
    <cellStyle name="Normal 7 3 5 3 2 6" xfId="17420"/>
    <cellStyle name="Normal 2 5 3 3 2 6" xfId="17421"/>
    <cellStyle name="Normal 3 5 3 3 2 6" xfId="17422"/>
    <cellStyle name="Normal 4 4 3 3 2 6" xfId="17423"/>
    <cellStyle name="Normal 5 4 3 3 2 6" xfId="17424"/>
    <cellStyle name="Normal 7 4 3 3 2 6" xfId="17425"/>
    <cellStyle name="Normal 2 3 2 3 3 2 6" xfId="17426"/>
    <cellStyle name="Normal 3 3 2 3 3 2 6" xfId="17427"/>
    <cellStyle name="Normal 4 2 2 3 3 2 6" xfId="17428"/>
    <cellStyle name="Normal 5 2 2 3 3 2 6" xfId="17429"/>
    <cellStyle name="Normal 7 2 2 3 3 2 6" xfId="17430"/>
    <cellStyle name="Normal 2 4 2 3 3 2 6" xfId="17431"/>
    <cellStyle name="Normal 3 4 2 3 3 2 6" xfId="17432"/>
    <cellStyle name="Normal 4 3 2 3 3 2 6" xfId="17433"/>
    <cellStyle name="Normal 5 3 2 3 3 2 6" xfId="17434"/>
    <cellStyle name="Normal 7 3 2 3 3 2 6" xfId="17435"/>
    <cellStyle name="Normal 2 6 3 3 2 6" xfId="17436"/>
    <cellStyle name="Normal 3 6 3 3 2 6" xfId="17437"/>
    <cellStyle name="Normal 4 5 3 3 2 6" xfId="17438"/>
    <cellStyle name="Normal 5 5 3 3 2 6" xfId="17439"/>
    <cellStyle name="Normal 7 5 3 3 2 6" xfId="17440"/>
    <cellStyle name="Normal 2 3 3 3 3 2 6" xfId="17441"/>
    <cellStyle name="Normal 3 3 3 3 3 2 6" xfId="17442"/>
    <cellStyle name="Normal 4 2 3 3 3 2 6" xfId="17443"/>
    <cellStyle name="Normal 5 2 3 3 3 2 6" xfId="17444"/>
    <cellStyle name="Normal 7 2 3 3 3 2 6" xfId="17445"/>
    <cellStyle name="Normal 2 4 3 3 3 2 6" xfId="17446"/>
    <cellStyle name="Normal 3 4 3 3 3 2 6" xfId="17447"/>
    <cellStyle name="Normal 4 3 3 3 3 2 6" xfId="17448"/>
    <cellStyle name="Normal 5 3 3 3 3 2 6" xfId="17449"/>
    <cellStyle name="Normal 7 3 3 3 3 2 6" xfId="17450"/>
    <cellStyle name="Normal 2 7 2 3 2 6" xfId="17451"/>
    <cellStyle name="Normal 3 7 2 3 2 6" xfId="17452"/>
    <cellStyle name="Normal 4 6 2 3 2 6" xfId="17453"/>
    <cellStyle name="Normal 5 6 2 3 2 6" xfId="17454"/>
    <cellStyle name="Normal 7 6 2 3 2 6" xfId="17455"/>
    <cellStyle name="Normal 2 3 4 2 3 2 6" xfId="17456"/>
    <cellStyle name="Normal 3 3 4 2 3 2 6" xfId="17457"/>
    <cellStyle name="Normal 4 2 4 2 3 2 6" xfId="17458"/>
    <cellStyle name="Normal 5 2 4 2 3 2 6" xfId="17459"/>
    <cellStyle name="Normal 7 2 4 2 3 2 6" xfId="17460"/>
    <cellStyle name="Normal 2 4 4 2 3 2 6" xfId="17461"/>
    <cellStyle name="Normal 3 4 4 2 3 2 6" xfId="17462"/>
    <cellStyle name="Normal 4 3 4 2 3 2 6" xfId="17463"/>
    <cellStyle name="Normal 5 3 4 2 3 2 6" xfId="17464"/>
    <cellStyle name="Normal 7 3 4 2 3 2 6" xfId="17465"/>
    <cellStyle name="Normal 2 5 2 2 3 2 6" xfId="17466"/>
    <cellStyle name="Normal 3 5 2 2 3 2 6" xfId="17467"/>
    <cellStyle name="Normal 4 4 2 2 3 2 6" xfId="17468"/>
    <cellStyle name="Normal 5 4 2 2 3 2 6" xfId="17469"/>
    <cellStyle name="Normal 7 4 2 2 3 2 6" xfId="17470"/>
    <cellStyle name="Normal 2 3 2 2 2 3 2 6" xfId="17471"/>
    <cellStyle name="Normal 3 3 2 2 2 3 2 6" xfId="17472"/>
    <cellStyle name="Normal 4 2 2 2 2 3 2 6" xfId="17473"/>
    <cellStyle name="Normal 5 2 2 2 2 3 2 6" xfId="17474"/>
    <cellStyle name="Normal 7 2 2 2 2 3 2 6" xfId="17475"/>
    <cellStyle name="Normal 2 4 2 2 2 3 2 6" xfId="17476"/>
    <cellStyle name="Normal 3 4 2 2 2 3 2 6" xfId="17477"/>
    <cellStyle name="Normal 4 3 2 2 2 3 2 6" xfId="17478"/>
    <cellStyle name="Normal 5 3 2 2 2 3 2 6" xfId="17479"/>
    <cellStyle name="Normal 7 3 2 2 2 3 2 6" xfId="17480"/>
    <cellStyle name="Normal 2 6 2 2 3 2 6" xfId="17481"/>
    <cellStyle name="Normal 3 6 2 2 3 2 6" xfId="17482"/>
    <cellStyle name="Normal 4 5 2 2 3 2 6" xfId="17483"/>
    <cellStyle name="Normal 5 5 2 2 3 2 6" xfId="17484"/>
    <cellStyle name="Normal 7 5 2 2 3 2 6" xfId="17485"/>
    <cellStyle name="Normal 2 3 3 2 2 3 2 6" xfId="17486"/>
    <cellStyle name="Normal 3 3 3 2 2 3 2 6" xfId="17487"/>
    <cellStyle name="Normal 4 2 3 2 2 3 2 6" xfId="17488"/>
    <cellStyle name="Normal 5 2 3 2 2 3 2 6" xfId="17489"/>
    <cellStyle name="Normal 7 2 3 2 2 3 2 6" xfId="17490"/>
    <cellStyle name="Normal 2 4 3 2 2 3 2 6" xfId="17491"/>
    <cellStyle name="Normal 3 4 3 2 2 3 2 6" xfId="17492"/>
    <cellStyle name="Normal 4 3 3 2 2 3 2 6" xfId="17493"/>
    <cellStyle name="Normal 5 3 3 2 2 3 2 6" xfId="17494"/>
    <cellStyle name="Normal 7 3 3 2 2 3 2 6" xfId="17495"/>
    <cellStyle name="Normal 2 12 6" xfId="17496"/>
    <cellStyle name="Normal 3 12 6" xfId="17497"/>
    <cellStyle name="Normal 4 11 6" xfId="17498"/>
    <cellStyle name="Normal 5 11 6" xfId="17499"/>
    <cellStyle name="Normal 7 11 6" xfId="17500"/>
    <cellStyle name="Normal 2 3 9 6" xfId="17501"/>
    <cellStyle name="Normal 3 3 9 6" xfId="17502"/>
    <cellStyle name="Normal 4 2 9 6" xfId="17503"/>
    <cellStyle name="Normal 5 2 9 6" xfId="17504"/>
    <cellStyle name="Normal 7 2 9 6" xfId="17505"/>
    <cellStyle name="Normal 2 4 9 6" xfId="17506"/>
    <cellStyle name="Normal 3 4 9 6" xfId="17507"/>
    <cellStyle name="Normal 4 3 9 6" xfId="17508"/>
    <cellStyle name="Normal 5 3 9 6" xfId="17509"/>
    <cellStyle name="Normal 7 3 9 6" xfId="17510"/>
    <cellStyle name="Normal 2 5 7 6" xfId="17511"/>
    <cellStyle name="Normal 3 5 7 6" xfId="17512"/>
    <cellStyle name="Normal 4 4 7 6" xfId="17513"/>
    <cellStyle name="Normal 5 4 7 6" xfId="17514"/>
    <cellStyle name="Normal 7 4 7 6" xfId="17515"/>
    <cellStyle name="Normal 2 3 2 7 6" xfId="17516"/>
    <cellStyle name="Normal 3 3 2 7 6" xfId="17517"/>
    <cellStyle name="Normal 4 2 2 7 6" xfId="17518"/>
    <cellStyle name="Normal 5 2 2 7 6" xfId="17519"/>
    <cellStyle name="Normal 7 2 2 7 6" xfId="17520"/>
    <cellStyle name="Normal 2 4 2 7 6" xfId="17521"/>
    <cellStyle name="Normal 3 4 2 7 6" xfId="17522"/>
    <cellStyle name="Normal 4 3 2 7 6" xfId="17523"/>
    <cellStyle name="Normal 5 3 2 7 6" xfId="17524"/>
    <cellStyle name="Normal 7 3 2 7 6" xfId="17525"/>
    <cellStyle name="Normal 2 6 7 6" xfId="17526"/>
    <cellStyle name="Normal 3 6 7 6" xfId="17527"/>
    <cellStyle name="Normal 4 5 7 6" xfId="17528"/>
    <cellStyle name="Normal 5 5 7 6" xfId="17529"/>
    <cellStyle name="Normal 7 5 7 6" xfId="17530"/>
    <cellStyle name="Normal 2 3 3 7 6" xfId="17531"/>
    <cellStyle name="Normal 3 3 3 7 6" xfId="17532"/>
    <cellStyle name="Normal 4 2 3 7 6" xfId="17533"/>
    <cellStyle name="Normal 5 2 3 7 6" xfId="17534"/>
    <cellStyle name="Normal 7 2 3 7 6" xfId="17535"/>
    <cellStyle name="Normal 2 4 3 7 6" xfId="17536"/>
    <cellStyle name="Normal 3 4 3 7 6" xfId="17537"/>
    <cellStyle name="Normal 4 3 3 7 6" xfId="17538"/>
    <cellStyle name="Normal 5 3 3 7 6" xfId="17539"/>
    <cellStyle name="Normal 7 3 3 7 6" xfId="17540"/>
    <cellStyle name="Normal 2 7 6 6" xfId="17541"/>
    <cellStyle name="Normal 3 7 6 6" xfId="17542"/>
    <cellStyle name="Normal 4 6 6 6" xfId="17543"/>
    <cellStyle name="Normal 5 6 6 6" xfId="17544"/>
    <cellStyle name="Normal 7 6 6 6" xfId="17545"/>
    <cellStyle name="Normal 2 3 4 6 6" xfId="17546"/>
    <cellStyle name="Normal 3 3 4 6 6" xfId="17547"/>
    <cellStyle name="Normal 4 2 4 6 6" xfId="17548"/>
    <cellStyle name="Normal 5 2 4 6 6" xfId="17549"/>
    <cellStyle name="Normal 7 2 4 6 6" xfId="17550"/>
    <cellStyle name="Normal 2 4 4 6 6" xfId="17551"/>
    <cellStyle name="Normal 3 4 4 6 6" xfId="17552"/>
    <cellStyle name="Normal 4 3 4 6 6" xfId="17553"/>
    <cellStyle name="Normal 5 3 4 6 6" xfId="17554"/>
    <cellStyle name="Normal 7 3 4 6 6" xfId="17555"/>
    <cellStyle name="Normal 2 5 2 6 6" xfId="17556"/>
    <cellStyle name="Normal 3 5 2 6 6" xfId="17557"/>
    <cellStyle name="Normal 4 4 2 6 6" xfId="17558"/>
    <cellStyle name="Normal 5 4 2 6 6" xfId="17559"/>
    <cellStyle name="Normal 7 4 2 6 6" xfId="17560"/>
    <cellStyle name="Normal 2 3 2 2 6 6" xfId="17561"/>
    <cellStyle name="Normal 3 3 2 2 6 6" xfId="17562"/>
    <cellStyle name="Normal 4 2 2 2 6 6" xfId="17563"/>
    <cellStyle name="Normal 5 2 2 2 6 6" xfId="17564"/>
    <cellStyle name="Normal 7 2 2 2 6 6" xfId="17565"/>
    <cellStyle name="Normal 2 4 2 2 6 6" xfId="17566"/>
    <cellStyle name="Normal 3 4 2 2 6 6" xfId="17567"/>
    <cellStyle name="Normal 4 3 2 2 6 6" xfId="17568"/>
    <cellStyle name="Normal 5 3 2 2 6 6" xfId="17569"/>
    <cellStyle name="Normal 7 3 2 2 6 6" xfId="17570"/>
    <cellStyle name="Normal 2 6 2 6 6" xfId="17571"/>
    <cellStyle name="Normal 3 6 2 6 6" xfId="17572"/>
    <cellStyle name="Normal 4 5 2 6 6" xfId="17573"/>
    <cellStyle name="Normal 5 5 2 6 6" xfId="17574"/>
    <cellStyle name="Normal 7 5 2 6 6" xfId="17575"/>
    <cellStyle name="Normal 2 3 3 2 6 6" xfId="17576"/>
    <cellStyle name="Normal 3 3 3 2 6 6" xfId="17577"/>
    <cellStyle name="Normal 4 2 3 2 6 6" xfId="17578"/>
    <cellStyle name="Normal 5 2 3 2 6 6" xfId="17579"/>
    <cellStyle name="Normal 7 2 3 2 6 6" xfId="17580"/>
    <cellStyle name="Normal 2 4 3 2 6 6" xfId="17581"/>
    <cellStyle name="Normal 3 4 3 2 6 6" xfId="17582"/>
    <cellStyle name="Normal 4 3 3 2 6 6" xfId="17583"/>
    <cellStyle name="Normal 5 3 3 2 6 6" xfId="17584"/>
    <cellStyle name="Normal 7 3 3 2 6 6" xfId="17585"/>
    <cellStyle name="Normal 2 8 5 6" xfId="17586"/>
    <cellStyle name="Normal 3 8 5 6" xfId="17587"/>
    <cellStyle name="Normal 4 7 5 6" xfId="17588"/>
    <cellStyle name="Normal 5 7 5 6" xfId="17589"/>
    <cellStyle name="Normal 7 7 5 6" xfId="17590"/>
    <cellStyle name="Normal 2 3 5 5 6" xfId="17591"/>
    <cellStyle name="Normal 3 3 5 5 6" xfId="17592"/>
    <cellStyle name="Normal 4 2 5 5 6" xfId="17593"/>
    <cellStyle name="Normal 5 2 5 5 6" xfId="17594"/>
    <cellStyle name="Normal 7 2 5 5 6" xfId="17595"/>
    <cellStyle name="Normal 2 4 5 5 6" xfId="17596"/>
    <cellStyle name="Normal 3 4 5 5 6" xfId="17597"/>
    <cellStyle name="Normal 4 3 5 5 6" xfId="17598"/>
    <cellStyle name="Normal 5 3 5 5 6" xfId="17599"/>
    <cellStyle name="Normal 7 3 5 5 6" xfId="17600"/>
    <cellStyle name="Normal 2 5 3 5 6" xfId="17601"/>
    <cellStyle name="Normal 3 5 3 5 6" xfId="17602"/>
    <cellStyle name="Normal 4 4 3 5 6" xfId="17603"/>
    <cellStyle name="Normal 5 4 3 5 6" xfId="17604"/>
    <cellStyle name="Normal 7 4 3 5 6" xfId="17605"/>
    <cellStyle name="Normal 2 3 2 3 5 6" xfId="17606"/>
    <cellStyle name="Normal 3 3 2 3 5 6" xfId="17607"/>
    <cellStyle name="Normal 4 2 2 3 5 6" xfId="17608"/>
    <cellStyle name="Normal 5 2 2 3 5 6" xfId="17609"/>
    <cellStyle name="Normal 7 2 2 3 5 6" xfId="17610"/>
    <cellStyle name="Normal 2 4 2 3 5 6" xfId="17611"/>
    <cellStyle name="Normal 3 4 2 3 5 6" xfId="17612"/>
    <cellStyle name="Normal 4 3 2 3 5 6" xfId="17613"/>
    <cellStyle name="Normal 5 3 2 3 5 6" xfId="17614"/>
    <cellStyle name="Normal 7 3 2 3 5 6" xfId="17615"/>
    <cellStyle name="Normal 2 6 3 5 6" xfId="17616"/>
    <cellStyle name="Normal 3 6 3 5 6" xfId="17617"/>
    <cellStyle name="Normal 4 5 3 5 6" xfId="17618"/>
    <cellStyle name="Normal 5 5 3 5 6" xfId="17619"/>
    <cellStyle name="Normal 7 5 3 5 6" xfId="17620"/>
    <cellStyle name="Normal 2 3 3 3 5 6" xfId="17621"/>
    <cellStyle name="Normal 3 3 3 3 5 6" xfId="17622"/>
    <cellStyle name="Normal 4 2 3 3 5 6" xfId="17623"/>
    <cellStyle name="Normal 5 2 3 3 5 6" xfId="17624"/>
    <cellStyle name="Normal 7 2 3 3 5 6" xfId="17625"/>
    <cellStyle name="Normal 2 4 3 3 5 6" xfId="17626"/>
    <cellStyle name="Normal 3 4 3 3 5 6" xfId="17627"/>
    <cellStyle name="Normal 4 3 3 3 5 6" xfId="17628"/>
    <cellStyle name="Normal 5 3 3 3 5 6" xfId="17629"/>
    <cellStyle name="Normal 7 3 3 3 5 6" xfId="17630"/>
    <cellStyle name="Normal 2 7 2 5 6" xfId="17631"/>
    <cellStyle name="Normal 3 7 2 5 6" xfId="17632"/>
    <cellStyle name="Normal 4 6 2 5 6" xfId="17633"/>
    <cellStyle name="Normal 5 6 2 5 6" xfId="17634"/>
    <cellStyle name="Normal 7 6 2 5 6" xfId="17635"/>
    <cellStyle name="Normal 2 3 4 2 5 6" xfId="17636"/>
    <cellStyle name="Normal 3 3 4 2 5 6" xfId="17637"/>
    <cellStyle name="Normal 4 2 4 2 5 6" xfId="17638"/>
    <cellStyle name="Normal 5 2 4 2 5 6" xfId="17639"/>
    <cellStyle name="Normal 7 2 4 2 5 6" xfId="17640"/>
    <cellStyle name="Normal 2 4 4 2 5 6" xfId="17641"/>
    <cellStyle name="Normal 3 4 4 2 5 6" xfId="17642"/>
    <cellStyle name="Normal 4 3 4 2 5 6" xfId="17643"/>
    <cellStyle name="Normal 5 3 4 2 5 6" xfId="17644"/>
    <cellStyle name="Normal 7 3 4 2 5 6" xfId="17645"/>
    <cellStyle name="Normal 2 5 2 2 5 6" xfId="17646"/>
    <cellStyle name="Normal 3 5 2 2 5 6" xfId="17647"/>
    <cellStyle name="Normal 4 4 2 2 5 6" xfId="17648"/>
    <cellStyle name="Normal 5 4 2 2 5 6" xfId="17649"/>
    <cellStyle name="Normal 7 4 2 2 5 6" xfId="17650"/>
    <cellStyle name="Normal 2 3 2 2 2 5 6" xfId="17651"/>
    <cellStyle name="Normal 3 3 2 2 2 5 6" xfId="17652"/>
    <cellStyle name="Normal 4 2 2 2 2 5 6" xfId="17653"/>
    <cellStyle name="Normal 5 2 2 2 2 5 6" xfId="17654"/>
    <cellStyle name="Normal 7 2 2 2 2 5 6" xfId="17655"/>
    <cellStyle name="Normal 2 4 2 2 2 5 6" xfId="17656"/>
    <cellStyle name="Normal 3 4 2 2 2 5 6" xfId="17657"/>
    <cellStyle name="Normal 4 3 2 2 2 5 6" xfId="17658"/>
    <cellStyle name="Normal 5 3 2 2 2 5 6" xfId="17659"/>
    <cellStyle name="Normal 7 3 2 2 2 5 6" xfId="17660"/>
    <cellStyle name="Normal 2 6 2 2 5 6" xfId="17661"/>
    <cellStyle name="Normal 3 6 2 2 5 6" xfId="17662"/>
    <cellStyle name="Normal 4 5 2 2 5 6" xfId="17663"/>
    <cellStyle name="Normal 5 5 2 2 5 6" xfId="17664"/>
    <cellStyle name="Normal 7 5 2 2 5 6" xfId="17665"/>
    <cellStyle name="Normal 2 3 3 2 2 5 6" xfId="17666"/>
    <cellStyle name="Normal 3 3 3 2 2 5 6" xfId="17667"/>
    <cellStyle name="Normal 4 2 3 2 2 5 6" xfId="17668"/>
    <cellStyle name="Normal 5 2 3 2 2 5 6" xfId="17669"/>
    <cellStyle name="Normal 7 2 3 2 2 5 6" xfId="17670"/>
    <cellStyle name="Normal 2 4 3 2 2 5 6" xfId="17671"/>
    <cellStyle name="Normal 3 4 3 2 2 5 6" xfId="17672"/>
    <cellStyle name="Normal 4 3 3 2 2 5 6" xfId="17673"/>
    <cellStyle name="Normal 5 3 3 2 2 5 6" xfId="17674"/>
    <cellStyle name="Normal 7 3 3 2 2 5 6" xfId="17675"/>
    <cellStyle name="Normal 2 9 3 6" xfId="17676"/>
    <cellStyle name="Normal 3 9 3 6" xfId="17677"/>
    <cellStyle name="Normal 4 8 3 6" xfId="17678"/>
    <cellStyle name="Normal 5 8 3 6" xfId="17679"/>
    <cellStyle name="Normal 7 8 3 6" xfId="17680"/>
    <cellStyle name="Normal 2 3 6 3 6" xfId="17681"/>
    <cellStyle name="Normal 3 3 6 3 6" xfId="17682"/>
    <cellStyle name="Normal 4 2 6 3 6" xfId="17683"/>
    <cellStyle name="Normal 5 2 6 3 6" xfId="17684"/>
    <cellStyle name="Normal 7 2 6 3 6" xfId="17685"/>
    <cellStyle name="Normal 2 4 6 3 6" xfId="17686"/>
    <cellStyle name="Normal 3 4 6 3 6" xfId="17687"/>
    <cellStyle name="Normal 4 3 6 3 6" xfId="17688"/>
    <cellStyle name="Normal 5 3 6 3 6" xfId="17689"/>
    <cellStyle name="Normal 7 3 6 3 6" xfId="17690"/>
    <cellStyle name="Normal 2 5 4 3 6" xfId="17691"/>
    <cellStyle name="Normal 3 5 4 3 6" xfId="17692"/>
    <cellStyle name="Normal 4 4 4 3 6" xfId="17693"/>
    <cellStyle name="Normal 5 4 4 3 6" xfId="17694"/>
    <cellStyle name="Normal 7 4 4 3 6" xfId="17695"/>
    <cellStyle name="Normal 2 3 2 4 3 6" xfId="17696"/>
    <cellStyle name="Normal 3 3 2 4 3 6" xfId="17697"/>
    <cellStyle name="Normal 4 2 2 4 3 6" xfId="17698"/>
    <cellStyle name="Normal 5 2 2 4 3 6" xfId="17699"/>
    <cellStyle name="Normal 7 2 2 4 3 6" xfId="17700"/>
    <cellStyle name="Normal 2 4 2 4 3 6" xfId="17701"/>
    <cellStyle name="Normal 3 4 2 4 3 6" xfId="17702"/>
    <cellStyle name="Normal 4 3 2 4 3 6" xfId="17703"/>
    <cellStyle name="Normal 5 3 2 4 3 6" xfId="17704"/>
    <cellStyle name="Normal 7 3 2 4 3 6" xfId="17705"/>
    <cellStyle name="Normal 2 6 4 3 6" xfId="17706"/>
    <cellStyle name="Normal 3 6 4 3 6" xfId="17707"/>
    <cellStyle name="Normal 4 5 4 3 6" xfId="17708"/>
    <cellStyle name="Normal 5 5 4 3 6" xfId="17709"/>
    <cellStyle name="Normal 7 5 4 3 6" xfId="17710"/>
    <cellStyle name="Normal 2 3 3 4 3 6" xfId="17711"/>
    <cellStyle name="Normal 3 3 3 4 3 6" xfId="17712"/>
    <cellStyle name="Normal 4 2 3 4 3 6" xfId="17713"/>
    <cellStyle name="Normal 5 2 3 4 3 6" xfId="17714"/>
    <cellStyle name="Normal 7 2 3 4 3 6" xfId="17715"/>
    <cellStyle name="Normal 2 4 3 4 3 6" xfId="17716"/>
    <cellStyle name="Normal 3 4 3 4 3 6" xfId="17717"/>
    <cellStyle name="Normal 4 3 3 4 3 6" xfId="17718"/>
    <cellStyle name="Normal 5 3 3 4 3 6" xfId="17719"/>
    <cellStyle name="Normal 7 3 3 4 3 6" xfId="17720"/>
    <cellStyle name="Normal 2 7 3 3 6" xfId="17721"/>
    <cellStyle name="Normal 3 7 3 3 6" xfId="17722"/>
    <cellStyle name="Normal 4 6 3 3 6" xfId="17723"/>
    <cellStyle name="Normal 5 6 3 3 6" xfId="17724"/>
    <cellStyle name="Normal 7 6 3 3 6" xfId="17725"/>
    <cellStyle name="Normal 2 3 4 3 3 6" xfId="17726"/>
    <cellStyle name="Normal 3 3 4 3 3 6" xfId="17727"/>
    <cellStyle name="Normal 4 2 4 3 3 6" xfId="17728"/>
    <cellStyle name="Normal 5 2 4 3 3 6" xfId="17729"/>
    <cellStyle name="Normal 7 2 4 3 3 6" xfId="17730"/>
    <cellStyle name="Normal 2 4 4 3 3 6" xfId="17731"/>
    <cellStyle name="Normal 3 4 4 3 3 6" xfId="17732"/>
    <cellStyle name="Normal 4 3 4 3 3 6" xfId="17733"/>
    <cellStyle name="Normal 5 3 4 3 3 6" xfId="17734"/>
    <cellStyle name="Normal 7 3 4 3 3 6" xfId="17735"/>
    <cellStyle name="Normal 2 5 2 3 3 6" xfId="17736"/>
    <cellStyle name="Normal 3 5 2 3 3 6" xfId="17737"/>
    <cellStyle name="Normal 4 4 2 3 3 6" xfId="17738"/>
    <cellStyle name="Normal 5 4 2 3 3 6" xfId="17739"/>
    <cellStyle name="Normal 7 4 2 3 3 6" xfId="17740"/>
    <cellStyle name="Normal 2 3 2 2 3 3 6" xfId="17741"/>
    <cellStyle name="Normal 3 3 2 2 3 3 6" xfId="17742"/>
    <cellStyle name="Normal 4 2 2 2 3 3 6" xfId="17743"/>
    <cellStyle name="Normal 5 2 2 2 3 3 6" xfId="17744"/>
    <cellStyle name="Normal 7 2 2 2 3 3 6" xfId="17745"/>
    <cellStyle name="Normal 2 4 2 2 3 3 6" xfId="17746"/>
    <cellStyle name="Normal 3 4 2 2 3 3 6" xfId="17747"/>
    <cellStyle name="Normal 4 3 2 2 3 3 6" xfId="17748"/>
    <cellStyle name="Normal 5 3 2 2 3 3 6" xfId="17749"/>
    <cellStyle name="Normal 7 3 2 2 3 3 6" xfId="17750"/>
    <cellStyle name="Normal 2 6 2 3 3 6" xfId="17751"/>
    <cellStyle name="Normal 3 6 2 3 3 6" xfId="17752"/>
    <cellStyle name="Normal 4 5 2 3 3 6" xfId="17753"/>
    <cellStyle name="Normal 5 5 2 3 3 6" xfId="17754"/>
    <cellStyle name="Normal 7 5 2 3 3 6" xfId="17755"/>
    <cellStyle name="Normal 2 3 3 2 3 3 6" xfId="17756"/>
    <cellStyle name="Normal 3 3 3 2 3 3 6" xfId="17757"/>
    <cellStyle name="Normal 4 2 3 2 3 3 6" xfId="17758"/>
    <cellStyle name="Normal 5 2 3 2 3 3 6" xfId="17759"/>
    <cellStyle name="Normal 7 2 3 2 3 3 6" xfId="17760"/>
    <cellStyle name="Normal 2 4 3 2 3 3 6" xfId="17761"/>
    <cellStyle name="Normal 3 4 3 2 3 3 6" xfId="17762"/>
    <cellStyle name="Normal 4 3 3 2 3 3 6" xfId="17763"/>
    <cellStyle name="Normal 5 3 3 2 3 3 6" xfId="17764"/>
    <cellStyle name="Normal 7 3 3 2 3 3 6" xfId="17765"/>
    <cellStyle name="Normal 2 8 2 3 6" xfId="17766"/>
    <cellStyle name="Normal 3 8 2 3 6" xfId="17767"/>
    <cellStyle name="Normal 4 7 2 3 6" xfId="17768"/>
    <cellStyle name="Normal 5 7 2 3 6" xfId="17769"/>
    <cellStyle name="Normal 7 7 2 3 6" xfId="17770"/>
    <cellStyle name="Normal 2 3 5 2 3 6" xfId="17771"/>
    <cellStyle name="Normal 3 3 5 2 3 6" xfId="17772"/>
    <cellStyle name="Normal 4 2 5 2 3 6" xfId="17773"/>
    <cellStyle name="Normal 5 2 5 2 3 6" xfId="17774"/>
    <cellStyle name="Normal 7 2 5 2 3 6" xfId="17775"/>
    <cellStyle name="Normal 2 4 5 2 3 6" xfId="17776"/>
    <cellStyle name="Normal 3 4 5 2 3 6" xfId="17777"/>
    <cellStyle name="Normal 4 3 5 2 3 6" xfId="17778"/>
    <cellStyle name="Normal 5 3 5 2 3 6" xfId="17779"/>
    <cellStyle name="Normal 7 3 5 2 3 6" xfId="17780"/>
    <cellStyle name="Normal 2 5 3 2 3 6" xfId="17781"/>
    <cellStyle name="Normal 3 5 3 2 3 6" xfId="17782"/>
    <cellStyle name="Normal 4 4 3 2 3 6" xfId="17783"/>
    <cellStyle name="Normal 5 4 3 2 3 6" xfId="17784"/>
    <cellStyle name="Normal 7 4 3 2 3 6" xfId="17785"/>
    <cellStyle name="Normal 2 3 2 3 2 3 6" xfId="17786"/>
    <cellStyle name="Normal 3 3 2 3 2 3 6" xfId="17787"/>
    <cellStyle name="Normal 4 2 2 3 2 3 6" xfId="17788"/>
    <cellStyle name="Normal 5 2 2 3 2 3 6" xfId="17789"/>
    <cellStyle name="Normal 7 2 2 3 2 3 6" xfId="17790"/>
    <cellStyle name="Normal 2 4 2 3 2 3 6" xfId="17791"/>
    <cellStyle name="Normal 3 4 2 3 2 3 6" xfId="17792"/>
    <cellStyle name="Normal 4 3 2 3 2 3 6" xfId="17793"/>
    <cellStyle name="Normal 5 3 2 3 2 3 6" xfId="17794"/>
    <cellStyle name="Normal 7 3 2 3 2 3 6" xfId="17795"/>
    <cellStyle name="Normal 2 6 3 2 3 6" xfId="17796"/>
    <cellStyle name="Normal 3 6 3 2 3 6" xfId="17797"/>
    <cellStyle name="Normal 4 5 3 2 3 6" xfId="17798"/>
    <cellStyle name="Normal 5 5 3 2 3 6" xfId="17799"/>
    <cellStyle name="Normal 7 5 3 2 3 6" xfId="17800"/>
    <cellStyle name="Normal 2 3 3 3 2 3 6" xfId="17801"/>
    <cellStyle name="Normal 3 3 3 3 2 3 6" xfId="17802"/>
    <cellStyle name="Normal 4 2 3 3 2 3 6" xfId="17803"/>
    <cellStyle name="Normal 5 2 3 3 2 3 6" xfId="17804"/>
    <cellStyle name="Normal 7 2 3 3 2 3 6" xfId="17805"/>
    <cellStyle name="Normal 2 4 3 3 2 3 6" xfId="17806"/>
    <cellStyle name="Normal 3 4 3 3 2 3 6" xfId="17807"/>
    <cellStyle name="Normal 4 3 3 3 2 3 6" xfId="17808"/>
    <cellStyle name="Normal 5 3 3 3 2 3 6" xfId="17809"/>
    <cellStyle name="Normal 7 3 3 3 2 3 6" xfId="17810"/>
    <cellStyle name="Normal 2 7 2 2 3 6" xfId="17811"/>
    <cellStyle name="Normal 3 7 2 2 3 6" xfId="17812"/>
    <cellStyle name="Normal 4 6 2 2 3 6" xfId="17813"/>
    <cellStyle name="Normal 5 6 2 2 3 6" xfId="17814"/>
    <cellStyle name="Normal 7 6 2 2 3 6" xfId="17815"/>
    <cellStyle name="Normal 2 3 4 2 2 3 6" xfId="17816"/>
    <cellStyle name="Normal 3 3 4 2 2 3 6" xfId="17817"/>
    <cellStyle name="Normal 4 2 4 2 2 3 6" xfId="17818"/>
    <cellStyle name="Normal 5 2 4 2 2 3 6" xfId="17819"/>
    <cellStyle name="Normal 7 2 4 2 2 3 6" xfId="17820"/>
    <cellStyle name="Normal 2 4 4 2 2 3 6" xfId="17821"/>
    <cellStyle name="Normal 3 4 4 2 2 3 6" xfId="17822"/>
    <cellStyle name="Normal 4 3 4 2 2 3 6" xfId="17823"/>
    <cellStyle name="Normal 5 3 4 2 2 3 6" xfId="17824"/>
    <cellStyle name="Normal 7 3 4 2 2 3 6" xfId="17825"/>
    <cellStyle name="Normal 2 5 2 2 2 3 6" xfId="17826"/>
    <cellStyle name="Normal 3 5 2 2 2 3 6" xfId="17827"/>
    <cellStyle name="Normal 4 4 2 2 2 3 6" xfId="17828"/>
    <cellStyle name="Normal 5 4 2 2 2 3 6" xfId="17829"/>
    <cellStyle name="Normal 7 4 2 2 2 3 6" xfId="17830"/>
    <cellStyle name="Normal 2 3 2 2 2 2 3 6" xfId="17831"/>
    <cellStyle name="Normal 3 3 2 2 2 2 3 6" xfId="17832"/>
    <cellStyle name="Normal 4 2 2 2 2 2 3 6" xfId="17833"/>
    <cellStyle name="Normal 5 2 2 2 2 2 3 6" xfId="17834"/>
    <cellStyle name="Normal 7 2 2 2 2 2 3 6" xfId="17835"/>
    <cellStyle name="Normal 2 4 2 2 2 2 3 6" xfId="17836"/>
    <cellStyle name="Normal 3 4 2 2 2 2 3 6" xfId="17837"/>
    <cellStyle name="Normal 4 3 2 2 2 2 3 6" xfId="17838"/>
    <cellStyle name="Normal 5 3 2 2 2 2 3 6" xfId="17839"/>
    <cellStyle name="Normal 7 3 2 2 2 2 3 6" xfId="17840"/>
    <cellStyle name="Normal 2 6 2 2 2 3 6" xfId="17841"/>
    <cellStyle name="Normal 3 6 2 2 2 3 6" xfId="17842"/>
    <cellStyle name="Normal 4 5 2 2 2 3 6" xfId="17843"/>
    <cellStyle name="Normal 5 5 2 2 2 3 6" xfId="17844"/>
    <cellStyle name="Normal 7 5 2 2 2 3 6" xfId="17845"/>
    <cellStyle name="Normal 2 3 3 2 2 2 3 6" xfId="17846"/>
    <cellStyle name="Normal 3 3 3 2 2 2 3 6" xfId="17847"/>
    <cellStyle name="Normal 4 2 3 2 2 2 3 6" xfId="17848"/>
    <cellStyle name="Normal 5 2 3 2 2 2 3 6" xfId="17849"/>
    <cellStyle name="Normal 7 2 3 2 2 2 3 6" xfId="17850"/>
    <cellStyle name="Normal 2 4 3 2 2 2 3 6" xfId="17851"/>
    <cellStyle name="Normal 3 4 3 2 2 2 3 6" xfId="17852"/>
    <cellStyle name="Normal 4 3 3 2 2 2 3 6" xfId="17853"/>
    <cellStyle name="Normal 5 3 3 2 2 2 3 6" xfId="17854"/>
    <cellStyle name="Normal 7 3 3 2 2 2 3 6" xfId="17855"/>
    <cellStyle name="Normal 28 3 6" xfId="17856"/>
    <cellStyle name="Normal 2 3 7 3 6" xfId="17857"/>
    <cellStyle name="Normal 3 10 3 6" xfId="17858"/>
    <cellStyle name="Normal 4 9 3 6" xfId="17859"/>
    <cellStyle name="Normal 5 9 3 6" xfId="17860"/>
    <cellStyle name="Millares 4 3 6" xfId="17861"/>
    <cellStyle name="Normal 7 2 7 3 6" xfId="17862"/>
    <cellStyle name="Normal 3 3 7 3 6" xfId="17863"/>
    <cellStyle name="Normal 4 2 7 3 6" xfId="17864"/>
    <cellStyle name="Normal 5 2 7 3 6" xfId="17865"/>
    <cellStyle name="Normal 2 4 5 3 3 6" xfId="17866"/>
    <cellStyle name="Normal 3 4 7 3 6" xfId="17867"/>
    <cellStyle name="Normal 4 3 7 3 6" xfId="17868"/>
    <cellStyle name="Normal 5 3 7 3 6" xfId="17869"/>
    <cellStyle name="Normal 7 3 7 3 6" xfId="17870"/>
    <cellStyle name="Normal 2 5 5 3 6" xfId="17871"/>
    <cellStyle name="Normal 3 5 5 3 6" xfId="17872"/>
    <cellStyle name="Normal 4 4 5 3 6" xfId="17873"/>
    <cellStyle name="Normal 5 4 5 3 6" xfId="17874"/>
    <cellStyle name="Normal 7 4 5 3 6" xfId="17875"/>
    <cellStyle name="Normal 2 3 2 5 3 6" xfId="17876"/>
    <cellStyle name="Normal 3 3 2 5 3 6" xfId="17877"/>
    <cellStyle name="Normal 4 2 2 5 3 6" xfId="17878"/>
    <cellStyle name="Normal 5 2 2 5 3 6" xfId="17879"/>
    <cellStyle name="Normal 7 2 2 5 3 6" xfId="17880"/>
    <cellStyle name="Normal 2 4 2 5 3 6" xfId="17881"/>
    <cellStyle name="Normal 3 4 2 5 3 6" xfId="17882"/>
    <cellStyle name="Normal 4 3 2 5 3 6" xfId="17883"/>
    <cellStyle name="Normal 5 3 2 5 3 6" xfId="17884"/>
    <cellStyle name="Normal 7 3 2 5 3 6" xfId="17885"/>
    <cellStyle name="Normal 2 6 5 3 6" xfId="17886"/>
    <cellStyle name="Normal 3 6 5 3 6" xfId="17887"/>
    <cellStyle name="Normal 4 5 5 3 6" xfId="17888"/>
    <cellStyle name="Normal 5 5 5 3 6" xfId="17889"/>
    <cellStyle name="Normal 7 5 5 3 6" xfId="17890"/>
    <cellStyle name="Normal 2 3 3 5 3 6" xfId="17891"/>
    <cellStyle name="Normal 3 3 3 5 3 6" xfId="17892"/>
    <cellStyle name="Normal 4 2 3 5 3 6" xfId="17893"/>
    <cellStyle name="Normal 5 2 3 5 3 6" xfId="17894"/>
    <cellStyle name="Normal 7 2 3 5 3 6" xfId="17895"/>
    <cellStyle name="Normal 2 4 3 5 3 6" xfId="17896"/>
    <cellStyle name="Normal 3 4 3 5 3 6" xfId="17897"/>
    <cellStyle name="Normal 4 3 3 5 3 6" xfId="17898"/>
    <cellStyle name="Normal 5 3 3 5 3 6" xfId="17899"/>
    <cellStyle name="Normal 7 3 3 5 3 6" xfId="17900"/>
    <cellStyle name="Normal 2 7 4 3 6" xfId="17901"/>
    <cellStyle name="Normal 3 7 4 3 6" xfId="17902"/>
    <cellStyle name="Normal 4 6 4 3 6" xfId="17903"/>
    <cellStyle name="Normal 5 6 4 3 6" xfId="17904"/>
    <cellStyle name="Normal 7 6 4 3 6" xfId="17905"/>
    <cellStyle name="Normal 2 3 4 4 3 6" xfId="17906"/>
    <cellStyle name="Normal 3 3 4 4 3 6" xfId="17907"/>
    <cellStyle name="Normal 4 2 4 4 3 6" xfId="17908"/>
    <cellStyle name="Normal 5 2 4 4 3 6" xfId="17909"/>
    <cellStyle name="Normal 7 2 4 4 3 6" xfId="17910"/>
    <cellStyle name="Normal 2 4 4 4 3 6" xfId="17911"/>
    <cellStyle name="Normal 3 4 4 4 3 6" xfId="17912"/>
    <cellStyle name="Normal 4 3 4 4 3 6" xfId="17913"/>
    <cellStyle name="Normal 5 3 4 4 3 6" xfId="17914"/>
    <cellStyle name="Normal 7 3 4 4 3 6" xfId="17915"/>
    <cellStyle name="Normal 2 5 2 4 3 6" xfId="17916"/>
    <cellStyle name="Normal 3 5 2 4 3 6" xfId="17917"/>
    <cellStyle name="Normal 4 4 2 4 3 6" xfId="17918"/>
    <cellStyle name="Normal 5 4 2 4 3 6" xfId="17919"/>
    <cellStyle name="Normal 7 4 2 4 3 6" xfId="17920"/>
    <cellStyle name="Normal 2 3 2 2 4 3 6" xfId="17921"/>
    <cellStyle name="Normal 3 3 2 2 4 3 6" xfId="17922"/>
    <cellStyle name="Normal 4 2 2 2 4 3 6" xfId="17923"/>
    <cellStyle name="Normal 5 2 2 2 4 3 6" xfId="17924"/>
    <cellStyle name="Normal 7 2 2 2 4 3 6" xfId="17925"/>
    <cellStyle name="Normal 2 4 2 2 4 3 6" xfId="17926"/>
    <cellStyle name="Normal 3 4 2 2 4 3 6" xfId="17927"/>
    <cellStyle name="Normal 4 3 2 2 4 3 6" xfId="17928"/>
    <cellStyle name="Normal 5 3 2 2 4 3 6" xfId="17929"/>
    <cellStyle name="Normal 7 3 2 2 4 3 6" xfId="17930"/>
    <cellStyle name="Normal 2 6 2 4 3 6" xfId="17931"/>
    <cellStyle name="Normal 3 6 2 4 3 6" xfId="17932"/>
    <cellStyle name="Normal 4 5 2 4 3 6" xfId="17933"/>
    <cellStyle name="Normal 5 5 2 4 3 6" xfId="17934"/>
    <cellStyle name="Normal 7 5 2 4 3 6" xfId="17935"/>
    <cellStyle name="Normal 2 3 3 2 4 3 6" xfId="17936"/>
    <cellStyle name="Normal 3 3 3 2 4 3 6" xfId="17937"/>
    <cellStyle name="Normal 4 2 3 2 4 3 6" xfId="17938"/>
    <cellStyle name="Normal 5 2 3 2 4 3 6" xfId="17939"/>
    <cellStyle name="Normal 7 2 3 2 4 3 6" xfId="17940"/>
    <cellStyle name="Normal 2 4 3 2 4 3 6" xfId="17941"/>
    <cellStyle name="Normal 3 4 3 2 4 3 6" xfId="17942"/>
    <cellStyle name="Normal 4 3 3 2 4 3 6" xfId="17943"/>
    <cellStyle name="Normal 5 3 3 2 4 3 6" xfId="17944"/>
    <cellStyle name="Normal 7 3 3 2 4 3 6" xfId="17945"/>
    <cellStyle name="Normal 2 8 3 3 6" xfId="17946"/>
    <cellStyle name="Normal 3 8 3 3 6" xfId="17947"/>
    <cellStyle name="Normal 4 7 3 3 6" xfId="17948"/>
    <cellStyle name="Normal 5 7 3 3 6" xfId="17949"/>
    <cellStyle name="Normal 7 7 3 3 6" xfId="17950"/>
    <cellStyle name="Normal 2 3 5 3 3 6" xfId="17951"/>
    <cellStyle name="Normal 3 3 5 3 3 6" xfId="17952"/>
    <cellStyle name="Normal 4 2 5 3 3 6" xfId="17953"/>
    <cellStyle name="Normal 5 2 5 3 3 6" xfId="17954"/>
    <cellStyle name="Normal 7 2 5 3 3 6" xfId="17955"/>
    <cellStyle name="Normal 3 4 5 3 3 6" xfId="17956"/>
    <cellStyle name="Normal 4 3 5 3 3 6" xfId="17957"/>
    <cellStyle name="Normal 5 3 5 3 3 6" xfId="17958"/>
    <cellStyle name="Normal 7 3 5 3 3 6" xfId="17959"/>
    <cellStyle name="Normal 2 5 3 3 3 6" xfId="17960"/>
    <cellStyle name="Normal 3 5 3 3 3 6" xfId="17961"/>
    <cellStyle name="Normal 4 4 3 3 3 6" xfId="17962"/>
    <cellStyle name="Normal 5 4 3 3 3 6" xfId="17963"/>
    <cellStyle name="Normal 7 4 3 3 3 6" xfId="17964"/>
    <cellStyle name="Normal 2 3 2 3 3 3 6" xfId="17965"/>
    <cellStyle name="Normal 3 3 2 3 3 3 6" xfId="17966"/>
    <cellStyle name="Normal 4 2 2 3 3 3 6" xfId="17967"/>
    <cellStyle name="Normal 5 2 2 3 3 3 6" xfId="17968"/>
    <cellStyle name="Normal 7 2 2 3 3 3 6" xfId="17969"/>
    <cellStyle name="Normal 2 4 2 3 3 3 6" xfId="17970"/>
    <cellStyle name="Normal 3 4 2 3 3 3 6" xfId="17971"/>
    <cellStyle name="Normal 4 3 2 3 3 3 6" xfId="17972"/>
    <cellStyle name="Normal 5 3 2 3 3 3 6" xfId="17973"/>
    <cellStyle name="Normal 7 3 2 3 3 3 6" xfId="17974"/>
    <cellStyle name="Normal 2 6 3 3 3 6" xfId="17975"/>
    <cellStyle name="Normal 3 6 3 3 3 6" xfId="17976"/>
    <cellStyle name="Normal 4 5 3 3 3 6" xfId="17977"/>
    <cellStyle name="Normal 5 5 3 3 3 6" xfId="17978"/>
    <cellStyle name="Normal 7 5 3 3 3 6" xfId="17979"/>
    <cellStyle name="Normal 2 3 3 3 3 3 6" xfId="17980"/>
    <cellStyle name="Normal 3 3 3 3 3 3 6" xfId="17981"/>
    <cellStyle name="Normal 4 2 3 3 3 3 6" xfId="17982"/>
    <cellStyle name="Normal 5 2 3 3 3 3 6" xfId="17983"/>
    <cellStyle name="Normal 7 2 3 3 3 3 6" xfId="17984"/>
    <cellStyle name="Normal 2 4 3 3 3 3 6" xfId="17985"/>
    <cellStyle name="Normal 3 4 3 3 3 3 6" xfId="17986"/>
    <cellStyle name="Normal 4 3 3 3 3 3 6" xfId="17987"/>
    <cellStyle name="Normal 5 3 3 3 3 3 6" xfId="17988"/>
    <cellStyle name="Normal 7 3 3 3 3 3 6" xfId="17989"/>
    <cellStyle name="Normal 2 7 2 3 3 6" xfId="17990"/>
    <cellStyle name="Normal 3 7 2 3 3 6" xfId="17991"/>
    <cellStyle name="Normal 4 6 2 3 3 6" xfId="17992"/>
    <cellStyle name="Normal 5 6 2 3 3 6" xfId="17993"/>
    <cellStyle name="Normal 7 6 2 3 3 6" xfId="17994"/>
    <cellStyle name="Normal 2 3 4 2 3 3 6" xfId="17995"/>
    <cellStyle name="Normal 3 3 4 2 3 3 6" xfId="17996"/>
    <cellStyle name="Normal 4 2 4 2 3 3 6" xfId="17997"/>
    <cellStyle name="Normal 5 2 4 2 3 3 6" xfId="17998"/>
    <cellStyle name="Normal 7 2 4 2 3 3 6" xfId="17999"/>
    <cellStyle name="Normal 2 4 4 2 3 3 6" xfId="18000"/>
    <cellStyle name="Normal 3 4 4 2 3 3 6" xfId="18001"/>
    <cellStyle name="Normal 4 3 4 2 3 3 6" xfId="18002"/>
    <cellStyle name="Normal 5 3 4 2 3 3 6" xfId="18003"/>
    <cellStyle name="Normal 7 3 4 2 3 3 6" xfId="18004"/>
    <cellStyle name="Normal 2 5 2 2 3 3 6" xfId="18005"/>
    <cellStyle name="Normal 3 5 2 2 3 3 6" xfId="18006"/>
    <cellStyle name="Normal 4 4 2 2 3 3 6" xfId="18007"/>
    <cellStyle name="Normal 5 4 2 2 3 3 6" xfId="18008"/>
    <cellStyle name="Normal 7 4 2 2 3 3 6" xfId="18009"/>
    <cellStyle name="Normal 2 3 2 2 2 3 3 6" xfId="18010"/>
    <cellStyle name="Normal 3 3 2 2 2 3 3 6" xfId="18011"/>
    <cellStyle name="Normal 4 2 2 2 2 3 3 6" xfId="18012"/>
    <cellStyle name="Normal 5 2 2 2 2 3 3 6" xfId="18013"/>
    <cellStyle name="Normal 7 2 2 2 2 3 3 6" xfId="18014"/>
    <cellStyle name="Normal 2 4 2 2 2 3 3 6" xfId="18015"/>
    <cellStyle name="Normal 3 4 2 2 2 3 3 6" xfId="18016"/>
    <cellStyle name="Normal 4 3 2 2 2 3 3 6" xfId="18017"/>
    <cellStyle name="Normal 5 3 2 2 2 3 3 6" xfId="18018"/>
    <cellStyle name="Normal 7 3 2 2 2 3 3 6" xfId="18019"/>
    <cellStyle name="Normal 2 6 2 2 3 3 6" xfId="18020"/>
    <cellStyle name="Normal 3 6 2 2 3 3 6" xfId="18021"/>
    <cellStyle name="Normal 4 5 2 2 3 3 6" xfId="18022"/>
    <cellStyle name="Normal 5 5 2 2 3 3 6" xfId="18023"/>
    <cellStyle name="Normal 7 5 2 2 3 3 6" xfId="18024"/>
    <cellStyle name="Normal 2 3 3 2 2 3 3 6" xfId="18025"/>
    <cellStyle name="Normal 3 3 3 2 2 3 3 6" xfId="18026"/>
    <cellStyle name="Normal 4 2 3 2 2 3 3 6" xfId="18027"/>
    <cellStyle name="Normal 5 2 3 2 2 3 3 6" xfId="18028"/>
    <cellStyle name="Normal 7 2 3 2 2 3 3 6" xfId="18029"/>
    <cellStyle name="Normal 2 4 3 2 2 3 3 6" xfId="18030"/>
    <cellStyle name="Normal 3 4 3 2 2 3 3 6" xfId="18031"/>
    <cellStyle name="Normal 4 3 3 2 2 3 3 6" xfId="18032"/>
    <cellStyle name="Normal 5 3 3 2 2 3 3 6" xfId="18033"/>
    <cellStyle name="Normal 7 3 3 2 2 3 3 6" xfId="18034"/>
    <cellStyle name="Normal 2 13 5" xfId="18035"/>
    <cellStyle name="Normal 3 13 5" xfId="18036"/>
    <cellStyle name="Normal 4 12 5" xfId="18037"/>
    <cellStyle name="Normal 5 12 5" xfId="18038"/>
    <cellStyle name="Normal 7 12 5" xfId="18039"/>
    <cellStyle name="Normal 2 3 10 5" xfId="18040"/>
    <cellStyle name="Normal 3 3 10 5" xfId="18041"/>
    <cellStyle name="Normal 4 2 10 5" xfId="18042"/>
    <cellStyle name="Normal 5 2 10 5" xfId="18043"/>
    <cellStyle name="Normal 7 2 10 5" xfId="18044"/>
    <cellStyle name="Normal 2 4 10 5" xfId="18045"/>
    <cellStyle name="Normal 3 4 10 5" xfId="18046"/>
    <cellStyle name="Normal 4 3 10 5" xfId="18047"/>
    <cellStyle name="Normal 5 3 10 5" xfId="18048"/>
    <cellStyle name="Normal 7 3 10 5" xfId="18049"/>
    <cellStyle name="Normal 2 5 8 5" xfId="18050"/>
    <cellStyle name="Normal 3 5 8 5" xfId="18051"/>
    <cellStyle name="Normal 4 4 8 5" xfId="18052"/>
    <cellStyle name="Normal 5 4 8 5" xfId="18053"/>
    <cellStyle name="Normal 7 4 8 5" xfId="18054"/>
    <cellStyle name="Normal 2 3 2 8 5" xfId="18055"/>
    <cellStyle name="Normal 3 3 2 8 5" xfId="18056"/>
    <cellStyle name="Normal 4 2 2 8 5" xfId="18057"/>
    <cellStyle name="Normal 5 2 2 8 5" xfId="18058"/>
    <cellStyle name="Normal 7 2 2 8 5" xfId="18059"/>
    <cellStyle name="Normal 2 4 2 8 5" xfId="18060"/>
    <cellStyle name="Normal 3 4 2 8 5" xfId="18061"/>
    <cellStyle name="Normal 4 3 2 8 5" xfId="18062"/>
    <cellStyle name="Normal 5 3 2 8 5" xfId="18063"/>
    <cellStyle name="Normal 7 3 2 8 5" xfId="18064"/>
    <cellStyle name="Normal 2 6 8 5" xfId="18065"/>
    <cellStyle name="Normal 3 6 8 5" xfId="18066"/>
    <cellStyle name="Normal 4 5 8 5" xfId="18067"/>
    <cellStyle name="Normal 5 5 8 5" xfId="18068"/>
    <cellStyle name="Normal 7 5 8 5" xfId="18069"/>
    <cellStyle name="Normal 2 3 3 8 5" xfId="18070"/>
    <cellStyle name="Normal 3 3 3 8 5" xfId="18071"/>
    <cellStyle name="Normal 4 2 3 8 5" xfId="18072"/>
    <cellStyle name="Normal 5 2 3 8 5" xfId="18073"/>
    <cellStyle name="Normal 7 2 3 8 5" xfId="18074"/>
    <cellStyle name="Normal 2 4 3 8 5" xfId="18075"/>
    <cellStyle name="Normal 3 4 3 8 5" xfId="18076"/>
    <cellStyle name="Normal 4 3 3 8 5" xfId="18077"/>
    <cellStyle name="Normal 5 3 3 8 5" xfId="18078"/>
    <cellStyle name="Normal 7 3 3 8 5" xfId="18079"/>
    <cellStyle name="Normal 2 7 7 5" xfId="18080"/>
    <cellStyle name="Normal 3 7 7 5" xfId="18081"/>
    <cellStyle name="Normal 4 6 7 5" xfId="18082"/>
    <cellStyle name="Normal 5 6 7 5" xfId="18083"/>
    <cellStyle name="Normal 7 6 7 5" xfId="18084"/>
    <cellStyle name="Normal 2 3 4 7 5" xfId="18085"/>
    <cellStyle name="Normal 3 3 4 7 5" xfId="18086"/>
    <cellStyle name="Normal 4 2 4 7 5" xfId="18087"/>
    <cellStyle name="Normal 5 2 4 7 5" xfId="18088"/>
    <cellStyle name="Normal 7 2 4 7 5" xfId="18089"/>
    <cellStyle name="Normal 2 4 4 7 5" xfId="18090"/>
    <cellStyle name="Normal 3 4 4 7 5" xfId="18091"/>
    <cellStyle name="Normal 4 3 4 7 5" xfId="18092"/>
    <cellStyle name="Normal 5 3 4 7 5" xfId="18093"/>
    <cellStyle name="Normal 7 3 4 7 5" xfId="18094"/>
    <cellStyle name="Normal 2 5 2 7 5" xfId="18095"/>
    <cellStyle name="Normal 3 5 2 7 5" xfId="18096"/>
    <cellStyle name="Normal 4 4 2 7 5" xfId="18097"/>
    <cellStyle name="Normal 5 4 2 7 5" xfId="18098"/>
    <cellStyle name="Normal 7 4 2 7 5" xfId="18099"/>
    <cellStyle name="Normal 2 3 2 2 7 5" xfId="18100"/>
    <cellStyle name="Normal 3 3 2 2 7 5" xfId="18101"/>
    <cellStyle name="Normal 4 2 2 2 7 5" xfId="18102"/>
    <cellStyle name="Normal 5 2 2 2 7 5" xfId="18103"/>
    <cellStyle name="Normal 7 2 2 2 7 5" xfId="18104"/>
    <cellStyle name="Normal 2 4 2 2 7 5" xfId="18105"/>
    <cellStyle name="Normal 3 4 2 2 7 5" xfId="18106"/>
    <cellStyle name="Normal 4 3 2 2 7 5" xfId="18107"/>
    <cellStyle name="Normal 5 3 2 2 7 5" xfId="18108"/>
    <cellStyle name="Normal 7 3 2 2 7 5" xfId="18109"/>
    <cellStyle name="Normal 2 6 2 7 5" xfId="18110"/>
    <cellStyle name="Normal 3 6 2 7 5" xfId="18111"/>
    <cellStyle name="Normal 4 5 2 7 5" xfId="18112"/>
    <cellStyle name="Normal 5 5 2 7 5" xfId="18113"/>
    <cellStyle name="Normal 7 5 2 7 5" xfId="18114"/>
    <cellStyle name="Normal 2 3 3 2 7 5" xfId="18115"/>
    <cellStyle name="Normal 3 3 3 2 7 5" xfId="18116"/>
    <cellStyle name="Normal 4 2 3 2 7 5" xfId="18117"/>
    <cellStyle name="Normal 5 2 3 2 7 5" xfId="18118"/>
    <cellStyle name="Normal 7 2 3 2 7 5" xfId="18119"/>
    <cellStyle name="Normal 2 4 3 2 7 5" xfId="18120"/>
    <cellStyle name="Normal 3 4 3 2 7 5" xfId="18121"/>
    <cellStyle name="Normal 4 3 3 2 7 5" xfId="18122"/>
    <cellStyle name="Normal 5 3 3 2 7 5" xfId="18123"/>
    <cellStyle name="Normal 7 3 3 2 7 5" xfId="18124"/>
    <cellStyle name="Normal 2 8 6 5" xfId="18125"/>
    <cellStyle name="Normal 3 8 6 5" xfId="18126"/>
    <cellStyle name="Normal 4 7 6 5" xfId="18127"/>
    <cellStyle name="Normal 5 7 6 5" xfId="18128"/>
    <cellStyle name="Normal 7 7 6 5" xfId="18129"/>
    <cellStyle name="Normal 2 3 5 6 5" xfId="18130"/>
    <cellStyle name="Normal 3 3 5 6 5" xfId="18131"/>
    <cellStyle name="Normal 4 2 5 6 5" xfId="18132"/>
    <cellStyle name="Normal 5 2 5 6 5" xfId="18133"/>
    <cellStyle name="Normal 7 2 5 6 5" xfId="18134"/>
    <cellStyle name="Normal 2 4 5 6 5" xfId="18135"/>
    <cellStyle name="Normal 3 4 5 6 5" xfId="18136"/>
    <cellStyle name="Normal 4 3 5 6 5" xfId="18137"/>
    <cellStyle name="Normal 5 3 5 6 5" xfId="18138"/>
    <cellStyle name="Normal 7 3 5 6 5" xfId="18139"/>
    <cellStyle name="Normal 2 5 3 6 5" xfId="18140"/>
    <cellStyle name="Normal 3 5 3 6 5" xfId="18141"/>
    <cellStyle name="Normal 4 4 3 6 5" xfId="18142"/>
    <cellStyle name="Normal 5 4 3 6 5" xfId="18143"/>
    <cellStyle name="Normal 7 4 3 6 5" xfId="18144"/>
    <cellStyle name="Normal 2 3 2 3 6 5" xfId="18145"/>
    <cellStyle name="Normal 3 3 2 3 6 5" xfId="18146"/>
    <cellStyle name="Normal 4 2 2 3 6 5" xfId="18147"/>
    <cellStyle name="Normal 5 2 2 3 6 5" xfId="18148"/>
    <cellStyle name="Normal 7 2 2 3 6 5" xfId="18149"/>
    <cellStyle name="Normal 2 4 2 3 6 5" xfId="18150"/>
    <cellStyle name="Normal 3 4 2 3 6 5" xfId="18151"/>
    <cellStyle name="Normal 4 3 2 3 6 5" xfId="18152"/>
    <cellStyle name="Normal 5 3 2 3 6 5" xfId="18153"/>
    <cellStyle name="Normal 7 3 2 3 6 5" xfId="18154"/>
    <cellStyle name="Normal 2 6 3 6 5" xfId="18155"/>
    <cellStyle name="Normal 3 6 3 6 5" xfId="18156"/>
    <cellStyle name="Normal 4 5 3 6 5" xfId="18157"/>
    <cellStyle name="Normal 5 5 3 6 5" xfId="18158"/>
    <cellStyle name="Normal 7 5 3 6 5" xfId="18159"/>
    <cellStyle name="Normal 2 3 3 3 6 5" xfId="18160"/>
    <cellStyle name="Normal 3 3 3 3 6 5" xfId="18161"/>
    <cellStyle name="Normal 4 2 3 3 6 5" xfId="18162"/>
    <cellStyle name="Normal 5 2 3 3 6 5" xfId="18163"/>
    <cellStyle name="Normal 7 2 3 3 6 5" xfId="18164"/>
    <cellStyle name="Normal 2 4 3 3 6 5" xfId="18165"/>
    <cellStyle name="Normal 3 4 3 3 6 5" xfId="18166"/>
    <cellStyle name="Normal 4 3 3 3 6 5" xfId="18167"/>
    <cellStyle name="Normal 5 3 3 3 6 5" xfId="18168"/>
    <cellStyle name="Normal 7 3 3 3 6 5" xfId="18169"/>
    <cellStyle name="Normal 2 7 2 6 5" xfId="18170"/>
    <cellStyle name="Normal 3 7 2 6 5" xfId="18171"/>
    <cellStyle name="Normal 4 6 2 6 5" xfId="18172"/>
    <cellStyle name="Normal 5 6 2 6 5" xfId="18173"/>
    <cellStyle name="Normal 7 6 2 6 5" xfId="18174"/>
    <cellStyle name="Normal 2 3 4 2 6 5" xfId="18175"/>
    <cellStyle name="Normal 3 3 4 2 6 5" xfId="18176"/>
    <cellStyle name="Normal 4 2 4 2 6 5" xfId="18177"/>
    <cellStyle name="Normal 5 2 4 2 6 5" xfId="18178"/>
    <cellStyle name="Normal 7 2 4 2 6 5" xfId="18179"/>
    <cellStyle name="Normal 2 4 4 2 6 5" xfId="18180"/>
    <cellStyle name="Normal 3 4 4 2 6 5" xfId="18181"/>
    <cellStyle name="Normal 4 3 4 2 6 5" xfId="18182"/>
    <cellStyle name="Normal 5 3 4 2 6 5" xfId="18183"/>
    <cellStyle name="Normal 7 3 4 2 6 5" xfId="18184"/>
    <cellStyle name="Normal 2 5 2 2 6 5" xfId="18185"/>
    <cellStyle name="Normal 3 5 2 2 6 5" xfId="18186"/>
    <cellStyle name="Normal 4 4 2 2 6 5" xfId="18187"/>
    <cellStyle name="Normal 5 4 2 2 6 5" xfId="18188"/>
    <cellStyle name="Normal 7 4 2 2 6 5" xfId="18189"/>
    <cellStyle name="Normal 2 3 2 2 2 6 5" xfId="18190"/>
    <cellStyle name="Normal 3 3 2 2 2 6 5" xfId="18191"/>
    <cellStyle name="Normal 4 2 2 2 2 6 5" xfId="18192"/>
    <cellStyle name="Normal 5 2 2 2 2 6 5" xfId="18193"/>
    <cellStyle name="Normal 7 2 2 2 2 6 5" xfId="18194"/>
    <cellStyle name="Normal 2 4 2 2 2 6 5" xfId="18195"/>
    <cellStyle name="Normal 3 4 2 2 2 6 5" xfId="18196"/>
    <cellStyle name="Normal 4 3 2 2 2 6 5" xfId="18197"/>
    <cellStyle name="Normal 5 3 2 2 2 6 5" xfId="18198"/>
    <cellStyle name="Normal 7 3 2 2 2 6 5" xfId="18199"/>
    <cellStyle name="Normal 2 6 2 2 6 5" xfId="18200"/>
    <cellStyle name="Normal 3 6 2 2 6 5" xfId="18201"/>
    <cellStyle name="Normal 4 5 2 2 6 5" xfId="18202"/>
    <cellStyle name="Normal 5 5 2 2 6 5" xfId="18203"/>
    <cellStyle name="Normal 7 5 2 2 6 5" xfId="18204"/>
    <cellStyle name="Normal 2 3 3 2 2 6 5" xfId="18205"/>
    <cellStyle name="Normal 3 3 3 2 2 6 5" xfId="18206"/>
    <cellStyle name="Normal 4 2 3 2 2 6 5" xfId="18207"/>
    <cellStyle name="Normal 5 2 3 2 2 6 5" xfId="18208"/>
    <cellStyle name="Normal 7 2 3 2 2 6 5" xfId="18209"/>
    <cellStyle name="Normal 2 4 3 2 2 6 5" xfId="18210"/>
    <cellStyle name="Normal 3 4 3 2 2 6 5" xfId="18211"/>
    <cellStyle name="Normal 4 3 3 2 2 6 5" xfId="18212"/>
    <cellStyle name="Normal 5 3 3 2 2 6 5" xfId="18213"/>
    <cellStyle name="Normal 7 3 3 2 2 6 5" xfId="18214"/>
    <cellStyle name="Normal 2 9 4 5" xfId="18215"/>
    <cellStyle name="Normal 3 9 4 5" xfId="18216"/>
    <cellStyle name="Normal 4 8 4 5" xfId="18217"/>
    <cellStyle name="Normal 5 8 4 5" xfId="18218"/>
    <cellStyle name="Normal 7 8 4 5" xfId="18219"/>
    <cellStyle name="Normal 2 3 6 4 5" xfId="18220"/>
    <cellStyle name="Normal 3 3 6 4 5" xfId="18221"/>
    <cellStyle name="Normal 4 2 6 4 5" xfId="18222"/>
    <cellStyle name="Normal 5 2 6 4 5" xfId="18223"/>
    <cellStyle name="Normal 7 2 6 4 5" xfId="18224"/>
    <cellStyle name="Normal 2 4 6 4 5" xfId="18225"/>
    <cellStyle name="Normal 3 4 6 4 5" xfId="18226"/>
    <cellStyle name="Normal 4 3 6 4 5" xfId="18227"/>
    <cellStyle name="Normal 5 3 6 4 5" xfId="18228"/>
    <cellStyle name="Normal 7 3 6 4 5" xfId="18229"/>
    <cellStyle name="Normal 2 5 4 4 5" xfId="18230"/>
    <cellStyle name="Normal 3 5 4 4 5" xfId="18231"/>
    <cellStyle name="Normal 4 4 4 4 5" xfId="18232"/>
    <cellStyle name="Normal 5 4 4 4 5" xfId="18233"/>
    <cellStyle name="Normal 7 4 4 4 5" xfId="18234"/>
    <cellStyle name="Normal 2 3 2 4 4 5" xfId="18235"/>
    <cellStyle name="Normal 3 3 2 4 4 5" xfId="18236"/>
    <cellStyle name="Normal 4 2 2 4 4 5" xfId="18237"/>
    <cellStyle name="Normal 5 2 2 4 4 5" xfId="18238"/>
    <cellStyle name="Normal 7 2 2 4 4 5" xfId="18239"/>
    <cellStyle name="Normal 2 4 2 4 4 5" xfId="18240"/>
    <cellStyle name="Normal 3 4 2 4 4 5" xfId="18241"/>
    <cellStyle name="Normal 4 3 2 4 4 5" xfId="18242"/>
    <cellStyle name="Normal 5 3 2 4 4 5" xfId="18243"/>
    <cellStyle name="Normal 7 3 2 4 4 5" xfId="18244"/>
    <cellStyle name="Normal 2 6 4 4 5" xfId="18245"/>
    <cellStyle name="Normal 3 6 4 4 5" xfId="18246"/>
    <cellStyle name="Normal 4 5 4 4 5" xfId="18247"/>
    <cellStyle name="Normal 5 5 4 4 5" xfId="18248"/>
    <cellStyle name="Normal 7 5 4 4 5" xfId="18249"/>
    <cellStyle name="Normal 2 3 3 4 4 5" xfId="18250"/>
    <cellStyle name="Normal 3 3 3 4 4 5" xfId="18251"/>
    <cellStyle name="Normal 4 2 3 4 4 5" xfId="18252"/>
    <cellStyle name="Normal 5 2 3 4 4 5" xfId="18253"/>
    <cellStyle name="Normal 7 2 3 4 4 5" xfId="18254"/>
    <cellStyle name="Normal 2 4 3 4 4 5" xfId="18255"/>
    <cellStyle name="Normal 3 4 3 4 4 5" xfId="18256"/>
    <cellStyle name="Normal 4 3 3 4 4 5" xfId="18257"/>
    <cellStyle name="Normal 5 3 3 4 4 5" xfId="18258"/>
    <cellStyle name="Normal 7 3 3 4 4 5" xfId="18259"/>
    <cellStyle name="Normal 2 7 3 4 5" xfId="18260"/>
    <cellStyle name="Normal 3 7 3 4 5" xfId="18261"/>
    <cellStyle name="Normal 4 6 3 4 5" xfId="18262"/>
    <cellStyle name="Normal 5 6 3 4 5" xfId="18263"/>
    <cellStyle name="Normal 7 6 3 4 5" xfId="18264"/>
    <cellStyle name="Normal 2 3 4 3 4 5" xfId="18265"/>
    <cellStyle name="Normal 3 3 4 3 4 5" xfId="18266"/>
    <cellStyle name="Normal 4 2 4 3 4 5" xfId="18267"/>
    <cellStyle name="Normal 5 2 4 3 4 5" xfId="18268"/>
    <cellStyle name="Normal 7 2 4 3 4 5" xfId="18269"/>
    <cellStyle name="Normal 2 4 4 3 4 5" xfId="18270"/>
    <cellStyle name="Normal 3 4 4 3 4 5" xfId="18271"/>
    <cellStyle name="Normal 4 3 4 3 4 5" xfId="18272"/>
    <cellStyle name="Normal 5 3 4 3 4 5" xfId="18273"/>
    <cellStyle name="Normal 7 3 4 3 4 5" xfId="18274"/>
    <cellStyle name="Normal 2 5 2 3 4 5" xfId="18275"/>
    <cellStyle name="Normal 3 5 2 3 4 5" xfId="18276"/>
    <cellStyle name="Normal 4 4 2 3 4 5" xfId="18277"/>
    <cellStyle name="Normal 5 4 2 3 4 5" xfId="18278"/>
    <cellStyle name="Normal 7 4 2 3 4 5" xfId="18279"/>
    <cellStyle name="Normal 2 3 2 2 3 4 5" xfId="18280"/>
    <cellStyle name="Normal 3 3 2 2 3 4 5" xfId="18281"/>
    <cellStyle name="Normal 4 2 2 2 3 4 5" xfId="18282"/>
    <cellStyle name="Normal 5 2 2 2 3 4 5" xfId="18283"/>
    <cellStyle name="Normal 7 2 2 2 3 4 5" xfId="18284"/>
    <cellStyle name="Normal 2 4 2 2 3 4 5" xfId="18285"/>
    <cellStyle name="Normal 3 4 2 2 3 4 5" xfId="18286"/>
    <cellStyle name="Normal 4 3 2 2 3 4 5" xfId="18287"/>
    <cellStyle name="Normal 5 3 2 2 3 4 5" xfId="18288"/>
    <cellStyle name="Normal 7 3 2 2 3 4 5" xfId="18289"/>
    <cellStyle name="Normal 2 6 2 3 4 5" xfId="18290"/>
    <cellStyle name="Normal 3 6 2 3 4 5" xfId="18291"/>
    <cellStyle name="Normal 4 5 2 3 4 5" xfId="18292"/>
    <cellStyle name="Normal 5 5 2 3 4 5" xfId="18293"/>
    <cellStyle name="Normal 7 5 2 3 4 5" xfId="18294"/>
    <cellStyle name="Normal 2 3 3 2 3 4 5" xfId="18295"/>
    <cellStyle name="Normal 3 3 3 2 3 4 5" xfId="18296"/>
    <cellStyle name="Normal 4 2 3 2 3 4 5" xfId="18297"/>
    <cellStyle name="Normal 5 2 3 2 3 4 5" xfId="18298"/>
    <cellStyle name="Normal 7 2 3 2 3 4 5" xfId="18299"/>
    <cellStyle name="Normal 2 4 3 2 3 4 5" xfId="18300"/>
    <cellStyle name="Normal 3 4 3 2 3 4 5" xfId="18301"/>
    <cellStyle name="Normal 4 3 3 2 3 4 5" xfId="18302"/>
    <cellStyle name="Normal 5 3 3 2 3 4 5" xfId="18303"/>
    <cellStyle name="Normal 7 3 3 2 3 4 5" xfId="18304"/>
    <cellStyle name="Normal 2 8 2 4 5" xfId="18305"/>
    <cellStyle name="Normal 3 8 2 4 5" xfId="18306"/>
    <cellStyle name="Normal 4 7 2 4 5" xfId="18307"/>
    <cellStyle name="Normal 5 7 2 4 5" xfId="18308"/>
    <cellStyle name="Normal 7 7 2 4 5" xfId="18309"/>
    <cellStyle name="Normal 2 3 5 2 4 5" xfId="18310"/>
    <cellStyle name="Normal 3 3 5 2 4 5" xfId="18311"/>
    <cellStyle name="Normal 4 2 5 2 4 5" xfId="18312"/>
    <cellStyle name="Normal 5 2 5 2 4 5" xfId="18313"/>
    <cellStyle name="Normal 7 2 5 2 4 5" xfId="18314"/>
    <cellStyle name="Normal 2 4 5 2 4 5" xfId="18315"/>
    <cellStyle name="Normal 3 4 5 2 4 5" xfId="18316"/>
    <cellStyle name="Normal 4 3 5 2 4 5" xfId="18317"/>
    <cellStyle name="Normal 5 3 5 2 4 5" xfId="18318"/>
    <cellStyle name="Normal 7 3 5 2 4 5" xfId="18319"/>
    <cellStyle name="Normal 2 5 3 2 4 5" xfId="18320"/>
    <cellStyle name="Normal 3 5 3 2 4 5" xfId="18321"/>
    <cellStyle name="Normal 4 4 3 2 4 5" xfId="18322"/>
    <cellStyle name="Normal 5 4 3 2 4 5" xfId="18323"/>
    <cellStyle name="Normal 7 4 3 2 4 5" xfId="18324"/>
    <cellStyle name="Normal 2 3 2 3 2 4 5" xfId="18325"/>
    <cellStyle name="Normal 3 3 2 3 2 4 5" xfId="18326"/>
    <cellStyle name="Normal 4 2 2 3 2 4 5" xfId="18327"/>
    <cellStyle name="Normal 5 2 2 3 2 4 5" xfId="18328"/>
    <cellStyle name="Normal 7 2 2 3 2 4 5" xfId="18329"/>
    <cellStyle name="Normal 2 4 2 3 2 4 5" xfId="18330"/>
    <cellStyle name="Normal 3 4 2 3 2 4 5" xfId="18331"/>
    <cellStyle name="Normal 4 3 2 3 2 4 5" xfId="18332"/>
    <cellStyle name="Normal 5 3 2 3 2 4 5" xfId="18333"/>
    <cellStyle name="Normal 7 3 2 3 2 4 5" xfId="18334"/>
    <cellStyle name="Normal 2 6 3 2 4 5" xfId="18335"/>
    <cellStyle name="Normal 3 6 3 2 4 5" xfId="18336"/>
    <cellStyle name="Normal 4 5 3 2 4 5" xfId="18337"/>
    <cellStyle name="Normal 5 5 3 2 4 5" xfId="18338"/>
    <cellStyle name="Normal 7 5 3 2 4 5" xfId="18339"/>
    <cellStyle name="Normal 2 3 3 3 2 4 5" xfId="18340"/>
    <cellStyle name="Normal 3 3 3 3 2 4 5" xfId="18341"/>
    <cellStyle name="Normal 4 2 3 3 2 4 5" xfId="18342"/>
    <cellStyle name="Normal 5 2 3 3 2 4 5" xfId="18343"/>
    <cellStyle name="Normal 7 2 3 3 2 4 5" xfId="18344"/>
    <cellStyle name="Normal 2 4 3 3 2 4 5" xfId="18345"/>
    <cellStyle name="Normal 3 4 3 3 2 4 5" xfId="18346"/>
    <cellStyle name="Normal 4 3 3 3 2 4 5" xfId="18347"/>
    <cellStyle name="Normal 5 3 3 3 2 4 5" xfId="18348"/>
    <cellStyle name="Normal 7 3 3 3 2 4 5" xfId="18349"/>
    <cellStyle name="Normal 2 7 2 2 4 5" xfId="18350"/>
    <cellStyle name="Normal 3 7 2 2 4 5" xfId="18351"/>
    <cellStyle name="Normal 4 6 2 2 4 5" xfId="18352"/>
    <cellStyle name="Normal 5 6 2 2 4 5" xfId="18353"/>
    <cellStyle name="Normal 7 6 2 2 4 5" xfId="18354"/>
    <cellStyle name="Normal 2 3 4 2 2 4 5" xfId="18355"/>
    <cellStyle name="Normal 3 3 4 2 2 4 5" xfId="18356"/>
    <cellStyle name="Normal 4 2 4 2 2 4 5" xfId="18357"/>
    <cellStyle name="Normal 5 2 4 2 2 4 5" xfId="18358"/>
    <cellStyle name="Normal 7 2 4 2 2 4 5" xfId="18359"/>
    <cellStyle name="Normal 2 4 4 2 2 4 5" xfId="18360"/>
    <cellStyle name="Normal 3 4 4 2 2 4 5" xfId="18361"/>
    <cellStyle name="Normal 4 3 4 2 2 4 5" xfId="18362"/>
    <cellStyle name="Normal 5 3 4 2 2 4 5" xfId="18363"/>
    <cellStyle name="Normal 7 3 4 2 2 4 5" xfId="18364"/>
    <cellStyle name="Normal 2 5 2 2 2 4 5" xfId="18365"/>
    <cellStyle name="Normal 3 5 2 2 2 4 5" xfId="18366"/>
    <cellStyle name="Normal 4 4 2 2 2 4 5" xfId="18367"/>
    <cellStyle name="Normal 5 4 2 2 2 4 5" xfId="18368"/>
    <cellStyle name="Normal 7 4 2 2 2 4 5" xfId="18369"/>
    <cellStyle name="Normal 2 3 2 2 2 2 4 5" xfId="18370"/>
    <cellStyle name="Normal 3 3 2 2 2 2 4 5" xfId="18371"/>
    <cellStyle name="Normal 4 2 2 2 2 2 4 5" xfId="18372"/>
    <cellStyle name="Normal 5 2 2 2 2 2 4 5" xfId="18373"/>
    <cellStyle name="Normal 7 2 2 2 2 2 4 5" xfId="18374"/>
    <cellStyle name="Normal 2 4 2 2 2 2 4 5" xfId="18375"/>
    <cellStyle name="Normal 3 4 2 2 2 2 4 5" xfId="18376"/>
    <cellStyle name="Normal 4 3 2 2 2 2 4 5" xfId="18377"/>
    <cellStyle name="Normal 5 3 2 2 2 2 4 5" xfId="18378"/>
    <cellStyle name="Normal 7 3 2 2 2 2 4 5" xfId="18379"/>
    <cellStyle name="Normal 2 6 2 2 2 4 5" xfId="18380"/>
    <cellStyle name="Normal 3 6 2 2 2 4 5" xfId="18381"/>
    <cellStyle name="Normal 4 5 2 2 2 4 5" xfId="18382"/>
    <cellStyle name="Normal 5 5 2 2 2 4 5" xfId="18383"/>
    <cellStyle name="Normal 7 5 2 2 2 4 5" xfId="18384"/>
    <cellStyle name="Normal 2 3 3 2 2 2 4 5" xfId="18385"/>
    <cellStyle name="Normal 3 3 3 2 2 2 4 5" xfId="18386"/>
    <cellStyle name="Normal 4 2 3 2 2 2 4 5" xfId="18387"/>
    <cellStyle name="Normal 5 2 3 2 2 2 4 5" xfId="18388"/>
    <cellStyle name="Normal 7 2 3 2 2 2 4 5" xfId="18389"/>
    <cellStyle name="Normal 2 4 3 2 2 2 4 5" xfId="18390"/>
    <cellStyle name="Normal 3 4 3 2 2 2 4 5" xfId="18391"/>
    <cellStyle name="Normal 4 3 3 2 2 2 4 5" xfId="18392"/>
    <cellStyle name="Normal 5 3 3 2 2 2 4 5" xfId="18393"/>
    <cellStyle name="Normal 7 3 3 2 2 2 4 5" xfId="18394"/>
    <cellStyle name="Normal 28 4 5" xfId="18395"/>
    <cellStyle name="Normal 2 3 7 4 5" xfId="18396"/>
    <cellStyle name="Normal 3 10 4 5" xfId="18397"/>
    <cellStyle name="Normal 4 9 4 5" xfId="18398"/>
    <cellStyle name="Normal 5 9 4 5" xfId="18399"/>
    <cellStyle name="Millares 4 4 5" xfId="18400"/>
    <cellStyle name="Normal 7 2 7 4 5" xfId="18401"/>
    <cellStyle name="Normal 3 3 7 4 5" xfId="18402"/>
    <cellStyle name="Normal 4 2 7 4 5" xfId="18403"/>
    <cellStyle name="Normal 5 2 7 4 5" xfId="18404"/>
    <cellStyle name="Normal 2 4 5 3 4 5" xfId="18405"/>
    <cellStyle name="Normal 3 4 7 4 5" xfId="18406"/>
    <cellStyle name="Normal 4 3 7 4 5" xfId="18407"/>
    <cellStyle name="Normal 5 3 7 4 5" xfId="18408"/>
    <cellStyle name="Normal 7 3 7 4 5" xfId="18409"/>
    <cellStyle name="Normal 2 5 5 4 5" xfId="18410"/>
    <cellStyle name="Normal 3 5 5 4 5" xfId="18411"/>
    <cellStyle name="Normal 4 4 5 4 5" xfId="18412"/>
    <cellStyle name="Normal 5 4 5 4 5" xfId="18413"/>
    <cellStyle name="Normal 7 4 5 4 5" xfId="18414"/>
    <cellStyle name="Normal 2 3 2 5 4 5" xfId="18415"/>
    <cellStyle name="Normal 3 3 2 5 4 5" xfId="18416"/>
    <cellStyle name="Normal 4 2 2 5 4 5" xfId="18417"/>
    <cellStyle name="Normal 5 2 2 5 4 5" xfId="18418"/>
    <cellStyle name="Normal 7 2 2 5 4 5" xfId="18419"/>
    <cellStyle name="Normal 2 4 2 5 4 5" xfId="18420"/>
    <cellStyle name="Normal 3 4 2 5 4 5" xfId="18421"/>
    <cellStyle name="Normal 4 3 2 5 4 5" xfId="18422"/>
    <cellStyle name="Normal 5 3 2 5 4 5" xfId="18423"/>
    <cellStyle name="Normal 7 3 2 5 4 5" xfId="18424"/>
    <cellStyle name="Normal 2 6 5 4 5" xfId="18425"/>
    <cellStyle name="Normal 3 6 5 4 5" xfId="18426"/>
    <cellStyle name="Normal 4 5 5 4 5" xfId="18427"/>
    <cellStyle name="Normal 5 5 5 4 5" xfId="18428"/>
    <cellStyle name="Normal 7 5 5 4 5" xfId="18429"/>
    <cellStyle name="Normal 2 3 3 5 4 5" xfId="18430"/>
    <cellStyle name="Normal 3 3 3 5 4 5" xfId="18431"/>
    <cellStyle name="Normal 4 2 3 5 4 5" xfId="18432"/>
    <cellStyle name="Normal 5 2 3 5 4 5" xfId="18433"/>
    <cellStyle name="Normal 7 2 3 5 4 5" xfId="18434"/>
    <cellStyle name="Normal 2 4 3 5 4 5" xfId="18435"/>
    <cellStyle name="Normal 3 4 3 5 4 5" xfId="18436"/>
    <cellStyle name="Normal 4 3 3 5 4 5" xfId="18437"/>
    <cellStyle name="Normal 5 3 3 5 4 5" xfId="18438"/>
    <cellStyle name="Normal 7 3 3 5 4 5" xfId="18439"/>
    <cellStyle name="Normal 2 7 4 4 5" xfId="18440"/>
    <cellStyle name="Normal 3 7 4 4 5" xfId="18441"/>
    <cellStyle name="Normal 4 6 4 4 5" xfId="18442"/>
    <cellStyle name="Normal 5 6 4 4 5" xfId="18443"/>
    <cellStyle name="Normal 7 6 4 4 5" xfId="18444"/>
    <cellStyle name="Normal 2 3 4 4 4 5" xfId="18445"/>
    <cellStyle name="Normal 3 3 4 4 4 5" xfId="18446"/>
    <cellStyle name="Normal 4 2 4 4 4 5" xfId="18447"/>
    <cellStyle name="Normal 5 2 4 4 4 5" xfId="18448"/>
    <cellStyle name="Normal 7 2 4 4 4 5" xfId="18449"/>
    <cellStyle name="Normal 2 4 4 4 4 5" xfId="18450"/>
    <cellStyle name="Normal 3 4 4 4 4 5" xfId="18451"/>
    <cellStyle name="Normal 4 3 4 4 4 5" xfId="18452"/>
    <cellStyle name="Normal 5 3 4 4 4 5" xfId="18453"/>
    <cellStyle name="Normal 7 3 4 4 4 5" xfId="18454"/>
    <cellStyle name="Normal 2 5 2 4 4 5" xfId="18455"/>
    <cellStyle name="Normal 3 5 2 4 4 5" xfId="18456"/>
    <cellStyle name="Normal 4 4 2 4 4 5" xfId="18457"/>
    <cellStyle name="Normal 5 4 2 4 4 5" xfId="18458"/>
    <cellStyle name="Normal 7 4 2 4 4 5" xfId="18459"/>
    <cellStyle name="Normal 2 3 2 2 4 4 5" xfId="18460"/>
    <cellStyle name="Normal 3 3 2 2 4 4 5" xfId="18461"/>
    <cellStyle name="Normal 4 2 2 2 4 4 5" xfId="18462"/>
    <cellStyle name="Normal 5 2 2 2 4 4 5" xfId="18463"/>
    <cellStyle name="Normal 7 2 2 2 4 4 5" xfId="18464"/>
    <cellStyle name="Normal 2 4 2 2 4 4 5" xfId="18465"/>
    <cellStyle name="Normal 3 4 2 2 4 4 5" xfId="18466"/>
    <cellStyle name="Normal 4 3 2 2 4 4 5" xfId="18467"/>
    <cellStyle name="Normal 5 3 2 2 4 4 5" xfId="18468"/>
    <cellStyle name="Normal 7 3 2 2 4 4 5" xfId="18469"/>
    <cellStyle name="Normal 2 6 2 4 4 5" xfId="18470"/>
    <cellStyle name="Normal 3 6 2 4 4 5" xfId="18471"/>
    <cellStyle name="Normal 4 5 2 4 4 5" xfId="18472"/>
    <cellStyle name="Normal 5 5 2 4 4 5" xfId="18473"/>
    <cellStyle name="Normal 7 5 2 4 4 5" xfId="18474"/>
    <cellStyle name="Normal 2 3 3 2 4 4 5" xfId="18475"/>
    <cellStyle name="Normal 3 3 3 2 4 4 5" xfId="18476"/>
    <cellStyle name="Normal 4 2 3 2 4 4 5" xfId="18477"/>
    <cellStyle name="Normal 5 2 3 2 4 4 5" xfId="18478"/>
    <cellStyle name="Normal 7 2 3 2 4 4 5" xfId="18479"/>
    <cellStyle name="Normal 2 4 3 2 4 4 5" xfId="18480"/>
    <cellStyle name="Normal 3 4 3 2 4 4 5" xfId="18481"/>
    <cellStyle name="Normal 4 3 3 2 4 4 5" xfId="18482"/>
    <cellStyle name="Normal 5 3 3 2 4 4 5" xfId="18483"/>
    <cellStyle name="Normal 7 3 3 2 4 4 5" xfId="18484"/>
    <cellStyle name="Normal 2 8 3 4 5" xfId="18485"/>
    <cellStyle name="Normal 3 8 3 4 5" xfId="18486"/>
    <cellStyle name="Normal 4 7 3 4 5" xfId="18487"/>
    <cellStyle name="Normal 5 7 3 4 5" xfId="18488"/>
    <cellStyle name="Normal 7 7 3 4 5" xfId="18489"/>
    <cellStyle name="Normal 2 3 5 3 4 5" xfId="18490"/>
    <cellStyle name="Normal 3 3 5 3 4 5" xfId="18491"/>
    <cellStyle name="Normal 4 2 5 3 4 5" xfId="18492"/>
    <cellStyle name="Normal 5 2 5 3 4 5" xfId="18493"/>
    <cellStyle name="Normal 7 2 5 3 4 5" xfId="18494"/>
    <cellStyle name="Normal 3 4 5 3 4 5" xfId="18495"/>
    <cellStyle name="Normal 4 3 5 3 4 5" xfId="18496"/>
    <cellStyle name="Normal 5 3 5 3 4 5" xfId="18497"/>
    <cellStyle name="Normal 7 3 5 3 4 5" xfId="18498"/>
    <cellStyle name="Normal 2 5 3 3 4 5" xfId="18499"/>
    <cellStyle name="Normal 3 5 3 3 4 5" xfId="18500"/>
    <cellStyle name="Normal 4 4 3 3 4 5" xfId="18501"/>
    <cellStyle name="Normal 5 4 3 3 4 5" xfId="18502"/>
    <cellStyle name="Normal 7 4 3 3 4 5" xfId="18503"/>
    <cellStyle name="Normal 2 3 2 3 3 4 5" xfId="18504"/>
    <cellStyle name="Normal 3 3 2 3 3 4 5" xfId="18505"/>
    <cellStyle name="Normal 4 2 2 3 3 4 5" xfId="18506"/>
    <cellStyle name="Normal 5 2 2 3 3 4 5" xfId="18507"/>
    <cellStyle name="Normal 7 2 2 3 3 4 5" xfId="18508"/>
    <cellStyle name="Normal 2 4 2 3 3 4 5" xfId="18509"/>
    <cellStyle name="Normal 3 4 2 3 3 4 5" xfId="18510"/>
    <cellStyle name="Normal 4 3 2 3 3 4 5" xfId="18511"/>
    <cellStyle name="Normal 5 3 2 3 3 4 5" xfId="18512"/>
    <cellStyle name="Normal 7 3 2 3 3 4 5" xfId="18513"/>
    <cellStyle name="Normal 2 6 3 3 4 5" xfId="18514"/>
    <cellStyle name="Normal 3 6 3 3 4 5" xfId="18515"/>
    <cellStyle name="Normal 4 5 3 3 4 5" xfId="18516"/>
    <cellStyle name="Normal 5 5 3 3 4 5" xfId="18517"/>
    <cellStyle name="Normal 7 5 3 3 4 5" xfId="18518"/>
    <cellStyle name="Normal 2 3 3 3 3 4 5" xfId="18519"/>
    <cellStyle name="Normal 3 3 3 3 3 4 5" xfId="18520"/>
    <cellStyle name="Normal 4 2 3 3 3 4 5" xfId="18521"/>
    <cellStyle name="Normal 5 2 3 3 3 4 5" xfId="18522"/>
    <cellStyle name="Normal 7 2 3 3 3 4 5" xfId="18523"/>
    <cellStyle name="Normal 2 4 3 3 3 4 5" xfId="18524"/>
    <cellStyle name="Normal 3 4 3 3 3 4 5" xfId="18525"/>
    <cellStyle name="Normal 4 3 3 3 3 4 5" xfId="18526"/>
    <cellStyle name="Normal 5 3 3 3 3 4 5" xfId="18527"/>
    <cellStyle name="Normal 7 3 3 3 3 4 5" xfId="18528"/>
    <cellStyle name="Normal 2 7 2 3 4 5" xfId="18529"/>
    <cellStyle name="Normal 3 7 2 3 4 5" xfId="18530"/>
    <cellStyle name="Normal 4 6 2 3 4 5" xfId="18531"/>
    <cellStyle name="Normal 5 6 2 3 4 5" xfId="18532"/>
    <cellStyle name="Normal 7 6 2 3 4 5" xfId="18533"/>
    <cellStyle name="Normal 2 3 4 2 3 4 5" xfId="18534"/>
    <cellStyle name="Normal 3 3 4 2 3 4 5" xfId="18535"/>
    <cellStyle name="Normal 4 2 4 2 3 4 5" xfId="18536"/>
    <cellStyle name="Normal 5 2 4 2 3 4 5" xfId="18537"/>
    <cellStyle name="Normal 7 2 4 2 3 4 5" xfId="18538"/>
    <cellStyle name="Normal 2 4 4 2 3 4 5" xfId="18539"/>
    <cellStyle name="Normal 3 4 4 2 3 4 5" xfId="18540"/>
    <cellStyle name="Normal 4 3 4 2 3 4 5" xfId="18541"/>
    <cellStyle name="Normal 5 3 4 2 3 4 5" xfId="18542"/>
    <cellStyle name="Normal 7 3 4 2 3 4 5" xfId="18543"/>
    <cellStyle name="Normal 2 5 2 2 3 4 5" xfId="18544"/>
    <cellStyle name="Normal 3 5 2 2 3 4 5" xfId="18545"/>
    <cellStyle name="Normal 4 4 2 2 3 4 5" xfId="18546"/>
    <cellStyle name="Normal 5 4 2 2 3 4 5" xfId="18547"/>
    <cellStyle name="Normal 7 4 2 2 3 4 5" xfId="18548"/>
    <cellStyle name="Normal 2 3 2 2 2 3 4 5" xfId="18549"/>
    <cellStyle name="Normal 3 3 2 2 2 3 4 5" xfId="18550"/>
    <cellStyle name="Normal 4 2 2 2 2 3 4 5" xfId="18551"/>
    <cellStyle name="Normal 5 2 2 2 2 3 4 5" xfId="18552"/>
    <cellStyle name="Normal 7 2 2 2 2 3 4 5" xfId="18553"/>
    <cellStyle name="Normal 2 4 2 2 2 3 4 5" xfId="18554"/>
    <cellStyle name="Normal 3 4 2 2 2 3 4 5" xfId="18555"/>
    <cellStyle name="Normal 4 3 2 2 2 3 4 5" xfId="18556"/>
    <cellStyle name="Normal 5 3 2 2 2 3 4 5" xfId="18557"/>
    <cellStyle name="Normal 7 3 2 2 2 3 4 5" xfId="18558"/>
    <cellStyle name="Normal 2 6 2 2 3 4 5" xfId="18559"/>
    <cellStyle name="Normal 3 6 2 2 3 4 5" xfId="18560"/>
    <cellStyle name="Normal 4 5 2 2 3 4 5" xfId="18561"/>
    <cellStyle name="Normal 5 5 2 2 3 4 5" xfId="18562"/>
    <cellStyle name="Normal 7 5 2 2 3 4 5" xfId="18563"/>
    <cellStyle name="Normal 2 3 3 2 2 3 4 5" xfId="18564"/>
    <cellStyle name="Normal 3 3 3 2 2 3 4 5" xfId="18565"/>
    <cellStyle name="Normal 4 2 3 2 2 3 4 5" xfId="18566"/>
    <cellStyle name="Normal 5 2 3 2 2 3 4 5" xfId="18567"/>
    <cellStyle name="Normal 7 2 3 2 2 3 4 5" xfId="18568"/>
    <cellStyle name="Normal 2 4 3 2 2 3 4 5" xfId="18569"/>
    <cellStyle name="Normal 3 4 3 2 2 3 4 5" xfId="18570"/>
    <cellStyle name="Normal 4 3 3 2 2 3 4 5" xfId="18571"/>
    <cellStyle name="Normal 5 3 3 2 2 3 4 5" xfId="18572"/>
    <cellStyle name="Normal 7 3 3 2 2 3 4 5" xfId="18573"/>
    <cellStyle name="Normal 2 11 2 5" xfId="18574"/>
    <cellStyle name="Normal 3 11 2 5" xfId="18575"/>
    <cellStyle name="Normal 4 10 2 5" xfId="18576"/>
    <cellStyle name="Normal 5 10 2 5" xfId="18577"/>
    <cellStyle name="Normal 7 10 2 5" xfId="18578"/>
    <cellStyle name="Normal 2 3 8 2 5" xfId="18579"/>
    <cellStyle name="Normal 3 3 8 2 5" xfId="18580"/>
    <cellStyle name="Normal 4 2 8 2 5" xfId="18581"/>
    <cellStyle name="Normal 5 2 8 2 5" xfId="18582"/>
    <cellStyle name="Normal 7 2 8 2 5" xfId="18583"/>
    <cellStyle name="Normal 2 4 8 2 5" xfId="18584"/>
    <cellStyle name="Normal 3 4 8 2 5" xfId="18585"/>
    <cellStyle name="Normal 4 3 8 2 5" xfId="18586"/>
    <cellStyle name="Normal 5 3 8 2 5" xfId="18587"/>
    <cellStyle name="Normal 7 3 8 2 5" xfId="18588"/>
    <cellStyle name="Normal 2 5 6 2 5" xfId="18589"/>
    <cellStyle name="Normal 3 5 6 2 5" xfId="18590"/>
    <cellStyle name="Normal 4 4 6 2 5" xfId="18591"/>
    <cellStyle name="Normal 5 4 6 2 5" xfId="18592"/>
    <cellStyle name="Normal 7 4 6 2 5" xfId="18593"/>
    <cellStyle name="Normal 2 3 2 6 2 5" xfId="18594"/>
    <cellStyle name="Normal 3 3 2 6 2 5" xfId="18595"/>
    <cellStyle name="Normal 4 2 2 6 2 5" xfId="18596"/>
    <cellStyle name="Normal 5 2 2 6 2 5" xfId="18597"/>
    <cellStyle name="Normal 7 2 2 6 2 5" xfId="18598"/>
    <cellStyle name="Normal 2 4 2 6 2 5" xfId="18599"/>
    <cellStyle name="Normal 3 4 2 6 2 5" xfId="18600"/>
    <cellStyle name="Normal 4 3 2 6 2 5" xfId="18601"/>
    <cellStyle name="Normal 5 3 2 6 2 5" xfId="18602"/>
    <cellStyle name="Normal 7 3 2 6 2 5" xfId="18603"/>
    <cellStyle name="Normal 2 6 6 2 5" xfId="18604"/>
    <cellStyle name="Normal 3 6 6 2 5" xfId="18605"/>
    <cellStyle name="Normal 4 5 6 2 5" xfId="18606"/>
    <cellStyle name="Normal 5 5 6 2 5" xfId="18607"/>
    <cellStyle name="Normal 7 5 6 2 5" xfId="18608"/>
    <cellStyle name="Normal 2 3 3 6 2 5" xfId="18609"/>
    <cellStyle name="Normal 3 3 3 6 2 5" xfId="18610"/>
    <cellStyle name="Normal 4 2 3 6 2 5" xfId="18611"/>
    <cellStyle name="Normal 5 2 3 6 2 5" xfId="18612"/>
    <cellStyle name="Normal 7 2 3 6 2 5" xfId="18613"/>
    <cellStyle name="Normal 2 4 3 6 2 5" xfId="18614"/>
    <cellStyle name="Normal 3 4 3 6 2 5" xfId="18615"/>
    <cellStyle name="Normal 4 3 3 6 2 5" xfId="18616"/>
    <cellStyle name="Normal 5 3 3 6 2 5" xfId="18617"/>
    <cellStyle name="Normal 7 3 3 6 2 5" xfId="18618"/>
    <cellStyle name="Normal 2 7 5 2 5" xfId="18619"/>
    <cellStyle name="Normal 3 7 5 2 5" xfId="18620"/>
    <cellStyle name="Normal 4 6 5 2 5" xfId="18621"/>
    <cellStyle name="Normal 5 6 5 2 5" xfId="18622"/>
    <cellStyle name="Normal 7 6 5 2 5" xfId="18623"/>
    <cellStyle name="Normal 2 3 4 5 2 5" xfId="18624"/>
    <cellStyle name="Normal 3 3 4 5 2 5" xfId="18625"/>
    <cellStyle name="Normal 4 2 4 5 2 5" xfId="18626"/>
    <cellStyle name="Normal 5 2 4 5 2 5" xfId="18627"/>
    <cellStyle name="Normal 7 2 4 5 2 5" xfId="18628"/>
    <cellStyle name="Normal 2 4 4 5 2 5" xfId="18629"/>
    <cellStyle name="Normal 3 4 4 5 2 5" xfId="18630"/>
    <cellStyle name="Normal 4 3 4 5 2 5" xfId="18631"/>
    <cellStyle name="Normal 5 3 4 5 2 5" xfId="18632"/>
    <cellStyle name="Normal 7 3 4 5 2 5" xfId="18633"/>
    <cellStyle name="Normal 2 5 2 5 2 5" xfId="18634"/>
    <cellStyle name="Normal 3 5 2 5 2 5" xfId="18635"/>
    <cellStyle name="Normal 4 4 2 5 2 5" xfId="18636"/>
    <cellStyle name="Normal 5 4 2 5 2 5" xfId="18637"/>
    <cellStyle name="Normal 7 4 2 5 2 5" xfId="18638"/>
    <cellStyle name="Normal 2 3 2 2 5 2 5" xfId="18639"/>
    <cellStyle name="Normal 3 3 2 2 5 2 5" xfId="18640"/>
    <cellStyle name="Normal 4 2 2 2 5 2 5" xfId="18641"/>
    <cellStyle name="Normal 5 2 2 2 5 2 5" xfId="18642"/>
    <cellStyle name="Normal 7 2 2 2 5 2 5" xfId="18643"/>
    <cellStyle name="Normal 2 4 2 2 5 2 5" xfId="18644"/>
    <cellStyle name="Normal 3 4 2 2 5 2 5" xfId="18645"/>
    <cellStyle name="Normal 4 3 2 2 5 2 5" xfId="18646"/>
    <cellStyle name="Normal 5 3 2 2 5 2 5" xfId="18647"/>
    <cellStyle name="Normal 7 3 2 2 5 2 5" xfId="18648"/>
    <cellStyle name="Normal 2 6 2 5 2 5" xfId="18649"/>
    <cellStyle name="Normal 3 6 2 5 2 5" xfId="18650"/>
    <cellStyle name="Normal 4 5 2 5 2 5" xfId="18651"/>
    <cellStyle name="Normal 5 5 2 5 2 5" xfId="18652"/>
    <cellStyle name="Normal 7 5 2 5 2 5" xfId="18653"/>
    <cellStyle name="Normal 2 3 3 2 5 2 5" xfId="18654"/>
    <cellStyle name="Normal 3 3 3 2 5 2 5" xfId="18655"/>
    <cellStyle name="Normal 4 2 3 2 5 2 5" xfId="18656"/>
    <cellStyle name="Normal 5 2 3 2 5 2 5" xfId="18657"/>
    <cellStyle name="Normal 7 2 3 2 5 2 5" xfId="18658"/>
    <cellStyle name="Normal 2 4 3 2 5 2 5" xfId="18659"/>
    <cellStyle name="Normal 3 4 3 2 5 2 5" xfId="18660"/>
    <cellStyle name="Normal 4 3 3 2 5 2 5" xfId="18661"/>
    <cellStyle name="Normal 5 3 3 2 5 2 5" xfId="18662"/>
    <cellStyle name="Normal 7 3 3 2 5 2 5" xfId="18663"/>
    <cellStyle name="Normal 2 8 4 2 5" xfId="18664"/>
    <cellStyle name="Normal 3 8 4 2 5" xfId="18665"/>
    <cellStyle name="Normal 4 7 4 2 5" xfId="18666"/>
    <cellStyle name="Normal 5 7 4 2 5" xfId="18667"/>
    <cellStyle name="Normal 7 7 4 2 5" xfId="18668"/>
    <cellStyle name="Normal 2 3 5 4 2 5" xfId="18669"/>
    <cellStyle name="Normal 3 3 5 4 2 5" xfId="18670"/>
    <cellStyle name="Normal 4 2 5 4 2 5" xfId="18671"/>
    <cellStyle name="Normal 5 2 5 4 2 5" xfId="18672"/>
    <cellStyle name="Normal 7 2 5 4 2 5" xfId="18673"/>
    <cellStyle name="Normal 2 4 5 4 2 5" xfId="18674"/>
    <cellStyle name="Normal 3 4 5 4 2 5" xfId="18675"/>
    <cellStyle name="Normal 4 3 5 4 2 5" xfId="18676"/>
    <cellStyle name="Normal 5 3 5 4 2 5" xfId="18677"/>
    <cellStyle name="Normal 7 3 5 4 2 5" xfId="18678"/>
    <cellStyle name="Normal 2 5 3 4 2 5" xfId="18679"/>
    <cellStyle name="Normal 3 5 3 4 2 5" xfId="18680"/>
    <cellStyle name="Normal 4 4 3 4 2 5" xfId="18681"/>
    <cellStyle name="Normal 5 4 3 4 2 5" xfId="18682"/>
    <cellStyle name="Normal 7 4 3 4 2 5" xfId="18683"/>
    <cellStyle name="Normal 2 3 2 3 4 2 5" xfId="18684"/>
    <cellStyle name="Normal 3 3 2 3 4 2 5" xfId="18685"/>
    <cellStyle name="Normal 4 2 2 3 4 2 5" xfId="18686"/>
    <cellStyle name="Normal 5 2 2 3 4 2 5" xfId="18687"/>
    <cellStyle name="Normal 7 2 2 3 4 2 5" xfId="18688"/>
    <cellStyle name="Normal 2 4 2 3 4 2 5" xfId="18689"/>
    <cellStyle name="Normal 3 4 2 3 4 2 5" xfId="18690"/>
    <cellStyle name="Normal 4 3 2 3 4 2 5" xfId="18691"/>
    <cellStyle name="Normal 5 3 2 3 4 2 5" xfId="18692"/>
    <cellStyle name="Normal 7 3 2 3 4 2 5" xfId="18693"/>
    <cellStyle name="Normal 2 6 3 4 2 5" xfId="18694"/>
    <cellStyle name="Normal 3 6 3 4 2 5" xfId="18695"/>
    <cellStyle name="Normal 4 5 3 4 2 5" xfId="18696"/>
    <cellStyle name="Normal 5 5 3 4 2 5" xfId="18697"/>
    <cellStyle name="Normal 7 5 3 4 2 5" xfId="18698"/>
    <cellStyle name="Normal 2 3 3 3 4 2 5" xfId="18699"/>
    <cellStyle name="Normal 3 3 3 3 4 2 5" xfId="18700"/>
    <cellStyle name="Normal 4 2 3 3 4 2 5" xfId="18701"/>
    <cellStyle name="Normal 5 2 3 3 4 2 5" xfId="18702"/>
    <cellStyle name="Normal 7 2 3 3 4 2 5" xfId="18703"/>
    <cellStyle name="Normal 2 4 3 3 4 2 5" xfId="18704"/>
    <cellStyle name="Normal 3 4 3 3 4 2 5" xfId="18705"/>
    <cellStyle name="Normal 4 3 3 3 4 2 5" xfId="18706"/>
    <cellStyle name="Normal 5 3 3 3 4 2 5" xfId="18707"/>
    <cellStyle name="Normal 7 3 3 3 4 2 5" xfId="18708"/>
    <cellStyle name="Normal 2 7 2 4 2 5" xfId="18709"/>
    <cellStyle name="Normal 3 7 2 4 2 5" xfId="18710"/>
    <cellStyle name="Normal 4 6 2 4 2 5" xfId="18711"/>
    <cellStyle name="Normal 5 6 2 4 2 5" xfId="18712"/>
    <cellStyle name="Normal 7 6 2 4 2 5" xfId="18713"/>
    <cellStyle name="Normal 2 3 4 2 4 2 5" xfId="18714"/>
    <cellStyle name="Normal 3 3 4 2 4 2 5" xfId="18715"/>
    <cellStyle name="Normal 4 2 4 2 4 2 5" xfId="18716"/>
    <cellStyle name="Normal 5 2 4 2 4 2 5" xfId="18717"/>
    <cellStyle name="Normal 7 2 4 2 4 2 5" xfId="18718"/>
    <cellStyle name="Normal 2 4 4 2 4 2 5" xfId="18719"/>
    <cellStyle name="Normal 3 4 4 2 4 2 5" xfId="18720"/>
    <cellStyle name="Normal 4 3 4 2 4 2 5" xfId="18721"/>
    <cellStyle name="Normal 5 3 4 2 4 2 5" xfId="18722"/>
    <cellStyle name="Normal 7 3 4 2 4 2 5" xfId="18723"/>
    <cellStyle name="Normal 2 5 2 2 4 2 5" xfId="18724"/>
    <cellStyle name="Normal 3 5 2 2 4 2 5" xfId="18725"/>
    <cellStyle name="Normal 4 4 2 2 4 2 5" xfId="18726"/>
    <cellStyle name="Normal 5 4 2 2 4 2 5" xfId="18727"/>
    <cellStyle name="Normal 7 4 2 2 4 2 5" xfId="18728"/>
    <cellStyle name="Normal 2 3 2 2 2 4 2 5" xfId="18729"/>
    <cellStyle name="Normal 3 3 2 2 2 4 2 5" xfId="18730"/>
    <cellStyle name="Normal 4 2 2 2 2 4 2 5" xfId="18731"/>
    <cellStyle name="Normal 5 2 2 2 2 4 2 5" xfId="18732"/>
    <cellStyle name="Normal 7 2 2 2 2 4 2 5" xfId="18733"/>
    <cellStyle name="Normal 2 4 2 2 2 4 2 5" xfId="18734"/>
    <cellStyle name="Normal 3 4 2 2 2 4 2 5" xfId="18735"/>
    <cellStyle name="Normal 4 3 2 2 2 4 2 5" xfId="18736"/>
    <cellStyle name="Normal 5 3 2 2 2 4 2 5" xfId="18737"/>
    <cellStyle name="Normal 7 3 2 2 2 4 2 5" xfId="18738"/>
    <cellStyle name="Normal 2 6 2 2 4 2 5" xfId="18739"/>
    <cellStyle name="Normal 3 6 2 2 4 2 5" xfId="18740"/>
    <cellStyle name="Normal 4 5 2 2 4 2 5" xfId="18741"/>
    <cellStyle name="Normal 5 5 2 2 4 2 5" xfId="18742"/>
    <cellStyle name="Normal 7 5 2 2 4 2 5" xfId="18743"/>
    <cellStyle name="Normal 2 3 3 2 2 4 2 5" xfId="18744"/>
    <cellStyle name="Normal 3 3 3 2 2 4 2 5" xfId="18745"/>
    <cellStyle name="Normal 4 2 3 2 2 4 2 5" xfId="18746"/>
    <cellStyle name="Normal 5 2 3 2 2 4 2 5" xfId="18747"/>
    <cellStyle name="Normal 7 2 3 2 2 4 2 5" xfId="18748"/>
    <cellStyle name="Normal 2 4 3 2 2 4 2 5" xfId="18749"/>
    <cellStyle name="Normal 3 4 3 2 2 4 2 5" xfId="18750"/>
    <cellStyle name="Normal 4 3 3 2 2 4 2 5" xfId="18751"/>
    <cellStyle name="Normal 5 3 3 2 2 4 2 5" xfId="18752"/>
    <cellStyle name="Normal 7 3 3 2 2 4 2 5" xfId="18753"/>
    <cellStyle name="Normal 2 9 2 2 5" xfId="18754"/>
    <cellStyle name="Normal 3 9 2 2 5" xfId="18755"/>
    <cellStyle name="Normal 4 8 2 2 5" xfId="18756"/>
    <cellStyle name="Normal 5 8 2 2 5" xfId="18757"/>
    <cellStyle name="Normal 7 8 2 2 5" xfId="18758"/>
    <cellStyle name="Normal 2 3 6 2 2 5" xfId="18759"/>
    <cellStyle name="Normal 3 3 6 2 2 5" xfId="18760"/>
    <cellStyle name="Normal 4 2 6 2 2 5" xfId="18761"/>
    <cellStyle name="Normal 5 2 6 2 2 5" xfId="18762"/>
    <cellStyle name="Normal 7 2 6 2 2 5" xfId="18763"/>
    <cellStyle name="Normal 2 4 6 2 2 5" xfId="18764"/>
    <cellStyle name="Normal 3 4 6 2 2 5" xfId="18765"/>
    <cellStyle name="Normal 4 3 6 2 2 5" xfId="18766"/>
    <cellStyle name="Normal 5 3 6 2 2 5" xfId="18767"/>
    <cellStyle name="Normal 7 3 6 2 2 5" xfId="18768"/>
    <cellStyle name="Normal 2 5 4 2 2 5" xfId="18769"/>
    <cellStyle name="Normal 3 5 4 2 2 5" xfId="18770"/>
    <cellStyle name="Normal 4 4 4 2 2 5" xfId="18771"/>
    <cellStyle name="Normal 5 4 4 2 2 5" xfId="18772"/>
    <cellStyle name="Normal 7 4 4 2 2 5" xfId="18773"/>
    <cellStyle name="Normal 2 3 2 4 2 2 5" xfId="18774"/>
    <cellStyle name="Normal 3 3 2 4 2 2 5" xfId="18775"/>
    <cellStyle name="Normal 4 2 2 4 2 2 5" xfId="18776"/>
    <cellStyle name="Normal 5 2 2 4 2 2 5" xfId="18777"/>
    <cellStyle name="Normal 7 2 2 4 2 2 5" xfId="18778"/>
    <cellStyle name="Normal 2 4 2 4 2 2 5" xfId="18779"/>
    <cellStyle name="Normal 3 4 2 4 2 2 5" xfId="18780"/>
    <cellStyle name="Normal 4 3 2 4 2 2 5" xfId="18781"/>
    <cellStyle name="Normal 5 3 2 4 2 2 5" xfId="18782"/>
    <cellStyle name="Normal 7 3 2 4 2 2 5" xfId="18783"/>
    <cellStyle name="Normal 2 6 4 2 2 5" xfId="18784"/>
    <cellStyle name="Normal 3 6 4 2 2 5" xfId="18785"/>
    <cellStyle name="Normal 4 5 4 2 2 5" xfId="18786"/>
    <cellStyle name="Normal 5 5 4 2 2 5" xfId="18787"/>
    <cellStyle name="Normal 7 5 4 2 2 5" xfId="18788"/>
    <cellStyle name="Normal 2 3 3 4 2 2 5" xfId="18789"/>
    <cellStyle name="Normal 3 3 3 4 2 2 5" xfId="18790"/>
    <cellStyle name="Normal 4 2 3 4 2 2 5" xfId="18791"/>
    <cellStyle name="Normal 5 2 3 4 2 2 5" xfId="18792"/>
    <cellStyle name="Normal 7 2 3 4 2 2 5" xfId="18793"/>
    <cellStyle name="Normal 2 4 3 4 2 2 5" xfId="18794"/>
    <cellStyle name="Normal 3 4 3 4 2 2 5" xfId="18795"/>
    <cellStyle name="Normal 4 3 3 4 2 2 5" xfId="18796"/>
    <cellStyle name="Normal 5 3 3 4 2 2 5" xfId="18797"/>
    <cellStyle name="Normal 7 3 3 4 2 2 5" xfId="18798"/>
    <cellStyle name="Normal 2 7 3 2 2 5" xfId="18799"/>
    <cellStyle name="Normal 3 7 3 2 2 5" xfId="18800"/>
    <cellStyle name="Normal 4 6 3 2 2 5" xfId="18801"/>
    <cellStyle name="Normal 5 6 3 2 2 5" xfId="18802"/>
    <cellStyle name="Normal 7 6 3 2 2 5" xfId="18803"/>
    <cellStyle name="Normal 2 3 4 3 2 2 5" xfId="18804"/>
    <cellStyle name="Normal 3 3 4 3 2 2 5" xfId="18805"/>
    <cellStyle name="Normal 4 2 4 3 2 2 5" xfId="18806"/>
    <cellStyle name="Normal 5 2 4 3 2 2 5" xfId="18807"/>
    <cellStyle name="Normal 7 2 4 3 2 2 5" xfId="18808"/>
    <cellStyle name="Normal 2 4 4 3 2 2 5" xfId="18809"/>
    <cellStyle name="Normal 3 4 4 3 2 2 5" xfId="18810"/>
    <cellStyle name="Normal 4 3 4 3 2 2 5" xfId="18811"/>
    <cellStyle name="Normal 5 3 4 3 2 2 5" xfId="18812"/>
    <cellStyle name="Normal 7 3 4 3 2 2 5" xfId="18813"/>
    <cellStyle name="Normal 2 5 2 3 2 2 5" xfId="18814"/>
    <cellStyle name="Normal 3 5 2 3 2 2 5" xfId="18815"/>
    <cellStyle name="Normal 4 4 2 3 2 2 5" xfId="18816"/>
    <cellStyle name="Normal 5 4 2 3 2 2 5" xfId="18817"/>
    <cellStyle name="Normal 7 4 2 3 2 2 5" xfId="18818"/>
    <cellStyle name="Normal 2 3 2 2 3 2 2 5" xfId="18819"/>
    <cellStyle name="Normal 3 3 2 2 3 2 2 5" xfId="18820"/>
    <cellStyle name="Normal 4 2 2 2 3 2 2 5" xfId="18821"/>
    <cellStyle name="Normal 5 2 2 2 3 2 2 5" xfId="18822"/>
    <cellStyle name="Normal 7 2 2 2 3 2 2 5" xfId="18823"/>
    <cellStyle name="Normal 2 4 2 2 3 2 2 5" xfId="18824"/>
    <cellStyle name="Normal 3 4 2 2 3 2 2 5" xfId="18825"/>
    <cellStyle name="Normal 4 3 2 2 3 2 2 5" xfId="18826"/>
    <cellStyle name="Normal 5 3 2 2 3 2 2 5" xfId="18827"/>
    <cellStyle name="Normal 7 3 2 2 3 2 2 5" xfId="18828"/>
    <cellStyle name="Normal 2 6 2 3 2 2 5" xfId="18829"/>
    <cellStyle name="Normal 3 6 2 3 2 2 5" xfId="18830"/>
    <cellStyle name="Normal 4 5 2 3 2 2 5" xfId="18831"/>
    <cellStyle name="Normal 5 5 2 3 2 2 5" xfId="18832"/>
    <cellStyle name="Normal 7 5 2 3 2 2 5" xfId="18833"/>
    <cellStyle name="Normal 2 3 3 2 3 2 2 5" xfId="18834"/>
    <cellStyle name="Normal 3 3 3 2 3 2 2 5" xfId="18835"/>
    <cellStyle name="Normal 4 2 3 2 3 2 2 5" xfId="18836"/>
    <cellStyle name="Normal 5 2 3 2 3 2 2 5" xfId="18837"/>
    <cellStyle name="Normal 7 2 3 2 3 2 2 5" xfId="18838"/>
    <cellStyle name="Normal 2 4 3 2 3 2 2 5" xfId="18839"/>
    <cellStyle name="Normal 3 4 3 2 3 2 2 5" xfId="18840"/>
    <cellStyle name="Normal 4 3 3 2 3 2 2 5" xfId="18841"/>
    <cellStyle name="Normal 5 3 3 2 3 2 2 5" xfId="18842"/>
    <cellStyle name="Normal 7 3 3 2 3 2 2 5" xfId="18843"/>
    <cellStyle name="Normal 2 8 2 2 2 5" xfId="18844"/>
    <cellStyle name="Normal 3 8 2 2 2 5" xfId="18845"/>
    <cellStyle name="Normal 4 7 2 2 2 5" xfId="18846"/>
    <cellStyle name="Normal 5 7 2 2 2 5" xfId="18847"/>
    <cellStyle name="Normal 7 7 2 2 2 5" xfId="18848"/>
    <cellStyle name="Normal 2 3 5 2 2 2 5" xfId="18849"/>
    <cellStyle name="Normal 3 3 5 2 2 2 5" xfId="18850"/>
    <cellStyle name="Normal 4 2 5 2 2 2 5" xfId="18851"/>
    <cellStyle name="Normal 5 2 5 2 2 2 5" xfId="18852"/>
    <cellStyle name="Normal 7 2 5 2 2 2 5" xfId="18853"/>
    <cellStyle name="Normal 2 4 5 2 2 2 5" xfId="18854"/>
    <cellStyle name="Normal 3 4 5 2 2 2 5" xfId="18855"/>
    <cellStyle name="Normal 4 3 5 2 2 2 5" xfId="18856"/>
    <cellStyle name="Normal 5 3 5 2 2 2 5" xfId="18857"/>
    <cellStyle name="Normal 7 3 5 2 2 2 5" xfId="18858"/>
    <cellStyle name="Normal 2 5 3 2 2 2 5" xfId="18859"/>
    <cellStyle name="Normal 3 5 3 2 2 2 5" xfId="18860"/>
    <cellStyle name="Normal 4 4 3 2 2 2 5" xfId="18861"/>
    <cellStyle name="Normal 5 4 3 2 2 2 5" xfId="18862"/>
    <cellStyle name="Normal 7 4 3 2 2 2 5" xfId="18863"/>
    <cellStyle name="Normal 2 3 2 3 2 2 2 5" xfId="18864"/>
    <cellStyle name="Normal 3 3 2 3 2 2 2 5" xfId="18865"/>
    <cellStyle name="Normal 4 2 2 3 2 2 2 5" xfId="18866"/>
    <cellStyle name="Normal 5 2 2 3 2 2 2 5" xfId="18867"/>
    <cellStyle name="Normal 7 2 2 3 2 2 2 5" xfId="18868"/>
    <cellStyle name="Normal 2 4 2 3 2 2 2 5" xfId="18869"/>
    <cellStyle name="Normal 3 4 2 3 2 2 2 5" xfId="18870"/>
    <cellStyle name="Normal 4 3 2 3 2 2 2 5" xfId="18871"/>
    <cellStyle name="Normal 5 3 2 3 2 2 2 5" xfId="18872"/>
    <cellStyle name="Normal 7 3 2 3 2 2 2 5" xfId="18873"/>
    <cellStyle name="Normal 2 6 3 2 2 2 5" xfId="18874"/>
    <cellStyle name="Normal 3 6 3 2 2 2 5" xfId="18875"/>
    <cellStyle name="Normal 4 5 3 2 2 2 5" xfId="18876"/>
    <cellStyle name="Normal 5 5 3 2 2 2 5" xfId="18877"/>
    <cellStyle name="Normal 7 5 3 2 2 2 5" xfId="18878"/>
    <cellStyle name="Normal 2 3 3 3 2 2 2 5" xfId="18879"/>
    <cellStyle name="Normal 3 3 3 3 2 2 2 5" xfId="18880"/>
    <cellStyle name="Normal 4 2 3 3 2 2 2 5" xfId="18881"/>
    <cellStyle name="Normal 5 2 3 3 2 2 2 5" xfId="18882"/>
    <cellStyle name="Normal 7 2 3 3 2 2 2 5" xfId="18883"/>
    <cellStyle name="Normal 2 4 3 3 2 2 2 5" xfId="18884"/>
    <cellStyle name="Normal 3 4 3 3 2 2 2 5" xfId="18885"/>
    <cellStyle name="Normal 4 3 3 3 2 2 2 5" xfId="18886"/>
    <cellStyle name="Normal 5 3 3 3 2 2 2 5" xfId="18887"/>
    <cellStyle name="Normal 7 3 3 3 2 2 2 5" xfId="18888"/>
    <cellStyle name="Normal 2 7 2 2 2 2 5" xfId="18889"/>
    <cellStyle name="Normal 3 7 2 2 2 2 5" xfId="18890"/>
    <cellStyle name="Normal 4 6 2 2 2 2 5" xfId="18891"/>
    <cellStyle name="Normal 5 6 2 2 2 2 5" xfId="18892"/>
    <cellStyle name="Normal 7 6 2 2 2 2 5" xfId="18893"/>
    <cellStyle name="Normal 2 3 4 2 2 2 2 5" xfId="18894"/>
    <cellStyle name="Normal 3 3 4 2 2 2 2 5" xfId="18895"/>
    <cellStyle name="Normal 4 2 4 2 2 2 2 5" xfId="18896"/>
    <cellStyle name="Normal 5 2 4 2 2 2 2 5" xfId="18897"/>
    <cellStyle name="Normal 7 2 4 2 2 2 2 5" xfId="18898"/>
    <cellStyle name="Normal 2 4 4 2 2 2 2 5" xfId="18899"/>
    <cellStyle name="Normal 3 4 4 2 2 2 2 5" xfId="18900"/>
    <cellStyle name="Normal 4 3 4 2 2 2 2 5" xfId="18901"/>
    <cellStyle name="Normal 5 3 4 2 2 2 2 5" xfId="18902"/>
    <cellStyle name="Normal 7 3 4 2 2 2 2 5" xfId="18903"/>
    <cellStyle name="Normal 2 5 2 2 2 2 2 5" xfId="18904"/>
    <cellStyle name="Normal 3 5 2 2 2 2 2 5" xfId="18905"/>
    <cellStyle name="Normal 4 4 2 2 2 2 2 5" xfId="18906"/>
    <cellStyle name="Normal 5 4 2 2 2 2 2 5" xfId="18907"/>
    <cellStyle name="Normal 7 4 2 2 2 2 2 5" xfId="18908"/>
    <cellStyle name="Normal 2 3 2 2 2 2 2 2 5" xfId="18909"/>
    <cellStyle name="Normal 3 3 2 2 2 2 2 2 5" xfId="18910"/>
    <cellStyle name="Normal 4 2 2 2 2 2 2 2 5" xfId="18911"/>
    <cellStyle name="Normal 5 2 2 2 2 2 2 2 5" xfId="18912"/>
    <cellStyle name="Normal 7 2 2 2 2 2 2 2 5" xfId="18913"/>
    <cellStyle name="Normal 2 4 2 2 2 2 2 2 5" xfId="18914"/>
    <cellStyle name="Normal 3 4 2 2 2 2 2 2 5" xfId="18915"/>
    <cellStyle name="Normal 4 3 2 2 2 2 2 2 5" xfId="18916"/>
    <cellStyle name="Normal 5 3 2 2 2 2 2 2 5" xfId="18917"/>
    <cellStyle name="Normal 7 3 2 2 2 2 2 2 5" xfId="18918"/>
    <cellStyle name="Normal 2 6 2 2 2 2 2 5" xfId="18919"/>
    <cellStyle name="Normal 3 6 2 2 2 2 2 5" xfId="18920"/>
    <cellStyle name="Normal 4 5 2 2 2 2 2 5" xfId="18921"/>
    <cellStyle name="Normal 5 5 2 2 2 2 2 5" xfId="18922"/>
    <cellStyle name="Normal 7 5 2 2 2 2 2 5" xfId="18923"/>
    <cellStyle name="Normal 2 3 3 2 2 2 2 2 5" xfId="18924"/>
    <cellStyle name="Normal 3 3 3 2 2 2 2 2 5" xfId="18925"/>
    <cellStyle name="Normal 4 2 3 2 2 2 2 2 5" xfId="18926"/>
    <cellStyle name="Normal 5 2 3 2 2 2 2 2 5" xfId="18927"/>
    <cellStyle name="Normal 7 2 3 2 2 2 2 2 5" xfId="18928"/>
    <cellStyle name="Normal 2 4 3 2 2 2 2 2 5" xfId="18929"/>
    <cellStyle name="Normal 3 4 3 2 2 2 2 2 5" xfId="18930"/>
    <cellStyle name="Normal 4 3 3 2 2 2 2 2 5" xfId="18931"/>
    <cellStyle name="Normal 5 3 3 2 2 2 2 2 5" xfId="18932"/>
    <cellStyle name="Normal 7 3 3 2 2 2 2 2 5" xfId="18933"/>
    <cellStyle name="Normal 28 2 2 5" xfId="18934"/>
    <cellStyle name="Normal 2 3 7 2 2 5" xfId="18935"/>
    <cellStyle name="Normal 3 10 2 2 5" xfId="18936"/>
    <cellStyle name="Normal 4 9 2 2 5" xfId="18937"/>
    <cellStyle name="Normal 5 9 2 2 5" xfId="18938"/>
    <cellStyle name="Millares 4 2 2 5" xfId="18939"/>
    <cellStyle name="Normal 7 2 7 2 2 5" xfId="18940"/>
    <cellStyle name="Normal 3 3 7 2 2 5" xfId="18941"/>
    <cellStyle name="Normal 4 2 7 2 2 5" xfId="18942"/>
    <cellStyle name="Normal 5 2 7 2 2 5" xfId="18943"/>
    <cellStyle name="Normal 2 4 5 3 2 2 5" xfId="18944"/>
    <cellStyle name="Normal 3 4 7 2 2 5" xfId="18945"/>
    <cellStyle name="Normal 4 3 7 2 2 5" xfId="18946"/>
    <cellStyle name="Normal 5 3 7 2 2 5" xfId="18947"/>
    <cellStyle name="Normal 7 3 7 2 2 5" xfId="18948"/>
    <cellStyle name="Normal 2 5 5 2 2 5" xfId="18949"/>
    <cellStyle name="Normal 3 5 5 2 2 5" xfId="18950"/>
    <cellStyle name="Normal 4 4 5 2 2 5" xfId="18951"/>
    <cellStyle name="Normal 5 4 5 2 2 5" xfId="18952"/>
    <cellStyle name="Normal 7 4 5 2 2 5" xfId="18953"/>
    <cellStyle name="Normal 2 3 2 5 2 2 5" xfId="18954"/>
    <cellStyle name="Normal 3 3 2 5 2 2 5" xfId="18955"/>
    <cellStyle name="Normal 4 2 2 5 2 2 5" xfId="18956"/>
    <cellStyle name="Normal 5 2 2 5 2 2 5" xfId="18957"/>
    <cellStyle name="Normal 7 2 2 5 2 2 5" xfId="18958"/>
    <cellStyle name="Normal 2 4 2 5 2 2 5" xfId="18959"/>
    <cellStyle name="Normal 3 4 2 5 2 2 5" xfId="18960"/>
    <cellStyle name="Normal 4 3 2 5 2 2 5" xfId="18961"/>
    <cellStyle name="Normal 5 3 2 5 2 2 5" xfId="18962"/>
    <cellStyle name="Normal 7 3 2 5 2 2 5" xfId="18963"/>
    <cellStyle name="Normal 2 6 5 2 2 5" xfId="18964"/>
    <cellStyle name="Normal 3 6 5 2 2 5" xfId="18965"/>
    <cellStyle name="Normal 4 5 5 2 2 5" xfId="18966"/>
    <cellStyle name="Normal 5 5 5 2 2 5" xfId="18967"/>
    <cellStyle name="Normal 7 5 5 2 2 5" xfId="18968"/>
    <cellStyle name="Normal 2 3 3 5 2 2 5" xfId="18969"/>
    <cellStyle name="Normal 3 3 3 5 2 2 5" xfId="18970"/>
    <cellStyle name="Normal 4 2 3 5 2 2 5" xfId="18971"/>
    <cellStyle name="Normal 5 2 3 5 2 2 5" xfId="18972"/>
    <cellStyle name="Normal 7 2 3 5 2 2 5" xfId="18973"/>
    <cellStyle name="Normal 2 4 3 5 2 2 5" xfId="18974"/>
    <cellStyle name="Normal 3 4 3 5 2 2 5" xfId="18975"/>
    <cellStyle name="Normal 4 3 3 5 2 2 5" xfId="18976"/>
    <cellStyle name="Normal 5 3 3 5 2 2 5" xfId="18977"/>
    <cellStyle name="Normal 7 3 3 5 2 2 5" xfId="18978"/>
    <cellStyle name="Normal 2 7 4 2 2 5" xfId="18979"/>
    <cellStyle name="Normal 3 7 4 2 2 5" xfId="18980"/>
    <cellStyle name="Normal 4 6 4 2 2 5" xfId="18981"/>
    <cellStyle name="Normal 5 6 4 2 2 5" xfId="18982"/>
    <cellStyle name="Normal 7 6 4 2 2 5" xfId="18983"/>
    <cellStyle name="Normal 2 3 4 4 2 2 5" xfId="18984"/>
    <cellStyle name="Normal 3 3 4 4 2 2 5" xfId="18985"/>
    <cellStyle name="Normal 4 2 4 4 2 2 5" xfId="18986"/>
    <cellStyle name="Normal 5 2 4 4 2 2 5" xfId="18987"/>
    <cellStyle name="Normal 7 2 4 4 2 2 5" xfId="18988"/>
    <cellStyle name="Normal 2 4 4 4 2 2 5" xfId="18989"/>
    <cellStyle name="Normal 3 4 4 4 2 2 5" xfId="18990"/>
    <cellStyle name="Normal 4 3 4 4 2 2 5" xfId="18991"/>
    <cellStyle name="Normal 5 3 4 4 2 2 5" xfId="18992"/>
    <cellStyle name="Normal 7 3 4 4 2 2 5" xfId="18993"/>
    <cellStyle name="Normal 2 5 2 4 2 2 5" xfId="18994"/>
    <cellStyle name="Normal 3 5 2 4 2 2 5" xfId="18995"/>
    <cellStyle name="Normal 4 4 2 4 2 2 5" xfId="18996"/>
    <cellStyle name="Normal 5 4 2 4 2 2 5" xfId="18997"/>
    <cellStyle name="Normal 7 4 2 4 2 2 5" xfId="18998"/>
    <cellStyle name="Normal 2 3 2 2 4 2 2 5" xfId="18999"/>
    <cellStyle name="Normal 3 3 2 2 4 2 2 5" xfId="19000"/>
    <cellStyle name="Normal 4 2 2 2 4 2 2 5" xfId="19001"/>
    <cellStyle name="Normal 5 2 2 2 4 2 2 5" xfId="19002"/>
    <cellStyle name="Normal 7 2 2 2 4 2 2 5" xfId="19003"/>
    <cellStyle name="Normal 2 4 2 2 4 2 2 5" xfId="19004"/>
    <cellStyle name="Normal 3 4 2 2 4 2 2 5" xfId="19005"/>
    <cellStyle name="Normal 4 3 2 2 4 2 2 5" xfId="19006"/>
    <cellStyle name="Normal 5 3 2 2 4 2 2 5" xfId="19007"/>
    <cellStyle name="Normal 7 3 2 2 4 2 2 5" xfId="19008"/>
    <cellStyle name="Normal 2 6 2 4 2 2 5" xfId="19009"/>
    <cellStyle name="Normal 3 6 2 4 2 2 5" xfId="19010"/>
    <cellStyle name="Normal 4 5 2 4 2 2 5" xfId="19011"/>
    <cellStyle name="Normal 5 5 2 4 2 2 5" xfId="19012"/>
    <cellStyle name="Normal 7 5 2 4 2 2 5" xfId="19013"/>
    <cellStyle name="Normal 2 3 3 2 4 2 2 5" xfId="19014"/>
    <cellStyle name="Normal 3 3 3 2 4 2 2 5" xfId="19015"/>
    <cellStyle name="Normal 4 2 3 2 4 2 2 5" xfId="19016"/>
    <cellStyle name="Normal 5 2 3 2 4 2 2 5" xfId="19017"/>
    <cellStyle name="Normal 7 2 3 2 4 2 2 5" xfId="19018"/>
    <cellStyle name="Normal 2 4 3 2 4 2 2 5" xfId="19019"/>
    <cellStyle name="Normal 3 4 3 2 4 2 2 5" xfId="19020"/>
    <cellStyle name="Normal 4 3 3 2 4 2 2 5" xfId="19021"/>
    <cellStyle name="Normal 5 3 3 2 4 2 2 5" xfId="19022"/>
    <cellStyle name="Normal 7 3 3 2 4 2 2 5" xfId="19023"/>
    <cellStyle name="Normal 2 8 3 2 2 5" xfId="19024"/>
    <cellStyle name="Normal 3 8 3 2 2 5" xfId="19025"/>
    <cellStyle name="Normal 4 7 3 2 2 5" xfId="19026"/>
    <cellStyle name="Normal 5 7 3 2 2 5" xfId="19027"/>
    <cellStyle name="Normal 7 7 3 2 2 5" xfId="19028"/>
    <cellStyle name="Normal 2 3 5 3 2 2 5" xfId="19029"/>
    <cellStyle name="Normal 3 3 5 3 2 2 5" xfId="19030"/>
    <cellStyle name="Normal 4 2 5 3 2 2 5" xfId="19031"/>
    <cellStyle name="Normal 5 2 5 3 2 2 5" xfId="19032"/>
    <cellStyle name="Normal 7 2 5 3 2 2 5" xfId="19033"/>
    <cellStyle name="Normal 3 4 5 3 2 2 5" xfId="19034"/>
    <cellStyle name="Normal 4 3 5 3 2 2 5" xfId="19035"/>
    <cellStyle name="Normal 5 3 5 3 2 2 5" xfId="19036"/>
    <cellStyle name="Normal 7 3 5 3 2 2 5" xfId="19037"/>
    <cellStyle name="Normal 2 5 3 3 2 2 5" xfId="19038"/>
    <cellStyle name="Normal 3 5 3 3 2 2 5" xfId="19039"/>
    <cellStyle name="Normal 4 4 3 3 2 2 5" xfId="19040"/>
    <cellStyle name="Normal 5 4 3 3 2 2 5" xfId="19041"/>
    <cellStyle name="Normal 7 4 3 3 2 2 5" xfId="19042"/>
    <cellStyle name="Normal 2 3 2 3 3 2 2 5" xfId="19043"/>
    <cellStyle name="Normal 3 3 2 3 3 2 2 5" xfId="19044"/>
    <cellStyle name="Normal 4 2 2 3 3 2 2 5" xfId="19045"/>
    <cellStyle name="Normal 5 2 2 3 3 2 2 5" xfId="19046"/>
    <cellStyle name="Normal 7 2 2 3 3 2 2 5" xfId="19047"/>
    <cellStyle name="Normal 2 4 2 3 3 2 2 5" xfId="19048"/>
    <cellStyle name="Normal 3 4 2 3 3 2 2 5" xfId="19049"/>
    <cellStyle name="Normal 4 3 2 3 3 2 2 5" xfId="19050"/>
    <cellStyle name="Normal 5 3 2 3 3 2 2 5" xfId="19051"/>
    <cellStyle name="Normal 7 3 2 3 3 2 2 5" xfId="19052"/>
    <cellStyle name="Normal 2 6 3 3 2 2 5" xfId="19053"/>
    <cellStyle name="Normal 3 6 3 3 2 2 5" xfId="19054"/>
    <cellStyle name="Normal 4 5 3 3 2 2 5" xfId="19055"/>
    <cellStyle name="Normal 5 5 3 3 2 2 5" xfId="19056"/>
    <cellStyle name="Normal 7 5 3 3 2 2 5" xfId="19057"/>
    <cellStyle name="Normal 2 3 3 3 3 2 2 5" xfId="19058"/>
    <cellStyle name="Normal 3 3 3 3 3 2 2 5" xfId="19059"/>
    <cellStyle name="Normal 4 2 3 3 3 2 2 5" xfId="19060"/>
    <cellStyle name="Normal 5 2 3 3 3 2 2 5" xfId="19061"/>
    <cellStyle name="Normal 7 2 3 3 3 2 2 5" xfId="19062"/>
    <cellStyle name="Normal 2 4 3 3 3 2 2 5" xfId="19063"/>
    <cellStyle name="Normal 3 4 3 3 3 2 2 5" xfId="19064"/>
    <cellStyle name="Normal 4 3 3 3 3 2 2 5" xfId="19065"/>
    <cellStyle name="Normal 5 3 3 3 3 2 2 5" xfId="19066"/>
    <cellStyle name="Normal 7 3 3 3 3 2 2 5" xfId="19067"/>
    <cellStyle name="Normal 2 7 2 3 2 2 5" xfId="19068"/>
    <cellStyle name="Normal 3 7 2 3 2 2 5" xfId="19069"/>
    <cellStyle name="Normal 4 6 2 3 2 2 5" xfId="19070"/>
    <cellStyle name="Normal 5 6 2 3 2 2 5" xfId="19071"/>
    <cellStyle name="Normal 7 6 2 3 2 2 5" xfId="19072"/>
    <cellStyle name="Normal 2 3 4 2 3 2 2 5" xfId="19073"/>
    <cellStyle name="Normal 3 3 4 2 3 2 2 5" xfId="19074"/>
    <cellStyle name="Normal 4 2 4 2 3 2 2 5" xfId="19075"/>
    <cellStyle name="Normal 5 2 4 2 3 2 2 5" xfId="19076"/>
    <cellStyle name="Normal 7 2 4 2 3 2 2 5" xfId="19077"/>
    <cellStyle name="Normal 2 4 4 2 3 2 2 5" xfId="19078"/>
    <cellStyle name="Normal 3 4 4 2 3 2 2 5" xfId="19079"/>
    <cellStyle name="Normal 4 3 4 2 3 2 2 5" xfId="19080"/>
    <cellStyle name="Normal 5 3 4 2 3 2 2 5" xfId="19081"/>
    <cellStyle name="Normal 7 3 4 2 3 2 2 5" xfId="19082"/>
    <cellStyle name="Normal 2 5 2 2 3 2 2 5" xfId="19083"/>
    <cellStyle name="Normal 3 5 2 2 3 2 2 5" xfId="19084"/>
    <cellStyle name="Normal 4 4 2 2 3 2 2 5" xfId="19085"/>
    <cellStyle name="Normal 5 4 2 2 3 2 2 5" xfId="19086"/>
    <cellStyle name="Normal 7 4 2 2 3 2 2 5" xfId="19087"/>
    <cellStyle name="Normal 2 3 2 2 2 3 2 2 5" xfId="19088"/>
    <cellStyle name="Normal 3 3 2 2 2 3 2 2 5" xfId="19089"/>
    <cellStyle name="Normal 4 2 2 2 2 3 2 2 5" xfId="19090"/>
    <cellStyle name="Normal 5 2 2 2 2 3 2 2 5" xfId="19091"/>
    <cellStyle name="Normal 7 2 2 2 2 3 2 2 5" xfId="19092"/>
    <cellStyle name="Normal 2 4 2 2 2 3 2 2 5" xfId="19093"/>
    <cellStyle name="Normal 3 4 2 2 2 3 2 2 5" xfId="19094"/>
    <cellStyle name="Normal 4 3 2 2 2 3 2 2 5" xfId="19095"/>
    <cellStyle name="Normal 5 3 2 2 2 3 2 2 5" xfId="19096"/>
    <cellStyle name="Normal 7 3 2 2 2 3 2 2 5" xfId="19097"/>
    <cellStyle name="Normal 2 6 2 2 3 2 2 5" xfId="19098"/>
    <cellStyle name="Normal 3 6 2 2 3 2 2 5" xfId="19099"/>
    <cellStyle name="Normal 4 5 2 2 3 2 2 5" xfId="19100"/>
    <cellStyle name="Normal 5 5 2 2 3 2 2 5" xfId="19101"/>
    <cellStyle name="Normal 7 5 2 2 3 2 2 5" xfId="19102"/>
    <cellStyle name="Normal 2 3 3 2 2 3 2 2 5" xfId="19103"/>
    <cellStyle name="Normal 3 3 3 2 2 3 2 2 5" xfId="19104"/>
    <cellStyle name="Normal 4 2 3 2 2 3 2 2 5" xfId="19105"/>
    <cellStyle name="Normal 5 2 3 2 2 3 2 2 5" xfId="19106"/>
    <cellStyle name="Normal 7 2 3 2 2 3 2 2 5" xfId="19107"/>
    <cellStyle name="Normal 2 4 3 2 2 3 2 2 5" xfId="19108"/>
    <cellStyle name="Normal 3 4 3 2 2 3 2 2 5" xfId="19109"/>
    <cellStyle name="Normal 4 3 3 2 2 3 2 2 5" xfId="19110"/>
    <cellStyle name="Normal 5 3 3 2 2 3 2 2 5" xfId="19111"/>
    <cellStyle name="Normal 7 3 3 2 2 3 2 2 5" xfId="19112"/>
    <cellStyle name="Normal 2 12 2 5" xfId="19113"/>
    <cellStyle name="Normal 3 12 2 5" xfId="19114"/>
    <cellStyle name="Normal 4 11 2 5" xfId="19115"/>
    <cellStyle name="Normal 5 11 2 5" xfId="19116"/>
    <cellStyle name="Normal 7 11 2 5" xfId="19117"/>
    <cellStyle name="Normal 2 3 9 2 5" xfId="19118"/>
    <cellStyle name="Normal 3 3 9 2 5" xfId="19119"/>
    <cellStyle name="Normal 4 2 9 2 5" xfId="19120"/>
    <cellStyle name="Normal 5 2 9 2 5" xfId="19121"/>
    <cellStyle name="Normal 7 2 9 2 5" xfId="19122"/>
    <cellStyle name="Normal 2 4 9 2 5" xfId="19123"/>
    <cellStyle name="Normal 3 4 9 2 5" xfId="19124"/>
    <cellStyle name="Normal 4 3 9 2 5" xfId="19125"/>
    <cellStyle name="Normal 5 3 9 2 5" xfId="19126"/>
    <cellStyle name="Normal 7 3 9 2 5" xfId="19127"/>
    <cellStyle name="Normal 2 5 7 2 5" xfId="19128"/>
    <cellStyle name="Normal 3 5 7 2 5" xfId="19129"/>
    <cellStyle name="Normal 4 4 7 2 5" xfId="19130"/>
    <cellStyle name="Normal 5 4 7 2 5" xfId="19131"/>
    <cellStyle name="Normal 7 4 7 2 5" xfId="19132"/>
    <cellStyle name="Normal 2 3 2 7 2 5" xfId="19133"/>
    <cellStyle name="Normal 3 3 2 7 2 5" xfId="19134"/>
    <cellStyle name="Normal 4 2 2 7 2 5" xfId="19135"/>
    <cellStyle name="Normal 5 2 2 7 2 5" xfId="19136"/>
    <cellStyle name="Normal 7 2 2 7 2 5" xfId="19137"/>
    <cellStyle name="Normal 2 4 2 7 2 5" xfId="19138"/>
    <cellStyle name="Normal 3 4 2 7 2 5" xfId="19139"/>
    <cellStyle name="Normal 4 3 2 7 2 5" xfId="19140"/>
    <cellStyle name="Normal 5 3 2 7 2 5" xfId="19141"/>
    <cellStyle name="Normal 7 3 2 7 2 5" xfId="19142"/>
    <cellStyle name="Normal 2 6 7 2 5" xfId="19143"/>
    <cellStyle name="Normal 3 6 7 2 5" xfId="19144"/>
    <cellStyle name="Normal 4 5 7 2 5" xfId="19145"/>
    <cellStyle name="Normal 5 5 7 2 5" xfId="19146"/>
    <cellStyle name="Normal 7 5 7 2 5" xfId="19147"/>
    <cellStyle name="Normal 2 3 3 7 2 5" xfId="19148"/>
    <cellStyle name="Normal 3 3 3 7 2 5" xfId="19149"/>
    <cellStyle name="Normal 4 2 3 7 2 5" xfId="19150"/>
    <cellStyle name="Normal 5 2 3 7 2 5" xfId="19151"/>
    <cellStyle name="Normal 7 2 3 7 2 5" xfId="19152"/>
    <cellStyle name="Normal 2 4 3 7 2 5" xfId="19153"/>
    <cellStyle name="Normal 3 4 3 7 2 5" xfId="19154"/>
    <cellStyle name="Normal 4 3 3 7 2 5" xfId="19155"/>
    <cellStyle name="Normal 5 3 3 7 2 5" xfId="19156"/>
    <cellStyle name="Normal 7 3 3 7 2 5" xfId="19157"/>
    <cellStyle name="Normal 2 7 6 2 5" xfId="19158"/>
    <cellStyle name="Normal 3 7 6 2 5" xfId="19159"/>
    <cellStyle name="Normal 4 6 6 2 5" xfId="19160"/>
    <cellStyle name="Normal 5 6 6 2 5" xfId="19161"/>
    <cellStyle name="Normal 7 6 6 2 5" xfId="19162"/>
    <cellStyle name="Normal 2 3 4 6 2 5" xfId="19163"/>
    <cellStyle name="Normal 3 3 4 6 2 5" xfId="19164"/>
    <cellStyle name="Normal 4 2 4 6 2 5" xfId="19165"/>
    <cellStyle name="Normal 5 2 4 6 2 5" xfId="19166"/>
    <cellStyle name="Normal 7 2 4 6 2 5" xfId="19167"/>
    <cellStyle name="Normal 2 4 4 6 2 5" xfId="19168"/>
    <cellStyle name="Normal 3 4 4 6 2 5" xfId="19169"/>
    <cellStyle name="Normal 4 3 4 6 2 5" xfId="19170"/>
    <cellStyle name="Normal 5 3 4 6 2 5" xfId="19171"/>
    <cellStyle name="Normal 7 3 4 6 2 5" xfId="19172"/>
    <cellStyle name="Normal 2 5 2 6 2 5" xfId="19173"/>
    <cellStyle name="Normal 3 5 2 6 2 5" xfId="19174"/>
    <cellStyle name="Normal 4 4 2 6 2 5" xfId="19175"/>
    <cellStyle name="Normal 5 4 2 6 2 5" xfId="19176"/>
    <cellStyle name="Normal 7 4 2 6 2 5" xfId="19177"/>
    <cellStyle name="Normal 2 3 2 2 6 2 5" xfId="19178"/>
    <cellStyle name="Normal 3 3 2 2 6 2 5" xfId="19179"/>
    <cellStyle name="Normal 4 2 2 2 6 2 5" xfId="19180"/>
    <cellStyle name="Normal 5 2 2 2 6 2 5" xfId="19181"/>
    <cellStyle name="Normal 7 2 2 2 6 2 5" xfId="19182"/>
    <cellStyle name="Normal 2 4 2 2 6 2 5" xfId="19183"/>
    <cellStyle name="Normal 3 4 2 2 6 2 5" xfId="19184"/>
    <cellStyle name="Normal 4 3 2 2 6 2 5" xfId="19185"/>
    <cellStyle name="Normal 5 3 2 2 6 2 5" xfId="19186"/>
    <cellStyle name="Normal 7 3 2 2 6 2 5" xfId="19187"/>
    <cellStyle name="Normal 2 6 2 6 2 5" xfId="19188"/>
    <cellStyle name="Normal 3 6 2 6 2 5" xfId="19189"/>
    <cellStyle name="Normal 4 5 2 6 2 5" xfId="19190"/>
    <cellStyle name="Normal 5 5 2 6 2 5" xfId="19191"/>
    <cellStyle name="Normal 7 5 2 6 2 5" xfId="19192"/>
    <cellStyle name="Normal 2 3 3 2 6 2 5" xfId="19193"/>
    <cellStyle name="Normal 3 3 3 2 6 2 5" xfId="19194"/>
    <cellStyle name="Normal 4 2 3 2 6 2 5" xfId="19195"/>
    <cellStyle name="Normal 5 2 3 2 6 2 5" xfId="19196"/>
    <cellStyle name="Normal 7 2 3 2 6 2 5" xfId="19197"/>
    <cellStyle name="Normal 2 4 3 2 6 2 5" xfId="19198"/>
    <cellStyle name="Normal 3 4 3 2 6 2 5" xfId="19199"/>
    <cellStyle name="Normal 4 3 3 2 6 2 5" xfId="19200"/>
    <cellStyle name="Normal 5 3 3 2 6 2 5" xfId="19201"/>
    <cellStyle name="Normal 7 3 3 2 6 2 5" xfId="19202"/>
    <cellStyle name="Normal 2 8 5 2 5" xfId="19203"/>
    <cellStyle name="Normal 3 8 5 2 5" xfId="19204"/>
    <cellStyle name="Normal 4 7 5 2 5" xfId="19205"/>
    <cellStyle name="Normal 5 7 5 2 5" xfId="19206"/>
    <cellStyle name="Normal 7 7 5 2 5" xfId="19207"/>
    <cellStyle name="Normal 2 3 5 5 2 5" xfId="19208"/>
    <cellStyle name="Normal 3 3 5 5 2 5" xfId="19209"/>
    <cellStyle name="Normal 4 2 5 5 2 5" xfId="19210"/>
    <cellStyle name="Normal 5 2 5 5 2 5" xfId="19211"/>
    <cellStyle name="Normal 7 2 5 5 2 5" xfId="19212"/>
    <cellStyle name="Normal 2 4 5 5 2 5" xfId="19213"/>
    <cellStyle name="Normal 3 4 5 5 2 5" xfId="19214"/>
    <cellStyle name="Normal 4 3 5 5 2 5" xfId="19215"/>
    <cellStyle name="Normal 5 3 5 5 2 5" xfId="19216"/>
    <cellStyle name="Normal 7 3 5 5 2 5" xfId="19217"/>
    <cellStyle name="Normal 2 5 3 5 2 5" xfId="19218"/>
    <cellStyle name="Normal 3 5 3 5 2 5" xfId="19219"/>
    <cellStyle name="Normal 4 4 3 5 2 5" xfId="19220"/>
    <cellStyle name="Normal 5 4 3 5 2 5" xfId="19221"/>
    <cellStyle name="Normal 7 4 3 5 2 5" xfId="19222"/>
    <cellStyle name="Normal 2 3 2 3 5 2 5" xfId="19223"/>
    <cellStyle name="Normal 3 3 2 3 5 2 5" xfId="19224"/>
    <cellStyle name="Normal 4 2 2 3 5 2 5" xfId="19225"/>
    <cellStyle name="Normal 5 2 2 3 5 2 5" xfId="19226"/>
    <cellStyle name="Normal 7 2 2 3 5 2 5" xfId="19227"/>
    <cellStyle name="Normal 2 4 2 3 5 2 5" xfId="19228"/>
    <cellStyle name="Normal 3 4 2 3 5 2 5" xfId="19229"/>
    <cellStyle name="Normal 4 3 2 3 5 2 5" xfId="19230"/>
    <cellStyle name="Normal 5 3 2 3 5 2 5" xfId="19231"/>
    <cellStyle name="Normal 7 3 2 3 5 2 5" xfId="19232"/>
    <cellStyle name="Normal 2 6 3 5 2 5" xfId="19233"/>
    <cellStyle name="Normal 3 6 3 5 2 5" xfId="19234"/>
    <cellStyle name="Normal 4 5 3 5 2 5" xfId="19235"/>
    <cellStyle name="Normal 5 5 3 5 2 5" xfId="19236"/>
    <cellStyle name="Normal 7 5 3 5 2 5" xfId="19237"/>
    <cellStyle name="Normal 2 3 3 3 5 2 5" xfId="19238"/>
    <cellStyle name="Normal 3 3 3 3 5 2 5" xfId="19239"/>
    <cellStyle name="Normal 4 2 3 3 5 2 5" xfId="19240"/>
    <cellStyle name="Normal 5 2 3 3 5 2 5" xfId="19241"/>
    <cellStyle name="Normal 7 2 3 3 5 2 5" xfId="19242"/>
    <cellStyle name="Normal 2 4 3 3 5 2 5" xfId="19243"/>
    <cellStyle name="Normal 3 4 3 3 5 2 5" xfId="19244"/>
    <cellStyle name="Normal 4 3 3 3 5 2 5" xfId="19245"/>
    <cellStyle name="Normal 5 3 3 3 5 2 5" xfId="19246"/>
    <cellStyle name="Normal 7 3 3 3 5 2 5" xfId="19247"/>
    <cellStyle name="Normal 2 7 2 5 2 5" xfId="19248"/>
    <cellStyle name="Normal 3 7 2 5 2 5" xfId="19249"/>
    <cellStyle name="Normal 4 6 2 5 2 5" xfId="19250"/>
    <cellStyle name="Normal 5 6 2 5 2 5" xfId="19251"/>
    <cellStyle name="Normal 7 6 2 5 2 5" xfId="19252"/>
    <cellStyle name="Normal 2 3 4 2 5 2 5" xfId="19253"/>
    <cellStyle name="Normal 3 3 4 2 5 2 5" xfId="19254"/>
    <cellStyle name="Normal 4 2 4 2 5 2 5" xfId="19255"/>
    <cellStyle name="Normal 5 2 4 2 5 2 5" xfId="19256"/>
    <cellStyle name="Normal 7 2 4 2 5 2 5" xfId="19257"/>
    <cellStyle name="Normal 2 4 4 2 5 2 5" xfId="19258"/>
    <cellStyle name="Normal 3 4 4 2 5 2 5" xfId="19259"/>
    <cellStyle name="Normal 4 3 4 2 5 2 5" xfId="19260"/>
    <cellStyle name="Normal 5 3 4 2 5 2 5" xfId="19261"/>
    <cellStyle name="Normal 7 3 4 2 5 2 5" xfId="19262"/>
    <cellStyle name="Normal 2 5 2 2 5 2 5" xfId="19263"/>
    <cellStyle name="Normal 3 5 2 2 5 2 5" xfId="19264"/>
    <cellStyle name="Normal 4 4 2 2 5 2 5" xfId="19265"/>
    <cellStyle name="Normal 5 4 2 2 5 2 5" xfId="19266"/>
    <cellStyle name="Normal 7 4 2 2 5 2 5" xfId="19267"/>
    <cellStyle name="Normal 2 3 2 2 2 5 2 5" xfId="19268"/>
    <cellStyle name="Normal 3 3 2 2 2 5 2 5" xfId="19269"/>
    <cellStyle name="Normal 4 2 2 2 2 5 2 5" xfId="19270"/>
    <cellStyle name="Normal 5 2 2 2 2 5 2 5" xfId="19271"/>
    <cellStyle name="Normal 7 2 2 2 2 5 2 5" xfId="19272"/>
    <cellStyle name="Normal 2 4 2 2 2 5 2 5" xfId="19273"/>
    <cellStyle name="Normal 3 4 2 2 2 5 2 5" xfId="19274"/>
    <cellStyle name="Normal 4 3 2 2 2 5 2 5" xfId="19275"/>
    <cellStyle name="Normal 5 3 2 2 2 5 2 5" xfId="19276"/>
    <cellStyle name="Normal 7 3 2 2 2 5 2 5" xfId="19277"/>
    <cellStyle name="Normal 2 6 2 2 5 2 5" xfId="19278"/>
    <cellStyle name="Normal 3 6 2 2 5 2 5" xfId="19279"/>
    <cellStyle name="Normal 4 5 2 2 5 2 5" xfId="19280"/>
    <cellStyle name="Normal 5 5 2 2 5 2 5" xfId="19281"/>
    <cellStyle name="Normal 7 5 2 2 5 2 5" xfId="19282"/>
    <cellStyle name="Normal 2 3 3 2 2 5 2 5" xfId="19283"/>
    <cellStyle name="Normal 3 3 3 2 2 5 2 5" xfId="19284"/>
    <cellStyle name="Normal 4 2 3 2 2 5 2 5" xfId="19285"/>
    <cellStyle name="Normal 5 2 3 2 2 5 2 5" xfId="19286"/>
    <cellStyle name="Normal 7 2 3 2 2 5 2 5" xfId="19287"/>
    <cellStyle name="Normal 2 4 3 2 2 5 2 5" xfId="19288"/>
    <cellStyle name="Normal 3 4 3 2 2 5 2 5" xfId="19289"/>
    <cellStyle name="Normal 4 3 3 2 2 5 2 5" xfId="19290"/>
    <cellStyle name="Normal 5 3 3 2 2 5 2 5" xfId="19291"/>
    <cellStyle name="Normal 7 3 3 2 2 5 2 5" xfId="19292"/>
    <cellStyle name="Normal 2 9 3 2 5" xfId="19293"/>
    <cellStyle name="Normal 3 9 3 2 5" xfId="19294"/>
    <cellStyle name="Normal 4 8 3 2 5" xfId="19295"/>
    <cellStyle name="Normal 5 8 3 2 5" xfId="19296"/>
    <cellStyle name="Normal 7 8 3 2 5" xfId="19297"/>
    <cellStyle name="Normal 2 3 6 3 2 5" xfId="19298"/>
    <cellStyle name="Normal 3 3 6 3 2 5" xfId="19299"/>
    <cellStyle name="Normal 4 2 6 3 2 5" xfId="19300"/>
    <cellStyle name="Normal 5 2 6 3 2 5" xfId="19301"/>
    <cellStyle name="Normal 7 2 6 3 2 5" xfId="19302"/>
    <cellStyle name="Normal 2 4 6 3 2 5" xfId="19303"/>
    <cellStyle name="Normal 3 4 6 3 2 5" xfId="19304"/>
    <cellStyle name="Normal 4 3 6 3 2 5" xfId="19305"/>
    <cellStyle name="Normal 5 3 6 3 2 5" xfId="19306"/>
    <cellStyle name="Normal 7 3 6 3 2 5" xfId="19307"/>
    <cellStyle name="Normal 2 5 4 3 2 5" xfId="19308"/>
    <cellStyle name="Normal 3 5 4 3 2 5" xfId="19309"/>
    <cellStyle name="Normal 4 4 4 3 2 5" xfId="19310"/>
    <cellStyle name="Normal 5 4 4 3 2 5" xfId="19311"/>
    <cellStyle name="Normal 7 4 4 3 2 5" xfId="19312"/>
    <cellStyle name="Normal 2 3 2 4 3 2 5" xfId="19313"/>
    <cellStyle name="Normal 3 3 2 4 3 2 5" xfId="19314"/>
    <cellStyle name="Normal 4 2 2 4 3 2 5" xfId="19315"/>
    <cellStyle name="Normal 5 2 2 4 3 2 5" xfId="19316"/>
    <cellStyle name="Normal 7 2 2 4 3 2 5" xfId="19317"/>
    <cellStyle name="Normal 2 4 2 4 3 2 5" xfId="19318"/>
    <cellStyle name="Normal 3 4 2 4 3 2 5" xfId="19319"/>
    <cellStyle name="Normal 4 3 2 4 3 2 5" xfId="19320"/>
    <cellStyle name="Normal 5 3 2 4 3 2 5" xfId="19321"/>
    <cellStyle name="Normal 7 3 2 4 3 2 5" xfId="19322"/>
    <cellStyle name="Normal 2 6 4 3 2 5" xfId="19323"/>
    <cellStyle name="Normal 3 6 4 3 2 5" xfId="19324"/>
    <cellStyle name="Normal 4 5 4 3 2 5" xfId="19325"/>
    <cellStyle name="Normal 5 5 4 3 2 5" xfId="19326"/>
    <cellStyle name="Normal 7 5 4 3 2 5" xfId="19327"/>
    <cellStyle name="Normal 2 3 3 4 3 2 5" xfId="19328"/>
    <cellStyle name="Normal 3 3 3 4 3 2 5" xfId="19329"/>
    <cellStyle name="Normal 4 2 3 4 3 2 5" xfId="19330"/>
    <cellStyle name="Normal 5 2 3 4 3 2 5" xfId="19331"/>
    <cellStyle name="Normal 7 2 3 4 3 2 5" xfId="19332"/>
    <cellStyle name="Normal 2 4 3 4 3 2 5" xfId="19333"/>
    <cellStyle name="Normal 3 4 3 4 3 2 5" xfId="19334"/>
    <cellStyle name="Normal 4 3 3 4 3 2 5" xfId="19335"/>
    <cellStyle name="Normal 5 3 3 4 3 2 5" xfId="19336"/>
    <cellStyle name="Normal 7 3 3 4 3 2 5" xfId="19337"/>
    <cellStyle name="Normal 2 7 3 3 2 5" xfId="19338"/>
    <cellStyle name="Normal 3 7 3 3 2 5" xfId="19339"/>
    <cellStyle name="Normal 4 6 3 3 2 5" xfId="19340"/>
    <cellStyle name="Normal 5 6 3 3 2 5" xfId="19341"/>
    <cellStyle name="Normal 7 6 3 3 2 5" xfId="19342"/>
    <cellStyle name="Normal 2 3 4 3 3 2 5" xfId="19343"/>
    <cellStyle name="Normal 3 3 4 3 3 2 5" xfId="19344"/>
    <cellStyle name="Normal 4 2 4 3 3 2 5" xfId="19345"/>
    <cellStyle name="Normal 5 2 4 3 3 2 5" xfId="19346"/>
    <cellStyle name="Normal 7 2 4 3 3 2 5" xfId="19347"/>
    <cellStyle name="Normal 2 4 4 3 3 2 5" xfId="19348"/>
    <cellStyle name="Normal 3 4 4 3 3 2 5" xfId="19349"/>
    <cellStyle name="Normal 4 3 4 3 3 2 5" xfId="19350"/>
    <cellStyle name="Normal 5 3 4 3 3 2 5" xfId="19351"/>
    <cellStyle name="Normal 7 3 4 3 3 2 5" xfId="19352"/>
    <cellStyle name="Normal 2 5 2 3 3 2 5" xfId="19353"/>
    <cellStyle name="Normal 3 5 2 3 3 2 5" xfId="19354"/>
    <cellStyle name="Normal 4 4 2 3 3 2 5" xfId="19355"/>
    <cellStyle name="Normal 5 4 2 3 3 2 5" xfId="19356"/>
    <cellStyle name="Normal 7 4 2 3 3 2 5" xfId="19357"/>
    <cellStyle name="Normal 2 3 2 2 3 3 2 5" xfId="19358"/>
    <cellStyle name="Normal 3 3 2 2 3 3 2 5" xfId="19359"/>
    <cellStyle name="Normal 4 2 2 2 3 3 2 5" xfId="19360"/>
    <cellStyle name="Normal 5 2 2 2 3 3 2 5" xfId="19361"/>
    <cellStyle name="Normal 7 2 2 2 3 3 2 5" xfId="19362"/>
    <cellStyle name="Normal 2 4 2 2 3 3 2 5" xfId="19363"/>
    <cellStyle name="Normal 3 4 2 2 3 3 2 5" xfId="19364"/>
    <cellStyle name="Normal 4 3 2 2 3 3 2 5" xfId="19365"/>
    <cellStyle name="Normal 5 3 2 2 3 3 2 5" xfId="19366"/>
    <cellStyle name="Normal 7 3 2 2 3 3 2 5" xfId="19367"/>
    <cellStyle name="Normal 2 6 2 3 3 2 5" xfId="19368"/>
    <cellStyle name="Normal 3 6 2 3 3 2 5" xfId="19369"/>
    <cellStyle name="Normal 4 5 2 3 3 2 5" xfId="19370"/>
    <cellStyle name="Normal 5 5 2 3 3 2 5" xfId="19371"/>
    <cellStyle name="Normal 7 5 2 3 3 2 5" xfId="19372"/>
    <cellStyle name="Normal 2 3 3 2 3 3 2 5" xfId="19373"/>
    <cellStyle name="Normal 3 3 3 2 3 3 2 5" xfId="19374"/>
    <cellStyle name="Normal 4 2 3 2 3 3 2 5" xfId="19375"/>
    <cellStyle name="Normal 5 2 3 2 3 3 2 5" xfId="19376"/>
    <cellStyle name="Normal 7 2 3 2 3 3 2 5" xfId="19377"/>
    <cellStyle name="Normal 2 4 3 2 3 3 2 5" xfId="19378"/>
    <cellStyle name="Normal 3 4 3 2 3 3 2 5" xfId="19379"/>
    <cellStyle name="Normal 4 3 3 2 3 3 2 5" xfId="19380"/>
    <cellStyle name="Normal 5 3 3 2 3 3 2 5" xfId="19381"/>
    <cellStyle name="Normal 7 3 3 2 3 3 2 5" xfId="19382"/>
    <cellStyle name="Normal 2 8 2 3 2 5" xfId="19383"/>
    <cellStyle name="Normal 3 8 2 3 2 5" xfId="19384"/>
    <cellStyle name="Normal 4 7 2 3 2 5" xfId="19385"/>
    <cellStyle name="Normal 5 7 2 3 2 5" xfId="19386"/>
    <cellStyle name="Normal 7 7 2 3 2 5" xfId="19387"/>
    <cellStyle name="Normal 2 3 5 2 3 2 5" xfId="19388"/>
    <cellStyle name="Normal 3 3 5 2 3 2 5" xfId="19389"/>
    <cellStyle name="Normal 4 2 5 2 3 2 5" xfId="19390"/>
    <cellStyle name="Normal 5 2 5 2 3 2 5" xfId="19391"/>
    <cellStyle name="Normal 7 2 5 2 3 2 5" xfId="19392"/>
    <cellStyle name="Normal 2 4 5 2 3 2 5" xfId="19393"/>
    <cellStyle name="Normal 3 4 5 2 3 2 5" xfId="19394"/>
    <cellStyle name="Normal 4 3 5 2 3 2 5" xfId="19395"/>
    <cellStyle name="Normal 5 3 5 2 3 2 5" xfId="19396"/>
    <cellStyle name="Normal 7 3 5 2 3 2 5" xfId="19397"/>
    <cellStyle name="Normal 2 5 3 2 3 2 5" xfId="19398"/>
    <cellStyle name="Normal 3 5 3 2 3 2 5" xfId="19399"/>
    <cellStyle name="Normal 4 4 3 2 3 2 5" xfId="19400"/>
    <cellStyle name="Normal 5 4 3 2 3 2 5" xfId="19401"/>
    <cellStyle name="Normal 7 4 3 2 3 2 5" xfId="19402"/>
    <cellStyle name="Normal 2 3 2 3 2 3 2 5" xfId="19403"/>
    <cellStyle name="Normal 3 3 2 3 2 3 2 5" xfId="19404"/>
    <cellStyle name="Normal 4 2 2 3 2 3 2 5" xfId="19405"/>
    <cellStyle name="Normal 5 2 2 3 2 3 2 5" xfId="19406"/>
    <cellStyle name="Normal 7 2 2 3 2 3 2 5" xfId="19407"/>
    <cellStyle name="Normal 2 4 2 3 2 3 2 5" xfId="19408"/>
    <cellStyle name="Normal 3 4 2 3 2 3 2 5" xfId="19409"/>
    <cellStyle name="Normal 4 3 2 3 2 3 2 5" xfId="19410"/>
    <cellStyle name="Normal 5 3 2 3 2 3 2 5" xfId="19411"/>
    <cellStyle name="Normal 7 3 2 3 2 3 2 5" xfId="19412"/>
    <cellStyle name="Normal 2 6 3 2 3 2 5" xfId="19413"/>
    <cellStyle name="Normal 3 6 3 2 3 2 5" xfId="19414"/>
    <cellStyle name="Normal 4 5 3 2 3 2 5" xfId="19415"/>
    <cellStyle name="Normal 5 5 3 2 3 2 5" xfId="19416"/>
    <cellStyle name="Normal 7 5 3 2 3 2 5" xfId="19417"/>
    <cellStyle name="Normal 2 3 3 3 2 3 2 5" xfId="19418"/>
    <cellStyle name="Normal 3 3 3 3 2 3 2 5" xfId="19419"/>
    <cellStyle name="Normal 4 2 3 3 2 3 2 5" xfId="19420"/>
    <cellStyle name="Normal 5 2 3 3 2 3 2 5" xfId="19421"/>
    <cellStyle name="Normal 7 2 3 3 2 3 2 5" xfId="19422"/>
    <cellStyle name="Normal 2 4 3 3 2 3 2 5" xfId="19423"/>
    <cellStyle name="Normal 3 4 3 3 2 3 2 5" xfId="19424"/>
    <cellStyle name="Normal 4 3 3 3 2 3 2 5" xfId="19425"/>
    <cellStyle name="Normal 5 3 3 3 2 3 2 5" xfId="19426"/>
    <cellStyle name="Normal 7 3 3 3 2 3 2 5" xfId="19427"/>
    <cellStyle name="Normal 2 7 2 2 3 2 5" xfId="19428"/>
    <cellStyle name="Normal 3 7 2 2 3 2 5" xfId="19429"/>
    <cellStyle name="Normal 4 6 2 2 3 2 5" xfId="19430"/>
    <cellStyle name="Normal 5 6 2 2 3 2 5" xfId="19431"/>
    <cellStyle name="Normal 7 6 2 2 3 2 5" xfId="19432"/>
    <cellStyle name="Normal 2 3 4 2 2 3 2 5" xfId="19433"/>
    <cellStyle name="Normal 3 3 4 2 2 3 2 5" xfId="19434"/>
    <cellStyle name="Normal 4 2 4 2 2 3 2 5" xfId="19435"/>
    <cellStyle name="Normal 5 2 4 2 2 3 2 5" xfId="19436"/>
    <cellStyle name="Normal 7 2 4 2 2 3 2 5" xfId="19437"/>
    <cellStyle name="Normal 2 4 4 2 2 3 2 5" xfId="19438"/>
    <cellStyle name="Normal 3 4 4 2 2 3 2 5" xfId="19439"/>
    <cellStyle name="Normal 4 3 4 2 2 3 2 5" xfId="19440"/>
    <cellStyle name="Normal 5 3 4 2 2 3 2 5" xfId="19441"/>
    <cellStyle name="Normal 7 3 4 2 2 3 2 5" xfId="19442"/>
    <cellStyle name="Normal 2 5 2 2 2 3 2 5" xfId="19443"/>
    <cellStyle name="Normal 3 5 2 2 2 3 2 5" xfId="19444"/>
    <cellStyle name="Normal 4 4 2 2 2 3 2 5" xfId="19445"/>
    <cellStyle name="Normal 5 4 2 2 2 3 2 5" xfId="19446"/>
    <cellStyle name="Normal 7 4 2 2 2 3 2 5" xfId="19447"/>
    <cellStyle name="Normal 2 3 2 2 2 2 3 2 5" xfId="19448"/>
    <cellStyle name="Normal 3 3 2 2 2 2 3 2 5" xfId="19449"/>
    <cellStyle name="Normal 4 2 2 2 2 2 3 2 5" xfId="19450"/>
    <cellStyle name="Normal 5 2 2 2 2 2 3 2 5" xfId="19451"/>
    <cellStyle name="Normal 7 2 2 2 2 2 3 2 5" xfId="19452"/>
    <cellStyle name="Normal 2 4 2 2 2 2 3 2 5" xfId="19453"/>
    <cellStyle name="Normal 3 4 2 2 2 2 3 2 5" xfId="19454"/>
    <cellStyle name="Normal 4 3 2 2 2 2 3 2 5" xfId="19455"/>
    <cellStyle name="Normal 5 3 2 2 2 2 3 2 5" xfId="19456"/>
    <cellStyle name="Normal 7 3 2 2 2 2 3 2 5" xfId="19457"/>
    <cellStyle name="Normal 2 6 2 2 2 3 2 5" xfId="19458"/>
    <cellStyle name="Normal 3 6 2 2 2 3 2 5" xfId="19459"/>
    <cellStyle name="Normal 4 5 2 2 2 3 2 5" xfId="19460"/>
    <cellStyle name="Normal 5 5 2 2 2 3 2 5" xfId="19461"/>
    <cellStyle name="Normal 7 5 2 2 2 3 2 5" xfId="19462"/>
    <cellStyle name="Normal 2 3 3 2 2 2 3 2 5" xfId="19463"/>
    <cellStyle name="Normal 3 3 3 2 2 2 3 2 5" xfId="19464"/>
    <cellStyle name="Normal 4 2 3 2 2 2 3 2 5" xfId="19465"/>
    <cellStyle name="Normal 5 2 3 2 2 2 3 2 5" xfId="19466"/>
    <cellStyle name="Normal 7 2 3 2 2 2 3 2 5" xfId="19467"/>
    <cellStyle name="Normal 2 4 3 2 2 2 3 2 5" xfId="19468"/>
    <cellStyle name="Normal 3 4 3 2 2 2 3 2 5" xfId="19469"/>
    <cellStyle name="Normal 4 3 3 2 2 2 3 2 5" xfId="19470"/>
    <cellStyle name="Normal 5 3 3 2 2 2 3 2 5" xfId="19471"/>
    <cellStyle name="Normal 7 3 3 2 2 2 3 2 5" xfId="19472"/>
    <cellStyle name="Normal 28 3 2 5" xfId="19473"/>
    <cellStyle name="Normal 2 3 7 3 2 5" xfId="19474"/>
    <cellStyle name="Normal 3 10 3 2 5" xfId="19475"/>
    <cellStyle name="Normal 4 9 3 2 5" xfId="19476"/>
    <cellStyle name="Normal 5 9 3 2 5" xfId="19477"/>
    <cellStyle name="Millares 4 3 2 5" xfId="19478"/>
    <cellStyle name="Normal 7 2 7 3 2 5" xfId="19479"/>
    <cellStyle name="Normal 3 3 7 3 2 5" xfId="19480"/>
    <cellStyle name="Normal 4 2 7 3 2 5" xfId="19481"/>
    <cellStyle name="Normal 5 2 7 3 2 5" xfId="19482"/>
    <cellStyle name="Normal 2 4 5 3 3 2 5" xfId="19483"/>
    <cellStyle name="Normal 3 4 7 3 2 5" xfId="19484"/>
    <cellStyle name="Normal 4 3 7 3 2 5" xfId="19485"/>
    <cellStyle name="Normal 5 3 7 3 2 5" xfId="19486"/>
    <cellStyle name="Normal 7 3 7 3 2 5" xfId="19487"/>
    <cellStyle name="Normal 2 5 5 3 2 5" xfId="19488"/>
    <cellStyle name="Normal 3 5 5 3 2 5" xfId="19489"/>
    <cellStyle name="Normal 4 4 5 3 2 5" xfId="19490"/>
    <cellStyle name="Normal 5 4 5 3 2 5" xfId="19491"/>
    <cellStyle name="Normal 7 4 5 3 2 5" xfId="19492"/>
    <cellStyle name="Normal 2 3 2 5 3 2 5" xfId="19493"/>
    <cellStyle name="Normal 3 3 2 5 3 2 5" xfId="19494"/>
    <cellStyle name="Normal 4 2 2 5 3 2 5" xfId="19495"/>
    <cellStyle name="Normal 5 2 2 5 3 2 5" xfId="19496"/>
    <cellStyle name="Normal 7 2 2 5 3 2 5" xfId="19497"/>
    <cellStyle name="Normal 2 4 2 5 3 2 5" xfId="19498"/>
    <cellStyle name="Normal 3 4 2 5 3 2 5" xfId="19499"/>
    <cellStyle name="Normal 4 3 2 5 3 2 5" xfId="19500"/>
    <cellStyle name="Normal 5 3 2 5 3 2 5" xfId="19501"/>
    <cellStyle name="Normal 7 3 2 5 3 2 5" xfId="19502"/>
    <cellStyle name="Normal 2 6 5 3 2 5" xfId="19503"/>
    <cellStyle name="Normal 3 6 5 3 2 5" xfId="19504"/>
    <cellStyle name="Normal 4 5 5 3 2 5" xfId="19505"/>
    <cellStyle name="Normal 5 5 5 3 2 5" xfId="19506"/>
    <cellStyle name="Normal 7 5 5 3 2 5" xfId="19507"/>
    <cellStyle name="Normal 2 3 3 5 3 2 5" xfId="19508"/>
    <cellStyle name="Normal 3 3 3 5 3 2 5" xfId="19509"/>
    <cellStyle name="Normal 4 2 3 5 3 2 5" xfId="19510"/>
    <cellStyle name="Normal 5 2 3 5 3 2 5" xfId="19511"/>
    <cellStyle name="Normal 7 2 3 5 3 2 5" xfId="19512"/>
    <cellStyle name="Normal 2 4 3 5 3 2 5" xfId="19513"/>
    <cellStyle name="Normal 3 4 3 5 3 2 5" xfId="19514"/>
    <cellStyle name="Normal 4 3 3 5 3 2 5" xfId="19515"/>
    <cellStyle name="Normal 5 3 3 5 3 2 5" xfId="19516"/>
    <cellStyle name="Normal 7 3 3 5 3 2 5" xfId="19517"/>
    <cellStyle name="Normal 2 7 4 3 2 5" xfId="19518"/>
    <cellStyle name="Normal 3 7 4 3 2 5" xfId="19519"/>
    <cellStyle name="Normal 4 6 4 3 2 5" xfId="19520"/>
    <cellStyle name="Normal 5 6 4 3 2 5" xfId="19521"/>
    <cellStyle name="Normal 7 6 4 3 2 5" xfId="19522"/>
    <cellStyle name="Normal 2 3 4 4 3 2 5" xfId="19523"/>
    <cellStyle name="Normal 3 3 4 4 3 2 5" xfId="19524"/>
    <cellStyle name="Normal 4 2 4 4 3 2 5" xfId="19525"/>
    <cellStyle name="Normal 5 2 4 4 3 2 5" xfId="19526"/>
    <cellStyle name="Normal 7 2 4 4 3 2 5" xfId="19527"/>
    <cellStyle name="Normal 2 4 4 4 3 2 5" xfId="19528"/>
    <cellStyle name="Normal 3 4 4 4 3 2 5" xfId="19529"/>
    <cellStyle name="Normal 4 3 4 4 3 2 5" xfId="19530"/>
    <cellStyle name="Normal 5 3 4 4 3 2 5" xfId="19531"/>
    <cellStyle name="Normal 7 3 4 4 3 2 5" xfId="19532"/>
    <cellStyle name="Normal 2 5 2 4 3 2 5" xfId="19533"/>
    <cellStyle name="Normal 3 5 2 4 3 2 5" xfId="19534"/>
    <cellStyle name="Normal 4 4 2 4 3 2 5" xfId="19535"/>
    <cellStyle name="Normal 5 4 2 4 3 2 5" xfId="19536"/>
    <cellStyle name="Normal 7 4 2 4 3 2 5" xfId="19537"/>
    <cellStyle name="Normal 2 3 2 2 4 3 2 5" xfId="19538"/>
    <cellStyle name="Normal 3 3 2 2 4 3 2 5" xfId="19539"/>
    <cellStyle name="Normal 4 2 2 2 4 3 2 5" xfId="19540"/>
    <cellStyle name="Normal 5 2 2 2 4 3 2 5" xfId="19541"/>
    <cellStyle name="Normal 7 2 2 2 4 3 2 5" xfId="19542"/>
    <cellStyle name="Normal 2 4 2 2 4 3 2 5" xfId="19543"/>
    <cellStyle name="Normal 3 4 2 2 4 3 2 5" xfId="19544"/>
    <cellStyle name="Normal 4 3 2 2 4 3 2 5" xfId="19545"/>
    <cellStyle name="Normal 5 3 2 2 4 3 2 5" xfId="19546"/>
    <cellStyle name="Normal 7 3 2 2 4 3 2 5" xfId="19547"/>
    <cellStyle name="Normal 2 6 2 4 3 2 5" xfId="19548"/>
    <cellStyle name="Normal 3 6 2 4 3 2 5" xfId="19549"/>
    <cellStyle name="Normal 4 5 2 4 3 2 5" xfId="19550"/>
    <cellStyle name="Normal 5 5 2 4 3 2 5" xfId="19551"/>
    <cellStyle name="Normal 7 5 2 4 3 2 5" xfId="19552"/>
    <cellStyle name="Normal 2 3 3 2 4 3 2 5" xfId="19553"/>
    <cellStyle name="Normal 3 3 3 2 4 3 2 5" xfId="19554"/>
    <cellStyle name="Normal 4 2 3 2 4 3 2 5" xfId="19555"/>
    <cellStyle name="Normal 5 2 3 2 4 3 2 5" xfId="19556"/>
    <cellStyle name="Normal 7 2 3 2 4 3 2 5" xfId="19557"/>
    <cellStyle name="Normal 2 4 3 2 4 3 2 5" xfId="19558"/>
    <cellStyle name="Normal 3 4 3 2 4 3 2 5" xfId="19559"/>
    <cellStyle name="Normal 4 3 3 2 4 3 2 5" xfId="19560"/>
    <cellStyle name="Normal 5 3 3 2 4 3 2 5" xfId="19561"/>
    <cellStyle name="Normal 7 3 3 2 4 3 2 5" xfId="19562"/>
    <cellStyle name="Normal 2 8 3 3 2 5" xfId="19563"/>
    <cellStyle name="Normal 3 8 3 3 2 5" xfId="19564"/>
    <cellStyle name="Normal 4 7 3 3 2 5" xfId="19565"/>
    <cellStyle name="Normal 5 7 3 3 2 5" xfId="19566"/>
    <cellStyle name="Normal 7 7 3 3 2 5" xfId="19567"/>
    <cellStyle name="Normal 2 3 5 3 3 2 5" xfId="19568"/>
    <cellStyle name="Normal 3 3 5 3 3 2 5" xfId="19569"/>
    <cellStyle name="Normal 4 2 5 3 3 2 5" xfId="19570"/>
    <cellStyle name="Normal 5 2 5 3 3 2 5" xfId="19571"/>
    <cellStyle name="Normal 7 2 5 3 3 2 5" xfId="19572"/>
    <cellStyle name="Normal 3 4 5 3 3 2 5" xfId="19573"/>
    <cellStyle name="Normal 4 3 5 3 3 2 5" xfId="19574"/>
    <cellStyle name="Normal 5 3 5 3 3 2 5" xfId="19575"/>
    <cellStyle name="Normal 7 3 5 3 3 2 5" xfId="19576"/>
    <cellStyle name="Normal 2 5 3 3 3 2 5" xfId="19577"/>
    <cellStyle name="Normal 3 5 3 3 3 2 5" xfId="19578"/>
    <cellStyle name="Normal 4 4 3 3 3 2 5" xfId="19579"/>
    <cellStyle name="Normal 5 4 3 3 3 2 5" xfId="19580"/>
    <cellStyle name="Normal 7 4 3 3 3 2 5" xfId="19581"/>
    <cellStyle name="Normal 2 3 2 3 3 3 2 5" xfId="19582"/>
    <cellStyle name="Normal 3 3 2 3 3 3 2 5" xfId="19583"/>
    <cellStyle name="Normal 4 2 2 3 3 3 2 5" xfId="19584"/>
    <cellStyle name="Normal 5 2 2 3 3 3 2 5" xfId="19585"/>
    <cellStyle name="Normal 7 2 2 3 3 3 2 5" xfId="19586"/>
    <cellStyle name="Normal 2 4 2 3 3 3 2 5" xfId="19587"/>
    <cellStyle name="Normal 3 4 2 3 3 3 2 5" xfId="19588"/>
    <cellStyle name="Normal 4 3 2 3 3 3 2 5" xfId="19589"/>
    <cellStyle name="Normal 5 3 2 3 3 3 2 5" xfId="19590"/>
    <cellStyle name="Normal 7 3 2 3 3 3 2 5" xfId="19591"/>
    <cellStyle name="Normal 2 6 3 3 3 2 5" xfId="19592"/>
    <cellStyle name="Normal 3 6 3 3 3 2 5" xfId="19593"/>
    <cellStyle name="Normal 4 5 3 3 3 2 5" xfId="19594"/>
    <cellStyle name="Normal 5 5 3 3 3 2 5" xfId="19595"/>
    <cellStyle name="Normal 7 5 3 3 3 2 5" xfId="19596"/>
    <cellStyle name="Normal 2 3 3 3 3 3 2 5" xfId="19597"/>
    <cellStyle name="Normal 3 3 3 3 3 3 2 5" xfId="19598"/>
    <cellStyle name="Normal 4 2 3 3 3 3 2 5" xfId="19599"/>
    <cellStyle name="Normal 5 2 3 3 3 3 2 5" xfId="19600"/>
    <cellStyle name="Normal 7 2 3 3 3 3 2 5" xfId="19601"/>
    <cellStyle name="Normal 2 4 3 3 3 3 2 5" xfId="19602"/>
    <cellStyle name="Normal 3 4 3 3 3 3 2 5" xfId="19603"/>
    <cellStyle name="Normal 4 3 3 3 3 3 2 5" xfId="19604"/>
    <cellStyle name="Normal 5 3 3 3 3 3 2 5" xfId="19605"/>
    <cellStyle name="Normal 7 3 3 3 3 3 2 5" xfId="19606"/>
    <cellStyle name="Normal 2 7 2 3 3 2 5" xfId="19607"/>
    <cellStyle name="Normal 3 7 2 3 3 2 5" xfId="19608"/>
    <cellStyle name="Normal 4 6 2 3 3 2 5" xfId="19609"/>
    <cellStyle name="Normal 5 6 2 3 3 2 5" xfId="19610"/>
    <cellStyle name="Normal 7 6 2 3 3 2 5" xfId="19611"/>
    <cellStyle name="Normal 2 3 4 2 3 3 2 5" xfId="19612"/>
    <cellStyle name="Normal 3 3 4 2 3 3 2 5" xfId="19613"/>
    <cellStyle name="Normal 4 2 4 2 3 3 2 5" xfId="19614"/>
    <cellStyle name="Normal 5 2 4 2 3 3 2 5" xfId="19615"/>
    <cellStyle name="Normal 7 2 4 2 3 3 2 5" xfId="19616"/>
    <cellStyle name="Normal 2 4 4 2 3 3 2 5" xfId="19617"/>
    <cellStyle name="Normal 3 4 4 2 3 3 2 5" xfId="19618"/>
    <cellStyle name="Normal 4 3 4 2 3 3 2 5" xfId="19619"/>
    <cellStyle name="Normal 5 3 4 2 3 3 2 5" xfId="19620"/>
    <cellStyle name="Normal 7 3 4 2 3 3 2 5" xfId="19621"/>
    <cellStyle name="Normal 2 5 2 2 3 3 2 5" xfId="19622"/>
    <cellStyle name="Normal 3 5 2 2 3 3 2 5" xfId="19623"/>
    <cellStyle name="Normal 4 4 2 2 3 3 2 5" xfId="19624"/>
    <cellStyle name="Normal 5 4 2 2 3 3 2 5" xfId="19625"/>
    <cellStyle name="Normal 7 4 2 2 3 3 2 5" xfId="19626"/>
    <cellStyle name="Normal 2 3 2 2 2 3 3 2 5" xfId="19627"/>
    <cellStyle name="Normal 3 3 2 2 2 3 3 2 5" xfId="19628"/>
    <cellStyle name="Normal 4 2 2 2 2 3 3 2 5" xfId="19629"/>
    <cellStyle name="Normal 5 2 2 2 2 3 3 2 5" xfId="19630"/>
    <cellStyle name="Normal 7 2 2 2 2 3 3 2 5" xfId="19631"/>
    <cellStyle name="Normal 2 4 2 2 2 3 3 2 5" xfId="19632"/>
    <cellStyle name="Normal 3 4 2 2 2 3 3 2 5" xfId="19633"/>
    <cellStyle name="Normal 4 3 2 2 2 3 3 2 5" xfId="19634"/>
    <cellStyle name="Normal 5 3 2 2 2 3 3 2 5" xfId="19635"/>
    <cellStyle name="Normal 7 3 2 2 2 3 3 2 5" xfId="19636"/>
    <cellStyle name="Normal 2 6 2 2 3 3 2 5" xfId="19637"/>
    <cellStyle name="Normal 3 6 2 2 3 3 2 5" xfId="19638"/>
    <cellStyle name="Normal 4 5 2 2 3 3 2 5" xfId="19639"/>
    <cellStyle name="Normal 5 5 2 2 3 3 2 5" xfId="19640"/>
    <cellStyle name="Normal 7 5 2 2 3 3 2 5" xfId="19641"/>
    <cellStyle name="Normal 2 3 3 2 2 3 3 2 5" xfId="19642"/>
    <cellStyle name="Normal 3 3 3 2 2 3 3 2 5" xfId="19643"/>
    <cellStyle name="Normal 4 2 3 2 2 3 3 2 5" xfId="19644"/>
    <cellStyle name="Normal 5 2 3 2 2 3 3 2 5" xfId="19645"/>
    <cellStyle name="Normal 7 2 3 2 2 3 3 2 5" xfId="19646"/>
    <cellStyle name="Normal 2 4 3 2 2 3 3 2 5" xfId="19647"/>
    <cellStyle name="Normal 3 4 3 2 2 3 3 2 5" xfId="19648"/>
    <cellStyle name="Normal 4 3 3 2 2 3 3 2 5" xfId="19649"/>
    <cellStyle name="Normal 5 3 3 2 2 3 3 2 5" xfId="19650"/>
    <cellStyle name="Normal 7 3 3 2 2 3 3 2 5" xfId="19651"/>
    <cellStyle name="Normal 2 14 3" xfId="19652"/>
    <cellStyle name="Normal 3 14 3" xfId="19653"/>
    <cellStyle name="Normal 4 13 3" xfId="19654"/>
    <cellStyle name="Normal 5 13 3" xfId="19655"/>
    <cellStyle name="Normal 7 13 4" xfId="19656"/>
    <cellStyle name="Normal 2 3 11 3" xfId="19657"/>
    <cellStyle name="Normal 3 3 11 3" xfId="19658"/>
    <cellStyle name="Normal 4 2 11 3" xfId="19659"/>
    <cellStyle name="Normal 5 2 11 3" xfId="19660"/>
    <cellStyle name="Normal 7 2 11 4" xfId="19661"/>
    <cellStyle name="Normal 2 4 11 3" xfId="19662"/>
    <cellStyle name="Normal 3 4 11 3" xfId="19663"/>
    <cellStyle name="Normal 4 3 11 3" xfId="19664"/>
    <cellStyle name="Normal 5 3 11 3" xfId="19665"/>
    <cellStyle name="Normal 7 3 11 3" xfId="19666"/>
    <cellStyle name="Normal 2 5 9 3" xfId="19667"/>
    <cellStyle name="Normal 3 5 9 3" xfId="19668"/>
    <cellStyle name="Normal 4 4 9 3" xfId="19669"/>
    <cellStyle name="Normal 5 4 9 3" xfId="19670"/>
    <cellStyle name="Normal 7 4 9 3" xfId="19671"/>
    <cellStyle name="Normal 2 3 2 9 3" xfId="19672"/>
    <cellStyle name="Normal 3 3 2 9 3" xfId="19673"/>
    <cellStyle name="Normal 4 2 2 9 3" xfId="19674"/>
    <cellStyle name="Normal 5 2 2 9 3" xfId="19675"/>
    <cellStyle name="Normal 7 2 2 9 3" xfId="19676"/>
    <cellStyle name="Normal 2 4 2 9 3" xfId="19677"/>
    <cellStyle name="Normal 3 4 2 9 3" xfId="19678"/>
    <cellStyle name="Normal 4 3 2 9 3" xfId="19679"/>
    <cellStyle name="Normal 5 3 2 9 3" xfId="19680"/>
    <cellStyle name="Normal 7 3 2 9 3" xfId="19681"/>
    <cellStyle name="Normal 2 6 9 3" xfId="19682"/>
    <cellStyle name="Normal 3 6 9 3" xfId="19683"/>
    <cellStyle name="Normal 4 5 9 3" xfId="19684"/>
    <cellStyle name="Normal 5 5 9 3" xfId="19685"/>
    <cellStyle name="Normal 7 5 9 3" xfId="19686"/>
    <cellStyle name="Normal 2 3 3 9 3" xfId="19687"/>
    <cellStyle name="Normal 3 3 3 9 3" xfId="19688"/>
    <cellStyle name="Normal 4 2 3 9 3" xfId="19689"/>
    <cellStyle name="Normal 5 2 3 9 3" xfId="19690"/>
    <cellStyle name="Normal 7 2 3 9 3" xfId="19691"/>
    <cellStyle name="Normal 2 4 3 9 3" xfId="19692"/>
    <cellStyle name="Normal 3 4 3 9 3" xfId="19693"/>
    <cellStyle name="Normal 4 3 3 9 3" xfId="19694"/>
    <cellStyle name="Normal 5 3 3 9 3" xfId="19695"/>
    <cellStyle name="Normal 7 3 3 9 3" xfId="19696"/>
    <cellStyle name="Normal 2 7 8 3" xfId="19697"/>
    <cellStyle name="Normal 3 7 8 3" xfId="19698"/>
    <cellStyle name="Normal 4 6 8 3" xfId="19699"/>
    <cellStyle name="Normal 5 6 8 3" xfId="19700"/>
    <cellStyle name="Normal 7 6 8 3" xfId="19701"/>
    <cellStyle name="Normal 2 3 4 8 3" xfId="19702"/>
    <cellStyle name="Normal 3 3 4 8 3" xfId="19703"/>
    <cellStyle name="Normal 4 2 4 8 3" xfId="19704"/>
    <cellStyle name="Normal 5 2 4 8 3" xfId="19705"/>
    <cellStyle name="Normal 7 2 4 8 3" xfId="19706"/>
    <cellStyle name="Normal 2 4 4 8 3" xfId="19707"/>
    <cellStyle name="Normal 3 4 4 8 3" xfId="19708"/>
    <cellStyle name="Normal 4 3 4 8 3" xfId="19709"/>
    <cellStyle name="Normal 5 3 4 8 3" xfId="19710"/>
    <cellStyle name="Normal 7 3 4 8 3" xfId="19711"/>
    <cellStyle name="Normal 2 5 2 8 3" xfId="19712"/>
    <cellStyle name="Normal 3 5 2 8 3" xfId="19713"/>
    <cellStyle name="Normal 4 4 2 8 3" xfId="19714"/>
    <cellStyle name="Normal 5 4 2 8 3" xfId="19715"/>
    <cellStyle name="Normal 7 4 2 8 3" xfId="19716"/>
    <cellStyle name="Normal 2 3 2 2 8 3" xfId="19717"/>
    <cellStyle name="Normal 3 3 2 2 8 3" xfId="19718"/>
    <cellStyle name="Normal 4 2 2 2 8 3" xfId="19719"/>
    <cellStyle name="Normal 5 2 2 2 8 3" xfId="19720"/>
    <cellStyle name="Normal 7 2 2 2 8 3" xfId="19721"/>
    <cellStyle name="Normal 2 4 2 2 8 3" xfId="19722"/>
    <cellStyle name="Normal 3 4 2 2 8 3" xfId="19723"/>
    <cellStyle name="Normal 4 3 2 2 8 3" xfId="19724"/>
    <cellStyle name="Normal 5 3 2 2 8 3" xfId="19725"/>
    <cellStyle name="Normal 7 3 2 2 8 3" xfId="19726"/>
    <cellStyle name="Normal 2 6 2 8 3" xfId="19727"/>
    <cellStyle name="Normal 3 6 2 8 3" xfId="19728"/>
    <cellStyle name="Normal 4 5 2 8 3" xfId="19729"/>
    <cellStyle name="Normal 5 5 2 8 3" xfId="19730"/>
    <cellStyle name="Normal 7 5 2 8 3" xfId="19731"/>
    <cellStyle name="Normal 2 3 3 2 8 3" xfId="19732"/>
    <cellStyle name="Normal 3 3 3 2 8 3" xfId="19733"/>
    <cellStyle name="Normal 4 2 3 2 8 3" xfId="19734"/>
    <cellStyle name="Normal 5 2 3 2 8 3" xfId="19735"/>
    <cellStyle name="Normal 7 2 3 2 8 3" xfId="19736"/>
    <cellStyle name="Normal 2 4 3 2 8 3" xfId="19737"/>
    <cellStyle name="Normal 3 4 3 2 8 3" xfId="19738"/>
    <cellStyle name="Normal 4 3 3 2 8 3" xfId="19739"/>
    <cellStyle name="Normal 5 3 3 2 8 3" xfId="19740"/>
    <cellStyle name="Normal 7 3 3 2 8 3" xfId="19741"/>
    <cellStyle name="Normal 2 8 7 3" xfId="19742"/>
    <cellStyle name="Normal 3 8 7 3" xfId="19743"/>
    <cellStyle name="Normal 4 7 7 3" xfId="19744"/>
    <cellStyle name="Normal 5 7 7 3" xfId="19745"/>
    <cellStyle name="Normal 7 7 7 3" xfId="19746"/>
    <cellStyle name="Normal 2 3 5 7 3" xfId="19747"/>
    <cellStyle name="Normal 3 3 5 7 3" xfId="19748"/>
    <cellStyle name="Normal 4 2 5 7 3" xfId="19749"/>
    <cellStyle name="Normal 5 2 5 7 3" xfId="19750"/>
    <cellStyle name="Normal 7 2 5 7 3" xfId="19751"/>
    <cellStyle name="Normal 2 4 5 7 3" xfId="19752"/>
    <cellStyle name="Normal 3 4 5 7 3" xfId="19753"/>
    <cellStyle name="Normal 4 3 5 7 3" xfId="19754"/>
    <cellStyle name="Normal 5 3 5 7 3" xfId="19755"/>
    <cellStyle name="Normal 7 3 5 7 3" xfId="19756"/>
    <cellStyle name="Normal 2 5 3 7 3" xfId="19757"/>
    <cellStyle name="Normal 3 5 3 7 3" xfId="19758"/>
    <cellStyle name="Normal 4 4 3 7 3" xfId="19759"/>
    <cellStyle name="Normal 5 4 3 7 3" xfId="19760"/>
    <cellStyle name="Normal 7 4 3 7 3" xfId="19761"/>
    <cellStyle name="Normal 2 3 2 3 7 3" xfId="19762"/>
    <cellStyle name="Normal 3 3 2 3 7 3" xfId="19763"/>
    <cellStyle name="Normal 4 2 2 3 7 3" xfId="19764"/>
    <cellStyle name="Normal 5 2 2 3 7 3" xfId="19765"/>
    <cellStyle name="Normal 7 2 2 3 7 3" xfId="19766"/>
    <cellStyle name="Normal 2 4 2 3 7 3" xfId="19767"/>
    <cellStyle name="Normal 3 4 2 3 7 3" xfId="19768"/>
    <cellStyle name="Normal 4 3 2 3 7 3" xfId="19769"/>
    <cellStyle name="Normal 5 3 2 3 7 3" xfId="19770"/>
    <cellStyle name="Normal 7 3 2 3 7 3" xfId="19771"/>
    <cellStyle name="Normal 2 6 3 7 3" xfId="19772"/>
    <cellStyle name="Normal 3 6 3 7 3" xfId="19773"/>
    <cellStyle name="Normal 4 5 3 7 3" xfId="19774"/>
    <cellStyle name="Normal 5 5 3 7 3" xfId="19775"/>
    <cellStyle name="Normal 7 5 3 7 3" xfId="19776"/>
    <cellStyle name="Normal 2 3 3 3 7 3" xfId="19777"/>
    <cellStyle name="Normal 3 3 3 3 7 3" xfId="19778"/>
    <cellStyle name="Normal 4 2 3 3 7 3" xfId="19779"/>
    <cellStyle name="Normal 5 2 3 3 7 3" xfId="19780"/>
    <cellStyle name="Normal 7 2 3 3 7 3" xfId="19781"/>
    <cellStyle name="Normal 2 4 3 3 7 3" xfId="19782"/>
    <cellStyle name="Normal 3 4 3 3 7 3" xfId="19783"/>
    <cellStyle name="Normal 4 3 3 3 7 3" xfId="19784"/>
    <cellStyle name="Normal 5 3 3 3 7 3" xfId="19785"/>
    <cellStyle name="Normal 7 3 3 3 7 3" xfId="19786"/>
    <cellStyle name="Normal 2 7 2 7 3" xfId="19787"/>
    <cellStyle name="Normal 3 7 2 7 3" xfId="19788"/>
    <cellStyle name="Normal 4 6 2 7 3" xfId="19789"/>
    <cellStyle name="Normal 5 6 2 7 3" xfId="19790"/>
    <cellStyle name="Normal 7 6 2 7 3" xfId="19791"/>
    <cellStyle name="Normal 2 3 4 2 7 3" xfId="19792"/>
    <cellStyle name="Normal 3 3 4 2 7 3" xfId="19793"/>
    <cellStyle name="Normal 4 2 4 2 7 3" xfId="19794"/>
    <cellStyle name="Normal 5 2 4 2 7 3" xfId="19795"/>
    <cellStyle name="Normal 7 2 4 2 7 3" xfId="19796"/>
    <cellStyle name="Normal 2 4 4 2 7 3" xfId="19797"/>
    <cellStyle name="Normal 3 4 4 2 7 3" xfId="19798"/>
    <cellStyle name="Normal 4 3 4 2 7 3" xfId="19799"/>
    <cellStyle name="Normal 5 3 4 2 7 3" xfId="19800"/>
    <cellStyle name="Normal 7 3 4 2 7 3" xfId="19801"/>
    <cellStyle name="Normal 2 5 2 2 7 3" xfId="19802"/>
    <cellStyle name="Normal 3 5 2 2 7 3" xfId="19803"/>
    <cellStyle name="Normal 4 4 2 2 7 3" xfId="19804"/>
    <cellStyle name="Normal 5 4 2 2 7 3" xfId="19805"/>
    <cellStyle name="Normal 7 4 2 2 7 3" xfId="19806"/>
    <cellStyle name="Normal 2 3 2 2 2 7 3" xfId="19807"/>
    <cellStyle name="Normal 3 3 2 2 2 7 3" xfId="19808"/>
    <cellStyle name="Normal 4 2 2 2 2 7 3" xfId="19809"/>
    <cellStyle name="Normal 5 2 2 2 2 7 3" xfId="19810"/>
    <cellStyle name="Normal 7 2 2 2 2 7 3" xfId="19811"/>
    <cellStyle name="Normal 2 4 2 2 2 7 3" xfId="19812"/>
    <cellStyle name="Normal 3 4 2 2 2 7 3" xfId="19813"/>
    <cellStyle name="Normal 4 3 2 2 2 7 3" xfId="19814"/>
    <cellStyle name="Normal 5 3 2 2 2 7 3" xfId="19815"/>
    <cellStyle name="Normal 7 3 2 2 2 7 3" xfId="19816"/>
    <cellStyle name="Normal 2 6 2 2 7 3" xfId="19817"/>
    <cellStyle name="Normal 3 6 2 2 7 3" xfId="19818"/>
    <cellStyle name="Normal 4 5 2 2 7 3" xfId="19819"/>
    <cellStyle name="Normal 5 5 2 2 7 3" xfId="19820"/>
    <cellStyle name="Normal 7 5 2 2 7 3" xfId="19821"/>
    <cellStyle name="Normal 2 3 3 2 2 7 3" xfId="19822"/>
    <cellStyle name="Normal 3 3 3 2 2 7 3" xfId="19823"/>
    <cellStyle name="Normal 4 2 3 2 2 7 3" xfId="19824"/>
    <cellStyle name="Normal 5 2 3 2 2 7 3" xfId="19825"/>
    <cellStyle name="Normal 7 2 3 2 2 7 3" xfId="19826"/>
    <cellStyle name="Normal 2 4 3 2 2 7 3" xfId="19827"/>
    <cellStyle name="Normal 3 4 3 2 2 7 3" xfId="19828"/>
    <cellStyle name="Normal 4 3 3 2 2 7 3" xfId="19829"/>
    <cellStyle name="Normal 5 3 3 2 2 7 3" xfId="19830"/>
    <cellStyle name="Normal 7 3 3 2 2 7 3" xfId="19831"/>
    <cellStyle name="Normal 2 9 5 3" xfId="19832"/>
    <cellStyle name="Normal 3 9 5 3" xfId="19833"/>
    <cellStyle name="Normal 4 8 5 3" xfId="19834"/>
    <cellStyle name="Normal 5 8 5 3" xfId="19835"/>
    <cellStyle name="Normal 7 8 5 3" xfId="19836"/>
    <cellStyle name="Normal 2 3 6 5 3" xfId="19837"/>
    <cellStyle name="Normal 3 3 6 5 3" xfId="19838"/>
    <cellStyle name="Normal 4 2 6 5 3" xfId="19839"/>
    <cellStyle name="Normal 5 2 6 5 3" xfId="19840"/>
    <cellStyle name="Normal 7 2 6 5 3" xfId="19841"/>
    <cellStyle name="Normal 2 4 6 5 3" xfId="19842"/>
    <cellStyle name="Normal 3 4 6 5 3" xfId="19843"/>
    <cellStyle name="Normal 4 3 6 5 3" xfId="19844"/>
    <cellStyle name="Normal 5 3 6 5 3" xfId="19845"/>
    <cellStyle name="Normal 7 3 6 5 3" xfId="19846"/>
    <cellStyle name="Normal 2 5 4 5 3" xfId="19847"/>
    <cellStyle name="Normal 3 5 4 5 3" xfId="19848"/>
    <cellStyle name="Normal 4 4 4 5 3" xfId="19849"/>
    <cellStyle name="Normal 5 4 4 5 3" xfId="19850"/>
    <cellStyle name="Normal 7 4 4 5 3" xfId="19851"/>
    <cellStyle name="Normal 2 3 2 4 5 3" xfId="19852"/>
    <cellStyle name="Normal 3 3 2 4 5 3" xfId="19853"/>
    <cellStyle name="Normal 4 2 2 4 5 3" xfId="19854"/>
    <cellStyle name="Normal 5 2 2 4 5 3" xfId="19855"/>
    <cellStyle name="Normal 7 2 2 4 5 3" xfId="19856"/>
    <cellStyle name="Normal 2 4 2 4 5 3" xfId="19857"/>
    <cellStyle name="Normal 3 4 2 4 5 3" xfId="19858"/>
    <cellStyle name="Normal 4 3 2 4 5 3" xfId="19859"/>
    <cellStyle name="Normal 5 3 2 4 5 3" xfId="19860"/>
    <cellStyle name="Normal 7 3 2 4 5 3" xfId="19861"/>
    <cellStyle name="Normal 2 6 4 5 3" xfId="19862"/>
    <cellStyle name="Normal 3 6 4 5 3" xfId="19863"/>
    <cellStyle name="Normal 4 5 4 5 3" xfId="19864"/>
    <cellStyle name="Normal 5 5 4 5 3" xfId="19865"/>
    <cellStyle name="Normal 7 5 4 5 3" xfId="19866"/>
    <cellStyle name="Normal 2 3 3 4 5 3" xfId="19867"/>
    <cellStyle name="Normal 3 3 3 4 5 3" xfId="19868"/>
    <cellStyle name="Normal 4 2 3 4 5 3" xfId="19869"/>
    <cellStyle name="Normal 5 2 3 4 5 3" xfId="19870"/>
    <cellStyle name="Normal 7 2 3 4 5 3" xfId="19871"/>
    <cellStyle name="Normal 2 4 3 4 5 3" xfId="19872"/>
    <cellStyle name="Normal 3 4 3 4 5 3" xfId="19873"/>
    <cellStyle name="Normal 4 3 3 4 5 3" xfId="19874"/>
    <cellStyle name="Normal 5 3 3 4 5 3" xfId="19875"/>
    <cellStyle name="Normal 7 3 3 4 5 3" xfId="19876"/>
    <cellStyle name="Normal 2 7 3 5 3" xfId="19877"/>
    <cellStyle name="Normal 3 7 3 5 3" xfId="19878"/>
    <cellStyle name="Normal 4 6 3 5 3" xfId="19879"/>
    <cellStyle name="Normal 5 6 3 5 3" xfId="19880"/>
    <cellStyle name="Normal 7 6 3 5 3" xfId="19881"/>
    <cellStyle name="Normal 2 3 4 3 5 3" xfId="19882"/>
    <cellStyle name="Normal 3 3 4 3 5 3" xfId="19883"/>
    <cellStyle name="Normal 4 2 4 3 5 3" xfId="19884"/>
    <cellStyle name="Normal 5 2 4 3 5 3" xfId="19885"/>
    <cellStyle name="Normal 7 2 4 3 5 3" xfId="19886"/>
    <cellStyle name="Normal 2 4 4 3 5 3" xfId="19887"/>
    <cellStyle name="Normal 3 4 4 3 5 3" xfId="19888"/>
    <cellStyle name="Normal 4 3 4 3 5 3" xfId="19889"/>
    <cellStyle name="Normal 5 3 4 3 5 3" xfId="19890"/>
    <cellStyle name="Normal 7 3 4 3 5 3" xfId="19891"/>
    <cellStyle name="Normal 2 5 2 3 5 3" xfId="19892"/>
    <cellStyle name="Normal 3 5 2 3 5 3" xfId="19893"/>
    <cellStyle name="Normal 4 4 2 3 5 3" xfId="19894"/>
    <cellStyle name="Normal 5 4 2 3 5 3" xfId="19895"/>
    <cellStyle name="Normal 7 4 2 3 5 3" xfId="19896"/>
    <cellStyle name="Normal 2 3 2 2 3 5 3" xfId="19897"/>
    <cellStyle name="Normal 3 3 2 2 3 5 3" xfId="19898"/>
    <cellStyle name="Normal 4 2 2 2 3 5 3" xfId="19899"/>
    <cellStyle name="Normal 5 2 2 2 3 5 3" xfId="19900"/>
    <cellStyle name="Normal 7 2 2 2 3 5 3" xfId="19901"/>
    <cellStyle name="Normal 2 4 2 2 3 5 3" xfId="19902"/>
    <cellStyle name="Normal 3 4 2 2 3 5 3" xfId="19903"/>
    <cellStyle name="Normal 4 3 2 2 3 5 3" xfId="19904"/>
    <cellStyle name="Normal 5 3 2 2 3 5 3" xfId="19905"/>
    <cellStyle name="Normal 7 3 2 2 3 5 3" xfId="19906"/>
    <cellStyle name="Normal 2 6 2 3 5 3" xfId="19907"/>
    <cellStyle name="Normal 3 6 2 3 5 3" xfId="19908"/>
    <cellStyle name="Normal 4 5 2 3 5 3" xfId="19909"/>
    <cellStyle name="Normal 5 5 2 3 5 3" xfId="19910"/>
    <cellStyle name="Normal 7 5 2 3 5 3" xfId="19911"/>
    <cellStyle name="Normal 2 3 3 2 3 5 3" xfId="19912"/>
    <cellStyle name="Normal 3 3 3 2 3 5 3" xfId="19913"/>
    <cellStyle name="Normal 4 2 3 2 3 5 3" xfId="19914"/>
    <cellStyle name="Normal 5 2 3 2 3 5 3" xfId="19915"/>
    <cellStyle name="Normal 7 2 3 2 3 5 3" xfId="19916"/>
    <cellStyle name="Normal 2 4 3 2 3 5 3" xfId="19917"/>
    <cellStyle name="Normal 3 4 3 2 3 5 3" xfId="19918"/>
    <cellStyle name="Normal 4 3 3 2 3 5 3" xfId="19919"/>
    <cellStyle name="Normal 5 3 3 2 3 5 3" xfId="19920"/>
    <cellStyle name="Normal 7 3 3 2 3 5 3" xfId="19921"/>
    <cellStyle name="Normal 2 8 2 5 3" xfId="19922"/>
    <cellStyle name="Normal 3 8 2 5 3" xfId="19923"/>
    <cellStyle name="Normal 4 7 2 5 3" xfId="19924"/>
    <cellStyle name="Normal 5 7 2 5 3" xfId="19925"/>
    <cellStyle name="Normal 7 7 2 5 3" xfId="19926"/>
    <cellStyle name="Normal 2 3 5 2 5 3" xfId="19927"/>
    <cellStyle name="Normal 3 3 5 2 5 3" xfId="19928"/>
    <cellStyle name="Normal 4 2 5 2 5 3" xfId="19929"/>
    <cellStyle name="Normal 5 2 5 2 5 3" xfId="19930"/>
    <cellStyle name="Normal 7 2 5 2 5 3" xfId="19931"/>
    <cellStyle name="Normal 2 4 5 2 5 3" xfId="19932"/>
    <cellStyle name="Normal 3 4 5 2 5 3" xfId="19933"/>
    <cellStyle name="Normal 4 3 5 2 5 3" xfId="19934"/>
    <cellStyle name="Normal 5 3 5 2 5 3" xfId="19935"/>
    <cellStyle name="Normal 7 3 5 2 5 3" xfId="19936"/>
    <cellStyle name="Normal 2 5 3 2 5 3" xfId="19937"/>
    <cellStyle name="Normal 3 5 3 2 5 3" xfId="19938"/>
    <cellStyle name="Normal 4 4 3 2 5 3" xfId="19939"/>
    <cellStyle name="Normal 5 4 3 2 5 3" xfId="19940"/>
    <cellStyle name="Normal 7 4 3 2 5 3" xfId="19941"/>
    <cellStyle name="Normal 2 3 2 3 2 5 3" xfId="19942"/>
    <cellStyle name="Normal 3 3 2 3 2 5 3" xfId="19943"/>
    <cellStyle name="Normal 4 2 2 3 2 5 3" xfId="19944"/>
    <cellStyle name="Normal 5 2 2 3 2 5 3" xfId="19945"/>
    <cellStyle name="Normal 7 2 2 3 2 5 3" xfId="19946"/>
    <cellStyle name="Normal 2 4 2 3 2 5 3" xfId="19947"/>
    <cellStyle name="Normal 3 4 2 3 2 5 3" xfId="19948"/>
    <cellStyle name="Normal 4 3 2 3 2 5 3" xfId="19949"/>
    <cellStyle name="Normal 5 3 2 3 2 5 3" xfId="19950"/>
    <cellStyle name="Normal 7 3 2 3 2 5 3" xfId="19951"/>
    <cellStyle name="Normal 2 6 3 2 5 3" xfId="19952"/>
    <cellStyle name="Normal 3 6 3 2 5 3" xfId="19953"/>
    <cellStyle name="Normal 4 5 3 2 5 3" xfId="19954"/>
    <cellStyle name="Normal 5 5 3 2 5 3" xfId="19955"/>
    <cellStyle name="Normal 7 5 3 2 5 3" xfId="19956"/>
    <cellStyle name="Normal 2 3 3 3 2 5 3" xfId="19957"/>
    <cellStyle name="Normal 3 3 3 3 2 5 3" xfId="19958"/>
    <cellStyle name="Normal 4 2 3 3 2 5 3" xfId="19959"/>
    <cellStyle name="Normal 5 2 3 3 2 5 3" xfId="19960"/>
    <cellStyle name="Normal 7 2 3 3 2 5 3" xfId="19961"/>
    <cellStyle name="Normal 2 4 3 3 2 5 3" xfId="19962"/>
    <cellStyle name="Normal 3 4 3 3 2 5 3" xfId="19963"/>
    <cellStyle name="Normal 4 3 3 3 2 5 3" xfId="19964"/>
    <cellStyle name="Normal 5 3 3 3 2 5 3" xfId="19965"/>
    <cellStyle name="Normal 7 3 3 3 2 5 3" xfId="19966"/>
    <cellStyle name="Normal 2 7 2 2 5 3" xfId="19967"/>
    <cellStyle name="Normal 3 7 2 2 5 3" xfId="19968"/>
    <cellStyle name="Normal 4 6 2 2 5 3" xfId="19969"/>
    <cellStyle name="Normal 5 6 2 2 5 3" xfId="19970"/>
    <cellStyle name="Normal 7 6 2 2 5 3" xfId="19971"/>
    <cellStyle name="Normal 2 3 4 2 2 5 3" xfId="19972"/>
    <cellStyle name="Normal 3 3 4 2 2 5 3" xfId="19973"/>
    <cellStyle name="Normal 4 2 4 2 2 5 3" xfId="19974"/>
    <cellStyle name="Normal 5 2 4 2 2 5 3" xfId="19975"/>
    <cellStyle name="Normal 7 2 4 2 2 5 3" xfId="19976"/>
    <cellStyle name="Normal 2 4 4 2 2 5 3" xfId="19977"/>
    <cellStyle name="Normal 3 4 4 2 2 5 3" xfId="19978"/>
    <cellStyle name="Normal 4 3 4 2 2 5 3" xfId="19979"/>
    <cellStyle name="Normal 5 3 4 2 2 5 3" xfId="19980"/>
    <cellStyle name="Normal 7 3 4 2 2 5 3" xfId="19981"/>
    <cellStyle name="Normal 2 5 2 2 2 5 3" xfId="19982"/>
    <cellStyle name="Normal 3 5 2 2 2 5 3" xfId="19983"/>
    <cellStyle name="Normal 4 4 2 2 2 5 3" xfId="19984"/>
    <cellStyle name="Normal 5 4 2 2 2 5 3" xfId="19985"/>
    <cellStyle name="Normal 7 4 2 2 2 5 3" xfId="19986"/>
    <cellStyle name="Normal 2 3 2 2 2 2 5 3" xfId="19987"/>
    <cellStyle name="Normal 3 3 2 2 2 2 5 3" xfId="19988"/>
    <cellStyle name="Normal 4 2 2 2 2 2 5 3" xfId="19989"/>
    <cellStyle name="Normal 5 2 2 2 2 2 5 3" xfId="19990"/>
    <cellStyle name="Normal 7 2 2 2 2 2 5 3" xfId="19991"/>
    <cellStyle name="Normal 2 4 2 2 2 2 5 3" xfId="19992"/>
    <cellStyle name="Normal 3 4 2 2 2 2 5 3" xfId="19993"/>
    <cellStyle name="Normal 4 3 2 2 2 2 5 3" xfId="19994"/>
    <cellStyle name="Normal 5 3 2 2 2 2 5 3" xfId="19995"/>
    <cellStyle name="Normal 7 3 2 2 2 2 5 3" xfId="19996"/>
    <cellStyle name="Normal 2 6 2 2 2 5 3" xfId="19997"/>
    <cellStyle name="Normal 3 6 2 2 2 5 3" xfId="19998"/>
    <cellStyle name="Normal 4 5 2 2 2 5 3" xfId="19999"/>
    <cellStyle name="Normal 5 5 2 2 2 5 3" xfId="20000"/>
    <cellStyle name="Normal 7 5 2 2 2 5 3" xfId="20001"/>
    <cellStyle name="Normal 2 3 3 2 2 2 5 3" xfId="20002"/>
    <cellStyle name="Normal 3 3 3 2 2 2 5 3" xfId="20003"/>
    <cellStyle name="Normal 4 2 3 2 2 2 5 3" xfId="20004"/>
    <cellStyle name="Normal 5 2 3 2 2 2 5 3" xfId="20005"/>
    <cellStyle name="Normal 7 2 3 2 2 2 5 3" xfId="20006"/>
    <cellStyle name="Normal 2 4 3 2 2 2 5 3" xfId="20007"/>
    <cellStyle name="Normal 3 4 3 2 2 2 5 3" xfId="20008"/>
    <cellStyle name="Normal 4 3 3 2 2 2 5 3" xfId="20009"/>
    <cellStyle name="Normal 5 3 3 2 2 2 5 3" xfId="20010"/>
    <cellStyle name="Normal 7 3 3 2 2 2 5 3" xfId="20011"/>
    <cellStyle name="Normal 28 5 4" xfId="20012"/>
    <cellStyle name="Normal 2 3 7 5 3" xfId="20013"/>
    <cellStyle name="Normal 3 10 5 3" xfId="20014"/>
    <cellStyle name="Normal 4 9 5 3" xfId="20015"/>
    <cellStyle name="Normal 5 9 5 3" xfId="20016"/>
    <cellStyle name="Millares 4 5 3" xfId="20017"/>
    <cellStyle name="Normal 7 2 7 5 3" xfId="20018"/>
    <cellStyle name="Normal 3 3 7 5 3" xfId="20019"/>
    <cellStyle name="Normal 4 2 7 5 3" xfId="20020"/>
    <cellStyle name="Normal 5 2 7 5 3" xfId="20021"/>
    <cellStyle name="Normal 2 4 5 3 5 3" xfId="20022"/>
    <cellStyle name="Normal 3 4 7 5 3" xfId="20023"/>
    <cellStyle name="Normal 4 3 7 5 3" xfId="20024"/>
    <cellStyle name="Normal 5 3 7 5 3" xfId="20025"/>
    <cellStyle name="Normal 7 3 7 5 3" xfId="20026"/>
    <cellStyle name="Normal 2 5 5 5 3" xfId="20027"/>
    <cellStyle name="Normal 3 5 5 5 3" xfId="20028"/>
    <cellStyle name="Normal 4 4 5 5 3" xfId="20029"/>
    <cellStyle name="Normal 5 4 5 5 3" xfId="20030"/>
    <cellStyle name="Normal 7 4 5 5 3" xfId="20031"/>
    <cellStyle name="Normal 2 3 2 5 5 3" xfId="20032"/>
    <cellStyle name="Normal 3 3 2 5 5 3" xfId="20033"/>
    <cellStyle name="Normal 4 2 2 5 5 3" xfId="20034"/>
    <cellStyle name="Normal 5 2 2 5 5 3" xfId="20035"/>
    <cellStyle name="Normal 7 2 2 5 5 3" xfId="20036"/>
    <cellStyle name="Normal 2 4 2 5 5 3" xfId="20037"/>
    <cellStyle name="Normal 3 4 2 5 5 3" xfId="20038"/>
    <cellStyle name="Normal 4 3 2 5 5 3" xfId="20039"/>
    <cellStyle name="Normal 5 3 2 5 5 3" xfId="20040"/>
    <cellStyle name="Normal 7 3 2 5 5 3" xfId="20041"/>
    <cellStyle name="Normal 2 6 5 5 3" xfId="20042"/>
    <cellStyle name="Normal 3 6 5 5 3" xfId="20043"/>
    <cellStyle name="Normal 4 5 5 5 3" xfId="20044"/>
    <cellStyle name="Normal 5 5 5 5 3" xfId="20045"/>
    <cellStyle name="Normal 7 5 5 5 3" xfId="20046"/>
    <cellStyle name="Normal 2 3 3 5 5 3" xfId="20047"/>
    <cellStyle name="Normal 3 3 3 5 5 3" xfId="20048"/>
    <cellStyle name="Normal 4 2 3 5 5 3" xfId="20049"/>
    <cellStyle name="Normal 5 2 3 5 5 3" xfId="20050"/>
    <cellStyle name="Normal 7 2 3 5 5 3" xfId="20051"/>
    <cellStyle name="Normal 2 4 3 5 5 3" xfId="20052"/>
    <cellStyle name="Normal 3 4 3 5 5 3" xfId="20053"/>
    <cellStyle name="Normal 4 3 3 5 5 3" xfId="20054"/>
    <cellStyle name="Normal 5 3 3 5 5 3" xfId="20055"/>
    <cellStyle name="Normal 7 3 3 5 5 3" xfId="20056"/>
    <cellStyle name="Normal 2 7 4 5 3" xfId="20057"/>
    <cellStyle name="Normal 3 7 4 5 3" xfId="20058"/>
    <cellStyle name="Normal 4 6 4 5 3" xfId="20059"/>
    <cellStyle name="Normal 5 6 4 5 3" xfId="20060"/>
    <cellStyle name="Normal 7 6 4 5 3" xfId="20061"/>
    <cellStyle name="Normal 2 3 4 4 5 3" xfId="20062"/>
    <cellStyle name="Normal 3 3 4 4 5 3" xfId="20063"/>
    <cellStyle name="Normal 4 2 4 4 5 3" xfId="20064"/>
    <cellStyle name="Normal 5 2 4 4 5 3" xfId="20065"/>
    <cellStyle name="Normal 7 2 4 4 5 3" xfId="20066"/>
    <cellStyle name="Normal 2 4 4 4 5 3" xfId="20067"/>
    <cellStyle name="Normal 3 4 4 4 5 3" xfId="20068"/>
    <cellStyle name="Normal 4 3 4 4 5 3" xfId="20069"/>
    <cellStyle name="Normal 5 3 4 4 5 3" xfId="20070"/>
    <cellStyle name="Normal 7 3 4 4 5 3" xfId="20071"/>
    <cellStyle name="Normal 2 5 2 4 5 3" xfId="20072"/>
    <cellStyle name="Normal 3 5 2 4 5 3" xfId="20073"/>
    <cellStyle name="Normal 4 4 2 4 5 3" xfId="20074"/>
    <cellStyle name="Normal 5 4 2 4 5 3" xfId="20075"/>
    <cellStyle name="Normal 7 4 2 4 5 3" xfId="20076"/>
    <cellStyle name="Normal 2 3 2 2 4 5 3" xfId="20077"/>
    <cellStyle name="Normal 3 3 2 2 4 5 3" xfId="20078"/>
    <cellStyle name="Normal 4 2 2 2 4 5 3" xfId="20079"/>
    <cellStyle name="Normal 5 2 2 2 4 5 3" xfId="20080"/>
    <cellStyle name="Normal 7 2 2 2 4 5 3" xfId="20081"/>
    <cellStyle name="Normal 2 4 2 2 4 5 3" xfId="20082"/>
    <cellStyle name="Normal 3 4 2 2 4 5 3" xfId="20083"/>
    <cellStyle name="Normal 4 3 2 2 4 5 3" xfId="20084"/>
    <cellStyle name="Normal 5 3 2 2 4 5 3" xfId="20085"/>
    <cellStyle name="Normal 7 3 2 2 4 5 3" xfId="20086"/>
    <cellStyle name="Normal 2 6 2 4 5 3" xfId="20087"/>
    <cellStyle name="Normal 3 6 2 4 5 3" xfId="20088"/>
    <cellStyle name="Normal 4 5 2 4 5 3" xfId="20089"/>
    <cellStyle name="Normal 5 5 2 4 5 3" xfId="20090"/>
    <cellStyle name="Normal 7 5 2 4 5 3" xfId="20091"/>
    <cellStyle name="Normal 2 3 3 2 4 5 3" xfId="20092"/>
    <cellStyle name="Normal 3 3 3 2 4 5 3" xfId="20093"/>
    <cellStyle name="Normal 4 2 3 2 4 5 3" xfId="20094"/>
    <cellStyle name="Normal 5 2 3 2 4 5 3" xfId="20095"/>
    <cellStyle name="Normal 7 2 3 2 4 5 3" xfId="20096"/>
    <cellStyle name="Normal 2 4 3 2 4 5 3" xfId="20097"/>
    <cellStyle name="Normal 3 4 3 2 4 5 3" xfId="20098"/>
    <cellStyle name="Normal 4 3 3 2 4 5 3" xfId="20099"/>
    <cellStyle name="Normal 5 3 3 2 4 5 3" xfId="20100"/>
    <cellStyle name="Normal 7 3 3 2 4 5 3" xfId="20101"/>
    <cellStyle name="Normal 2 8 3 5 3" xfId="20102"/>
    <cellStyle name="Normal 3 8 3 5 3" xfId="20103"/>
    <cellStyle name="Normal 4 7 3 5 3" xfId="20104"/>
    <cellStyle name="Normal 5 7 3 5 3" xfId="20105"/>
    <cellStyle name="Normal 7 7 3 5 3" xfId="20106"/>
    <cellStyle name="Normal 2 3 5 3 5 3" xfId="20107"/>
    <cellStyle name="Normal 3 3 5 3 5 3" xfId="20108"/>
    <cellStyle name="Normal 4 2 5 3 5 3" xfId="20109"/>
    <cellStyle name="Normal 5 2 5 3 5 3" xfId="20110"/>
    <cellStyle name="Normal 7 2 5 3 5 3" xfId="20111"/>
    <cellStyle name="Normal 3 4 5 3 5 3" xfId="20112"/>
    <cellStyle name="Normal 4 3 5 3 5 3" xfId="20113"/>
    <cellStyle name="Normal 5 3 5 3 5 3" xfId="20114"/>
    <cellStyle name="Normal 7 3 5 3 5 3" xfId="20115"/>
    <cellStyle name="Normal 2 5 3 3 5 3" xfId="20116"/>
    <cellStyle name="Normal 3 5 3 3 5 3" xfId="20117"/>
    <cellStyle name="Normal 4 4 3 3 5 3" xfId="20118"/>
    <cellStyle name="Normal 5 4 3 3 5 3" xfId="20119"/>
    <cellStyle name="Normal 7 4 3 3 5 3" xfId="20120"/>
    <cellStyle name="Normal 2 3 2 3 3 5 3" xfId="20121"/>
    <cellStyle name="Normal 3 3 2 3 3 5 3" xfId="20122"/>
    <cellStyle name="Normal 4 2 2 3 3 5 3" xfId="20123"/>
    <cellStyle name="Normal 5 2 2 3 3 5 3" xfId="20124"/>
    <cellStyle name="Normal 7 2 2 3 3 5 3" xfId="20125"/>
    <cellStyle name="Normal 2 4 2 3 3 5 3" xfId="20126"/>
    <cellStyle name="Normal 3 4 2 3 3 5 3" xfId="20127"/>
    <cellStyle name="Normal 4 3 2 3 3 5 3" xfId="20128"/>
    <cellStyle name="Normal 5 3 2 3 3 5 3" xfId="20129"/>
    <cellStyle name="Normal 7 3 2 3 3 5 3" xfId="20130"/>
    <cellStyle name="Normal 2 6 3 3 5 3" xfId="20131"/>
    <cellStyle name="Normal 3 6 3 3 5 3" xfId="20132"/>
    <cellStyle name="Normal 4 5 3 3 5 3" xfId="20133"/>
    <cellStyle name="Normal 5 5 3 3 5 3" xfId="20134"/>
    <cellStyle name="Normal 7 5 3 3 5 3" xfId="20135"/>
    <cellStyle name="Normal 2 3 3 3 3 5 3" xfId="20136"/>
    <cellStyle name="Normal 3 3 3 3 3 5 3" xfId="20137"/>
    <cellStyle name="Normal 4 2 3 3 3 5 3" xfId="20138"/>
    <cellStyle name="Normal 5 2 3 3 3 5 3" xfId="20139"/>
    <cellStyle name="Normal 7 2 3 3 3 5 3" xfId="20140"/>
    <cellStyle name="Normal 2 4 3 3 3 5 3" xfId="20141"/>
    <cellStyle name="Normal 3 4 3 3 3 5 3" xfId="20142"/>
    <cellStyle name="Normal 4 3 3 3 3 5 3" xfId="20143"/>
    <cellStyle name="Normal 5 3 3 3 3 5 3" xfId="20144"/>
    <cellStyle name="Normal 7 3 3 3 3 5 3" xfId="20145"/>
    <cellStyle name="Normal 2 7 2 3 5 3" xfId="20146"/>
    <cellStyle name="Normal 3 7 2 3 5 3" xfId="20147"/>
    <cellStyle name="Normal 4 6 2 3 5 3" xfId="20148"/>
    <cellStyle name="Normal 5 6 2 3 5 3" xfId="20149"/>
    <cellStyle name="Normal 7 6 2 3 5 3" xfId="20150"/>
    <cellStyle name="Normal 2 3 4 2 3 5 3" xfId="20151"/>
    <cellStyle name="Normal 3 3 4 2 3 5 3" xfId="20152"/>
    <cellStyle name="Normal 4 2 4 2 3 5 3" xfId="20153"/>
    <cellStyle name="Normal 5 2 4 2 3 5 3" xfId="20154"/>
    <cellStyle name="Normal 7 2 4 2 3 5 3" xfId="20155"/>
    <cellStyle name="Normal 2 4 4 2 3 5 3" xfId="20156"/>
    <cellStyle name="Normal 3 4 4 2 3 5 3" xfId="20157"/>
    <cellStyle name="Normal 4 3 4 2 3 5 3" xfId="20158"/>
    <cellStyle name="Normal 5 3 4 2 3 5 3" xfId="20159"/>
    <cellStyle name="Normal 7 3 4 2 3 5 3" xfId="20160"/>
    <cellStyle name="Normal 2 5 2 2 3 5 3" xfId="20161"/>
    <cellStyle name="Normal 3 5 2 2 3 5 3" xfId="20162"/>
    <cellStyle name="Normal 4 4 2 2 3 5 3" xfId="20163"/>
    <cellStyle name="Normal 5 4 2 2 3 5 3" xfId="20164"/>
    <cellStyle name="Normal 7 4 2 2 3 5 3" xfId="20165"/>
    <cellStyle name="Normal 2 3 2 2 2 3 5 3" xfId="20166"/>
    <cellStyle name="Normal 3 3 2 2 2 3 5 3" xfId="20167"/>
    <cellStyle name="Normal 4 2 2 2 2 3 5 3" xfId="20168"/>
    <cellStyle name="Normal 5 2 2 2 2 3 5 3" xfId="20169"/>
    <cellStyle name="Normal 7 2 2 2 2 3 5 3" xfId="20170"/>
    <cellStyle name="Normal 2 4 2 2 2 3 5 3" xfId="20171"/>
    <cellStyle name="Normal 3 4 2 2 2 3 5 3" xfId="20172"/>
    <cellStyle name="Normal 4 3 2 2 2 3 5 3" xfId="20173"/>
    <cellStyle name="Normal 5 3 2 2 2 3 5 3" xfId="20174"/>
    <cellStyle name="Normal 7 3 2 2 2 3 5 3" xfId="20175"/>
    <cellStyle name="Normal 2 6 2 2 3 5 3" xfId="20176"/>
    <cellStyle name="Normal 3 6 2 2 3 5 3" xfId="20177"/>
    <cellStyle name="Normal 4 5 2 2 3 5 3" xfId="20178"/>
    <cellStyle name="Normal 5 5 2 2 3 5 3" xfId="20179"/>
    <cellStyle name="Normal 7 5 2 2 3 5 3" xfId="20180"/>
    <cellStyle name="Normal 2 3 3 2 2 3 5 3" xfId="20181"/>
    <cellStyle name="Normal 3 3 3 2 2 3 5 3" xfId="20182"/>
    <cellStyle name="Normal 4 2 3 2 2 3 5 3" xfId="20183"/>
    <cellStyle name="Normal 5 2 3 2 2 3 5 3" xfId="20184"/>
    <cellStyle name="Normal 7 2 3 2 2 3 5 3" xfId="20185"/>
    <cellStyle name="Normal 2 4 3 2 2 3 5 3" xfId="20186"/>
    <cellStyle name="Normal 3 4 3 2 2 3 5 3" xfId="20187"/>
    <cellStyle name="Normal 4 3 3 2 2 3 5 3" xfId="20188"/>
    <cellStyle name="Normal 5 3 3 2 2 3 5 3" xfId="20189"/>
    <cellStyle name="Normal 7 3 3 2 2 3 5 3" xfId="20190"/>
    <cellStyle name="Normal 2 11 3 3" xfId="20191"/>
    <cellStyle name="Normal 3 11 3 3" xfId="20192"/>
    <cellStyle name="Normal 4 10 3 3" xfId="20193"/>
    <cellStyle name="Normal 5 10 3 3" xfId="20194"/>
    <cellStyle name="Normal 7 10 3 3" xfId="20195"/>
    <cellStyle name="Normal 2 3 8 3 3" xfId="20196"/>
    <cellStyle name="Normal 3 3 8 3 3" xfId="20197"/>
    <cellStyle name="Normal 4 2 8 3 3" xfId="20198"/>
    <cellStyle name="Normal 5 2 8 3 3" xfId="20199"/>
    <cellStyle name="Normal 7 2 8 3 3" xfId="20200"/>
    <cellStyle name="Normal 2 4 8 3 3" xfId="20201"/>
    <cellStyle name="Normal 3 4 8 3 3" xfId="20202"/>
    <cellStyle name="Normal 4 3 8 3 3" xfId="20203"/>
    <cellStyle name="Normal 5 3 8 3 3" xfId="20204"/>
    <cellStyle name="Normal 7 3 8 3 3" xfId="20205"/>
    <cellStyle name="Normal 2 5 6 3 3" xfId="20206"/>
    <cellStyle name="Normal 3 5 6 3 3" xfId="20207"/>
    <cellStyle name="Normal 4 4 6 3 3" xfId="20208"/>
    <cellStyle name="Normal 5 4 6 3 3" xfId="20209"/>
    <cellStyle name="Normal 7 4 6 3 3" xfId="20210"/>
    <cellStyle name="Normal 2 3 2 6 3 3" xfId="20211"/>
    <cellStyle name="Normal 3 3 2 6 3 3" xfId="20212"/>
    <cellStyle name="Normal 4 2 2 6 3 3" xfId="20213"/>
    <cellStyle name="Normal 5 2 2 6 3 3" xfId="20214"/>
    <cellStyle name="Normal 7 2 2 6 3 3" xfId="20215"/>
    <cellStyle name="Normal 2 4 2 6 3 3" xfId="20216"/>
    <cellStyle name="Normal 3 4 2 6 3 3" xfId="20217"/>
    <cellStyle name="Normal 4 3 2 6 3 3" xfId="20218"/>
    <cellStyle name="Normal 5 3 2 6 3 3" xfId="20219"/>
    <cellStyle name="Normal 7 3 2 6 3 3" xfId="20220"/>
    <cellStyle name="Normal 2 6 6 3 3" xfId="20221"/>
    <cellStyle name="Normal 3 6 6 3 3" xfId="20222"/>
    <cellStyle name="Normal 4 5 6 3 3" xfId="20223"/>
    <cellStyle name="Normal 5 5 6 3 3" xfId="20224"/>
    <cellStyle name="Normal 7 5 6 3 3" xfId="20225"/>
    <cellStyle name="Normal 2 3 3 6 3 3" xfId="20226"/>
    <cellStyle name="Normal 3 3 3 6 3 3" xfId="20227"/>
    <cellStyle name="Normal 4 2 3 6 3 3" xfId="20228"/>
    <cellStyle name="Normal 5 2 3 6 3 3" xfId="20229"/>
    <cellStyle name="Normal 7 2 3 6 3 3" xfId="20230"/>
    <cellStyle name="Normal 2 4 3 6 3 3" xfId="20231"/>
    <cellStyle name="Normal 3 4 3 6 3 3" xfId="20232"/>
    <cellStyle name="Normal 4 3 3 6 3 3" xfId="20233"/>
    <cellStyle name="Normal 5 3 3 6 3 3" xfId="20234"/>
    <cellStyle name="Normal 7 3 3 6 3 3" xfId="20235"/>
    <cellStyle name="Normal 2 7 5 3 3" xfId="20236"/>
    <cellStyle name="Normal 3 7 5 3 3" xfId="20237"/>
    <cellStyle name="Normal 4 6 5 3 3" xfId="20238"/>
    <cellStyle name="Normal 5 6 5 3 3" xfId="20239"/>
    <cellStyle name="Normal 7 6 5 3 3" xfId="20240"/>
    <cellStyle name="Normal 2 3 4 5 3 3" xfId="20241"/>
    <cellStyle name="Normal 3 3 4 5 3 3" xfId="20242"/>
    <cellStyle name="Normal 4 2 4 5 3 3" xfId="20243"/>
    <cellStyle name="Normal 5 2 4 5 3 3" xfId="20244"/>
    <cellStyle name="Normal 7 2 4 5 3 3" xfId="20245"/>
    <cellStyle name="Normal 2 4 4 5 3 3" xfId="20246"/>
    <cellStyle name="Normal 3 4 4 5 3 3" xfId="20247"/>
    <cellStyle name="Normal 4 3 4 5 3 3" xfId="20248"/>
    <cellStyle name="Normal 5 3 4 5 3 3" xfId="20249"/>
    <cellStyle name="Normal 7 3 4 5 3 3" xfId="20250"/>
    <cellStyle name="Normal 2 5 2 5 3 3" xfId="20251"/>
    <cellStyle name="Normal 3 5 2 5 3 3" xfId="20252"/>
    <cellStyle name="Normal 4 4 2 5 3 3" xfId="20253"/>
    <cellStyle name="Normal 5 4 2 5 3 3" xfId="20254"/>
    <cellStyle name="Normal 7 4 2 5 3 3" xfId="20255"/>
    <cellStyle name="Normal 2 3 2 2 5 3 3" xfId="20256"/>
    <cellStyle name="Normal 3 3 2 2 5 3 3" xfId="20257"/>
    <cellStyle name="Normal 4 2 2 2 5 3 3" xfId="20258"/>
    <cellStyle name="Normal 5 2 2 2 5 3 3" xfId="20259"/>
    <cellStyle name="Normal 7 2 2 2 5 3 3" xfId="20260"/>
    <cellStyle name="Normal 2 4 2 2 5 3 3" xfId="20261"/>
    <cellStyle name="Normal 3 4 2 2 5 3 3" xfId="20262"/>
    <cellStyle name="Normal 4 3 2 2 5 3 3" xfId="20263"/>
    <cellStyle name="Normal 5 3 2 2 5 3 3" xfId="20264"/>
    <cellStyle name="Normal 7 3 2 2 5 3 3" xfId="20265"/>
    <cellStyle name="Normal 2 6 2 5 3 3" xfId="20266"/>
    <cellStyle name="Normal 3 6 2 5 3 3" xfId="20267"/>
    <cellStyle name="Normal 4 5 2 5 3 3" xfId="20268"/>
    <cellStyle name="Normal 5 5 2 5 3 3" xfId="20269"/>
    <cellStyle name="Normal 7 5 2 5 3 3" xfId="20270"/>
    <cellStyle name="Normal 2 3 3 2 5 3 3" xfId="20271"/>
    <cellStyle name="Normal 3 3 3 2 5 3 3" xfId="20272"/>
    <cellStyle name="Normal 4 2 3 2 5 3 3" xfId="20273"/>
    <cellStyle name="Normal 5 2 3 2 5 3 3" xfId="20274"/>
    <cellStyle name="Normal 7 2 3 2 5 3 3" xfId="20275"/>
    <cellStyle name="Normal 2 4 3 2 5 3 3" xfId="20276"/>
    <cellStyle name="Normal 3 4 3 2 5 3 3" xfId="20277"/>
    <cellStyle name="Normal 4 3 3 2 5 3 3" xfId="20278"/>
    <cellStyle name="Normal 5 3 3 2 5 3 3" xfId="20279"/>
    <cellStyle name="Normal 7 3 3 2 5 3 3" xfId="20280"/>
    <cellStyle name="Normal 2 8 4 3 3" xfId="20281"/>
    <cellStyle name="Normal 3 8 4 3 3" xfId="20282"/>
    <cellStyle name="Normal 4 7 4 3 3" xfId="20283"/>
    <cellStyle name="Normal 5 7 4 3 3" xfId="20284"/>
    <cellStyle name="Normal 7 7 4 3 3" xfId="20285"/>
    <cellStyle name="Normal 2 3 5 4 3 3" xfId="20286"/>
    <cellStyle name="Normal 3 3 5 4 3 3" xfId="20287"/>
    <cellStyle name="Normal 4 2 5 4 3 3" xfId="20288"/>
    <cellStyle name="Normal 5 2 5 4 3 3" xfId="20289"/>
    <cellStyle name="Normal 7 2 5 4 3 3" xfId="20290"/>
    <cellStyle name="Normal 2 4 5 4 3 3" xfId="20291"/>
    <cellStyle name="Normal 3 4 5 4 3 3" xfId="20292"/>
    <cellStyle name="Normal 4 3 5 4 3 3" xfId="20293"/>
    <cellStyle name="Normal 5 3 5 4 3 3" xfId="20294"/>
    <cellStyle name="Normal 7 3 5 4 3 3" xfId="20295"/>
    <cellStyle name="Normal 2 5 3 4 3 3" xfId="20296"/>
    <cellStyle name="Normal 3 5 3 4 3 3" xfId="20297"/>
    <cellStyle name="Normal 4 4 3 4 3 3" xfId="20298"/>
    <cellStyle name="Normal 5 4 3 4 3 3" xfId="20299"/>
    <cellStyle name="Normal 7 4 3 4 3 3" xfId="20300"/>
    <cellStyle name="Normal 2 3 2 3 4 3 3" xfId="20301"/>
    <cellStyle name="Normal 3 3 2 3 4 3 3" xfId="20302"/>
    <cellStyle name="Normal 4 2 2 3 4 3 3" xfId="20303"/>
    <cellStyle name="Normal 5 2 2 3 4 3 3" xfId="20304"/>
    <cellStyle name="Normal 7 2 2 3 4 3 3" xfId="20305"/>
    <cellStyle name="Normal 2 4 2 3 4 3 3" xfId="20306"/>
    <cellStyle name="Normal 3 4 2 3 4 3 3" xfId="20307"/>
    <cellStyle name="Normal 4 3 2 3 4 3 3" xfId="20308"/>
    <cellStyle name="Normal 5 3 2 3 4 3 3" xfId="20309"/>
    <cellStyle name="Normal 7 3 2 3 4 3 3" xfId="20310"/>
    <cellStyle name="Normal 2 6 3 4 3 3" xfId="20311"/>
    <cellStyle name="Normal 3 6 3 4 3 3" xfId="20312"/>
    <cellStyle name="Normal 4 5 3 4 3 3" xfId="20313"/>
    <cellStyle name="Normal 5 5 3 4 3 3" xfId="20314"/>
    <cellStyle name="Normal 7 5 3 4 3 3" xfId="20315"/>
    <cellStyle name="Normal 2 3 3 3 4 3 3" xfId="20316"/>
    <cellStyle name="Normal 3 3 3 3 4 3 3" xfId="20317"/>
    <cellStyle name="Normal 4 2 3 3 4 3 3" xfId="20318"/>
    <cellStyle name="Normal 5 2 3 3 4 3 3" xfId="20319"/>
    <cellStyle name="Normal 7 2 3 3 4 3 3" xfId="20320"/>
    <cellStyle name="Normal 2 4 3 3 4 3 3" xfId="20321"/>
    <cellStyle name="Normal 3 4 3 3 4 3 3" xfId="20322"/>
    <cellStyle name="Normal 4 3 3 3 4 3 3" xfId="20323"/>
    <cellStyle name="Normal 5 3 3 3 4 3 3" xfId="20324"/>
    <cellStyle name="Normal 7 3 3 3 4 3 3" xfId="20325"/>
    <cellStyle name="Normal 2 7 2 4 3 3" xfId="20326"/>
    <cellStyle name="Normal 3 7 2 4 3 3" xfId="20327"/>
    <cellStyle name="Normal 4 6 2 4 3 3" xfId="20328"/>
    <cellStyle name="Normal 5 6 2 4 3 3" xfId="20329"/>
    <cellStyle name="Normal 7 6 2 4 3 3" xfId="20330"/>
    <cellStyle name="Normal 2 3 4 2 4 3 3" xfId="20331"/>
    <cellStyle name="Normal 3 3 4 2 4 3 3" xfId="20332"/>
    <cellStyle name="Normal 4 2 4 2 4 3 3" xfId="20333"/>
    <cellStyle name="Normal 5 2 4 2 4 3 3" xfId="20334"/>
    <cellStyle name="Normal 7 2 4 2 4 3 3" xfId="20335"/>
    <cellStyle name="Normal 2 4 4 2 4 3 3" xfId="20336"/>
    <cellStyle name="Normal 3 4 4 2 4 3 3" xfId="20337"/>
    <cellStyle name="Normal 4 3 4 2 4 3 3" xfId="20338"/>
    <cellStyle name="Normal 5 3 4 2 4 3 3" xfId="20339"/>
    <cellStyle name="Normal 7 3 4 2 4 3 3" xfId="20340"/>
    <cellStyle name="Normal 2 5 2 2 4 3 3" xfId="20341"/>
    <cellStyle name="Normal 3 5 2 2 4 3 3" xfId="20342"/>
    <cellStyle name="Normal 4 4 2 2 4 3 3" xfId="20343"/>
    <cellStyle name="Normal 5 4 2 2 4 3 3" xfId="20344"/>
    <cellStyle name="Normal 7 4 2 2 4 3 3" xfId="20345"/>
    <cellStyle name="Normal 2 3 2 2 2 4 3 3" xfId="20346"/>
    <cellStyle name="Normal 3 3 2 2 2 4 3 3" xfId="20347"/>
    <cellStyle name="Normal 4 2 2 2 2 4 3 3" xfId="20348"/>
    <cellStyle name="Normal 5 2 2 2 2 4 3 3" xfId="20349"/>
    <cellStyle name="Normal 7 2 2 2 2 4 3 3" xfId="20350"/>
    <cellStyle name="Normal 2 4 2 2 2 4 3 3" xfId="20351"/>
    <cellStyle name="Normal 3 4 2 2 2 4 3 3" xfId="20352"/>
    <cellStyle name="Normal 4 3 2 2 2 4 3 3" xfId="20353"/>
    <cellStyle name="Normal 5 3 2 2 2 4 3 3" xfId="20354"/>
    <cellStyle name="Normal 7 3 2 2 2 4 3 3" xfId="20355"/>
    <cellStyle name="Normal 2 6 2 2 4 3 3" xfId="20356"/>
    <cellStyle name="Normal 3 6 2 2 4 3 3" xfId="20357"/>
    <cellStyle name="Normal 4 5 2 2 4 3 3" xfId="20358"/>
    <cellStyle name="Normal 5 5 2 2 4 3 3" xfId="20359"/>
    <cellStyle name="Normal 7 5 2 2 4 3 3" xfId="20360"/>
    <cellStyle name="Normal 2 3 3 2 2 4 3 3" xfId="20361"/>
    <cellStyle name="Normal 3 3 3 2 2 4 3 3" xfId="20362"/>
    <cellStyle name="Normal 4 2 3 2 2 4 3 3" xfId="20363"/>
    <cellStyle name="Normal 5 2 3 2 2 4 3 3" xfId="20364"/>
    <cellStyle name="Normal 7 2 3 2 2 4 3 3" xfId="20365"/>
    <cellStyle name="Normal 2 4 3 2 2 4 3 3" xfId="20366"/>
    <cellStyle name="Normal 3 4 3 2 2 4 3 3" xfId="20367"/>
    <cellStyle name="Normal 4 3 3 2 2 4 3 3" xfId="20368"/>
    <cellStyle name="Normal 5 3 3 2 2 4 3 3" xfId="20369"/>
    <cellStyle name="Normal 7 3 3 2 2 4 3 3" xfId="20370"/>
    <cellStyle name="Normal 2 9 2 3 3" xfId="20371"/>
    <cellStyle name="Normal 3 9 2 3 3" xfId="20372"/>
    <cellStyle name="Normal 4 8 2 3 3" xfId="20373"/>
    <cellStyle name="Normal 5 8 2 3 3" xfId="20374"/>
    <cellStyle name="Normal 7 8 2 3 3" xfId="20375"/>
    <cellStyle name="Normal 2 3 6 2 3 3" xfId="20376"/>
    <cellStyle name="Normal 3 3 6 2 3 3" xfId="20377"/>
    <cellStyle name="Normal 4 2 6 2 3 3" xfId="20378"/>
    <cellStyle name="Normal 5 2 6 2 3 3" xfId="20379"/>
    <cellStyle name="Normal 7 2 6 2 3 3" xfId="20380"/>
    <cellStyle name="Normal 2 4 6 2 3 3" xfId="20381"/>
    <cellStyle name="Normal 3 4 6 2 3 3" xfId="20382"/>
    <cellStyle name="Normal 4 3 6 2 3 3" xfId="20383"/>
    <cellStyle name="Normal 5 3 6 2 3 3" xfId="20384"/>
    <cellStyle name="Normal 7 3 6 2 3 3" xfId="20385"/>
    <cellStyle name="Normal 2 5 4 2 3 3" xfId="20386"/>
    <cellStyle name="Normal 3 5 4 2 3 3" xfId="20387"/>
    <cellStyle name="Normal 4 4 4 2 3 3" xfId="20388"/>
    <cellStyle name="Normal 5 4 4 2 3 3" xfId="20389"/>
    <cellStyle name="Normal 7 4 4 2 3 3" xfId="20390"/>
    <cellStyle name="Normal 2 3 2 4 2 3 3" xfId="20391"/>
    <cellStyle name="Normal 3 3 2 4 2 3 3" xfId="20392"/>
    <cellStyle name="Normal 4 2 2 4 2 3 3" xfId="20393"/>
    <cellStyle name="Normal 5 2 2 4 2 3 3" xfId="20394"/>
    <cellStyle name="Normal 7 2 2 4 2 3 3" xfId="20395"/>
    <cellStyle name="Normal 2 4 2 4 2 3 3" xfId="20396"/>
    <cellStyle name="Normal 3 4 2 4 2 3 3" xfId="20397"/>
    <cellStyle name="Normal 4 3 2 4 2 3 3" xfId="20398"/>
    <cellStyle name="Normal 5 3 2 4 2 3 3" xfId="20399"/>
    <cellStyle name="Normal 7 3 2 4 2 3 3" xfId="20400"/>
    <cellStyle name="Normal 2 6 4 2 3 3" xfId="20401"/>
    <cellStyle name="Normal 3 6 4 2 3 3" xfId="20402"/>
    <cellStyle name="Normal 4 5 4 2 3 3" xfId="20403"/>
    <cellStyle name="Normal 5 5 4 2 3 3" xfId="20404"/>
    <cellStyle name="Normal 7 5 4 2 3 3" xfId="20405"/>
    <cellStyle name="Normal 2 3 3 4 2 3 3" xfId="20406"/>
    <cellStyle name="Normal 3 3 3 4 2 3 3" xfId="20407"/>
    <cellStyle name="Normal 4 2 3 4 2 3 3" xfId="20408"/>
    <cellStyle name="Normal 5 2 3 4 2 3 3" xfId="20409"/>
    <cellStyle name="Normal 7 2 3 4 2 3 3" xfId="20410"/>
    <cellStyle name="Normal 2 4 3 4 2 3 3" xfId="20411"/>
    <cellStyle name="Normal 3 4 3 4 2 3 3" xfId="20412"/>
    <cellStyle name="Normal 4 3 3 4 2 3 3" xfId="20413"/>
    <cellStyle name="Normal 5 3 3 4 2 3 3" xfId="20414"/>
    <cellStyle name="Normal 7 3 3 4 2 3 3" xfId="20415"/>
    <cellStyle name="Normal 2 7 3 2 3 3" xfId="20416"/>
    <cellStyle name="Normal 3 7 3 2 3 3" xfId="20417"/>
    <cellStyle name="Normal 4 6 3 2 3 3" xfId="20418"/>
    <cellStyle name="Normal 5 6 3 2 3 3" xfId="20419"/>
    <cellStyle name="Normal 7 6 3 2 3 3" xfId="20420"/>
    <cellStyle name="Normal 2 3 4 3 2 3 3" xfId="20421"/>
    <cellStyle name="Normal 3 3 4 3 2 3 3" xfId="20422"/>
    <cellStyle name="Normal 4 2 4 3 2 3 3" xfId="20423"/>
    <cellStyle name="Normal 5 2 4 3 2 3 3" xfId="20424"/>
    <cellStyle name="Normal 7 2 4 3 2 3 3" xfId="20425"/>
    <cellStyle name="Normal 2 4 4 3 2 3 3" xfId="20426"/>
    <cellStyle name="Normal 3 4 4 3 2 3 3" xfId="20427"/>
    <cellStyle name="Normal 4 3 4 3 2 3 3" xfId="20428"/>
    <cellStyle name="Normal 5 3 4 3 2 3 3" xfId="20429"/>
    <cellStyle name="Normal 7 3 4 3 2 3 3" xfId="20430"/>
    <cellStyle name="Normal 2 5 2 3 2 3 3" xfId="20431"/>
    <cellStyle name="Normal 3 5 2 3 2 3 3" xfId="20432"/>
    <cellStyle name="Normal 4 4 2 3 2 3 3" xfId="20433"/>
    <cellStyle name="Normal 5 4 2 3 2 3 3" xfId="20434"/>
    <cellStyle name="Normal 7 4 2 3 2 3 3" xfId="20435"/>
    <cellStyle name="Normal 2 3 2 2 3 2 3 3" xfId="20436"/>
    <cellStyle name="Normal 3 3 2 2 3 2 3 3" xfId="20437"/>
    <cellStyle name="Normal 4 2 2 2 3 2 3 3" xfId="20438"/>
    <cellStyle name="Normal 5 2 2 2 3 2 3 3" xfId="20439"/>
    <cellStyle name="Normal 7 2 2 2 3 2 3 3" xfId="20440"/>
    <cellStyle name="Normal 2 4 2 2 3 2 3 3" xfId="20441"/>
    <cellStyle name="Normal 3 4 2 2 3 2 3 3" xfId="20442"/>
    <cellStyle name="Normal 4 3 2 2 3 2 3 3" xfId="20443"/>
    <cellStyle name="Normal 5 3 2 2 3 2 3 3" xfId="20444"/>
    <cellStyle name="Normal 7 3 2 2 3 2 3 3" xfId="20445"/>
    <cellStyle name="Normal 2 6 2 3 2 3 3" xfId="20446"/>
    <cellStyle name="Normal 3 6 2 3 2 3 3" xfId="20447"/>
    <cellStyle name="Normal 4 5 2 3 2 3 3" xfId="20448"/>
    <cellStyle name="Normal 5 5 2 3 2 3 3" xfId="20449"/>
    <cellStyle name="Normal 7 5 2 3 2 3 3" xfId="20450"/>
    <cellStyle name="Normal 2 3 3 2 3 2 3 3" xfId="20451"/>
    <cellStyle name="Normal 3 3 3 2 3 2 3 3" xfId="20452"/>
    <cellStyle name="Normal 4 2 3 2 3 2 3 3" xfId="20453"/>
    <cellStyle name="Normal 5 2 3 2 3 2 3 3" xfId="20454"/>
    <cellStyle name="Normal 7 2 3 2 3 2 3 3" xfId="20455"/>
    <cellStyle name="Normal 2 4 3 2 3 2 3 3" xfId="20456"/>
    <cellStyle name="Normal 3 4 3 2 3 2 3 3" xfId="20457"/>
    <cellStyle name="Normal 4 3 3 2 3 2 3 3" xfId="20458"/>
    <cellStyle name="Normal 5 3 3 2 3 2 3 3" xfId="20459"/>
    <cellStyle name="Normal 7 3 3 2 3 2 3 3" xfId="20460"/>
    <cellStyle name="Normal 2 8 2 2 3 3" xfId="20461"/>
    <cellStyle name="Normal 3 8 2 2 3 3" xfId="20462"/>
    <cellStyle name="Normal 4 7 2 2 3 3" xfId="20463"/>
    <cellStyle name="Normal 5 7 2 2 3 3" xfId="20464"/>
    <cellStyle name="Normal 7 7 2 2 3 3" xfId="20465"/>
    <cellStyle name="Normal 2 3 5 2 2 3 3" xfId="20466"/>
    <cellStyle name="Normal 3 3 5 2 2 3 3" xfId="20467"/>
    <cellStyle name="Normal 4 2 5 2 2 3 3" xfId="20468"/>
    <cellStyle name="Normal 5 2 5 2 2 3 3" xfId="20469"/>
    <cellStyle name="Normal 7 2 5 2 2 3 3" xfId="20470"/>
    <cellStyle name="Normal 2 4 5 2 2 3 3" xfId="20471"/>
    <cellStyle name="Normal 3 4 5 2 2 3 3" xfId="20472"/>
    <cellStyle name="Normal 4 3 5 2 2 3 3" xfId="20473"/>
    <cellStyle name="Normal 5 3 5 2 2 3 3" xfId="20474"/>
    <cellStyle name="Normal 7 3 5 2 2 3 3" xfId="20475"/>
    <cellStyle name="Normal 2 5 3 2 2 3 3" xfId="20476"/>
    <cellStyle name="Normal 3 5 3 2 2 3 3" xfId="20477"/>
    <cellStyle name="Normal 4 4 3 2 2 3 3" xfId="20478"/>
    <cellStyle name="Normal 5 4 3 2 2 3 3" xfId="20479"/>
    <cellStyle name="Normal 7 4 3 2 2 3 3" xfId="20480"/>
    <cellStyle name="Normal 2 3 2 3 2 2 3 3" xfId="20481"/>
    <cellStyle name="Normal 3 3 2 3 2 2 3 3" xfId="20482"/>
    <cellStyle name="Normal 4 2 2 3 2 2 3 3" xfId="20483"/>
    <cellStyle name="Normal 5 2 2 3 2 2 3 3" xfId="20484"/>
    <cellStyle name="Normal 7 2 2 3 2 2 3 3" xfId="20485"/>
    <cellStyle name="Normal 2 4 2 3 2 2 3 3" xfId="20486"/>
    <cellStyle name="Normal 3 4 2 3 2 2 3 3" xfId="20487"/>
    <cellStyle name="Normal 4 3 2 3 2 2 3 3" xfId="20488"/>
    <cellStyle name="Normal 5 3 2 3 2 2 3 3" xfId="20489"/>
    <cellStyle name="Normal 7 3 2 3 2 2 3 3" xfId="20490"/>
    <cellStyle name="Normal 2 6 3 2 2 3 3" xfId="20491"/>
    <cellStyle name="Normal 3 6 3 2 2 3 3" xfId="20492"/>
    <cellStyle name="Normal 4 5 3 2 2 3 3" xfId="20493"/>
    <cellStyle name="Normal 5 5 3 2 2 3 3" xfId="20494"/>
    <cellStyle name="Normal 7 5 3 2 2 3 3" xfId="20495"/>
    <cellStyle name="Normal 2 3 3 3 2 2 3 3" xfId="20496"/>
    <cellStyle name="Normal 3 3 3 3 2 2 3 3" xfId="20497"/>
    <cellStyle name="Normal 4 2 3 3 2 2 3 3" xfId="20498"/>
    <cellStyle name="Normal 5 2 3 3 2 2 3 3" xfId="20499"/>
    <cellStyle name="Normal 7 2 3 3 2 2 3 3" xfId="20500"/>
    <cellStyle name="Normal 2 4 3 3 2 2 3 3" xfId="20501"/>
    <cellStyle name="Normal 3 4 3 3 2 2 3 3" xfId="20502"/>
    <cellStyle name="Normal 4 3 3 3 2 2 3 3" xfId="20503"/>
    <cellStyle name="Normal 5 3 3 3 2 2 3 3" xfId="20504"/>
    <cellStyle name="Normal 7 3 3 3 2 2 3 3" xfId="20505"/>
    <cellStyle name="Normal 2 7 2 2 2 3 3" xfId="20506"/>
    <cellStyle name="Normal 3 7 2 2 2 3 3" xfId="20507"/>
    <cellStyle name="Normal 4 6 2 2 2 3 3" xfId="20508"/>
    <cellStyle name="Normal 5 6 2 2 2 3 3" xfId="20509"/>
    <cellStyle name="Normal 7 6 2 2 2 3 3" xfId="20510"/>
    <cellStyle name="Normal 2 3 4 2 2 2 3 3" xfId="20511"/>
    <cellStyle name="Normal 3 3 4 2 2 2 3 3" xfId="20512"/>
    <cellStyle name="Normal 4 2 4 2 2 2 3 3" xfId="20513"/>
    <cellStyle name="Normal 5 2 4 2 2 2 3 3" xfId="20514"/>
    <cellStyle name="Normal 7 2 4 2 2 2 3 3" xfId="20515"/>
    <cellStyle name="Normal 2 4 4 2 2 2 3 3" xfId="20516"/>
    <cellStyle name="Normal 3 4 4 2 2 2 3 3" xfId="20517"/>
    <cellStyle name="Normal 4 3 4 2 2 2 3 3" xfId="20518"/>
    <cellStyle name="Normal 5 3 4 2 2 2 3 3" xfId="20519"/>
    <cellStyle name="Normal 7 3 4 2 2 2 3 3" xfId="20520"/>
    <cellStyle name="Normal 2 5 2 2 2 2 3 3" xfId="20521"/>
    <cellStyle name="Normal 3 5 2 2 2 2 3 3" xfId="20522"/>
    <cellStyle name="Normal 4 4 2 2 2 2 3 3" xfId="20523"/>
    <cellStyle name="Normal 5 4 2 2 2 2 3 3" xfId="20524"/>
    <cellStyle name="Normal 7 4 2 2 2 2 3 3" xfId="20525"/>
    <cellStyle name="Normal 2 3 2 2 2 2 2 3 3" xfId="20526"/>
    <cellStyle name="Normal 3 3 2 2 2 2 2 3 3" xfId="20527"/>
    <cellStyle name="Normal 4 2 2 2 2 2 2 3 3" xfId="20528"/>
    <cellStyle name="Normal 5 2 2 2 2 2 2 3 3" xfId="20529"/>
    <cellStyle name="Normal 7 2 2 2 2 2 2 3 3" xfId="20530"/>
    <cellStyle name="Normal 2 4 2 2 2 2 2 3 3" xfId="20531"/>
    <cellStyle name="Normal 3 4 2 2 2 2 2 3 3" xfId="20532"/>
    <cellStyle name="Normal 4 3 2 2 2 2 2 3 3" xfId="20533"/>
    <cellStyle name="Normal 5 3 2 2 2 2 2 3 3" xfId="20534"/>
    <cellStyle name="Normal 7 3 2 2 2 2 2 3 3" xfId="20535"/>
    <cellStyle name="Normal 2 6 2 2 2 2 3 3" xfId="20536"/>
    <cellStyle name="Normal 3 6 2 2 2 2 3 3" xfId="20537"/>
    <cellStyle name="Normal 4 5 2 2 2 2 3 3" xfId="20538"/>
    <cellStyle name="Normal 5 5 2 2 2 2 3 3" xfId="20539"/>
    <cellStyle name="Normal 7 5 2 2 2 2 3 3" xfId="20540"/>
    <cellStyle name="Normal 2 3 3 2 2 2 2 3 3" xfId="20541"/>
    <cellStyle name="Normal 3 3 3 2 2 2 2 3 3" xfId="20542"/>
    <cellStyle name="Normal 4 2 3 2 2 2 2 3 3" xfId="20543"/>
    <cellStyle name="Normal 5 2 3 2 2 2 2 3 3" xfId="20544"/>
    <cellStyle name="Normal 7 2 3 2 2 2 2 3 3" xfId="20545"/>
    <cellStyle name="Normal 2 4 3 2 2 2 2 3 3" xfId="20546"/>
    <cellStyle name="Normal 3 4 3 2 2 2 2 3 3" xfId="20547"/>
    <cellStyle name="Normal 4 3 3 2 2 2 2 3 3" xfId="20548"/>
    <cellStyle name="Normal 5 3 3 2 2 2 2 3 3" xfId="20549"/>
    <cellStyle name="Normal 7 3 3 2 2 2 2 3 3" xfId="20550"/>
    <cellStyle name="Normal 28 2 3 3" xfId="20551"/>
    <cellStyle name="Normal 2 3 7 2 3 3" xfId="20552"/>
    <cellStyle name="Normal 3 10 2 3 3" xfId="20553"/>
    <cellStyle name="Normal 4 9 2 3 3" xfId="20554"/>
    <cellStyle name="Normal 5 9 2 3 3" xfId="20555"/>
    <cellStyle name="Millares 4 2 3 3" xfId="20556"/>
    <cellStyle name="Normal 7 2 7 2 3 3" xfId="20557"/>
    <cellStyle name="Normal 3 3 7 2 3 3" xfId="20558"/>
    <cellStyle name="Normal 4 2 7 2 3 3" xfId="20559"/>
    <cellStyle name="Normal 5 2 7 2 3 3" xfId="20560"/>
    <cellStyle name="Normal 2 4 5 3 2 3 3" xfId="20561"/>
    <cellStyle name="Normal 3 4 7 2 3 3" xfId="20562"/>
    <cellStyle name="Normal 4 3 7 2 3 3" xfId="20563"/>
    <cellStyle name="Normal 5 3 7 2 3 3" xfId="20564"/>
    <cellStyle name="Normal 7 3 7 2 3 3" xfId="20565"/>
    <cellStyle name="Normal 2 5 5 2 3 3" xfId="20566"/>
    <cellStyle name="Normal 3 5 5 2 3 3" xfId="20567"/>
    <cellStyle name="Normal 4 4 5 2 3 3" xfId="20568"/>
    <cellStyle name="Normal 5 4 5 2 3 3" xfId="20569"/>
    <cellStyle name="Normal 7 4 5 2 3 3" xfId="20570"/>
    <cellStyle name="Normal 2 3 2 5 2 3 3" xfId="20571"/>
    <cellStyle name="Normal 3 3 2 5 2 3 3" xfId="20572"/>
    <cellStyle name="Normal 4 2 2 5 2 3 3" xfId="20573"/>
    <cellStyle name="Normal 5 2 2 5 2 3 3" xfId="20574"/>
    <cellStyle name="Normal 7 2 2 5 2 3 3" xfId="20575"/>
    <cellStyle name="Normal 2 4 2 5 2 3 3" xfId="20576"/>
    <cellStyle name="Normal 3 4 2 5 2 3 3" xfId="20577"/>
    <cellStyle name="Normal 4 3 2 5 2 3 3" xfId="20578"/>
    <cellStyle name="Normal 5 3 2 5 2 3 3" xfId="20579"/>
    <cellStyle name="Normal 7 3 2 5 2 3 3" xfId="20580"/>
    <cellStyle name="Normal 2 6 5 2 3 3" xfId="20581"/>
    <cellStyle name="Normal 3 6 5 2 3 3" xfId="20582"/>
    <cellStyle name="Normal 4 5 5 2 3 3" xfId="20583"/>
    <cellStyle name="Normal 5 5 5 2 3 3" xfId="20584"/>
    <cellStyle name="Normal 7 5 5 2 3 3" xfId="20585"/>
    <cellStyle name="Normal 2 3 3 5 2 3 3" xfId="20586"/>
    <cellStyle name="Normal 3 3 3 5 2 3 3" xfId="20587"/>
    <cellStyle name="Normal 4 2 3 5 2 3 3" xfId="20588"/>
    <cellStyle name="Normal 5 2 3 5 2 3 3" xfId="20589"/>
    <cellStyle name="Normal 7 2 3 5 2 3 3" xfId="20590"/>
    <cellStyle name="Normal 2 4 3 5 2 3 3" xfId="20591"/>
    <cellStyle name="Normal 3 4 3 5 2 3 3" xfId="20592"/>
    <cellStyle name="Normal 4 3 3 5 2 3 3" xfId="20593"/>
    <cellStyle name="Normal 5 3 3 5 2 3 3" xfId="20594"/>
    <cellStyle name="Normal 7 3 3 5 2 3 3" xfId="20595"/>
    <cellStyle name="Normal 2 7 4 2 3 3" xfId="20596"/>
    <cellStyle name="Normal 3 7 4 2 3 3" xfId="20597"/>
    <cellStyle name="Normal 4 6 4 2 3 3" xfId="20598"/>
    <cellStyle name="Normal 5 6 4 2 3 3" xfId="20599"/>
    <cellStyle name="Normal 7 6 4 2 3 3" xfId="20600"/>
    <cellStyle name="Normal 2 3 4 4 2 3 3" xfId="20601"/>
    <cellStyle name="Normal 3 3 4 4 2 3 3" xfId="20602"/>
    <cellStyle name="Normal 4 2 4 4 2 3 3" xfId="20603"/>
    <cellStyle name="Normal 5 2 4 4 2 3 3" xfId="20604"/>
    <cellStyle name="Normal 7 2 4 4 2 3 3" xfId="20605"/>
    <cellStyle name="Normal 2 4 4 4 2 3 3" xfId="20606"/>
    <cellStyle name="Normal 3 4 4 4 2 3 3" xfId="20607"/>
    <cellStyle name="Normal 4 3 4 4 2 3 3" xfId="20608"/>
    <cellStyle name="Normal 5 3 4 4 2 3 3" xfId="20609"/>
    <cellStyle name="Normal 7 3 4 4 2 3 3" xfId="20610"/>
    <cellStyle name="Normal 2 5 2 4 2 3 3" xfId="20611"/>
    <cellStyle name="Normal 3 5 2 4 2 3 3" xfId="20612"/>
    <cellStyle name="Normal 4 4 2 4 2 3 3" xfId="20613"/>
    <cellStyle name="Normal 5 4 2 4 2 3 3" xfId="20614"/>
    <cellStyle name="Normal 7 4 2 4 2 3 3" xfId="20615"/>
    <cellStyle name="Normal 2 3 2 2 4 2 3 3" xfId="20616"/>
    <cellStyle name="Normal 3 3 2 2 4 2 3 3" xfId="20617"/>
    <cellStyle name="Normal 4 2 2 2 4 2 3 3" xfId="20618"/>
    <cellStyle name="Normal 5 2 2 2 4 2 3 3" xfId="20619"/>
    <cellStyle name="Normal 7 2 2 2 4 2 3 3" xfId="20620"/>
    <cellStyle name="Normal 2 4 2 2 4 2 3 3" xfId="20621"/>
    <cellStyle name="Normal 3 4 2 2 4 2 3 3" xfId="20622"/>
    <cellStyle name="Normal 4 3 2 2 4 2 3 3" xfId="20623"/>
    <cellStyle name="Normal 5 3 2 2 4 2 3 3" xfId="20624"/>
    <cellStyle name="Normal 7 3 2 2 4 2 3 3" xfId="20625"/>
    <cellStyle name="Normal 2 6 2 4 2 3 3" xfId="20626"/>
    <cellStyle name="Normal 3 6 2 4 2 3 3" xfId="20627"/>
    <cellStyle name="Normal 4 5 2 4 2 3 3" xfId="20628"/>
    <cellStyle name="Normal 5 5 2 4 2 3 3" xfId="20629"/>
    <cellStyle name="Normal 7 5 2 4 2 3 3" xfId="20630"/>
    <cellStyle name="Normal 2 3 3 2 4 2 3 3" xfId="20631"/>
    <cellStyle name="Normal 3 3 3 2 4 2 3 3" xfId="20632"/>
    <cellStyle name="Normal 4 2 3 2 4 2 3 3" xfId="20633"/>
    <cellStyle name="Normal 5 2 3 2 4 2 3 3" xfId="20634"/>
    <cellStyle name="Normal 7 2 3 2 4 2 3 3" xfId="20635"/>
    <cellStyle name="Normal 2 4 3 2 4 2 3 3" xfId="20636"/>
    <cellStyle name="Normal 3 4 3 2 4 2 3 3" xfId="20637"/>
    <cellStyle name="Normal 4 3 3 2 4 2 3 3" xfId="20638"/>
    <cellStyle name="Normal 5 3 3 2 4 2 3 3" xfId="20639"/>
    <cellStyle name="Normal 7 3 3 2 4 2 3 3" xfId="20640"/>
    <cellStyle name="Normal 2 8 3 2 3 3" xfId="20641"/>
    <cellStyle name="Normal 3 8 3 2 3 3" xfId="20642"/>
    <cellStyle name="Normal 4 7 3 2 3 3" xfId="20643"/>
    <cellStyle name="Normal 5 7 3 2 3 3" xfId="20644"/>
    <cellStyle name="Normal 7 7 3 2 3 3" xfId="20645"/>
    <cellStyle name="Normal 2 3 5 3 2 3 3" xfId="20646"/>
    <cellStyle name="Normal 3 3 5 3 2 3 3" xfId="20647"/>
    <cellStyle name="Normal 4 2 5 3 2 3 3" xfId="20648"/>
    <cellStyle name="Normal 5 2 5 3 2 3 3" xfId="20649"/>
    <cellStyle name="Normal 7 2 5 3 2 3 3" xfId="20650"/>
    <cellStyle name="Normal 3 4 5 3 2 3 3" xfId="20651"/>
    <cellStyle name="Normal 4 3 5 3 2 3 3" xfId="20652"/>
    <cellStyle name="Normal 5 3 5 3 2 3 3" xfId="20653"/>
    <cellStyle name="Normal 7 3 5 3 2 3 3" xfId="20654"/>
    <cellStyle name="Normal 2 5 3 3 2 3 3" xfId="20655"/>
    <cellStyle name="Normal 3 5 3 3 2 3 3" xfId="20656"/>
    <cellStyle name="Normal 4 4 3 3 2 3 3" xfId="20657"/>
    <cellStyle name="Normal 5 4 3 3 2 3 3" xfId="20658"/>
    <cellStyle name="Normal 7 4 3 3 2 3 3" xfId="20659"/>
    <cellStyle name="Normal 2 3 2 3 3 2 3 3" xfId="20660"/>
    <cellStyle name="Normal 3 3 2 3 3 2 3 3" xfId="20661"/>
    <cellStyle name="Normal 4 2 2 3 3 2 3 3" xfId="20662"/>
    <cellStyle name="Normal 5 2 2 3 3 2 3 3" xfId="20663"/>
    <cellStyle name="Normal 7 2 2 3 3 2 3 3" xfId="20664"/>
    <cellStyle name="Normal 2 4 2 3 3 2 3 3" xfId="20665"/>
    <cellStyle name="Normal 3 4 2 3 3 2 3 3" xfId="20666"/>
    <cellStyle name="Normal 4 3 2 3 3 2 3 3" xfId="20667"/>
    <cellStyle name="Normal 5 3 2 3 3 2 3 3" xfId="20668"/>
    <cellStyle name="Normal 7 3 2 3 3 2 3 3" xfId="20669"/>
    <cellStyle name="Normal 2 6 3 3 2 3 3" xfId="20670"/>
    <cellStyle name="Normal 3 6 3 3 2 3 3" xfId="20671"/>
    <cellStyle name="Normal 4 5 3 3 2 3 3" xfId="20672"/>
    <cellStyle name="Normal 5 5 3 3 2 3 3" xfId="20673"/>
    <cellStyle name="Normal 7 5 3 3 2 3 3" xfId="20674"/>
    <cellStyle name="Normal 2 3 3 3 3 2 3 3" xfId="20675"/>
    <cellStyle name="Normal 3 3 3 3 3 2 3 3" xfId="20676"/>
    <cellStyle name="Normal 4 2 3 3 3 2 3 3" xfId="20677"/>
    <cellStyle name="Normal 5 2 3 3 3 2 3 3" xfId="20678"/>
    <cellStyle name="Normal 7 2 3 3 3 2 3 3" xfId="20679"/>
    <cellStyle name="Normal 2 4 3 3 3 2 3 3" xfId="20680"/>
    <cellStyle name="Normal 3 4 3 3 3 2 3 3" xfId="20681"/>
    <cellStyle name="Normal 4 3 3 3 3 2 3 3" xfId="20682"/>
    <cellStyle name="Normal 5 3 3 3 3 2 3 3" xfId="20683"/>
    <cellStyle name="Normal 7 3 3 3 3 2 3 3" xfId="20684"/>
    <cellStyle name="Normal 2 7 2 3 2 3 3" xfId="20685"/>
    <cellStyle name="Normal 3 7 2 3 2 3 3" xfId="20686"/>
    <cellStyle name="Normal 4 6 2 3 2 3 3" xfId="20687"/>
    <cellStyle name="Normal 5 6 2 3 2 3 3" xfId="20688"/>
    <cellStyle name="Normal 7 6 2 3 2 3 3" xfId="20689"/>
    <cellStyle name="Normal 2 3 4 2 3 2 3 3" xfId="20690"/>
    <cellStyle name="Normal 3 3 4 2 3 2 3 3" xfId="20691"/>
    <cellStyle name="Normal 4 2 4 2 3 2 3 3" xfId="20692"/>
    <cellStyle name="Normal 5 2 4 2 3 2 3 3" xfId="20693"/>
    <cellStyle name="Normal 7 2 4 2 3 2 3 3" xfId="20694"/>
    <cellStyle name="Normal 2 4 4 2 3 2 3 3" xfId="20695"/>
    <cellStyle name="Normal 3 4 4 2 3 2 3 3" xfId="20696"/>
    <cellStyle name="Normal 4 3 4 2 3 2 3 3" xfId="20697"/>
    <cellStyle name="Normal 5 3 4 2 3 2 3 3" xfId="20698"/>
    <cellStyle name="Normal 7 3 4 2 3 2 3 3" xfId="20699"/>
    <cellStyle name="Normal 2 5 2 2 3 2 3 3" xfId="20700"/>
    <cellStyle name="Normal 3 5 2 2 3 2 3 3" xfId="20701"/>
    <cellStyle name="Normal 4 4 2 2 3 2 3 3" xfId="20702"/>
    <cellStyle name="Normal 5 4 2 2 3 2 3 3" xfId="20703"/>
    <cellStyle name="Normal 7 4 2 2 3 2 3 3" xfId="20704"/>
    <cellStyle name="Normal 2 3 2 2 2 3 2 3 3" xfId="20705"/>
    <cellStyle name="Normal 3 3 2 2 2 3 2 3 3" xfId="20706"/>
    <cellStyle name="Normal 4 2 2 2 2 3 2 3 3" xfId="20707"/>
    <cellStyle name="Normal 5 2 2 2 2 3 2 3 3" xfId="20708"/>
    <cellStyle name="Normal 7 2 2 2 2 3 2 3 3" xfId="20709"/>
    <cellStyle name="Normal 2 4 2 2 2 3 2 3 3" xfId="20710"/>
    <cellStyle name="Normal 3 4 2 2 2 3 2 3 3" xfId="20711"/>
    <cellStyle name="Normal 4 3 2 2 2 3 2 3 3" xfId="20712"/>
    <cellStyle name="Normal 5 3 2 2 2 3 2 3 3" xfId="20713"/>
    <cellStyle name="Normal 7 3 2 2 2 3 2 3 3" xfId="20714"/>
    <cellStyle name="Normal 2 6 2 2 3 2 3 3" xfId="20715"/>
    <cellStyle name="Normal 3 6 2 2 3 2 3 3" xfId="20716"/>
    <cellStyle name="Normal 4 5 2 2 3 2 3 3" xfId="20717"/>
    <cellStyle name="Normal 5 5 2 2 3 2 3 3" xfId="20718"/>
    <cellStyle name="Normal 7 5 2 2 3 2 3 3" xfId="20719"/>
    <cellStyle name="Normal 2 3 3 2 2 3 2 3 3" xfId="20720"/>
    <cellStyle name="Normal 3 3 3 2 2 3 2 3 3" xfId="20721"/>
    <cellStyle name="Normal 4 2 3 2 2 3 2 3 3" xfId="20722"/>
    <cellStyle name="Normal 5 2 3 2 2 3 2 3 3" xfId="20723"/>
    <cellStyle name="Normal 7 2 3 2 2 3 2 3 3" xfId="20724"/>
    <cellStyle name="Normal 2 4 3 2 2 3 2 3 3" xfId="20725"/>
    <cellStyle name="Normal 3 4 3 2 2 3 2 3 3" xfId="20726"/>
    <cellStyle name="Normal 4 3 3 2 2 3 2 3 3" xfId="20727"/>
    <cellStyle name="Normal 5 3 3 2 2 3 2 3 3" xfId="20728"/>
    <cellStyle name="Normal 7 3 3 2 2 3 2 3 3" xfId="20729"/>
    <cellStyle name="Normal 2 12 3 3" xfId="20730"/>
    <cellStyle name="Normal 3 12 3 3" xfId="20731"/>
    <cellStyle name="Normal 4 11 3 3" xfId="20732"/>
    <cellStyle name="Normal 5 11 3 3" xfId="20733"/>
    <cellStyle name="Normal 7 11 3 3" xfId="20734"/>
    <cellStyle name="Normal 2 3 9 3 3" xfId="20735"/>
    <cellStyle name="Normal 3 3 9 3 3" xfId="20736"/>
    <cellStyle name="Normal 4 2 9 3 3" xfId="20737"/>
    <cellStyle name="Normal 5 2 9 3 3" xfId="20738"/>
    <cellStyle name="Normal 7 2 9 3 3" xfId="20739"/>
    <cellStyle name="Normal 2 4 9 3 3" xfId="20740"/>
    <cellStyle name="Normal 3 4 9 3 3" xfId="20741"/>
    <cellStyle name="Normal 4 3 9 3 3" xfId="20742"/>
    <cellStyle name="Normal 5 3 9 3 3" xfId="20743"/>
    <cellStyle name="Normal 7 3 9 3 3" xfId="20744"/>
    <cellStyle name="Normal 2 5 7 3 3" xfId="20745"/>
    <cellStyle name="Normal 3 5 7 3 3" xfId="20746"/>
    <cellStyle name="Normal 4 4 7 3 3" xfId="20747"/>
    <cellStyle name="Normal 5 4 7 3 3" xfId="20748"/>
    <cellStyle name="Normal 7 4 7 3 3" xfId="20749"/>
    <cellStyle name="Normal 2 3 2 7 3 3" xfId="20750"/>
    <cellStyle name="Normal 3 3 2 7 3 3" xfId="20751"/>
    <cellStyle name="Normal 4 2 2 7 3 3" xfId="20752"/>
    <cellStyle name="Normal 5 2 2 7 3 3" xfId="20753"/>
    <cellStyle name="Normal 7 2 2 7 3 3" xfId="20754"/>
    <cellStyle name="Normal 2 4 2 7 3 3" xfId="20755"/>
    <cellStyle name="Normal 3 4 2 7 3 3" xfId="20756"/>
    <cellStyle name="Normal 4 3 2 7 3 3" xfId="20757"/>
    <cellStyle name="Normal 5 3 2 7 3 3" xfId="20758"/>
    <cellStyle name="Normal 7 3 2 7 3 3" xfId="20759"/>
    <cellStyle name="Normal 2 6 7 3 3" xfId="20760"/>
    <cellStyle name="Normal 3 6 7 3 3" xfId="20761"/>
    <cellStyle name="Normal 4 5 7 3 3" xfId="20762"/>
    <cellStyle name="Normal 5 5 7 3 3" xfId="20763"/>
    <cellStyle name="Normal 7 5 7 3 3" xfId="20764"/>
    <cellStyle name="Normal 2 3 3 7 3 3" xfId="20765"/>
    <cellStyle name="Normal 3 3 3 7 3 3" xfId="20766"/>
    <cellStyle name="Normal 4 2 3 7 3 3" xfId="20767"/>
    <cellStyle name="Normal 5 2 3 7 3 3" xfId="20768"/>
    <cellStyle name="Normal 7 2 3 7 3 3" xfId="20769"/>
    <cellStyle name="Normal 2 4 3 7 3 3" xfId="20770"/>
    <cellStyle name="Normal 3 4 3 7 3 3" xfId="20771"/>
    <cellStyle name="Normal 4 3 3 7 3 3" xfId="20772"/>
    <cellStyle name="Normal 5 3 3 7 3 3" xfId="20773"/>
    <cellStyle name="Normal 7 3 3 7 3 3" xfId="20774"/>
    <cellStyle name="Normal 2 7 6 3 3" xfId="20775"/>
    <cellStyle name="Normal 3 7 6 3 3" xfId="20776"/>
    <cellStyle name="Normal 4 6 6 3 3" xfId="20777"/>
    <cellStyle name="Normal 5 6 6 3 3" xfId="20778"/>
    <cellStyle name="Normal 7 6 6 3 3" xfId="20779"/>
    <cellStyle name="Normal 2 3 4 6 3 3" xfId="20780"/>
    <cellStyle name="Normal 3 3 4 6 3 3" xfId="20781"/>
    <cellStyle name="Normal 4 2 4 6 3 3" xfId="20782"/>
    <cellStyle name="Normal 5 2 4 6 3 3" xfId="20783"/>
    <cellStyle name="Normal 7 2 4 6 3 3" xfId="20784"/>
    <cellStyle name="Normal 2 4 4 6 3 3" xfId="20785"/>
    <cellStyle name="Normal 3 4 4 6 3 3" xfId="20786"/>
    <cellStyle name="Normal 4 3 4 6 3 3" xfId="20787"/>
    <cellStyle name="Normal 5 3 4 6 3 3" xfId="20788"/>
    <cellStyle name="Normal 7 3 4 6 3 3" xfId="20789"/>
    <cellStyle name="Normal 2 5 2 6 3 3" xfId="20790"/>
    <cellStyle name="Normal 3 5 2 6 3 3" xfId="20791"/>
    <cellStyle name="Normal 4 4 2 6 3 3" xfId="20792"/>
    <cellStyle name="Normal 5 4 2 6 3 3" xfId="20793"/>
    <cellStyle name="Normal 7 4 2 6 3 3" xfId="20794"/>
    <cellStyle name="Normal 2 3 2 2 6 3 3" xfId="20795"/>
    <cellStyle name="Normal 3 3 2 2 6 3 3" xfId="20796"/>
    <cellStyle name="Normal 4 2 2 2 6 3 3" xfId="20797"/>
    <cellStyle name="Normal 5 2 2 2 6 3 3" xfId="20798"/>
    <cellStyle name="Normal 7 2 2 2 6 3 3" xfId="20799"/>
    <cellStyle name="Normal 2 4 2 2 6 3 3" xfId="20800"/>
    <cellStyle name="Normal 3 4 2 2 6 3 3" xfId="20801"/>
    <cellStyle name="Normal 4 3 2 2 6 3 3" xfId="20802"/>
    <cellStyle name="Normal 5 3 2 2 6 3 3" xfId="20803"/>
    <cellStyle name="Normal 7 3 2 2 6 3 3" xfId="20804"/>
    <cellStyle name="Normal 2 6 2 6 3 3" xfId="20805"/>
    <cellStyle name="Normal 3 6 2 6 3 3" xfId="20806"/>
    <cellStyle name="Normal 4 5 2 6 3 3" xfId="20807"/>
    <cellStyle name="Normal 5 5 2 6 3 3" xfId="20808"/>
    <cellStyle name="Normal 7 5 2 6 3 3" xfId="20809"/>
    <cellStyle name="Normal 2 3 3 2 6 3 3" xfId="20810"/>
    <cellStyle name="Normal 3 3 3 2 6 3 3" xfId="20811"/>
    <cellStyle name="Normal 4 2 3 2 6 3 3" xfId="20812"/>
    <cellStyle name="Normal 5 2 3 2 6 3 3" xfId="20813"/>
    <cellStyle name="Normal 7 2 3 2 6 3 3" xfId="20814"/>
    <cellStyle name="Normal 2 4 3 2 6 3 3" xfId="20815"/>
    <cellStyle name="Normal 3 4 3 2 6 3 3" xfId="20816"/>
    <cellStyle name="Normal 4 3 3 2 6 3 3" xfId="20817"/>
    <cellStyle name="Normal 5 3 3 2 6 3 3" xfId="20818"/>
    <cellStyle name="Normal 7 3 3 2 6 3 3" xfId="20819"/>
    <cellStyle name="Normal 2 8 5 3 3" xfId="20820"/>
    <cellStyle name="Normal 3 8 5 3 3" xfId="20821"/>
    <cellStyle name="Normal 4 7 5 3 3" xfId="20822"/>
    <cellStyle name="Normal 5 7 5 3 3" xfId="20823"/>
    <cellStyle name="Normal 7 7 5 3 3" xfId="20824"/>
    <cellStyle name="Normal 2 3 5 5 3 3" xfId="20825"/>
    <cellStyle name="Normal 3 3 5 5 3 3" xfId="20826"/>
    <cellStyle name="Normal 4 2 5 5 3 3" xfId="20827"/>
    <cellStyle name="Normal 5 2 5 5 3 3" xfId="20828"/>
    <cellStyle name="Normal 7 2 5 5 3 3" xfId="20829"/>
    <cellStyle name="Normal 2 4 5 5 3 3" xfId="20830"/>
    <cellStyle name="Normal 3 4 5 5 3 3" xfId="20831"/>
    <cellStyle name="Normal 4 3 5 5 3 3" xfId="20832"/>
    <cellStyle name="Normal 5 3 5 5 3 3" xfId="20833"/>
    <cellStyle name="Normal 7 3 5 5 3 3" xfId="20834"/>
    <cellStyle name="Normal 2 5 3 5 3 3" xfId="20835"/>
    <cellStyle name="Normal 3 5 3 5 3 3" xfId="20836"/>
    <cellStyle name="Normal 4 4 3 5 3 3" xfId="20837"/>
    <cellStyle name="Normal 5 4 3 5 3 3" xfId="20838"/>
    <cellStyle name="Normal 7 4 3 5 3 3" xfId="20839"/>
    <cellStyle name="Normal 2 3 2 3 5 3 3" xfId="20840"/>
    <cellStyle name="Normal 3 3 2 3 5 3 3" xfId="20841"/>
    <cellStyle name="Normal 4 2 2 3 5 3 3" xfId="20842"/>
    <cellStyle name="Normal 5 2 2 3 5 3 3" xfId="20843"/>
    <cellStyle name="Normal 7 2 2 3 5 3 3" xfId="20844"/>
    <cellStyle name="Normal 2 4 2 3 5 3 3" xfId="20845"/>
    <cellStyle name="Normal 3 4 2 3 5 3 3" xfId="20846"/>
    <cellStyle name="Normal 4 3 2 3 5 3 3" xfId="20847"/>
    <cellStyle name="Normal 5 3 2 3 5 3 3" xfId="20848"/>
    <cellStyle name="Normal 7 3 2 3 5 3 3" xfId="20849"/>
    <cellStyle name="Normal 2 6 3 5 3 3" xfId="20850"/>
    <cellStyle name="Normal 3 6 3 5 3 3" xfId="20851"/>
    <cellStyle name="Normal 4 5 3 5 3 3" xfId="20852"/>
    <cellStyle name="Normal 5 5 3 5 3 3" xfId="20853"/>
    <cellStyle name="Normal 7 5 3 5 3 3" xfId="20854"/>
    <cellStyle name="Normal 2 3 3 3 5 3 3" xfId="20855"/>
    <cellStyle name="Normal 3 3 3 3 5 3 3" xfId="20856"/>
    <cellStyle name="Normal 4 2 3 3 5 3 3" xfId="20857"/>
    <cellStyle name="Normal 5 2 3 3 5 3 3" xfId="20858"/>
    <cellStyle name="Normal 7 2 3 3 5 3 3" xfId="20859"/>
    <cellStyle name="Normal 2 4 3 3 5 3 3" xfId="20860"/>
    <cellStyle name="Normal 3 4 3 3 5 3 3" xfId="20861"/>
    <cellStyle name="Normal 4 3 3 3 5 3 3" xfId="20862"/>
    <cellStyle name="Normal 5 3 3 3 5 3 3" xfId="20863"/>
    <cellStyle name="Normal 7 3 3 3 5 3 3" xfId="20864"/>
    <cellStyle name="Normal 2 7 2 5 3 3" xfId="20865"/>
    <cellStyle name="Normal 3 7 2 5 3 3" xfId="20866"/>
    <cellStyle name="Normal 4 6 2 5 3 3" xfId="20867"/>
    <cellStyle name="Normal 5 6 2 5 3 3" xfId="20868"/>
    <cellStyle name="Normal 7 6 2 5 3 3" xfId="20869"/>
    <cellStyle name="Normal 2 3 4 2 5 3 3" xfId="20870"/>
    <cellStyle name="Normal 3 3 4 2 5 3 3" xfId="20871"/>
    <cellStyle name="Normal 4 2 4 2 5 3 3" xfId="20872"/>
    <cellStyle name="Normal 5 2 4 2 5 3 3" xfId="20873"/>
    <cellStyle name="Normal 7 2 4 2 5 3 3" xfId="20874"/>
    <cellStyle name="Normal 2 4 4 2 5 3 3" xfId="20875"/>
    <cellStyle name="Normal 3 4 4 2 5 3 3" xfId="20876"/>
    <cellStyle name="Normal 4 3 4 2 5 3 3" xfId="20877"/>
    <cellStyle name="Normal 5 3 4 2 5 3 3" xfId="20878"/>
    <cellStyle name="Normal 7 3 4 2 5 3 3" xfId="20879"/>
    <cellStyle name="Normal 2 5 2 2 5 3 3" xfId="20880"/>
    <cellStyle name="Normal 3 5 2 2 5 3 3" xfId="20881"/>
    <cellStyle name="Normal 4 4 2 2 5 3 3" xfId="20882"/>
    <cellStyle name="Normal 5 4 2 2 5 3 3" xfId="20883"/>
    <cellStyle name="Normal 7 4 2 2 5 3 3" xfId="20884"/>
    <cellStyle name="Normal 2 3 2 2 2 5 3 3" xfId="20885"/>
    <cellStyle name="Normal 3 3 2 2 2 5 3 3" xfId="20886"/>
    <cellStyle name="Normal 4 2 2 2 2 5 3 3" xfId="20887"/>
    <cellStyle name="Normal 5 2 2 2 2 5 3 3" xfId="20888"/>
    <cellStyle name="Normal 7 2 2 2 2 5 3 3" xfId="20889"/>
    <cellStyle name="Normal 2 4 2 2 2 5 3 3" xfId="20890"/>
    <cellStyle name="Normal 3 4 2 2 2 5 3 3" xfId="20891"/>
    <cellStyle name="Normal 4 3 2 2 2 5 3 3" xfId="20892"/>
    <cellStyle name="Normal 5 3 2 2 2 5 3 3" xfId="20893"/>
    <cellStyle name="Normal 7 3 2 2 2 5 3 3" xfId="20894"/>
    <cellStyle name="Normal 2 6 2 2 5 3 3" xfId="20895"/>
    <cellStyle name="Normal 3 6 2 2 5 3 3" xfId="20896"/>
    <cellStyle name="Normal 4 5 2 2 5 3 3" xfId="20897"/>
    <cellStyle name="Normal 5 5 2 2 5 3 3" xfId="20898"/>
    <cellStyle name="Normal 7 5 2 2 5 3 3" xfId="20899"/>
    <cellStyle name="Normal 2 3 3 2 2 5 3 3" xfId="20900"/>
    <cellStyle name="Normal 3 3 3 2 2 5 3 3" xfId="20901"/>
    <cellStyle name="Normal 4 2 3 2 2 5 3 3" xfId="20902"/>
    <cellStyle name="Normal 5 2 3 2 2 5 3 3" xfId="20903"/>
    <cellStyle name="Normal 7 2 3 2 2 5 3 3" xfId="20904"/>
    <cellStyle name="Normal 2 4 3 2 2 5 3 3" xfId="20905"/>
    <cellStyle name="Normal 3 4 3 2 2 5 3 3" xfId="20906"/>
    <cellStyle name="Normal 4 3 3 2 2 5 3 3" xfId="20907"/>
    <cellStyle name="Normal 5 3 3 2 2 5 3 3" xfId="20908"/>
    <cellStyle name="Normal 7 3 3 2 2 5 3 3" xfId="20909"/>
    <cellStyle name="Normal 2 9 3 3 3" xfId="20910"/>
    <cellStyle name="Normal 3 9 3 3 3" xfId="20911"/>
    <cellStyle name="Normal 4 8 3 3 3" xfId="20912"/>
    <cellStyle name="Normal 5 8 3 3 3" xfId="20913"/>
    <cellStyle name="Normal 7 8 3 3 3" xfId="20914"/>
    <cellStyle name="Normal 2 3 6 3 3 3" xfId="20915"/>
    <cellStyle name="Normal 3 3 6 3 3 3" xfId="20916"/>
    <cellStyle name="Normal 4 2 6 3 3 3" xfId="20917"/>
    <cellStyle name="Normal 5 2 6 3 3 3" xfId="20918"/>
    <cellStyle name="Normal 7 2 6 3 3 3" xfId="20919"/>
    <cellStyle name="Normal 2 4 6 3 3 3" xfId="20920"/>
    <cellStyle name="Normal 3 4 6 3 3 3" xfId="20921"/>
    <cellStyle name="Normal 4 3 6 3 3 3" xfId="20922"/>
    <cellStyle name="Normal 5 3 6 3 3 3" xfId="20923"/>
    <cellStyle name="Normal 7 3 6 3 3 3" xfId="20924"/>
    <cellStyle name="Normal 2 5 4 3 3 3" xfId="20925"/>
    <cellStyle name="Normal 3 5 4 3 3 3" xfId="20926"/>
    <cellStyle name="Normal 4 4 4 3 3 3" xfId="20927"/>
    <cellStyle name="Normal 5 4 4 3 3 3" xfId="20928"/>
    <cellStyle name="Normal 7 4 4 3 3 3" xfId="20929"/>
    <cellStyle name="Normal 2 3 2 4 3 3 3" xfId="20930"/>
    <cellStyle name="Normal 3 3 2 4 3 3 3" xfId="20931"/>
    <cellStyle name="Normal 4 2 2 4 3 3 3" xfId="20932"/>
    <cellStyle name="Normal 5 2 2 4 3 3 3" xfId="20933"/>
    <cellStyle name="Normal 7 2 2 4 3 3 3" xfId="20934"/>
    <cellStyle name="Normal 2 4 2 4 3 3 3" xfId="20935"/>
    <cellStyle name="Normal 3 4 2 4 3 3 3" xfId="20936"/>
    <cellStyle name="Normal 4 3 2 4 3 3 3" xfId="20937"/>
    <cellStyle name="Normal 5 3 2 4 3 3 3" xfId="20938"/>
    <cellStyle name="Normal 7 3 2 4 3 3 3" xfId="20939"/>
    <cellStyle name="Normal 2 6 4 3 3 3" xfId="20940"/>
    <cellStyle name="Normal 3 6 4 3 3 3" xfId="20941"/>
    <cellStyle name="Normal 4 5 4 3 3 3" xfId="20942"/>
    <cellStyle name="Normal 5 5 4 3 3 3" xfId="20943"/>
    <cellStyle name="Normal 7 5 4 3 3 3" xfId="20944"/>
    <cellStyle name="Normal 2 3 3 4 3 3 3" xfId="20945"/>
    <cellStyle name="Normal 3 3 3 4 3 3 3" xfId="20946"/>
    <cellStyle name="Normal 4 2 3 4 3 3 3" xfId="20947"/>
    <cellStyle name="Normal 5 2 3 4 3 3 3" xfId="20948"/>
    <cellStyle name="Normal 7 2 3 4 3 3 3" xfId="20949"/>
    <cellStyle name="Normal 2 4 3 4 3 3 3" xfId="20950"/>
    <cellStyle name="Normal 3 4 3 4 3 3 3" xfId="20951"/>
    <cellStyle name="Normal 4 3 3 4 3 3 3" xfId="20952"/>
    <cellStyle name="Normal 5 3 3 4 3 3 3" xfId="20953"/>
    <cellStyle name="Normal 7 3 3 4 3 3 3" xfId="20954"/>
    <cellStyle name="Normal 2 7 3 3 3 3" xfId="20955"/>
    <cellStyle name="Normal 3 7 3 3 3 3" xfId="20956"/>
    <cellStyle name="Normal 4 6 3 3 3 3" xfId="20957"/>
    <cellStyle name="Normal 5 6 3 3 3 3" xfId="20958"/>
    <cellStyle name="Normal 7 6 3 3 3 3" xfId="20959"/>
    <cellStyle name="Normal 2 3 4 3 3 3 3" xfId="20960"/>
    <cellStyle name="Normal 3 3 4 3 3 3 3" xfId="20961"/>
    <cellStyle name="Normal 4 2 4 3 3 3 3" xfId="20962"/>
    <cellStyle name="Normal 5 2 4 3 3 3 3" xfId="20963"/>
    <cellStyle name="Normal 7 2 4 3 3 3 3" xfId="20964"/>
    <cellStyle name="Normal 2 4 4 3 3 3 3" xfId="20965"/>
    <cellStyle name="Normal 3 4 4 3 3 3 3" xfId="20966"/>
    <cellStyle name="Normal 4 3 4 3 3 3 3" xfId="20967"/>
    <cellStyle name="Normal 5 3 4 3 3 3 3" xfId="20968"/>
    <cellStyle name="Normal 7 3 4 3 3 3 3" xfId="20969"/>
    <cellStyle name="Normal 2 5 2 3 3 3 3" xfId="20970"/>
    <cellStyle name="Normal 3 5 2 3 3 3 3" xfId="20971"/>
    <cellStyle name="Normal 4 4 2 3 3 3 3" xfId="20972"/>
    <cellStyle name="Normal 5 4 2 3 3 3 3" xfId="20973"/>
    <cellStyle name="Normal 7 4 2 3 3 3 3" xfId="20974"/>
    <cellStyle name="Normal 2 3 2 2 3 3 3 3" xfId="20975"/>
    <cellStyle name="Normal 3 3 2 2 3 3 3 3" xfId="20976"/>
    <cellStyle name="Normal 4 2 2 2 3 3 3 3" xfId="20977"/>
    <cellStyle name="Normal 5 2 2 2 3 3 3 3" xfId="20978"/>
    <cellStyle name="Normal 7 2 2 2 3 3 3 3" xfId="20979"/>
    <cellStyle name="Normal 2 4 2 2 3 3 3 3" xfId="20980"/>
    <cellStyle name="Normal 3 4 2 2 3 3 3 3" xfId="20981"/>
    <cellStyle name="Normal 4 3 2 2 3 3 3 3" xfId="20982"/>
    <cellStyle name="Normal 5 3 2 2 3 3 3 3" xfId="20983"/>
    <cellStyle name="Normal 7 3 2 2 3 3 3 3" xfId="20984"/>
    <cellStyle name="Normal 2 6 2 3 3 3 3" xfId="20985"/>
    <cellStyle name="Normal 3 6 2 3 3 3 3" xfId="20986"/>
    <cellStyle name="Normal 4 5 2 3 3 3 3" xfId="20987"/>
    <cellStyle name="Normal 5 5 2 3 3 3 3" xfId="20988"/>
    <cellStyle name="Normal 7 5 2 3 3 3 3" xfId="20989"/>
    <cellStyle name="Normal 2 3 3 2 3 3 3 3" xfId="20990"/>
    <cellStyle name="Normal 3 3 3 2 3 3 3 3" xfId="20991"/>
    <cellStyle name="Normal 4 2 3 2 3 3 3 3" xfId="20992"/>
    <cellStyle name="Normal 5 2 3 2 3 3 3 3" xfId="20993"/>
    <cellStyle name="Normal 7 2 3 2 3 3 3 3" xfId="20994"/>
    <cellStyle name="Normal 2 4 3 2 3 3 3 3" xfId="20995"/>
    <cellStyle name="Normal 3 4 3 2 3 3 3 3" xfId="20996"/>
    <cellStyle name="Normal 4 3 3 2 3 3 3 3" xfId="20997"/>
    <cellStyle name="Normal 5 3 3 2 3 3 3 3" xfId="20998"/>
    <cellStyle name="Normal 7 3 3 2 3 3 3 3" xfId="20999"/>
    <cellStyle name="Normal 2 8 2 3 3 3" xfId="21000"/>
    <cellStyle name="Normal 3 8 2 3 3 3" xfId="21001"/>
    <cellStyle name="Normal 4 7 2 3 3 3" xfId="21002"/>
    <cellStyle name="Normal 5 7 2 3 3 3" xfId="21003"/>
    <cellStyle name="Normal 7 7 2 3 3 3" xfId="21004"/>
    <cellStyle name="Normal 2 3 5 2 3 3 3" xfId="21005"/>
    <cellStyle name="Normal 3 3 5 2 3 3 3" xfId="21006"/>
    <cellStyle name="Normal 4 2 5 2 3 3 3" xfId="21007"/>
    <cellStyle name="Normal 5 2 5 2 3 3 3" xfId="21008"/>
    <cellStyle name="Normal 7 2 5 2 3 3 3" xfId="21009"/>
    <cellStyle name="Normal 2 4 5 2 3 3 3" xfId="21010"/>
    <cellStyle name="Normal 3 4 5 2 3 3 3" xfId="21011"/>
    <cellStyle name="Normal 4 3 5 2 3 3 3" xfId="21012"/>
    <cellStyle name="Normal 5 3 5 2 3 3 3" xfId="21013"/>
    <cellStyle name="Normal 7 3 5 2 3 3 3" xfId="21014"/>
    <cellStyle name="Normal 2 5 3 2 3 3 3" xfId="21015"/>
    <cellStyle name="Normal 3 5 3 2 3 3 3" xfId="21016"/>
    <cellStyle name="Normal 4 4 3 2 3 3 3" xfId="21017"/>
    <cellStyle name="Normal 5 4 3 2 3 3 3" xfId="21018"/>
    <cellStyle name="Normal 7 4 3 2 3 3 3" xfId="21019"/>
    <cellStyle name="Normal 2 3 2 3 2 3 3 3" xfId="21020"/>
    <cellStyle name="Normal 3 3 2 3 2 3 3 3" xfId="21021"/>
    <cellStyle name="Normal 4 2 2 3 2 3 3 3" xfId="21022"/>
    <cellStyle name="Normal 5 2 2 3 2 3 3 3" xfId="21023"/>
    <cellStyle name="Normal 7 2 2 3 2 3 3 3" xfId="21024"/>
    <cellStyle name="Normal 2 4 2 3 2 3 3 3" xfId="21025"/>
    <cellStyle name="Normal 3 4 2 3 2 3 3 3" xfId="21026"/>
    <cellStyle name="Normal 4 3 2 3 2 3 3 3" xfId="21027"/>
    <cellStyle name="Normal 5 3 2 3 2 3 3 3" xfId="21028"/>
    <cellStyle name="Normal 7 3 2 3 2 3 3 3" xfId="21029"/>
    <cellStyle name="Normal 2 6 3 2 3 3 3" xfId="21030"/>
    <cellStyle name="Normal 3 6 3 2 3 3 3" xfId="21031"/>
    <cellStyle name="Normal 4 5 3 2 3 3 3" xfId="21032"/>
    <cellStyle name="Normal 5 5 3 2 3 3 3" xfId="21033"/>
    <cellStyle name="Normal 7 5 3 2 3 3 3" xfId="21034"/>
    <cellStyle name="Normal 2 3 3 3 2 3 3 3" xfId="21035"/>
    <cellStyle name="Normal 3 3 3 3 2 3 3 3" xfId="21036"/>
    <cellStyle name="Normal 4 2 3 3 2 3 3 3" xfId="21037"/>
    <cellStyle name="Normal 5 2 3 3 2 3 3 3" xfId="21038"/>
    <cellStyle name="Normal 7 2 3 3 2 3 3 3" xfId="21039"/>
    <cellStyle name="Normal 2 4 3 3 2 3 3 3" xfId="21040"/>
    <cellStyle name="Normal 3 4 3 3 2 3 3 3" xfId="21041"/>
    <cellStyle name="Normal 4 3 3 3 2 3 3 3" xfId="21042"/>
    <cellStyle name="Normal 5 3 3 3 2 3 3 3" xfId="21043"/>
    <cellStyle name="Normal 7 3 3 3 2 3 3 3" xfId="21044"/>
    <cellStyle name="Normal 2 7 2 2 3 3 3" xfId="21045"/>
    <cellStyle name="Normal 3 7 2 2 3 3 3" xfId="21046"/>
    <cellStyle name="Normal 4 6 2 2 3 3 3" xfId="21047"/>
    <cellStyle name="Normal 5 6 2 2 3 3 3" xfId="21048"/>
    <cellStyle name="Normal 7 6 2 2 3 3 3" xfId="21049"/>
    <cellStyle name="Normal 2 3 4 2 2 3 3 3" xfId="21050"/>
    <cellStyle name="Normal 3 3 4 2 2 3 3 3" xfId="21051"/>
    <cellStyle name="Normal 4 2 4 2 2 3 3 3" xfId="21052"/>
    <cellStyle name="Normal 5 2 4 2 2 3 3 3" xfId="21053"/>
    <cellStyle name="Normal 7 2 4 2 2 3 3 3" xfId="21054"/>
    <cellStyle name="Normal 2 4 4 2 2 3 3 3" xfId="21055"/>
    <cellStyle name="Normal 3 4 4 2 2 3 3 3" xfId="21056"/>
    <cellStyle name="Normal 4 3 4 2 2 3 3 3" xfId="21057"/>
    <cellStyle name="Normal 5 3 4 2 2 3 3 3" xfId="21058"/>
    <cellStyle name="Normal 7 3 4 2 2 3 3 3" xfId="21059"/>
    <cellStyle name="Normal 2 5 2 2 2 3 3 3" xfId="21060"/>
    <cellStyle name="Normal 3 5 2 2 2 3 3 3" xfId="21061"/>
    <cellStyle name="Normal 4 4 2 2 2 3 3 3" xfId="21062"/>
    <cellStyle name="Normal 5 4 2 2 2 3 3 3" xfId="21063"/>
    <cellStyle name="Normal 7 4 2 2 2 3 3 3" xfId="21064"/>
    <cellStyle name="Normal 2 3 2 2 2 2 3 3 3" xfId="21065"/>
    <cellStyle name="Normal 3 3 2 2 2 2 3 3 3" xfId="21066"/>
    <cellStyle name="Normal 4 2 2 2 2 2 3 3 3" xfId="21067"/>
    <cellStyle name="Normal 5 2 2 2 2 2 3 3 3" xfId="21068"/>
    <cellStyle name="Normal 7 2 2 2 2 2 3 3 3" xfId="21069"/>
    <cellStyle name="Normal 2 4 2 2 2 2 3 3 3" xfId="21070"/>
    <cellStyle name="Normal 3 4 2 2 2 2 3 3 3" xfId="21071"/>
    <cellStyle name="Normal 4 3 2 2 2 2 3 3 3" xfId="21072"/>
    <cellStyle name="Normal 5 3 2 2 2 2 3 3 3" xfId="21073"/>
    <cellStyle name="Normal 7 3 2 2 2 2 3 3 3" xfId="21074"/>
    <cellStyle name="Normal 2 6 2 2 2 3 3 3" xfId="21075"/>
    <cellStyle name="Normal 3 6 2 2 2 3 3 3" xfId="21076"/>
    <cellStyle name="Normal 4 5 2 2 2 3 3 3" xfId="21077"/>
    <cellStyle name="Normal 5 5 2 2 2 3 3 3" xfId="21078"/>
    <cellStyle name="Normal 7 5 2 2 2 3 3 3" xfId="21079"/>
    <cellStyle name="Normal 2 3 3 2 2 2 3 3 3" xfId="21080"/>
    <cellStyle name="Normal 3 3 3 2 2 2 3 3 3" xfId="21081"/>
    <cellStyle name="Normal 4 2 3 2 2 2 3 3 3" xfId="21082"/>
    <cellStyle name="Normal 5 2 3 2 2 2 3 3 3" xfId="21083"/>
    <cellStyle name="Normal 7 2 3 2 2 2 3 3 3" xfId="21084"/>
    <cellStyle name="Normal 2 4 3 2 2 2 3 3 3" xfId="21085"/>
    <cellStyle name="Normal 3 4 3 2 2 2 3 3 3" xfId="21086"/>
    <cellStyle name="Normal 4 3 3 2 2 2 3 3 3" xfId="21087"/>
    <cellStyle name="Normal 5 3 3 2 2 2 3 3 3" xfId="21088"/>
    <cellStyle name="Normal 7 3 3 2 2 2 3 3 3" xfId="21089"/>
    <cellStyle name="Normal 28 3 3 3" xfId="21090"/>
    <cellStyle name="Normal 2 3 7 3 3 3" xfId="21091"/>
    <cellStyle name="Normal 3 10 3 3 3" xfId="21092"/>
    <cellStyle name="Normal 4 9 3 3 3" xfId="21093"/>
    <cellStyle name="Normal 5 9 3 3 3" xfId="21094"/>
    <cellStyle name="Millares 4 3 3 3" xfId="21095"/>
    <cellStyle name="Normal 7 2 7 3 3 3" xfId="21096"/>
    <cellStyle name="Normal 3 3 7 3 3 3" xfId="21097"/>
    <cellStyle name="Normal 4 2 7 3 3 3" xfId="21098"/>
    <cellStyle name="Normal 5 2 7 3 3 3" xfId="21099"/>
    <cellStyle name="Normal 2 4 5 3 3 3 3" xfId="21100"/>
    <cellStyle name="Normal 3 4 7 3 3 3" xfId="21101"/>
    <cellStyle name="Normal 4 3 7 3 3 3" xfId="21102"/>
    <cellStyle name="Normal 5 3 7 3 3 3" xfId="21103"/>
    <cellStyle name="Normal 7 3 7 3 3 3" xfId="21104"/>
    <cellStyle name="Normal 2 5 5 3 3 3" xfId="21105"/>
    <cellStyle name="Normal 3 5 5 3 3 3" xfId="21106"/>
    <cellStyle name="Normal 4 4 5 3 3 3" xfId="21107"/>
    <cellStyle name="Normal 5 4 5 3 3 3" xfId="21108"/>
    <cellStyle name="Normal 7 4 5 3 3 3" xfId="21109"/>
    <cellStyle name="Normal 2 3 2 5 3 3 3" xfId="21110"/>
    <cellStyle name="Normal 3 3 2 5 3 3 3" xfId="21111"/>
    <cellStyle name="Normal 4 2 2 5 3 3 3" xfId="21112"/>
    <cellStyle name="Normal 5 2 2 5 3 3 3" xfId="21113"/>
    <cellStyle name="Normal 7 2 2 5 3 3 3" xfId="21114"/>
    <cellStyle name="Normal 2 4 2 5 3 3 3" xfId="21115"/>
    <cellStyle name="Normal 3 4 2 5 3 3 3" xfId="21116"/>
    <cellStyle name="Normal 4 3 2 5 3 3 3" xfId="21117"/>
    <cellStyle name="Normal 5 3 2 5 3 3 3" xfId="21118"/>
    <cellStyle name="Normal 7 3 2 5 3 3 3" xfId="21119"/>
    <cellStyle name="Normal 2 6 5 3 3 3" xfId="21120"/>
    <cellStyle name="Normal 3 6 5 3 3 3" xfId="21121"/>
    <cellStyle name="Normal 4 5 5 3 3 3" xfId="21122"/>
    <cellStyle name="Normal 5 5 5 3 3 3" xfId="21123"/>
    <cellStyle name="Normal 7 5 5 3 3 3" xfId="21124"/>
    <cellStyle name="Normal 2 3 3 5 3 3 3" xfId="21125"/>
    <cellStyle name="Normal 3 3 3 5 3 3 3" xfId="21126"/>
    <cellStyle name="Normal 4 2 3 5 3 3 3" xfId="21127"/>
    <cellStyle name="Normal 5 2 3 5 3 3 3" xfId="21128"/>
    <cellStyle name="Normal 7 2 3 5 3 3 3" xfId="21129"/>
    <cellStyle name="Normal 2 4 3 5 3 3 3" xfId="21130"/>
    <cellStyle name="Normal 3 4 3 5 3 3 3" xfId="21131"/>
    <cellStyle name="Normal 4 3 3 5 3 3 3" xfId="21132"/>
    <cellStyle name="Normal 5 3 3 5 3 3 3" xfId="21133"/>
    <cellStyle name="Normal 7 3 3 5 3 3 3" xfId="21134"/>
    <cellStyle name="Normal 2 7 4 3 3 3" xfId="21135"/>
    <cellStyle name="Normal 3 7 4 3 3 3" xfId="21136"/>
    <cellStyle name="Normal 4 6 4 3 3 3" xfId="21137"/>
    <cellStyle name="Normal 5 6 4 3 3 3" xfId="21138"/>
    <cellStyle name="Normal 7 6 4 3 3 3" xfId="21139"/>
    <cellStyle name="Normal 2 3 4 4 3 3 3" xfId="21140"/>
    <cellStyle name="Normal 3 3 4 4 3 3 3" xfId="21141"/>
    <cellStyle name="Normal 4 2 4 4 3 3 3" xfId="21142"/>
    <cellStyle name="Normal 5 2 4 4 3 3 3" xfId="21143"/>
    <cellStyle name="Normal 7 2 4 4 3 3 3" xfId="21144"/>
    <cellStyle name="Normal 2 4 4 4 3 3 3" xfId="21145"/>
    <cellStyle name="Normal 3 4 4 4 3 3 3" xfId="21146"/>
    <cellStyle name="Normal 4 3 4 4 3 3 3" xfId="21147"/>
    <cellStyle name="Normal 5 3 4 4 3 3 3" xfId="21148"/>
    <cellStyle name="Normal 7 3 4 4 3 3 3" xfId="21149"/>
    <cellStyle name="Normal 2 5 2 4 3 3 3" xfId="21150"/>
    <cellStyle name="Normal 3 5 2 4 3 3 3" xfId="21151"/>
    <cellStyle name="Normal 4 4 2 4 3 3 3" xfId="21152"/>
    <cellStyle name="Normal 5 4 2 4 3 3 3" xfId="21153"/>
    <cellStyle name="Normal 7 4 2 4 3 3 3" xfId="21154"/>
    <cellStyle name="Normal 2 3 2 2 4 3 3 3" xfId="21155"/>
    <cellStyle name="Normal 3 3 2 2 4 3 3 3" xfId="21156"/>
    <cellStyle name="Normal 4 2 2 2 4 3 3 3" xfId="21157"/>
    <cellStyle name="Normal 5 2 2 2 4 3 3 3" xfId="21158"/>
    <cellStyle name="Normal 7 2 2 2 4 3 3 3" xfId="21159"/>
    <cellStyle name="Normal 2 4 2 2 4 3 3 3" xfId="21160"/>
    <cellStyle name="Normal 3 4 2 2 4 3 3 3" xfId="21161"/>
    <cellStyle name="Normal 4 3 2 2 4 3 3 3" xfId="21162"/>
    <cellStyle name="Normal 5 3 2 2 4 3 3 3" xfId="21163"/>
    <cellStyle name="Normal 7 3 2 2 4 3 3 3" xfId="21164"/>
    <cellStyle name="Normal 2 6 2 4 3 3 3" xfId="21165"/>
    <cellStyle name="Normal 3 6 2 4 3 3 3" xfId="21166"/>
    <cellStyle name="Normal 4 5 2 4 3 3 3" xfId="21167"/>
    <cellStyle name="Normal 5 5 2 4 3 3 3" xfId="21168"/>
    <cellStyle name="Normal 7 5 2 4 3 3 3" xfId="21169"/>
    <cellStyle name="Normal 2 3 3 2 4 3 3 3" xfId="21170"/>
    <cellStyle name="Normal 3 3 3 2 4 3 3 3" xfId="21171"/>
    <cellStyle name="Normal 4 2 3 2 4 3 3 3" xfId="21172"/>
    <cellStyle name="Normal 5 2 3 2 4 3 3 3" xfId="21173"/>
    <cellStyle name="Normal 7 2 3 2 4 3 3 3" xfId="21174"/>
    <cellStyle name="Normal 2 4 3 2 4 3 3 3" xfId="21175"/>
    <cellStyle name="Normal 3 4 3 2 4 3 3 3" xfId="21176"/>
    <cellStyle name="Normal 4 3 3 2 4 3 3 3" xfId="21177"/>
    <cellStyle name="Normal 5 3 3 2 4 3 3 3" xfId="21178"/>
    <cellStyle name="Normal 7 3 3 2 4 3 3 3" xfId="21179"/>
    <cellStyle name="Normal 2 8 3 3 3 3" xfId="21180"/>
    <cellStyle name="Normal 3 8 3 3 3 3" xfId="21181"/>
    <cellStyle name="Normal 4 7 3 3 3 3" xfId="21182"/>
    <cellStyle name="Normal 5 7 3 3 3 3" xfId="21183"/>
    <cellStyle name="Normal 7 7 3 3 3 3" xfId="21184"/>
    <cellStyle name="Normal 2 3 5 3 3 3 3" xfId="21185"/>
    <cellStyle name="Normal 3 3 5 3 3 3 3" xfId="21186"/>
    <cellStyle name="Normal 4 2 5 3 3 3 3" xfId="21187"/>
    <cellStyle name="Normal 5 2 5 3 3 3 3" xfId="21188"/>
    <cellStyle name="Normal 7 2 5 3 3 3 3" xfId="21189"/>
    <cellStyle name="Normal 3 4 5 3 3 3 3" xfId="21190"/>
    <cellStyle name="Normal 4 3 5 3 3 3 3" xfId="21191"/>
    <cellStyle name="Normal 5 3 5 3 3 3 3" xfId="21192"/>
    <cellStyle name="Normal 7 3 5 3 3 3 3" xfId="21193"/>
    <cellStyle name="Normal 2 5 3 3 3 3 3" xfId="21194"/>
    <cellStyle name="Normal 3 5 3 3 3 3 3" xfId="21195"/>
    <cellStyle name="Normal 4 4 3 3 3 3 3" xfId="21196"/>
    <cellStyle name="Normal 5 4 3 3 3 3 3" xfId="21197"/>
    <cellStyle name="Normal 7 4 3 3 3 3 3" xfId="21198"/>
    <cellStyle name="Normal 2 3 2 3 3 3 3 3" xfId="21199"/>
    <cellStyle name="Normal 3 3 2 3 3 3 3 3" xfId="21200"/>
    <cellStyle name="Normal 4 2 2 3 3 3 3 3" xfId="21201"/>
    <cellStyle name="Normal 5 2 2 3 3 3 3 3" xfId="21202"/>
    <cellStyle name="Normal 7 2 2 3 3 3 3 3" xfId="21203"/>
    <cellStyle name="Normal 2 4 2 3 3 3 3 3" xfId="21204"/>
    <cellStyle name="Normal 3 4 2 3 3 3 3 3" xfId="21205"/>
    <cellStyle name="Normal 4 3 2 3 3 3 3 3" xfId="21206"/>
    <cellStyle name="Normal 5 3 2 3 3 3 3 3" xfId="21207"/>
    <cellStyle name="Normal 7 3 2 3 3 3 3 3" xfId="21208"/>
    <cellStyle name="Normal 2 6 3 3 3 3 3" xfId="21209"/>
    <cellStyle name="Normal 3 6 3 3 3 3 3" xfId="21210"/>
    <cellStyle name="Normal 4 5 3 3 3 3 3" xfId="21211"/>
    <cellStyle name="Normal 5 5 3 3 3 3 3" xfId="21212"/>
    <cellStyle name="Normal 7 5 3 3 3 3 3" xfId="21213"/>
    <cellStyle name="Normal 2 3 3 3 3 3 3 3" xfId="21214"/>
    <cellStyle name="Normal 3 3 3 3 3 3 3 3" xfId="21215"/>
    <cellStyle name="Normal 4 2 3 3 3 3 3 3" xfId="21216"/>
    <cellStyle name="Normal 5 2 3 3 3 3 3 3" xfId="21217"/>
    <cellStyle name="Normal 7 2 3 3 3 3 3 3" xfId="21218"/>
    <cellStyle name="Normal 2 4 3 3 3 3 3 3" xfId="21219"/>
    <cellStyle name="Normal 3 4 3 3 3 3 3 3" xfId="21220"/>
    <cellStyle name="Normal 4 3 3 3 3 3 3 3" xfId="21221"/>
    <cellStyle name="Normal 5 3 3 3 3 3 3 3" xfId="21222"/>
    <cellStyle name="Normal 7 3 3 3 3 3 3 3" xfId="21223"/>
    <cellStyle name="Normal 2 7 2 3 3 3 3" xfId="21224"/>
    <cellStyle name="Normal 3 7 2 3 3 3 3" xfId="21225"/>
    <cellStyle name="Normal 4 6 2 3 3 3 3" xfId="21226"/>
    <cellStyle name="Normal 5 6 2 3 3 3 3" xfId="21227"/>
    <cellStyle name="Normal 7 6 2 3 3 3 3" xfId="21228"/>
    <cellStyle name="Normal 2 3 4 2 3 3 3 3" xfId="21229"/>
    <cellStyle name="Normal 3 3 4 2 3 3 3 3" xfId="21230"/>
    <cellStyle name="Normal 4 2 4 2 3 3 3 3" xfId="21231"/>
    <cellStyle name="Normal 5 2 4 2 3 3 3 3" xfId="21232"/>
    <cellStyle name="Normal 7 2 4 2 3 3 3 3" xfId="21233"/>
    <cellStyle name="Normal 2 4 4 2 3 3 3 3" xfId="21234"/>
    <cellStyle name="Normal 3 4 4 2 3 3 3 3" xfId="21235"/>
    <cellStyle name="Normal 4 3 4 2 3 3 3 3" xfId="21236"/>
    <cellStyle name="Normal 5 3 4 2 3 3 3 3" xfId="21237"/>
    <cellStyle name="Normal 7 3 4 2 3 3 3 3" xfId="21238"/>
    <cellStyle name="Normal 2 5 2 2 3 3 3 3" xfId="21239"/>
    <cellStyle name="Normal 3 5 2 2 3 3 3 3" xfId="21240"/>
    <cellStyle name="Normal 4 4 2 2 3 3 3 3" xfId="21241"/>
    <cellStyle name="Normal 5 4 2 2 3 3 3 3" xfId="21242"/>
    <cellStyle name="Normal 7 4 2 2 3 3 3 3" xfId="21243"/>
    <cellStyle name="Normal 2 3 2 2 2 3 3 3 3" xfId="21244"/>
    <cellStyle name="Normal 3 3 2 2 2 3 3 3 3" xfId="21245"/>
    <cellStyle name="Normal 4 2 2 2 2 3 3 3 3" xfId="21246"/>
    <cellStyle name="Normal 5 2 2 2 2 3 3 3 3" xfId="21247"/>
    <cellStyle name="Normal 7 2 2 2 2 3 3 3 3" xfId="21248"/>
    <cellStyle name="Normal 2 4 2 2 2 3 3 3 3" xfId="21249"/>
    <cellStyle name="Normal 3 4 2 2 2 3 3 3 3" xfId="21250"/>
    <cellStyle name="Normal 4 3 2 2 2 3 3 3 3" xfId="21251"/>
    <cellStyle name="Normal 5 3 2 2 2 3 3 3 3" xfId="21252"/>
    <cellStyle name="Normal 7 3 2 2 2 3 3 3 3" xfId="21253"/>
    <cellStyle name="Normal 2 6 2 2 3 3 3 3" xfId="21254"/>
    <cellStyle name="Normal 3 6 2 2 3 3 3 3" xfId="21255"/>
    <cellStyle name="Normal 4 5 2 2 3 3 3 3" xfId="21256"/>
    <cellStyle name="Normal 5 5 2 2 3 3 3 3" xfId="21257"/>
    <cellStyle name="Normal 7 5 2 2 3 3 3 3" xfId="21258"/>
    <cellStyle name="Normal 2 3 3 2 2 3 3 3 3" xfId="21259"/>
    <cellStyle name="Normal 3 3 3 2 2 3 3 3 3" xfId="21260"/>
    <cellStyle name="Normal 4 2 3 2 2 3 3 3 3" xfId="21261"/>
    <cellStyle name="Normal 5 2 3 2 2 3 3 3 3" xfId="21262"/>
    <cellStyle name="Normal 7 2 3 2 2 3 3 3 3" xfId="21263"/>
    <cellStyle name="Normal 2 4 3 2 2 3 3 3 3" xfId="21264"/>
    <cellStyle name="Normal 3 4 3 2 2 3 3 3 3" xfId="21265"/>
    <cellStyle name="Normal 4 3 3 2 2 3 3 3 3" xfId="21266"/>
    <cellStyle name="Normal 5 3 3 2 2 3 3 3 3" xfId="21267"/>
    <cellStyle name="Normal 7 3 3 2 2 3 3 3 3" xfId="21268"/>
    <cellStyle name="Normal 2 13 2 3" xfId="21269"/>
    <cellStyle name="Normal 3 13 2 3" xfId="21270"/>
    <cellStyle name="Normal 4 12 2 3" xfId="21271"/>
    <cellStyle name="Normal 5 12 2 3" xfId="21272"/>
    <cellStyle name="Normal 7 12 2 3" xfId="21273"/>
    <cellStyle name="Normal 2 3 10 2 3" xfId="21274"/>
    <cellStyle name="Normal 3 3 10 2 3" xfId="21275"/>
    <cellStyle name="Normal 4 2 10 2 3" xfId="21276"/>
    <cellStyle name="Normal 5 2 10 2 3" xfId="21277"/>
    <cellStyle name="Normal 7 2 10 2 3" xfId="21278"/>
    <cellStyle name="Normal 2 4 10 2 3" xfId="21279"/>
    <cellStyle name="Normal 3 4 10 2 3" xfId="21280"/>
    <cellStyle name="Normal 4 3 10 2 3" xfId="21281"/>
    <cellStyle name="Normal 5 3 10 2 3" xfId="21282"/>
    <cellStyle name="Normal 7 3 10 2 3" xfId="21283"/>
    <cellStyle name="Normal 2 5 8 2 3" xfId="21284"/>
    <cellStyle name="Normal 3 5 8 2 3" xfId="21285"/>
    <cellStyle name="Normal 4 4 8 2 3" xfId="21286"/>
    <cellStyle name="Normal 5 4 8 2 3" xfId="21287"/>
    <cellStyle name="Normal 7 4 8 2 3" xfId="21288"/>
    <cellStyle name="Normal 2 3 2 8 2 3" xfId="21289"/>
    <cellStyle name="Normal 3 3 2 8 2 3" xfId="21290"/>
    <cellStyle name="Normal 4 2 2 8 2 3" xfId="21291"/>
    <cellStyle name="Normal 5 2 2 8 2 3" xfId="21292"/>
    <cellStyle name="Normal 7 2 2 8 2 3" xfId="21293"/>
    <cellStyle name="Normal 2 4 2 8 2 3" xfId="21294"/>
    <cellStyle name="Normal 3 4 2 8 2 3" xfId="21295"/>
    <cellStyle name="Normal 4 3 2 8 2 3" xfId="21296"/>
    <cellStyle name="Normal 5 3 2 8 2 3" xfId="21297"/>
    <cellStyle name="Normal 7 3 2 8 2 3" xfId="21298"/>
    <cellStyle name="Normal 2 6 8 2 3" xfId="21299"/>
    <cellStyle name="Normal 3 6 8 2 3" xfId="21300"/>
    <cellStyle name="Normal 4 5 8 2 3" xfId="21301"/>
    <cellStyle name="Normal 5 5 8 2 3" xfId="21302"/>
    <cellStyle name="Normal 7 5 8 2 3" xfId="21303"/>
    <cellStyle name="Normal 2 3 3 8 2 3" xfId="21304"/>
    <cellStyle name="Normal 3 3 3 8 2 3" xfId="21305"/>
    <cellStyle name="Normal 4 2 3 8 2 3" xfId="21306"/>
    <cellStyle name="Normal 5 2 3 8 2 3" xfId="21307"/>
    <cellStyle name="Normal 7 2 3 8 2 3" xfId="21308"/>
    <cellStyle name="Normal 2 4 3 8 2 3" xfId="21309"/>
    <cellStyle name="Normal 3 4 3 8 2 3" xfId="21310"/>
    <cellStyle name="Normal 4 3 3 8 2 3" xfId="21311"/>
    <cellStyle name="Normal 5 3 3 8 2 3" xfId="21312"/>
    <cellStyle name="Normal 7 3 3 8 2 3" xfId="21313"/>
    <cellStyle name="Normal 2 7 7 2 3" xfId="21314"/>
    <cellStyle name="Normal 3 7 7 2 3" xfId="21315"/>
    <cellStyle name="Normal 4 6 7 2 3" xfId="21316"/>
    <cellStyle name="Normal 5 6 7 2 3" xfId="21317"/>
    <cellStyle name="Normal 7 6 7 2 3" xfId="21318"/>
    <cellStyle name="Normal 2 3 4 7 2 3" xfId="21319"/>
    <cellStyle name="Normal 3 3 4 7 2 3" xfId="21320"/>
    <cellStyle name="Normal 4 2 4 7 2 3" xfId="21321"/>
    <cellStyle name="Normal 5 2 4 7 2 3" xfId="21322"/>
    <cellStyle name="Normal 7 2 4 7 2 3" xfId="21323"/>
    <cellStyle name="Normal 2 4 4 7 2 3" xfId="21324"/>
    <cellStyle name="Normal 3 4 4 7 2 3" xfId="21325"/>
    <cellStyle name="Normal 4 3 4 7 2 3" xfId="21326"/>
    <cellStyle name="Normal 5 3 4 7 2 3" xfId="21327"/>
    <cellStyle name="Normal 7 3 4 7 2 3" xfId="21328"/>
    <cellStyle name="Normal 2 5 2 7 2 3" xfId="21329"/>
    <cellStyle name="Normal 3 5 2 7 2 3" xfId="21330"/>
    <cellStyle name="Normal 4 4 2 7 2 3" xfId="21331"/>
    <cellStyle name="Normal 5 4 2 7 2 3" xfId="21332"/>
    <cellStyle name="Normal 7 4 2 7 2 3" xfId="21333"/>
    <cellStyle name="Normal 2 3 2 2 7 2 3" xfId="21334"/>
    <cellStyle name="Normal 3 3 2 2 7 2 3" xfId="21335"/>
    <cellStyle name="Normal 4 2 2 2 7 2 3" xfId="21336"/>
    <cellStyle name="Normal 5 2 2 2 7 2 3" xfId="21337"/>
    <cellStyle name="Normal 7 2 2 2 7 2 3" xfId="21338"/>
    <cellStyle name="Normal 2 4 2 2 7 2 3" xfId="21339"/>
    <cellStyle name="Normal 3 4 2 2 7 2 3" xfId="21340"/>
    <cellStyle name="Normal 4 3 2 2 7 2 3" xfId="21341"/>
    <cellStyle name="Normal 5 3 2 2 7 2 3" xfId="21342"/>
    <cellStyle name="Normal 7 3 2 2 7 2 3" xfId="21343"/>
    <cellStyle name="Normal 2 6 2 7 2 3" xfId="21344"/>
    <cellStyle name="Normal 3 6 2 7 2 3" xfId="21345"/>
    <cellStyle name="Normal 4 5 2 7 2 3" xfId="21346"/>
    <cellStyle name="Normal 5 5 2 7 2 3" xfId="21347"/>
    <cellStyle name="Normal 7 5 2 7 2 3" xfId="21348"/>
    <cellStyle name="Normal 2 3 3 2 7 2 3" xfId="21349"/>
    <cellStyle name="Normal 3 3 3 2 7 2 3" xfId="21350"/>
    <cellStyle name="Normal 4 2 3 2 7 2 3" xfId="21351"/>
    <cellStyle name="Normal 5 2 3 2 7 2 3" xfId="21352"/>
    <cellStyle name="Normal 7 2 3 2 7 2 3" xfId="21353"/>
    <cellStyle name="Normal 2 4 3 2 7 2 3" xfId="21354"/>
    <cellStyle name="Normal 3 4 3 2 7 2 3" xfId="21355"/>
    <cellStyle name="Normal 4 3 3 2 7 2 3" xfId="21356"/>
    <cellStyle name="Normal 5 3 3 2 7 2 3" xfId="21357"/>
    <cellStyle name="Normal 7 3 3 2 7 2 3" xfId="21358"/>
    <cellStyle name="Normal 2 8 6 2 3" xfId="21359"/>
    <cellStyle name="Normal 3 8 6 2 3" xfId="21360"/>
    <cellStyle name="Normal 4 7 6 2 3" xfId="21361"/>
    <cellStyle name="Normal 5 7 6 2 3" xfId="21362"/>
    <cellStyle name="Normal 7 7 6 2 3" xfId="21363"/>
    <cellStyle name="Normal 2 3 5 6 2 3" xfId="21364"/>
    <cellStyle name="Normal 3 3 5 6 2 3" xfId="21365"/>
    <cellStyle name="Normal 4 2 5 6 2 3" xfId="21366"/>
    <cellStyle name="Normal 5 2 5 6 2 3" xfId="21367"/>
    <cellStyle name="Normal 7 2 5 6 2 3" xfId="21368"/>
    <cellStyle name="Normal 2 4 5 6 2 3" xfId="21369"/>
    <cellStyle name="Normal 3 4 5 6 2 3" xfId="21370"/>
    <cellStyle name="Normal 4 3 5 6 2 3" xfId="21371"/>
    <cellStyle name="Normal 5 3 5 6 2 3" xfId="21372"/>
    <cellStyle name="Normal 7 3 5 6 2 3" xfId="21373"/>
    <cellStyle name="Normal 2 5 3 6 2 3" xfId="21374"/>
    <cellStyle name="Normal 3 5 3 6 2 3" xfId="21375"/>
    <cellStyle name="Normal 4 4 3 6 2 3" xfId="21376"/>
    <cellStyle name="Normal 5 4 3 6 2 3" xfId="21377"/>
    <cellStyle name="Normal 7 4 3 6 2 3" xfId="21378"/>
    <cellStyle name="Normal 2 3 2 3 6 2 3" xfId="21379"/>
    <cellStyle name="Normal 3 3 2 3 6 2 3" xfId="21380"/>
    <cellStyle name="Normal 4 2 2 3 6 2 3" xfId="21381"/>
    <cellStyle name="Normal 5 2 2 3 6 2 3" xfId="21382"/>
    <cellStyle name="Normal 7 2 2 3 6 2 3" xfId="21383"/>
    <cellStyle name="Normal 2 4 2 3 6 2 3" xfId="21384"/>
    <cellStyle name="Normal 3 4 2 3 6 2 3" xfId="21385"/>
    <cellStyle name="Normal 4 3 2 3 6 2 3" xfId="21386"/>
    <cellStyle name="Normal 5 3 2 3 6 2 3" xfId="21387"/>
    <cellStyle name="Normal 7 3 2 3 6 2 3" xfId="21388"/>
    <cellStyle name="Normal 2 6 3 6 2 3" xfId="21389"/>
    <cellStyle name="Normal 3 6 3 6 2 3" xfId="21390"/>
    <cellStyle name="Normal 4 5 3 6 2 3" xfId="21391"/>
    <cellStyle name="Normal 5 5 3 6 2 3" xfId="21392"/>
    <cellStyle name="Normal 7 5 3 6 2 3" xfId="21393"/>
    <cellStyle name="Normal 2 3 3 3 6 2 3" xfId="21394"/>
    <cellStyle name="Normal 3 3 3 3 6 2 3" xfId="21395"/>
    <cellStyle name="Normal 4 2 3 3 6 2 3" xfId="21396"/>
    <cellStyle name="Normal 5 2 3 3 6 2 3" xfId="21397"/>
    <cellStyle name="Normal 7 2 3 3 6 2 3" xfId="21398"/>
    <cellStyle name="Normal 2 4 3 3 6 2 3" xfId="21399"/>
    <cellStyle name="Normal 3 4 3 3 6 2 3" xfId="21400"/>
    <cellStyle name="Normal 4 3 3 3 6 2 3" xfId="21401"/>
    <cellStyle name="Normal 5 3 3 3 6 2 3" xfId="21402"/>
    <cellStyle name="Normal 7 3 3 3 6 2 3" xfId="21403"/>
    <cellStyle name="Normal 2 7 2 6 2 3" xfId="21404"/>
    <cellStyle name="Normal 3 7 2 6 2 3" xfId="21405"/>
    <cellStyle name="Normal 4 6 2 6 2 3" xfId="21406"/>
    <cellStyle name="Normal 5 6 2 6 2 3" xfId="21407"/>
    <cellStyle name="Normal 7 6 2 6 2 3" xfId="21408"/>
    <cellStyle name="Normal 2 3 4 2 6 2 3" xfId="21409"/>
    <cellStyle name="Normal 3 3 4 2 6 2 3" xfId="21410"/>
    <cellStyle name="Normal 4 2 4 2 6 2 3" xfId="21411"/>
    <cellStyle name="Normal 5 2 4 2 6 2 3" xfId="21412"/>
    <cellStyle name="Normal 7 2 4 2 6 2 3" xfId="21413"/>
    <cellStyle name="Normal 2 4 4 2 6 2 3" xfId="21414"/>
    <cellStyle name="Normal 3 4 4 2 6 2 3" xfId="21415"/>
    <cellStyle name="Normal 4 3 4 2 6 2 3" xfId="21416"/>
    <cellStyle name="Normal 5 3 4 2 6 2 3" xfId="21417"/>
    <cellStyle name="Normal 7 3 4 2 6 2 3" xfId="21418"/>
    <cellStyle name="Normal 2 5 2 2 6 2 3" xfId="21419"/>
    <cellStyle name="Normal 3 5 2 2 6 2 3" xfId="21420"/>
    <cellStyle name="Normal 4 4 2 2 6 2 3" xfId="21421"/>
    <cellStyle name="Normal 5 4 2 2 6 2 3" xfId="21422"/>
    <cellStyle name="Normal 7 4 2 2 6 2 3" xfId="21423"/>
    <cellStyle name="Normal 2 3 2 2 2 6 2 3" xfId="21424"/>
    <cellStyle name="Normal 3 3 2 2 2 6 2 3" xfId="21425"/>
    <cellStyle name="Normal 4 2 2 2 2 6 2 3" xfId="21426"/>
    <cellStyle name="Normal 5 2 2 2 2 6 2 3" xfId="21427"/>
    <cellStyle name="Normal 7 2 2 2 2 6 2 3" xfId="21428"/>
    <cellStyle name="Normal 2 4 2 2 2 6 2 3" xfId="21429"/>
    <cellStyle name="Normal 3 4 2 2 2 6 2 3" xfId="21430"/>
    <cellStyle name="Normal 4 3 2 2 2 6 2 3" xfId="21431"/>
    <cellStyle name="Normal 5 3 2 2 2 6 2 3" xfId="21432"/>
    <cellStyle name="Normal 7 3 2 2 2 6 2 3" xfId="21433"/>
    <cellStyle name="Normal 2 6 2 2 6 2 3" xfId="21434"/>
    <cellStyle name="Normal 3 6 2 2 6 2 3" xfId="21435"/>
    <cellStyle name="Normal 4 5 2 2 6 2 3" xfId="21436"/>
    <cellStyle name="Normal 5 5 2 2 6 2 3" xfId="21437"/>
    <cellStyle name="Normal 7 5 2 2 6 2 3" xfId="21438"/>
    <cellStyle name="Normal 2 3 3 2 2 6 2 3" xfId="21439"/>
    <cellStyle name="Normal 3 3 3 2 2 6 2 3" xfId="21440"/>
    <cellStyle name="Normal 4 2 3 2 2 6 2 3" xfId="21441"/>
    <cellStyle name="Normal 5 2 3 2 2 6 2 3" xfId="21442"/>
    <cellStyle name="Normal 7 2 3 2 2 6 2 3" xfId="21443"/>
    <cellStyle name="Normal 2 4 3 2 2 6 2 3" xfId="21444"/>
    <cellStyle name="Normal 3 4 3 2 2 6 2 3" xfId="21445"/>
    <cellStyle name="Normal 4 3 3 2 2 6 2 3" xfId="21446"/>
    <cellStyle name="Normal 5 3 3 2 2 6 2 3" xfId="21447"/>
    <cellStyle name="Normal 7 3 3 2 2 6 2 3" xfId="21448"/>
    <cellStyle name="Normal 2 9 4 2 3" xfId="21449"/>
    <cellStyle name="Normal 3 9 4 2 3" xfId="21450"/>
    <cellStyle name="Normal 4 8 4 2 3" xfId="21451"/>
    <cellStyle name="Normal 5 8 4 2 3" xfId="21452"/>
    <cellStyle name="Normal 7 8 4 2 3" xfId="21453"/>
    <cellStyle name="Normal 2 3 6 4 2 3" xfId="21454"/>
    <cellStyle name="Normal 3 3 6 4 2 3" xfId="21455"/>
    <cellStyle name="Normal 4 2 6 4 2 3" xfId="21456"/>
    <cellStyle name="Normal 5 2 6 4 2 3" xfId="21457"/>
    <cellStyle name="Normal 7 2 6 4 2 3" xfId="21458"/>
    <cellStyle name="Normal 2 4 6 4 2 3" xfId="21459"/>
    <cellStyle name="Normal 3 4 6 4 2 3" xfId="21460"/>
    <cellStyle name="Normal 4 3 6 4 2 3" xfId="21461"/>
    <cellStyle name="Normal 5 3 6 4 2 3" xfId="21462"/>
    <cellStyle name="Normal 7 3 6 4 2 3" xfId="21463"/>
    <cellStyle name="Normal 2 5 4 4 2 3" xfId="21464"/>
    <cellStyle name="Normal 3 5 4 4 2 3" xfId="21465"/>
    <cellStyle name="Normal 4 4 4 4 2 3" xfId="21466"/>
    <cellStyle name="Normal 5 4 4 4 2 3" xfId="21467"/>
    <cellStyle name="Normal 7 4 4 4 2 3" xfId="21468"/>
    <cellStyle name="Normal 2 3 2 4 4 2 3" xfId="21469"/>
    <cellStyle name="Normal 3 3 2 4 4 2 3" xfId="21470"/>
    <cellStyle name="Normal 4 2 2 4 4 2 3" xfId="21471"/>
    <cellStyle name="Normal 5 2 2 4 4 2 3" xfId="21472"/>
    <cellStyle name="Normal 7 2 2 4 4 2 3" xfId="21473"/>
    <cellStyle name="Normal 2 4 2 4 4 2 3" xfId="21474"/>
    <cellStyle name="Normal 3 4 2 4 4 2 3" xfId="21475"/>
    <cellStyle name="Normal 4 3 2 4 4 2 3" xfId="21476"/>
    <cellStyle name="Normal 5 3 2 4 4 2 3" xfId="21477"/>
    <cellStyle name="Normal 7 3 2 4 4 2 3" xfId="21478"/>
    <cellStyle name="Normal 2 6 4 4 2 3" xfId="21479"/>
    <cellStyle name="Normal 3 6 4 4 2 3" xfId="21480"/>
    <cellStyle name="Normal 4 5 4 4 2 3" xfId="21481"/>
    <cellStyle name="Normal 5 5 4 4 2 3" xfId="21482"/>
    <cellStyle name="Normal 7 5 4 4 2 3" xfId="21483"/>
    <cellStyle name="Normal 2 3 3 4 4 2 3" xfId="21484"/>
    <cellStyle name="Normal 3 3 3 4 4 2 3" xfId="21485"/>
    <cellStyle name="Normal 4 2 3 4 4 2 3" xfId="21486"/>
    <cellStyle name="Normal 5 2 3 4 4 2 3" xfId="21487"/>
    <cellStyle name="Normal 7 2 3 4 4 2 3" xfId="21488"/>
    <cellStyle name="Normal 2 4 3 4 4 2 3" xfId="21489"/>
    <cellStyle name="Normal 3 4 3 4 4 2 3" xfId="21490"/>
    <cellStyle name="Normal 4 3 3 4 4 2 3" xfId="21491"/>
    <cellStyle name="Normal 5 3 3 4 4 2 3" xfId="21492"/>
    <cellStyle name="Normal 7 3 3 4 4 2 3" xfId="21493"/>
    <cellStyle name="Normal 2 7 3 4 2 3" xfId="21494"/>
    <cellStyle name="Normal 3 7 3 4 2 3" xfId="21495"/>
    <cellStyle name="Normal 4 6 3 4 2 3" xfId="21496"/>
    <cellStyle name="Normal 5 6 3 4 2 3" xfId="21497"/>
    <cellStyle name="Normal 7 6 3 4 2 3" xfId="21498"/>
    <cellStyle name="Normal 2 3 4 3 4 2 3" xfId="21499"/>
    <cellStyle name="Normal 3 3 4 3 4 2 3" xfId="21500"/>
    <cellStyle name="Normal 4 2 4 3 4 2 3" xfId="21501"/>
    <cellStyle name="Normal 5 2 4 3 4 2 3" xfId="21502"/>
    <cellStyle name="Normal 7 2 4 3 4 2 3" xfId="21503"/>
    <cellStyle name="Normal 2 4 4 3 4 2 3" xfId="21504"/>
    <cellStyle name="Normal 3 4 4 3 4 2 3" xfId="21505"/>
    <cellStyle name="Normal 4 3 4 3 4 2 3" xfId="21506"/>
    <cellStyle name="Normal 5 3 4 3 4 2 3" xfId="21507"/>
    <cellStyle name="Normal 7 3 4 3 4 2 3" xfId="21508"/>
    <cellStyle name="Normal 2 5 2 3 4 2 3" xfId="21509"/>
    <cellStyle name="Normal 3 5 2 3 4 2 3" xfId="21510"/>
    <cellStyle name="Normal 4 4 2 3 4 2 3" xfId="21511"/>
    <cellStyle name="Normal 5 4 2 3 4 2 3" xfId="21512"/>
    <cellStyle name="Normal 7 4 2 3 4 2 3" xfId="21513"/>
    <cellStyle name="Normal 2 3 2 2 3 4 2 3" xfId="21514"/>
    <cellStyle name="Normal 3 3 2 2 3 4 2 3" xfId="21515"/>
    <cellStyle name="Normal 4 2 2 2 3 4 2 3" xfId="21516"/>
    <cellStyle name="Normal 5 2 2 2 3 4 2 3" xfId="21517"/>
    <cellStyle name="Normal 7 2 2 2 3 4 2 3" xfId="21518"/>
    <cellStyle name="Normal 2 4 2 2 3 4 2 3" xfId="21519"/>
    <cellStyle name="Normal 3 4 2 2 3 4 2 3" xfId="21520"/>
    <cellStyle name="Normal 4 3 2 2 3 4 2 3" xfId="21521"/>
    <cellStyle name="Normal 5 3 2 2 3 4 2 3" xfId="21522"/>
    <cellStyle name="Normal 7 3 2 2 3 4 2 3" xfId="21523"/>
    <cellStyle name="Normal 2 6 2 3 4 2 3" xfId="21524"/>
    <cellStyle name="Normal 3 6 2 3 4 2 3" xfId="21525"/>
    <cellStyle name="Normal 4 5 2 3 4 2 3" xfId="21526"/>
    <cellStyle name="Normal 5 5 2 3 4 2 3" xfId="21527"/>
    <cellStyle name="Normal 7 5 2 3 4 2 3" xfId="21528"/>
    <cellStyle name="Normal 2 3 3 2 3 4 2 3" xfId="21529"/>
    <cellStyle name="Normal 3 3 3 2 3 4 2 3" xfId="21530"/>
    <cellStyle name="Normal 4 2 3 2 3 4 2 3" xfId="21531"/>
    <cellStyle name="Normal 5 2 3 2 3 4 2 3" xfId="21532"/>
    <cellStyle name="Normal 7 2 3 2 3 4 2 3" xfId="21533"/>
    <cellStyle name="Normal 2 4 3 2 3 4 2 3" xfId="21534"/>
    <cellStyle name="Normal 3 4 3 2 3 4 2 3" xfId="21535"/>
    <cellStyle name="Normal 4 3 3 2 3 4 2 3" xfId="21536"/>
    <cellStyle name="Normal 5 3 3 2 3 4 2 3" xfId="21537"/>
    <cellStyle name="Normal 7 3 3 2 3 4 2 3" xfId="21538"/>
    <cellStyle name="Normal 2 8 2 4 2 3" xfId="21539"/>
    <cellStyle name="Normal 3 8 2 4 2 3" xfId="21540"/>
    <cellStyle name="Normal 4 7 2 4 2 3" xfId="21541"/>
    <cellStyle name="Normal 5 7 2 4 2 3" xfId="21542"/>
    <cellStyle name="Normal 7 7 2 4 2 3" xfId="21543"/>
    <cellStyle name="Normal 2 3 5 2 4 2 3" xfId="21544"/>
    <cellStyle name="Normal 3 3 5 2 4 2 3" xfId="21545"/>
    <cellStyle name="Normal 4 2 5 2 4 2 3" xfId="21546"/>
    <cellStyle name="Normal 5 2 5 2 4 2 3" xfId="21547"/>
    <cellStyle name="Normal 7 2 5 2 4 2 3" xfId="21548"/>
    <cellStyle name="Normal 2 4 5 2 4 2 3" xfId="21549"/>
    <cellStyle name="Normal 3 4 5 2 4 2 3" xfId="21550"/>
    <cellStyle name="Normal 4 3 5 2 4 2 3" xfId="21551"/>
    <cellStyle name="Normal 5 3 5 2 4 2 3" xfId="21552"/>
    <cellStyle name="Normal 7 3 5 2 4 2 3" xfId="21553"/>
    <cellStyle name="Normal 2 5 3 2 4 2 3" xfId="21554"/>
    <cellStyle name="Normal 3 5 3 2 4 2 3" xfId="21555"/>
    <cellStyle name="Normal 4 4 3 2 4 2 3" xfId="21556"/>
    <cellStyle name="Normal 5 4 3 2 4 2 3" xfId="21557"/>
    <cellStyle name="Normal 7 4 3 2 4 2 3" xfId="21558"/>
    <cellStyle name="Normal 2 3 2 3 2 4 2 3" xfId="21559"/>
    <cellStyle name="Normal 3 3 2 3 2 4 2 3" xfId="21560"/>
    <cellStyle name="Normal 4 2 2 3 2 4 2 3" xfId="21561"/>
    <cellStyle name="Normal 5 2 2 3 2 4 2 3" xfId="21562"/>
    <cellStyle name="Normal 7 2 2 3 2 4 2 3" xfId="21563"/>
    <cellStyle name="Normal 2 4 2 3 2 4 2 3" xfId="21564"/>
    <cellStyle name="Normal 3 4 2 3 2 4 2 3" xfId="21565"/>
    <cellStyle name="Normal 4 3 2 3 2 4 2 3" xfId="21566"/>
    <cellStyle name="Normal 5 3 2 3 2 4 2 3" xfId="21567"/>
    <cellStyle name="Normal 7 3 2 3 2 4 2 3" xfId="21568"/>
    <cellStyle name="Normal 2 6 3 2 4 2 3" xfId="21569"/>
    <cellStyle name="Normal 3 6 3 2 4 2 3" xfId="21570"/>
    <cellStyle name="Normal 4 5 3 2 4 2 3" xfId="21571"/>
    <cellStyle name="Normal 5 5 3 2 4 2 3" xfId="21572"/>
    <cellStyle name="Normal 7 5 3 2 4 2 3" xfId="21573"/>
    <cellStyle name="Normal 2 3 3 3 2 4 2 3" xfId="21574"/>
    <cellStyle name="Normal 3 3 3 3 2 4 2 3" xfId="21575"/>
    <cellStyle name="Normal 4 2 3 3 2 4 2 3" xfId="21576"/>
    <cellStyle name="Normal 5 2 3 3 2 4 2 3" xfId="21577"/>
    <cellStyle name="Normal 7 2 3 3 2 4 2 3" xfId="21578"/>
    <cellStyle name="Normal 2 4 3 3 2 4 2 3" xfId="21579"/>
    <cellStyle name="Normal 3 4 3 3 2 4 2 3" xfId="21580"/>
    <cellStyle name="Normal 4 3 3 3 2 4 2 3" xfId="21581"/>
    <cellStyle name="Normal 5 3 3 3 2 4 2 3" xfId="21582"/>
    <cellStyle name="Normal 7 3 3 3 2 4 2 3" xfId="21583"/>
    <cellStyle name="Normal 2 7 2 2 4 2 3" xfId="21584"/>
    <cellStyle name="Normal 3 7 2 2 4 2 3" xfId="21585"/>
    <cellStyle name="Normal 4 6 2 2 4 2 3" xfId="21586"/>
    <cellStyle name="Normal 5 6 2 2 4 2 3" xfId="21587"/>
    <cellStyle name="Normal 7 6 2 2 4 2 3" xfId="21588"/>
    <cellStyle name="Normal 2 3 4 2 2 4 2 3" xfId="21589"/>
    <cellStyle name="Normal 3 3 4 2 2 4 2 3" xfId="21590"/>
    <cellStyle name="Normal 4 2 4 2 2 4 2 3" xfId="21591"/>
    <cellStyle name="Normal 5 2 4 2 2 4 2 3" xfId="21592"/>
    <cellStyle name="Normal 7 2 4 2 2 4 2 3" xfId="21593"/>
    <cellStyle name="Normal 2 4 4 2 2 4 2 3" xfId="21594"/>
    <cellStyle name="Normal 3 4 4 2 2 4 2 3" xfId="21595"/>
    <cellStyle name="Normal 4 3 4 2 2 4 2 3" xfId="21596"/>
    <cellStyle name="Normal 5 3 4 2 2 4 2 3" xfId="21597"/>
    <cellStyle name="Normal 7 3 4 2 2 4 2 3" xfId="21598"/>
    <cellStyle name="Normal 2 5 2 2 2 4 2 3" xfId="21599"/>
    <cellStyle name="Normal 3 5 2 2 2 4 2 3" xfId="21600"/>
    <cellStyle name="Normal 4 4 2 2 2 4 2 3" xfId="21601"/>
    <cellStyle name="Normal 5 4 2 2 2 4 2 3" xfId="21602"/>
    <cellStyle name="Normal 7 4 2 2 2 4 2 3" xfId="21603"/>
    <cellStyle name="Normal 2 3 2 2 2 2 4 2 3" xfId="21604"/>
    <cellStyle name="Normal 3 3 2 2 2 2 4 2 3" xfId="21605"/>
    <cellStyle name="Normal 4 2 2 2 2 2 4 2 3" xfId="21606"/>
    <cellStyle name="Normal 5 2 2 2 2 2 4 2 3" xfId="21607"/>
    <cellStyle name="Normal 7 2 2 2 2 2 4 2 3" xfId="21608"/>
    <cellStyle name="Normal 2 4 2 2 2 2 4 2 3" xfId="21609"/>
    <cellStyle name="Normal 3 4 2 2 2 2 4 2 3" xfId="21610"/>
    <cellStyle name="Normal 4 3 2 2 2 2 4 2 3" xfId="21611"/>
    <cellStyle name="Normal 5 3 2 2 2 2 4 2 3" xfId="21612"/>
    <cellStyle name="Normal 7 3 2 2 2 2 4 2 3" xfId="21613"/>
    <cellStyle name="Normal 2 6 2 2 2 4 2 3" xfId="21614"/>
    <cellStyle name="Normal 3 6 2 2 2 4 2 3" xfId="21615"/>
    <cellStyle name="Normal 4 5 2 2 2 4 2 3" xfId="21616"/>
    <cellStyle name="Normal 5 5 2 2 2 4 2 3" xfId="21617"/>
    <cellStyle name="Normal 7 5 2 2 2 4 2 3" xfId="21618"/>
    <cellStyle name="Normal 2 3 3 2 2 2 4 2 3" xfId="21619"/>
    <cellStyle name="Normal 3 3 3 2 2 2 4 2 3" xfId="21620"/>
    <cellStyle name="Normal 4 2 3 2 2 2 4 2 3" xfId="21621"/>
    <cellStyle name="Normal 5 2 3 2 2 2 4 2 3" xfId="21622"/>
    <cellStyle name="Normal 7 2 3 2 2 2 4 2 3" xfId="21623"/>
    <cellStyle name="Normal 2 4 3 2 2 2 4 2 3" xfId="21624"/>
    <cellStyle name="Normal 3 4 3 2 2 2 4 2 3" xfId="21625"/>
    <cellStyle name="Normal 4 3 3 2 2 2 4 2 3" xfId="21626"/>
    <cellStyle name="Normal 5 3 3 2 2 2 4 2 3" xfId="21627"/>
    <cellStyle name="Normal 7 3 3 2 2 2 4 2 3" xfId="21628"/>
    <cellStyle name="Normal 28 4 2 3" xfId="21629"/>
    <cellStyle name="Normal 2 3 7 4 2 3" xfId="21630"/>
    <cellStyle name="Normal 3 10 4 2 3" xfId="21631"/>
    <cellStyle name="Normal 4 9 4 2 3" xfId="21632"/>
    <cellStyle name="Normal 5 9 4 2 3" xfId="21633"/>
    <cellStyle name="Millares 4 4 2 3" xfId="21634"/>
    <cellStyle name="Normal 7 2 7 4 2 3" xfId="21635"/>
    <cellStyle name="Normal 3 3 7 4 2 3" xfId="21636"/>
    <cellStyle name="Normal 4 2 7 4 2 3" xfId="21637"/>
    <cellStyle name="Normal 5 2 7 4 2 3" xfId="21638"/>
    <cellStyle name="Normal 2 4 5 3 4 2 3" xfId="21639"/>
    <cellStyle name="Normal 3 4 7 4 2 3" xfId="21640"/>
    <cellStyle name="Normal 4 3 7 4 2 3" xfId="21641"/>
    <cellStyle name="Normal 5 3 7 4 2 3" xfId="21642"/>
    <cellStyle name="Normal 7 3 7 4 2 3" xfId="21643"/>
    <cellStyle name="Normal 2 5 5 4 2 3" xfId="21644"/>
    <cellStyle name="Normal 3 5 5 4 2 3" xfId="21645"/>
    <cellStyle name="Normal 4 4 5 4 2 3" xfId="21646"/>
    <cellStyle name="Normal 5 4 5 4 2 3" xfId="21647"/>
    <cellStyle name="Normal 7 4 5 4 2 3" xfId="21648"/>
    <cellStyle name="Normal 2 3 2 5 4 2 3" xfId="21649"/>
    <cellStyle name="Normal 3 3 2 5 4 2 3" xfId="21650"/>
    <cellStyle name="Normal 4 2 2 5 4 2 3" xfId="21651"/>
    <cellStyle name="Normal 5 2 2 5 4 2 3" xfId="21652"/>
    <cellStyle name="Normal 7 2 2 5 4 2 3" xfId="21653"/>
    <cellStyle name="Normal 2 4 2 5 4 2 3" xfId="21654"/>
    <cellStyle name="Normal 3 4 2 5 4 2 3" xfId="21655"/>
    <cellStyle name="Normal 4 3 2 5 4 2 3" xfId="21656"/>
    <cellStyle name="Normal 5 3 2 5 4 2 3" xfId="21657"/>
    <cellStyle name="Normal 7 3 2 5 4 2 3" xfId="21658"/>
    <cellStyle name="Normal 2 6 5 4 2 3" xfId="21659"/>
    <cellStyle name="Normal 3 6 5 4 2 3" xfId="21660"/>
    <cellStyle name="Normal 4 5 5 4 2 3" xfId="21661"/>
    <cellStyle name="Normal 5 5 5 4 2 3" xfId="21662"/>
    <cellStyle name="Normal 7 5 5 4 2 3" xfId="21663"/>
    <cellStyle name="Normal 2 3 3 5 4 2 3" xfId="21664"/>
    <cellStyle name="Normal 3 3 3 5 4 2 3" xfId="21665"/>
    <cellStyle name="Normal 4 2 3 5 4 2 3" xfId="21666"/>
    <cellStyle name="Normal 5 2 3 5 4 2 3" xfId="21667"/>
    <cellStyle name="Normal 7 2 3 5 4 2 3" xfId="21668"/>
    <cellStyle name="Normal 2 4 3 5 4 2 3" xfId="21669"/>
    <cellStyle name="Normal 3 4 3 5 4 2 3" xfId="21670"/>
    <cellStyle name="Normal 4 3 3 5 4 2 3" xfId="21671"/>
    <cellStyle name="Normal 5 3 3 5 4 2 3" xfId="21672"/>
    <cellStyle name="Normal 7 3 3 5 4 2 3" xfId="21673"/>
    <cellStyle name="Normal 2 7 4 4 2 3" xfId="21674"/>
    <cellStyle name="Normal 3 7 4 4 2 3" xfId="21675"/>
    <cellStyle name="Normal 4 6 4 4 2 3" xfId="21676"/>
    <cellStyle name="Normal 5 6 4 4 2 3" xfId="21677"/>
    <cellStyle name="Normal 7 6 4 4 2 3" xfId="21678"/>
    <cellStyle name="Normal 2 3 4 4 4 2 3" xfId="21679"/>
    <cellStyle name="Normal 3 3 4 4 4 2 3" xfId="21680"/>
    <cellStyle name="Normal 4 2 4 4 4 2 3" xfId="21681"/>
    <cellStyle name="Normal 5 2 4 4 4 2 3" xfId="21682"/>
    <cellStyle name="Normal 7 2 4 4 4 2 3" xfId="21683"/>
    <cellStyle name="Normal 2 4 4 4 4 2 3" xfId="21684"/>
    <cellStyle name="Normal 3 4 4 4 4 2 3" xfId="21685"/>
    <cellStyle name="Normal 4 3 4 4 4 2 3" xfId="21686"/>
    <cellStyle name="Normal 5 3 4 4 4 2 3" xfId="21687"/>
    <cellStyle name="Normal 7 3 4 4 4 2 3" xfId="21688"/>
    <cellStyle name="Normal 2 5 2 4 4 2 3" xfId="21689"/>
    <cellStyle name="Normal 3 5 2 4 4 2 3" xfId="21690"/>
    <cellStyle name="Normal 4 4 2 4 4 2 3" xfId="21691"/>
    <cellStyle name="Normal 5 4 2 4 4 2 3" xfId="21692"/>
    <cellStyle name="Normal 7 4 2 4 4 2 3" xfId="21693"/>
    <cellStyle name="Normal 2 3 2 2 4 4 2 3" xfId="21694"/>
    <cellStyle name="Normal 3 3 2 2 4 4 2 3" xfId="21695"/>
    <cellStyle name="Normal 4 2 2 2 4 4 2 3" xfId="21696"/>
    <cellStyle name="Normal 5 2 2 2 4 4 2 3" xfId="21697"/>
    <cellStyle name="Normal 7 2 2 2 4 4 2 3" xfId="21698"/>
    <cellStyle name="Normal 2 4 2 2 4 4 2 3" xfId="21699"/>
    <cellStyle name="Normal 3 4 2 2 4 4 2 3" xfId="21700"/>
    <cellStyle name="Normal 4 3 2 2 4 4 2 3" xfId="21701"/>
    <cellStyle name="Normal 5 3 2 2 4 4 2 3" xfId="21702"/>
    <cellStyle name="Normal 7 3 2 2 4 4 2 3" xfId="21703"/>
    <cellStyle name="Normal 2 6 2 4 4 2 3" xfId="21704"/>
    <cellStyle name="Normal 3 6 2 4 4 2 3" xfId="21705"/>
    <cellStyle name="Normal 4 5 2 4 4 2 3" xfId="21706"/>
    <cellStyle name="Normal 5 5 2 4 4 2 3" xfId="21707"/>
    <cellStyle name="Normal 7 5 2 4 4 2 3" xfId="21708"/>
    <cellStyle name="Normal 2 3 3 2 4 4 2 3" xfId="21709"/>
    <cellStyle name="Normal 3 3 3 2 4 4 2 3" xfId="21710"/>
    <cellStyle name="Normal 4 2 3 2 4 4 2 3" xfId="21711"/>
    <cellStyle name="Normal 5 2 3 2 4 4 2 3" xfId="21712"/>
    <cellStyle name="Normal 7 2 3 2 4 4 2 3" xfId="21713"/>
    <cellStyle name="Normal 2 4 3 2 4 4 2 3" xfId="21714"/>
    <cellStyle name="Normal 3 4 3 2 4 4 2 3" xfId="21715"/>
    <cellStyle name="Normal 4 3 3 2 4 4 2 3" xfId="21716"/>
    <cellStyle name="Normal 5 3 3 2 4 4 2 3" xfId="21717"/>
    <cellStyle name="Normal 7 3 3 2 4 4 2 3" xfId="21718"/>
    <cellStyle name="Normal 2 8 3 4 2 3" xfId="21719"/>
    <cellStyle name="Normal 3 8 3 4 2 3" xfId="21720"/>
    <cellStyle name="Normal 4 7 3 4 2 3" xfId="21721"/>
    <cellStyle name="Normal 5 7 3 4 2 3" xfId="21722"/>
    <cellStyle name="Normal 7 7 3 4 2 3" xfId="21723"/>
    <cellStyle name="Normal 2 3 5 3 4 2 3" xfId="21724"/>
    <cellStyle name="Normal 3 3 5 3 4 2 3" xfId="21725"/>
    <cellStyle name="Normal 4 2 5 3 4 2 3" xfId="21726"/>
    <cellStyle name="Normal 5 2 5 3 4 2 3" xfId="21727"/>
    <cellStyle name="Normal 7 2 5 3 4 2 3" xfId="21728"/>
    <cellStyle name="Normal 3 4 5 3 4 2 3" xfId="21729"/>
    <cellStyle name="Normal 4 3 5 3 4 2 3" xfId="21730"/>
    <cellStyle name="Normal 5 3 5 3 4 2 3" xfId="21731"/>
    <cellStyle name="Normal 7 3 5 3 4 2 3" xfId="21732"/>
    <cellStyle name="Normal 2 5 3 3 4 2 3" xfId="21733"/>
    <cellStyle name="Normal 3 5 3 3 4 2 3" xfId="21734"/>
    <cellStyle name="Normal 4 4 3 3 4 2 3" xfId="21735"/>
    <cellStyle name="Normal 5 4 3 3 4 2 3" xfId="21736"/>
    <cellStyle name="Normal 7 4 3 3 4 2 3" xfId="21737"/>
    <cellStyle name="Normal 2 3 2 3 3 4 2 3" xfId="21738"/>
    <cellStyle name="Normal 3 3 2 3 3 4 2 3" xfId="21739"/>
    <cellStyle name="Normal 4 2 2 3 3 4 2 3" xfId="21740"/>
    <cellStyle name="Normal 5 2 2 3 3 4 2 3" xfId="21741"/>
    <cellStyle name="Normal 7 2 2 3 3 4 2 3" xfId="21742"/>
    <cellStyle name="Normal 2 4 2 3 3 4 2 3" xfId="21743"/>
    <cellStyle name="Normal 3 4 2 3 3 4 2 3" xfId="21744"/>
    <cellStyle name="Normal 4 3 2 3 3 4 2 3" xfId="21745"/>
    <cellStyle name="Normal 5 3 2 3 3 4 2 3" xfId="21746"/>
    <cellStyle name="Normal 7 3 2 3 3 4 2 3" xfId="21747"/>
    <cellStyle name="Normal 2 6 3 3 4 2 3" xfId="21748"/>
    <cellStyle name="Normal 3 6 3 3 4 2 3" xfId="21749"/>
    <cellStyle name="Normal 4 5 3 3 4 2 3" xfId="21750"/>
    <cellStyle name="Normal 5 5 3 3 4 2 3" xfId="21751"/>
    <cellStyle name="Normal 7 5 3 3 4 2 3" xfId="21752"/>
    <cellStyle name="Normal 2 3 3 3 3 4 2 3" xfId="21753"/>
    <cellStyle name="Normal 3 3 3 3 3 4 2 3" xfId="21754"/>
    <cellStyle name="Normal 4 2 3 3 3 4 2 3" xfId="21755"/>
    <cellStyle name="Normal 5 2 3 3 3 4 2 3" xfId="21756"/>
    <cellStyle name="Normal 7 2 3 3 3 4 2 3" xfId="21757"/>
    <cellStyle name="Normal 2 4 3 3 3 4 2 3" xfId="21758"/>
    <cellStyle name="Normal 3 4 3 3 3 4 2 3" xfId="21759"/>
    <cellStyle name="Normal 4 3 3 3 3 4 2 3" xfId="21760"/>
    <cellStyle name="Normal 5 3 3 3 3 4 2 3" xfId="21761"/>
    <cellStyle name="Normal 7 3 3 3 3 4 2 3" xfId="21762"/>
    <cellStyle name="Normal 2 7 2 3 4 2 3" xfId="21763"/>
    <cellStyle name="Normal 3 7 2 3 4 2 3" xfId="21764"/>
    <cellStyle name="Normal 4 6 2 3 4 2 3" xfId="21765"/>
    <cellStyle name="Normal 5 6 2 3 4 2 3" xfId="21766"/>
    <cellStyle name="Normal 7 6 2 3 4 2 3" xfId="21767"/>
    <cellStyle name="Normal 2 3 4 2 3 4 2 3" xfId="21768"/>
    <cellStyle name="Normal 3 3 4 2 3 4 2 3" xfId="21769"/>
    <cellStyle name="Normal 4 2 4 2 3 4 2 3" xfId="21770"/>
    <cellStyle name="Normal 5 2 4 2 3 4 2 3" xfId="21771"/>
    <cellStyle name="Normal 7 2 4 2 3 4 2 3" xfId="21772"/>
    <cellStyle name="Normal 2 4 4 2 3 4 2 3" xfId="21773"/>
    <cellStyle name="Normal 3 4 4 2 3 4 2 3" xfId="21774"/>
    <cellStyle name="Normal 4 3 4 2 3 4 2 3" xfId="21775"/>
    <cellStyle name="Normal 5 3 4 2 3 4 2 3" xfId="21776"/>
    <cellStyle name="Normal 7 3 4 2 3 4 2 3" xfId="21777"/>
    <cellStyle name="Normal 2 5 2 2 3 4 2 3" xfId="21778"/>
    <cellStyle name="Normal 3 5 2 2 3 4 2 3" xfId="21779"/>
    <cellStyle name="Normal 4 4 2 2 3 4 2 3" xfId="21780"/>
    <cellStyle name="Normal 5 4 2 2 3 4 2 3" xfId="21781"/>
    <cellStyle name="Normal 7 4 2 2 3 4 2 3" xfId="21782"/>
    <cellStyle name="Normal 2 3 2 2 2 3 4 2 3" xfId="21783"/>
    <cellStyle name="Normal 3 3 2 2 2 3 4 2 3" xfId="21784"/>
    <cellStyle name="Normal 4 2 2 2 2 3 4 2 3" xfId="21785"/>
    <cellStyle name="Normal 5 2 2 2 2 3 4 2 3" xfId="21786"/>
    <cellStyle name="Normal 7 2 2 2 2 3 4 2 3" xfId="21787"/>
    <cellStyle name="Normal 2 4 2 2 2 3 4 2 3" xfId="21788"/>
    <cellStyle name="Normal 3 4 2 2 2 3 4 2 3" xfId="21789"/>
    <cellStyle name="Normal 4 3 2 2 2 3 4 2 3" xfId="21790"/>
    <cellStyle name="Normal 5 3 2 2 2 3 4 2 3" xfId="21791"/>
    <cellStyle name="Normal 7 3 2 2 2 3 4 2 3" xfId="21792"/>
    <cellStyle name="Normal 2 6 2 2 3 4 2 3" xfId="21793"/>
    <cellStyle name="Normal 3 6 2 2 3 4 2 3" xfId="21794"/>
    <cellStyle name="Normal 4 5 2 2 3 4 2 3" xfId="21795"/>
    <cellStyle name="Normal 5 5 2 2 3 4 2 3" xfId="21796"/>
    <cellStyle name="Normal 7 5 2 2 3 4 2 3" xfId="21797"/>
    <cellStyle name="Normal 2 3 3 2 2 3 4 2 3" xfId="21798"/>
    <cellStyle name="Normal 3 3 3 2 2 3 4 2 3" xfId="21799"/>
    <cellStyle name="Normal 4 2 3 2 2 3 4 2 3" xfId="21800"/>
    <cellStyle name="Normal 5 2 3 2 2 3 4 2 3" xfId="21801"/>
    <cellStyle name="Normal 7 2 3 2 2 3 4 2 3" xfId="21802"/>
    <cellStyle name="Normal 2 4 3 2 2 3 4 2 3" xfId="21803"/>
    <cellStyle name="Normal 3 4 3 2 2 3 4 2 3" xfId="21804"/>
    <cellStyle name="Normal 4 3 3 2 2 3 4 2 3" xfId="21805"/>
    <cellStyle name="Normal 5 3 3 2 2 3 4 2 3" xfId="21806"/>
    <cellStyle name="Normal 7 3 3 2 2 3 4 2 3" xfId="21807"/>
    <cellStyle name="Normal 2 11 2 2 3" xfId="21808"/>
    <cellStyle name="Normal 3 11 2 2 3" xfId="21809"/>
    <cellStyle name="Normal 4 10 2 2 3" xfId="21810"/>
    <cellStyle name="Normal 5 10 2 2 3" xfId="21811"/>
    <cellStyle name="Normal 7 10 2 2 3" xfId="21812"/>
    <cellStyle name="Normal 2 3 8 2 2 3" xfId="21813"/>
    <cellStyle name="Normal 3 3 8 2 2 3" xfId="21814"/>
    <cellStyle name="Normal 4 2 8 2 2 3" xfId="21815"/>
    <cellStyle name="Normal 5 2 8 2 2 3" xfId="21816"/>
    <cellStyle name="Normal 7 2 8 2 2 3" xfId="21817"/>
    <cellStyle name="Normal 2 4 8 2 2 3" xfId="21818"/>
    <cellStyle name="Normal 3 4 8 2 2 3" xfId="21819"/>
    <cellStyle name="Normal 4 3 8 2 2 3" xfId="21820"/>
    <cellStyle name="Normal 5 3 8 2 2 3" xfId="21821"/>
    <cellStyle name="Normal 7 3 8 2 2 3" xfId="21822"/>
    <cellStyle name="Normal 2 5 6 2 2 3" xfId="21823"/>
    <cellStyle name="Normal 3 5 6 2 2 3" xfId="21824"/>
    <cellStyle name="Normal 4 4 6 2 2 3" xfId="21825"/>
    <cellStyle name="Normal 5 4 6 2 2 3" xfId="21826"/>
    <cellStyle name="Normal 7 4 6 2 2 3" xfId="21827"/>
    <cellStyle name="Normal 2 3 2 6 2 2 3" xfId="21828"/>
    <cellStyle name="Normal 3 3 2 6 2 2 3" xfId="21829"/>
    <cellStyle name="Normal 4 2 2 6 2 2 3" xfId="21830"/>
    <cellStyle name="Normal 5 2 2 6 2 2 3" xfId="21831"/>
    <cellStyle name="Normal 7 2 2 6 2 2 3" xfId="21832"/>
    <cellStyle name="Normal 2 4 2 6 2 2 3" xfId="21833"/>
    <cellStyle name="Normal 3 4 2 6 2 2 3" xfId="21834"/>
    <cellStyle name="Normal 4 3 2 6 2 2 3" xfId="21835"/>
    <cellStyle name="Normal 5 3 2 6 2 2 3" xfId="21836"/>
    <cellStyle name="Normal 7 3 2 6 2 2 3" xfId="21837"/>
    <cellStyle name="Normal 2 6 6 2 2 3" xfId="21838"/>
    <cellStyle name="Normal 3 6 6 2 2 3" xfId="21839"/>
    <cellStyle name="Normal 4 5 6 2 2 3" xfId="21840"/>
    <cellStyle name="Normal 5 5 6 2 2 3" xfId="21841"/>
    <cellStyle name="Normal 7 5 6 2 2 3" xfId="21842"/>
    <cellStyle name="Normal 2 3 3 6 2 2 3" xfId="21843"/>
    <cellStyle name="Normal 3 3 3 6 2 2 3" xfId="21844"/>
    <cellStyle name="Normal 4 2 3 6 2 2 3" xfId="21845"/>
    <cellStyle name="Normal 5 2 3 6 2 2 3" xfId="21846"/>
    <cellStyle name="Normal 7 2 3 6 2 2 3" xfId="21847"/>
    <cellStyle name="Normal 2 4 3 6 2 2 3" xfId="21848"/>
    <cellStyle name="Normal 3 4 3 6 2 2 3" xfId="21849"/>
    <cellStyle name="Normal 4 3 3 6 2 2 3" xfId="21850"/>
    <cellStyle name="Normal 5 3 3 6 2 2 3" xfId="21851"/>
    <cellStyle name="Normal 7 3 3 6 2 2 3" xfId="21852"/>
    <cellStyle name="Normal 2 7 5 2 2 3" xfId="21853"/>
    <cellStyle name="Normal 3 7 5 2 2 3" xfId="21854"/>
    <cellStyle name="Normal 4 6 5 2 2 3" xfId="21855"/>
    <cellStyle name="Normal 5 6 5 2 2 3" xfId="21856"/>
    <cellStyle name="Normal 7 6 5 2 2 3" xfId="21857"/>
    <cellStyle name="Normal 2 3 4 5 2 2 3" xfId="21858"/>
    <cellStyle name="Normal 3 3 4 5 2 2 3" xfId="21859"/>
    <cellStyle name="Normal 4 2 4 5 2 2 3" xfId="21860"/>
    <cellStyle name="Normal 5 2 4 5 2 2 3" xfId="21861"/>
    <cellStyle name="Normal 7 2 4 5 2 2 3" xfId="21862"/>
    <cellStyle name="Normal 2 4 4 5 2 2 3" xfId="21863"/>
    <cellStyle name="Normal 3 4 4 5 2 2 3" xfId="21864"/>
    <cellStyle name="Normal 4 3 4 5 2 2 3" xfId="21865"/>
    <cellStyle name="Normal 5 3 4 5 2 2 3" xfId="21866"/>
    <cellStyle name="Normal 7 3 4 5 2 2 3" xfId="21867"/>
    <cellStyle name="Normal 2 5 2 5 2 2 3" xfId="21868"/>
    <cellStyle name="Normal 3 5 2 5 2 2 3" xfId="21869"/>
    <cellStyle name="Normal 4 4 2 5 2 2 3" xfId="21870"/>
    <cellStyle name="Normal 5 4 2 5 2 2 3" xfId="21871"/>
    <cellStyle name="Normal 7 4 2 5 2 2 3" xfId="21872"/>
    <cellStyle name="Normal 2 3 2 2 5 2 2 3" xfId="21873"/>
    <cellStyle name="Normal 3 3 2 2 5 2 2 3" xfId="21874"/>
    <cellStyle name="Normal 4 2 2 2 5 2 2 3" xfId="21875"/>
    <cellStyle name="Normal 5 2 2 2 5 2 2 3" xfId="21876"/>
    <cellStyle name="Normal 7 2 2 2 5 2 2 3" xfId="21877"/>
    <cellStyle name="Normal 2 4 2 2 5 2 2 3" xfId="21878"/>
    <cellStyle name="Normal 3 4 2 2 5 2 2 3" xfId="21879"/>
    <cellStyle name="Normal 4 3 2 2 5 2 2 3" xfId="21880"/>
    <cellStyle name="Normal 5 3 2 2 5 2 2 3" xfId="21881"/>
    <cellStyle name="Normal 7 3 2 2 5 2 2 3" xfId="21882"/>
    <cellStyle name="Normal 2 6 2 5 2 2 3" xfId="21883"/>
    <cellStyle name="Normal 3 6 2 5 2 2 3" xfId="21884"/>
    <cellStyle name="Normal 4 5 2 5 2 2 3" xfId="21885"/>
    <cellStyle name="Normal 5 5 2 5 2 2 3" xfId="21886"/>
    <cellStyle name="Normal 7 5 2 5 2 2 3" xfId="21887"/>
    <cellStyle name="Normal 2 3 3 2 5 2 2 3" xfId="21888"/>
    <cellStyle name="Normal 3 3 3 2 5 2 2 3" xfId="21889"/>
    <cellStyle name="Normal 4 2 3 2 5 2 2 3" xfId="21890"/>
    <cellStyle name="Normal 5 2 3 2 5 2 2 3" xfId="21891"/>
    <cellStyle name="Normal 7 2 3 2 5 2 2 3" xfId="21892"/>
    <cellStyle name="Normal 2 4 3 2 5 2 2 3" xfId="21893"/>
    <cellStyle name="Normal 3 4 3 2 5 2 2 3" xfId="21894"/>
    <cellStyle name="Normal 4 3 3 2 5 2 2 3" xfId="21895"/>
    <cellStyle name="Normal 5 3 3 2 5 2 2 3" xfId="21896"/>
    <cellStyle name="Normal 7 3 3 2 5 2 2 3" xfId="21897"/>
    <cellStyle name="Normal 2 8 4 2 2 3" xfId="21898"/>
    <cellStyle name="Normal 3 8 4 2 2 3" xfId="21899"/>
    <cellStyle name="Normal 4 7 4 2 2 3" xfId="21900"/>
    <cellStyle name="Normal 5 7 4 2 2 3" xfId="21901"/>
    <cellStyle name="Normal 7 7 4 2 2 3" xfId="21902"/>
    <cellStyle name="Normal 2 3 5 4 2 2 3" xfId="21903"/>
    <cellStyle name="Normal 3 3 5 4 2 2 3" xfId="21904"/>
    <cellStyle name="Normal 4 2 5 4 2 2 3" xfId="21905"/>
    <cellStyle name="Normal 5 2 5 4 2 2 3" xfId="21906"/>
    <cellStyle name="Normal 7 2 5 4 2 2 3" xfId="21907"/>
    <cellStyle name="Normal 2 4 5 4 2 2 3" xfId="21908"/>
    <cellStyle name="Normal 3 4 5 4 2 2 3" xfId="21909"/>
    <cellStyle name="Normal 4 3 5 4 2 2 3" xfId="21910"/>
    <cellStyle name="Normal 5 3 5 4 2 2 3" xfId="21911"/>
    <cellStyle name="Normal 7 3 5 4 2 2 3" xfId="21912"/>
    <cellStyle name="Normal 2 5 3 4 2 2 3" xfId="21913"/>
    <cellStyle name="Normal 3 5 3 4 2 2 3" xfId="21914"/>
    <cellStyle name="Normal 4 4 3 4 2 2 3" xfId="21915"/>
    <cellStyle name="Normal 5 4 3 4 2 2 3" xfId="21916"/>
    <cellStyle name="Normal 7 4 3 4 2 2 3" xfId="21917"/>
    <cellStyle name="Normal 2 3 2 3 4 2 2 3" xfId="21918"/>
    <cellStyle name="Normal 3 3 2 3 4 2 2 3" xfId="21919"/>
    <cellStyle name="Normal 4 2 2 3 4 2 2 3" xfId="21920"/>
    <cellStyle name="Normal 5 2 2 3 4 2 2 3" xfId="21921"/>
    <cellStyle name="Normal 7 2 2 3 4 2 2 3" xfId="21922"/>
    <cellStyle name="Normal 2 4 2 3 4 2 2 3" xfId="21923"/>
    <cellStyle name="Normal 3 4 2 3 4 2 2 3" xfId="21924"/>
    <cellStyle name="Normal 4 3 2 3 4 2 2 3" xfId="21925"/>
    <cellStyle name="Normal 5 3 2 3 4 2 2 3" xfId="21926"/>
    <cellStyle name="Normal 7 3 2 3 4 2 2 3" xfId="21927"/>
    <cellStyle name="Normal 2 6 3 4 2 2 3" xfId="21928"/>
    <cellStyle name="Normal 3 6 3 4 2 2 3" xfId="21929"/>
    <cellStyle name="Normal 4 5 3 4 2 2 3" xfId="21930"/>
    <cellStyle name="Normal 5 5 3 4 2 2 3" xfId="21931"/>
    <cellStyle name="Normal 7 5 3 4 2 2 3" xfId="21932"/>
    <cellStyle name="Normal 2 3 3 3 4 2 2 3" xfId="21933"/>
    <cellStyle name="Normal 3 3 3 3 4 2 2 3" xfId="21934"/>
    <cellStyle name="Normal 4 2 3 3 4 2 2 3" xfId="21935"/>
    <cellStyle name="Normal 5 2 3 3 4 2 2 3" xfId="21936"/>
    <cellStyle name="Normal 7 2 3 3 4 2 2 3" xfId="21937"/>
    <cellStyle name="Normal 2 4 3 3 4 2 2 3" xfId="21938"/>
    <cellStyle name="Normal 3 4 3 3 4 2 2 3" xfId="21939"/>
    <cellStyle name="Normal 4 3 3 3 4 2 2 3" xfId="21940"/>
    <cellStyle name="Normal 5 3 3 3 4 2 2 3" xfId="21941"/>
    <cellStyle name="Normal 7 3 3 3 4 2 2 3" xfId="21942"/>
    <cellStyle name="Normal 2 7 2 4 2 2 3" xfId="21943"/>
    <cellStyle name="Normal 3 7 2 4 2 2 3" xfId="21944"/>
    <cellStyle name="Normal 4 6 2 4 2 2 3" xfId="21945"/>
    <cellStyle name="Normal 5 6 2 4 2 2 3" xfId="21946"/>
    <cellStyle name="Normal 7 6 2 4 2 2 3" xfId="21947"/>
    <cellStyle name="Normal 2 3 4 2 4 2 2 3" xfId="21948"/>
    <cellStyle name="Normal 3 3 4 2 4 2 2 3" xfId="21949"/>
    <cellStyle name="Normal 4 2 4 2 4 2 2 3" xfId="21950"/>
    <cellStyle name="Normal 5 2 4 2 4 2 2 3" xfId="21951"/>
    <cellStyle name="Normal 7 2 4 2 4 2 2 3" xfId="21952"/>
    <cellStyle name="Normal 2 4 4 2 4 2 2 3" xfId="21953"/>
    <cellStyle name="Normal 3 4 4 2 4 2 2 3" xfId="21954"/>
    <cellStyle name="Normal 4 3 4 2 4 2 2 3" xfId="21955"/>
    <cellStyle name="Normal 5 3 4 2 4 2 2 3" xfId="21956"/>
    <cellStyle name="Normal 7 3 4 2 4 2 2 3" xfId="21957"/>
    <cellStyle name="Normal 2 5 2 2 4 2 2 3" xfId="21958"/>
    <cellStyle name="Normal 3 5 2 2 4 2 2 3" xfId="21959"/>
    <cellStyle name="Normal 4 4 2 2 4 2 2 3" xfId="21960"/>
    <cellStyle name="Normal 5 4 2 2 4 2 2 3" xfId="21961"/>
    <cellStyle name="Normal 7 4 2 2 4 2 2 3" xfId="21962"/>
    <cellStyle name="Normal 2 3 2 2 2 4 2 2 3" xfId="21963"/>
    <cellStyle name="Normal 3 3 2 2 2 4 2 2 3" xfId="21964"/>
    <cellStyle name="Normal 4 2 2 2 2 4 2 2 3" xfId="21965"/>
    <cellStyle name="Normal 5 2 2 2 2 4 2 2 3" xfId="21966"/>
    <cellStyle name="Normal 7 2 2 2 2 4 2 2 3" xfId="21967"/>
    <cellStyle name="Normal 2 4 2 2 2 4 2 2 3" xfId="21968"/>
    <cellStyle name="Normal 3 4 2 2 2 4 2 2 3" xfId="21969"/>
    <cellStyle name="Normal 4 3 2 2 2 4 2 2 3" xfId="21970"/>
    <cellStyle name="Normal 5 3 2 2 2 4 2 2 3" xfId="21971"/>
    <cellStyle name="Normal 7 3 2 2 2 4 2 2 3" xfId="21972"/>
    <cellStyle name="Normal 2 6 2 2 4 2 2 3" xfId="21973"/>
    <cellStyle name="Normal 3 6 2 2 4 2 2 3" xfId="21974"/>
    <cellStyle name="Normal 4 5 2 2 4 2 2 3" xfId="21975"/>
    <cellStyle name="Normal 5 5 2 2 4 2 2 3" xfId="21976"/>
    <cellStyle name="Normal 7 5 2 2 4 2 2 3" xfId="21977"/>
    <cellStyle name="Normal 2 3 3 2 2 4 2 2 3" xfId="21978"/>
    <cellStyle name="Normal 3 3 3 2 2 4 2 2 3" xfId="21979"/>
    <cellStyle name="Normal 4 2 3 2 2 4 2 2 3" xfId="21980"/>
    <cellStyle name="Normal 5 2 3 2 2 4 2 2 3" xfId="21981"/>
    <cellStyle name="Normal 7 2 3 2 2 4 2 2 3" xfId="21982"/>
    <cellStyle name="Normal 2 4 3 2 2 4 2 2 3" xfId="21983"/>
    <cellStyle name="Normal 3 4 3 2 2 4 2 2 3" xfId="21984"/>
    <cellStyle name="Normal 4 3 3 2 2 4 2 2 3" xfId="21985"/>
    <cellStyle name="Normal 5 3 3 2 2 4 2 2 3" xfId="21986"/>
    <cellStyle name="Normal 7 3 3 2 2 4 2 2 3" xfId="21987"/>
    <cellStyle name="Normal 2 9 2 2 2 3" xfId="21988"/>
    <cellStyle name="Normal 3 9 2 2 2 3" xfId="21989"/>
    <cellStyle name="Normal 4 8 2 2 2 3" xfId="21990"/>
    <cellStyle name="Normal 5 8 2 2 2 3" xfId="21991"/>
    <cellStyle name="Normal 7 8 2 2 2 3" xfId="21992"/>
    <cellStyle name="Normal 2 3 6 2 2 2 3" xfId="21993"/>
    <cellStyle name="Normal 3 3 6 2 2 2 3" xfId="21994"/>
    <cellStyle name="Normal 4 2 6 2 2 2 3" xfId="21995"/>
    <cellStyle name="Normal 5 2 6 2 2 2 3" xfId="21996"/>
    <cellStyle name="Normal 7 2 6 2 2 2 3" xfId="21997"/>
    <cellStyle name="Normal 2 4 6 2 2 2 3" xfId="21998"/>
    <cellStyle name="Normal 3 4 6 2 2 2 3" xfId="21999"/>
    <cellStyle name="Normal 4 3 6 2 2 2 3" xfId="22000"/>
    <cellStyle name="Normal 5 3 6 2 2 2 3" xfId="22001"/>
    <cellStyle name="Normal 7 3 6 2 2 2 3" xfId="22002"/>
    <cellStyle name="Normal 2 5 4 2 2 2 3" xfId="22003"/>
    <cellStyle name="Normal 3 5 4 2 2 2 3" xfId="22004"/>
    <cellStyle name="Normal 4 4 4 2 2 2 3" xfId="22005"/>
    <cellStyle name="Normal 5 4 4 2 2 2 3" xfId="22006"/>
    <cellStyle name="Normal 7 4 4 2 2 2 3" xfId="22007"/>
    <cellStyle name="Normal 2 3 2 4 2 2 2 3" xfId="22008"/>
    <cellStyle name="Normal 3 3 2 4 2 2 2 3" xfId="22009"/>
    <cellStyle name="Normal 4 2 2 4 2 2 2 3" xfId="22010"/>
    <cellStyle name="Normal 5 2 2 4 2 2 2 3" xfId="22011"/>
    <cellStyle name="Normal 7 2 2 4 2 2 2 3" xfId="22012"/>
    <cellStyle name="Normal 2 4 2 4 2 2 2 3" xfId="22013"/>
    <cellStyle name="Normal 3 4 2 4 2 2 2 3" xfId="22014"/>
    <cellStyle name="Normal 4 3 2 4 2 2 2 3" xfId="22015"/>
    <cellStyle name="Normal 5 3 2 4 2 2 2 3" xfId="22016"/>
    <cellStyle name="Normal 7 3 2 4 2 2 2 3" xfId="22017"/>
    <cellStyle name="Normal 2 6 4 2 2 2 3" xfId="22018"/>
    <cellStyle name="Normal 3 6 4 2 2 2 3" xfId="22019"/>
    <cellStyle name="Normal 4 5 4 2 2 2 3" xfId="22020"/>
    <cellStyle name="Normal 5 5 4 2 2 2 3" xfId="22021"/>
    <cellStyle name="Normal 7 5 4 2 2 2 3" xfId="22022"/>
    <cellStyle name="Normal 2 3 3 4 2 2 2 3" xfId="22023"/>
    <cellStyle name="Normal 3 3 3 4 2 2 2 3" xfId="22024"/>
    <cellStyle name="Normal 4 2 3 4 2 2 2 3" xfId="22025"/>
    <cellStyle name="Normal 5 2 3 4 2 2 2 3" xfId="22026"/>
    <cellStyle name="Normal 7 2 3 4 2 2 2 3" xfId="22027"/>
    <cellStyle name="Normal 2 4 3 4 2 2 2 3" xfId="22028"/>
    <cellStyle name="Normal 3 4 3 4 2 2 2 3" xfId="22029"/>
    <cellStyle name="Normal 4 3 3 4 2 2 2 3" xfId="22030"/>
    <cellStyle name="Normal 5 3 3 4 2 2 2 3" xfId="22031"/>
    <cellStyle name="Normal 7 3 3 4 2 2 2 3" xfId="22032"/>
    <cellStyle name="Normal 2 7 3 2 2 2 3" xfId="22033"/>
    <cellStyle name="Normal 3 7 3 2 2 2 3" xfId="22034"/>
    <cellStyle name="Normal 4 6 3 2 2 2 3" xfId="22035"/>
    <cellStyle name="Normal 5 6 3 2 2 2 3" xfId="22036"/>
    <cellStyle name="Normal 7 6 3 2 2 2 3" xfId="22037"/>
    <cellStyle name="Normal 2 3 4 3 2 2 2 3" xfId="22038"/>
    <cellStyle name="Normal 3 3 4 3 2 2 2 3" xfId="22039"/>
    <cellStyle name="Normal 4 2 4 3 2 2 2 3" xfId="22040"/>
    <cellStyle name="Normal 5 2 4 3 2 2 2 3" xfId="22041"/>
    <cellStyle name="Normal 7 2 4 3 2 2 2 3" xfId="22042"/>
    <cellStyle name="Normal 2 4 4 3 2 2 2 3" xfId="22043"/>
    <cellStyle name="Normal 3 4 4 3 2 2 2 3" xfId="22044"/>
    <cellStyle name="Normal 4 3 4 3 2 2 2 3" xfId="22045"/>
    <cellStyle name="Normal 5 3 4 3 2 2 2 3" xfId="22046"/>
    <cellStyle name="Normal 7 3 4 3 2 2 2 3" xfId="22047"/>
    <cellStyle name="Normal 2 5 2 3 2 2 2 3" xfId="22048"/>
    <cellStyle name="Normal 3 5 2 3 2 2 2 3" xfId="22049"/>
    <cellStyle name="Normal 4 4 2 3 2 2 2 3" xfId="22050"/>
    <cellStyle name="Normal 5 4 2 3 2 2 2 3" xfId="22051"/>
    <cellStyle name="Normal 7 4 2 3 2 2 2 3" xfId="22052"/>
    <cellStyle name="Normal 2 3 2 2 3 2 2 2 3" xfId="22053"/>
    <cellStyle name="Normal 3 3 2 2 3 2 2 2 3" xfId="22054"/>
    <cellStyle name="Normal 4 2 2 2 3 2 2 2 3" xfId="22055"/>
    <cellStyle name="Normal 5 2 2 2 3 2 2 2 3" xfId="22056"/>
    <cellStyle name="Normal 7 2 2 2 3 2 2 2 3" xfId="22057"/>
    <cellStyle name="Normal 2 4 2 2 3 2 2 2 3" xfId="22058"/>
    <cellStyle name="Normal 3 4 2 2 3 2 2 2 3" xfId="22059"/>
    <cellStyle name="Normal 4 3 2 2 3 2 2 2 3" xfId="22060"/>
    <cellStyle name="Normal 5 3 2 2 3 2 2 2 3" xfId="22061"/>
    <cellStyle name="Normal 7 3 2 2 3 2 2 2 3" xfId="22062"/>
    <cellStyle name="Normal 2 6 2 3 2 2 2 3" xfId="22063"/>
    <cellStyle name="Normal 3 6 2 3 2 2 2 3" xfId="22064"/>
    <cellStyle name="Normal 4 5 2 3 2 2 2 3" xfId="22065"/>
    <cellStyle name="Normal 5 5 2 3 2 2 2 3" xfId="22066"/>
    <cellStyle name="Normal 7 5 2 3 2 2 2 3" xfId="22067"/>
    <cellStyle name="Normal 2 3 3 2 3 2 2 2 3" xfId="22068"/>
    <cellStyle name="Normal 3 3 3 2 3 2 2 2 3" xfId="22069"/>
    <cellStyle name="Normal 4 2 3 2 3 2 2 2 3" xfId="22070"/>
    <cellStyle name="Normal 5 2 3 2 3 2 2 2 3" xfId="22071"/>
    <cellStyle name="Normal 7 2 3 2 3 2 2 2 3" xfId="22072"/>
    <cellStyle name="Normal 2 4 3 2 3 2 2 2 3" xfId="22073"/>
    <cellStyle name="Normal 3 4 3 2 3 2 2 2 3" xfId="22074"/>
    <cellStyle name="Normal 4 3 3 2 3 2 2 2 3" xfId="22075"/>
    <cellStyle name="Normal 5 3 3 2 3 2 2 2 3" xfId="22076"/>
    <cellStyle name="Normal 7 3 3 2 3 2 2 2 3" xfId="22077"/>
    <cellStyle name="Normal 2 8 2 2 2 2 3" xfId="22078"/>
    <cellStyle name="Normal 3 8 2 2 2 2 3" xfId="22079"/>
    <cellStyle name="Normal 4 7 2 2 2 2 3" xfId="22080"/>
    <cellStyle name="Normal 5 7 2 2 2 2 3" xfId="22081"/>
    <cellStyle name="Normal 7 7 2 2 2 2 3" xfId="22082"/>
    <cellStyle name="Normal 2 3 5 2 2 2 2 3" xfId="22083"/>
    <cellStyle name="Normal 3 3 5 2 2 2 2 3" xfId="22084"/>
    <cellStyle name="Normal 4 2 5 2 2 2 2 3" xfId="22085"/>
    <cellStyle name="Normal 5 2 5 2 2 2 2 3" xfId="22086"/>
    <cellStyle name="Normal 7 2 5 2 2 2 2 3" xfId="22087"/>
    <cellStyle name="Normal 2 4 5 2 2 2 2 3" xfId="22088"/>
    <cellStyle name="Normal 3 4 5 2 2 2 2 3" xfId="22089"/>
    <cellStyle name="Normal 4 3 5 2 2 2 2 3" xfId="22090"/>
    <cellStyle name="Normal 5 3 5 2 2 2 2 3" xfId="22091"/>
    <cellStyle name="Normal 7 3 5 2 2 2 2 3" xfId="22092"/>
    <cellStyle name="Normal 2 5 3 2 2 2 2 3" xfId="22093"/>
    <cellStyle name="Normal 3 5 3 2 2 2 2 3" xfId="22094"/>
    <cellStyle name="Normal 4 4 3 2 2 2 2 3" xfId="22095"/>
    <cellStyle name="Normal 5 4 3 2 2 2 2 3" xfId="22096"/>
    <cellStyle name="Normal 7 4 3 2 2 2 2 3" xfId="22097"/>
    <cellStyle name="Normal 2 3 2 3 2 2 2 2 3" xfId="22098"/>
    <cellStyle name="Normal 3 3 2 3 2 2 2 2 3" xfId="22099"/>
    <cellStyle name="Normal 4 2 2 3 2 2 2 2 3" xfId="22100"/>
    <cellStyle name="Normal 5 2 2 3 2 2 2 2 3" xfId="22101"/>
    <cellStyle name="Normal 7 2 2 3 2 2 2 2 3" xfId="22102"/>
    <cellStyle name="Normal 2 4 2 3 2 2 2 2 3" xfId="22103"/>
    <cellStyle name="Normal 3 4 2 3 2 2 2 2 3" xfId="22104"/>
    <cellStyle name="Normal 4 3 2 3 2 2 2 2 3" xfId="22105"/>
    <cellStyle name="Normal 5 3 2 3 2 2 2 2 3" xfId="22106"/>
    <cellStyle name="Normal 7 3 2 3 2 2 2 2 3" xfId="22107"/>
    <cellStyle name="Normal 2 6 3 2 2 2 2 3" xfId="22108"/>
    <cellStyle name="Normal 3 6 3 2 2 2 2 3" xfId="22109"/>
    <cellStyle name="Normal 4 5 3 2 2 2 2 3" xfId="22110"/>
    <cellStyle name="Normal 5 5 3 2 2 2 2 3" xfId="22111"/>
    <cellStyle name="Normal 7 5 3 2 2 2 2 3" xfId="22112"/>
    <cellStyle name="Normal 2 3 3 3 2 2 2 2 3" xfId="22113"/>
    <cellStyle name="Normal 3 3 3 3 2 2 2 2 3" xfId="22114"/>
    <cellStyle name="Normal 4 2 3 3 2 2 2 2 3" xfId="22115"/>
    <cellStyle name="Normal 5 2 3 3 2 2 2 2 3" xfId="22116"/>
    <cellStyle name="Normal 7 2 3 3 2 2 2 2 3" xfId="22117"/>
    <cellStyle name="Normal 2 4 3 3 2 2 2 2 3" xfId="22118"/>
    <cellStyle name="Normal 3 4 3 3 2 2 2 2 3" xfId="22119"/>
    <cellStyle name="Normal 4 3 3 3 2 2 2 2 3" xfId="22120"/>
    <cellStyle name="Normal 5 3 3 3 2 2 2 2 3" xfId="22121"/>
    <cellStyle name="Normal 7 3 3 3 2 2 2 2 3" xfId="22122"/>
    <cellStyle name="Normal 2 7 2 2 2 2 2 3" xfId="22123"/>
    <cellStyle name="Normal 3 7 2 2 2 2 2 3" xfId="22124"/>
    <cellStyle name="Normal 4 6 2 2 2 2 2 3" xfId="22125"/>
    <cellStyle name="Normal 5 6 2 2 2 2 2 3" xfId="22126"/>
    <cellStyle name="Normal 7 6 2 2 2 2 2 3" xfId="22127"/>
    <cellStyle name="Normal 2 3 4 2 2 2 2 2 3" xfId="22128"/>
    <cellStyle name="Normal 3 3 4 2 2 2 2 2 3" xfId="22129"/>
    <cellStyle name="Normal 4 2 4 2 2 2 2 2 3" xfId="22130"/>
    <cellStyle name="Normal 5 2 4 2 2 2 2 2 3" xfId="22131"/>
    <cellStyle name="Normal 7 2 4 2 2 2 2 2 3" xfId="22132"/>
    <cellStyle name="Normal 2 4 4 2 2 2 2 2 3" xfId="22133"/>
    <cellStyle name="Normal 3 4 4 2 2 2 2 2 3" xfId="22134"/>
    <cellStyle name="Normal 4 3 4 2 2 2 2 2 3" xfId="22135"/>
    <cellStyle name="Normal 5 3 4 2 2 2 2 2 3" xfId="22136"/>
    <cellStyle name="Normal 7 3 4 2 2 2 2 2 3" xfId="22137"/>
    <cellStyle name="Normal 2 5 2 2 2 2 2 2 3" xfId="22138"/>
    <cellStyle name="Normal 3 5 2 2 2 2 2 2 3" xfId="22139"/>
    <cellStyle name="Normal 4 4 2 2 2 2 2 2 3" xfId="22140"/>
    <cellStyle name="Normal 5 4 2 2 2 2 2 2 3" xfId="22141"/>
    <cellStyle name="Normal 7 4 2 2 2 2 2 2 3" xfId="22142"/>
    <cellStyle name="Normal 2 3 2 2 2 2 2 2 2 3" xfId="22143"/>
    <cellStyle name="Normal 3 3 2 2 2 2 2 2 2 3" xfId="22144"/>
    <cellStyle name="Normal 4 2 2 2 2 2 2 2 2 3" xfId="22145"/>
    <cellStyle name="Normal 5 2 2 2 2 2 2 2 2 3" xfId="22146"/>
    <cellStyle name="Normal 7 2 2 2 2 2 2 2 2 3" xfId="22147"/>
    <cellStyle name="Normal 2 4 2 2 2 2 2 2 2 3" xfId="22148"/>
    <cellStyle name="Normal 3 4 2 2 2 2 2 2 2 3" xfId="22149"/>
    <cellStyle name="Normal 4 3 2 2 2 2 2 2 2 3" xfId="22150"/>
    <cellStyle name="Normal 5 3 2 2 2 2 2 2 2 3" xfId="22151"/>
    <cellStyle name="Normal 7 3 2 2 2 2 2 2 2 3" xfId="22152"/>
    <cellStyle name="Normal 2 6 2 2 2 2 2 2 3" xfId="22153"/>
    <cellStyle name="Normal 3 6 2 2 2 2 2 2 3" xfId="22154"/>
    <cellStyle name="Normal 4 5 2 2 2 2 2 2 3" xfId="22155"/>
    <cellStyle name="Normal 5 5 2 2 2 2 2 2 3" xfId="22156"/>
    <cellStyle name="Normal 7 5 2 2 2 2 2 2 3" xfId="22157"/>
    <cellStyle name="Normal 2 3 3 2 2 2 2 2 2 3" xfId="22158"/>
    <cellStyle name="Normal 3 3 3 2 2 2 2 2 2 3" xfId="22159"/>
    <cellStyle name="Normal 4 2 3 2 2 2 2 2 2 3" xfId="22160"/>
    <cellStyle name="Normal 5 2 3 2 2 2 2 2 2 3" xfId="22161"/>
    <cellStyle name="Normal 7 2 3 2 2 2 2 2 2 3" xfId="22162"/>
    <cellStyle name="Normal 2 4 3 2 2 2 2 2 2 3" xfId="22163"/>
    <cellStyle name="Normal 3 4 3 2 2 2 2 2 2 3" xfId="22164"/>
    <cellStyle name="Normal 4 3 3 2 2 2 2 2 2 3" xfId="22165"/>
    <cellStyle name="Normal 5 3 3 2 2 2 2 2 2 3" xfId="22166"/>
    <cellStyle name="Normal 7 3 3 2 2 2 2 2 2 3" xfId="22167"/>
    <cellStyle name="Normal 28 2 2 2 3" xfId="22168"/>
    <cellStyle name="Normal 2 3 7 2 2 2 3" xfId="22169"/>
    <cellStyle name="Normal 3 10 2 2 2 3" xfId="22170"/>
    <cellStyle name="Normal 4 9 2 2 2 3" xfId="22171"/>
    <cellStyle name="Normal 5 9 2 2 2 3" xfId="22172"/>
    <cellStyle name="Millares 4 2 2 2 3" xfId="22173"/>
    <cellStyle name="Normal 7 2 7 2 2 2 3" xfId="22174"/>
    <cellStyle name="Normal 3 3 7 2 2 2 3" xfId="22175"/>
    <cellStyle name="Normal 4 2 7 2 2 2 3" xfId="22176"/>
    <cellStyle name="Normal 5 2 7 2 2 2 3" xfId="22177"/>
    <cellStyle name="Normal 2 4 5 3 2 2 2 3" xfId="22178"/>
    <cellStyle name="Normal 3 4 7 2 2 2 3" xfId="22179"/>
    <cellStyle name="Normal 4 3 7 2 2 2 3" xfId="22180"/>
    <cellStyle name="Normal 5 3 7 2 2 2 3" xfId="22181"/>
    <cellStyle name="Normal 7 3 7 2 2 2 3" xfId="22182"/>
    <cellStyle name="Normal 2 5 5 2 2 2 3" xfId="22183"/>
    <cellStyle name="Normal 3 5 5 2 2 2 3" xfId="22184"/>
    <cellStyle name="Normal 4 4 5 2 2 2 3" xfId="22185"/>
    <cellStyle name="Normal 5 4 5 2 2 2 3" xfId="22186"/>
    <cellStyle name="Normal 7 4 5 2 2 2 3" xfId="22187"/>
    <cellStyle name="Normal 2 3 2 5 2 2 2 3" xfId="22188"/>
    <cellStyle name="Normal 3 3 2 5 2 2 2 3" xfId="22189"/>
    <cellStyle name="Normal 4 2 2 5 2 2 2 3" xfId="22190"/>
    <cellStyle name="Normal 5 2 2 5 2 2 2 3" xfId="22191"/>
    <cellStyle name="Normal 7 2 2 5 2 2 2 3" xfId="22192"/>
    <cellStyle name="Normal 2 4 2 5 2 2 2 3" xfId="22193"/>
    <cellStyle name="Normal 3 4 2 5 2 2 2 3" xfId="22194"/>
    <cellStyle name="Normal 4 3 2 5 2 2 2 3" xfId="22195"/>
    <cellStyle name="Normal 5 3 2 5 2 2 2 3" xfId="22196"/>
    <cellStyle name="Normal 7 3 2 5 2 2 2 3" xfId="22197"/>
    <cellStyle name="Normal 2 6 5 2 2 2 3" xfId="22198"/>
    <cellStyle name="Normal 3 6 5 2 2 2 3" xfId="22199"/>
    <cellStyle name="Normal 4 5 5 2 2 2 3" xfId="22200"/>
    <cellStyle name="Normal 5 5 5 2 2 2 3" xfId="22201"/>
    <cellStyle name="Normal 7 5 5 2 2 2 3" xfId="22202"/>
    <cellStyle name="Normal 2 3 3 5 2 2 2 3" xfId="22203"/>
    <cellStyle name="Normal 3 3 3 5 2 2 2 3" xfId="22204"/>
    <cellStyle name="Normal 4 2 3 5 2 2 2 3" xfId="22205"/>
    <cellStyle name="Normal 5 2 3 5 2 2 2 3" xfId="22206"/>
    <cellStyle name="Normal 7 2 3 5 2 2 2 3" xfId="22207"/>
    <cellStyle name="Normal 2 4 3 5 2 2 2 3" xfId="22208"/>
    <cellStyle name="Normal 3 4 3 5 2 2 2 3" xfId="22209"/>
    <cellStyle name="Normal 4 3 3 5 2 2 2 3" xfId="22210"/>
    <cellStyle name="Normal 5 3 3 5 2 2 2 3" xfId="22211"/>
    <cellStyle name="Normal 7 3 3 5 2 2 2 3" xfId="22212"/>
    <cellStyle name="Normal 2 7 4 2 2 2 3" xfId="22213"/>
    <cellStyle name="Normal 3 7 4 2 2 2 3" xfId="22214"/>
    <cellStyle name="Normal 4 6 4 2 2 2 3" xfId="22215"/>
    <cellStyle name="Normal 5 6 4 2 2 2 3" xfId="22216"/>
    <cellStyle name="Normal 7 6 4 2 2 2 3" xfId="22217"/>
    <cellStyle name="Normal 2 3 4 4 2 2 2 3" xfId="22218"/>
    <cellStyle name="Normal 3 3 4 4 2 2 2 3" xfId="22219"/>
    <cellStyle name="Normal 4 2 4 4 2 2 2 3" xfId="22220"/>
    <cellStyle name="Normal 5 2 4 4 2 2 2 3" xfId="22221"/>
    <cellStyle name="Normal 7 2 4 4 2 2 2 3" xfId="22222"/>
    <cellStyle name="Normal 2 4 4 4 2 2 2 3" xfId="22223"/>
    <cellStyle name="Normal 3 4 4 4 2 2 2 3" xfId="22224"/>
    <cellStyle name="Normal 4 3 4 4 2 2 2 3" xfId="22225"/>
    <cellStyle name="Normal 5 3 4 4 2 2 2 3" xfId="22226"/>
    <cellStyle name="Normal 7 3 4 4 2 2 2 3" xfId="22227"/>
    <cellStyle name="Normal 2 5 2 4 2 2 2 3" xfId="22228"/>
    <cellStyle name="Normal 3 5 2 4 2 2 2 3" xfId="22229"/>
    <cellStyle name="Normal 4 4 2 4 2 2 2 3" xfId="22230"/>
    <cellStyle name="Normal 5 4 2 4 2 2 2 3" xfId="22231"/>
    <cellStyle name="Normal 7 4 2 4 2 2 2 3" xfId="22232"/>
    <cellStyle name="Normal 2 3 2 2 4 2 2 2 3" xfId="22233"/>
    <cellStyle name="Normal 3 3 2 2 4 2 2 2 3" xfId="22234"/>
    <cellStyle name="Normal 4 2 2 2 4 2 2 2 3" xfId="22235"/>
    <cellStyle name="Normal 5 2 2 2 4 2 2 2 3" xfId="22236"/>
    <cellStyle name="Normal 7 2 2 2 4 2 2 2 3" xfId="22237"/>
    <cellStyle name="Normal 2 4 2 2 4 2 2 2 3" xfId="22238"/>
    <cellStyle name="Normal 3 4 2 2 4 2 2 2 3" xfId="22239"/>
    <cellStyle name="Normal 4 3 2 2 4 2 2 2 3" xfId="22240"/>
    <cellStyle name="Normal 5 3 2 2 4 2 2 2 3" xfId="22241"/>
    <cellStyle name="Normal 7 3 2 2 4 2 2 2 3" xfId="22242"/>
    <cellStyle name="Normal 2 6 2 4 2 2 2 3" xfId="22243"/>
    <cellStyle name="Normal 3 6 2 4 2 2 2 3" xfId="22244"/>
    <cellStyle name="Normal 4 5 2 4 2 2 2 3" xfId="22245"/>
    <cellStyle name="Normal 5 5 2 4 2 2 2 3" xfId="22246"/>
    <cellStyle name="Normal 7 5 2 4 2 2 2 3" xfId="22247"/>
    <cellStyle name="Normal 2 3 3 2 4 2 2 2 3" xfId="22248"/>
    <cellStyle name="Normal 3 3 3 2 4 2 2 2 3" xfId="22249"/>
    <cellStyle name="Normal 4 2 3 2 4 2 2 2 3" xfId="22250"/>
    <cellStyle name="Normal 5 2 3 2 4 2 2 2 3" xfId="22251"/>
    <cellStyle name="Normal 7 2 3 2 4 2 2 2 3" xfId="22252"/>
    <cellStyle name="Normal 2 4 3 2 4 2 2 2 3" xfId="22253"/>
    <cellStyle name="Normal 3 4 3 2 4 2 2 2 3" xfId="22254"/>
    <cellStyle name="Normal 4 3 3 2 4 2 2 2 3" xfId="22255"/>
    <cellStyle name="Normal 5 3 3 2 4 2 2 2 3" xfId="22256"/>
    <cellStyle name="Normal 7 3 3 2 4 2 2 2 3" xfId="22257"/>
    <cellStyle name="Normal 2 8 3 2 2 2 3" xfId="22258"/>
    <cellStyle name="Normal 3 8 3 2 2 2 3" xfId="22259"/>
    <cellStyle name="Normal 4 7 3 2 2 2 3" xfId="22260"/>
    <cellStyle name="Normal 5 7 3 2 2 2 3" xfId="22261"/>
    <cellStyle name="Normal 7 7 3 2 2 2 3" xfId="22262"/>
    <cellStyle name="Normal 2 3 5 3 2 2 2 3" xfId="22263"/>
    <cellStyle name="Normal 3 3 5 3 2 2 2 3" xfId="22264"/>
    <cellStyle name="Normal 4 2 5 3 2 2 2 3" xfId="22265"/>
    <cellStyle name="Normal 5 2 5 3 2 2 2 3" xfId="22266"/>
    <cellStyle name="Normal 7 2 5 3 2 2 2 3" xfId="22267"/>
    <cellStyle name="Normal 3 4 5 3 2 2 2 3" xfId="22268"/>
    <cellStyle name="Normal 4 3 5 3 2 2 2 3" xfId="22269"/>
    <cellStyle name="Normal 5 3 5 3 2 2 2 3" xfId="22270"/>
    <cellStyle name="Normal 7 3 5 3 2 2 2 3" xfId="22271"/>
    <cellStyle name="Normal 2 5 3 3 2 2 2 3" xfId="22272"/>
    <cellStyle name="Normal 3 5 3 3 2 2 2 3" xfId="22273"/>
    <cellStyle name="Normal 4 4 3 3 2 2 2 3" xfId="22274"/>
    <cellStyle name="Normal 5 4 3 3 2 2 2 3" xfId="22275"/>
    <cellStyle name="Normal 7 4 3 3 2 2 2 3" xfId="22276"/>
    <cellStyle name="Normal 2 3 2 3 3 2 2 2 3" xfId="22277"/>
    <cellStyle name="Normal 3 3 2 3 3 2 2 2 3" xfId="22278"/>
    <cellStyle name="Normal 4 2 2 3 3 2 2 2 3" xfId="22279"/>
    <cellStyle name="Normal 5 2 2 3 3 2 2 2 3" xfId="22280"/>
    <cellStyle name="Normal 7 2 2 3 3 2 2 2 3" xfId="22281"/>
    <cellStyle name="Normal 2 4 2 3 3 2 2 2 3" xfId="22282"/>
    <cellStyle name="Normal 3 4 2 3 3 2 2 2 3" xfId="22283"/>
    <cellStyle name="Normal 4 3 2 3 3 2 2 2 3" xfId="22284"/>
    <cellStyle name="Normal 5 3 2 3 3 2 2 2 3" xfId="22285"/>
    <cellStyle name="Normal 7 3 2 3 3 2 2 2 3" xfId="22286"/>
    <cellStyle name="Normal 2 6 3 3 2 2 2 3" xfId="22287"/>
    <cellStyle name="Normal 3 6 3 3 2 2 2 3" xfId="22288"/>
    <cellStyle name="Normal 4 5 3 3 2 2 2 3" xfId="22289"/>
    <cellStyle name="Normal 5 5 3 3 2 2 2 3" xfId="22290"/>
    <cellStyle name="Normal 7 5 3 3 2 2 2 3" xfId="22291"/>
    <cellStyle name="Normal 2 3 3 3 3 2 2 2 3" xfId="22292"/>
    <cellStyle name="Normal 3 3 3 3 3 2 2 2 3" xfId="22293"/>
    <cellStyle name="Normal 4 2 3 3 3 2 2 2 3" xfId="22294"/>
    <cellStyle name="Normal 5 2 3 3 3 2 2 2 3" xfId="22295"/>
    <cellStyle name="Normal 7 2 3 3 3 2 2 2 3" xfId="22296"/>
    <cellStyle name="Normal 2 4 3 3 3 2 2 2 3" xfId="22297"/>
    <cellStyle name="Normal 3 4 3 3 3 2 2 2 3" xfId="22298"/>
    <cellStyle name="Normal 4 3 3 3 3 2 2 2 3" xfId="22299"/>
    <cellStyle name="Normal 5 3 3 3 3 2 2 2 3" xfId="22300"/>
    <cellStyle name="Normal 7 3 3 3 3 2 2 2 3" xfId="22301"/>
    <cellStyle name="Normal 2 7 2 3 2 2 2 3" xfId="22302"/>
    <cellStyle name="Normal 3 7 2 3 2 2 2 3" xfId="22303"/>
    <cellStyle name="Normal 4 6 2 3 2 2 2 3" xfId="22304"/>
    <cellStyle name="Normal 5 6 2 3 2 2 2 3" xfId="22305"/>
    <cellStyle name="Normal 7 6 2 3 2 2 2 3" xfId="22306"/>
    <cellStyle name="Normal 2 3 4 2 3 2 2 2 3" xfId="22307"/>
    <cellStyle name="Normal 3 3 4 2 3 2 2 2 3" xfId="22308"/>
    <cellStyle name="Normal 4 2 4 2 3 2 2 2 3" xfId="22309"/>
    <cellStyle name="Normal 5 2 4 2 3 2 2 2 3" xfId="22310"/>
    <cellStyle name="Normal 7 2 4 2 3 2 2 2 3" xfId="22311"/>
    <cellStyle name="Normal 2 4 4 2 3 2 2 2 3" xfId="22312"/>
    <cellStyle name="Normal 3 4 4 2 3 2 2 2 3" xfId="22313"/>
    <cellStyle name="Normal 4 3 4 2 3 2 2 2 3" xfId="22314"/>
    <cellStyle name="Normal 5 3 4 2 3 2 2 2 3" xfId="22315"/>
    <cellStyle name="Normal 7 3 4 2 3 2 2 2 3" xfId="22316"/>
    <cellStyle name="Normal 2 5 2 2 3 2 2 2 3" xfId="22317"/>
    <cellStyle name="Normal 3 5 2 2 3 2 2 2 3" xfId="22318"/>
    <cellStyle name="Normal 4 4 2 2 3 2 2 2 3" xfId="22319"/>
    <cellStyle name="Normal 5 4 2 2 3 2 2 2 3" xfId="22320"/>
    <cellStyle name="Normal 7 4 2 2 3 2 2 2 3" xfId="22321"/>
    <cellStyle name="Normal 2 3 2 2 2 3 2 2 2 3" xfId="22322"/>
    <cellStyle name="Normal 3 3 2 2 2 3 2 2 2 3" xfId="22323"/>
    <cellStyle name="Normal 4 2 2 2 2 3 2 2 2 3" xfId="22324"/>
    <cellStyle name="Normal 5 2 2 2 2 3 2 2 2 3" xfId="22325"/>
    <cellStyle name="Normal 7 2 2 2 2 3 2 2 2 3" xfId="22326"/>
    <cellStyle name="Normal 2 4 2 2 2 3 2 2 2 3" xfId="22327"/>
    <cellStyle name="Normal 3 4 2 2 2 3 2 2 2 3" xfId="22328"/>
    <cellStyle name="Normal 4 3 2 2 2 3 2 2 2 3" xfId="22329"/>
    <cellStyle name="Normal 5 3 2 2 2 3 2 2 2 3" xfId="22330"/>
    <cellStyle name="Normal 7 3 2 2 2 3 2 2 2 3" xfId="22331"/>
    <cellStyle name="Normal 2 6 2 2 3 2 2 2 3" xfId="22332"/>
    <cellStyle name="Normal 3 6 2 2 3 2 2 2 3" xfId="22333"/>
    <cellStyle name="Normal 4 5 2 2 3 2 2 2 3" xfId="22334"/>
    <cellStyle name="Normal 5 5 2 2 3 2 2 2 3" xfId="22335"/>
    <cellStyle name="Normal 7 5 2 2 3 2 2 2 3" xfId="22336"/>
    <cellStyle name="Normal 2 3 3 2 2 3 2 2 2 3" xfId="22337"/>
    <cellStyle name="Normal 3 3 3 2 2 3 2 2 2 3" xfId="22338"/>
    <cellStyle name="Normal 4 2 3 2 2 3 2 2 2 3" xfId="22339"/>
    <cellStyle name="Normal 5 2 3 2 2 3 2 2 2 3" xfId="22340"/>
    <cellStyle name="Normal 7 2 3 2 2 3 2 2 2 3" xfId="22341"/>
    <cellStyle name="Normal 2 4 3 2 2 3 2 2 2 3" xfId="22342"/>
    <cellStyle name="Normal 3 4 3 2 2 3 2 2 2 3" xfId="22343"/>
    <cellStyle name="Normal 4 3 3 2 2 3 2 2 2 3" xfId="22344"/>
    <cellStyle name="Normal 5 3 3 2 2 3 2 2 2 3" xfId="22345"/>
    <cellStyle name="Normal 7 3 3 2 2 3 2 2 2 3" xfId="22346"/>
    <cellStyle name="Normal 2 12 2 2 3" xfId="22347"/>
    <cellStyle name="Normal 3 12 2 2 3" xfId="22348"/>
    <cellStyle name="Normal 4 11 2 2 3" xfId="22349"/>
    <cellStyle name="Normal 5 11 2 2 3" xfId="22350"/>
    <cellStyle name="Normal 7 11 2 2 3" xfId="22351"/>
    <cellStyle name="Normal 2 3 9 2 2 3" xfId="22352"/>
    <cellStyle name="Normal 3 3 9 2 2 3" xfId="22353"/>
    <cellStyle name="Normal 4 2 9 2 2 3" xfId="22354"/>
    <cellStyle name="Normal 5 2 9 2 2 3" xfId="22355"/>
    <cellStyle name="Normal 7 2 9 2 2 3" xfId="22356"/>
    <cellStyle name="Normal 2 4 9 2 2 3" xfId="22357"/>
    <cellStyle name="Normal 3 4 9 2 2 3" xfId="22358"/>
    <cellStyle name="Normal 4 3 9 2 2 3" xfId="22359"/>
    <cellStyle name="Normal 5 3 9 2 2 3" xfId="22360"/>
    <cellStyle name="Normal 7 3 9 2 2 3" xfId="22361"/>
    <cellStyle name="Normal 2 5 7 2 2 3" xfId="22362"/>
    <cellStyle name="Normal 3 5 7 2 2 3" xfId="22363"/>
    <cellStyle name="Normal 4 4 7 2 2 3" xfId="22364"/>
    <cellStyle name="Normal 5 4 7 2 2 3" xfId="22365"/>
    <cellStyle name="Normal 7 4 7 2 2 3" xfId="22366"/>
    <cellStyle name="Normal 2 3 2 7 2 2 3" xfId="22367"/>
    <cellStyle name="Normal 3 3 2 7 2 2 3" xfId="22368"/>
    <cellStyle name="Normal 4 2 2 7 2 2 3" xfId="22369"/>
    <cellStyle name="Normal 5 2 2 7 2 2 3" xfId="22370"/>
    <cellStyle name="Normal 7 2 2 7 2 2 3" xfId="22371"/>
    <cellStyle name="Normal 2 4 2 7 2 2 3" xfId="22372"/>
    <cellStyle name="Normal 3 4 2 7 2 2 3" xfId="22373"/>
    <cellStyle name="Normal 4 3 2 7 2 2 3" xfId="22374"/>
    <cellStyle name="Normal 5 3 2 7 2 2 3" xfId="22375"/>
    <cellStyle name="Normal 7 3 2 7 2 2 3" xfId="22376"/>
    <cellStyle name="Normal 2 6 7 2 2 3" xfId="22377"/>
    <cellStyle name="Normal 3 6 7 2 2 3" xfId="22378"/>
    <cellStyle name="Normal 4 5 7 2 2 3" xfId="22379"/>
    <cellStyle name="Normal 5 5 7 2 2 3" xfId="22380"/>
    <cellStyle name="Normal 7 5 7 2 2 3" xfId="22381"/>
    <cellStyle name="Normal 2 3 3 7 2 2 3" xfId="22382"/>
    <cellStyle name="Normal 3 3 3 7 2 2 3" xfId="22383"/>
    <cellStyle name="Normal 4 2 3 7 2 2 3" xfId="22384"/>
    <cellStyle name="Normal 5 2 3 7 2 2 3" xfId="22385"/>
    <cellStyle name="Normal 7 2 3 7 2 2 3" xfId="22386"/>
    <cellStyle name="Normal 2 4 3 7 2 2 3" xfId="22387"/>
    <cellStyle name="Normal 3 4 3 7 2 2 3" xfId="22388"/>
    <cellStyle name="Normal 4 3 3 7 2 2 3" xfId="22389"/>
    <cellStyle name="Normal 5 3 3 7 2 2 3" xfId="22390"/>
    <cellStyle name="Normal 7 3 3 7 2 2 3" xfId="22391"/>
    <cellStyle name="Normal 2 7 6 2 2 3" xfId="22392"/>
    <cellStyle name="Normal 3 7 6 2 2 3" xfId="22393"/>
    <cellStyle name="Normal 4 6 6 2 2 3" xfId="22394"/>
    <cellStyle name="Normal 5 6 6 2 2 3" xfId="22395"/>
    <cellStyle name="Normal 7 6 6 2 2 3" xfId="22396"/>
    <cellStyle name="Normal 2 3 4 6 2 2 3" xfId="22397"/>
    <cellStyle name="Normal 3 3 4 6 2 2 3" xfId="22398"/>
    <cellStyle name="Normal 4 2 4 6 2 2 3" xfId="22399"/>
    <cellStyle name="Normal 5 2 4 6 2 2 3" xfId="22400"/>
    <cellStyle name="Normal 7 2 4 6 2 2 3" xfId="22401"/>
    <cellStyle name="Normal 2 4 4 6 2 2 3" xfId="22402"/>
    <cellStyle name="Normal 3 4 4 6 2 2 3" xfId="22403"/>
    <cellStyle name="Normal 4 3 4 6 2 2 3" xfId="22404"/>
    <cellStyle name="Normal 5 3 4 6 2 2 3" xfId="22405"/>
    <cellStyle name="Normal 7 3 4 6 2 2 3" xfId="22406"/>
    <cellStyle name="Normal 2 5 2 6 2 2 3" xfId="22407"/>
    <cellStyle name="Normal 3 5 2 6 2 2 3" xfId="22408"/>
    <cellStyle name="Normal 4 4 2 6 2 2 3" xfId="22409"/>
    <cellStyle name="Normal 5 4 2 6 2 2 3" xfId="22410"/>
    <cellStyle name="Normal 7 4 2 6 2 2 3" xfId="22411"/>
    <cellStyle name="Normal 2 3 2 2 6 2 2 3" xfId="22412"/>
    <cellStyle name="Normal 3 3 2 2 6 2 2 3" xfId="22413"/>
    <cellStyle name="Normal 4 2 2 2 6 2 2 3" xfId="22414"/>
    <cellStyle name="Normal 5 2 2 2 6 2 2 3" xfId="22415"/>
    <cellStyle name="Normal 7 2 2 2 6 2 2 3" xfId="22416"/>
    <cellStyle name="Normal 2 4 2 2 6 2 2 3" xfId="22417"/>
    <cellStyle name="Normal 3 4 2 2 6 2 2 3" xfId="22418"/>
    <cellStyle name="Normal 4 3 2 2 6 2 2 3" xfId="22419"/>
    <cellStyle name="Normal 5 3 2 2 6 2 2 3" xfId="22420"/>
    <cellStyle name="Normal 7 3 2 2 6 2 2 3" xfId="22421"/>
    <cellStyle name="Normal 2 6 2 6 2 2 3" xfId="22422"/>
    <cellStyle name="Normal 3 6 2 6 2 2 3" xfId="22423"/>
    <cellStyle name="Normal 4 5 2 6 2 2 3" xfId="22424"/>
    <cellStyle name="Normal 5 5 2 6 2 2 3" xfId="22425"/>
    <cellStyle name="Normal 7 5 2 6 2 2 3" xfId="22426"/>
    <cellStyle name="Normal 2 3 3 2 6 2 2 3" xfId="22427"/>
    <cellStyle name="Normal 3 3 3 2 6 2 2 3" xfId="22428"/>
    <cellStyle name="Normal 4 2 3 2 6 2 2 3" xfId="22429"/>
    <cellStyle name="Normal 5 2 3 2 6 2 2 3" xfId="22430"/>
    <cellStyle name="Normal 7 2 3 2 6 2 2 3" xfId="22431"/>
    <cellStyle name="Normal 2 4 3 2 6 2 2 3" xfId="22432"/>
    <cellStyle name="Normal 3 4 3 2 6 2 2 3" xfId="22433"/>
    <cellStyle name="Normal 4 3 3 2 6 2 2 3" xfId="22434"/>
    <cellStyle name="Normal 5 3 3 2 6 2 2 3" xfId="22435"/>
    <cellStyle name="Normal 7 3 3 2 6 2 2 3" xfId="22436"/>
    <cellStyle name="Normal 2 8 5 2 2 3" xfId="22437"/>
    <cellStyle name="Normal 3 8 5 2 2 3" xfId="22438"/>
    <cellStyle name="Normal 4 7 5 2 2 3" xfId="22439"/>
    <cellStyle name="Normal 5 7 5 2 2 3" xfId="22440"/>
    <cellStyle name="Normal 7 7 5 2 2 3" xfId="22441"/>
    <cellStyle name="Normal 2 3 5 5 2 2 3" xfId="22442"/>
    <cellStyle name="Normal 3 3 5 5 2 2 3" xfId="22443"/>
    <cellStyle name="Normal 4 2 5 5 2 2 3" xfId="22444"/>
    <cellStyle name="Normal 5 2 5 5 2 2 3" xfId="22445"/>
    <cellStyle name="Normal 7 2 5 5 2 2 3" xfId="22446"/>
    <cellStyle name="Normal 2 4 5 5 2 2 3" xfId="22447"/>
    <cellStyle name="Normal 3 4 5 5 2 2 3" xfId="22448"/>
    <cellStyle name="Normal 4 3 5 5 2 2 3" xfId="22449"/>
    <cellStyle name="Normal 5 3 5 5 2 2 3" xfId="22450"/>
    <cellStyle name="Normal 7 3 5 5 2 2 3" xfId="22451"/>
    <cellStyle name="Normal 2 5 3 5 2 2 3" xfId="22452"/>
    <cellStyle name="Normal 3 5 3 5 2 2 3" xfId="22453"/>
    <cellStyle name="Normal 4 4 3 5 2 2 3" xfId="22454"/>
    <cellStyle name="Normal 5 4 3 5 2 2 3" xfId="22455"/>
    <cellStyle name="Normal 7 4 3 5 2 2 3" xfId="22456"/>
    <cellStyle name="Normal 2 3 2 3 5 2 2 3" xfId="22457"/>
    <cellStyle name="Normal 3 3 2 3 5 2 2 3" xfId="22458"/>
    <cellStyle name="Normal 4 2 2 3 5 2 2 3" xfId="22459"/>
    <cellStyle name="Normal 5 2 2 3 5 2 2 3" xfId="22460"/>
    <cellStyle name="Normal 7 2 2 3 5 2 2 3" xfId="22461"/>
    <cellStyle name="Normal 2 4 2 3 5 2 2 3" xfId="22462"/>
    <cellStyle name="Normal 3 4 2 3 5 2 2 3" xfId="22463"/>
    <cellStyle name="Normal 4 3 2 3 5 2 2 3" xfId="22464"/>
    <cellStyle name="Normal 5 3 2 3 5 2 2 3" xfId="22465"/>
    <cellStyle name="Normal 7 3 2 3 5 2 2 3" xfId="22466"/>
    <cellStyle name="Normal 2 6 3 5 2 2 3" xfId="22467"/>
    <cellStyle name="Normal 3 6 3 5 2 2 3" xfId="22468"/>
    <cellStyle name="Normal 4 5 3 5 2 2 3" xfId="22469"/>
    <cellStyle name="Normal 5 5 3 5 2 2 3" xfId="22470"/>
    <cellStyle name="Normal 7 5 3 5 2 2 3" xfId="22471"/>
    <cellStyle name="Normal 2 3 3 3 5 2 2 3" xfId="22472"/>
    <cellStyle name="Normal 3 3 3 3 5 2 2 3" xfId="22473"/>
    <cellStyle name="Normal 4 2 3 3 5 2 2 3" xfId="22474"/>
    <cellStyle name="Normal 5 2 3 3 5 2 2 3" xfId="22475"/>
    <cellStyle name="Normal 7 2 3 3 5 2 2 3" xfId="22476"/>
    <cellStyle name="Normal 2 4 3 3 5 2 2 3" xfId="22477"/>
    <cellStyle name="Normal 3 4 3 3 5 2 2 3" xfId="22478"/>
    <cellStyle name="Normal 4 3 3 3 5 2 2 3" xfId="22479"/>
    <cellStyle name="Normal 5 3 3 3 5 2 2 3" xfId="22480"/>
    <cellStyle name="Normal 7 3 3 3 5 2 2 3" xfId="22481"/>
    <cellStyle name="Normal 2 7 2 5 2 2 3" xfId="22482"/>
    <cellStyle name="Normal 3 7 2 5 2 2 3" xfId="22483"/>
    <cellStyle name="Normal 4 6 2 5 2 2 3" xfId="22484"/>
    <cellStyle name="Normal 5 6 2 5 2 2 3" xfId="22485"/>
    <cellStyle name="Normal 7 6 2 5 2 2 3" xfId="22486"/>
    <cellStyle name="Normal 2 3 4 2 5 2 2 3" xfId="22487"/>
    <cellStyle name="Normal 3 3 4 2 5 2 2 3" xfId="22488"/>
    <cellStyle name="Normal 4 2 4 2 5 2 2 3" xfId="22489"/>
    <cellStyle name="Normal 5 2 4 2 5 2 2 3" xfId="22490"/>
    <cellStyle name="Normal 7 2 4 2 5 2 2 3" xfId="22491"/>
    <cellStyle name="Normal 2 4 4 2 5 2 2 3" xfId="22492"/>
    <cellStyle name="Normal 3 4 4 2 5 2 2 3" xfId="22493"/>
    <cellStyle name="Normal 4 3 4 2 5 2 2 3" xfId="22494"/>
    <cellStyle name="Normal 5 3 4 2 5 2 2 3" xfId="22495"/>
    <cellStyle name="Normal 7 3 4 2 5 2 2 3" xfId="22496"/>
    <cellStyle name="Normal 2 5 2 2 5 2 2 3" xfId="22497"/>
    <cellStyle name="Normal 3 5 2 2 5 2 2 3" xfId="22498"/>
    <cellStyle name="Normal 4 4 2 2 5 2 2 3" xfId="22499"/>
    <cellStyle name="Normal 5 4 2 2 5 2 2 3" xfId="22500"/>
    <cellStyle name="Normal 7 4 2 2 5 2 2 3" xfId="22501"/>
    <cellStyle name="Normal 2 3 2 2 2 5 2 2 3" xfId="22502"/>
    <cellStyle name="Normal 3 3 2 2 2 5 2 2 3" xfId="22503"/>
    <cellStyle name="Normal 4 2 2 2 2 5 2 2 3" xfId="22504"/>
    <cellStyle name="Normal 5 2 2 2 2 5 2 2 3" xfId="22505"/>
    <cellStyle name="Normal 7 2 2 2 2 5 2 2 3" xfId="22506"/>
    <cellStyle name="Normal 2 4 2 2 2 5 2 2 3" xfId="22507"/>
    <cellStyle name="Normal 3 4 2 2 2 5 2 2 3" xfId="22508"/>
    <cellStyle name="Normal 4 3 2 2 2 5 2 2 3" xfId="22509"/>
    <cellStyle name="Normal 5 3 2 2 2 5 2 2 3" xfId="22510"/>
    <cellStyle name="Normal 7 3 2 2 2 5 2 2 3" xfId="22511"/>
    <cellStyle name="Normal 2 6 2 2 5 2 2 3" xfId="22512"/>
    <cellStyle name="Normal 3 6 2 2 5 2 2 3" xfId="22513"/>
    <cellStyle name="Normal 4 5 2 2 5 2 2 3" xfId="22514"/>
    <cellStyle name="Normal 5 5 2 2 5 2 2 3" xfId="22515"/>
    <cellStyle name="Normal 7 5 2 2 5 2 2 3" xfId="22516"/>
    <cellStyle name="Normal 2 3 3 2 2 5 2 2 3" xfId="22517"/>
    <cellStyle name="Normal 3 3 3 2 2 5 2 2 3" xfId="22518"/>
    <cellStyle name="Normal 4 2 3 2 2 5 2 2 3" xfId="22519"/>
    <cellStyle name="Normal 5 2 3 2 2 5 2 2 3" xfId="22520"/>
    <cellStyle name="Normal 7 2 3 2 2 5 2 2 3" xfId="22521"/>
    <cellStyle name="Normal 2 4 3 2 2 5 2 2 3" xfId="22522"/>
    <cellStyle name="Normal 3 4 3 2 2 5 2 2 3" xfId="22523"/>
    <cellStyle name="Normal 4 3 3 2 2 5 2 2 3" xfId="22524"/>
    <cellStyle name="Normal 5 3 3 2 2 5 2 2 3" xfId="22525"/>
    <cellStyle name="Normal 7 3 3 2 2 5 2 2 3" xfId="22526"/>
    <cellStyle name="Normal 2 9 3 2 2 3" xfId="22527"/>
    <cellStyle name="Normal 3 9 3 2 2 3" xfId="22528"/>
    <cellStyle name="Normal 4 8 3 2 2 3" xfId="22529"/>
    <cellStyle name="Normal 5 8 3 2 2 3" xfId="22530"/>
    <cellStyle name="Normal 7 8 3 2 2 3" xfId="22531"/>
    <cellStyle name="Normal 2 3 6 3 2 2 3" xfId="22532"/>
    <cellStyle name="Normal 3 3 6 3 2 2 3" xfId="22533"/>
    <cellStyle name="Normal 4 2 6 3 2 2 3" xfId="22534"/>
    <cellStyle name="Normal 5 2 6 3 2 2 3" xfId="22535"/>
    <cellStyle name="Normal 7 2 6 3 2 2 3" xfId="22536"/>
    <cellStyle name="Normal 2 4 6 3 2 2 3" xfId="22537"/>
    <cellStyle name="Normal 3 4 6 3 2 2 3" xfId="22538"/>
    <cellStyle name="Normal 4 3 6 3 2 2 3" xfId="22539"/>
    <cellStyle name="Normal 5 3 6 3 2 2 3" xfId="22540"/>
    <cellStyle name="Normal 7 3 6 3 2 2 3" xfId="22541"/>
    <cellStyle name="Normal 2 5 4 3 2 2 3" xfId="22542"/>
    <cellStyle name="Normal 3 5 4 3 2 2 3" xfId="22543"/>
    <cellStyle name="Normal 4 4 4 3 2 2 3" xfId="22544"/>
    <cellStyle name="Normal 5 4 4 3 2 2 3" xfId="22545"/>
    <cellStyle name="Normal 7 4 4 3 2 2 3" xfId="22546"/>
    <cellStyle name="Normal 2 3 2 4 3 2 2 3" xfId="22547"/>
    <cellStyle name="Normal 3 3 2 4 3 2 2 3" xfId="22548"/>
    <cellStyle name="Normal 4 2 2 4 3 2 2 3" xfId="22549"/>
    <cellStyle name="Normal 5 2 2 4 3 2 2 3" xfId="22550"/>
    <cellStyle name="Normal 7 2 2 4 3 2 2 3" xfId="22551"/>
    <cellStyle name="Normal 2 4 2 4 3 2 2 3" xfId="22552"/>
    <cellStyle name="Normal 3 4 2 4 3 2 2 3" xfId="22553"/>
    <cellStyle name="Normal 4 3 2 4 3 2 2 3" xfId="22554"/>
    <cellStyle name="Normal 5 3 2 4 3 2 2 3" xfId="22555"/>
    <cellStyle name="Normal 7 3 2 4 3 2 2 3" xfId="22556"/>
    <cellStyle name="Normal 2 6 4 3 2 2 3" xfId="22557"/>
    <cellStyle name="Normal 3 6 4 3 2 2 3" xfId="22558"/>
    <cellStyle name="Normal 4 5 4 3 2 2 3" xfId="22559"/>
    <cellStyle name="Normal 5 5 4 3 2 2 3" xfId="22560"/>
    <cellStyle name="Normal 7 5 4 3 2 2 3" xfId="22561"/>
    <cellStyle name="Normal 2 3 3 4 3 2 2 3" xfId="22562"/>
    <cellStyle name="Normal 3 3 3 4 3 2 2 3" xfId="22563"/>
    <cellStyle name="Normal 4 2 3 4 3 2 2 3" xfId="22564"/>
    <cellStyle name="Normal 5 2 3 4 3 2 2 3" xfId="22565"/>
    <cellStyle name="Normal 7 2 3 4 3 2 2 3" xfId="22566"/>
    <cellStyle name="Normal 2 4 3 4 3 2 2 3" xfId="22567"/>
    <cellStyle name="Normal 3 4 3 4 3 2 2 3" xfId="22568"/>
    <cellStyle name="Normal 4 3 3 4 3 2 2 3" xfId="22569"/>
    <cellStyle name="Normal 5 3 3 4 3 2 2 3" xfId="22570"/>
    <cellStyle name="Normal 7 3 3 4 3 2 2 3" xfId="22571"/>
    <cellStyle name="Normal 2 7 3 3 2 2 3" xfId="22572"/>
    <cellStyle name="Normal 3 7 3 3 2 2 3" xfId="22573"/>
    <cellStyle name="Normal 4 6 3 3 2 2 3" xfId="22574"/>
    <cellStyle name="Normal 5 6 3 3 2 2 3" xfId="22575"/>
    <cellStyle name="Normal 7 6 3 3 2 2 3" xfId="22576"/>
    <cellStyle name="Normal 2 3 4 3 3 2 2 3" xfId="22577"/>
    <cellStyle name="Normal 3 3 4 3 3 2 2 3" xfId="22578"/>
    <cellStyle name="Normal 4 2 4 3 3 2 2 3" xfId="22579"/>
    <cellStyle name="Normal 5 2 4 3 3 2 2 3" xfId="22580"/>
    <cellStyle name="Normal 7 2 4 3 3 2 2 3" xfId="22581"/>
    <cellStyle name="Normal 2 4 4 3 3 2 2 3" xfId="22582"/>
    <cellStyle name="Normal 3 4 4 3 3 2 2 3" xfId="22583"/>
    <cellStyle name="Normal 4 3 4 3 3 2 2 3" xfId="22584"/>
    <cellStyle name="Normal 5 3 4 3 3 2 2 3" xfId="22585"/>
    <cellStyle name="Normal 7 3 4 3 3 2 2 3" xfId="22586"/>
    <cellStyle name="Normal 2 5 2 3 3 2 2 3" xfId="22587"/>
    <cellStyle name="Normal 3 5 2 3 3 2 2 3" xfId="22588"/>
    <cellStyle name="Normal 4 4 2 3 3 2 2 3" xfId="22589"/>
    <cellStyle name="Normal 5 4 2 3 3 2 2 3" xfId="22590"/>
    <cellStyle name="Normal 7 4 2 3 3 2 2 3" xfId="22591"/>
    <cellStyle name="Normal 2 3 2 2 3 3 2 2 3" xfId="22592"/>
    <cellStyle name="Normal 3 3 2 2 3 3 2 2 3" xfId="22593"/>
    <cellStyle name="Normal 4 2 2 2 3 3 2 2 3" xfId="22594"/>
    <cellStyle name="Normal 5 2 2 2 3 3 2 2 3" xfId="22595"/>
    <cellStyle name="Normal 7 2 2 2 3 3 2 2 3" xfId="22596"/>
    <cellStyle name="Normal 2 4 2 2 3 3 2 2 3" xfId="22597"/>
    <cellStyle name="Normal 3 4 2 2 3 3 2 2 3" xfId="22598"/>
    <cellStyle name="Normal 4 3 2 2 3 3 2 2 3" xfId="22599"/>
    <cellStyle name="Normal 5 3 2 2 3 3 2 2 3" xfId="22600"/>
    <cellStyle name="Normal 7 3 2 2 3 3 2 2 3" xfId="22601"/>
    <cellStyle name="Normal 2 6 2 3 3 2 2 3" xfId="22602"/>
    <cellStyle name="Normal 3 6 2 3 3 2 2 3" xfId="22603"/>
    <cellStyle name="Normal 4 5 2 3 3 2 2 3" xfId="22604"/>
    <cellStyle name="Normal 5 5 2 3 3 2 2 3" xfId="22605"/>
    <cellStyle name="Normal 7 5 2 3 3 2 2 3" xfId="22606"/>
    <cellStyle name="Normal 2 3 3 2 3 3 2 2 3" xfId="22607"/>
    <cellStyle name="Normal 3 3 3 2 3 3 2 2 3" xfId="22608"/>
    <cellStyle name="Normal 4 2 3 2 3 3 2 2 3" xfId="22609"/>
    <cellStyle name="Normal 5 2 3 2 3 3 2 2 3" xfId="22610"/>
    <cellStyle name="Normal 7 2 3 2 3 3 2 2 3" xfId="22611"/>
    <cellStyle name="Normal 2 4 3 2 3 3 2 2 3" xfId="22612"/>
    <cellStyle name="Normal 3 4 3 2 3 3 2 2 3" xfId="22613"/>
    <cellStyle name="Normal 4 3 3 2 3 3 2 2 3" xfId="22614"/>
    <cellStyle name="Normal 5 3 3 2 3 3 2 2 3" xfId="22615"/>
    <cellStyle name="Normal 7 3 3 2 3 3 2 2 3" xfId="22616"/>
    <cellStyle name="Normal 2 8 2 3 2 2 3" xfId="22617"/>
    <cellStyle name="Normal 3 8 2 3 2 2 3" xfId="22618"/>
    <cellStyle name="Normal 4 7 2 3 2 2 3" xfId="22619"/>
    <cellStyle name="Normal 5 7 2 3 2 2 3" xfId="22620"/>
    <cellStyle name="Normal 7 7 2 3 2 2 3" xfId="22621"/>
    <cellStyle name="Normal 2 3 5 2 3 2 2 3" xfId="22622"/>
    <cellStyle name="Normal 3 3 5 2 3 2 2 3" xfId="22623"/>
    <cellStyle name="Normal 4 2 5 2 3 2 2 3" xfId="22624"/>
    <cellStyle name="Normal 5 2 5 2 3 2 2 3" xfId="22625"/>
    <cellStyle name="Normal 7 2 5 2 3 2 2 3" xfId="22626"/>
    <cellStyle name="Normal 2 4 5 2 3 2 2 3" xfId="22627"/>
    <cellStyle name="Normal 3 4 5 2 3 2 2 3" xfId="22628"/>
    <cellStyle name="Normal 4 3 5 2 3 2 2 3" xfId="22629"/>
    <cellStyle name="Normal 5 3 5 2 3 2 2 3" xfId="22630"/>
    <cellStyle name="Normal 7 3 5 2 3 2 2 3" xfId="22631"/>
    <cellStyle name="Normal 2 5 3 2 3 2 2 3" xfId="22632"/>
    <cellStyle name="Normal 3 5 3 2 3 2 2 3" xfId="22633"/>
    <cellStyle name="Normal 4 4 3 2 3 2 2 3" xfId="22634"/>
    <cellStyle name="Normal 5 4 3 2 3 2 2 3" xfId="22635"/>
    <cellStyle name="Normal 7 4 3 2 3 2 2 3" xfId="22636"/>
    <cellStyle name="Normal 2 3 2 3 2 3 2 2 3" xfId="22637"/>
    <cellStyle name="Normal 3 3 2 3 2 3 2 2 3" xfId="22638"/>
    <cellStyle name="Normal 4 2 2 3 2 3 2 2 3" xfId="22639"/>
    <cellStyle name="Normal 5 2 2 3 2 3 2 2 3" xfId="22640"/>
    <cellStyle name="Normal 7 2 2 3 2 3 2 2 3" xfId="22641"/>
    <cellStyle name="Normal 2 4 2 3 2 3 2 2 3" xfId="22642"/>
    <cellStyle name="Normal 3 4 2 3 2 3 2 2 3" xfId="22643"/>
    <cellStyle name="Normal 4 3 2 3 2 3 2 2 3" xfId="22644"/>
    <cellStyle name="Normal 5 3 2 3 2 3 2 2 3" xfId="22645"/>
    <cellStyle name="Normal 7 3 2 3 2 3 2 2 3" xfId="22646"/>
    <cellStyle name="Normal 2 6 3 2 3 2 2 3" xfId="22647"/>
    <cellStyle name="Normal 3 6 3 2 3 2 2 3" xfId="22648"/>
    <cellStyle name="Normal 4 5 3 2 3 2 2 3" xfId="22649"/>
    <cellStyle name="Normal 5 5 3 2 3 2 2 3" xfId="22650"/>
    <cellStyle name="Normal 7 5 3 2 3 2 2 3" xfId="22651"/>
    <cellStyle name="Normal 2 3 3 3 2 3 2 2 3" xfId="22652"/>
    <cellStyle name="Normal 3 3 3 3 2 3 2 2 3" xfId="22653"/>
    <cellStyle name="Normal 4 2 3 3 2 3 2 2 3" xfId="22654"/>
    <cellStyle name="Normal 5 2 3 3 2 3 2 2 3" xfId="22655"/>
    <cellStyle name="Normal 7 2 3 3 2 3 2 2 3" xfId="22656"/>
    <cellStyle name="Normal 2 4 3 3 2 3 2 2 3" xfId="22657"/>
    <cellStyle name="Normal 3 4 3 3 2 3 2 2 3" xfId="22658"/>
    <cellStyle name="Normal 4 3 3 3 2 3 2 2 3" xfId="22659"/>
    <cellStyle name="Normal 5 3 3 3 2 3 2 2 3" xfId="22660"/>
    <cellStyle name="Normal 7 3 3 3 2 3 2 2 3" xfId="22661"/>
    <cellStyle name="Normal 2 7 2 2 3 2 2 3" xfId="22662"/>
    <cellStyle name="Normal 3 7 2 2 3 2 2 3" xfId="22663"/>
    <cellStyle name="Normal 4 6 2 2 3 2 2 3" xfId="22664"/>
    <cellStyle name="Normal 5 6 2 2 3 2 2 3" xfId="22665"/>
    <cellStyle name="Normal 7 6 2 2 3 2 2 3" xfId="22666"/>
    <cellStyle name="Normal 2 3 4 2 2 3 2 2 3" xfId="22667"/>
    <cellStyle name="Normal 3 3 4 2 2 3 2 2 3" xfId="22668"/>
    <cellStyle name="Normal 4 2 4 2 2 3 2 2 3" xfId="22669"/>
    <cellStyle name="Normal 5 2 4 2 2 3 2 2 3" xfId="22670"/>
    <cellStyle name="Normal 7 2 4 2 2 3 2 2 3" xfId="22671"/>
    <cellStyle name="Normal 2 4 4 2 2 3 2 2 3" xfId="22672"/>
    <cellStyle name="Normal 3 4 4 2 2 3 2 2 3" xfId="22673"/>
    <cellStyle name="Normal 4 3 4 2 2 3 2 2 3" xfId="22674"/>
    <cellStyle name="Normal 5 3 4 2 2 3 2 2 3" xfId="22675"/>
    <cellStyle name="Normal 7 3 4 2 2 3 2 2 3" xfId="22676"/>
    <cellStyle name="Normal 2 5 2 2 2 3 2 2 3" xfId="22677"/>
    <cellStyle name="Normal 3 5 2 2 2 3 2 2 3" xfId="22678"/>
    <cellStyle name="Normal 4 4 2 2 2 3 2 2 3" xfId="22679"/>
    <cellStyle name="Normal 5 4 2 2 2 3 2 2 3" xfId="22680"/>
    <cellStyle name="Normal 7 4 2 2 2 3 2 2 3" xfId="22681"/>
    <cellStyle name="Normal 2 3 2 2 2 2 3 2 2 3" xfId="22682"/>
    <cellStyle name="Normal 3 3 2 2 2 2 3 2 2 3" xfId="22683"/>
    <cellStyle name="Normal 4 2 2 2 2 2 3 2 2 3" xfId="22684"/>
    <cellStyle name="Normal 5 2 2 2 2 2 3 2 2 3" xfId="22685"/>
    <cellStyle name="Normal 7 2 2 2 2 2 3 2 2 3" xfId="22686"/>
    <cellStyle name="Normal 2 4 2 2 2 2 3 2 2 3" xfId="22687"/>
    <cellStyle name="Normal 3 4 2 2 2 2 3 2 2 3" xfId="22688"/>
    <cellStyle name="Normal 4 3 2 2 2 2 3 2 2 3" xfId="22689"/>
    <cellStyle name="Normal 5 3 2 2 2 2 3 2 2 3" xfId="22690"/>
    <cellStyle name="Normal 7 3 2 2 2 2 3 2 2 3" xfId="22691"/>
    <cellStyle name="Normal 2 6 2 2 2 3 2 2 3" xfId="22692"/>
    <cellStyle name="Normal 3 6 2 2 2 3 2 2 3" xfId="22693"/>
    <cellStyle name="Normal 4 5 2 2 2 3 2 2 3" xfId="22694"/>
    <cellStyle name="Normal 5 5 2 2 2 3 2 2 3" xfId="22695"/>
    <cellStyle name="Normal 7 5 2 2 2 3 2 2 3" xfId="22696"/>
    <cellStyle name="Normal 2 3 3 2 2 2 3 2 2 3" xfId="22697"/>
    <cellStyle name="Normal 3 3 3 2 2 2 3 2 2 3" xfId="22698"/>
    <cellStyle name="Normal 4 2 3 2 2 2 3 2 2 3" xfId="22699"/>
    <cellStyle name="Normal 5 2 3 2 2 2 3 2 2 3" xfId="22700"/>
    <cellStyle name="Normal 7 2 3 2 2 2 3 2 2 3" xfId="22701"/>
    <cellStyle name="Normal 2 4 3 2 2 2 3 2 2 3" xfId="22702"/>
    <cellStyle name="Normal 3 4 3 2 2 2 3 2 2 3" xfId="22703"/>
    <cellStyle name="Normal 4 3 3 2 2 2 3 2 2 3" xfId="22704"/>
    <cellStyle name="Normal 5 3 3 2 2 2 3 2 2 3" xfId="22705"/>
    <cellStyle name="Normal 7 3 3 2 2 2 3 2 2 3" xfId="22706"/>
    <cellStyle name="Normal 28 3 2 2 3" xfId="22707"/>
    <cellStyle name="Normal 2 3 7 3 2 2 3" xfId="22708"/>
    <cellStyle name="Normal 3 10 3 2 2 3" xfId="22709"/>
    <cellStyle name="Normal 4 9 3 2 2 3" xfId="22710"/>
    <cellStyle name="Normal 5 9 3 2 2 3" xfId="22711"/>
    <cellStyle name="Millares 4 3 2 2 3" xfId="22712"/>
    <cellStyle name="Normal 7 2 7 3 2 2 3" xfId="22713"/>
    <cellStyle name="Normal 3 3 7 3 2 2 3" xfId="22714"/>
    <cellStyle name="Normal 4 2 7 3 2 2 3" xfId="22715"/>
    <cellStyle name="Normal 5 2 7 3 2 2 3" xfId="22716"/>
    <cellStyle name="Normal 2 4 5 3 3 2 2 3" xfId="22717"/>
    <cellStyle name="Normal 3 4 7 3 2 2 3" xfId="22718"/>
    <cellStyle name="Normal 4 3 7 3 2 2 3" xfId="22719"/>
    <cellStyle name="Normal 5 3 7 3 2 2 3" xfId="22720"/>
    <cellStyle name="Normal 7 3 7 3 2 2 3" xfId="22721"/>
    <cellStyle name="Normal 2 5 5 3 2 2 3" xfId="22722"/>
    <cellStyle name="Normal 3 5 5 3 2 2 3" xfId="22723"/>
    <cellStyle name="Normal 4 4 5 3 2 2 3" xfId="22724"/>
    <cellStyle name="Normal 5 4 5 3 2 2 3" xfId="22725"/>
    <cellStyle name="Normal 7 4 5 3 2 2 3" xfId="22726"/>
    <cellStyle name="Normal 2 3 2 5 3 2 2 3" xfId="22727"/>
    <cellStyle name="Normal 3 3 2 5 3 2 2 3" xfId="22728"/>
    <cellStyle name="Normal 4 2 2 5 3 2 2 3" xfId="22729"/>
    <cellStyle name="Normal 5 2 2 5 3 2 2 3" xfId="22730"/>
    <cellStyle name="Normal 7 2 2 5 3 2 2 3" xfId="22731"/>
    <cellStyle name="Normal 2 4 2 5 3 2 2 3" xfId="22732"/>
    <cellStyle name="Normal 3 4 2 5 3 2 2 3" xfId="22733"/>
    <cellStyle name="Normal 4 3 2 5 3 2 2 3" xfId="22734"/>
    <cellStyle name="Normal 5 3 2 5 3 2 2 3" xfId="22735"/>
    <cellStyle name="Normal 7 3 2 5 3 2 2 3" xfId="22736"/>
    <cellStyle name="Normal 2 6 5 3 2 2 3" xfId="22737"/>
    <cellStyle name="Normal 3 6 5 3 2 2 3" xfId="22738"/>
    <cellStyle name="Normal 4 5 5 3 2 2 3" xfId="22739"/>
    <cellStyle name="Normal 5 5 5 3 2 2 3" xfId="22740"/>
    <cellStyle name="Normal 7 5 5 3 2 2 3" xfId="22741"/>
    <cellStyle name="Normal 2 3 3 5 3 2 2 3" xfId="22742"/>
    <cellStyle name="Normal 3 3 3 5 3 2 2 3" xfId="22743"/>
    <cellStyle name="Normal 4 2 3 5 3 2 2 3" xfId="22744"/>
    <cellStyle name="Normal 5 2 3 5 3 2 2 3" xfId="22745"/>
    <cellStyle name="Normal 7 2 3 5 3 2 2 3" xfId="22746"/>
    <cellStyle name="Normal 2 4 3 5 3 2 2 3" xfId="22747"/>
    <cellStyle name="Normal 3 4 3 5 3 2 2 3" xfId="22748"/>
    <cellStyle name="Normal 4 3 3 5 3 2 2 3" xfId="22749"/>
    <cellStyle name="Normal 5 3 3 5 3 2 2 3" xfId="22750"/>
    <cellStyle name="Normal 7 3 3 5 3 2 2 3" xfId="22751"/>
    <cellStyle name="Normal 2 7 4 3 2 2 3" xfId="22752"/>
    <cellStyle name="Normal 3 7 4 3 2 2 3" xfId="22753"/>
    <cellStyle name="Normal 4 6 4 3 2 2 3" xfId="22754"/>
    <cellStyle name="Normal 5 6 4 3 2 2 3" xfId="22755"/>
    <cellStyle name="Normal 7 6 4 3 2 2 3" xfId="22756"/>
    <cellStyle name="Normal 2 3 4 4 3 2 2 3" xfId="22757"/>
    <cellStyle name="Normal 3 3 4 4 3 2 2 3" xfId="22758"/>
    <cellStyle name="Normal 4 2 4 4 3 2 2 3" xfId="22759"/>
    <cellStyle name="Normal 5 2 4 4 3 2 2 3" xfId="22760"/>
    <cellStyle name="Normal 7 2 4 4 3 2 2 3" xfId="22761"/>
    <cellStyle name="Normal 2 4 4 4 3 2 2 3" xfId="22762"/>
    <cellStyle name="Normal 3 4 4 4 3 2 2 3" xfId="22763"/>
    <cellStyle name="Normal 4 3 4 4 3 2 2 3" xfId="22764"/>
    <cellStyle name="Normal 5 3 4 4 3 2 2 3" xfId="22765"/>
    <cellStyle name="Normal 7 3 4 4 3 2 2 3" xfId="22766"/>
    <cellStyle name="Normal 2 5 2 4 3 2 2 3" xfId="22767"/>
    <cellStyle name="Normal 3 5 2 4 3 2 2 3" xfId="22768"/>
    <cellStyle name="Normal 4 4 2 4 3 2 2 3" xfId="22769"/>
    <cellStyle name="Normal 5 4 2 4 3 2 2 3" xfId="22770"/>
    <cellStyle name="Normal 7 4 2 4 3 2 2 3" xfId="22771"/>
    <cellStyle name="Normal 2 3 2 2 4 3 2 2 3" xfId="22772"/>
    <cellStyle name="Normal 3 3 2 2 4 3 2 2 3" xfId="22773"/>
    <cellStyle name="Normal 4 2 2 2 4 3 2 2 3" xfId="22774"/>
    <cellStyle name="Normal 5 2 2 2 4 3 2 2 3" xfId="22775"/>
    <cellStyle name="Normal 7 2 2 2 4 3 2 2 3" xfId="22776"/>
    <cellStyle name="Normal 2 4 2 2 4 3 2 2 3" xfId="22777"/>
    <cellStyle name="Normal 3 4 2 2 4 3 2 2 3" xfId="22778"/>
    <cellStyle name="Normal 4 3 2 2 4 3 2 2 3" xfId="22779"/>
    <cellStyle name="Normal 5 3 2 2 4 3 2 2 3" xfId="22780"/>
    <cellStyle name="Normal 7 3 2 2 4 3 2 2 3" xfId="22781"/>
    <cellStyle name="Normal 2 6 2 4 3 2 2 3" xfId="22782"/>
    <cellStyle name="Normal 3 6 2 4 3 2 2 3" xfId="22783"/>
    <cellStyle name="Normal 4 5 2 4 3 2 2 3" xfId="22784"/>
    <cellStyle name="Normal 5 5 2 4 3 2 2 3" xfId="22785"/>
    <cellStyle name="Normal 7 5 2 4 3 2 2 3" xfId="22786"/>
    <cellStyle name="Normal 2 3 3 2 4 3 2 2 3" xfId="22787"/>
    <cellStyle name="Normal 3 3 3 2 4 3 2 2 3" xfId="22788"/>
    <cellStyle name="Normal 4 2 3 2 4 3 2 2 3" xfId="22789"/>
    <cellStyle name="Normal 5 2 3 2 4 3 2 2 3" xfId="22790"/>
    <cellStyle name="Normal 7 2 3 2 4 3 2 2 3" xfId="22791"/>
    <cellStyle name="Normal 2 4 3 2 4 3 2 2 3" xfId="22792"/>
    <cellStyle name="Normal 3 4 3 2 4 3 2 2 3" xfId="22793"/>
    <cellStyle name="Normal 4 3 3 2 4 3 2 2 3" xfId="22794"/>
    <cellStyle name="Normal 5 3 3 2 4 3 2 2 3" xfId="22795"/>
    <cellStyle name="Normal 7 3 3 2 4 3 2 2 3" xfId="22796"/>
    <cellStyle name="Normal 2 8 3 3 2 2 3" xfId="22797"/>
    <cellStyle name="Normal 3 8 3 3 2 2 3" xfId="22798"/>
    <cellStyle name="Normal 4 7 3 3 2 2 3" xfId="22799"/>
    <cellStyle name="Normal 5 7 3 3 2 2 3" xfId="22800"/>
    <cellStyle name="Normal 7 7 3 3 2 2 3" xfId="22801"/>
    <cellStyle name="Normal 2 3 5 3 3 2 2 3" xfId="22802"/>
    <cellStyle name="Normal 3 3 5 3 3 2 2 3" xfId="22803"/>
    <cellStyle name="Normal 4 2 5 3 3 2 2 3" xfId="22804"/>
    <cellStyle name="Normal 5 2 5 3 3 2 2 3" xfId="22805"/>
    <cellStyle name="Normal 7 2 5 3 3 2 2 3" xfId="22806"/>
    <cellStyle name="Normal 3 4 5 3 3 2 2 3" xfId="22807"/>
    <cellStyle name="Normal 4 3 5 3 3 2 2 3" xfId="22808"/>
    <cellStyle name="Normal 5 3 5 3 3 2 2 3" xfId="22809"/>
    <cellStyle name="Normal 7 3 5 3 3 2 2 3" xfId="22810"/>
    <cellStyle name="Normal 2 5 3 3 3 2 2 3" xfId="22811"/>
    <cellStyle name="Normal 3 5 3 3 3 2 2 3" xfId="22812"/>
    <cellStyle name="Normal 4 4 3 3 3 2 2 3" xfId="22813"/>
    <cellStyle name="Normal 5 4 3 3 3 2 2 3" xfId="22814"/>
    <cellStyle name="Normal 7 4 3 3 3 2 2 3" xfId="22815"/>
    <cellStyle name="Normal 2 3 2 3 3 3 2 2 3" xfId="22816"/>
    <cellStyle name="Normal 3 3 2 3 3 3 2 2 3" xfId="22817"/>
    <cellStyle name="Normal 4 2 2 3 3 3 2 2 3" xfId="22818"/>
    <cellStyle name="Normal 5 2 2 3 3 3 2 2 3" xfId="22819"/>
    <cellStyle name="Normal 7 2 2 3 3 3 2 2 3" xfId="22820"/>
    <cellStyle name="Normal 2 4 2 3 3 3 2 2 3" xfId="22821"/>
    <cellStyle name="Normal 3 4 2 3 3 3 2 2 3" xfId="22822"/>
    <cellStyle name="Normal 4 3 2 3 3 3 2 2 3" xfId="22823"/>
    <cellStyle name="Normal 5 3 2 3 3 3 2 2 3" xfId="22824"/>
    <cellStyle name="Normal 7 3 2 3 3 3 2 2 3" xfId="22825"/>
    <cellStyle name="Normal 2 6 3 3 3 2 2 3" xfId="22826"/>
    <cellStyle name="Normal 3 6 3 3 3 2 2 3" xfId="22827"/>
    <cellStyle name="Normal 4 5 3 3 3 2 2 3" xfId="22828"/>
    <cellStyle name="Normal 5 5 3 3 3 2 2 3" xfId="22829"/>
    <cellStyle name="Normal 7 5 3 3 3 2 2 3" xfId="22830"/>
    <cellStyle name="Normal 2 3 3 3 3 3 2 2 3" xfId="22831"/>
    <cellStyle name="Normal 3 3 3 3 3 3 2 2 3" xfId="22832"/>
    <cellStyle name="Normal 4 2 3 3 3 3 2 2 3" xfId="22833"/>
    <cellStyle name="Normal 5 2 3 3 3 3 2 2 3" xfId="22834"/>
    <cellStyle name="Normal 7 2 3 3 3 3 2 2 3" xfId="22835"/>
    <cellStyle name="Normal 2 4 3 3 3 3 2 2 3" xfId="22836"/>
    <cellStyle name="Normal 3 4 3 3 3 3 2 2 3" xfId="22837"/>
    <cellStyle name="Normal 4 3 3 3 3 3 2 2 3" xfId="22838"/>
    <cellStyle name="Normal 5 3 3 3 3 3 2 2 3" xfId="22839"/>
    <cellStyle name="Normal 7 3 3 3 3 3 2 2 3" xfId="22840"/>
    <cellStyle name="Normal 2 7 2 3 3 2 2 3" xfId="22841"/>
    <cellStyle name="Normal 3 7 2 3 3 2 2 3" xfId="22842"/>
    <cellStyle name="Normal 4 6 2 3 3 2 2 3" xfId="22843"/>
    <cellStyle name="Normal 5 6 2 3 3 2 2 3" xfId="22844"/>
    <cellStyle name="Normal 7 6 2 3 3 2 2 3" xfId="22845"/>
    <cellStyle name="Normal 2 3 4 2 3 3 2 2 3" xfId="22846"/>
    <cellStyle name="Normal 3 3 4 2 3 3 2 2 3" xfId="22847"/>
    <cellStyle name="Normal 4 2 4 2 3 3 2 2 3" xfId="22848"/>
    <cellStyle name="Normal 5 2 4 2 3 3 2 2 3" xfId="22849"/>
    <cellStyle name="Normal 7 2 4 2 3 3 2 2 3" xfId="22850"/>
    <cellStyle name="Normal 2 4 4 2 3 3 2 2 3" xfId="22851"/>
    <cellStyle name="Normal 3 4 4 2 3 3 2 2 3" xfId="22852"/>
    <cellStyle name="Normal 4 3 4 2 3 3 2 2 3" xfId="22853"/>
    <cellStyle name="Normal 5 3 4 2 3 3 2 2 3" xfId="22854"/>
    <cellStyle name="Normal 7 3 4 2 3 3 2 2 3" xfId="22855"/>
    <cellStyle name="Normal 2 5 2 2 3 3 2 2 3" xfId="22856"/>
    <cellStyle name="Normal 3 5 2 2 3 3 2 2 3" xfId="22857"/>
    <cellStyle name="Normal 4 4 2 2 3 3 2 2 3" xfId="22858"/>
    <cellStyle name="Normal 5 4 2 2 3 3 2 2 3" xfId="22859"/>
    <cellStyle name="Normal 7 4 2 2 3 3 2 2 3" xfId="22860"/>
    <cellStyle name="Normal 2 3 2 2 2 3 3 2 2 3" xfId="22861"/>
    <cellStyle name="Normal 3 3 2 2 2 3 3 2 2 3" xfId="22862"/>
    <cellStyle name="Normal 4 2 2 2 2 3 3 2 2 3" xfId="22863"/>
    <cellStyle name="Normal 5 2 2 2 2 3 3 2 2 3" xfId="22864"/>
    <cellStyle name="Normal 7 2 2 2 2 3 3 2 2 3" xfId="22865"/>
    <cellStyle name="Normal 2 4 2 2 2 3 3 2 2 3" xfId="22866"/>
    <cellStyle name="Normal 3 4 2 2 2 3 3 2 2 3" xfId="22867"/>
    <cellStyle name="Normal 4 3 2 2 2 3 3 2 2 3" xfId="22868"/>
    <cellStyle name="Normal 5 3 2 2 2 3 3 2 2 3" xfId="22869"/>
    <cellStyle name="Normal 7 3 2 2 2 3 3 2 2 3" xfId="22870"/>
    <cellStyle name="Normal 2 6 2 2 3 3 2 2 3" xfId="22871"/>
    <cellStyle name="Normal 3 6 2 2 3 3 2 2 3" xfId="22872"/>
    <cellStyle name="Normal 4 5 2 2 3 3 2 2 3" xfId="22873"/>
    <cellStyle name="Normal 5 5 2 2 3 3 2 2 3" xfId="22874"/>
    <cellStyle name="Normal 7 5 2 2 3 3 2 2 3" xfId="22875"/>
    <cellStyle name="Normal 2 3 3 2 2 3 3 2 2 3" xfId="22876"/>
    <cellStyle name="Normal 3 3 3 2 2 3 3 2 2 3" xfId="22877"/>
    <cellStyle name="Normal 4 2 3 2 2 3 3 2 2 3" xfId="22878"/>
    <cellStyle name="Normal 5 2 3 2 2 3 3 2 2 3" xfId="22879"/>
    <cellStyle name="Normal 7 2 3 2 2 3 3 2 2 3" xfId="22880"/>
    <cellStyle name="Normal 2 4 3 2 2 3 3 2 2 3" xfId="22881"/>
    <cellStyle name="Normal 3 4 3 2 2 3 3 2 2 3" xfId="22882"/>
    <cellStyle name="Normal 4 3 3 2 2 3 3 2 2 3" xfId="22883"/>
    <cellStyle name="Normal 5 3 3 2 2 3 3 2 2 3" xfId="22884"/>
    <cellStyle name="Normal 7 3 3 2 2 3 3 2 2 3" xfId="22885"/>
    <cellStyle name="Normal 2 15 2" xfId="22886"/>
    <cellStyle name="Normal 3 15 2" xfId="22887"/>
    <cellStyle name="Normal 4 14 2" xfId="22888"/>
    <cellStyle name="Normal 5 14 2" xfId="22889"/>
    <cellStyle name="Normal 7 14 3" xfId="22890"/>
    <cellStyle name="Normal 2 3 12 2" xfId="22891"/>
    <cellStyle name="Normal 3 3 12 2" xfId="22892"/>
    <cellStyle name="Normal 4 2 12 2" xfId="22893"/>
    <cellStyle name="Normal 5 2 12 2" xfId="22894"/>
    <cellStyle name="Normal 7 2 12 3" xfId="22895"/>
    <cellStyle name="Normal 2 4 12 2" xfId="22896"/>
    <cellStyle name="Normal 3 4 12 2" xfId="22897"/>
    <cellStyle name="Normal 4 3 12 2" xfId="22898"/>
    <cellStyle name="Normal 5 3 12 2" xfId="22899"/>
    <cellStyle name="Normal 7 3 12 2" xfId="22900"/>
    <cellStyle name="Normal 2 5 10 2" xfId="22901"/>
    <cellStyle name="Normal 3 5 10 2" xfId="22902"/>
    <cellStyle name="Normal 4 4 10 2" xfId="22903"/>
    <cellStyle name="Normal 5 4 10 2" xfId="22904"/>
    <cellStyle name="Normal 7 4 10 2" xfId="22905"/>
    <cellStyle name="Normal 2 3 2 10 2" xfId="22906"/>
    <cellStyle name="Normal 3 3 2 10 2" xfId="22907"/>
    <cellStyle name="Normal 4 2 2 10 2" xfId="22908"/>
    <cellStyle name="Normal 5 2 2 10 2" xfId="22909"/>
    <cellStyle name="Normal 7 2 2 10 2" xfId="22910"/>
    <cellStyle name="Normal 2 4 2 10 2" xfId="22911"/>
    <cellStyle name="Normal 3 4 2 10 2" xfId="22912"/>
    <cellStyle name="Normal 4 3 2 10 2" xfId="22913"/>
    <cellStyle name="Normal 5 3 2 10 2" xfId="22914"/>
    <cellStyle name="Normal 7 3 2 10 2" xfId="22915"/>
    <cellStyle name="Normal 2 6 10 2" xfId="22916"/>
    <cellStyle name="Normal 3 6 10 2" xfId="22917"/>
    <cellStyle name="Normal 4 5 10 2" xfId="22918"/>
    <cellStyle name="Normal 5 5 10 2" xfId="22919"/>
    <cellStyle name="Normal 7 5 10 2" xfId="22920"/>
    <cellStyle name="Normal 2 3 3 10 2" xfId="22921"/>
    <cellStyle name="Normal 3 3 3 10 2" xfId="22922"/>
    <cellStyle name="Normal 4 2 3 10 2" xfId="22923"/>
    <cellStyle name="Normal 5 2 3 10 2" xfId="22924"/>
    <cellStyle name="Normal 7 2 3 10 2" xfId="22925"/>
    <cellStyle name="Normal 2 4 3 10 2" xfId="22926"/>
    <cellStyle name="Normal 3 4 3 10 2" xfId="22927"/>
    <cellStyle name="Normal 4 3 3 10 2" xfId="22928"/>
    <cellStyle name="Normal 5 3 3 10 2" xfId="22929"/>
    <cellStyle name="Normal 7 3 3 10 2" xfId="22930"/>
    <cellStyle name="Normal 2 7 9 2" xfId="22931"/>
    <cellStyle name="Normal 3 7 9 2" xfId="22932"/>
    <cellStyle name="Normal 4 6 9 2" xfId="22933"/>
    <cellStyle name="Normal 5 6 9 2" xfId="22934"/>
    <cellStyle name="Normal 7 6 9 2" xfId="22935"/>
    <cellStyle name="Normal 2 3 4 9 2" xfId="22936"/>
    <cellStyle name="Normal 3 3 4 9 2" xfId="22937"/>
    <cellStyle name="Normal 4 2 4 9 2" xfId="22938"/>
    <cellStyle name="Normal 5 2 4 9 2" xfId="22939"/>
    <cellStyle name="Normal 7 2 4 9 2" xfId="22940"/>
    <cellStyle name="Normal 2 4 4 9 2" xfId="22941"/>
    <cellStyle name="Normal 3 4 4 9 2" xfId="22942"/>
    <cellStyle name="Normal 4 3 4 9 2" xfId="22943"/>
    <cellStyle name="Normal 5 3 4 9 2" xfId="22944"/>
    <cellStyle name="Normal 7 3 4 9 2" xfId="22945"/>
    <cellStyle name="Normal 2 5 2 9 2" xfId="22946"/>
    <cellStyle name="Normal 3 5 2 9 2" xfId="22947"/>
    <cellStyle name="Normal 4 4 2 9 2" xfId="22948"/>
    <cellStyle name="Normal 5 4 2 9 2" xfId="22949"/>
    <cellStyle name="Normal 7 4 2 9 2" xfId="22950"/>
    <cellStyle name="Normal 2 3 2 2 9 2" xfId="22951"/>
    <cellStyle name="Normal 3 3 2 2 9 2" xfId="22952"/>
    <cellStyle name="Normal 4 2 2 2 9 2" xfId="22953"/>
    <cellStyle name="Normal 5 2 2 2 9 2" xfId="22954"/>
    <cellStyle name="Normal 7 2 2 2 9 2" xfId="22955"/>
    <cellStyle name="Normal 2 4 2 2 9 2" xfId="22956"/>
    <cellStyle name="Normal 3 4 2 2 9 2" xfId="22957"/>
    <cellStyle name="Normal 4 3 2 2 9 2" xfId="22958"/>
    <cellStyle name="Normal 5 3 2 2 9 2" xfId="22959"/>
    <cellStyle name="Normal 7 3 2 2 9 2" xfId="22960"/>
    <cellStyle name="Normal 2 6 2 9 2" xfId="22961"/>
    <cellStyle name="Normal 3 6 2 9 2" xfId="22962"/>
    <cellStyle name="Normal 4 5 2 9 2" xfId="22963"/>
    <cellStyle name="Normal 5 5 2 9 2" xfId="22964"/>
    <cellStyle name="Normal 7 5 2 9 2" xfId="22965"/>
    <cellStyle name="Normal 2 3 3 2 9 2" xfId="22966"/>
    <cellStyle name="Normal 3 3 3 2 9 2" xfId="22967"/>
    <cellStyle name="Normal 4 2 3 2 9 2" xfId="22968"/>
    <cellStyle name="Normal 5 2 3 2 9 2" xfId="22969"/>
    <cellStyle name="Normal 7 2 3 2 9 2" xfId="22970"/>
    <cellStyle name="Normal 2 4 3 2 9 2" xfId="22971"/>
    <cellStyle name="Normal 3 4 3 2 9 2" xfId="22972"/>
    <cellStyle name="Normal 4 3 3 2 9 2" xfId="22973"/>
    <cellStyle name="Normal 5 3 3 2 9 2" xfId="22974"/>
    <cellStyle name="Normal 7 3 3 2 9 2" xfId="22975"/>
    <cellStyle name="Normal 2 8 8 2" xfId="22976"/>
    <cellStyle name="Normal 3 8 8 2" xfId="22977"/>
    <cellStyle name="Normal 4 7 8 2" xfId="22978"/>
    <cellStyle name="Normal 5 7 8 2" xfId="22979"/>
    <cellStyle name="Normal 7 7 8 2" xfId="22980"/>
    <cellStyle name="Normal 2 3 5 8 2" xfId="22981"/>
    <cellStyle name="Normal 3 3 5 8 2" xfId="22982"/>
    <cellStyle name="Normal 4 2 5 8 2" xfId="22983"/>
    <cellStyle name="Normal 5 2 5 8 2" xfId="22984"/>
    <cellStyle name="Normal 7 2 5 8 2" xfId="22985"/>
    <cellStyle name="Normal 2 4 5 8 2" xfId="22986"/>
    <cellStyle name="Normal 3 4 5 8 2" xfId="22987"/>
    <cellStyle name="Normal 4 3 5 8 2" xfId="22988"/>
    <cellStyle name="Normal 5 3 5 8 2" xfId="22989"/>
    <cellStyle name="Normal 7 3 5 8 2" xfId="22990"/>
    <cellStyle name="Normal 2 5 3 8 2" xfId="22991"/>
    <cellStyle name="Normal 3 5 3 8 2" xfId="22992"/>
    <cellStyle name="Normal 4 4 3 8 2" xfId="22993"/>
    <cellStyle name="Normal 5 4 3 8 2" xfId="22994"/>
    <cellStyle name="Normal 7 4 3 8 2" xfId="22995"/>
    <cellStyle name="Normal 2 3 2 3 8 2" xfId="22996"/>
    <cellStyle name="Normal 3 3 2 3 8 2" xfId="22997"/>
    <cellStyle name="Normal 4 2 2 3 8 2" xfId="22998"/>
    <cellStyle name="Normal 5 2 2 3 8 2" xfId="22999"/>
    <cellStyle name="Normal 7 2 2 3 8 2" xfId="23000"/>
    <cellStyle name="Normal 2 4 2 3 8 2" xfId="23001"/>
    <cellStyle name="Normal 3 4 2 3 8 2" xfId="23002"/>
    <cellStyle name="Normal 4 3 2 3 8 2" xfId="23003"/>
    <cellStyle name="Normal 5 3 2 3 8 2" xfId="23004"/>
    <cellStyle name="Normal 7 3 2 3 8 2" xfId="23005"/>
    <cellStyle name="Normal 2 6 3 8 2" xfId="23006"/>
    <cellStyle name="Normal 3 6 3 8 2" xfId="23007"/>
    <cellStyle name="Normal 4 5 3 8 2" xfId="23008"/>
    <cellStyle name="Normal 5 5 3 8 2" xfId="23009"/>
    <cellStyle name="Normal 7 5 3 8 2" xfId="23010"/>
    <cellStyle name="Normal 2 3 3 3 8 2" xfId="23011"/>
    <cellStyle name="Normal 3 3 3 3 8 2" xfId="23012"/>
    <cellStyle name="Normal 4 2 3 3 8 2" xfId="23013"/>
    <cellStyle name="Normal 5 2 3 3 8 2" xfId="23014"/>
    <cellStyle name="Normal 7 2 3 3 8 2" xfId="23015"/>
    <cellStyle name="Normal 2 4 3 3 8 2" xfId="23016"/>
    <cellStyle name="Normal 3 4 3 3 8 2" xfId="23017"/>
    <cellStyle name="Normal 4 3 3 3 8 2" xfId="23018"/>
    <cellStyle name="Normal 5 3 3 3 8 2" xfId="23019"/>
    <cellStyle name="Normal 7 3 3 3 8 2" xfId="23020"/>
    <cellStyle name="Normal 2 7 2 8 2" xfId="23021"/>
    <cellStyle name="Normal 3 7 2 8 2" xfId="23022"/>
    <cellStyle name="Normal 4 6 2 8 2" xfId="23023"/>
    <cellStyle name="Normal 5 6 2 8 2" xfId="23024"/>
    <cellStyle name="Normal 7 6 2 8 2" xfId="23025"/>
    <cellStyle name="Normal 2 3 4 2 8 2" xfId="23026"/>
    <cellStyle name="Normal 3 3 4 2 8 2" xfId="23027"/>
    <cellStyle name="Normal 4 2 4 2 8 2" xfId="23028"/>
    <cellStyle name="Normal 5 2 4 2 8 2" xfId="23029"/>
    <cellStyle name="Normal 7 2 4 2 8 2" xfId="23030"/>
    <cellStyle name="Normal 2 4 4 2 8 2" xfId="23031"/>
    <cellStyle name="Normal 3 4 4 2 8 2" xfId="23032"/>
    <cellStyle name="Normal 4 3 4 2 8 2" xfId="23033"/>
    <cellStyle name="Normal 5 3 4 2 8 2" xfId="23034"/>
    <cellStyle name="Normal 7 3 4 2 8 2" xfId="23035"/>
    <cellStyle name="Normal 2 5 2 2 8 2" xfId="23036"/>
    <cellStyle name="Normal 3 5 2 2 8 2" xfId="23037"/>
    <cellStyle name="Normal 4 4 2 2 8 2" xfId="23038"/>
    <cellStyle name="Normal 5 4 2 2 8 2" xfId="23039"/>
    <cellStyle name="Normal 7 4 2 2 8 2" xfId="23040"/>
    <cellStyle name="Normal 2 3 2 2 2 8 2" xfId="23041"/>
    <cellStyle name="Normal 3 3 2 2 2 8 2" xfId="23042"/>
    <cellStyle name="Normal 4 2 2 2 2 8 2" xfId="23043"/>
    <cellStyle name="Normal 5 2 2 2 2 8 2" xfId="23044"/>
    <cellStyle name="Normal 7 2 2 2 2 8 2" xfId="23045"/>
    <cellStyle name="Normal 2 4 2 2 2 8 2" xfId="23046"/>
    <cellStyle name="Normal 3 4 2 2 2 8 2" xfId="23047"/>
    <cellStyle name="Normal 4 3 2 2 2 8 2" xfId="23048"/>
    <cellStyle name="Normal 5 3 2 2 2 8 2" xfId="23049"/>
    <cellStyle name="Normal 7 3 2 2 2 8 2" xfId="23050"/>
    <cellStyle name="Normal 2 6 2 2 8 2" xfId="23051"/>
    <cellStyle name="Normal 3 6 2 2 8 2" xfId="23052"/>
    <cellStyle name="Normal 4 5 2 2 8 2" xfId="23053"/>
    <cellStyle name="Normal 5 5 2 2 8 2" xfId="23054"/>
    <cellStyle name="Normal 7 5 2 2 8 2" xfId="23055"/>
    <cellStyle name="Normal 2 3 3 2 2 8 2" xfId="23056"/>
    <cellStyle name="Normal 3 3 3 2 2 8 2" xfId="23057"/>
    <cellStyle name="Normal 4 2 3 2 2 8 2" xfId="23058"/>
    <cellStyle name="Normal 5 2 3 2 2 8 2" xfId="23059"/>
    <cellStyle name="Normal 7 2 3 2 2 8 2" xfId="23060"/>
    <cellStyle name="Normal 2 4 3 2 2 8 2" xfId="23061"/>
    <cellStyle name="Normal 3 4 3 2 2 8 2" xfId="23062"/>
    <cellStyle name="Normal 4 3 3 2 2 8 2" xfId="23063"/>
    <cellStyle name="Normal 5 3 3 2 2 8 2" xfId="23064"/>
    <cellStyle name="Normal 7 3 3 2 2 8 2" xfId="23065"/>
    <cellStyle name="Normal 2 9 6 2" xfId="23066"/>
    <cellStyle name="Normal 3 9 6 2" xfId="23067"/>
    <cellStyle name="Normal 4 8 6 2" xfId="23068"/>
    <cellStyle name="Normal 5 8 6 2" xfId="23069"/>
    <cellStyle name="Normal 7 8 6 2" xfId="23070"/>
    <cellStyle name="Normal 2 3 6 6 2" xfId="23071"/>
    <cellStyle name="Normal 3 3 6 6 2" xfId="23072"/>
    <cellStyle name="Normal 4 2 6 6 2" xfId="23073"/>
    <cellStyle name="Normal 5 2 6 6 2" xfId="23074"/>
    <cellStyle name="Normal 7 2 6 6 2" xfId="23075"/>
    <cellStyle name="Normal 2 4 6 6 2" xfId="23076"/>
    <cellStyle name="Normal 3 4 6 6 2" xfId="23077"/>
    <cellStyle name="Normal 4 3 6 6 2" xfId="23078"/>
    <cellStyle name="Normal 5 3 6 6 2" xfId="23079"/>
    <cellStyle name="Normal 7 3 6 6 2" xfId="23080"/>
    <cellStyle name="Normal 2 5 4 6 2" xfId="23081"/>
    <cellStyle name="Normal 3 5 4 6 2" xfId="23082"/>
    <cellStyle name="Normal 4 4 4 6 2" xfId="23083"/>
    <cellStyle name="Normal 5 4 4 6 2" xfId="23084"/>
    <cellStyle name="Normal 7 4 4 6 2" xfId="23085"/>
    <cellStyle name="Normal 2 3 2 4 6 2" xfId="23086"/>
    <cellStyle name="Normal 3 3 2 4 6 2" xfId="23087"/>
    <cellStyle name="Normal 4 2 2 4 6 2" xfId="23088"/>
    <cellStyle name="Normal 5 2 2 4 6 2" xfId="23089"/>
    <cellStyle name="Normal 7 2 2 4 6 2" xfId="23090"/>
    <cellStyle name="Normal 2 4 2 4 6 2" xfId="23091"/>
    <cellStyle name="Normal 3 4 2 4 6 2" xfId="23092"/>
    <cellStyle name="Normal 4 3 2 4 6 2" xfId="23093"/>
    <cellStyle name="Normal 5 3 2 4 6 2" xfId="23094"/>
    <cellStyle name="Normal 7 3 2 4 6 2" xfId="23095"/>
    <cellStyle name="Normal 2 6 4 6 2" xfId="23096"/>
    <cellStyle name="Normal 3 6 4 6 2" xfId="23097"/>
    <cellStyle name="Normal 4 5 4 6 2" xfId="23098"/>
    <cellStyle name="Normal 5 5 4 6 2" xfId="23099"/>
    <cellStyle name="Normal 7 5 4 6 2" xfId="23100"/>
    <cellStyle name="Normal 2 3 3 4 6 2" xfId="23101"/>
    <cellStyle name="Normal 3 3 3 4 6 2" xfId="23102"/>
    <cellStyle name="Normal 4 2 3 4 6 2" xfId="23103"/>
    <cellStyle name="Normal 5 2 3 4 6 2" xfId="23104"/>
    <cellStyle name="Normal 7 2 3 4 6 2" xfId="23105"/>
    <cellStyle name="Normal 2 4 3 4 6 2" xfId="23106"/>
    <cellStyle name="Normal 3 4 3 4 6 2" xfId="23107"/>
    <cellStyle name="Normal 4 3 3 4 6 2" xfId="23108"/>
    <cellStyle name="Normal 5 3 3 4 6 2" xfId="23109"/>
    <cellStyle name="Normal 7 3 3 4 6 2" xfId="23110"/>
    <cellStyle name="Normal 2 7 3 6 2" xfId="23111"/>
    <cellStyle name="Normal 3 7 3 6 2" xfId="23112"/>
    <cellStyle name="Normal 4 6 3 6 2" xfId="23113"/>
    <cellStyle name="Normal 5 6 3 6 2" xfId="23114"/>
    <cellStyle name="Normal 7 6 3 6 2" xfId="23115"/>
    <cellStyle name="Normal 2 3 4 3 6 2" xfId="23116"/>
    <cellStyle name="Normal 3 3 4 3 6 2" xfId="23117"/>
    <cellStyle name="Normal 4 2 4 3 6 2" xfId="23118"/>
    <cellStyle name="Normal 5 2 4 3 6 2" xfId="23119"/>
    <cellStyle name="Normal 7 2 4 3 6 2" xfId="23120"/>
    <cellStyle name="Normal 2 4 4 3 6 2" xfId="23121"/>
    <cellStyle name="Normal 3 4 4 3 6 2" xfId="23122"/>
    <cellStyle name="Normal 4 3 4 3 6 2" xfId="23123"/>
    <cellStyle name="Normal 5 3 4 3 6 2" xfId="23124"/>
    <cellStyle name="Normal 7 3 4 3 6 2" xfId="23125"/>
    <cellStyle name="Normal 2 5 2 3 6 2" xfId="23126"/>
    <cellStyle name="Normal 3 5 2 3 6 2" xfId="23127"/>
    <cellStyle name="Normal 4 4 2 3 6 2" xfId="23128"/>
    <cellStyle name="Normal 5 4 2 3 6 2" xfId="23129"/>
    <cellStyle name="Normal 7 4 2 3 6 2" xfId="23130"/>
    <cellStyle name="Normal 2 3 2 2 3 6 2" xfId="23131"/>
    <cellStyle name="Normal 3 3 2 2 3 6 2" xfId="23132"/>
    <cellStyle name="Normal 4 2 2 2 3 6 2" xfId="23133"/>
    <cellStyle name="Normal 5 2 2 2 3 6 2" xfId="23134"/>
    <cellStyle name="Normal 7 2 2 2 3 6 2" xfId="23135"/>
    <cellStyle name="Normal 2 4 2 2 3 6 2" xfId="23136"/>
    <cellStyle name="Normal 3 4 2 2 3 6 2" xfId="23137"/>
    <cellStyle name="Normal 4 3 2 2 3 6 2" xfId="23138"/>
    <cellStyle name="Normal 5 3 2 2 3 6 2" xfId="23139"/>
    <cellStyle name="Normal 7 3 2 2 3 6 2" xfId="23140"/>
    <cellStyle name="Normal 2 6 2 3 6 2" xfId="23141"/>
    <cellStyle name="Normal 3 6 2 3 6 2" xfId="23142"/>
    <cellStyle name="Normal 4 5 2 3 6 2" xfId="23143"/>
    <cellStyle name="Normal 5 5 2 3 6 2" xfId="23144"/>
    <cellStyle name="Normal 7 5 2 3 6 2" xfId="23145"/>
    <cellStyle name="Normal 2 3 3 2 3 6 2" xfId="23146"/>
    <cellStyle name="Normal 3 3 3 2 3 6 2" xfId="23147"/>
    <cellStyle name="Normal 4 2 3 2 3 6 2" xfId="23148"/>
    <cellStyle name="Normal 5 2 3 2 3 6 2" xfId="23149"/>
    <cellStyle name="Normal 7 2 3 2 3 6 2" xfId="23150"/>
    <cellStyle name="Normal 2 4 3 2 3 6 2" xfId="23151"/>
    <cellStyle name="Normal 3 4 3 2 3 6 2" xfId="23152"/>
    <cellStyle name="Normal 4 3 3 2 3 6 2" xfId="23153"/>
    <cellStyle name="Normal 5 3 3 2 3 6 2" xfId="23154"/>
    <cellStyle name="Normal 7 3 3 2 3 6 2" xfId="23155"/>
    <cellStyle name="Normal 2 8 2 6 2" xfId="23156"/>
    <cellStyle name="Normal 3 8 2 6 2" xfId="23157"/>
    <cellStyle name="Normal 4 7 2 6 2" xfId="23158"/>
    <cellStyle name="Normal 5 7 2 6 2" xfId="23159"/>
    <cellStyle name="Normal 7 7 2 6 2" xfId="23160"/>
    <cellStyle name="Normal 2 3 5 2 6 2" xfId="23161"/>
    <cellStyle name="Normal 3 3 5 2 6 2" xfId="23162"/>
    <cellStyle name="Normal 4 2 5 2 6 2" xfId="23163"/>
    <cellStyle name="Normal 5 2 5 2 6 2" xfId="23164"/>
    <cellStyle name="Normal 7 2 5 2 6 2" xfId="23165"/>
    <cellStyle name="Normal 2 4 5 2 6 2" xfId="23166"/>
    <cellStyle name="Normal 3 4 5 2 6 2" xfId="23167"/>
    <cellStyle name="Normal 4 3 5 2 6 2" xfId="23168"/>
    <cellStyle name="Normal 5 3 5 2 6 2" xfId="23169"/>
    <cellStyle name="Normal 7 3 5 2 6 2" xfId="23170"/>
    <cellStyle name="Normal 2 5 3 2 6 2" xfId="23171"/>
    <cellStyle name="Normal 3 5 3 2 6 2" xfId="23172"/>
    <cellStyle name="Normal 4 4 3 2 6 2" xfId="23173"/>
    <cellStyle name="Normal 5 4 3 2 6 2" xfId="23174"/>
    <cellStyle name="Normal 7 4 3 2 6 2" xfId="23175"/>
    <cellStyle name="Normal 2 3 2 3 2 6 2" xfId="23176"/>
    <cellStyle name="Normal 3 3 2 3 2 6 2" xfId="23177"/>
    <cellStyle name="Normal 4 2 2 3 2 6 2" xfId="23178"/>
    <cellStyle name="Normal 5 2 2 3 2 6 2" xfId="23179"/>
    <cellStyle name="Normal 7 2 2 3 2 6 2" xfId="23180"/>
    <cellStyle name="Normal 2 4 2 3 2 6 2" xfId="23181"/>
    <cellStyle name="Normal 3 4 2 3 2 6 2" xfId="23182"/>
    <cellStyle name="Normal 4 3 2 3 2 6 2" xfId="23183"/>
    <cellStyle name="Normal 5 3 2 3 2 6 2" xfId="23184"/>
    <cellStyle name="Normal 7 3 2 3 2 6 2" xfId="23185"/>
    <cellStyle name="Normal 2 6 3 2 6 2" xfId="23186"/>
    <cellStyle name="Normal 3 6 3 2 6 2" xfId="23187"/>
    <cellStyle name="Normal 4 5 3 2 6 2" xfId="23188"/>
    <cellStyle name="Normal 5 5 3 2 6 2" xfId="23189"/>
    <cellStyle name="Normal 7 5 3 2 6 2" xfId="23190"/>
    <cellStyle name="Normal 2 3 3 3 2 6 2" xfId="23191"/>
    <cellStyle name="Normal 3 3 3 3 2 6 2" xfId="23192"/>
    <cellStyle name="Normal 4 2 3 3 2 6 2" xfId="23193"/>
    <cellStyle name="Normal 5 2 3 3 2 6 2" xfId="23194"/>
    <cellStyle name="Normal 7 2 3 3 2 6 2" xfId="23195"/>
    <cellStyle name="Normal 2 4 3 3 2 6 2" xfId="23196"/>
    <cellStyle name="Normal 3 4 3 3 2 6 2" xfId="23197"/>
    <cellStyle name="Normal 4 3 3 3 2 6 2" xfId="23198"/>
    <cellStyle name="Normal 5 3 3 3 2 6 2" xfId="23199"/>
    <cellStyle name="Normal 7 3 3 3 2 6 2" xfId="23200"/>
    <cellStyle name="Normal 2 7 2 2 6 2" xfId="23201"/>
    <cellStyle name="Normal 3 7 2 2 6 2" xfId="23202"/>
    <cellStyle name="Normal 4 6 2 2 6 2" xfId="23203"/>
    <cellStyle name="Normal 5 6 2 2 6 2" xfId="23204"/>
    <cellStyle name="Normal 7 6 2 2 6 2" xfId="23205"/>
    <cellStyle name="Normal 2 3 4 2 2 6 2" xfId="23206"/>
    <cellStyle name="Normal 3 3 4 2 2 6 2" xfId="23207"/>
    <cellStyle name="Normal 4 2 4 2 2 6 2" xfId="23208"/>
    <cellStyle name="Normal 5 2 4 2 2 6 2" xfId="23209"/>
    <cellStyle name="Normal 7 2 4 2 2 6 2" xfId="23210"/>
    <cellStyle name="Normal 2 4 4 2 2 6 2" xfId="23211"/>
    <cellStyle name="Normal 3 4 4 2 2 6 2" xfId="23212"/>
    <cellStyle name="Normal 4 3 4 2 2 6 2" xfId="23213"/>
    <cellStyle name="Normal 5 3 4 2 2 6 2" xfId="23214"/>
    <cellStyle name="Normal 7 3 4 2 2 6 2" xfId="23215"/>
    <cellStyle name="Normal 2 5 2 2 2 6 2" xfId="23216"/>
    <cellStyle name="Normal 3 5 2 2 2 6 2" xfId="23217"/>
    <cellStyle name="Normal 4 4 2 2 2 6 2" xfId="23218"/>
    <cellStyle name="Normal 5 4 2 2 2 6 2" xfId="23219"/>
    <cellStyle name="Normal 7 4 2 2 2 6 2" xfId="23220"/>
    <cellStyle name="Normal 2 3 2 2 2 2 6 2" xfId="23221"/>
    <cellStyle name="Normal 3 3 2 2 2 2 6 2" xfId="23222"/>
    <cellStyle name="Normal 4 2 2 2 2 2 6 2" xfId="23223"/>
    <cellStyle name="Normal 5 2 2 2 2 2 6 2" xfId="23224"/>
    <cellStyle name="Normal 7 2 2 2 2 2 6 2" xfId="23225"/>
    <cellStyle name="Normal 2 4 2 2 2 2 6 2" xfId="23226"/>
    <cellStyle name="Normal 3 4 2 2 2 2 6 2" xfId="23227"/>
    <cellStyle name="Normal 4 3 2 2 2 2 6 2" xfId="23228"/>
    <cellStyle name="Normal 5 3 2 2 2 2 6 2" xfId="23229"/>
    <cellStyle name="Normal 7 3 2 2 2 2 6 2" xfId="23230"/>
    <cellStyle name="Normal 2 6 2 2 2 6 2" xfId="23231"/>
    <cellStyle name="Normal 3 6 2 2 2 6 2" xfId="23232"/>
    <cellStyle name="Normal 4 5 2 2 2 6 2" xfId="23233"/>
    <cellStyle name="Normal 5 5 2 2 2 6 2" xfId="23234"/>
    <cellStyle name="Normal 7 5 2 2 2 6 2" xfId="23235"/>
    <cellStyle name="Normal 2 3 3 2 2 2 6 2" xfId="23236"/>
    <cellStyle name="Normal 3 3 3 2 2 2 6 2" xfId="23237"/>
    <cellStyle name="Normal 4 2 3 2 2 2 6 2" xfId="23238"/>
    <cellStyle name="Normal 5 2 3 2 2 2 6 2" xfId="23239"/>
    <cellStyle name="Normal 7 2 3 2 2 2 6 2" xfId="23240"/>
    <cellStyle name="Normal 2 4 3 2 2 2 6 2" xfId="23241"/>
    <cellStyle name="Normal 3 4 3 2 2 2 6 2" xfId="23242"/>
    <cellStyle name="Normal 4 3 3 2 2 2 6 2" xfId="23243"/>
    <cellStyle name="Normal 5 3 3 2 2 2 6 2" xfId="23244"/>
    <cellStyle name="Normal 7 3 3 2 2 2 6 2" xfId="23245"/>
    <cellStyle name="Normal 28 6 3" xfId="23246"/>
    <cellStyle name="Normal 2 3 7 6 2" xfId="23247"/>
    <cellStyle name="Normal 3 10 6 2" xfId="23248"/>
    <cellStyle name="Normal 4 9 6 2" xfId="23249"/>
    <cellStyle name="Normal 5 9 6 2" xfId="23250"/>
    <cellStyle name="Millares 4 6 2" xfId="23251"/>
    <cellStyle name="Normal 7 2 7 6 2" xfId="23252"/>
    <cellStyle name="Normal 3 3 7 6 2" xfId="23253"/>
    <cellStyle name="Normal 4 2 7 6 2" xfId="23254"/>
    <cellStyle name="Normal 5 2 7 6 2" xfId="23255"/>
    <cellStyle name="Normal 2 4 5 3 6 2" xfId="23256"/>
    <cellStyle name="Normal 3 4 7 6 2" xfId="23257"/>
    <cellStyle name="Normal 4 3 7 6 2" xfId="23258"/>
    <cellStyle name="Normal 5 3 7 6 2" xfId="23259"/>
    <cellStyle name="Normal 7 3 7 6 2" xfId="23260"/>
    <cellStyle name="Normal 2 5 5 6 2" xfId="23261"/>
    <cellStyle name="Normal 3 5 5 6 2" xfId="23262"/>
    <cellStyle name="Normal 4 4 5 6 2" xfId="23263"/>
    <cellStyle name="Normal 5 4 5 6 2" xfId="23264"/>
    <cellStyle name="Normal 7 4 5 6 2" xfId="23265"/>
    <cellStyle name="Normal 2 3 2 5 6 2" xfId="23266"/>
    <cellStyle name="Normal 3 3 2 5 6 2" xfId="23267"/>
    <cellStyle name="Normal 4 2 2 5 6 2" xfId="23268"/>
    <cellStyle name="Normal 5 2 2 5 6 2" xfId="23269"/>
    <cellStyle name="Normal 7 2 2 5 6 2" xfId="23270"/>
    <cellStyle name="Normal 2 4 2 5 6 2" xfId="23271"/>
    <cellStyle name="Normal 3 4 2 5 6 2" xfId="23272"/>
    <cellStyle name="Normal 4 3 2 5 6 2" xfId="23273"/>
    <cellStyle name="Normal 5 3 2 5 6 2" xfId="23274"/>
    <cellStyle name="Normal 7 3 2 5 6 2" xfId="23275"/>
    <cellStyle name="Normal 2 6 5 6 2" xfId="23276"/>
    <cellStyle name="Normal 3 6 5 6 2" xfId="23277"/>
    <cellStyle name="Normal 4 5 5 6 2" xfId="23278"/>
    <cellStyle name="Normal 5 5 5 6 2" xfId="23279"/>
    <cellStyle name="Normal 7 5 5 6 2" xfId="23280"/>
    <cellStyle name="Normal 2 3 3 5 6 2" xfId="23281"/>
    <cellStyle name="Normal 3 3 3 5 6 2" xfId="23282"/>
    <cellStyle name="Normal 4 2 3 5 6 2" xfId="23283"/>
    <cellStyle name="Normal 5 2 3 5 6 2" xfId="23284"/>
    <cellStyle name="Normal 7 2 3 5 6 2" xfId="23285"/>
    <cellStyle name="Normal 2 4 3 5 6 2" xfId="23286"/>
    <cellStyle name="Normal 3 4 3 5 6 2" xfId="23287"/>
    <cellStyle name="Normal 4 3 3 5 6 2" xfId="23288"/>
    <cellStyle name="Normal 5 3 3 5 6 2" xfId="23289"/>
    <cellStyle name="Normal 7 3 3 5 6 2" xfId="23290"/>
    <cellStyle name="Normal 2 7 4 6 2" xfId="23291"/>
    <cellStyle name="Normal 3 7 4 6 2" xfId="23292"/>
    <cellStyle name="Normal 4 6 4 6 2" xfId="23293"/>
    <cellStyle name="Normal 5 6 4 6 2" xfId="23294"/>
    <cellStyle name="Normal 7 6 4 6 2" xfId="23295"/>
    <cellStyle name="Normal 2 3 4 4 6 2" xfId="23296"/>
    <cellStyle name="Normal 3 3 4 4 6 2" xfId="23297"/>
    <cellStyle name="Normal 4 2 4 4 6 2" xfId="23298"/>
    <cellStyle name="Normal 5 2 4 4 6 2" xfId="23299"/>
    <cellStyle name="Normal 7 2 4 4 6 2" xfId="23300"/>
    <cellStyle name="Normal 2 4 4 4 6 2" xfId="23301"/>
    <cellStyle name="Normal 3 4 4 4 6 2" xfId="23302"/>
    <cellStyle name="Normal 4 3 4 4 6 2" xfId="23303"/>
    <cellStyle name="Normal 5 3 4 4 6 2" xfId="23304"/>
    <cellStyle name="Normal 7 3 4 4 6 2" xfId="23305"/>
    <cellStyle name="Normal 2 5 2 4 6 2" xfId="23306"/>
    <cellStyle name="Normal 3 5 2 4 6 2" xfId="23307"/>
    <cellStyle name="Normal 4 4 2 4 6 2" xfId="23308"/>
    <cellStyle name="Normal 5 4 2 4 6 2" xfId="23309"/>
    <cellStyle name="Normal 7 4 2 4 6 2" xfId="23310"/>
    <cellStyle name="Normal 2 3 2 2 4 6 2" xfId="23311"/>
    <cellStyle name="Normal 3 3 2 2 4 6 2" xfId="23312"/>
    <cellStyle name="Normal 4 2 2 2 4 6 2" xfId="23313"/>
    <cellStyle name="Normal 5 2 2 2 4 6 2" xfId="23314"/>
    <cellStyle name="Normal 7 2 2 2 4 6 2" xfId="23315"/>
    <cellStyle name="Normal 2 4 2 2 4 6 2" xfId="23316"/>
    <cellStyle name="Normal 3 4 2 2 4 6 2" xfId="23317"/>
    <cellStyle name="Normal 4 3 2 2 4 6 2" xfId="23318"/>
    <cellStyle name="Normal 5 3 2 2 4 6 2" xfId="23319"/>
    <cellStyle name="Normal 7 3 2 2 4 6 2" xfId="23320"/>
    <cellStyle name="Normal 2 6 2 4 6 2" xfId="23321"/>
    <cellStyle name="Normal 3 6 2 4 6 2" xfId="23322"/>
    <cellStyle name="Normal 4 5 2 4 6 2" xfId="23323"/>
    <cellStyle name="Normal 5 5 2 4 6 2" xfId="23324"/>
    <cellStyle name="Normal 7 5 2 4 6 2" xfId="23325"/>
    <cellStyle name="Normal 2 3 3 2 4 6 2" xfId="23326"/>
    <cellStyle name="Normal 3 3 3 2 4 6 2" xfId="23327"/>
    <cellStyle name="Normal 4 2 3 2 4 6 2" xfId="23328"/>
    <cellStyle name="Normal 5 2 3 2 4 6 2" xfId="23329"/>
    <cellStyle name="Normal 7 2 3 2 4 6 2" xfId="23330"/>
    <cellStyle name="Normal 2 4 3 2 4 6 2" xfId="23331"/>
    <cellStyle name="Normal 3 4 3 2 4 6 2" xfId="23332"/>
    <cellStyle name="Normal 4 3 3 2 4 6 2" xfId="23333"/>
    <cellStyle name="Normal 5 3 3 2 4 6 2" xfId="23334"/>
    <cellStyle name="Normal 7 3 3 2 4 6 2" xfId="23335"/>
    <cellStyle name="Normal 2 8 3 6 2" xfId="23336"/>
    <cellStyle name="Normal 3 8 3 6 2" xfId="23337"/>
    <cellStyle name="Normal 4 7 3 6 2" xfId="23338"/>
    <cellStyle name="Normal 5 7 3 6 2" xfId="23339"/>
    <cellStyle name="Normal 7 7 3 6 2" xfId="23340"/>
    <cellStyle name="Normal 2 3 5 3 6 2" xfId="23341"/>
    <cellStyle name="Normal 3 3 5 3 6 2" xfId="23342"/>
    <cellStyle name="Normal 4 2 5 3 6 2" xfId="23343"/>
    <cellStyle name="Normal 5 2 5 3 6 2" xfId="23344"/>
    <cellStyle name="Normal 7 2 5 3 6 2" xfId="23345"/>
    <cellStyle name="Normal 3 4 5 3 6 2" xfId="23346"/>
    <cellStyle name="Normal 4 3 5 3 6 2" xfId="23347"/>
    <cellStyle name="Normal 5 3 5 3 6 2" xfId="23348"/>
    <cellStyle name="Normal 7 3 5 3 6 2" xfId="23349"/>
    <cellStyle name="Normal 2 5 3 3 6 2" xfId="23350"/>
    <cellStyle name="Normal 3 5 3 3 6 2" xfId="23351"/>
    <cellStyle name="Normal 4 4 3 3 6 2" xfId="23352"/>
    <cellStyle name="Normal 5 4 3 3 6 2" xfId="23353"/>
    <cellStyle name="Normal 7 4 3 3 6 2" xfId="23354"/>
    <cellStyle name="Normal 2 3 2 3 3 6 2" xfId="23355"/>
    <cellStyle name="Normal 3 3 2 3 3 6 2" xfId="23356"/>
    <cellStyle name="Normal 4 2 2 3 3 6 2" xfId="23357"/>
    <cellStyle name="Normal 5 2 2 3 3 6 2" xfId="23358"/>
    <cellStyle name="Normal 7 2 2 3 3 6 2" xfId="23359"/>
    <cellStyle name="Normal 2 4 2 3 3 6 2" xfId="23360"/>
    <cellStyle name="Normal 3 4 2 3 3 6 2" xfId="23361"/>
    <cellStyle name="Normal 4 3 2 3 3 6 2" xfId="23362"/>
    <cellStyle name="Normal 5 3 2 3 3 6 2" xfId="23363"/>
    <cellStyle name="Normal 7 3 2 3 3 6 2" xfId="23364"/>
    <cellStyle name="Normal 2 6 3 3 6 2" xfId="23365"/>
    <cellStyle name="Normal 3 6 3 3 6 2" xfId="23366"/>
    <cellStyle name="Normal 4 5 3 3 6 2" xfId="23367"/>
    <cellStyle name="Normal 5 5 3 3 6 2" xfId="23368"/>
    <cellStyle name="Normal 7 5 3 3 6 2" xfId="23369"/>
    <cellStyle name="Normal 2 3 3 3 3 6 2" xfId="23370"/>
    <cellStyle name="Normal 3 3 3 3 3 6 2" xfId="23371"/>
    <cellStyle name="Normal 4 2 3 3 3 6 2" xfId="23372"/>
    <cellStyle name="Normal 5 2 3 3 3 6 2" xfId="23373"/>
    <cellStyle name="Normal 7 2 3 3 3 6 2" xfId="23374"/>
    <cellStyle name="Normal 2 4 3 3 3 6 2" xfId="23375"/>
    <cellStyle name="Normal 3 4 3 3 3 6 2" xfId="23376"/>
    <cellStyle name="Normal 4 3 3 3 3 6 2" xfId="23377"/>
    <cellStyle name="Normal 5 3 3 3 3 6 2" xfId="23378"/>
    <cellStyle name="Normal 7 3 3 3 3 6 2" xfId="23379"/>
    <cellStyle name="Normal 2 7 2 3 6 2" xfId="23380"/>
    <cellStyle name="Normal 3 7 2 3 6 2" xfId="23381"/>
    <cellStyle name="Normal 4 6 2 3 6 2" xfId="23382"/>
    <cellStyle name="Normal 5 6 2 3 6 2" xfId="23383"/>
    <cellStyle name="Normal 7 6 2 3 6 2" xfId="23384"/>
    <cellStyle name="Normal 2 3 4 2 3 6 2" xfId="23385"/>
    <cellStyle name="Normal 3 3 4 2 3 6 2" xfId="23386"/>
    <cellStyle name="Normal 4 2 4 2 3 6 2" xfId="23387"/>
    <cellStyle name="Normal 5 2 4 2 3 6 2" xfId="23388"/>
    <cellStyle name="Normal 7 2 4 2 3 6 2" xfId="23389"/>
    <cellStyle name="Normal 2 4 4 2 3 6 2" xfId="23390"/>
    <cellStyle name="Normal 3 4 4 2 3 6 2" xfId="23391"/>
    <cellStyle name="Normal 4 3 4 2 3 6 2" xfId="23392"/>
    <cellStyle name="Normal 5 3 4 2 3 6 2" xfId="23393"/>
    <cellStyle name="Normal 7 3 4 2 3 6 2" xfId="23394"/>
    <cellStyle name="Normal 2 5 2 2 3 6 2" xfId="23395"/>
    <cellStyle name="Normal 3 5 2 2 3 6 2" xfId="23396"/>
    <cellStyle name="Normal 4 4 2 2 3 6 2" xfId="23397"/>
    <cellStyle name="Normal 5 4 2 2 3 6 2" xfId="23398"/>
    <cellStyle name="Normal 7 4 2 2 3 6 2" xfId="23399"/>
    <cellStyle name="Normal 2 3 2 2 2 3 6 2" xfId="23400"/>
    <cellStyle name="Normal 3 3 2 2 2 3 6 2" xfId="23401"/>
    <cellStyle name="Normal 4 2 2 2 2 3 6 2" xfId="23402"/>
    <cellStyle name="Normal 5 2 2 2 2 3 6 2" xfId="23403"/>
    <cellStyle name="Normal 7 2 2 2 2 3 6 2" xfId="23404"/>
    <cellStyle name="Normal 2 4 2 2 2 3 6 2" xfId="23405"/>
    <cellStyle name="Normal 3 4 2 2 2 3 6 2" xfId="23406"/>
    <cellStyle name="Normal 4 3 2 2 2 3 6 2" xfId="23407"/>
    <cellStyle name="Normal 5 3 2 2 2 3 6 2" xfId="23408"/>
    <cellStyle name="Normal 7 3 2 2 2 3 6 2" xfId="23409"/>
    <cellStyle name="Normal 2 6 2 2 3 6 2" xfId="23410"/>
    <cellStyle name="Normal 3 6 2 2 3 6 2" xfId="23411"/>
    <cellStyle name="Normal 4 5 2 2 3 6 2" xfId="23412"/>
    <cellStyle name="Normal 5 5 2 2 3 6 2" xfId="23413"/>
    <cellStyle name="Normal 7 5 2 2 3 6 2" xfId="23414"/>
    <cellStyle name="Normal 2 3 3 2 2 3 6 2" xfId="23415"/>
    <cellStyle name="Normal 3 3 3 2 2 3 6 2" xfId="23416"/>
    <cellStyle name="Normal 4 2 3 2 2 3 6 2" xfId="23417"/>
    <cellStyle name="Normal 5 2 3 2 2 3 6 2" xfId="23418"/>
    <cellStyle name="Normal 7 2 3 2 2 3 6 2" xfId="23419"/>
    <cellStyle name="Normal 2 4 3 2 2 3 6 2" xfId="23420"/>
    <cellStyle name="Normal 3 4 3 2 2 3 6 2" xfId="23421"/>
    <cellStyle name="Normal 4 3 3 2 2 3 6 2" xfId="23422"/>
    <cellStyle name="Normal 5 3 3 2 2 3 6 2" xfId="23423"/>
    <cellStyle name="Normal 7 3 3 2 2 3 6 2" xfId="23424"/>
    <cellStyle name="Normal 2 11 4 2" xfId="23425"/>
    <cellStyle name="Normal 3 11 4 2" xfId="23426"/>
    <cellStyle name="Normal 4 10 4 2" xfId="23427"/>
    <cellStyle name="Normal 5 10 4 2" xfId="23428"/>
    <cellStyle name="Normal 7 10 4 2" xfId="23429"/>
    <cellStyle name="Normal 2 3 8 4 2" xfId="23430"/>
    <cellStyle name="Normal 3 3 8 4 2" xfId="23431"/>
    <cellStyle name="Normal 4 2 8 4 2" xfId="23432"/>
    <cellStyle name="Normal 5 2 8 4 2" xfId="23433"/>
    <cellStyle name="Normal 7 2 8 4 2" xfId="23434"/>
    <cellStyle name="Normal 2 4 8 4 2" xfId="23435"/>
    <cellStyle name="Normal 3 4 8 4 2" xfId="23436"/>
    <cellStyle name="Normal 4 3 8 4 2" xfId="23437"/>
    <cellStyle name="Normal 5 3 8 4 2" xfId="23438"/>
    <cellStyle name="Normal 7 3 8 4 2" xfId="23439"/>
    <cellStyle name="Normal 2 5 6 4 2" xfId="23440"/>
    <cellStyle name="Normal 3 5 6 4 2" xfId="23441"/>
    <cellStyle name="Normal 4 4 6 4 2" xfId="23442"/>
    <cellStyle name="Normal 5 4 6 4 2" xfId="23443"/>
    <cellStyle name="Normal 7 4 6 4 2" xfId="23444"/>
    <cellStyle name="Normal 2 3 2 6 4 2" xfId="23445"/>
    <cellStyle name="Normal 3 3 2 6 4 2" xfId="23446"/>
    <cellStyle name="Normal 4 2 2 6 4 2" xfId="23447"/>
    <cellStyle name="Normal 5 2 2 6 4 2" xfId="23448"/>
    <cellStyle name="Normal 7 2 2 6 4 2" xfId="23449"/>
    <cellStyle name="Normal 2 4 2 6 4 2" xfId="23450"/>
    <cellStyle name="Normal 3 4 2 6 4 2" xfId="23451"/>
    <cellStyle name="Normal 4 3 2 6 4 2" xfId="23452"/>
    <cellStyle name="Normal 5 3 2 6 4 2" xfId="23453"/>
    <cellStyle name="Normal 7 3 2 6 4 2" xfId="23454"/>
    <cellStyle name="Normal 2 6 6 4 2" xfId="23455"/>
    <cellStyle name="Normal 3 6 6 4 2" xfId="23456"/>
    <cellStyle name="Normal 4 5 6 4 2" xfId="23457"/>
    <cellStyle name="Normal 5 5 6 4 2" xfId="23458"/>
    <cellStyle name="Normal 7 5 6 4 2" xfId="23459"/>
    <cellStyle name="Normal 2 3 3 6 4 2" xfId="23460"/>
    <cellStyle name="Normal 3 3 3 6 4 2" xfId="23461"/>
    <cellStyle name="Normal 4 2 3 6 4 2" xfId="23462"/>
    <cellStyle name="Normal 5 2 3 6 4 2" xfId="23463"/>
    <cellStyle name="Normal 7 2 3 6 4 2" xfId="23464"/>
    <cellStyle name="Normal 2 4 3 6 4 2" xfId="23465"/>
    <cellStyle name="Normal 3 4 3 6 4 2" xfId="23466"/>
    <cellStyle name="Normal 4 3 3 6 4 2" xfId="23467"/>
    <cellStyle name="Normal 5 3 3 6 4 2" xfId="23468"/>
    <cellStyle name="Normal 7 3 3 6 4 2" xfId="23469"/>
    <cellStyle name="Normal 2 7 5 4 2" xfId="23470"/>
    <cellStyle name="Normal 3 7 5 4 2" xfId="23471"/>
    <cellStyle name="Normal 4 6 5 4 2" xfId="23472"/>
    <cellStyle name="Normal 5 6 5 4 2" xfId="23473"/>
    <cellStyle name="Normal 7 6 5 4 2" xfId="23474"/>
    <cellStyle name="Normal 2 3 4 5 4 2" xfId="23475"/>
    <cellStyle name="Normal 3 3 4 5 4 2" xfId="23476"/>
    <cellStyle name="Normal 4 2 4 5 4 2" xfId="23477"/>
    <cellStyle name="Normal 5 2 4 5 4 2" xfId="23478"/>
    <cellStyle name="Normal 7 2 4 5 4 2" xfId="23479"/>
    <cellStyle name="Normal 2 4 4 5 4 2" xfId="23480"/>
    <cellStyle name="Normal 3 4 4 5 4 2" xfId="23481"/>
    <cellStyle name="Normal 4 3 4 5 4 2" xfId="23482"/>
    <cellStyle name="Normal 5 3 4 5 4 2" xfId="23483"/>
    <cellStyle name="Normal 7 3 4 5 4 2" xfId="23484"/>
    <cellStyle name="Normal 2 5 2 5 4 2" xfId="23485"/>
    <cellStyle name="Normal 3 5 2 5 4 2" xfId="23486"/>
    <cellStyle name="Normal 4 4 2 5 4 2" xfId="23487"/>
    <cellStyle name="Normal 5 4 2 5 4 2" xfId="23488"/>
    <cellStyle name="Normal 7 4 2 5 4 2" xfId="23489"/>
    <cellStyle name="Normal 2 3 2 2 5 4 2" xfId="23490"/>
    <cellStyle name="Normal 3 3 2 2 5 4 2" xfId="23491"/>
    <cellStyle name="Normal 4 2 2 2 5 4 2" xfId="23492"/>
    <cellStyle name="Normal 5 2 2 2 5 4 2" xfId="23493"/>
    <cellStyle name="Normal 7 2 2 2 5 4 2" xfId="23494"/>
    <cellStyle name="Normal 2 4 2 2 5 4 2" xfId="23495"/>
    <cellStyle name="Normal 3 4 2 2 5 4 2" xfId="23496"/>
    <cellStyle name="Normal 4 3 2 2 5 4 2" xfId="23497"/>
    <cellStyle name="Normal 5 3 2 2 5 4 2" xfId="23498"/>
    <cellStyle name="Normal 7 3 2 2 5 4 2" xfId="23499"/>
    <cellStyle name="Normal 2 6 2 5 4 2" xfId="23500"/>
    <cellStyle name="Normal 3 6 2 5 4 2" xfId="23501"/>
    <cellStyle name="Normal 4 5 2 5 4 2" xfId="23502"/>
    <cellStyle name="Normal 5 5 2 5 4 2" xfId="23503"/>
    <cellStyle name="Normal 7 5 2 5 4 2" xfId="23504"/>
    <cellStyle name="Normal 2 3 3 2 5 4 2" xfId="23505"/>
    <cellStyle name="Normal 3 3 3 2 5 4 2" xfId="23506"/>
    <cellStyle name="Normal 4 2 3 2 5 4 2" xfId="23507"/>
    <cellStyle name="Normal 5 2 3 2 5 4 2" xfId="23508"/>
    <cellStyle name="Normal 7 2 3 2 5 4 2" xfId="23509"/>
    <cellStyle name="Normal 2 4 3 2 5 4 2" xfId="23510"/>
    <cellStyle name="Normal 3 4 3 2 5 4 2" xfId="23511"/>
    <cellStyle name="Normal 4 3 3 2 5 4 2" xfId="23512"/>
    <cellStyle name="Normal 5 3 3 2 5 4 2" xfId="23513"/>
    <cellStyle name="Normal 7 3 3 2 5 4 2" xfId="23514"/>
    <cellStyle name="Normal 2 8 4 4 2" xfId="23515"/>
    <cellStyle name="Normal 3 8 4 4 2" xfId="23516"/>
    <cellStyle name="Normal 4 7 4 4 2" xfId="23517"/>
    <cellStyle name="Normal 5 7 4 4 2" xfId="23518"/>
    <cellStyle name="Normal 7 7 4 4 2" xfId="23519"/>
    <cellStyle name="Normal 2 3 5 4 4 2" xfId="23520"/>
    <cellStyle name="Normal 3 3 5 4 4 2" xfId="23521"/>
    <cellStyle name="Normal 4 2 5 4 4 2" xfId="23522"/>
    <cellStyle name="Normal 5 2 5 4 4 2" xfId="23523"/>
    <cellStyle name="Normal 7 2 5 4 4 2" xfId="23524"/>
    <cellStyle name="Normal 2 4 5 4 4 2" xfId="23525"/>
    <cellStyle name="Normal 3 4 5 4 4 2" xfId="23526"/>
    <cellStyle name="Normal 4 3 5 4 4 2" xfId="23527"/>
    <cellStyle name="Normal 5 3 5 4 4 2" xfId="23528"/>
    <cellStyle name="Normal 7 3 5 4 4 2" xfId="23529"/>
    <cellStyle name="Normal 2 5 3 4 4 2" xfId="23530"/>
    <cellStyle name="Normal 3 5 3 4 4 2" xfId="23531"/>
    <cellStyle name="Normal 4 4 3 4 4 2" xfId="23532"/>
    <cellStyle name="Normal 5 4 3 4 4 2" xfId="23533"/>
    <cellStyle name="Normal 7 4 3 4 4 2" xfId="23534"/>
    <cellStyle name="Normal 2 3 2 3 4 4 2" xfId="23535"/>
    <cellStyle name="Normal 3 3 2 3 4 4 2" xfId="23536"/>
    <cellStyle name="Normal 4 2 2 3 4 4 2" xfId="23537"/>
    <cellStyle name="Normal 5 2 2 3 4 4 2" xfId="23538"/>
    <cellStyle name="Normal 7 2 2 3 4 4 2" xfId="23539"/>
    <cellStyle name="Normal 2 4 2 3 4 4 2" xfId="23540"/>
    <cellStyle name="Normal 3 4 2 3 4 4 2" xfId="23541"/>
    <cellStyle name="Normal 4 3 2 3 4 4 2" xfId="23542"/>
    <cellStyle name="Normal 5 3 2 3 4 4 2" xfId="23543"/>
    <cellStyle name="Normal 7 3 2 3 4 4 2" xfId="23544"/>
    <cellStyle name="Normal 2 6 3 4 4 2" xfId="23545"/>
    <cellStyle name="Normal 3 6 3 4 4 2" xfId="23546"/>
    <cellStyle name="Normal 4 5 3 4 4 2" xfId="23547"/>
    <cellStyle name="Normal 5 5 3 4 4 2" xfId="23548"/>
    <cellStyle name="Normal 7 5 3 4 4 2" xfId="23549"/>
    <cellStyle name="Normal 2 3 3 3 4 4 2" xfId="23550"/>
    <cellStyle name="Normal 3 3 3 3 4 4 2" xfId="23551"/>
    <cellStyle name="Normal 4 2 3 3 4 4 2" xfId="23552"/>
    <cellStyle name="Normal 5 2 3 3 4 4 2" xfId="23553"/>
    <cellStyle name="Normal 7 2 3 3 4 4 2" xfId="23554"/>
    <cellStyle name="Normal 2 4 3 3 4 4 2" xfId="23555"/>
    <cellStyle name="Normal 3 4 3 3 4 4 2" xfId="23556"/>
    <cellStyle name="Normal 4 3 3 3 4 4 2" xfId="23557"/>
    <cellStyle name="Normal 5 3 3 3 4 4 2" xfId="23558"/>
    <cellStyle name="Normal 7 3 3 3 4 4 2" xfId="23559"/>
    <cellStyle name="Normal 2 7 2 4 4 2" xfId="23560"/>
    <cellStyle name="Normal 3 7 2 4 4 2" xfId="23561"/>
    <cellStyle name="Normal 4 6 2 4 4 2" xfId="23562"/>
    <cellStyle name="Normal 5 6 2 4 4 2" xfId="23563"/>
    <cellStyle name="Normal 7 6 2 4 4 2" xfId="23564"/>
    <cellStyle name="Normal 2 3 4 2 4 4 2" xfId="23565"/>
    <cellStyle name="Normal 3 3 4 2 4 4 2" xfId="23566"/>
    <cellStyle name="Normal 4 2 4 2 4 4 2" xfId="23567"/>
    <cellStyle name="Normal 5 2 4 2 4 4 2" xfId="23568"/>
    <cellStyle name="Normal 7 2 4 2 4 4 2" xfId="23569"/>
    <cellStyle name="Normal 2 4 4 2 4 4 2" xfId="23570"/>
    <cellStyle name="Normal 3 4 4 2 4 4 2" xfId="23571"/>
    <cellStyle name="Normal 4 3 4 2 4 4 2" xfId="23572"/>
    <cellStyle name="Normal 5 3 4 2 4 4 2" xfId="23573"/>
    <cellStyle name="Normal 7 3 4 2 4 4 2" xfId="23574"/>
    <cellStyle name="Normal 2 5 2 2 4 4 2" xfId="23575"/>
    <cellStyle name="Normal 3 5 2 2 4 4 2" xfId="23576"/>
    <cellStyle name="Normal 4 4 2 2 4 4 2" xfId="23577"/>
    <cellStyle name="Normal 5 4 2 2 4 4 2" xfId="23578"/>
    <cellStyle name="Normal 7 4 2 2 4 4 2" xfId="23579"/>
    <cellStyle name="Normal 2 3 2 2 2 4 4 2" xfId="23580"/>
    <cellStyle name="Normal 3 3 2 2 2 4 4 2" xfId="23581"/>
    <cellStyle name="Normal 4 2 2 2 2 4 4 2" xfId="23582"/>
    <cellStyle name="Normal 5 2 2 2 2 4 4 2" xfId="23583"/>
    <cellStyle name="Normal 7 2 2 2 2 4 4 2" xfId="23584"/>
    <cellStyle name="Normal 2 4 2 2 2 4 4 2" xfId="23585"/>
    <cellStyle name="Normal 3 4 2 2 2 4 4 2" xfId="23586"/>
    <cellStyle name="Normal 4 3 2 2 2 4 4 2" xfId="23587"/>
    <cellStyle name="Normal 5 3 2 2 2 4 4 2" xfId="23588"/>
    <cellStyle name="Normal 7 3 2 2 2 4 4 2" xfId="23589"/>
    <cellStyle name="Normal 2 6 2 2 4 4 2" xfId="23590"/>
    <cellStyle name="Normal 3 6 2 2 4 4 2" xfId="23591"/>
    <cellStyle name="Normal 4 5 2 2 4 4 2" xfId="23592"/>
    <cellStyle name="Normal 5 5 2 2 4 4 2" xfId="23593"/>
    <cellStyle name="Normal 7 5 2 2 4 4 2" xfId="23594"/>
    <cellStyle name="Normal 2 3 3 2 2 4 4 2" xfId="23595"/>
    <cellStyle name="Normal 3 3 3 2 2 4 4 2" xfId="23596"/>
    <cellStyle name="Normal 4 2 3 2 2 4 4 2" xfId="23597"/>
    <cellStyle name="Normal 5 2 3 2 2 4 4 2" xfId="23598"/>
    <cellStyle name="Normal 7 2 3 2 2 4 4 2" xfId="23599"/>
    <cellStyle name="Normal 2 4 3 2 2 4 4 2" xfId="23600"/>
    <cellStyle name="Normal 3 4 3 2 2 4 4 2" xfId="23601"/>
    <cellStyle name="Normal 4 3 3 2 2 4 4 2" xfId="23602"/>
    <cellStyle name="Normal 5 3 3 2 2 4 4 2" xfId="23603"/>
    <cellStyle name="Normal 7 3 3 2 2 4 4 2" xfId="23604"/>
    <cellStyle name="Normal 2 9 2 4 2" xfId="23605"/>
    <cellStyle name="Normal 3 9 2 4 2" xfId="23606"/>
    <cellStyle name="Normal 4 8 2 4 2" xfId="23607"/>
    <cellStyle name="Normal 5 8 2 4 2" xfId="23608"/>
    <cellStyle name="Normal 7 8 2 4 2" xfId="23609"/>
    <cellStyle name="Normal 2 3 6 2 4 2" xfId="23610"/>
    <cellStyle name="Normal 3 3 6 2 4 2" xfId="23611"/>
    <cellStyle name="Normal 4 2 6 2 4 2" xfId="23612"/>
    <cellStyle name="Normal 5 2 6 2 4 2" xfId="23613"/>
    <cellStyle name="Normal 7 2 6 2 4 2" xfId="23614"/>
    <cellStyle name="Normal 2 4 6 2 4 2" xfId="23615"/>
    <cellStyle name="Normal 3 4 6 2 4 2" xfId="23616"/>
    <cellStyle name="Normal 4 3 6 2 4 2" xfId="23617"/>
    <cellStyle name="Normal 5 3 6 2 4 2" xfId="23618"/>
    <cellStyle name="Normal 7 3 6 2 4 2" xfId="23619"/>
    <cellStyle name="Normal 2 5 4 2 4 2" xfId="23620"/>
    <cellStyle name="Normal 3 5 4 2 4 2" xfId="23621"/>
    <cellStyle name="Normal 4 4 4 2 4 2" xfId="23622"/>
    <cellStyle name="Normal 5 4 4 2 4 2" xfId="23623"/>
    <cellStyle name="Normal 7 4 4 2 4 2" xfId="23624"/>
    <cellStyle name="Normal 2 3 2 4 2 4 2" xfId="23625"/>
    <cellStyle name="Normal 3 3 2 4 2 4 2" xfId="23626"/>
    <cellStyle name="Normal 4 2 2 4 2 4 2" xfId="23627"/>
    <cellStyle name="Normal 5 2 2 4 2 4 2" xfId="23628"/>
    <cellStyle name="Normal 7 2 2 4 2 4 2" xfId="23629"/>
    <cellStyle name="Normal 2 4 2 4 2 4 2" xfId="23630"/>
    <cellStyle name="Normal 3 4 2 4 2 4 2" xfId="23631"/>
    <cellStyle name="Normal 4 3 2 4 2 4 2" xfId="23632"/>
    <cellStyle name="Normal 5 3 2 4 2 4 2" xfId="23633"/>
    <cellStyle name="Normal 7 3 2 4 2 4 2" xfId="23634"/>
    <cellStyle name="Normal 2 6 4 2 4 2" xfId="23635"/>
    <cellStyle name="Normal 3 6 4 2 4 2" xfId="23636"/>
    <cellStyle name="Normal 4 5 4 2 4 2" xfId="23637"/>
    <cellStyle name="Normal 5 5 4 2 4 2" xfId="23638"/>
    <cellStyle name="Normal 7 5 4 2 4 2" xfId="23639"/>
    <cellStyle name="Normal 2 3 3 4 2 4 2" xfId="23640"/>
    <cellStyle name="Normal 3 3 3 4 2 4 2" xfId="23641"/>
    <cellStyle name="Normal 4 2 3 4 2 4 2" xfId="23642"/>
    <cellStyle name="Normal 5 2 3 4 2 4 2" xfId="23643"/>
    <cellStyle name="Normal 7 2 3 4 2 4 2" xfId="23644"/>
    <cellStyle name="Normal 2 4 3 4 2 4 2" xfId="23645"/>
    <cellStyle name="Normal 3 4 3 4 2 4 2" xfId="23646"/>
    <cellStyle name="Normal 4 3 3 4 2 4 2" xfId="23647"/>
    <cellStyle name="Normal 5 3 3 4 2 4 2" xfId="23648"/>
    <cellStyle name="Normal 7 3 3 4 2 4 2" xfId="23649"/>
    <cellStyle name="Normal 2 7 3 2 4 2" xfId="23650"/>
    <cellStyle name="Normal 3 7 3 2 4 2" xfId="23651"/>
    <cellStyle name="Normal 4 6 3 2 4 2" xfId="23652"/>
    <cellStyle name="Normal 5 6 3 2 4 2" xfId="23653"/>
    <cellStyle name="Normal 7 6 3 2 4 2" xfId="23654"/>
    <cellStyle name="Normal 2 3 4 3 2 4 2" xfId="23655"/>
    <cellStyle name="Normal 3 3 4 3 2 4 2" xfId="23656"/>
    <cellStyle name="Normal 4 2 4 3 2 4 2" xfId="23657"/>
    <cellStyle name="Normal 5 2 4 3 2 4 2" xfId="23658"/>
    <cellStyle name="Normal 7 2 4 3 2 4 2" xfId="23659"/>
    <cellStyle name="Normal 2 4 4 3 2 4 2" xfId="23660"/>
    <cellStyle name="Normal 3 4 4 3 2 4 2" xfId="23661"/>
    <cellStyle name="Normal 4 3 4 3 2 4 2" xfId="23662"/>
    <cellStyle name="Normal 5 3 4 3 2 4 2" xfId="23663"/>
    <cellStyle name="Normal 7 3 4 3 2 4 2" xfId="23664"/>
    <cellStyle name="Normal 2 5 2 3 2 4 2" xfId="23665"/>
    <cellStyle name="Normal 3 5 2 3 2 4 2" xfId="23666"/>
    <cellStyle name="Normal 4 4 2 3 2 4 2" xfId="23667"/>
    <cellStyle name="Normal 5 4 2 3 2 4 2" xfId="23668"/>
    <cellStyle name="Normal 7 4 2 3 2 4 2" xfId="23669"/>
    <cellStyle name="Normal 2 3 2 2 3 2 4 2" xfId="23670"/>
    <cellStyle name="Normal 3 3 2 2 3 2 4 2" xfId="23671"/>
    <cellStyle name="Normal 4 2 2 2 3 2 4 2" xfId="23672"/>
    <cellStyle name="Normal 5 2 2 2 3 2 4 2" xfId="23673"/>
    <cellStyle name="Normal 7 2 2 2 3 2 4 2" xfId="23674"/>
    <cellStyle name="Normal 2 4 2 2 3 2 4 2" xfId="23675"/>
    <cellStyle name="Normal 3 4 2 2 3 2 4 2" xfId="23676"/>
    <cellStyle name="Normal 4 3 2 2 3 2 4 2" xfId="23677"/>
    <cellStyle name="Normal 5 3 2 2 3 2 4 2" xfId="23678"/>
    <cellStyle name="Normal 7 3 2 2 3 2 4 2" xfId="23679"/>
    <cellStyle name="Normal 2 6 2 3 2 4 2" xfId="23680"/>
    <cellStyle name="Normal 3 6 2 3 2 4 2" xfId="23681"/>
    <cellStyle name="Normal 4 5 2 3 2 4 2" xfId="23682"/>
    <cellStyle name="Normal 5 5 2 3 2 4 2" xfId="23683"/>
    <cellStyle name="Normal 7 5 2 3 2 4 2" xfId="23684"/>
    <cellStyle name="Normal 2 3 3 2 3 2 4 2" xfId="23685"/>
    <cellStyle name="Normal 3 3 3 2 3 2 4 2" xfId="23686"/>
    <cellStyle name="Normal 4 2 3 2 3 2 4 2" xfId="23687"/>
    <cellStyle name="Normal 5 2 3 2 3 2 4 2" xfId="23688"/>
    <cellStyle name="Normal 7 2 3 2 3 2 4 2" xfId="23689"/>
    <cellStyle name="Normal 2 4 3 2 3 2 4 2" xfId="23690"/>
    <cellStyle name="Normal 3 4 3 2 3 2 4 2" xfId="23691"/>
    <cellStyle name="Normal 4 3 3 2 3 2 4 2" xfId="23692"/>
    <cellStyle name="Normal 5 3 3 2 3 2 4 2" xfId="23693"/>
    <cellStyle name="Normal 7 3 3 2 3 2 4 2" xfId="23694"/>
    <cellStyle name="Normal 2 8 2 2 4 2" xfId="23695"/>
    <cellStyle name="Normal 3 8 2 2 4 2" xfId="23696"/>
    <cellStyle name="Normal 4 7 2 2 4 2" xfId="23697"/>
    <cellStyle name="Normal 5 7 2 2 4 2" xfId="23698"/>
    <cellStyle name="Normal 7 7 2 2 4 2" xfId="23699"/>
    <cellStyle name="Normal 2 3 5 2 2 4 2" xfId="23700"/>
    <cellStyle name="Normal 3 3 5 2 2 4 2" xfId="23701"/>
    <cellStyle name="Normal 4 2 5 2 2 4 2" xfId="23702"/>
    <cellStyle name="Normal 5 2 5 2 2 4 2" xfId="23703"/>
    <cellStyle name="Normal 7 2 5 2 2 4 2" xfId="23704"/>
    <cellStyle name="Normal 2 4 5 2 2 4 2" xfId="23705"/>
    <cellStyle name="Normal 3 4 5 2 2 4 2" xfId="23706"/>
    <cellStyle name="Normal 4 3 5 2 2 4 2" xfId="23707"/>
    <cellStyle name="Normal 5 3 5 2 2 4 2" xfId="23708"/>
    <cellStyle name="Normal 7 3 5 2 2 4 2" xfId="23709"/>
    <cellStyle name="Normal 2 5 3 2 2 4 2" xfId="23710"/>
    <cellStyle name="Normal 3 5 3 2 2 4 2" xfId="23711"/>
    <cellStyle name="Normal 4 4 3 2 2 4 2" xfId="23712"/>
    <cellStyle name="Normal 5 4 3 2 2 4 2" xfId="23713"/>
    <cellStyle name="Normal 7 4 3 2 2 4 2" xfId="23714"/>
    <cellStyle name="Normal 2 3 2 3 2 2 4 2" xfId="23715"/>
    <cellStyle name="Normal 3 3 2 3 2 2 4 2" xfId="23716"/>
    <cellStyle name="Normal 4 2 2 3 2 2 4 2" xfId="23717"/>
    <cellStyle name="Normal 5 2 2 3 2 2 4 2" xfId="23718"/>
    <cellStyle name="Normal 7 2 2 3 2 2 4 2" xfId="23719"/>
    <cellStyle name="Normal 2 4 2 3 2 2 4 2" xfId="23720"/>
    <cellStyle name="Normal 3 4 2 3 2 2 4 2" xfId="23721"/>
    <cellStyle name="Normal 4 3 2 3 2 2 4 2" xfId="23722"/>
    <cellStyle name="Normal 5 3 2 3 2 2 4 2" xfId="23723"/>
    <cellStyle name="Normal 7 3 2 3 2 2 4 2" xfId="23724"/>
    <cellStyle name="Normal 2 6 3 2 2 4 2" xfId="23725"/>
    <cellStyle name="Normal 3 6 3 2 2 4 2" xfId="23726"/>
    <cellStyle name="Normal 4 5 3 2 2 4 2" xfId="23727"/>
    <cellStyle name="Normal 5 5 3 2 2 4 2" xfId="23728"/>
    <cellStyle name="Normal 7 5 3 2 2 4 2" xfId="23729"/>
    <cellStyle name="Normal 2 3 3 3 2 2 4 2" xfId="23730"/>
    <cellStyle name="Normal 3 3 3 3 2 2 4 2" xfId="23731"/>
    <cellStyle name="Normal 4 2 3 3 2 2 4 2" xfId="23732"/>
    <cellStyle name="Normal 5 2 3 3 2 2 4 2" xfId="23733"/>
    <cellStyle name="Normal 7 2 3 3 2 2 4 2" xfId="23734"/>
    <cellStyle name="Normal 2 4 3 3 2 2 4 2" xfId="23735"/>
    <cellStyle name="Normal 3 4 3 3 2 2 4 2" xfId="23736"/>
    <cellStyle name="Normal 4 3 3 3 2 2 4 2" xfId="23737"/>
    <cellStyle name="Normal 5 3 3 3 2 2 4 2" xfId="23738"/>
    <cellStyle name="Normal 7 3 3 3 2 2 4 2" xfId="23739"/>
    <cellStyle name="Normal 2 7 2 2 2 4 2" xfId="23740"/>
    <cellStyle name="Normal 3 7 2 2 2 4 2" xfId="23741"/>
    <cellStyle name="Normal 4 6 2 2 2 4 2" xfId="23742"/>
    <cellStyle name="Normal 5 6 2 2 2 4 2" xfId="23743"/>
    <cellStyle name="Normal 7 6 2 2 2 4 2" xfId="23744"/>
    <cellStyle name="Normal 2 3 4 2 2 2 4 2" xfId="23745"/>
    <cellStyle name="Normal 3 3 4 2 2 2 4 2" xfId="23746"/>
    <cellStyle name="Normal 4 2 4 2 2 2 4 2" xfId="23747"/>
    <cellStyle name="Normal 5 2 4 2 2 2 4 2" xfId="23748"/>
    <cellStyle name="Normal 7 2 4 2 2 2 4 2" xfId="23749"/>
    <cellStyle name="Normal 2 4 4 2 2 2 4 2" xfId="23750"/>
    <cellStyle name="Normal 3 4 4 2 2 2 4 2" xfId="23751"/>
    <cellStyle name="Normal 4 3 4 2 2 2 4 2" xfId="23752"/>
    <cellStyle name="Normal 5 3 4 2 2 2 4 2" xfId="23753"/>
    <cellStyle name="Normal 7 3 4 2 2 2 4 2" xfId="23754"/>
    <cellStyle name="Normal 2 5 2 2 2 2 4 2" xfId="23755"/>
    <cellStyle name="Normal 3 5 2 2 2 2 4 2" xfId="23756"/>
    <cellStyle name="Normal 4 4 2 2 2 2 4 2" xfId="23757"/>
    <cellStyle name="Normal 5 4 2 2 2 2 4 2" xfId="23758"/>
    <cellStyle name="Normal 7 4 2 2 2 2 4 2" xfId="23759"/>
    <cellStyle name="Normal 2 3 2 2 2 2 2 4 2" xfId="23760"/>
    <cellStyle name="Normal 3 3 2 2 2 2 2 4 2" xfId="23761"/>
    <cellStyle name="Normal 4 2 2 2 2 2 2 4 2" xfId="23762"/>
    <cellStyle name="Normal 5 2 2 2 2 2 2 4 2" xfId="23763"/>
    <cellStyle name="Normal 7 2 2 2 2 2 2 4 2" xfId="23764"/>
    <cellStyle name="Normal 2 4 2 2 2 2 2 4 2" xfId="23765"/>
    <cellStyle name="Normal 3 4 2 2 2 2 2 4 2" xfId="23766"/>
    <cellStyle name="Normal 4 3 2 2 2 2 2 4 2" xfId="23767"/>
    <cellStyle name="Normal 5 3 2 2 2 2 2 4 2" xfId="23768"/>
    <cellStyle name="Normal 7 3 2 2 2 2 2 4 2" xfId="23769"/>
    <cellStyle name="Normal 2 6 2 2 2 2 4 2" xfId="23770"/>
    <cellStyle name="Normal 3 6 2 2 2 2 4 2" xfId="23771"/>
    <cellStyle name="Normal 4 5 2 2 2 2 4 2" xfId="23772"/>
    <cellStyle name="Normal 5 5 2 2 2 2 4 2" xfId="23773"/>
    <cellStyle name="Normal 7 5 2 2 2 2 4 2" xfId="23774"/>
    <cellStyle name="Normal 2 3 3 2 2 2 2 4 2" xfId="23775"/>
    <cellStyle name="Normal 3 3 3 2 2 2 2 4 2" xfId="23776"/>
    <cellStyle name="Normal 4 2 3 2 2 2 2 4 2" xfId="23777"/>
    <cellStyle name="Normal 5 2 3 2 2 2 2 4 2" xfId="23778"/>
    <cellStyle name="Normal 7 2 3 2 2 2 2 4 2" xfId="23779"/>
    <cellStyle name="Normal 2 4 3 2 2 2 2 4 2" xfId="23780"/>
    <cellStyle name="Normal 3 4 3 2 2 2 2 4 2" xfId="23781"/>
    <cellStyle name="Normal 4 3 3 2 2 2 2 4 2" xfId="23782"/>
    <cellStyle name="Normal 5 3 3 2 2 2 2 4 2" xfId="23783"/>
    <cellStyle name="Normal 7 3 3 2 2 2 2 4 2" xfId="23784"/>
    <cellStyle name="Normal 28 2 4 2" xfId="23785"/>
    <cellStyle name="Normal 2 3 7 2 4 2" xfId="23786"/>
    <cellStyle name="Normal 3 10 2 4 2" xfId="23787"/>
    <cellStyle name="Normal 4 9 2 4 2" xfId="23788"/>
    <cellStyle name="Normal 5 9 2 4 2" xfId="23789"/>
    <cellStyle name="Millares 4 2 4 2" xfId="23790"/>
    <cellStyle name="Normal 7 2 7 2 4 2" xfId="23791"/>
    <cellStyle name="Normal 3 3 7 2 4 2" xfId="23792"/>
    <cellStyle name="Normal 4 2 7 2 4 2" xfId="23793"/>
    <cellStyle name="Normal 5 2 7 2 4 2" xfId="23794"/>
    <cellStyle name="Normal 2 4 5 3 2 4 2" xfId="23795"/>
    <cellStyle name="Normal 3 4 7 2 4 2" xfId="23796"/>
    <cellStyle name="Normal 4 3 7 2 4 2" xfId="23797"/>
    <cellStyle name="Normal 5 3 7 2 4 2" xfId="23798"/>
    <cellStyle name="Normal 7 3 7 2 4 2" xfId="23799"/>
    <cellStyle name="Normal 2 5 5 2 4 2" xfId="23800"/>
    <cellStyle name="Normal 3 5 5 2 4 2" xfId="23801"/>
    <cellStyle name="Normal 4 4 5 2 4 2" xfId="23802"/>
    <cellStyle name="Normal 5 4 5 2 4 2" xfId="23803"/>
    <cellStyle name="Normal 7 4 5 2 4 2" xfId="23804"/>
    <cellStyle name="Normal 2 3 2 5 2 4 2" xfId="23805"/>
    <cellStyle name="Normal 3 3 2 5 2 4 2" xfId="23806"/>
    <cellStyle name="Normal 4 2 2 5 2 4 2" xfId="23807"/>
    <cellStyle name="Normal 5 2 2 5 2 4 2" xfId="23808"/>
    <cellStyle name="Normal 7 2 2 5 2 4 2" xfId="23809"/>
    <cellStyle name="Normal 2 4 2 5 2 4 2" xfId="23810"/>
    <cellStyle name="Normal 3 4 2 5 2 4 2" xfId="23811"/>
    <cellStyle name="Normal 4 3 2 5 2 4 2" xfId="23812"/>
    <cellStyle name="Normal 5 3 2 5 2 4 2" xfId="23813"/>
    <cellStyle name="Normal 7 3 2 5 2 4 2" xfId="23814"/>
    <cellStyle name="Normal 2 6 5 2 4 2" xfId="23815"/>
    <cellStyle name="Normal 3 6 5 2 4 2" xfId="23816"/>
    <cellStyle name="Normal 4 5 5 2 4 2" xfId="23817"/>
    <cellStyle name="Normal 5 5 5 2 4 2" xfId="23818"/>
    <cellStyle name="Normal 7 5 5 2 4 2" xfId="23819"/>
    <cellStyle name="Normal 2 3 3 5 2 4 2" xfId="23820"/>
    <cellStyle name="Normal 3 3 3 5 2 4 2" xfId="23821"/>
    <cellStyle name="Normal 4 2 3 5 2 4 2" xfId="23822"/>
    <cellStyle name="Normal 5 2 3 5 2 4 2" xfId="23823"/>
    <cellStyle name="Normal 7 2 3 5 2 4 2" xfId="23824"/>
    <cellStyle name="Normal 2 4 3 5 2 4 2" xfId="23825"/>
    <cellStyle name="Normal 3 4 3 5 2 4 2" xfId="23826"/>
    <cellStyle name="Normal 4 3 3 5 2 4 2" xfId="23827"/>
    <cellStyle name="Normal 5 3 3 5 2 4 2" xfId="23828"/>
    <cellStyle name="Normal 7 3 3 5 2 4 2" xfId="23829"/>
    <cellStyle name="Normal 2 7 4 2 4 2" xfId="23830"/>
    <cellStyle name="Normal 3 7 4 2 4 2" xfId="23831"/>
    <cellStyle name="Normal 4 6 4 2 4 2" xfId="23832"/>
    <cellStyle name="Normal 5 6 4 2 4 2" xfId="23833"/>
    <cellStyle name="Normal 7 6 4 2 4 2" xfId="23834"/>
    <cellStyle name="Normal 2 3 4 4 2 4 2" xfId="23835"/>
    <cellStyle name="Normal 3 3 4 4 2 4 2" xfId="23836"/>
    <cellStyle name="Normal 4 2 4 4 2 4 2" xfId="23837"/>
    <cellStyle name="Normal 5 2 4 4 2 4 2" xfId="23838"/>
    <cellStyle name="Normal 7 2 4 4 2 4 2" xfId="23839"/>
    <cellStyle name="Normal 2 4 4 4 2 4 2" xfId="23840"/>
    <cellStyle name="Normal 3 4 4 4 2 4 2" xfId="23841"/>
    <cellStyle name="Normal 4 3 4 4 2 4 2" xfId="23842"/>
    <cellStyle name="Normal 5 3 4 4 2 4 2" xfId="23843"/>
    <cellStyle name="Normal 7 3 4 4 2 4 2" xfId="23844"/>
    <cellStyle name="Normal 2 5 2 4 2 4 2" xfId="23845"/>
    <cellStyle name="Normal 3 5 2 4 2 4 2" xfId="23846"/>
    <cellStyle name="Normal 4 4 2 4 2 4 2" xfId="23847"/>
    <cellStyle name="Normal 5 4 2 4 2 4 2" xfId="23848"/>
    <cellStyle name="Normal 7 4 2 4 2 4 2" xfId="23849"/>
    <cellStyle name="Normal 2 3 2 2 4 2 4 2" xfId="23850"/>
    <cellStyle name="Normal 3 3 2 2 4 2 4 2" xfId="23851"/>
    <cellStyle name="Normal 4 2 2 2 4 2 4 2" xfId="23852"/>
    <cellStyle name="Normal 5 2 2 2 4 2 4 2" xfId="23853"/>
    <cellStyle name="Normal 7 2 2 2 4 2 4 2" xfId="23854"/>
    <cellStyle name="Normal 2 4 2 2 4 2 4 2" xfId="23855"/>
    <cellStyle name="Normal 3 4 2 2 4 2 4 2" xfId="23856"/>
    <cellStyle name="Normal 4 3 2 2 4 2 4 2" xfId="23857"/>
    <cellStyle name="Normal 5 3 2 2 4 2 4 2" xfId="23858"/>
    <cellStyle name="Normal 7 3 2 2 4 2 4 2" xfId="23859"/>
    <cellStyle name="Normal 2 6 2 4 2 4 2" xfId="23860"/>
    <cellStyle name="Normal 3 6 2 4 2 4 2" xfId="23861"/>
    <cellStyle name="Normal 4 5 2 4 2 4 2" xfId="23862"/>
    <cellStyle name="Normal 5 5 2 4 2 4 2" xfId="23863"/>
    <cellStyle name="Normal 7 5 2 4 2 4 2" xfId="23864"/>
    <cellStyle name="Normal 2 3 3 2 4 2 4 2" xfId="23865"/>
    <cellStyle name="Normal 3 3 3 2 4 2 4 2" xfId="23866"/>
    <cellStyle name="Normal 4 2 3 2 4 2 4 2" xfId="23867"/>
    <cellStyle name="Normal 5 2 3 2 4 2 4 2" xfId="23868"/>
    <cellStyle name="Normal 7 2 3 2 4 2 4 2" xfId="23869"/>
    <cellStyle name="Normal 2 4 3 2 4 2 4 2" xfId="23870"/>
    <cellStyle name="Normal 3 4 3 2 4 2 4 2" xfId="23871"/>
    <cellStyle name="Normal 4 3 3 2 4 2 4 2" xfId="23872"/>
    <cellStyle name="Normal 5 3 3 2 4 2 4 2" xfId="23873"/>
    <cellStyle name="Normal 7 3 3 2 4 2 4 2" xfId="23874"/>
    <cellStyle name="Normal 2 8 3 2 4 2" xfId="23875"/>
    <cellStyle name="Normal 3 8 3 2 4 2" xfId="23876"/>
    <cellStyle name="Normal 4 7 3 2 4 2" xfId="23877"/>
    <cellStyle name="Normal 5 7 3 2 4 2" xfId="23878"/>
    <cellStyle name="Normal 7 7 3 2 4 2" xfId="23879"/>
    <cellStyle name="Normal 2 3 5 3 2 4 2" xfId="23880"/>
    <cellStyle name="Normal 3 3 5 3 2 4 2" xfId="23881"/>
    <cellStyle name="Normal 4 2 5 3 2 4 2" xfId="23882"/>
    <cellStyle name="Normal 5 2 5 3 2 4 2" xfId="23883"/>
    <cellStyle name="Normal 7 2 5 3 2 4 2" xfId="23884"/>
    <cellStyle name="Normal 3 4 5 3 2 4 2" xfId="23885"/>
    <cellStyle name="Normal 4 3 5 3 2 4 2" xfId="23886"/>
    <cellStyle name="Normal 5 3 5 3 2 4 2" xfId="23887"/>
    <cellStyle name="Normal 7 3 5 3 2 4 2" xfId="23888"/>
    <cellStyle name="Normal 2 5 3 3 2 4 2" xfId="23889"/>
    <cellStyle name="Normal 3 5 3 3 2 4 2" xfId="23890"/>
    <cellStyle name="Normal 4 4 3 3 2 4 2" xfId="23891"/>
    <cellStyle name="Normal 5 4 3 3 2 4 2" xfId="23892"/>
    <cellStyle name="Normal 7 4 3 3 2 4 2" xfId="23893"/>
    <cellStyle name="Normal 2 3 2 3 3 2 4 2" xfId="23894"/>
    <cellStyle name="Normal 3 3 2 3 3 2 4 2" xfId="23895"/>
    <cellStyle name="Normal 4 2 2 3 3 2 4 2" xfId="23896"/>
    <cellStyle name="Normal 5 2 2 3 3 2 4 2" xfId="23897"/>
    <cellStyle name="Normal 7 2 2 3 3 2 4 2" xfId="23898"/>
    <cellStyle name="Normal 2 4 2 3 3 2 4 2" xfId="23899"/>
    <cellStyle name="Normal 3 4 2 3 3 2 4 2" xfId="23900"/>
    <cellStyle name="Normal 4 3 2 3 3 2 4 2" xfId="23901"/>
    <cellStyle name="Normal 5 3 2 3 3 2 4 2" xfId="23902"/>
    <cellStyle name="Normal 7 3 2 3 3 2 4 2" xfId="23903"/>
    <cellStyle name="Normal 2 6 3 3 2 4 2" xfId="23904"/>
    <cellStyle name="Normal 3 6 3 3 2 4 2" xfId="23905"/>
    <cellStyle name="Normal 4 5 3 3 2 4 2" xfId="23906"/>
    <cellStyle name="Normal 5 5 3 3 2 4 2" xfId="23907"/>
    <cellStyle name="Normal 7 5 3 3 2 4 2" xfId="23908"/>
    <cellStyle name="Normal 2 3 3 3 3 2 4 2" xfId="23909"/>
    <cellStyle name="Normal 3 3 3 3 3 2 4 2" xfId="23910"/>
    <cellStyle name="Normal 4 2 3 3 3 2 4 2" xfId="23911"/>
    <cellStyle name="Normal 5 2 3 3 3 2 4 2" xfId="23912"/>
    <cellStyle name="Normal 7 2 3 3 3 2 4 2" xfId="23913"/>
    <cellStyle name="Normal 2 4 3 3 3 2 4 2" xfId="23914"/>
    <cellStyle name="Normal 3 4 3 3 3 2 4 2" xfId="23915"/>
    <cellStyle name="Normal 4 3 3 3 3 2 4 2" xfId="23916"/>
    <cellStyle name="Normal 5 3 3 3 3 2 4 2" xfId="23917"/>
    <cellStyle name="Normal 7 3 3 3 3 2 4 2" xfId="23918"/>
    <cellStyle name="Normal 2 7 2 3 2 4 2" xfId="23919"/>
    <cellStyle name="Normal 3 7 2 3 2 4 2" xfId="23920"/>
    <cellStyle name="Normal 4 6 2 3 2 4 2" xfId="23921"/>
    <cellStyle name="Normal 5 6 2 3 2 4 2" xfId="23922"/>
    <cellStyle name="Normal 7 6 2 3 2 4 2" xfId="23923"/>
    <cellStyle name="Normal 2 3 4 2 3 2 4 2" xfId="23924"/>
    <cellStyle name="Normal 3 3 4 2 3 2 4 2" xfId="23925"/>
    <cellStyle name="Normal 4 2 4 2 3 2 4 2" xfId="23926"/>
    <cellStyle name="Normal 5 2 4 2 3 2 4 2" xfId="23927"/>
    <cellStyle name="Normal 7 2 4 2 3 2 4 2" xfId="23928"/>
    <cellStyle name="Normal 2 4 4 2 3 2 4 2" xfId="23929"/>
    <cellStyle name="Normal 3 4 4 2 3 2 4 2" xfId="23930"/>
    <cellStyle name="Normal 4 3 4 2 3 2 4 2" xfId="23931"/>
    <cellStyle name="Normal 5 3 4 2 3 2 4 2" xfId="23932"/>
    <cellStyle name="Normal 7 3 4 2 3 2 4 2" xfId="23933"/>
    <cellStyle name="Normal 2 5 2 2 3 2 4 2" xfId="23934"/>
    <cellStyle name="Normal 3 5 2 2 3 2 4 2" xfId="23935"/>
    <cellStyle name="Normal 4 4 2 2 3 2 4 2" xfId="23936"/>
    <cellStyle name="Normal 5 4 2 2 3 2 4 2" xfId="23937"/>
    <cellStyle name="Normal 7 4 2 2 3 2 4 2" xfId="23938"/>
    <cellStyle name="Normal 2 3 2 2 2 3 2 4 2" xfId="23939"/>
    <cellStyle name="Normal 3 3 2 2 2 3 2 4 2" xfId="23940"/>
    <cellStyle name="Normal 4 2 2 2 2 3 2 4 2" xfId="23941"/>
    <cellStyle name="Normal 5 2 2 2 2 3 2 4 2" xfId="23942"/>
    <cellStyle name="Normal 7 2 2 2 2 3 2 4 2" xfId="23943"/>
    <cellStyle name="Normal 2 4 2 2 2 3 2 4 2" xfId="23944"/>
    <cellStyle name="Normal 3 4 2 2 2 3 2 4 2" xfId="23945"/>
    <cellStyle name="Normal 4 3 2 2 2 3 2 4 2" xfId="23946"/>
    <cellStyle name="Normal 5 3 2 2 2 3 2 4 2" xfId="23947"/>
    <cellStyle name="Normal 7 3 2 2 2 3 2 4 2" xfId="23948"/>
    <cellStyle name="Normal 2 6 2 2 3 2 4 2" xfId="23949"/>
    <cellStyle name="Normal 3 6 2 2 3 2 4 2" xfId="23950"/>
    <cellStyle name="Normal 4 5 2 2 3 2 4 2" xfId="23951"/>
    <cellStyle name="Normal 5 5 2 2 3 2 4 2" xfId="23952"/>
    <cellStyle name="Normal 7 5 2 2 3 2 4 2" xfId="23953"/>
    <cellStyle name="Normal 2 3 3 2 2 3 2 4 2" xfId="23954"/>
    <cellStyle name="Normal 3 3 3 2 2 3 2 4 2" xfId="23955"/>
    <cellStyle name="Normal 4 2 3 2 2 3 2 4 2" xfId="23956"/>
    <cellStyle name="Normal 5 2 3 2 2 3 2 4 2" xfId="23957"/>
    <cellStyle name="Normal 7 2 3 2 2 3 2 4 2" xfId="23958"/>
    <cellStyle name="Normal 2 4 3 2 2 3 2 4 2" xfId="23959"/>
    <cellStyle name="Normal 3 4 3 2 2 3 2 4 2" xfId="23960"/>
    <cellStyle name="Normal 4 3 3 2 2 3 2 4 2" xfId="23961"/>
    <cellStyle name="Normal 5 3 3 2 2 3 2 4 2" xfId="23962"/>
    <cellStyle name="Normal 7 3 3 2 2 3 2 4 2" xfId="23963"/>
    <cellStyle name="Normal 2 12 4 2" xfId="23964"/>
    <cellStyle name="Normal 3 12 4 2" xfId="23965"/>
    <cellStyle name="Normal 4 11 4 2" xfId="23966"/>
    <cellStyle name="Normal 5 11 4 2" xfId="23967"/>
    <cellStyle name="Normal 7 11 4 2" xfId="23968"/>
    <cellStyle name="Normal 2 3 9 4 2" xfId="23969"/>
    <cellStyle name="Normal 3 3 9 4 2" xfId="23970"/>
    <cellStyle name="Normal 4 2 9 4 2" xfId="23971"/>
    <cellStyle name="Normal 5 2 9 4 2" xfId="23972"/>
    <cellStyle name="Normal 7 2 9 4 2" xfId="23973"/>
    <cellStyle name="Normal 2 4 9 4 2" xfId="23974"/>
    <cellStyle name="Normal 3 4 9 4 2" xfId="23975"/>
    <cellStyle name="Normal 4 3 9 4 2" xfId="23976"/>
    <cellStyle name="Normal 5 3 9 4 2" xfId="23977"/>
    <cellStyle name="Normal 7 3 9 4 2" xfId="23978"/>
    <cellStyle name="Normal 2 5 7 4 2" xfId="23979"/>
    <cellStyle name="Normal 3 5 7 4 2" xfId="23980"/>
    <cellStyle name="Normal 4 4 7 4 2" xfId="23981"/>
    <cellStyle name="Normal 5 4 7 4 2" xfId="23982"/>
    <cellStyle name="Normal 7 4 7 4 2" xfId="23983"/>
    <cellStyle name="Normal 2 3 2 7 4 2" xfId="23984"/>
    <cellStyle name="Normal 3 3 2 7 4 2" xfId="23985"/>
    <cellStyle name="Normal 4 2 2 7 4 2" xfId="23986"/>
    <cellStyle name="Normal 5 2 2 7 4 2" xfId="23987"/>
    <cellStyle name="Normal 7 2 2 7 4 2" xfId="23988"/>
    <cellStyle name="Normal 2 4 2 7 4 2" xfId="23989"/>
    <cellStyle name="Normal 3 4 2 7 4 2" xfId="23990"/>
    <cellStyle name="Normal 4 3 2 7 4 2" xfId="23991"/>
    <cellStyle name="Normal 5 3 2 7 4 2" xfId="23992"/>
    <cellStyle name="Normal 7 3 2 7 4 2" xfId="23993"/>
    <cellStyle name="Normal 2 6 7 4 2" xfId="23994"/>
    <cellStyle name="Normal 3 6 7 4 2" xfId="23995"/>
    <cellStyle name="Normal 4 5 7 4 2" xfId="23996"/>
    <cellStyle name="Normal 5 5 7 4 2" xfId="23997"/>
    <cellStyle name="Normal 7 5 7 4 2" xfId="23998"/>
    <cellStyle name="Normal 2 3 3 7 4 2" xfId="23999"/>
    <cellStyle name="Normal 3 3 3 7 4 2" xfId="24000"/>
    <cellStyle name="Normal 4 2 3 7 4 2" xfId="24001"/>
    <cellStyle name="Normal 5 2 3 7 4 2" xfId="24002"/>
    <cellStyle name="Normal 7 2 3 7 4 2" xfId="24003"/>
    <cellStyle name="Normal 2 4 3 7 4 2" xfId="24004"/>
    <cellStyle name="Normal 3 4 3 7 4 2" xfId="24005"/>
    <cellStyle name="Normal 4 3 3 7 4 2" xfId="24006"/>
    <cellStyle name="Normal 5 3 3 7 4 2" xfId="24007"/>
    <cellStyle name="Normal 7 3 3 7 4 2" xfId="24008"/>
    <cellStyle name="Normal 2 7 6 4 2" xfId="24009"/>
    <cellStyle name="Normal 3 7 6 4 2" xfId="24010"/>
    <cellStyle name="Normal 4 6 6 4 2" xfId="24011"/>
    <cellStyle name="Normal 5 6 6 4 2" xfId="24012"/>
    <cellStyle name="Normal 7 6 6 4 2" xfId="24013"/>
    <cellStyle name="Normal 2 3 4 6 4 2" xfId="24014"/>
    <cellStyle name="Normal 3 3 4 6 4 2" xfId="24015"/>
    <cellStyle name="Normal 4 2 4 6 4 2" xfId="24016"/>
    <cellStyle name="Normal 5 2 4 6 4 2" xfId="24017"/>
    <cellStyle name="Normal 7 2 4 6 4 2" xfId="24018"/>
    <cellStyle name="Normal 2 4 4 6 4 2" xfId="24019"/>
    <cellStyle name="Normal 3 4 4 6 4 2" xfId="24020"/>
    <cellStyle name="Normal 4 3 4 6 4 2" xfId="24021"/>
    <cellStyle name="Normal 5 3 4 6 4 2" xfId="24022"/>
    <cellStyle name="Normal 7 3 4 6 4 2" xfId="24023"/>
    <cellStyle name="Normal 2 5 2 6 4 2" xfId="24024"/>
    <cellStyle name="Normal 3 5 2 6 4 2" xfId="24025"/>
    <cellStyle name="Normal 4 4 2 6 4 2" xfId="24026"/>
    <cellStyle name="Normal 5 4 2 6 4 2" xfId="24027"/>
    <cellStyle name="Normal 7 4 2 6 4 2" xfId="24028"/>
    <cellStyle name="Normal 2 3 2 2 6 4 2" xfId="24029"/>
    <cellStyle name="Normal 3 3 2 2 6 4 2" xfId="24030"/>
    <cellStyle name="Normal 4 2 2 2 6 4 2" xfId="24031"/>
    <cellStyle name="Normal 5 2 2 2 6 4 2" xfId="24032"/>
    <cellStyle name="Normal 7 2 2 2 6 4 2" xfId="24033"/>
    <cellStyle name="Normal 2 4 2 2 6 4 2" xfId="24034"/>
    <cellStyle name="Normal 3 4 2 2 6 4 2" xfId="24035"/>
    <cellStyle name="Normal 4 3 2 2 6 4 2" xfId="24036"/>
    <cellStyle name="Normal 5 3 2 2 6 4 2" xfId="24037"/>
    <cellStyle name="Normal 7 3 2 2 6 4 2" xfId="24038"/>
    <cellStyle name="Normal 2 6 2 6 4 2" xfId="24039"/>
    <cellStyle name="Normal 3 6 2 6 4 2" xfId="24040"/>
    <cellStyle name="Normal 4 5 2 6 4 2" xfId="24041"/>
    <cellStyle name="Normal 5 5 2 6 4 2" xfId="24042"/>
    <cellStyle name="Normal 7 5 2 6 4 2" xfId="24043"/>
    <cellStyle name="Normal 2 3 3 2 6 4 2" xfId="24044"/>
    <cellStyle name="Normal 3 3 3 2 6 4 2" xfId="24045"/>
    <cellStyle name="Normal 4 2 3 2 6 4 2" xfId="24046"/>
    <cellStyle name="Normal 5 2 3 2 6 4 2" xfId="24047"/>
    <cellStyle name="Normal 7 2 3 2 6 4 2" xfId="24048"/>
    <cellStyle name="Normal 2 4 3 2 6 4 2" xfId="24049"/>
    <cellStyle name="Normal 3 4 3 2 6 4 2" xfId="24050"/>
    <cellStyle name="Normal 4 3 3 2 6 4 2" xfId="24051"/>
    <cellStyle name="Normal 5 3 3 2 6 4 2" xfId="24052"/>
    <cellStyle name="Normal 7 3 3 2 6 4 2" xfId="24053"/>
    <cellStyle name="Normal 2 8 5 4 2" xfId="24054"/>
    <cellStyle name="Normal 3 8 5 4 2" xfId="24055"/>
    <cellStyle name="Normal 4 7 5 4 2" xfId="24056"/>
    <cellStyle name="Normal 5 7 5 4 2" xfId="24057"/>
    <cellStyle name="Normal 7 7 5 4 2" xfId="24058"/>
    <cellStyle name="Normal 2 3 5 5 4 2" xfId="24059"/>
    <cellStyle name="Normal 3 3 5 5 4 2" xfId="24060"/>
    <cellStyle name="Normal 4 2 5 5 4 2" xfId="24061"/>
    <cellStyle name="Normal 5 2 5 5 4 2" xfId="24062"/>
    <cellStyle name="Normal 7 2 5 5 4 2" xfId="24063"/>
    <cellStyle name="Normal 2 4 5 5 4 2" xfId="24064"/>
    <cellStyle name="Normal 3 4 5 5 4 2" xfId="24065"/>
    <cellStyle name="Normal 4 3 5 5 4 2" xfId="24066"/>
    <cellStyle name="Normal 5 3 5 5 4 2" xfId="24067"/>
    <cellStyle name="Normal 7 3 5 5 4 2" xfId="24068"/>
    <cellStyle name="Normal 2 5 3 5 4 2" xfId="24069"/>
    <cellStyle name="Normal 3 5 3 5 4 2" xfId="24070"/>
    <cellStyle name="Normal 4 4 3 5 4 2" xfId="24071"/>
    <cellStyle name="Normal 5 4 3 5 4 2" xfId="24072"/>
    <cellStyle name="Normal 7 4 3 5 4 2" xfId="24073"/>
    <cellStyle name="Normal 2 3 2 3 5 4 2" xfId="24074"/>
    <cellStyle name="Normal 3 3 2 3 5 4 2" xfId="24075"/>
    <cellStyle name="Normal 4 2 2 3 5 4 2" xfId="24076"/>
    <cellStyle name="Normal 5 2 2 3 5 4 2" xfId="24077"/>
    <cellStyle name="Normal 7 2 2 3 5 4 2" xfId="24078"/>
    <cellStyle name="Normal 2 4 2 3 5 4 2" xfId="24079"/>
    <cellStyle name="Normal 3 4 2 3 5 4 2" xfId="24080"/>
    <cellStyle name="Normal 4 3 2 3 5 4 2" xfId="24081"/>
    <cellStyle name="Normal 5 3 2 3 5 4 2" xfId="24082"/>
    <cellStyle name="Normal 7 3 2 3 5 4 2" xfId="24083"/>
    <cellStyle name="Normal 2 6 3 5 4 2" xfId="24084"/>
    <cellStyle name="Normal 3 6 3 5 4 2" xfId="24085"/>
    <cellStyle name="Normal 4 5 3 5 4 2" xfId="24086"/>
    <cellStyle name="Normal 5 5 3 5 4 2" xfId="24087"/>
    <cellStyle name="Normal 7 5 3 5 4 2" xfId="24088"/>
    <cellStyle name="Normal 2 3 3 3 5 4 2" xfId="24089"/>
    <cellStyle name="Normal 3 3 3 3 5 4 2" xfId="24090"/>
    <cellStyle name="Normal 4 2 3 3 5 4 2" xfId="24091"/>
    <cellStyle name="Normal 5 2 3 3 5 4 2" xfId="24092"/>
    <cellStyle name="Normal 7 2 3 3 5 4 2" xfId="24093"/>
    <cellStyle name="Normal 2 4 3 3 5 4 2" xfId="24094"/>
    <cellStyle name="Normal 3 4 3 3 5 4 2" xfId="24095"/>
    <cellStyle name="Normal 4 3 3 3 5 4 2" xfId="24096"/>
    <cellStyle name="Normal 5 3 3 3 5 4 2" xfId="24097"/>
    <cellStyle name="Normal 7 3 3 3 5 4 2" xfId="24098"/>
    <cellStyle name="Normal 2 7 2 5 4 2" xfId="24099"/>
    <cellStyle name="Normal 3 7 2 5 4 2" xfId="24100"/>
    <cellStyle name="Normal 4 6 2 5 4 2" xfId="24101"/>
    <cellStyle name="Normal 5 6 2 5 4 2" xfId="24102"/>
    <cellStyle name="Normal 7 6 2 5 4 2" xfId="24103"/>
    <cellStyle name="Normal 2 3 4 2 5 4 2" xfId="24104"/>
    <cellStyle name="Normal 3 3 4 2 5 4 2" xfId="24105"/>
    <cellStyle name="Normal 4 2 4 2 5 4 2" xfId="24106"/>
    <cellStyle name="Normal 5 2 4 2 5 4 2" xfId="24107"/>
    <cellStyle name="Normal 7 2 4 2 5 4 2" xfId="24108"/>
    <cellStyle name="Normal 2 4 4 2 5 4 2" xfId="24109"/>
    <cellStyle name="Normal 3 4 4 2 5 4 2" xfId="24110"/>
    <cellStyle name="Normal 4 3 4 2 5 4 2" xfId="24111"/>
    <cellStyle name="Normal 5 3 4 2 5 4 2" xfId="24112"/>
    <cellStyle name="Normal 7 3 4 2 5 4 2" xfId="24113"/>
    <cellStyle name="Normal 2 5 2 2 5 4 2" xfId="24114"/>
    <cellStyle name="Normal 3 5 2 2 5 4 2" xfId="24115"/>
    <cellStyle name="Normal 4 4 2 2 5 4 2" xfId="24116"/>
    <cellStyle name="Normal 5 4 2 2 5 4 2" xfId="24117"/>
    <cellStyle name="Normal 7 4 2 2 5 4 2" xfId="24118"/>
    <cellStyle name="Normal 2 3 2 2 2 5 4 2" xfId="24119"/>
    <cellStyle name="Normal 3 3 2 2 2 5 4 2" xfId="24120"/>
    <cellStyle name="Normal 4 2 2 2 2 5 4 2" xfId="24121"/>
    <cellStyle name="Normal 5 2 2 2 2 5 4 2" xfId="24122"/>
    <cellStyle name="Normal 7 2 2 2 2 5 4 2" xfId="24123"/>
    <cellStyle name="Normal 2 4 2 2 2 5 4 2" xfId="24124"/>
    <cellStyle name="Normal 3 4 2 2 2 5 4 2" xfId="24125"/>
    <cellStyle name="Normal 4 3 2 2 2 5 4 2" xfId="24126"/>
    <cellStyle name="Normal 5 3 2 2 2 5 4 2" xfId="24127"/>
    <cellStyle name="Normal 7 3 2 2 2 5 4 2" xfId="24128"/>
    <cellStyle name="Normal 2 6 2 2 5 4 2" xfId="24129"/>
    <cellStyle name="Normal 3 6 2 2 5 4 2" xfId="24130"/>
    <cellStyle name="Normal 4 5 2 2 5 4 2" xfId="24131"/>
    <cellStyle name="Normal 5 5 2 2 5 4 2" xfId="24132"/>
    <cellStyle name="Normal 7 5 2 2 5 4 2" xfId="24133"/>
    <cellStyle name="Normal 2 3 3 2 2 5 4 2" xfId="24134"/>
    <cellStyle name="Normal 3 3 3 2 2 5 4 2" xfId="24135"/>
    <cellStyle name="Normal 4 2 3 2 2 5 4 2" xfId="24136"/>
    <cellStyle name="Normal 5 2 3 2 2 5 4 2" xfId="24137"/>
    <cellStyle name="Normal 7 2 3 2 2 5 4 2" xfId="24138"/>
    <cellStyle name="Normal 2 4 3 2 2 5 4 2" xfId="24139"/>
    <cellStyle name="Normal 3 4 3 2 2 5 4 2" xfId="24140"/>
    <cellStyle name="Normal 4 3 3 2 2 5 4 2" xfId="24141"/>
    <cellStyle name="Normal 5 3 3 2 2 5 4 2" xfId="24142"/>
    <cellStyle name="Normal 7 3 3 2 2 5 4 2" xfId="24143"/>
    <cellStyle name="Normal 2 9 3 4 2" xfId="24144"/>
    <cellStyle name="Normal 3 9 3 4 2" xfId="24145"/>
    <cellStyle name="Normal 4 8 3 4 2" xfId="24146"/>
    <cellStyle name="Normal 5 8 3 4 2" xfId="24147"/>
    <cellStyle name="Normal 7 8 3 4 2" xfId="24148"/>
    <cellStyle name="Normal 2 3 6 3 4 2" xfId="24149"/>
    <cellStyle name="Normal 3 3 6 3 4 2" xfId="24150"/>
    <cellStyle name="Normal 4 2 6 3 4 2" xfId="24151"/>
    <cellStyle name="Normal 5 2 6 3 4 2" xfId="24152"/>
    <cellStyle name="Normal 7 2 6 3 4 2" xfId="24153"/>
    <cellStyle name="Normal 2 4 6 3 4 2" xfId="24154"/>
    <cellStyle name="Normal 3 4 6 3 4 2" xfId="24155"/>
    <cellStyle name="Normal 4 3 6 3 4 2" xfId="24156"/>
    <cellStyle name="Normal 5 3 6 3 4 2" xfId="24157"/>
    <cellStyle name="Normal 7 3 6 3 4 2" xfId="24158"/>
    <cellStyle name="Normal 2 5 4 3 4 2" xfId="24159"/>
    <cellStyle name="Normal 3 5 4 3 4 2" xfId="24160"/>
    <cellStyle name="Normal 4 4 4 3 4 2" xfId="24161"/>
    <cellStyle name="Normal 5 4 4 3 4 2" xfId="24162"/>
    <cellStyle name="Normal 7 4 4 3 4 2" xfId="24163"/>
    <cellStyle name="Normal 2 3 2 4 3 4 2" xfId="24164"/>
    <cellStyle name="Normal 3 3 2 4 3 4 2" xfId="24165"/>
    <cellStyle name="Normal 4 2 2 4 3 4 2" xfId="24166"/>
    <cellStyle name="Normal 5 2 2 4 3 4 2" xfId="24167"/>
    <cellStyle name="Normal 7 2 2 4 3 4 2" xfId="24168"/>
    <cellStyle name="Normal 2 4 2 4 3 4 2" xfId="24169"/>
    <cellStyle name="Normal 3 4 2 4 3 4 2" xfId="24170"/>
    <cellStyle name="Normal 4 3 2 4 3 4 2" xfId="24171"/>
    <cellStyle name="Normal 5 3 2 4 3 4 2" xfId="24172"/>
    <cellStyle name="Normal 7 3 2 4 3 4 2" xfId="24173"/>
    <cellStyle name="Normal 2 6 4 3 4 2" xfId="24174"/>
    <cellStyle name="Normal 3 6 4 3 4 2" xfId="24175"/>
    <cellStyle name="Normal 4 5 4 3 4 2" xfId="24176"/>
    <cellStyle name="Normal 5 5 4 3 4 2" xfId="24177"/>
    <cellStyle name="Normal 7 5 4 3 4 2" xfId="24178"/>
    <cellStyle name="Normal 2 3 3 4 3 4 2" xfId="24179"/>
    <cellStyle name="Normal 3 3 3 4 3 4 2" xfId="24180"/>
    <cellStyle name="Normal 4 2 3 4 3 4 2" xfId="24181"/>
    <cellStyle name="Normal 5 2 3 4 3 4 2" xfId="24182"/>
    <cellStyle name="Normal 7 2 3 4 3 4 2" xfId="24183"/>
    <cellStyle name="Normal 2 4 3 4 3 4 2" xfId="24184"/>
    <cellStyle name="Normal 3 4 3 4 3 4 2" xfId="24185"/>
    <cellStyle name="Normal 4 3 3 4 3 4 2" xfId="24186"/>
    <cellStyle name="Normal 5 3 3 4 3 4 2" xfId="24187"/>
    <cellStyle name="Normal 7 3 3 4 3 4 2" xfId="24188"/>
    <cellStyle name="Normal 2 7 3 3 4 2" xfId="24189"/>
    <cellStyle name="Normal 3 7 3 3 4 2" xfId="24190"/>
    <cellStyle name="Normal 4 6 3 3 4 2" xfId="24191"/>
    <cellStyle name="Normal 5 6 3 3 4 2" xfId="24192"/>
    <cellStyle name="Normal 7 6 3 3 4 2" xfId="24193"/>
    <cellStyle name="Normal 2 3 4 3 3 4 2" xfId="24194"/>
    <cellStyle name="Normal 3 3 4 3 3 4 2" xfId="24195"/>
    <cellStyle name="Normal 4 2 4 3 3 4 2" xfId="24196"/>
    <cellStyle name="Normal 5 2 4 3 3 4 2" xfId="24197"/>
    <cellStyle name="Normal 7 2 4 3 3 4 2" xfId="24198"/>
    <cellStyle name="Normal 2 4 4 3 3 4 2" xfId="24199"/>
    <cellStyle name="Normal 3 4 4 3 3 4 2" xfId="24200"/>
    <cellStyle name="Normal 4 3 4 3 3 4 2" xfId="24201"/>
    <cellStyle name="Normal 5 3 4 3 3 4 2" xfId="24202"/>
    <cellStyle name="Normal 7 3 4 3 3 4 2" xfId="24203"/>
    <cellStyle name="Normal 2 5 2 3 3 4 2" xfId="24204"/>
    <cellStyle name="Normal 3 5 2 3 3 4 2" xfId="24205"/>
    <cellStyle name="Normal 4 4 2 3 3 4 2" xfId="24206"/>
    <cellStyle name="Normal 5 4 2 3 3 4 2" xfId="24207"/>
    <cellStyle name="Normal 7 4 2 3 3 4 2" xfId="24208"/>
    <cellStyle name="Normal 2 3 2 2 3 3 4 2" xfId="24209"/>
    <cellStyle name="Normal 3 3 2 2 3 3 4 2" xfId="24210"/>
    <cellStyle name="Normal 4 2 2 2 3 3 4 2" xfId="24211"/>
    <cellStyle name="Normal 5 2 2 2 3 3 4 2" xfId="24212"/>
    <cellStyle name="Normal 7 2 2 2 3 3 4 2" xfId="24213"/>
    <cellStyle name="Normal 2 4 2 2 3 3 4 2" xfId="24214"/>
    <cellStyle name="Normal 3 4 2 2 3 3 4 2" xfId="24215"/>
    <cellStyle name="Normal 4 3 2 2 3 3 4 2" xfId="24216"/>
    <cellStyle name="Normal 5 3 2 2 3 3 4 2" xfId="24217"/>
    <cellStyle name="Normal 7 3 2 2 3 3 4 2" xfId="24218"/>
    <cellStyle name="Normal 2 6 2 3 3 4 2" xfId="24219"/>
    <cellStyle name="Normal 3 6 2 3 3 4 2" xfId="24220"/>
    <cellStyle name="Normal 4 5 2 3 3 4 2" xfId="24221"/>
    <cellStyle name="Normal 5 5 2 3 3 4 2" xfId="24222"/>
    <cellStyle name="Normal 7 5 2 3 3 4 2" xfId="24223"/>
    <cellStyle name="Normal 2 3 3 2 3 3 4 2" xfId="24224"/>
    <cellStyle name="Normal 3 3 3 2 3 3 4 2" xfId="24225"/>
    <cellStyle name="Normal 4 2 3 2 3 3 4 2" xfId="24226"/>
    <cellStyle name="Normal 5 2 3 2 3 3 4 2" xfId="24227"/>
    <cellStyle name="Normal 7 2 3 2 3 3 4 2" xfId="24228"/>
    <cellStyle name="Normal 2 4 3 2 3 3 4 2" xfId="24229"/>
    <cellStyle name="Normal 3 4 3 2 3 3 4 2" xfId="24230"/>
    <cellStyle name="Normal 4 3 3 2 3 3 4 2" xfId="24231"/>
    <cellStyle name="Normal 5 3 3 2 3 3 4 2" xfId="24232"/>
    <cellStyle name="Normal 7 3 3 2 3 3 4 2" xfId="24233"/>
    <cellStyle name="Normal 2 8 2 3 4 2" xfId="24234"/>
    <cellStyle name="Normal 3 8 2 3 4 2" xfId="24235"/>
    <cellStyle name="Normal 4 7 2 3 4 2" xfId="24236"/>
    <cellStyle name="Normal 5 7 2 3 4 2" xfId="24237"/>
    <cellStyle name="Normal 7 7 2 3 4 2" xfId="24238"/>
    <cellStyle name="Normal 2 3 5 2 3 4 2" xfId="24239"/>
    <cellStyle name="Normal 3 3 5 2 3 4 2" xfId="24240"/>
    <cellStyle name="Normal 4 2 5 2 3 4 2" xfId="24241"/>
    <cellStyle name="Normal 5 2 5 2 3 4 2" xfId="24242"/>
    <cellStyle name="Normal 7 2 5 2 3 4 2" xfId="24243"/>
    <cellStyle name="Normal 2 4 5 2 3 4 2" xfId="24244"/>
    <cellStyle name="Normal 3 4 5 2 3 4 2" xfId="24245"/>
    <cellStyle name="Normal 4 3 5 2 3 4 2" xfId="24246"/>
    <cellStyle name="Normal 5 3 5 2 3 4 2" xfId="24247"/>
    <cellStyle name="Normal 7 3 5 2 3 4 2" xfId="24248"/>
    <cellStyle name="Normal 2 5 3 2 3 4 2" xfId="24249"/>
    <cellStyle name="Normal 3 5 3 2 3 4 2" xfId="24250"/>
    <cellStyle name="Normal 4 4 3 2 3 4 2" xfId="24251"/>
    <cellStyle name="Normal 5 4 3 2 3 4 2" xfId="24252"/>
    <cellStyle name="Normal 7 4 3 2 3 4 2" xfId="24253"/>
    <cellStyle name="Normal 2 3 2 3 2 3 4 2" xfId="24254"/>
    <cellStyle name="Normal 3 3 2 3 2 3 4 2" xfId="24255"/>
    <cellStyle name="Normal 4 2 2 3 2 3 4 2" xfId="24256"/>
    <cellStyle name="Normal 5 2 2 3 2 3 4 2" xfId="24257"/>
    <cellStyle name="Normal 7 2 2 3 2 3 4 2" xfId="24258"/>
    <cellStyle name="Normal 2 4 2 3 2 3 4 2" xfId="24259"/>
    <cellStyle name="Normal 3 4 2 3 2 3 4 2" xfId="24260"/>
    <cellStyle name="Normal 4 3 2 3 2 3 4 2" xfId="24261"/>
    <cellStyle name="Normal 5 3 2 3 2 3 4 2" xfId="24262"/>
    <cellStyle name="Normal 7 3 2 3 2 3 4 2" xfId="24263"/>
    <cellStyle name="Normal 2 6 3 2 3 4 2" xfId="24264"/>
    <cellStyle name="Normal 3 6 3 2 3 4 2" xfId="24265"/>
    <cellStyle name="Normal 4 5 3 2 3 4 2" xfId="24266"/>
    <cellStyle name="Normal 5 5 3 2 3 4 2" xfId="24267"/>
    <cellStyle name="Normal 7 5 3 2 3 4 2" xfId="24268"/>
    <cellStyle name="Normal 2 3 3 3 2 3 4 2" xfId="24269"/>
    <cellStyle name="Normal 3 3 3 3 2 3 4 2" xfId="24270"/>
    <cellStyle name="Normal 4 2 3 3 2 3 4 2" xfId="24271"/>
    <cellStyle name="Normal 5 2 3 3 2 3 4 2" xfId="24272"/>
    <cellStyle name="Normal 7 2 3 3 2 3 4 2" xfId="24273"/>
    <cellStyle name="Normal 2 4 3 3 2 3 4 2" xfId="24274"/>
    <cellStyle name="Normal 3 4 3 3 2 3 4 2" xfId="24275"/>
    <cellStyle name="Normal 4 3 3 3 2 3 4 2" xfId="24276"/>
    <cellStyle name="Normal 5 3 3 3 2 3 4 2" xfId="24277"/>
    <cellStyle name="Normal 7 3 3 3 2 3 4 2" xfId="24278"/>
    <cellStyle name="Normal 2 7 2 2 3 4 2" xfId="24279"/>
    <cellStyle name="Normal 3 7 2 2 3 4 2" xfId="24280"/>
    <cellStyle name="Normal 4 6 2 2 3 4 2" xfId="24281"/>
    <cellStyle name="Normal 5 6 2 2 3 4 2" xfId="24282"/>
    <cellStyle name="Normal 7 6 2 2 3 4 2" xfId="24283"/>
    <cellStyle name="Normal 2 3 4 2 2 3 4 2" xfId="24284"/>
    <cellStyle name="Normal 3 3 4 2 2 3 4 2" xfId="24285"/>
    <cellStyle name="Normal 4 2 4 2 2 3 4 2" xfId="24286"/>
    <cellStyle name="Normal 5 2 4 2 2 3 4 2" xfId="24287"/>
    <cellStyle name="Normal 7 2 4 2 2 3 4 2" xfId="24288"/>
    <cellStyle name="Normal 2 4 4 2 2 3 4 2" xfId="24289"/>
    <cellStyle name="Normal 3 4 4 2 2 3 4 2" xfId="24290"/>
    <cellStyle name="Normal 4 3 4 2 2 3 4 2" xfId="24291"/>
    <cellStyle name="Normal 5 3 4 2 2 3 4 2" xfId="24292"/>
    <cellStyle name="Normal 7 3 4 2 2 3 4 2" xfId="24293"/>
    <cellStyle name="Normal 2 5 2 2 2 3 4 2" xfId="24294"/>
    <cellStyle name="Normal 3 5 2 2 2 3 4 2" xfId="24295"/>
    <cellStyle name="Normal 4 4 2 2 2 3 4 2" xfId="24296"/>
    <cellStyle name="Normal 5 4 2 2 2 3 4 2" xfId="24297"/>
    <cellStyle name="Normal 7 4 2 2 2 3 4 2" xfId="24298"/>
    <cellStyle name="Normal 2 3 2 2 2 2 3 4 2" xfId="24299"/>
    <cellStyle name="Normal 3 3 2 2 2 2 3 4 2" xfId="24300"/>
    <cellStyle name="Normal 4 2 2 2 2 2 3 4 2" xfId="24301"/>
    <cellStyle name="Normal 5 2 2 2 2 2 3 4 2" xfId="24302"/>
    <cellStyle name="Normal 7 2 2 2 2 2 3 4 2" xfId="24303"/>
    <cellStyle name="Normal 2 4 2 2 2 2 3 4 2" xfId="24304"/>
    <cellStyle name="Normal 3 4 2 2 2 2 3 4 2" xfId="24305"/>
    <cellStyle name="Normal 4 3 2 2 2 2 3 4 2" xfId="24306"/>
    <cellStyle name="Normal 5 3 2 2 2 2 3 4 2" xfId="24307"/>
    <cellStyle name="Normal 7 3 2 2 2 2 3 4 2" xfId="24308"/>
    <cellStyle name="Normal 2 6 2 2 2 3 4 2" xfId="24309"/>
    <cellStyle name="Normal 3 6 2 2 2 3 4 2" xfId="24310"/>
    <cellStyle name="Normal 4 5 2 2 2 3 4 2" xfId="24311"/>
    <cellStyle name="Normal 5 5 2 2 2 3 4 2" xfId="24312"/>
    <cellStyle name="Normal 7 5 2 2 2 3 4 2" xfId="24313"/>
    <cellStyle name="Normal 2 3 3 2 2 2 3 4 2" xfId="24314"/>
    <cellStyle name="Normal 3 3 3 2 2 2 3 4 2" xfId="24315"/>
    <cellStyle name="Normal 4 2 3 2 2 2 3 4 2" xfId="24316"/>
    <cellStyle name="Normal 5 2 3 2 2 2 3 4 2" xfId="24317"/>
    <cellStyle name="Normal 7 2 3 2 2 2 3 4 2" xfId="24318"/>
    <cellStyle name="Normal 2 4 3 2 2 2 3 4 2" xfId="24319"/>
    <cellStyle name="Normal 3 4 3 2 2 2 3 4 2" xfId="24320"/>
    <cellStyle name="Normal 4 3 3 2 2 2 3 4 2" xfId="24321"/>
    <cellStyle name="Normal 5 3 3 2 2 2 3 4 2" xfId="24322"/>
    <cellStyle name="Normal 7 3 3 2 2 2 3 4 2" xfId="24323"/>
    <cellStyle name="Normal 28 3 4 2" xfId="24324"/>
    <cellStyle name="Normal 2 3 7 3 4 2" xfId="24325"/>
    <cellStyle name="Normal 3 10 3 4 2" xfId="24326"/>
    <cellStyle name="Normal 4 9 3 4 2" xfId="24327"/>
    <cellStyle name="Normal 5 9 3 4 2" xfId="24328"/>
    <cellStyle name="Millares 4 3 4 2" xfId="24329"/>
    <cellStyle name="Normal 7 2 7 3 4 2" xfId="24330"/>
    <cellStyle name="Normal 3 3 7 3 4 2" xfId="24331"/>
    <cellStyle name="Normal 4 2 7 3 4 2" xfId="24332"/>
    <cellStyle name="Normal 5 2 7 3 4 2" xfId="24333"/>
    <cellStyle name="Normal 2 4 5 3 3 4 2" xfId="24334"/>
    <cellStyle name="Normal 3 4 7 3 4 2" xfId="24335"/>
    <cellStyle name="Normal 4 3 7 3 4 2" xfId="24336"/>
    <cellStyle name="Normal 5 3 7 3 4 2" xfId="24337"/>
    <cellStyle name="Normal 7 3 7 3 4 2" xfId="24338"/>
    <cellStyle name="Normal 2 5 5 3 4 2" xfId="24339"/>
    <cellStyle name="Normal 3 5 5 3 4 2" xfId="24340"/>
    <cellStyle name="Normal 4 4 5 3 4 2" xfId="24341"/>
    <cellStyle name="Normal 5 4 5 3 4 2" xfId="24342"/>
    <cellStyle name="Normal 7 4 5 3 4 2" xfId="24343"/>
    <cellStyle name="Normal 2 3 2 5 3 4 2" xfId="24344"/>
    <cellStyle name="Normal 3 3 2 5 3 4 2" xfId="24345"/>
    <cellStyle name="Normal 4 2 2 5 3 4 2" xfId="24346"/>
    <cellStyle name="Normal 5 2 2 5 3 4 2" xfId="24347"/>
    <cellStyle name="Normal 7 2 2 5 3 4 2" xfId="24348"/>
    <cellStyle name="Normal 2 4 2 5 3 4 2" xfId="24349"/>
    <cellStyle name="Normal 3 4 2 5 3 4 2" xfId="24350"/>
    <cellStyle name="Normal 4 3 2 5 3 4 2" xfId="24351"/>
    <cellStyle name="Normal 5 3 2 5 3 4 2" xfId="24352"/>
    <cellStyle name="Normal 7 3 2 5 3 4 2" xfId="24353"/>
    <cellStyle name="Normal 2 6 5 3 4 2" xfId="24354"/>
    <cellStyle name="Normal 3 6 5 3 4 2" xfId="24355"/>
    <cellStyle name="Normal 4 5 5 3 4 2" xfId="24356"/>
    <cellStyle name="Normal 5 5 5 3 4 2" xfId="24357"/>
    <cellStyle name="Normal 7 5 5 3 4 2" xfId="24358"/>
    <cellStyle name="Normal 2 3 3 5 3 4 2" xfId="24359"/>
    <cellStyle name="Normal 3 3 3 5 3 4 2" xfId="24360"/>
    <cellStyle name="Normal 4 2 3 5 3 4 2" xfId="24361"/>
    <cellStyle name="Normal 5 2 3 5 3 4 2" xfId="24362"/>
    <cellStyle name="Normal 7 2 3 5 3 4 2" xfId="24363"/>
    <cellStyle name="Normal 2 4 3 5 3 4 2" xfId="24364"/>
    <cellStyle name="Normal 3 4 3 5 3 4 2" xfId="24365"/>
    <cellStyle name="Normal 4 3 3 5 3 4 2" xfId="24366"/>
    <cellStyle name="Normal 5 3 3 5 3 4 2" xfId="24367"/>
    <cellStyle name="Normal 7 3 3 5 3 4 2" xfId="24368"/>
    <cellStyle name="Normal 2 7 4 3 4 2" xfId="24369"/>
    <cellStyle name="Normal 3 7 4 3 4 2" xfId="24370"/>
    <cellStyle name="Normal 4 6 4 3 4 2" xfId="24371"/>
    <cellStyle name="Normal 5 6 4 3 4 2" xfId="24372"/>
    <cellStyle name="Normal 7 6 4 3 4 2" xfId="24373"/>
    <cellStyle name="Normal 2 3 4 4 3 4 2" xfId="24374"/>
    <cellStyle name="Normal 3 3 4 4 3 4 2" xfId="24375"/>
    <cellStyle name="Normal 4 2 4 4 3 4 2" xfId="24376"/>
    <cellStyle name="Normal 5 2 4 4 3 4 2" xfId="24377"/>
    <cellStyle name="Normal 7 2 4 4 3 4 2" xfId="24378"/>
    <cellStyle name="Normal 2 4 4 4 3 4 2" xfId="24379"/>
    <cellStyle name="Normal 3 4 4 4 3 4 2" xfId="24380"/>
    <cellStyle name="Normal 4 3 4 4 3 4 2" xfId="24381"/>
    <cellStyle name="Normal 5 3 4 4 3 4 2" xfId="24382"/>
    <cellStyle name="Normal 7 3 4 4 3 4 2" xfId="24383"/>
    <cellStyle name="Normal 2 5 2 4 3 4 2" xfId="24384"/>
    <cellStyle name="Normal 3 5 2 4 3 4 2" xfId="24385"/>
    <cellStyle name="Normal 4 4 2 4 3 4 2" xfId="24386"/>
    <cellStyle name="Normal 5 4 2 4 3 4 2" xfId="24387"/>
    <cellStyle name="Normal 7 4 2 4 3 4 2" xfId="24388"/>
    <cellStyle name="Normal 2 3 2 2 4 3 4 2" xfId="24389"/>
    <cellStyle name="Normal 3 3 2 2 4 3 4 2" xfId="24390"/>
    <cellStyle name="Normal 4 2 2 2 4 3 4 2" xfId="24391"/>
    <cellStyle name="Normal 5 2 2 2 4 3 4 2" xfId="24392"/>
    <cellStyle name="Normal 7 2 2 2 4 3 4 2" xfId="24393"/>
    <cellStyle name="Normal 2 4 2 2 4 3 4 2" xfId="24394"/>
    <cellStyle name="Normal 3 4 2 2 4 3 4 2" xfId="24395"/>
    <cellStyle name="Normal 4 3 2 2 4 3 4 2" xfId="24396"/>
    <cellStyle name="Normal 5 3 2 2 4 3 4 2" xfId="24397"/>
    <cellStyle name="Normal 7 3 2 2 4 3 4 2" xfId="24398"/>
    <cellStyle name="Normal 2 6 2 4 3 4 2" xfId="24399"/>
    <cellStyle name="Normal 3 6 2 4 3 4 2" xfId="24400"/>
    <cellStyle name="Normal 4 5 2 4 3 4 2" xfId="24401"/>
    <cellStyle name="Normal 5 5 2 4 3 4 2" xfId="24402"/>
    <cellStyle name="Normal 7 5 2 4 3 4 2" xfId="24403"/>
    <cellStyle name="Normal 2 3 3 2 4 3 4 2" xfId="24404"/>
    <cellStyle name="Normal 3 3 3 2 4 3 4 2" xfId="24405"/>
    <cellStyle name="Normal 4 2 3 2 4 3 4 2" xfId="24406"/>
    <cellStyle name="Normal 5 2 3 2 4 3 4 2" xfId="24407"/>
    <cellStyle name="Normal 7 2 3 2 4 3 4 2" xfId="24408"/>
    <cellStyle name="Normal 2 4 3 2 4 3 4 2" xfId="24409"/>
    <cellStyle name="Normal 3 4 3 2 4 3 4 2" xfId="24410"/>
    <cellStyle name="Normal 4 3 3 2 4 3 4 2" xfId="24411"/>
    <cellStyle name="Normal 5 3 3 2 4 3 4 2" xfId="24412"/>
    <cellStyle name="Normal 7 3 3 2 4 3 4 2" xfId="24413"/>
    <cellStyle name="Normal 2 8 3 3 4 2" xfId="24414"/>
    <cellStyle name="Normal 3 8 3 3 4 2" xfId="24415"/>
    <cellStyle name="Normal 4 7 3 3 4 2" xfId="24416"/>
    <cellStyle name="Normal 5 7 3 3 4 2" xfId="24417"/>
    <cellStyle name="Normal 7 7 3 3 4 2" xfId="24418"/>
    <cellStyle name="Normal 2 3 5 3 3 4 2" xfId="24419"/>
    <cellStyle name="Normal 3 3 5 3 3 4 2" xfId="24420"/>
    <cellStyle name="Normal 4 2 5 3 3 4 2" xfId="24421"/>
    <cellStyle name="Normal 5 2 5 3 3 4 2" xfId="24422"/>
    <cellStyle name="Normal 7 2 5 3 3 4 2" xfId="24423"/>
    <cellStyle name="Normal 3 4 5 3 3 4 2" xfId="24424"/>
    <cellStyle name="Normal 4 3 5 3 3 4 2" xfId="24425"/>
    <cellStyle name="Normal 5 3 5 3 3 4 2" xfId="24426"/>
    <cellStyle name="Normal 7 3 5 3 3 4 2" xfId="24427"/>
    <cellStyle name="Normal 2 5 3 3 3 4 2" xfId="24428"/>
    <cellStyle name="Normal 3 5 3 3 3 4 2" xfId="24429"/>
    <cellStyle name="Normal 4 4 3 3 3 4 2" xfId="24430"/>
    <cellStyle name="Normal 5 4 3 3 3 4 2" xfId="24431"/>
    <cellStyle name="Normal 7 4 3 3 3 4 2" xfId="24432"/>
    <cellStyle name="Normal 2 3 2 3 3 3 4 2" xfId="24433"/>
    <cellStyle name="Normal 3 3 2 3 3 3 4 2" xfId="24434"/>
    <cellStyle name="Normal 4 2 2 3 3 3 4 2" xfId="24435"/>
    <cellStyle name="Normal 5 2 2 3 3 3 4 2" xfId="24436"/>
    <cellStyle name="Normal 7 2 2 3 3 3 4 2" xfId="24437"/>
    <cellStyle name="Normal 2 4 2 3 3 3 4 2" xfId="24438"/>
    <cellStyle name="Normal 3 4 2 3 3 3 4 2" xfId="24439"/>
    <cellStyle name="Normal 4 3 2 3 3 3 4 2" xfId="24440"/>
    <cellStyle name="Normal 5 3 2 3 3 3 4 2" xfId="24441"/>
    <cellStyle name="Normal 7 3 2 3 3 3 4 2" xfId="24442"/>
    <cellStyle name="Normal 2 6 3 3 3 4 2" xfId="24443"/>
    <cellStyle name="Normal 3 6 3 3 3 4 2" xfId="24444"/>
    <cellStyle name="Normal 4 5 3 3 3 4 2" xfId="24445"/>
    <cellStyle name="Normal 5 5 3 3 3 4 2" xfId="24446"/>
    <cellStyle name="Normal 7 5 3 3 3 4 2" xfId="24447"/>
    <cellStyle name="Normal 2 3 3 3 3 3 4 2" xfId="24448"/>
    <cellStyle name="Normal 3 3 3 3 3 3 4 2" xfId="24449"/>
    <cellStyle name="Normal 4 2 3 3 3 3 4 2" xfId="24450"/>
    <cellStyle name="Normal 5 2 3 3 3 3 4 2" xfId="24451"/>
    <cellStyle name="Normal 7 2 3 3 3 3 4 2" xfId="24452"/>
    <cellStyle name="Normal 2 4 3 3 3 3 4 2" xfId="24453"/>
    <cellStyle name="Normal 3 4 3 3 3 3 4 2" xfId="24454"/>
    <cellStyle name="Normal 4 3 3 3 3 3 4 2" xfId="24455"/>
    <cellStyle name="Normal 5 3 3 3 3 3 4 2" xfId="24456"/>
    <cellStyle name="Normal 7 3 3 3 3 3 4 2" xfId="24457"/>
    <cellStyle name="Normal 2 7 2 3 3 4 2" xfId="24458"/>
    <cellStyle name="Normal 3 7 2 3 3 4 2" xfId="24459"/>
    <cellStyle name="Normal 4 6 2 3 3 4 2" xfId="24460"/>
    <cellStyle name="Normal 5 6 2 3 3 4 2" xfId="24461"/>
    <cellStyle name="Normal 7 6 2 3 3 4 2" xfId="24462"/>
    <cellStyle name="Normal 2 3 4 2 3 3 4 2" xfId="24463"/>
    <cellStyle name="Normal 3 3 4 2 3 3 4 2" xfId="24464"/>
    <cellStyle name="Normal 4 2 4 2 3 3 4 2" xfId="24465"/>
    <cellStyle name="Normal 5 2 4 2 3 3 4 2" xfId="24466"/>
    <cellStyle name="Normal 7 2 4 2 3 3 4 2" xfId="24467"/>
    <cellStyle name="Normal 2 4 4 2 3 3 4 2" xfId="24468"/>
    <cellStyle name="Normal 3 4 4 2 3 3 4 2" xfId="24469"/>
    <cellStyle name="Normal 4 3 4 2 3 3 4 2" xfId="24470"/>
    <cellStyle name="Normal 5 3 4 2 3 3 4 2" xfId="24471"/>
    <cellStyle name="Normal 7 3 4 2 3 3 4 2" xfId="24472"/>
    <cellStyle name="Normal 2 5 2 2 3 3 4 2" xfId="24473"/>
    <cellStyle name="Normal 3 5 2 2 3 3 4 2" xfId="24474"/>
    <cellStyle name="Normal 4 4 2 2 3 3 4 2" xfId="24475"/>
    <cellStyle name="Normal 5 4 2 2 3 3 4 2" xfId="24476"/>
    <cellStyle name="Normal 7 4 2 2 3 3 4 2" xfId="24477"/>
    <cellStyle name="Normal 2 3 2 2 2 3 3 4 2" xfId="24478"/>
    <cellStyle name="Normal 3 3 2 2 2 3 3 4 2" xfId="24479"/>
    <cellStyle name="Normal 4 2 2 2 2 3 3 4 2" xfId="24480"/>
    <cellStyle name="Normal 5 2 2 2 2 3 3 4 2" xfId="24481"/>
    <cellStyle name="Normal 7 2 2 2 2 3 3 4 2" xfId="24482"/>
    <cellStyle name="Normal 2 4 2 2 2 3 3 4 2" xfId="24483"/>
    <cellStyle name="Normal 3 4 2 2 2 3 3 4 2" xfId="24484"/>
    <cellStyle name="Normal 4 3 2 2 2 3 3 4 2" xfId="24485"/>
    <cellStyle name="Normal 5 3 2 2 2 3 3 4 2" xfId="24486"/>
    <cellStyle name="Normal 7 3 2 2 2 3 3 4 2" xfId="24487"/>
    <cellStyle name="Normal 2 6 2 2 3 3 4 2" xfId="24488"/>
    <cellStyle name="Normal 3 6 2 2 3 3 4 2" xfId="24489"/>
    <cellStyle name="Normal 4 5 2 2 3 3 4 2" xfId="24490"/>
    <cellStyle name="Normal 5 5 2 2 3 3 4 2" xfId="24491"/>
    <cellStyle name="Normal 7 5 2 2 3 3 4 2" xfId="24492"/>
    <cellStyle name="Normal 2 3 3 2 2 3 3 4 2" xfId="24493"/>
    <cellStyle name="Normal 3 3 3 2 2 3 3 4 2" xfId="24494"/>
    <cellStyle name="Normal 4 2 3 2 2 3 3 4 2" xfId="24495"/>
    <cellStyle name="Normal 5 2 3 2 2 3 3 4 2" xfId="24496"/>
    <cellStyle name="Normal 7 2 3 2 2 3 3 4 2" xfId="24497"/>
    <cellStyle name="Normal 2 4 3 2 2 3 3 4 2" xfId="24498"/>
    <cellStyle name="Normal 3 4 3 2 2 3 3 4 2" xfId="24499"/>
    <cellStyle name="Normal 4 3 3 2 2 3 3 4 2" xfId="24500"/>
    <cellStyle name="Normal 5 3 3 2 2 3 3 4 2" xfId="24501"/>
    <cellStyle name="Normal 7 3 3 2 2 3 3 4 2" xfId="24502"/>
    <cellStyle name="Normal 2 13 3 2" xfId="24503"/>
    <cellStyle name="Normal 3 13 3 2" xfId="24504"/>
    <cellStyle name="Normal 4 12 3 2" xfId="24505"/>
    <cellStyle name="Normal 5 12 3 2" xfId="24506"/>
    <cellStyle name="Normal 7 12 3 2" xfId="24507"/>
    <cellStyle name="Normal 2 3 10 3 2" xfId="24508"/>
    <cellStyle name="Normal 3 3 10 3 2" xfId="24509"/>
    <cellStyle name="Normal 4 2 10 3 2" xfId="24510"/>
    <cellStyle name="Normal 5 2 10 3 2" xfId="24511"/>
    <cellStyle name="Normal 7 2 10 3 2" xfId="24512"/>
    <cellStyle name="Normal 2 4 10 3 2" xfId="24513"/>
    <cellStyle name="Normal 3 4 10 3 2" xfId="24514"/>
    <cellStyle name="Normal 4 3 10 3 2" xfId="24515"/>
    <cellStyle name="Normal 5 3 10 3 2" xfId="24516"/>
    <cellStyle name="Normal 7 3 10 3 2" xfId="24517"/>
    <cellStyle name="Normal 2 5 8 3 2" xfId="24518"/>
    <cellStyle name="Normal 3 5 8 3 2" xfId="24519"/>
    <cellStyle name="Normal 4 4 8 3 2" xfId="24520"/>
    <cellStyle name="Normal 5 4 8 3 2" xfId="24521"/>
    <cellStyle name="Normal 7 4 8 3 2" xfId="24522"/>
    <cellStyle name="Normal 2 3 2 8 3 2" xfId="24523"/>
    <cellStyle name="Normal 3 3 2 8 3 2" xfId="24524"/>
    <cellStyle name="Normal 4 2 2 8 3 2" xfId="24525"/>
    <cellStyle name="Normal 5 2 2 8 3 2" xfId="24526"/>
    <cellStyle name="Normal 7 2 2 8 3 2" xfId="24527"/>
    <cellStyle name="Normal 2 4 2 8 3 2" xfId="24528"/>
    <cellStyle name="Normal 3 4 2 8 3 2" xfId="24529"/>
    <cellStyle name="Normal 4 3 2 8 3 2" xfId="24530"/>
    <cellStyle name="Normal 5 3 2 8 3 2" xfId="24531"/>
    <cellStyle name="Normal 7 3 2 8 3 2" xfId="24532"/>
    <cellStyle name="Normal 2 6 8 3 2" xfId="24533"/>
    <cellStyle name="Normal 3 6 8 3 2" xfId="24534"/>
    <cellStyle name="Normal 4 5 8 3 2" xfId="24535"/>
    <cellStyle name="Normal 5 5 8 3 2" xfId="24536"/>
    <cellStyle name="Normal 7 5 8 3 2" xfId="24537"/>
    <cellStyle name="Normal 2 3 3 8 3 2" xfId="24538"/>
    <cellStyle name="Normal 3 3 3 8 3 2" xfId="24539"/>
    <cellStyle name="Normal 4 2 3 8 3 2" xfId="24540"/>
    <cellStyle name="Normal 5 2 3 8 3 2" xfId="24541"/>
    <cellStyle name="Normal 7 2 3 8 3 2" xfId="24542"/>
    <cellStyle name="Normal 2 4 3 8 3 2" xfId="24543"/>
    <cellStyle name="Normal 3 4 3 8 3 2" xfId="24544"/>
    <cellStyle name="Normal 4 3 3 8 3 2" xfId="24545"/>
    <cellStyle name="Normal 5 3 3 8 3 2" xfId="24546"/>
    <cellStyle name="Normal 7 3 3 8 3 2" xfId="24547"/>
    <cellStyle name="Normal 2 7 7 3 2" xfId="24548"/>
    <cellStyle name="Normal 3 7 7 3 2" xfId="24549"/>
    <cellStyle name="Normal 4 6 7 3 2" xfId="24550"/>
    <cellStyle name="Normal 5 6 7 3 2" xfId="24551"/>
    <cellStyle name="Normal 7 6 7 3 2" xfId="24552"/>
    <cellStyle name="Normal 2 3 4 7 3 2" xfId="24553"/>
    <cellStyle name="Normal 3 3 4 7 3 2" xfId="24554"/>
    <cellStyle name="Normal 4 2 4 7 3 2" xfId="24555"/>
    <cellStyle name="Normal 5 2 4 7 3 2" xfId="24556"/>
    <cellStyle name="Normal 7 2 4 7 3 2" xfId="24557"/>
    <cellStyle name="Normal 2 4 4 7 3 2" xfId="24558"/>
    <cellStyle name="Normal 3 4 4 7 3 2" xfId="24559"/>
    <cellStyle name="Normal 4 3 4 7 3 2" xfId="24560"/>
    <cellStyle name="Normal 5 3 4 7 3 2" xfId="24561"/>
    <cellStyle name="Normal 7 3 4 7 3 2" xfId="24562"/>
    <cellStyle name="Normal 2 5 2 7 3 2" xfId="24563"/>
    <cellStyle name="Normal 3 5 2 7 3 2" xfId="24564"/>
    <cellStyle name="Normal 4 4 2 7 3 2" xfId="24565"/>
    <cellStyle name="Normal 5 4 2 7 3 2" xfId="24566"/>
    <cellStyle name="Normal 7 4 2 7 3 2" xfId="24567"/>
    <cellStyle name="Normal 2 3 2 2 7 3 2" xfId="24568"/>
    <cellStyle name="Normal 3 3 2 2 7 3 2" xfId="24569"/>
    <cellStyle name="Normal 4 2 2 2 7 3 2" xfId="24570"/>
    <cellStyle name="Normal 5 2 2 2 7 3 2" xfId="24571"/>
    <cellStyle name="Normal 7 2 2 2 7 3 2" xfId="24572"/>
    <cellStyle name="Normal 2 4 2 2 7 3 2" xfId="24573"/>
    <cellStyle name="Normal 3 4 2 2 7 3 2" xfId="24574"/>
    <cellStyle name="Normal 4 3 2 2 7 3 2" xfId="24575"/>
    <cellStyle name="Normal 5 3 2 2 7 3 2" xfId="24576"/>
    <cellStyle name="Normal 7 3 2 2 7 3 2" xfId="24577"/>
    <cellStyle name="Normal 2 6 2 7 3 2" xfId="24578"/>
    <cellStyle name="Normal 3 6 2 7 3 2" xfId="24579"/>
    <cellStyle name="Normal 4 5 2 7 3 2" xfId="24580"/>
    <cellStyle name="Normal 5 5 2 7 3 2" xfId="24581"/>
    <cellStyle name="Normal 7 5 2 7 3 2" xfId="24582"/>
    <cellStyle name="Normal 2 3 3 2 7 3 2" xfId="24583"/>
    <cellStyle name="Normal 3 3 3 2 7 3 2" xfId="24584"/>
    <cellStyle name="Normal 4 2 3 2 7 3 2" xfId="24585"/>
    <cellStyle name="Normal 5 2 3 2 7 3 2" xfId="24586"/>
    <cellStyle name="Normal 7 2 3 2 7 3 2" xfId="24587"/>
    <cellStyle name="Normal 2 4 3 2 7 3 2" xfId="24588"/>
    <cellStyle name="Normal 3 4 3 2 7 3 2" xfId="24589"/>
    <cellStyle name="Normal 4 3 3 2 7 3 2" xfId="24590"/>
    <cellStyle name="Normal 5 3 3 2 7 3 2" xfId="24591"/>
    <cellStyle name="Normal 7 3 3 2 7 3 2" xfId="24592"/>
    <cellStyle name="Normal 2 8 6 3 2" xfId="24593"/>
    <cellStyle name="Normal 3 8 6 3 2" xfId="24594"/>
    <cellStyle name="Normal 4 7 6 3 2" xfId="24595"/>
    <cellStyle name="Normal 5 7 6 3 2" xfId="24596"/>
    <cellStyle name="Normal 7 7 6 3 2" xfId="24597"/>
    <cellStyle name="Normal 2 3 5 6 3 2" xfId="24598"/>
    <cellStyle name="Normal 3 3 5 6 3 2" xfId="24599"/>
    <cellStyle name="Normal 4 2 5 6 3 2" xfId="24600"/>
    <cellStyle name="Normal 5 2 5 6 3 2" xfId="24601"/>
    <cellStyle name="Normal 7 2 5 6 3 2" xfId="24602"/>
    <cellStyle name="Normal 2 4 5 6 3 2" xfId="24603"/>
    <cellStyle name="Normal 3 4 5 6 3 2" xfId="24604"/>
    <cellStyle name="Normal 4 3 5 6 3 2" xfId="24605"/>
    <cellStyle name="Normal 5 3 5 6 3 2" xfId="24606"/>
    <cellStyle name="Normal 7 3 5 6 3 2" xfId="24607"/>
    <cellStyle name="Normal 2 5 3 6 3 2" xfId="24608"/>
    <cellStyle name="Normal 3 5 3 6 3 2" xfId="24609"/>
    <cellStyle name="Normal 4 4 3 6 3 2" xfId="24610"/>
    <cellStyle name="Normal 5 4 3 6 3 2" xfId="24611"/>
    <cellStyle name="Normal 7 4 3 6 3 2" xfId="24612"/>
    <cellStyle name="Normal 2 3 2 3 6 3 2" xfId="24613"/>
    <cellStyle name="Normal 3 3 2 3 6 3 2" xfId="24614"/>
    <cellStyle name="Normal 4 2 2 3 6 3 2" xfId="24615"/>
    <cellStyle name="Normal 5 2 2 3 6 3 2" xfId="24616"/>
    <cellStyle name="Normal 7 2 2 3 6 3 2" xfId="24617"/>
    <cellStyle name="Normal 2 4 2 3 6 3 2" xfId="24618"/>
    <cellStyle name="Normal 3 4 2 3 6 3 2" xfId="24619"/>
    <cellStyle name="Normal 4 3 2 3 6 3 2" xfId="24620"/>
    <cellStyle name="Normal 5 3 2 3 6 3 2" xfId="24621"/>
    <cellStyle name="Normal 7 3 2 3 6 3 2" xfId="24622"/>
    <cellStyle name="Normal 2 6 3 6 3 2" xfId="24623"/>
    <cellStyle name="Normal 3 6 3 6 3 2" xfId="24624"/>
    <cellStyle name="Normal 4 5 3 6 3 2" xfId="24625"/>
    <cellStyle name="Normal 5 5 3 6 3 2" xfId="24626"/>
    <cellStyle name="Normal 7 5 3 6 3 2" xfId="24627"/>
    <cellStyle name="Normal 2 3 3 3 6 3 2" xfId="24628"/>
    <cellStyle name="Normal 3 3 3 3 6 3 2" xfId="24629"/>
    <cellStyle name="Normal 4 2 3 3 6 3 2" xfId="24630"/>
    <cellStyle name="Normal 5 2 3 3 6 3 2" xfId="24631"/>
    <cellStyle name="Normal 7 2 3 3 6 3 2" xfId="24632"/>
    <cellStyle name="Normal 2 4 3 3 6 3 2" xfId="24633"/>
    <cellStyle name="Normal 3 4 3 3 6 3 2" xfId="24634"/>
    <cellStyle name="Normal 4 3 3 3 6 3 2" xfId="24635"/>
    <cellStyle name="Normal 5 3 3 3 6 3 2" xfId="24636"/>
    <cellStyle name="Normal 7 3 3 3 6 3 2" xfId="24637"/>
    <cellStyle name="Normal 2 7 2 6 3 2" xfId="24638"/>
    <cellStyle name="Normal 3 7 2 6 3 2" xfId="24639"/>
    <cellStyle name="Normal 4 6 2 6 3 2" xfId="24640"/>
    <cellStyle name="Normal 5 6 2 6 3 2" xfId="24641"/>
    <cellStyle name="Normal 7 6 2 6 3 2" xfId="24642"/>
    <cellStyle name="Normal 2 3 4 2 6 3 2" xfId="24643"/>
    <cellStyle name="Normal 3 3 4 2 6 3 2" xfId="24644"/>
    <cellStyle name="Normal 4 2 4 2 6 3 2" xfId="24645"/>
    <cellStyle name="Normal 5 2 4 2 6 3 2" xfId="24646"/>
    <cellStyle name="Normal 7 2 4 2 6 3 2" xfId="24647"/>
    <cellStyle name="Normal 2 4 4 2 6 3 2" xfId="24648"/>
    <cellStyle name="Normal 3 4 4 2 6 3 2" xfId="24649"/>
    <cellStyle name="Normal 4 3 4 2 6 3 2" xfId="24650"/>
    <cellStyle name="Normal 5 3 4 2 6 3 2" xfId="24651"/>
    <cellStyle name="Normal 7 3 4 2 6 3 2" xfId="24652"/>
    <cellStyle name="Normal 2 5 2 2 6 3 2" xfId="24653"/>
    <cellStyle name="Normal 3 5 2 2 6 3 2" xfId="24654"/>
    <cellStyle name="Normal 4 4 2 2 6 3 2" xfId="24655"/>
    <cellStyle name="Normal 5 4 2 2 6 3 2" xfId="24656"/>
    <cellStyle name="Normal 7 4 2 2 6 3 2" xfId="24657"/>
    <cellStyle name="Normal 2 3 2 2 2 6 3 2" xfId="24658"/>
    <cellStyle name="Normal 3 3 2 2 2 6 3 2" xfId="24659"/>
    <cellStyle name="Normal 4 2 2 2 2 6 3 2" xfId="24660"/>
    <cellStyle name="Normal 5 2 2 2 2 6 3 2" xfId="24661"/>
    <cellStyle name="Normal 7 2 2 2 2 6 3 2" xfId="24662"/>
    <cellStyle name="Normal 2 4 2 2 2 6 3 2" xfId="24663"/>
    <cellStyle name="Normal 3 4 2 2 2 6 3 2" xfId="24664"/>
    <cellStyle name="Normal 4 3 2 2 2 6 3 2" xfId="24665"/>
    <cellStyle name="Normal 5 3 2 2 2 6 3 2" xfId="24666"/>
    <cellStyle name="Normal 7 3 2 2 2 6 3 2" xfId="24667"/>
    <cellStyle name="Normal 2 6 2 2 6 3 2" xfId="24668"/>
    <cellStyle name="Normal 3 6 2 2 6 3 2" xfId="24669"/>
    <cellStyle name="Normal 4 5 2 2 6 3 2" xfId="24670"/>
    <cellStyle name="Normal 5 5 2 2 6 3 2" xfId="24671"/>
    <cellStyle name="Normal 7 5 2 2 6 3 2" xfId="24672"/>
    <cellStyle name="Normal 2 3 3 2 2 6 3 2" xfId="24673"/>
    <cellStyle name="Normal 3 3 3 2 2 6 3 2" xfId="24674"/>
    <cellStyle name="Normal 4 2 3 2 2 6 3 2" xfId="24675"/>
    <cellStyle name="Normal 5 2 3 2 2 6 3 2" xfId="24676"/>
    <cellStyle name="Normal 7 2 3 2 2 6 3 2" xfId="24677"/>
    <cellStyle name="Normal 2 4 3 2 2 6 3 2" xfId="24678"/>
    <cellStyle name="Normal 3 4 3 2 2 6 3 2" xfId="24679"/>
    <cellStyle name="Normal 4 3 3 2 2 6 3 2" xfId="24680"/>
    <cellStyle name="Normal 5 3 3 2 2 6 3 2" xfId="24681"/>
    <cellStyle name="Normal 7 3 3 2 2 6 3 2" xfId="24682"/>
    <cellStyle name="Normal 2 9 4 3 2" xfId="24683"/>
    <cellStyle name="Normal 3 9 4 3 2" xfId="24684"/>
    <cellStyle name="Normal 4 8 4 3 2" xfId="24685"/>
    <cellStyle name="Normal 5 8 4 3 2" xfId="24686"/>
    <cellStyle name="Normal 7 8 4 3 2" xfId="24687"/>
    <cellStyle name="Normal 2 3 6 4 3 2" xfId="24688"/>
    <cellStyle name="Normal 3 3 6 4 3 2" xfId="24689"/>
    <cellStyle name="Normal 4 2 6 4 3 2" xfId="24690"/>
    <cellStyle name="Normal 5 2 6 4 3 2" xfId="24691"/>
    <cellStyle name="Normal 7 2 6 4 3 2" xfId="24692"/>
    <cellStyle name="Normal 2 4 6 4 3 2" xfId="24693"/>
    <cellStyle name="Normal 3 4 6 4 3 2" xfId="24694"/>
    <cellStyle name="Normal 4 3 6 4 3 2" xfId="24695"/>
    <cellStyle name="Normal 5 3 6 4 3 2" xfId="24696"/>
    <cellStyle name="Normal 7 3 6 4 3 2" xfId="24697"/>
    <cellStyle name="Normal 2 5 4 4 3 2" xfId="24698"/>
    <cellStyle name="Normal 3 5 4 4 3 2" xfId="24699"/>
    <cellStyle name="Normal 4 4 4 4 3 2" xfId="24700"/>
    <cellStyle name="Normal 5 4 4 4 3 2" xfId="24701"/>
    <cellStyle name="Normal 7 4 4 4 3 2" xfId="24702"/>
    <cellStyle name="Normal 2 3 2 4 4 3 2" xfId="24703"/>
    <cellStyle name="Normal 3 3 2 4 4 3 2" xfId="24704"/>
    <cellStyle name="Normal 4 2 2 4 4 3 2" xfId="24705"/>
    <cellStyle name="Normal 5 2 2 4 4 3 2" xfId="24706"/>
    <cellStyle name="Normal 7 2 2 4 4 3 2" xfId="24707"/>
    <cellStyle name="Normal 2 4 2 4 4 3 2" xfId="24708"/>
    <cellStyle name="Normal 3 4 2 4 4 3 2" xfId="24709"/>
    <cellStyle name="Normal 4 3 2 4 4 3 2" xfId="24710"/>
    <cellStyle name="Normal 5 3 2 4 4 3 2" xfId="24711"/>
    <cellStyle name="Normal 7 3 2 4 4 3 2" xfId="24712"/>
    <cellStyle name="Normal 2 6 4 4 3 2" xfId="24713"/>
    <cellStyle name="Normal 3 6 4 4 3 2" xfId="24714"/>
    <cellStyle name="Normal 4 5 4 4 3 2" xfId="24715"/>
    <cellStyle name="Normal 5 5 4 4 3 2" xfId="24716"/>
    <cellStyle name="Normal 7 5 4 4 3 2" xfId="24717"/>
    <cellStyle name="Normal 2 3 3 4 4 3 2" xfId="24718"/>
    <cellStyle name="Normal 3 3 3 4 4 3 2" xfId="24719"/>
    <cellStyle name="Normal 4 2 3 4 4 3 2" xfId="24720"/>
    <cellStyle name="Normal 5 2 3 4 4 3 2" xfId="24721"/>
    <cellStyle name="Normal 7 2 3 4 4 3 2" xfId="24722"/>
    <cellStyle name="Normal 2 4 3 4 4 3 2" xfId="24723"/>
    <cellStyle name="Normal 3 4 3 4 4 3 2" xfId="24724"/>
    <cellStyle name="Normal 4 3 3 4 4 3 2" xfId="24725"/>
    <cellStyle name="Normal 5 3 3 4 4 3 2" xfId="24726"/>
    <cellStyle name="Normal 7 3 3 4 4 3 2" xfId="24727"/>
    <cellStyle name="Normal 2 7 3 4 3 2" xfId="24728"/>
    <cellStyle name="Normal 3 7 3 4 3 2" xfId="24729"/>
    <cellStyle name="Normal 4 6 3 4 3 2" xfId="24730"/>
    <cellStyle name="Normal 5 6 3 4 3 2" xfId="24731"/>
    <cellStyle name="Normal 7 6 3 4 3 2" xfId="24732"/>
    <cellStyle name="Normal 2 3 4 3 4 3 2" xfId="24733"/>
    <cellStyle name="Normal 3 3 4 3 4 3 2" xfId="24734"/>
    <cellStyle name="Normal 4 2 4 3 4 3 2" xfId="24735"/>
    <cellStyle name="Normal 5 2 4 3 4 3 2" xfId="24736"/>
    <cellStyle name="Normal 7 2 4 3 4 3 2" xfId="24737"/>
    <cellStyle name="Normal 2 4 4 3 4 3 2" xfId="24738"/>
    <cellStyle name="Normal 3 4 4 3 4 3 2" xfId="24739"/>
    <cellStyle name="Normal 4 3 4 3 4 3 2" xfId="24740"/>
    <cellStyle name="Normal 5 3 4 3 4 3 2" xfId="24741"/>
    <cellStyle name="Normal 7 3 4 3 4 3 2" xfId="24742"/>
    <cellStyle name="Normal 2 5 2 3 4 3 2" xfId="24743"/>
    <cellStyle name="Normal 3 5 2 3 4 3 2" xfId="24744"/>
    <cellStyle name="Normal 4 4 2 3 4 3 2" xfId="24745"/>
    <cellStyle name="Normal 5 4 2 3 4 3 2" xfId="24746"/>
    <cellStyle name="Normal 7 4 2 3 4 3 2" xfId="24747"/>
    <cellStyle name="Normal 2 3 2 2 3 4 3 2" xfId="24748"/>
    <cellStyle name="Normal 3 3 2 2 3 4 3 2" xfId="24749"/>
    <cellStyle name="Normal 4 2 2 2 3 4 3 2" xfId="24750"/>
    <cellStyle name="Normal 5 2 2 2 3 4 3 2" xfId="24751"/>
    <cellStyle name="Normal 7 2 2 2 3 4 3 2" xfId="24752"/>
    <cellStyle name="Normal 2 4 2 2 3 4 3 2" xfId="24753"/>
    <cellStyle name="Normal 3 4 2 2 3 4 3 2" xfId="24754"/>
    <cellStyle name="Normal 4 3 2 2 3 4 3 2" xfId="24755"/>
    <cellStyle name="Normal 5 3 2 2 3 4 3 2" xfId="24756"/>
    <cellStyle name="Normal 7 3 2 2 3 4 3 2" xfId="24757"/>
    <cellStyle name="Normal 2 6 2 3 4 3 2" xfId="24758"/>
    <cellStyle name="Normal 3 6 2 3 4 3 2" xfId="24759"/>
    <cellStyle name="Normal 4 5 2 3 4 3 2" xfId="24760"/>
    <cellStyle name="Normal 5 5 2 3 4 3 2" xfId="24761"/>
    <cellStyle name="Normal 7 5 2 3 4 3 2" xfId="24762"/>
    <cellStyle name="Normal 2 3 3 2 3 4 3 2" xfId="24763"/>
    <cellStyle name="Normal 3 3 3 2 3 4 3 2" xfId="24764"/>
    <cellStyle name="Normal 4 2 3 2 3 4 3 2" xfId="24765"/>
    <cellStyle name="Normal 5 2 3 2 3 4 3 2" xfId="24766"/>
    <cellStyle name="Normal 7 2 3 2 3 4 3 2" xfId="24767"/>
    <cellStyle name="Normal 2 4 3 2 3 4 3 2" xfId="24768"/>
    <cellStyle name="Normal 3 4 3 2 3 4 3 2" xfId="24769"/>
    <cellStyle name="Normal 4 3 3 2 3 4 3 2" xfId="24770"/>
    <cellStyle name="Normal 5 3 3 2 3 4 3 2" xfId="24771"/>
    <cellStyle name="Normal 7 3 3 2 3 4 3 2" xfId="24772"/>
    <cellStyle name="Normal 2 8 2 4 3 2" xfId="24773"/>
    <cellStyle name="Normal 3 8 2 4 3 2" xfId="24774"/>
    <cellStyle name="Normal 4 7 2 4 3 2" xfId="24775"/>
    <cellStyle name="Normal 5 7 2 4 3 2" xfId="24776"/>
    <cellStyle name="Normal 7 7 2 4 3 2" xfId="24777"/>
    <cellStyle name="Normal 2 3 5 2 4 3 2" xfId="24778"/>
    <cellStyle name="Normal 3 3 5 2 4 3 2" xfId="24779"/>
    <cellStyle name="Normal 4 2 5 2 4 3 2" xfId="24780"/>
    <cellStyle name="Normal 5 2 5 2 4 3 2" xfId="24781"/>
    <cellStyle name="Normal 7 2 5 2 4 3 2" xfId="24782"/>
    <cellStyle name="Normal 2 4 5 2 4 3 2" xfId="24783"/>
    <cellStyle name="Normal 3 4 5 2 4 3 2" xfId="24784"/>
    <cellStyle name="Normal 4 3 5 2 4 3 2" xfId="24785"/>
    <cellStyle name="Normal 5 3 5 2 4 3 2" xfId="24786"/>
    <cellStyle name="Normal 7 3 5 2 4 3 2" xfId="24787"/>
    <cellStyle name="Normal 2 5 3 2 4 3 2" xfId="24788"/>
    <cellStyle name="Normal 3 5 3 2 4 3 2" xfId="24789"/>
    <cellStyle name="Normal 4 4 3 2 4 3 2" xfId="24790"/>
    <cellStyle name="Normal 5 4 3 2 4 3 2" xfId="24791"/>
    <cellStyle name="Normal 7 4 3 2 4 3 2" xfId="24792"/>
    <cellStyle name="Normal 2 3 2 3 2 4 3 2" xfId="24793"/>
    <cellStyle name="Normal 3 3 2 3 2 4 3 2" xfId="24794"/>
    <cellStyle name="Normal 4 2 2 3 2 4 3 2" xfId="24795"/>
    <cellStyle name="Normal 5 2 2 3 2 4 3 2" xfId="24796"/>
    <cellStyle name="Normal 7 2 2 3 2 4 3 2" xfId="24797"/>
    <cellStyle name="Normal 2 4 2 3 2 4 3 2" xfId="24798"/>
    <cellStyle name="Normal 3 4 2 3 2 4 3 2" xfId="24799"/>
    <cellStyle name="Normal 4 3 2 3 2 4 3 2" xfId="24800"/>
    <cellStyle name="Normal 5 3 2 3 2 4 3 2" xfId="24801"/>
    <cellStyle name="Normal 7 3 2 3 2 4 3 2" xfId="24802"/>
    <cellStyle name="Normal 2 6 3 2 4 3 2" xfId="24803"/>
    <cellStyle name="Normal 3 6 3 2 4 3 2" xfId="24804"/>
    <cellStyle name="Normal 4 5 3 2 4 3 2" xfId="24805"/>
    <cellStyle name="Normal 5 5 3 2 4 3 2" xfId="24806"/>
    <cellStyle name="Normal 7 5 3 2 4 3 2" xfId="24807"/>
    <cellStyle name="Normal 2 3 3 3 2 4 3 2" xfId="24808"/>
    <cellStyle name="Normal 3 3 3 3 2 4 3 2" xfId="24809"/>
    <cellStyle name="Normal 4 2 3 3 2 4 3 2" xfId="24810"/>
    <cellStyle name="Normal 5 2 3 3 2 4 3 2" xfId="24811"/>
    <cellStyle name="Normal 7 2 3 3 2 4 3 2" xfId="24812"/>
    <cellStyle name="Normal 2 4 3 3 2 4 3 2" xfId="24813"/>
    <cellStyle name="Normal 3 4 3 3 2 4 3 2" xfId="24814"/>
    <cellStyle name="Normal 4 3 3 3 2 4 3 2" xfId="24815"/>
    <cellStyle name="Normal 5 3 3 3 2 4 3 2" xfId="24816"/>
    <cellStyle name="Normal 7 3 3 3 2 4 3 2" xfId="24817"/>
    <cellStyle name="Normal 2 7 2 2 4 3 2" xfId="24818"/>
    <cellStyle name="Normal 3 7 2 2 4 3 2" xfId="24819"/>
    <cellStyle name="Normal 4 6 2 2 4 3 2" xfId="24820"/>
    <cellStyle name="Normal 5 6 2 2 4 3 2" xfId="24821"/>
    <cellStyle name="Normal 7 6 2 2 4 3 2" xfId="24822"/>
    <cellStyle name="Normal 2 3 4 2 2 4 3 2" xfId="24823"/>
    <cellStyle name="Normal 3 3 4 2 2 4 3 2" xfId="24824"/>
    <cellStyle name="Normal 4 2 4 2 2 4 3 2" xfId="24825"/>
    <cellStyle name="Normal 5 2 4 2 2 4 3 2" xfId="24826"/>
    <cellStyle name="Normal 7 2 4 2 2 4 3 2" xfId="24827"/>
    <cellStyle name="Normal 2 4 4 2 2 4 3 2" xfId="24828"/>
    <cellStyle name="Normal 3 4 4 2 2 4 3 2" xfId="24829"/>
    <cellStyle name="Normal 4 3 4 2 2 4 3 2" xfId="24830"/>
    <cellStyle name="Normal 5 3 4 2 2 4 3 2" xfId="24831"/>
    <cellStyle name="Normal 7 3 4 2 2 4 3 2" xfId="24832"/>
    <cellStyle name="Normal 2 5 2 2 2 4 3 2" xfId="24833"/>
    <cellStyle name="Normal 3 5 2 2 2 4 3 2" xfId="24834"/>
    <cellStyle name="Normal 4 4 2 2 2 4 3 2" xfId="24835"/>
    <cellStyle name="Normal 5 4 2 2 2 4 3 2" xfId="24836"/>
    <cellStyle name="Normal 7 4 2 2 2 4 3 2" xfId="24837"/>
    <cellStyle name="Normal 2 3 2 2 2 2 4 3 2" xfId="24838"/>
    <cellStyle name="Normal 3 3 2 2 2 2 4 3 2" xfId="24839"/>
    <cellStyle name="Normal 4 2 2 2 2 2 4 3 2" xfId="24840"/>
    <cellStyle name="Normal 5 2 2 2 2 2 4 3 2" xfId="24841"/>
    <cellStyle name="Normal 7 2 2 2 2 2 4 3 2" xfId="24842"/>
    <cellStyle name="Normal 2 4 2 2 2 2 4 3 2" xfId="24843"/>
    <cellStyle name="Normal 3 4 2 2 2 2 4 3 2" xfId="24844"/>
    <cellStyle name="Normal 4 3 2 2 2 2 4 3 2" xfId="24845"/>
    <cellStyle name="Normal 5 3 2 2 2 2 4 3 2" xfId="24846"/>
    <cellStyle name="Normal 7 3 2 2 2 2 4 3 2" xfId="24847"/>
    <cellStyle name="Normal 2 6 2 2 2 4 3 2" xfId="24848"/>
    <cellStyle name="Normal 3 6 2 2 2 4 3 2" xfId="24849"/>
    <cellStyle name="Normal 4 5 2 2 2 4 3 2" xfId="24850"/>
    <cellStyle name="Normal 5 5 2 2 2 4 3 2" xfId="24851"/>
    <cellStyle name="Normal 7 5 2 2 2 4 3 2" xfId="24852"/>
    <cellStyle name="Normal 2 3 3 2 2 2 4 3 2" xfId="24853"/>
    <cellStyle name="Normal 3 3 3 2 2 2 4 3 2" xfId="24854"/>
    <cellStyle name="Normal 4 2 3 2 2 2 4 3 2" xfId="24855"/>
    <cellStyle name="Normal 5 2 3 2 2 2 4 3 2" xfId="24856"/>
    <cellStyle name="Normal 7 2 3 2 2 2 4 3 2" xfId="24857"/>
    <cellStyle name="Normal 2 4 3 2 2 2 4 3 2" xfId="24858"/>
    <cellStyle name="Normal 3 4 3 2 2 2 4 3 2" xfId="24859"/>
    <cellStyle name="Normal 4 3 3 2 2 2 4 3 2" xfId="24860"/>
    <cellStyle name="Normal 5 3 3 2 2 2 4 3 2" xfId="24861"/>
    <cellStyle name="Normal 7 3 3 2 2 2 4 3 2" xfId="24862"/>
    <cellStyle name="Normal 28 4 3 2" xfId="24863"/>
    <cellStyle name="Normal 2 3 7 4 3 2" xfId="24864"/>
    <cellStyle name="Normal 3 10 4 3 2" xfId="24865"/>
    <cellStyle name="Normal 4 9 4 3 2" xfId="24866"/>
    <cellStyle name="Normal 5 9 4 3 2" xfId="24867"/>
    <cellStyle name="Millares 4 4 3 2" xfId="24868"/>
    <cellStyle name="Normal 7 2 7 4 3 2" xfId="24869"/>
    <cellStyle name="Normal 3 3 7 4 3 2" xfId="24870"/>
    <cellStyle name="Normal 4 2 7 4 3 2" xfId="24871"/>
    <cellStyle name="Normal 5 2 7 4 3 2" xfId="24872"/>
    <cellStyle name="Normal 2 4 5 3 4 3 2" xfId="24873"/>
    <cellStyle name="Normal 3 4 7 4 3 2" xfId="24874"/>
    <cellStyle name="Normal 4 3 7 4 3 2" xfId="24875"/>
    <cellStyle name="Normal 5 3 7 4 3 2" xfId="24876"/>
    <cellStyle name="Normal 7 3 7 4 3 2" xfId="24877"/>
    <cellStyle name="Normal 2 5 5 4 3 2" xfId="24878"/>
    <cellStyle name="Normal 3 5 5 4 3 2" xfId="24879"/>
    <cellStyle name="Normal 4 4 5 4 3 2" xfId="24880"/>
    <cellStyle name="Normal 5 4 5 4 3 2" xfId="24881"/>
    <cellStyle name="Normal 7 4 5 4 3 2" xfId="24882"/>
    <cellStyle name="Normal 2 3 2 5 4 3 2" xfId="24883"/>
    <cellStyle name="Normal 3 3 2 5 4 3 2" xfId="24884"/>
    <cellStyle name="Normal 4 2 2 5 4 3 2" xfId="24885"/>
    <cellStyle name="Normal 5 2 2 5 4 3 2" xfId="24886"/>
    <cellStyle name="Normal 7 2 2 5 4 3 2" xfId="24887"/>
    <cellStyle name="Normal 2 4 2 5 4 3 2" xfId="24888"/>
    <cellStyle name="Normal 3 4 2 5 4 3 2" xfId="24889"/>
    <cellStyle name="Normal 4 3 2 5 4 3 2" xfId="24890"/>
    <cellStyle name="Normal 5 3 2 5 4 3 2" xfId="24891"/>
    <cellStyle name="Normal 7 3 2 5 4 3 2" xfId="24892"/>
    <cellStyle name="Normal 2 6 5 4 3 2" xfId="24893"/>
    <cellStyle name="Normal 3 6 5 4 3 2" xfId="24894"/>
    <cellStyle name="Normal 4 5 5 4 3 2" xfId="24895"/>
    <cellStyle name="Normal 5 5 5 4 3 2" xfId="24896"/>
    <cellStyle name="Normal 7 5 5 4 3 2" xfId="24897"/>
    <cellStyle name="Normal 2 3 3 5 4 3 2" xfId="24898"/>
    <cellStyle name="Normal 3 3 3 5 4 3 2" xfId="24899"/>
    <cellStyle name="Normal 4 2 3 5 4 3 2" xfId="24900"/>
    <cellStyle name="Normal 5 2 3 5 4 3 2" xfId="24901"/>
    <cellStyle name="Normal 7 2 3 5 4 3 2" xfId="24902"/>
    <cellStyle name="Normal 2 4 3 5 4 3 2" xfId="24903"/>
    <cellStyle name="Normal 3 4 3 5 4 3 2" xfId="24904"/>
    <cellStyle name="Normal 4 3 3 5 4 3 2" xfId="24905"/>
    <cellStyle name="Normal 5 3 3 5 4 3 2" xfId="24906"/>
    <cellStyle name="Normal 7 3 3 5 4 3 2" xfId="24907"/>
    <cellStyle name="Normal 2 7 4 4 3 2" xfId="24908"/>
    <cellStyle name="Normal 3 7 4 4 3 2" xfId="24909"/>
    <cellStyle name="Normal 4 6 4 4 3 2" xfId="24910"/>
    <cellStyle name="Normal 5 6 4 4 3 2" xfId="24911"/>
    <cellStyle name="Normal 7 6 4 4 3 2" xfId="24912"/>
    <cellStyle name="Normal 2 3 4 4 4 3 2" xfId="24913"/>
    <cellStyle name="Normal 3 3 4 4 4 3 2" xfId="24914"/>
    <cellStyle name="Normal 4 2 4 4 4 3 2" xfId="24915"/>
    <cellStyle name="Normal 5 2 4 4 4 3 2" xfId="24916"/>
    <cellStyle name="Normal 7 2 4 4 4 3 2" xfId="24917"/>
    <cellStyle name="Normal 2 4 4 4 4 3 2" xfId="24918"/>
    <cellStyle name="Normal 3 4 4 4 4 3 2" xfId="24919"/>
    <cellStyle name="Normal 4 3 4 4 4 3 2" xfId="24920"/>
    <cellStyle name="Normal 5 3 4 4 4 3 2" xfId="24921"/>
    <cellStyle name="Normal 7 3 4 4 4 3 2" xfId="24922"/>
    <cellStyle name="Normal 2 5 2 4 4 3 2" xfId="24923"/>
    <cellStyle name="Normal 3 5 2 4 4 3 2" xfId="24924"/>
    <cellStyle name="Normal 4 4 2 4 4 3 2" xfId="24925"/>
    <cellStyle name="Normal 5 4 2 4 4 3 2" xfId="24926"/>
    <cellStyle name="Normal 7 4 2 4 4 3 2" xfId="24927"/>
    <cellStyle name="Normal 2 3 2 2 4 4 3 2" xfId="24928"/>
    <cellStyle name="Normal 3 3 2 2 4 4 3 2" xfId="24929"/>
    <cellStyle name="Normal 4 2 2 2 4 4 3 2" xfId="24930"/>
    <cellStyle name="Normal 5 2 2 2 4 4 3 2" xfId="24931"/>
    <cellStyle name="Normal 7 2 2 2 4 4 3 2" xfId="24932"/>
    <cellStyle name="Normal 2 4 2 2 4 4 3 2" xfId="24933"/>
    <cellStyle name="Normal 3 4 2 2 4 4 3 2" xfId="24934"/>
    <cellStyle name="Normal 4 3 2 2 4 4 3 2" xfId="24935"/>
    <cellStyle name="Normal 5 3 2 2 4 4 3 2" xfId="24936"/>
    <cellStyle name="Normal 7 3 2 2 4 4 3 2" xfId="24937"/>
    <cellStyle name="Normal 2 6 2 4 4 3 2" xfId="24938"/>
    <cellStyle name="Normal 3 6 2 4 4 3 2" xfId="24939"/>
    <cellStyle name="Normal 4 5 2 4 4 3 2" xfId="24940"/>
    <cellStyle name="Normal 5 5 2 4 4 3 2" xfId="24941"/>
    <cellStyle name="Normal 7 5 2 4 4 3 2" xfId="24942"/>
    <cellStyle name="Normal 2 3 3 2 4 4 3 2" xfId="24943"/>
    <cellStyle name="Normal 3 3 3 2 4 4 3 2" xfId="24944"/>
    <cellStyle name="Normal 4 2 3 2 4 4 3 2" xfId="24945"/>
    <cellStyle name="Normal 5 2 3 2 4 4 3 2" xfId="24946"/>
    <cellStyle name="Normal 7 2 3 2 4 4 3 2" xfId="24947"/>
    <cellStyle name="Normal 2 4 3 2 4 4 3 2" xfId="24948"/>
    <cellStyle name="Normal 3 4 3 2 4 4 3 2" xfId="24949"/>
    <cellStyle name="Normal 4 3 3 2 4 4 3 2" xfId="24950"/>
    <cellStyle name="Normal 5 3 3 2 4 4 3 2" xfId="24951"/>
    <cellStyle name="Normal 7 3 3 2 4 4 3 2" xfId="24952"/>
    <cellStyle name="Normal 2 8 3 4 3 2" xfId="24953"/>
    <cellStyle name="Normal 3 8 3 4 3 2" xfId="24954"/>
    <cellStyle name="Normal 4 7 3 4 3 2" xfId="24955"/>
    <cellStyle name="Normal 5 7 3 4 3 2" xfId="24956"/>
    <cellStyle name="Normal 7 7 3 4 3 2" xfId="24957"/>
    <cellStyle name="Normal 2 3 5 3 4 3 2" xfId="24958"/>
    <cellStyle name="Normal 3 3 5 3 4 3 2" xfId="24959"/>
    <cellStyle name="Normal 4 2 5 3 4 3 2" xfId="24960"/>
    <cellStyle name="Normal 5 2 5 3 4 3 2" xfId="24961"/>
    <cellStyle name="Normal 7 2 5 3 4 3 2" xfId="24962"/>
    <cellStyle name="Normal 3 4 5 3 4 3 2" xfId="24963"/>
    <cellStyle name="Normal 4 3 5 3 4 3 2" xfId="24964"/>
    <cellStyle name="Normal 5 3 5 3 4 3 2" xfId="24965"/>
    <cellStyle name="Normal 7 3 5 3 4 3 2" xfId="24966"/>
    <cellStyle name="Normal 2 5 3 3 4 3 2" xfId="24967"/>
    <cellStyle name="Normal 3 5 3 3 4 3 2" xfId="24968"/>
    <cellStyle name="Normal 4 4 3 3 4 3 2" xfId="24969"/>
    <cellStyle name="Normal 5 4 3 3 4 3 2" xfId="24970"/>
    <cellStyle name="Normal 7 4 3 3 4 3 2" xfId="24971"/>
    <cellStyle name="Normal 2 3 2 3 3 4 3 2" xfId="24972"/>
    <cellStyle name="Normal 3 3 2 3 3 4 3 2" xfId="24973"/>
    <cellStyle name="Normal 4 2 2 3 3 4 3 2" xfId="24974"/>
    <cellStyle name="Normal 5 2 2 3 3 4 3 2" xfId="24975"/>
    <cellStyle name="Normal 7 2 2 3 3 4 3 2" xfId="24976"/>
    <cellStyle name="Normal 2 4 2 3 3 4 3 2" xfId="24977"/>
    <cellStyle name="Normal 3 4 2 3 3 4 3 2" xfId="24978"/>
    <cellStyle name="Normal 4 3 2 3 3 4 3 2" xfId="24979"/>
    <cellStyle name="Normal 5 3 2 3 3 4 3 2" xfId="24980"/>
    <cellStyle name="Normal 7 3 2 3 3 4 3 2" xfId="24981"/>
    <cellStyle name="Normal 2 6 3 3 4 3 2" xfId="24982"/>
    <cellStyle name="Normal 3 6 3 3 4 3 2" xfId="24983"/>
    <cellStyle name="Normal 4 5 3 3 4 3 2" xfId="24984"/>
    <cellStyle name="Normal 5 5 3 3 4 3 2" xfId="24985"/>
    <cellStyle name="Normal 7 5 3 3 4 3 2" xfId="24986"/>
    <cellStyle name="Normal 2 3 3 3 3 4 3 2" xfId="24987"/>
    <cellStyle name="Normal 3 3 3 3 3 4 3 2" xfId="24988"/>
    <cellStyle name="Normal 4 2 3 3 3 4 3 2" xfId="24989"/>
    <cellStyle name="Normal 5 2 3 3 3 4 3 2" xfId="24990"/>
    <cellStyle name="Normal 7 2 3 3 3 4 3 2" xfId="24991"/>
    <cellStyle name="Normal 2 4 3 3 3 4 3 2" xfId="24992"/>
    <cellStyle name="Normal 3 4 3 3 3 4 3 2" xfId="24993"/>
    <cellStyle name="Normal 4 3 3 3 3 4 3 2" xfId="24994"/>
    <cellStyle name="Normal 5 3 3 3 3 4 3 2" xfId="24995"/>
    <cellStyle name="Normal 7 3 3 3 3 4 3 2" xfId="24996"/>
    <cellStyle name="Normal 2 7 2 3 4 3 2" xfId="24997"/>
    <cellStyle name="Normal 3 7 2 3 4 3 2" xfId="24998"/>
    <cellStyle name="Normal 4 6 2 3 4 3 2" xfId="24999"/>
    <cellStyle name="Normal 5 6 2 3 4 3 2" xfId="25000"/>
    <cellStyle name="Normal 7 6 2 3 4 3 2" xfId="25001"/>
    <cellStyle name="Normal 2 3 4 2 3 4 3 2" xfId="25002"/>
    <cellStyle name="Normal 3 3 4 2 3 4 3 2" xfId="25003"/>
    <cellStyle name="Normal 4 2 4 2 3 4 3 2" xfId="25004"/>
    <cellStyle name="Normal 5 2 4 2 3 4 3 2" xfId="25005"/>
    <cellStyle name="Normal 7 2 4 2 3 4 3 2" xfId="25006"/>
    <cellStyle name="Normal 2 4 4 2 3 4 3 2" xfId="25007"/>
    <cellStyle name="Normal 3 4 4 2 3 4 3 2" xfId="25008"/>
    <cellStyle name="Normal 4 3 4 2 3 4 3 2" xfId="25009"/>
    <cellStyle name="Normal 5 3 4 2 3 4 3 2" xfId="25010"/>
    <cellStyle name="Normal 7 3 4 2 3 4 3 2" xfId="25011"/>
    <cellStyle name="Normal 2 5 2 2 3 4 3 2" xfId="25012"/>
    <cellStyle name="Normal 3 5 2 2 3 4 3 2" xfId="25013"/>
    <cellStyle name="Normal 4 4 2 2 3 4 3 2" xfId="25014"/>
    <cellStyle name="Normal 5 4 2 2 3 4 3 2" xfId="25015"/>
    <cellStyle name="Normal 7 4 2 2 3 4 3 2" xfId="25016"/>
    <cellStyle name="Normal 2 3 2 2 2 3 4 3 2" xfId="25017"/>
    <cellStyle name="Normal 3 3 2 2 2 3 4 3 2" xfId="25018"/>
    <cellStyle name="Normal 4 2 2 2 2 3 4 3 2" xfId="25019"/>
    <cellStyle name="Normal 5 2 2 2 2 3 4 3 2" xfId="25020"/>
    <cellStyle name="Normal 7 2 2 2 2 3 4 3 2" xfId="25021"/>
    <cellStyle name="Normal 2 4 2 2 2 3 4 3 2" xfId="25022"/>
    <cellStyle name="Normal 3 4 2 2 2 3 4 3 2" xfId="25023"/>
    <cellStyle name="Normal 4 3 2 2 2 3 4 3 2" xfId="25024"/>
    <cellStyle name="Normal 5 3 2 2 2 3 4 3 2" xfId="25025"/>
    <cellStyle name="Normal 7 3 2 2 2 3 4 3 2" xfId="25026"/>
    <cellStyle name="Normal 2 6 2 2 3 4 3 2" xfId="25027"/>
    <cellStyle name="Normal 3 6 2 2 3 4 3 2" xfId="25028"/>
    <cellStyle name="Normal 4 5 2 2 3 4 3 2" xfId="25029"/>
    <cellStyle name="Normal 5 5 2 2 3 4 3 2" xfId="25030"/>
    <cellStyle name="Normal 7 5 2 2 3 4 3 2" xfId="25031"/>
    <cellStyle name="Normal 2 3 3 2 2 3 4 3 2" xfId="25032"/>
    <cellStyle name="Normal 3 3 3 2 2 3 4 3 2" xfId="25033"/>
    <cellStyle name="Normal 4 2 3 2 2 3 4 3 2" xfId="25034"/>
    <cellStyle name="Normal 5 2 3 2 2 3 4 3 2" xfId="25035"/>
    <cellStyle name="Normal 7 2 3 2 2 3 4 3 2" xfId="25036"/>
    <cellStyle name="Normal 2 4 3 2 2 3 4 3 2" xfId="25037"/>
    <cellStyle name="Normal 3 4 3 2 2 3 4 3 2" xfId="25038"/>
    <cellStyle name="Normal 4 3 3 2 2 3 4 3 2" xfId="25039"/>
    <cellStyle name="Normal 5 3 3 2 2 3 4 3 2" xfId="25040"/>
    <cellStyle name="Normal 7 3 3 2 2 3 4 3 2" xfId="25041"/>
    <cellStyle name="Normal 2 11 2 3 2" xfId="25042"/>
    <cellStyle name="Normal 3 11 2 3 2" xfId="25043"/>
    <cellStyle name="Normal 4 10 2 3 2" xfId="25044"/>
    <cellStyle name="Normal 5 10 2 3 2" xfId="25045"/>
    <cellStyle name="Normal 7 10 2 3 2" xfId="25046"/>
    <cellStyle name="Normal 2 3 8 2 3 2" xfId="25047"/>
    <cellStyle name="Normal 3 3 8 2 3 2" xfId="25048"/>
    <cellStyle name="Normal 4 2 8 2 3 2" xfId="25049"/>
    <cellStyle name="Normal 5 2 8 2 3 2" xfId="25050"/>
    <cellStyle name="Normal 7 2 8 2 3 2" xfId="25051"/>
    <cellStyle name="Normal 2 4 8 2 3 2" xfId="25052"/>
    <cellStyle name="Normal 3 4 8 2 3 2" xfId="25053"/>
    <cellStyle name="Normal 4 3 8 2 3 2" xfId="25054"/>
    <cellStyle name="Normal 5 3 8 2 3 2" xfId="25055"/>
    <cellStyle name="Normal 7 3 8 2 3 2" xfId="25056"/>
    <cellStyle name="Normal 2 5 6 2 3 2" xfId="25057"/>
    <cellStyle name="Normal 3 5 6 2 3 2" xfId="25058"/>
    <cellStyle name="Normal 4 4 6 2 3 2" xfId="25059"/>
    <cellStyle name="Normal 5 4 6 2 3 2" xfId="25060"/>
    <cellStyle name="Normal 7 4 6 2 3 2" xfId="25061"/>
    <cellStyle name="Normal 2 3 2 6 2 3 2" xfId="25062"/>
    <cellStyle name="Normal 3 3 2 6 2 3 2" xfId="25063"/>
    <cellStyle name="Normal 4 2 2 6 2 3 2" xfId="25064"/>
    <cellStyle name="Normal 5 2 2 6 2 3 2" xfId="25065"/>
    <cellStyle name="Normal 7 2 2 6 2 3 2" xfId="25066"/>
    <cellStyle name="Normal 2 4 2 6 2 3 2" xfId="25067"/>
    <cellStyle name="Normal 3 4 2 6 2 3 2" xfId="25068"/>
    <cellStyle name="Normal 4 3 2 6 2 3 2" xfId="25069"/>
    <cellStyle name="Normal 5 3 2 6 2 3 2" xfId="25070"/>
    <cellStyle name="Normal 7 3 2 6 2 3 2" xfId="25071"/>
    <cellStyle name="Normal 2 6 6 2 3 2" xfId="25072"/>
    <cellStyle name="Normal 3 6 6 2 3 2" xfId="25073"/>
    <cellStyle name="Normal 4 5 6 2 3 2" xfId="25074"/>
    <cellStyle name="Normal 5 5 6 2 3 2" xfId="25075"/>
    <cellStyle name="Normal 7 5 6 2 3 2" xfId="25076"/>
    <cellStyle name="Normal 2 3 3 6 2 3 2" xfId="25077"/>
    <cellStyle name="Normal 3 3 3 6 2 3 2" xfId="25078"/>
    <cellStyle name="Normal 4 2 3 6 2 3 2" xfId="25079"/>
    <cellStyle name="Normal 5 2 3 6 2 3 2" xfId="25080"/>
    <cellStyle name="Normal 7 2 3 6 2 3 2" xfId="25081"/>
    <cellStyle name="Normal 2 4 3 6 2 3 2" xfId="25082"/>
    <cellStyle name="Normal 3 4 3 6 2 3 2" xfId="25083"/>
    <cellStyle name="Normal 4 3 3 6 2 3 2" xfId="25084"/>
    <cellStyle name="Normal 5 3 3 6 2 3 2" xfId="25085"/>
    <cellStyle name="Normal 7 3 3 6 2 3 2" xfId="25086"/>
    <cellStyle name="Normal 2 7 5 2 3 2" xfId="25087"/>
    <cellStyle name="Normal 3 7 5 2 3 2" xfId="25088"/>
    <cellStyle name="Normal 4 6 5 2 3 2" xfId="25089"/>
    <cellStyle name="Normal 5 6 5 2 3 2" xfId="25090"/>
    <cellStyle name="Normal 7 6 5 2 3 2" xfId="25091"/>
    <cellStyle name="Normal 2 3 4 5 2 3 2" xfId="25092"/>
    <cellStyle name="Normal 3 3 4 5 2 3 2" xfId="25093"/>
    <cellStyle name="Normal 4 2 4 5 2 3 2" xfId="25094"/>
    <cellStyle name="Normal 5 2 4 5 2 3 2" xfId="25095"/>
    <cellStyle name="Normal 7 2 4 5 2 3 2" xfId="25096"/>
    <cellStyle name="Normal 2 4 4 5 2 3 2" xfId="25097"/>
    <cellStyle name="Normal 3 4 4 5 2 3 2" xfId="25098"/>
    <cellStyle name="Normal 4 3 4 5 2 3 2" xfId="25099"/>
    <cellStyle name="Normal 5 3 4 5 2 3 2" xfId="25100"/>
    <cellStyle name="Normal 7 3 4 5 2 3 2" xfId="25101"/>
    <cellStyle name="Normal 2 5 2 5 2 3 2" xfId="25102"/>
    <cellStyle name="Normal 3 5 2 5 2 3 2" xfId="25103"/>
    <cellStyle name="Normal 4 4 2 5 2 3 2" xfId="25104"/>
    <cellStyle name="Normal 5 4 2 5 2 3 2" xfId="25105"/>
    <cellStyle name="Normal 7 4 2 5 2 3 2" xfId="25106"/>
    <cellStyle name="Normal 2 3 2 2 5 2 3 2" xfId="25107"/>
    <cellStyle name="Normal 3 3 2 2 5 2 3 2" xfId="25108"/>
    <cellStyle name="Normal 4 2 2 2 5 2 3 2" xfId="25109"/>
    <cellStyle name="Normal 5 2 2 2 5 2 3 2" xfId="25110"/>
    <cellStyle name="Normal 7 2 2 2 5 2 3 2" xfId="25111"/>
    <cellStyle name="Normal 2 4 2 2 5 2 3 2" xfId="25112"/>
    <cellStyle name="Normal 3 4 2 2 5 2 3 2" xfId="25113"/>
    <cellStyle name="Normal 4 3 2 2 5 2 3 2" xfId="25114"/>
    <cellStyle name="Normal 5 3 2 2 5 2 3 2" xfId="25115"/>
    <cellStyle name="Normal 7 3 2 2 5 2 3 2" xfId="25116"/>
    <cellStyle name="Normal 2 6 2 5 2 3 2" xfId="25117"/>
    <cellStyle name="Normal 3 6 2 5 2 3 2" xfId="25118"/>
    <cellStyle name="Normal 4 5 2 5 2 3 2" xfId="25119"/>
    <cellStyle name="Normal 5 5 2 5 2 3 2" xfId="25120"/>
    <cellStyle name="Normal 7 5 2 5 2 3 2" xfId="25121"/>
    <cellStyle name="Normal 2 3 3 2 5 2 3 2" xfId="25122"/>
    <cellStyle name="Normal 3 3 3 2 5 2 3 2" xfId="25123"/>
    <cellStyle name="Normal 4 2 3 2 5 2 3 2" xfId="25124"/>
    <cellStyle name="Normal 5 2 3 2 5 2 3 2" xfId="25125"/>
    <cellStyle name="Normal 7 2 3 2 5 2 3 2" xfId="25126"/>
    <cellStyle name="Normal 2 4 3 2 5 2 3 2" xfId="25127"/>
    <cellStyle name="Normal 3 4 3 2 5 2 3 2" xfId="25128"/>
    <cellStyle name="Normal 4 3 3 2 5 2 3 2" xfId="25129"/>
    <cellStyle name="Normal 5 3 3 2 5 2 3 2" xfId="25130"/>
    <cellStyle name="Normal 7 3 3 2 5 2 3 2" xfId="25131"/>
    <cellStyle name="Normal 2 8 4 2 3 2" xfId="25132"/>
    <cellStyle name="Normal 3 8 4 2 3 2" xfId="25133"/>
    <cellStyle name="Normal 4 7 4 2 3 2" xfId="25134"/>
    <cellStyle name="Normal 5 7 4 2 3 2" xfId="25135"/>
    <cellStyle name="Normal 7 7 4 2 3 2" xfId="25136"/>
    <cellStyle name="Normal 2 3 5 4 2 3 2" xfId="25137"/>
    <cellStyle name="Normal 3 3 5 4 2 3 2" xfId="25138"/>
    <cellStyle name="Normal 4 2 5 4 2 3 2" xfId="25139"/>
    <cellStyle name="Normal 5 2 5 4 2 3 2" xfId="25140"/>
    <cellStyle name="Normal 7 2 5 4 2 3 2" xfId="25141"/>
    <cellStyle name="Normal 2 4 5 4 2 3 2" xfId="25142"/>
    <cellStyle name="Normal 3 4 5 4 2 3 2" xfId="25143"/>
    <cellStyle name="Normal 4 3 5 4 2 3 2" xfId="25144"/>
    <cellStyle name="Normal 5 3 5 4 2 3 2" xfId="25145"/>
    <cellStyle name="Normal 7 3 5 4 2 3 2" xfId="25146"/>
    <cellStyle name="Normal 2 5 3 4 2 3 2" xfId="25147"/>
    <cellStyle name="Normal 3 5 3 4 2 3 2" xfId="25148"/>
    <cellStyle name="Normal 4 4 3 4 2 3 2" xfId="25149"/>
    <cellStyle name="Normal 5 4 3 4 2 3 2" xfId="25150"/>
    <cellStyle name="Normal 7 4 3 4 2 3 2" xfId="25151"/>
    <cellStyle name="Normal 2 3 2 3 4 2 3 2" xfId="25152"/>
    <cellStyle name="Normal 3 3 2 3 4 2 3 2" xfId="25153"/>
    <cellStyle name="Normal 4 2 2 3 4 2 3 2" xfId="25154"/>
    <cellStyle name="Normal 5 2 2 3 4 2 3 2" xfId="25155"/>
    <cellStyle name="Normal 7 2 2 3 4 2 3 2" xfId="25156"/>
    <cellStyle name="Normal 2 4 2 3 4 2 3 2" xfId="25157"/>
    <cellStyle name="Normal 3 4 2 3 4 2 3 2" xfId="25158"/>
    <cellStyle name="Normal 4 3 2 3 4 2 3 2" xfId="25159"/>
    <cellStyle name="Normal 5 3 2 3 4 2 3 2" xfId="25160"/>
    <cellStyle name="Normal 7 3 2 3 4 2 3 2" xfId="25161"/>
    <cellStyle name="Normal 2 6 3 4 2 3 2" xfId="25162"/>
    <cellStyle name="Normal 3 6 3 4 2 3 2" xfId="25163"/>
    <cellStyle name="Normal 4 5 3 4 2 3 2" xfId="25164"/>
    <cellStyle name="Normal 5 5 3 4 2 3 2" xfId="25165"/>
    <cellStyle name="Normal 7 5 3 4 2 3 2" xfId="25166"/>
    <cellStyle name="Normal 2 3 3 3 4 2 3 2" xfId="25167"/>
    <cellStyle name="Normal 3 3 3 3 4 2 3 2" xfId="25168"/>
    <cellStyle name="Normal 4 2 3 3 4 2 3 2" xfId="25169"/>
    <cellStyle name="Normal 5 2 3 3 4 2 3 2" xfId="25170"/>
    <cellStyle name="Normal 7 2 3 3 4 2 3 2" xfId="25171"/>
    <cellStyle name="Normal 2 4 3 3 4 2 3 2" xfId="25172"/>
    <cellStyle name="Normal 3 4 3 3 4 2 3 2" xfId="25173"/>
    <cellStyle name="Normal 4 3 3 3 4 2 3 2" xfId="25174"/>
    <cellStyle name="Normal 5 3 3 3 4 2 3 2" xfId="25175"/>
    <cellStyle name="Normal 7 3 3 3 4 2 3 2" xfId="25176"/>
    <cellStyle name="Normal 2 7 2 4 2 3 2" xfId="25177"/>
    <cellStyle name="Normal 3 7 2 4 2 3 2" xfId="25178"/>
    <cellStyle name="Normal 4 6 2 4 2 3 2" xfId="25179"/>
    <cellStyle name="Normal 5 6 2 4 2 3 2" xfId="25180"/>
    <cellStyle name="Normal 7 6 2 4 2 3 2" xfId="25181"/>
    <cellStyle name="Normal 2 3 4 2 4 2 3 2" xfId="25182"/>
    <cellStyle name="Normal 3 3 4 2 4 2 3 2" xfId="25183"/>
    <cellStyle name="Normal 4 2 4 2 4 2 3 2" xfId="25184"/>
    <cellStyle name="Normal 5 2 4 2 4 2 3 2" xfId="25185"/>
    <cellStyle name="Normal 7 2 4 2 4 2 3 2" xfId="25186"/>
    <cellStyle name="Normal 2 4 4 2 4 2 3 2" xfId="25187"/>
    <cellStyle name="Normal 3 4 4 2 4 2 3 2" xfId="25188"/>
    <cellStyle name="Normal 4 3 4 2 4 2 3 2" xfId="25189"/>
    <cellStyle name="Normal 5 3 4 2 4 2 3 2" xfId="25190"/>
    <cellStyle name="Normal 7 3 4 2 4 2 3 2" xfId="25191"/>
    <cellStyle name="Normal 2 5 2 2 4 2 3 2" xfId="25192"/>
    <cellStyle name="Normal 3 5 2 2 4 2 3 2" xfId="25193"/>
    <cellStyle name="Normal 4 4 2 2 4 2 3 2" xfId="25194"/>
    <cellStyle name="Normal 5 4 2 2 4 2 3 2" xfId="25195"/>
    <cellStyle name="Normal 7 4 2 2 4 2 3 2" xfId="25196"/>
    <cellStyle name="Normal 2 3 2 2 2 4 2 3 2" xfId="25197"/>
    <cellStyle name="Normal 3 3 2 2 2 4 2 3 2" xfId="25198"/>
    <cellStyle name="Normal 4 2 2 2 2 4 2 3 2" xfId="25199"/>
    <cellStyle name="Normal 5 2 2 2 2 4 2 3 2" xfId="25200"/>
    <cellStyle name="Normal 7 2 2 2 2 4 2 3 2" xfId="25201"/>
    <cellStyle name="Normal 2 4 2 2 2 4 2 3 2" xfId="25202"/>
    <cellStyle name="Normal 3 4 2 2 2 4 2 3 2" xfId="25203"/>
    <cellStyle name="Normal 4 3 2 2 2 4 2 3 2" xfId="25204"/>
    <cellStyle name="Normal 5 3 2 2 2 4 2 3 2" xfId="25205"/>
    <cellStyle name="Normal 7 3 2 2 2 4 2 3 2" xfId="25206"/>
    <cellStyle name="Normal 2 6 2 2 4 2 3 2" xfId="25207"/>
    <cellStyle name="Normal 3 6 2 2 4 2 3 2" xfId="25208"/>
    <cellStyle name="Normal 4 5 2 2 4 2 3 2" xfId="25209"/>
    <cellStyle name="Normal 5 5 2 2 4 2 3 2" xfId="25210"/>
    <cellStyle name="Normal 7 5 2 2 4 2 3 2" xfId="25211"/>
    <cellStyle name="Normal 2 3 3 2 2 4 2 3 2" xfId="25212"/>
    <cellStyle name="Normal 3 3 3 2 2 4 2 3 2" xfId="25213"/>
    <cellStyle name="Normal 4 2 3 2 2 4 2 3 2" xfId="25214"/>
    <cellStyle name="Normal 5 2 3 2 2 4 2 3 2" xfId="25215"/>
    <cellStyle name="Normal 7 2 3 2 2 4 2 3 2" xfId="25216"/>
    <cellStyle name="Normal 2 4 3 2 2 4 2 3 2" xfId="25217"/>
    <cellStyle name="Normal 3 4 3 2 2 4 2 3 2" xfId="25218"/>
    <cellStyle name="Normal 4 3 3 2 2 4 2 3 2" xfId="25219"/>
    <cellStyle name="Normal 5 3 3 2 2 4 2 3 2" xfId="25220"/>
    <cellStyle name="Normal 7 3 3 2 2 4 2 3 2" xfId="25221"/>
    <cellStyle name="Normal 2 9 2 2 3 2" xfId="25222"/>
    <cellStyle name="Normal 3 9 2 2 3 2" xfId="25223"/>
    <cellStyle name="Normal 4 8 2 2 3 2" xfId="25224"/>
    <cellStyle name="Normal 5 8 2 2 3 2" xfId="25225"/>
    <cellStyle name="Normal 7 8 2 2 3 2" xfId="25226"/>
    <cellStyle name="Normal 2 3 6 2 2 3 2" xfId="25227"/>
    <cellStyle name="Normal 3 3 6 2 2 3 2" xfId="25228"/>
    <cellStyle name="Normal 4 2 6 2 2 3 2" xfId="25229"/>
    <cellStyle name="Normal 5 2 6 2 2 3 2" xfId="25230"/>
    <cellStyle name="Normal 7 2 6 2 2 3 2" xfId="25231"/>
    <cellStyle name="Normal 2 4 6 2 2 3 2" xfId="25232"/>
    <cellStyle name="Normal 3 4 6 2 2 3 2" xfId="25233"/>
    <cellStyle name="Normal 4 3 6 2 2 3 2" xfId="25234"/>
    <cellStyle name="Normal 5 3 6 2 2 3 2" xfId="25235"/>
    <cellStyle name="Normal 7 3 6 2 2 3 2" xfId="25236"/>
    <cellStyle name="Normal 2 5 4 2 2 3 2" xfId="25237"/>
    <cellStyle name="Normal 3 5 4 2 2 3 2" xfId="25238"/>
    <cellStyle name="Normal 4 4 4 2 2 3 2" xfId="25239"/>
    <cellStyle name="Normal 5 4 4 2 2 3 2" xfId="25240"/>
    <cellStyle name="Normal 7 4 4 2 2 3 2" xfId="25241"/>
    <cellStyle name="Normal 2 3 2 4 2 2 3 2" xfId="25242"/>
    <cellStyle name="Normal 3 3 2 4 2 2 3 2" xfId="25243"/>
    <cellStyle name="Normal 4 2 2 4 2 2 3 2" xfId="25244"/>
    <cellStyle name="Normal 5 2 2 4 2 2 3 2" xfId="25245"/>
    <cellStyle name="Normal 7 2 2 4 2 2 3 2" xfId="25246"/>
    <cellStyle name="Normal 2 4 2 4 2 2 3 2" xfId="25247"/>
    <cellStyle name="Normal 3 4 2 4 2 2 3 2" xfId="25248"/>
    <cellStyle name="Normal 4 3 2 4 2 2 3 2" xfId="25249"/>
    <cellStyle name="Normal 5 3 2 4 2 2 3 2" xfId="25250"/>
    <cellStyle name="Normal 7 3 2 4 2 2 3 2" xfId="25251"/>
    <cellStyle name="Normal 2 6 4 2 2 3 2" xfId="25252"/>
    <cellStyle name="Normal 3 6 4 2 2 3 2" xfId="25253"/>
    <cellStyle name="Normal 4 5 4 2 2 3 2" xfId="25254"/>
    <cellStyle name="Normal 5 5 4 2 2 3 2" xfId="25255"/>
    <cellStyle name="Normal 7 5 4 2 2 3 2" xfId="25256"/>
    <cellStyle name="Normal 2 3 3 4 2 2 3 2" xfId="25257"/>
    <cellStyle name="Normal 3 3 3 4 2 2 3 2" xfId="25258"/>
    <cellStyle name="Normal 4 2 3 4 2 2 3 2" xfId="25259"/>
    <cellStyle name="Normal 5 2 3 4 2 2 3 2" xfId="25260"/>
    <cellStyle name="Normal 7 2 3 4 2 2 3 2" xfId="25261"/>
    <cellStyle name="Normal 2 4 3 4 2 2 3 2" xfId="25262"/>
    <cellStyle name="Normal 3 4 3 4 2 2 3 2" xfId="25263"/>
    <cellStyle name="Normal 4 3 3 4 2 2 3 2" xfId="25264"/>
    <cellStyle name="Normal 5 3 3 4 2 2 3 2" xfId="25265"/>
    <cellStyle name="Normal 7 3 3 4 2 2 3 2" xfId="25266"/>
    <cellStyle name="Normal 2 7 3 2 2 3 2" xfId="25267"/>
    <cellStyle name="Normal 3 7 3 2 2 3 2" xfId="25268"/>
    <cellStyle name="Normal 4 6 3 2 2 3 2" xfId="25269"/>
    <cellStyle name="Normal 5 6 3 2 2 3 2" xfId="25270"/>
    <cellStyle name="Normal 7 6 3 2 2 3 2" xfId="25271"/>
    <cellStyle name="Normal 2 3 4 3 2 2 3 2" xfId="25272"/>
    <cellStyle name="Normal 3 3 4 3 2 2 3 2" xfId="25273"/>
    <cellStyle name="Normal 4 2 4 3 2 2 3 2" xfId="25274"/>
    <cellStyle name="Normal 5 2 4 3 2 2 3 2" xfId="25275"/>
    <cellStyle name="Normal 7 2 4 3 2 2 3 2" xfId="25276"/>
    <cellStyle name="Normal 2 4 4 3 2 2 3 2" xfId="25277"/>
    <cellStyle name="Normal 3 4 4 3 2 2 3 2" xfId="25278"/>
    <cellStyle name="Normal 4 3 4 3 2 2 3 2" xfId="25279"/>
    <cellStyle name="Normal 5 3 4 3 2 2 3 2" xfId="25280"/>
    <cellStyle name="Normal 7 3 4 3 2 2 3 2" xfId="25281"/>
    <cellStyle name="Normal 2 5 2 3 2 2 3 2" xfId="25282"/>
    <cellStyle name="Normal 3 5 2 3 2 2 3 2" xfId="25283"/>
    <cellStyle name="Normal 4 4 2 3 2 2 3 2" xfId="25284"/>
    <cellStyle name="Normal 5 4 2 3 2 2 3 2" xfId="25285"/>
    <cellStyle name="Normal 7 4 2 3 2 2 3 2" xfId="25286"/>
    <cellStyle name="Normal 2 3 2 2 3 2 2 3 2" xfId="25287"/>
    <cellStyle name="Normal 3 3 2 2 3 2 2 3 2" xfId="25288"/>
    <cellStyle name="Normal 4 2 2 2 3 2 2 3 2" xfId="25289"/>
    <cellStyle name="Normal 5 2 2 2 3 2 2 3 2" xfId="25290"/>
    <cellStyle name="Normal 7 2 2 2 3 2 2 3 2" xfId="25291"/>
    <cellStyle name="Normal 2 4 2 2 3 2 2 3 2" xfId="25292"/>
    <cellStyle name="Normal 3 4 2 2 3 2 2 3 2" xfId="25293"/>
    <cellStyle name="Normal 4 3 2 2 3 2 2 3 2" xfId="25294"/>
    <cellStyle name="Normal 5 3 2 2 3 2 2 3 2" xfId="25295"/>
    <cellStyle name="Normal 7 3 2 2 3 2 2 3 2" xfId="25296"/>
    <cellStyle name="Normal 2 6 2 3 2 2 3 2" xfId="25297"/>
    <cellStyle name="Normal 3 6 2 3 2 2 3 2" xfId="25298"/>
    <cellStyle name="Normal 4 5 2 3 2 2 3 2" xfId="25299"/>
    <cellStyle name="Normal 5 5 2 3 2 2 3 2" xfId="25300"/>
    <cellStyle name="Normal 7 5 2 3 2 2 3 2" xfId="25301"/>
    <cellStyle name="Normal 2 3 3 2 3 2 2 3 2" xfId="25302"/>
    <cellStyle name="Normal 3 3 3 2 3 2 2 3 2" xfId="25303"/>
    <cellStyle name="Normal 4 2 3 2 3 2 2 3 2" xfId="25304"/>
    <cellStyle name="Normal 5 2 3 2 3 2 2 3 2" xfId="25305"/>
    <cellStyle name="Normal 7 2 3 2 3 2 2 3 2" xfId="25306"/>
    <cellStyle name="Normal 2 4 3 2 3 2 2 3 2" xfId="25307"/>
    <cellStyle name="Normal 3 4 3 2 3 2 2 3 2" xfId="25308"/>
    <cellStyle name="Normal 4 3 3 2 3 2 2 3 2" xfId="25309"/>
    <cellStyle name="Normal 5 3 3 2 3 2 2 3 2" xfId="25310"/>
    <cellStyle name="Normal 7 3 3 2 3 2 2 3 2" xfId="25311"/>
    <cellStyle name="Normal 2 8 2 2 2 3 2" xfId="25312"/>
    <cellStyle name="Normal 3 8 2 2 2 3 2" xfId="25313"/>
    <cellStyle name="Normal 4 7 2 2 2 3 2" xfId="25314"/>
    <cellStyle name="Normal 5 7 2 2 2 3 2" xfId="25315"/>
    <cellStyle name="Normal 7 7 2 2 2 3 2" xfId="25316"/>
    <cellStyle name="Normal 2 3 5 2 2 2 3 2" xfId="25317"/>
    <cellStyle name="Normal 3 3 5 2 2 2 3 2" xfId="25318"/>
    <cellStyle name="Normal 4 2 5 2 2 2 3 2" xfId="25319"/>
    <cellStyle name="Normal 5 2 5 2 2 2 3 2" xfId="25320"/>
    <cellStyle name="Normal 7 2 5 2 2 2 3 2" xfId="25321"/>
    <cellStyle name="Normal 2 4 5 2 2 2 3 2" xfId="25322"/>
    <cellStyle name="Normal 3 4 5 2 2 2 3 2" xfId="25323"/>
    <cellStyle name="Normal 4 3 5 2 2 2 3 2" xfId="25324"/>
    <cellStyle name="Normal 5 3 5 2 2 2 3 2" xfId="25325"/>
    <cellStyle name="Normal 7 3 5 2 2 2 3 2" xfId="25326"/>
    <cellStyle name="Normal 2 5 3 2 2 2 3 2" xfId="25327"/>
    <cellStyle name="Normal 3 5 3 2 2 2 3 2" xfId="25328"/>
    <cellStyle name="Normal 4 4 3 2 2 2 3 2" xfId="25329"/>
    <cellStyle name="Normal 5 4 3 2 2 2 3 2" xfId="25330"/>
    <cellStyle name="Normal 7 4 3 2 2 2 3 2" xfId="25331"/>
    <cellStyle name="Normal 2 3 2 3 2 2 2 3 2" xfId="25332"/>
    <cellStyle name="Normal 3 3 2 3 2 2 2 3 2" xfId="25333"/>
    <cellStyle name="Normal 4 2 2 3 2 2 2 3 2" xfId="25334"/>
    <cellStyle name="Normal 5 2 2 3 2 2 2 3 2" xfId="25335"/>
    <cellStyle name="Normal 7 2 2 3 2 2 2 3 2" xfId="25336"/>
    <cellStyle name="Normal 2 4 2 3 2 2 2 3 2" xfId="25337"/>
    <cellStyle name="Normal 3 4 2 3 2 2 2 3 2" xfId="25338"/>
    <cellStyle name="Normal 4 3 2 3 2 2 2 3 2" xfId="25339"/>
    <cellStyle name="Normal 5 3 2 3 2 2 2 3 2" xfId="25340"/>
    <cellStyle name="Normal 7 3 2 3 2 2 2 3 2" xfId="25341"/>
    <cellStyle name="Normal 2 6 3 2 2 2 3 2" xfId="25342"/>
    <cellStyle name="Normal 3 6 3 2 2 2 3 2" xfId="25343"/>
    <cellStyle name="Normal 4 5 3 2 2 2 3 2" xfId="25344"/>
    <cellStyle name="Normal 5 5 3 2 2 2 3 2" xfId="25345"/>
    <cellStyle name="Normal 7 5 3 2 2 2 3 2" xfId="25346"/>
    <cellStyle name="Normal 2 3 3 3 2 2 2 3 2" xfId="25347"/>
    <cellStyle name="Normal 3 3 3 3 2 2 2 3 2" xfId="25348"/>
    <cellStyle name="Normal 4 2 3 3 2 2 2 3 2" xfId="25349"/>
    <cellStyle name="Normal 5 2 3 3 2 2 2 3 2" xfId="25350"/>
    <cellStyle name="Normal 7 2 3 3 2 2 2 3 2" xfId="25351"/>
    <cellStyle name="Normal 2 4 3 3 2 2 2 3 2" xfId="25352"/>
    <cellStyle name="Normal 3 4 3 3 2 2 2 3 2" xfId="25353"/>
    <cellStyle name="Normal 4 3 3 3 2 2 2 3 2" xfId="25354"/>
    <cellStyle name="Normal 5 3 3 3 2 2 2 3 2" xfId="25355"/>
    <cellStyle name="Normal 7 3 3 3 2 2 2 3 2" xfId="25356"/>
    <cellStyle name="Normal 2 7 2 2 2 2 3 2" xfId="25357"/>
    <cellStyle name="Normal 3 7 2 2 2 2 3 2" xfId="25358"/>
    <cellStyle name="Normal 4 6 2 2 2 2 3 2" xfId="25359"/>
    <cellStyle name="Normal 5 6 2 2 2 2 3 2" xfId="25360"/>
    <cellStyle name="Normal 7 6 2 2 2 2 3 2" xfId="25361"/>
    <cellStyle name="Normal 2 3 4 2 2 2 2 3 2" xfId="25362"/>
    <cellStyle name="Normal 3 3 4 2 2 2 2 3 2" xfId="25363"/>
    <cellStyle name="Normal 4 2 4 2 2 2 2 3 2" xfId="25364"/>
    <cellStyle name="Normal 5 2 4 2 2 2 2 3 2" xfId="25365"/>
    <cellStyle name="Normal 7 2 4 2 2 2 2 3 2" xfId="25366"/>
    <cellStyle name="Normal 2 4 4 2 2 2 2 3 2" xfId="25367"/>
    <cellStyle name="Normal 3 4 4 2 2 2 2 3 2" xfId="25368"/>
    <cellStyle name="Normal 4 3 4 2 2 2 2 3 2" xfId="25369"/>
    <cellStyle name="Normal 5 3 4 2 2 2 2 3 2" xfId="25370"/>
    <cellStyle name="Normal 7 3 4 2 2 2 2 3 2" xfId="25371"/>
    <cellStyle name="Normal 2 5 2 2 2 2 2 3 2" xfId="25372"/>
    <cellStyle name="Normal 3 5 2 2 2 2 2 3 2" xfId="25373"/>
    <cellStyle name="Normal 4 4 2 2 2 2 2 3 2" xfId="25374"/>
    <cellStyle name="Normal 5 4 2 2 2 2 2 3 2" xfId="25375"/>
    <cellStyle name="Normal 7 4 2 2 2 2 2 3 2" xfId="25376"/>
    <cellStyle name="Normal 2 3 2 2 2 2 2 2 3 2" xfId="25377"/>
    <cellStyle name="Normal 3 3 2 2 2 2 2 2 3 2" xfId="25378"/>
    <cellStyle name="Normal 4 2 2 2 2 2 2 2 3 2" xfId="25379"/>
    <cellStyle name="Normal 5 2 2 2 2 2 2 2 3 2" xfId="25380"/>
    <cellStyle name="Normal 7 2 2 2 2 2 2 2 3 2" xfId="25381"/>
    <cellStyle name="Normal 2 4 2 2 2 2 2 2 3 2" xfId="25382"/>
    <cellStyle name="Normal 3 4 2 2 2 2 2 2 3 2" xfId="25383"/>
    <cellStyle name="Normal 4 3 2 2 2 2 2 2 3 2" xfId="25384"/>
    <cellStyle name="Normal 5 3 2 2 2 2 2 2 3 2" xfId="25385"/>
    <cellStyle name="Normal 7 3 2 2 2 2 2 2 3 2" xfId="25386"/>
    <cellStyle name="Normal 2 6 2 2 2 2 2 3 2" xfId="25387"/>
    <cellStyle name="Normal 3 6 2 2 2 2 2 3 2" xfId="25388"/>
    <cellStyle name="Normal 4 5 2 2 2 2 2 3 2" xfId="25389"/>
    <cellStyle name="Normal 5 5 2 2 2 2 2 3 2" xfId="25390"/>
    <cellStyle name="Normal 7 5 2 2 2 2 2 3 2" xfId="25391"/>
    <cellStyle name="Normal 2 3 3 2 2 2 2 2 3 2" xfId="25392"/>
    <cellStyle name="Normal 3 3 3 2 2 2 2 2 3 2" xfId="25393"/>
    <cellStyle name="Normal 4 2 3 2 2 2 2 2 3 2" xfId="25394"/>
    <cellStyle name="Normal 5 2 3 2 2 2 2 2 3 2" xfId="25395"/>
    <cellStyle name="Normal 7 2 3 2 2 2 2 2 3 2" xfId="25396"/>
    <cellStyle name="Normal 2 4 3 2 2 2 2 2 3 2" xfId="25397"/>
    <cellStyle name="Normal 3 4 3 2 2 2 2 2 3 2" xfId="25398"/>
    <cellStyle name="Normal 4 3 3 2 2 2 2 2 3 2" xfId="25399"/>
    <cellStyle name="Normal 5 3 3 2 2 2 2 2 3 2" xfId="25400"/>
    <cellStyle name="Normal 7 3 3 2 2 2 2 2 3 2" xfId="25401"/>
    <cellStyle name="Normal 28 2 2 3 2" xfId="25402"/>
    <cellStyle name="Normal 2 3 7 2 2 3 2" xfId="25403"/>
    <cellStyle name="Normal 3 10 2 2 3 2" xfId="25404"/>
    <cellStyle name="Normal 4 9 2 2 3 2" xfId="25405"/>
    <cellStyle name="Normal 5 9 2 2 3 2" xfId="25406"/>
    <cellStyle name="Millares 4 2 2 3 2" xfId="25407"/>
    <cellStyle name="Normal 7 2 7 2 2 3 2" xfId="25408"/>
    <cellStyle name="Normal 3 3 7 2 2 3 2" xfId="25409"/>
    <cellStyle name="Normal 4 2 7 2 2 3 2" xfId="25410"/>
    <cellStyle name="Normal 5 2 7 2 2 3 2" xfId="25411"/>
    <cellStyle name="Normal 2 4 5 3 2 2 3 2" xfId="25412"/>
    <cellStyle name="Normal 3 4 7 2 2 3 2" xfId="25413"/>
    <cellStyle name="Normal 4 3 7 2 2 3 2" xfId="25414"/>
    <cellStyle name="Normal 5 3 7 2 2 3 2" xfId="25415"/>
    <cellStyle name="Normal 7 3 7 2 2 3 2" xfId="25416"/>
    <cellStyle name="Normal 2 5 5 2 2 3 2" xfId="25417"/>
    <cellStyle name="Normal 3 5 5 2 2 3 2" xfId="25418"/>
    <cellStyle name="Normal 4 4 5 2 2 3 2" xfId="25419"/>
    <cellStyle name="Normal 5 4 5 2 2 3 2" xfId="25420"/>
    <cellStyle name="Normal 7 4 5 2 2 3 2" xfId="25421"/>
    <cellStyle name="Normal 2 3 2 5 2 2 3 2" xfId="25422"/>
    <cellStyle name="Normal 3 3 2 5 2 2 3 2" xfId="25423"/>
    <cellStyle name="Normal 4 2 2 5 2 2 3 2" xfId="25424"/>
    <cellStyle name="Normal 5 2 2 5 2 2 3 2" xfId="25425"/>
    <cellStyle name="Normal 7 2 2 5 2 2 3 2" xfId="25426"/>
    <cellStyle name="Normal 2 4 2 5 2 2 3 2" xfId="25427"/>
    <cellStyle name="Normal 3 4 2 5 2 2 3 2" xfId="25428"/>
    <cellStyle name="Normal 4 3 2 5 2 2 3 2" xfId="25429"/>
    <cellStyle name="Normal 5 3 2 5 2 2 3 2" xfId="25430"/>
    <cellStyle name="Normal 7 3 2 5 2 2 3 2" xfId="25431"/>
    <cellStyle name="Normal 2 6 5 2 2 3 2" xfId="25432"/>
    <cellStyle name="Normal 3 6 5 2 2 3 2" xfId="25433"/>
    <cellStyle name="Normal 4 5 5 2 2 3 2" xfId="25434"/>
    <cellStyle name="Normal 5 5 5 2 2 3 2" xfId="25435"/>
    <cellStyle name="Normal 7 5 5 2 2 3 2" xfId="25436"/>
    <cellStyle name="Normal 2 3 3 5 2 2 3 2" xfId="25437"/>
    <cellStyle name="Normal 3 3 3 5 2 2 3 2" xfId="25438"/>
    <cellStyle name="Normal 4 2 3 5 2 2 3 2" xfId="25439"/>
    <cellStyle name="Normal 5 2 3 5 2 2 3 2" xfId="25440"/>
    <cellStyle name="Normal 7 2 3 5 2 2 3 2" xfId="25441"/>
    <cellStyle name="Normal 2 4 3 5 2 2 3 2" xfId="25442"/>
    <cellStyle name="Normal 3 4 3 5 2 2 3 2" xfId="25443"/>
    <cellStyle name="Normal 4 3 3 5 2 2 3 2" xfId="25444"/>
    <cellStyle name="Normal 5 3 3 5 2 2 3 2" xfId="25445"/>
    <cellStyle name="Normal 7 3 3 5 2 2 3 2" xfId="25446"/>
    <cellStyle name="Normal 2 7 4 2 2 3 2" xfId="25447"/>
    <cellStyle name="Normal 3 7 4 2 2 3 2" xfId="25448"/>
    <cellStyle name="Normal 4 6 4 2 2 3 2" xfId="25449"/>
    <cellStyle name="Normal 5 6 4 2 2 3 2" xfId="25450"/>
    <cellStyle name="Normal 7 6 4 2 2 3 2" xfId="25451"/>
    <cellStyle name="Normal 2 3 4 4 2 2 3 2" xfId="25452"/>
    <cellStyle name="Normal 3 3 4 4 2 2 3 2" xfId="25453"/>
    <cellStyle name="Normal 4 2 4 4 2 2 3 2" xfId="25454"/>
    <cellStyle name="Normal 5 2 4 4 2 2 3 2" xfId="25455"/>
    <cellStyle name="Normal 7 2 4 4 2 2 3 2" xfId="25456"/>
    <cellStyle name="Normal 2 4 4 4 2 2 3 2" xfId="25457"/>
    <cellStyle name="Normal 3 4 4 4 2 2 3 2" xfId="25458"/>
    <cellStyle name="Normal 4 3 4 4 2 2 3 2" xfId="25459"/>
    <cellStyle name="Normal 5 3 4 4 2 2 3 2" xfId="25460"/>
    <cellStyle name="Normal 7 3 4 4 2 2 3 2" xfId="25461"/>
    <cellStyle name="Normal 2 5 2 4 2 2 3 2" xfId="25462"/>
    <cellStyle name="Normal 3 5 2 4 2 2 3 2" xfId="25463"/>
    <cellStyle name="Normal 4 4 2 4 2 2 3 2" xfId="25464"/>
    <cellStyle name="Normal 5 4 2 4 2 2 3 2" xfId="25465"/>
    <cellStyle name="Normal 7 4 2 4 2 2 3 2" xfId="25466"/>
    <cellStyle name="Normal 2 3 2 2 4 2 2 3 2" xfId="25467"/>
    <cellStyle name="Normal 3 3 2 2 4 2 2 3 2" xfId="25468"/>
    <cellStyle name="Normal 4 2 2 2 4 2 2 3 2" xfId="25469"/>
    <cellStyle name="Normal 5 2 2 2 4 2 2 3 2" xfId="25470"/>
    <cellStyle name="Normal 7 2 2 2 4 2 2 3 2" xfId="25471"/>
    <cellStyle name="Normal 2 4 2 2 4 2 2 3 2" xfId="25472"/>
    <cellStyle name="Normal 3 4 2 2 4 2 2 3 2" xfId="25473"/>
    <cellStyle name="Normal 4 3 2 2 4 2 2 3 2" xfId="25474"/>
    <cellStyle name="Normal 5 3 2 2 4 2 2 3 2" xfId="25475"/>
    <cellStyle name="Normal 7 3 2 2 4 2 2 3 2" xfId="25476"/>
    <cellStyle name="Normal 2 6 2 4 2 2 3 2" xfId="25477"/>
    <cellStyle name="Normal 3 6 2 4 2 2 3 2" xfId="25478"/>
    <cellStyle name="Normal 4 5 2 4 2 2 3 2" xfId="25479"/>
    <cellStyle name="Normal 5 5 2 4 2 2 3 2" xfId="25480"/>
    <cellStyle name="Normal 7 5 2 4 2 2 3 2" xfId="25481"/>
    <cellStyle name="Normal 2 3 3 2 4 2 2 3 2" xfId="25482"/>
    <cellStyle name="Normal 3 3 3 2 4 2 2 3 2" xfId="25483"/>
    <cellStyle name="Normal 4 2 3 2 4 2 2 3 2" xfId="25484"/>
    <cellStyle name="Normal 5 2 3 2 4 2 2 3 2" xfId="25485"/>
    <cellStyle name="Normal 7 2 3 2 4 2 2 3 2" xfId="25486"/>
    <cellStyle name="Normal 2 4 3 2 4 2 2 3 2" xfId="25487"/>
    <cellStyle name="Normal 3 4 3 2 4 2 2 3 2" xfId="25488"/>
    <cellStyle name="Normal 4 3 3 2 4 2 2 3 2" xfId="25489"/>
    <cellStyle name="Normal 5 3 3 2 4 2 2 3 2" xfId="25490"/>
    <cellStyle name="Normal 7 3 3 2 4 2 2 3 2" xfId="25491"/>
    <cellStyle name="Normal 2 8 3 2 2 3 2" xfId="25492"/>
    <cellStyle name="Normal 3 8 3 2 2 3 2" xfId="25493"/>
    <cellStyle name="Normal 4 7 3 2 2 3 2" xfId="25494"/>
    <cellStyle name="Normal 5 7 3 2 2 3 2" xfId="25495"/>
    <cellStyle name="Normal 7 7 3 2 2 3 2" xfId="25496"/>
    <cellStyle name="Normal 2 3 5 3 2 2 3 2" xfId="25497"/>
    <cellStyle name="Normal 3 3 5 3 2 2 3 2" xfId="25498"/>
    <cellStyle name="Normal 4 2 5 3 2 2 3 2" xfId="25499"/>
    <cellStyle name="Normal 5 2 5 3 2 2 3 2" xfId="25500"/>
    <cellStyle name="Normal 7 2 5 3 2 2 3 2" xfId="25501"/>
    <cellStyle name="Normal 3 4 5 3 2 2 3 2" xfId="25502"/>
    <cellStyle name="Normal 4 3 5 3 2 2 3 2" xfId="25503"/>
    <cellStyle name="Normal 5 3 5 3 2 2 3 2" xfId="25504"/>
    <cellStyle name="Normal 7 3 5 3 2 2 3 2" xfId="25505"/>
    <cellStyle name="Normal 2 5 3 3 2 2 3 2" xfId="25506"/>
    <cellStyle name="Normal 3 5 3 3 2 2 3 2" xfId="25507"/>
    <cellStyle name="Normal 4 4 3 3 2 2 3 2" xfId="25508"/>
    <cellStyle name="Normal 5 4 3 3 2 2 3 2" xfId="25509"/>
    <cellStyle name="Normal 7 4 3 3 2 2 3 2" xfId="25510"/>
    <cellStyle name="Normal 2 3 2 3 3 2 2 3 2" xfId="25511"/>
    <cellStyle name="Normal 3 3 2 3 3 2 2 3 2" xfId="25512"/>
    <cellStyle name="Normal 4 2 2 3 3 2 2 3 2" xfId="25513"/>
    <cellStyle name="Normal 5 2 2 3 3 2 2 3 2" xfId="25514"/>
    <cellStyle name="Normal 7 2 2 3 3 2 2 3 2" xfId="25515"/>
    <cellStyle name="Normal 2 4 2 3 3 2 2 3 2" xfId="25516"/>
    <cellStyle name="Normal 3 4 2 3 3 2 2 3 2" xfId="25517"/>
    <cellStyle name="Normal 4 3 2 3 3 2 2 3 2" xfId="25518"/>
    <cellStyle name="Normal 5 3 2 3 3 2 2 3 2" xfId="25519"/>
    <cellStyle name="Normal 7 3 2 3 3 2 2 3 2" xfId="25520"/>
    <cellStyle name="Normal 2 6 3 3 2 2 3 2" xfId="25521"/>
    <cellStyle name="Normal 3 6 3 3 2 2 3 2" xfId="25522"/>
    <cellStyle name="Normal 4 5 3 3 2 2 3 2" xfId="25523"/>
    <cellStyle name="Normal 5 5 3 3 2 2 3 2" xfId="25524"/>
    <cellStyle name="Normal 7 5 3 3 2 2 3 2" xfId="25525"/>
    <cellStyle name="Normal 2 3 3 3 3 2 2 3 2" xfId="25526"/>
    <cellStyle name="Normal 3 3 3 3 3 2 2 3 2" xfId="25527"/>
    <cellStyle name="Normal 4 2 3 3 3 2 2 3 2" xfId="25528"/>
    <cellStyle name="Normal 5 2 3 3 3 2 2 3 2" xfId="25529"/>
    <cellStyle name="Normal 7 2 3 3 3 2 2 3 2" xfId="25530"/>
    <cellStyle name="Normal 2 4 3 3 3 2 2 3 2" xfId="25531"/>
    <cellStyle name="Normal 3 4 3 3 3 2 2 3 2" xfId="25532"/>
    <cellStyle name="Normal 4 3 3 3 3 2 2 3 2" xfId="25533"/>
    <cellStyle name="Normal 5 3 3 3 3 2 2 3 2" xfId="25534"/>
    <cellStyle name="Normal 7 3 3 3 3 2 2 3 2" xfId="25535"/>
    <cellStyle name="Normal 2 7 2 3 2 2 3 2" xfId="25536"/>
    <cellStyle name="Normal 3 7 2 3 2 2 3 2" xfId="25537"/>
    <cellStyle name="Normal 4 6 2 3 2 2 3 2" xfId="25538"/>
    <cellStyle name="Normal 5 6 2 3 2 2 3 2" xfId="25539"/>
    <cellStyle name="Normal 7 6 2 3 2 2 3 2" xfId="25540"/>
    <cellStyle name="Normal 2 3 4 2 3 2 2 3 2" xfId="25541"/>
    <cellStyle name="Normal 3 3 4 2 3 2 2 3 2" xfId="25542"/>
    <cellStyle name="Normal 4 2 4 2 3 2 2 3 2" xfId="25543"/>
    <cellStyle name="Normal 5 2 4 2 3 2 2 3 2" xfId="25544"/>
    <cellStyle name="Normal 7 2 4 2 3 2 2 3 2" xfId="25545"/>
    <cellStyle name="Normal 2 4 4 2 3 2 2 3 2" xfId="25546"/>
    <cellStyle name="Normal 3 4 4 2 3 2 2 3 2" xfId="25547"/>
    <cellStyle name="Normal 4 3 4 2 3 2 2 3 2" xfId="25548"/>
    <cellStyle name="Normal 5 3 4 2 3 2 2 3 2" xfId="25549"/>
    <cellStyle name="Normal 7 3 4 2 3 2 2 3 2" xfId="25550"/>
    <cellStyle name="Normal 2 5 2 2 3 2 2 3 2" xfId="25551"/>
    <cellStyle name="Normal 3 5 2 2 3 2 2 3 2" xfId="25552"/>
    <cellStyle name="Normal 4 4 2 2 3 2 2 3 2" xfId="25553"/>
    <cellStyle name="Normal 5 4 2 2 3 2 2 3 2" xfId="25554"/>
    <cellStyle name="Normal 7 4 2 2 3 2 2 3 2" xfId="25555"/>
    <cellStyle name="Normal 2 3 2 2 2 3 2 2 3 2" xfId="25556"/>
    <cellStyle name="Normal 3 3 2 2 2 3 2 2 3 2" xfId="25557"/>
    <cellStyle name="Normal 4 2 2 2 2 3 2 2 3 2" xfId="25558"/>
    <cellStyle name="Normal 5 2 2 2 2 3 2 2 3 2" xfId="25559"/>
    <cellStyle name="Normal 7 2 2 2 2 3 2 2 3 2" xfId="25560"/>
    <cellStyle name="Normal 2 4 2 2 2 3 2 2 3 2" xfId="25561"/>
    <cellStyle name="Normal 3 4 2 2 2 3 2 2 3 2" xfId="25562"/>
    <cellStyle name="Normal 4 3 2 2 2 3 2 2 3 2" xfId="25563"/>
    <cellStyle name="Normal 5 3 2 2 2 3 2 2 3 2" xfId="25564"/>
    <cellStyle name="Normal 7 3 2 2 2 3 2 2 3 2" xfId="25565"/>
    <cellStyle name="Normal 2 6 2 2 3 2 2 3 2" xfId="25566"/>
    <cellStyle name="Normal 3 6 2 2 3 2 2 3 2" xfId="25567"/>
    <cellStyle name="Normal 4 5 2 2 3 2 2 3 2" xfId="25568"/>
    <cellStyle name="Normal 5 5 2 2 3 2 2 3 2" xfId="25569"/>
    <cellStyle name="Normal 7 5 2 2 3 2 2 3 2" xfId="25570"/>
    <cellStyle name="Normal 2 3 3 2 2 3 2 2 3 2" xfId="25571"/>
    <cellStyle name="Normal 3 3 3 2 2 3 2 2 3 2" xfId="25572"/>
    <cellStyle name="Normal 4 2 3 2 2 3 2 2 3 2" xfId="25573"/>
    <cellStyle name="Normal 5 2 3 2 2 3 2 2 3 2" xfId="25574"/>
    <cellStyle name="Normal 7 2 3 2 2 3 2 2 3 2" xfId="25575"/>
    <cellStyle name="Normal 2 4 3 2 2 3 2 2 3 2" xfId="25576"/>
    <cellStyle name="Normal 3 4 3 2 2 3 2 2 3 2" xfId="25577"/>
    <cellStyle name="Normal 4 3 3 2 2 3 2 2 3 2" xfId="25578"/>
    <cellStyle name="Normal 5 3 3 2 2 3 2 2 3 2" xfId="25579"/>
    <cellStyle name="Normal 7 3 3 2 2 3 2 2 3 2" xfId="25580"/>
    <cellStyle name="Normal 2 12 2 3 2" xfId="25581"/>
    <cellStyle name="Normal 3 12 2 3 2" xfId="25582"/>
    <cellStyle name="Normal 4 11 2 3 2" xfId="25583"/>
    <cellStyle name="Normal 5 11 2 3 2" xfId="25584"/>
    <cellStyle name="Normal 7 11 2 3 2" xfId="25585"/>
    <cellStyle name="Normal 2 3 9 2 3 2" xfId="25586"/>
    <cellStyle name="Normal 3 3 9 2 3 2" xfId="25587"/>
    <cellStyle name="Normal 4 2 9 2 3 2" xfId="25588"/>
    <cellStyle name="Normal 5 2 9 2 3 2" xfId="25589"/>
    <cellStyle name="Normal 7 2 9 2 3 2" xfId="25590"/>
    <cellStyle name="Normal 2 4 9 2 3 2" xfId="25591"/>
    <cellStyle name="Normal 3 4 9 2 3 2" xfId="25592"/>
    <cellStyle name="Normal 4 3 9 2 3 2" xfId="25593"/>
    <cellStyle name="Normal 5 3 9 2 3 2" xfId="25594"/>
    <cellStyle name="Normal 7 3 9 2 3 2" xfId="25595"/>
    <cellStyle name="Normal 2 5 7 2 3 2" xfId="25596"/>
    <cellStyle name="Normal 3 5 7 2 3 2" xfId="25597"/>
    <cellStyle name="Normal 4 4 7 2 3 2" xfId="25598"/>
    <cellStyle name="Normal 5 4 7 2 3 2" xfId="25599"/>
    <cellStyle name="Normal 7 4 7 2 3 2" xfId="25600"/>
    <cellStyle name="Normal 2 3 2 7 2 3 2" xfId="25601"/>
    <cellStyle name="Normal 3 3 2 7 2 3 2" xfId="25602"/>
    <cellStyle name="Normal 4 2 2 7 2 3 2" xfId="25603"/>
    <cellStyle name="Normal 5 2 2 7 2 3 2" xfId="25604"/>
    <cellStyle name="Normal 7 2 2 7 2 3 2" xfId="25605"/>
    <cellStyle name="Normal 2 4 2 7 2 3 2" xfId="25606"/>
    <cellStyle name="Normal 3 4 2 7 2 3 2" xfId="25607"/>
    <cellStyle name="Normal 4 3 2 7 2 3 2" xfId="25608"/>
    <cellStyle name="Normal 5 3 2 7 2 3 2" xfId="25609"/>
    <cellStyle name="Normal 7 3 2 7 2 3 2" xfId="25610"/>
    <cellStyle name="Normal 2 6 7 2 3 2" xfId="25611"/>
    <cellStyle name="Normal 3 6 7 2 3 2" xfId="25612"/>
    <cellStyle name="Normal 4 5 7 2 3 2" xfId="25613"/>
    <cellStyle name="Normal 5 5 7 2 3 2" xfId="25614"/>
    <cellStyle name="Normal 7 5 7 2 3 2" xfId="25615"/>
    <cellStyle name="Normal 2 3 3 7 2 3 2" xfId="25616"/>
    <cellStyle name="Normal 3 3 3 7 2 3 2" xfId="25617"/>
    <cellStyle name="Normal 4 2 3 7 2 3 2" xfId="25618"/>
    <cellStyle name="Normal 5 2 3 7 2 3 2" xfId="25619"/>
    <cellStyle name="Normal 7 2 3 7 2 3 2" xfId="25620"/>
    <cellStyle name="Normal 2 4 3 7 2 3 2" xfId="25621"/>
    <cellStyle name="Normal 3 4 3 7 2 3 2" xfId="25622"/>
    <cellStyle name="Normal 4 3 3 7 2 3 2" xfId="25623"/>
    <cellStyle name="Normal 5 3 3 7 2 3 2" xfId="25624"/>
    <cellStyle name="Normal 7 3 3 7 2 3 2" xfId="25625"/>
    <cellStyle name="Normal 2 7 6 2 3 2" xfId="25626"/>
    <cellStyle name="Normal 3 7 6 2 3 2" xfId="25627"/>
    <cellStyle name="Normal 4 6 6 2 3 2" xfId="25628"/>
    <cellStyle name="Normal 5 6 6 2 3 2" xfId="25629"/>
    <cellStyle name="Normal 7 6 6 2 3 2" xfId="25630"/>
    <cellStyle name="Normal 2 3 4 6 2 3 2" xfId="25631"/>
    <cellStyle name="Normal 3 3 4 6 2 3 2" xfId="25632"/>
    <cellStyle name="Normal 4 2 4 6 2 3 2" xfId="25633"/>
    <cellStyle name="Normal 5 2 4 6 2 3 2" xfId="25634"/>
    <cellStyle name="Normal 7 2 4 6 2 3 2" xfId="25635"/>
    <cellStyle name="Normal 2 4 4 6 2 3 2" xfId="25636"/>
    <cellStyle name="Normal 3 4 4 6 2 3 2" xfId="25637"/>
    <cellStyle name="Normal 4 3 4 6 2 3 2" xfId="25638"/>
    <cellStyle name="Normal 5 3 4 6 2 3 2" xfId="25639"/>
    <cellStyle name="Normal 7 3 4 6 2 3 2" xfId="25640"/>
    <cellStyle name="Normal 2 5 2 6 2 3 2" xfId="25641"/>
    <cellStyle name="Normal 3 5 2 6 2 3 2" xfId="25642"/>
    <cellStyle name="Normal 4 4 2 6 2 3 2" xfId="25643"/>
    <cellStyle name="Normal 5 4 2 6 2 3 2" xfId="25644"/>
    <cellStyle name="Normal 7 4 2 6 2 3 2" xfId="25645"/>
    <cellStyle name="Normal 2 3 2 2 6 2 3 2" xfId="25646"/>
    <cellStyle name="Normal 3 3 2 2 6 2 3 2" xfId="25647"/>
    <cellStyle name="Normal 4 2 2 2 6 2 3 2" xfId="25648"/>
    <cellStyle name="Normal 5 2 2 2 6 2 3 2" xfId="25649"/>
    <cellStyle name="Normal 7 2 2 2 6 2 3 2" xfId="25650"/>
    <cellStyle name="Normal 2 4 2 2 6 2 3 2" xfId="25651"/>
    <cellStyle name="Normal 3 4 2 2 6 2 3 2" xfId="25652"/>
    <cellStyle name="Normal 4 3 2 2 6 2 3 2" xfId="25653"/>
    <cellStyle name="Normal 5 3 2 2 6 2 3 2" xfId="25654"/>
    <cellStyle name="Normal 7 3 2 2 6 2 3 2" xfId="25655"/>
    <cellStyle name="Normal 2 6 2 6 2 3 2" xfId="25656"/>
    <cellStyle name="Normal 3 6 2 6 2 3 2" xfId="25657"/>
    <cellStyle name="Normal 4 5 2 6 2 3 2" xfId="25658"/>
    <cellStyle name="Normal 5 5 2 6 2 3 2" xfId="25659"/>
    <cellStyle name="Normal 7 5 2 6 2 3 2" xfId="25660"/>
    <cellStyle name="Normal 2 3 3 2 6 2 3 2" xfId="25661"/>
    <cellStyle name="Normal 3 3 3 2 6 2 3 2" xfId="25662"/>
    <cellStyle name="Normal 4 2 3 2 6 2 3 2" xfId="25663"/>
    <cellStyle name="Normal 5 2 3 2 6 2 3 2" xfId="25664"/>
    <cellStyle name="Normal 7 2 3 2 6 2 3 2" xfId="25665"/>
    <cellStyle name="Normal 2 4 3 2 6 2 3 2" xfId="25666"/>
    <cellStyle name="Normal 3 4 3 2 6 2 3 2" xfId="25667"/>
    <cellStyle name="Normal 4 3 3 2 6 2 3 2" xfId="25668"/>
    <cellStyle name="Normal 5 3 3 2 6 2 3 2" xfId="25669"/>
    <cellStyle name="Normal 7 3 3 2 6 2 3 2" xfId="25670"/>
    <cellStyle name="Normal 2 8 5 2 3 2" xfId="25671"/>
    <cellStyle name="Normal 3 8 5 2 3 2" xfId="25672"/>
    <cellStyle name="Normal 4 7 5 2 3 2" xfId="25673"/>
    <cellStyle name="Normal 5 7 5 2 3 2" xfId="25674"/>
    <cellStyle name="Normal 7 7 5 2 3 2" xfId="25675"/>
    <cellStyle name="Normal 2 3 5 5 2 3 2" xfId="25676"/>
    <cellStyle name="Normal 3 3 5 5 2 3 2" xfId="25677"/>
    <cellStyle name="Normal 4 2 5 5 2 3 2" xfId="25678"/>
    <cellStyle name="Normal 5 2 5 5 2 3 2" xfId="25679"/>
    <cellStyle name="Normal 7 2 5 5 2 3 2" xfId="25680"/>
    <cellStyle name="Normal 2 4 5 5 2 3 2" xfId="25681"/>
    <cellStyle name="Normal 3 4 5 5 2 3 2" xfId="25682"/>
    <cellStyle name="Normal 4 3 5 5 2 3 2" xfId="25683"/>
    <cellStyle name="Normal 5 3 5 5 2 3 2" xfId="25684"/>
    <cellStyle name="Normal 7 3 5 5 2 3 2" xfId="25685"/>
    <cellStyle name="Normal 2 5 3 5 2 3 2" xfId="25686"/>
    <cellStyle name="Normal 3 5 3 5 2 3 2" xfId="25687"/>
    <cellStyle name="Normal 4 4 3 5 2 3 2" xfId="25688"/>
    <cellStyle name="Normal 5 4 3 5 2 3 2" xfId="25689"/>
    <cellStyle name="Normal 7 4 3 5 2 3 2" xfId="25690"/>
    <cellStyle name="Normal 2 3 2 3 5 2 3 2" xfId="25691"/>
    <cellStyle name="Normal 3 3 2 3 5 2 3 2" xfId="25692"/>
    <cellStyle name="Normal 4 2 2 3 5 2 3 2" xfId="25693"/>
    <cellStyle name="Normal 5 2 2 3 5 2 3 2" xfId="25694"/>
    <cellStyle name="Normal 7 2 2 3 5 2 3 2" xfId="25695"/>
    <cellStyle name="Normal 2 4 2 3 5 2 3 2" xfId="25696"/>
    <cellStyle name="Normal 3 4 2 3 5 2 3 2" xfId="25697"/>
    <cellStyle name="Normal 4 3 2 3 5 2 3 2" xfId="25698"/>
    <cellStyle name="Normal 5 3 2 3 5 2 3 2" xfId="25699"/>
    <cellStyle name="Normal 7 3 2 3 5 2 3 2" xfId="25700"/>
    <cellStyle name="Normal 2 6 3 5 2 3 2" xfId="25701"/>
    <cellStyle name="Normal 3 6 3 5 2 3 2" xfId="25702"/>
    <cellStyle name="Normal 4 5 3 5 2 3 2" xfId="25703"/>
    <cellStyle name="Normal 5 5 3 5 2 3 2" xfId="25704"/>
    <cellStyle name="Normal 7 5 3 5 2 3 2" xfId="25705"/>
    <cellStyle name="Normal 2 3 3 3 5 2 3 2" xfId="25706"/>
    <cellStyle name="Normal 3 3 3 3 5 2 3 2" xfId="25707"/>
    <cellStyle name="Normal 4 2 3 3 5 2 3 2" xfId="25708"/>
    <cellStyle name="Normal 5 2 3 3 5 2 3 2" xfId="25709"/>
    <cellStyle name="Normal 7 2 3 3 5 2 3 2" xfId="25710"/>
    <cellStyle name="Normal 2 4 3 3 5 2 3 2" xfId="25711"/>
    <cellStyle name="Normal 3 4 3 3 5 2 3 2" xfId="25712"/>
    <cellStyle name="Normal 4 3 3 3 5 2 3 2" xfId="25713"/>
    <cellStyle name="Normal 5 3 3 3 5 2 3 2" xfId="25714"/>
    <cellStyle name="Normal 7 3 3 3 5 2 3 2" xfId="25715"/>
    <cellStyle name="Normal 2 7 2 5 2 3 2" xfId="25716"/>
    <cellStyle name="Normal 3 7 2 5 2 3 2" xfId="25717"/>
    <cellStyle name="Normal 4 6 2 5 2 3 2" xfId="25718"/>
    <cellStyle name="Normal 5 6 2 5 2 3 2" xfId="25719"/>
    <cellStyle name="Normal 7 6 2 5 2 3 2" xfId="25720"/>
    <cellStyle name="Normal 2 3 4 2 5 2 3 2" xfId="25721"/>
    <cellStyle name="Normal 3 3 4 2 5 2 3 2" xfId="25722"/>
    <cellStyle name="Normal 4 2 4 2 5 2 3 2" xfId="25723"/>
    <cellStyle name="Normal 5 2 4 2 5 2 3 2" xfId="25724"/>
    <cellStyle name="Normal 7 2 4 2 5 2 3 2" xfId="25725"/>
    <cellStyle name="Normal 2 4 4 2 5 2 3 2" xfId="25726"/>
    <cellStyle name="Normal 3 4 4 2 5 2 3 2" xfId="25727"/>
    <cellStyle name="Normal 4 3 4 2 5 2 3 2" xfId="25728"/>
    <cellStyle name="Normal 5 3 4 2 5 2 3 2" xfId="25729"/>
    <cellStyle name="Normal 7 3 4 2 5 2 3 2" xfId="25730"/>
    <cellStyle name="Normal 2 5 2 2 5 2 3 2" xfId="25731"/>
    <cellStyle name="Normal 3 5 2 2 5 2 3 2" xfId="25732"/>
    <cellStyle name="Normal 4 4 2 2 5 2 3 2" xfId="25733"/>
    <cellStyle name="Normal 5 4 2 2 5 2 3 2" xfId="25734"/>
    <cellStyle name="Normal 7 4 2 2 5 2 3 2" xfId="25735"/>
    <cellStyle name="Normal 2 3 2 2 2 5 2 3 2" xfId="25736"/>
    <cellStyle name="Normal 3 3 2 2 2 5 2 3 2" xfId="25737"/>
    <cellStyle name="Normal 4 2 2 2 2 5 2 3 2" xfId="25738"/>
    <cellStyle name="Normal 5 2 2 2 2 5 2 3 2" xfId="25739"/>
    <cellStyle name="Normal 7 2 2 2 2 5 2 3 2" xfId="25740"/>
    <cellStyle name="Normal 2 4 2 2 2 5 2 3 2" xfId="25741"/>
    <cellStyle name="Normal 3 4 2 2 2 5 2 3 2" xfId="25742"/>
    <cellStyle name="Normal 4 3 2 2 2 5 2 3 2" xfId="25743"/>
    <cellStyle name="Normal 5 3 2 2 2 5 2 3 2" xfId="25744"/>
    <cellStyle name="Normal 7 3 2 2 2 5 2 3 2" xfId="25745"/>
    <cellStyle name="Normal 2 6 2 2 5 2 3 2" xfId="25746"/>
    <cellStyle name="Normal 3 6 2 2 5 2 3 2" xfId="25747"/>
    <cellStyle name="Normal 4 5 2 2 5 2 3 2" xfId="25748"/>
    <cellStyle name="Normal 5 5 2 2 5 2 3 2" xfId="25749"/>
    <cellStyle name="Normal 7 5 2 2 5 2 3 2" xfId="25750"/>
    <cellStyle name="Normal 2 3 3 2 2 5 2 3 2" xfId="25751"/>
    <cellStyle name="Normal 3 3 3 2 2 5 2 3 2" xfId="25752"/>
    <cellStyle name="Normal 4 2 3 2 2 5 2 3 2" xfId="25753"/>
    <cellStyle name="Normal 5 2 3 2 2 5 2 3 2" xfId="25754"/>
    <cellStyle name="Normal 7 2 3 2 2 5 2 3 2" xfId="25755"/>
    <cellStyle name="Normal 2 4 3 2 2 5 2 3 2" xfId="25756"/>
    <cellStyle name="Normal 3 4 3 2 2 5 2 3 2" xfId="25757"/>
    <cellStyle name="Normal 4 3 3 2 2 5 2 3 2" xfId="25758"/>
    <cellStyle name="Normal 5 3 3 2 2 5 2 3 2" xfId="25759"/>
    <cellStyle name="Normal 7 3 3 2 2 5 2 3 2" xfId="25760"/>
    <cellStyle name="Normal 2 9 3 2 3 2" xfId="25761"/>
    <cellStyle name="Normal 3 9 3 2 3 2" xfId="25762"/>
    <cellStyle name="Normal 4 8 3 2 3 2" xfId="25763"/>
    <cellStyle name="Normal 5 8 3 2 3 2" xfId="25764"/>
    <cellStyle name="Normal 7 8 3 2 3 2" xfId="25765"/>
    <cellStyle name="Normal 2 3 6 3 2 3 2" xfId="25766"/>
    <cellStyle name="Normal 3 3 6 3 2 3 2" xfId="25767"/>
    <cellStyle name="Normal 4 2 6 3 2 3 2" xfId="25768"/>
    <cellStyle name="Normal 5 2 6 3 2 3 2" xfId="25769"/>
    <cellStyle name="Normal 7 2 6 3 2 3 2" xfId="25770"/>
    <cellStyle name="Normal 2 4 6 3 2 3 2" xfId="25771"/>
    <cellStyle name="Normal 3 4 6 3 2 3 2" xfId="25772"/>
    <cellStyle name="Normal 4 3 6 3 2 3 2" xfId="25773"/>
    <cellStyle name="Normal 5 3 6 3 2 3 2" xfId="25774"/>
    <cellStyle name="Normal 7 3 6 3 2 3 2" xfId="25775"/>
    <cellStyle name="Normal 2 5 4 3 2 3 2" xfId="25776"/>
    <cellStyle name="Normal 3 5 4 3 2 3 2" xfId="25777"/>
    <cellStyle name="Normal 4 4 4 3 2 3 2" xfId="25778"/>
    <cellStyle name="Normal 5 4 4 3 2 3 2" xfId="25779"/>
    <cellStyle name="Normal 7 4 4 3 2 3 2" xfId="25780"/>
    <cellStyle name="Normal 2 3 2 4 3 2 3 2" xfId="25781"/>
    <cellStyle name="Normal 3 3 2 4 3 2 3 2" xfId="25782"/>
    <cellStyle name="Normal 4 2 2 4 3 2 3 2" xfId="25783"/>
    <cellStyle name="Normal 5 2 2 4 3 2 3 2" xfId="25784"/>
    <cellStyle name="Normal 7 2 2 4 3 2 3 2" xfId="25785"/>
    <cellStyle name="Normal 2 4 2 4 3 2 3 2" xfId="25786"/>
    <cellStyle name="Normal 3 4 2 4 3 2 3 2" xfId="25787"/>
    <cellStyle name="Normal 4 3 2 4 3 2 3 2" xfId="25788"/>
    <cellStyle name="Normal 5 3 2 4 3 2 3 2" xfId="25789"/>
    <cellStyle name="Normal 7 3 2 4 3 2 3 2" xfId="25790"/>
    <cellStyle name="Normal 2 6 4 3 2 3 2" xfId="25791"/>
    <cellStyle name="Normal 3 6 4 3 2 3 2" xfId="25792"/>
    <cellStyle name="Normal 4 5 4 3 2 3 2" xfId="25793"/>
    <cellStyle name="Normal 5 5 4 3 2 3 2" xfId="25794"/>
    <cellStyle name="Normal 7 5 4 3 2 3 2" xfId="25795"/>
    <cellStyle name="Normal 2 3 3 4 3 2 3 2" xfId="25796"/>
    <cellStyle name="Normal 3 3 3 4 3 2 3 2" xfId="25797"/>
    <cellStyle name="Normal 4 2 3 4 3 2 3 2" xfId="25798"/>
    <cellStyle name="Normal 5 2 3 4 3 2 3 2" xfId="25799"/>
    <cellStyle name="Normal 7 2 3 4 3 2 3 2" xfId="25800"/>
    <cellStyle name="Normal 2 4 3 4 3 2 3 2" xfId="25801"/>
    <cellStyle name="Normal 3 4 3 4 3 2 3 2" xfId="25802"/>
    <cellStyle name="Normal 4 3 3 4 3 2 3 2" xfId="25803"/>
    <cellStyle name="Normal 5 3 3 4 3 2 3 2" xfId="25804"/>
    <cellStyle name="Normal 7 3 3 4 3 2 3 2" xfId="25805"/>
    <cellStyle name="Normal 2 7 3 3 2 3 2" xfId="25806"/>
    <cellStyle name="Normal 3 7 3 3 2 3 2" xfId="25807"/>
    <cellStyle name="Normal 4 6 3 3 2 3 2" xfId="25808"/>
    <cellStyle name="Normal 5 6 3 3 2 3 2" xfId="25809"/>
    <cellStyle name="Normal 7 6 3 3 2 3 2" xfId="25810"/>
    <cellStyle name="Normal 2 3 4 3 3 2 3 2" xfId="25811"/>
    <cellStyle name="Normal 3 3 4 3 3 2 3 2" xfId="25812"/>
    <cellStyle name="Normal 4 2 4 3 3 2 3 2" xfId="25813"/>
    <cellStyle name="Normal 5 2 4 3 3 2 3 2" xfId="25814"/>
    <cellStyle name="Normal 7 2 4 3 3 2 3 2" xfId="25815"/>
    <cellStyle name="Normal 2 4 4 3 3 2 3 2" xfId="25816"/>
    <cellStyle name="Normal 3 4 4 3 3 2 3 2" xfId="25817"/>
    <cellStyle name="Normal 4 3 4 3 3 2 3 2" xfId="25818"/>
    <cellStyle name="Normal 5 3 4 3 3 2 3 2" xfId="25819"/>
    <cellStyle name="Normal 7 3 4 3 3 2 3 2" xfId="25820"/>
    <cellStyle name="Normal 2 5 2 3 3 2 3 2" xfId="25821"/>
    <cellStyle name="Normal 3 5 2 3 3 2 3 2" xfId="25822"/>
    <cellStyle name="Normal 4 4 2 3 3 2 3 2" xfId="25823"/>
    <cellStyle name="Normal 5 4 2 3 3 2 3 2" xfId="25824"/>
    <cellStyle name="Normal 7 4 2 3 3 2 3 2" xfId="25825"/>
    <cellStyle name="Normal 2 3 2 2 3 3 2 3 2" xfId="25826"/>
    <cellStyle name="Normal 3 3 2 2 3 3 2 3 2" xfId="25827"/>
    <cellStyle name="Normal 4 2 2 2 3 3 2 3 2" xfId="25828"/>
    <cellStyle name="Normal 5 2 2 2 3 3 2 3 2" xfId="25829"/>
    <cellStyle name="Normal 7 2 2 2 3 3 2 3 2" xfId="25830"/>
    <cellStyle name="Normal 2 4 2 2 3 3 2 3 2" xfId="25831"/>
    <cellStyle name="Normal 3 4 2 2 3 3 2 3 2" xfId="25832"/>
    <cellStyle name="Normal 4 3 2 2 3 3 2 3 2" xfId="25833"/>
    <cellStyle name="Normal 5 3 2 2 3 3 2 3 2" xfId="25834"/>
    <cellStyle name="Normal 7 3 2 2 3 3 2 3 2" xfId="25835"/>
    <cellStyle name="Normal 2 6 2 3 3 2 3 2" xfId="25836"/>
    <cellStyle name="Normal 3 6 2 3 3 2 3 2" xfId="25837"/>
    <cellStyle name="Normal 4 5 2 3 3 2 3 2" xfId="25838"/>
    <cellStyle name="Normal 5 5 2 3 3 2 3 2" xfId="25839"/>
    <cellStyle name="Normal 7 5 2 3 3 2 3 2" xfId="25840"/>
    <cellStyle name="Normal 2 3 3 2 3 3 2 3 2" xfId="25841"/>
    <cellStyle name="Normal 3 3 3 2 3 3 2 3 2" xfId="25842"/>
    <cellStyle name="Normal 4 2 3 2 3 3 2 3 2" xfId="25843"/>
    <cellStyle name="Normal 5 2 3 2 3 3 2 3 2" xfId="25844"/>
    <cellStyle name="Normal 7 2 3 2 3 3 2 3 2" xfId="25845"/>
    <cellStyle name="Normal 2 4 3 2 3 3 2 3 2" xfId="25846"/>
    <cellStyle name="Normal 3 4 3 2 3 3 2 3 2" xfId="25847"/>
    <cellStyle name="Normal 4 3 3 2 3 3 2 3 2" xfId="25848"/>
    <cellStyle name="Normal 5 3 3 2 3 3 2 3 2" xfId="25849"/>
    <cellStyle name="Normal 7 3 3 2 3 3 2 3 2" xfId="25850"/>
    <cellStyle name="Normal 2 8 2 3 2 3 2" xfId="25851"/>
    <cellStyle name="Normal 3 8 2 3 2 3 2" xfId="25852"/>
    <cellStyle name="Normal 4 7 2 3 2 3 2" xfId="25853"/>
    <cellStyle name="Normal 5 7 2 3 2 3 2" xfId="25854"/>
    <cellStyle name="Normal 7 7 2 3 2 3 2" xfId="25855"/>
    <cellStyle name="Normal 2 3 5 2 3 2 3 2" xfId="25856"/>
    <cellStyle name="Normal 3 3 5 2 3 2 3 2" xfId="25857"/>
    <cellStyle name="Normal 4 2 5 2 3 2 3 2" xfId="25858"/>
    <cellStyle name="Normal 5 2 5 2 3 2 3 2" xfId="25859"/>
    <cellStyle name="Normal 7 2 5 2 3 2 3 2" xfId="25860"/>
    <cellStyle name="Normal 2 4 5 2 3 2 3 2" xfId="25861"/>
    <cellStyle name="Normal 3 4 5 2 3 2 3 2" xfId="25862"/>
    <cellStyle name="Normal 4 3 5 2 3 2 3 2" xfId="25863"/>
    <cellStyle name="Normal 5 3 5 2 3 2 3 2" xfId="25864"/>
    <cellStyle name="Normal 7 3 5 2 3 2 3 2" xfId="25865"/>
    <cellStyle name="Normal 2 5 3 2 3 2 3 2" xfId="25866"/>
    <cellStyle name="Normal 3 5 3 2 3 2 3 2" xfId="25867"/>
    <cellStyle name="Normal 4 4 3 2 3 2 3 2" xfId="25868"/>
    <cellStyle name="Normal 5 4 3 2 3 2 3 2" xfId="25869"/>
    <cellStyle name="Normal 7 4 3 2 3 2 3 2" xfId="25870"/>
    <cellStyle name="Normal 2 3 2 3 2 3 2 3 2" xfId="25871"/>
    <cellStyle name="Normal 3 3 2 3 2 3 2 3 2" xfId="25872"/>
    <cellStyle name="Normal 4 2 2 3 2 3 2 3 2" xfId="25873"/>
    <cellStyle name="Normal 5 2 2 3 2 3 2 3 2" xfId="25874"/>
    <cellStyle name="Normal 7 2 2 3 2 3 2 3 2" xfId="25875"/>
    <cellStyle name="Normal 2 4 2 3 2 3 2 3 2" xfId="25876"/>
    <cellStyle name="Normal 3 4 2 3 2 3 2 3 2" xfId="25877"/>
    <cellStyle name="Normal 4 3 2 3 2 3 2 3 2" xfId="25878"/>
    <cellStyle name="Normal 5 3 2 3 2 3 2 3 2" xfId="25879"/>
    <cellStyle name="Normal 7 3 2 3 2 3 2 3 2" xfId="25880"/>
    <cellStyle name="Normal 2 6 3 2 3 2 3 2" xfId="25881"/>
    <cellStyle name="Normal 3 6 3 2 3 2 3 2" xfId="25882"/>
    <cellStyle name="Normal 4 5 3 2 3 2 3 2" xfId="25883"/>
    <cellStyle name="Normal 5 5 3 2 3 2 3 2" xfId="25884"/>
    <cellStyle name="Normal 7 5 3 2 3 2 3 2" xfId="25885"/>
    <cellStyle name="Normal 2 3 3 3 2 3 2 3 2" xfId="25886"/>
    <cellStyle name="Normal 3 3 3 3 2 3 2 3 2" xfId="25887"/>
    <cellStyle name="Normal 4 2 3 3 2 3 2 3 2" xfId="25888"/>
    <cellStyle name="Normal 5 2 3 3 2 3 2 3 2" xfId="25889"/>
    <cellStyle name="Normal 7 2 3 3 2 3 2 3 2" xfId="25890"/>
    <cellStyle name="Normal 2 4 3 3 2 3 2 3 2" xfId="25891"/>
    <cellStyle name="Normal 3 4 3 3 2 3 2 3 2" xfId="25892"/>
    <cellStyle name="Normal 4 3 3 3 2 3 2 3 2" xfId="25893"/>
    <cellStyle name="Normal 5 3 3 3 2 3 2 3 2" xfId="25894"/>
    <cellStyle name="Normal 7 3 3 3 2 3 2 3 2" xfId="25895"/>
    <cellStyle name="Normal 2 7 2 2 3 2 3 2" xfId="25896"/>
    <cellStyle name="Normal 3 7 2 2 3 2 3 2" xfId="25897"/>
    <cellStyle name="Normal 4 6 2 2 3 2 3 2" xfId="25898"/>
    <cellStyle name="Normal 5 6 2 2 3 2 3 2" xfId="25899"/>
    <cellStyle name="Normal 7 6 2 2 3 2 3 2" xfId="25900"/>
    <cellStyle name="Normal 2 3 4 2 2 3 2 3 2" xfId="25901"/>
    <cellStyle name="Normal 3 3 4 2 2 3 2 3 2" xfId="25902"/>
    <cellStyle name="Normal 4 2 4 2 2 3 2 3 2" xfId="25903"/>
    <cellStyle name="Normal 5 2 4 2 2 3 2 3 2" xfId="25904"/>
    <cellStyle name="Normal 7 2 4 2 2 3 2 3 2" xfId="25905"/>
    <cellStyle name="Normal 2 4 4 2 2 3 2 3 2" xfId="25906"/>
    <cellStyle name="Normal 3 4 4 2 2 3 2 3 2" xfId="25907"/>
    <cellStyle name="Normal 4 3 4 2 2 3 2 3 2" xfId="25908"/>
    <cellStyle name="Normal 5 3 4 2 2 3 2 3 2" xfId="25909"/>
    <cellStyle name="Normal 7 3 4 2 2 3 2 3 2" xfId="25910"/>
    <cellStyle name="Normal 2 5 2 2 2 3 2 3 2" xfId="25911"/>
    <cellStyle name="Normal 3 5 2 2 2 3 2 3 2" xfId="25912"/>
    <cellStyle name="Normal 4 4 2 2 2 3 2 3 2" xfId="25913"/>
    <cellStyle name="Normal 5 4 2 2 2 3 2 3 2" xfId="25914"/>
    <cellStyle name="Normal 7 4 2 2 2 3 2 3 2" xfId="25915"/>
    <cellStyle name="Normal 2 3 2 2 2 2 3 2 3 2" xfId="25916"/>
    <cellStyle name="Normal 3 3 2 2 2 2 3 2 3 2" xfId="25917"/>
    <cellStyle name="Normal 4 2 2 2 2 2 3 2 3 2" xfId="25918"/>
    <cellStyle name="Normal 5 2 2 2 2 2 3 2 3 2" xfId="25919"/>
    <cellStyle name="Normal 7 2 2 2 2 2 3 2 3 2" xfId="25920"/>
    <cellStyle name="Normal 2 4 2 2 2 2 3 2 3 2" xfId="25921"/>
    <cellStyle name="Normal 3 4 2 2 2 2 3 2 3 2" xfId="25922"/>
    <cellStyle name="Normal 4 3 2 2 2 2 3 2 3 2" xfId="25923"/>
    <cellStyle name="Normal 5 3 2 2 2 2 3 2 3 2" xfId="25924"/>
    <cellStyle name="Normal 7 3 2 2 2 2 3 2 3 2" xfId="25925"/>
    <cellStyle name="Normal 2 6 2 2 2 3 2 3 2" xfId="25926"/>
    <cellStyle name="Normal 3 6 2 2 2 3 2 3 2" xfId="25927"/>
    <cellStyle name="Normal 4 5 2 2 2 3 2 3 2" xfId="25928"/>
    <cellStyle name="Normal 5 5 2 2 2 3 2 3 2" xfId="25929"/>
    <cellStyle name="Normal 7 5 2 2 2 3 2 3 2" xfId="25930"/>
    <cellStyle name="Normal 2 3 3 2 2 2 3 2 3 2" xfId="25931"/>
    <cellStyle name="Normal 3 3 3 2 2 2 3 2 3 2" xfId="25932"/>
    <cellStyle name="Normal 4 2 3 2 2 2 3 2 3 2" xfId="25933"/>
    <cellStyle name="Normal 5 2 3 2 2 2 3 2 3 2" xfId="25934"/>
    <cellStyle name="Normal 7 2 3 2 2 2 3 2 3 2" xfId="25935"/>
    <cellStyle name="Normal 2 4 3 2 2 2 3 2 3 2" xfId="25936"/>
    <cellStyle name="Normal 3 4 3 2 2 2 3 2 3 2" xfId="25937"/>
    <cellStyle name="Normal 4 3 3 2 2 2 3 2 3 2" xfId="25938"/>
    <cellStyle name="Normal 5 3 3 2 2 2 3 2 3 2" xfId="25939"/>
    <cellStyle name="Normal 7 3 3 2 2 2 3 2 3 2" xfId="25940"/>
    <cellStyle name="Normal 28 3 2 3 2" xfId="25941"/>
    <cellStyle name="Normal 2 3 7 3 2 3 2" xfId="25942"/>
    <cellStyle name="Normal 3 10 3 2 3 2" xfId="25943"/>
    <cellStyle name="Normal 4 9 3 2 3 2" xfId="25944"/>
    <cellStyle name="Normal 5 9 3 2 3 2" xfId="25945"/>
    <cellStyle name="Millares 4 3 2 3 2" xfId="25946"/>
    <cellStyle name="Normal 7 2 7 3 2 3 2" xfId="25947"/>
    <cellStyle name="Normal 3 3 7 3 2 3 2" xfId="25948"/>
    <cellStyle name="Normal 4 2 7 3 2 3 2" xfId="25949"/>
    <cellStyle name="Normal 5 2 7 3 2 3 2" xfId="25950"/>
    <cellStyle name="Normal 2 4 5 3 3 2 3 2" xfId="25951"/>
    <cellStyle name="Normal 3 4 7 3 2 3 2" xfId="25952"/>
    <cellStyle name="Normal 4 3 7 3 2 3 2" xfId="25953"/>
    <cellStyle name="Normal 5 3 7 3 2 3 2" xfId="25954"/>
    <cellStyle name="Normal 7 3 7 3 2 3 2" xfId="25955"/>
    <cellStyle name="Normal 2 5 5 3 2 3 2" xfId="25956"/>
    <cellStyle name="Normal 3 5 5 3 2 3 2" xfId="25957"/>
    <cellStyle name="Normal 4 4 5 3 2 3 2" xfId="25958"/>
    <cellStyle name="Normal 5 4 5 3 2 3 2" xfId="25959"/>
    <cellStyle name="Normal 7 4 5 3 2 3 2" xfId="25960"/>
    <cellStyle name="Normal 2 3 2 5 3 2 3 2" xfId="25961"/>
    <cellStyle name="Normal 3 3 2 5 3 2 3 2" xfId="25962"/>
    <cellStyle name="Normal 4 2 2 5 3 2 3 2" xfId="25963"/>
    <cellStyle name="Normal 5 2 2 5 3 2 3 2" xfId="25964"/>
    <cellStyle name="Normal 7 2 2 5 3 2 3 2" xfId="25965"/>
    <cellStyle name="Normal 2 4 2 5 3 2 3 2" xfId="25966"/>
    <cellStyle name="Normal 3 4 2 5 3 2 3 2" xfId="25967"/>
    <cellStyle name="Normal 4 3 2 5 3 2 3 2" xfId="25968"/>
    <cellStyle name="Normal 5 3 2 5 3 2 3 2" xfId="25969"/>
    <cellStyle name="Normal 7 3 2 5 3 2 3 2" xfId="25970"/>
    <cellStyle name="Normal 2 6 5 3 2 3 2" xfId="25971"/>
    <cellStyle name="Normal 3 6 5 3 2 3 2" xfId="25972"/>
    <cellStyle name="Normal 4 5 5 3 2 3 2" xfId="25973"/>
    <cellStyle name="Normal 5 5 5 3 2 3 2" xfId="25974"/>
    <cellStyle name="Normal 7 5 5 3 2 3 2" xfId="25975"/>
    <cellStyle name="Normal 2 3 3 5 3 2 3 2" xfId="25976"/>
    <cellStyle name="Normal 3 3 3 5 3 2 3 2" xfId="25977"/>
    <cellStyle name="Normal 4 2 3 5 3 2 3 2" xfId="25978"/>
    <cellStyle name="Normal 5 2 3 5 3 2 3 2" xfId="25979"/>
    <cellStyle name="Normal 7 2 3 5 3 2 3 2" xfId="25980"/>
    <cellStyle name="Normal 2 4 3 5 3 2 3 2" xfId="25981"/>
    <cellStyle name="Normal 3 4 3 5 3 2 3 2" xfId="25982"/>
    <cellStyle name="Normal 4 3 3 5 3 2 3 2" xfId="25983"/>
    <cellStyle name="Normal 5 3 3 5 3 2 3 2" xfId="25984"/>
    <cellStyle name="Normal 7 3 3 5 3 2 3 2" xfId="25985"/>
    <cellStyle name="Normal 2 7 4 3 2 3 2" xfId="25986"/>
    <cellStyle name="Normal 3 7 4 3 2 3 2" xfId="25987"/>
    <cellStyle name="Normal 4 6 4 3 2 3 2" xfId="25988"/>
    <cellStyle name="Normal 5 6 4 3 2 3 2" xfId="25989"/>
    <cellStyle name="Normal 7 6 4 3 2 3 2" xfId="25990"/>
    <cellStyle name="Normal 2 3 4 4 3 2 3 2" xfId="25991"/>
    <cellStyle name="Normal 3 3 4 4 3 2 3 2" xfId="25992"/>
    <cellStyle name="Normal 4 2 4 4 3 2 3 2" xfId="25993"/>
    <cellStyle name="Normal 5 2 4 4 3 2 3 2" xfId="25994"/>
    <cellStyle name="Normal 7 2 4 4 3 2 3 2" xfId="25995"/>
    <cellStyle name="Normal 2 4 4 4 3 2 3 2" xfId="25996"/>
    <cellStyle name="Normal 3 4 4 4 3 2 3 2" xfId="25997"/>
    <cellStyle name="Normal 4 3 4 4 3 2 3 2" xfId="25998"/>
    <cellStyle name="Normal 5 3 4 4 3 2 3 2" xfId="25999"/>
    <cellStyle name="Normal 7 3 4 4 3 2 3 2" xfId="26000"/>
    <cellStyle name="Normal 2 5 2 4 3 2 3 2" xfId="26001"/>
    <cellStyle name="Normal 3 5 2 4 3 2 3 2" xfId="26002"/>
    <cellStyle name="Normal 4 4 2 4 3 2 3 2" xfId="26003"/>
    <cellStyle name="Normal 5 4 2 4 3 2 3 2" xfId="26004"/>
    <cellStyle name="Normal 7 4 2 4 3 2 3 2" xfId="26005"/>
    <cellStyle name="Normal 2 3 2 2 4 3 2 3 2" xfId="26006"/>
    <cellStyle name="Normal 3 3 2 2 4 3 2 3 2" xfId="26007"/>
    <cellStyle name="Normal 4 2 2 2 4 3 2 3 2" xfId="26008"/>
    <cellStyle name="Normal 5 2 2 2 4 3 2 3 2" xfId="26009"/>
    <cellStyle name="Normal 7 2 2 2 4 3 2 3 2" xfId="26010"/>
    <cellStyle name="Normal 2 4 2 2 4 3 2 3 2" xfId="26011"/>
    <cellStyle name="Normal 3 4 2 2 4 3 2 3 2" xfId="26012"/>
    <cellStyle name="Normal 4 3 2 2 4 3 2 3 2" xfId="26013"/>
    <cellStyle name="Normal 5 3 2 2 4 3 2 3 2" xfId="26014"/>
    <cellStyle name="Normal 7 3 2 2 4 3 2 3 2" xfId="26015"/>
    <cellStyle name="Normal 2 6 2 4 3 2 3 2" xfId="26016"/>
    <cellStyle name="Normal 3 6 2 4 3 2 3 2" xfId="26017"/>
    <cellStyle name="Normal 4 5 2 4 3 2 3 2" xfId="26018"/>
    <cellStyle name="Normal 5 5 2 4 3 2 3 2" xfId="26019"/>
    <cellStyle name="Normal 7 5 2 4 3 2 3 2" xfId="26020"/>
    <cellStyle name="Normal 2 3 3 2 4 3 2 3 2" xfId="26021"/>
    <cellStyle name="Normal 3 3 3 2 4 3 2 3 2" xfId="26022"/>
    <cellStyle name="Normal 4 2 3 2 4 3 2 3 2" xfId="26023"/>
    <cellStyle name="Normal 5 2 3 2 4 3 2 3 2" xfId="26024"/>
    <cellStyle name="Normal 7 2 3 2 4 3 2 3 2" xfId="26025"/>
    <cellStyle name="Normal 2 4 3 2 4 3 2 3 2" xfId="26026"/>
    <cellStyle name="Normal 3 4 3 2 4 3 2 3 2" xfId="26027"/>
    <cellStyle name="Normal 4 3 3 2 4 3 2 3 2" xfId="26028"/>
    <cellStyle name="Normal 5 3 3 2 4 3 2 3 2" xfId="26029"/>
    <cellStyle name="Normal 7 3 3 2 4 3 2 3 2" xfId="26030"/>
    <cellStyle name="Normal 2 8 3 3 2 3 2" xfId="26031"/>
    <cellStyle name="Normal 3 8 3 3 2 3 2" xfId="26032"/>
    <cellStyle name="Normal 4 7 3 3 2 3 2" xfId="26033"/>
    <cellStyle name="Normal 5 7 3 3 2 3 2" xfId="26034"/>
    <cellStyle name="Normal 7 7 3 3 2 3 2" xfId="26035"/>
    <cellStyle name="Normal 2 3 5 3 3 2 3 2" xfId="26036"/>
    <cellStyle name="Normal 3 3 5 3 3 2 3 2" xfId="26037"/>
    <cellStyle name="Normal 4 2 5 3 3 2 3 2" xfId="26038"/>
    <cellStyle name="Normal 5 2 5 3 3 2 3 2" xfId="26039"/>
    <cellStyle name="Normal 7 2 5 3 3 2 3 2" xfId="26040"/>
    <cellStyle name="Normal 3 4 5 3 3 2 3 2" xfId="26041"/>
    <cellStyle name="Normal 4 3 5 3 3 2 3 2" xfId="26042"/>
    <cellStyle name="Normal 5 3 5 3 3 2 3 2" xfId="26043"/>
    <cellStyle name="Normal 7 3 5 3 3 2 3 2" xfId="26044"/>
    <cellStyle name="Normal 2 5 3 3 3 2 3 2" xfId="26045"/>
    <cellStyle name="Normal 3 5 3 3 3 2 3 2" xfId="26046"/>
    <cellStyle name="Normal 4 4 3 3 3 2 3 2" xfId="26047"/>
    <cellStyle name="Normal 5 4 3 3 3 2 3 2" xfId="26048"/>
    <cellStyle name="Normal 7 4 3 3 3 2 3 2" xfId="26049"/>
    <cellStyle name="Normal 2 3 2 3 3 3 2 3 2" xfId="26050"/>
    <cellStyle name="Normal 3 3 2 3 3 3 2 3 2" xfId="26051"/>
    <cellStyle name="Normal 4 2 2 3 3 3 2 3 2" xfId="26052"/>
    <cellStyle name="Normal 5 2 2 3 3 3 2 3 2" xfId="26053"/>
    <cellStyle name="Normal 7 2 2 3 3 3 2 3 2" xfId="26054"/>
    <cellStyle name="Normal 2 4 2 3 3 3 2 3 2" xfId="26055"/>
    <cellStyle name="Normal 3 4 2 3 3 3 2 3 2" xfId="26056"/>
    <cellStyle name="Normal 4 3 2 3 3 3 2 3 2" xfId="26057"/>
    <cellStyle name="Normal 5 3 2 3 3 3 2 3 2" xfId="26058"/>
    <cellStyle name="Normal 7 3 2 3 3 3 2 3 2" xfId="26059"/>
    <cellStyle name="Normal 2 6 3 3 3 2 3 2" xfId="26060"/>
    <cellStyle name="Normal 3 6 3 3 3 2 3 2" xfId="26061"/>
    <cellStyle name="Normal 4 5 3 3 3 2 3 2" xfId="26062"/>
    <cellStyle name="Normal 5 5 3 3 3 2 3 2" xfId="26063"/>
    <cellStyle name="Normal 7 5 3 3 3 2 3 2" xfId="26064"/>
    <cellStyle name="Normal 2 3 3 3 3 3 2 3 2" xfId="26065"/>
    <cellStyle name="Normal 3 3 3 3 3 3 2 3 2" xfId="26066"/>
    <cellStyle name="Normal 4 2 3 3 3 3 2 3 2" xfId="26067"/>
    <cellStyle name="Normal 5 2 3 3 3 3 2 3 2" xfId="26068"/>
    <cellStyle name="Normal 7 2 3 3 3 3 2 3 2" xfId="26069"/>
    <cellStyle name="Normal 2 4 3 3 3 3 2 3 2" xfId="26070"/>
    <cellStyle name="Normal 3 4 3 3 3 3 2 3 2" xfId="26071"/>
    <cellStyle name="Normal 4 3 3 3 3 3 2 3 2" xfId="26072"/>
    <cellStyle name="Normal 5 3 3 3 3 3 2 3 2" xfId="26073"/>
    <cellStyle name="Normal 7 3 3 3 3 3 2 3 2" xfId="26074"/>
    <cellStyle name="Normal 2 7 2 3 3 2 3 2" xfId="26075"/>
    <cellStyle name="Normal 3 7 2 3 3 2 3 2" xfId="26076"/>
    <cellStyle name="Normal 4 6 2 3 3 2 3 2" xfId="26077"/>
    <cellStyle name="Normal 5 6 2 3 3 2 3 2" xfId="26078"/>
    <cellStyle name="Normal 7 6 2 3 3 2 3 2" xfId="26079"/>
    <cellStyle name="Normal 2 3 4 2 3 3 2 3 2" xfId="26080"/>
    <cellStyle name="Normal 3 3 4 2 3 3 2 3 2" xfId="26081"/>
    <cellStyle name="Normal 4 2 4 2 3 3 2 3 2" xfId="26082"/>
    <cellStyle name="Normal 5 2 4 2 3 3 2 3 2" xfId="26083"/>
    <cellStyle name="Normal 7 2 4 2 3 3 2 3 2" xfId="26084"/>
    <cellStyle name="Normal 2 4 4 2 3 3 2 3 2" xfId="26085"/>
    <cellStyle name="Normal 3 4 4 2 3 3 2 3 2" xfId="26086"/>
    <cellStyle name="Normal 4 3 4 2 3 3 2 3 2" xfId="26087"/>
    <cellStyle name="Normal 5 3 4 2 3 3 2 3 2" xfId="26088"/>
    <cellStyle name="Normal 7 3 4 2 3 3 2 3 2" xfId="26089"/>
    <cellStyle name="Normal 2 5 2 2 3 3 2 3 2" xfId="26090"/>
    <cellStyle name="Normal 3 5 2 2 3 3 2 3 2" xfId="26091"/>
    <cellStyle name="Normal 4 4 2 2 3 3 2 3 2" xfId="26092"/>
    <cellStyle name="Normal 5 4 2 2 3 3 2 3 2" xfId="26093"/>
    <cellStyle name="Normal 7 4 2 2 3 3 2 3 2" xfId="26094"/>
    <cellStyle name="Normal 2 3 2 2 2 3 3 2 3 2" xfId="26095"/>
    <cellStyle name="Normal 3 3 2 2 2 3 3 2 3 2" xfId="26096"/>
    <cellStyle name="Normal 4 2 2 2 2 3 3 2 3 2" xfId="26097"/>
    <cellStyle name="Normal 5 2 2 2 2 3 3 2 3 2" xfId="26098"/>
    <cellStyle name="Normal 7 2 2 2 2 3 3 2 3 2" xfId="26099"/>
    <cellStyle name="Normal 2 4 2 2 2 3 3 2 3 2" xfId="26100"/>
    <cellStyle name="Normal 3 4 2 2 2 3 3 2 3 2" xfId="26101"/>
    <cellStyle name="Normal 4 3 2 2 2 3 3 2 3 2" xfId="26102"/>
    <cellStyle name="Normal 5 3 2 2 2 3 3 2 3 2" xfId="26103"/>
    <cellStyle name="Normal 7 3 2 2 2 3 3 2 3 2" xfId="26104"/>
    <cellStyle name="Normal 2 6 2 2 3 3 2 3 2" xfId="26105"/>
    <cellStyle name="Normal 3 6 2 2 3 3 2 3 2" xfId="26106"/>
    <cellStyle name="Normal 4 5 2 2 3 3 2 3 2" xfId="26107"/>
    <cellStyle name="Normal 5 5 2 2 3 3 2 3 2" xfId="26108"/>
    <cellStyle name="Normal 7 5 2 2 3 3 2 3 2" xfId="26109"/>
    <cellStyle name="Normal 2 3 3 2 2 3 3 2 3 2" xfId="26110"/>
    <cellStyle name="Normal 3 3 3 2 2 3 3 2 3 2" xfId="26111"/>
    <cellStyle name="Normal 4 2 3 2 2 3 3 2 3 2" xfId="26112"/>
    <cellStyle name="Normal 5 2 3 2 2 3 3 2 3 2" xfId="26113"/>
    <cellStyle name="Normal 7 2 3 2 2 3 3 2 3 2" xfId="26114"/>
    <cellStyle name="Normal 2 4 3 2 2 3 3 2 3 2" xfId="26115"/>
    <cellStyle name="Normal 3 4 3 2 2 3 3 2 3 2" xfId="26116"/>
    <cellStyle name="Normal 4 3 3 2 2 3 3 2 3 2" xfId="26117"/>
    <cellStyle name="Normal 5 3 3 2 2 3 3 2 3 2" xfId="26118"/>
    <cellStyle name="Normal 7 3 3 2 2 3 3 2 3 2" xfId="26119"/>
    <cellStyle name="Normal 2 14 2 2" xfId="26120"/>
    <cellStyle name="Normal 3 14 2 2" xfId="26121"/>
    <cellStyle name="Normal 4 13 2 2" xfId="26122"/>
    <cellStyle name="Normal 5 13 2 2" xfId="26123"/>
    <cellStyle name="Normal 7 13 2 2" xfId="26124"/>
    <cellStyle name="Normal 2 3 11 2 2" xfId="26125"/>
    <cellStyle name="Normal 3 3 11 2 2" xfId="26126"/>
    <cellStyle name="Normal 4 2 11 2 2" xfId="26127"/>
    <cellStyle name="Normal 5 2 11 2 2" xfId="26128"/>
    <cellStyle name="Normal 7 2 11 2 2" xfId="26129"/>
    <cellStyle name="Normal 2 4 11 2 2" xfId="26130"/>
    <cellStyle name="Normal 3 4 11 2 2" xfId="26131"/>
    <cellStyle name="Normal 4 3 11 2 2" xfId="26132"/>
    <cellStyle name="Normal 5 3 11 2 2" xfId="26133"/>
    <cellStyle name="Normal 7 3 11 2 2" xfId="26134"/>
    <cellStyle name="Normal 2 5 9 2 2" xfId="26135"/>
    <cellStyle name="Normal 3 5 9 2 2" xfId="26136"/>
    <cellStyle name="Normal 4 4 9 2 2" xfId="26137"/>
    <cellStyle name="Normal 5 4 9 2 2" xfId="26138"/>
    <cellStyle name="Normal 7 4 9 2 2" xfId="26139"/>
    <cellStyle name="Normal 2 3 2 9 2 2" xfId="26140"/>
    <cellStyle name="Normal 3 3 2 9 2 2" xfId="26141"/>
    <cellStyle name="Normal 4 2 2 9 2 2" xfId="26142"/>
    <cellStyle name="Normal 5 2 2 9 2 2" xfId="26143"/>
    <cellStyle name="Normal 7 2 2 9 2 2" xfId="26144"/>
    <cellStyle name="Normal 2 4 2 9 2 2" xfId="26145"/>
    <cellStyle name="Normal 3 4 2 9 2 2" xfId="26146"/>
    <cellStyle name="Normal 4 3 2 9 2 2" xfId="26147"/>
    <cellStyle name="Normal 5 3 2 9 2 2" xfId="26148"/>
    <cellStyle name="Normal 7 3 2 9 2 2" xfId="26149"/>
    <cellStyle name="Normal 2 6 9 2 2" xfId="26150"/>
    <cellStyle name="Normal 3 6 9 2 2" xfId="26151"/>
    <cellStyle name="Normal 4 5 9 2 2" xfId="26152"/>
    <cellStyle name="Normal 5 5 9 2 2" xfId="26153"/>
    <cellStyle name="Normal 7 5 9 2 2" xfId="26154"/>
    <cellStyle name="Normal 2 3 3 9 2 2" xfId="26155"/>
    <cellStyle name="Normal 3 3 3 9 2 2" xfId="26156"/>
    <cellStyle name="Normal 4 2 3 9 2 2" xfId="26157"/>
    <cellStyle name="Normal 5 2 3 9 2 2" xfId="26158"/>
    <cellStyle name="Normal 7 2 3 9 2 2" xfId="26159"/>
    <cellStyle name="Normal 2 4 3 9 2 2" xfId="26160"/>
    <cellStyle name="Normal 3 4 3 9 2 2" xfId="26161"/>
    <cellStyle name="Normal 4 3 3 9 2 2" xfId="26162"/>
    <cellStyle name="Normal 5 3 3 9 2 2" xfId="26163"/>
    <cellStyle name="Normal 7 3 3 9 2 2" xfId="26164"/>
    <cellStyle name="Normal 2 7 8 2 2" xfId="26165"/>
    <cellStyle name="Normal 3 7 8 2 2" xfId="26166"/>
    <cellStyle name="Normal 4 6 8 2 2" xfId="26167"/>
    <cellStyle name="Normal 5 6 8 2 2" xfId="26168"/>
    <cellStyle name="Normal 7 6 8 2 2" xfId="26169"/>
    <cellStyle name="Normal 2 3 4 8 2 2" xfId="26170"/>
    <cellStyle name="Normal 3 3 4 8 2 2" xfId="26171"/>
    <cellStyle name="Normal 4 2 4 8 2 2" xfId="26172"/>
    <cellStyle name="Normal 5 2 4 8 2 2" xfId="26173"/>
    <cellStyle name="Normal 7 2 4 8 2 2" xfId="26174"/>
    <cellStyle name="Normal 2 4 4 8 2 2" xfId="26175"/>
    <cellStyle name="Normal 3 4 4 8 2 2" xfId="26176"/>
    <cellStyle name="Normal 4 3 4 8 2 2" xfId="26177"/>
    <cellStyle name="Normal 5 3 4 8 2 2" xfId="26178"/>
    <cellStyle name="Normal 7 3 4 8 2 2" xfId="26179"/>
    <cellStyle name="Normal 2 5 2 8 2 2" xfId="26180"/>
    <cellStyle name="Normal 3 5 2 8 2 2" xfId="26181"/>
    <cellStyle name="Normal 4 4 2 8 2 2" xfId="26182"/>
    <cellStyle name="Normal 5 4 2 8 2 2" xfId="26183"/>
    <cellStyle name="Normal 7 4 2 8 2 2" xfId="26184"/>
    <cellStyle name="Normal 2 3 2 2 8 2 2" xfId="26185"/>
    <cellStyle name="Normal 3 3 2 2 8 2 2" xfId="26186"/>
    <cellStyle name="Normal 4 2 2 2 8 2 2" xfId="26187"/>
    <cellStyle name="Normal 5 2 2 2 8 2 2" xfId="26188"/>
    <cellStyle name="Normal 7 2 2 2 8 2 2" xfId="26189"/>
    <cellStyle name="Normal 2 4 2 2 8 2 2" xfId="26190"/>
    <cellStyle name="Normal 3 4 2 2 8 2 2" xfId="26191"/>
    <cellStyle name="Normal 4 3 2 2 8 2 2" xfId="26192"/>
    <cellStyle name="Normal 5 3 2 2 8 2 2" xfId="26193"/>
    <cellStyle name="Normal 7 3 2 2 8 2 2" xfId="26194"/>
    <cellStyle name="Normal 2 6 2 8 2 2" xfId="26195"/>
    <cellStyle name="Normal 3 6 2 8 2 2" xfId="26196"/>
    <cellStyle name="Normal 4 5 2 8 2 2" xfId="26197"/>
    <cellStyle name="Normal 5 5 2 8 2 2" xfId="26198"/>
    <cellStyle name="Normal 7 5 2 8 2 2" xfId="26199"/>
    <cellStyle name="Normal 2 3 3 2 8 2 2" xfId="26200"/>
    <cellStyle name="Normal 3 3 3 2 8 2 2" xfId="26201"/>
    <cellStyle name="Normal 4 2 3 2 8 2 2" xfId="26202"/>
    <cellStyle name="Normal 5 2 3 2 8 2 2" xfId="26203"/>
    <cellStyle name="Normal 7 2 3 2 8 2 2" xfId="26204"/>
    <cellStyle name="Normal 2 4 3 2 8 2 2" xfId="26205"/>
    <cellStyle name="Normal 3 4 3 2 8 2 2" xfId="26206"/>
    <cellStyle name="Normal 4 3 3 2 8 2 2" xfId="26207"/>
    <cellStyle name="Normal 5 3 3 2 8 2 2" xfId="26208"/>
    <cellStyle name="Normal 7 3 3 2 8 2 2" xfId="26209"/>
    <cellStyle name="Normal 2 8 7 2 2" xfId="26210"/>
    <cellStyle name="Normal 3 8 7 2 2" xfId="26211"/>
    <cellStyle name="Normal 4 7 7 2 2" xfId="26212"/>
    <cellStyle name="Normal 5 7 7 2 2" xfId="26213"/>
    <cellStyle name="Normal 7 7 7 2 2" xfId="26214"/>
    <cellStyle name="Normal 2 3 5 7 2 2" xfId="26215"/>
    <cellStyle name="Normal 3 3 5 7 2 2" xfId="26216"/>
    <cellStyle name="Normal 4 2 5 7 2 2" xfId="26217"/>
    <cellStyle name="Normal 5 2 5 7 2 2" xfId="26218"/>
    <cellStyle name="Normal 7 2 5 7 2 2" xfId="26219"/>
    <cellStyle name="Normal 2 4 5 7 2 2" xfId="26220"/>
    <cellStyle name="Normal 3 4 5 7 2 2" xfId="26221"/>
    <cellStyle name="Normal 4 3 5 7 2 2" xfId="26222"/>
    <cellStyle name="Normal 5 3 5 7 2 2" xfId="26223"/>
    <cellStyle name="Normal 7 3 5 7 2 2" xfId="26224"/>
    <cellStyle name="Normal 2 5 3 7 2 2" xfId="26225"/>
    <cellStyle name="Normal 3 5 3 7 2 2" xfId="26226"/>
    <cellStyle name="Normal 4 4 3 7 2 2" xfId="26227"/>
    <cellStyle name="Normal 5 4 3 7 2 2" xfId="26228"/>
    <cellStyle name="Normal 7 4 3 7 2 2" xfId="26229"/>
    <cellStyle name="Normal 2 3 2 3 7 2 2" xfId="26230"/>
    <cellStyle name="Normal 3 3 2 3 7 2 2" xfId="26231"/>
    <cellStyle name="Normal 4 2 2 3 7 2 2" xfId="26232"/>
    <cellStyle name="Normal 5 2 2 3 7 2 2" xfId="26233"/>
    <cellStyle name="Normal 7 2 2 3 7 2 2" xfId="26234"/>
    <cellStyle name="Normal 2 4 2 3 7 2 2" xfId="26235"/>
    <cellStyle name="Normal 3 4 2 3 7 2 2" xfId="26236"/>
    <cellStyle name="Normal 4 3 2 3 7 2 2" xfId="26237"/>
    <cellStyle name="Normal 5 3 2 3 7 2 2" xfId="26238"/>
    <cellStyle name="Normal 7 3 2 3 7 2 2" xfId="26239"/>
    <cellStyle name="Normal 2 6 3 7 2 2" xfId="26240"/>
    <cellStyle name="Normal 3 6 3 7 2 2" xfId="26241"/>
    <cellStyle name="Normal 4 5 3 7 2 2" xfId="26242"/>
    <cellStyle name="Normal 5 5 3 7 2 2" xfId="26243"/>
    <cellStyle name="Normal 7 5 3 7 2 2" xfId="26244"/>
    <cellStyle name="Normal 2 3 3 3 7 2 2" xfId="26245"/>
    <cellStyle name="Normal 3 3 3 3 7 2 2" xfId="26246"/>
    <cellStyle name="Normal 4 2 3 3 7 2 2" xfId="26247"/>
    <cellStyle name="Normal 5 2 3 3 7 2 2" xfId="26248"/>
    <cellStyle name="Normal 7 2 3 3 7 2 2" xfId="26249"/>
    <cellStyle name="Normal 2 4 3 3 7 2 2" xfId="26250"/>
    <cellStyle name="Normal 3 4 3 3 7 2 2" xfId="26251"/>
    <cellStyle name="Normal 4 3 3 3 7 2 2" xfId="26252"/>
    <cellStyle name="Normal 5 3 3 3 7 2 2" xfId="26253"/>
    <cellStyle name="Normal 7 3 3 3 7 2 2" xfId="26254"/>
    <cellStyle name="Normal 2 7 2 7 2 2" xfId="26255"/>
    <cellStyle name="Normal 3 7 2 7 2 2" xfId="26256"/>
    <cellStyle name="Normal 4 6 2 7 2 2" xfId="26257"/>
    <cellStyle name="Normal 5 6 2 7 2 2" xfId="26258"/>
    <cellStyle name="Normal 7 6 2 7 2 2" xfId="26259"/>
    <cellStyle name="Normal 2 3 4 2 7 2 2" xfId="26260"/>
    <cellStyle name="Normal 3 3 4 2 7 2 2" xfId="26261"/>
    <cellStyle name="Normal 4 2 4 2 7 2 2" xfId="26262"/>
    <cellStyle name="Normal 5 2 4 2 7 2 2" xfId="26263"/>
    <cellStyle name="Normal 7 2 4 2 7 2 2" xfId="26264"/>
    <cellStyle name="Normal 2 4 4 2 7 2 2" xfId="26265"/>
    <cellStyle name="Normal 3 4 4 2 7 2 2" xfId="26266"/>
    <cellStyle name="Normal 4 3 4 2 7 2 2" xfId="26267"/>
    <cellStyle name="Normal 5 3 4 2 7 2 2" xfId="26268"/>
    <cellStyle name="Normal 7 3 4 2 7 2 2" xfId="26269"/>
    <cellStyle name="Normal 2 5 2 2 7 2 2" xfId="26270"/>
    <cellStyle name="Normal 3 5 2 2 7 2 2" xfId="26271"/>
    <cellStyle name="Normal 4 4 2 2 7 2 2" xfId="26272"/>
    <cellStyle name="Normal 5 4 2 2 7 2 2" xfId="26273"/>
    <cellStyle name="Normal 7 4 2 2 7 2 2" xfId="26274"/>
    <cellStyle name="Normal 2 3 2 2 2 7 2 2" xfId="26275"/>
    <cellStyle name="Normal 3 3 2 2 2 7 2 2" xfId="26276"/>
    <cellStyle name="Normal 4 2 2 2 2 7 2 2" xfId="26277"/>
    <cellStyle name="Normal 5 2 2 2 2 7 2 2" xfId="26278"/>
    <cellStyle name="Normal 7 2 2 2 2 7 2 2" xfId="26279"/>
    <cellStyle name="Normal 2 4 2 2 2 7 2 2" xfId="26280"/>
    <cellStyle name="Normal 3 4 2 2 2 7 2 2" xfId="26281"/>
    <cellStyle name="Normal 4 3 2 2 2 7 2 2" xfId="26282"/>
    <cellStyle name="Normal 5 3 2 2 2 7 2 2" xfId="26283"/>
    <cellStyle name="Normal 7 3 2 2 2 7 2 2" xfId="26284"/>
    <cellStyle name="Normal 2 6 2 2 7 2 2" xfId="26285"/>
    <cellStyle name="Normal 3 6 2 2 7 2 2" xfId="26286"/>
    <cellStyle name="Normal 4 5 2 2 7 2 2" xfId="26287"/>
    <cellStyle name="Normal 5 5 2 2 7 2 2" xfId="26288"/>
    <cellStyle name="Normal 7 5 2 2 7 2 2" xfId="26289"/>
    <cellStyle name="Normal 2 3 3 2 2 7 2 2" xfId="26290"/>
    <cellStyle name="Normal 3 3 3 2 2 7 2 2" xfId="26291"/>
    <cellStyle name="Normal 4 2 3 2 2 7 2 2" xfId="26292"/>
    <cellStyle name="Normal 5 2 3 2 2 7 2 2" xfId="26293"/>
    <cellStyle name="Normal 7 2 3 2 2 7 2 2" xfId="26294"/>
    <cellStyle name="Normal 2 4 3 2 2 7 2 2" xfId="26295"/>
    <cellStyle name="Normal 3 4 3 2 2 7 2 2" xfId="26296"/>
    <cellStyle name="Normal 4 3 3 2 2 7 2 2" xfId="26297"/>
    <cellStyle name="Normal 5 3 3 2 2 7 2 2" xfId="26298"/>
    <cellStyle name="Normal 7 3 3 2 2 7 2 2" xfId="26299"/>
    <cellStyle name="Normal 2 9 5 2 2" xfId="26300"/>
    <cellStyle name="Normal 3 9 5 2 2" xfId="26301"/>
    <cellStyle name="Normal 4 8 5 2 2" xfId="26302"/>
    <cellStyle name="Normal 5 8 5 2 2" xfId="26303"/>
    <cellStyle name="Normal 7 8 5 2 2" xfId="26304"/>
    <cellStyle name="Normal 2 3 6 5 2 2" xfId="26305"/>
    <cellStyle name="Normal 3 3 6 5 2 2" xfId="26306"/>
    <cellStyle name="Normal 4 2 6 5 2 2" xfId="26307"/>
    <cellStyle name="Normal 5 2 6 5 2 2" xfId="26308"/>
    <cellStyle name="Normal 7 2 6 5 2 2" xfId="26309"/>
    <cellStyle name="Normal 2 4 6 5 2 2" xfId="26310"/>
    <cellStyle name="Normal 3 4 6 5 2 2" xfId="26311"/>
    <cellStyle name="Normal 4 3 6 5 2 2" xfId="26312"/>
    <cellStyle name="Normal 5 3 6 5 2 2" xfId="26313"/>
    <cellStyle name="Normal 7 3 6 5 2 2" xfId="26314"/>
    <cellStyle name="Normal 2 5 4 5 2 2" xfId="26315"/>
    <cellStyle name="Normal 3 5 4 5 2 2" xfId="26316"/>
    <cellStyle name="Normal 4 4 4 5 2 2" xfId="26317"/>
    <cellStyle name="Normal 5 4 4 5 2 2" xfId="26318"/>
    <cellStyle name="Normal 7 4 4 5 2 2" xfId="26319"/>
    <cellStyle name="Normal 2 3 2 4 5 2 2" xfId="26320"/>
    <cellStyle name="Normal 3 3 2 4 5 2 2" xfId="26321"/>
    <cellStyle name="Normal 4 2 2 4 5 2 2" xfId="26322"/>
    <cellStyle name="Normal 5 2 2 4 5 2 2" xfId="26323"/>
    <cellStyle name="Normal 7 2 2 4 5 2 2" xfId="26324"/>
    <cellStyle name="Normal 2 4 2 4 5 2 2" xfId="26325"/>
    <cellStyle name="Normal 3 4 2 4 5 2 2" xfId="26326"/>
    <cellStyle name="Normal 4 3 2 4 5 2 2" xfId="26327"/>
    <cellStyle name="Normal 5 3 2 4 5 2 2" xfId="26328"/>
    <cellStyle name="Normal 7 3 2 4 5 2 2" xfId="26329"/>
    <cellStyle name="Normal 2 6 4 5 2 2" xfId="26330"/>
    <cellStyle name="Normal 3 6 4 5 2 2" xfId="26331"/>
    <cellStyle name="Normal 4 5 4 5 2 2" xfId="26332"/>
    <cellStyle name="Normal 5 5 4 5 2 2" xfId="26333"/>
    <cellStyle name="Normal 7 5 4 5 2 2" xfId="26334"/>
    <cellStyle name="Normal 2 3 3 4 5 2 2" xfId="26335"/>
    <cellStyle name="Normal 3 3 3 4 5 2 2" xfId="26336"/>
    <cellStyle name="Normal 4 2 3 4 5 2 2" xfId="26337"/>
    <cellStyle name="Normal 5 2 3 4 5 2 2" xfId="26338"/>
    <cellStyle name="Normal 7 2 3 4 5 2 2" xfId="26339"/>
    <cellStyle name="Normal 2 4 3 4 5 2 2" xfId="26340"/>
    <cellStyle name="Normal 3 4 3 4 5 2 2" xfId="26341"/>
    <cellStyle name="Normal 4 3 3 4 5 2 2" xfId="26342"/>
    <cellStyle name="Normal 5 3 3 4 5 2 2" xfId="26343"/>
    <cellStyle name="Normal 7 3 3 4 5 2 2" xfId="26344"/>
    <cellStyle name="Normal 2 7 3 5 2 2" xfId="26345"/>
    <cellStyle name="Normal 3 7 3 5 2 2" xfId="26346"/>
    <cellStyle name="Normal 4 6 3 5 2 2" xfId="26347"/>
    <cellStyle name="Normal 5 6 3 5 2 2" xfId="26348"/>
    <cellStyle name="Normal 7 6 3 5 2 2" xfId="26349"/>
    <cellStyle name="Normal 2 3 4 3 5 2 2" xfId="26350"/>
    <cellStyle name="Normal 3 3 4 3 5 2 2" xfId="26351"/>
    <cellStyle name="Normal 4 2 4 3 5 2 2" xfId="26352"/>
    <cellStyle name="Normal 5 2 4 3 5 2 2" xfId="26353"/>
    <cellStyle name="Normal 7 2 4 3 5 2 2" xfId="26354"/>
    <cellStyle name="Normal 2 4 4 3 5 2 2" xfId="26355"/>
    <cellStyle name="Normal 3 4 4 3 5 2 2" xfId="26356"/>
    <cellStyle name="Normal 4 3 4 3 5 2 2" xfId="26357"/>
    <cellStyle name="Normal 5 3 4 3 5 2 2" xfId="26358"/>
    <cellStyle name="Normal 7 3 4 3 5 2 2" xfId="26359"/>
    <cellStyle name="Normal 2 5 2 3 5 2 2" xfId="26360"/>
    <cellStyle name="Normal 3 5 2 3 5 2 2" xfId="26361"/>
    <cellStyle name="Normal 4 4 2 3 5 2 2" xfId="26362"/>
    <cellStyle name="Normal 5 4 2 3 5 2 2" xfId="26363"/>
    <cellStyle name="Normal 7 4 2 3 5 2 2" xfId="26364"/>
    <cellStyle name="Normal 2 3 2 2 3 5 2 2" xfId="26365"/>
    <cellStyle name="Normal 3 3 2 2 3 5 2 2" xfId="26366"/>
    <cellStyle name="Normal 4 2 2 2 3 5 2 2" xfId="26367"/>
    <cellStyle name="Normal 5 2 2 2 3 5 2 2" xfId="26368"/>
    <cellStyle name="Normal 7 2 2 2 3 5 2 2" xfId="26369"/>
    <cellStyle name="Normal 2 4 2 2 3 5 2 2" xfId="26370"/>
    <cellStyle name="Normal 3 4 2 2 3 5 2 2" xfId="26371"/>
    <cellStyle name="Normal 4 3 2 2 3 5 2 2" xfId="26372"/>
    <cellStyle name="Normal 5 3 2 2 3 5 2 2" xfId="26373"/>
    <cellStyle name="Normal 7 3 2 2 3 5 2 2" xfId="26374"/>
    <cellStyle name="Normal 2 6 2 3 5 2 2" xfId="26375"/>
    <cellStyle name="Normal 3 6 2 3 5 2 2" xfId="26376"/>
    <cellStyle name="Normal 4 5 2 3 5 2 2" xfId="26377"/>
    <cellStyle name="Normal 5 5 2 3 5 2 2" xfId="26378"/>
    <cellStyle name="Normal 7 5 2 3 5 2 2" xfId="26379"/>
    <cellStyle name="Normal 2 3 3 2 3 5 2 2" xfId="26380"/>
    <cellStyle name="Normal 3 3 3 2 3 5 2 2" xfId="26381"/>
    <cellStyle name="Normal 4 2 3 2 3 5 2 2" xfId="26382"/>
    <cellStyle name="Normal 5 2 3 2 3 5 2 2" xfId="26383"/>
    <cellStyle name="Normal 7 2 3 2 3 5 2 2" xfId="26384"/>
    <cellStyle name="Normal 2 4 3 2 3 5 2 2" xfId="26385"/>
    <cellStyle name="Normal 3 4 3 2 3 5 2 2" xfId="26386"/>
    <cellStyle name="Normal 4 3 3 2 3 5 2 2" xfId="26387"/>
    <cellStyle name="Normal 5 3 3 2 3 5 2 2" xfId="26388"/>
    <cellStyle name="Normal 7 3 3 2 3 5 2 2" xfId="26389"/>
    <cellStyle name="Normal 2 8 2 5 2 2" xfId="26390"/>
    <cellStyle name="Normal 3 8 2 5 2 2" xfId="26391"/>
    <cellStyle name="Normal 4 7 2 5 2 2" xfId="26392"/>
    <cellStyle name="Normal 5 7 2 5 2 2" xfId="26393"/>
    <cellStyle name="Normal 7 7 2 5 2 2" xfId="26394"/>
    <cellStyle name="Normal 2 3 5 2 5 2 2" xfId="26395"/>
    <cellStyle name="Normal 3 3 5 2 5 2 2" xfId="26396"/>
    <cellStyle name="Normal 4 2 5 2 5 2 2" xfId="26397"/>
    <cellStyle name="Normal 5 2 5 2 5 2 2" xfId="26398"/>
    <cellStyle name="Normal 7 2 5 2 5 2 2" xfId="26399"/>
    <cellStyle name="Normal 2 4 5 2 5 2 2" xfId="26400"/>
    <cellStyle name="Normal 3 4 5 2 5 2 2" xfId="26401"/>
    <cellStyle name="Normal 4 3 5 2 5 2 2" xfId="26402"/>
    <cellStyle name="Normal 5 3 5 2 5 2 2" xfId="26403"/>
    <cellStyle name="Normal 7 3 5 2 5 2 2" xfId="26404"/>
    <cellStyle name="Normal 2 5 3 2 5 2 2" xfId="26405"/>
    <cellStyle name="Normal 3 5 3 2 5 2 2" xfId="26406"/>
    <cellStyle name="Normal 4 4 3 2 5 2 2" xfId="26407"/>
    <cellStyle name="Normal 5 4 3 2 5 2 2" xfId="26408"/>
    <cellStyle name="Normal 7 4 3 2 5 2 2" xfId="26409"/>
    <cellStyle name="Normal 2 3 2 3 2 5 2 2" xfId="26410"/>
    <cellStyle name="Normal 3 3 2 3 2 5 2 2" xfId="26411"/>
    <cellStyle name="Normal 4 2 2 3 2 5 2 2" xfId="26412"/>
    <cellStyle name="Normal 5 2 2 3 2 5 2 2" xfId="26413"/>
    <cellStyle name="Normal 7 2 2 3 2 5 2 2" xfId="26414"/>
    <cellStyle name="Normal 2 4 2 3 2 5 2 2" xfId="26415"/>
    <cellStyle name="Normal 3 4 2 3 2 5 2 2" xfId="26416"/>
    <cellStyle name="Normal 4 3 2 3 2 5 2 2" xfId="26417"/>
    <cellStyle name="Normal 5 3 2 3 2 5 2 2" xfId="26418"/>
    <cellStyle name="Normal 7 3 2 3 2 5 2 2" xfId="26419"/>
    <cellStyle name="Normal 2 6 3 2 5 2 2" xfId="26420"/>
    <cellStyle name="Normal 3 6 3 2 5 2 2" xfId="26421"/>
    <cellStyle name="Normal 4 5 3 2 5 2 2" xfId="26422"/>
    <cellStyle name="Normal 5 5 3 2 5 2 2" xfId="26423"/>
    <cellStyle name="Normal 7 5 3 2 5 2 2" xfId="26424"/>
    <cellStyle name="Normal 2 3 3 3 2 5 2 2" xfId="26425"/>
    <cellStyle name="Normal 3 3 3 3 2 5 2 2" xfId="26426"/>
    <cellStyle name="Normal 4 2 3 3 2 5 2 2" xfId="26427"/>
    <cellStyle name="Normal 5 2 3 3 2 5 2 2" xfId="26428"/>
    <cellStyle name="Normal 7 2 3 3 2 5 2 2" xfId="26429"/>
    <cellStyle name="Normal 2 4 3 3 2 5 2 2" xfId="26430"/>
    <cellStyle name="Normal 3 4 3 3 2 5 2 2" xfId="26431"/>
    <cellStyle name="Normal 4 3 3 3 2 5 2 2" xfId="26432"/>
    <cellStyle name="Normal 5 3 3 3 2 5 2 2" xfId="26433"/>
    <cellStyle name="Normal 7 3 3 3 2 5 2 2" xfId="26434"/>
    <cellStyle name="Normal 2 7 2 2 5 2 2" xfId="26435"/>
    <cellStyle name="Normal 3 7 2 2 5 2 2" xfId="26436"/>
    <cellStyle name="Normal 4 6 2 2 5 2 2" xfId="26437"/>
    <cellStyle name="Normal 5 6 2 2 5 2 2" xfId="26438"/>
    <cellStyle name="Normal 7 6 2 2 5 2 2" xfId="26439"/>
    <cellStyle name="Normal 2 3 4 2 2 5 2 2" xfId="26440"/>
    <cellStyle name="Normal 3 3 4 2 2 5 2 2" xfId="26441"/>
    <cellStyle name="Normal 4 2 4 2 2 5 2 2" xfId="26442"/>
    <cellStyle name="Normal 5 2 4 2 2 5 2 2" xfId="26443"/>
    <cellStyle name="Normal 7 2 4 2 2 5 2 2" xfId="26444"/>
    <cellStyle name="Normal 2 4 4 2 2 5 2 2" xfId="26445"/>
    <cellStyle name="Normal 3 4 4 2 2 5 2 2" xfId="26446"/>
    <cellStyle name="Normal 4 3 4 2 2 5 2 2" xfId="26447"/>
    <cellStyle name="Normal 5 3 4 2 2 5 2 2" xfId="26448"/>
    <cellStyle name="Normal 7 3 4 2 2 5 2 2" xfId="26449"/>
    <cellStyle name="Normal 2 5 2 2 2 5 2 2" xfId="26450"/>
    <cellStyle name="Normal 3 5 2 2 2 5 2 2" xfId="26451"/>
    <cellStyle name="Normal 4 4 2 2 2 5 2 2" xfId="26452"/>
    <cellStyle name="Normal 5 4 2 2 2 5 2 2" xfId="26453"/>
    <cellStyle name="Normal 7 4 2 2 2 5 2 2" xfId="26454"/>
    <cellStyle name="Normal 2 3 2 2 2 2 5 2 2" xfId="26455"/>
    <cellStyle name="Normal 3 3 2 2 2 2 5 2 2" xfId="26456"/>
    <cellStyle name="Normal 4 2 2 2 2 2 5 2 2" xfId="26457"/>
    <cellStyle name="Normal 5 2 2 2 2 2 5 2 2" xfId="26458"/>
    <cellStyle name="Normal 7 2 2 2 2 2 5 2 2" xfId="26459"/>
    <cellStyle name="Normal 2 4 2 2 2 2 5 2 2" xfId="26460"/>
    <cellStyle name="Normal 3 4 2 2 2 2 5 2 2" xfId="26461"/>
    <cellStyle name="Normal 4 3 2 2 2 2 5 2 2" xfId="26462"/>
    <cellStyle name="Normal 5 3 2 2 2 2 5 2 2" xfId="26463"/>
    <cellStyle name="Normal 7 3 2 2 2 2 5 2 2" xfId="26464"/>
    <cellStyle name="Normal 2 6 2 2 2 5 2 2" xfId="26465"/>
    <cellStyle name="Normal 3 6 2 2 2 5 2 2" xfId="26466"/>
    <cellStyle name="Normal 4 5 2 2 2 5 2 2" xfId="26467"/>
    <cellStyle name="Normal 5 5 2 2 2 5 2 2" xfId="26468"/>
    <cellStyle name="Normal 7 5 2 2 2 5 2 2" xfId="26469"/>
    <cellStyle name="Normal 2 3 3 2 2 2 5 2 2" xfId="26470"/>
    <cellStyle name="Normal 3 3 3 2 2 2 5 2 2" xfId="26471"/>
    <cellStyle name="Normal 4 2 3 2 2 2 5 2 2" xfId="26472"/>
    <cellStyle name="Normal 5 2 3 2 2 2 5 2 2" xfId="26473"/>
    <cellStyle name="Normal 7 2 3 2 2 2 5 2 2" xfId="26474"/>
    <cellStyle name="Normal 2 4 3 2 2 2 5 2 2" xfId="26475"/>
    <cellStyle name="Normal 3 4 3 2 2 2 5 2 2" xfId="26476"/>
    <cellStyle name="Normal 4 3 3 2 2 2 5 2 2" xfId="26477"/>
    <cellStyle name="Normal 5 3 3 2 2 2 5 2 2" xfId="26478"/>
    <cellStyle name="Normal 7 3 3 2 2 2 5 2 2" xfId="26479"/>
    <cellStyle name="Normal 28 5 2 2" xfId="26480"/>
    <cellStyle name="Normal 2 3 7 5 2 2" xfId="26481"/>
    <cellStyle name="Normal 3 10 5 2 2" xfId="26482"/>
    <cellStyle name="Normal 4 9 5 2 2" xfId="26483"/>
    <cellStyle name="Normal 5 9 5 2 2" xfId="26484"/>
    <cellStyle name="Millares 4 5 2 2" xfId="26485"/>
    <cellStyle name="Normal 7 2 7 5 2 2" xfId="26486"/>
    <cellStyle name="Normal 3 3 7 5 2 2" xfId="26487"/>
    <cellStyle name="Normal 4 2 7 5 2 2" xfId="26488"/>
    <cellStyle name="Normal 5 2 7 5 2 2" xfId="26489"/>
    <cellStyle name="Normal 2 4 5 3 5 2 2" xfId="26490"/>
    <cellStyle name="Normal 3 4 7 5 2 2" xfId="26491"/>
    <cellStyle name="Normal 4 3 7 5 2 2" xfId="26492"/>
    <cellStyle name="Normal 5 3 7 5 2 2" xfId="26493"/>
    <cellStyle name="Normal 7 3 7 5 2 2" xfId="26494"/>
    <cellStyle name="Normal 2 5 5 5 2 2" xfId="26495"/>
    <cellStyle name="Normal 3 5 5 5 2 2" xfId="26496"/>
    <cellStyle name="Normal 4 4 5 5 2 2" xfId="26497"/>
    <cellStyle name="Normal 5 4 5 5 2 2" xfId="26498"/>
    <cellStyle name="Normal 7 4 5 5 2 2" xfId="26499"/>
    <cellStyle name="Normal 2 3 2 5 5 2 2" xfId="26500"/>
    <cellStyle name="Normal 3 3 2 5 5 2 2" xfId="26501"/>
    <cellStyle name="Normal 4 2 2 5 5 2 2" xfId="26502"/>
    <cellStyle name="Normal 5 2 2 5 5 2 2" xfId="26503"/>
    <cellStyle name="Normal 7 2 2 5 5 2 2" xfId="26504"/>
    <cellStyle name="Normal 2 4 2 5 5 2 2" xfId="26505"/>
    <cellStyle name="Normal 3 4 2 5 5 2 2" xfId="26506"/>
    <cellStyle name="Normal 4 3 2 5 5 2 2" xfId="26507"/>
    <cellStyle name="Normal 5 3 2 5 5 2 2" xfId="26508"/>
    <cellStyle name="Normal 7 3 2 5 5 2 2" xfId="26509"/>
    <cellStyle name="Normal 2 6 5 5 2 2" xfId="26510"/>
    <cellStyle name="Normal 3 6 5 5 2 2" xfId="26511"/>
    <cellStyle name="Normal 4 5 5 5 2 2" xfId="26512"/>
    <cellStyle name="Normal 5 5 5 5 2 2" xfId="26513"/>
    <cellStyle name="Normal 7 5 5 5 2 2" xfId="26514"/>
    <cellStyle name="Normal 2 3 3 5 5 2 2" xfId="26515"/>
    <cellStyle name="Normal 3 3 3 5 5 2 2" xfId="26516"/>
    <cellStyle name="Normal 4 2 3 5 5 2 2" xfId="26517"/>
    <cellStyle name="Normal 5 2 3 5 5 2 2" xfId="26518"/>
    <cellStyle name="Normal 7 2 3 5 5 2 2" xfId="26519"/>
    <cellStyle name="Normal 2 4 3 5 5 2 2" xfId="26520"/>
    <cellStyle name="Normal 3 4 3 5 5 2 2" xfId="26521"/>
    <cellStyle name="Normal 4 3 3 5 5 2 2" xfId="26522"/>
    <cellStyle name="Normal 5 3 3 5 5 2 2" xfId="26523"/>
    <cellStyle name="Normal 7 3 3 5 5 2 2" xfId="26524"/>
    <cellStyle name="Normal 2 7 4 5 2 2" xfId="26525"/>
    <cellStyle name="Normal 3 7 4 5 2 2" xfId="26526"/>
    <cellStyle name="Normal 4 6 4 5 2 2" xfId="26527"/>
    <cellStyle name="Normal 5 6 4 5 2 2" xfId="26528"/>
    <cellStyle name="Normal 7 6 4 5 2 2" xfId="26529"/>
    <cellStyle name="Normal 2 3 4 4 5 2 2" xfId="26530"/>
    <cellStyle name="Normal 3 3 4 4 5 2 2" xfId="26531"/>
    <cellStyle name="Normal 4 2 4 4 5 2 2" xfId="26532"/>
    <cellStyle name="Normal 5 2 4 4 5 2 2" xfId="26533"/>
    <cellStyle name="Normal 7 2 4 4 5 2 2" xfId="26534"/>
    <cellStyle name="Normal 2 4 4 4 5 2 2" xfId="26535"/>
    <cellStyle name="Normal 3 4 4 4 5 2 2" xfId="26536"/>
    <cellStyle name="Normal 4 3 4 4 5 2 2" xfId="26537"/>
    <cellStyle name="Normal 5 3 4 4 5 2 2" xfId="26538"/>
    <cellStyle name="Normal 7 3 4 4 5 2 2" xfId="26539"/>
    <cellStyle name="Normal 2 5 2 4 5 2 2" xfId="26540"/>
    <cellStyle name="Normal 3 5 2 4 5 2 2" xfId="26541"/>
    <cellStyle name="Normal 4 4 2 4 5 2 2" xfId="26542"/>
    <cellStyle name="Normal 5 4 2 4 5 2 2" xfId="26543"/>
    <cellStyle name="Normal 7 4 2 4 5 2 2" xfId="26544"/>
    <cellStyle name="Normal 2 3 2 2 4 5 2 2" xfId="26545"/>
    <cellStyle name="Normal 3 3 2 2 4 5 2 2" xfId="26546"/>
    <cellStyle name="Normal 4 2 2 2 4 5 2 2" xfId="26547"/>
    <cellStyle name="Normal 5 2 2 2 4 5 2 2" xfId="26548"/>
    <cellStyle name="Normal 7 2 2 2 4 5 2 2" xfId="26549"/>
    <cellStyle name="Normal 2 4 2 2 4 5 2 2" xfId="26550"/>
    <cellStyle name="Normal 3 4 2 2 4 5 2 2" xfId="26551"/>
    <cellStyle name="Normal 4 3 2 2 4 5 2 2" xfId="26552"/>
    <cellStyle name="Normal 5 3 2 2 4 5 2 2" xfId="26553"/>
    <cellStyle name="Normal 7 3 2 2 4 5 2 2" xfId="26554"/>
    <cellStyle name="Normal 2 6 2 4 5 2 2" xfId="26555"/>
    <cellStyle name="Normal 3 6 2 4 5 2 2" xfId="26556"/>
    <cellStyle name="Normal 4 5 2 4 5 2 2" xfId="26557"/>
    <cellStyle name="Normal 5 5 2 4 5 2 2" xfId="26558"/>
    <cellStyle name="Normal 7 5 2 4 5 2 2" xfId="26559"/>
    <cellStyle name="Normal 2 3 3 2 4 5 2 2" xfId="26560"/>
    <cellStyle name="Normal 3 3 3 2 4 5 2 2" xfId="26561"/>
    <cellStyle name="Normal 4 2 3 2 4 5 2 2" xfId="26562"/>
    <cellStyle name="Normal 5 2 3 2 4 5 2 2" xfId="26563"/>
    <cellStyle name="Normal 7 2 3 2 4 5 2 2" xfId="26564"/>
    <cellStyle name="Normal 2 4 3 2 4 5 2 2" xfId="26565"/>
    <cellStyle name="Normal 3 4 3 2 4 5 2 2" xfId="26566"/>
    <cellStyle name="Normal 4 3 3 2 4 5 2 2" xfId="26567"/>
    <cellStyle name="Normal 5 3 3 2 4 5 2 2" xfId="26568"/>
    <cellStyle name="Normal 7 3 3 2 4 5 2 2" xfId="26569"/>
    <cellStyle name="Normal 2 8 3 5 2 2" xfId="26570"/>
    <cellStyle name="Normal 3 8 3 5 2 2" xfId="26571"/>
    <cellStyle name="Normal 4 7 3 5 2 2" xfId="26572"/>
    <cellStyle name="Normal 5 7 3 5 2 2" xfId="26573"/>
    <cellStyle name="Normal 7 7 3 5 2 2" xfId="26574"/>
    <cellStyle name="Normal 2 3 5 3 5 2 2" xfId="26575"/>
    <cellStyle name="Normal 3 3 5 3 5 2 2" xfId="26576"/>
    <cellStyle name="Normal 4 2 5 3 5 2 2" xfId="26577"/>
    <cellStyle name="Normal 5 2 5 3 5 2 2" xfId="26578"/>
    <cellStyle name="Normal 7 2 5 3 5 2 2" xfId="26579"/>
    <cellStyle name="Normal 3 4 5 3 5 2 2" xfId="26580"/>
    <cellStyle name="Normal 4 3 5 3 5 2 2" xfId="26581"/>
    <cellStyle name="Normal 5 3 5 3 5 2 2" xfId="26582"/>
    <cellStyle name="Normal 7 3 5 3 5 2 2" xfId="26583"/>
    <cellStyle name="Normal 2 5 3 3 5 2 2" xfId="26584"/>
    <cellStyle name="Normal 3 5 3 3 5 2 2" xfId="26585"/>
    <cellStyle name="Normal 4 4 3 3 5 2 2" xfId="26586"/>
    <cellStyle name="Normal 5 4 3 3 5 2 2" xfId="26587"/>
    <cellStyle name="Normal 7 4 3 3 5 2 2" xfId="26588"/>
    <cellStyle name="Normal 2 3 2 3 3 5 2 2" xfId="26589"/>
    <cellStyle name="Normal 3 3 2 3 3 5 2 2" xfId="26590"/>
    <cellStyle name="Normal 4 2 2 3 3 5 2 2" xfId="26591"/>
    <cellStyle name="Normal 5 2 2 3 3 5 2 2" xfId="26592"/>
    <cellStyle name="Normal 7 2 2 3 3 5 2 2" xfId="26593"/>
    <cellStyle name="Normal 2 4 2 3 3 5 2 2" xfId="26594"/>
    <cellStyle name="Normal 3 4 2 3 3 5 2 2" xfId="26595"/>
    <cellStyle name="Normal 4 3 2 3 3 5 2 2" xfId="26596"/>
    <cellStyle name="Normal 5 3 2 3 3 5 2 2" xfId="26597"/>
    <cellStyle name="Normal 7 3 2 3 3 5 2 2" xfId="26598"/>
    <cellStyle name="Normal 2 6 3 3 5 2 2" xfId="26599"/>
    <cellStyle name="Normal 3 6 3 3 5 2 2" xfId="26600"/>
    <cellStyle name="Normal 4 5 3 3 5 2 2" xfId="26601"/>
    <cellStyle name="Normal 5 5 3 3 5 2 2" xfId="26602"/>
    <cellStyle name="Normal 7 5 3 3 5 2 2" xfId="26603"/>
    <cellStyle name="Normal 2 3 3 3 3 5 2 2" xfId="26604"/>
    <cellStyle name="Normal 3 3 3 3 3 5 2 2" xfId="26605"/>
    <cellStyle name="Normal 4 2 3 3 3 5 2 2" xfId="26606"/>
    <cellStyle name="Normal 5 2 3 3 3 5 2 2" xfId="26607"/>
    <cellStyle name="Normal 7 2 3 3 3 5 2 2" xfId="26608"/>
    <cellStyle name="Normal 2 4 3 3 3 5 2 2" xfId="26609"/>
    <cellStyle name="Normal 3 4 3 3 3 5 2 2" xfId="26610"/>
    <cellStyle name="Normal 4 3 3 3 3 5 2 2" xfId="26611"/>
    <cellStyle name="Normal 5 3 3 3 3 5 2 2" xfId="26612"/>
    <cellStyle name="Normal 7 3 3 3 3 5 2 2" xfId="26613"/>
    <cellStyle name="Normal 2 7 2 3 5 2 2" xfId="26614"/>
    <cellStyle name="Normal 3 7 2 3 5 2 2" xfId="26615"/>
    <cellStyle name="Normal 4 6 2 3 5 2 2" xfId="26616"/>
    <cellStyle name="Normal 5 6 2 3 5 2 2" xfId="26617"/>
    <cellStyle name="Normal 7 6 2 3 5 2 2" xfId="26618"/>
    <cellStyle name="Normal 2 3 4 2 3 5 2 2" xfId="26619"/>
    <cellStyle name="Normal 3 3 4 2 3 5 2 2" xfId="26620"/>
    <cellStyle name="Normal 4 2 4 2 3 5 2 2" xfId="26621"/>
    <cellStyle name="Normal 5 2 4 2 3 5 2 2" xfId="26622"/>
    <cellStyle name="Normal 7 2 4 2 3 5 2 2" xfId="26623"/>
    <cellStyle name="Normal 2 4 4 2 3 5 2 2" xfId="26624"/>
    <cellStyle name="Normal 3 4 4 2 3 5 2 2" xfId="26625"/>
    <cellStyle name="Normal 4 3 4 2 3 5 2 2" xfId="26626"/>
    <cellStyle name="Normal 5 3 4 2 3 5 2 2" xfId="26627"/>
    <cellStyle name="Normal 7 3 4 2 3 5 2 2" xfId="26628"/>
    <cellStyle name="Normal 2 5 2 2 3 5 2 2" xfId="26629"/>
    <cellStyle name="Normal 3 5 2 2 3 5 2 2" xfId="26630"/>
    <cellStyle name="Normal 4 4 2 2 3 5 2 2" xfId="26631"/>
    <cellStyle name="Normal 5 4 2 2 3 5 2 2" xfId="26632"/>
    <cellStyle name="Normal 7 4 2 2 3 5 2 2" xfId="26633"/>
    <cellStyle name="Normal 2 3 2 2 2 3 5 2 2" xfId="26634"/>
    <cellStyle name="Normal 3 3 2 2 2 3 5 2 2" xfId="26635"/>
    <cellStyle name="Normal 4 2 2 2 2 3 5 2 2" xfId="26636"/>
    <cellStyle name="Normal 5 2 2 2 2 3 5 2 2" xfId="26637"/>
    <cellStyle name="Normal 7 2 2 2 2 3 5 2 2" xfId="26638"/>
    <cellStyle name="Normal 2 4 2 2 2 3 5 2 2" xfId="26639"/>
    <cellStyle name="Normal 3 4 2 2 2 3 5 2 2" xfId="26640"/>
    <cellStyle name="Normal 4 3 2 2 2 3 5 2 2" xfId="26641"/>
    <cellStyle name="Normal 5 3 2 2 2 3 5 2 2" xfId="26642"/>
    <cellStyle name="Normal 7 3 2 2 2 3 5 2 2" xfId="26643"/>
    <cellStyle name="Normal 2 6 2 2 3 5 2 2" xfId="26644"/>
    <cellStyle name="Normal 3 6 2 2 3 5 2 2" xfId="26645"/>
    <cellStyle name="Normal 4 5 2 2 3 5 2 2" xfId="26646"/>
    <cellStyle name="Normal 5 5 2 2 3 5 2 2" xfId="26647"/>
    <cellStyle name="Normal 7 5 2 2 3 5 2 2" xfId="26648"/>
    <cellStyle name="Normal 2 3 3 2 2 3 5 2 2" xfId="26649"/>
    <cellStyle name="Normal 3 3 3 2 2 3 5 2 2" xfId="26650"/>
    <cellStyle name="Normal 4 2 3 2 2 3 5 2 2" xfId="26651"/>
    <cellStyle name="Normal 5 2 3 2 2 3 5 2 2" xfId="26652"/>
    <cellStyle name="Normal 7 2 3 2 2 3 5 2 2" xfId="26653"/>
    <cellStyle name="Normal 2 4 3 2 2 3 5 2 2" xfId="26654"/>
    <cellStyle name="Normal 3 4 3 2 2 3 5 2 2" xfId="26655"/>
    <cellStyle name="Normal 4 3 3 2 2 3 5 2 2" xfId="26656"/>
    <cellStyle name="Normal 5 3 3 2 2 3 5 2 2" xfId="26657"/>
    <cellStyle name="Normal 7 3 3 2 2 3 5 2 2" xfId="26658"/>
    <cellStyle name="Normal 2 11 3 2 2" xfId="26659"/>
    <cellStyle name="Normal 3 11 3 2 2" xfId="26660"/>
    <cellStyle name="Normal 4 10 3 2 2" xfId="26661"/>
    <cellStyle name="Normal 5 10 3 2 2" xfId="26662"/>
    <cellStyle name="Normal 7 10 3 2 2" xfId="26663"/>
    <cellStyle name="Normal 2 3 8 3 2 2" xfId="26664"/>
    <cellStyle name="Normal 3 3 8 3 2 2" xfId="26665"/>
    <cellStyle name="Normal 4 2 8 3 2 2" xfId="26666"/>
    <cellStyle name="Normal 5 2 8 3 2 2" xfId="26667"/>
    <cellStyle name="Normal 7 2 8 3 2 2" xfId="26668"/>
    <cellStyle name="Normal 2 4 8 3 2 2" xfId="26669"/>
    <cellStyle name="Normal 3 4 8 3 2 2" xfId="26670"/>
    <cellStyle name="Normal 4 3 8 3 2 2" xfId="26671"/>
    <cellStyle name="Normal 5 3 8 3 2 2" xfId="26672"/>
    <cellStyle name="Normal 7 3 8 3 2 2" xfId="26673"/>
    <cellStyle name="Normal 2 5 6 3 2 2" xfId="26674"/>
    <cellStyle name="Normal 3 5 6 3 2 2" xfId="26675"/>
    <cellStyle name="Normal 4 4 6 3 2 2" xfId="26676"/>
    <cellStyle name="Normal 5 4 6 3 2 2" xfId="26677"/>
    <cellStyle name="Normal 7 4 6 3 2 2" xfId="26678"/>
    <cellStyle name="Normal 2 3 2 6 3 2 2" xfId="26679"/>
    <cellStyle name="Normal 3 3 2 6 3 2 2" xfId="26680"/>
    <cellStyle name="Normal 4 2 2 6 3 2 2" xfId="26681"/>
    <cellStyle name="Normal 5 2 2 6 3 2 2" xfId="26682"/>
    <cellStyle name="Normal 7 2 2 6 3 2 2" xfId="26683"/>
    <cellStyle name="Normal 2 4 2 6 3 2 2" xfId="26684"/>
    <cellStyle name="Normal 3 4 2 6 3 2 2" xfId="26685"/>
    <cellStyle name="Normal 4 3 2 6 3 2 2" xfId="26686"/>
    <cellStyle name="Normal 5 3 2 6 3 2 2" xfId="26687"/>
    <cellStyle name="Normal 7 3 2 6 3 2 2" xfId="26688"/>
    <cellStyle name="Normal 2 6 6 3 2 2" xfId="26689"/>
    <cellStyle name="Normal 3 6 6 3 2 2" xfId="26690"/>
    <cellStyle name="Normal 4 5 6 3 2 2" xfId="26691"/>
    <cellStyle name="Normal 5 5 6 3 2 2" xfId="26692"/>
    <cellStyle name="Normal 7 5 6 3 2 2" xfId="26693"/>
    <cellStyle name="Normal 2 3 3 6 3 2 2" xfId="26694"/>
    <cellStyle name="Normal 3 3 3 6 3 2 2" xfId="26695"/>
    <cellStyle name="Normal 4 2 3 6 3 2 2" xfId="26696"/>
    <cellStyle name="Normal 5 2 3 6 3 2 2" xfId="26697"/>
    <cellStyle name="Normal 7 2 3 6 3 2 2" xfId="26698"/>
    <cellStyle name="Normal 2 4 3 6 3 2 2" xfId="26699"/>
    <cellStyle name="Normal 3 4 3 6 3 2 2" xfId="26700"/>
    <cellStyle name="Normal 4 3 3 6 3 2 2" xfId="26701"/>
    <cellStyle name="Normal 5 3 3 6 3 2 2" xfId="26702"/>
    <cellStyle name="Normal 7 3 3 6 3 2 2" xfId="26703"/>
    <cellStyle name="Normal 2 7 5 3 2 2" xfId="26704"/>
    <cellStyle name="Normal 3 7 5 3 2 2" xfId="26705"/>
    <cellStyle name="Normal 4 6 5 3 2 2" xfId="26706"/>
    <cellStyle name="Normal 5 6 5 3 2 2" xfId="26707"/>
    <cellStyle name="Normal 7 6 5 3 2 2" xfId="26708"/>
    <cellStyle name="Normal 2 3 4 5 3 2 2" xfId="26709"/>
    <cellStyle name="Normal 3 3 4 5 3 2 2" xfId="26710"/>
    <cellStyle name="Normal 4 2 4 5 3 2 2" xfId="26711"/>
    <cellStyle name="Normal 5 2 4 5 3 2 2" xfId="26712"/>
    <cellStyle name="Normal 7 2 4 5 3 2 2" xfId="26713"/>
    <cellStyle name="Normal 2 4 4 5 3 2 2" xfId="26714"/>
    <cellStyle name="Normal 3 4 4 5 3 2 2" xfId="26715"/>
    <cellStyle name="Normal 4 3 4 5 3 2 2" xfId="26716"/>
    <cellStyle name="Normal 5 3 4 5 3 2 2" xfId="26717"/>
    <cellStyle name="Normal 7 3 4 5 3 2 2" xfId="26718"/>
    <cellStyle name="Normal 2 5 2 5 3 2 2" xfId="26719"/>
    <cellStyle name="Normal 3 5 2 5 3 2 2" xfId="26720"/>
    <cellStyle name="Normal 4 4 2 5 3 2 2" xfId="26721"/>
    <cellStyle name="Normal 5 4 2 5 3 2 2" xfId="26722"/>
    <cellStyle name="Normal 7 4 2 5 3 2 2" xfId="26723"/>
    <cellStyle name="Normal 2 3 2 2 5 3 2 2" xfId="26724"/>
    <cellStyle name="Normal 3 3 2 2 5 3 2 2" xfId="26725"/>
    <cellStyle name="Normal 4 2 2 2 5 3 2 2" xfId="26726"/>
    <cellStyle name="Normal 5 2 2 2 5 3 2 2" xfId="26727"/>
    <cellStyle name="Normal 7 2 2 2 5 3 2 2" xfId="26728"/>
    <cellStyle name="Normal 2 4 2 2 5 3 2 2" xfId="26729"/>
    <cellStyle name="Normal 3 4 2 2 5 3 2 2" xfId="26730"/>
    <cellStyle name="Normal 4 3 2 2 5 3 2 2" xfId="26731"/>
    <cellStyle name="Normal 5 3 2 2 5 3 2 2" xfId="26732"/>
    <cellStyle name="Normal 7 3 2 2 5 3 2 2" xfId="26733"/>
    <cellStyle name="Normal 2 6 2 5 3 2 2" xfId="26734"/>
    <cellStyle name="Normal 3 6 2 5 3 2 2" xfId="26735"/>
    <cellStyle name="Normal 4 5 2 5 3 2 2" xfId="26736"/>
    <cellStyle name="Normal 5 5 2 5 3 2 2" xfId="26737"/>
    <cellStyle name="Normal 7 5 2 5 3 2 2" xfId="26738"/>
    <cellStyle name="Normal 2 3 3 2 5 3 2 2" xfId="26739"/>
    <cellStyle name="Normal 3 3 3 2 5 3 2 2" xfId="26740"/>
    <cellStyle name="Normal 4 2 3 2 5 3 2 2" xfId="26741"/>
    <cellStyle name="Normal 5 2 3 2 5 3 2 2" xfId="26742"/>
    <cellStyle name="Normal 7 2 3 2 5 3 2 2" xfId="26743"/>
    <cellStyle name="Normal 2 4 3 2 5 3 2 2" xfId="26744"/>
    <cellStyle name="Normal 3 4 3 2 5 3 2 2" xfId="26745"/>
    <cellStyle name="Normal 4 3 3 2 5 3 2 2" xfId="26746"/>
    <cellStyle name="Normal 5 3 3 2 5 3 2 2" xfId="26747"/>
    <cellStyle name="Normal 7 3 3 2 5 3 2 2" xfId="26748"/>
    <cellStyle name="Normal 2 8 4 3 2 2" xfId="26749"/>
    <cellStyle name="Normal 3 8 4 3 2 2" xfId="26750"/>
    <cellStyle name="Normal 4 7 4 3 2 2" xfId="26751"/>
    <cellStyle name="Normal 5 7 4 3 2 2" xfId="26752"/>
    <cellStyle name="Normal 7 7 4 3 2 2" xfId="26753"/>
    <cellStyle name="Normal 2 3 5 4 3 2 2" xfId="26754"/>
    <cellStyle name="Normal 3 3 5 4 3 2 2" xfId="26755"/>
    <cellStyle name="Normal 4 2 5 4 3 2 2" xfId="26756"/>
    <cellStyle name="Normal 5 2 5 4 3 2 2" xfId="26757"/>
    <cellStyle name="Normal 7 2 5 4 3 2 2" xfId="26758"/>
    <cellStyle name="Normal 2 4 5 4 3 2 2" xfId="26759"/>
    <cellStyle name="Normal 3 4 5 4 3 2 2" xfId="26760"/>
    <cellStyle name="Normal 4 3 5 4 3 2 2" xfId="26761"/>
    <cellStyle name="Normal 5 3 5 4 3 2 2" xfId="26762"/>
    <cellStyle name="Normal 7 3 5 4 3 2 2" xfId="26763"/>
    <cellStyle name="Normal 2 5 3 4 3 2 2" xfId="26764"/>
    <cellStyle name="Normal 3 5 3 4 3 2 2" xfId="26765"/>
    <cellStyle name="Normal 4 4 3 4 3 2 2" xfId="26766"/>
    <cellStyle name="Normal 5 4 3 4 3 2 2" xfId="26767"/>
    <cellStyle name="Normal 7 4 3 4 3 2 2" xfId="26768"/>
    <cellStyle name="Normal 2 3 2 3 4 3 2 2" xfId="26769"/>
    <cellStyle name="Normal 3 3 2 3 4 3 2 2" xfId="26770"/>
    <cellStyle name="Normal 4 2 2 3 4 3 2 2" xfId="26771"/>
    <cellStyle name="Normal 5 2 2 3 4 3 2 2" xfId="26772"/>
    <cellStyle name="Normal 7 2 2 3 4 3 2 2" xfId="26773"/>
    <cellStyle name="Normal 2 4 2 3 4 3 2 2" xfId="26774"/>
    <cellStyle name="Normal 3 4 2 3 4 3 2 2" xfId="26775"/>
    <cellStyle name="Normal 4 3 2 3 4 3 2 2" xfId="26776"/>
    <cellStyle name="Normal 5 3 2 3 4 3 2 2" xfId="26777"/>
    <cellStyle name="Normal 7 3 2 3 4 3 2 2" xfId="26778"/>
    <cellStyle name="Normal 2 6 3 4 3 2 2" xfId="26779"/>
    <cellStyle name="Normal 3 6 3 4 3 2 2" xfId="26780"/>
    <cellStyle name="Normal 4 5 3 4 3 2 2" xfId="26781"/>
    <cellStyle name="Normal 5 5 3 4 3 2 2" xfId="26782"/>
    <cellStyle name="Normal 7 5 3 4 3 2 2" xfId="26783"/>
    <cellStyle name="Normal 2 3 3 3 4 3 2 2" xfId="26784"/>
    <cellStyle name="Normal 3 3 3 3 4 3 2 2" xfId="26785"/>
    <cellStyle name="Normal 4 2 3 3 4 3 2 2" xfId="26786"/>
    <cellStyle name="Normal 5 2 3 3 4 3 2 2" xfId="26787"/>
    <cellStyle name="Normal 7 2 3 3 4 3 2 2" xfId="26788"/>
    <cellStyle name="Normal 2 4 3 3 4 3 2 2" xfId="26789"/>
    <cellStyle name="Normal 3 4 3 3 4 3 2 2" xfId="26790"/>
    <cellStyle name="Normal 4 3 3 3 4 3 2 2" xfId="26791"/>
    <cellStyle name="Normal 5 3 3 3 4 3 2 2" xfId="26792"/>
    <cellStyle name="Normal 7 3 3 3 4 3 2 2" xfId="26793"/>
    <cellStyle name="Normal 2 7 2 4 3 2 2" xfId="26794"/>
    <cellStyle name="Normal 3 7 2 4 3 2 2" xfId="26795"/>
    <cellStyle name="Normal 4 6 2 4 3 2 2" xfId="26796"/>
    <cellStyle name="Normal 5 6 2 4 3 2 2" xfId="26797"/>
    <cellStyle name="Normal 7 6 2 4 3 2 2" xfId="26798"/>
    <cellStyle name="Normal 2 3 4 2 4 3 2 2" xfId="26799"/>
    <cellStyle name="Normal 3 3 4 2 4 3 2 2" xfId="26800"/>
    <cellStyle name="Normal 4 2 4 2 4 3 2 2" xfId="26801"/>
    <cellStyle name="Normal 5 2 4 2 4 3 2 2" xfId="26802"/>
    <cellStyle name="Normal 7 2 4 2 4 3 2 2" xfId="26803"/>
    <cellStyle name="Normal 2 4 4 2 4 3 2 2" xfId="26804"/>
    <cellStyle name="Normal 3 4 4 2 4 3 2 2" xfId="26805"/>
    <cellStyle name="Normal 4 3 4 2 4 3 2 2" xfId="26806"/>
    <cellStyle name="Normal 5 3 4 2 4 3 2 2" xfId="26807"/>
    <cellStyle name="Normal 7 3 4 2 4 3 2 2" xfId="26808"/>
    <cellStyle name="Normal 2 5 2 2 4 3 2 2" xfId="26809"/>
    <cellStyle name="Normal 3 5 2 2 4 3 2 2" xfId="26810"/>
    <cellStyle name="Normal 4 4 2 2 4 3 2 2" xfId="26811"/>
    <cellStyle name="Normal 5 4 2 2 4 3 2 2" xfId="26812"/>
    <cellStyle name="Normal 7 4 2 2 4 3 2 2" xfId="26813"/>
    <cellStyle name="Normal 2 3 2 2 2 4 3 2 2" xfId="26814"/>
    <cellStyle name="Normal 3 3 2 2 2 4 3 2 2" xfId="26815"/>
    <cellStyle name="Normal 4 2 2 2 2 4 3 2 2" xfId="26816"/>
    <cellStyle name="Normal 5 2 2 2 2 4 3 2 2" xfId="26817"/>
    <cellStyle name="Normal 7 2 2 2 2 4 3 2 2" xfId="26818"/>
    <cellStyle name="Normal 2 4 2 2 2 4 3 2 2" xfId="26819"/>
    <cellStyle name="Normal 3 4 2 2 2 4 3 2 2" xfId="26820"/>
    <cellStyle name="Normal 4 3 2 2 2 4 3 2 2" xfId="26821"/>
    <cellStyle name="Normal 5 3 2 2 2 4 3 2 2" xfId="26822"/>
    <cellStyle name="Normal 7 3 2 2 2 4 3 2 2" xfId="26823"/>
    <cellStyle name="Normal 2 6 2 2 4 3 2 2" xfId="26824"/>
    <cellStyle name="Normal 3 6 2 2 4 3 2 2" xfId="26825"/>
    <cellStyle name="Normal 4 5 2 2 4 3 2 2" xfId="26826"/>
    <cellStyle name="Normal 5 5 2 2 4 3 2 2" xfId="26827"/>
    <cellStyle name="Normal 7 5 2 2 4 3 2 2" xfId="26828"/>
    <cellStyle name="Normal 2 3 3 2 2 4 3 2 2" xfId="26829"/>
    <cellStyle name="Normal 3 3 3 2 2 4 3 2 2" xfId="26830"/>
    <cellStyle name="Normal 4 2 3 2 2 4 3 2 2" xfId="26831"/>
    <cellStyle name="Normal 5 2 3 2 2 4 3 2 2" xfId="26832"/>
    <cellStyle name="Normal 7 2 3 2 2 4 3 2 2" xfId="26833"/>
    <cellStyle name="Normal 2 4 3 2 2 4 3 2 2" xfId="26834"/>
    <cellStyle name="Normal 3 4 3 2 2 4 3 2 2" xfId="26835"/>
    <cellStyle name="Normal 4 3 3 2 2 4 3 2 2" xfId="26836"/>
    <cellStyle name="Normal 5 3 3 2 2 4 3 2 2" xfId="26837"/>
    <cellStyle name="Normal 7 3 3 2 2 4 3 2 2" xfId="26838"/>
    <cellStyle name="Normal 2 9 2 3 2 2" xfId="26839"/>
    <cellStyle name="Normal 3 9 2 3 2 2" xfId="26840"/>
    <cellStyle name="Normal 4 8 2 3 2 2" xfId="26841"/>
    <cellStyle name="Normal 5 8 2 3 2 2" xfId="26842"/>
    <cellStyle name="Normal 7 8 2 3 2 2" xfId="26843"/>
    <cellStyle name="Normal 2 3 6 2 3 2 2" xfId="26844"/>
    <cellStyle name="Normal 3 3 6 2 3 2 2" xfId="26845"/>
    <cellStyle name="Normal 4 2 6 2 3 2 2" xfId="26846"/>
    <cellStyle name="Normal 5 2 6 2 3 2 2" xfId="26847"/>
    <cellStyle name="Normal 7 2 6 2 3 2 2" xfId="26848"/>
    <cellStyle name="Normal 2 4 6 2 3 2 2" xfId="26849"/>
    <cellStyle name="Normal 3 4 6 2 3 2 2" xfId="26850"/>
    <cellStyle name="Normal 4 3 6 2 3 2 2" xfId="26851"/>
    <cellStyle name="Normal 5 3 6 2 3 2 2" xfId="26852"/>
    <cellStyle name="Normal 7 3 6 2 3 2 2" xfId="26853"/>
    <cellStyle name="Normal 2 5 4 2 3 2 2" xfId="26854"/>
    <cellStyle name="Normal 3 5 4 2 3 2 2" xfId="26855"/>
    <cellStyle name="Normal 4 4 4 2 3 2 2" xfId="26856"/>
    <cellStyle name="Normal 5 4 4 2 3 2 2" xfId="26857"/>
    <cellStyle name="Normal 7 4 4 2 3 2 2" xfId="26858"/>
    <cellStyle name="Normal 2 3 2 4 2 3 2 2" xfId="26859"/>
    <cellStyle name="Normal 3 3 2 4 2 3 2 2" xfId="26860"/>
    <cellStyle name="Normal 4 2 2 4 2 3 2 2" xfId="26861"/>
    <cellStyle name="Normal 5 2 2 4 2 3 2 2" xfId="26862"/>
    <cellStyle name="Normal 7 2 2 4 2 3 2 2" xfId="26863"/>
    <cellStyle name="Normal 2 4 2 4 2 3 2 2" xfId="26864"/>
    <cellStyle name="Normal 3 4 2 4 2 3 2 2" xfId="26865"/>
    <cellStyle name="Normal 4 3 2 4 2 3 2 2" xfId="26866"/>
    <cellStyle name="Normal 5 3 2 4 2 3 2 2" xfId="26867"/>
    <cellStyle name="Normal 7 3 2 4 2 3 2 2" xfId="26868"/>
    <cellStyle name="Normal 2 6 4 2 3 2 2" xfId="26869"/>
    <cellStyle name="Normal 3 6 4 2 3 2 2" xfId="26870"/>
    <cellStyle name="Normal 4 5 4 2 3 2 2" xfId="26871"/>
    <cellStyle name="Normal 5 5 4 2 3 2 2" xfId="26872"/>
    <cellStyle name="Normal 7 5 4 2 3 2 2" xfId="26873"/>
    <cellStyle name="Normal 2 3 3 4 2 3 2 2" xfId="26874"/>
    <cellStyle name="Normal 3 3 3 4 2 3 2 2" xfId="26875"/>
    <cellStyle name="Normal 4 2 3 4 2 3 2 2" xfId="26876"/>
    <cellStyle name="Normal 5 2 3 4 2 3 2 2" xfId="26877"/>
    <cellStyle name="Normal 7 2 3 4 2 3 2 2" xfId="26878"/>
    <cellStyle name="Normal 2 4 3 4 2 3 2 2" xfId="26879"/>
    <cellStyle name="Normal 3 4 3 4 2 3 2 2" xfId="26880"/>
    <cellStyle name="Normal 4 3 3 4 2 3 2 2" xfId="26881"/>
    <cellStyle name="Normal 5 3 3 4 2 3 2 2" xfId="26882"/>
    <cellStyle name="Normal 7 3 3 4 2 3 2 2" xfId="26883"/>
    <cellStyle name="Normal 2 7 3 2 3 2 2" xfId="26884"/>
    <cellStyle name="Normal 3 7 3 2 3 2 2" xfId="26885"/>
    <cellStyle name="Normal 4 6 3 2 3 2 2" xfId="26886"/>
    <cellStyle name="Normal 5 6 3 2 3 2 2" xfId="26887"/>
    <cellStyle name="Normal 7 6 3 2 3 2 2" xfId="26888"/>
    <cellStyle name="Normal 2 3 4 3 2 3 2 2" xfId="26889"/>
    <cellStyle name="Normal 3 3 4 3 2 3 2 2" xfId="26890"/>
    <cellStyle name="Normal 4 2 4 3 2 3 2 2" xfId="26891"/>
    <cellStyle name="Normal 5 2 4 3 2 3 2 2" xfId="26892"/>
    <cellStyle name="Normal 7 2 4 3 2 3 2 2" xfId="26893"/>
    <cellStyle name="Normal 2 4 4 3 2 3 2 2" xfId="26894"/>
    <cellStyle name="Normal 3 4 4 3 2 3 2 2" xfId="26895"/>
    <cellStyle name="Normal 4 3 4 3 2 3 2 2" xfId="26896"/>
    <cellStyle name="Normal 5 3 4 3 2 3 2 2" xfId="26897"/>
    <cellStyle name="Normal 7 3 4 3 2 3 2 2" xfId="26898"/>
    <cellStyle name="Normal 2 5 2 3 2 3 2 2" xfId="26899"/>
    <cellStyle name="Normal 3 5 2 3 2 3 2 2" xfId="26900"/>
    <cellStyle name="Normal 4 4 2 3 2 3 2 2" xfId="26901"/>
    <cellStyle name="Normal 5 4 2 3 2 3 2 2" xfId="26902"/>
    <cellStyle name="Normal 7 4 2 3 2 3 2 2" xfId="26903"/>
    <cellStyle name="Normal 2 3 2 2 3 2 3 2 2" xfId="26904"/>
    <cellStyle name="Normal 3 3 2 2 3 2 3 2 2" xfId="26905"/>
    <cellStyle name="Normal 4 2 2 2 3 2 3 2 2" xfId="26906"/>
    <cellStyle name="Normal 5 2 2 2 3 2 3 2 2" xfId="26907"/>
    <cellStyle name="Normal 7 2 2 2 3 2 3 2 2" xfId="26908"/>
    <cellStyle name="Normal 2 4 2 2 3 2 3 2 2" xfId="26909"/>
    <cellStyle name="Normal 3 4 2 2 3 2 3 2 2" xfId="26910"/>
    <cellStyle name="Normal 4 3 2 2 3 2 3 2 2" xfId="26911"/>
    <cellStyle name="Normal 5 3 2 2 3 2 3 2 2" xfId="26912"/>
    <cellStyle name="Normal 7 3 2 2 3 2 3 2 2" xfId="26913"/>
    <cellStyle name="Normal 2 6 2 3 2 3 2 2" xfId="26914"/>
    <cellStyle name="Normal 3 6 2 3 2 3 2 2" xfId="26915"/>
    <cellStyle name="Normal 4 5 2 3 2 3 2 2" xfId="26916"/>
    <cellStyle name="Normal 5 5 2 3 2 3 2 2" xfId="26917"/>
    <cellStyle name="Normal 7 5 2 3 2 3 2 2" xfId="26918"/>
    <cellStyle name="Normal 2 3 3 2 3 2 3 2 2" xfId="26919"/>
    <cellStyle name="Normal 3 3 3 2 3 2 3 2 2" xfId="26920"/>
    <cellStyle name="Normal 4 2 3 2 3 2 3 2 2" xfId="26921"/>
    <cellStyle name="Normal 5 2 3 2 3 2 3 2 2" xfId="26922"/>
    <cellStyle name="Normal 7 2 3 2 3 2 3 2 2" xfId="26923"/>
    <cellStyle name="Normal 2 4 3 2 3 2 3 2 2" xfId="26924"/>
    <cellStyle name="Normal 3 4 3 2 3 2 3 2 2" xfId="26925"/>
    <cellStyle name="Normal 4 3 3 2 3 2 3 2 2" xfId="26926"/>
    <cellStyle name="Normal 5 3 3 2 3 2 3 2 2" xfId="26927"/>
    <cellStyle name="Normal 7 3 3 2 3 2 3 2 2" xfId="26928"/>
    <cellStyle name="Normal 2 8 2 2 3 2 2" xfId="26929"/>
    <cellStyle name="Normal 3 8 2 2 3 2 2" xfId="26930"/>
    <cellStyle name="Normal 4 7 2 2 3 2 2" xfId="26931"/>
    <cellStyle name="Normal 5 7 2 2 3 2 2" xfId="26932"/>
    <cellStyle name="Normal 7 7 2 2 3 2 2" xfId="26933"/>
    <cellStyle name="Normal 2 3 5 2 2 3 2 2" xfId="26934"/>
    <cellStyle name="Normal 3 3 5 2 2 3 2 2" xfId="26935"/>
    <cellStyle name="Normal 4 2 5 2 2 3 2 2" xfId="26936"/>
    <cellStyle name="Normal 5 2 5 2 2 3 2 2" xfId="26937"/>
    <cellStyle name="Normal 7 2 5 2 2 3 2 2" xfId="26938"/>
    <cellStyle name="Normal 2 4 5 2 2 3 2 2" xfId="26939"/>
    <cellStyle name="Normal 3 4 5 2 2 3 2 2" xfId="26940"/>
    <cellStyle name="Normal 4 3 5 2 2 3 2 2" xfId="26941"/>
    <cellStyle name="Normal 5 3 5 2 2 3 2 2" xfId="26942"/>
    <cellStyle name="Normal 7 3 5 2 2 3 2 2" xfId="26943"/>
    <cellStyle name="Normal 2 5 3 2 2 3 2 2" xfId="26944"/>
    <cellStyle name="Normal 3 5 3 2 2 3 2 2" xfId="26945"/>
    <cellStyle name="Normal 4 4 3 2 2 3 2 2" xfId="26946"/>
    <cellStyle name="Normal 5 4 3 2 2 3 2 2" xfId="26947"/>
    <cellStyle name="Normal 7 4 3 2 2 3 2 2" xfId="26948"/>
    <cellStyle name="Normal 2 3 2 3 2 2 3 2 2" xfId="26949"/>
    <cellStyle name="Normal 3 3 2 3 2 2 3 2 2" xfId="26950"/>
    <cellStyle name="Normal 4 2 2 3 2 2 3 2 2" xfId="26951"/>
    <cellStyle name="Normal 5 2 2 3 2 2 3 2 2" xfId="26952"/>
    <cellStyle name="Normal 7 2 2 3 2 2 3 2 2" xfId="26953"/>
    <cellStyle name="Normal 2 4 2 3 2 2 3 2 2" xfId="26954"/>
    <cellStyle name="Normal 3 4 2 3 2 2 3 2 2" xfId="26955"/>
    <cellStyle name="Normal 4 3 2 3 2 2 3 2 2" xfId="26956"/>
    <cellStyle name="Normal 5 3 2 3 2 2 3 2 2" xfId="26957"/>
    <cellStyle name="Normal 7 3 2 3 2 2 3 2 2" xfId="26958"/>
    <cellStyle name="Normal 2 6 3 2 2 3 2 2" xfId="26959"/>
    <cellStyle name="Normal 3 6 3 2 2 3 2 2" xfId="26960"/>
    <cellStyle name="Normal 4 5 3 2 2 3 2 2" xfId="26961"/>
    <cellStyle name="Normal 5 5 3 2 2 3 2 2" xfId="26962"/>
    <cellStyle name="Normal 7 5 3 2 2 3 2 2" xfId="26963"/>
    <cellStyle name="Normal 2 3 3 3 2 2 3 2 2" xfId="26964"/>
    <cellStyle name="Normal 3 3 3 3 2 2 3 2 2" xfId="26965"/>
    <cellStyle name="Normal 4 2 3 3 2 2 3 2 2" xfId="26966"/>
    <cellStyle name="Normal 5 2 3 3 2 2 3 2 2" xfId="26967"/>
    <cellStyle name="Normal 7 2 3 3 2 2 3 2 2" xfId="26968"/>
    <cellStyle name="Normal 2 4 3 3 2 2 3 2 2" xfId="26969"/>
    <cellStyle name="Normal 3 4 3 3 2 2 3 2 2" xfId="26970"/>
    <cellStyle name="Normal 4 3 3 3 2 2 3 2 2" xfId="26971"/>
    <cellStyle name="Normal 5 3 3 3 2 2 3 2 2" xfId="26972"/>
    <cellStyle name="Normal 7 3 3 3 2 2 3 2 2" xfId="26973"/>
    <cellStyle name="Normal 2 7 2 2 2 3 2 2" xfId="26974"/>
    <cellStyle name="Normal 3 7 2 2 2 3 2 2" xfId="26975"/>
    <cellStyle name="Normal 4 6 2 2 2 3 2 2" xfId="26976"/>
    <cellStyle name="Normal 5 6 2 2 2 3 2 2" xfId="26977"/>
    <cellStyle name="Normal 7 6 2 2 2 3 2 2" xfId="26978"/>
    <cellStyle name="Normal 2 3 4 2 2 2 3 2 2" xfId="26979"/>
    <cellStyle name="Normal 3 3 4 2 2 2 3 2 2" xfId="26980"/>
    <cellStyle name="Normal 4 2 4 2 2 2 3 2 2" xfId="26981"/>
    <cellStyle name="Normal 5 2 4 2 2 2 3 2 2" xfId="26982"/>
    <cellStyle name="Normal 7 2 4 2 2 2 3 2 2" xfId="26983"/>
    <cellStyle name="Normal 2 4 4 2 2 2 3 2 2" xfId="26984"/>
    <cellStyle name="Normal 3 4 4 2 2 2 3 2 2" xfId="26985"/>
    <cellStyle name="Normal 4 3 4 2 2 2 3 2 2" xfId="26986"/>
    <cellStyle name="Normal 5 3 4 2 2 2 3 2 2" xfId="26987"/>
    <cellStyle name="Normal 7 3 4 2 2 2 3 2 2" xfId="26988"/>
    <cellStyle name="Normal 2 5 2 2 2 2 3 2 2" xfId="26989"/>
    <cellStyle name="Normal 3 5 2 2 2 2 3 2 2" xfId="26990"/>
    <cellStyle name="Normal 4 4 2 2 2 2 3 2 2" xfId="26991"/>
    <cellStyle name="Normal 5 4 2 2 2 2 3 2 2" xfId="26992"/>
    <cellStyle name="Normal 7 4 2 2 2 2 3 2 2" xfId="26993"/>
    <cellStyle name="Normal 2 3 2 2 2 2 2 3 2 2" xfId="26994"/>
    <cellStyle name="Normal 3 3 2 2 2 2 2 3 2 2" xfId="26995"/>
    <cellStyle name="Normal 4 2 2 2 2 2 2 3 2 2" xfId="26996"/>
    <cellStyle name="Normal 5 2 2 2 2 2 2 3 2 2" xfId="26997"/>
    <cellStyle name="Normal 7 2 2 2 2 2 2 3 2 2" xfId="26998"/>
    <cellStyle name="Normal 2 4 2 2 2 2 2 3 2 2" xfId="26999"/>
    <cellStyle name="Normal 3 4 2 2 2 2 2 3 2 2" xfId="27000"/>
    <cellStyle name="Normal 4 3 2 2 2 2 2 3 2 2" xfId="27001"/>
    <cellStyle name="Normal 5 3 2 2 2 2 2 3 2 2" xfId="27002"/>
    <cellStyle name="Normal 7 3 2 2 2 2 2 3 2 2" xfId="27003"/>
    <cellStyle name="Normal 2 6 2 2 2 2 3 2 2" xfId="27004"/>
    <cellStyle name="Normal 3 6 2 2 2 2 3 2 2" xfId="27005"/>
    <cellStyle name="Normal 4 5 2 2 2 2 3 2 2" xfId="27006"/>
    <cellStyle name="Normal 5 5 2 2 2 2 3 2 2" xfId="27007"/>
    <cellStyle name="Normal 7 5 2 2 2 2 3 2 2" xfId="27008"/>
    <cellStyle name="Normal 2 3 3 2 2 2 2 3 2 2" xfId="27009"/>
    <cellStyle name="Normal 3 3 3 2 2 2 2 3 2 2" xfId="27010"/>
    <cellStyle name="Normal 4 2 3 2 2 2 2 3 2 2" xfId="27011"/>
    <cellStyle name="Normal 5 2 3 2 2 2 2 3 2 2" xfId="27012"/>
    <cellStyle name="Normal 7 2 3 2 2 2 2 3 2 2" xfId="27013"/>
    <cellStyle name="Normal 2 4 3 2 2 2 2 3 2 2" xfId="27014"/>
    <cellStyle name="Normal 3 4 3 2 2 2 2 3 2 2" xfId="27015"/>
    <cellStyle name="Normal 4 3 3 2 2 2 2 3 2 2" xfId="27016"/>
    <cellStyle name="Normal 5 3 3 2 2 2 2 3 2 2" xfId="27017"/>
    <cellStyle name="Normal 7 3 3 2 2 2 2 3 2 2" xfId="27018"/>
    <cellStyle name="Normal 28 2 3 2 2" xfId="27019"/>
    <cellStyle name="Normal 2 3 7 2 3 2 2" xfId="27020"/>
    <cellStyle name="Normal 3 10 2 3 2 2" xfId="27021"/>
    <cellStyle name="Normal 4 9 2 3 2 2" xfId="27022"/>
    <cellStyle name="Normal 5 9 2 3 2 2" xfId="27023"/>
    <cellStyle name="Millares 4 2 3 2 2" xfId="27024"/>
    <cellStyle name="Normal 7 2 7 2 3 2 2" xfId="27025"/>
    <cellStyle name="Normal 3 3 7 2 3 2 2" xfId="27026"/>
    <cellStyle name="Normal 4 2 7 2 3 2 2" xfId="27027"/>
    <cellStyle name="Normal 5 2 7 2 3 2 2" xfId="27028"/>
    <cellStyle name="Normal 2 4 5 3 2 3 2 2" xfId="27029"/>
    <cellStyle name="Normal 3 4 7 2 3 2 2" xfId="27030"/>
    <cellStyle name="Normal 4 3 7 2 3 2 2" xfId="27031"/>
    <cellStyle name="Normal 5 3 7 2 3 2 2" xfId="27032"/>
    <cellStyle name="Normal 7 3 7 2 3 2 2" xfId="27033"/>
    <cellStyle name="Normal 2 5 5 2 3 2 2" xfId="27034"/>
    <cellStyle name="Normal 3 5 5 2 3 2 2" xfId="27035"/>
    <cellStyle name="Normal 4 4 5 2 3 2 2" xfId="27036"/>
    <cellStyle name="Normal 5 4 5 2 3 2 2" xfId="27037"/>
    <cellStyle name="Normal 7 4 5 2 3 2 2" xfId="27038"/>
    <cellStyle name="Normal 2 3 2 5 2 3 2 2" xfId="27039"/>
    <cellStyle name="Normal 3 3 2 5 2 3 2 2" xfId="27040"/>
    <cellStyle name="Normal 4 2 2 5 2 3 2 2" xfId="27041"/>
    <cellStyle name="Normal 5 2 2 5 2 3 2 2" xfId="27042"/>
    <cellStyle name="Normal 7 2 2 5 2 3 2 2" xfId="27043"/>
    <cellStyle name="Normal 2 4 2 5 2 3 2 2" xfId="27044"/>
    <cellStyle name="Normal 3 4 2 5 2 3 2 2" xfId="27045"/>
    <cellStyle name="Normal 4 3 2 5 2 3 2 2" xfId="27046"/>
    <cellStyle name="Normal 5 3 2 5 2 3 2 2" xfId="27047"/>
    <cellStyle name="Normal 7 3 2 5 2 3 2 2" xfId="27048"/>
    <cellStyle name="Normal 2 6 5 2 3 2 2" xfId="27049"/>
    <cellStyle name="Normal 3 6 5 2 3 2 2" xfId="27050"/>
    <cellStyle name="Normal 4 5 5 2 3 2 2" xfId="27051"/>
    <cellStyle name="Normal 5 5 5 2 3 2 2" xfId="27052"/>
    <cellStyle name="Normal 7 5 5 2 3 2 2" xfId="27053"/>
    <cellStyle name="Normal 2 3 3 5 2 3 2 2" xfId="27054"/>
    <cellStyle name="Normal 3 3 3 5 2 3 2 2" xfId="27055"/>
    <cellStyle name="Normal 4 2 3 5 2 3 2 2" xfId="27056"/>
    <cellStyle name="Normal 5 2 3 5 2 3 2 2" xfId="27057"/>
    <cellStyle name="Normal 7 2 3 5 2 3 2 2" xfId="27058"/>
    <cellStyle name="Normal 2 4 3 5 2 3 2 2" xfId="27059"/>
    <cellStyle name="Normal 3 4 3 5 2 3 2 2" xfId="27060"/>
    <cellStyle name="Normal 4 3 3 5 2 3 2 2" xfId="27061"/>
    <cellStyle name="Normal 5 3 3 5 2 3 2 2" xfId="27062"/>
    <cellStyle name="Normal 7 3 3 5 2 3 2 2" xfId="27063"/>
    <cellStyle name="Normal 2 7 4 2 3 2 2" xfId="27064"/>
    <cellStyle name="Normal 3 7 4 2 3 2 2" xfId="27065"/>
    <cellStyle name="Normal 4 6 4 2 3 2 2" xfId="27066"/>
    <cellStyle name="Normal 5 6 4 2 3 2 2" xfId="27067"/>
    <cellStyle name="Normal 7 6 4 2 3 2 2" xfId="27068"/>
    <cellStyle name="Normal 2 3 4 4 2 3 2 2" xfId="27069"/>
    <cellStyle name="Normal 3 3 4 4 2 3 2 2" xfId="27070"/>
    <cellStyle name="Normal 4 2 4 4 2 3 2 2" xfId="27071"/>
    <cellStyle name="Normal 5 2 4 4 2 3 2 2" xfId="27072"/>
    <cellStyle name="Normal 7 2 4 4 2 3 2 2" xfId="27073"/>
    <cellStyle name="Normal 2 4 4 4 2 3 2 2" xfId="27074"/>
    <cellStyle name="Normal 3 4 4 4 2 3 2 2" xfId="27075"/>
    <cellStyle name="Normal 4 3 4 4 2 3 2 2" xfId="27076"/>
    <cellStyle name="Normal 5 3 4 4 2 3 2 2" xfId="27077"/>
    <cellStyle name="Normal 7 3 4 4 2 3 2 2" xfId="27078"/>
    <cellStyle name="Normal 2 5 2 4 2 3 2 2" xfId="27079"/>
    <cellStyle name="Normal 3 5 2 4 2 3 2 2" xfId="27080"/>
    <cellStyle name="Normal 4 4 2 4 2 3 2 2" xfId="27081"/>
    <cellStyle name="Normal 5 4 2 4 2 3 2 2" xfId="27082"/>
    <cellStyle name="Normal 7 4 2 4 2 3 2 2" xfId="27083"/>
    <cellStyle name="Normal 2 3 2 2 4 2 3 2 2" xfId="27084"/>
    <cellStyle name="Normal 3 3 2 2 4 2 3 2 2" xfId="27085"/>
    <cellStyle name="Normal 4 2 2 2 4 2 3 2 2" xfId="27086"/>
    <cellStyle name="Normal 5 2 2 2 4 2 3 2 2" xfId="27087"/>
    <cellStyle name="Normal 7 2 2 2 4 2 3 2 2" xfId="27088"/>
    <cellStyle name="Normal 2 4 2 2 4 2 3 2 2" xfId="27089"/>
    <cellStyle name="Normal 3 4 2 2 4 2 3 2 2" xfId="27090"/>
    <cellStyle name="Normal 4 3 2 2 4 2 3 2 2" xfId="27091"/>
    <cellStyle name="Normal 5 3 2 2 4 2 3 2 2" xfId="27092"/>
    <cellStyle name="Normal 7 3 2 2 4 2 3 2 2" xfId="27093"/>
    <cellStyle name="Normal 2 6 2 4 2 3 2 2" xfId="27094"/>
    <cellStyle name="Normal 3 6 2 4 2 3 2 2" xfId="27095"/>
    <cellStyle name="Normal 4 5 2 4 2 3 2 2" xfId="27096"/>
    <cellStyle name="Normal 5 5 2 4 2 3 2 2" xfId="27097"/>
    <cellStyle name="Normal 7 5 2 4 2 3 2 2" xfId="27098"/>
    <cellStyle name="Normal 2 3 3 2 4 2 3 2 2" xfId="27099"/>
    <cellStyle name="Normal 3 3 3 2 4 2 3 2 2" xfId="27100"/>
    <cellStyle name="Normal 4 2 3 2 4 2 3 2 2" xfId="27101"/>
    <cellStyle name="Normal 5 2 3 2 4 2 3 2 2" xfId="27102"/>
    <cellStyle name="Normal 7 2 3 2 4 2 3 2 2" xfId="27103"/>
    <cellStyle name="Normal 2 4 3 2 4 2 3 2 2" xfId="27104"/>
    <cellStyle name="Normal 3 4 3 2 4 2 3 2 2" xfId="27105"/>
    <cellStyle name="Normal 4 3 3 2 4 2 3 2 2" xfId="27106"/>
    <cellStyle name="Normal 5 3 3 2 4 2 3 2 2" xfId="27107"/>
    <cellStyle name="Normal 7 3 3 2 4 2 3 2 2" xfId="27108"/>
    <cellStyle name="Normal 2 8 3 2 3 2 2" xfId="27109"/>
    <cellStyle name="Normal 3 8 3 2 3 2 2" xfId="27110"/>
    <cellStyle name="Normal 4 7 3 2 3 2 2" xfId="27111"/>
    <cellStyle name="Normal 5 7 3 2 3 2 2" xfId="27112"/>
    <cellStyle name="Normal 7 7 3 2 3 2 2" xfId="27113"/>
    <cellStyle name="Normal 2 3 5 3 2 3 2 2" xfId="27114"/>
    <cellStyle name="Normal 3 3 5 3 2 3 2 2" xfId="27115"/>
    <cellStyle name="Normal 4 2 5 3 2 3 2 2" xfId="27116"/>
    <cellStyle name="Normal 5 2 5 3 2 3 2 2" xfId="27117"/>
    <cellStyle name="Normal 7 2 5 3 2 3 2 2" xfId="27118"/>
    <cellStyle name="Normal 3 4 5 3 2 3 2 2" xfId="27119"/>
    <cellStyle name="Normal 4 3 5 3 2 3 2 2" xfId="27120"/>
    <cellStyle name="Normal 5 3 5 3 2 3 2 2" xfId="27121"/>
    <cellStyle name="Normal 7 3 5 3 2 3 2 2" xfId="27122"/>
    <cellStyle name="Normal 2 5 3 3 2 3 2 2" xfId="27123"/>
    <cellStyle name="Normal 3 5 3 3 2 3 2 2" xfId="27124"/>
    <cellStyle name="Normal 4 4 3 3 2 3 2 2" xfId="27125"/>
    <cellStyle name="Normal 5 4 3 3 2 3 2 2" xfId="27126"/>
    <cellStyle name="Normal 7 4 3 3 2 3 2 2" xfId="27127"/>
    <cellStyle name="Normal 2 3 2 3 3 2 3 2 2" xfId="27128"/>
    <cellStyle name="Normal 3 3 2 3 3 2 3 2 2" xfId="27129"/>
    <cellStyle name="Normal 4 2 2 3 3 2 3 2 2" xfId="27130"/>
    <cellStyle name="Normal 5 2 2 3 3 2 3 2 2" xfId="27131"/>
    <cellStyle name="Normal 7 2 2 3 3 2 3 2 2" xfId="27132"/>
    <cellStyle name="Normal 2 4 2 3 3 2 3 2 2" xfId="27133"/>
    <cellStyle name="Normal 3 4 2 3 3 2 3 2 2" xfId="27134"/>
    <cellStyle name="Normal 4 3 2 3 3 2 3 2 2" xfId="27135"/>
    <cellStyle name="Normal 5 3 2 3 3 2 3 2 2" xfId="27136"/>
    <cellStyle name="Normal 7 3 2 3 3 2 3 2 2" xfId="27137"/>
    <cellStyle name="Normal 2 6 3 3 2 3 2 2" xfId="27138"/>
    <cellStyle name="Normal 3 6 3 3 2 3 2 2" xfId="27139"/>
    <cellStyle name="Normal 4 5 3 3 2 3 2 2" xfId="27140"/>
    <cellStyle name="Normal 5 5 3 3 2 3 2 2" xfId="27141"/>
    <cellStyle name="Normal 7 5 3 3 2 3 2 2" xfId="27142"/>
    <cellStyle name="Normal 2 3 3 3 3 2 3 2 2" xfId="27143"/>
    <cellStyle name="Normal 3 3 3 3 3 2 3 2 2" xfId="27144"/>
    <cellStyle name="Normal 4 2 3 3 3 2 3 2 2" xfId="27145"/>
    <cellStyle name="Normal 5 2 3 3 3 2 3 2 2" xfId="27146"/>
    <cellStyle name="Normal 7 2 3 3 3 2 3 2 2" xfId="27147"/>
    <cellStyle name="Normal 2 4 3 3 3 2 3 2 2" xfId="27148"/>
    <cellStyle name="Normal 3 4 3 3 3 2 3 2 2" xfId="27149"/>
    <cellStyle name="Normal 4 3 3 3 3 2 3 2 2" xfId="27150"/>
    <cellStyle name="Normal 5 3 3 3 3 2 3 2 2" xfId="27151"/>
    <cellStyle name="Normal 7 3 3 3 3 2 3 2 2" xfId="27152"/>
    <cellStyle name="Normal 2 7 2 3 2 3 2 2" xfId="27153"/>
    <cellStyle name="Normal 3 7 2 3 2 3 2 2" xfId="27154"/>
    <cellStyle name="Normal 4 6 2 3 2 3 2 2" xfId="27155"/>
    <cellStyle name="Normal 5 6 2 3 2 3 2 2" xfId="27156"/>
    <cellStyle name="Normal 7 6 2 3 2 3 2 2" xfId="27157"/>
    <cellStyle name="Normal 2 3 4 2 3 2 3 2 2" xfId="27158"/>
    <cellStyle name="Normal 3 3 4 2 3 2 3 2 2" xfId="27159"/>
    <cellStyle name="Normal 4 2 4 2 3 2 3 2 2" xfId="27160"/>
    <cellStyle name="Normal 5 2 4 2 3 2 3 2 2" xfId="27161"/>
    <cellStyle name="Normal 7 2 4 2 3 2 3 2 2" xfId="27162"/>
    <cellStyle name="Normal 2 4 4 2 3 2 3 2 2" xfId="27163"/>
    <cellStyle name="Normal 3 4 4 2 3 2 3 2 2" xfId="27164"/>
    <cellStyle name="Normal 4 3 4 2 3 2 3 2 2" xfId="27165"/>
    <cellStyle name="Normal 5 3 4 2 3 2 3 2 2" xfId="27166"/>
    <cellStyle name="Normal 7 3 4 2 3 2 3 2 2" xfId="27167"/>
    <cellStyle name="Normal 2 5 2 2 3 2 3 2 2" xfId="27168"/>
    <cellStyle name="Normal 3 5 2 2 3 2 3 2 2" xfId="27169"/>
    <cellStyle name="Normal 4 4 2 2 3 2 3 2 2" xfId="27170"/>
    <cellStyle name="Normal 5 4 2 2 3 2 3 2 2" xfId="27171"/>
    <cellStyle name="Normal 7 4 2 2 3 2 3 2 2" xfId="27172"/>
    <cellStyle name="Normal 2 3 2 2 2 3 2 3 2 2" xfId="27173"/>
    <cellStyle name="Normal 3 3 2 2 2 3 2 3 2 2" xfId="27174"/>
    <cellStyle name="Normal 4 2 2 2 2 3 2 3 2 2" xfId="27175"/>
    <cellStyle name="Normal 5 2 2 2 2 3 2 3 2 2" xfId="27176"/>
    <cellStyle name="Normal 7 2 2 2 2 3 2 3 2 2" xfId="27177"/>
    <cellStyle name="Normal 2 4 2 2 2 3 2 3 2 2" xfId="27178"/>
    <cellStyle name="Normal 3 4 2 2 2 3 2 3 2 2" xfId="27179"/>
    <cellStyle name="Normal 4 3 2 2 2 3 2 3 2 2" xfId="27180"/>
    <cellStyle name="Normal 5 3 2 2 2 3 2 3 2 2" xfId="27181"/>
    <cellStyle name="Normal 7 3 2 2 2 3 2 3 2 2" xfId="27182"/>
    <cellStyle name="Normal 2 6 2 2 3 2 3 2 2" xfId="27183"/>
    <cellStyle name="Normal 3 6 2 2 3 2 3 2 2" xfId="27184"/>
    <cellStyle name="Normal 4 5 2 2 3 2 3 2 2" xfId="27185"/>
    <cellStyle name="Normal 5 5 2 2 3 2 3 2 2" xfId="27186"/>
    <cellStyle name="Normal 7 5 2 2 3 2 3 2 2" xfId="27187"/>
    <cellStyle name="Normal 2 3 3 2 2 3 2 3 2 2" xfId="27188"/>
    <cellStyle name="Normal 3 3 3 2 2 3 2 3 2 2" xfId="27189"/>
    <cellStyle name="Normal 4 2 3 2 2 3 2 3 2 2" xfId="27190"/>
    <cellStyle name="Normal 5 2 3 2 2 3 2 3 2 2" xfId="27191"/>
    <cellStyle name="Normal 7 2 3 2 2 3 2 3 2 2" xfId="27192"/>
    <cellStyle name="Normal 2 4 3 2 2 3 2 3 2 2" xfId="27193"/>
    <cellStyle name="Normal 3 4 3 2 2 3 2 3 2 2" xfId="27194"/>
    <cellStyle name="Normal 4 3 3 2 2 3 2 3 2 2" xfId="27195"/>
    <cellStyle name="Normal 5 3 3 2 2 3 2 3 2 2" xfId="27196"/>
    <cellStyle name="Normal 7 3 3 2 2 3 2 3 2 2" xfId="27197"/>
    <cellStyle name="Normal 2 12 3 2 2" xfId="27198"/>
    <cellStyle name="Normal 3 12 3 2 2" xfId="27199"/>
    <cellStyle name="Normal 4 11 3 2 2" xfId="27200"/>
    <cellStyle name="Normal 5 11 3 2 2" xfId="27201"/>
    <cellStyle name="Normal 7 11 3 2 2" xfId="27202"/>
    <cellStyle name="Normal 2 3 9 3 2 2" xfId="27203"/>
    <cellStyle name="Normal 3 3 9 3 2 2" xfId="27204"/>
    <cellStyle name="Normal 4 2 9 3 2 2" xfId="27205"/>
    <cellStyle name="Normal 5 2 9 3 2 2" xfId="27206"/>
    <cellStyle name="Normal 7 2 9 3 2 2" xfId="27207"/>
    <cellStyle name="Normal 2 4 9 3 2 2" xfId="27208"/>
    <cellStyle name="Normal 3 4 9 3 2 2" xfId="27209"/>
    <cellStyle name="Normal 4 3 9 3 2 2" xfId="27210"/>
    <cellStyle name="Normal 5 3 9 3 2 2" xfId="27211"/>
    <cellStyle name="Normal 7 3 9 3 2 2" xfId="27212"/>
    <cellStyle name="Normal 2 5 7 3 2 2" xfId="27213"/>
    <cellStyle name="Normal 3 5 7 3 2 2" xfId="27214"/>
    <cellStyle name="Normal 4 4 7 3 2 2" xfId="27215"/>
    <cellStyle name="Normal 5 4 7 3 2 2" xfId="27216"/>
    <cellStyle name="Normal 7 4 7 3 2 2" xfId="27217"/>
    <cellStyle name="Normal 2 3 2 7 3 2 2" xfId="27218"/>
    <cellStyle name="Normal 3 3 2 7 3 2 2" xfId="27219"/>
    <cellStyle name="Normal 4 2 2 7 3 2 2" xfId="27220"/>
    <cellStyle name="Normal 5 2 2 7 3 2 2" xfId="27221"/>
    <cellStyle name="Normal 7 2 2 7 3 2 2" xfId="27222"/>
    <cellStyle name="Normal 2 4 2 7 3 2 2" xfId="27223"/>
    <cellStyle name="Normal 3 4 2 7 3 2 2" xfId="27224"/>
    <cellStyle name="Normal 4 3 2 7 3 2 2" xfId="27225"/>
    <cellStyle name="Normal 5 3 2 7 3 2 2" xfId="27226"/>
    <cellStyle name="Normal 7 3 2 7 3 2 2" xfId="27227"/>
    <cellStyle name="Normal 2 6 7 3 2 2" xfId="27228"/>
    <cellStyle name="Normal 3 6 7 3 2 2" xfId="27229"/>
    <cellStyle name="Normal 4 5 7 3 2 2" xfId="27230"/>
    <cellStyle name="Normal 5 5 7 3 2 2" xfId="27231"/>
    <cellStyle name="Normal 7 5 7 3 2 2" xfId="27232"/>
    <cellStyle name="Normal 2 3 3 7 3 2 2" xfId="27233"/>
    <cellStyle name="Normal 3 3 3 7 3 2 2" xfId="27234"/>
    <cellStyle name="Normal 4 2 3 7 3 2 2" xfId="27235"/>
    <cellStyle name="Normal 5 2 3 7 3 2 2" xfId="27236"/>
    <cellStyle name="Normal 7 2 3 7 3 2 2" xfId="27237"/>
    <cellStyle name="Normal 2 4 3 7 3 2 2" xfId="27238"/>
    <cellStyle name="Normal 3 4 3 7 3 2 2" xfId="27239"/>
    <cellStyle name="Normal 4 3 3 7 3 2 2" xfId="27240"/>
    <cellStyle name="Normal 5 3 3 7 3 2 2" xfId="27241"/>
    <cellStyle name="Normal 7 3 3 7 3 2 2" xfId="27242"/>
    <cellStyle name="Normal 2 7 6 3 2 2" xfId="27243"/>
    <cellStyle name="Normal 3 7 6 3 2 2" xfId="27244"/>
    <cellStyle name="Normal 4 6 6 3 2 2" xfId="27245"/>
    <cellStyle name="Normal 5 6 6 3 2 2" xfId="27246"/>
    <cellStyle name="Normal 7 6 6 3 2 2" xfId="27247"/>
    <cellStyle name="Normal 2 3 4 6 3 2 2" xfId="27248"/>
    <cellStyle name="Normal 3 3 4 6 3 2 2" xfId="27249"/>
    <cellStyle name="Normal 4 2 4 6 3 2 2" xfId="27250"/>
    <cellStyle name="Normal 5 2 4 6 3 2 2" xfId="27251"/>
    <cellStyle name="Normal 7 2 4 6 3 2 2" xfId="27252"/>
    <cellStyle name="Normal 2 4 4 6 3 2 2" xfId="27253"/>
    <cellStyle name="Normal 3 4 4 6 3 2 2" xfId="27254"/>
    <cellStyle name="Normal 4 3 4 6 3 2 2" xfId="27255"/>
    <cellStyle name="Normal 5 3 4 6 3 2 2" xfId="27256"/>
    <cellStyle name="Normal 7 3 4 6 3 2 2" xfId="27257"/>
    <cellStyle name="Normal 2 5 2 6 3 2 2" xfId="27258"/>
    <cellStyle name="Normal 3 5 2 6 3 2 2" xfId="27259"/>
    <cellStyle name="Normal 4 4 2 6 3 2 2" xfId="27260"/>
    <cellStyle name="Normal 5 4 2 6 3 2 2" xfId="27261"/>
    <cellStyle name="Normal 7 4 2 6 3 2 2" xfId="27262"/>
    <cellStyle name="Normal 2 3 2 2 6 3 2 2" xfId="27263"/>
    <cellStyle name="Normal 3 3 2 2 6 3 2 2" xfId="27264"/>
    <cellStyle name="Normal 4 2 2 2 6 3 2 2" xfId="27265"/>
    <cellStyle name="Normal 5 2 2 2 6 3 2 2" xfId="27266"/>
    <cellStyle name="Normal 7 2 2 2 6 3 2 2" xfId="27267"/>
    <cellStyle name="Normal 2 4 2 2 6 3 2 2" xfId="27268"/>
    <cellStyle name="Normal 3 4 2 2 6 3 2 2" xfId="27269"/>
    <cellStyle name="Normal 4 3 2 2 6 3 2 2" xfId="27270"/>
    <cellStyle name="Normal 5 3 2 2 6 3 2 2" xfId="27271"/>
    <cellStyle name="Normal 7 3 2 2 6 3 2 2" xfId="27272"/>
    <cellStyle name="Normal 2 6 2 6 3 2 2" xfId="27273"/>
    <cellStyle name="Normal 3 6 2 6 3 2 2" xfId="27274"/>
    <cellStyle name="Normal 4 5 2 6 3 2 2" xfId="27275"/>
    <cellStyle name="Normal 5 5 2 6 3 2 2" xfId="27276"/>
    <cellStyle name="Normal 7 5 2 6 3 2 2" xfId="27277"/>
    <cellStyle name="Normal 2 3 3 2 6 3 2 2" xfId="27278"/>
    <cellStyle name="Normal 3 3 3 2 6 3 2 2" xfId="27279"/>
    <cellStyle name="Normal 4 2 3 2 6 3 2 2" xfId="27280"/>
    <cellStyle name="Normal 5 2 3 2 6 3 2 2" xfId="27281"/>
    <cellStyle name="Normal 7 2 3 2 6 3 2 2" xfId="27282"/>
    <cellStyle name="Normal 2 4 3 2 6 3 2 2" xfId="27283"/>
    <cellStyle name="Normal 3 4 3 2 6 3 2 2" xfId="27284"/>
    <cellStyle name="Normal 4 3 3 2 6 3 2 2" xfId="27285"/>
    <cellStyle name="Normal 5 3 3 2 6 3 2 2" xfId="27286"/>
    <cellStyle name="Normal 7 3 3 2 6 3 2 2" xfId="27287"/>
    <cellStyle name="Normal 2 8 5 3 2 2" xfId="27288"/>
    <cellStyle name="Normal 3 8 5 3 2 2" xfId="27289"/>
    <cellStyle name="Normal 4 7 5 3 2 2" xfId="27290"/>
    <cellStyle name="Normal 5 7 5 3 2 2" xfId="27291"/>
    <cellStyle name="Normal 7 7 5 3 2 2" xfId="27292"/>
    <cellStyle name="Normal 2 3 5 5 3 2 2" xfId="27293"/>
    <cellStyle name="Normal 3 3 5 5 3 2 2" xfId="27294"/>
    <cellStyle name="Normal 4 2 5 5 3 2 2" xfId="27295"/>
    <cellStyle name="Normal 5 2 5 5 3 2 2" xfId="27296"/>
    <cellStyle name="Normal 7 2 5 5 3 2 2" xfId="27297"/>
    <cellStyle name="Normal 2 4 5 5 3 2 2" xfId="27298"/>
    <cellStyle name="Normal 3 4 5 5 3 2 2" xfId="27299"/>
    <cellStyle name="Normal 4 3 5 5 3 2 2" xfId="27300"/>
    <cellStyle name="Normal 5 3 5 5 3 2 2" xfId="27301"/>
    <cellStyle name="Normal 7 3 5 5 3 2 2" xfId="27302"/>
    <cellStyle name="Normal 2 5 3 5 3 2 2" xfId="27303"/>
    <cellStyle name="Normal 3 5 3 5 3 2 2" xfId="27304"/>
    <cellStyle name="Normal 4 4 3 5 3 2 2" xfId="27305"/>
    <cellStyle name="Normal 5 4 3 5 3 2 2" xfId="27306"/>
    <cellStyle name="Normal 7 4 3 5 3 2 2" xfId="27307"/>
    <cellStyle name="Normal 2 3 2 3 5 3 2 2" xfId="27308"/>
    <cellStyle name="Normal 3 3 2 3 5 3 2 2" xfId="27309"/>
    <cellStyle name="Normal 4 2 2 3 5 3 2 2" xfId="27310"/>
    <cellStyle name="Normal 5 2 2 3 5 3 2 2" xfId="27311"/>
    <cellStyle name="Normal 7 2 2 3 5 3 2 2" xfId="27312"/>
    <cellStyle name="Normal 2 4 2 3 5 3 2 2" xfId="27313"/>
    <cellStyle name="Normal 3 4 2 3 5 3 2 2" xfId="27314"/>
    <cellStyle name="Normal 4 3 2 3 5 3 2 2" xfId="27315"/>
    <cellStyle name="Normal 5 3 2 3 5 3 2 2" xfId="27316"/>
    <cellStyle name="Normal 7 3 2 3 5 3 2 2" xfId="27317"/>
    <cellStyle name="Normal 2 6 3 5 3 2 2" xfId="27318"/>
    <cellStyle name="Normal 3 6 3 5 3 2 2" xfId="27319"/>
    <cellStyle name="Normal 4 5 3 5 3 2 2" xfId="27320"/>
    <cellStyle name="Normal 5 5 3 5 3 2 2" xfId="27321"/>
    <cellStyle name="Normal 7 5 3 5 3 2 2" xfId="27322"/>
    <cellStyle name="Normal 2 3 3 3 5 3 2 2" xfId="27323"/>
    <cellStyle name="Normal 3 3 3 3 5 3 2 2" xfId="27324"/>
    <cellStyle name="Normal 4 2 3 3 5 3 2 2" xfId="27325"/>
    <cellStyle name="Normal 5 2 3 3 5 3 2 2" xfId="27326"/>
    <cellStyle name="Normal 7 2 3 3 5 3 2 2" xfId="27327"/>
    <cellStyle name="Normal 2 4 3 3 5 3 2 2" xfId="27328"/>
    <cellStyle name="Normal 3 4 3 3 5 3 2 2" xfId="27329"/>
    <cellStyle name="Normal 4 3 3 3 5 3 2 2" xfId="27330"/>
    <cellStyle name="Normal 5 3 3 3 5 3 2 2" xfId="27331"/>
    <cellStyle name="Normal 7 3 3 3 5 3 2 2" xfId="27332"/>
    <cellStyle name="Normal 2 7 2 5 3 2 2" xfId="27333"/>
    <cellStyle name="Normal 3 7 2 5 3 2 2" xfId="27334"/>
    <cellStyle name="Normal 4 6 2 5 3 2 2" xfId="27335"/>
    <cellStyle name="Normal 5 6 2 5 3 2 2" xfId="27336"/>
    <cellStyle name="Normal 7 6 2 5 3 2 2" xfId="27337"/>
    <cellStyle name="Normal 2 3 4 2 5 3 2 2" xfId="27338"/>
    <cellStyle name="Normal 3 3 4 2 5 3 2 2" xfId="27339"/>
    <cellStyle name="Normal 4 2 4 2 5 3 2 2" xfId="27340"/>
    <cellStyle name="Normal 5 2 4 2 5 3 2 2" xfId="27341"/>
    <cellStyle name="Normal 7 2 4 2 5 3 2 2" xfId="27342"/>
    <cellStyle name="Normal 2 4 4 2 5 3 2 2" xfId="27343"/>
    <cellStyle name="Normal 3 4 4 2 5 3 2 2" xfId="27344"/>
    <cellStyle name="Normal 4 3 4 2 5 3 2 2" xfId="27345"/>
    <cellStyle name="Normal 5 3 4 2 5 3 2 2" xfId="27346"/>
    <cellStyle name="Normal 7 3 4 2 5 3 2 2" xfId="27347"/>
    <cellStyle name="Normal 2 5 2 2 5 3 2 2" xfId="27348"/>
    <cellStyle name="Normal 3 5 2 2 5 3 2 2" xfId="27349"/>
    <cellStyle name="Normal 4 4 2 2 5 3 2 2" xfId="27350"/>
    <cellStyle name="Normal 5 4 2 2 5 3 2 2" xfId="27351"/>
    <cellStyle name="Normal 7 4 2 2 5 3 2 2" xfId="27352"/>
    <cellStyle name="Normal 2 3 2 2 2 5 3 2 2" xfId="27353"/>
    <cellStyle name="Normal 3 3 2 2 2 5 3 2 2" xfId="27354"/>
    <cellStyle name="Normal 4 2 2 2 2 5 3 2 2" xfId="27355"/>
    <cellStyle name="Normal 5 2 2 2 2 5 3 2 2" xfId="27356"/>
    <cellStyle name="Normal 7 2 2 2 2 5 3 2 2" xfId="27357"/>
    <cellStyle name="Normal 2 4 2 2 2 5 3 2 2" xfId="27358"/>
    <cellStyle name="Normal 3 4 2 2 2 5 3 2 2" xfId="27359"/>
    <cellStyle name="Normal 4 3 2 2 2 5 3 2 2" xfId="27360"/>
    <cellStyle name="Normal 5 3 2 2 2 5 3 2 2" xfId="27361"/>
    <cellStyle name="Normal 7 3 2 2 2 5 3 2 2" xfId="27362"/>
    <cellStyle name="Normal 2 6 2 2 5 3 2 2" xfId="27363"/>
    <cellStyle name="Normal 3 6 2 2 5 3 2 2" xfId="27364"/>
    <cellStyle name="Normal 4 5 2 2 5 3 2 2" xfId="27365"/>
    <cellStyle name="Normal 5 5 2 2 5 3 2 2" xfId="27366"/>
    <cellStyle name="Normal 7 5 2 2 5 3 2 2" xfId="27367"/>
    <cellStyle name="Normal 2 3 3 2 2 5 3 2 2" xfId="27368"/>
    <cellStyle name="Normal 3 3 3 2 2 5 3 2 2" xfId="27369"/>
    <cellStyle name="Normal 4 2 3 2 2 5 3 2 2" xfId="27370"/>
    <cellStyle name="Normal 5 2 3 2 2 5 3 2 2" xfId="27371"/>
    <cellStyle name="Normal 7 2 3 2 2 5 3 2 2" xfId="27372"/>
    <cellStyle name="Normal 2 4 3 2 2 5 3 2 2" xfId="27373"/>
    <cellStyle name="Normal 3 4 3 2 2 5 3 2 2" xfId="27374"/>
    <cellStyle name="Normal 4 3 3 2 2 5 3 2 2" xfId="27375"/>
    <cellStyle name="Normal 5 3 3 2 2 5 3 2 2" xfId="27376"/>
    <cellStyle name="Normal 7 3 3 2 2 5 3 2 2" xfId="27377"/>
    <cellStyle name="Normal 2 9 3 3 2 2" xfId="27378"/>
    <cellStyle name="Normal 3 9 3 3 2 2" xfId="27379"/>
    <cellStyle name="Normal 4 8 3 3 2 2" xfId="27380"/>
    <cellStyle name="Normal 5 8 3 3 2 2" xfId="27381"/>
    <cellStyle name="Normal 7 8 3 3 2 2" xfId="27382"/>
    <cellStyle name="Normal 2 3 6 3 3 2 2" xfId="27383"/>
    <cellStyle name="Normal 3 3 6 3 3 2 2" xfId="27384"/>
    <cellStyle name="Normal 4 2 6 3 3 2 2" xfId="27385"/>
    <cellStyle name="Normal 5 2 6 3 3 2 2" xfId="27386"/>
    <cellStyle name="Normal 7 2 6 3 3 2 2" xfId="27387"/>
    <cellStyle name="Normal 2 4 6 3 3 2 2" xfId="27388"/>
    <cellStyle name="Normal 3 4 6 3 3 2 2" xfId="27389"/>
    <cellStyle name="Normal 4 3 6 3 3 2 2" xfId="27390"/>
    <cellStyle name="Normal 5 3 6 3 3 2 2" xfId="27391"/>
    <cellStyle name="Normal 7 3 6 3 3 2 2" xfId="27392"/>
    <cellStyle name="Normal 2 5 4 3 3 2 2" xfId="27393"/>
    <cellStyle name="Normal 3 5 4 3 3 2 2" xfId="27394"/>
    <cellStyle name="Normal 4 4 4 3 3 2 2" xfId="27395"/>
    <cellStyle name="Normal 5 4 4 3 3 2 2" xfId="27396"/>
    <cellStyle name="Normal 7 4 4 3 3 2 2" xfId="27397"/>
    <cellStyle name="Normal 2 3 2 4 3 3 2 2" xfId="27398"/>
    <cellStyle name="Normal 3 3 2 4 3 3 2 2" xfId="27399"/>
    <cellStyle name="Normal 4 2 2 4 3 3 2 2" xfId="27400"/>
    <cellStyle name="Normal 5 2 2 4 3 3 2 2" xfId="27401"/>
    <cellStyle name="Normal 7 2 2 4 3 3 2 2" xfId="27402"/>
    <cellStyle name="Normal 2 4 2 4 3 3 2 2" xfId="27403"/>
    <cellStyle name="Normal 3 4 2 4 3 3 2 2" xfId="27404"/>
    <cellStyle name="Normal 4 3 2 4 3 3 2 2" xfId="27405"/>
    <cellStyle name="Normal 5 3 2 4 3 3 2 2" xfId="27406"/>
    <cellStyle name="Normal 7 3 2 4 3 3 2 2" xfId="27407"/>
    <cellStyle name="Normal 2 6 4 3 3 2 2" xfId="27408"/>
    <cellStyle name="Normal 3 6 4 3 3 2 2" xfId="27409"/>
    <cellStyle name="Normal 4 5 4 3 3 2 2" xfId="27410"/>
    <cellStyle name="Normal 5 5 4 3 3 2 2" xfId="27411"/>
    <cellStyle name="Normal 7 5 4 3 3 2 2" xfId="27412"/>
    <cellStyle name="Normal 2 3 3 4 3 3 2 2" xfId="27413"/>
    <cellStyle name="Normal 3 3 3 4 3 3 2 2" xfId="27414"/>
    <cellStyle name="Normal 4 2 3 4 3 3 2 2" xfId="27415"/>
    <cellStyle name="Normal 5 2 3 4 3 3 2 2" xfId="27416"/>
    <cellStyle name="Normal 7 2 3 4 3 3 2 2" xfId="27417"/>
    <cellStyle name="Normal 2 4 3 4 3 3 2 2" xfId="27418"/>
    <cellStyle name="Normal 3 4 3 4 3 3 2 2" xfId="27419"/>
    <cellStyle name="Normal 4 3 3 4 3 3 2 2" xfId="27420"/>
    <cellStyle name="Normal 5 3 3 4 3 3 2 2" xfId="27421"/>
    <cellStyle name="Normal 7 3 3 4 3 3 2 2" xfId="27422"/>
    <cellStyle name="Normal 2 7 3 3 3 2 2" xfId="27423"/>
    <cellStyle name="Normal 3 7 3 3 3 2 2" xfId="27424"/>
    <cellStyle name="Normal 4 6 3 3 3 2 2" xfId="27425"/>
    <cellStyle name="Normal 5 6 3 3 3 2 2" xfId="27426"/>
    <cellStyle name="Normal 7 6 3 3 3 2 2" xfId="27427"/>
    <cellStyle name="Normal 2 3 4 3 3 3 2 2" xfId="27428"/>
    <cellStyle name="Normal 3 3 4 3 3 3 2 2" xfId="27429"/>
    <cellStyle name="Normal 4 2 4 3 3 3 2 2" xfId="27430"/>
    <cellStyle name="Normal 5 2 4 3 3 3 2 2" xfId="27431"/>
    <cellStyle name="Normal 7 2 4 3 3 3 2 2" xfId="27432"/>
    <cellStyle name="Normal 2 4 4 3 3 3 2 2" xfId="27433"/>
    <cellStyle name="Normal 3 4 4 3 3 3 2 2" xfId="27434"/>
    <cellStyle name="Normal 4 3 4 3 3 3 2 2" xfId="27435"/>
    <cellStyle name="Normal 5 3 4 3 3 3 2 2" xfId="27436"/>
    <cellStyle name="Normal 7 3 4 3 3 3 2 2" xfId="27437"/>
    <cellStyle name="Normal 2 5 2 3 3 3 2 2" xfId="27438"/>
    <cellStyle name="Normal 3 5 2 3 3 3 2 2" xfId="27439"/>
    <cellStyle name="Normal 4 4 2 3 3 3 2 2" xfId="27440"/>
    <cellStyle name="Normal 5 4 2 3 3 3 2 2" xfId="27441"/>
    <cellStyle name="Normal 7 4 2 3 3 3 2 2" xfId="27442"/>
    <cellStyle name="Normal 2 3 2 2 3 3 3 2 2" xfId="27443"/>
    <cellStyle name="Normal 3 3 2 2 3 3 3 2 2" xfId="27444"/>
    <cellStyle name="Normal 4 2 2 2 3 3 3 2 2" xfId="27445"/>
    <cellStyle name="Normal 5 2 2 2 3 3 3 2 2" xfId="27446"/>
    <cellStyle name="Normal 7 2 2 2 3 3 3 2 2" xfId="27447"/>
    <cellStyle name="Normal 2 4 2 2 3 3 3 2 2" xfId="27448"/>
    <cellStyle name="Normal 3 4 2 2 3 3 3 2 2" xfId="27449"/>
    <cellStyle name="Normal 4 3 2 2 3 3 3 2 2" xfId="27450"/>
    <cellStyle name="Normal 5 3 2 2 3 3 3 2 2" xfId="27451"/>
    <cellStyle name="Normal 7 3 2 2 3 3 3 2 2" xfId="27452"/>
    <cellStyle name="Normal 2 6 2 3 3 3 2 2" xfId="27453"/>
    <cellStyle name="Normal 3 6 2 3 3 3 2 2" xfId="27454"/>
    <cellStyle name="Normal 4 5 2 3 3 3 2 2" xfId="27455"/>
    <cellStyle name="Normal 5 5 2 3 3 3 2 2" xfId="27456"/>
    <cellStyle name="Normal 7 5 2 3 3 3 2 2" xfId="27457"/>
    <cellStyle name="Normal 2 3 3 2 3 3 3 2 2" xfId="27458"/>
    <cellStyle name="Normal 3 3 3 2 3 3 3 2 2" xfId="27459"/>
    <cellStyle name="Normal 4 2 3 2 3 3 3 2 2" xfId="27460"/>
    <cellStyle name="Normal 5 2 3 2 3 3 3 2 2" xfId="27461"/>
    <cellStyle name="Normal 7 2 3 2 3 3 3 2 2" xfId="27462"/>
    <cellStyle name="Normal 2 4 3 2 3 3 3 2 2" xfId="27463"/>
    <cellStyle name="Normal 3 4 3 2 3 3 3 2 2" xfId="27464"/>
    <cellStyle name="Normal 4 3 3 2 3 3 3 2 2" xfId="27465"/>
    <cellStyle name="Normal 5 3 3 2 3 3 3 2 2" xfId="27466"/>
    <cellStyle name="Normal 7 3 3 2 3 3 3 2 2" xfId="27467"/>
    <cellStyle name="Normal 2 8 2 3 3 2 2" xfId="27468"/>
    <cellStyle name="Normal 3 8 2 3 3 2 2" xfId="27469"/>
    <cellStyle name="Normal 4 7 2 3 3 2 2" xfId="27470"/>
    <cellStyle name="Normal 5 7 2 3 3 2 2" xfId="27471"/>
    <cellStyle name="Normal 7 7 2 3 3 2 2" xfId="27472"/>
    <cellStyle name="Normal 2 3 5 2 3 3 2 2" xfId="27473"/>
    <cellStyle name="Normal 3 3 5 2 3 3 2 2" xfId="27474"/>
    <cellStyle name="Normal 4 2 5 2 3 3 2 2" xfId="27475"/>
    <cellStyle name="Normal 5 2 5 2 3 3 2 2" xfId="27476"/>
    <cellStyle name="Normal 7 2 5 2 3 3 2 2" xfId="27477"/>
    <cellStyle name="Normal 2 4 5 2 3 3 2 2" xfId="27478"/>
    <cellStyle name="Normal 3 4 5 2 3 3 2 2" xfId="27479"/>
    <cellStyle name="Normal 4 3 5 2 3 3 2 2" xfId="27480"/>
    <cellStyle name="Normal 5 3 5 2 3 3 2 2" xfId="27481"/>
    <cellStyle name="Normal 7 3 5 2 3 3 2 2" xfId="27482"/>
    <cellStyle name="Normal 2 5 3 2 3 3 2 2" xfId="27483"/>
    <cellStyle name="Normal 3 5 3 2 3 3 2 2" xfId="27484"/>
    <cellStyle name="Normal 4 4 3 2 3 3 2 2" xfId="27485"/>
    <cellStyle name="Normal 5 4 3 2 3 3 2 2" xfId="27486"/>
    <cellStyle name="Normal 7 4 3 2 3 3 2 2" xfId="27487"/>
    <cellStyle name="Normal 2 3 2 3 2 3 3 2 2" xfId="27488"/>
    <cellStyle name="Normal 3 3 2 3 2 3 3 2 2" xfId="27489"/>
    <cellStyle name="Normal 4 2 2 3 2 3 3 2 2" xfId="27490"/>
    <cellStyle name="Normal 5 2 2 3 2 3 3 2 2" xfId="27491"/>
    <cellStyle name="Normal 7 2 2 3 2 3 3 2 2" xfId="27492"/>
    <cellStyle name="Normal 2 4 2 3 2 3 3 2 2" xfId="27493"/>
    <cellStyle name="Normal 3 4 2 3 2 3 3 2 2" xfId="27494"/>
    <cellStyle name="Normal 4 3 2 3 2 3 3 2 2" xfId="27495"/>
    <cellStyle name="Normal 5 3 2 3 2 3 3 2 2" xfId="27496"/>
    <cellStyle name="Normal 7 3 2 3 2 3 3 2 2" xfId="27497"/>
    <cellStyle name="Normal 2 6 3 2 3 3 2 2" xfId="27498"/>
    <cellStyle name="Normal 3 6 3 2 3 3 2 2" xfId="27499"/>
    <cellStyle name="Normal 4 5 3 2 3 3 2 2" xfId="27500"/>
    <cellStyle name="Normal 5 5 3 2 3 3 2 2" xfId="27501"/>
    <cellStyle name="Normal 7 5 3 2 3 3 2 2" xfId="27502"/>
    <cellStyle name="Normal 2 3 3 3 2 3 3 2 2" xfId="27503"/>
    <cellStyle name="Normal 3 3 3 3 2 3 3 2 2" xfId="27504"/>
    <cellStyle name="Normal 4 2 3 3 2 3 3 2 2" xfId="27505"/>
    <cellStyle name="Normal 5 2 3 3 2 3 3 2 2" xfId="27506"/>
    <cellStyle name="Normal 7 2 3 3 2 3 3 2 2" xfId="27507"/>
    <cellStyle name="Normal 2 4 3 3 2 3 3 2 2" xfId="27508"/>
    <cellStyle name="Normal 3 4 3 3 2 3 3 2 2" xfId="27509"/>
    <cellStyle name="Normal 4 3 3 3 2 3 3 2 2" xfId="27510"/>
    <cellStyle name="Normal 5 3 3 3 2 3 3 2 2" xfId="27511"/>
    <cellStyle name="Normal 7 3 3 3 2 3 3 2 2" xfId="27512"/>
    <cellStyle name="Normal 2 7 2 2 3 3 2 2" xfId="27513"/>
    <cellStyle name="Normal 3 7 2 2 3 3 2 2" xfId="27514"/>
    <cellStyle name="Normal 4 6 2 2 3 3 2 2" xfId="27515"/>
    <cellStyle name="Normal 5 6 2 2 3 3 2 2" xfId="27516"/>
    <cellStyle name="Normal 7 6 2 2 3 3 2 2" xfId="27517"/>
    <cellStyle name="Normal 2 3 4 2 2 3 3 2 2" xfId="27518"/>
    <cellStyle name="Normal 3 3 4 2 2 3 3 2 2" xfId="27519"/>
    <cellStyle name="Normal 4 2 4 2 2 3 3 2 2" xfId="27520"/>
    <cellStyle name="Normal 5 2 4 2 2 3 3 2 2" xfId="27521"/>
    <cellStyle name="Normal 7 2 4 2 2 3 3 2 2" xfId="27522"/>
    <cellStyle name="Normal 2 4 4 2 2 3 3 2 2" xfId="27523"/>
    <cellStyle name="Normal 3 4 4 2 2 3 3 2 2" xfId="27524"/>
    <cellStyle name="Normal 4 3 4 2 2 3 3 2 2" xfId="27525"/>
    <cellStyle name="Normal 5 3 4 2 2 3 3 2 2" xfId="27526"/>
    <cellStyle name="Normal 7 3 4 2 2 3 3 2 2" xfId="27527"/>
    <cellStyle name="Normal 2 5 2 2 2 3 3 2 2" xfId="27528"/>
    <cellStyle name="Normal 3 5 2 2 2 3 3 2 2" xfId="27529"/>
    <cellStyle name="Normal 4 4 2 2 2 3 3 2 2" xfId="27530"/>
    <cellStyle name="Normal 5 4 2 2 2 3 3 2 2" xfId="27531"/>
    <cellStyle name="Normal 7 4 2 2 2 3 3 2 2" xfId="27532"/>
    <cellStyle name="Normal 2 3 2 2 2 2 3 3 2 2" xfId="27533"/>
    <cellStyle name="Normal 3 3 2 2 2 2 3 3 2 2" xfId="27534"/>
    <cellStyle name="Normal 4 2 2 2 2 2 3 3 2 2" xfId="27535"/>
    <cellStyle name="Normal 5 2 2 2 2 2 3 3 2 2" xfId="27536"/>
    <cellStyle name="Normal 7 2 2 2 2 2 3 3 2 2" xfId="27537"/>
    <cellStyle name="Normal 2 4 2 2 2 2 3 3 2 2" xfId="27538"/>
    <cellStyle name="Normal 3 4 2 2 2 2 3 3 2 2" xfId="27539"/>
    <cellStyle name="Normal 4 3 2 2 2 2 3 3 2 2" xfId="27540"/>
    <cellStyle name="Normal 5 3 2 2 2 2 3 3 2 2" xfId="27541"/>
    <cellStyle name="Normal 7 3 2 2 2 2 3 3 2 2" xfId="27542"/>
    <cellStyle name="Normal 2 6 2 2 2 3 3 2 2" xfId="27543"/>
    <cellStyle name="Normal 3 6 2 2 2 3 3 2 2" xfId="27544"/>
    <cellStyle name="Normal 4 5 2 2 2 3 3 2 2" xfId="27545"/>
    <cellStyle name="Normal 5 5 2 2 2 3 3 2 2" xfId="27546"/>
    <cellStyle name="Normal 7 5 2 2 2 3 3 2 2" xfId="27547"/>
    <cellStyle name="Normal 2 3 3 2 2 2 3 3 2 2" xfId="27548"/>
    <cellStyle name="Normal 3 3 3 2 2 2 3 3 2 2" xfId="27549"/>
    <cellStyle name="Normal 4 2 3 2 2 2 3 3 2 2" xfId="27550"/>
    <cellStyle name="Normal 5 2 3 2 2 2 3 3 2 2" xfId="27551"/>
    <cellStyle name="Normal 7 2 3 2 2 2 3 3 2 2" xfId="27552"/>
    <cellStyle name="Normal 2 4 3 2 2 2 3 3 2 2" xfId="27553"/>
    <cellStyle name="Normal 3 4 3 2 2 2 3 3 2 2" xfId="27554"/>
    <cellStyle name="Normal 4 3 3 2 2 2 3 3 2 2" xfId="27555"/>
    <cellStyle name="Normal 5 3 3 2 2 2 3 3 2 2" xfId="27556"/>
    <cellStyle name="Normal 7 3 3 2 2 2 3 3 2 2" xfId="27557"/>
    <cellStyle name="Normal 28 3 3 2 2" xfId="27558"/>
    <cellStyle name="Normal 2 3 7 3 3 2 2" xfId="27559"/>
    <cellStyle name="Normal 3 10 3 3 2 2" xfId="27560"/>
    <cellStyle name="Normal 4 9 3 3 2 2" xfId="27561"/>
    <cellStyle name="Normal 5 9 3 3 2 2" xfId="27562"/>
    <cellStyle name="Millares 4 3 3 2 2" xfId="27563"/>
    <cellStyle name="Normal 7 2 7 3 3 2 2" xfId="27564"/>
    <cellStyle name="Normal 3 3 7 3 3 2 2" xfId="27565"/>
    <cellStyle name="Normal 4 2 7 3 3 2 2" xfId="27566"/>
    <cellStyle name="Normal 5 2 7 3 3 2 2" xfId="27567"/>
    <cellStyle name="Normal 2 4 5 3 3 3 2 2" xfId="27568"/>
    <cellStyle name="Normal 3 4 7 3 3 2 2" xfId="27569"/>
    <cellStyle name="Normal 4 3 7 3 3 2 2" xfId="27570"/>
    <cellStyle name="Normal 5 3 7 3 3 2 2" xfId="27571"/>
    <cellStyle name="Normal 7 3 7 3 3 2 2" xfId="27572"/>
    <cellStyle name="Normal 2 5 5 3 3 2 2" xfId="27573"/>
    <cellStyle name="Normal 3 5 5 3 3 2 2" xfId="27574"/>
    <cellStyle name="Normal 4 4 5 3 3 2 2" xfId="27575"/>
    <cellStyle name="Normal 5 4 5 3 3 2 2" xfId="27576"/>
    <cellStyle name="Normal 7 4 5 3 3 2 2" xfId="27577"/>
    <cellStyle name="Normal 2 3 2 5 3 3 2 2" xfId="27578"/>
    <cellStyle name="Normal 3 3 2 5 3 3 2 2" xfId="27579"/>
    <cellStyle name="Normal 4 2 2 5 3 3 2 2" xfId="27580"/>
    <cellStyle name="Normal 5 2 2 5 3 3 2 2" xfId="27581"/>
    <cellStyle name="Normal 7 2 2 5 3 3 2 2" xfId="27582"/>
    <cellStyle name="Normal 2 4 2 5 3 3 2 2" xfId="27583"/>
    <cellStyle name="Normal 3 4 2 5 3 3 2 2" xfId="27584"/>
    <cellStyle name="Normal 4 3 2 5 3 3 2 2" xfId="27585"/>
    <cellStyle name="Normal 5 3 2 5 3 3 2 2" xfId="27586"/>
    <cellStyle name="Normal 7 3 2 5 3 3 2 2" xfId="27587"/>
    <cellStyle name="Normal 2 6 5 3 3 2 2" xfId="27588"/>
    <cellStyle name="Normal 3 6 5 3 3 2 2" xfId="27589"/>
    <cellStyle name="Normal 4 5 5 3 3 2 2" xfId="27590"/>
    <cellStyle name="Normal 5 5 5 3 3 2 2" xfId="27591"/>
    <cellStyle name="Normal 7 5 5 3 3 2 2" xfId="27592"/>
    <cellStyle name="Normal 2 3 3 5 3 3 2 2" xfId="27593"/>
    <cellStyle name="Normal 3 3 3 5 3 3 2 2" xfId="27594"/>
    <cellStyle name="Normal 4 2 3 5 3 3 2 2" xfId="27595"/>
    <cellStyle name="Normal 5 2 3 5 3 3 2 2" xfId="27596"/>
    <cellStyle name="Normal 7 2 3 5 3 3 2 2" xfId="27597"/>
    <cellStyle name="Normal 2 4 3 5 3 3 2 2" xfId="27598"/>
    <cellStyle name="Normal 3 4 3 5 3 3 2 2" xfId="27599"/>
    <cellStyle name="Normal 4 3 3 5 3 3 2 2" xfId="27600"/>
    <cellStyle name="Normal 5 3 3 5 3 3 2 2" xfId="27601"/>
    <cellStyle name="Normal 7 3 3 5 3 3 2 2" xfId="27602"/>
    <cellStyle name="Normal 2 7 4 3 3 2 2" xfId="27603"/>
    <cellStyle name="Normal 3 7 4 3 3 2 2" xfId="27604"/>
    <cellStyle name="Normal 4 6 4 3 3 2 2" xfId="27605"/>
    <cellStyle name="Normal 5 6 4 3 3 2 2" xfId="27606"/>
    <cellStyle name="Normal 7 6 4 3 3 2 2" xfId="27607"/>
    <cellStyle name="Normal 2 3 4 4 3 3 2 2" xfId="27608"/>
    <cellStyle name="Normal 3 3 4 4 3 3 2 2" xfId="27609"/>
    <cellStyle name="Normal 4 2 4 4 3 3 2 2" xfId="27610"/>
    <cellStyle name="Normal 5 2 4 4 3 3 2 2" xfId="27611"/>
    <cellStyle name="Normal 7 2 4 4 3 3 2 2" xfId="27612"/>
    <cellStyle name="Normal 2 4 4 4 3 3 2 2" xfId="27613"/>
    <cellStyle name="Normal 3 4 4 4 3 3 2 2" xfId="27614"/>
    <cellStyle name="Normal 4 3 4 4 3 3 2 2" xfId="27615"/>
    <cellStyle name="Normal 5 3 4 4 3 3 2 2" xfId="27616"/>
    <cellStyle name="Normal 7 3 4 4 3 3 2 2" xfId="27617"/>
    <cellStyle name="Normal 2 5 2 4 3 3 2 2" xfId="27618"/>
    <cellStyle name="Normal 3 5 2 4 3 3 2 2" xfId="27619"/>
    <cellStyle name="Normal 4 4 2 4 3 3 2 2" xfId="27620"/>
    <cellStyle name="Normal 5 4 2 4 3 3 2 2" xfId="27621"/>
    <cellStyle name="Normal 7 4 2 4 3 3 2 2" xfId="27622"/>
    <cellStyle name="Normal 2 3 2 2 4 3 3 2 2" xfId="27623"/>
    <cellStyle name="Normal 3 3 2 2 4 3 3 2 2" xfId="27624"/>
    <cellStyle name="Normal 4 2 2 2 4 3 3 2 2" xfId="27625"/>
    <cellStyle name="Normal 5 2 2 2 4 3 3 2 2" xfId="27626"/>
    <cellStyle name="Normal 7 2 2 2 4 3 3 2 2" xfId="27627"/>
    <cellStyle name="Normal 2 4 2 2 4 3 3 2 2" xfId="27628"/>
    <cellStyle name="Normal 3 4 2 2 4 3 3 2 2" xfId="27629"/>
    <cellStyle name="Normal 4 3 2 2 4 3 3 2 2" xfId="27630"/>
    <cellStyle name="Normal 5 3 2 2 4 3 3 2 2" xfId="27631"/>
    <cellStyle name="Normal 7 3 2 2 4 3 3 2 2" xfId="27632"/>
    <cellStyle name="Normal 2 6 2 4 3 3 2 2" xfId="27633"/>
    <cellStyle name="Normal 3 6 2 4 3 3 2 2" xfId="27634"/>
    <cellStyle name="Normal 4 5 2 4 3 3 2 2" xfId="27635"/>
    <cellStyle name="Normal 5 5 2 4 3 3 2 2" xfId="27636"/>
    <cellStyle name="Normal 7 5 2 4 3 3 2 2" xfId="27637"/>
    <cellStyle name="Normal 2 3 3 2 4 3 3 2 2" xfId="27638"/>
    <cellStyle name="Normal 3 3 3 2 4 3 3 2 2" xfId="27639"/>
    <cellStyle name="Normal 4 2 3 2 4 3 3 2 2" xfId="27640"/>
    <cellStyle name="Normal 5 2 3 2 4 3 3 2 2" xfId="27641"/>
    <cellStyle name="Normal 7 2 3 2 4 3 3 2 2" xfId="27642"/>
    <cellStyle name="Normal 2 4 3 2 4 3 3 2 2" xfId="27643"/>
    <cellStyle name="Normal 3 4 3 2 4 3 3 2 2" xfId="27644"/>
    <cellStyle name="Normal 4 3 3 2 4 3 3 2 2" xfId="27645"/>
    <cellStyle name="Normal 5 3 3 2 4 3 3 2 2" xfId="27646"/>
    <cellStyle name="Normal 7 3 3 2 4 3 3 2 2" xfId="27647"/>
    <cellStyle name="Normal 2 8 3 3 3 2 2" xfId="27648"/>
    <cellStyle name="Normal 3 8 3 3 3 2 2" xfId="27649"/>
    <cellStyle name="Normal 4 7 3 3 3 2 2" xfId="27650"/>
    <cellStyle name="Normal 5 7 3 3 3 2 2" xfId="27651"/>
    <cellStyle name="Normal 7 7 3 3 3 2 2" xfId="27652"/>
    <cellStyle name="Normal 2 3 5 3 3 3 2 2" xfId="27653"/>
    <cellStyle name="Normal 3 3 5 3 3 3 2 2" xfId="27654"/>
    <cellStyle name="Normal 4 2 5 3 3 3 2 2" xfId="27655"/>
    <cellStyle name="Normal 5 2 5 3 3 3 2 2" xfId="27656"/>
    <cellStyle name="Normal 7 2 5 3 3 3 2 2" xfId="27657"/>
    <cellStyle name="Normal 3 4 5 3 3 3 2 2" xfId="27658"/>
    <cellStyle name="Normal 4 3 5 3 3 3 2 2" xfId="27659"/>
    <cellStyle name="Normal 5 3 5 3 3 3 2 2" xfId="27660"/>
    <cellStyle name="Normal 7 3 5 3 3 3 2 2" xfId="27661"/>
    <cellStyle name="Normal 2 5 3 3 3 3 2 2" xfId="27662"/>
    <cellStyle name="Normal 3 5 3 3 3 3 2 2" xfId="27663"/>
    <cellStyle name="Normal 4 4 3 3 3 3 2 2" xfId="27664"/>
    <cellStyle name="Normal 5 4 3 3 3 3 2 2" xfId="27665"/>
    <cellStyle name="Normal 7 4 3 3 3 3 2 2" xfId="27666"/>
    <cellStyle name="Normal 2 3 2 3 3 3 3 2 2" xfId="27667"/>
    <cellStyle name="Normal 3 3 2 3 3 3 3 2 2" xfId="27668"/>
    <cellStyle name="Normal 4 2 2 3 3 3 3 2 2" xfId="27669"/>
    <cellStyle name="Normal 5 2 2 3 3 3 3 2 2" xfId="27670"/>
    <cellStyle name="Normal 7 2 2 3 3 3 3 2 2" xfId="27671"/>
    <cellStyle name="Normal 2 4 2 3 3 3 3 2 2" xfId="27672"/>
    <cellStyle name="Normal 3 4 2 3 3 3 3 2 2" xfId="27673"/>
    <cellStyle name="Normal 4 3 2 3 3 3 3 2 2" xfId="27674"/>
    <cellStyle name="Normal 5 3 2 3 3 3 3 2 2" xfId="27675"/>
    <cellStyle name="Normal 7 3 2 3 3 3 3 2 2" xfId="27676"/>
    <cellStyle name="Normal 2 6 3 3 3 3 2 2" xfId="27677"/>
    <cellStyle name="Normal 3 6 3 3 3 3 2 2" xfId="27678"/>
    <cellStyle name="Normal 4 5 3 3 3 3 2 2" xfId="27679"/>
    <cellStyle name="Normal 5 5 3 3 3 3 2 2" xfId="27680"/>
    <cellStyle name="Normal 7 5 3 3 3 3 2 2" xfId="27681"/>
    <cellStyle name="Normal 2 3 3 3 3 3 3 2 2" xfId="27682"/>
    <cellStyle name="Normal 3 3 3 3 3 3 3 2 2" xfId="27683"/>
    <cellStyle name="Normal 4 2 3 3 3 3 3 2 2" xfId="27684"/>
    <cellStyle name="Normal 5 2 3 3 3 3 3 2 2" xfId="27685"/>
    <cellStyle name="Normal 7 2 3 3 3 3 3 2 2" xfId="27686"/>
    <cellStyle name="Normal 2 4 3 3 3 3 3 2 2" xfId="27687"/>
    <cellStyle name="Normal 3 4 3 3 3 3 3 2 2" xfId="27688"/>
    <cellStyle name="Normal 4 3 3 3 3 3 3 2 2" xfId="27689"/>
    <cellStyle name="Normal 5 3 3 3 3 3 3 2 2" xfId="27690"/>
    <cellStyle name="Normal 7 3 3 3 3 3 3 2 2" xfId="27691"/>
    <cellStyle name="Normal 2 7 2 3 3 3 2 2" xfId="27692"/>
    <cellStyle name="Normal 3 7 2 3 3 3 2 2" xfId="27693"/>
    <cellStyle name="Normal 4 6 2 3 3 3 2 2" xfId="27694"/>
    <cellStyle name="Normal 5 6 2 3 3 3 2 2" xfId="27695"/>
    <cellStyle name="Normal 7 6 2 3 3 3 2 2" xfId="27696"/>
    <cellStyle name="Normal 2 3 4 2 3 3 3 2 2" xfId="27697"/>
    <cellStyle name="Normal 3 3 4 2 3 3 3 2 2" xfId="27698"/>
    <cellStyle name="Normal 4 2 4 2 3 3 3 2 2" xfId="27699"/>
    <cellStyle name="Normal 5 2 4 2 3 3 3 2 2" xfId="27700"/>
    <cellStyle name="Normal 7 2 4 2 3 3 3 2 2" xfId="27701"/>
    <cellStyle name="Normal 2 4 4 2 3 3 3 2 2" xfId="27702"/>
    <cellStyle name="Normal 3 4 4 2 3 3 3 2 2" xfId="27703"/>
    <cellStyle name="Normal 4 3 4 2 3 3 3 2 2" xfId="27704"/>
    <cellStyle name="Normal 5 3 4 2 3 3 3 2 2" xfId="27705"/>
    <cellStyle name="Normal 7 3 4 2 3 3 3 2 2" xfId="27706"/>
    <cellStyle name="Normal 2 5 2 2 3 3 3 2 2" xfId="27707"/>
    <cellStyle name="Normal 3 5 2 2 3 3 3 2 2" xfId="27708"/>
    <cellStyle name="Normal 4 4 2 2 3 3 3 2 2" xfId="27709"/>
    <cellStyle name="Normal 5 4 2 2 3 3 3 2 2" xfId="27710"/>
    <cellStyle name="Normal 7 4 2 2 3 3 3 2 2" xfId="27711"/>
    <cellStyle name="Normal 2 3 2 2 2 3 3 3 2 2" xfId="27712"/>
    <cellStyle name="Normal 3 3 2 2 2 3 3 3 2 2" xfId="27713"/>
    <cellStyle name="Normal 4 2 2 2 2 3 3 3 2 2" xfId="27714"/>
    <cellStyle name="Normal 5 2 2 2 2 3 3 3 2 2" xfId="27715"/>
    <cellStyle name="Normal 7 2 2 2 2 3 3 3 2 2" xfId="27716"/>
    <cellStyle name="Normal 2 4 2 2 2 3 3 3 2 2" xfId="27717"/>
    <cellStyle name="Normal 3 4 2 2 2 3 3 3 2 2" xfId="27718"/>
    <cellStyle name="Normal 4 3 2 2 2 3 3 3 2 2" xfId="27719"/>
    <cellStyle name="Normal 5 3 2 2 2 3 3 3 2 2" xfId="27720"/>
    <cellStyle name="Normal 7 3 2 2 2 3 3 3 2 2" xfId="27721"/>
    <cellStyle name="Normal 2 6 2 2 3 3 3 2 2" xfId="27722"/>
    <cellStyle name="Normal 3 6 2 2 3 3 3 2 2" xfId="27723"/>
    <cellStyle name="Normal 4 5 2 2 3 3 3 2 2" xfId="27724"/>
    <cellStyle name="Normal 5 5 2 2 3 3 3 2 2" xfId="27725"/>
    <cellStyle name="Normal 7 5 2 2 3 3 3 2 2" xfId="27726"/>
    <cellStyle name="Normal 2 3 3 2 2 3 3 3 2 2" xfId="27727"/>
    <cellStyle name="Normal 3 3 3 2 2 3 3 3 2 2" xfId="27728"/>
    <cellStyle name="Normal 4 2 3 2 2 3 3 3 2 2" xfId="27729"/>
    <cellStyle name="Normal 5 2 3 2 2 3 3 3 2 2" xfId="27730"/>
    <cellStyle name="Normal 7 2 3 2 2 3 3 3 2 2" xfId="27731"/>
    <cellStyle name="Normal 2 4 3 2 2 3 3 3 2 2" xfId="27732"/>
    <cellStyle name="Normal 3 4 3 2 2 3 3 3 2 2" xfId="27733"/>
    <cellStyle name="Normal 4 3 3 2 2 3 3 3 2 2" xfId="27734"/>
    <cellStyle name="Normal 5 3 3 2 2 3 3 3 2 2" xfId="27735"/>
    <cellStyle name="Normal 7 3 3 2 2 3 3 3 2 2" xfId="27736"/>
    <cellStyle name="Normal 2 13 2 2 2" xfId="27737"/>
    <cellStyle name="Normal 3 13 2 2 2" xfId="27738"/>
    <cellStyle name="Normal 4 12 2 2 2" xfId="27739"/>
    <cellStyle name="Normal 5 12 2 2 2" xfId="27740"/>
    <cellStyle name="Normal 7 12 2 2 2" xfId="27741"/>
    <cellStyle name="Normal 2 3 10 2 2 2" xfId="27742"/>
    <cellStyle name="Normal 3 3 10 2 2 2" xfId="27743"/>
    <cellStyle name="Normal 4 2 10 2 2 2" xfId="27744"/>
    <cellStyle name="Normal 5 2 10 2 2 2" xfId="27745"/>
    <cellStyle name="Normal 7 2 10 2 2 2" xfId="27746"/>
    <cellStyle name="Normal 2 4 10 2 2 2" xfId="27747"/>
    <cellStyle name="Normal 3 4 10 2 2 2" xfId="27748"/>
    <cellStyle name="Normal 4 3 10 2 2 2" xfId="27749"/>
    <cellStyle name="Normal 5 3 10 2 2 2" xfId="27750"/>
    <cellStyle name="Normal 7 3 10 2 2 2" xfId="27751"/>
    <cellStyle name="Normal 2 5 8 2 2 2" xfId="27752"/>
    <cellStyle name="Normal 3 5 8 2 2 2" xfId="27753"/>
    <cellStyle name="Normal 4 4 8 2 2 2" xfId="27754"/>
    <cellStyle name="Normal 5 4 8 2 2 2" xfId="27755"/>
    <cellStyle name="Normal 7 4 8 2 2 2" xfId="27756"/>
    <cellStyle name="Normal 2 3 2 8 2 2 2" xfId="27757"/>
    <cellStyle name="Normal 3 3 2 8 2 2 2" xfId="27758"/>
    <cellStyle name="Normal 4 2 2 8 2 2 2" xfId="27759"/>
    <cellStyle name="Normal 5 2 2 8 2 2 2" xfId="27760"/>
    <cellStyle name="Normal 7 2 2 8 2 2 2" xfId="27761"/>
    <cellStyle name="Normal 2 4 2 8 2 2 2" xfId="27762"/>
    <cellStyle name="Normal 3 4 2 8 2 2 2" xfId="27763"/>
    <cellStyle name="Normal 4 3 2 8 2 2 2" xfId="27764"/>
    <cellStyle name="Normal 5 3 2 8 2 2 2" xfId="27765"/>
    <cellStyle name="Normal 7 3 2 8 2 2 2" xfId="27766"/>
    <cellStyle name="Normal 2 6 8 2 2 2" xfId="27767"/>
    <cellStyle name="Normal 3 6 8 2 2 2" xfId="27768"/>
    <cellStyle name="Normal 4 5 8 2 2 2" xfId="27769"/>
    <cellStyle name="Normal 5 5 8 2 2 2" xfId="27770"/>
    <cellStyle name="Normal 7 5 8 2 2 2" xfId="27771"/>
    <cellStyle name="Normal 2 3 3 8 2 2 2" xfId="27772"/>
    <cellStyle name="Normal 3 3 3 8 2 2 2" xfId="27773"/>
    <cellStyle name="Normal 4 2 3 8 2 2 2" xfId="27774"/>
    <cellStyle name="Normal 5 2 3 8 2 2 2" xfId="27775"/>
    <cellStyle name="Normal 7 2 3 8 2 2 2" xfId="27776"/>
    <cellStyle name="Normal 2 4 3 8 2 2 2" xfId="27777"/>
    <cellStyle name="Normal 3 4 3 8 2 2 2" xfId="27778"/>
    <cellStyle name="Normal 4 3 3 8 2 2 2" xfId="27779"/>
    <cellStyle name="Normal 5 3 3 8 2 2 2" xfId="27780"/>
    <cellStyle name="Normal 7 3 3 8 2 2 2" xfId="27781"/>
    <cellStyle name="Normal 2 7 7 2 2 2" xfId="27782"/>
    <cellStyle name="Normal 3 7 7 2 2 2" xfId="27783"/>
    <cellStyle name="Normal 4 6 7 2 2 2" xfId="27784"/>
    <cellStyle name="Normal 5 6 7 2 2 2" xfId="27785"/>
    <cellStyle name="Normal 7 6 7 2 2 2" xfId="27786"/>
    <cellStyle name="Normal 2 3 4 7 2 2 2" xfId="27787"/>
    <cellStyle name="Normal 3 3 4 7 2 2 2" xfId="27788"/>
    <cellStyle name="Normal 4 2 4 7 2 2 2" xfId="27789"/>
    <cellStyle name="Normal 5 2 4 7 2 2 2" xfId="27790"/>
    <cellStyle name="Normal 7 2 4 7 2 2 2" xfId="27791"/>
    <cellStyle name="Normal 2 4 4 7 2 2 2" xfId="27792"/>
    <cellStyle name="Normal 3 4 4 7 2 2 2" xfId="27793"/>
    <cellStyle name="Normal 4 3 4 7 2 2 2" xfId="27794"/>
    <cellStyle name="Normal 5 3 4 7 2 2 2" xfId="27795"/>
    <cellStyle name="Normal 7 3 4 7 2 2 2" xfId="27796"/>
    <cellStyle name="Normal 2 5 2 7 2 2 2" xfId="27797"/>
    <cellStyle name="Normal 3 5 2 7 2 2 2" xfId="27798"/>
    <cellStyle name="Normal 4 4 2 7 2 2 2" xfId="27799"/>
    <cellStyle name="Normal 5 4 2 7 2 2 2" xfId="27800"/>
    <cellStyle name="Normal 7 4 2 7 2 2 2" xfId="27801"/>
    <cellStyle name="Normal 2 3 2 2 7 2 2 2" xfId="27802"/>
    <cellStyle name="Normal 3 3 2 2 7 2 2 2" xfId="27803"/>
    <cellStyle name="Normal 4 2 2 2 7 2 2 2" xfId="27804"/>
    <cellStyle name="Normal 5 2 2 2 7 2 2 2" xfId="27805"/>
    <cellStyle name="Normal 7 2 2 2 7 2 2 2" xfId="27806"/>
    <cellStyle name="Normal 2 4 2 2 7 2 2 2" xfId="27807"/>
    <cellStyle name="Normal 3 4 2 2 7 2 2 2" xfId="27808"/>
    <cellStyle name="Normal 4 3 2 2 7 2 2 2" xfId="27809"/>
    <cellStyle name="Normal 5 3 2 2 7 2 2 2" xfId="27810"/>
    <cellStyle name="Normal 7 3 2 2 7 2 2 2" xfId="27811"/>
    <cellStyle name="Normal 2 6 2 7 2 2 2" xfId="27812"/>
    <cellStyle name="Normal 3 6 2 7 2 2 2" xfId="27813"/>
    <cellStyle name="Normal 4 5 2 7 2 2 2" xfId="27814"/>
    <cellStyle name="Normal 5 5 2 7 2 2 2" xfId="27815"/>
    <cellStyle name="Normal 7 5 2 7 2 2 2" xfId="27816"/>
    <cellStyle name="Normal 2 3 3 2 7 2 2 2" xfId="27817"/>
    <cellStyle name="Normal 3 3 3 2 7 2 2 2" xfId="27818"/>
    <cellStyle name="Normal 4 2 3 2 7 2 2 2" xfId="27819"/>
    <cellStyle name="Normal 5 2 3 2 7 2 2 2" xfId="27820"/>
    <cellStyle name="Normal 7 2 3 2 7 2 2 2" xfId="27821"/>
    <cellStyle name="Normal 2 4 3 2 7 2 2 2" xfId="27822"/>
    <cellStyle name="Normal 3 4 3 2 7 2 2 2" xfId="27823"/>
    <cellStyle name="Normal 4 3 3 2 7 2 2 2" xfId="27824"/>
    <cellStyle name="Normal 5 3 3 2 7 2 2 2" xfId="27825"/>
    <cellStyle name="Normal 7 3 3 2 7 2 2 2" xfId="27826"/>
    <cellStyle name="Normal 2 8 6 2 2 2" xfId="27827"/>
    <cellStyle name="Normal 3 8 6 2 2 2" xfId="27828"/>
    <cellStyle name="Normal 4 7 6 2 2 2" xfId="27829"/>
    <cellStyle name="Normal 5 7 6 2 2 2" xfId="27830"/>
    <cellStyle name="Normal 7 7 6 2 2 2" xfId="27831"/>
    <cellStyle name="Normal 2 3 5 6 2 2 2" xfId="27832"/>
    <cellStyle name="Normal 3 3 5 6 2 2 2" xfId="27833"/>
    <cellStyle name="Normal 4 2 5 6 2 2 2" xfId="27834"/>
    <cellStyle name="Normal 5 2 5 6 2 2 2" xfId="27835"/>
    <cellStyle name="Normal 7 2 5 6 2 2 2" xfId="27836"/>
    <cellStyle name="Normal 2 4 5 6 2 2 2" xfId="27837"/>
    <cellStyle name="Normal 3 4 5 6 2 2 2" xfId="27838"/>
    <cellStyle name="Normal 4 3 5 6 2 2 2" xfId="27839"/>
    <cellStyle name="Normal 5 3 5 6 2 2 2" xfId="27840"/>
    <cellStyle name="Normal 7 3 5 6 2 2 2" xfId="27841"/>
    <cellStyle name="Normal 2 5 3 6 2 2 2" xfId="27842"/>
    <cellStyle name="Normal 3 5 3 6 2 2 2" xfId="27843"/>
    <cellStyle name="Normal 4 4 3 6 2 2 2" xfId="27844"/>
    <cellStyle name="Normal 5 4 3 6 2 2 2" xfId="27845"/>
    <cellStyle name="Normal 7 4 3 6 2 2 2" xfId="27846"/>
    <cellStyle name="Normal 2 3 2 3 6 2 2 2" xfId="27847"/>
    <cellStyle name="Normal 3 3 2 3 6 2 2 2" xfId="27848"/>
    <cellStyle name="Normal 4 2 2 3 6 2 2 2" xfId="27849"/>
    <cellStyle name="Normal 5 2 2 3 6 2 2 2" xfId="27850"/>
    <cellStyle name="Normal 7 2 2 3 6 2 2 2" xfId="27851"/>
    <cellStyle name="Normal 2 4 2 3 6 2 2 2" xfId="27852"/>
    <cellStyle name="Normal 3 4 2 3 6 2 2 2" xfId="27853"/>
    <cellStyle name="Normal 4 3 2 3 6 2 2 2" xfId="27854"/>
    <cellStyle name="Normal 5 3 2 3 6 2 2 2" xfId="27855"/>
    <cellStyle name="Normal 7 3 2 3 6 2 2 2" xfId="27856"/>
    <cellStyle name="Normal 2 6 3 6 2 2 2" xfId="27857"/>
    <cellStyle name="Normal 3 6 3 6 2 2 2" xfId="27858"/>
    <cellStyle name="Normal 4 5 3 6 2 2 2" xfId="27859"/>
    <cellStyle name="Normal 5 5 3 6 2 2 2" xfId="27860"/>
    <cellStyle name="Normal 7 5 3 6 2 2 2" xfId="27861"/>
    <cellStyle name="Normal 2 3 3 3 6 2 2 2" xfId="27862"/>
    <cellStyle name="Normal 3 3 3 3 6 2 2 2" xfId="27863"/>
    <cellStyle name="Normal 4 2 3 3 6 2 2 2" xfId="27864"/>
    <cellStyle name="Normal 5 2 3 3 6 2 2 2" xfId="27865"/>
    <cellStyle name="Normal 7 2 3 3 6 2 2 2" xfId="27866"/>
    <cellStyle name="Normal 2 4 3 3 6 2 2 2" xfId="27867"/>
    <cellStyle name="Normal 3 4 3 3 6 2 2 2" xfId="27868"/>
    <cellStyle name="Normal 4 3 3 3 6 2 2 2" xfId="27869"/>
    <cellStyle name="Normal 5 3 3 3 6 2 2 2" xfId="27870"/>
    <cellStyle name="Normal 7 3 3 3 6 2 2 2" xfId="27871"/>
    <cellStyle name="Normal 2 7 2 6 2 2 2" xfId="27872"/>
    <cellStyle name="Normal 3 7 2 6 2 2 2" xfId="27873"/>
    <cellStyle name="Normal 4 6 2 6 2 2 2" xfId="27874"/>
    <cellStyle name="Normal 5 6 2 6 2 2 2" xfId="27875"/>
    <cellStyle name="Normal 7 6 2 6 2 2 2" xfId="27876"/>
    <cellStyle name="Normal 2 3 4 2 6 2 2 2" xfId="27877"/>
    <cellStyle name="Normal 3 3 4 2 6 2 2 2" xfId="27878"/>
    <cellStyle name="Normal 4 2 4 2 6 2 2 2" xfId="27879"/>
    <cellStyle name="Normal 5 2 4 2 6 2 2 2" xfId="27880"/>
    <cellStyle name="Normal 7 2 4 2 6 2 2 2" xfId="27881"/>
    <cellStyle name="Normal 2 4 4 2 6 2 2 2" xfId="27882"/>
    <cellStyle name="Normal 3 4 4 2 6 2 2 2" xfId="27883"/>
    <cellStyle name="Normal 4 3 4 2 6 2 2 2" xfId="27884"/>
    <cellStyle name="Normal 5 3 4 2 6 2 2 2" xfId="27885"/>
    <cellStyle name="Normal 7 3 4 2 6 2 2 2" xfId="27886"/>
    <cellStyle name="Normal 2 5 2 2 6 2 2 2" xfId="27887"/>
    <cellStyle name="Normal 3 5 2 2 6 2 2 2" xfId="27888"/>
    <cellStyle name="Normal 4 4 2 2 6 2 2 2" xfId="27889"/>
    <cellStyle name="Normal 5 4 2 2 6 2 2 2" xfId="27890"/>
    <cellStyle name="Normal 7 4 2 2 6 2 2 2" xfId="27891"/>
    <cellStyle name="Normal 2 3 2 2 2 6 2 2 2" xfId="27892"/>
    <cellStyle name="Normal 3 3 2 2 2 6 2 2 2" xfId="27893"/>
    <cellStyle name="Normal 4 2 2 2 2 6 2 2 2" xfId="27894"/>
    <cellStyle name="Normal 5 2 2 2 2 6 2 2 2" xfId="27895"/>
    <cellStyle name="Normal 7 2 2 2 2 6 2 2 2" xfId="27896"/>
    <cellStyle name="Normal 2 4 2 2 2 6 2 2 2" xfId="27897"/>
    <cellStyle name="Normal 3 4 2 2 2 6 2 2 2" xfId="27898"/>
    <cellStyle name="Normal 4 3 2 2 2 6 2 2 2" xfId="27899"/>
    <cellStyle name="Normal 5 3 2 2 2 6 2 2 2" xfId="27900"/>
    <cellStyle name="Normal 7 3 2 2 2 6 2 2 2" xfId="27901"/>
    <cellStyle name="Normal 2 6 2 2 6 2 2 2" xfId="27902"/>
    <cellStyle name="Normal 3 6 2 2 6 2 2 2" xfId="27903"/>
    <cellStyle name="Normal 4 5 2 2 6 2 2 2" xfId="27904"/>
    <cellStyle name="Normal 5 5 2 2 6 2 2 2" xfId="27905"/>
    <cellStyle name="Normal 7 5 2 2 6 2 2 2" xfId="27906"/>
    <cellStyle name="Normal 2 3 3 2 2 6 2 2 2" xfId="27907"/>
    <cellStyle name="Normal 3 3 3 2 2 6 2 2 2" xfId="27908"/>
    <cellStyle name="Normal 4 2 3 2 2 6 2 2 2" xfId="27909"/>
    <cellStyle name="Normal 5 2 3 2 2 6 2 2 2" xfId="27910"/>
    <cellStyle name="Normal 7 2 3 2 2 6 2 2 2" xfId="27911"/>
    <cellStyle name="Normal 2 4 3 2 2 6 2 2 2" xfId="27912"/>
    <cellStyle name="Normal 3 4 3 2 2 6 2 2 2" xfId="27913"/>
    <cellStyle name="Normal 4 3 3 2 2 6 2 2 2" xfId="27914"/>
    <cellStyle name="Normal 5 3 3 2 2 6 2 2 2" xfId="27915"/>
    <cellStyle name="Normal 7 3 3 2 2 6 2 2 2" xfId="27916"/>
    <cellStyle name="Normal 2 9 4 2 2 2" xfId="27917"/>
    <cellStyle name="Normal 3 9 4 2 2 2" xfId="27918"/>
    <cellStyle name="Normal 4 8 4 2 2 2" xfId="27919"/>
    <cellStyle name="Normal 5 8 4 2 2 2" xfId="27920"/>
    <cellStyle name="Normal 7 8 4 2 2 2" xfId="27921"/>
    <cellStyle name="Normal 2 3 6 4 2 2 2" xfId="27922"/>
    <cellStyle name="Normal 3 3 6 4 2 2 2" xfId="27923"/>
    <cellStyle name="Normal 4 2 6 4 2 2 2" xfId="27924"/>
    <cellStyle name="Normal 5 2 6 4 2 2 2" xfId="27925"/>
    <cellStyle name="Normal 7 2 6 4 2 2 2" xfId="27926"/>
    <cellStyle name="Normal 2 4 6 4 2 2 2" xfId="27927"/>
    <cellStyle name="Normal 3 4 6 4 2 2 2" xfId="27928"/>
    <cellStyle name="Normal 4 3 6 4 2 2 2" xfId="27929"/>
    <cellStyle name="Normal 5 3 6 4 2 2 2" xfId="27930"/>
    <cellStyle name="Normal 7 3 6 4 2 2 2" xfId="27931"/>
    <cellStyle name="Normal 2 5 4 4 2 2 2" xfId="27932"/>
    <cellStyle name="Normal 3 5 4 4 2 2 2" xfId="27933"/>
    <cellStyle name="Normal 4 4 4 4 2 2 2" xfId="27934"/>
    <cellStyle name="Normal 5 4 4 4 2 2 2" xfId="27935"/>
    <cellStyle name="Normal 7 4 4 4 2 2 2" xfId="27936"/>
    <cellStyle name="Normal 2 3 2 4 4 2 2 2" xfId="27937"/>
    <cellStyle name="Normal 3 3 2 4 4 2 2 2" xfId="27938"/>
    <cellStyle name="Normal 4 2 2 4 4 2 2 2" xfId="27939"/>
    <cellStyle name="Normal 5 2 2 4 4 2 2 2" xfId="27940"/>
    <cellStyle name="Normal 7 2 2 4 4 2 2 2" xfId="27941"/>
    <cellStyle name="Normal 2 4 2 4 4 2 2 2" xfId="27942"/>
    <cellStyle name="Normal 3 4 2 4 4 2 2 2" xfId="27943"/>
    <cellStyle name="Normal 4 3 2 4 4 2 2 2" xfId="27944"/>
    <cellStyle name="Normal 5 3 2 4 4 2 2 2" xfId="27945"/>
    <cellStyle name="Normal 7 3 2 4 4 2 2 2" xfId="27946"/>
    <cellStyle name="Normal 2 6 4 4 2 2 2" xfId="27947"/>
    <cellStyle name="Normal 3 6 4 4 2 2 2" xfId="27948"/>
    <cellStyle name="Normal 4 5 4 4 2 2 2" xfId="27949"/>
    <cellStyle name="Normal 5 5 4 4 2 2 2" xfId="27950"/>
    <cellStyle name="Normal 7 5 4 4 2 2 2" xfId="27951"/>
    <cellStyle name="Normal 2 3 3 4 4 2 2 2" xfId="27952"/>
    <cellStyle name="Normal 3 3 3 4 4 2 2 2" xfId="27953"/>
    <cellStyle name="Normal 4 2 3 4 4 2 2 2" xfId="27954"/>
    <cellStyle name="Normal 5 2 3 4 4 2 2 2" xfId="27955"/>
    <cellStyle name="Normal 7 2 3 4 4 2 2 2" xfId="27956"/>
    <cellStyle name="Normal 2 4 3 4 4 2 2 2" xfId="27957"/>
    <cellStyle name="Normal 3 4 3 4 4 2 2 2" xfId="27958"/>
    <cellStyle name="Normal 4 3 3 4 4 2 2 2" xfId="27959"/>
    <cellStyle name="Normal 5 3 3 4 4 2 2 2" xfId="27960"/>
    <cellStyle name="Normal 7 3 3 4 4 2 2 2" xfId="27961"/>
    <cellStyle name="Normal 2 7 3 4 2 2 2" xfId="27962"/>
    <cellStyle name="Normal 3 7 3 4 2 2 2" xfId="27963"/>
    <cellStyle name="Normal 4 6 3 4 2 2 2" xfId="27964"/>
    <cellStyle name="Normal 5 6 3 4 2 2 2" xfId="27965"/>
    <cellStyle name="Normal 7 6 3 4 2 2 2" xfId="27966"/>
    <cellStyle name="Normal 2 3 4 3 4 2 2 2" xfId="27967"/>
    <cellStyle name="Normal 3 3 4 3 4 2 2 2" xfId="27968"/>
    <cellStyle name="Normal 4 2 4 3 4 2 2 2" xfId="27969"/>
    <cellStyle name="Normal 5 2 4 3 4 2 2 2" xfId="27970"/>
    <cellStyle name="Normal 7 2 4 3 4 2 2 2" xfId="27971"/>
    <cellStyle name="Normal 2 4 4 3 4 2 2 2" xfId="27972"/>
    <cellStyle name="Normal 3 4 4 3 4 2 2 2" xfId="27973"/>
    <cellStyle name="Normal 4 3 4 3 4 2 2 2" xfId="27974"/>
    <cellStyle name="Normal 5 3 4 3 4 2 2 2" xfId="27975"/>
    <cellStyle name="Normal 7 3 4 3 4 2 2 2" xfId="27976"/>
    <cellStyle name="Normal 2 5 2 3 4 2 2 2" xfId="27977"/>
    <cellStyle name="Normal 3 5 2 3 4 2 2 2" xfId="27978"/>
    <cellStyle name="Normal 4 4 2 3 4 2 2 2" xfId="27979"/>
    <cellStyle name="Normal 5 4 2 3 4 2 2 2" xfId="27980"/>
    <cellStyle name="Normal 7 4 2 3 4 2 2 2" xfId="27981"/>
    <cellStyle name="Normal 2 3 2 2 3 4 2 2 2" xfId="27982"/>
    <cellStyle name="Normal 3 3 2 2 3 4 2 2 2" xfId="27983"/>
    <cellStyle name="Normal 4 2 2 2 3 4 2 2 2" xfId="27984"/>
    <cellStyle name="Normal 5 2 2 2 3 4 2 2 2" xfId="27985"/>
    <cellStyle name="Normal 7 2 2 2 3 4 2 2 2" xfId="27986"/>
    <cellStyle name="Normal 2 4 2 2 3 4 2 2 2" xfId="27987"/>
    <cellStyle name="Normal 3 4 2 2 3 4 2 2 2" xfId="27988"/>
    <cellStyle name="Normal 4 3 2 2 3 4 2 2 2" xfId="27989"/>
    <cellStyle name="Normal 5 3 2 2 3 4 2 2 2" xfId="27990"/>
    <cellStyle name="Normal 7 3 2 2 3 4 2 2 2" xfId="27991"/>
    <cellStyle name="Normal 2 6 2 3 4 2 2 2" xfId="27992"/>
    <cellStyle name="Normal 3 6 2 3 4 2 2 2" xfId="27993"/>
    <cellStyle name="Normal 4 5 2 3 4 2 2 2" xfId="27994"/>
    <cellStyle name="Normal 5 5 2 3 4 2 2 2" xfId="27995"/>
    <cellStyle name="Normal 7 5 2 3 4 2 2 2" xfId="27996"/>
    <cellStyle name="Normal 2 3 3 2 3 4 2 2 2" xfId="27997"/>
    <cellStyle name="Normal 3 3 3 2 3 4 2 2 2" xfId="27998"/>
    <cellStyle name="Normal 4 2 3 2 3 4 2 2 2" xfId="27999"/>
    <cellStyle name="Normal 5 2 3 2 3 4 2 2 2" xfId="28000"/>
    <cellStyle name="Normal 7 2 3 2 3 4 2 2 2" xfId="28001"/>
    <cellStyle name="Normal 2 4 3 2 3 4 2 2 2" xfId="28002"/>
    <cellStyle name="Normal 3 4 3 2 3 4 2 2 2" xfId="28003"/>
    <cellStyle name="Normal 4 3 3 2 3 4 2 2 2" xfId="28004"/>
    <cellStyle name="Normal 5 3 3 2 3 4 2 2 2" xfId="28005"/>
    <cellStyle name="Normal 7 3 3 2 3 4 2 2 2" xfId="28006"/>
    <cellStyle name="Normal 2 8 2 4 2 2 2" xfId="28007"/>
    <cellStyle name="Normal 3 8 2 4 2 2 2" xfId="28008"/>
    <cellStyle name="Normal 4 7 2 4 2 2 2" xfId="28009"/>
    <cellStyle name="Normal 5 7 2 4 2 2 2" xfId="28010"/>
    <cellStyle name="Normal 7 7 2 4 2 2 2" xfId="28011"/>
    <cellStyle name="Normal 2 3 5 2 4 2 2 2" xfId="28012"/>
    <cellStyle name="Normal 3 3 5 2 4 2 2 2" xfId="28013"/>
    <cellStyle name="Normal 4 2 5 2 4 2 2 2" xfId="28014"/>
    <cellStyle name="Normal 5 2 5 2 4 2 2 2" xfId="28015"/>
    <cellStyle name="Normal 7 2 5 2 4 2 2 2" xfId="28016"/>
    <cellStyle name="Normal 2 4 5 2 4 2 2 2" xfId="28017"/>
    <cellStyle name="Normal 3 4 5 2 4 2 2 2" xfId="28018"/>
    <cellStyle name="Normal 4 3 5 2 4 2 2 2" xfId="28019"/>
    <cellStyle name="Normal 5 3 5 2 4 2 2 2" xfId="28020"/>
    <cellStyle name="Normal 7 3 5 2 4 2 2 2" xfId="28021"/>
    <cellStyle name="Normal 2 5 3 2 4 2 2 2" xfId="28022"/>
    <cellStyle name="Normal 3 5 3 2 4 2 2 2" xfId="28023"/>
    <cellStyle name="Normal 4 4 3 2 4 2 2 2" xfId="28024"/>
    <cellStyle name="Normal 5 4 3 2 4 2 2 2" xfId="28025"/>
    <cellStyle name="Normal 7 4 3 2 4 2 2 2" xfId="28026"/>
    <cellStyle name="Normal 2 3 2 3 2 4 2 2 2" xfId="28027"/>
    <cellStyle name="Normal 3 3 2 3 2 4 2 2 2" xfId="28028"/>
    <cellStyle name="Normal 4 2 2 3 2 4 2 2 2" xfId="28029"/>
    <cellStyle name="Normal 5 2 2 3 2 4 2 2 2" xfId="28030"/>
    <cellStyle name="Normal 7 2 2 3 2 4 2 2 2" xfId="28031"/>
    <cellStyle name="Normal 2 4 2 3 2 4 2 2 2" xfId="28032"/>
    <cellStyle name="Normal 3 4 2 3 2 4 2 2 2" xfId="28033"/>
    <cellStyle name="Normal 4 3 2 3 2 4 2 2 2" xfId="28034"/>
    <cellStyle name="Normal 5 3 2 3 2 4 2 2 2" xfId="28035"/>
    <cellStyle name="Normal 7 3 2 3 2 4 2 2 2" xfId="28036"/>
    <cellStyle name="Normal 2 6 3 2 4 2 2 2" xfId="28037"/>
    <cellStyle name="Normal 3 6 3 2 4 2 2 2" xfId="28038"/>
    <cellStyle name="Normal 4 5 3 2 4 2 2 2" xfId="28039"/>
    <cellStyle name="Normal 5 5 3 2 4 2 2 2" xfId="28040"/>
    <cellStyle name="Normal 7 5 3 2 4 2 2 2" xfId="28041"/>
    <cellStyle name="Normal 2 3 3 3 2 4 2 2 2" xfId="28042"/>
    <cellStyle name="Normal 3 3 3 3 2 4 2 2 2" xfId="28043"/>
    <cellStyle name="Normal 4 2 3 3 2 4 2 2 2" xfId="28044"/>
    <cellStyle name="Normal 5 2 3 3 2 4 2 2 2" xfId="28045"/>
    <cellStyle name="Normal 7 2 3 3 2 4 2 2 2" xfId="28046"/>
    <cellStyle name="Normal 2 4 3 3 2 4 2 2 2" xfId="28047"/>
    <cellStyle name="Normal 3 4 3 3 2 4 2 2 2" xfId="28048"/>
    <cellStyle name="Normal 4 3 3 3 2 4 2 2 2" xfId="28049"/>
    <cellStyle name="Normal 5 3 3 3 2 4 2 2 2" xfId="28050"/>
    <cellStyle name="Normal 7 3 3 3 2 4 2 2 2" xfId="28051"/>
    <cellStyle name="Normal 2 7 2 2 4 2 2 2" xfId="28052"/>
    <cellStyle name="Normal 3 7 2 2 4 2 2 2" xfId="28053"/>
    <cellStyle name="Normal 4 6 2 2 4 2 2 2" xfId="28054"/>
    <cellStyle name="Normal 5 6 2 2 4 2 2 2" xfId="28055"/>
    <cellStyle name="Normal 7 6 2 2 4 2 2 2" xfId="28056"/>
    <cellStyle name="Normal 2 3 4 2 2 4 2 2 2" xfId="28057"/>
    <cellStyle name="Normal 3 3 4 2 2 4 2 2 2" xfId="28058"/>
    <cellStyle name="Normal 4 2 4 2 2 4 2 2 2" xfId="28059"/>
    <cellStyle name="Normal 5 2 4 2 2 4 2 2 2" xfId="28060"/>
    <cellStyle name="Normal 7 2 4 2 2 4 2 2 2" xfId="28061"/>
    <cellStyle name="Normal 2 4 4 2 2 4 2 2 2" xfId="28062"/>
    <cellStyle name="Normal 3 4 4 2 2 4 2 2 2" xfId="28063"/>
    <cellStyle name="Normal 4 3 4 2 2 4 2 2 2" xfId="28064"/>
    <cellStyle name="Normal 5 3 4 2 2 4 2 2 2" xfId="28065"/>
    <cellStyle name="Normal 7 3 4 2 2 4 2 2 2" xfId="28066"/>
    <cellStyle name="Normal 2 5 2 2 2 4 2 2 2" xfId="28067"/>
    <cellStyle name="Normal 3 5 2 2 2 4 2 2 2" xfId="28068"/>
    <cellStyle name="Normal 4 4 2 2 2 4 2 2 2" xfId="28069"/>
    <cellStyle name="Normal 5 4 2 2 2 4 2 2 2" xfId="28070"/>
    <cellStyle name="Normal 7 4 2 2 2 4 2 2 2" xfId="28071"/>
    <cellStyle name="Normal 2 3 2 2 2 2 4 2 2 2" xfId="28072"/>
    <cellStyle name="Normal 3 3 2 2 2 2 4 2 2 2" xfId="28073"/>
    <cellStyle name="Normal 4 2 2 2 2 2 4 2 2 2" xfId="28074"/>
    <cellStyle name="Normal 5 2 2 2 2 2 4 2 2 2" xfId="28075"/>
    <cellStyle name="Normal 7 2 2 2 2 2 4 2 2 2" xfId="28076"/>
    <cellStyle name="Normal 2 4 2 2 2 2 4 2 2 2" xfId="28077"/>
    <cellStyle name="Normal 3 4 2 2 2 2 4 2 2 2" xfId="28078"/>
    <cellStyle name="Normal 4 3 2 2 2 2 4 2 2 2" xfId="28079"/>
    <cellStyle name="Normal 5 3 2 2 2 2 4 2 2 2" xfId="28080"/>
    <cellStyle name="Normal 7 3 2 2 2 2 4 2 2 2" xfId="28081"/>
    <cellStyle name="Normal 2 6 2 2 2 4 2 2 2" xfId="28082"/>
    <cellStyle name="Normal 3 6 2 2 2 4 2 2 2" xfId="28083"/>
    <cellStyle name="Normal 4 5 2 2 2 4 2 2 2" xfId="28084"/>
    <cellStyle name="Normal 5 5 2 2 2 4 2 2 2" xfId="28085"/>
    <cellStyle name="Normal 7 5 2 2 2 4 2 2 2" xfId="28086"/>
    <cellStyle name="Normal 2 3 3 2 2 2 4 2 2 2" xfId="28087"/>
    <cellStyle name="Normal 3 3 3 2 2 2 4 2 2 2" xfId="28088"/>
    <cellStyle name="Normal 4 2 3 2 2 2 4 2 2 2" xfId="28089"/>
    <cellStyle name="Normal 5 2 3 2 2 2 4 2 2 2" xfId="28090"/>
    <cellStyle name="Normal 7 2 3 2 2 2 4 2 2 2" xfId="28091"/>
    <cellStyle name="Normal 2 4 3 2 2 2 4 2 2 2" xfId="28092"/>
    <cellStyle name="Normal 3 4 3 2 2 2 4 2 2 2" xfId="28093"/>
    <cellStyle name="Normal 4 3 3 2 2 2 4 2 2 2" xfId="28094"/>
    <cellStyle name="Normal 5 3 3 2 2 2 4 2 2 2" xfId="28095"/>
    <cellStyle name="Normal 7 3 3 2 2 2 4 2 2 2" xfId="28096"/>
    <cellStyle name="Normal 28 4 2 2 2" xfId="28097"/>
    <cellStyle name="Normal 2 3 7 4 2 2 2" xfId="28098"/>
    <cellStyle name="Normal 3 10 4 2 2 2" xfId="28099"/>
    <cellStyle name="Normal 4 9 4 2 2 2" xfId="28100"/>
    <cellStyle name="Normal 5 9 4 2 2 2" xfId="28101"/>
    <cellStyle name="Millares 4 4 2 2 2" xfId="28102"/>
    <cellStyle name="Normal 7 2 7 4 2 2 2" xfId="28103"/>
    <cellStyle name="Normal 3 3 7 4 2 2 2" xfId="28104"/>
    <cellStyle name="Normal 4 2 7 4 2 2 2" xfId="28105"/>
    <cellStyle name="Normal 5 2 7 4 2 2 2" xfId="28106"/>
    <cellStyle name="Normal 2 4 5 3 4 2 2 2" xfId="28107"/>
    <cellStyle name="Normal 3 4 7 4 2 2 2" xfId="28108"/>
    <cellStyle name="Normal 4 3 7 4 2 2 2" xfId="28109"/>
    <cellStyle name="Normal 5 3 7 4 2 2 2" xfId="28110"/>
    <cellStyle name="Normal 7 3 7 4 2 2 2" xfId="28111"/>
    <cellStyle name="Normal 2 5 5 4 2 2 2" xfId="28112"/>
    <cellStyle name="Normal 3 5 5 4 2 2 2" xfId="28113"/>
    <cellStyle name="Normal 4 4 5 4 2 2 2" xfId="28114"/>
    <cellStyle name="Normal 5 4 5 4 2 2 2" xfId="28115"/>
    <cellStyle name="Normal 7 4 5 4 2 2 2" xfId="28116"/>
    <cellStyle name="Normal 2 3 2 5 4 2 2 2" xfId="28117"/>
    <cellStyle name="Normal 3 3 2 5 4 2 2 2" xfId="28118"/>
    <cellStyle name="Normal 4 2 2 5 4 2 2 2" xfId="28119"/>
    <cellStyle name="Normal 5 2 2 5 4 2 2 2" xfId="28120"/>
    <cellStyle name="Normal 7 2 2 5 4 2 2 2" xfId="28121"/>
    <cellStyle name="Normal 2 4 2 5 4 2 2 2" xfId="28122"/>
    <cellStyle name="Normal 3 4 2 5 4 2 2 2" xfId="28123"/>
    <cellStyle name="Normal 4 3 2 5 4 2 2 2" xfId="28124"/>
    <cellStyle name="Normal 5 3 2 5 4 2 2 2" xfId="28125"/>
    <cellStyle name="Normal 7 3 2 5 4 2 2 2" xfId="28126"/>
    <cellStyle name="Normal 2 6 5 4 2 2 2" xfId="28127"/>
    <cellStyle name="Normal 3 6 5 4 2 2 2" xfId="28128"/>
    <cellStyle name="Normal 4 5 5 4 2 2 2" xfId="28129"/>
    <cellStyle name="Normal 5 5 5 4 2 2 2" xfId="28130"/>
    <cellStyle name="Normal 7 5 5 4 2 2 2" xfId="28131"/>
    <cellStyle name="Normal 2 3 3 5 4 2 2 2" xfId="28132"/>
    <cellStyle name="Normal 3 3 3 5 4 2 2 2" xfId="28133"/>
    <cellStyle name="Normal 4 2 3 5 4 2 2 2" xfId="28134"/>
    <cellStyle name="Normal 5 2 3 5 4 2 2 2" xfId="28135"/>
    <cellStyle name="Normal 7 2 3 5 4 2 2 2" xfId="28136"/>
    <cellStyle name="Normal 2 4 3 5 4 2 2 2" xfId="28137"/>
    <cellStyle name="Normal 3 4 3 5 4 2 2 2" xfId="28138"/>
    <cellStyle name="Normal 4 3 3 5 4 2 2 2" xfId="28139"/>
    <cellStyle name="Normal 5 3 3 5 4 2 2 2" xfId="28140"/>
    <cellStyle name="Normal 7 3 3 5 4 2 2 2" xfId="28141"/>
    <cellStyle name="Normal 2 7 4 4 2 2 2" xfId="28142"/>
    <cellStyle name="Normal 3 7 4 4 2 2 2" xfId="28143"/>
    <cellStyle name="Normal 4 6 4 4 2 2 2" xfId="28144"/>
    <cellStyle name="Normal 5 6 4 4 2 2 2" xfId="28145"/>
    <cellStyle name="Normal 7 6 4 4 2 2 2" xfId="28146"/>
    <cellStyle name="Normal 2 3 4 4 4 2 2 2" xfId="28147"/>
    <cellStyle name="Normal 3 3 4 4 4 2 2 2" xfId="28148"/>
    <cellStyle name="Normal 4 2 4 4 4 2 2 2" xfId="28149"/>
    <cellStyle name="Normal 5 2 4 4 4 2 2 2" xfId="28150"/>
    <cellStyle name="Normal 7 2 4 4 4 2 2 2" xfId="28151"/>
    <cellStyle name="Normal 2 4 4 4 4 2 2 2" xfId="28152"/>
    <cellStyle name="Normal 3 4 4 4 4 2 2 2" xfId="28153"/>
    <cellStyle name="Normal 4 3 4 4 4 2 2 2" xfId="28154"/>
    <cellStyle name="Normal 5 3 4 4 4 2 2 2" xfId="28155"/>
    <cellStyle name="Normal 7 3 4 4 4 2 2 2" xfId="28156"/>
    <cellStyle name="Normal 2 5 2 4 4 2 2 2" xfId="28157"/>
    <cellStyle name="Normal 3 5 2 4 4 2 2 2" xfId="28158"/>
    <cellStyle name="Normal 4 4 2 4 4 2 2 2" xfId="28159"/>
    <cellStyle name="Normal 5 4 2 4 4 2 2 2" xfId="28160"/>
    <cellStyle name="Normal 7 4 2 4 4 2 2 2" xfId="28161"/>
    <cellStyle name="Normal 2 3 2 2 4 4 2 2 2" xfId="28162"/>
    <cellStyle name="Normal 3 3 2 2 4 4 2 2 2" xfId="28163"/>
    <cellStyle name="Normal 4 2 2 2 4 4 2 2 2" xfId="28164"/>
    <cellStyle name="Normal 5 2 2 2 4 4 2 2 2" xfId="28165"/>
    <cellStyle name="Normal 7 2 2 2 4 4 2 2 2" xfId="28166"/>
    <cellStyle name="Normal 2 4 2 2 4 4 2 2 2" xfId="28167"/>
    <cellStyle name="Normal 3 4 2 2 4 4 2 2 2" xfId="28168"/>
    <cellStyle name="Normal 4 3 2 2 4 4 2 2 2" xfId="28169"/>
    <cellStyle name="Normal 5 3 2 2 4 4 2 2 2" xfId="28170"/>
    <cellStyle name="Normal 7 3 2 2 4 4 2 2 2" xfId="28171"/>
    <cellStyle name="Normal 2 6 2 4 4 2 2 2" xfId="28172"/>
    <cellStyle name="Normal 3 6 2 4 4 2 2 2" xfId="28173"/>
    <cellStyle name="Normal 4 5 2 4 4 2 2 2" xfId="28174"/>
    <cellStyle name="Normal 5 5 2 4 4 2 2 2" xfId="28175"/>
    <cellStyle name="Normal 7 5 2 4 4 2 2 2" xfId="28176"/>
    <cellStyle name="Normal 2 3 3 2 4 4 2 2 2" xfId="28177"/>
    <cellStyle name="Normal 3 3 3 2 4 4 2 2 2" xfId="28178"/>
    <cellStyle name="Normal 4 2 3 2 4 4 2 2 2" xfId="28179"/>
    <cellStyle name="Normal 5 2 3 2 4 4 2 2 2" xfId="28180"/>
    <cellStyle name="Normal 7 2 3 2 4 4 2 2 2" xfId="28181"/>
    <cellStyle name="Normal 2 4 3 2 4 4 2 2 2" xfId="28182"/>
    <cellStyle name="Normal 3 4 3 2 4 4 2 2 2" xfId="28183"/>
    <cellStyle name="Normal 4 3 3 2 4 4 2 2 2" xfId="28184"/>
    <cellStyle name="Normal 5 3 3 2 4 4 2 2 2" xfId="28185"/>
    <cellStyle name="Normal 7 3 3 2 4 4 2 2 2" xfId="28186"/>
    <cellStyle name="Normal 2 8 3 4 2 2 2" xfId="28187"/>
    <cellStyle name="Normal 3 8 3 4 2 2 2" xfId="28188"/>
    <cellStyle name="Normal 4 7 3 4 2 2 2" xfId="28189"/>
    <cellStyle name="Normal 5 7 3 4 2 2 2" xfId="28190"/>
    <cellStyle name="Normal 7 7 3 4 2 2 2" xfId="28191"/>
    <cellStyle name="Normal 2 3 5 3 4 2 2 2" xfId="28192"/>
    <cellStyle name="Normal 3 3 5 3 4 2 2 2" xfId="28193"/>
    <cellStyle name="Normal 4 2 5 3 4 2 2 2" xfId="28194"/>
    <cellStyle name="Normal 5 2 5 3 4 2 2 2" xfId="28195"/>
    <cellStyle name="Normal 7 2 5 3 4 2 2 2" xfId="28196"/>
    <cellStyle name="Normal 3 4 5 3 4 2 2 2" xfId="28197"/>
    <cellStyle name="Normal 4 3 5 3 4 2 2 2" xfId="28198"/>
    <cellStyle name="Normal 5 3 5 3 4 2 2 2" xfId="28199"/>
    <cellStyle name="Normal 7 3 5 3 4 2 2 2" xfId="28200"/>
    <cellStyle name="Normal 2 5 3 3 4 2 2 2" xfId="28201"/>
    <cellStyle name="Normal 3 5 3 3 4 2 2 2" xfId="28202"/>
    <cellStyle name="Normal 4 4 3 3 4 2 2 2" xfId="28203"/>
    <cellStyle name="Normal 5 4 3 3 4 2 2 2" xfId="28204"/>
    <cellStyle name="Normal 7 4 3 3 4 2 2 2" xfId="28205"/>
    <cellStyle name="Normal 2 3 2 3 3 4 2 2 2" xfId="28206"/>
    <cellStyle name="Normal 3 3 2 3 3 4 2 2 2" xfId="28207"/>
    <cellStyle name="Normal 4 2 2 3 3 4 2 2 2" xfId="28208"/>
    <cellStyle name="Normal 5 2 2 3 3 4 2 2 2" xfId="28209"/>
    <cellStyle name="Normal 7 2 2 3 3 4 2 2 2" xfId="28210"/>
    <cellStyle name="Normal 2 4 2 3 3 4 2 2 2" xfId="28211"/>
    <cellStyle name="Normal 3 4 2 3 3 4 2 2 2" xfId="28212"/>
    <cellStyle name="Normal 4 3 2 3 3 4 2 2 2" xfId="28213"/>
    <cellStyle name="Normal 5 3 2 3 3 4 2 2 2" xfId="28214"/>
    <cellStyle name="Normal 7 3 2 3 3 4 2 2 2" xfId="28215"/>
    <cellStyle name="Normal 2 6 3 3 4 2 2 2" xfId="28216"/>
    <cellStyle name="Normal 3 6 3 3 4 2 2 2" xfId="28217"/>
    <cellStyle name="Normal 4 5 3 3 4 2 2 2" xfId="28218"/>
    <cellStyle name="Normal 5 5 3 3 4 2 2 2" xfId="28219"/>
    <cellStyle name="Normal 7 5 3 3 4 2 2 2" xfId="28220"/>
    <cellStyle name="Normal 2 3 3 3 3 4 2 2 2" xfId="28221"/>
    <cellStyle name="Normal 3 3 3 3 3 4 2 2 2" xfId="28222"/>
    <cellStyle name="Normal 4 2 3 3 3 4 2 2 2" xfId="28223"/>
    <cellStyle name="Normal 5 2 3 3 3 4 2 2 2" xfId="28224"/>
    <cellStyle name="Normal 7 2 3 3 3 4 2 2 2" xfId="28225"/>
    <cellStyle name="Normal 2 4 3 3 3 4 2 2 2" xfId="28226"/>
    <cellStyle name="Normal 3 4 3 3 3 4 2 2 2" xfId="28227"/>
    <cellStyle name="Normal 4 3 3 3 3 4 2 2 2" xfId="28228"/>
    <cellStyle name="Normal 5 3 3 3 3 4 2 2 2" xfId="28229"/>
    <cellStyle name="Normal 7 3 3 3 3 4 2 2 2" xfId="28230"/>
    <cellStyle name="Normal 2 7 2 3 4 2 2 2" xfId="28231"/>
    <cellStyle name="Normal 3 7 2 3 4 2 2 2" xfId="28232"/>
    <cellStyle name="Normal 4 6 2 3 4 2 2 2" xfId="28233"/>
    <cellStyle name="Normal 5 6 2 3 4 2 2 2" xfId="28234"/>
    <cellStyle name="Normal 7 6 2 3 4 2 2 2" xfId="28235"/>
    <cellStyle name="Normal 2 3 4 2 3 4 2 2 2" xfId="28236"/>
    <cellStyle name="Normal 3 3 4 2 3 4 2 2 2" xfId="28237"/>
    <cellStyle name="Normal 4 2 4 2 3 4 2 2 2" xfId="28238"/>
    <cellStyle name="Normal 5 2 4 2 3 4 2 2 2" xfId="28239"/>
    <cellStyle name="Normal 7 2 4 2 3 4 2 2 2" xfId="28240"/>
    <cellStyle name="Normal 2 4 4 2 3 4 2 2 2" xfId="28241"/>
    <cellStyle name="Normal 3 4 4 2 3 4 2 2 2" xfId="28242"/>
    <cellStyle name="Normal 4 3 4 2 3 4 2 2 2" xfId="28243"/>
    <cellStyle name="Normal 5 3 4 2 3 4 2 2 2" xfId="28244"/>
    <cellStyle name="Normal 7 3 4 2 3 4 2 2 2" xfId="28245"/>
    <cellStyle name="Normal 2 5 2 2 3 4 2 2 2" xfId="28246"/>
    <cellStyle name="Normal 3 5 2 2 3 4 2 2 2" xfId="28247"/>
    <cellStyle name="Normal 4 4 2 2 3 4 2 2 2" xfId="28248"/>
    <cellStyle name="Normal 5 4 2 2 3 4 2 2 2" xfId="28249"/>
    <cellStyle name="Normal 7 4 2 2 3 4 2 2 2" xfId="28250"/>
    <cellStyle name="Normal 2 3 2 2 2 3 4 2 2 2" xfId="28251"/>
    <cellStyle name="Normal 3 3 2 2 2 3 4 2 2 2" xfId="28252"/>
    <cellStyle name="Normal 4 2 2 2 2 3 4 2 2 2" xfId="28253"/>
    <cellStyle name="Normal 5 2 2 2 2 3 4 2 2 2" xfId="28254"/>
    <cellStyle name="Normal 7 2 2 2 2 3 4 2 2 2" xfId="28255"/>
    <cellStyle name="Normal 2 4 2 2 2 3 4 2 2 2" xfId="28256"/>
    <cellStyle name="Normal 3 4 2 2 2 3 4 2 2 2" xfId="28257"/>
    <cellStyle name="Normal 4 3 2 2 2 3 4 2 2 2" xfId="28258"/>
    <cellStyle name="Normal 5 3 2 2 2 3 4 2 2 2" xfId="28259"/>
    <cellStyle name="Normal 7 3 2 2 2 3 4 2 2 2" xfId="28260"/>
    <cellStyle name="Normal 2 6 2 2 3 4 2 2 2" xfId="28261"/>
    <cellStyle name="Normal 3 6 2 2 3 4 2 2 2" xfId="28262"/>
    <cellStyle name="Normal 4 5 2 2 3 4 2 2 2" xfId="28263"/>
    <cellStyle name="Normal 5 5 2 2 3 4 2 2 2" xfId="28264"/>
    <cellStyle name="Normal 7 5 2 2 3 4 2 2 2" xfId="28265"/>
    <cellStyle name="Normal 2 3 3 2 2 3 4 2 2 2" xfId="28266"/>
    <cellStyle name="Normal 3 3 3 2 2 3 4 2 2 2" xfId="28267"/>
    <cellStyle name="Normal 4 2 3 2 2 3 4 2 2 2" xfId="28268"/>
    <cellStyle name="Normal 5 2 3 2 2 3 4 2 2 2" xfId="28269"/>
    <cellStyle name="Normal 7 2 3 2 2 3 4 2 2 2" xfId="28270"/>
    <cellStyle name="Normal 2 4 3 2 2 3 4 2 2 2" xfId="28271"/>
    <cellStyle name="Normal 3 4 3 2 2 3 4 2 2 2" xfId="28272"/>
    <cellStyle name="Normal 4 3 3 2 2 3 4 2 2 2" xfId="28273"/>
    <cellStyle name="Normal 5 3 3 2 2 3 4 2 2 2" xfId="28274"/>
    <cellStyle name="Normal 7 3 3 2 2 3 4 2 2 2" xfId="28275"/>
    <cellStyle name="Normal 2 11 2 2 2 2" xfId="28276"/>
    <cellStyle name="Normal 3 11 2 2 2 2" xfId="28277"/>
    <cellStyle name="Normal 4 10 2 2 2 2" xfId="28278"/>
    <cellStyle name="Normal 5 10 2 2 2 2" xfId="28279"/>
    <cellStyle name="Normal 7 10 2 2 2 2" xfId="28280"/>
    <cellStyle name="Normal 2 3 8 2 2 2 2" xfId="28281"/>
    <cellStyle name="Normal 3 3 8 2 2 2 2" xfId="28282"/>
    <cellStyle name="Normal 4 2 8 2 2 2 2" xfId="28283"/>
    <cellStyle name="Normal 5 2 8 2 2 2 2" xfId="28284"/>
    <cellStyle name="Normal 7 2 8 2 2 2 2" xfId="28285"/>
    <cellStyle name="Normal 2 4 8 2 2 2 2" xfId="28286"/>
    <cellStyle name="Normal 3 4 8 2 2 2 2" xfId="28287"/>
    <cellStyle name="Normal 4 3 8 2 2 2 2" xfId="28288"/>
    <cellStyle name="Normal 5 3 8 2 2 2 2" xfId="28289"/>
    <cellStyle name="Normal 7 3 8 2 2 2 2" xfId="28290"/>
    <cellStyle name="Normal 2 5 6 2 2 2 2" xfId="28291"/>
    <cellStyle name="Normal 3 5 6 2 2 2 2" xfId="28292"/>
    <cellStyle name="Normal 4 4 6 2 2 2 2" xfId="28293"/>
    <cellStyle name="Normal 5 4 6 2 2 2 2" xfId="28294"/>
    <cellStyle name="Normal 7 4 6 2 2 2 2" xfId="28295"/>
    <cellStyle name="Normal 2 3 2 6 2 2 2 2" xfId="28296"/>
    <cellStyle name="Normal 3 3 2 6 2 2 2 2" xfId="28297"/>
    <cellStyle name="Normal 4 2 2 6 2 2 2 2" xfId="28298"/>
    <cellStyle name="Normal 5 2 2 6 2 2 2 2" xfId="28299"/>
    <cellStyle name="Normal 7 2 2 6 2 2 2 2" xfId="28300"/>
    <cellStyle name="Normal 2 4 2 6 2 2 2 2" xfId="28301"/>
    <cellStyle name="Normal 3 4 2 6 2 2 2 2" xfId="28302"/>
    <cellStyle name="Normal 4 3 2 6 2 2 2 2" xfId="28303"/>
    <cellStyle name="Normal 5 3 2 6 2 2 2 2" xfId="28304"/>
    <cellStyle name="Normal 7 3 2 6 2 2 2 2" xfId="28305"/>
    <cellStyle name="Normal 2 6 6 2 2 2 2" xfId="28306"/>
    <cellStyle name="Normal 3 6 6 2 2 2 2" xfId="28307"/>
    <cellStyle name="Normal 4 5 6 2 2 2 2" xfId="28308"/>
    <cellStyle name="Normal 5 5 6 2 2 2 2" xfId="28309"/>
    <cellStyle name="Normal 7 5 6 2 2 2 2" xfId="28310"/>
    <cellStyle name="Normal 2 3 3 6 2 2 2 2" xfId="28311"/>
    <cellStyle name="Normal 3 3 3 6 2 2 2 2" xfId="28312"/>
    <cellStyle name="Normal 4 2 3 6 2 2 2 2" xfId="28313"/>
    <cellStyle name="Normal 5 2 3 6 2 2 2 2" xfId="28314"/>
    <cellStyle name="Normal 7 2 3 6 2 2 2 2" xfId="28315"/>
    <cellStyle name="Normal 2 4 3 6 2 2 2 2" xfId="28316"/>
    <cellStyle name="Normal 3 4 3 6 2 2 2 2" xfId="28317"/>
    <cellStyle name="Normal 4 3 3 6 2 2 2 2" xfId="28318"/>
    <cellStyle name="Normal 5 3 3 6 2 2 2 2" xfId="28319"/>
    <cellStyle name="Normal 7 3 3 6 2 2 2 2" xfId="28320"/>
    <cellStyle name="Normal 2 7 5 2 2 2 2" xfId="28321"/>
    <cellStyle name="Normal 3 7 5 2 2 2 2" xfId="28322"/>
    <cellStyle name="Normal 4 6 5 2 2 2 2" xfId="28323"/>
    <cellStyle name="Normal 5 6 5 2 2 2 2" xfId="28324"/>
    <cellStyle name="Normal 7 6 5 2 2 2 2" xfId="28325"/>
    <cellStyle name="Normal 2 3 4 5 2 2 2 2" xfId="28326"/>
    <cellStyle name="Normal 3 3 4 5 2 2 2 2" xfId="28327"/>
    <cellStyle name="Normal 4 2 4 5 2 2 2 2" xfId="28328"/>
    <cellStyle name="Normal 5 2 4 5 2 2 2 2" xfId="28329"/>
    <cellStyle name="Normal 7 2 4 5 2 2 2 2" xfId="28330"/>
    <cellStyle name="Normal 2 4 4 5 2 2 2 2" xfId="28331"/>
    <cellStyle name="Normal 3 4 4 5 2 2 2 2" xfId="28332"/>
    <cellStyle name="Normal 4 3 4 5 2 2 2 2" xfId="28333"/>
    <cellStyle name="Normal 5 3 4 5 2 2 2 2" xfId="28334"/>
    <cellStyle name="Normal 7 3 4 5 2 2 2 2" xfId="28335"/>
    <cellStyle name="Normal 2 5 2 5 2 2 2 2" xfId="28336"/>
    <cellStyle name="Normal 3 5 2 5 2 2 2 2" xfId="28337"/>
    <cellStyle name="Normal 4 4 2 5 2 2 2 2" xfId="28338"/>
    <cellStyle name="Normal 5 4 2 5 2 2 2 2" xfId="28339"/>
    <cellStyle name="Normal 7 4 2 5 2 2 2 2" xfId="28340"/>
    <cellStyle name="Normal 2 3 2 2 5 2 2 2 2" xfId="28341"/>
    <cellStyle name="Normal 3 3 2 2 5 2 2 2 2" xfId="28342"/>
    <cellStyle name="Normal 4 2 2 2 5 2 2 2 2" xfId="28343"/>
    <cellStyle name="Normal 5 2 2 2 5 2 2 2 2" xfId="28344"/>
    <cellStyle name="Normal 7 2 2 2 5 2 2 2 2" xfId="28345"/>
    <cellStyle name="Normal 2 4 2 2 5 2 2 2 2" xfId="28346"/>
    <cellStyle name="Normal 3 4 2 2 5 2 2 2 2" xfId="28347"/>
    <cellStyle name="Normal 4 3 2 2 5 2 2 2 2" xfId="28348"/>
    <cellStyle name="Normal 5 3 2 2 5 2 2 2 2" xfId="28349"/>
    <cellStyle name="Normal 7 3 2 2 5 2 2 2 2" xfId="28350"/>
    <cellStyle name="Normal 2 6 2 5 2 2 2 2" xfId="28351"/>
    <cellStyle name="Normal 3 6 2 5 2 2 2 2" xfId="28352"/>
    <cellStyle name="Normal 4 5 2 5 2 2 2 2" xfId="28353"/>
    <cellStyle name="Normal 5 5 2 5 2 2 2 2" xfId="28354"/>
    <cellStyle name="Normal 7 5 2 5 2 2 2 2" xfId="28355"/>
    <cellStyle name="Normal 2 3 3 2 5 2 2 2 2" xfId="28356"/>
    <cellStyle name="Normal 3 3 3 2 5 2 2 2 2" xfId="28357"/>
    <cellStyle name="Normal 4 2 3 2 5 2 2 2 2" xfId="28358"/>
    <cellStyle name="Normal 5 2 3 2 5 2 2 2 2" xfId="28359"/>
    <cellStyle name="Normal 7 2 3 2 5 2 2 2 2" xfId="28360"/>
    <cellStyle name="Normal 2 4 3 2 5 2 2 2 2" xfId="28361"/>
    <cellStyle name="Normal 3 4 3 2 5 2 2 2 2" xfId="28362"/>
    <cellStyle name="Normal 4 3 3 2 5 2 2 2 2" xfId="28363"/>
    <cellStyle name="Normal 5 3 3 2 5 2 2 2 2" xfId="28364"/>
    <cellStyle name="Normal 7 3 3 2 5 2 2 2 2" xfId="28365"/>
    <cellStyle name="Normal 2 8 4 2 2 2 2" xfId="28366"/>
    <cellStyle name="Normal 3 8 4 2 2 2 2" xfId="28367"/>
    <cellStyle name="Normal 4 7 4 2 2 2 2" xfId="28368"/>
    <cellStyle name="Normal 5 7 4 2 2 2 2" xfId="28369"/>
    <cellStyle name="Normal 7 7 4 2 2 2 2" xfId="28370"/>
    <cellStyle name="Normal 2 3 5 4 2 2 2 2" xfId="28371"/>
    <cellStyle name="Normal 3 3 5 4 2 2 2 2" xfId="28372"/>
    <cellStyle name="Normal 4 2 5 4 2 2 2 2" xfId="28373"/>
    <cellStyle name="Normal 5 2 5 4 2 2 2 2" xfId="28374"/>
    <cellStyle name="Normal 7 2 5 4 2 2 2 2" xfId="28375"/>
    <cellStyle name="Normal 2 4 5 4 2 2 2 2" xfId="28376"/>
    <cellStyle name="Normal 3 4 5 4 2 2 2 2" xfId="28377"/>
    <cellStyle name="Normal 4 3 5 4 2 2 2 2" xfId="28378"/>
    <cellStyle name="Normal 5 3 5 4 2 2 2 2" xfId="28379"/>
    <cellStyle name="Normal 7 3 5 4 2 2 2 2" xfId="28380"/>
    <cellStyle name="Normal 2 5 3 4 2 2 2 2" xfId="28381"/>
    <cellStyle name="Normal 3 5 3 4 2 2 2 2" xfId="28382"/>
    <cellStyle name="Normal 4 4 3 4 2 2 2 2" xfId="28383"/>
    <cellStyle name="Normal 5 4 3 4 2 2 2 2" xfId="28384"/>
    <cellStyle name="Normal 7 4 3 4 2 2 2 2" xfId="28385"/>
    <cellStyle name="Normal 2 3 2 3 4 2 2 2 2" xfId="28386"/>
    <cellStyle name="Normal 3 3 2 3 4 2 2 2 2" xfId="28387"/>
    <cellStyle name="Normal 4 2 2 3 4 2 2 2 2" xfId="28388"/>
    <cellStyle name="Normal 5 2 2 3 4 2 2 2 2" xfId="28389"/>
    <cellStyle name="Normal 7 2 2 3 4 2 2 2 2" xfId="28390"/>
    <cellStyle name="Normal 2 4 2 3 4 2 2 2 2" xfId="28391"/>
    <cellStyle name="Normal 3 4 2 3 4 2 2 2 2" xfId="28392"/>
    <cellStyle name="Normal 4 3 2 3 4 2 2 2 2" xfId="28393"/>
    <cellStyle name="Normal 5 3 2 3 4 2 2 2 2" xfId="28394"/>
    <cellStyle name="Normal 7 3 2 3 4 2 2 2 2" xfId="28395"/>
    <cellStyle name="Normal 2 6 3 4 2 2 2 2" xfId="28396"/>
    <cellStyle name="Normal 3 6 3 4 2 2 2 2" xfId="28397"/>
    <cellStyle name="Normal 4 5 3 4 2 2 2 2" xfId="28398"/>
    <cellStyle name="Normal 5 5 3 4 2 2 2 2" xfId="28399"/>
    <cellStyle name="Normal 7 5 3 4 2 2 2 2" xfId="28400"/>
    <cellStyle name="Normal 2 3 3 3 4 2 2 2 2" xfId="28401"/>
    <cellStyle name="Normal 3 3 3 3 4 2 2 2 2" xfId="28402"/>
    <cellStyle name="Normal 4 2 3 3 4 2 2 2 2" xfId="28403"/>
    <cellStyle name="Normal 5 2 3 3 4 2 2 2 2" xfId="28404"/>
    <cellStyle name="Normal 7 2 3 3 4 2 2 2 2" xfId="28405"/>
    <cellStyle name="Normal 2 4 3 3 4 2 2 2 2" xfId="28406"/>
    <cellStyle name="Normal 3 4 3 3 4 2 2 2 2" xfId="28407"/>
    <cellStyle name="Normal 4 3 3 3 4 2 2 2 2" xfId="28408"/>
    <cellStyle name="Normal 5 3 3 3 4 2 2 2 2" xfId="28409"/>
    <cellStyle name="Normal 7 3 3 3 4 2 2 2 2" xfId="28410"/>
    <cellStyle name="Normal 2 7 2 4 2 2 2 2" xfId="28411"/>
    <cellStyle name="Normal 3 7 2 4 2 2 2 2" xfId="28412"/>
    <cellStyle name="Normal 4 6 2 4 2 2 2 2" xfId="28413"/>
    <cellStyle name="Normal 5 6 2 4 2 2 2 2" xfId="28414"/>
    <cellStyle name="Normal 7 6 2 4 2 2 2 2" xfId="28415"/>
    <cellStyle name="Normal 2 3 4 2 4 2 2 2 2" xfId="28416"/>
    <cellStyle name="Normal 3 3 4 2 4 2 2 2 2" xfId="28417"/>
    <cellStyle name="Normal 4 2 4 2 4 2 2 2 2" xfId="28418"/>
    <cellStyle name="Normal 5 2 4 2 4 2 2 2 2" xfId="28419"/>
    <cellStyle name="Normal 7 2 4 2 4 2 2 2 2" xfId="28420"/>
    <cellStyle name="Normal 2 4 4 2 4 2 2 2 2" xfId="28421"/>
    <cellStyle name="Normal 3 4 4 2 4 2 2 2 2" xfId="28422"/>
    <cellStyle name="Normal 4 3 4 2 4 2 2 2 2" xfId="28423"/>
    <cellStyle name="Normal 5 3 4 2 4 2 2 2 2" xfId="28424"/>
    <cellStyle name="Normal 7 3 4 2 4 2 2 2 2" xfId="28425"/>
    <cellStyle name="Normal 2 5 2 2 4 2 2 2 2" xfId="28426"/>
    <cellStyle name="Normal 3 5 2 2 4 2 2 2 2" xfId="28427"/>
    <cellStyle name="Normal 4 4 2 2 4 2 2 2 2" xfId="28428"/>
    <cellStyle name="Normal 5 4 2 2 4 2 2 2 2" xfId="28429"/>
    <cellStyle name="Normal 7 4 2 2 4 2 2 2 2" xfId="28430"/>
    <cellStyle name="Normal 2 3 2 2 2 4 2 2 2 2" xfId="28431"/>
    <cellStyle name="Normal 3 3 2 2 2 4 2 2 2 2" xfId="28432"/>
    <cellStyle name="Normal 4 2 2 2 2 4 2 2 2 2" xfId="28433"/>
    <cellStyle name="Normal 5 2 2 2 2 4 2 2 2 2" xfId="28434"/>
    <cellStyle name="Normal 7 2 2 2 2 4 2 2 2 2" xfId="28435"/>
    <cellStyle name="Normal 2 4 2 2 2 4 2 2 2 2" xfId="28436"/>
    <cellStyle name="Normal 3 4 2 2 2 4 2 2 2 2" xfId="28437"/>
    <cellStyle name="Normal 4 3 2 2 2 4 2 2 2 2" xfId="28438"/>
    <cellStyle name="Normal 5 3 2 2 2 4 2 2 2 2" xfId="28439"/>
    <cellStyle name="Normal 7 3 2 2 2 4 2 2 2 2" xfId="28440"/>
    <cellStyle name="Normal 2 6 2 2 4 2 2 2 2" xfId="28441"/>
    <cellStyle name="Normal 3 6 2 2 4 2 2 2 2" xfId="28442"/>
    <cellStyle name="Normal 4 5 2 2 4 2 2 2 2" xfId="28443"/>
    <cellStyle name="Normal 5 5 2 2 4 2 2 2 2" xfId="28444"/>
    <cellStyle name="Normal 7 5 2 2 4 2 2 2 2" xfId="28445"/>
    <cellStyle name="Normal 2 3 3 2 2 4 2 2 2 2" xfId="28446"/>
    <cellStyle name="Normal 3 3 3 2 2 4 2 2 2 2" xfId="28447"/>
    <cellStyle name="Normal 4 2 3 2 2 4 2 2 2 2" xfId="28448"/>
    <cellStyle name="Normal 5 2 3 2 2 4 2 2 2 2" xfId="28449"/>
    <cellStyle name="Normal 7 2 3 2 2 4 2 2 2 2" xfId="28450"/>
    <cellStyle name="Normal 2 4 3 2 2 4 2 2 2 2" xfId="28451"/>
    <cellStyle name="Normal 3 4 3 2 2 4 2 2 2 2" xfId="28452"/>
    <cellStyle name="Normal 4 3 3 2 2 4 2 2 2 2" xfId="28453"/>
    <cellStyle name="Normal 5 3 3 2 2 4 2 2 2 2" xfId="28454"/>
    <cellStyle name="Normal 7 3 3 2 2 4 2 2 2 2" xfId="28455"/>
    <cellStyle name="Normal 2 9 2 2 2 2 2" xfId="28456"/>
    <cellStyle name="Normal 3 9 2 2 2 2 2" xfId="28457"/>
    <cellStyle name="Normal 4 8 2 2 2 2 2" xfId="28458"/>
    <cellStyle name="Normal 5 8 2 2 2 2 2" xfId="28459"/>
    <cellStyle name="Normal 7 8 2 2 2 2 2" xfId="28460"/>
    <cellStyle name="Normal 2 3 6 2 2 2 2 2" xfId="28461"/>
    <cellStyle name="Normal 3 3 6 2 2 2 2 2" xfId="28462"/>
    <cellStyle name="Normal 4 2 6 2 2 2 2 2" xfId="28463"/>
    <cellStyle name="Normal 5 2 6 2 2 2 2 2" xfId="28464"/>
    <cellStyle name="Normal 7 2 6 2 2 2 2 2" xfId="28465"/>
    <cellStyle name="Normal 2 4 6 2 2 2 2 2" xfId="28466"/>
    <cellStyle name="Normal 3 4 6 2 2 2 2 2" xfId="28467"/>
    <cellStyle name="Normal 4 3 6 2 2 2 2 2" xfId="28468"/>
    <cellStyle name="Normal 5 3 6 2 2 2 2 2" xfId="28469"/>
    <cellStyle name="Normal 7 3 6 2 2 2 2 2" xfId="28470"/>
    <cellStyle name="Normal 2 5 4 2 2 2 2 2" xfId="28471"/>
    <cellStyle name="Normal 3 5 4 2 2 2 2 2" xfId="28472"/>
    <cellStyle name="Normal 4 4 4 2 2 2 2 2" xfId="28473"/>
    <cellStyle name="Normal 5 4 4 2 2 2 2 2" xfId="28474"/>
    <cellStyle name="Normal 7 4 4 2 2 2 2 2" xfId="28475"/>
    <cellStyle name="Normal 2 3 2 4 2 2 2 2 2" xfId="28476"/>
    <cellStyle name="Normal 3 3 2 4 2 2 2 2 2" xfId="28477"/>
    <cellStyle name="Normal 4 2 2 4 2 2 2 2 2" xfId="28478"/>
    <cellStyle name="Normal 5 2 2 4 2 2 2 2 2" xfId="28479"/>
    <cellStyle name="Normal 7 2 2 4 2 2 2 2 2" xfId="28480"/>
    <cellStyle name="Normal 2 4 2 4 2 2 2 2 2" xfId="28481"/>
    <cellStyle name="Normal 3 4 2 4 2 2 2 2 2" xfId="28482"/>
    <cellStyle name="Normal 4 3 2 4 2 2 2 2 2" xfId="28483"/>
    <cellStyle name="Normal 5 3 2 4 2 2 2 2 2" xfId="28484"/>
    <cellStyle name="Normal 7 3 2 4 2 2 2 2 2" xfId="28485"/>
    <cellStyle name="Normal 2 6 4 2 2 2 2 2" xfId="28486"/>
    <cellStyle name="Normal 3 6 4 2 2 2 2 2" xfId="28487"/>
    <cellStyle name="Normal 4 5 4 2 2 2 2 2" xfId="28488"/>
    <cellStyle name="Normal 5 5 4 2 2 2 2 2" xfId="28489"/>
    <cellStyle name="Normal 7 5 4 2 2 2 2 2" xfId="28490"/>
    <cellStyle name="Normal 2 3 3 4 2 2 2 2 2" xfId="28491"/>
    <cellStyle name="Normal 3 3 3 4 2 2 2 2 2" xfId="28492"/>
    <cellStyle name="Normal 4 2 3 4 2 2 2 2 2" xfId="28493"/>
    <cellStyle name="Normal 5 2 3 4 2 2 2 2 2" xfId="28494"/>
    <cellStyle name="Normal 7 2 3 4 2 2 2 2 2" xfId="28495"/>
    <cellStyle name="Normal 2 4 3 4 2 2 2 2 2" xfId="28496"/>
    <cellStyle name="Normal 3 4 3 4 2 2 2 2 2" xfId="28497"/>
    <cellStyle name="Normal 4 3 3 4 2 2 2 2 2" xfId="28498"/>
    <cellStyle name="Normal 5 3 3 4 2 2 2 2 2" xfId="28499"/>
    <cellStyle name="Normal 7 3 3 4 2 2 2 2 2" xfId="28500"/>
    <cellStyle name="Normal 2 7 3 2 2 2 2 2" xfId="28501"/>
    <cellStyle name="Normal 3 7 3 2 2 2 2 2" xfId="28502"/>
    <cellStyle name="Normal 4 6 3 2 2 2 2 2" xfId="28503"/>
    <cellStyle name="Normal 5 6 3 2 2 2 2 2" xfId="28504"/>
    <cellStyle name="Normal 7 6 3 2 2 2 2 2" xfId="28505"/>
    <cellStyle name="Normal 2 3 4 3 2 2 2 2 2" xfId="28506"/>
    <cellStyle name="Normal 3 3 4 3 2 2 2 2 2" xfId="28507"/>
    <cellStyle name="Normal 4 2 4 3 2 2 2 2 2" xfId="28508"/>
    <cellStyle name="Normal 5 2 4 3 2 2 2 2 2" xfId="28509"/>
    <cellStyle name="Normal 7 2 4 3 2 2 2 2 2" xfId="28510"/>
    <cellStyle name="Normal 2 4 4 3 2 2 2 2 2" xfId="28511"/>
    <cellStyle name="Normal 3 4 4 3 2 2 2 2 2" xfId="28512"/>
    <cellStyle name="Normal 4 3 4 3 2 2 2 2 2" xfId="28513"/>
    <cellStyle name="Normal 5 3 4 3 2 2 2 2 2" xfId="28514"/>
    <cellStyle name="Normal 7 3 4 3 2 2 2 2 2" xfId="28515"/>
    <cellStyle name="Normal 2 5 2 3 2 2 2 2 2" xfId="28516"/>
    <cellStyle name="Normal 3 5 2 3 2 2 2 2 2" xfId="28517"/>
    <cellStyle name="Normal 4 4 2 3 2 2 2 2 2" xfId="28518"/>
    <cellStyle name="Normal 5 4 2 3 2 2 2 2 2" xfId="28519"/>
    <cellStyle name="Normal 7 4 2 3 2 2 2 2 2" xfId="28520"/>
    <cellStyle name="Normal 2 3 2 2 3 2 2 2 2 2" xfId="28521"/>
    <cellStyle name="Normal 3 3 2 2 3 2 2 2 2 2" xfId="28522"/>
    <cellStyle name="Normal 4 2 2 2 3 2 2 2 2 2" xfId="28523"/>
    <cellStyle name="Normal 5 2 2 2 3 2 2 2 2 2" xfId="28524"/>
    <cellStyle name="Normal 7 2 2 2 3 2 2 2 2 2" xfId="28525"/>
    <cellStyle name="Normal 2 4 2 2 3 2 2 2 2 2" xfId="28526"/>
    <cellStyle name="Normal 3 4 2 2 3 2 2 2 2 2" xfId="28527"/>
    <cellStyle name="Normal 4 3 2 2 3 2 2 2 2 2" xfId="28528"/>
    <cellStyle name="Normal 5 3 2 2 3 2 2 2 2 2" xfId="28529"/>
    <cellStyle name="Normal 7 3 2 2 3 2 2 2 2 2" xfId="28530"/>
    <cellStyle name="Normal 2 6 2 3 2 2 2 2 2" xfId="28531"/>
    <cellStyle name="Normal 3 6 2 3 2 2 2 2 2" xfId="28532"/>
    <cellStyle name="Normal 4 5 2 3 2 2 2 2 2" xfId="28533"/>
    <cellStyle name="Normal 5 5 2 3 2 2 2 2 2" xfId="28534"/>
    <cellStyle name="Normal 7 5 2 3 2 2 2 2 2" xfId="28535"/>
    <cellStyle name="Normal 2 3 3 2 3 2 2 2 2 2" xfId="28536"/>
    <cellStyle name="Normal 3 3 3 2 3 2 2 2 2 2" xfId="28537"/>
    <cellStyle name="Normal 4 2 3 2 3 2 2 2 2 2" xfId="28538"/>
    <cellStyle name="Normal 5 2 3 2 3 2 2 2 2 2" xfId="28539"/>
    <cellStyle name="Normal 7 2 3 2 3 2 2 2 2 2" xfId="28540"/>
    <cellStyle name="Normal 2 4 3 2 3 2 2 2 2 2" xfId="28541"/>
    <cellStyle name="Normal 3 4 3 2 3 2 2 2 2 2" xfId="28542"/>
    <cellStyle name="Normal 4 3 3 2 3 2 2 2 2 2" xfId="28543"/>
    <cellStyle name="Normal 5 3 3 2 3 2 2 2 2 2" xfId="28544"/>
    <cellStyle name="Normal 7 3 3 2 3 2 2 2 2 2" xfId="28545"/>
    <cellStyle name="Normal 2 8 2 2 2 2 2 2" xfId="28546"/>
    <cellStyle name="Normal 3 8 2 2 2 2 2 2" xfId="28547"/>
    <cellStyle name="Normal 4 7 2 2 2 2 2 2" xfId="28548"/>
    <cellStyle name="Normal 5 7 2 2 2 2 2 2" xfId="28549"/>
    <cellStyle name="Normal 7 7 2 2 2 2 2 2" xfId="28550"/>
    <cellStyle name="Normal 2 3 5 2 2 2 2 2 2" xfId="28551"/>
    <cellStyle name="Normal 3 3 5 2 2 2 2 2 2" xfId="28552"/>
    <cellStyle name="Normal 4 2 5 2 2 2 2 2 2" xfId="28553"/>
    <cellStyle name="Normal 5 2 5 2 2 2 2 2 2" xfId="28554"/>
    <cellStyle name="Normal 7 2 5 2 2 2 2 2 2" xfId="28555"/>
    <cellStyle name="Normal 2 4 5 2 2 2 2 2 2" xfId="28556"/>
    <cellStyle name="Normal 3 4 5 2 2 2 2 2 2" xfId="28557"/>
    <cellStyle name="Normal 4 3 5 2 2 2 2 2 2" xfId="28558"/>
    <cellStyle name="Normal 5 3 5 2 2 2 2 2 2" xfId="28559"/>
    <cellStyle name="Normal 7 3 5 2 2 2 2 2 2" xfId="28560"/>
    <cellStyle name="Normal 2 5 3 2 2 2 2 2 2" xfId="28561"/>
    <cellStyle name="Normal 3 5 3 2 2 2 2 2 2" xfId="28562"/>
    <cellStyle name="Normal 4 4 3 2 2 2 2 2 2" xfId="28563"/>
    <cellStyle name="Normal 5 4 3 2 2 2 2 2 2" xfId="28564"/>
    <cellStyle name="Normal 7 4 3 2 2 2 2 2 2" xfId="28565"/>
    <cellStyle name="Normal 2 3 2 3 2 2 2 2 2 2" xfId="28566"/>
    <cellStyle name="Normal 3 3 2 3 2 2 2 2 2 2" xfId="28567"/>
    <cellStyle name="Normal 4 2 2 3 2 2 2 2 2 2" xfId="28568"/>
    <cellStyle name="Normal 5 2 2 3 2 2 2 2 2 2" xfId="28569"/>
    <cellStyle name="Normal 7 2 2 3 2 2 2 2 2 2" xfId="28570"/>
    <cellStyle name="Normal 2 4 2 3 2 2 2 2 2 2" xfId="28571"/>
    <cellStyle name="Normal 3 4 2 3 2 2 2 2 2 2" xfId="28572"/>
    <cellStyle name="Normal 4 3 2 3 2 2 2 2 2 2" xfId="28573"/>
    <cellStyle name="Normal 5 3 2 3 2 2 2 2 2 2" xfId="28574"/>
    <cellStyle name="Normal 7 3 2 3 2 2 2 2 2 2" xfId="28575"/>
    <cellStyle name="Normal 2 6 3 2 2 2 2 2 2" xfId="28576"/>
    <cellStyle name="Normal 3 6 3 2 2 2 2 2 2" xfId="28577"/>
    <cellStyle name="Normal 4 5 3 2 2 2 2 2 2" xfId="28578"/>
    <cellStyle name="Normal 5 5 3 2 2 2 2 2 2" xfId="28579"/>
    <cellStyle name="Normal 7 5 3 2 2 2 2 2 2" xfId="28580"/>
    <cellStyle name="Normal 2 3 3 3 2 2 2 2 2 2" xfId="28581"/>
    <cellStyle name="Normal 3 3 3 3 2 2 2 2 2 2" xfId="28582"/>
    <cellStyle name="Normal 4 2 3 3 2 2 2 2 2 2" xfId="28583"/>
    <cellStyle name="Normal 5 2 3 3 2 2 2 2 2 2" xfId="28584"/>
    <cellStyle name="Normal 7 2 3 3 2 2 2 2 2 2" xfId="28585"/>
    <cellStyle name="Normal 2 4 3 3 2 2 2 2 2 2" xfId="28586"/>
    <cellStyle name="Normal 3 4 3 3 2 2 2 2 2 2" xfId="28587"/>
    <cellStyle name="Normal 4 3 3 3 2 2 2 2 2 2" xfId="28588"/>
    <cellStyle name="Normal 5 3 3 3 2 2 2 2 2 2" xfId="28589"/>
    <cellStyle name="Normal 7 3 3 3 2 2 2 2 2 2" xfId="28590"/>
    <cellStyle name="Normal 2 7 2 2 2 2 2 2 2" xfId="28591"/>
    <cellStyle name="Normal 3 7 2 2 2 2 2 2 2" xfId="28592"/>
    <cellStyle name="Normal 4 6 2 2 2 2 2 2 2" xfId="28593"/>
    <cellStyle name="Normal 5 6 2 2 2 2 2 2 2" xfId="28594"/>
    <cellStyle name="Normal 7 6 2 2 2 2 2 2 2" xfId="28595"/>
    <cellStyle name="Normal 2 3 4 2 2 2 2 2 2 2" xfId="28596"/>
    <cellStyle name="Normal 3 3 4 2 2 2 2 2 2 2" xfId="28597"/>
    <cellStyle name="Normal 4 2 4 2 2 2 2 2 2 2" xfId="28598"/>
    <cellStyle name="Normal 5 2 4 2 2 2 2 2 2 2" xfId="28599"/>
    <cellStyle name="Normal 7 2 4 2 2 2 2 2 2 2" xfId="28600"/>
    <cellStyle name="Normal 2 4 4 2 2 2 2 2 2 2" xfId="28601"/>
    <cellStyle name="Normal 3 4 4 2 2 2 2 2 2 2" xfId="28602"/>
    <cellStyle name="Normal 4 3 4 2 2 2 2 2 2 2" xfId="28603"/>
    <cellStyle name="Normal 5 3 4 2 2 2 2 2 2 2" xfId="28604"/>
    <cellStyle name="Normal 7 3 4 2 2 2 2 2 2 2" xfId="28605"/>
    <cellStyle name="Normal 2 5 2 2 2 2 2 2 2 2" xfId="28606"/>
    <cellStyle name="Normal 3 5 2 2 2 2 2 2 2 2" xfId="28607"/>
    <cellStyle name="Normal 4 4 2 2 2 2 2 2 2 2" xfId="28608"/>
    <cellStyle name="Normal 5 4 2 2 2 2 2 2 2 2" xfId="28609"/>
    <cellStyle name="Normal 7 4 2 2 2 2 2 2 2 2" xfId="28610"/>
    <cellStyle name="Normal 2 3 2 2 2 2 2 2 2 2 2" xfId="28611"/>
    <cellStyle name="Normal 3 3 2 2 2 2 2 2 2 2 2" xfId="28612"/>
    <cellStyle name="Normal 4 2 2 2 2 2 2 2 2 2 2" xfId="28613"/>
    <cellStyle name="Normal 5 2 2 2 2 2 2 2 2 2 2" xfId="28614"/>
    <cellStyle name="Normal 7 2 2 2 2 2 2 2 2 2 2" xfId="28615"/>
    <cellStyle name="Normal 2 4 2 2 2 2 2 2 2 2 2" xfId="28616"/>
    <cellStyle name="Normal 3 4 2 2 2 2 2 2 2 2 2" xfId="28617"/>
    <cellStyle name="Normal 4 3 2 2 2 2 2 2 2 2 2" xfId="28618"/>
    <cellStyle name="Normal 5 3 2 2 2 2 2 2 2 2 2" xfId="28619"/>
    <cellStyle name="Normal 7 3 2 2 2 2 2 2 2 2 2" xfId="28620"/>
    <cellStyle name="Normal 2 6 2 2 2 2 2 2 2 2" xfId="28621"/>
    <cellStyle name="Normal 3 6 2 2 2 2 2 2 2 2" xfId="28622"/>
    <cellStyle name="Normal 4 5 2 2 2 2 2 2 2 2" xfId="28623"/>
    <cellStyle name="Normal 5 5 2 2 2 2 2 2 2 2" xfId="28624"/>
    <cellStyle name="Normal 7 5 2 2 2 2 2 2 2 2" xfId="28625"/>
    <cellStyle name="Normal 2 3 3 2 2 2 2 2 2 2 2" xfId="28626"/>
    <cellStyle name="Normal 3 3 3 2 2 2 2 2 2 2 2" xfId="28627"/>
    <cellStyle name="Normal 4 2 3 2 2 2 2 2 2 2 2" xfId="28628"/>
    <cellStyle name="Normal 5 2 3 2 2 2 2 2 2 2 2" xfId="28629"/>
    <cellStyle name="Normal 7 2 3 2 2 2 2 2 2 2 2" xfId="28630"/>
    <cellStyle name="Normal 2 4 3 2 2 2 2 2 2 2 2" xfId="28631"/>
    <cellStyle name="Normal 3 4 3 2 2 2 2 2 2 2 2" xfId="28632"/>
    <cellStyle name="Normal 4 3 3 2 2 2 2 2 2 2 2" xfId="28633"/>
    <cellStyle name="Normal 5 3 3 2 2 2 2 2 2 2 2" xfId="28634"/>
    <cellStyle name="Normal 7 3 3 2 2 2 2 2 2 2 2" xfId="28635"/>
    <cellStyle name="Normal 28 2 2 2 2 2" xfId="28636"/>
    <cellStyle name="Normal 2 3 7 2 2 2 2 2" xfId="28637"/>
    <cellStyle name="Normal 3 10 2 2 2 2 2" xfId="28638"/>
    <cellStyle name="Normal 4 9 2 2 2 2 2" xfId="28639"/>
    <cellStyle name="Normal 5 9 2 2 2 2 2" xfId="28640"/>
    <cellStyle name="Millares 4 2 2 2 2 2" xfId="28641"/>
    <cellStyle name="Normal 7 2 7 2 2 2 2 2" xfId="28642"/>
    <cellStyle name="Normal 3 3 7 2 2 2 2 2" xfId="28643"/>
    <cellStyle name="Normal 4 2 7 2 2 2 2 2" xfId="28644"/>
    <cellStyle name="Normal 5 2 7 2 2 2 2 2" xfId="28645"/>
    <cellStyle name="Normal 2 4 5 3 2 2 2 2 2" xfId="28646"/>
    <cellStyle name="Normal 3 4 7 2 2 2 2 2" xfId="28647"/>
    <cellStyle name="Normal 4 3 7 2 2 2 2 2" xfId="28648"/>
    <cellStyle name="Normal 5 3 7 2 2 2 2 2" xfId="28649"/>
    <cellStyle name="Normal 7 3 7 2 2 2 2 2" xfId="28650"/>
    <cellStyle name="Normal 2 5 5 2 2 2 2 2" xfId="28651"/>
    <cellStyle name="Normal 3 5 5 2 2 2 2 2" xfId="28652"/>
    <cellStyle name="Normal 4 4 5 2 2 2 2 2" xfId="28653"/>
    <cellStyle name="Normal 5 4 5 2 2 2 2 2" xfId="28654"/>
    <cellStyle name="Normal 7 4 5 2 2 2 2 2" xfId="28655"/>
    <cellStyle name="Normal 2 3 2 5 2 2 2 2 2" xfId="28656"/>
    <cellStyle name="Normal 3 3 2 5 2 2 2 2 2" xfId="28657"/>
    <cellStyle name="Normal 4 2 2 5 2 2 2 2 2" xfId="28658"/>
    <cellStyle name="Normal 5 2 2 5 2 2 2 2 2" xfId="28659"/>
    <cellStyle name="Normal 7 2 2 5 2 2 2 2 2" xfId="28660"/>
    <cellStyle name="Normal 2 4 2 5 2 2 2 2 2" xfId="28661"/>
    <cellStyle name="Normal 3 4 2 5 2 2 2 2 2" xfId="28662"/>
    <cellStyle name="Normal 4 3 2 5 2 2 2 2 2" xfId="28663"/>
    <cellStyle name="Normal 5 3 2 5 2 2 2 2 2" xfId="28664"/>
    <cellStyle name="Normal 7 3 2 5 2 2 2 2 2" xfId="28665"/>
    <cellStyle name="Normal 2 6 5 2 2 2 2 2" xfId="28666"/>
    <cellStyle name="Normal 3 6 5 2 2 2 2 2" xfId="28667"/>
    <cellStyle name="Normal 4 5 5 2 2 2 2 2" xfId="28668"/>
    <cellStyle name="Normal 5 5 5 2 2 2 2 2" xfId="28669"/>
    <cellStyle name="Normal 7 5 5 2 2 2 2 2" xfId="28670"/>
    <cellStyle name="Normal 2 3 3 5 2 2 2 2 2" xfId="28671"/>
    <cellStyle name="Normal 3 3 3 5 2 2 2 2 2" xfId="28672"/>
    <cellStyle name="Normal 4 2 3 5 2 2 2 2 2" xfId="28673"/>
    <cellStyle name="Normal 5 2 3 5 2 2 2 2 2" xfId="28674"/>
    <cellStyle name="Normal 7 2 3 5 2 2 2 2 2" xfId="28675"/>
    <cellStyle name="Normal 2 4 3 5 2 2 2 2 2" xfId="28676"/>
    <cellStyle name="Normal 3 4 3 5 2 2 2 2 2" xfId="28677"/>
    <cellStyle name="Normal 4 3 3 5 2 2 2 2 2" xfId="28678"/>
    <cellStyle name="Normal 5 3 3 5 2 2 2 2 2" xfId="28679"/>
    <cellStyle name="Normal 7 3 3 5 2 2 2 2 2" xfId="28680"/>
    <cellStyle name="Normal 2 7 4 2 2 2 2 2" xfId="28681"/>
    <cellStyle name="Normal 3 7 4 2 2 2 2 2" xfId="28682"/>
    <cellStyle name="Normal 4 6 4 2 2 2 2 2" xfId="28683"/>
    <cellStyle name="Normal 5 6 4 2 2 2 2 2" xfId="28684"/>
    <cellStyle name="Normal 7 6 4 2 2 2 2 2" xfId="28685"/>
    <cellStyle name="Normal 2 3 4 4 2 2 2 2 2" xfId="28686"/>
    <cellStyle name="Normal 3 3 4 4 2 2 2 2 2" xfId="28687"/>
    <cellStyle name="Normal 4 2 4 4 2 2 2 2 2" xfId="28688"/>
    <cellStyle name="Normal 5 2 4 4 2 2 2 2 2" xfId="28689"/>
    <cellStyle name="Normal 7 2 4 4 2 2 2 2 2" xfId="28690"/>
    <cellStyle name="Normal 2 4 4 4 2 2 2 2 2" xfId="28691"/>
    <cellStyle name="Normal 3 4 4 4 2 2 2 2 2" xfId="28692"/>
    <cellStyle name="Normal 4 3 4 4 2 2 2 2 2" xfId="28693"/>
    <cellStyle name="Normal 5 3 4 4 2 2 2 2 2" xfId="28694"/>
    <cellStyle name="Normal 7 3 4 4 2 2 2 2 2" xfId="28695"/>
    <cellStyle name="Normal 2 5 2 4 2 2 2 2 2" xfId="28696"/>
    <cellStyle name="Normal 3 5 2 4 2 2 2 2 2" xfId="28697"/>
    <cellStyle name="Normal 4 4 2 4 2 2 2 2 2" xfId="28698"/>
    <cellStyle name="Normal 5 4 2 4 2 2 2 2 2" xfId="28699"/>
    <cellStyle name="Normal 7 4 2 4 2 2 2 2 2" xfId="28700"/>
    <cellStyle name="Normal 2 3 2 2 4 2 2 2 2 2" xfId="28701"/>
    <cellStyle name="Normal 3 3 2 2 4 2 2 2 2 2" xfId="28702"/>
    <cellStyle name="Normal 4 2 2 2 4 2 2 2 2 2" xfId="28703"/>
    <cellStyle name="Normal 5 2 2 2 4 2 2 2 2 2" xfId="28704"/>
    <cellStyle name="Normal 7 2 2 2 4 2 2 2 2 2" xfId="28705"/>
    <cellStyle name="Normal 2 4 2 2 4 2 2 2 2 2" xfId="28706"/>
    <cellStyle name="Normal 3 4 2 2 4 2 2 2 2 2" xfId="28707"/>
    <cellStyle name="Normal 4 3 2 2 4 2 2 2 2 2" xfId="28708"/>
    <cellStyle name="Normal 5 3 2 2 4 2 2 2 2 2" xfId="28709"/>
    <cellStyle name="Normal 7 3 2 2 4 2 2 2 2 2" xfId="28710"/>
    <cellStyle name="Normal 2 6 2 4 2 2 2 2 2" xfId="28711"/>
    <cellStyle name="Normal 3 6 2 4 2 2 2 2 2" xfId="28712"/>
    <cellStyle name="Normal 4 5 2 4 2 2 2 2 2" xfId="28713"/>
    <cellStyle name="Normal 5 5 2 4 2 2 2 2 2" xfId="28714"/>
    <cellStyle name="Normal 7 5 2 4 2 2 2 2 2" xfId="28715"/>
    <cellStyle name="Normal 2 3 3 2 4 2 2 2 2 2" xfId="28716"/>
    <cellStyle name="Normal 3 3 3 2 4 2 2 2 2 2" xfId="28717"/>
    <cellStyle name="Normal 4 2 3 2 4 2 2 2 2 2" xfId="28718"/>
    <cellStyle name="Normal 5 2 3 2 4 2 2 2 2 2" xfId="28719"/>
    <cellStyle name="Normal 7 2 3 2 4 2 2 2 2 2" xfId="28720"/>
    <cellStyle name="Normal 2 4 3 2 4 2 2 2 2 2" xfId="28721"/>
    <cellStyle name="Normal 3 4 3 2 4 2 2 2 2 2" xfId="28722"/>
    <cellStyle name="Normal 4 3 3 2 4 2 2 2 2 2" xfId="28723"/>
    <cellStyle name="Normal 5 3 3 2 4 2 2 2 2 2" xfId="28724"/>
    <cellStyle name="Normal 7 3 3 2 4 2 2 2 2 2" xfId="28725"/>
    <cellStyle name="Normal 2 8 3 2 2 2 2 2" xfId="28726"/>
    <cellStyle name="Normal 3 8 3 2 2 2 2 2" xfId="28727"/>
    <cellStyle name="Normal 4 7 3 2 2 2 2 2" xfId="28728"/>
    <cellStyle name="Normal 5 7 3 2 2 2 2 2" xfId="28729"/>
    <cellStyle name="Normal 7 7 3 2 2 2 2 2" xfId="28730"/>
    <cellStyle name="Normal 2 3 5 3 2 2 2 2 2" xfId="28731"/>
    <cellStyle name="Normal 3 3 5 3 2 2 2 2 2" xfId="28732"/>
    <cellStyle name="Normal 4 2 5 3 2 2 2 2 2" xfId="28733"/>
    <cellStyle name="Normal 5 2 5 3 2 2 2 2 2" xfId="28734"/>
    <cellStyle name="Normal 7 2 5 3 2 2 2 2 2" xfId="28735"/>
    <cellStyle name="Normal 3 4 5 3 2 2 2 2 2" xfId="28736"/>
    <cellStyle name="Normal 4 3 5 3 2 2 2 2 2" xfId="28737"/>
    <cellStyle name="Normal 5 3 5 3 2 2 2 2 2" xfId="28738"/>
    <cellStyle name="Normal 7 3 5 3 2 2 2 2 2" xfId="28739"/>
    <cellStyle name="Normal 2 5 3 3 2 2 2 2 2" xfId="28740"/>
    <cellStyle name="Normal 3 5 3 3 2 2 2 2 2" xfId="28741"/>
    <cellStyle name="Normal 4 4 3 3 2 2 2 2 2" xfId="28742"/>
    <cellStyle name="Normal 5 4 3 3 2 2 2 2 2" xfId="28743"/>
    <cellStyle name="Normal 7 4 3 3 2 2 2 2 2" xfId="28744"/>
    <cellStyle name="Normal 2 3 2 3 3 2 2 2 2 2" xfId="28745"/>
    <cellStyle name="Normal 3 3 2 3 3 2 2 2 2 2" xfId="28746"/>
    <cellStyle name="Normal 4 2 2 3 3 2 2 2 2 2" xfId="28747"/>
    <cellStyle name="Normal 5 2 2 3 3 2 2 2 2 2" xfId="28748"/>
    <cellStyle name="Normal 7 2 2 3 3 2 2 2 2 2" xfId="28749"/>
    <cellStyle name="Normal 2 4 2 3 3 2 2 2 2 2" xfId="28750"/>
    <cellStyle name="Normal 3 4 2 3 3 2 2 2 2 2" xfId="28751"/>
    <cellStyle name="Normal 4 3 2 3 3 2 2 2 2 2" xfId="28752"/>
    <cellStyle name="Normal 5 3 2 3 3 2 2 2 2 2" xfId="28753"/>
    <cellStyle name="Normal 7 3 2 3 3 2 2 2 2 2" xfId="28754"/>
    <cellStyle name="Normal 2 6 3 3 2 2 2 2 2" xfId="28755"/>
    <cellStyle name="Normal 3 6 3 3 2 2 2 2 2" xfId="28756"/>
    <cellStyle name="Normal 4 5 3 3 2 2 2 2 2" xfId="28757"/>
    <cellStyle name="Normal 5 5 3 3 2 2 2 2 2" xfId="28758"/>
    <cellStyle name="Normal 7 5 3 3 2 2 2 2 2" xfId="28759"/>
    <cellStyle name="Normal 2 3 3 3 3 2 2 2 2 2" xfId="28760"/>
    <cellStyle name="Normal 3 3 3 3 3 2 2 2 2 2" xfId="28761"/>
    <cellStyle name="Normal 4 2 3 3 3 2 2 2 2 2" xfId="28762"/>
    <cellStyle name="Normal 5 2 3 3 3 2 2 2 2 2" xfId="28763"/>
    <cellStyle name="Normal 7 2 3 3 3 2 2 2 2 2" xfId="28764"/>
    <cellStyle name="Normal 2 4 3 3 3 2 2 2 2 2" xfId="28765"/>
    <cellStyle name="Normal 3 4 3 3 3 2 2 2 2 2" xfId="28766"/>
    <cellStyle name="Normal 4 3 3 3 3 2 2 2 2 2" xfId="28767"/>
    <cellStyle name="Normal 5 3 3 3 3 2 2 2 2 2" xfId="28768"/>
    <cellStyle name="Normal 7 3 3 3 3 2 2 2 2 2" xfId="28769"/>
    <cellStyle name="Normal 2 7 2 3 2 2 2 2 2" xfId="28770"/>
    <cellStyle name="Normal 3 7 2 3 2 2 2 2 2" xfId="28771"/>
    <cellStyle name="Normal 4 6 2 3 2 2 2 2 2" xfId="28772"/>
    <cellStyle name="Normal 5 6 2 3 2 2 2 2 2" xfId="28773"/>
    <cellStyle name="Normal 7 6 2 3 2 2 2 2 2" xfId="28774"/>
    <cellStyle name="Normal 2 3 4 2 3 2 2 2 2 2" xfId="28775"/>
    <cellStyle name="Normal 3 3 4 2 3 2 2 2 2 2" xfId="28776"/>
    <cellStyle name="Normal 4 2 4 2 3 2 2 2 2 2" xfId="28777"/>
    <cellStyle name="Normal 5 2 4 2 3 2 2 2 2 2" xfId="28778"/>
    <cellStyle name="Normal 7 2 4 2 3 2 2 2 2 2" xfId="28779"/>
    <cellStyle name="Normal 2 4 4 2 3 2 2 2 2 2" xfId="28780"/>
    <cellStyle name="Normal 3 4 4 2 3 2 2 2 2 2" xfId="28781"/>
    <cellStyle name="Normal 4 3 4 2 3 2 2 2 2 2" xfId="28782"/>
    <cellStyle name="Normal 5 3 4 2 3 2 2 2 2 2" xfId="28783"/>
    <cellStyle name="Normal 7 3 4 2 3 2 2 2 2 2" xfId="28784"/>
    <cellStyle name="Normal 2 5 2 2 3 2 2 2 2 2" xfId="28785"/>
    <cellStyle name="Normal 3 5 2 2 3 2 2 2 2 2" xfId="28786"/>
    <cellStyle name="Normal 4 4 2 2 3 2 2 2 2 2" xfId="28787"/>
    <cellStyle name="Normal 5 4 2 2 3 2 2 2 2 2" xfId="28788"/>
    <cellStyle name="Normal 7 4 2 2 3 2 2 2 2 2" xfId="28789"/>
    <cellStyle name="Normal 2 3 2 2 2 3 2 2 2 2 2" xfId="28790"/>
    <cellStyle name="Normal 3 3 2 2 2 3 2 2 2 2 2" xfId="28791"/>
    <cellStyle name="Normal 4 2 2 2 2 3 2 2 2 2 2" xfId="28792"/>
    <cellStyle name="Normal 5 2 2 2 2 3 2 2 2 2 2" xfId="28793"/>
    <cellStyle name="Normal 7 2 2 2 2 3 2 2 2 2 2" xfId="28794"/>
    <cellStyle name="Normal 2 4 2 2 2 3 2 2 2 2 2" xfId="28795"/>
    <cellStyle name="Normal 3 4 2 2 2 3 2 2 2 2 2" xfId="28796"/>
    <cellStyle name="Normal 4 3 2 2 2 3 2 2 2 2 2" xfId="28797"/>
    <cellStyle name="Normal 5 3 2 2 2 3 2 2 2 2 2" xfId="28798"/>
    <cellStyle name="Normal 7 3 2 2 2 3 2 2 2 2 2" xfId="28799"/>
    <cellStyle name="Normal 2 6 2 2 3 2 2 2 2 2" xfId="28800"/>
    <cellStyle name="Normal 3 6 2 2 3 2 2 2 2 2" xfId="28801"/>
    <cellStyle name="Normal 4 5 2 2 3 2 2 2 2 2" xfId="28802"/>
    <cellStyle name="Normal 5 5 2 2 3 2 2 2 2 2" xfId="28803"/>
    <cellStyle name="Normal 7 5 2 2 3 2 2 2 2 2" xfId="28804"/>
    <cellStyle name="Normal 2 3 3 2 2 3 2 2 2 2 2" xfId="28805"/>
    <cellStyle name="Normal 3 3 3 2 2 3 2 2 2 2 2" xfId="28806"/>
    <cellStyle name="Normal 4 2 3 2 2 3 2 2 2 2 2" xfId="28807"/>
    <cellStyle name="Normal 5 2 3 2 2 3 2 2 2 2 2" xfId="28808"/>
    <cellStyle name="Normal 7 2 3 2 2 3 2 2 2 2 2" xfId="28809"/>
    <cellStyle name="Normal 2 4 3 2 2 3 2 2 2 2 2" xfId="28810"/>
    <cellStyle name="Normal 3 4 3 2 2 3 2 2 2 2 2" xfId="28811"/>
    <cellStyle name="Normal 4 3 3 2 2 3 2 2 2 2 2" xfId="28812"/>
    <cellStyle name="Normal 5 3 3 2 2 3 2 2 2 2 2" xfId="28813"/>
    <cellStyle name="Normal 7 3 3 2 2 3 2 2 2 2 2" xfId="28814"/>
    <cellStyle name="Normal 2 12 2 2 2 2" xfId="28815"/>
    <cellStyle name="Normal 3 12 2 2 2 2" xfId="28816"/>
    <cellStyle name="Normal 4 11 2 2 2 2" xfId="28817"/>
    <cellStyle name="Normal 5 11 2 2 2 2" xfId="28818"/>
    <cellStyle name="Normal 7 11 2 2 2 2" xfId="28819"/>
    <cellStyle name="Normal 2 3 9 2 2 2 2" xfId="28820"/>
    <cellStyle name="Normal 3 3 9 2 2 2 2" xfId="28821"/>
    <cellStyle name="Normal 4 2 9 2 2 2 2" xfId="28822"/>
    <cellStyle name="Normal 5 2 9 2 2 2 2" xfId="28823"/>
    <cellStyle name="Normal 7 2 9 2 2 2 2" xfId="28824"/>
    <cellStyle name="Normal 2 4 9 2 2 2 2" xfId="28825"/>
    <cellStyle name="Normal 3 4 9 2 2 2 2" xfId="28826"/>
    <cellStyle name="Normal 4 3 9 2 2 2 2" xfId="28827"/>
    <cellStyle name="Normal 5 3 9 2 2 2 2" xfId="28828"/>
    <cellStyle name="Normal 7 3 9 2 2 2 2" xfId="28829"/>
    <cellStyle name="Normal 2 5 7 2 2 2 2" xfId="28830"/>
    <cellStyle name="Normal 3 5 7 2 2 2 2" xfId="28831"/>
    <cellStyle name="Normal 4 4 7 2 2 2 2" xfId="28832"/>
    <cellStyle name="Normal 5 4 7 2 2 2 2" xfId="28833"/>
    <cellStyle name="Normal 7 4 7 2 2 2 2" xfId="28834"/>
    <cellStyle name="Normal 2 3 2 7 2 2 2 2" xfId="28835"/>
    <cellStyle name="Normal 3 3 2 7 2 2 2 2" xfId="28836"/>
    <cellStyle name="Normal 4 2 2 7 2 2 2 2" xfId="28837"/>
    <cellStyle name="Normal 5 2 2 7 2 2 2 2" xfId="28838"/>
    <cellStyle name="Normal 7 2 2 7 2 2 2 2" xfId="28839"/>
    <cellStyle name="Normal 2 4 2 7 2 2 2 2" xfId="28840"/>
    <cellStyle name="Normal 3 4 2 7 2 2 2 2" xfId="28841"/>
    <cellStyle name="Normal 4 3 2 7 2 2 2 2" xfId="28842"/>
    <cellStyle name="Normal 5 3 2 7 2 2 2 2" xfId="28843"/>
    <cellStyle name="Normal 7 3 2 7 2 2 2 2" xfId="28844"/>
    <cellStyle name="Normal 2 6 7 2 2 2 2" xfId="28845"/>
    <cellStyle name="Normal 3 6 7 2 2 2 2" xfId="28846"/>
    <cellStyle name="Normal 4 5 7 2 2 2 2" xfId="28847"/>
    <cellStyle name="Normal 5 5 7 2 2 2 2" xfId="28848"/>
    <cellStyle name="Normal 7 5 7 2 2 2 2" xfId="28849"/>
    <cellStyle name="Normal 2 3 3 7 2 2 2 2" xfId="28850"/>
    <cellStyle name="Normal 3 3 3 7 2 2 2 2" xfId="28851"/>
    <cellStyle name="Normal 4 2 3 7 2 2 2 2" xfId="28852"/>
    <cellStyle name="Normal 5 2 3 7 2 2 2 2" xfId="28853"/>
    <cellStyle name="Normal 7 2 3 7 2 2 2 2" xfId="28854"/>
    <cellStyle name="Normal 2 4 3 7 2 2 2 2" xfId="28855"/>
    <cellStyle name="Normal 3 4 3 7 2 2 2 2" xfId="28856"/>
    <cellStyle name="Normal 4 3 3 7 2 2 2 2" xfId="28857"/>
    <cellStyle name="Normal 5 3 3 7 2 2 2 2" xfId="28858"/>
    <cellStyle name="Normal 7 3 3 7 2 2 2 2" xfId="28859"/>
    <cellStyle name="Normal 2 7 6 2 2 2 2" xfId="28860"/>
    <cellStyle name="Normal 3 7 6 2 2 2 2" xfId="28861"/>
    <cellStyle name="Normal 4 6 6 2 2 2 2" xfId="28862"/>
    <cellStyle name="Normal 5 6 6 2 2 2 2" xfId="28863"/>
    <cellStyle name="Normal 7 6 6 2 2 2 2" xfId="28864"/>
    <cellStyle name="Normal 2 3 4 6 2 2 2 2" xfId="28865"/>
    <cellStyle name="Normal 3 3 4 6 2 2 2 2" xfId="28866"/>
    <cellStyle name="Normal 4 2 4 6 2 2 2 2" xfId="28867"/>
    <cellStyle name="Normal 5 2 4 6 2 2 2 2" xfId="28868"/>
    <cellStyle name="Normal 7 2 4 6 2 2 2 2" xfId="28869"/>
    <cellStyle name="Normal 2 4 4 6 2 2 2 2" xfId="28870"/>
    <cellStyle name="Normal 3 4 4 6 2 2 2 2" xfId="28871"/>
    <cellStyle name="Normal 4 3 4 6 2 2 2 2" xfId="28872"/>
    <cellStyle name="Normal 5 3 4 6 2 2 2 2" xfId="28873"/>
    <cellStyle name="Normal 7 3 4 6 2 2 2 2" xfId="28874"/>
    <cellStyle name="Normal 2 5 2 6 2 2 2 2" xfId="28875"/>
    <cellStyle name="Normal 3 5 2 6 2 2 2 2" xfId="28876"/>
    <cellStyle name="Normal 4 4 2 6 2 2 2 2" xfId="28877"/>
    <cellStyle name="Normal 5 4 2 6 2 2 2 2" xfId="28878"/>
    <cellStyle name="Normal 7 4 2 6 2 2 2 2" xfId="28879"/>
    <cellStyle name="Normal 2 3 2 2 6 2 2 2 2" xfId="28880"/>
    <cellStyle name="Normal 3 3 2 2 6 2 2 2 2" xfId="28881"/>
    <cellStyle name="Normal 4 2 2 2 6 2 2 2 2" xfId="28882"/>
    <cellStyle name="Normal 5 2 2 2 6 2 2 2 2" xfId="28883"/>
    <cellStyle name="Normal 7 2 2 2 6 2 2 2 2" xfId="28884"/>
    <cellStyle name="Normal 2 4 2 2 6 2 2 2 2" xfId="28885"/>
    <cellStyle name="Normal 3 4 2 2 6 2 2 2 2" xfId="28886"/>
    <cellStyle name="Normal 4 3 2 2 6 2 2 2 2" xfId="28887"/>
    <cellStyle name="Normal 5 3 2 2 6 2 2 2 2" xfId="28888"/>
    <cellStyle name="Normal 7 3 2 2 6 2 2 2 2" xfId="28889"/>
    <cellStyle name="Normal 2 6 2 6 2 2 2 2" xfId="28890"/>
    <cellStyle name="Normal 3 6 2 6 2 2 2 2" xfId="28891"/>
    <cellStyle name="Normal 4 5 2 6 2 2 2 2" xfId="28892"/>
    <cellStyle name="Normal 5 5 2 6 2 2 2 2" xfId="28893"/>
    <cellStyle name="Normal 7 5 2 6 2 2 2 2" xfId="28894"/>
    <cellStyle name="Normal 2 3 3 2 6 2 2 2 2" xfId="28895"/>
    <cellStyle name="Normal 3 3 3 2 6 2 2 2 2" xfId="28896"/>
    <cellStyle name="Normal 4 2 3 2 6 2 2 2 2" xfId="28897"/>
    <cellStyle name="Normal 5 2 3 2 6 2 2 2 2" xfId="28898"/>
    <cellStyle name="Normal 7 2 3 2 6 2 2 2 2" xfId="28899"/>
    <cellStyle name="Normal 2 4 3 2 6 2 2 2 2" xfId="28900"/>
    <cellStyle name="Normal 3 4 3 2 6 2 2 2 2" xfId="28901"/>
    <cellStyle name="Normal 4 3 3 2 6 2 2 2 2" xfId="28902"/>
    <cellStyle name="Normal 5 3 3 2 6 2 2 2 2" xfId="28903"/>
    <cellStyle name="Normal 7 3 3 2 6 2 2 2 2" xfId="28904"/>
    <cellStyle name="Normal 2 8 5 2 2 2 2" xfId="28905"/>
    <cellStyle name="Normal 3 8 5 2 2 2 2" xfId="28906"/>
    <cellStyle name="Normal 4 7 5 2 2 2 2" xfId="28907"/>
    <cellStyle name="Normal 5 7 5 2 2 2 2" xfId="28908"/>
    <cellStyle name="Normal 7 7 5 2 2 2 2" xfId="28909"/>
    <cellStyle name="Normal 2 3 5 5 2 2 2 2" xfId="28910"/>
    <cellStyle name="Normal 3 3 5 5 2 2 2 2" xfId="28911"/>
    <cellStyle name="Normal 4 2 5 5 2 2 2 2" xfId="28912"/>
    <cellStyle name="Normal 5 2 5 5 2 2 2 2" xfId="28913"/>
    <cellStyle name="Normal 7 2 5 5 2 2 2 2" xfId="28914"/>
    <cellStyle name="Normal 2 4 5 5 2 2 2 2" xfId="28915"/>
    <cellStyle name="Normal 3 4 5 5 2 2 2 2" xfId="28916"/>
    <cellStyle name="Normal 4 3 5 5 2 2 2 2" xfId="28917"/>
    <cellStyle name="Normal 5 3 5 5 2 2 2 2" xfId="28918"/>
    <cellStyle name="Normal 7 3 5 5 2 2 2 2" xfId="28919"/>
    <cellStyle name="Normal 2 5 3 5 2 2 2 2" xfId="28920"/>
    <cellStyle name="Normal 3 5 3 5 2 2 2 2" xfId="28921"/>
    <cellStyle name="Normal 4 4 3 5 2 2 2 2" xfId="28922"/>
    <cellStyle name="Normal 5 4 3 5 2 2 2 2" xfId="28923"/>
    <cellStyle name="Normal 7 4 3 5 2 2 2 2" xfId="28924"/>
    <cellStyle name="Normal 2 3 2 3 5 2 2 2 2" xfId="28925"/>
    <cellStyle name="Normal 3 3 2 3 5 2 2 2 2" xfId="28926"/>
    <cellStyle name="Normal 4 2 2 3 5 2 2 2 2" xfId="28927"/>
    <cellStyle name="Normal 5 2 2 3 5 2 2 2 2" xfId="28928"/>
    <cellStyle name="Normal 7 2 2 3 5 2 2 2 2" xfId="28929"/>
    <cellStyle name="Normal 2 4 2 3 5 2 2 2 2" xfId="28930"/>
    <cellStyle name="Normal 3 4 2 3 5 2 2 2 2" xfId="28931"/>
    <cellStyle name="Normal 4 3 2 3 5 2 2 2 2" xfId="28932"/>
    <cellStyle name="Normal 5 3 2 3 5 2 2 2 2" xfId="28933"/>
    <cellStyle name="Normal 7 3 2 3 5 2 2 2 2" xfId="28934"/>
    <cellStyle name="Normal 2 6 3 5 2 2 2 2" xfId="28935"/>
    <cellStyle name="Normal 3 6 3 5 2 2 2 2" xfId="28936"/>
    <cellStyle name="Normal 4 5 3 5 2 2 2 2" xfId="28937"/>
    <cellStyle name="Normal 5 5 3 5 2 2 2 2" xfId="28938"/>
    <cellStyle name="Normal 7 5 3 5 2 2 2 2" xfId="28939"/>
    <cellStyle name="Normal 2 3 3 3 5 2 2 2 2" xfId="28940"/>
    <cellStyle name="Normal 3 3 3 3 5 2 2 2 2" xfId="28941"/>
    <cellStyle name="Normal 4 2 3 3 5 2 2 2 2" xfId="28942"/>
    <cellStyle name="Normal 5 2 3 3 5 2 2 2 2" xfId="28943"/>
    <cellStyle name="Normal 7 2 3 3 5 2 2 2 2" xfId="28944"/>
    <cellStyle name="Normal 2 4 3 3 5 2 2 2 2" xfId="28945"/>
    <cellStyle name="Normal 3 4 3 3 5 2 2 2 2" xfId="28946"/>
    <cellStyle name="Normal 4 3 3 3 5 2 2 2 2" xfId="28947"/>
    <cellStyle name="Normal 5 3 3 3 5 2 2 2 2" xfId="28948"/>
    <cellStyle name="Normal 7 3 3 3 5 2 2 2 2" xfId="28949"/>
    <cellStyle name="Normal 2 7 2 5 2 2 2 2" xfId="28950"/>
    <cellStyle name="Normal 3 7 2 5 2 2 2 2" xfId="28951"/>
    <cellStyle name="Normal 4 6 2 5 2 2 2 2" xfId="28952"/>
    <cellStyle name="Normal 5 6 2 5 2 2 2 2" xfId="28953"/>
    <cellStyle name="Normal 7 6 2 5 2 2 2 2" xfId="28954"/>
    <cellStyle name="Normal 2 3 4 2 5 2 2 2 2" xfId="28955"/>
    <cellStyle name="Normal 3 3 4 2 5 2 2 2 2" xfId="28956"/>
    <cellStyle name="Normal 4 2 4 2 5 2 2 2 2" xfId="28957"/>
    <cellStyle name="Normal 5 2 4 2 5 2 2 2 2" xfId="28958"/>
    <cellStyle name="Normal 7 2 4 2 5 2 2 2 2" xfId="28959"/>
    <cellStyle name="Normal 2 4 4 2 5 2 2 2 2" xfId="28960"/>
    <cellStyle name="Normal 3 4 4 2 5 2 2 2 2" xfId="28961"/>
    <cellStyle name="Normal 4 3 4 2 5 2 2 2 2" xfId="28962"/>
    <cellStyle name="Normal 5 3 4 2 5 2 2 2 2" xfId="28963"/>
    <cellStyle name="Normal 7 3 4 2 5 2 2 2 2" xfId="28964"/>
    <cellStyle name="Normal 2 5 2 2 5 2 2 2 2" xfId="28965"/>
    <cellStyle name="Normal 3 5 2 2 5 2 2 2 2" xfId="28966"/>
    <cellStyle name="Normal 4 4 2 2 5 2 2 2 2" xfId="28967"/>
    <cellStyle name="Normal 5 4 2 2 5 2 2 2 2" xfId="28968"/>
    <cellStyle name="Normal 7 4 2 2 5 2 2 2 2" xfId="28969"/>
    <cellStyle name="Normal 2 3 2 2 2 5 2 2 2 2" xfId="28970"/>
    <cellStyle name="Normal 3 3 2 2 2 5 2 2 2 2" xfId="28971"/>
    <cellStyle name="Normal 4 2 2 2 2 5 2 2 2 2" xfId="28972"/>
    <cellStyle name="Normal 5 2 2 2 2 5 2 2 2 2" xfId="28973"/>
    <cellStyle name="Normal 7 2 2 2 2 5 2 2 2 2" xfId="28974"/>
    <cellStyle name="Normal 2 4 2 2 2 5 2 2 2 2" xfId="28975"/>
    <cellStyle name="Normal 3 4 2 2 2 5 2 2 2 2" xfId="28976"/>
    <cellStyle name="Normal 4 3 2 2 2 5 2 2 2 2" xfId="28977"/>
    <cellStyle name="Normal 5 3 2 2 2 5 2 2 2 2" xfId="28978"/>
    <cellStyle name="Normal 7 3 2 2 2 5 2 2 2 2" xfId="28979"/>
    <cellStyle name="Normal 2 6 2 2 5 2 2 2 2" xfId="28980"/>
    <cellStyle name="Normal 3 6 2 2 5 2 2 2 2" xfId="28981"/>
    <cellStyle name="Normal 4 5 2 2 5 2 2 2 2" xfId="28982"/>
    <cellStyle name="Normal 5 5 2 2 5 2 2 2 2" xfId="28983"/>
    <cellStyle name="Normal 7 5 2 2 5 2 2 2 2" xfId="28984"/>
    <cellStyle name="Normal 2 3 3 2 2 5 2 2 2 2" xfId="28985"/>
    <cellStyle name="Normal 3 3 3 2 2 5 2 2 2 2" xfId="28986"/>
    <cellStyle name="Normal 4 2 3 2 2 5 2 2 2 2" xfId="28987"/>
    <cellStyle name="Normal 5 2 3 2 2 5 2 2 2 2" xfId="28988"/>
    <cellStyle name="Normal 7 2 3 2 2 5 2 2 2 2" xfId="28989"/>
    <cellStyle name="Normal 2 4 3 2 2 5 2 2 2 2" xfId="28990"/>
    <cellStyle name="Normal 3 4 3 2 2 5 2 2 2 2" xfId="28991"/>
    <cellStyle name="Normal 4 3 3 2 2 5 2 2 2 2" xfId="28992"/>
    <cellStyle name="Normal 5 3 3 2 2 5 2 2 2 2" xfId="28993"/>
    <cellStyle name="Normal 7 3 3 2 2 5 2 2 2 2" xfId="28994"/>
    <cellStyle name="Normal 2 9 3 2 2 2 2" xfId="28995"/>
    <cellStyle name="Normal 3 9 3 2 2 2 2" xfId="28996"/>
    <cellStyle name="Normal 4 8 3 2 2 2 2" xfId="28997"/>
    <cellStyle name="Normal 5 8 3 2 2 2 2" xfId="28998"/>
    <cellStyle name="Normal 7 8 3 2 2 2 2" xfId="28999"/>
    <cellStyle name="Normal 2 3 6 3 2 2 2 2" xfId="29000"/>
    <cellStyle name="Normal 3 3 6 3 2 2 2 2" xfId="29001"/>
    <cellStyle name="Normal 4 2 6 3 2 2 2 2" xfId="29002"/>
    <cellStyle name="Normal 5 2 6 3 2 2 2 2" xfId="29003"/>
    <cellStyle name="Normal 7 2 6 3 2 2 2 2" xfId="29004"/>
    <cellStyle name="Normal 2 4 6 3 2 2 2 2" xfId="29005"/>
    <cellStyle name="Normal 3 4 6 3 2 2 2 2" xfId="29006"/>
    <cellStyle name="Normal 4 3 6 3 2 2 2 2" xfId="29007"/>
    <cellStyle name="Normal 5 3 6 3 2 2 2 2" xfId="29008"/>
    <cellStyle name="Normal 7 3 6 3 2 2 2 2" xfId="29009"/>
    <cellStyle name="Normal 2 5 4 3 2 2 2 2" xfId="29010"/>
    <cellStyle name="Normal 3 5 4 3 2 2 2 2" xfId="29011"/>
    <cellStyle name="Normal 4 4 4 3 2 2 2 2" xfId="29012"/>
    <cellStyle name="Normal 5 4 4 3 2 2 2 2" xfId="29013"/>
    <cellStyle name="Normal 7 4 4 3 2 2 2 2" xfId="29014"/>
    <cellStyle name="Normal 2 3 2 4 3 2 2 2 2" xfId="29015"/>
    <cellStyle name="Normal 3 3 2 4 3 2 2 2 2" xfId="29016"/>
    <cellStyle name="Normal 4 2 2 4 3 2 2 2 2" xfId="29017"/>
    <cellStyle name="Normal 5 2 2 4 3 2 2 2 2" xfId="29018"/>
    <cellStyle name="Normal 7 2 2 4 3 2 2 2 2" xfId="29019"/>
    <cellStyle name="Normal 2 4 2 4 3 2 2 2 2" xfId="29020"/>
    <cellStyle name="Normal 3 4 2 4 3 2 2 2 2" xfId="29021"/>
    <cellStyle name="Normal 4 3 2 4 3 2 2 2 2" xfId="29022"/>
    <cellStyle name="Normal 5 3 2 4 3 2 2 2 2" xfId="29023"/>
    <cellStyle name="Normal 7 3 2 4 3 2 2 2 2" xfId="29024"/>
    <cellStyle name="Normal 2 6 4 3 2 2 2 2" xfId="29025"/>
    <cellStyle name="Normal 3 6 4 3 2 2 2 2" xfId="29026"/>
    <cellStyle name="Normal 4 5 4 3 2 2 2 2" xfId="29027"/>
    <cellStyle name="Normal 5 5 4 3 2 2 2 2" xfId="29028"/>
    <cellStyle name="Normal 7 5 4 3 2 2 2 2" xfId="29029"/>
    <cellStyle name="Normal 2 3 3 4 3 2 2 2 2" xfId="29030"/>
    <cellStyle name="Normal 3 3 3 4 3 2 2 2 2" xfId="29031"/>
    <cellStyle name="Normal 4 2 3 4 3 2 2 2 2" xfId="29032"/>
    <cellStyle name="Normal 5 2 3 4 3 2 2 2 2" xfId="29033"/>
    <cellStyle name="Normal 7 2 3 4 3 2 2 2 2" xfId="29034"/>
    <cellStyle name="Normal 2 4 3 4 3 2 2 2 2" xfId="29035"/>
    <cellStyle name="Normal 3 4 3 4 3 2 2 2 2" xfId="29036"/>
    <cellStyle name="Normal 4 3 3 4 3 2 2 2 2" xfId="29037"/>
    <cellStyle name="Normal 5 3 3 4 3 2 2 2 2" xfId="29038"/>
    <cellStyle name="Normal 7 3 3 4 3 2 2 2 2" xfId="29039"/>
    <cellStyle name="Normal 2 7 3 3 2 2 2 2" xfId="29040"/>
    <cellStyle name="Normal 3 7 3 3 2 2 2 2" xfId="29041"/>
    <cellStyle name="Normal 4 6 3 3 2 2 2 2" xfId="29042"/>
    <cellStyle name="Normal 5 6 3 3 2 2 2 2" xfId="29043"/>
    <cellStyle name="Normal 7 6 3 3 2 2 2 2" xfId="29044"/>
    <cellStyle name="Normal 2 3 4 3 3 2 2 2 2" xfId="29045"/>
    <cellStyle name="Normal 3 3 4 3 3 2 2 2 2" xfId="29046"/>
    <cellStyle name="Normal 4 2 4 3 3 2 2 2 2" xfId="29047"/>
    <cellStyle name="Normal 5 2 4 3 3 2 2 2 2" xfId="29048"/>
    <cellStyle name="Normal 7 2 4 3 3 2 2 2 2" xfId="29049"/>
    <cellStyle name="Normal 2 4 4 3 3 2 2 2 2" xfId="29050"/>
    <cellStyle name="Normal 3 4 4 3 3 2 2 2 2" xfId="29051"/>
    <cellStyle name="Normal 4 3 4 3 3 2 2 2 2" xfId="29052"/>
    <cellStyle name="Normal 5 3 4 3 3 2 2 2 2" xfId="29053"/>
    <cellStyle name="Normal 7 3 4 3 3 2 2 2 2" xfId="29054"/>
    <cellStyle name="Normal 2 5 2 3 3 2 2 2 2" xfId="29055"/>
    <cellStyle name="Normal 3 5 2 3 3 2 2 2 2" xfId="29056"/>
    <cellStyle name="Normal 4 4 2 3 3 2 2 2 2" xfId="29057"/>
    <cellStyle name="Normal 5 4 2 3 3 2 2 2 2" xfId="29058"/>
    <cellStyle name="Normal 7 4 2 3 3 2 2 2 2" xfId="29059"/>
    <cellStyle name="Normal 2 3 2 2 3 3 2 2 2 2" xfId="29060"/>
    <cellStyle name="Normal 3 3 2 2 3 3 2 2 2 2" xfId="29061"/>
    <cellStyle name="Normal 4 2 2 2 3 3 2 2 2 2" xfId="29062"/>
    <cellStyle name="Normal 5 2 2 2 3 3 2 2 2 2" xfId="29063"/>
    <cellStyle name="Normal 7 2 2 2 3 3 2 2 2 2" xfId="29064"/>
    <cellStyle name="Normal 2 4 2 2 3 3 2 2 2 2" xfId="29065"/>
    <cellStyle name="Normal 3 4 2 2 3 3 2 2 2 2" xfId="29066"/>
    <cellStyle name="Normal 4 3 2 2 3 3 2 2 2 2" xfId="29067"/>
    <cellStyle name="Normal 5 3 2 2 3 3 2 2 2 2" xfId="29068"/>
    <cellStyle name="Normal 7 3 2 2 3 3 2 2 2 2" xfId="29069"/>
    <cellStyle name="Normal 2 6 2 3 3 2 2 2 2" xfId="29070"/>
    <cellStyle name="Normal 3 6 2 3 3 2 2 2 2" xfId="29071"/>
    <cellStyle name="Normal 4 5 2 3 3 2 2 2 2" xfId="29072"/>
    <cellStyle name="Normal 5 5 2 3 3 2 2 2 2" xfId="29073"/>
    <cellStyle name="Normal 7 5 2 3 3 2 2 2 2" xfId="29074"/>
    <cellStyle name="Normal 2 3 3 2 3 3 2 2 2 2" xfId="29075"/>
    <cellStyle name="Normal 3 3 3 2 3 3 2 2 2 2" xfId="29076"/>
    <cellStyle name="Normal 4 2 3 2 3 3 2 2 2 2" xfId="29077"/>
    <cellStyle name="Normal 5 2 3 2 3 3 2 2 2 2" xfId="29078"/>
    <cellStyle name="Normal 7 2 3 2 3 3 2 2 2 2" xfId="29079"/>
    <cellStyle name="Normal 2 4 3 2 3 3 2 2 2 2" xfId="29080"/>
    <cellStyle name="Normal 3 4 3 2 3 3 2 2 2 2" xfId="29081"/>
    <cellStyle name="Normal 4 3 3 2 3 3 2 2 2 2" xfId="29082"/>
    <cellStyle name="Normal 5 3 3 2 3 3 2 2 2 2" xfId="29083"/>
    <cellStyle name="Normal 7 3 3 2 3 3 2 2 2 2" xfId="29084"/>
    <cellStyle name="Normal 2 8 2 3 2 2 2 2" xfId="29085"/>
    <cellStyle name="Normal 3 8 2 3 2 2 2 2" xfId="29086"/>
    <cellStyle name="Normal 4 7 2 3 2 2 2 2" xfId="29087"/>
    <cellStyle name="Normal 5 7 2 3 2 2 2 2" xfId="29088"/>
    <cellStyle name="Normal 7 7 2 3 2 2 2 2" xfId="29089"/>
    <cellStyle name="Normal 2 3 5 2 3 2 2 2 2" xfId="29090"/>
    <cellStyle name="Normal 3 3 5 2 3 2 2 2 2" xfId="29091"/>
    <cellStyle name="Normal 4 2 5 2 3 2 2 2 2" xfId="29092"/>
    <cellStyle name="Normal 5 2 5 2 3 2 2 2 2" xfId="29093"/>
    <cellStyle name="Normal 7 2 5 2 3 2 2 2 2" xfId="29094"/>
    <cellStyle name="Normal 2 4 5 2 3 2 2 2 2" xfId="29095"/>
    <cellStyle name="Normal 3 4 5 2 3 2 2 2 2" xfId="29096"/>
    <cellStyle name="Normal 4 3 5 2 3 2 2 2 2" xfId="29097"/>
    <cellStyle name="Normal 5 3 5 2 3 2 2 2 2" xfId="29098"/>
    <cellStyle name="Normal 7 3 5 2 3 2 2 2 2" xfId="29099"/>
    <cellStyle name="Normal 2 5 3 2 3 2 2 2 2" xfId="29100"/>
    <cellStyle name="Normal 3 5 3 2 3 2 2 2 2" xfId="29101"/>
    <cellStyle name="Normal 4 4 3 2 3 2 2 2 2" xfId="29102"/>
    <cellStyle name="Normal 5 4 3 2 3 2 2 2 2" xfId="29103"/>
    <cellStyle name="Normal 7 4 3 2 3 2 2 2 2" xfId="29104"/>
    <cellStyle name="Normal 2 3 2 3 2 3 2 2 2 2" xfId="29105"/>
    <cellStyle name="Normal 3 3 2 3 2 3 2 2 2 2" xfId="29106"/>
    <cellStyle name="Normal 4 2 2 3 2 3 2 2 2 2" xfId="29107"/>
    <cellStyle name="Normal 5 2 2 3 2 3 2 2 2 2" xfId="29108"/>
    <cellStyle name="Normal 7 2 2 3 2 3 2 2 2 2" xfId="29109"/>
    <cellStyle name="Normal 2 4 2 3 2 3 2 2 2 2" xfId="29110"/>
    <cellStyle name="Normal 3 4 2 3 2 3 2 2 2 2" xfId="29111"/>
    <cellStyle name="Normal 4 3 2 3 2 3 2 2 2 2" xfId="29112"/>
    <cellStyle name="Normal 5 3 2 3 2 3 2 2 2 2" xfId="29113"/>
    <cellStyle name="Normal 7 3 2 3 2 3 2 2 2 2" xfId="29114"/>
    <cellStyle name="Normal 2 6 3 2 3 2 2 2 2" xfId="29115"/>
    <cellStyle name="Normal 3 6 3 2 3 2 2 2 2" xfId="29116"/>
    <cellStyle name="Normal 4 5 3 2 3 2 2 2 2" xfId="29117"/>
    <cellStyle name="Normal 5 5 3 2 3 2 2 2 2" xfId="29118"/>
    <cellStyle name="Normal 7 5 3 2 3 2 2 2 2" xfId="29119"/>
    <cellStyle name="Normal 2 3 3 3 2 3 2 2 2 2" xfId="29120"/>
    <cellStyle name="Normal 3 3 3 3 2 3 2 2 2 2" xfId="29121"/>
    <cellStyle name="Normal 4 2 3 3 2 3 2 2 2 2" xfId="29122"/>
    <cellStyle name="Normal 5 2 3 3 2 3 2 2 2 2" xfId="29123"/>
    <cellStyle name="Normal 7 2 3 3 2 3 2 2 2 2" xfId="29124"/>
    <cellStyle name="Normal 2 4 3 3 2 3 2 2 2 2" xfId="29125"/>
    <cellStyle name="Normal 3 4 3 3 2 3 2 2 2 2" xfId="29126"/>
    <cellStyle name="Normal 4 3 3 3 2 3 2 2 2 2" xfId="29127"/>
    <cellStyle name="Normal 5 3 3 3 2 3 2 2 2 2" xfId="29128"/>
    <cellStyle name="Normal 7 3 3 3 2 3 2 2 2 2" xfId="29129"/>
    <cellStyle name="Normal 2 7 2 2 3 2 2 2 2" xfId="29130"/>
    <cellStyle name="Normal 3 7 2 2 3 2 2 2 2" xfId="29131"/>
    <cellStyle name="Normal 4 6 2 2 3 2 2 2 2" xfId="29132"/>
    <cellStyle name="Normal 5 6 2 2 3 2 2 2 2" xfId="29133"/>
    <cellStyle name="Normal 7 6 2 2 3 2 2 2 2" xfId="29134"/>
    <cellStyle name="Normal 2 3 4 2 2 3 2 2 2 2" xfId="29135"/>
    <cellStyle name="Normal 3 3 4 2 2 3 2 2 2 2" xfId="29136"/>
    <cellStyle name="Normal 4 2 4 2 2 3 2 2 2 2" xfId="29137"/>
    <cellStyle name="Normal 5 2 4 2 2 3 2 2 2 2" xfId="29138"/>
    <cellStyle name="Normal 7 2 4 2 2 3 2 2 2 2" xfId="29139"/>
    <cellStyle name="Normal 2 4 4 2 2 3 2 2 2 2" xfId="29140"/>
    <cellStyle name="Normal 3 4 4 2 2 3 2 2 2 2" xfId="29141"/>
    <cellStyle name="Normal 4 3 4 2 2 3 2 2 2 2" xfId="29142"/>
    <cellStyle name="Normal 5 3 4 2 2 3 2 2 2 2" xfId="29143"/>
    <cellStyle name="Normal 7 3 4 2 2 3 2 2 2 2" xfId="29144"/>
    <cellStyle name="Normal 2 5 2 2 2 3 2 2 2 2" xfId="29145"/>
    <cellStyle name="Normal 3 5 2 2 2 3 2 2 2 2" xfId="29146"/>
    <cellStyle name="Normal 4 4 2 2 2 3 2 2 2 2" xfId="29147"/>
    <cellStyle name="Normal 5 4 2 2 2 3 2 2 2 2" xfId="29148"/>
    <cellStyle name="Normal 7 4 2 2 2 3 2 2 2 2" xfId="29149"/>
    <cellStyle name="Normal 2 3 2 2 2 2 3 2 2 2 2" xfId="29150"/>
    <cellStyle name="Normal 3 3 2 2 2 2 3 2 2 2 2" xfId="29151"/>
    <cellStyle name="Normal 4 2 2 2 2 2 3 2 2 2 2" xfId="29152"/>
    <cellStyle name="Normal 5 2 2 2 2 2 3 2 2 2 2" xfId="29153"/>
    <cellStyle name="Normal 7 2 2 2 2 2 3 2 2 2 2" xfId="29154"/>
    <cellStyle name="Normal 2 4 2 2 2 2 3 2 2 2 2" xfId="29155"/>
    <cellStyle name="Normal 3 4 2 2 2 2 3 2 2 2 2" xfId="29156"/>
    <cellStyle name="Normal 4 3 2 2 2 2 3 2 2 2 2" xfId="29157"/>
    <cellStyle name="Normal 5 3 2 2 2 2 3 2 2 2 2" xfId="29158"/>
    <cellStyle name="Normal 7 3 2 2 2 2 3 2 2 2 2" xfId="29159"/>
    <cellStyle name="Normal 2 6 2 2 2 3 2 2 2 2" xfId="29160"/>
    <cellStyle name="Normal 3 6 2 2 2 3 2 2 2 2" xfId="29161"/>
    <cellStyle name="Normal 4 5 2 2 2 3 2 2 2 2" xfId="29162"/>
    <cellStyle name="Normal 5 5 2 2 2 3 2 2 2 2" xfId="29163"/>
    <cellStyle name="Normal 7 5 2 2 2 3 2 2 2 2" xfId="29164"/>
    <cellStyle name="Normal 2 3 3 2 2 2 3 2 2 2 2" xfId="29165"/>
    <cellStyle name="Normal 3 3 3 2 2 2 3 2 2 2 2" xfId="29166"/>
    <cellStyle name="Normal 4 2 3 2 2 2 3 2 2 2 2" xfId="29167"/>
    <cellStyle name="Normal 5 2 3 2 2 2 3 2 2 2 2" xfId="29168"/>
    <cellStyle name="Normal 7 2 3 2 2 2 3 2 2 2 2" xfId="29169"/>
    <cellStyle name="Normal 2 4 3 2 2 2 3 2 2 2 2" xfId="29170"/>
    <cellStyle name="Normal 3 4 3 2 2 2 3 2 2 2 2" xfId="29171"/>
    <cellStyle name="Normal 4 3 3 2 2 2 3 2 2 2 2" xfId="29172"/>
    <cellStyle name="Normal 5 3 3 2 2 2 3 2 2 2 2" xfId="29173"/>
    <cellStyle name="Normal 7 3 3 2 2 2 3 2 2 2 2" xfId="29174"/>
    <cellStyle name="Normal 28 3 2 2 2 2" xfId="29175"/>
    <cellStyle name="Normal 2 3 7 3 2 2 2 2" xfId="29176"/>
    <cellStyle name="Normal 3 10 3 2 2 2 2" xfId="29177"/>
    <cellStyle name="Normal 4 9 3 2 2 2 2" xfId="29178"/>
    <cellStyle name="Normal 5 9 3 2 2 2 2" xfId="29179"/>
    <cellStyle name="Millares 4 3 2 2 2 2" xfId="29180"/>
    <cellStyle name="Normal 7 2 7 3 2 2 2 2" xfId="29181"/>
    <cellStyle name="Normal 3 3 7 3 2 2 2 2" xfId="29182"/>
    <cellStyle name="Normal 4 2 7 3 2 2 2 2" xfId="29183"/>
    <cellStyle name="Normal 5 2 7 3 2 2 2 2" xfId="29184"/>
    <cellStyle name="Normal 2 4 5 3 3 2 2 2 2" xfId="29185"/>
    <cellStyle name="Normal 3 4 7 3 2 2 2 2" xfId="29186"/>
    <cellStyle name="Normal 4 3 7 3 2 2 2 2" xfId="29187"/>
    <cellStyle name="Normal 5 3 7 3 2 2 2 2" xfId="29188"/>
    <cellStyle name="Normal 7 3 7 3 2 2 2 2" xfId="29189"/>
    <cellStyle name="Normal 2 5 5 3 2 2 2 2" xfId="29190"/>
    <cellStyle name="Normal 3 5 5 3 2 2 2 2" xfId="29191"/>
    <cellStyle name="Normal 4 4 5 3 2 2 2 2" xfId="29192"/>
    <cellStyle name="Normal 5 4 5 3 2 2 2 2" xfId="29193"/>
    <cellStyle name="Normal 7 4 5 3 2 2 2 2" xfId="29194"/>
    <cellStyle name="Normal 2 3 2 5 3 2 2 2 2" xfId="29195"/>
    <cellStyle name="Normal 3 3 2 5 3 2 2 2 2" xfId="29196"/>
    <cellStyle name="Normal 4 2 2 5 3 2 2 2 2" xfId="29197"/>
    <cellStyle name="Normal 5 2 2 5 3 2 2 2 2" xfId="29198"/>
    <cellStyle name="Normal 7 2 2 5 3 2 2 2 2" xfId="29199"/>
    <cellStyle name="Normal 2 4 2 5 3 2 2 2 2" xfId="29200"/>
    <cellStyle name="Normal 3 4 2 5 3 2 2 2 2" xfId="29201"/>
    <cellStyle name="Normal 4 3 2 5 3 2 2 2 2" xfId="29202"/>
    <cellStyle name="Normal 5 3 2 5 3 2 2 2 2" xfId="29203"/>
    <cellStyle name="Normal 7 3 2 5 3 2 2 2 2" xfId="29204"/>
    <cellStyle name="Normal 2 6 5 3 2 2 2 2" xfId="29205"/>
    <cellStyle name="Normal 3 6 5 3 2 2 2 2" xfId="29206"/>
    <cellStyle name="Normal 4 5 5 3 2 2 2 2" xfId="29207"/>
    <cellStyle name="Normal 5 5 5 3 2 2 2 2" xfId="29208"/>
    <cellStyle name="Normal 7 5 5 3 2 2 2 2" xfId="29209"/>
    <cellStyle name="Normal 2 3 3 5 3 2 2 2 2" xfId="29210"/>
    <cellStyle name="Normal 3 3 3 5 3 2 2 2 2" xfId="29211"/>
    <cellStyle name="Normal 4 2 3 5 3 2 2 2 2" xfId="29212"/>
    <cellStyle name="Normal 5 2 3 5 3 2 2 2 2" xfId="29213"/>
    <cellStyle name="Normal 7 2 3 5 3 2 2 2 2" xfId="29214"/>
    <cellStyle name="Normal 2 4 3 5 3 2 2 2 2" xfId="29215"/>
    <cellStyle name="Normal 3 4 3 5 3 2 2 2 2" xfId="29216"/>
    <cellStyle name="Normal 4 3 3 5 3 2 2 2 2" xfId="29217"/>
    <cellStyle name="Normal 5 3 3 5 3 2 2 2 2" xfId="29218"/>
    <cellStyle name="Normal 7 3 3 5 3 2 2 2 2" xfId="29219"/>
    <cellStyle name="Normal 2 7 4 3 2 2 2 2" xfId="29220"/>
    <cellStyle name="Normal 3 7 4 3 2 2 2 2" xfId="29221"/>
    <cellStyle name="Normal 4 6 4 3 2 2 2 2" xfId="29222"/>
    <cellStyle name="Normal 5 6 4 3 2 2 2 2" xfId="29223"/>
    <cellStyle name="Normal 7 6 4 3 2 2 2 2" xfId="29224"/>
    <cellStyle name="Normal 2 3 4 4 3 2 2 2 2" xfId="29225"/>
    <cellStyle name="Normal 3 3 4 4 3 2 2 2 2" xfId="29226"/>
    <cellStyle name="Normal 4 2 4 4 3 2 2 2 2" xfId="29227"/>
    <cellStyle name="Normal 5 2 4 4 3 2 2 2 2" xfId="29228"/>
    <cellStyle name="Normal 7 2 4 4 3 2 2 2 2" xfId="29229"/>
    <cellStyle name="Normal 2 4 4 4 3 2 2 2 2" xfId="29230"/>
    <cellStyle name="Normal 3 4 4 4 3 2 2 2 2" xfId="29231"/>
    <cellStyle name="Normal 4 3 4 4 3 2 2 2 2" xfId="29232"/>
    <cellStyle name="Normal 5 3 4 4 3 2 2 2 2" xfId="29233"/>
    <cellStyle name="Normal 7 3 4 4 3 2 2 2 2" xfId="29234"/>
    <cellStyle name="Normal 2 5 2 4 3 2 2 2 2" xfId="29235"/>
    <cellStyle name="Normal 3 5 2 4 3 2 2 2 2" xfId="29236"/>
    <cellStyle name="Normal 4 4 2 4 3 2 2 2 2" xfId="29237"/>
    <cellStyle name="Normal 5 4 2 4 3 2 2 2 2" xfId="29238"/>
    <cellStyle name="Normal 7 4 2 4 3 2 2 2 2" xfId="29239"/>
    <cellStyle name="Normal 2 3 2 2 4 3 2 2 2 2" xfId="29240"/>
    <cellStyle name="Normal 3 3 2 2 4 3 2 2 2 2" xfId="29241"/>
    <cellStyle name="Normal 4 2 2 2 4 3 2 2 2 2" xfId="29242"/>
    <cellStyle name="Normal 5 2 2 2 4 3 2 2 2 2" xfId="29243"/>
    <cellStyle name="Normal 7 2 2 2 4 3 2 2 2 2" xfId="29244"/>
    <cellStyle name="Normal 2 4 2 2 4 3 2 2 2 2" xfId="29245"/>
    <cellStyle name="Normal 3 4 2 2 4 3 2 2 2 2" xfId="29246"/>
    <cellStyle name="Normal 4 3 2 2 4 3 2 2 2 2" xfId="29247"/>
    <cellStyle name="Normal 5 3 2 2 4 3 2 2 2 2" xfId="29248"/>
    <cellStyle name="Normal 7 3 2 2 4 3 2 2 2 2" xfId="29249"/>
    <cellStyle name="Normal 2 6 2 4 3 2 2 2 2" xfId="29250"/>
    <cellStyle name="Normal 3 6 2 4 3 2 2 2 2" xfId="29251"/>
    <cellStyle name="Normal 4 5 2 4 3 2 2 2 2" xfId="29252"/>
    <cellStyle name="Normal 5 5 2 4 3 2 2 2 2" xfId="29253"/>
    <cellStyle name="Normal 7 5 2 4 3 2 2 2 2" xfId="29254"/>
    <cellStyle name="Normal 2 3 3 2 4 3 2 2 2 2" xfId="29255"/>
    <cellStyle name="Normal 3 3 3 2 4 3 2 2 2 2" xfId="29256"/>
    <cellStyle name="Normal 4 2 3 2 4 3 2 2 2 2" xfId="29257"/>
    <cellStyle name="Normal 5 2 3 2 4 3 2 2 2 2" xfId="29258"/>
    <cellStyle name="Normal 7 2 3 2 4 3 2 2 2 2" xfId="29259"/>
    <cellStyle name="Normal 2 4 3 2 4 3 2 2 2 2" xfId="29260"/>
    <cellStyle name="Normal 3 4 3 2 4 3 2 2 2 2" xfId="29261"/>
    <cellStyle name="Normal 4 3 3 2 4 3 2 2 2 2" xfId="29262"/>
    <cellStyle name="Normal 5 3 3 2 4 3 2 2 2 2" xfId="29263"/>
    <cellStyle name="Normal 7 3 3 2 4 3 2 2 2 2" xfId="29264"/>
    <cellStyle name="Normal 2 8 3 3 2 2 2 2" xfId="29265"/>
    <cellStyle name="Normal 3 8 3 3 2 2 2 2" xfId="29266"/>
    <cellStyle name="Normal 4 7 3 3 2 2 2 2" xfId="29267"/>
    <cellStyle name="Normal 5 7 3 3 2 2 2 2" xfId="29268"/>
    <cellStyle name="Normal 7 7 3 3 2 2 2 2" xfId="29269"/>
    <cellStyle name="Normal 2 3 5 3 3 2 2 2 2" xfId="29270"/>
    <cellStyle name="Normal 3 3 5 3 3 2 2 2 2" xfId="29271"/>
    <cellStyle name="Normal 4 2 5 3 3 2 2 2 2" xfId="29272"/>
    <cellStyle name="Normal 5 2 5 3 3 2 2 2 2" xfId="29273"/>
    <cellStyle name="Normal 7 2 5 3 3 2 2 2 2" xfId="29274"/>
    <cellStyle name="Normal 3 4 5 3 3 2 2 2 2" xfId="29275"/>
    <cellStyle name="Normal 4 3 5 3 3 2 2 2 2" xfId="29276"/>
    <cellStyle name="Normal 5 3 5 3 3 2 2 2 2" xfId="29277"/>
    <cellStyle name="Normal 7 3 5 3 3 2 2 2 2" xfId="29278"/>
    <cellStyle name="Normal 2 5 3 3 3 2 2 2 2" xfId="29279"/>
    <cellStyle name="Normal 3 5 3 3 3 2 2 2 2" xfId="29280"/>
    <cellStyle name="Normal 4 4 3 3 3 2 2 2 2" xfId="29281"/>
    <cellStyle name="Normal 5 4 3 3 3 2 2 2 2" xfId="29282"/>
    <cellStyle name="Normal 7 4 3 3 3 2 2 2 2" xfId="29283"/>
    <cellStyle name="Normal 2 3 2 3 3 3 2 2 2 2" xfId="29284"/>
    <cellStyle name="Normal 3 3 2 3 3 3 2 2 2 2" xfId="29285"/>
    <cellStyle name="Normal 4 2 2 3 3 3 2 2 2 2" xfId="29286"/>
    <cellStyle name="Normal 5 2 2 3 3 3 2 2 2 2" xfId="29287"/>
    <cellStyle name="Normal 7 2 2 3 3 3 2 2 2 2" xfId="29288"/>
    <cellStyle name="Normal 2 4 2 3 3 3 2 2 2 2" xfId="29289"/>
    <cellStyle name="Normal 3 4 2 3 3 3 2 2 2 2" xfId="29290"/>
    <cellStyle name="Normal 4 3 2 3 3 3 2 2 2 2" xfId="29291"/>
    <cellStyle name="Normal 5 3 2 3 3 3 2 2 2 2" xfId="29292"/>
    <cellStyle name="Normal 7 3 2 3 3 3 2 2 2 2" xfId="29293"/>
    <cellStyle name="Normal 2 6 3 3 3 2 2 2 2" xfId="29294"/>
    <cellStyle name="Normal 3 6 3 3 3 2 2 2 2" xfId="29295"/>
    <cellStyle name="Normal 4 5 3 3 3 2 2 2 2" xfId="29296"/>
    <cellStyle name="Normal 5 5 3 3 3 2 2 2 2" xfId="29297"/>
    <cellStyle name="Normal 7 5 3 3 3 2 2 2 2" xfId="29298"/>
    <cellStyle name="Normal 2 3 3 3 3 3 2 2 2 2" xfId="29299"/>
    <cellStyle name="Normal 3 3 3 3 3 3 2 2 2 2" xfId="29300"/>
    <cellStyle name="Normal 4 2 3 3 3 3 2 2 2 2" xfId="29301"/>
    <cellStyle name="Normal 5 2 3 3 3 3 2 2 2 2" xfId="29302"/>
    <cellStyle name="Normal 7 2 3 3 3 3 2 2 2 2" xfId="29303"/>
    <cellStyle name="Normal 2 4 3 3 3 3 2 2 2 2" xfId="29304"/>
    <cellStyle name="Normal 3 4 3 3 3 3 2 2 2 2" xfId="29305"/>
    <cellStyle name="Normal 4 3 3 3 3 3 2 2 2 2" xfId="29306"/>
    <cellStyle name="Normal 5 3 3 3 3 3 2 2 2 2" xfId="29307"/>
    <cellStyle name="Normal 7 3 3 3 3 3 2 2 2 2" xfId="29308"/>
    <cellStyle name="Normal 2 7 2 3 3 2 2 2 2" xfId="29309"/>
    <cellStyle name="Normal 3 7 2 3 3 2 2 2 2" xfId="29310"/>
    <cellStyle name="Normal 4 6 2 3 3 2 2 2 2" xfId="29311"/>
    <cellStyle name="Normal 5 6 2 3 3 2 2 2 2" xfId="29312"/>
    <cellStyle name="Normal 7 6 2 3 3 2 2 2 2" xfId="29313"/>
    <cellStyle name="Normal 2 3 4 2 3 3 2 2 2 2" xfId="29314"/>
    <cellStyle name="Normal 3 3 4 2 3 3 2 2 2 2" xfId="29315"/>
    <cellStyle name="Normal 4 2 4 2 3 3 2 2 2 2" xfId="29316"/>
    <cellStyle name="Normal 5 2 4 2 3 3 2 2 2 2" xfId="29317"/>
    <cellStyle name="Normal 7 2 4 2 3 3 2 2 2 2" xfId="29318"/>
    <cellStyle name="Normal 2 4 4 2 3 3 2 2 2 2" xfId="29319"/>
    <cellStyle name="Normal 3 4 4 2 3 3 2 2 2 2" xfId="29320"/>
    <cellStyle name="Normal 4 3 4 2 3 3 2 2 2 2" xfId="29321"/>
    <cellStyle name="Normal 5 3 4 2 3 3 2 2 2 2" xfId="29322"/>
    <cellStyle name="Normal 7 3 4 2 3 3 2 2 2 2" xfId="29323"/>
    <cellStyle name="Normal 2 5 2 2 3 3 2 2 2 2" xfId="29324"/>
    <cellStyle name="Normal 3 5 2 2 3 3 2 2 2 2" xfId="29325"/>
    <cellStyle name="Normal 4 4 2 2 3 3 2 2 2 2" xfId="29326"/>
    <cellStyle name="Normal 5 4 2 2 3 3 2 2 2 2" xfId="29327"/>
    <cellStyle name="Normal 7 4 2 2 3 3 2 2 2 2" xfId="29328"/>
    <cellStyle name="Normal 2 3 2 2 2 3 3 2 2 2 2" xfId="29329"/>
    <cellStyle name="Normal 3 3 2 2 2 3 3 2 2 2 2" xfId="29330"/>
    <cellStyle name="Normal 4 2 2 2 2 3 3 2 2 2 2" xfId="29331"/>
    <cellStyle name="Normal 5 2 2 2 2 3 3 2 2 2 2" xfId="29332"/>
    <cellStyle name="Normal 7 2 2 2 2 3 3 2 2 2 2" xfId="29333"/>
    <cellStyle name="Normal 2 4 2 2 2 3 3 2 2 2 2" xfId="29334"/>
    <cellStyle name="Normal 3 4 2 2 2 3 3 2 2 2 2" xfId="29335"/>
    <cellStyle name="Normal 4 3 2 2 2 3 3 2 2 2 2" xfId="29336"/>
    <cellStyle name="Normal 5 3 2 2 2 3 3 2 2 2 2" xfId="29337"/>
    <cellStyle name="Normal 7 3 2 2 2 3 3 2 2 2 2" xfId="29338"/>
    <cellStyle name="Normal 2 6 2 2 3 3 2 2 2 2" xfId="29339"/>
    <cellStyle name="Normal 3 6 2 2 3 3 2 2 2 2" xfId="29340"/>
    <cellStyle name="Normal 4 5 2 2 3 3 2 2 2 2" xfId="29341"/>
    <cellStyle name="Normal 5 5 2 2 3 3 2 2 2 2" xfId="29342"/>
    <cellStyle name="Normal 7 5 2 2 3 3 2 2 2 2" xfId="29343"/>
    <cellStyle name="Normal 2 3 3 2 2 3 3 2 2 2 2" xfId="29344"/>
    <cellStyle name="Normal 3 3 3 2 2 3 3 2 2 2 2" xfId="29345"/>
    <cellStyle name="Normal 4 2 3 2 2 3 3 2 2 2 2" xfId="29346"/>
    <cellStyle name="Normal 5 2 3 2 2 3 3 2 2 2 2" xfId="29347"/>
    <cellStyle name="Normal 7 2 3 2 2 3 3 2 2 2 2" xfId="29348"/>
    <cellStyle name="Normal 2 4 3 2 2 3 3 2 2 2 2" xfId="29349"/>
    <cellStyle name="Normal 3 4 3 2 2 3 3 2 2 2 2" xfId="29350"/>
    <cellStyle name="Normal 4 3 3 2 2 3 3 2 2 2 2" xfId="29351"/>
    <cellStyle name="Normal 5 3 3 2 2 3 3 2 2 2 2" xfId="29352"/>
    <cellStyle name="Normal 7 3 3 2 2 3 3 2 2 2 2" xfId="29353"/>
    <cellStyle name="Normal 34 2" xfId="29354"/>
    <cellStyle name="Millares 5 2" xfId="29355"/>
    <cellStyle name="Normal 2 16 2" xfId="29356"/>
    <cellStyle name="Normal 3 16 2" xfId="29357"/>
    <cellStyle name="Normal 4 15 2" xfId="29358"/>
    <cellStyle name="Normal 5 15 2" xfId="29359"/>
    <cellStyle name="Normal 7 3 13 2" xfId="29360"/>
    <cellStyle name="Normal 7 4 11 2" xfId="29361"/>
    <cellStyle name="Normal 2 3 13 2" xfId="29362"/>
    <cellStyle name="Normal 3 3 13 2" xfId="29363"/>
    <cellStyle name="Normal 4 2 13 2" xfId="29364"/>
    <cellStyle name="Normal 5 2 13 2" xfId="29365"/>
    <cellStyle name="Normal 7 2 2 11 2" xfId="29366"/>
    <cellStyle name="Normal 2 4 13 2" xfId="29367"/>
    <cellStyle name="Normal 3 4 13 2" xfId="29368"/>
    <cellStyle name="Normal 4 3 13 2" xfId="29369"/>
    <cellStyle name="Normal 5 3 13 2" xfId="29370"/>
    <cellStyle name="Normal 2 5 11 2" xfId="29371"/>
    <cellStyle name="Normal 3 5 11 2" xfId="29372"/>
    <cellStyle name="Normal 4 4 11 2" xfId="29373"/>
    <cellStyle name="Normal 5 4 11 2" xfId="29374"/>
    <cellStyle name="Normal 2 3 2 11 2" xfId="29375"/>
    <cellStyle name="Normal 3 3 2 11 2" xfId="29376"/>
    <cellStyle name="Normal 4 2 2 11 2" xfId="29377"/>
    <cellStyle name="Normal 5 2 2 11 2" xfId="29378"/>
    <cellStyle name="Normal 2 4 2 11 2" xfId="29379"/>
    <cellStyle name="Normal 3 4 2 11 2" xfId="29380"/>
    <cellStyle name="Normal 4 3 2 11 2" xfId="29381"/>
    <cellStyle name="Normal 5 3 2 11 2" xfId="29382"/>
    <cellStyle name="Normal 7 3 2 11 2" xfId="29383"/>
    <cellStyle name="Normal 2 6 11 2" xfId="29384"/>
    <cellStyle name="Normal 3 6 11 2" xfId="29385"/>
    <cellStyle name="Normal 4 5 11 2" xfId="29386"/>
    <cellStyle name="Normal 5 5 11 2" xfId="29387"/>
    <cellStyle name="Normal 7 5 11 2" xfId="29388"/>
    <cellStyle name="Normal 2 3 3 11 2" xfId="29389"/>
    <cellStyle name="Normal 3 3 3 11 2" xfId="29390"/>
    <cellStyle name="Normal 4 2 3 11 2" xfId="29391"/>
    <cellStyle name="Normal 5 2 3 11 2" xfId="29392"/>
    <cellStyle name="Normal 7 2 3 11 2" xfId="29393"/>
    <cellStyle name="Normal 2 4 3 11 2" xfId="29394"/>
    <cellStyle name="Normal 3 4 3 11 2" xfId="29395"/>
    <cellStyle name="Normal 4 3 3 11 2" xfId="29396"/>
    <cellStyle name="Normal 5 3 3 11 2" xfId="29397"/>
    <cellStyle name="Normal 7 3 3 11 2" xfId="29398"/>
    <cellStyle name="Normal 2 7 10 2" xfId="29399"/>
    <cellStyle name="Normal 3 7 10 2" xfId="29400"/>
    <cellStyle name="Normal 4 6 10 2" xfId="29401"/>
    <cellStyle name="Normal 5 6 10 2" xfId="29402"/>
    <cellStyle name="Normal 7 6 10 2" xfId="29403"/>
    <cellStyle name="Normal 2 3 4 10 2" xfId="29404"/>
    <cellStyle name="Normal 3 3 4 10 2" xfId="29405"/>
    <cellStyle name="Normal 4 2 4 10 2" xfId="29406"/>
    <cellStyle name="Normal 5 2 4 10 2" xfId="29407"/>
    <cellStyle name="Normal 7 2 4 10 2" xfId="29408"/>
    <cellStyle name="Normal 2 4 4 10 2" xfId="29409"/>
    <cellStyle name="Normal 3 4 4 10 2" xfId="29410"/>
    <cellStyle name="Normal 4 3 4 10 2" xfId="29411"/>
    <cellStyle name="Normal 5 3 4 10 2" xfId="29412"/>
    <cellStyle name="Normal 7 3 4 10 2" xfId="29413"/>
    <cellStyle name="Normal 2 5 2 10 2" xfId="29414"/>
    <cellStyle name="Normal 3 5 2 10 2" xfId="29415"/>
    <cellStyle name="Normal 4 4 2 10 2" xfId="29416"/>
    <cellStyle name="Normal 5 4 2 10 2" xfId="29417"/>
    <cellStyle name="Normal 7 4 2 10 2" xfId="29418"/>
    <cellStyle name="Normal 2 3 2 2 10 2" xfId="29419"/>
    <cellStyle name="Normal 3 3 2 2 10 2" xfId="29420"/>
    <cellStyle name="Normal 4 2 2 2 10 2" xfId="29421"/>
    <cellStyle name="Normal 5 2 2 2 10 2" xfId="29422"/>
    <cellStyle name="Normal 7 2 2 2 10 2" xfId="29423"/>
    <cellStyle name="Normal 2 4 2 2 10 2" xfId="29424"/>
    <cellStyle name="Normal 3 4 2 2 10 2" xfId="29425"/>
    <cellStyle name="Normal 4 3 2 2 10 2" xfId="29426"/>
    <cellStyle name="Normal 5 3 2 2 10 2" xfId="29427"/>
    <cellStyle name="Normal 7 3 2 2 10 2" xfId="29428"/>
    <cellStyle name="Normal 2 6 2 10 2" xfId="29429"/>
    <cellStyle name="Normal 3 6 2 10 2" xfId="29430"/>
    <cellStyle name="Normal 4 5 2 10 2" xfId="29431"/>
    <cellStyle name="Normal 5 5 2 10 2" xfId="29432"/>
    <cellStyle name="Normal 7 5 2 10 2" xfId="29433"/>
    <cellStyle name="Normal 2 3 3 2 10 2" xfId="29434"/>
    <cellStyle name="Normal 3 3 3 2 10 2" xfId="29435"/>
    <cellStyle name="Normal 4 2 3 2 10 2" xfId="29436"/>
    <cellStyle name="Normal 5 2 3 2 10 2" xfId="29437"/>
    <cellStyle name="Normal 7 2 3 2 10 2" xfId="29438"/>
    <cellStyle name="Normal 2 4 3 2 10 2" xfId="29439"/>
    <cellStyle name="Normal 3 4 3 2 10 2" xfId="29440"/>
    <cellStyle name="Normal 4 3 3 2 10 2" xfId="29441"/>
    <cellStyle name="Normal 5 3 3 2 10 2" xfId="29442"/>
    <cellStyle name="Normal 7 3 3 2 10 2" xfId="29443"/>
    <cellStyle name="Normal 2 8 9 2" xfId="29444"/>
    <cellStyle name="Normal 3 8 9 2" xfId="29445"/>
    <cellStyle name="Normal 4 7 9 2" xfId="29446"/>
    <cellStyle name="Normal 5 7 9 2" xfId="29447"/>
    <cellStyle name="Normal 7 7 9 2" xfId="29448"/>
    <cellStyle name="Normal 2 3 5 9 2" xfId="29449"/>
    <cellStyle name="Normal 3 3 5 9 2" xfId="29450"/>
    <cellStyle name="Normal 4 2 5 9 2" xfId="29451"/>
    <cellStyle name="Normal 5 2 5 9 2" xfId="29452"/>
    <cellStyle name="Normal 7 2 5 9 2" xfId="29453"/>
    <cellStyle name="Normal 2 4 5 9 2" xfId="29454"/>
    <cellStyle name="Normal 3 4 5 9 2" xfId="29455"/>
    <cellStyle name="Normal 4 3 5 9 2" xfId="29456"/>
    <cellStyle name="Normal 5 3 5 9 2" xfId="29457"/>
    <cellStyle name="Normal 7 3 5 9 2" xfId="29458"/>
    <cellStyle name="Normal 2 5 3 9 2" xfId="29459"/>
    <cellStyle name="Normal 3 5 3 9 2" xfId="29460"/>
    <cellStyle name="Normal 4 4 3 9 2" xfId="29461"/>
    <cellStyle name="Normal 5 4 3 9 2" xfId="29462"/>
    <cellStyle name="Normal 7 4 3 9 2" xfId="29463"/>
    <cellStyle name="Normal 2 3 2 3 9 2" xfId="29464"/>
    <cellStyle name="Normal 3 3 2 3 9 2" xfId="29465"/>
    <cellStyle name="Normal 4 2 2 3 9 2" xfId="29466"/>
    <cellStyle name="Normal 5 2 2 3 9 2" xfId="29467"/>
    <cellStyle name="Normal 7 2 2 3 9 2" xfId="29468"/>
    <cellStyle name="Normal 2 4 2 3 9 2" xfId="29469"/>
    <cellStyle name="Normal 3 4 2 3 9 2" xfId="29470"/>
    <cellStyle name="Normal 4 3 2 3 9 2" xfId="29471"/>
    <cellStyle name="Normal 5 3 2 3 9 2" xfId="29472"/>
    <cellStyle name="Normal 7 3 2 3 9 2" xfId="29473"/>
    <cellStyle name="Normal 2 6 3 9 2" xfId="29474"/>
    <cellStyle name="Normal 3 6 3 9 2" xfId="29475"/>
    <cellStyle name="Normal 4 5 3 9 2" xfId="29476"/>
    <cellStyle name="Normal 5 5 3 9 2" xfId="29477"/>
    <cellStyle name="Normal 7 5 3 9 2" xfId="29478"/>
    <cellStyle name="Normal 2 3 3 3 9 2" xfId="29479"/>
    <cellStyle name="Normal 3 3 3 3 9 2" xfId="29480"/>
    <cellStyle name="Normal 4 2 3 3 9 2" xfId="29481"/>
    <cellStyle name="Normal 5 2 3 3 9 2" xfId="29482"/>
    <cellStyle name="Normal 7 2 3 3 9 2" xfId="29483"/>
    <cellStyle name="Normal 2 4 3 3 9 2" xfId="29484"/>
    <cellStyle name="Normal 3 4 3 3 9 2" xfId="29485"/>
    <cellStyle name="Normal 4 3 3 3 9 2" xfId="29486"/>
    <cellStyle name="Normal 5 3 3 3 9 2" xfId="29487"/>
    <cellStyle name="Normal 7 3 3 3 9 2" xfId="29488"/>
    <cellStyle name="Normal 2 7 2 9 2" xfId="29489"/>
    <cellStyle name="Normal 3 7 2 9 2" xfId="29490"/>
    <cellStyle name="Normal 4 6 2 9 2" xfId="29491"/>
    <cellStyle name="Normal 5 6 2 9 2" xfId="29492"/>
    <cellStyle name="Normal 7 6 2 9 2" xfId="29493"/>
    <cellStyle name="Normal 2 3 4 2 9 2" xfId="29494"/>
    <cellStyle name="Normal 3 3 4 2 9 2" xfId="29495"/>
    <cellStyle name="Normal 4 2 4 2 9 2" xfId="29496"/>
    <cellStyle name="Normal 5 2 4 2 9 2" xfId="29497"/>
    <cellStyle name="Normal 7 2 4 2 9 2" xfId="29498"/>
    <cellStyle name="Normal 2 4 4 2 9 2" xfId="29499"/>
    <cellStyle name="Normal 3 4 4 2 9 2" xfId="29500"/>
    <cellStyle name="Normal 4 3 4 2 9 2" xfId="29501"/>
    <cellStyle name="Normal 5 3 4 2 9 2" xfId="29502"/>
    <cellStyle name="Normal 7 3 4 2 9 2" xfId="29503"/>
    <cellStyle name="Normal 2 5 2 2 9 2" xfId="29504"/>
    <cellStyle name="Normal 3 5 2 2 9 2" xfId="29505"/>
    <cellStyle name="Normal 4 4 2 2 9 2" xfId="29506"/>
    <cellStyle name="Normal 5 4 2 2 9 2" xfId="29507"/>
    <cellStyle name="Normal 7 4 2 2 9 2" xfId="29508"/>
    <cellStyle name="Normal 2 3 2 2 2 9 2" xfId="29509"/>
    <cellStyle name="Normal 3 3 2 2 2 9 2" xfId="29510"/>
    <cellStyle name="Normal 4 2 2 2 2 9 2" xfId="29511"/>
    <cellStyle name="Normal 5 2 2 2 2 9 2" xfId="29512"/>
    <cellStyle name="Normal 7 2 2 2 2 9 2" xfId="29513"/>
    <cellStyle name="Normal 2 4 2 2 2 9 2" xfId="29514"/>
    <cellStyle name="Normal 3 4 2 2 2 9 2" xfId="29515"/>
    <cellStyle name="Normal 4 3 2 2 2 9 2" xfId="29516"/>
    <cellStyle name="Normal 5 3 2 2 2 9 2" xfId="29517"/>
    <cellStyle name="Normal 7 3 2 2 2 9 2" xfId="29518"/>
    <cellStyle name="Normal 2 6 2 2 9 2" xfId="29519"/>
    <cellStyle name="Normal 3 6 2 2 9 2" xfId="29520"/>
    <cellStyle name="Normal 4 5 2 2 9 2" xfId="29521"/>
    <cellStyle name="Normal 5 5 2 2 9 2" xfId="29522"/>
    <cellStyle name="Normal 7 5 2 2 9 2" xfId="29523"/>
    <cellStyle name="Normal 2 3 3 2 2 9 2" xfId="29524"/>
    <cellStyle name="Normal 3 3 3 2 2 9 2" xfId="29525"/>
    <cellStyle name="Normal 4 2 3 2 2 9 2" xfId="29526"/>
    <cellStyle name="Normal 5 2 3 2 2 9 2" xfId="29527"/>
    <cellStyle name="Normal 7 2 3 2 2 9 2" xfId="29528"/>
    <cellStyle name="Normal 2 4 3 2 2 9 2" xfId="29529"/>
    <cellStyle name="Normal 3 4 3 2 2 9 2" xfId="29530"/>
    <cellStyle name="Normal 4 3 3 2 2 9 2" xfId="29531"/>
    <cellStyle name="Normal 5 3 3 2 2 9 2" xfId="29532"/>
    <cellStyle name="Normal 7 3 3 2 2 9 2" xfId="29533"/>
    <cellStyle name="Normal 2 9 7 2" xfId="29534"/>
    <cellStyle name="Normal 3 9 7 2" xfId="29535"/>
    <cellStyle name="Normal 4 8 7 2" xfId="29536"/>
    <cellStyle name="Normal 5 8 7 2" xfId="29537"/>
    <cellStyle name="Normal 7 8 7 2" xfId="29538"/>
    <cellStyle name="Normal 2 3 6 7 2" xfId="29539"/>
    <cellStyle name="Normal 3 3 6 7 2" xfId="29540"/>
    <cellStyle name="Normal 4 2 6 7 2" xfId="29541"/>
    <cellStyle name="Normal 5 2 6 7 2" xfId="29542"/>
    <cellStyle name="Normal 7 2 6 7 2" xfId="29543"/>
    <cellStyle name="Normal 2 4 6 7 2" xfId="29544"/>
    <cellStyle name="Normal 3 4 6 7 2" xfId="29545"/>
    <cellStyle name="Normal 4 3 6 7 2" xfId="29546"/>
    <cellStyle name="Normal 5 3 6 7 2" xfId="29547"/>
    <cellStyle name="Normal 7 3 6 7 2" xfId="29548"/>
    <cellStyle name="Normal 2 5 4 7 2" xfId="29549"/>
    <cellStyle name="Normal 3 5 4 7 2" xfId="29550"/>
    <cellStyle name="Normal 4 4 4 7 2" xfId="29551"/>
    <cellStyle name="Normal 5 4 4 7 2" xfId="29552"/>
    <cellStyle name="Normal 7 4 4 7 2" xfId="29553"/>
    <cellStyle name="Normal 2 3 2 4 7 2" xfId="29554"/>
    <cellStyle name="Normal 3 3 2 4 7 2" xfId="29555"/>
    <cellStyle name="Normal 4 2 2 4 7 2" xfId="29556"/>
    <cellStyle name="Normal 5 2 2 4 7 2" xfId="29557"/>
    <cellStyle name="Normal 7 2 2 4 7 2" xfId="29558"/>
    <cellStyle name="Normal 2 4 2 4 7 2" xfId="29559"/>
    <cellStyle name="Normal 3 4 2 4 7 2" xfId="29560"/>
    <cellStyle name="Normal 4 3 2 4 7 2" xfId="29561"/>
    <cellStyle name="Normal 5 3 2 4 7 2" xfId="29562"/>
    <cellStyle name="Normal 7 3 2 4 7 2" xfId="29563"/>
    <cellStyle name="Normal 2 6 4 7 2" xfId="29564"/>
    <cellStyle name="Normal 3 6 4 7 2" xfId="29565"/>
    <cellStyle name="Normal 4 5 4 7 2" xfId="29566"/>
    <cellStyle name="Normal 5 5 4 7 2" xfId="29567"/>
    <cellStyle name="Normal 7 5 4 7 2" xfId="29568"/>
    <cellStyle name="Normal 2 3 3 4 7 2" xfId="29569"/>
    <cellStyle name="Normal 3 3 3 4 7 2" xfId="29570"/>
    <cellStyle name="Normal 4 2 3 4 7 2" xfId="29571"/>
    <cellStyle name="Normal 5 2 3 4 7 2" xfId="29572"/>
    <cellStyle name="Normal 7 2 3 4 7 2" xfId="29573"/>
    <cellStyle name="Normal 2 4 3 4 7 2" xfId="29574"/>
    <cellStyle name="Normal 3 4 3 4 7 2" xfId="29575"/>
    <cellStyle name="Normal 4 3 3 4 7 2" xfId="29576"/>
    <cellStyle name="Normal 5 3 3 4 7 2" xfId="29577"/>
    <cellStyle name="Normal 7 3 3 4 7 2" xfId="29578"/>
    <cellStyle name="Normal 2 7 3 7 2" xfId="29579"/>
    <cellStyle name="Normal 3 7 3 7 2" xfId="29580"/>
    <cellStyle name="Normal 4 6 3 7 2" xfId="29581"/>
    <cellStyle name="Normal 5 6 3 7 2" xfId="29582"/>
    <cellStyle name="Normal 7 6 3 7 2" xfId="29583"/>
    <cellStyle name="Normal 2 3 4 3 7 2" xfId="29584"/>
    <cellStyle name="Normal 3 3 4 3 7 2" xfId="29585"/>
    <cellStyle name="Normal 4 2 4 3 7 2" xfId="29586"/>
    <cellStyle name="Normal 5 2 4 3 7 2" xfId="29587"/>
    <cellStyle name="Normal 7 2 4 3 7 2" xfId="29588"/>
    <cellStyle name="Normal 2 4 4 3 7 2" xfId="29589"/>
    <cellStyle name="Normal 3 4 4 3 7 2" xfId="29590"/>
    <cellStyle name="Normal 4 3 4 3 7 2" xfId="29591"/>
    <cellStyle name="Normal 5 3 4 3 7 2" xfId="29592"/>
    <cellStyle name="Normal 7 3 4 3 7 2" xfId="29593"/>
    <cellStyle name="Normal 2 5 2 3 7 2" xfId="29594"/>
    <cellStyle name="Normal 3 5 2 3 7 2" xfId="29595"/>
    <cellStyle name="Normal 4 4 2 3 7 2" xfId="29596"/>
    <cellStyle name="Normal 5 4 2 3 7 2" xfId="29597"/>
    <cellStyle name="Normal 7 4 2 3 7 2" xfId="29598"/>
    <cellStyle name="Normal 2 3 2 2 3 7 2" xfId="29599"/>
    <cellStyle name="Normal 3 3 2 2 3 7 2" xfId="29600"/>
    <cellStyle name="Normal 4 2 2 2 3 7 2" xfId="29601"/>
    <cellStyle name="Normal 5 2 2 2 3 7 2" xfId="29602"/>
    <cellStyle name="Normal 7 2 2 2 3 7 2" xfId="29603"/>
    <cellStyle name="Normal 2 4 2 2 3 7 2" xfId="29604"/>
    <cellStyle name="Normal 3 4 2 2 3 7 2" xfId="29605"/>
    <cellStyle name="Normal 4 3 2 2 3 7 2" xfId="29606"/>
    <cellStyle name="Normal 5 3 2 2 3 7 2" xfId="29607"/>
    <cellStyle name="Normal 7 3 2 2 3 7 2" xfId="29608"/>
    <cellStyle name="Normal 2 6 2 3 7 2" xfId="29609"/>
    <cellStyle name="Normal 3 6 2 3 7 2" xfId="29610"/>
    <cellStyle name="Normal 4 5 2 3 7 2" xfId="29611"/>
    <cellStyle name="Normal 5 5 2 3 7 2" xfId="29612"/>
    <cellStyle name="Normal 7 5 2 3 7 2" xfId="29613"/>
    <cellStyle name="Normal 2 3 3 2 3 7 2" xfId="29614"/>
    <cellStyle name="Normal 3 3 3 2 3 7 2" xfId="29615"/>
    <cellStyle name="Normal 4 2 3 2 3 7 2" xfId="29616"/>
    <cellStyle name="Normal 5 2 3 2 3 7 2" xfId="29617"/>
    <cellStyle name="Normal 7 2 3 2 3 7 2" xfId="29618"/>
    <cellStyle name="Normal 2 4 3 2 3 7 2" xfId="29619"/>
    <cellStyle name="Normal 3 4 3 2 3 7 2" xfId="29620"/>
    <cellStyle name="Normal 4 3 3 2 3 7 2" xfId="29621"/>
    <cellStyle name="Normal 5 3 3 2 3 7 2" xfId="29622"/>
    <cellStyle name="Normal 7 3 3 2 3 7 2" xfId="29623"/>
    <cellStyle name="Normal 2 8 2 7 2" xfId="29624"/>
    <cellStyle name="Normal 3 8 2 7 2" xfId="29625"/>
    <cellStyle name="Normal 4 7 2 7 2" xfId="29626"/>
    <cellStyle name="Normal 5 7 2 7 2" xfId="29627"/>
    <cellStyle name="Normal 7 7 2 7 2" xfId="29628"/>
    <cellStyle name="Normal 2 3 5 2 7 2" xfId="29629"/>
    <cellStyle name="Normal 3 3 5 2 7 2" xfId="29630"/>
    <cellStyle name="Normal 4 2 5 2 7 2" xfId="29631"/>
    <cellStyle name="Normal 5 2 5 2 7 2" xfId="29632"/>
    <cellStyle name="Normal 7 2 5 2 7 2" xfId="29633"/>
    <cellStyle name="Normal 2 4 5 2 7 2" xfId="29634"/>
    <cellStyle name="Normal 3 4 5 2 7 2" xfId="29635"/>
    <cellStyle name="Normal 4 3 5 2 7 2" xfId="29636"/>
    <cellStyle name="Normal 5 3 5 2 7 2" xfId="29637"/>
    <cellStyle name="Normal 7 3 5 2 7 2" xfId="29638"/>
    <cellStyle name="Normal 2 5 3 2 7 2" xfId="29639"/>
    <cellStyle name="Normal 3 5 3 2 7 2" xfId="29640"/>
    <cellStyle name="Normal 4 4 3 2 7 2" xfId="29641"/>
    <cellStyle name="Normal 5 4 3 2 7 2" xfId="29642"/>
    <cellStyle name="Normal 7 4 3 2 7 2" xfId="29643"/>
    <cellStyle name="Normal 2 3 2 3 2 7 2" xfId="29644"/>
    <cellStyle name="Normal 3 3 2 3 2 7 2" xfId="29645"/>
    <cellStyle name="Normal 4 2 2 3 2 7 2" xfId="29646"/>
    <cellStyle name="Normal 5 2 2 3 2 7 2" xfId="29647"/>
    <cellStyle name="Normal 7 2 2 3 2 7 2" xfId="29648"/>
    <cellStyle name="Normal 2 4 2 3 2 7 2" xfId="29649"/>
    <cellStyle name="Normal 3 4 2 3 2 7 2" xfId="29650"/>
    <cellStyle name="Normal 4 3 2 3 2 7 2" xfId="29651"/>
    <cellStyle name="Normal 5 3 2 3 2 7 2" xfId="29652"/>
    <cellStyle name="Normal 7 3 2 3 2 7 2" xfId="29653"/>
    <cellStyle name="Normal 2 6 3 2 7 2" xfId="29654"/>
    <cellStyle name="Normal 3 6 3 2 7 2" xfId="29655"/>
    <cellStyle name="Normal 4 5 3 2 7 2" xfId="29656"/>
    <cellStyle name="Normal 5 5 3 2 7 2" xfId="29657"/>
    <cellStyle name="Normal 7 5 3 2 7 2" xfId="29658"/>
    <cellStyle name="Normal 2 3 3 3 2 7 2" xfId="29659"/>
    <cellStyle name="Normal 3 3 3 3 2 7 2" xfId="29660"/>
    <cellStyle name="Normal 4 2 3 3 2 7 2" xfId="29661"/>
    <cellStyle name="Normal 5 2 3 3 2 7 2" xfId="29662"/>
    <cellStyle name="Normal 7 2 3 3 2 7 2" xfId="29663"/>
    <cellStyle name="Normal 2 4 3 3 2 7 2" xfId="29664"/>
    <cellStyle name="Normal 3 4 3 3 2 7 2" xfId="29665"/>
    <cellStyle name="Normal 4 3 3 3 2 7 2" xfId="29666"/>
    <cellStyle name="Normal 5 3 3 3 2 7 2" xfId="29667"/>
    <cellStyle name="Normal 7 3 3 3 2 7 2" xfId="29668"/>
    <cellStyle name="Normal 2 7 2 2 7 2" xfId="29669"/>
    <cellStyle name="Normal 3 7 2 2 7 2" xfId="29670"/>
    <cellStyle name="Normal 4 6 2 2 7 2" xfId="29671"/>
    <cellStyle name="Normal 5 6 2 2 7 2" xfId="29672"/>
    <cellStyle name="Normal 7 6 2 2 7 2" xfId="29673"/>
    <cellStyle name="Normal 2 3 4 2 2 7 2" xfId="29674"/>
    <cellStyle name="Normal 3 3 4 2 2 7 2" xfId="29675"/>
    <cellStyle name="Normal 4 2 4 2 2 7 2" xfId="29676"/>
    <cellStyle name="Normal 5 2 4 2 2 7 2" xfId="29677"/>
    <cellStyle name="Normal 7 2 4 2 2 7 2" xfId="29678"/>
    <cellStyle name="Normal 2 4 4 2 2 7 2" xfId="29679"/>
    <cellStyle name="Normal 3 4 4 2 2 7 2" xfId="29680"/>
    <cellStyle name="Normal 4 3 4 2 2 7 2" xfId="29681"/>
    <cellStyle name="Normal 5 3 4 2 2 7 2" xfId="29682"/>
    <cellStyle name="Normal 7 3 4 2 2 7 2" xfId="29683"/>
    <cellStyle name="Normal 2 5 2 2 2 7 2" xfId="29684"/>
    <cellStyle name="Normal 3 5 2 2 2 7 2" xfId="29685"/>
    <cellStyle name="Normal 4 4 2 2 2 7 2" xfId="29686"/>
    <cellStyle name="Normal 5 4 2 2 2 7 2" xfId="29687"/>
    <cellStyle name="Normal 7 4 2 2 2 7 2" xfId="29688"/>
    <cellStyle name="Normal 2 3 2 2 2 2 7 2" xfId="29689"/>
    <cellStyle name="Normal 3 3 2 2 2 2 7 2" xfId="29690"/>
    <cellStyle name="Normal 4 2 2 2 2 2 7 2" xfId="29691"/>
    <cellStyle name="Normal 5 2 2 2 2 2 7 2" xfId="29692"/>
    <cellStyle name="Normal 7 2 2 2 2 2 7 2" xfId="29693"/>
    <cellStyle name="Normal 2 4 2 2 2 2 7 2" xfId="29694"/>
    <cellStyle name="Normal 3 4 2 2 2 2 7 2" xfId="29695"/>
    <cellStyle name="Normal 4 3 2 2 2 2 7 2" xfId="29696"/>
    <cellStyle name="Normal 5 3 2 2 2 2 7 2" xfId="29697"/>
    <cellStyle name="Normal 7 3 2 2 2 2 7 2" xfId="29698"/>
    <cellStyle name="Normal 2 6 2 2 2 7 2" xfId="29699"/>
    <cellStyle name="Normal 3 6 2 2 2 7 2" xfId="29700"/>
    <cellStyle name="Normal 4 5 2 2 2 7 2" xfId="29701"/>
    <cellStyle name="Normal 5 5 2 2 2 7 2" xfId="29702"/>
    <cellStyle name="Normal 7 5 2 2 2 7 2" xfId="29703"/>
    <cellStyle name="Normal 2 3 3 2 2 2 7 2" xfId="29704"/>
    <cellStyle name="Normal 3 3 3 2 2 2 7 2" xfId="29705"/>
    <cellStyle name="Normal 4 2 3 2 2 2 7 2" xfId="29706"/>
    <cellStyle name="Normal 5 2 3 2 2 2 7 2" xfId="29707"/>
    <cellStyle name="Normal 7 2 3 2 2 2 7 2" xfId="29708"/>
    <cellStyle name="Normal 2 4 3 2 2 2 7 2" xfId="29709"/>
    <cellStyle name="Normal 3 4 3 2 2 2 7 2" xfId="29710"/>
    <cellStyle name="Normal 4 3 3 2 2 2 7 2" xfId="29711"/>
    <cellStyle name="Normal 5 3 3 2 2 2 7 2" xfId="29712"/>
    <cellStyle name="Normal 7 3 3 2 2 2 7 2" xfId="29713"/>
    <cellStyle name="Normal 28 2 5 2" xfId="29714"/>
    <cellStyle name="Normal 2 3 7 7 2" xfId="29715"/>
    <cellStyle name="Normal 3 10 7 2" xfId="29716"/>
    <cellStyle name="Normal 4 9 7 2" xfId="29717"/>
    <cellStyle name="Normal 5 9 7 2" xfId="29718"/>
    <cellStyle name="Millares 4 7 2" xfId="29719"/>
    <cellStyle name="Normal 7 13 3 2" xfId="29720"/>
    <cellStyle name="Normal 7 2 7 7 2" xfId="29721"/>
    <cellStyle name="Normal 3 3 7 7 2" xfId="29722"/>
    <cellStyle name="Normal 4 2 7 7 2" xfId="29723"/>
    <cellStyle name="Normal 5 2 7 7 2" xfId="29724"/>
    <cellStyle name="Normal 2 4 5 3 7 2" xfId="29725"/>
    <cellStyle name="Normal 3 4 7 7 2" xfId="29726"/>
    <cellStyle name="Normal 4 3 7 7 2" xfId="29727"/>
    <cellStyle name="Normal 5 3 7 7 2" xfId="29728"/>
    <cellStyle name="Normal 7 3 7 7 2" xfId="29729"/>
    <cellStyle name="Normal 2 5 5 7 2" xfId="29730"/>
    <cellStyle name="Normal 3 5 5 7 2" xfId="29731"/>
    <cellStyle name="Normal 4 4 5 7 2" xfId="29732"/>
    <cellStyle name="Normal 5 4 5 7 2" xfId="29733"/>
    <cellStyle name="Normal 7 4 5 7 2" xfId="29734"/>
    <cellStyle name="Normal 2 3 2 5 7 2" xfId="29735"/>
    <cellStyle name="Normal 3 3 2 5 7 2" xfId="29736"/>
    <cellStyle name="Normal 4 2 2 5 7 2" xfId="29737"/>
    <cellStyle name="Normal 5 2 2 5 7 2" xfId="29738"/>
    <cellStyle name="Normal 7 2 2 5 7 2" xfId="29739"/>
    <cellStyle name="Normal 2 4 2 5 7 2" xfId="29740"/>
    <cellStyle name="Normal 3 4 2 5 7 2" xfId="29741"/>
    <cellStyle name="Normal 4 3 2 5 7 2" xfId="29742"/>
    <cellStyle name="Normal 5 3 2 5 7 2" xfId="29743"/>
    <cellStyle name="Normal 7 3 2 5 7 2" xfId="29744"/>
    <cellStyle name="Normal 2 6 5 7 2" xfId="29745"/>
    <cellStyle name="Normal 3 6 5 7 2" xfId="29746"/>
    <cellStyle name="Normal 4 5 5 7 2" xfId="29747"/>
    <cellStyle name="Normal 5 5 5 7 2" xfId="29748"/>
    <cellStyle name="Normal 7 5 5 7 2" xfId="29749"/>
    <cellStyle name="Normal 2 3 3 5 7 2" xfId="29750"/>
    <cellStyle name="Normal 3 3 3 5 7 2" xfId="29751"/>
    <cellStyle name="Normal 4 2 3 5 7 2" xfId="29752"/>
    <cellStyle name="Normal 5 2 3 5 7 2" xfId="29753"/>
    <cellStyle name="Normal 7 2 3 5 7 2" xfId="29754"/>
    <cellStyle name="Normal 2 4 3 5 7 2" xfId="29755"/>
    <cellStyle name="Normal 3 4 3 5 7 2" xfId="29756"/>
    <cellStyle name="Normal 4 3 3 5 7 2" xfId="29757"/>
    <cellStyle name="Normal 5 3 3 5 7 2" xfId="29758"/>
    <cellStyle name="Normal 7 3 3 5 7 2" xfId="29759"/>
    <cellStyle name="Normal 2 7 4 7 2" xfId="29760"/>
    <cellStyle name="Normal 3 7 4 7 2" xfId="29761"/>
    <cellStyle name="Normal 4 6 4 7 2" xfId="29762"/>
    <cellStyle name="Normal 5 6 4 7 2" xfId="29763"/>
    <cellStyle name="Normal 7 6 4 7 2" xfId="29764"/>
    <cellStyle name="Normal 2 3 4 4 7 2" xfId="29765"/>
    <cellStyle name="Normal 3 3 4 4 7 2" xfId="29766"/>
    <cellStyle name="Normal 4 2 4 4 7 2" xfId="29767"/>
    <cellStyle name="Normal 5 2 4 4 7 2" xfId="29768"/>
    <cellStyle name="Normal 7 2 4 4 7 2" xfId="29769"/>
    <cellStyle name="Normal 2 4 4 4 7 2" xfId="29770"/>
    <cellStyle name="Normal 3 4 4 4 7 2" xfId="29771"/>
    <cellStyle name="Normal 4 3 4 4 7 2" xfId="29772"/>
    <cellStyle name="Normal 5 3 4 4 7 2" xfId="29773"/>
    <cellStyle name="Normal 7 3 4 4 7 2" xfId="29774"/>
    <cellStyle name="Normal 2 5 2 4 7 2" xfId="29775"/>
    <cellStyle name="Normal 3 5 2 4 7 2" xfId="29776"/>
    <cellStyle name="Normal 4 4 2 4 7 2" xfId="29777"/>
    <cellStyle name="Normal 5 4 2 4 7 2" xfId="29778"/>
    <cellStyle name="Normal 7 4 2 4 7 2" xfId="29779"/>
    <cellStyle name="Normal 2 3 2 2 4 7 2" xfId="29780"/>
    <cellStyle name="Normal 3 3 2 2 4 7 2" xfId="29781"/>
    <cellStyle name="Normal 4 2 2 2 4 7 2" xfId="29782"/>
    <cellStyle name="Normal 5 2 2 2 4 7 2" xfId="29783"/>
    <cellStyle name="Normal 7 2 2 2 4 7 2" xfId="29784"/>
    <cellStyle name="Normal 2 4 2 2 4 7 2" xfId="29785"/>
    <cellStyle name="Normal 3 4 2 2 4 7 2" xfId="29786"/>
    <cellStyle name="Normal 4 3 2 2 4 7 2" xfId="29787"/>
    <cellStyle name="Normal 5 3 2 2 4 7 2" xfId="29788"/>
    <cellStyle name="Normal 7 3 2 2 4 7 2" xfId="29789"/>
    <cellStyle name="Normal 2 6 2 4 7 2" xfId="29790"/>
    <cellStyle name="Normal 3 6 2 4 7 2" xfId="29791"/>
    <cellStyle name="Normal 4 5 2 4 7 2" xfId="29792"/>
    <cellStyle name="Normal 5 5 2 4 7 2" xfId="29793"/>
    <cellStyle name="Normal 7 5 2 4 7 2" xfId="29794"/>
    <cellStyle name="Normal 2 3 3 2 4 7 2" xfId="29795"/>
    <cellStyle name="Normal 3 3 3 2 4 7 2" xfId="29796"/>
    <cellStyle name="Normal 4 2 3 2 4 7 2" xfId="29797"/>
    <cellStyle name="Normal 5 2 3 2 4 7 2" xfId="29798"/>
    <cellStyle name="Normal 7 2 3 2 4 7 2" xfId="29799"/>
    <cellStyle name="Normal 2 4 3 2 4 7 2" xfId="29800"/>
    <cellStyle name="Normal 3 4 3 2 4 7 2" xfId="29801"/>
    <cellStyle name="Normal 4 3 3 2 4 7 2" xfId="29802"/>
    <cellStyle name="Normal 5 3 3 2 4 7 2" xfId="29803"/>
    <cellStyle name="Normal 7 3 3 2 4 7 2" xfId="29804"/>
    <cellStyle name="Normal 2 8 3 7 2" xfId="29805"/>
    <cellStyle name="Normal 3 8 3 7 2" xfId="29806"/>
    <cellStyle name="Normal 4 7 3 7 2" xfId="29807"/>
    <cellStyle name="Normal 5 7 3 7 2" xfId="29808"/>
    <cellStyle name="Normal 7 7 3 7 2" xfId="29809"/>
    <cellStyle name="Normal 2 3 5 3 7 2" xfId="29810"/>
    <cellStyle name="Normal 3 3 5 3 7 2" xfId="29811"/>
    <cellStyle name="Normal 4 2 5 3 7 2" xfId="29812"/>
    <cellStyle name="Normal 5 2 5 3 7 2" xfId="29813"/>
    <cellStyle name="Normal 7 2 5 3 7 2" xfId="29814"/>
    <cellStyle name="Normal 3 4 5 3 7 2" xfId="29815"/>
    <cellStyle name="Normal 4 3 5 3 7 2" xfId="29816"/>
    <cellStyle name="Normal 5 3 5 3 7 2" xfId="29817"/>
    <cellStyle name="Normal 7 3 5 3 7 2" xfId="29818"/>
    <cellStyle name="Normal 2 5 3 3 7 2" xfId="29819"/>
    <cellStyle name="Normal 3 5 3 3 7 2" xfId="29820"/>
    <cellStyle name="Normal 4 4 3 3 7 2" xfId="29821"/>
    <cellStyle name="Normal 5 4 3 3 7 2" xfId="29822"/>
    <cellStyle name="Normal 7 4 3 3 7 2" xfId="29823"/>
    <cellStyle name="Normal 2 3 2 3 3 7 2" xfId="29824"/>
    <cellStyle name="Normal 3 3 2 3 3 7 2" xfId="29825"/>
    <cellStyle name="Normal 4 2 2 3 3 7 2" xfId="29826"/>
    <cellStyle name="Normal 5 2 2 3 3 7 2" xfId="29827"/>
    <cellStyle name="Normal 7 2 2 3 3 7 2" xfId="29828"/>
    <cellStyle name="Normal 2 4 2 3 3 7 2" xfId="29829"/>
    <cellStyle name="Normal 3 4 2 3 3 7 2" xfId="29830"/>
    <cellStyle name="Normal 4 3 2 3 3 7 2" xfId="29831"/>
    <cellStyle name="Normal 5 3 2 3 3 7 2" xfId="29832"/>
    <cellStyle name="Normal 7 3 2 3 3 7 2" xfId="29833"/>
    <cellStyle name="Normal 2 6 3 3 7 2" xfId="29834"/>
    <cellStyle name="Normal 3 6 3 3 7 2" xfId="29835"/>
    <cellStyle name="Normal 4 5 3 3 7 2" xfId="29836"/>
    <cellStyle name="Normal 5 5 3 3 7 2" xfId="29837"/>
    <cellStyle name="Normal 7 5 3 3 7 2" xfId="29838"/>
    <cellStyle name="Normal 2 3 3 3 3 7 2" xfId="29839"/>
    <cellStyle name="Normal 3 3 3 3 3 7 2" xfId="29840"/>
    <cellStyle name="Normal 4 2 3 3 3 7 2" xfId="29841"/>
    <cellStyle name="Normal 5 2 3 3 3 7 2" xfId="29842"/>
    <cellStyle name="Normal 7 2 3 3 3 7 2" xfId="29843"/>
    <cellStyle name="Normal 2 4 3 3 3 7 2" xfId="29844"/>
    <cellStyle name="Normal 3 4 3 3 3 7 2" xfId="29845"/>
    <cellStyle name="Normal 4 3 3 3 3 7 2" xfId="29846"/>
    <cellStyle name="Normal 5 3 3 3 3 7 2" xfId="29847"/>
    <cellStyle name="Normal 7 3 3 3 3 7 2" xfId="29848"/>
    <cellStyle name="Normal 2 7 2 3 7 2" xfId="29849"/>
    <cellStyle name="Normal 3 7 2 3 7 2" xfId="29850"/>
    <cellStyle name="Normal 4 6 2 3 7 2" xfId="29851"/>
    <cellStyle name="Normal 5 6 2 3 7 2" xfId="29852"/>
    <cellStyle name="Normal 7 6 2 3 7 2" xfId="29853"/>
    <cellStyle name="Normal 2 3 4 2 3 7 2" xfId="29854"/>
    <cellStyle name="Normal 3 3 4 2 3 7 2" xfId="29855"/>
    <cellStyle name="Normal 4 2 4 2 3 7 2" xfId="29856"/>
    <cellStyle name="Normal 5 2 4 2 3 7 2" xfId="29857"/>
    <cellStyle name="Normal 7 2 4 2 3 7 2" xfId="29858"/>
    <cellStyle name="Normal 2 4 4 2 3 7 2" xfId="29859"/>
    <cellStyle name="Normal 3 4 4 2 3 7 2" xfId="29860"/>
    <cellStyle name="Normal 4 3 4 2 3 7 2" xfId="29861"/>
    <cellStyle name="Normal 5 3 4 2 3 7 2" xfId="29862"/>
    <cellStyle name="Normal 7 3 4 2 3 7 2" xfId="29863"/>
    <cellStyle name="Normal 2 5 2 2 3 7 2" xfId="29864"/>
    <cellStyle name="Normal 3 5 2 2 3 7 2" xfId="29865"/>
    <cellStyle name="Normal 4 4 2 2 3 7 2" xfId="29866"/>
    <cellStyle name="Normal 5 4 2 2 3 7 2" xfId="29867"/>
    <cellStyle name="Normal 7 4 2 2 3 7 2" xfId="29868"/>
    <cellStyle name="Normal 2 3 2 2 2 3 7 2" xfId="29869"/>
    <cellStyle name="Normal 3 3 2 2 2 3 7 2" xfId="29870"/>
    <cellStyle name="Normal 4 2 2 2 2 3 7 2" xfId="29871"/>
    <cellStyle name="Normal 5 2 2 2 2 3 7 2" xfId="29872"/>
    <cellStyle name="Normal 7 2 2 2 2 3 7 2" xfId="29873"/>
    <cellStyle name="Normal 2 4 2 2 2 3 7 2" xfId="29874"/>
    <cellStyle name="Normal 3 4 2 2 2 3 7 2" xfId="29875"/>
    <cellStyle name="Normal 4 3 2 2 2 3 7 2" xfId="29876"/>
    <cellStyle name="Normal 5 3 2 2 2 3 7 2" xfId="29877"/>
    <cellStyle name="Normal 7 3 2 2 2 3 7 2" xfId="29878"/>
    <cellStyle name="Normal 2 6 2 2 3 7 2" xfId="29879"/>
    <cellStyle name="Normal 3 6 2 2 3 7 2" xfId="29880"/>
    <cellStyle name="Normal 4 5 2 2 3 7 2" xfId="29881"/>
    <cellStyle name="Normal 5 5 2 2 3 7 2" xfId="29882"/>
    <cellStyle name="Normal 7 5 2 2 3 7 2" xfId="29883"/>
    <cellStyle name="Normal 2 3 3 2 2 3 7 2" xfId="29884"/>
    <cellStyle name="Normal 3 3 3 2 2 3 7 2" xfId="29885"/>
    <cellStyle name="Normal 4 2 3 2 2 3 7 2" xfId="29886"/>
    <cellStyle name="Normal 5 2 3 2 2 3 7 2" xfId="29887"/>
    <cellStyle name="Normal 7 2 3 2 2 3 7 2" xfId="29888"/>
    <cellStyle name="Normal 2 4 3 2 2 3 7 2" xfId="29889"/>
    <cellStyle name="Normal 3 4 3 2 2 3 7 2" xfId="29890"/>
    <cellStyle name="Normal 4 3 3 2 2 3 7 2" xfId="29891"/>
    <cellStyle name="Normal 5 3 3 2 2 3 7 2" xfId="29892"/>
    <cellStyle name="Normal 7 3 3 2 2 3 7 2" xfId="29893"/>
    <cellStyle name="Normal 2 11 5 2" xfId="29894"/>
    <cellStyle name="Normal 3 11 5 2" xfId="29895"/>
    <cellStyle name="Normal 4 10 5 2" xfId="29896"/>
    <cellStyle name="Normal 5 10 5 2" xfId="29897"/>
    <cellStyle name="Normal 7 10 5 2" xfId="29898"/>
    <cellStyle name="Normal 2 3 8 5 2" xfId="29899"/>
    <cellStyle name="Normal 3 3 8 5 2" xfId="29900"/>
    <cellStyle name="Normal 4 2 8 5 2" xfId="29901"/>
    <cellStyle name="Normal 5 2 8 5 2" xfId="29902"/>
    <cellStyle name="Normal 7 2 8 5 2" xfId="29903"/>
    <cellStyle name="Normal 2 4 8 5 2" xfId="29904"/>
    <cellStyle name="Normal 3 4 8 5 2" xfId="29905"/>
    <cellStyle name="Normal 4 3 8 5 2" xfId="29906"/>
    <cellStyle name="Normal 5 3 8 5 2" xfId="29907"/>
    <cellStyle name="Normal 7 3 8 5 2" xfId="29908"/>
    <cellStyle name="Normal 2 5 6 5 2" xfId="29909"/>
    <cellStyle name="Normal 3 5 6 5 2" xfId="29910"/>
    <cellStyle name="Normal 4 4 6 5 2" xfId="29911"/>
    <cellStyle name="Normal 5 4 6 5 2" xfId="29912"/>
    <cellStyle name="Normal 7 4 6 5 2" xfId="29913"/>
    <cellStyle name="Normal 2 3 2 6 5 2" xfId="29914"/>
    <cellStyle name="Normal 3 3 2 6 5 2" xfId="29915"/>
    <cellStyle name="Normal 4 2 2 6 5 2" xfId="29916"/>
    <cellStyle name="Normal 5 2 2 6 5 2" xfId="29917"/>
    <cellStyle name="Normal 7 2 2 6 5 2" xfId="29918"/>
    <cellStyle name="Normal 2 4 2 6 5 2" xfId="29919"/>
    <cellStyle name="Normal 3 4 2 6 5 2" xfId="29920"/>
    <cellStyle name="Normal 4 3 2 6 5 2" xfId="29921"/>
    <cellStyle name="Normal 5 3 2 6 5 2" xfId="29922"/>
    <cellStyle name="Normal 7 3 2 6 5 2" xfId="29923"/>
    <cellStyle name="Normal 2 6 6 5 2" xfId="29924"/>
    <cellStyle name="Normal 3 6 6 5 2" xfId="29925"/>
    <cellStyle name="Normal 4 5 6 5 2" xfId="29926"/>
    <cellStyle name="Normal 5 5 6 5 2" xfId="29927"/>
    <cellStyle name="Normal 7 5 6 5 2" xfId="29928"/>
    <cellStyle name="Normal 2 3 3 6 5 2" xfId="29929"/>
    <cellStyle name="Normal 3 3 3 6 5 2" xfId="29930"/>
    <cellStyle name="Normal 4 2 3 6 5 2" xfId="29931"/>
    <cellStyle name="Normal 5 2 3 6 5 2" xfId="29932"/>
    <cellStyle name="Normal 7 2 3 6 5 2" xfId="29933"/>
    <cellStyle name="Normal 2 4 3 6 5 2" xfId="29934"/>
    <cellStyle name="Normal 3 4 3 6 5 2" xfId="29935"/>
    <cellStyle name="Normal 4 3 3 6 5 2" xfId="29936"/>
    <cellStyle name="Normal 5 3 3 6 5 2" xfId="29937"/>
    <cellStyle name="Normal 7 3 3 6 5 2" xfId="29938"/>
    <cellStyle name="Normal 2 7 5 5 2" xfId="29939"/>
    <cellStyle name="Normal 3 7 5 5 2" xfId="29940"/>
    <cellStyle name="Normal 4 6 5 5 2" xfId="29941"/>
    <cellStyle name="Normal 5 6 5 5 2" xfId="29942"/>
    <cellStyle name="Normal 7 6 5 5 2" xfId="29943"/>
    <cellStyle name="Normal 2 3 4 5 5 2" xfId="29944"/>
    <cellStyle name="Normal 3 3 4 5 5 2" xfId="29945"/>
    <cellStyle name="Normal 4 2 4 5 5 2" xfId="29946"/>
    <cellStyle name="Normal 5 2 4 5 5 2" xfId="29947"/>
    <cellStyle name="Normal 7 2 4 5 5 2" xfId="29948"/>
    <cellStyle name="Normal 2 4 4 5 5 2" xfId="29949"/>
    <cellStyle name="Normal 3 4 4 5 5 2" xfId="29950"/>
    <cellStyle name="Normal 4 3 4 5 5 2" xfId="29951"/>
    <cellStyle name="Normal 5 3 4 5 5 2" xfId="29952"/>
    <cellStyle name="Normal 7 3 4 5 5 2" xfId="29953"/>
    <cellStyle name="Normal 2 5 2 5 5 2" xfId="29954"/>
    <cellStyle name="Normal 3 5 2 5 5 2" xfId="29955"/>
    <cellStyle name="Normal 4 4 2 5 5 2" xfId="29956"/>
    <cellStyle name="Normal 5 4 2 5 5 2" xfId="29957"/>
    <cellStyle name="Normal 7 4 2 5 5 2" xfId="29958"/>
    <cellStyle name="Normal 2 3 2 2 5 5 2" xfId="29959"/>
    <cellStyle name="Normal 3 3 2 2 5 5 2" xfId="29960"/>
    <cellStyle name="Normal 4 2 2 2 5 5 2" xfId="29961"/>
    <cellStyle name="Normal 5 2 2 2 5 5 2" xfId="29962"/>
    <cellStyle name="Normal 7 2 2 2 5 5 2" xfId="29963"/>
    <cellStyle name="Normal 2 4 2 2 5 5 2" xfId="29964"/>
    <cellStyle name="Normal 3 4 2 2 5 5 2" xfId="29965"/>
    <cellStyle name="Normal 4 3 2 2 5 5 2" xfId="29966"/>
    <cellStyle name="Normal 5 3 2 2 5 5 2" xfId="29967"/>
    <cellStyle name="Normal 7 3 2 2 5 5 2" xfId="29968"/>
    <cellStyle name="Normal 2 6 2 5 5 2" xfId="29969"/>
    <cellStyle name="Normal 3 6 2 5 5 2" xfId="29970"/>
    <cellStyle name="Normal 4 5 2 5 5 2" xfId="29971"/>
    <cellStyle name="Normal 5 5 2 5 5 2" xfId="29972"/>
    <cellStyle name="Normal 7 5 2 5 5 2" xfId="29973"/>
    <cellStyle name="Normal 2 3 3 2 5 5 2" xfId="29974"/>
    <cellStyle name="Normal 3 3 3 2 5 5 2" xfId="29975"/>
    <cellStyle name="Normal 4 2 3 2 5 5 2" xfId="29976"/>
    <cellStyle name="Normal 5 2 3 2 5 5 2" xfId="29977"/>
    <cellStyle name="Normal 7 2 3 2 5 5 2" xfId="29978"/>
    <cellStyle name="Normal 2 4 3 2 5 5 2" xfId="29979"/>
    <cellStyle name="Normal 3 4 3 2 5 5 2" xfId="29980"/>
    <cellStyle name="Normal 4 3 3 2 5 5 2" xfId="29981"/>
    <cellStyle name="Normal 5 3 3 2 5 5 2" xfId="29982"/>
    <cellStyle name="Normal 7 3 3 2 5 5 2" xfId="29983"/>
    <cellStyle name="Normal 2 8 4 5 2" xfId="29984"/>
    <cellStyle name="Normal 3 8 4 5 2" xfId="29985"/>
    <cellStyle name="Normal 4 7 4 5 2" xfId="29986"/>
    <cellStyle name="Normal 5 7 4 5 2" xfId="29987"/>
    <cellStyle name="Normal 7 7 4 5 2" xfId="29988"/>
    <cellStyle name="Normal 2 3 5 4 5 2" xfId="29989"/>
    <cellStyle name="Normal 3 3 5 4 5 2" xfId="29990"/>
    <cellStyle name="Normal 4 2 5 4 5 2" xfId="29991"/>
    <cellStyle name="Normal 5 2 5 4 5 2" xfId="29992"/>
    <cellStyle name="Normal 7 2 5 4 5 2" xfId="29993"/>
    <cellStyle name="Normal 2 4 5 4 5 2" xfId="29994"/>
    <cellStyle name="Normal 3 4 5 4 5 2" xfId="29995"/>
    <cellStyle name="Normal 4 3 5 4 5 2" xfId="29996"/>
    <cellStyle name="Normal 5 3 5 4 5 2" xfId="29997"/>
    <cellStyle name="Normal 7 3 5 4 5 2" xfId="29998"/>
    <cellStyle name="Normal 2 5 3 4 5 2" xfId="29999"/>
    <cellStyle name="Normal 3 5 3 4 5 2" xfId="30000"/>
    <cellStyle name="Normal 4 4 3 4 5 2" xfId="30001"/>
    <cellStyle name="Normal 5 4 3 4 5 2" xfId="30002"/>
    <cellStyle name="Normal 7 4 3 4 5 2" xfId="30003"/>
    <cellStyle name="Normal 2 3 2 3 4 5 2" xfId="30004"/>
    <cellStyle name="Normal 3 3 2 3 4 5 2" xfId="30005"/>
    <cellStyle name="Normal 4 2 2 3 4 5 2" xfId="30006"/>
    <cellStyle name="Normal 5 2 2 3 4 5 2" xfId="30007"/>
    <cellStyle name="Normal 7 2 2 3 4 5 2" xfId="30008"/>
    <cellStyle name="Normal 2 4 2 3 4 5 2" xfId="30009"/>
    <cellStyle name="Normal 3 4 2 3 4 5 2" xfId="30010"/>
    <cellStyle name="Normal 4 3 2 3 4 5 2" xfId="30011"/>
    <cellStyle name="Normal 5 3 2 3 4 5 2" xfId="30012"/>
    <cellStyle name="Normal 7 3 2 3 4 5 2" xfId="30013"/>
    <cellStyle name="Normal 2 6 3 4 5 2" xfId="30014"/>
    <cellStyle name="Normal 3 6 3 4 5 2" xfId="30015"/>
    <cellStyle name="Normal 4 5 3 4 5 2" xfId="30016"/>
    <cellStyle name="Normal 5 5 3 4 5 2" xfId="30017"/>
    <cellStyle name="Normal 7 5 3 4 5 2" xfId="30018"/>
    <cellStyle name="Normal 2 3 3 3 4 5 2" xfId="30019"/>
    <cellStyle name="Normal 3 3 3 3 4 5 2" xfId="30020"/>
    <cellStyle name="Normal 4 2 3 3 4 5 2" xfId="30021"/>
    <cellStyle name="Normal 5 2 3 3 4 5 2" xfId="30022"/>
    <cellStyle name="Normal 7 2 3 3 4 5 2" xfId="30023"/>
    <cellStyle name="Normal 2 4 3 3 4 5 2" xfId="30024"/>
    <cellStyle name="Normal 3 4 3 3 4 5 2" xfId="30025"/>
    <cellStyle name="Normal 4 3 3 3 4 5 2" xfId="30026"/>
    <cellStyle name="Normal 5 3 3 3 4 5 2" xfId="30027"/>
    <cellStyle name="Normal 7 3 3 3 4 5 2" xfId="30028"/>
    <cellStyle name="Normal 2 7 2 4 5 2" xfId="30029"/>
    <cellStyle name="Normal 3 7 2 4 5 2" xfId="30030"/>
    <cellStyle name="Normal 4 6 2 4 5 2" xfId="30031"/>
    <cellStyle name="Normal 5 6 2 4 5 2" xfId="30032"/>
    <cellStyle name="Normal 7 6 2 4 5 2" xfId="30033"/>
    <cellStyle name="Normal 2 3 4 2 4 5 2" xfId="30034"/>
    <cellStyle name="Normal 3 3 4 2 4 5 2" xfId="30035"/>
    <cellStyle name="Normal 4 2 4 2 4 5 2" xfId="30036"/>
    <cellStyle name="Normal 5 2 4 2 4 5 2" xfId="30037"/>
    <cellStyle name="Normal 7 2 4 2 4 5 2" xfId="30038"/>
    <cellStyle name="Normal 2 4 4 2 4 5 2" xfId="30039"/>
    <cellStyle name="Normal 3 4 4 2 4 5 2" xfId="30040"/>
    <cellStyle name="Normal 4 3 4 2 4 5 2" xfId="30041"/>
    <cellStyle name="Normal 5 3 4 2 4 5 2" xfId="30042"/>
    <cellStyle name="Normal 7 3 4 2 4 5 2" xfId="30043"/>
    <cellStyle name="Normal 2 5 2 2 4 5 2" xfId="30044"/>
    <cellStyle name="Normal 3 5 2 2 4 5 2" xfId="30045"/>
    <cellStyle name="Normal 4 4 2 2 4 5 2" xfId="30046"/>
    <cellStyle name="Normal 5 4 2 2 4 5 2" xfId="30047"/>
    <cellStyle name="Normal 7 4 2 2 4 5 2" xfId="30048"/>
    <cellStyle name="Normal 2 3 2 2 2 4 5 2" xfId="30049"/>
    <cellStyle name="Normal 3 3 2 2 2 4 5 2" xfId="30050"/>
    <cellStyle name="Normal 4 2 2 2 2 4 5 2" xfId="30051"/>
    <cellStyle name="Normal 5 2 2 2 2 4 5 2" xfId="30052"/>
    <cellStyle name="Normal 7 2 2 2 2 4 5 2" xfId="30053"/>
    <cellStyle name="Normal 2 4 2 2 2 4 5 2" xfId="30054"/>
    <cellStyle name="Normal 3 4 2 2 2 4 5 2" xfId="30055"/>
    <cellStyle name="Normal 4 3 2 2 2 4 5 2" xfId="30056"/>
    <cellStyle name="Normal 5 3 2 2 2 4 5 2" xfId="30057"/>
    <cellStyle name="Normal 7 3 2 2 2 4 5 2" xfId="30058"/>
    <cellStyle name="Normal 2 6 2 2 4 5 2" xfId="30059"/>
    <cellStyle name="Normal 3 6 2 2 4 5 2" xfId="30060"/>
    <cellStyle name="Normal 4 5 2 2 4 5 2" xfId="30061"/>
    <cellStyle name="Normal 5 5 2 2 4 5 2" xfId="30062"/>
    <cellStyle name="Normal 7 5 2 2 4 5 2" xfId="30063"/>
    <cellStyle name="Normal 2 3 3 2 2 4 5 2" xfId="30064"/>
    <cellStyle name="Normal 3 3 3 2 2 4 5 2" xfId="30065"/>
    <cellStyle name="Normal 4 2 3 2 2 4 5 2" xfId="30066"/>
    <cellStyle name="Normal 5 2 3 2 2 4 5 2" xfId="30067"/>
    <cellStyle name="Normal 7 2 3 2 2 4 5 2" xfId="30068"/>
    <cellStyle name="Normal 2 4 3 2 2 4 5 2" xfId="30069"/>
    <cellStyle name="Normal 3 4 3 2 2 4 5 2" xfId="30070"/>
    <cellStyle name="Normal 4 3 3 2 2 4 5 2" xfId="30071"/>
    <cellStyle name="Normal 5 3 3 2 2 4 5 2" xfId="30072"/>
    <cellStyle name="Normal 7 3 3 2 2 4 5 2" xfId="30073"/>
    <cellStyle name="Normal 2 9 2 5 2" xfId="30074"/>
    <cellStyle name="Normal 3 9 2 5 2" xfId="30075"/>
    <cellStyle name="Normal 4 8 2 5 2" xfId="30076"/>
    <cellStyle name="Normal 5 8 2 5 2" xfId="30077"/>
    <cellStyle name="Normal 7 8 2 5 2" xfId="30078"/>
    <cellStyle name="Normal 2 3 6 2 5 2" xfId="30079"/>
    <cellStyle name="Normal 3 3 6 2 5 2" xfId="30080"/>
    <cellStyle name="Normal 4 2 6 2 5 2" xfId="30081"/>
    <cellStyle name="Normal 5 2 6 2 5 2" xfId="30082"/>
    <cellStyle name="Normal 7 2 6 2 5 2" xfId="30083"/>
    <cellStyle name="Normal 2 4 6 2 5 2" xfId="30084"/>
    <cellStyle name="Normal 3 4 6 2 5 2" xfId="30085"/>
    <cellStyle name="Normal 4 3 6 2 5 2" xfId="30086"/>
    <cellStyle name="Normal 5 3 6 2 5 2" xfId="30087"/>
    <cellStyle name="Normal 7 3 6 2 5 2" xfId="30088"/>
    <cellStyle name="Normal 2 5 4 2 5 2" xfId="30089"/>
    <cellStyle name="Normal 3 5 4 2 5 2" xfId="30090"/>
    <cellStyle name="Normal 4 4 4 2 5 2" xfId="30091"/>
    <cellStyle name="Normal 5 4 4 2 5 2" xfId="30092"/>
    <cellStyle name="Normal 7 4 4 2 5 2" xfId="30093"/>
    <cellStyle name="Normal 2 3 2 4 2 5 2" xfId="30094"/>
    <cellStyle name="Normal 3 3 2 4 2 5 2" xfId="30095"/>
    <cellStyle name="Normal 4 2 2 4 2 5 2" xfId="30096"/>
    <cellStyle name="Normal 5 2 2 4 2 5 2" xfId="30097"/>
    <cellStyle name="Normal 7 2 2 4 2 5 2" xfId="30098"/>
    <cellStyle name="Normal 2 4 2 4 2 5 2" xfId="30099"/>
    <cellStyle name="Normal 3 4 2 4 2 5 2" xfId="30100"/>
    <cellStyle name="Normal 4 3 2 4 2 5 2" xfId="30101"/>
    <cellStyle name="Normal 5 3 2 4 2 5 2" xfId="30102"/>
    <cellStyle name="Normal 7 3 2 4 2 5 2" xfId="30103"/>
    <cellStyle name="Normal 2 6 4 2 5 2" xfId="30104"/>
    <cellStyle name="Normal 3 6 4 2 5 2" xfId="30105"/>
    <cellStyle name="Normal 4 5 4 2 5 2" xfId="30106"/>
    <cellStyle name="Normal 5 5 4 2 5 2" xfId="30107"/>
    <cellStyle name="Normal 7 5 4 2 5 2" xfId="30108"/>
    <cellStyle name="Normal 2 3 3 4 2 5 2" xfId="30109"/>
    <cellStyle name="Normal 3 3 3 4 2 5 2" xfId="30110"/>
    <cellStyle name="Normal 4 2 3 4 2 5 2" xfId="30111"/>
    <cellStyle name="Normal 5 2 3 4 2 5 2" xfId="30112"/>
    <cellStyle name="Normal 7 2 3 4 2 5 2" xfId="30113"/>
    <cellStyle name="Normal 2 4 3 4 2 5 2" xfId="30114"/>
    <cellStyle name="Normal 3 4 3 4 2 5 2" xfId="30115"/>
    <cellStyle name="Normal 4 3 3 4 2 5 2" xfId="30116"/>
    <cellStyle name="Normal 5 3 3 4 2 5 2" xfId="30117"/>
    <cellStyle name="Normal 7 3 3 4 2 5 2" xfId="30118"/>
    <cellStyle name="Normal 2 7 3 2 5 2" xfId="30119"/>
    <cellStyle name="Normal 3 7 3 2 5 2" xfId="30120"/>
    <cellStyle name="Normal 4 6 3 2 5 2" xfId="30121"/>
    <cellStyle name="Normal 5 6 3 2 5 2" xfId="30122"/>
    <cellStyle name="Normal 7 6 3 2 5 2" xfId="30123"/>
    <cellStyle name="Normal 2 3 4 3 2 5 2" xfId="30124"/>
    <cellStyle name="Normal 3 3 4 3 2 5 2" xfId="30125"/>
    <cellStyle name="Normal 4 2 4 3 2 5 2" xfId="30126"/>
    <cellStyle name="Normal 5 2 4 3 2 5 2" xfId="30127"/>
    <cellStyle name="Normal 7 2 4 3 2 5 2" xfId="30128"/>
    <cellStyle name="Normal 2 4 4 3 2 5 2" xfId="30129"/>
    <cellStyle name="Normal 3 4 4 3 2 5 2" xfId="30130"/>
    <cellStyle name="Normal 4 3 4 3 2 5 2" xfId="30131"/>
    <cellStyle name="Normal 5 3 4 3 2 5 2" xfId="30132"/>
    <cellStyle name="Normal 7 3 4 3 2 5 2" xfId="30133"/>
    <cellStyle name="Normal 2 5 2 3 2 5 2" xfId="30134"/>
    <cellStyle name="Normal 3 5 2 3 2 5 2" xfId="30135"/>
    <cellStyle name="Normal 4 4 2 3 2 5 2" xfId="30136"/>
    <cellStyle name="Normal 5 4 2 3 2 5 2" xfId="30137"/>
    <cellStyle name="Normal 7 4 2 3 2 5 2" xfId="30138"/>
    <cellStyle name="Normal 2 3 2 2 3 2 5 2" xfId="30139"/>
    <cellStyle name="Normal 3 3 2 2 3 2 5 2" xfId="30140"/>
    <cellStyle name="Normal 4 2 2 2 3 2 5 2" xfId="30141"/>
    <cellStyle name="Normal 5 2 2 2 3 2 5 2" xfId="30142"/>
    <cellStyle name="Normal 7 2 2 2 3 2 5 2" xfId="30143"/>
    <cellStyle name="Normal 2 4 2 2 3 2 5 2" xfId="30144"/>
    <cellStyle name="Normal 3 4 2 2 3 2 5 2" xfId="30145"/>
    <cellStyle name="Normal 4 3 2 2 3 2 5 2" xfId="30146"/>
    <cellStyle name="Normal 5 3 2 2 3 2 5 2" xfId="30147"/>
    <cellStyle name="Normal 7 3 2 2 3 2 5 2" xfId="30148"/>
    <cellStyle name="Normal 2 6 2 3 2 5 2" xfId="30149"/>
    <cellStyle name="Normal 3 6 2 3 2 5 2" xfId="30150"/>
    <cellStyle name="Normal 4 5 2 3 2 5 2" xfId="30151"/>
    <cellStyle name="Normal 5 5 2 3 2 5 2" xfId="30152"/>
    <cellStyle name="Normal 7 5 2 3 2 5 2" xfId="30153"/>
    <cellStyle name="Normal 2 3 3 2 3 2 5 2" xfId="30154"/>
    <cellStyle name="Normal 3 3 3 2 3 2 5 2" xfId="30155"/>
    <cellStyle name="Normal 4 2 3 2 3 2 5 2" xfId="30156"/>
    <cellStyle name="Normal 5 2 3 2 3 2 5 2" xfId="30157"/>
    <cellStyle name="Normal 7 2 3 2 3 2 5 2" xfId="30158"/>
    <cellStyle name="Normal 2 4 3 2 3 2 5 2" xfId="30159"/>
    <cellStyle name="Normal 3 4 3 2 3 2 5 2" xfId="30160"/>
    <cellStyle name="Normal 4 3 3 2 3 2 5 2" xfId="30161"/>
    <cellStyle name="Normal 5 3 3 2 3 2 5 2" xfId="30162"/>
    <cellStyle name="Normal 7 3 3 2 3 2 5 2" xfId="30163"/>
    <cellStyle name="Normal 2 8 2 2 5 2" xfId="30164"/>
    <cellStyle name="Normal 3 8 2 2 5 2" xfId="30165"/>
    <cellStyle name="Normal 4 7 2 2 5 2" xfId="30166"/>
    <cellStyle name="Normal 5 7 2 2 5 2" xfId="30167"/>
    <cellStyle name="Normal 7 7 2 2 5 2" xfId="30168"/>
    <cellStyle name="Normal 2 3 5 2 2 5 2" xfId="30169"/>
    <cellStyle name="Normal 3 3 5 2 2 5 2" xfId="30170"/>
    <cellStyle name="Normal 4 2 5 2 2 5 2" xfId="30171"/>
    <cellStyle name="Normal 5 2 5 2 2 5 2" xfId="30172"/>
    <cellStyle name="Normal 7 2 5 2 2 5 2" xfId="30173"/>
    <cellStyle name="Normal 2 4 5 2 2 5 2" xfId="30174"/>
    <cellStyle name="Normal 3 4 5 2 2 5 2" xfId="30175"/>
    <cellStyle name="Normal 4 3 5 2 2 5 2" xfId="30176"/>
    <cellStyle name="Normal 5 3 5 2 2 5 2" xfId="30177"/>
    <cellStyle name="Normal 7 3 5 2 2 5 2" xfId="30178"/>
    <cellStyle name="Normal 2 5 3 2 2 5 2" xfId="30179"/>
    <cellStyle name="Normal 3 5 3 2 2 5 2" xfId="30180"/>
    <cellStyle name="Normal 4 4 3 2 2 5 2" xfId="30181"/>
    <cellStyle name="Normal 5 4 3 2 2 5 2" xfId="30182"/>
    <cellStyle name="Normal 7 4 3 2 2 5 2" xfId="30183"/>
    <cellStyle name="Normal 2 3 2 3 2 2 5 2" xfId="30184"/>
    <cellStyle name="Normal 3 3 2 3 2 2 5 2" xfId="30185"/>
    <cellStyle name="Normal 4 2 2 3 2 2 5 2" xfId="30186"/>
    <cellStyle name="Normal 5 2 2 3 2 2 5 2" xfId="30187"/>
    <cellStyle name="Normal 7 2 2 3 2 2 5 2" xfId="30188"/>
    <cellStyle name="Normal 2 4 2 3 2 2 5 2" xfId="30189"/>
    <cellStyle name="Normal 3 4 2 3 2 2 5 2" xfId="30190"/>
    <cellStyle name="Normal 4 3 2 3 2 2 5 2" xfId="30191"/>
    <cellStyle name="Normal 5 3 2 3 2 2 5 2" xfId="30192"/>
    <cellStyle name="Normal 7 3 2 3 2 2 5 2" xfId="30193"/>
    <cellStyle name="Normal 2 6 3 2 2 5 2" xfId="30194"/>
    <cellStyle name="Normal 3 6 3 2 2 5 2" xfId="30195"/>
    <cellStyle name="Normal 4 5 3 2 2 5 2" xfId="30196"/>
    <cellStyle name="Normal 5 5 3 2 2 5 2" xfId="30197"/>
    <cellStyle name="Normal 7 5 3 2 2 5 2" xfId="30198"/>
    <cellStyle name="Normal 2 3 3 3 2 2 5 2" xfId="30199"/>
    <cellStyle name="Normal 3 3 3 3 2 2 5 2" xfId="30200"/>
    <cellStyle name="Normal 4 2 3 3 2 2 5 2" xfId="30201"/>
    <cellStyle name="Normal 5 2 3 3 2 2 5 2" xfId="30202"/>
    <cellStyle name="Normal 7 2 3 3 2 2 5 2" xfId="30203"/>
    <cellStyle name="Normal 2 4 3 3 2 2 5 2" xfId="30204"/>
    <cellStyle name="Normal 3 4 3 3 2 2 5 2" xfId="30205"/>
    <cellStyle name="Normal 4 3 3 3 2 2 5 2" xfId="30206"/>
    <cellStyle name="Normal 5 3 3 3 2 2 5 2" xfId="30207"/>
    <cellStyle name="Normal 7 3 3 3 2 2 5 2" xfId="30208"/>
    <cellStyle name="Normal 2 7 2 2 2 5 2" xfId="30209"/>
    <cellStyle name="Normal 3 7 2 2 2 5 2" xfId="30210"/>
    <cellStyle name="Normal 4 6 2 2 2 5 2" xfId="30211"/>
    <cellStyle name="Normal 5 6 2 2 2 5 2" xfId="30212"/>
    <cellStyle name="Normal 7 6 2 2 2 5 2" xfId="30213"/>
    <cellStyle name="Normal 2 3 4 2 2 2 5 2" xfId="30214"/>
    <cellStyle name="Normal 3 3 4 2 2 2 5 2" xfId="30215"/>
    <cellStyle name="Normal 4 2 4 2 2 2 5 2" xfId="30216"/>
    <cellStyle name="Normal 5 2 4 2 2 2 5 2" xfId="30217"/>
    <cellStyle name="Normal 7 2 4 2 2 2 5 2" xfId="30218"/>
    <cellStyle name="Normal 2 4 4 2 2 2 5 2" xfId="30219"/>
    <cellStyle name="Normal 3 4 4 2 2 2 5 2" xfId="30220"/>
    <cellStyle name="Normal 4 3 4 2 2 2 5 2" xfId="30221"/>
    <cellStyle name="Normal 5 3 4 2 2 2 5 2" xfId="30222"/>
    <cellStyle name="Normal 7 3 4 2 2 2 5 2" xfId="30223"/>
    <cellStyle name="Normal 2 5 2 2 2 2 5 2" xfId="30224"/>
    <cellStyle name="Normal 3 5 2 2 2 2 5 2" xfId="30225"/>
    <cellStyle name="Normal 4 4 2 2 2 2 5 2" xfId="30226"/>
    <cellStyle name="Normal 5 4 2 2 2 2 5 2" xfId="30227"/>
    <cellStyle name="Normal 7 4 2 2 2 2 5 2" xfId="30228"/>
    <cellStyle name="Normal 2 3 2 2 2 2 2 5 2" xfId="30229"/>
    <cellStyle name="Normal 3 3 2 2 2 2 2 5 2" xfId="30230"/>
    <cellStyle name="Normal 4 2 2 2 2 2 2 5 2" xfId="30231"/>
    <cellStyle name="Normal 5 2 2 2 2 2 2 5 2" xfId="30232"/>
    <cellStyle name="Normal 7 2 2 2 2 2 2 5 2" xfId="30233"/>
    <cellStyle name="Normal 2 4 2 2 2 2 2 5 2" xfId="30234"/>
    <cellStyle name="Normal 3 4 2 2 2 2 2 5 2" xfId="30235"/>
    <cellStyle name="Normal 4 3 2 2 2 2 2 5 2" xfId="30236"/>
    <cellStyle name="Normal 5 3 2 2 2 2 2 5 2" xfId="30237"/>
    <cellStyle name="Normal 7 3 2 2 2 2 2 5 2" xfId="30238"/>
    <cellStyle name="Normal 2 6 2 2 2 2 5 2" xfId="30239"/>
    <cellStyle name="Normal 3 6 2 2 2 2 5 2" xfId="30240"/>
    <cellStyle name="Normal 4 5 2 2 2 2 5 2" xfId="30241"/>
    <cellStyle name="Normal 5 5 2 2 2 2 5 2" xfId="30242"/>
    <cellStyle name="Normal 7 5 2 2 2 2 5 2" xfId="30243"/>
    <cellStyle name="Normal 2 3 3 2 2 2 2 5 2" xfId="30244"/>
    <cellStyle name="Normal 3 3 3 2 2 2 2 5 2" xfId="30245"/>
    <cellStyle name="Normal 4 2 3 2 2 2 2 5 2" xfId="30246"/>
    <cellStyle name="Normal 5 2 3 2 2 2 2 5 2" xfId="30247"/>
    <cellStyle name="Normal 7 2 3 2 2 2 2 5 2" xfId="30248"/>
    <cellStyle name="Normal 2 4 3 2 2 2 2 5 2" xfId="30249"/>
    <cellStyle name="Normal 3 4 3 2 2 2 2 5 2" xfId="30250"/>
    <cellStyle name="Normal 4 3 3 2 2 2 2 5 2" xfId="30251"/>
    <cellStyle name="Normal 5 3 3 2 2 2 2 5 2" xfId="30252"/>
    <cellStyle name="Normal 7 3 3 2 2 2 2 5 2" xfId="30253"/>
    <cellStyle name="Normal 2 3 7 2 5 2" xfId="30254"/>
    <cellStyle name="Normal 3 10 2 5 2" xfId="30255"/>
    <cellStyle name="Normal 4 9 2 5 2" xfId="30256"/>
    <cellStyle name="Normal 5 9 2 5 2" xfId="30257"/>
    <cellStyle name="Millares 4 2 5 2" xfId="30258"/>
    <cellStyle name="Normal 7 2 7 2 5 2" xfId="30259"/>
    <cellStyle name="Normal 3 3 7 2 5 2" xfId="30260"/>
    <cellStyle name="Normal 4 2 7 2 5 2" xfId="30261"/>
    <cellStyle name="Normal 5 2 7 2 5 2" xfId="30262"/>
    <cellStyle name="Normal 2 4 5 3 2 5 2" xfId="30263"/>
    <cellStyle name="Normal 3 4 7 2 5 2" xfId="30264"/>
    <cellStyle name="Normal 4 3 7 2 5 2" xfId="30265"/>
    <cellStyle name="Normal 5 3 7 2 5 2" xfId="30266"/>
    <cellStyle name="Normal 7 3 7 2 5 2" xfId="30267"/>
    <cellStyle name="Normal 2 5 5 2 5 2" xfId="30268"/>
    <cellStyle name="Normal 3 5 5 2 5 2" xfId="30269"/>
    <cellStyle name="Normal 4 4 5 2 5 2" xfId="30270"/>
    <cellStyle name="Normal 5 4 5 2 5 2" xfId="30271"/>
    <cellStyle name="Normal 7 4 5 2 5 2" xfId="30272"/>
    <cellStyle name="Normal 2 3 2 5 2 5 2" xfId="30273"/>
    <cellStyle name="Normal 3 3 2 5 2 5 2" xfId="30274"/>
    <cellStyle name="Normal 4 2 2 5 2 5 2" xfId="30275"/>
    <cellStyle name="Normal 5 2 2 5 2 5 2" xfId="30276"/>
    <cellStyle name="Normal 7 2 2 5 2 5 2" xfId="30277"/>
    <cellStyle name="Normal 2 4 2 5 2 5 2" xfId="30278"/>
    <cellStyle name="Normal 3 4 2 5 2 5 2" xfId="30279"/>
    <cellStyle name="Normal 4 3 2 5 2 5 2" xfId="30280"/>
    <cellStyle name="Normal 5 3 2 5 2 5 2" xfId="30281"/>
    <cellStyle name="Normal 7 3 2 5 2 5 2" xfId="30282"/>
    <cellStyle name="Normal 2 6 5 2 5 2" xfId="30283"/>
    <cellStyle name="Normal 3 6 5 2 5 2" xfId="30284"/>
    <cellStyle name="Normal 4 5 5 2 5 2" xfId="30285"/>
    <cellStyle name="Normal 5 5 5 2 5 2" xfId="30286"/>
    <cellStyle name="Normal 7 5 5 2 5 2" xfId="30287"/>
    <cellStyle name="Normal 2 3 3 5 2 5 2" xfId="30288"/>
    <cellStyle name="Normal 3 3 3 5 2 5 2" xfId="30289"/>
    <cellStyle name="Normal 4 2 3 5 2 5 2" xfId="30290"/>
    <cellStyle name="Normal 5 2 3 5 2 5 2" xfId="30291"/>
    <cellStyle name="Normal 7 2 3 5 2 5 2" xfId="30292"/>
    <cellStyle name="Normal 2 4 3 5 2 5 2" xfId="30293"/>
    <cellStyle name="Normal 3 4 3 5 2 5 2" xfId="30294"/>
    <cellStyle name="Normal 4 3 3 5 2 5 2" xfId="30295"/>
    <cellStyle name="Normal 5 3 3 5 2 5 2" xfId="30296"/>
    <cellStyle name="Normal 7 3 3 5 2 5 2" xfId="30297"/>
    <cellStyle name="Normal 2 7 4 2 5 2" xfId="30298"/>
    <cellStyle name="Normal 3 7 4 2 5 2" xfId="30299"/>
    <cellStyle name="Normal 4 6 4 2 5 2" xfId="30300"/>
    <cellStyle name="Normal 5 6 4 2 5 2" xfId="30301"/>
    <cellStyle name="Normal 7 6 4 2 5 2" xfId="30302"/>
    <cellStyle name="Normal 2 3 4 4 2 5 2" xfId="30303"/>
    <cellStyle name="Normal 3 3 4 4 2 5 2" xfId="30304"/>
    <cellStyle name="Normal 4 2 4 4 2 5 2" xfId="30305"/>
    <cellStyle name="Normal 5 2 4 4 2 5 2" xfId="30306"/>
    <cellStyle name="Normal 7 2 4 4 2 5 2" xfId="30307"/>
    <cellStyle name="Normal 2 4 4 4 2 5 2" xfId="30308"/>
    <cellStyle name="Normal 3 4 4 4 2 5 2" xfId="30309"/>
    <cellStyle name="Normal 4 3 4 4 2 5 2" xfId="30310"/>
    <cellStyle name="Normal 5 3 4 4 2 5 2" xfId="30311"/>
    <cellStyle name="Normal 7 3 4 4 2 5 2" xfId="30312"/>
    <cellStyle name="Normal 2 5 2 4 2 5 2" xfId="30313"/>
    <cellStyle name="Normal 3 5 2 4 2 5 2" xfId="30314"/>
    <cellStyle name="Normal 4 4 2 4 2 5 2" xfId="30315"/>
    <cellStyle name="Normal 5 4 2 4 2 5 2" xfId="30316"/>
    <cellStyle name="Normal 7 4 2 4 2 5 2" xfId="30317"/>
    <cellStyle name="Normal 2 3 2 2 4 2 5 2" xfId="30318"/>
    <cellStyle name="Normal 3 3 2 2 4 2 5 2" xfId="30319"/>
    <cellStyle name="Normal 4 2 2 2 4 2 5 2" xfId="30320"/>
    <cellStyle name="Normal 5 2 2 2 4 2 5 2" xfId="30321"/>
    <cellStyle name="Normal 7 2 2 2 4 2 5 2" xfId="30322"/>
    <cellStyle name="Normal 2 4 2 2 4 2 5 2" xfId="30323"/>
    <cellStyle name="Normal 3 4 2 2 4 2 5 2" xfId="30324"/>
    <cellStyle name="Normal 4 3 2 2 4 2 5 2" xfId="30325"/>
    <cellStyle name="Normal 5 3 2 2 4 2 5 2" xfId="30326"/>
    <cellStyle name="Normal 7 3 2 2 4 2 5 2" xfId="30327"/>
    <cellStyle name="Normal 2 6 2 4 2 5 2" xfId="30328"/>
    <cellStyle name="Normal 3 6 2 4 2 5 2" xfId="30329"/>
    <cellStyle name="Normal 4 5 2 4 2 5 2" xfId="30330"/>
    <cellStyle name="Normal 5 5 2 4 2 5 2" xfId="30331"/>
    <cellStyle name="Normal 7 5 2 4 2 5 2" xfId="30332"/>
    <cellStyle name="Normal 2 3 3 2 4 2 5 2" xfId="30333"/>
    <cellStyle name="Normal 3 3 3 2 4 2 5 2" xfId="30334"/>
    <cellStyle name="Normal 4 2 3 2 4 2 5 2" xfId="30335"/>
    <cellStyle name="Normal 5 2 3 2 4 2 5 2" xfId="30336"/>
    <cellStyle name="Normal 7 2 3 2 4 2 5 2" xfId="30337"/>
    <cellStyle name="Normal 2 4 3 2 4 2 5 2" xfId="30338"/>
    <cellStyle name="Normal 3 4 3 2 4 2 5 2" xfId="30339"/>
    <cellStyle name="Normal 4 3 3 2 4 2 5 2" xfId="30340"/>
    <cellStyle name="Normal 5 3 3 2 4 2 5 2" xfId="30341"/>
    <cellStyle name="Normal 7 3 3 2 4 2 5 2" xfId="30342"/>
    <cellStyle name="Normal 2 8 3 2 5 2" xfId="30343"/>
    <cellStyle name="Normal 3 8 3 2 5 2" xfId="30344"/>
    <cellStyle name="Normal 4 7 3 2 5 2" xfId="30345"/>
    <cellStyle name="Normal 5 7 3 2 5 2" xfId="30346"/>
    <cellStyle name="Normal 7 7 3 2 5 2" xfId="30347"/>
    <cellStyle name="Normal 2 3 5 3 2 5 2" xfId="30348"/>
    <cellStyle name="Normal 3 3 5 3 2 5 2" xfId="30349"/>
    <cellStyle name="Normal 4 2 5 3 2 5 2" xfId="30350"/>
    <cellStyle name="Normal 5 2 5 3 2 5 2" xfId="30351"/>
    <cellStyle name="Normal 7 2 5 3 2 5 2" xfId="30352"/>
    <cellStyle name="Normal 3 4 5 3 2 5 2" xfId="30353"/>
    <cellStyle name="Normal 4 3 5 3 2 5 2" xfId="30354"/>
    <cellStyle name="Normal 5 3 5 3 2 5 2" xfId="30355"/>
    <cellStyle name="Normal 7 3 5 3 2 5 2" xfId="30356"/>
    <cellStyle name="Normal 2 5 3 3 2 5 2" xfId="30357"/>
    <cellStyle name="Normal 3 5 3 3 2 5 2" xfId="30358"/>
    <cellStyle name="Normal 4 4 3 3 2 5 2" xfId="30359"/>
    <cellStyle name="Normal 5 4 3 3 2 5 2" xfId="30360"/>
    <cellStyle name="Normal 7 4 3 3 2 5 2" xfId="30361"/>
    <cellStyle name="Normal 2 3 2 3 3 2 5 2" xfId="30362"/>
    <cellStyle name="Normal 3 3 2 3 3 2 5 2" xfId="30363"/>
    <cellStyle name="Normal 4 2 2 3 3 2 5 2" xfId="30364"/>
    <cellStyle name="Normal 5 2 2 3 3 2 5 2" xfId="30365"/>
    <cellStyle name="Normal 7 2 2 3 3 2 5 2" xfId="30366"/>
    <cellStyle name="Normal 2 4 2 3 3 2 5 2" xfId="30367"/>
    <cellStyle name="Normal 3 4 2 3 3 2 5 2" xfId="30368"/>
    <cellStyle name="Normal 4 3 2 3 3 2 5 2" xfId="30369"/>
    <cellStyle name="Normal 5 3 2 3 3 2 5 2" xfId="30370"/>
    <cellStyle name="Normal 7 3 2 3 3 2 5 2" xfId="30371"/>
    <cellStyle name="Normal 2 6 3 3 2 5 2" xfId="30372"/>
    <cellStyle name="Normal 3 6 3 3 2 5 2" xfId="30373"/>
    <cellStyle name="Normal 4 5 3 3 2 5 2" xfId="30374"/>
    <cellStyle name="Normal 5 5 3 3 2 5 2" xfId="30375"/>
    <cellStyle name="Normal 7 5 3 3 2 5 2" xfId="30376"/>
    <cellStyle name="Normal 2 3 3 3 3 2 5 2" xfId="30377"/>
    <cellStyle name="Normal 3 3 3 3 3 2 5 2" xfId="30378"/>
    <cellStyle name="Normal 4 2 3 3 3 2 5 2" xfId="30379"/>
    <cellStyle name="Normal 5 2 3 3 3 2 5 2" xfId="30380"/>
    <cellStyle name="Normal 7 2 3 3 3 2 5 2" xfId="30381"/>
    <cellStyle name="Normal 2 4 3 3 3 2 5 2" xfId="30382"/>
    <cellStyle name="Normal 3 4 3 3 3 2 5 2" xfId="30383"/>
    <cellStyle name="Normal 4 3 3 3 3 2 5 2" xfId="30384"/>
    <cellStyle name="Normal 5 3 3 3 3 2 5 2" xfId="30385"/>
    <cellStyle name="Normal 7 3 3 3 3 2 5 2" xfId="30386"/>
    <cellStyle name="Normal 2 7 2 3 2 5 2" xfId="30387"/>
    <cellStyle name="Normal 3 7 2 3 2 5 2" xfId="30388"/>
    <cellStyle name="Normal 4 6 2 3 2 5 2" xfId="30389"/>
    <cellStyle name="Normal 5 6 2 3 2 5 2" xfId="30390"/>
    <cellStyle name="Normal 7 6 2 3 2 5 2" xfId="30391"/>
    <cellStyle name="Normal 2 3 4 2 3 2 5 2" xfId="30392"/>
    <cellStyle name="Normal 3 3 4 2 3 2 5 2" xfId="30393"/>
    <cellStyle name="Normal 4 2 4 2 3 2 5 2" xfId="30394"/>
    <cellStyle name="Normal 5 2 4 2 3 2 5 2" xfId="30395"/>
    <cellStyle name="Normal 7 2 4 2 3 2 5 2" xfId="30396"/>
    <cellStyle name="Normal 2 4 4 2 3 2 5 2" xfId="30397"/>
    <cellStyle name="Normal 3 4 4 2 3 2 5 2" xfId="30398"/>
    <cellStyle name="Normal 4 3 4 2 3 2 5 2" xfId="30399"/>
    <cellStyle name="Normal 5 3 4 2 3 2 5 2" xfId="30400"/>
    <cellStyle name="Normal 7 3 4 2 3 2 5 2" xfId="30401"/>
    <cellStyle name="Normal 2 5 2 2 3 2 5 2" xfId="30402"/>
    <cellStyle name="Normal 3 5 2 2 3 2 5 2" xfId="30403"/>
    <cellStyle name="Normal 4 4 2 2 3 2 5 2" xfId="30404"/>
    <cellStyle name="Normal 5 4 2 2 3 2 5 2" xfId="30405"/>
    <cellStyle name="Normal 7 4 2 2 3 2 5 2" xfId="30406"/>
    <cellStyle name="Normal 2 3 2 2 2 3 2 5 2" xfId="30407"/>
    <cellStyle name="Normal 3 3 2 2 2 3 2 5 2" xfId="30408"/>
    <cellStyle name="Normal 4 2 2 2 2 3 2 5 2" xfId="30409"/>
    <cellStyle name="Normal 5 2 2 2 2 3 2 5 2" xfId="30410"/>
    <cellStyle name="Normal 7 2 2 2 2 3 2 5 2" xfId="30411"/>
    <cellStyle name="Normal 2 4 2 2 2 3 2 5 2" xfId="30412"/>
    <cellStyle name="Normal 3 4 2 2 2 3 2 5 2" xfId="30413"/>
    <cellStyle name="Normal 4 3 2 2 2 3 2 5 2" xfId="30414"/>
    <cellStyle name="Normal 5 3 2 2 2 3 2 5 2" xfId="30415"/>
    <cellStyle name="Normal 7 3 2 2 2 3 2 5 2" xfId="30416"/>
    <cellStyle name="Normal 2 6 2 2 3 2 5 2" xfId="30417"/>
    <cellStyle name="Normal 3 6 2 2 3 2 5 2" xfId="30418"/>
    <cellStyle name="Normal 4 5 2 2 3 2 5 2" xfId="30419"/>
    <cellStyle name="Normal 5 5 2 2 3 2 5 2" xfId="30420"/>
    <cellStyle name="Normal 7 5 2 2 3 2 5 2" xfId="30421"/>
    <cellStyle name="Normal 2 3 3 2 2 3 2 5 2" xfId="30422"/>
    <cellStyle name="Normal 3 3 3 2 2 3 2 5 2" xfId="30423"/>
    <cellStyle name="Normal 4 2 3 2 2 3 2 5 2" xfId="30424"/>
    <cellStyle name="Normal 5 2 3 2 2 3 2 5 2" xfId="30425"/>
    <cellStyle name="Normal 7 2 3 2 2 3 2 5 2" xfId="30426"/>
    <cellStyle name="Normal 2 4 3 2 2 3 2 5 2" xfId="30427"/>
    <cellStyle name="Normal 3 4 3 2 2 3 2 5 2" xfId="30428"/>
    <cellStyle name="Normal 4 3 3 2 2 3 2 5 2" xfId="30429"/>
    <cellStyle name="Normal 5 3 3 2 2 3 2 5 2" xfId="30430"/>
    <cellStyle name="Normal 7 3 3 2 2 3 2 5 2" xfId="30431"/>
    <cellStyle name="Normal 2 12 5 2" xfId="30432"/>
    <cellStyle name="Normal 3 12 5 2" xfId="30433"/>
    <cellStyle name="Normal 4 11 5 2" xfId="30434"/>
    <cellStyle name="Normal 5 11 5 2" xfId="30435"/>
    <cellStyle name="Normal 7 11 5 2" xfId="30436"/>
    <cellStyle name="Normal 2 3 9 5 2" xfId="30437"/>
    <cellStyle name="Normal 3 3 9 5 2" xfId="30438"/>
    <cellStyle name="Normal 4 2 9 5 2" xfId="30439"/>
    <cellStyle name="Normal 5 2 9 5 2" xfId="30440"/>
    <cellStyle name="Normal 7 2 9 5 2" xfId="30441"/>
    <cellStyle name="Normal 2 4 9 5 2" xfId="30442"/>
    <cellStyle name="Normal 3 4 9 5 2" xfId="30443"/>
    <cellStyle name="Normal 4 3 9 5 2" xfId="30444"/>
    <cellStyle name="Normal 5 3 9 5 2" xfId="30445"/>
    <cellStyle name="Normal 7 3 9 5 2" xfId="30446"/>
    <cellStyle name="Normal 2 5 7 5 2" xfId="30447"/>
    <cellStyle name="Normal 3 5 7 5 2" xfId="30448"/>
    <cellStyle name="Normal 4 4 7 5 2" xfId="30449"/>
    <cellStyle name="Normal 5 4 7 5 2" xfId="30450"/>
    <cellStyle name="Normal 7 4 7 5 2" xfId="30451"/>
    <cellStyle name="Normal 2 3 2 7 5 2" xfId="30452"/>
    <cellStyle name="Normal 3 3 2 7 5 2" xfId="30453"/>
    <cellStyle name="Normal 4 2 2 7 5 2" xfId="30454"/>
    <cellStyle name="Normal 5 2 2 7 5 2" xfId="30455"/>
    <cellStyle name="Normal 7 2 2 7 5 2" xfId="30456"/>
    <cellStyle name="Normal 2 4 2 7 5 2" xfId="30457"/>
    <cellStyle name="Normal 3 4 2 7 5 2" xfId="30458"/>
    <cellStyle name="Normal 4 3 2 7 5 2" xfId="30459"/>
    <cellStyle name="Normal 5 3 2 7 5 2" xfId="30460"/>
    <cellStyle name="Normal 7 3 2 7 5 2" xfId="30461"/>
    <cellStyle name="Normal 2 6 7 5 2" xfId="30462"/>
    <cellStyle name="Normal 3 6 7 5 2" xfId="30463"/>
    <cellStyle name="Normal 4 5 7 5 2" xfId="30464"/>
    <cellStyle name="Normal 5 5 7 5 2" xfId="30465"/>
    <cellStyle name="Normal 7 5 7 5 2" xfId="30466"/>
    <cellStyle name="Normal 2 3 3 7 5 2" xfId="30467"/>
    <cellStyle name="Normal 3 3 3 7 5 2" xfId="30468"/>
    <cellStyle name="Normal 4 2 3 7 5 2" xfId="30469"/>
    <cellStyle name="Normal 5 2 3 7 5 2" xfId="30470"/>
    <cellStyle name="Normal 7 2 3 7 5 2" xfId="30471"/>
    <cellStyle name="Normal 2 4 3 7 5 2" xfId="30472"/>
    <cellStyle name="Normal 3 4 3 7 5 2" xfId="30473"/>
    <cellStyle name="Normal 4 3 3 7 5 2" xfId="30474"/>
    <cellStyle name="Normal 5 3 3 7 5 2" xfId="30475"/>
    <cellStyle name="Normal 7 3 3 7 5 2" xfId="30476"/>
    <cellStyle name="Normal 2 7 6 5 2" xfId="30477"/>
    <cellStyle name="Normal 3 7 6 5 2" xfId="30478"/>
    <cellStyle name="Normal 4 6 6 5 2" xfId="30479"/>
    <cellStyle name="Normal 5 6 6 5 2" xfId="30480"/>
    <cellStyle name="Normal 7 6 6 5 2" xfId="30481"/>
    <cellStyle name="Normal 2 3 4 6 5 2" xfId="30482"/>
    <cellStyle name="Normal 3 3 4 6 5 2" xfId="30483"/>
    <cellStyle name="Normal 4 2 4 6 5 2" xfId="30484"/>
    <cellStyle name="Normal 5 2 4 6 5 2" xfId="30485"/>
    <cellStyle name="Normal 7 2 4 6 5 2" xfId="30486"/>
    <cellStyle name="Normal 2 4 4 6 5 2" xfId="30487"/>
    <cellStyle name="Normal 3 4 4 6 5 2" xfId="30488"/>
    <cellStyle name="Normal 4 3 4 6 5 2" xfId="30489"/>
    <cellStyle name="Normal 5 3 4 6 5 2" xfId="30490"/>
    <cellStyle name="Normal 7 3 4 6 5 2" xfId="30491"/>
    <cellStyle name="Normal 2 5 2 6 5 2" xfId="30492"/>
    <cellStyle name="Normal 3 5 2 6 5 2" xfId="30493"/>
    <cellStyle name="Normal 4 4 2 6 5 2" xfId="30494"/>
    <cellStyle name="Normal 5 4 2 6 5 2" xfId="30495"/>
    <cellStyle name="Normal 7 4 2 6 5 2" xfId="30496"/>
    <cellStyle name="Normal 2 3 2 2 6 5 2" xfId="30497"/>
    <cellStyle name="Normal 3 3 2 2 6 5 2" xfId="30498"/>
    <cellStyle name="Normal 4 2 2 2 6 5 2" xfId="30499"/>
    <cellStyle name="Normal 5 2 2 2 6 5 2" xfId="30500"/>
    <cellStyle name="Normal 7 2 2 2 6 5 2" xfId="30501"/>
    <cellStyle name="Normal 2 4 2 2 6 5 2" xfId="30502"/>
    <cellStyle name="Normal 3 4 2 2 6 5 2" xfId="30503"/>
    <cellStyle name="Normal 4 3 2 2 6 5 2" xfId="30504"/>
    <cellStyle name="Normal 5 3 2 2 6 5 2" xfId="30505"/>
    <cellStyle name="Normal 7 3 2 2 6 5 2" xfId="30506"/>
    <cellStyle name="Normal 2 6 2 6 5 2" xfId="30507"/>
    <cellStyle name="Normal 3 6 2 6 5 2" xfId="30508"/>
    <cellStyle name="Normal 4 5 2 6 5 2" xfId="30509"/>
    <cellStyle name="Normal 5 5 2 6 5 2" xfId="30510"/>
    <cellStyle name="Normal 7 5 2 6 5 2" xfId="30511"/>
    <cellStyle name="Normal 2 3 3 2 6 5 2" xfId="30512"/>
    <cellStyle name="Normal 3 3 3 2 6 5 2" xfId="30513"/>
    <cellStyle name="Normal 4 2 3 2 6 5 2" xfId="30514"/>
    <cellStyle name="Normal 5 2 3 2 6 5 2" xfId="30515"/>
    <cellStyle name="Normal 7 2 3 2 6 5 2" xfId="30516"/>
    <cellStyle name="Normal 2 4 3 2 6 5 2" xfId="30517"/>
    <cellStyle name="Normal 3 4 3 2 6 5 2" xfId="30518"/>
    <cellStyle name="Normal 4 3 3 2 6 5 2" xfId="30519"/>
    <cellStyle name="Normal 5 3 3 2 6 5 2" xfId="30520"/>
    <cellStyle name="Normal 7 3 3 2 6 5 2" xfId="30521"/>
    <cellStyle name="Normal 2 8 5 5 2" xfId="30522"/>
    <cellStyle name="Normal 3 8 5 5 2" xfId="30523"/>
    <cellStyle name="Normal 4 7 5 5 2" xfId="30524"/>
    <cellStyle name="Normal 5 7 5 5 2" xfId="30525"/>
    <cellStyle name="Normal 7 7 5 5 2" xfId="30526"/>
    <cellStyle name="Normal 2 3 5 5 5 2" xfId="30527"/>
    <cellStyle name="Normal 3 3 5 5 5 2" xfId="30528"/>
    <cellStyle name="Normal 4 2 5 5 5 2" xfId="30529"/>
    <cellStyle name="Normal 5 2 5 5 5 2" xfId="30530"/>
    <cellStyle name="Normal 7 2 5 5 5 2" xfId="30531"/>
    <cellStyle name="Normal 2 4 5 5 5 2" xfId="30532"/>
    <cellStyle name="Normal 3 4 5 5 5 2" xfId="30533"/>
    <cellStyle name="Normal 4 3 5 5 5 2" xfId="30534"/>
    <cellStyle name="Normal 5 3 5 5 5 2" xfId="30535"/>
    <cellStyle name="Normal 7 3 5 5 5 2" xfId="30536"/>
    <cellStyle name="Normal 2 5 3 5 5 2" xfId="30537"/>
    <cellStyle name="Normal 3 5 3 5 5 2" xfId="30538"/>
    <cellStyle name="Normal 4 4 3 5 5 2" xfId="30539"/>
    <cellStyle name="Normal 5 4 3 5 5 2" xfId="30540"/>
    <cellStyle name="Normal 7 4 3 5 5 2" xfId="30541"/>
    <cellStyle name="Normal 2 3 2 3 5 5 2" xfId="30542"/>
    <cellStyle name="Normal 3 3 2 3 5 5 2" xfId="30543"/>
    <cellStyle name="Normal 4 2 2 3 5 5 2" xfId="30544"/>
    <cellStyle name="Normal 5 2 2 3 5 5 2" xfId="30545"/>
    <cellStyle name="Normal 7 2 2 3 5 5 2" xfId="30546"/>
    <cellStyle name="Normal 2 4 2 3 5 5 2" xfId="30547"/>
    <cellStyle name="Normal 3 4 2 3 5 5 2" xfId="30548"/>
    <cellStyle name="Normal 4 3 2 3 5 5 2" xfId="30549"/>
    <cellStyle name="Normal 5 3 2 3 5 5 2" xfId="30550"/>
    <cellStyle name="Normal 7 3 2 3 5 5 2" xfId="30551"/>
    <cellStyle name="Normal 2 6 3 5 5 2" xfId="30552"/>
    <cellStyle name="Normal 3 6 3 5 5 2" xfId="30553"/>
    <cellStyle name="Normal 4 5 3 5 5 2" xfId="30554"/>
    <cellStyle name="Normal 5 5 3 5 5 2" xfId="30555"/>
    <cellStyle name="Normal 7 5 3 5 5 2" xfId="30556"/>
    <cellStyle name="Normal 2 3 3 3 5 5 2" xfId="30557"/>
    <cellStyle name="Normal 3 3 3 3 5 5 2" xfId="30558"/>
    <cellStyle name="Normal 4 2 3 3 5 5 2" xfId="30559"/>
    <cellStyle name="Normal 5 2 3 3 5 5 2" xfId="30560"/>
    <cellStyle name="Normal 7 2 3 3 5 5 2" xfId="30561"/>
    <cellStyle name="Normal 2 4 3 3 5 5 2" xfId="30562"/>
    <cellStyle name="Normal 3 4 3 3 5 5 2" xfId="30563"/>
    <cellStyle name="Normal 4 3 3 3 5 5 2" xfId="30564"/>
    <cellStyle name="Normal 5 3 3 3 5 5 2" xfId="30565"/>
    <cellStyle name="Normal 7 3 3 3 5 5 2" xfId="30566"/>
    <cellStyle name="Normal 2 7 2 5 5 2" xfId="30567"/>
    <cellStyle name="Normal 3 7 2 5 5 2" xfId="30568"/>
    <cellStyle name="Normal 4 6 2 5 5 2" xfId="30569"/>
    <cellStyle name="Normal 5 6 2 5 5 2" xfId="30570"/>
    <cellStyle name="Normal 7 6 2 5 5 2" xfId="30571"/>
    <cellStyle name="Normal 2 3 4 2 5 5 2" xfId="30572"/>
    <cellStyle name="Normal 3 3 4 2 5 5 2" xfId="30573"/>
    <cellStyle name="Normal 4 2 4 2 5 5 2" xfId="30574"/>
    <cellStyle name="Normal 5 2 4 2 5 5 2" xfId="30575"/>
    <cellStyle name="Normal 7 2 4 2 5 5 2" xfId="30576"/>
    <cellStyle name="Normal 2 4 4 2 5 5 2" xfId="30577"/>
    <cellStyle name="Normal 3 4 4 2 5 5 2" xfId="30578"/>
    <cellStyle name="Normal 4 3 4 2 5 5 2" xfId="30579"/>
    <cellStyle name="Normal 5 3 4 2 5 5 2" xfId="30580"/>
    <cellStyle name="Normal 7 3 4 2 5 5 2" xfId="30581"/>
    <cellStyle name="Normal 2 5 2 2 5 5 2" xfId="30582"/>
    <cellStyle name="Normal 3 5 2 2 5 5 2" xfId="30583"/>
    <cellStyle name="Normal 4 4 2 2 5 5 2" xfId="30584"/>
    <cellStyle name="Normal 5 4 2 2 5 5 2" xfId="30585"/>
    <cellStyle name="Normal 7 4 2 2 5 5 2" xfId="30586"/>
    <cellStyle name="Normal 2 3 2 2 2 5 5 2" xfId="30587"/>
    <cellStyle name="Normal 3 3 2 2 2 5 5 2" xfId="30588"/>
    <cellStyle name="Normal 4 2 2 2 2 5 5 2" xfId="30589"/>
    <cellStyle name="Normal 5 2 2 2 2 5 5 2" xfId="30590"/>
    <cellStyle name="Normal 7 2 2 2 2 5 5 2" xfId="30591"/>
    <cellStyle name="Normal 2 4 2 2 2 5 5 2" xfId="30592"/>
    <cellStyle name="Normal 3 4 2 2 2 5 5 2" xfId="30593"/>
    <cellStyle name="Normal 4 3 2 2 2 5 5 2" xfId="30594"/>
    <cellStyle name="Normal 5 3 2 2 2 5 5 2" xfId="30595"/>
    <cellStyle name="Normal 7 3 2 2 2 5 5 2" xfId="30596"/>
    <cellStyle name="Normal 2 6 2 2 5 5 2" xfId="30597"/>
    <cellStyle name="Normal 3 6 2 2 5 5 2" xfId="30598"/>
    <cellStyle name="Normal 4 5 2 2 5 5 2" xfId="30599"/>
    <cellStyle name="Normal 5 5 2 2 5 5 2" xfId="30600"/>
    <cellStyle name="Normal 7 5 2 2 5 5 2" xfId="30601"/>
    <cellStyle name="Normal 2 3 3 2 2 5 5 2" xfId="30602"/>
    <cellStyle name="Normal 3 3 3 2 2 5 5 2" xfId="30603"/>
    <cellStyle name="Normal 4 2 3 2 2 5 5 2" xfId="30604"/>
    <cellStyle name="Normal 5 2 3 2 2 5 5 2" xfId="30605"/>
    <cellStyle name="Normal 7 2 3 2 2 5 5 2" xfId="30606"/>
    <cellStyle name="Normal 2 4 3 2 2 5 5 2" xfId="30607"/>
    <cellStyle name="Normal 3 4 3 2 2 5 5 2" xfId="30608"/>
    <cellStyle name="Normal 4 3 3 2 2 5 5 2" xfId="30609"/>
    <cellStyle name="Normal 5 3 3 2 2 5 5 2" xfId="30610"/>
    <cellStyle name="Normal 7 3 3 2 2 5 5 2" xfId="30611"/>
    <cellStyle name="Normal 2 9 3 5 2" xfId="30612"/>
    <cellStyle name="Normal 3 9 3 5 2" xfId="30613"/>
    <cellStyle name="Normal 4 8 3 5 2" xfId="30614"/>
    <cellStyle name="Normal 5 8 3 5 2" xfId="30615"/>
    <cellStyle name="Normal 7 8 3 5 2" xfId="30616"/>
    <cellStyle name="Normal 2 3 6 3 5 2" xfId="30617"/>
    <cellStyle name="Normal 3 3 6 3 5 2" xfId="30618"/>
    <cellStyle name="Normal 4 2 6 3 5 2" xfId="30619"/>
    <cellStyle name="Normal 5 2 6 3 5 2" xfId="30620"/>
    <cellStyle name="Normal 7 2 6 3 5 2" xfId="30621"/>
    <cellStyle name="Normal 2 4 6 3 5 2" xfId="30622"/>
    <cellStyle name="Normal 3 4 6 3 5 2" xfId="30623"/>
    <cellStyle name="Normal 4 3 6 3 5 2" xfId="30624"/>
    <cellStyle name="Normal 5 3 6 3 5 2" xfId="30625"/>
    <cellStyle name="Normal 7 3 6 3 5 2" xfId="30626"/>
    <cellStyle name="Normal 2 5 4 3 5 2" xfId="30627"/>
    <cellStyle name="Normal 3 5 4 3 5 2" xfId="30628"/>
    <cellStyle name="Normal 4 4 4 3 5 2" xfId="30629"/>
    <cellStyle name="Normal 5 4 4 3 5 2" xfId="30630"/>
    <cellStyle name="Normal 7 4 4 3 5 2" xfId="30631"/>
    <cellStyle name="Normal 2 3 2 4 3 5 2" xfId="30632"/>
    <cellStyle name="Normal 3 3 2 4 3 5 2" xfId="30633"/>
    <cellStyle name="Normal 4 2 2 4 3 5 2" xfId="30634"/>
    <cellStyle name="Normal 5 2 2 4 3 5 2" xfId="30635"/>
    <cellStyle name="Normal 7 2 2 4 3 5 2" xfId="30636"/>
    <cellStyle name="Normal 2 4 2 4 3 5 2" xfId="30637"/>
    <cellStyle name="Normal 3 4 2 4 3 5 2" xfId="30638"/>
    <cellStyle name="Normal 4 3 2 4 3 5 2" xfId="30639"/>
    <cellStyle name="Normal 5 3 2 4 3 5 2" xfId="30640"/>
    <cellStyle name="Normal 7 3 2 4 3 5 2" xfId="30641"/>
    <cellStyle name="Normal 2 6 4 3 5 2" xfId="30642"/>
    <cellStyle name="Normal 3 6 4 3 5 2" xfId="30643"/>
    <cellStyle name="Normal 4 5 4 3 5 2" xfId="30644"/>
    <cellStyle name="Normal 5 5 4 3 5 2" xfId="30645"/>
    <cellStyle name="Normal 7 5 4 3 5 2" xfId="30646"/>
    <cellStyle name="Normal 2 3 3 4 3 5 2" xfId="30647"/>
    <cellStyle name="Normal 3 3 3 4 3 5 2" xfId="30648"/>
    <cellStyle name="Normal 4 2 3 4 3 5 2" xfId="30649"/>
    <cellStyle name="Normal 5 2 3 4 3 5 2" xfId="30650"/>
    <cellStyle name="Normal 7 2 3 4 3 5 2" xfId="30651"/>
    <cellStyle name="Normal 2 4 3 4 3 5 2" xfId="30652"/>
    <cellStyle name="Normal 3 4 3 4 3 5 2" xfId="30653"/>
    <cellStyle name="Normal 4 3 3 4 3 5 2" xfId="30654"/>
    <cellStyle name="Normal 5 3 3 4 3 5 2" xfId="30655"/>
    <cellStyle name="Normal 7 3 3 4 3 5 2" xfId="30656"/>
    <cellStyle name="Normal 2 7 3 3 5 2" xfId="30657"/>
    <cellStyle name="Normal 3 7 3 3 5 2" xfId="30658"/>
    <cellStyle name="Normal 4 6 3 3 5 2" xfId="30659"/>
    <cellStyle name="Normal 5 6 3 3 5 2" xfId="30660"/>
    <cellStyle name="Normal 7 6 3 3 5 2" xfId="30661"/>
    <cellStyle name="Normal 2 3 4 3 3 5 2" xfId="30662"/>
    <cellStyle name="Normal 3 3 4 3 3 5 2" xfId="30663"/>
    <cellStyle name="Normal 4 2 4 3 3 5 2" xfId="30664"/>
    <cellStyle name="Normal 5 2 4 3 3 5 2" xfId="30665"/>
    <cellStyle name="Normal 7 2 4 3 3 5 2" xfId="30666"/>
    <cellStyle name="Normal 2 4 4 3 3 5 2" xfId="30667"/>
    <cellStyle name="Normal 3 4 4 3 3 5 2" xfId="30668"/>
    <cellStyle name="Normal 4 3 4 3 3 5 2" xfId="30669"/>
    <cellStyle name="Normal 5 3 4 3 3 5 2" xfId="30670"/>
    <cellStyle name="Normal 7 3 4 3 3 5 2" xfId="30671"/>
    <cellStyle name="Normal 2 5 2 3 3 5 2" xfId="30672"/>
    <cellStyle name="Normal 3 5 2 3 3 5 2" xfId="30673"/>
    <cellStyle name="Normal 4 4 2 3 3 5 2" xfId="30674"/>
    <cellStyle name="Normal 5 4 2 3 3 5 2" xfId="30675"/>
    <cellStyle name="Normal 7 4 2 3 3 5 2" xfId="30676"/>
    <cellStyle name="Normal 2 3 2 2 3 3 5 2" xfId="30677"/>
    <cellStyle name="Normal 3 3 2 2 3 3 5 2" xfId="30678"/>
    <cellStyle name="Normal 4 2 2 2 3 3 5 2" xfId="30679"/>
    <cellStyle name="Normal 5 2 2 2 3 3 5 2" xfId="30680"/>
    <cellStyle name="Normal 7 2 2 2 3 3 5 2" xfId="30681"/>
    <cellStyle name="Normal 2 4 2 2 3 3 5 2" xfId="30682"/>
    <cellStyle name="Normal 3 4 2 2 3 3 5 2" xfId="30683"/>
    <cellStyle name="Normal 4 3 2 2 3 3 5 2" xfId="30684"/>
    <cellStyle name="Normal 5 3 2 2 3 3 5 2" xfId="30685"/>
    <cellStyle name="Normal 7 3 2 2 3 3 5 2" xfId="30686"/>
    <cellStyle name="Normal 2 6 2 3 3 5 2" xfId="30687"/>
    <cellStyle name="Normal 3 6 2 3 3 5 2" xfId="30688"/>
    <cellStyle name="Normal 4 5 2 3 3 5 2" xfId="30689"/>
    <cellStyle name="Normal 5 5 2 3 3 5 2" xfId="30690"/>
    <cellStyle name="Normal 7 5 2 3 3 5 2" xfId="30691"/>
    <cellStyle name="Normal 2 3 3 2 3 3 5 2" xfId="30692"/>
    <cellStyle name="Normal 3 3 3 2 3 3 5 2" xfId="30693"/>
    <cellStyle name="Normal 4 2 3 2 3 3 5 2" xfId="30694"/>
    <cellStyle name="Normal 5 2 3 2 3 3 5 2" xfId="30695"/>
    <cellStyle name="Normal 7 2 3 2 3 3 5 2" xfId="30696"/>
    <cellStyle name="Normal 2 4 3 2 3 3 5 2" xfId="30697"/>
    <cellStyle name="Normal 3 4 3 2 3 3 5 2" xfId="30698"/>
    <cellStyle name="Normal 4 3 3 2 3 3 5 2" xfId="30699"/>
    <cellStyle name="Normal 5 3 3 2 3 3 5 2" xfId="30700"/>
    <cellStyle name="Normal 7 3 3 2 3 3 5 2" xfId="30701"/>
    <cellStyle name="Normal 2 8 2 3 5 2" xfId="30702"/>
    <cellStyle name="Normal 3 8 2 3 5 2" xfId="30703"/>
    <cellStyle name="Normal 4 7 2 3 5 2" xfId="30704"/>
    <cellStyle name="Normal 5 7 2 3 5 2" xfId="30705"/>
    <cellStyle name="Normal 7 7 2 3 5 2" xfId="30706"/>
    <cellStyle name="Normal 2 3 5 2 3 5 2" xfId="30707"/>
    <cellStyle name="Normal 3 3 5 2 3 5 2" xfId="30708"/>
    <cellStyle name="Normal 4 2 5 2 3 5 2" xfId="30709"/>
    <cellStyle name="Normal 5 2 5 2 3 5 2" xfId="30710"/>
    <cellStyle name="Normal 7 2 5 2 3 5 2" xfId="30711"/>
    <cellStyle name="Normal 2 4 5 2 3 5 2" xfId="30712"/>
    <cellStyle name="Normal 3 4 5 2 3 5 2" xfId="30713"/>
    <cellStyle name="Normal 4 3 5 2 3 5 2" xfId="30714"/>
    <cellStyle name="Normal 5 3 5 2 3 5 2" xfId="30715"/>
    <cellStyle name="Normal 7 3 5 2 3 5 2" xfId="30716"/>
    <cellStyle name="Normal 2 5 3 2 3 5 2" xfId="30717"/>
    <cellStyle name="Normal 3 5 3 2 3 5 2" xfId="30718"/>
    <cellStyle name="Normal 4 4 3 2 3 5 2" xfId="30719"/>
    <cellStyle name="Normal 5 4 3 2 3 5 2" xfId="30720"/>
    <cellStyle name="Normal 7 4 3 2 3 5 2" xfId="30721"/>
    <cellStyle name="Normal 2 3 2 3 2 3 5 2" xfId="30722"/>
    <cellStyle name="Normal 3 3 2 3 2 3 5 2" xfId="30723"/>
    <cellStyle name="Normal 4 2 2 3 2 3 5 2" xfId="30724"/>
    <cellStyle name="Normal 5 2 2 3 2 3 5 2" xfId="30725"/>
    <cellStyle name="Normal 7 2 2 3 2 3 5 2" xfId="30726"/>
    <cellStyle name="Normal 2 4 2 3 2 3 5 2" xfId="30727"/>
    <cellStyle name="Normal 3 4 2 3 2 3 5 2" xfId="30728"/>
    <cellStyle name="Normal 4 3 2 3 2 3 5 2" xfId="30729"/>
    <cellStyle name="Normal 5 3 2 3 2 3 5 2" xfId="30730"/>
    <cellStyle name="Normal 7 3 2 3 2 3 5 2" xfId="30731"/>
    <cellStyle name="Normal 2 6 3 2 3 5 2" xfId="30732"/>
    <cellStyle name="Normal 3 6 3 2 3 5 2" xfId="30733"/>
    <cellStyle name="Normal 4 5 3 2 3 5 2" xfId="30734"/>
    <cellStyle name="Normal 5 5 3 2 3 5 2" xfId="30735"/>
    <cellStyle name="Normal 7 5 3 2 3 5 2" xfId="30736"/>
    <cellStyle name="Normal 2 3 3 3 2 3 5 2" xfId="30737"/>
    <cellStyle name="Normal 3 3 3 3 2 3 5 2" xfId="30738"/>
    <cellStyle name="Normal 4 2 3 3 2 3 5 2" xfId="30739"/>
    <cellStyle name="Normal 5 2 3 3 2 3 5 2" xfId="30740"/>
    <cellStyle name="Normal 7 2 3 3 2 3 5 2" xfId="30741"/>
    <cellStyle name="Normal 2 4 3 3 2 3 5 2" xfId="30742"/>
    <cellStyle name="Normal 3 4 3 3 2 3 5 2" xfId="30743"/>
    <cellStyle name="Normal 4 3 3 3 2 3 5 2" xfId="30744"/>
    <cellStyle name="Normal 5 3 3 3 2 3 5 2" xfId="30745"/>
    <cellStyle name="Normal 7 3 3 3 2 3 5 2" xfId="30746"/>
    <cellStyle name="Normal 2 7 2 2 3 5 2" xfId="30747"/>
    <cellStyle name="Normal 3 7 2 2 3 5 2" xfId="30748"/>
    <cellStyle name="Normal 4 6 2 2 3 5 2" xfId="30749"/>
    <cellStyle name="Normal 5 6 2 2 3 5 2" xfId="30750"/>
    <cellStyle name="Normal 7 6 2 2 3 5 2" xfId="30751"/>
    <cellStyle name="Normal 2 3 4 2 2 3 5 2" xfId="30752"/>
    <cellStyle name="Normal 3 3 4 2 2 3 5 2" xfId="30753"/>
    <cellStyle name="Normal 4 2 4 2 2 3 5 2" xfId="30754"/>
    <cellStyle name="Normal 5 2 4 2 2 3 5 2" xfId="30755"/>
    <cellStyle name="Normal 7 2 4 2 2 3 5 2" xfId="30756"/>
    <cellStyle name="Normal 2 4 4 2 2 3 5 2" xfId="30757"/>
    <cellStyle name="Normal 3 4 4 2 2 3 5 2" xfId="30758"/>
    <cellStyle name="Normal 4 3 4 2 2 3 5 2" xfId="30759"/>
    <cellStyle name="Normal 5 3 4 2 2 3 5 2" xfId="30760"/>
    <cellStyle name="Normal 7 3 4 2 2 3 5 2" xfId="30761"/>
    <cellStyle name="Normal 2 5 2 2 2 3 5 2" xfId="30762"/>
    <cellStyle name="Normal 3 5 2 2 2 3 5 2" xfId="30763"/>
    <cellStyle name="Normal 4 4 2 2 2 3 5 2" xfId="30764"/>
    <cellStyle name="Normal 5 4 2 2 2 3 5 2" xfId="30765"/>
    <cellStyle name="Normal 7 4 2 2 2 3 5 2" xfId="30766"/>
    <cellStyle name="Normal 2 3 2 2 2 2 3 5 2" xfId="30767"/>
    <cellStyle name="Normal 3 3 2 2 2 2 3 5 2" xfId="30768"/>
    <cellStyle name="Normal 4 2 2 2 2 2 3 5 2" xfId="30769"/>
    <cellStyle name="Normal 5 2 2 2 2 2 3 5 2" xfId="30770"/>
    <cellStyle name="Normal 7 2 2 2 2 2 3 5 2" xfId="30771"/>
    <cellStyle name="Normal 2 4 2 2 2 2 3 5 2" xfId="30772"/>
    <cellStyle name="Normal 3 4 2 2 2 2 3 5 2" xfId="30773"/>
    <cellStyle name="Normal 4 3 2 2 2 2 3 5 2" xfId="30774"/>
    <cellStyle name="Normal 5 3 2 2 2 2 3 5 2" xfId="30775"/>
    <cellStyle name="Normal 7 3 2 2 2 2 3 5 2" xfId="30776"/>
    <cellStyle name="Normal 2 6 2 2 2 3 5 2" xfId="30777"/>
    <cellStyle name="Normal 3 6 2 2 2 3 5 2" xfId="30778"/>
    <cellStyle name="Normal 4 5 2 2 2 3 5 2" xfId="30779"/>
    <cellStyle name="Normal 5 5 2 2 2 3 5 2" xfId="30780"/>
    <cellStyle name="Normal 7 5 2 2 2 3 5 2" xfId="30781"/>
    <cellStyle name="Normal 2 3 3 2 2 2 3 5 2" xfId="30782"/>
    <cellStyle name="Normal 3 3 3 2 2 2 3 5 2" xfId="30783"/>
    <cellStyle name="Normal 4 2 3 2 2 2 3 5 2" xfId="30784"/>
    <cellStyle name="Normal 5 2 3 2 2 2 3 5 2" xfId="30785"/>
    <cellStyle name="Normal 7 2 3 2 2 2 3 5 2" xfId="30786"/>
    <cellStyle name="Normal 2 4 3 2 2 2 3 5 2" xfId="30787"/>
    <cellStyle name="Normal 3 4 3 2 2 2 3 5 2" xfId="30788"/>
    <cellStyle name="Normal 4 3 3 2 2 2 3 5 2" xfId="30789"/>
    <cellStyle name="Normal 5 3 3 2 2 2 3 5 2" xfId="30790"/>
    <cellStyle name="Normal 7 3 3 2 2 2 3 5 2" xfId="30791"/>
    <cellStyle name="Normal 28 3 5 2" xfId="30792"/>
    <cellStyle name="Normal 2 3 7 3 5 2" xfId="30793"/>
    <cellStyle name="Normal 3 10 3 5 2" xfId="30794"/>
    <cellStyle name="Normal 4 9 3 5 2" xfId="30795"/>
    <cellStyle name="Normal 5 9 3 5 2" xfId="30796"/>
    <cellStyle name="Millares 4 3 5 2" xfId="30797"/>
    <cellStyle name="Normal 7 2 7 3 5 2" xfId="30798"/>
    <cellStyle name="Normal 3 3 7 3 5 2" xfId="30799"/>
    <cellStyle name="Normal 4 2 7 3 5 2" xfId="30800"/>
    <cellStyle name="Normal 5 2 7 3 5 2" xfId="30801"/>
    <cellStyle name="Normal 2 4 5 3 3 5 2" xfId="30802"/>
    <cellStyle name="Normal 3 4 7 3 5 2" xfId="30803"/>
    <cellStyle name="Normal 4 3 7 3 5 2" xfId="30804"/>
    <cellStyle name="Normal 5 3 7 3 5 2" xfId="30805"/>
    <cellStyle name="Normal 7 3 7 3 5 2" xfId="30806"/>
    <cellStyle name="Normal 2 5 5 3 5 2" xfId="30807"/>
    <cellStyle name="Normal 3 5 5 3 5 2" xfId="30808"/>
    <cellStyle name="Normal 4 4 5 3 5 2" xfId="30809"/>
    <cellStyle name="Normal 5 4 5 3 5 2" xfId="30810"/>
    <cellStyle name="Normal 7 4 5 3 5 2" xfId="30811"/>
    <cellStyle name="Normal 2 3 2 5 3 5 2" xfId="30812"/>
    <cellStyle name="Normal 3 3 2 5 3 5 2" xfId="30813"/>
    <cellStyle name="Normal 4 2 2 5 3 5 2" xfId="30814"/>
    <cellStyle name="Normal 5 2 2 5 3 5 2" xfId="30815"/>
    <cellStyle name="Normal 7 2 2 5 3 5 2" xfId="30816"/>
    <cellStyle name="Normal 2 4 2 5 3 5 2" xfId="30817"/>
    <cellStyle name="Normal 3 4 2 5 3 5 2" xfId="30818"/>
    <cellStyle name="Normal 4 3 2 5 3 5 2" xfId="30819"/>
    <cellStyle name="Normal 5 3 2 5 3 5 2" xfId="30820"/>
    <cellStyle name="Normal 7 3 2 5 3 5 2" xfId="30821"/>
    <cellStyle name="Normal 2 6 5 3 5 2" xfId="30822"/>
    <cellStyle name="Normal 3 6 5 3 5 2" xfId="30823"/>
    <cellStyle name="Normal 4 5 5 3 5 2" xfId="30824"/>
    <cellStyle name="Normal 5 5 5 3 5 2" xfId="30825"/>
    <cellStyle name="Normal 7 5 5 3 5 2" xfId="30826"/>
    <cellStyle name="Normal 2 3 3 5 3 5 2" xfId="30827"/>
    <cellStyle name="Normal 3 3 3 5 3 5 2" xfId="30828"/>
    <cellStyle name="Normal 4 2 3 5 3 5 2" xfId="30829"/>
    <cellStyle name="Normal 5 2 3 5 3 5 2" xfId="30830"/>
    <cellStyle name="Normal 7 2 3 5 3 5 2" xfId="30831"/>
    <cellStyle name="Normal 2 4 3 5 3 5 2" xfId="30832"/>
    <cellStyle name="Normal 3 4 3 5 3 5 2" xfId="30833"/>
    <cellStyle name="Normal 4 3 3 5 3 5 2" xfId="30834"/>
    <cellStyle name="Normal 5 3 3 5 3 5 2" xfId="30835"/>
    <cellStyle name="Normal 7 3 3 5 3 5 2" xfId="30836"/>
    <cellStyle name="Normal 2 7 4 3 5 2" xfId="30837"/>
    <cellStyle name="Normal 3 7 4 3 5 2" xfId="30838"/>
    <cellStyle name="Normal 4 6 4 3 5 2" xfId="30839"/>
    <cellStyle name="Normal 5 6 4 3 5 2" xfId="30840"/>
    <cellStyle name="Normal 7 6 4 3 5 2" xfId="30841"/>
    <cellStyle name="Normal 2 3 4 4 3 5 2" xfId="30842"/>
    <cellStyle name="Normal 3 3 4 4 3 5 2" xfId="30843"/>
    <cellStyle name="Normal 4 2 4 4 3 5 2" xfId="30844"/>
    <cellStyle name="Normal 5 2 4 4 3 5 2" xfId="30845"/>
    <cellStyle name="Normal 7 2 4 4 3 5 2" xfId="30846"/>
    <cellStyle name="Normal 2 4 4 4 3 5 2" xfId="30847"/>
    <cellStyle name="Normal 3 4 4 4 3 5 2" xfId="30848"/>
    <cellStyle name="Normal 4 3 4 4 3 5 2" xfId="30849"/>
    <cellStyle name="Normal 5 3 4 4 3 5 2" xfId="30850"/>
    <cellStyle name="Normal 7 3 4 4 3 5 2" xfId="30851"/>
    <cellStyle name="Normal 2 5 2 4 3 5 2" xfId="30852"/>
    <cellStyle name="Normal 3 5 2 4 3 5 2" xfId="30853"/>
    <cellStyle name="Normal 4 4 2 4 3 5 2" xfId="30854"/>
    <cellStyle name="Normal 5 4 2 4 3 5 2" xfId="30855"/>
    <cellStyle name="Normal 7 4 2 4 3 5 2" xfId="30856"/>
    <cellStyle name="Normal 2 3 2 2 4 3 5 2" xfId="30857"/>
    <cellStyle name="Normal 3 3 2 2 4 3 5 2" xfId="30858"/>
    <cellStyle name="Normal 4 2 2 2 4 3 5 2" xfId="30859"/>
    <cellStyle name="Normal 5 2 2 2 4 3 5 2" xfId="30860"/>
    <cellStyle name="Normal 7 2 2 2 4 3 5 2" xfId="30861"/>
    <cellStyle name="Normal 2 4 2 2 4 3 5 2" xfId="30862"/>
    <cellStyle name="Normal 3 4 2 2 4 3 5 2" xfId="30863"/>
    <cellStyle name="Normal 4 3 2 2 4 3 5 2" xfId="30864"/>
    <cellStyle name="Normal 5 3 2 2 4 3 5 2" xfId="30865"/>
    <cellStyle name="Normal 7 3 2 2 4 3 5 2" xfId="30866"/>
    <cellStyle name="Normal 2 6 2 4 3 5 2" xfId="30867"/>
    <cellStyle name="Normal 3 6 2 4 3 5 2" xfId="30868"/>
    <cellStyle name="Normal 4 5 2 4 3 5 2" xfId="30869"/>
    <cellStyle name="Normal 5 5 2 4 3 5 2" xfId="30870"/>
    <cellStyle name="Normal 7 5 2 4 3 5 2" xfId="30871"/>
    <cellStyle name="Normal 2 3 3 2 4 3 5 2" xfId="30872"/>
    <cellStyle name="Normal 3 3 3 2 4 3 5 2" xfId="30873"/>
    <cellStyle name="Normal 4 2 3 2 4 3 5 2" xfId="30874"/>
    <cellStyle name="Normal 5 2 3 2 4 3 5 2" xfId="30875"/>
    <cellStyle name="Normal 7 2 3 2 4 3 5 2" xfId="30876"/>
    <cellStyle name="Normal 2 4 3 2 4 3 5 2" xfId="30877"/>
    <cellStyle name="Normal 3 4 3 2 4 3 5 2" xfId="30878"/>
    <cellStyle name="Normal 4 3 3 2 4 3 5 2" xfId="30879"/>
    <cellStyle name="Normal 5 3 3 2 4 3 5 2" xfId="30880"/>
    <cellStyle name="Normal 7 3 3 2 4 3 5 2" xfId="30881"/>
    <cellStyle name="Normal 2 8 3 3 5 2" xfId="30882"/>
    <cellStyle name="Normal 3 8 3 3 5 2" xfId="30883"/>
    <cellStyle name="Normal 4 7 3 3 5 2" xfId="30884"/>
    <cellStyle name="Normal 5 7 3 3 5 2" xfId="30885"/>
    <cellStyle name="Normal 7 7 3 3 5 2" xfId="30886"/>
    <cellStyle name="Normal 2 3 5 3 3 5 2" xfId="30887"/>
    <cellStyle name="Normal 3 3 5 3 3 5 2" xfId="30888"/>
    <cellStyle name="Normal 4 2 5 3 3 5 2" xfId="30889"/>
    <cellStyle name="Normal 5 2 5 3 3 5 2" xfId="30890"/>
    <cellStyle name="Normal 7 2 5 3 3 5 2" xfId="30891"/>
    <cellStyle name="Normal 3 4 5 3 3 5 2" xfId="30892"/>
    <cellStyle name="Normal 4 3 5 3 3 5 2" xfId="30893"/>
    <cellStyle name="Normal 5 3 5 3 3 5 2" xfId="30894"/>
    <cellStyle name="Normal 7 3 5 3 3 5 2" xfId="30895"/>
    <cellStyle name="Normal 2 5 3 3 3 5 2" xfId="30896"/>
    <cellStyle name="Normal 3 5 3 3 3 5 2" xfId="30897"/>
    <cellStyle name="Normal 4 4 3 3 3 5 2" xfId="30898"/>
    <cellStyle name="Normal 5 4 3 3 3 5 2" xfId="30899"/>
    <cellStyle name="Normal 7 4 3 3 3 5 2" xfId="30900"/>
    <cellStyle name="Normal 2 3 2 3 3 3 5 2" xfId="30901"/>
    <cellStyle name="Normal 3 3 2 3 3 3 5 2" xfId="30902"/>
    <cellStyle name="Normal 4 2 2 3 3 3 5 2" xfId="30903"/>
    <cellStyle name="Normal 5 2 2 3 3 3 5 2" xfId="30904"/>
    <cellStyle name="Normal 7 2 2 3 3 3 5 2" xfId="30905"/>
    <cellStyle name="Normal 2 4 2 3 3 3 5 2" xfId="30906"/>
    <cellStyle name="Normal 3 4 2 3 3 3 5 2" xfId="30907"/>
    <cellStyle name="Normal 4 3 2 3 3 3 5 2" xfId="30908"/>
    <cellStyle name="Normal 5 3 2 3 3 3 5 2" xfId="30909"/>
    <cellStyle name="Normal 7 3 2 3 3 3 5 2" xfId="30910"/>
    <cellStyle name="Normal 2 6 3 3 3 5 2" xfId="30911"/>
    <cellStyle name="Normal 3 6 3 3 3 5 2" xfId="30912"/>
    <cellStyle name="Normal 4 5 3 3 3 5 2" xfId="30913"/>
    <cellStyle name="Normal 5 5 3 3 3 5 2" xfId="30914"/>
    <cellStyle name="Normal 7 5 3 3 3 5 2" xfId="30915"/>
    <cellStyle name="Normal 2 3 3 3 3 3 5 2" xfId="30916"/>
    <cellStyle name="Normal 3 3 3 3 3 3 5 2" xfId="30917"/>
    <cellStyle name="Normal 4 2 3 3 3 3 5 2" xfId="30918"/>
    <cellStyle name="Normal 5 2 3 3 3 3 5 2" xfId="30919"/>
    <cellStyle name="Normal 7 2 3 3 3 3 5 2" xfId="30920"/>
    <cellStyle name="Normal 2 4 3 3 3 3 5 2" xfId="30921"/>
    <cellStyle name="Normal 3 4 3 3 3 3 5 2" xfId="30922"/>
    <cellStyle name="Normal 4 3 3 3 3 3 5 2" xfId="30923"/>
    <cellStyle name="Normal 5 3 3 3 3 3 5 2" xfId="30924"/>
    <cellStyle name="Normal 7 3 3 3 3 3 5 2" xfId="30925"/>
    <cellStyle name="Normal 2 7 2 3 3 5 2" xfId="30926"/>
    <cellStyle name="Normal 3 7 2 3 3 5 2" xfId="30927"/>
    <cellStyle name="Normal 4 6 2 3 3 5 2" xfId="30928"/>
    <cellStyle name="Normal 5 6 2 3 3 5 2" xfId="30929"/>
    <cellStyle name="Normal 7 6 2 3 3 5 2" xfId="30930"/>
    <cellStyle name="Normal 2 3 4 2 3 3 5 2" xfId="30931"/>
    <cellStyle name="Normal 3 3 4 2 3 3 5 2" xfId="30932"/>
    <cellStyle name="Normal 4 2 4 2 3 3 5 2" xfId="30933"/>
    <cellStyle name="Normal 5 2 4 2 3 3 5 2" xfId="30934"/>
    <cellStyle name="Normal 7 2 4 2 3 3 5 2" xfId="30935"/>
    <cellStyle name="Normal 2 4 4 2 3 3 5 2" xfId="30936"/>
    <cellStyle name="Normal 3 4 4 2 3 3 5 2" xfId="30937"/>
    <cellStyle name="Normal 4 3 4 2 3 3 5 2" xfId="30938"/>
    <cellStyle name="Normal 5 3 4 2 3 3 5 2" xfId="30939"/>
    <cellStyle name="Normal 7 3 4 2 3 3 5 2" xfId="30940"/>
    <cellStyle name="Normal 2 5 2 2 3 3 5 2" xfId="30941"/>
    <cellStyle name="Normal 3 5 2 2 3 3 5 2" xfId="30942"/>
    <cellStyle name="Normal 4 4 2 2 3 3 5 2" xfId="30943"/>
    <cellStyle name="Normal 5 4 2 2 3 3 5 2" xfId="30944"/>
    <cellStyle name="Normal 7 4 2 2 3 3 5 2" xfId="30945"/>
    <cellStyle name="Normal 2 3 2 2 2 3 3 5 2" xfId="30946"/>
    <cellStyle name="Normal 3 3 2 2 2 3 3 5 2" xfId="30947"/>
    <cellStyle name="Normal 4 2 2 2 2 3 3 5 2" xfId="30948"/>
    <cellStyle name="Normal 5 2 2 2 2 3 3 5 2" xfId="30949"/>
    <cellStyle name="Normal 7 2 2 2 2 3 3 5 2" xfId="30950"/>
    <cellStyle name="Normal 2 4 2 2 2 3 3 5 2" xfId="30951"/>
    <cellStyle name="Normal 3 4 2 2 2 3 3 5 2" xfId="30952"/>
    <cellStyle name="Normal 4 3 2 2 2 3 3 5 2" xfId="30953"/>
    <cellStyle name="Normal 5 3 2 2 2 3 3 5 2" xfId="30954"/>
    <cellStyle name="Normal 7 3 2 2 2 3 3 5 2" xfId="30955"/>
    <cellStyle name="Normal 2 6 2 2 3 3 5 2" xfId="30956"/>
    <cellStyle name="Normal 3 6 2 2 3 3 5 2" xfId="30957"/>
    <cellStyle name="Normal 4 5 2 2 3 3 5 2" xfId="30958"/>
    <cellStyle name="Normal 5 5 2 2 3 3 5 2" xfId="30959"/>
    <cellStyle name="Normal 7 5 2 2 3 3 5 2" xfId="30960"/>
    <cellStyle name="Normal 2 3 3 2 2 3 3 5 2" xfId="30961"/>
    <cellStyle name="Normal 3 3 3 2 2 3 3 5 2" xfId="30962"/>
    <cellStyle name="Normal 4 2 3 2 2 3 3 5 2" xfId="30963"/>
    <cellStyle name="Normal 5 2 3 2 2 3 3 5 2" xfId="30964"/>
    <cellStyle name="Normal 7 2 3 2 2 3 3 5 2" xfId="30965"/>
    <cellStyle name="Normal 2 4 3 2 2 3 3 5 2" xfId="30966"/>
    <cellStyle name="Normal 3 4 3 2 2 3 3 5 2" xfId="30967"/>
    <cellStyle name="Normal 4 3 3 2 2 3 3 5 2" xfId="30968"/>
    <cellStyle name="Normal 5 3 3 2 2 3 3 5 2" xfId="30969"/>
    <cellStyle name="Normal 7 3 3 2 2 3 3 5 2" xfId="30970"/>
    <cellStyle name="Normal 2 13 4 2" xfId="30971"/>
    <cellStyle name="Normal 3 13 4 2" xfId="30972"/>
    <cellStyle name="Normal 4 12 4 2" xfId="30973"/>
    <cellStyle name="Normal 5 12 4 2" xfId="30974"/>
    <cellStyle name="Normal 7 12 4 2" xfId="30975"/>
    <cellStyle name="Normal 2 3 10 4 2" xfId="30976"/>
    <cellStyle name="Normal 3 3 10 4 2" xfId="30977"/>
    <cellStyle name="Normal 4 2 10 4 2" xfId="30978"/>
    <cellStyle name="Normal 5 2 10 4 2" xfId="30979"/>
    <cellStyle name="Normal 7 2 10 4 2" xfId="30980"/>
    <cellStyle name="Normal 2 4 10 4 2" xfId="30981"/>
    <cellStyle name="Normal 3 4 10 4 2" xfId="30982"/>
    <cellStyle name="Normal 4 3 10 4 2" xfId="30983"/>
    <cellStyle name="Normal 5 3 10 4 2" xfId="30984"/>
    <cellStyle name="Normal 7 3 10 4 2" xfId="30985"/>
    <cellStyle name="Normal 2 5 8 4 2" xfId="30986"/>
    <cellStyle name="Normal 3 5 8 4 2" xfId="30987"/>
    <cellStyle name="Normal 4 4 8 4 2" xfId="30988"/>
    <cellStyle name="Normal 5 4 8 4 2" xfId="30989"/>
    <cellStyle name="Normal 7 4 8 4 2" xfId="30990"/>
    <cellStyle name="Normal 2 3 2 8 4 2" xfId="30991"/>
    <cellStyle name="Normal 3 3 2 8 4 2" xfId="30992"/>
    <cellStyle name="Normal 4 2 2 8 4 2" xfId="30993"/>
    <cellStyle name="Normal 5 2 2 8 4 2" xfId="30994"/>
    <cellStyle name="Normal 7 2 2 8 4 2" xfId="30995"/>
    <cellStyle name="Normal 2 4 2 8 4 2" xfId="30996"/>
    <cellStyle name="Normal 3 4 2 8 4 2" xfId="30997"/>
    <cellStyle name="Normal 4 3 2 8 4 2" xfId="30998"/>
    <cellStyle name="Normal 5 3 2 8 4 2" xfId="30999"/>
    <cellStyle name="Normal 7 3 2 8 4 2" xfId="31000"/>
    <cellStyle name="Normal 2 6 8 4 2" xfId="31001"/>
    <cellStyle name="Normal 3 6 8 4 2" xfId="31002"/>
    <cellStyle name="Normal 4 5 8 4 2" xfId="31003"/>
    <cellStyle name="Normal 5 5 8 4 2" xfId="31004"/>
    <cellStyle name="Normal 7 5 8 4 2" xfId="31005"/>
    <cellStyle name="Normal 2 3 3 8 4 2" xfId="31006"/>
    <cellStyle name="Normal 3 3 3 8 4 2" xfId="31007"/>
    <cellStyle name="Normal 4 2 3 8 4 2" xfId="31008"/>
    <cellStyle name="Normal 5 2 3 8 4 2" xfId="31009"/>
    <cellStyle name="Normal 7 2 3 8 4 2" xfId="31010"/>
    <cellStyle name="Normal 2 4 3 8 4 2" xfId="31011"/>
    <cellStyle name="Normal 3 4 3 8 4 2" xfId="31012"/>
    <cellStyle name="Normal 4 3 3 8 4 2" xfId="31013"/>
    <cellStyle name="Normal 5 3 3 8 4 2" xfId="31014"/>
    <cellStyle name="Normal 7 3 3 8 4 2" xfId="31015"/>
    <cellStyle name="Normal 2 7 7 4 2" xfId="31016"/>
    <cellStyle name="Normal 3 7 7 4 2" xfId="31017"/>
    <cellStyle name="Normal 4 6 7 4 2" xfId="31018"/>
    <cellStyle name="Normal 5 6 7 4 2" xfId="31019"/>
    <cellStyle name="Normal 7 6 7 4 2" xfId="31020"/>
    <cellStyle name="Normal 2 3 4 7 4 2" xfId="31021"/>
    <cellStyle name="Normal 3 3 4 7 4 2" xfId="31022"/>
    <cellStyle name="Normal 4 2 4 7 4 2" xfId="31023"/>
    <cellStyle name="Normal 5 2 4 7 4 2" xfId="31024"/>
    <cellStyle name="Normal 7 2 4 7 4 2" xfId="31025"/>
    <cellStyle name="Normal 2 4 4 7 4 2" xfId="31026"/>
    <cellStyle name="Normal 3 4 4 7 4 2" xfId="31027"/>
    <cellStyle name="Normal 4 3 4 7 4 2" xfId="31028"/>
    <cellStyle name="Normal 5 3 4 7 4 2" xfId="31029"/>
    <cellStyle name="Normal 7 3 4 7 4 2" xfId="31030"/>
    <cellStyle name="Normal 2 5 2 7 4 2" xfId="31031"/>
    <cellStyle name="Normal 3 5 2 7 4 2" xfId="31032"/>
    <cellStyle name="Normal 4 4 2 7 4 2" xfId="31033"/>
    <cellStyle name="Normal 5 4 2 7 4 2" xfId="31034"/>
    <cellStyle name="Normal 7 4 2 7 4 2" xfId="31035"/>
    <cellStyle name="Normal 2 3 2 2 7 4 2" xfId="31036"/>
    <cellStyle name="Normal 3 3 2 2 7 4 2" xfId="31037"/>
    <cellStyle name="Normal 4 2 2 2 7 4 2" xfId="31038"/>
    <cellStyle name="Normal 5 2 2 2 7 4 2" xfId="31039"/>
    <cellStyle name="Normal 7 2 2 2 7 4 2" xfId="31040"/>
    <cellStyle name="Normal 2 4 2 2 7 4 2" xfId="31041"/>
    <cellStyle name="Normal 3 4 2 2 7 4 2" xfId="31042"/>
    <cellStyle name="Normal 4 3 2 2 7 4 2" xfId="31043"/>
    <cellStyle name="Normal 5 3 2 2 7 4 2" xfId="31044"/>
    <cellStyle name="Normal 7 3 2 2 7 4 2" xfId="31045"/>
    <cellStyle name="Normal 2 6 2 7 4 2" xfId="31046"/>
    <cellStyle name="Normal 3 6 2 7 4 2" xfId="31047"/>
    <cellStyle name="Normal 4 5 2 7 4 2" xfId="31048"/>
    <cellStyle name="Normal 5 5 2 7 4 2" xfId="31049"/>
    <cellStyle name="Normal 7 5 2 7 4 2" xfId="31050"/>
    <cellStyle name="Normal 2 3 3 2 7 4 2" xfId="31051"/>
    <cellStyle name="Normal 3 3 3 2 7 4 2" xfId="31052"/>
    <cellStyle name="Normal 4 2 3 2 7 4 2" xfId="31053"/>
    <cellStyle name="Normal 5 2 3 2 7 4 2" xfId="31054"/>
    <cellStyle name="Normal 7 2 3 2 7 4 2" xfId="31055"/>
    <cellStyle name="Normal 2 4 3 2 7 4 2" xfId="31056"/>
    <cellStyle name="Normal 3 4 3 2 7 4 2" xfId="31057"/>
    <cellStyle name="Normal 4 3 3 2 7 4 2" xfId="31058"/>
    <cellStyle name="Normal 5 3 3 2 7 4 2" xfId="31059"/>
    <cellStyle name="Normal 7 3 3 2 7 4 2" xfId="31060"/>
    <cellStyle name="Normal 2 8 6 4 2" xfId="31061"/>
    <cellStyle name="Normal 3 8 6 4 2" xfId="31062"/>
    <cellStyle name="Normal 4 7 6 4 2" xfId="31063"/>
    <cellStyle name="Normal 5 7 6 4 2" xfId="31064"/>
    <cellStyle name="Normal 7 7 6 4 2" xfId="31065"/>
    <cellStyle name="Normal 2 3 5 6 4 2" xfId="31066"/>
    <cellStyle name="Normal 3 3 5 6 4 2" xfId="31067"/>
    <cellStyle name="Normal 4 2 5 6 4 2" xfId="31068"/>
    <cellStyle name="Normal 5 2 5 6 4 2" xfId="31069"/>
    <cellStyle name="Normal 7 2 5 6 4 2" xfId="31070"/>
    <cellStyle name="Normal 2 4 5 6 4 2" xfId="31071"/>
    <cellStyle name="Normal 3 4 5 6 4 2" xfId="31072"/>
    <cellStyle name="Normal 4 3 5 6 4 2" xfId="31073"/>
    <cellStyle name="Normal 5 3 5 6 4 2" xfId="31074"/>
    <cellStyle name="Normal 7 3 5 6 4 2" xfId="31075"/>
    <cellStyle name="Normal 2 5 3 6 4 2" xfId="31076"/>
    <cellStyle name="Normal 3 5 3 6 4 2" xfId="31077"/>
    <cellStyle name="Normal 4 4 3 6 4 2" xfId="31078"/>
    <cellStyle name="Normal 5 4 3 6 4 2" xfId="31079"/>
    <cellStyle name="Normal 7 4 3 6 4 2" xfId="31080"/>
    <cellStyle name="Normal 2 3 2 3 6 4 2" xfId="31081"/>
    <cellStyle name="Normal 3 3 2 3 6 4 2" xfId="31082"/>
    <cellStyle name="Normal 4 2 2 3 6 4 2" xfId="31083"/>
    <cellStyle name="Normal 5 2 2 3 6 4 2" xfId="31084"/>
    <cellStyle name="Normal 7 2 2 3 6 4 2" xfId="31085"/>
    <cellStyle name="Normal 2 4 2 3 6 4 2" xfId="31086"/>
    <cellStyle name="Normal 3 4 2 3 6 4 2" xfId="31087"/>
    <cellStyle name="Normal 4 3 2 3 6 4 2" xfId="31088"/>
    <cellStyle name="Normal 5 3 2 3 6 4 2" xfId="31089"/>
    <cellStyle name="Normal 7 3 2 3 6 4 2" xfId="31090"/>
    <cellStyle name="Normal 2 6 3 6 4 2" xfId="31091"/>
    <cellStyle name="Normal 3 6 3 6 4 2" xfId="31092"/>
    <cellStyle name="Normal 4 5 3 6 4 2" xfId="31093"/>
    <cellStyle name="Normal 5 5 3 6 4 2" xfId="31094"/>
    <cellStyle name="Normal 7 5 3 6 4 2" xfId="31095"/>
    <cellStyle name="Normal 2 3 3 3 6 4 2" xfId="31096"/>
    <cellStyle name="Normal 3 3 3 3 6 4 2" xfId="31097"/>
    <cellStyle name="Normal 4 2 3 3 6 4 2" xfId="31098"/>
    <cellStyle name="Normal 5 2 3 3 6 4 2" xfId="31099"/>
    <cellStyle name="Normal 7 2 3 3 6 4 2" xfId="31100"/>
    <cellStyle name="Normal 2 4 3 3 6 4 2" xfId="31101"/>
    <cellStyle name="Normal 3 4 3 3 6 4 2" xfId="31102"/>
    <cellStyle name="Normal 4 3 3 3 6 4 2" xfId="31103"/>
    <cellStyle name="Normal 5 3 3 3 6 4 2" xfId="31104"/>
    <cellStyle name="Normal 7 3 3 3 6 4 2" xfId="31105"/>
    <cellStyle name="Normal 2 7 2 6 4 2" xfId="31106"/>
    <cellStyle name="Normal 3 7 2 6 4 2" xfId="31107"/>
    <cellStyle name="Normal 4 6 2 6 4 2" xfId="31108"/>
    <cellStyle name="Normal 5 6 2 6 4 2" xfId="31109"/>
    <cellStyle name="Normal 7 6 2 6 4 2" xfId="31110"/>
    <cellStyle name="Normal 2 3 4 2 6 4 2" xfId="31111"/>
    <cellStyle name="Normal 3 3 4 2 6 4 2" xfId="31112"/>
    <cellStyle name="Normal 4 2 4 2 6 4 2" xfId="31113"/>
    <cellStyle name="Normal 5 2 4 2 6 4 2" xfId="31114"/>
    <cellStyle name="Normal 7 2 4 2 6 4 2" xfId="31115"/>
    <cellStyle name="Normal 2 4 4 2 6 4 2" xfId="31116"/>
    <cellStyle name="Normal 3 4 4 2 6 4 2" xfId="31117"/>
    <cellStyle name="Normal 4 3 4 2 6 4 2" xfId="31118"/>
    <cellStyle name="Normal 5 3 4 2 6 4 2" xfId="31119"/>
    <cellStyle name="Normal 7 3 4 2 6 4 2" xfId="31120"/>
    <cellStyle name="Normal 2 5 2 2 6 4 2" xfId="31121"/>
    <cellStyle name="Normal 3 5 2 2 6 4 2" xfId="31122"/>
    <cellStyle name="Normal 4 4 2 2 6 4 2" xfId="31123"/>
    <cellStyle name="Normal 5 4 2 2 6 4 2" xfId="31124"/>
    <cellStyle name="Normal 7 4 2 2 6 4 2" xfId="31125"/>
    <cellStyle name="Normal 2 3 2 2 2 6 4 2" xfId="31126"/>
    <cellStyle name="Normal 3 3 2 2 2 6 4 2" xfId="31127"/>
    <cellStyle name="Normal 4 2 2 2 2 6 4 2" xfId="31128"/>
    <cellStyle name="Normal 5 2 2 2 2 6 4 2" xfId="31129"/>
    <cellStyle name="Normal 7 2 2 2 2 6 4 2" xfId="31130"/>
    <cellStyle name="Normal 2 4 2 2 2 6 4 2" xfId="31131"/>
    <cellStyle name="Normal 3 4 2 2 2 6 4 2" xfId="31132"/>
    <cellStyle name="Normal 4 3 2 2 2 6 4 2" xfId="31133"/>
    <cellStyle name="Normal 5 3 2 2 2 6 4 2" xfId="31134"/>
    <cellStyle name="Normal 7 3 2 2 2 6 4 2" xfId="31135"/>
    <cellStyle name="Normal 2 6 2 2 6 4 2" xfId="31136"/>
    <cellStyle name="Normal 3 6 2 2 6 4 2" xfId="31137"/>
    <cellStyle name="Normal 4 5 2 2 6 4 2" xfId="31138"/>
    <cellStyle name="Normal 5 5 2 2 6 4 2" xfId="31139"/>
    <cellStyle name="Normal 7 5 2 2 6 4 2" xfId="31140"/>
    <cellStyle name="Normal 2 3 3 2 2 6 4 2" xfId="31141"/>
    <cellStyle name="Normal 3 3 3 2 2 6 4 2" xfId="31142"/>
    <cellStyle name="Normal 4 2 3 2 2 6 4 2" xfId="31143"/>
    <cellStyle name="Normal 5 2 3 2 2 6 4 2" xfId="31144"/>
    <cellStyle name="Normal 7 2 3 2 2 6 4 2" xfId="31145"/>
    <cellStyle name="Normal 2 4 3 2 2 6 4 2" xfId="31146"/>
    <cellStyle name="Normal 3 4 3 2 2 6 4 2" xfId="31147"/>
    <cellStyle name="Normal 4 3 3 2 2 6 4 2" xfId="31148"/>
    <cellStyle name="Normal 5 3 3 2 2 6 4 2" xfId="31149"/>
    <cellStyle name="Normal 7 3 3 2 2 6 4 2" xfId="31150"/>
    <cellStyle name="Normal 2 9 4 4 2" xfId="31151"/>
    <cellStyle name="Normal 3 9 4 4 2" xfId="31152"/>
    <cellStyle name="Normal 4 8 4 4 2" xfId="31153"/>
    <cellStyle name="Normal 5 8 4 4 2" xfId="31154"/>
    <cellStyle name="Normal 7 8 4 4 2" xfId="31155"/>
    <cellStyle name="Normal 2 3 6 4 4 2" xfId="31156"/>
    <cellStyle name="Normal 3 3 6 4 4 2" xfId="31157"/>
    <cellStyle name="Normal 4 2 6 4 4 2" xfId="31158"/>
    <cellStyle name="Normal 5 2 6 4 4 2" xfId="31159"/>
    <cellStyle name="Normal 7 2 6 4 4 2" xfId="31160"/>
    <cellStyle name="Normal 2 4 6 4 4 2" xfId="31161"/>
    <cellStyle name="Normal 3 4 6 4 4 2" xfId="31162"/>
    <cellStyle name="Normal 4 3 6 4 4 2" xfId="31163"/>
    <cellStyle name="Normal 5 3 6 4 4 2" xfId="31164"/>
    <cellStyle name="Normal 7 3 6 4 4 2" xfId="31165"/>
    <cellStyle name="Normal 2 5 4 4 4 2" xfId="31166"/>
    <cellStyle name="Normal 3 5 4 4 4 2" xfId="31167"/>
    <cellStyle name="Normal 4 4 4 4 4 2" xfId="31168"/>
    <cellStyle name="Normal 5 4 4 4 4 2" xfId="31169"/>
    <cellStyle name="Normal 7 4 4 4 4 2" xfId="31170"/>
    <cellStyle name="Normal 2 3 2 4 4 4 2" xfId="31171"/>
    <cellStyle name="Normal 3 3 2 4 4 4 2" xfId="31172"/>
    <cellStyle name="Normal 4 2 2 4 4 4 2" xfId="31173"/>
    <cellStyle name="Normal 5 2 2 4 4 4 2" xfId="31174"/>
    <cellStyle name="Normal 7 2 2 4 4 4 2" xfId="31175"/>
    <cellStyle name="Normal 2 4 2 4 4 4 2" xfId="31176"/>
    <cellStyle name="Normal 3 4 2 4 4 4 2" xfId="31177"/>
    <cellStyle name="Normal 4 3 2 4 4 4 2" xfId="31178"/>
    <cellStyle name="Normal 5 3 2 4 4 4 2" xfId="31179"/>
    <cellStyle name="Normal 7 3 2 4 4 4 2" xfId="31180"/>
    <cellStyle name="Normal 2 6 4 4 4 2" xfId="31181"/>
    <cellStyle name="Normal 3 6 4 4 4 2" xfId="31182"/>
    <cellStyle name="Normal 4 5 4 4 4 2" xfId="31183"/>
    <cellStyle name="Normal 5 5 4 4 4 2" xfId="31184"/>
    <cellStyle name="Normal 7 5 4 4 4 2" xfId="31185"/>
    <cellStyle name="Normal 2 3 3 4 4 4 2" xfId="31186"/>
    <cellStyle name="Normal 3 3 3 4 4 4 2" xfId="31187"/>
    <cellStyle name="Normal 4 2 3 4 4 4 2" xfId="31188"/>
    <cellStyle name="Normal 5 2 3 4 4 4 2" xfId="31189"/>
    <cellStyle name="Normal 7 2 3 4 4 4 2" xfId="31190"/>
    <cellStyle name="Normal 2 4 3 4 4 4 2" xfId="31191"/>
    <cellStyle name="Normal 3 4 3 4 4 4 2" xfId="31192"/>
    <cellStyle name="Normal 4 3 3 4 4 4 2" xfId="31193"/>
    <cellStyle name="Normal 5 3 3 4 4 4 2" xfId="31194"/>
    <cellStyle name="Normal 7 3 3 4 4 4 2" xfId="31195"/>
    <cellStyle name="Normal 2 7 3 4 4 2" xfId="31196"/>
    <cellStyle name="Normal 3 7 3 4 4 2" xfId="31197"/>
    <cellStyle name="Normal 4 6 3 4 4 2" xfId="31198"/>
    <cellStyle name="Normal 5 6 3 4 4 2" xfId="31199"/>
    <cellStyle name="Normal 7 6 3 4 4 2" xfId="31200"/>
    <cellStyle name="Normal 2 3 4 3 4 4 2" xfId="31201"/>
    <cellStyle name="Normal 3 3 4 3 4 4 2" xfId="31202"/>
    <cellStyle name="Normal 4 2 4 3 4 4 2" xfId="31203"/>
    <cellStyle name="Normal 5 2 4 3 4 4 2" xfId="31204"/>
    <cellStyle name="Normal 7 2 4 3 4 4 2" xfId="31205"/>
    <cellStyle name="Normal 2 4 4 3 4 4 2" xfId="31206"/>
    <cellStyle name="Normal 3 4 4 3 4 4 2" xfId="31207"/>
    <cellStyle name="Normal 4 3 4 3 4 4 2" xfId="31208"/>
    <cellStyle name="Normal 5 3 4 3 4 4 2" xfId="31209"/>
    <cellStyle name="Normal 7 3 4 3 4 4 2" xfId="31210"/>
    <cellStyle name="Normal 2 5 2 3 4 4 2" xfId="31211"/>
    <cellStyle name="Normal 3 5 2 3 4 4 2" xfId="31212"/>
    <cellStyle name="Normal 4 4 2 3 4 4 2" xfId="31213"/>
    <cellStyle name="Normal 5 4 2 3 4 4 2" xfId="31214"/>
    <cellStyle name="Normal 7 4 2 3 4 4 2" xfId="31215"/>
    <cellStyle name="Normal 2 3 2 2 3 4 4 2" xfId="31216"/>
    <cellStyle name="Normal 3 3 2 2 3 4 4 2" xfId="31217"/>
    <cellStyle name="Normal 4 2 2 2 3 4 4 2" xfId="31218"/>
    <cellStyle name="Normal 5 2 2 2 3 4 4 2" xfId="31219"/>
    <cellStyle name="Normal 7 2 2 2 3 4 4 2" xfId="31220"/>
    <cellStyle name="Normal 2 4 2 2 3 4 4 2" xfId="31221"/>
    <cellStyle name="Normal 3 4 2 2 3 4 4 2" xfId="31222"/>
    <cellStyle name="Normal 4 3 2 2 3 4 4 2" xfId="31223"/>
    <cellStyle name="Normal 5 3 2 2 3 4 4 2" xfId="31224"/>
    <cellStyle name="Normal 7 3 2 2 3 4 4 2" xfId="31225"/>
    <cellStyle name="Normal 2 6 2 3 4 4 2" xfId="31226"/>
    <cellStyle name="Normal 3 6 2 3 4 4 2" xfId="31227"/>
    <cellStyle name="Normal 4 5 2 3 4 4 2" xfId="31228"/>
    <cellStyle name="Normal 5 5 2 3 4 4 2" xfId="31229"/>
    <cellStyle name="Normal 7 5 2 3 4 4 2" xfId="31230"/>
    <cellStyle name="Normal 2 3 3 2 3 4 4 2" xfId="31231"/>
    <cellStyle name="Normal 3 3 3 2 3 4 4 2" xfId="31232"/>
    <cellStyle name="Normal 4 2 3 2 3 4 4 2" xfId="31233"/>
    <cellStyle name="Normal 5 2 3 2 3 4 4 2" xfId="31234"/>
    <cellStyle name="Normal 7 2 3 2 3 4 4 2" xfId="31235"/>
    <cellStyle name="Normal 2 4 3 2 3 4 4 2" xfId="31236"/>
    <cellStyle name="Normal 3 4 3 2 3 4 4 2" xfId="31237"/>
    <cellStyle name="Normal 4 3 3 2 3 4 4 2" xfId="31238"/>
    <cellStyle name="Normal 5 3 3 2 3 4 4 2" xfId="31239"/>
    <cellStyle name="Normal 7 3 3 2 3 4 4 2" xfId="31240"/>
    <cellStyle name="Normal 2 8 2 4 4 2" xfId="31241"/>
    <cellStyle name="Normal 3 8 2 4 4 2" xfId="31242"/>
    <cellStyle name="Normal 4 7 2 4 4 2" xfId="31243"/>
    <cellStyle name="Normal 5 7 2 4 4 2" xfId="31244"/>
    <cellStyle name="Normal 7 7 2 4 4 2" xfId="31245"/>
    <cellStyle name="Normal 2 3 5 2 4 4 2" xfId="31246"/>
    <cellStyle name="Normal 3 3 5 2 4 4 2" xfId="31247"/>
    <cellStyle name="Normal 4 2 5 2 4 4 2" xfId="31248"/>
    <cellStyle name="Normal 5 2 5 2 4 4 2" xfId="31249"/>
    <cellStyle name="Normal 7 2 5 2 4 4 2" xfId="31250"/>
    <cellStyle name="Normal 2 4 5 2 4 4 2" xfId="31251"/>
    <cellStyle name="Normal 3 4 5 2 4 4 2" xfId="31252"/>
    <cellStyle name="Normal 4 3 5 2 4 4 2" xfId="31253"/>
    <cellStyle name="Normal 5 3 5 2 4 4 2" xfId="31254"/>
    <cellStyle name="Normal 7 3 5 2 4 4 2" xfId="31255"/>
    <cellStyle name="Normal 2 5 3 2 4 4 2" xfId="31256"/>
    <cellStyle name="Normal 3 5 3 2 4 4 2" xfId="31257"/>
    <cellStyle name="Normal 4 4 3 2 4 4 2" xfId="31258"/>
    <cellStyle name="Normal 5 4 3 2 4 4 2" xfId="31259"/>
    <cellStyle name="Normal 7 4 3 2 4 4 2" xfId="31260"/>
    <cellStyle name="Normal 2 3 2 3 2 4 4 2" xfId="31261"/>
    <cellStyle name="Normal 3 3 2 3 2 4 4 2" xfId="31262"/>
    <cellStyle name="Normal 4 2 2 3 2 4 4 2" xfId="31263"/>
    <cellStyle name="Normal 5 2 2 3 2 4 4 2" xfId="31264"/>
    <cellStyle name="Normal 7 2 2 3 2 4 4 2" xfId="31265"/>
    <cellStyle name="Normal 2 4 2 3 2 4 4 2" xfId="31266"/>
    <cellStyle name="Normal 3 4 2 3 2 4 4 2" xfId="31267"/>
    <cellStyle name="Normal 4 3 2 3 2 4 4 2" xfId="31268"/>
    <cellStyle name="Normal 5 3 2 3 2 4 4 2" xfId="31269"/>
    <cellStyle name="Normal 7 3 2 3 2 4 4 2" xfId="31270"/>
    <cellStyle name="Normal 2 6 3 2 4 4 2" xfId="31271"/>
    <cellStyle name="Normal 3 6 3 2 4 4 2" xfId="31272"/>
    <cellStyle name="Normal 4 5 3 2 4 4 2" xfId="31273"/>
    <cellStyle name="Normal 5 5 3 2 4 4 2" xfId="31274"/>
    <cellStyle name="Normal 7 5 3 2 4 4 2" xfId="31275"/>
    <cellStyle name="Normal 2 3 3 3 2 4 4 2" xfId="31276"/>
    <cellStyle name="Normal 3 3 3 3 2 4 4 2" xfId="31277"/>
    <cellStyle name="Normal 4 2 3 3 2 4 4 2" xfId="31278"/>
    <cellStyle name="Normal 5 2 3 3 2 4 4 2" xfId="31279"/>
    <cellStyle name="Normal 7 2 3 3 2 4 4 2" xfId="31280"/>
    <cellStyle name="Normal 2 4 3 3 2 4 4 2" xfId="31281"/>
    <cellStyle name="Normal 3 4 3 3 2 4 4 2" xfId="31282"/>
    <cellStyle name="Normal 4 3 3 3 2 4 4 2" xfId="31283"/>
    <cellStyle name="Normal 5 3 3 3 2 4 4 2" xfId="31284"/>
    <cellStyle name="Normal 7 3 3 3 2 4 4 2" xfId="31285"/>
    <cellStyle name="Normal 2 7 2 2 4 4 2" xfId="31286"/>
    <cellStyle name="Normal 3 7 2 2 4 4 2" xfId="31287"/>
    <cellStyle name="Normal 4 6 2 2 4 4 2" xfId="31288"/>
    <cellStyle name="Normal 5 6 2 2 4 4 2" xfId="31289"/>
    <cellStyle name="Normal 7 6 2 2 4 4 2" xfId="31290"/>
    <cellStyle name="Normal 2 3 4 2 2 4 4 2" xfId="31291"/>
    <cellStyle name="Normal 3 3 4 2 2 4 4 2" xfId="31292"/>
    <cellStyle name="Normal 4 2 4 2 2 4 4 2" xfId="31293"/>
    <cellStyle name="Normal 5 2 4 2 2 4 4 2" xfId="31294"/>
    <cellStyle name="Normal 7 2 4 2 2 4 4 2" xfId="31295"/>
    <cellStyle name="Normal 2 4 4 2 2 4 4 2" xfId="31296"/>
    <cellStyle name="Normal 3 4 4 2 2 4 4 2" xfId="31297"/>
    <cellStyle name="Normal 4 3 4 2 2 4 4 2" xfId="31298"/>
    <cellStyle name="Normal 5 3 4 2 2 4 4 2" xfId="31299"/>
    <cellStyle name="Normal 7 3 4 2 2 4 4 2" xfId="31300"/>
    <cellStyle name="Normal 2 5 2 2 2 4 4 2" xfId="31301"/>
    <cellStyle name="Normal 3 5 2 2 2 4 4 2" xfId="31302"/>
    <cellStyle name="Normal 4 4 2 2 2 4 4 2" xfId="31303"/>
    <cellStyle name="Normal 5 4 2 2 2 4 4 2" xfId="31304"/>
    <cellStyle name="Normal 7 4 2 2 2 4 4 2" xfId="31305"/>
    <cellStyle name="Normal 2 3 2 2 2 2 4 4 2" xfId="31306"/>
    <cellStyle name="Normal 3 3 2 2 2 2 4 4 2" xfId="31307"/>
    <cellStyle name="Normal 4 2 2 2 2 2 4 4 2" xfId="31308"/>
    <cellStyle name="Normal 5 2 2 2 2 2 4 4 2" xfId="31309"/>
    <cellStyle name="Normal 7 2 2 2 2 2 4 4 2" xfId="31310"/>
    <cellStyle name="Normal 2 4 2 2 2 2 4 4 2" xfId="31311"/>
    <cellStyle name="Normal 3 4 2 2 2 2 4 4 2" xfId="31312"/>
    <cellStyle name="Normal 4 3 2 2 2 2 4 4 2" xfId="31313"/>
    <cellStyle name="Normal 5 3 2 2 2 2 4 4 2" xfId="31314"/>
    <cellStyle name="Normal 7 3 2 2 2 2 4 4 2" xfId="31315"/>
    <cellStyle name="Normal 2 6 2 2 2 4 4 2" xfId="31316"/>
    <cellStyle name="Normal 3 6 2 2 2 4 4 2" xfId="31317"/>
    <cellStyle name="Normal 4 5 2 2 2 4 4 2" xfId="31318"/>
    <cellStyle name="Normal 5 5 2 2 2 4 4 2" xfId="31319"/>
    <cellStyle name="Normal 7 5 2 2 2 4 4 2" xfId="31320"/>
    <cellStyle name="Normal 2 3 3 2 2 2 4 4 2" xfId="31321"/>
    <cellStyle name="Normal 3 3 3 2 2 2 4 4 2" xfId="31322"/>
    <cellStyle name="Normal 4 2 3 2 2 2 4 4 2" xfId="31323"/>
    <cellStyle name="Normal 5 2 3 2 2 2 4 4 2" xfId="31324"/>
    <cellStyle name="Normal 7 2 3 2 2 2 4 4 2" xfId="31325"/>
    <cellStyle name="Normal 2 4 3 2 2 2 4 4 2" xfId="31326"/>
    <cellStyle name="Normal 3 4 3 2 2 2 4 4 2" xfId="31327"/>
    <cellStyle name="Normal 4 3 3 2 2 2 4 4 2" xfId="31328"/>
    <cellStyle name="Normal 5 3 3 2 2 2 4 4 2" xfId="31329"/>
    <cellStyle name="Normal 7 3 3 2 2 2 4 4 2" xfId="31330"/>
    <cellStyle name="Normal 28 4 4 2" xfId="31331"/>
    <cellStyle name="Normal 2 3 7 4 4 2" xfId="31332"/>
    <cellStyle name="Normal 3 10 4 4 2" xfId="31333"/>
    <cellStyle name="Normal 4 9 4 4 2" xfId="31334"/>
    <cellStyle name="Normal 5 9 4 4 2" xfId="31335"/>
    <cellStyle name="Millares 4 4 4 2" xfId="31336"/>
    <cellStyle name="Normal 7 2 7 4 4 2" xfId="31337"/>
    <cellStyle name="Normal 3 3 7 4 4 2" xfId="31338"/>
    <cellStyle name="Normal 4 2 7 4 4 2" xfId="31339"/>
    <cellStyle name="Normal 5 2 7 4 4 2" xfId="31340"/>
    <cellStyle name="Normal 2 4 5 3 4 4 2" xfId="31341"/>
    <cellStyle name="Normal 3 4 7 4 4 2" xfId="31342"/>
    <cellStyle name="Normal 4 3 7 4 4 2" xfId="31343"/>
    <cellStyle name="Normal 5 3 7 4 4 2" xfId="31344"/>
    <cellStyle name="Normal 7 3 7 4 4 2" xfId="31345"/>
    <cellStyle name="Normal 2 5 5 4 4 2" xfId="31346"/>
    <cellStyle name="Normal 3 5 5 4 4 2" xfId="31347"/>
    <cellStyle name="Normal 4 4 5 4 4 2" xfId="31348"/>
    <cellStyle name="Normal 5 4 5 4 4 2" xfId="31349"/>
    <cellStyle name="Normal 7 4 5 4 4 2" xfId="31350"/>
    <cellStyle name="Normal 2 3 2 5 4 4 2" xfId="31351"/>
    <cellStyle name="Normal 3 3 2 5 4 4 2" xfId="31352"/>
    <cellStyle name="Normal 4 2 2 5 4 4 2" xfId="31353"/>
    <cellStyle name="Normal 5 2 2 5 4 4 2" xfId="31354"/>
    <cellStyle name="Normal 7 2 2 5 4 4 2" xfId="31355"/>
    <cellStyle name="Normal 2 4 2 5 4 4 2" xfId="31356"/>
    <cellStyle name="Normal 3 4 2 5 4 4 2" xfId="31357"/>
    <cellStyle name="Normal 4 3 2 5 4 4 2" xfId="31358"/>
    <cellStyle name="Normal 5 3 2 5 4 4 2" xfId="31359"/>
    <cellStyle name="Normal 7 3 2 5 4 4 2" xfId="31360"/>
    <cellStyle name="Normal 2 6 5 4 4 2" xfId="31361"/>
    <cellStyle name="Normal 3 6 5 4 4 2" xfId="31362"/>
    <cellStyle name="Normal 4 5 5 4 4 2" xfId="31363"/>
    <cellStyle name="Normal 5 5 5 4 4 2" xfId="31364"/>
    <cellStyle name="Normal 7 5 5 4 4 2" xfId="31365"/>
    <cellStyle name="Normal 2 3 3 5 4 4 2" xfId="31366"/>
    <cellStyle name="Normal 3 3 3 5 4 4 2" xfId="31367"/>
    <cellStyle name="Normal 4 2 3 5 4 4 2" xfId="31368"/>
    <cellStyle name="Normal 5 2 3 5 4 4 2" xfId="31369"/>
    <cellStyle name="Normal 7 2 3 5 4 4 2" xfId="31370"/>
    <cellStyle name="Normal 2 4 3 5 4 4 2" xfId="31371"/>
    <cellStyle name="Normal 3 4 3 5 4 4 2" xfId="31372"/>
    <cellStyle name="Normal 4 3 3 5 4 4 2" xfId="31373"/>
    <cellStyle name="Normal 5 3 3 5 4 4 2" xfId="31374"/>
    <cellStyle name="Normal 7 3 3 5 4 4 2" xfId="31375"/>
    <cellStyle name="Normal 2 7 4 4 4 2" xfId="31376"/>
    <cellStyle name="Normal 3 7 4 4 4 2" xfId="31377"/>
    <cellStyle name="Normal 4 6 4 4 4 2" xfId="31378"/>
    <cellStyle name="Normal 5 6 4 4 4 2" xfId="31379"/>
    <cellStyle name="Normal 7 6 4 4 4 2" xfId="31380"/>
    <cellStyle name="Normal 2 3 4 4 4 4 2" xfId="31381"/>
    <cellStyle name="Normal 3 3 4 4 4 4 2" xfId="31382"/>
    <cellStyle name="Normal 4 2 4 4 4 4 2" xfId="31383"/>
    <cellStyle name="Normal 5 2 4 4 4 4 2" xfId="31384"/>
    <cellStyle name="Normal 7 2 4 4 4 4 2" xfId="31385"/>
    <cellStyle name="Normal 2 4 4 4 4 4 2" xfId="31386"/>
    <cellStyle name="Normal 3 4 4 4 4 4 2" xfId="31387"/>
    <cellStyle name="Normal 4 3 4 4 4 4 2" xfId="31388"/>
    <cellStyle name="Normal 5 3 4 4 4 4 2" xfId="31389"/>
    <cellStyle name="Normal 7 3 4 4 4 4 2" xfId="31390"/>
    <cellStyle name="Normal 2 5 2 4 4 4 2" xfId="31391"/>
    <cellStyle name="Normal 3 5 2 4 4 4 2" xfId="31392"/>
    <cellStyle name="Normal 4 4 2 4 4 4 2" xfId="31393"/>
    <cellStyle name="Normal 5 4 2 4 4 4 2" xfId="31394"/>
    <cellStyle name="Normal 7 4 2 4 4 4 2" xfId="31395"/>
    <cellStyle name="Normal 2 3 2 2 4 4 4 2" xfId="31396"/>
    <cellStyle name="Normal 3 3 2 2 4 4 4 2" xfId="31397"/>
    <cellStyle name="Normal 4 2 2 2 4 4 4 2" xfId="31398"/>
    <cellStyle name="Normal 5 2 2 2 4 4 4 2" xfId="31399"/>
    <cellStyle name="Normal 7 2 2 2 4 4 4 2" xfId="31400"/>
    <cellStyle name="Normal 2 4 2 2 4 4 4 2" xfId="31401"/>
    <cellStyle name="Normal 3 4 2 2 4 4 4 2" xfId="31402"/>
    <cellStyle name="Normal 4 3 2 2 4 4 4 2" xfId="31403"/>
    <cellStyle name="Normal 5 3 2 2 4 4 4 2" xfId="31404"/>
    <cellStyle name="Normal 7 3 2 2 4 4 4 2" xfId="31405"/>
    <cellStyle name="Normal 2 6 2 4 4 4 2" xfId="31406"/>
    <cellStyle name="Normal 3 6 2 4 4 4 2" xfId="31407"/>
    <cellStyle name="Normal 4 5 2 4 4 4 2" xfId="31408"/>
    <cellStyle name="Normal 5 5 2 4 4 4 2" xfId="31409"/>
    <cellStyle name="Normal 7 5 2 4 4 4 2" xfId="31410"/>
    <cellStyle name="Normal 2 3 3 2 4 4 4 2" xfId="31411"/>
    <cellStyle name="Normal 3 3 3 2 4 4 4 2" xfId="31412"/>
    <cellStyle name="Normal 4 2 3 2 4 4 4 2" xfId="31413"/>
    <cellStyle name="Normal 5 2 3 2 4 4 4 2" xfId="31414"/>
    <cellStyle name="Normal 7 2 3 2 4 4 4 2" xfId="31415"/>
    <cellStyle name="Normal 2 4 3 2 4 4 4 2" xfId="31416"/>
    <cellStyle name="Normal 3 4 3 2 4 4 4 2" xfId="31417"/>
    <cellStyle name="Normal 4 3 3 2 4 4 4 2" xfId="31418"/>
    <cellStyle name="Normal 5 3 3 2 4 4 4 2" xfId="31419"/>
    <cellStyle name="Normal 7 3 3 2 4 4 4 2" xfId="31420"/>
    <cellStyle name="Normal 2 8 3 4 4 2" xfId="31421"/>
    <cellStyle name="Normal 3 8 3 4 4 2" xfId="31422"/>
    <cellStyle name="Normal 4 7 3 4 4 2" xfId="31423"/>
    <cellStyle name="Normal 5 7 3 4 4 2" xfId="31424"/>
    <cellStyle name="Normal 7 7 3 4 4 2" xfId="31425"/>
    <cellStyle name="Normal 2 3 5 3 4 4 2" xfId="31426"/>
    <cellStyle name="Normal 3 3 5 3 4 4 2" xfId="31427"/>
    <cellStyle name="Normal 4 2 5 3 4 4 2" xfId="31428"/>
    <cellStyle name="Normal 5 2 5 3 4 4 2" xfId="31429"/>
    <cellStyle name="Normal 7 2 5 3 4 4 2" xfId="31430"/>
    <cellStyle name="Normal 3 4 5 3 4 4 2" xfId="31431"/>
    <cellStyle name="Normal 4 3 5 3 4 4 2" xfId="31432"/>
    <cellStyle name="Normal 5 3 5 3 4 4 2" xfId="31433"/>
    <cellStyle name="Normal 7 3 5 3 4 4 2" xfId="31434"/>
    <cellStyle name="Normal 2 5 3 3 4 4 2" xfId="31435"/>
    <cellStyle name="Normal 3 5 3 3 4 4 2" xfId="31436"/>
    <cellStyle name="Normal 4 4 3 3 4 4 2" xfId="31437"/>
    <cellStyle name="Normal 5 4 3 3 4 4 2" xfId="31438"/>
    <cellStyle name="Normal 7 4 3 3 4 4 2" xfId="31439"/>
    <cellStyle name="Normal 2 3 2 3 3 4 4 2" xfId="31440"/>
    <cellStyle name="Normal 3 3 2 3 3 4 4 2" xfId="31441"/>
    <cellStyle name="Normal 4 2 2 3 3 4 4 2" xfId="31442"/>
    <cellStyle name="Normal 5 2 2 3 3 4 4 2" xfId="31443"/>
    <cellStyle name="Normal 7 2 2 3 3 4 4 2" xfId="31444"/>
    <cellStyle name="Normal 2 4 2 3 3 4 4 2" xfId="31445"/>
    <cellStyle name="Normal 3 4 2 3 3 4 4 2" xfId="31446"/>
    <cellStyle name="Normal 4 3 2 3 3 4 4 2" xfId="31447"/>
    <cellStyle name="Normal 5 3 2 3 3 4 4 2" xfId="31448"/>
    <cellStyle name="Normal 7 3 2 3 3 4 4 2" xfId="31449"/>
    <cellStyle name="Normal 2 6 3 3 4 4 2" xfId="31450"/>
    <cellStyle name="Normal 3 6 3 3 4 4 2" xfId="31451"/>
    <cellStyle name="Normal 4 5 3 3 4 4 2" xfId="31452"/>
    <cellStyle name="Normal 5 5 3 3 4 4 2" xfId="31453"/>
    <cellStyle name="Normal 7 5 3 3 4 4 2" xfId="31454"/>
    <cellStyle name="Normal 2 3 3 3 3 4 4 2" xfId="31455"/>
    <cellStyle name="Normal 3 3 3 3 3 4 4 2" xfId="31456"/>
    <cellStyle name="Normal 4 2 3 3 3 4 4 2" xfId="31457"/>
    <cellStyle name="Normal 5 2 3 3 3 4 4 2" xfId="31458"/>
    <cellStyle name="Normal 7 2 3 3 3 4 4 2" xfId="31459"/>
    <cellStyle name="Normal 2 4 3 3 3 4 4 2" xfId="31460"/>
    <cellStyle name="Normal 3 4 3 3 3 4 4 2" xfId="31461"/>
    <cellStyle name="Normal 4 3 3 3 3 4 4 2" xfId="31462"/>
    <cellStyle name="Normal 5 3 3 3 3 4 4 2" xfId="31463"/>
    <cellStyle name="Normal 7 3 3 3 3 4 4 2" xfId="31464"/>
    <cellStyle name="Normal 2 7 2 3 4 4 2" xfId="31465"/>
    <cellStyle name="Normal 3 7 2 3 4 4 2" xfId="31466"/>
    <cellStyle name="Normal 4 6 2 3 4 4 2" xfId="31467"/>
    <cellStyle name="Normal 5 6 2 3 4 4 2" xfId="31468"/>
    <cellStyle name="Normal 7 6 2 3 4 4 2" xfId="31469"/>
    <cellStyle name="Normal 2 3 4 2 3 4 4 2" xfId="31470"/>
    <cellStyle name="Normal 3 3 4 2 3 4 4 2" xfId="31471"/>
    <cellStyle name="Normal 4 2 4 2 3 4 4 2" xfId="31472"/>
    <cellStyle name="Normal 5 2 4 2 3 4 4 2" xfId="31473"/>
    <cellStyle name="Normal 7 2 4 2 3 4 4 2" xfId="31474"/>
    <cellStyle name="Normal 2 4 4 2 3 4 4 2" xfId="31475"/>
    <cellStyle name="Normal 3 4 4 2 3 4 4 2" xfId="31476"/>
    <cellStyle name="Normal 4 3 4 2 3 4 4 2" xfId="31477"/>
    <cellStyle name="Normal 5 3 4 2 3 4 4 2" xfId="31478"/>
    <cellStyle name="Normal 7 3 4 2 3 4 4 2" xfId="31479"/>
    <cellStyle name="Normal 2 5 2 2 3 4 4 2" xfId="31480"/>
    <cellStyle name="Normal 3 5 2 2 3 4 4 2" xfId="31481"/>
    <cellStyle name="Normal 4 4 2 2 3 4 4 2" xfId="31482"/>
    <cellStyle name="Normal 5 4 2 2 3 4 4 2" xfId="31483"/>
    <cellStyle name="Normal 7 4 2 2 3 4 4 2" xfId="31484"/>
    <cellStyle name="Normal 2 3 2 2 2 3 4 4 2" xfId="31485"/>
    <cellStyle name="Normal 3 3 2 2 2 3 4 4 2" xfId="31486"/>
    <cellStyle name="Normal 4 2 2 2 2 3 4 4 2" xfId="31487"/>
    <cellStyle name="Normal 5 2 2 2 2 3 4 4 2" xfId="31488"/>
    <cellStyle name="Normal 7 2 2 2 2 3 4 4 2" xfId="31489"/>
    <cellStyle name="Normal 2 4 2 2 2 3 4 4 2" xfId="31490"/>
    <cellStyle name="Normal 3 4 2 2 2 3 4 4 2" xfId="31491"/>
    <cellStyle name="Normal 4 3 2 2 2 3 4 4 2" xfId="31492"/>
    <cellStyle name="Normal 5 3 2 2 2 3 4 4 2" xfId="31493"/>
    <cellStyle name="Normal 7 3 2 2 2 3 4 4 2" xfId="31494"/>
    <cellStyle name="Normal 2 6 2 2 3 4 4 2" xfId="31495"/>
    <cellStyle name="Normal 3 6 2 2 3 4 4 2" xfId="31496"/>
    <cellStyle name="Normal 4 5 2 2 3 4 4 2" xfId="31497"/>
    <cellStyle name="Normal 5 5 2 2 3 4 4 2" xfId="31498"/>
    <cellStyle name="Normal 7 5 2 2 3 4 4 2" xfId="31499"/>
    <cellStyle name="Normal 2 3 3 2 2 3 4 4 2" xfId="31500"/>
    <cellStyle name="Normal 3 3 3 2 2 3 4 4 2" xfId="31501"/>
    <cellStyle name="Normal 4 2 3 2 2 3 4 4 2" xfId="31502"/>
    <cellStyle name="Normal 5 2 3 2 2 3 4 4 2" xfId="31503"/>
    <cellStyle name="Normal 7 2 3 2 2 3 4 4 2" xfId="31504"/>
    <cellStyle name="Normal 2 4 3 2 2 3 4 4 2" xfId="31505"/>
    <cellStyle name="Normal 3 4 3 2 2 3 4 4 2" xfId="31506"/>
    <cellStyle name="Normal 4 3 3 2 2 3 4 4 2" xfId="31507"/>
    <cellStyle name="Normal 5 3 3 2 2 3 4 4 2" xfId="31508"/>
    <cellStyle name="Normal 7 3 3 2 2 3 4 4 2" xfId="31509"/>
    <cellStyle name="Normal 2 11 2 4 2" xfId="31510"/>
    <cellStyle name="Normal 3 11 2 4 2" xfId="31511"/>
    <cellStyle name="Normal 4 10 2 4 2" xfId="31512"/>
    <cellStyle name="Normal 5 10 2 4 2" xfId="31513"/>
    <cellStyle name="Normal 7 10 2 4 2" xfId="31514"/>
    <cellStyle name="Normal 2 3 8 2 4 2" xfId="31515"/>
    <cellStyle name="Normal 3 3 8 2 4 2" xfId="31516"/>
    <cellStyle name="Normal 4 2 8 2 4 2" xfId="31517"/>
    <cellStyle name="Normal 5 2 8 2 4 2" xfId="31518"/>
    <cellStyle name="Normal 7 2 8 2 4 2" xfId="31519"/>
    <cellStyle name="Normal 2 4 8 2 4 2" xfId="31520"/>
    <cellStyle name="Normal 3 4 8 2 4 2" xfId="31521"/>
    <cellStyle name="Normal 4 3 8 2 4 2" xfId="31522"/>
    <cellStyle name="Normal 5 3 8 2 4 2" xfId="31523"/>
    <cellStyle name="Normal 7 3 8 2 4 2" xfId="31524"/>
    <cellStyle name="Normal 2 5 6 2 4 2" xfId="31525"/>
    <cellStyle name="Normal 3 5 6 2 4 2" xfId="31526"/>
    <cellStyle name="Normal 4 4 6 2 4 2" xfId="31527"/>
    <cellStyle name="Normal 5 4 6 2 4 2" xfId="31528"/>
    <cellStyle name="Normal 7 4 6 2 4 2" xfId="31529"/>
    <cellStyle name="Normal 2 3 2 6 2 4 2" xfId="31530"/>
    <cellStyle name="Normal 3 3 2 6 2 4 2" xfId="31531"/>
    <cellStyle name="Normal 4 2 2 6 2 4 2" xfId="31532"/>
    <cellStyle name="Normal 5 2 2 6 2 4 2" xfId="31533"/>
    <cellStyle name="Normal 7 2 2 6 2 4 2" xfId="31534"/>
    <cellStyle name="Normal 2 4 2 6 2 4 2" xfId="31535"/>
    <cellStyle name="Normal 3 4 2 6 2 4 2" xfId="31536"/>
    <cellStyle name="Normal 4 3 2 6 2 4 2" xfId="31537"/>
    <cellStyle name="Normal 5 3 2 6 2 4 2" xfId="31538"/>
    <cellStyle name="Normal 7 3 2 6 2 4 2" xfId="31539"/>
    <cellStyle name="Normal 2 6 6 2 4 2" xfId="31540"/>
    <cellStyle name="Normal 3 6 6 2 4 2" xfId="31541"/>
    <cellStyle name="Normal 4 5 6 2 4 2" xfId="31542"/>
    <cellStyle name="Normal 5 5 6 2 4 2" xfId="31543"/>
    <cellStyle name="Normal 7 5 6 2 4 2" xfId="31544"/>
    <cellStyle name="Normal 2 3 3 6 2 4 2" xfId="31545"/>
    <cellStyle name="Normal 3 3 3 6 2 4 2" xfId="31546"/>
    <cellStyle name="Normal 4 2 3 6 2 4 2" xfId="31547"/>
    <cellStyle name="Normal 5 2 3 6 2 4 2" xfId="31548"/>
    <cellStyle name="Normal 7 2 3 6 2 4 2" xfId="31549"/>
    <cellStyle name="Normal 2 4 3 6 2 4 2" xfId="31550"/>
    <cellStyle name="Normal 3 4 3 6 2 4 2" xfId="31551"/>
    <cellStyle name="Normal 4 3 3 6 2 4 2" xfId="31552"/>
    <cellStyle name="Normal 5 3 3 6 2 4 2" xfId="31553"/>
    <cellStyle name="Normal 7 3 3 6 2 4 2" xfId="31554"/>
    <cellStyle name="Normal 2 7 5 2 4 2" xfId="31555"/>
    <cellStyle name="Normal 3 7 5 2 4 2" xfId="31556"/>
    <cellStyle name="Normal 4 6 5 2 4 2" xfId="31557"/>
    <cellStyle name="Normal 5 6 5 2 4 2" xfId="31558"/>
    <cellStyle name="Normal 7 6 5 2 4 2" xfId="31559"/>
    <cellStyle name="Normal 2 3 4 5 2 4 2" xfId="31560"/>
    <cellStyle name="Normal 3 3 4 5 2 4 2" xfId="31561"/>
    <cellStyle name="Normal 4 2 4 5 2 4 2" xfId="31562"/>
    <cellStyle name="Normal 5 2 4 5 2 4 2" xfId="31563"/>
    <cellStyle name="Normal 7 2 4 5 2 4 2" xfId="31564"/>
    <cellStyle name="Normal 2 4 4 5 2 4 2" xfId="31565"/>
    <cellStyle name="Normal 3 4 4 5 2 4 2" xfId="31566"/>
    <cellStyle name="Normal 4 3 4 5 2 4 2" xfId="31567"/>
    <cellStyle name="Normal 5 3 4 5 2 4 2" xfId="31568"/>
    <cellStyle name="Normal 7 3 4 5 2 4 2" xfId="31569"/>
    <cellStyle name="Normal 2 5 2 5 2 4 2" xfId="31570"/>
    <cellStyle name="Normal 3 5 2 5 2 4 2" xfId="31571"/>
    <cellStyle name="Normal 4 4 2 5 2 4 2" xfId="31572"/>
    <cellStyle name="Normal 5 4 2 5 2 4 2" xfId="31573"/>
    <cellStyle name="Normal 7 4 2 5 2 4 2" xfId="31574"/>
    <cellStyle name="Normal 2 3 2 2 5 2 4 2" xfId="31575"/>
    <cellStyle name="Normal 3 3 2 2 5 2 4 2" xfId="31576"/>
    <cellStyle name="Normal 4 2 2 2 5 2 4 2" xfId="31577"/>
    <cellStyle name="Normal 5 2 2 2 5 2 4 2" xfId="31578"/>
    <cellStyle name="Normal 7 2 2 2 5 2 4 2" xfId="31579"/>
    <cellStyle name="Normal 2 4 2 2 5 2 4 2" xfId="31580"/>
    <cellStyle name="Normal 3 4 2 2 5 2 4 2" xfId="31581"/>
    <cellStyle name="Normal 4 3 2 2 5 2 4 2" xfId="31582"/>
    <cellStyle name="Normal 5 3 2 2 5 2 4 2" xfId="31583"/>
    <cellStyle name="Normal 7 3 2 2 5 2 4 2" xfId="31584"/>
    <cellStyle name="Normal 2 6 2 5 2 4 2" xfId="31585"/>
    <cellStyle name="Normal 3 6 2 5 2 4 2" xfId="31586"/>
    <cellStyle name="Normal 4 5 2 5 2 4 2" xfId="31587"/>
    <cellStyle name="Normal 5 5 2 5 2 4 2" xfId="31588"/>
    <cellStyle name="Normal 7 5 2 5 2 4 2" xfId="31589"/>
    <cellStyle name="Normal 2 3 3 2 5 2 4 2" xfId="31590"/>
    <cellStyle name="Normal 3 3 3 2 5 2 4 2" xfId="31591"/>
    <cellStyle name="Normal 4 2 3 2 5 2 4 2" xfId="31592"/>
    <cellStyle name="Normal 5 2 3 2 5 2 4 2" xfId="31593"/>
    <cellStyle name="Normal 7 2 3 2 5 2 4 2" xfId="31594"/>
    <cellStyle name="Normal 2 4 3 2 5 2 4 2" xfId="31595"/>
    <cellStyle name="Normal 3 4 3 2 5 2 4 2" xfId="31596"/>
    <cellStyle name="Normal 4 3 3 2 5 2 4 2" xfId="31597"/>
    <cellStyle name="Normal 5 3 3 2 5 2 4 2" xfId="31598"/>
    <cellStyle name="Normal 7 3 3 2 5 2 4 2" xfId="31599"/>
    <cellStyle name="Normal 2 8 4 2 4 2" xfId="31600"/>
    <cellStyle name="Normal 3 8 4 2 4 2" xfId="31601"/>
    <cellStyle name="Normal 4 7 4 2 4 2" xfId="31602"/>
    <cellStyle name="Normal 5 7 4 2 4 2" xfId="31603"/>
    <cellStyle name="Normal 7 7 4 2 4 2" xfId="31604"/>
    <cellStyle name="Normal 2 3 5 4 2 4 2" xfId="31605"/>
    <cellStyle name="Normal 3 3 5 4 2 4 2" xfId="31606"/>
    <cellStyle name="Normal 4 2 5 4 2 4 2" xfId="31607"/>
    <cellStyle name="Normal 5 2 5 4 2 4 2" xfId="31608"/>
    <cellStyle name="Normal 7 2 5 4 2 4 2" xfId="31609"/>
    <cellStyle name="Normal 2 4 5 4 2 4 2" xfId="31610"/>
    <cellStyle name="Normal 3 4 5 4 2 4 2" xfId="31611"/>
    <cellStyle name="Normal 4 3 5 4 2 4 2" xfId="31612"/>
    <cellStyle name="Normal 5 3 5 4 2 4 2" xfId="31613"/>
    <cellStyle name="Normal 7 3 5 4 2 4 2" xfId="31614"/>
    <cellStyle name="Normal 2 5 3 4 2 4 2" xfId="31615"/>
    <cellStyle name="Normal 3 5 3 4 2 4 2" xfId="31616"/>
    <cellStyle name="Normal 4 4 3 4 2 4 2" xfId="31617"/>
    <cellStyle name="Normal 5 4 3 4 2 4 2" xfId="31618"/>
    <cellStyle name="Normal 7 4 3 4 2 4 2" xfId="31619"/>
    <cellStyle name="Normal 2 3 2 3 4 2 4 2" xfId="31620"/>
    <cellStyle name="Normal 3 3 2 3 4 2 4 2" xfId="31621"/>
    <cellStyle name="Normal 4 2 2 3 4 2 4 2" xfId="31622"/>
    <cellStyle name="Normal 5 2 2 3 4 2 4 2" xfId="31623"/>
    <cellStyle name="Normal 7 2 2 3 4 2 4 2" xfId="31624"/>
    <cellStyle name="Normal 2 4 2 3 4 2 4 2" xfId="31625"/>
    <cellStyle name="Normal 3 4 2 3 4 2 4 2" xfId="31626"/>
    <cellStyle name="Normal 4 3 2 3 4 2 4 2" xfId="31627"/>
    <cellStyle name="Normal 5 3 2 3 4 2 4 2" xfId="31628"/>
    <cellStyle name="Normal 7 3 2 3 4 2 4 2" xfId="31629"/>
    <cellStyle name="Normal 2 6 3 4 2 4 2" xfId="31630"/>
    <cellStyle name="Normal 3 6 3 4 2 4 2" xfId="31631"/>
    <cellStyle name="Normal 4 5 3 4 2 4 2" xfId="31632"/>
    <cellStyle name="Normal 5 5 3 4 2 4 2" xfId="31633"/>
    <cellStyle name="Normal 7 5 3 4 2 4 2" xfId="31634"/>
    <cellStyle name="Normal 2 3 3 3 4 2 4 2" xfId="31635"/>
    <cellStyle name="Normal 3 3 3 3 4 2 4 2" xfId="31636"/>
    <cellStyle name="Normal 4 2 3 3 4 2 4 2" xfId="31637"/>
    <cellStyle name="Normal 5 2 3 3 4 2 4 2" xfId="31638"/>
    <cellStyle name="Normal 7 2 3 3 4 2 4 2" xfId="31639"/>
    <cellStyle name="Normal 2 4 3 3 4 2 4 2" xfId="31640"/>
    <cellStyle name="Normal 3 4 3 3 4 2 4 2" xfId="31641"/>
    <cellStyle name="Normal 4 3 3 3 4 2 4 2" xfId="31642"/>
    <cellStyle name="Normal 5 3 3 3 4 2 4 2" xfId="31643"/>
    <cellStyle name="Normal 7 3 3 3 4 2 4 2" xfId="31644"/>
    <cellStyle name="Normal 2 7 2 4 2 4 2" xfId="31645"/>
    <cellStyle name="Normal 3 7 2 4 2 4 2" xfId="31646"/>
    <cellStyle name="Normal 4 6 2 4 2 4 2" xfId="31647"/>
    <cellStyle name="Normal 5 6 2 4 2 4 2" xfId="31648"/>
    <cellStyle name="Normal 7 6 2 4 2 4 2" xfId="31649"/>
    <cellStyle name="Normal 2 3 4 2 4 2 4 2" xfId="31650"/>
    <cellStyle name="Normal 3 3 4 2 4 2 4 2" xfId="31651"/>
    <cellStyle name="Normal 4 2 4 2 4 2 4 2" xfId="31652"/>
    <cellStyle name="Normal 5 2 4 2 4 2 4 2" xfId="31653"/>
    <cellStyle name="Normal 7 2 4 2 4 2 4 2" xfId="31654"/>
    <cellStyle name="Normal 2 4 4 2 4 2 4 2" xfId="31655"/>
    <cellStyle name="Normal 3 4 4 2 4 2 4 2" xfId="31656"/>
    <cellStyle name="Normal 4 3 4 2 4 2 4 2" xfId="31657"/>
    <cellStyle name="Normal 5 3 4 2 4 2 4 2" xfId="31658"/>
    <cellStyle name="Normal 7 3 4 2 4 2 4 2" xfId="31659"/>
    <cellStyle name="Normal 2 5 2 2 4 2 4 2" xfId="31660"/>
    <cellStyle name="Normal 3 5 2 2 4 2 4 2" xfId="31661"/>
    <cellStyle name="Normal 4 4 2 2 4 2 4 2" xfId="31662"/>
    <cellStyle name="Normal 5 4 2 2 4 2 4 2" xfId="31663"/>
    <cellStyle name="Normal 7 4 2 2 4 2 4 2" xfId="31664"/>
    <cellStyle name="Normal 2 3 2 2 2 4 2 4 2" xfId="31665"/>
    <cellStyle name="Normal 3 3 2 2 2 4 2 4 2" xfId="31666"/>
    <cellStyle name="Normal 4 2 2 2 2 4 2 4 2" xfId="31667"/>
    <cellStyle name="Normal 5 2 2 2 2 4 2 4 2" xfId="31668"/>
    <cellStyle name="Normal 7 2 2 2 2 4 2 4 2" xfId="31669"/>
    <cellStyle name="Normal 2 4 2 2 2 4 2 4 2" xfId="31670"/>
    <cellStyle name="Normal 3 4 2 2 2 4 2 4 2" xfId="31671"/>
    <cellStyle name="Normal 4 3 2 2 2 4 2 4 2" xfId="31672"/>
    <cellStyle name="Normal 5 3 2 2 2 4 2 4 2" xfId="31673"/>
    <cellStyle name="Normal 7 3 2 2 2 4 2 4 2" xfId="31674"/>
    <cellStyle name="Normal 2 6 2 2 4 2 4 2" xfId="31675"/>
    <cellStyle name="Normal 3 6 2 2 4 2 4 2" xfId="31676"/>
    <cellStyle name="Normal 4 5 2 2 4 2 4 2" xfId="31677"/>
    <cellStyle name="Normal 5 5 2 2 4 2 4 2" xfId="31678"/>
    <cellStyle name="Normal 7 5 2 2 4 2 4 2" xfId="31679"/>
    <cellStyle name="Normal 2 3 3 2 2 4 2 4 2" xfId="31680"/>
    <cellStyle name="Normal 3 3 3 2 2 4 2 4 2" xfId="31681"/>
    <cellStyle name="Normal 4 2 3 2 2 4 2 4 2" xfId="31682"/>
    <cellStyle name="Normal 5 2 3 2 2 4 2 4 2" xfId="31683"/>
    <cellStyle name="Normal 7 2 3 2 2 4 2 4 2" xfId="31684"/>
    <cellStyle name="Normal 2 4 3 2 2 4 2 4 2" xfId="31685"/>
    <cellStyle name="Normal 3 4 3 2 2 4 2 4 2" xfId="31686"/>
    <cellStyle name="Normal 4 3 3 2 2 4 2 4 2" xfId="31687"/>
    <cellStyle name="Normal 5 3 3 2 2 4 2 4 2" xfId="31688"/>
    <cellStyle name="Normal 7 3 3 2 2 4 2 4 2" xfId="31689"/>
    <cellStyle name="Normal 2 9 2 2 4 2" xfId="31690"/>
    <cellStyle name="Normal 3 9 2 2 4 2" xfId="31691"/>
    <cellStyle name="Normal 4 8 2 2 4 2" xfId="31692"/>
    <cellStyle name="Normal 5 8 2 2 4 2" xfId="31693"/>
    <cellStyle name="Normal 7 8 2 2 4 2" xfId="31694"/>
    <cellStyle name="Normal 2 3 6 2 2 4 2" xfId="31695"/>
    <cellStyle name="Normal 3 3 6 2 2 4 2" xfId="31696"/>
    <cellStyle name="Normal 4 2 6 2 2 4 2" xfId="31697"/>
    <cellStyle name="Normal 5 2 6 2 2 4 2" xfId="31698"/>
    <cellStyle name="Normal 7 2 6 2 2 4 2" xfId="31699"/>
    <cellStyle name="Normal 2 4 6 2 2 4 2" xfId="31700"/>
    <cellStyle name="Normal 3 4 6 2 2 4 2" xfId="31701"/>
    <cellStyle name="Normal 4 3 6 2 2 4 2" xfId="31702"/>
    <cellStyle name="Normal 5 3 6 2 2 4 2" xfId="31703"/>
    <cellStyle name="Normal 7 3 6 2 2 4 2" xfId="31704"/>
    <cellStyle name="Normal 2 5 4 2 2 4 2" xfId="31705"/>
    <cellStyle name="Normal 3 5 4 2 2 4 2" xfId="31706"/>
    <cellStyle name="Normal 4 4 4 2 2 4 2" xfId="31707"/>
    <cellStyle name="Normal 5 4 4 2 2 4 2" xfId="31708"/>
    <cellStyle name="Normal 7 4 4 2 2 4 2" xfId="31709"/>
    <cellStyle name="Normal 2 3 2 4 2 2 4 2" xfId="31710"/>
    <cellStyle name="Normal 3 3 2 4 2 2 4 2" xfId="31711"/>
    <cellStyle name="Normal 4 2 2 4 2 2 4 2" xfId="31712"/>
    <cellStyle name="Normal 5 2 2 4 2 2 4 2" xfId="31713"/>
    <cellStyle name="Normal 7 2 2 4 2 2 4 2" xfId="31714"/>
    <cellStyle name="Normal 2 4 2 4 2 2 4 2" xfId="31715"/>
    <cellStyle name="Normal 3 4 2 4 2 2 4 2" xfId="31716"/>
    <cellStyle name="Normal 4 3 2 4 2 2 4 2" xfId="31717"/>
    <cellStyle name="Normal 5 3 2 4 2 2 4 2" xfId="31718"/>
    <cellStyle name="Normal 7 3 2 4 2 2 4 2" xfId="31719"/>
    <cellStyle name="Normal 2 6 4 2 2 4 2" xfId="31720"/>
    <cellStyle name="Normal 3 6 4 2 2 4 2" xfId="31721"/>
    <cellStyle name="Normal 4 5 4 2 2 4 2" xfId="31722"/>
    <cellStyle name="Normal 5 5 4 2 2 4 2" xfId="31723"/>
    <cellStyle name="Normal 7 5 4 2 2 4 2" xfId="31724"/>
    <cellStyle name="Normal 2 3 3 4 2 2 4 2" xfId="31725"/>
    <cellStyle name="Normal 3 3 3 4 2 2 4 2" xfId="31726"/>
    <cellStyle name="Normal 4 2 3 4 2 2 4 2" xfId="31727"/>
    <cellStyle name="Normal 5 2 3 4 2 2 4 2" xfId="31728"/>
    <cellStyle name="Normal 7 2 3 4 2 2 4 2" xfId="31729"/>
    <cellStyle name="Normal 2 4 3 4 2 2 4 2" xfId="31730"/>
    <cellStyle name="Normal 3 4 3 4 2 2 4 2" xfId="31731"/>
    <cellStyle name="Normal 4 3 3 4 2 2 4 2" xfId="31732"/>
    <cellStyle name="Normal 5 3 3 4 2 2 4 2" xfId="31733"/>
    <cellStyle name="Normal 7 3 3 4 2 2 4 2" xfId="31734"/>
    <cellStyle name="Normal 2 7 3 2 2 4 2" xfId="31735"/>
    <cellStyle name="Normal 3 7 3 2 2 4 2" xfId="31736"/>
    <cellStyle name="Normal 4 6 3 2 2 4 2" xfId="31737"/>
    <cellStyle name="Normal 5 6 3 2 2 4 2" xfId="31738"/>
    <cellStyle name="Normal 7 6 3 2 2 4 2" xfId="31739"/>
    <cellStyle name="Normal 2 3 4 3 2 2 4 2" xfId="31740"/>
    <cellStyle name="Normal 3 3 4 3 2 2 4 2" xfId="31741"/>
    <cellStyle name="Normal 4 2 4 3 2 2 4 2" xfId="31742"/>
    <cellStyle name="Normal 5 2 4 3 2 2 4 2" xfId="31743"/>
    <cellStyle name="Normal 7 2 4 3 2 2 4 2" xfId="31744"/>
    <cellStyle name="Normal 2 4 4 3 2 2 4 2" xfId="31745"/>
    <cellStyle name="Normal 3 4 4 3 2 2 4 2" xfId="31746"/>
    <cellStyle name="Normal 4 3 4 3 2 2 4 2" xfId="31747"/>
    <cellStyle name="Normal 5 3 4 3 2 2 4 2" xfId="31748"/>
    <cellStyle name="Normal 7 3 4 3 2 2 4 2" xfId="31749"/>
    <cellStyle name="Normal 2 5 2 3 2 2 4 2" xfId="31750"/>
    <cellStyle name="Normal 3 5 2 3 2 2 4 2" xfId="31751"/>
    <cellStyle name="Normal 4 4 2 3 2 2 4 2" xfId="31752"/>
    <cellStyle name="Normal 5 4 2 3 2 2 4 2" xfId="31753"/>
    <cellStyle name="Normal 7 4 2 3 2 2 4 2" xfId="31754"/>
    <cellStyle name="Normal 2 3 2 2 3 2 2 4 2" xfId="31755"/>
    <cellStyle name="Normal 3 3 2 2 3 2 2 4 2" xfId="31756"/>
    <cellStyle name="Normal 4 2 2 2 3 2 2 4 2" xfId="31757"/>
    <cellStyle name="Normal 5 2 2 2 3 2 2 4 2" xfId="31758"/>
    <cellStyle name="Normal 7 2 2 2 3 2 2 4 2" xfId="31759"/>
    <cellStyle name="Normal 2 4 2 2 3 2 2 4 2" xfId="31760"/>
    <cellStyle name="Normal 3 4 2 2 3 2 2 4 2" xfId="31761"/>
    <cellStyle name="Normal 4 3 2 2 3 2 2 4 2" xfId="31762"/>
    <cellStyle name="Normal 5 3 2 2 3 2 2 4 2" xfId="31763"/>
    <cellStyle name="Normal 7 3 2 2 3 2 2 4 2" xfId="31764"/>
    <cellStyle name="Normal 2 6 2 3 2 2 4 2" xfId="31765"/>
    <cellStyle name="Normal 3 6 2 3 2 2 4 2" xfId="31766"/>
    <cellStyle name="Normal 4 5 2 3 2 2 4 2" xfId="31767"/>
    <cellStyle name="Normal 5 5 2 3 2 2 4 2" xfId="31768"/>
    <cellStyle name="Normal 7 5 2 3 2 2 4 2" xfId="31769"/>
    <cellStyle name="Normal 2 3 3 2 3 2 2 4 2" xfId="31770"/>
    <cellStyle name="Normal 3 3 3 2 3 2 2 4 2" xfId="31771"/>
    <cellStyle name="Normal 4 2 3 2 3 2 2 4 2" xfId="31772"/>
    <cellStyle name="Normal 5 2 3 2 3 2 2 4 2" xfId="31773"/>
    <cellStyle name="Normal 7 2 3 2 3 2 2 4 2" xfId="31774"/>
    <cellStyle name="Normal 2 4 3 2 3 2 2 4 2" xfId="31775"/>
    <cellStyle name="Normal 3 4 3 2 3 2 2 4 2" xfId="31776"/>
    <cellStyle name="Normal 4 3 3 2 3 2 2 4 2" xfId="31777"/>
    <cellStyle name="Normal 5 3 3 2 3 2 2 4 2" xfId="31778"/>
    <cellStyle name="Normal 7 3 3 2 3 2 2 4 2" xfId="31779"/>
    <cellStyle name="Normal 2 8 2 2 2 4 2" xfId="31780"/>
    <cellStyle name="Normal 3 8 2 2 2 4 2" xfId="31781"/>
    <cellStyle name="Normal 4 7 2 2 2 4 2" xfId="31782"/>
    <cellStyle name="Normal 5 7 2 2 2 4 2" xfId="31783"/>
    <cellStyle name="Normal 7 7 2 2 2 4 2" xfId="31784"/>
    <cellStyle name="Normal 2 3 5 2 2 2 4 2" xfId="31785"/>
    <cellStyle name="Normal 3 3 5 2 2 2 4 2" xfId="31786"/>
    <cellStyle name="Normal 4 2 5 2 2 2 4 2" xfId="31787"/>
    <cellStyle name="Normal 5 2 5 2 2 2 4 2" xfId="31788"/>
    <cellStyle name="Normal 7 2 5 2 2 2 4 2" xfId="31789"/>
    <cellStyle name="Normal 2 4 5 2 2 2 4 2" xfId="31790"/>
    <cellStyle name="Normal 3 4 5 2 2 2 4 2" xfId="31791"/>
    <cellStyle name="Normal 4 3 5 2 2 2 4 2" xfId="31792"/>
    <cellStyle name="Normal 5 3 5 2 2 2 4 2" xfId="31793"/>
    <cellStyle name="Normal 7 3 5 2 2 2 4 2" xfId="31794"/>
    <cellStyle name="Normal 2 5 3 2 2 2 4 2" xfId="31795"/>
    <cellStyle name="Normal 3 5 3 2 2 2 4 2" xfId="31796"/>
    <cellStyle name="Normal 4 4 3 2 2 2 4 2" xfId="31797"/>
    <cellStyle name="Normal 5 4 3 2 2 2 4 2" xfId="31798"/>
    <cellStyle name="Normal 7 4 3 2 2 2 4 2" xfId="31799"/>
    <cellStyle name="Normal 2 3 2 3 2 2 2 4 2" xfId="31800"/>
    <cellStyle name="Normal 3 3 2 3 2 2 2 4 2" xfId="31801"/>
    <cellStyle name="Normal 4 2 2 3 2 2 2 4 2" xfId="31802"/>
    <cellStyle name="Normal 5 2 2 3 2 2 2 4 2" xfId="31803"/>
    <cellStyle name="Normal 7 2 2 3 2 2 2 4 2" xfId="31804"/>
    <cellStyle name="Normal 2 4 2 3 2 2 2 4 2" xfId="31805"/>
    <cellStyle name="Normal 3 4 2 3 2 2 2 4 2" xfId="31806"/>
    <cellStyle name="Normal 4 3 2 3 2 2 2 4 2" xfId="31807"/>
    <cellStyle name="Normal 5 3 2 3 2 2 2 4 2" xfId="31808"/>
    <cellStyle name="Normal 7 3 2 3 2 2 2 4 2" xfId="31809"/>
    <cellStyle name="Normal 2 6 3 2 2 2 4 2" xfId="31810"/>
    <cellStyle name="Normal 3 6 3 2 2 2 4 2" xfId="31811"/>
    <cellStyle name="Normal 4 5 3 2 2 2 4 2" xfId="31812"/>
    <cellStyle name="Normal 5 5 3 2 2 2 4 2" xfId="31813"/>
    <cellStyle name="Normal 7 5 3 2 2 2 4 2" xfId="31814"/>
    <cellStyle name="Normal 2 3 3 3 2 2 2 4 2" xfId="31815"/>
    <cellStyle name="Normal 3 3 3 3 2 2 2 4 2" xfId="31816"/>
    <cellStyle name="Normal 4 2 3 3 2 2 2 4 2" xfId="31817"/>
    <cellStyle name="Normal 5 2 3 3 2 2 2 4 2" xfId="31818"/>
    <cellStyle name="Normal 7 2 3 3 2 2 2 4 2" xfId="31819"/>
    <cellStyle name="Normal 2 4 3 3 2 2 2 4 2" xfId="31820"/>
    <cellStyle name="Normal 3 4 3 3 2 2 2 4 2" xfId="31821"/>
    <cellStyle name="Normal 4 3 3 3 2 2 2 4 2" xfId="31822"/>
    <cellStyle name="Normal 5 3 3 3 2 2 2 4 2" xfId="31823"/>
    <cellStyle name="Normal 7 3 3 3 2 2 2 4 2" xfId="31824"/>
    <cellStyle name="Normal 2 7 2 2 2 2 4 2" xfId="31825"/>
    <cellStyle name="Normal 3 7 2 2 2 2 4 2" xfId="31826"/>
    <cellStyle name="Normal 4 6 2 2 2 2 4 2" xfId="31827"/>
    <cellStyle name="Normal 5 6 2 2 2 2 4 2" xfId="31828"/>
    <cellStyle name="Normal 7 6 2 2 2 2 4 2" xfId="31829"/>
    <cellStyle name="Normal 2 3 4 2 2 2 2 4 2" xfId="31830"/>
    <cellStyle name="Normal 3 3 4 2 2 2 2 4 2" xfId="31831"/>
    <cellStyle name="Normal 4 2 4 2 2 2 2 4 2" xfId="31832"/>
    <cellStyle name="Normal 5 2 4 2 2 2 2 4 2" xfId="31833"/>
    <cellStyle name="Normal 7 2 4 2 2 2 2 4 2" xfId="31834"/>
    <cellStyle name="Normal 2 4 4 2 2 2 2 4 2" xfId="31835"/>
    <cellStyle name="Normal 3 4 4 2 2 2 2 4 2" xfId="31836"/>
    <cellStyle name="Normal 4 3 4 2 2 2 2 4 2" xfId="31837"/>
    <cellStyle name="Normal 5 3 4 2 2 2 2 4 2" xfId="31838"/>
    <cellStyle name="Normal 7 3 4 2 2 2 2 4 2" xfId="31839"/>
    <cellStyle name="Normal 2 5 2 2 2 2 2 4 2" xfId="31840"/>
    <cellStyle name="Normal 3 5 2 2 2 2 2 4 2" xfId="31841"/>
    <cellStyle name="Normal 4 4 2 2 2 2 2 4 2" xfId="31842"/>
    <cellStyle name="Normal 5 4 2 2 2 2 2 4 2" xfId="31843"/>
    <cellStyle name="Normal 7 4 2 2 2 2 2 4 2" xfId="31844"/>
    <cellStyle name="Normal 2 3 2 2 2 2 2 2 4 2" xfId="31845"/>
    <cellStyle name="Normal 3 3 2 2 2 2 2 2 4 2" xfId="31846"/>
    <cellStyle name="Normal 4 2 2 2 2 2 2 2 4 2" xfId="31847"/>
    <cellStyle name="Normal 5 2 2 2 2 2 2 2 4 2" xfId="31848"/>
    <cellStyle name="Normal 7 2 2 2 2 2 2 2 4 2" xfId="31849"/>
    <cellStyle name="Normal 2 4 2 2 2 2 2 2 4 2" xfId="31850"/>
    <cellStyle name="Normal 3 4 2 2 2 2 2 2 4 2" xfId="31851"/>
    <cellStyle name="Normal 4 3 2 2 2 2 2 2 4 2" xfId="31852"/>
    <cellStyle name="Normal 5 3 2 2 2 2 2 2 4 2" xfId="31853"/>
    <cellStyle name="Normal 7 3 2 2 2 2 2 2 4 2" xfId="31854"/>
    <cellStyle name="Normal 2 6 2 2 2 2 2 4 2" xfId="31855"/>
    <cellStyle name="Normal 3 6 2 2 2 2 2 4 2" xfId="31856"/>
    <cellStyle name="Normal 4 5 2 2 2 2 2 4 2" xfId="31857"/>
    <cellStyle name="Normal 5 5 2 2 2 2 2 4 2" xfId="31858"/>
    <cellStyle name="Normal 7 5 2 2 2 2 2 4 2" xfId="31859"/>
    <cellStyle name="Normal 2 3 3 2 2 2 2 2 4 2" xfId="31860"/>
    <cellStyle name="Normal 3 3 3 2 2 2 2 2 4 2" xfId="31861"/>
    <cellStyle name="Normal 4 2 3 2 2 2 2 2 4 2" xfId="31862"/>
    <cellStyle name="Normal 5 2 3 2 2 2 2 2 4 2" xfId="31863"/>
    <cellStyle name="Normal 7 2 3 2 2 2 2 2 4 2" xfId="31864"/>
    <cellStyle name="Normal 2 4 3 2 2 2 2 2 4 2" xfId="31865"/>
    <cellStyle name="Normal 3 4 3 2 2 2 2 2 4 2" xfId="31866"/>
    <cellStyle name="Normal 4 3 3 2 2 2 2 2 4 2" xfId="31867"/>
    <cellStyle name="Normal 5 3 3 2 2 2 2 2 4 2" xfId="31868"/>
    <cellStyle name="Normal 7 3 3 2 2 2 2 2 4 2" xfId="31869"/>
    <cellStyle name="Normal 28 2 2 4 2" xfId="31870"/>
    <cellStyle name="Normal 2 3 7 2 2 4 2" xfId="31871"/>
    <cellStyle name="Normal 3 10 2 2 4 2" xfId="31872"/>
    <cellStyle name="Normal 4 9 2 2 4 2" xfId="31873"/>
    <cellStyle name="Normal 5 9 2 2 4 2" xfId="31874"/>
    <cellStyle name="Millares 4 2 2 4 2" xfId="31875"/>
    <cellStyle name="Normal 7 2 7 2 2 4 2" xfId="31876"/>
    <cellStyle name="Normal 3 3 7 2 2 4 2" xfId="31877"/>
    <cellStyle name="Normal 4 2 7 2 2 4 2" xfId="31878"/>
    <cellStyle name="Normal 5 2 7 2 2 4 2" xfId="31879"/>
    <cellStyle name="Normal 2 4 5 3 2 2 4 2" xfId="31880"/>
    <cellStyle name="Normal 3 4 7 2 2 4 2" xfId="31881"/>
    <cellStyle name="Normal 4 3 7 2 2 4 2" xfId="31882"/>
    <cellStyle name="Normal 5 3 7 2 2 4 2" xfId="31883"/>
    <cellStyle name="Normal 7 3 7 2 2 4 2" xfId="31884"/>
    <cellStyle name="Normal 2 5 5 2 2 4 2" xfId="31885"/>
    <cellStyle name="Normal 3 5 5 2 2 4 2" xfId="31886"/>
    <cellStyle name="Normal 4 4 5 2 2 4 2" xfId="31887"/>
    <cellStyle name="Normal 5 4 5 2 2 4 2" xfId="31888"/>
    <cellStyle name="Normal 7 4 5 2 2 4 2" xfId="31889"/>
    <cellStyle name="Normal 2 3 2 5 2 2 4 2" xfId="31890"/>
    <cellStyle name="Normal 3 3 2 5 2 2 4 2" xfId="31891"/>
    <cellStyle name="Normal 4 2 2 5 2 2 4 2" xfId="31892"/>
    <cellStyle name="Normal 5 2 2 5 2 2 4 2" xfId="31893"/>
    <cellStyle name="Normal 7 2 2 5 2 2 4 2" xfId="31894"/>
    <cellStyle name="Normal 2 4 2 5 2 2 4 2" xfId="31895"/>
    <cellStyle name="Normal 3 4 2 5 2 2 4 2" xfId="31896"/>
    <cellStyle name="Normal 4 3 2 5 2 2 4 2" xfId="31897"/>
    <cellStyle name="Normal 5 3 2 5 2 2 4 2" xfId="31898"/>
    <cellStyle name="Normal 7 3 2 5 2 2 4 2" xfId="31899"/>
    <cellStyle name="Normal 2 6 5 2 2 4 2" xfId="31900"/>
    <cellStyle name="Normal 3 6 5 2 2 4 2" xfId="31901"/>
    <cellStyle name="Normal 4 5 5 2 2 4 2" xfId="31902"/>
    <cellStyle name="Normal 5 5 5 2 2 4 2" xfId="31903"/>
    <cellStyle name="Normal 7 5 5 2 2 4 2" xfId="31904"/>
    <cellStyle name="Normal 2 3 3 5 2 2 4 2" xfId="31905"/>
    <cellStyle name="Normal 3 3 3 5 2 2 4 2" xfId="31906"/>
    <cellStyle name="Normal 4 2 3 5 2 2 4 2" xfId="31907"/>
    <cellStyle name="Normal 5 2 3 5 2 2 4 2" xfId="31908"/>
    <cellStyle name="Normal 7 2 3 5 2 2 4 2" xfId="31909"/>
    <cellStyle name="Normal 2 4 3 5 2 2 4 2" xfId="31910"/>
    <cellStyle name="Normal 3 4 3 5 2 2 4 2" xfId="31911"/>
    <cellStyle name="Normal 4 3 3 5 2 2 4 2" xfId="31912"/>
    <cellStyle name="Normal 5 3 3 5 2 2 4 2" xfId="31913"/>
    <cellStyle name="Normal 7 3 3 5 2 2 4 2" xfId="31914"/>
    <cellStyle name="Normal 2 7 4 2 2 4 2" xfId="31915"/>
    <cellStyle name="Normal 3 7 4 2 2 4 2" xfId="31916"/>
    <cellStyle name="Normal 4 6 4 2 2 4 2" xfId="31917"/>
    <cellStyle name="Normal 5 6 4 2 2 4 2" xfId="31918"/>
    <cellStyle name="Normal 7 6 4 2 2 4 2" xfId="31919"/>
    <cellStyle name="Normal 2 3 4 4 2 2 4 2" xfId="31920"/>
    <cellStyle name="Normal 3 3 4 4 2 2 4 2" xfId="31921"/>
    <cellStyle name="Normal 4 2 4 4 2 2 4 2" xfId="31922"/>
    <cellStyle name="Normal 5 2 4 4 2 2 4 2" xfId="31923"/>
    <cellStyle name="Normal 7 2 4 4 2 2 4 2" xfId="31924"/>
    <cellStyle name="Normal 2 4 4 4 2 2 4 2" xfId="31925"/>
    <cellStyle name="Normal 3 4 4 4 2 2 4 2" xfId="31926"/>
    <cellStyle name="Normal 4 3 4 4 2 2 4 2" xfId="31927"/>
    <cellStyle name="Normal 5 3 4 4 2 2 4 2" xfId="31928"/>
    <cellStyle name="Normal 7 3 4 4 2 2 4 2" xfId="31929"/>
    <cellStyle name="Normal 2 5 2 4 2 2 4 2" xfId="31930"/>
    <cellStyle name="Normal 3 5 2 4 2 2 4 2" xfId="31931"/>
    <cellStyle name="Normal 4 4 2 4 2 2 4 2" xfId="31932"/>
    <cellStyle name="Normal 5 4 2 4 2 2 4 2" xfId="31933"/>
    <cellStyle name="Normal 7 4 2 4 2 2 4 2" xfId="31934"/>
    <cellStyle name="Normal 2 3 2 2 4 2 2 4 2" xfId="31935"/>
    <cellStyle name="Normal 3 3 2 2 4 2 2 4 2" xfId="31936"/>
    <cellStyle name="Normal 4 2 2 2 4 2 2 4 2" xfId="31937"/>
    <cellStyle name="Normal 5 2 2 2 4 2 2 4 2" xfId="31938"/>
    <cellStyle name="Normal 7 2 2 2 4 2 2 4 2" xfId="31939"/>
    <cellStyle name="Normal 2 4 2 2 4 2 2 4 2" xfId="31940"/>
    <cellStyle name="Normal 3 4 2 2 4 2 2 4 2" xfId="31941"/>
    <cellStyle name="Normal 4 3 2 2 4 2 2 4 2" xfId="31942"/>
    <cellStyle name="Normal 5 3 2 2 4 2 2 4 2" xfId="31943"/>
    <cellStyle name="Normal 7 3 2 2 4 2 2 4 2" xfId="31944"/>
    <cellStyle name="Normal 2 6 2 4 2 2 4 2" xfId="31945"/>
    <cellStyle name="Normal 3 6 2 4 2 2 4 2" xfId="31946"/>
    <cellStyle name="Normal 4 5 2 4 2 2 4 2" xfId="31947"/>
    <cellStyle name="Normal 5 5 2 4 2 2 4 2" xfId="31948"/>
    <cellStyle name="Normal 7 5 2 4 2 2 4 2" xfId="31949"/>
    <cellStyle name="Normal 2 3 3 2 4 2 2 4 2" xfId="31950"/>
    <cellStyle name="Normal 3 3 3 2 4 2 2 4 2" xfId="31951"/>
    <cellStyle name="Normal 4 2 3 2 4 2 2 4 2" xfId="31952"/>
    <cellStyle name="Normal 5 2 3 2 4 2 2 4 2" xfId="31953"/>
    <cellStyle name="Normal 7 2 3 2 4 2 2 4 2" xfId="31954"/>
    <cellStyle name="Normal 2 4 3 2 4 2 2 4 2" xfId="31955"/>
    <cellStyle name="Normal 3 4 3 2 4 2 2 4 2" xfId="31956"/>
    <cellStyle name="Normal 4 3 3 2 4 2 2 4 2" xfId="31957"/>
    <cellStyle name="Normal 5 3 3 2 4 2 2 4 2" xfId="31958"/>
    <cellStyle name="Normal 7 3 3 2 4 2 2 4 2" xfId="31959"/>
    <cellStyle name="Normal 2 8 3 2 2 4 2" xfId="31960"/>
    <cellStyle name="Normal 3 8 3 2 2 4 2" xfId="31961"/>
    <cellStyle name="Normal 4 7 3 2 2 4 2" xfId="31962"/>
    <cellStyle name="Normal 5 7 3 2 2 4 2" xfId="31963"/>
    <cellStyle name="Normal 7 7 3 2 2 4 2" xfId="31964"/>
    <cellStyle name="Normal 2 3 5 3 2 2 4 2" xfId="31965"/>
    <cellStyle name="Normal 3 3 5 3 2 2 4 2" xfId="31966"/>
    <cellStyle name="Normal 4 2 5 3 2 2 4 2" xfId="31967"/>
    <cellStyle name="Normal 5 2 5 3 2 2 4 2" xfId="31968"/>
    <cellStyle name="Normal 7 2 5 3 2 2 4 2" xfId="31969"/>
    <cellStyle name="Normal 3 4 5 3 2 2 4 2" xfId="31970"/>
    <cellStyle name="Normal 4 3 5 3 2 2 4 2" xfId="31971"/>
    <cellStyle name="Normal 5 3 5 3 2 2 4 2" xfId="31972"/>
    <cellStyle name="Normal 7 3 5 3 2 2 4 2" xfId="31973"/>
    <cellStyle name="Normal 2 5 3 3 2 2 4 2" xfId="31974"/>
    <cellStyle name="Normal 3 5 3 3 2 2 4 2" xfId="31975"/>
    <cellStyle name="Normal 4 4 3 3 2 2 4 2" xfId="31976"/>
    <cellStyle name="Normal 5 4 3 3 2 2 4 2" xfId="31977"/>
    <cellStyle name="Normal 7 4 3 3 2 2 4 2" xfId="31978"/>
    <cellStyle name="Normal 2 3 2 3 3 2 2 4 2" xfId="31979"/>
    <cellStyle name="Normal 3 3 2 3 3 2 2 4 2" xfId="31980"/>
    <cellStyle name="Normal 4 2 2 3 3 2 2 4 2" xfId="31981"/>
    <cellStyle name="Normal 5 2 2 3 3 2 2 4 2" xfId="31982"/>
    <cellStyle name="Normal 7 2 2 3 3 2 2 4 2" xfId="31983"/>
    <cellStyle name="Normal 2 4 2 3 3 2 2 4 2" xfId="31984"/>
    <cellStyle name="Normal 3 4 2 3 3 2 2 4 2" xfId="31985"/>
    <cellStyle name="Normal 4 3 2 3 3 2 2 4 2" xfId="31986"/>
    <cellStyle name="Normal 5 3 2 3 3 2 2 4 2" xfId="31987"/>
    <cellStyle name="Normal 7 3 2 3 3 2 2 4 2" xfId="31988"/>
    <cellStyle name="Normal 2 6 3 3 2 2 4 2" xfId="31989"/>
    <cellStyle name="Normal 3 6 3 3 2 2 4 2" xfId="31990"/>
    <cellStyle name="Normal 4 5 3 3 2 2 4 2" xfId="31991"/>
    <cellStyle name="Normal 5 5 3 3 2 2 4 2" xfId="31992"/>
    <cellStyle name="Normal 7 5 3 3 2 2 4 2" xfId="31993"/>
    <cellStyle name="Normal 2 3 3 3 3 2 2 4 2" xfId="31994"/>
    <cellStyle name="Normal 3 3 3 3 3 2 2 4 2" xfId="31995"/>
    <cellStyle name="Normal 4 2 3 3 3 2 2 4 2" xfId="31996"/>
    <cellStyle name="Normal 5 2 3 3 3 2 2 4 2" xfId="31997"/>
    <cellStyle name="Normal 7 2 3 3 3 2 2 4 2" xfId="31998"/>
    <cellStyle name="Normal 2 4 3 3 3 2 2 4 2" xfId="31999"/>
    <cellStyle name="Normal 3 4 3 3 3 2 2 4 2" xfId="32000"/>
    <cellStyle name="Normal 4 3 3 3 3 2 2 4 2" xfId="32001"/>
    <cellStyle name="Normal 5 3 3 3 3 2 2 4 2" xfId="32002"/>
    <cellStyle name="Normal 7 3 3 3 3 2 2 4 2" xfId="32003"/>
    <cellStyle name="Normal 2 7 2 3 2 2 4 2" xfId="32004"/>
    <cellStyle name="Normal 3 7 2 3 2 2 4 2" xfId="32005"/>
    <cellStyle name="Normal 4 6 2 3 2 2 4 2" xfId="32006"/>
    <cellStyle name="Normal 5 6 2 3 2 2 4 2" xfId="32007"/>
    <cellStyle name="Normal 7 6 2 3 2 2 4 2" xfId="32008"/>
    <cellStyle name="Normal 2 3 4 2 3 2 2 4 2" xfId="32009"/>
    <cellStyle name="Normal 3 3 4 2 3 2 2 4 2" xfId="32010"/>
    <cellStyle name="Normal 4 2 4 2 3 2 2 4 2" xfId="32011"/>
    <cellStyle name="Normal 5 2 4 2 3 2 2 4 2" xfId="32012"/>
    <cellStyle name="Normal 7 2 4 2 3 2 2 4 2" xfId="32013"/>
    <cellStyle name="Normal 2 4 4 2 3 2 2 4 2" xfId="32014"/>
    <cellStyle name="Normal 3 4 4 2 3 2 2 4 2" xfId="32015"/>
    <cellStyle name="Normal 4 3 4 2 3 2 2 4 2" xfId="32016"/>
    <cellStyle name="Normal 5 3 4 2 3 2 2 4 2" xfId="32017"/>
    <cellStyle name="Normal 7 3 4 2 3 2 2 4 2" xfId="32018"/>
    <cellStyle name="Normal 2 5 2 2 3 2 2 4 2" xfId="32019"/>
    <cellStyle name="Normal 3 5 2 2 3 2 2 4 2" xfId="32020"/>
    <cellStyle name="Normal 4 4 2 2 3 2 2 4 2" xfId="32021"/>
    <cellStyle name="Normal 5 4 2 2 3 2 2 4 2" xfId="32022"/>
    <cellStyle name="Normal 7 4 2 2 3 2 2 4 2" xfId="32023"/>
    <cellStyle name="Normal 2 3 2 2 2 3 2 2 4 2" xfId="32024"/>
    <cellStyle name="Normal 3 3 2 2 2 3 2 2 4 2" xfId="32025"/>
    <cellStyle name="Normal 4 2 2 2 2 3 2 2 4 2" xfId="32026"/>
    <cellStyle name="Normal 5 2 2 2 2 3 2 2 4 2" xfId="32027"/>
    <cellStyle name="Normal 7 2 2 2 2 3 2 2 4 2" xfId="32028"/>
    <cellStyle name="Normal 2 4 2 2 2 3 2 2 4 2" xfId="32029"/>
    <cellStyle name="Normal 3 4 2 2 2 3 2 2 4 2" xfId="32030"/>
    <cellStyle name="Normal 4 3 2 2 2 3 2 2 4 2" xfId="32031"/>
    <cellStyle name="Normal 5 3 2 2 2 3 2 2 4 2" xfId="32032"/>
    <cellStyle name="Normal 7 3 2 2 2 3 2 2 4 2" xfId="32033"/>
    <cellStyle name="Normal 2 6 2 2 3 2 2 4 2" xfId="32034"/>
    <cellStyle name="Normal 3 6 2 2 3 2 2 4 2" xfId="32035"/>
    <cellStyle name="Normal 4 5 2 2 3 2 2 4 2" xfId="32036"/>
    <cellStyle name="Normal 5 5 2 2 3 2 2 4 2" xfId="32037"/>
    <cellStyle name="Normal 7 5 2 2 3 2 2 4 2" xfId="32038"/>
    <cellStyle name="Normal 2 3 3 2 2 3 2 2 4 2" xfId="32039"/>
    <cellStyle name="Normal 3 3 3 2 2 3 2 2 4 2" xfId="32040"/>
    <cellStyle name="Normal 4 2 3 2 2 3 2 2 4 2" xfId="32041"/>
    <cellStyle name="Normal 5 2 3 2 2 3 2 2 4 2" xfId="32042"/>
    <cellStyle name="Normal 7 2 3 2 2 3 2 2 4 2" xfId="32043"/>
    <cellStyle name="Normal 2 4 3 2 2 3 2 2 4 2" xfId="32044"/>
    <cellStyle name="Normal 3 4 3 2 2 3 2 2 4 2" xfId="32045"/>
    <cellStyle name="Normal 4 3 3 2 2 3 2 2 4 2" xfId="32046"/>
    <cellStyle name="Normal 5 3 3 2 2 3 2 2 4 2" xfId="32047"/>
    <cellStyle name="Normal 7 3 3 2 2 3 2 2 4 2" xfId="32048"/>
    <cellStyle name="Normal 2 12 2 4 2" xfId="32049"/>
    <cellStyle name="Normal 3 12 2 4 2" xfId="32050"/>
    <cellStyle name="Normal 4 11 2 4 2" xfId="32051"/>
    <cellStyle name="Normal 5 11 2 4 2" xfId="32052"/>
    <cellStyle name="Normal 7 11 2 4 2" xfId="32053"/>
    <cellStyle name="Normal 2 3 9 2 4 2" xfId="32054"/>
    <cellStyle name="Normal 3 3 9 2 4 2" xfId="32055"/>
    <cellStyle name="Normal 4 2 9 2 4 2" xfId="32056"/>
    <cellStyle name="Normal 5 2 9 2 4 2" xfId="32057"/>
    <cellStyle name="Normal 7 2 9 2 4 2" xfId="32058"/>
    <cellStyle name="Normal 2 4 9 2 4 2" xfId="32059"/>
    <cellStyle name="Normal 3 4 9 2 4 2" xfId="32060"/>
    <cellStyle name="Normal 4 3 9 2 4 2" xfId="32061"/>
    <cellStyle name="Normal 5 3 9 2 4 2" xfId="32062"/>
    <cellStyle name="Normal 7 3 9 2 4 2" xfId="32063"/>
    <cellStyle name="Normal 2 5 7 2 4 2" xfId="32064"/>
    <cellStyle name="Normal 3 5 7 2 4 2" xfId="32065"/>
    <cellStyle name="Normal 4 4 7 2 4 2" xfId="32066"/>
    <cellStyle name="Normal 5 4 7 2 4 2" xfId="32067"/>
    <cellStyle name="Normal 7 4 7 2 4 2" xfId="32068"/>
    <cellStyle name="Normal 2 3 2 7 2 4 2" xfId="32069"/>
    <cellStyle name="Normal 3 3 2 7 2 4 2" xfId="32070"/>
    <cellStyle name="Normal 4 2 2 7 2 4 2" xfId="32071"/>
    <cellStyle name="Normal 5 2 2 7 2 4 2" xfId="32072"/>
    <cellStyle name="Normal 7 2 2 7 2 4 2" xfId="32073"/>
    <cellStyle name="Normal 2 4 2 7 2 4 2" xfId="32074"/>
    <cellStyle name="Normal 3 4 2 7 2 4 2" xfId="32075"/>
    <cellStyle name="Normal 4 3 2 7 2 4 2" xfId="32076"/>
    <cellStyle name="Normal 5 3 2 7 2 4 2" xfId="32077"/>
    <cellStyle name="Normal 7 3 2 7 2 4 2" xfId="32078"/>
    <cellStyle name="Normal 2 6 7 2 4 2" xfId="32079"/>
    <cellStyle name="Normal 3 6 7 2 4 2" xfId="32080"/>
    <cellStyle name="Normal 4 5 7 2 4 2" xfId="32081"/>
    <cellStyle name="Normal 5 5 7 2 4 2" xfId="32082"/>
    <cellStyle name="Normal 7 5 7 2 4 2" xfId="32083"/>
    <cellStyle name="Normal 2 3 3 7 2 4 2" xfId="32084"/>
    <cellStyle name="Normal 3 3 3 7 2 4 2" xfId="32085"/>
    <cellStyle name="Normal 4 2 3 7 2 4 2" xfId="32086"/>
    <cellStyle name="Normal 5 2 3 7 2 4 2" xfId="32087"/>
    <cellStyle name="Normal 7 2 3 7 2 4 2" xfId="32088"/>
    <cellStyle name="Normal 2 4 3 7 2 4 2" xfId="32089"/>
    <cellStyle name="Normal 3 4 3 7 2 4 2" xfId="32090"/>
    <cellStyle name="Normal 4 3 3 7 2 4 2" xfId="32091"/>
    <cellStyle name="Normal 5 3 3 7 2 4 2" xfId="32092"/>
    <cellStyle name="Normal 7 3 3 7 2 4 2" xfId="32093"/>
    <cellStyle name="Normal 2 7 6 2 4 2" xfId="32094"/>
    <cellStyle name="Normal 3 7 6 2 4 2" xfId="32095"/>
    <cellStyle name="Normal 4 6 6 2 4 2" xfId="32096"/>
    <cellStyle name="Normal 5 6 6 2 4 2" xfId="32097"/>
    <cellStyle name="Normal 7 6 6 2 4 2" xfId="32098"/>
    <cellStyle name="Normal 2 3 4 6 2 4 2" xfId="32099"/>
    <cellStyle name="Normal 3 3 4 6 2 4 2" xfId="32100"/>
    <cellStyle name="Normal 4 2 4 6 2 4 2" xfId="32101"/>
    <cellStyle name="Normal 5 2 4 6 2 4 2" xfId="32102"/>
    <cellStyle name="Normal 7 2 4 6 2 4 2" xfId="32103"/>
    <cellStyle name="Normal 2 4 4 6 2 4 2" xfId="32104"/>
    <cellStyle name="Normal 3 4 4 6 2 4 2" xfId="32105"/>
    <cellStyle name="Normal 4 3 4 6 2 4 2" xfId="32106"/>
    <cellStyle name="Normal 5 3 4 6 2 4 2" xfId="32107"/>
    <cellStyle name="Normal 7 3 4 6 2 4 2" xfId="32108"/>
    <cellStyle name="Normal 2 5 2 6 2 4 2" xfId="32109"/>
    <cellStyle name="Normal 3 5 2 6 2 4 2" xfId="32110"/>
    <cellStyle name="Normal 4 4 2 6 2 4 2" xfId="32111"/>
    <cellStyle name="Normal 5 4 2 6 2 4 2" xfId="32112"/>
    <cellStyle name="Normal 7 4 2 6 2 4 2" xfId="32113"/>
    <cellStyle name="Normal 2 3 2 2 6 2 4 2" xfId="32114"/>
    <cellStyle name="Normal 3 3 2 2 6 2 4 2" xfId="32115"/>
    <cellStyle name="Normal 4 2 2 2 6 2 4 2" xfId="32116"/>
    <cellStyle name="Normal 5 2 2 2 6 2 4 2" xfId="32117"/>
    <cellStyle name="Normal 7 2 2 2 6 2 4 2" xfId="32118"/>
    <cellStyle name="Normal 2 4 2 2 6 2 4 2" xfId="32119"/>
    <cellStyle name="Normal 3 4 2 2 6 2 4 2" xfId="32120"/>
    <cellStyle name="Normal 4 3 2 2 6 2 4 2" xfId="32121"/>
    <cellStyle name="Normal 5 3 2 2 6 2 4 2" xfId="32122"/>
    <cellStyle name="Normal 7 3 2 2 6 2 4 2" xfId="32123"/>
    <cellStyle name="Normal 2 6 2 6 2 4 2" xfId="32124"/>
    <cellStyle name="Normal 3 6 2 6 2 4 2" xfId="32125"/>
    <cellStyle name="Normal 4 5 2 6 2 4 2" xfId="32126"/>
    <cellStyle name="Normal 5 5 2 6 2 4 2" xfId="32127"/>
    <cellStyle name="Normal 7 5 2 6 2 4 2" xfId="32128"/>
    <cellStyle name="Normal 2 3 3 2 6 2 4 2" xfId="32129"/>
    <cellStyle name="Normal 3 3 3 2 6 2 4 2" xfId="32130"/>
    <cellStyle name="Normal 4 2 3 2 6 2 4 2" xfId="32131"/>
    <cellStyle name="Normal 5 2 3 2 6 2 4 2" xfId="32132"/>
    <cellStyle name="Normal 7 2 3 2 6 2 4 2" xfId="32133"/>
    <cellStyle name="Normal 2 4 3 2 6 2 4 2" xfId="32134"/>
    <cellStyle name="Normal 3 4 3 2 6 2 4 2" xfId="32135"/>
    <cellStyle name="Normal 4 3 3 2 6 2 4 2" xfId="32136"/>
    <cellStyle name="Normal 5 3 3 2 6 2 4 2" xfId="32137"/>
    <cellStyle name="Normal 7 3 3 2 6 2 4 2" xfId="32138"/>
    <cellStyle name="Normal 2 8 5 2 4 2" xfId="32139"/>
    <cellStyle name="Normal 3 8 5 2 4 2" xfId="32140"/>
    <cellStyle name="Normal 4 7 5 2 4 2" xfId="32141"/>
    <cellStyle name="Normal 5 7 5 2 4 2" xfId="32142"/>
    <cellStyle name="Normal 7 7 5 2 4 2" xfId="32143"/>
    <cellStyle name="Normal 2 3 5 5 2 4 2" xfId="32144"/>
    <cellStyle name="Normal 3 3 5 5 2 4 2" xfId="32145"/>
    <cellStyle name="Normal 4 2 5 5 2 4 2" xfId="32146"/>
    <cellStyle name="Normal 5 2 5 5 2 4 2" xfId="32147"/>
    <cellStyle name="Normal 7 2 5 5 2 4 2" xfId="32148"/>
    <cellStyle name="Normal 2 4 5 5 2 4 2" xfId="32149"/>
    <cellStyle name="Normal 3 4 5 5 2 4 2" xfId="32150"/>
    <cellStyle name="Normal 4 3 5 5 2 4 2" xfId="32151"/>
    <cellStyle name="Normal 5 3 5 5 2 4 2" xfId="32152"/>
    <cellStyle name="Normal 7 3 5 5 2 4 2" xfId="32153"/>
    <cellStyle name="Normal 2 5 3 5 2 4 2" xfId="32154"/>
    <cellStyle name="Normal 3 5 3 5 2 4 2" xfId="32155"/>
    <cellStyle name="Normal 4 4 3 5 2 4 2" xfId="32156"/>
    <cellStyle name="Normal 5 4 3 5 2 4 2" xfId="32157"/>
    <cellStyle name="Normal 7 4 3 5 2 4 2" xfId="32158"/>
    <cellStyle name="Normal 2 3 2 3 5 2 4 2" xfId="32159"/>
    <cellStyle name="Normal 3 3 2 3 5 2 4 2" xfId="32160"/>
    <cellStyle name="Normal 4 2 2 3 5 2 4 2" xfId="32161"/>
    <cellStyle name="Normal 5 2 2 3 5 2 4 2" xfId="32162"/>
    <cellStyle name="Normal 7 2 2 3 5 2 4 2" xfId="32163"/>
    <cellStyle name="Normal 2 4 2 3 5 2 4 2" xfId="32164"/>
    <cellStyle name="Normal 3 4 2 3 5 2 4 2" xfId="32165"/>
    <cellStyle name="Normal 4 3 2 3 5 2 4 2" xfId="32166"/>
    <cellStyle name="Normal 5 3 2 3 5 2 4 2" xfId="32167"/>
    <cellStyle name="Normal 7 3 2 3 5 2 4 2" xfId="32168"/>
    <cellStyle name="Normal 2 6 3 5 2 4 2" xfId="32169"/>
    <cellStyle name="Normal 3 6 3 5 2 4 2" xfId="32170"/>
    <cellStyle name="Normal 4 5 3 5 2 4 2" xfId="32171"/>
    <cellStyle name="Normal 5 5 3 5 2 4 2" xfId="32172"/>
    <cellStyle name="Normal 7 5 3 5 2 4 2" xfId="32173"/>
    <cellStyle name="Normal 2 3 3 3 5 2 4 2" xfId="32174"/>
    <cellStyle name="Normal 3 3 3 3 5 2 4 2" xfId="32175"/>
    <cellStyle name="Normal 4 2 3 3 5 2 4 2" xfId="32176"/>
    <cellStyle name="Normal 5 2 3 3 5 2 4 2" xfId="32177"/>
    <cellStyle name="Normal 7 2 3 3 5 2 4 2" xfId="32178"/>
    <cellStyle name="Normal 2 4 3 3 5 2 4 2" xfId="32179"/>
    <cellStyle name="Normal 3 4 3 3 5 2 4 2" xfId="32180"/>
    <cellStyle name="Normal 4 3 3 3 5 2 4 2" xfId="32181"/>
    <cellStyle name="Normal 5 3 3 3 5 2 4 2" xfId="32182"/>
    <cellStyle name="Normal 7 3 3 3 5 2 4 2" xfId="32183"/>
    <cellStyle name="Normal 2 7 2 5 2 4 2" xfId="32184"/>
    <cellStyle name="Normal 3 7 2 5 2 4 2" xfId="32185"/>
    <cellStyle name="Normal 4 6 2 5 2 4 2" xfId="32186"/>
    <cellStyle name="Normal 5 6 2 5 2 4 2" xfId="32187"/>
    <cellStyle name="Normal 7 6 2 5 2 4 2" xfId="32188"/>
    <cellStyle name="Normal 2 3 4 2 5 2 4 2" xfId="32189"/>
    <cellStyle name="Normal 3 3 4 2 5 2 4 2" xfId="32190"/>
    <cellStyle name="Normal 4 2 4 2 5 2 4 2" xfId="32191"/>
    <cellStyle name="Normal 5 2 4 2 5 2 4 2" xfId="32192"/>
    <cellStyle name="Normal 7 2 4 2 5 2 4 2" xfId="32193"/>
    <cellStyle name="Normal 2 4 4 2 5 2 4 2" xfId="32194"/>
    <cellStyle name="Normal 3 4 4 2 5 2 4 2" xfId="32195"/>
    <cellStyle name="Normal 4 3 4 2 5 2 4 2" xfId="32196"/>
    <cellStyle name="Normal 5 3 4 2 5 2 4 2" xfId="32197"/>
    <cellStyle name="Normal 7 3 4 2 5 2 4 2" xfId="32198"/>
    <cellStyle name="Normal 2 5 2 2 5 2 4 2" xfId="32199"/>
    <cellStyle name="Normal 3 5 2 2 5 2 4 2" xfId="32200"/>
    <cellStyle name="Normal 4 4 2 2 5 2 4 2" xfId="32201"/>
    <cellStyle name="Normal 5 4 2 2 5 2 4 2" xfId="32202"/>
    <cellStyle name="Normal 7 4 2 2 5 2 4 2" xfId="32203"/>
    <cellStyle name="Normal 2 3 2 2 2 5 2 4 2" xfId="32204"/>
    <cellStyle name="Normal 3 3 2 2 2 5 2 4 2" xfId="32205"/>
    <cellStyle name="Normal 4 2 2 2 2 5 2 4 2" xfId="32206"/>
    <cellStyle name="Normal 5 2 2 2 2 5 2 4 2" xfId="32207"/>
    <cellStyle name="Normal 7 2 2 2 2 5 2 4 2" xfId="32208"/>
    <cellStyle name="Normal 2 4 2 2 2 5 2 4 2" xfId="32209"/>
    <cellStyle name="Normal 3 4 2 2 2 5 2 4 2" xfId="32210"/>
    <cellStyle name="Normal 4 3 2 2 2 5 2 4 2" xfId="32211"/>
    <cellStyle name="Normal 5 3 2 2 2 5 2 4 2" xfId="32212"/>
    <cellStyle name="Normal 7 3 2 2 2 5 2 4 2" xfId="32213"/>
    <cellStyle name="Normal 2 6 2 2 5 2 4 2" xfId="32214"/>
    <cellStyle name="Normal 3 6 2 2 5 2 4 2" xfId="32215"/>
    <cellStyle name="Normal 4 5 2 2 5 2 4 2" xfId="32216"/>
    <cellStyle name="Normal 5 5 2 2 5 2 4 2" xfId="32217"/>
    <cellStyle name="Normal 7 5 2 2 5 2 4 2" xfId="32218"/>
    <cellStyle name="Normal 2 3 3 2 2 5 2 4 2" xfId="32219"/>
    <cellStyle name="Normal 3 3 3 2 2 5 2 4 2" xfId="32220"/>
    <cellStyle name="Normal 4 2 3 2 2 5 2 4 2" xfId="32221"/>
    <cellStyle name="Normal 5 2 3 2 2 5 2 4 2" xfId="32222"/>
    <cellStyle name="Normal 7 2 3 2 2 5 2 4 2" xfId="32223"/>
    <cellStyle name="Normal 2 4 3 2 2 5 2 4 2" xfId="32224"/>
    <cellStyle name="Normal 3 4 3 2 2 5 2 4 2" xfId="32225"/>
    <cellStyle name="Normal 4 3 3 2 2 5 2 4 2" xfId="32226"/>
    <cellStyle name="Normal 5 3 3 2 2 5 2 4 2" xfId="32227"/>
    <cellStyle name="Normal 7 3 3 2 2 5 2 4 2" xfId="32228"/>
    <cellStyle name="Normal 2 9 3 2 4 2" xfId="32229"/>
    <cellStyle name="Normal 3 9 3 2 4 2" xfId="32230"/>
    <cellStyle name="Normal 4 8 3 2 4 2" xfId="32231"/>
    <cellStyle name="Normal 5 8 3 2 4 2" xfId="32232"/>
    <cellStyle name="Normal 7 8 3 2 4 2" xfId="32233"/>
    <cellStyle name="Normal 2 3 6 3 2 4 2" xfId="32234"/>
    <cellStyle name="Normal 3 3 6 3 2 4 2" xfId="32235"/>
    <cellStyle name="Normal 4 2 6 3 2 4 2" xfId="32236"/>
    <cellStyle name="Normal 5 2 6 3 2 4 2" xfId="32237"/>
    <cellStyle name="Normal 7 2 6 3 2 4 2" xfId="32238"/>
    <cellStyle name="Normal 2 4 6 3 2 4 2" xfId="32239"/>
    <cellStyle name="Normal 3 4 6 3 2 4 2" xfId="32240"/>
    <cellStyle name="Normal 4 3 6 3 2 4 2" xfId="32241"/>
    <cellStyle name="Normal 5 3 6 3 2 4 2" xfId="32242"/>
    <cellStyle name="Normal 7 3 6 3 2 4 2" xfId="32243"/>
    <cellStyle name="Normal 2 5 4 3 2 4 2" xfId="32244"/>
    <cellStyle name="Normal 3 5 4 3 2 4 2" xfId="32245"/>
    <cellStyle name="Normal 4 4 4 3 2 4 2" xfId="32246"/>
    <cellStyle name="Normal 5 4 4 3 2 4 2" xfId="32247"/>
    <cellStyle name="Normal 7 4 4 3 2 4 2" xfId="32248"/>
    <cellStyle name="Normal 2 3 2 4 3 2 4 2" xfId="32249"/>
    <cellStyle name="Normal 3 3 2 4 3 2 4 2" xfId="32250"/>
    <cellStyle name="Normal 4 2 2 4 3 2 4 2" xfId="32251"/>
    <cellStyle name="Normal 5 2 2 4 3 2 4 2" xfId="32252"/>
    <cellStyle name="Normal 7 2 2 4 3 2 4 2" xfId="32253"/>
    <cellStyle name="Normal 2 4 2 4 3 2 4 2" xfId="32254"/>
    <cellStyle name="Normal 3 4 2 4 3 2 4 2" xfId="32255"/>
    <cellStyle name="Normal 4 3 2 4 3 2 4 2" xfId="32256"/>
    <cellStyle name="Normal 5 3 2 4 3 2 4 2" xfId="32257"/>
    <cellStyle name="Normal 7 3 2 4 3 2 4 2" xfId="32258"/>
    <cellStyle name="Normal 2 6 4 3 2 4 2" xfId="32259"/>
    <cellStyle name="Normal 3 6 4 3 2 4 2" xfId="32260"/>
    <cellStyle name="Normal 4 5 4 3 2 4 2" xfId="32261"/>
    <cellStyle name="Normal 5 5 4 3 2 4 2" xfId="32262"/>
    <cellStyle name="Normal 7 5 4 3 2 4 2" xfId="32263"/>
    <cellStyle name="Normal 2 3 3 4 3 2 4 2" xfId="32264"/>
    <cellStyle name="Normal 3 3 3 4 3 2 4 2" xfId="32265"/>
    <cellStyle name="Normal 4 2 3 4 3 2 4 2" xfId="32266"/>
    <cellStyle name="Normal 5 2 3 4 3 2 4 2" xfId="32267"/>
    <cellStyle name="Normal 7 2 3 4 3 2 4 2" xfId="32268"/>
    <cellStyle name="Normal 2 4 3 4 3 2 4 2" xfId="32269"/>
    <cellStyle name="Normal 3 4 3 4 3 2 4 2" xfId="32270"/>
    <cellStyle name="Normal 4 3 3 4 3 2 4 2" xfId="32271"/>
    <cellStyle name="Normal 5 3 3 4 3 2 4 2" xfId="32272"/>
    <cellStyle name="Normal 7 3 3 4 3 2 4 2" xfId="32273"/>
    <cellStyle name="Normal 2 7 3 3 2 4 2" xfId="32274"/>
    <cellStyle name="Normal 3 7 3 3 2 4 2" xfId="32275"/>
    <cellStyle name="Normal 4 6 3 3 2 4 2" xfId="32276"/>
    <cellStyle name="Normal 5 6 3 3 2 4 2" xfId="32277"/>
    <cellStyle name="Normal 7 6 3 3 2 4 2" xfId="32278"/>
    <cellStyle name="Normal 2 3 4 3 3 2 4 2" xfId="32279"/>
    <cellStyle name="Normal 3 3 4 3 3 2 4 2" xfId="32280"/>
    <cellStyle name="Normal 4 2 4 3 3 2 4 2" xfId="32281"/>
    <cellStyle name="Normal 5 2 4 3 3 2 4 2" xfId="32282"/>
    <cellStyle name="Normal 7 2 4 3 3 2 4 2" xfId="32283"/>
    <cellStyle name="Normal 2 4 4 3 3 2 4 2" xfId="32284"/>
    <cellStyle name="Normal 3 4 4 3 3 2 4 2" xfId="32285"/>
    <cellStyle name="Normal 4 3 4 3 3 2 4 2" xfId="32286"/>
    <cellStyle name="Normal 5 3 4 3 3 2 4 2" xfId="32287"/>
    <cellStyle name="Normal 7 3 4 3 3 2 4 2" xfId="32288"/>
    <cellStyle name="Normal 2 5 2 3 3 2 4 2" xfId="32289"/>
    <cellStyle name="Normal 3 5 2 3 3 2 4 2" xfId="32290"/>
    <cellStyle name="Normal 4 4 2 3 3 2 4 2" xfId="32291"/>
    <cellStyle name="Normal 5 4 2 3 3 2 4 2" xfId="32292"/>
    <cellStyle name="Normal 7 4 2 3 3 2 4 2" xfId="32293"/>
    <cellStyle name="Normal 2 3 2 2 3 3 2 4 2" xfId="32294"/>
    <cellStyle name="Normal 3 3 2 2 3 3 2 4 2" xfId="32295"/>
    <cellStyle name="Normal 4 2 2 2 3 3 2 4 2" xfId="32296"/>
    <cellStyle name="Normal 5 2 2 2 3 3 2 4 2" xfId="32297"/>
    <cellStyle name="Normal 7 2 2 2 3 3 2 4 2" xfId="32298"/>
    <cellStyle name="Normal 2 4 2 2 3 3 2 4 2" xfId="32299"/>
    <cellStyle name="Normal 3 4 2 2 3 3 2 4 2" xfId="32300"/>
    <cellStyle name="Normal 4 3 2 2 3 3 2 4 2" xfId="32301"/>
    <cellStyle name="Normal 5 3 2 2 3 3 2 4 2" xfId="32302"/>
    <cellStyle name="Normal 7 3 2 2 3 3 2 4 2" xfId="32303"/>
    <cellStyle name="Normal 2 6 2 3 3 2 4 2" xfId="32304"/>
    <cellStyle name="Normal 3 6 2 3 3 2 4 2" xfId="32305"/>
    <cellStyle name="Normal 4 5 2 3 3 2 4 2" xfId="32306"/>
    <cellStyle name="Normal 5 5 2 3 3 2 4 2" xfId="32307"/>
    <cellStyle name="Normal 7 5 2 3 3 2 4 2" xfId="32308"/>
    <cellStyle name="Normal 2 3 3 2 3 3 2 4 2" xfId="32309"/>
    <cellStyle name="Normal 3 3 3 2 3 3 2 4 2" xfId="32310"/>
    <cellStyle name="Normal 4 2 3 2 3 3 2 4 2" xfId="32311"/>
    <cellStyle name="Normal 5 2 3 2 3 3 2 4 2" xfId="32312"/>
    <cellStyle name="Normal 7 2 3 2 3 3 2 4 2" xfId="32313"/>
    <cellStyle name="Normal 2 4 3 2 3 3 2 4 2" xfId="32314"/>
    <cellStyle name="Normal 3 4 3 2 3 3 2 4 2" xfId="32315"/>
    <cellStyle name="Normal 4 3 3 2 3 3 2 4 2" xfId="32316"/>
    <cellStyle name="Normal 5 3 3 2 3 3 2 4 2" xfId="32317"/>
    <cellStyle name="Normal 7 3 3 2 3 3 2 4 2" xfId="32318"/>
    <cellStyle name="Normal 2 8 2 3 2 4 2" xfId="32319"/>
    <cellStyle name="Normal 3 8 2 3 2 4 2" xfId="32320"/>
    <cellStyle name="Normal 4 7 2 3 2 4 2" xfId="32321"/>
    <cellStyle name="Normal 5 7 2 3 2 4 2" xfId="32322"/>
    <cellStyle name="Normal 7 7 2 3 2 4 2" xfId="32323"/>
    <cellStyle name="Normal 2 3 5 2 3 2 4 2" xfId="32324"/>
    <cellStyle name="Normal 3 3 5 2 3 2 4 2" xfId="32325"/>
    <cellStyle name="Normal 4 2 5 2 3 2 4 2" xfId="32326"/>
    <cellStyle name="Normal 5 2 5 2 3 2 4 2" xfId="32327"/>
    <cellStyle name="Normal 7 2 5 2 3 2 4 2" xfId="32328"/>
    <cellStyle name="Normal 2 4 5 2 3 2 4 2" xfId="32329"/>
    <cellStyle name="Normal 3 4 5 2 3 2 4 2" xfId="32330"/>
    <cellStyle name="Normal 4 3 5 2 3 2 4 2" xfId="32331"/>
    <cellStyle name="Normal 5 3 5 2 3 2 4 2" xfId="32332"/>
    <cellStyle name="Normal 7 3 5 2 3 2 4 2" xfId="32333"/>
    <cellStyle name="Normal 2 5 3 2 3 2 4 2" xfId="32334"/>
    <cellStyle name="Normal 3 5 3 2 3 2 4 2" xfId="32335"/>
    <cellStyle name="Normal 4 4 3 2 3 2 4 2" xfId="32336"/>
    <cellStyle name="Normal 5 4 3 2 3 2 4 2" xfId="32337"/>
    <cellStyle name="Normal 7 4 3 2 3 2 4 2" xfId="32338"/>
    <cellStyle name="Normal 2 3 2 3 2 3 2 4 2" xfId="32339"/>
    <cellStyle name="Normal 3 3 2 3 2 3 2 4 2" xfId="32340"/>
    <cellStyle name="Normal 4 2 2 3 2 3 2 4 2" xfId="32341"/>
    <cellStyle name="Normal 5 2 2 3 2 3 2 4 2" xfId="32342"/>
    <cellStyle name="Normal 7 2 2 3 2 3 2 4 2" xfId="32343"/>
    <cellStyle name="Normal 2 4 2 3 2 3 2 4 2" xfId="32344"/>
    <cellStyle name="Normal 3 4 2 3 2 3 2 4 2" xfId="32345"/>
    <cellStyle name="Normal 4 3 2 3 2 3 2 4 2" xfId="32346"/>
    <cellStyle name="Normal 5 3 2 3 2 3 2 4 2" xfId="32347"/>
    <cellStyle name="Normal 7 3 2 3 2 3 2 4 2" xfId="32348"/>
    <cellStyle name="Normal 2 6 3 2 3 2 4 2" xfId="32349"/>
    <cellStyle name="Normal 3 6 3 2 3 2 4 2" xfId="32350"/>
    <cellStyle name="Normal 4 5 3 2 3 2 4 2" xfId="32351"/>
    <cellStyle name="Normal 5 5 3 2 3 2 4 2" xfId="32352"/>
    <cellStyle name="Normal 7 5 3 2 3 2 4 2" xfId="32353"/>
    <cellStyle name="Normal 2 3 3 3 2 3 2 4 2" xfId="32354"/>
    <cellStyle name="Normal 3 3 3 3 2 3 2 4 2" xfId="32355"/>
    <cellStyle name="Normal 4 2 3 3 2 3 2 4 2" xfId="32356"/>
    <cellStyle name="Normal 5 2 3 3 2 3 2 4 2" xfId="32357"/>
    <cellStyle name="Normal 7 2 3 3 2 3 2 4 2" xfId="32358"/>
    <cellStyle name="Normal 2 4 3 3 2 3 2 4 2" xfId="32359"/>
    <cellStyle name="Normal 3 4 3 3 2 3 2 4 2" xfId="32360"/>
    <cellStyle name="Normal 4 3 3 3 2 3 2 4 2" xfId="32361"/>
    <cellStyle name="Normal 5 3 3 3 2 3 2 4 2" xfId="32362"/>
    <cellStyle name="Normal 7 3 3 3 2 3 2 4 2" xfId="32363"/>
    <cellStyle name="Normal 2 7 2 2 3 2 4 2" xfId="32364"/>
    <cellStyle name="Normal 3 7 2 2 3 2 4 2" xfId="32365"/>
    <cellStyle name="Normal 4 6 2 2 3 2 4 2" xfId="32366"/>
    <cellStyle name="Normal 5 6 2 2 3 2 4 2" xfId="32367"/>
    <cellStyle name="Normal 7 6 2 2 3 2 4 2" xfId="32368"/>
    <cellStyle name="Normal 2 3 4 2 2 3 2 4 2" xfId="32369"/>
    <cellStyle name="Normal 3 3 4 2 2 3 2 4 2" xfId="32370"/>
    <cellStyle name="Normal 4 2 4 2 2 3 2 4 2" xfId="32371"/>
    <cellStyle name="Normal 5 2 4 2 2 3 2 4 2" xfId="32372"/>
    <cellStyle name="Normal 7 2 4 2 2 3 2 4 2" xfId="32373"/>
    <cellStyle name="Normal 2 4 4 2 2 3 2 4 2" xfId="32374"/>
    <cellStyle name="Normal 3 4 4 2 2 3 2 4 2" xfId="32375"/>
    <cellStyle name="Normal 4 3 4 2 2 3 2 4 2" xfId="32376"/>
    <cellStyle name="Normal 5 3 4 2 2 3 2 4 2" xfId="32377"/>
    <cellStyle name="Normal 7 3 4 2 2 3 2 4 2" xfId="32378"/>
    <cellStyle name="Normal 2 5 2 2 2 3 2 4 2" xfId="32379"/>
    <cellStyle name="Normal 3 5 2 2 2 3 2 4 2" xfId="32380"/>
    <cellStyle name="Normal 4 4 2 2 2 3 2 4 2" xfId="32381"/>
    <cellStyle name="Normal 5 4 2 2 2 3 2 4 2" xfId="32382"/>
    <cellStyle name="Normal 7 4 2 2 2 3 2 4 2" xfId="32383"/>
    <cellStyle name="Normal 2 3 2 2 2 2 3 2 4 2" xfId="32384"/>
    <cellStyle name="Normal 3 3 2 2 2 2 3 2 4 2" xfId="32385"/>
    <cellStyle name="Normal 4 2 2 2 2 2 3 2 4 2" xfId="32386"/>
    <cellStyle name="Normal 5 2 2 2 2 2 3 2 4 2" xfId="32387"/>
    <cellStyle name="Normal 7 2 2 2 2 2 3 2 4 2" xfId="32388"/>
    <cellStyle name="Normal 2 4 2 2 2 2 3 2 4 2" xfId="32389"/>
    <cellStyle name="Normal 3 4 2 2 2 2 3 2 4 2" xfId="32390"/>
    <cellStyle name="Normal 4 3 2 2 2 2 3 2 4 2" xfId="32391"/>
    <cellStyle name="Normal 5 3 2 2 2 2 3 2 4 2" xfId="32392"/>
    <cellStyle name="Normal 7 3 2 2 2 2 3 2 4 2" xfId="32393"/>
    <cellStyle name="Normal 2 6 2 2 2 3 2 4 2" xfId="32394"/>
    <cellStyle name="Normal 3 6 2 2 2 3 2 4 2" xfId="32395"/>
    <cellStyle name="Normal 4 5 2 2 2 3 2 4 2" xfId="32396"/>
    <cellStyle name="Normal 5 5 2 2 2 3 2 4 2" xfId="32397"/>
    <cellStyle name="Normal 7 5 2 2 2 3 2 4 2" xfId="32398"/>
    <cellStyle name="Normal 2 3 3 2 2 2 3 2 4 2" xfId="32399"/>
    <cellStyle name="Normal 3 3 3 2 2 2 3 2 4 2" xfId="32400"/>
    <cellStyle name="Normal 4 2 3 2 2 2 3 2 4 2" xfId="32401"/>
    <cellStyle name="Normal 5 2 3 2 2 2 3 2 4 2" xfId="32402"/>
    <cellStyle name="Normal 7 2 3 2 2 2 3 2 4 2" xfId="32403"/>
    <cellStyle name="Normal 2 4 3 2 2 2 3 2 4 2" xfId="32404"/>
    <cellStyle name="Normal 3 4 3 2 2 2 3 2 4 2" xfId="32405"/>
    <cellStyle name="Normal 4 3 3 2 2 2 3 2 4 2" xfId="32406"/>
    <cellStyle name="Normal 5 3 3 2 2 2 3 2 4 2" xfId="32407"/>
    <cellStyle name="Normal 7 3 3 2 2 2 3 2 4 2" xfId="32408"/>
    <cellStyle name="Normal 28 3 2 4 2" xfId="32409"/>
    <cellStyle name="Normal 2 3 7 3 2 4 2" xfId="32410"/>
    <cellStyle name="Normal 3 10 3 2 4 2" xfId="32411"/>
    <cellStyle name="Normal 4 9 3 2 4 2" xfId="32412"/>
    <cellStyle name="Normal 5 9 3 2 4 2" xfId="32413"/>
    <cellStyle name="Millares 4 3 2 4 2" xfId="32414"/>
    <cellStyle name="Normal 7 2 7 3 2 4 2" xfId="32415"/>
    <cellStyle name="Normal 3 3 7 3 2 4 2" xfId="32416"/>
    <cellStyle name="Normal 4 2 7 3 2 4 2" xfId="32417"/>
    <cellStyle name="Normal 5 2 7 3 2 4 2" xfId="32418"/>
    <cellStyle name="Normal 2 4 5 3 3 2 4 2" xfId="32419"/>
    <cellStyle name="Normal 3 4 7 3 2 4 2" xfId="32420"/>
    <cellStyle name="Normal 4 3 7 3 2 4 2" xfId="32421"/>
    <cellStyle name="Normal 5 3 7 3 2 4 2" xfId="32422"/>
    <cellStyle name="Normal 7 3 7 3 2 4 2" xfId="32423"/>
    <cellStyle name="Normal 2 5 5 3 2 4 2" xfId="32424"/>
    <cellStyle name="Normal 3 5 5 3 2 4 2" xfId="32425"/>
    <cellStyle name="Normal 4 4 5 3 2 4 2" xfId="32426"/>
    <cellStyle name="Normal 5 4 5 3 2 4 2" xfId="32427"/>
    <cellStyle name="Normal 7 4 5 3 2 4 2" xfId="32428"/>
    <cellStyle name="Normal 2 3 2 5 3 2 4 2" xfId="32429"/>
    <cellStyle name="Normal 3 3 2 5 3 2 4 2" xfId="32430"/>
    <cellStyle name="Normal 4 2 2 5 3 2 4 2" xfId="32431"/>
    <cellStyle name="Normal 5 2 2 5 3 2 4 2" xfId="32432"/>
    <cellStyle name="Normal 7 2 2 5 3 2 4 2" xfId="32433"/>
    <cellStyle name="Normal 2 4 2 5 3 2 4 2" xfId="32434"/>
    <cellStyle name="Normal 3 4 2 5 3 2 4 2" xfId="32435"/>
    <cellStyle name="Normal 4 3 2 5 3 2 4 2" xfId="32436"/>
    <cellStyle name="Normal 5 3 2 5 3 2 4 2" xfId="32437"/>
    <cellStyle name="Normal 7 3 2 5 3 2 4 2" xfId="32438"/>
    <cellStyle name="Normal 2 6 5 3 2 4 2" xfId="32439"/>
    <cellStyle name="Normal 3 6 5 3 2 4 2" xfId="32440"/>
    <cellStyle name="Normal 4 5 5 3 2 4 2" xfId="32441"/>
    <cellStyle name="Normal 5 5 5 3 2 4 2" xfId="32442"/>
    <cellStyle name="Normal 7 5 5 3 2 4 2" xfId="32443"/>
    <cellStyle name="Normal 2 3 3 5 3 2 4 2" xfId="32444"/>
    <cellStyle name="Normal 3 3 3 5 3 2 4 2" xfId="32445"/>
    <cellStyle name="Normal 4 2 3 5 3 2 4 2" xfId="32446"/>
    <cellStyle name="Normal 5 2 3 5 3 2 4 2" xfId="32447"/>
    <cellStyle name="Normal 7 2 3 5 3 2 4 2" xfId="32448"/>
    <cellStyle name="Normal 2 4 3 5 3 2 4 2" xfId="32449"/>
    <cellStyle name="Normal 3 4 3 5 3 2 4 2" xfId="32450"/>
    <cellStyle name="Normal 4 3 3 5 3 2 4 2" xfId="32451"/>
    <cellStyle name="Normal 5 3 3 5 3 2 4 2" xfId="32452"/>
    <cellStyle name="Normal 7 3 3 5 3 2 4 2" xfId="32453"/>
    <cellStyle name="Normal 2 7 4 3 2 4 2" xfId="32454"/>
    <cellStyle name="Normal 3 7 4 3 2 4 2" xfId="32455"/>
    <cellStyle name="Normal 4 6 4 3 2 4 2" xfId="32456"/>
    <cellStyle name="Normal 5 6 4 3 2 4 2" xfId="32457"/>
    <cellStyle name="Normal 7 6 4 3 2 4 2" xfId="32458"/>
    <cellStyle name="Normal 2 3 4 4 3 2 4 2" xfId="32459"/>
    <cellStyle name="Normal 3 3 4 4 3 2 4 2" xfId="32460"/>
    <cellStyle name="Normal 4 2 4 4 3 2 4 2" xfId="32461"/>
    <cellStyle name="Normal 5 2 4 4 3 2 4 2" xfId="32462"/>
    <cellStyle name="Normal 7 2 4 4 3 2 4 2" xfId="32463"/>
    <cellStyle name="Normal 2 4 4 4 3 2 4 2" xfId="32464"/>
    <cellStyle name="Normal 3 4 4 4 3 2 4 2" xfId="32465"/>
    <cellStyle name="Normal 4 3 4 4 3 2 4 2" xfId="32466"/>
    <cellStyle name="Normal 5 3 4 4 3 2 4 2" xfId="32467"/>
    <cellStyle name="Normal 7 3 4 4 3 2 4 2" xfId="32468"/>
    <cellStyle name="Normal 2 5 2 4 3 2 4 2" xfId="32469"/>
    <cellStyle name="Normal 3 5 2 4 3 2 4 2" xfId="32470"/>
    <cellStyle name="Normal 4 4 2 4 3 2 4 2" xfId="32471"/>
    <cellStyle name="Normal 5 4 2 4 3 2 4 2" xfId="32472"/>
    <cellStyle name="Normal 7 4 2 4 3 2 4 2" xfId="32473"/>
    <cellStyle name="Normal 2 3 2 2 4 3 2 4 2" xfId="32474"/>
    <cellStyle name="Normal 3 3 2 2 4 3 2 4 2" xfId="32475"/>
    <cellStyle name="Normal 4 2 2 2 4 3 2 4 2" xfId="32476"/>
    <cellStyle name="Normal 5 2 2 2 4 3 2 4 2" xfId="32477"/>
    <cellStyle name="Normal 7 2 2 2 4 3 2 4 2" xfId="32478"/>
    <cellStyle name="Normal 2 4 2 2 4 3 2 4 2" xfId="32479"/>
    <cellStyle name="Normal 3 4 2 2 4 3 2 4 2" xfId="32480"/>
    <cellStyle name="Normal 4 3 2 2 4 3 2 4 2" xfId="32481"/>
    <cellStyle name="Normal 5 3 2 2 4 3 2 4 2" xfId="32482"/>
    <cellStyle name="Normal 7 3 2 2 4 3 2 4 2" xfId="32483"/>
    <cellStyle name="Normal 2 6 2 4 3 2 4 2" xfId="32484"/>
    <cellStyle name="Normal 3 6 2 4 3 2 4 2" xfId="32485"/>
    <cellStyle name="Normal 4 5 2 4 3 2 4 2" xfId="32486"/>
    <cellStyle name="Normal 5 5 2 4 3 2 4 2" xfId="32487"/>
    <cellStyle name="Normal 7 5 2 4 3 2 4 2" xfId="32488"/>
    <cellStyle name="Normal 2 3 3 2 4 3 2 4 2" xfId="32489"/>
    <cellStyle name="Normal 3 3 3 2 4 3 2 4 2" xfId="32490"/>
    <cellStyle name="Normal 4 2 3 2 4 3 2 4 2" xfId="32491"/>
    <cellStyle name="Normal 5 2 3 2 4 3 2 4 2" xfId="32492"/>
    <cellStyle name="Normal 7 2 3 2 4 3 2 4 2" xfId="32493"/>
    <cellStyle name="Normal 2 4 3 2 4 3 2 4 2" xfId="32494"/>
    <cellStyle name="Normal 3 4 3 2 4 3 2 4 2" xfId="32495"/>
    <cellStyle name="Normal 4 3 3 2 4 3 2 4 2" xfId="32496"/>
    <cellStyle name="Normal 5 3 3 2 4 3 2 4 2" xfId="32497"/>
    <cellStyle name="Normal 7 3 3 2 4 3 2 4 2" xfId="32498"/>
    <cellStyle name="Normal 2 8 3 3 2 4 2" xfId="32499"/>
    <cellStyle name="Normal 3 8 3 3 2 4 2" xfId="32500"/>
    <cellStyle name="Normal 4 7 3 3 2 4 2" xfId="32501"/>
    <cellStyle name="Normal 5 7 3 3 2 4 2" xfId="32502"/>
    <cellStyle name="Normal 7 7 3 3 2 4 2" xfId="32503"/>
    <cellStyle name="Normal 2 3 5 3 3 2 4 2" xfId="32504"/>
    <cellStyle name="Normal 3 3 5 3 3 2 4 2" xfId="32505"/>
    <cellStyle name="Normal 4 2 5 3 3 2 4 2" xfId="32506"/>
    <cellStyle name="Normal 5 2 5 3 3 2 4 2" xfId="32507"/>
    <cellStyle name="Normal 7 2 5 3 3 2 4 2" xfId="32508"/>
    <cellStyle name="Normal 3 4 5 3 3 2 4 2" xfId="32509"/>
    <cellStyle name="Normal 4 3 5 3 3 2 4 2" xfId="32510"/>
    <cellStyle name="Normal 5 3 5 3 3 2 4 2" xfId="32511"/>
    <cellStyle name="Normal 7 3 5 3 3 2 4 2" xfId="32512"/>
    <cellStyle name="Normal 2 5 3 3 3 2 4 2" xfId="32513"/>
    <cellStyle name="Normal 3 5 3 3 3 2 4 2" xfId="32514"/>
    <cellStyle name="Normal 4 4 3 3 3 2 4 2" xfId="32515"/>
    <cellStyle name="Normal 5 4 3 3 3 2 4 2" xfId="32516"/>
    <cellStyle name="Normal 7 4 3 3 3 2 4 2" xfId="32517"/>
    <cellStyle name="Normal 2 3 2 3 3 3 2 4 2" xfId="32518"/>
    <cellStyle name="Normal 3 3 2 3 3 3 2 4 2" xfId="32519"/>
    <cellStyle name="Normal 4 2 2 3 3 3 2 4 2" xfId="32520"/>
    <cellStyle name="Normal 5 2 2 3 3 3 2 4 2" xfId="32521"/>
    <cellStyle name="Normal 7 2 2 3 3 3 2 4 2" xfId="32522"/>
    <cellStyle name="Normal 2 4 2 3 3 3 2 4 2" xfId="32523"/>
    <cellStyle name="Normal 3 4 2 3 3 3 2 4 2" xfId="32524"/>
    <cellStyle name="Normal 4 3 2 3 3 3 2 4 2" xfId="32525"/>
    <cellStyle name="Normal 5 3 2 3 3 3 2 4 2" xfId="32526"/>
    <cellStyle name="Normal 7 3 2 3 3 3 2 4 2" xfId="32527"/>
    <cellStyle name="Normal 2 6 3 3 3 2 4 2" xfId="32528"/>
    <cellStyle name="Normal 3 6 3 3 3 2 4 2" xfId="32529"/>
    <cellStyle name="Normal 4 5 3 3 3 2 4 2" xfId="32530"/>
    <cellStyle name="Normal 5 5 3 3 3 2 4 2" xfId="32531"/>
    <cellStyle name="Normal 7 5 3 3 3 2 4 2" xfId="32532"/>
    <cellStyle name="Normal 2 3 3 3 3 3 2 4 2" xfId="32533"/>
    <cellStyle name="Normal 3 3 3 3 3 3 2 4 2" xfId="32534"/>
    <cellStyle name="Normal 4 2 3 3 3 3 2 4 2" xfId="32535"/>
    <cellStyle name="Normal 5 2 3 3 3 3 2 4 2" xfId="32536"/>
    <cellStyle name="Normal 7 2 3 3 3 3 2 4 2" xfId="32537"/>
    <cellStyle name="Normal 2 4 3 3 3 3 2 4 2" xfId="32538"/>
    <cellStyle name="Normal 3 4 3 3 3 3 2 4 2" xfId="32539"/>
    <cellStyle name="Normal 4 3 3 3 3 3 2 4 2" xfId="32540"/>
    <cellStyle name="Normal 5 3 3 3 3 3 2 4 2" xfId="32541"/>
    <cellStyle name="Normal 7 3 3 3 3 3 2 4 2" xfId="32542"/>
    <cellStyle name="Normal 2 7 2 3 3 2 4 2" xfId="32543"/>
    <cellStyle name="Normal 3 7 2 3 3 2 4 2" xfId="32544"/>
    <cellStyle name="Normal 4 6 2 3 3 2 4 2" xfId="32545"/>
    <cellStyle name="Normal 5 6 2 3 3 2 4 2" xfId="32546"/>
    <cellStyle name="Normal 7 6 2 3 3 2 4 2" xfId="32547"/>
    <cellStyle name="Normal 2 3 4 2 3 3 2 4 2" xfId="32548"/>
    <cellStyle name="Normal 3 3 4 2 3 3 2 4 2" xfId="32549"/>
    <cellStyle name="Normal 4 2 4 2 3 3 2 4 2" xfId="32550"/>
    <cellStyle name="Normal 5 2 4 2 3 3 2 4 2" xfId="32551"/>
    <cellStyle name="Normal 7 2 4 2 3 3 2 4 2" xfId="32552"/>
    <cellStyle name="Normal 2 4 4 2 3 3 2 4 2" xfId="32553"/>
    <cellStyle name="Normal 3 4 4 2 3 3 2 4 2" xfId="32554"/>
    <cellStyle name="Normal 4 3 4 2 3 3 2 4 2" xfId="32555"/>
    <cellStyle name="Normal 5 3 4 2 3 3 2 4 2" xfId="32556"/>
    <cellStyle name="Normal 7 3 4 2 3 3 2 4 2" xfId="32557"/>
    <cellStyle name="Normal 2 5 2 2 3 3 2 4 2" xfId="32558"/>
    <cellStyle name="Normal 3 5 2 2 3 3 2 4 2" xfId="32559"/>
    <cellStyle name="Normal 4 4 2 2 3 3 2 4 2" xfId="32560"/>
    <cellStyle name="Normal 5 4 2 2 3 3 2 4 2" xfId="32561"/>
    <cellStyle name="Normal 7 4 2 2 3 3 2 4 2" xfId="32562"/>
    <cellStyle name="Normal 2 3 2 2 2 3 3 2 4 2" xfId="32563"/>
    <cellStyle name="Normal 3 3 2 2 2 3 3 2 4 2" xfId="32564"/>
    <cellStyle name="Normal 4 2 2 2 2 3 3 2 4 2" xfId="32565"/>
    <cellStyle name="Normal 5 2 2 2 2 3 3 2 4 2" xfId="32566"/>
    <cellStyle name="Normal 7 2 2 2 2 3 3 2 4 2" xfId="32567"/>
    <cellStyle name="Normal 2 4 2 2 2 3 3 2 4 2" xfId="32568"/>
    <cellStyle name="Normal 3 4 2 2 2 3 3 2 4 2" xfId="32569"/>
    <cellStyle name="Normal 4 3 2 2 2 3 3 2 4 2" xfId="32570"/>
    <cellStyle name="Normal 5 3 2 2 2 3 3 2 4 2" xfId="32571"/>
    <cellStyle name="Normal 7 3 2 2 2 3 3 2 4 2" xfId="32572"/>
    <cellStyle name="Normal 2 6 2 2 3 3 2 4 2" xfId="32573"/>
    <cellStyle name="Normal 3 6 2 2 3 3 2 4 2" xfId="32574"/>
    <cellStyle name="Normal 4 5 2 2 3 3 2 4 2" xfId="32575"/>
    <cellStyle name="Normal 5 5 2 2 3 3 2 4 2" xfId="32576"/>
    <cellStyle name="Normal 7 5 2 2 3 3 2 4 2" xfId="32577"/>
    <cellStyle name="Normal 2 3 3 2 2 3 3 2 4 2" xfId="32578"/>
    <cellStyle name="Normal 3 3 3 2 2 3 3 2 4 2" xfId="32579"/>
    <cellStyle name="Normal 4 2 3 2 2 3 3 2 4 2" xfId="32580"/>
    <cellStyle name="Normal 5 2 3 2 2 3 3 2 4 2" xfId="32581"/>
    <cellStyle name="Normal 7 2 3 2 2 3 3 2 4 2" xfId="32582"/>
    <cellStyle name="Normal 2 4 3 2 2 3 3 2 4 2" xfId="32583"/>
    <cellStyle name="Normal 3 4 3 2 2 3 3 2 4 2" xfId="32584"/>
    <cellStyle name="Normal 4 3 3 2 2 3 3 2 4 2" xfId="32585"/>
    <cellStyle name="Normal 5 3 3 2 2 3 3 2 4 2" xfId="32586"/>
    <cellStyle name="Normal 7 3 3 2 2 3 3 2 4 2" xfId="32587"/>
    <cellStyle name="Normal 7 2 11 3 2" xfId="32588"/>
    <cellStyle name="Normal 28 5 3 2" xfId="32589"/>
    <cellStyle name="Normal 7 2 15 2" xfId="32590"/>
    <cellStyle name="Normal 7 14 2 2" xfId="32591"/>
    <cellStyle name="Normal 28 8 2" xfId="32592"/>
    <cellStyle name="Normal 7 17 2" xfId="32593"/>
    <cellStyle name="Normal 7 15 2" xfId="32594"/>
    <cellStyle name="Normal 7 2 13 2" xfId="32595"/>
    <cellStyle name="Normal 7 2 12 2 2" xfId="32596"/>
    <cellStyle name="Normal 28 9 2" xfId="32597"/>
    <cellStyle name="Normal 28 7 2" xfId="32598"/>
    <cellStyle name="Normal 28 6 2 2" xfId="32599"/>
    <cellStyle name="Normal 7 16 2" xfId="32600"/>
    <cellStyle name="Normal 7 2 14 2" xfId="32601"/>
    <cellStyle name="Normal 35 2" xfId="32602"/>
    <cellStyle name="Millares 6 2" xfId="32603"/>
    <cellStyle name="Título 6" xfId="32604"/>
    <cellStyle name="Encabezado 1 2" xfId="32605"/>
    <cellStyle name="Título 2 4" xfId="32606"/>
    <cellStyle name="Título 3 4" xfId="32607"/>
    <cellStyle name="Encabezado 4 4" xfId="32608"/>
    <cellStyle name="Buena 4" xfId="32609"/>
    <cellStyle name="Incorrecto 4" xfId="32610"/>
    <cellStyle name="Neutral 4" xfId="32611"/>
    <cellStyle name="Entrada 4" xfId="32612"/>
    <cellStyle name="Salida 4" xfId="32613"/>
    <cellStyle name="Cálculo 4" xfId="32614"/>
    <cellStyle name="Celda vinculada 4" xfId="32615"/>
    <cellStyle name="Celda de comprobación 4" xfId="32616"/>
    <cellStyle name="Texto de advertencia 4" xfId="32617"/>
    <cellStyle name="Texto explicativo 4" xfId="32618"/>
    <cellStyle name="Total 4" xfId="32619"/>
    <cellStyle name="Énfasis1 4" xfId="32620"/>
    <cellStyle name="20% - Énfasis1 5" xfId="32621"/>
    <cellStyle name="40% - Énfasis1 5" xfId="32622"/>
    <cellStyle name="60% - Énfasis1 4" xfId="32623"/>
    <cellStyle name="Énfasis2 4" xfId="32624"/>
    <cellStyle name="20% - Énfasis2 5" xfId="32625"/>
    <cellStyle name="40% - Énfasis2 5" xfId="32626"/>
    <cellStyle name="60% - Énfasis2 4" xfId="32627"/>
    <cellStyle name="Énfasis3 4" xfId="32628"/>
    <cellStyle name="20% - Énfasis3 5" xfId="32629"/>
    <cellStyle name="40% - Énfasis3 5" xfId="32630"/>
    <cellStyle name="60% - Énfasis3 4" xfId="32631"/>
    <cellStyle name="Énfasis4 4" xfId="32632"/>
    <cellStyle name="20% - Énfasis4 5" xfId="32633"/>
    <cellStyle name="40% - Énfasis4 5" xfId="32634"/>
    <cellStyle name="60% - Énfasis4 4" xfId="32635"/>
    <cellStyle name="Énfasis5 4" xfId="32636"/>
    <cellStyle name="20% - Énfasis5 5" xfId="32637"/>
    <cellStyle name="40% - Énfasis5 5" xfId="32638"/>
    <cellStyle name="60% - Énfasis5 4" xfId="32639"/>
    <cellStyle name="Énfasis6 4" xfId="32640"/>
    <cellStyle name="20% - Énfasis6 5" xfId="32641"/>
    <cellStyle name="40% - Énfasis6 5" xfId="32642"/>
    <cellStyle name="60% - Énfasis6 4" xfId="32643"/>
    <cellStyle name="Normal 36" xfId="32644"/>
    <cellStyle name="Normal 38" xfId="32645"/>
    <cellStyle name="Normal 39" xfId="32646"/>
    <cellStyle name="Normal 40" xfId="32647"/>
    <cellStyle name="Notas 2" xfId="32648"/>
    <cellStyle name="Normal 37" xfId="32649"/>
    <cellStyle name="Normal 41" xfId="32650"/>
    <cellStyle name="Normal 42" xfId="32651"/>
    <cellStyle name="Normal 43" xfId="32652"/>
    <cellStyle name="Normal 2 18" xfId="32653"/>
    <cellStyle name="Normal 2 3 15" xfId="32654"/>
    <cellStyle name="Normal 2 3 2 13" xfId="32655"/>
    <cellStyle name="Normal 2 3 2 2 12" xfId="32656"/>
    <cellStyle name="Normal 2 3 3 13" xfId="32657"/>
    <cellStyle name="Normal 2 3 3 2 12" xfId="32658"/>
    <cellStyle name="Normal 2 3 4 12" xfId="32659"/>
    <cellStyle name="Normal 2 4 15" xfId="32660"/>
    <cellStyle name="Normal 2 4 2 13" xfId="32661"/>
    <cellStyle name="Normal 2 4 2 2 12" xfId="32662"/>
    <cellStyle name="Normal 2 4 3 13" xfId="32663"/>
    <cellStyle name="Normal 2 4 3 2 12" xfId="32664"/>
    <cellStyle name="Normal 2 4 4 12" xfId="32665"/>
    <cellStyle name="Normal 2 5 13" xfId="32666"/>
    <cellStyle name="Normal 2 5 2 12" xfId="32667"/>
    <cellStyle name="Normal 2 6 13" xfId="32668"/>
    <cellStyle name="Normal 2 6 2 12" xfId="32669"/>
    <cellStyle name="Normal 2 7 12" xfId="32670"/>
    <cellStyle name="Normal 3 18" xfId="32671"/>
    <cellStyle name="Normal 3 3 15" xfId="32672"/>
    <cellStyle name="Normal 3 3 2 13" xfId="32673"/>
    <cellStyle name="Normal 3 3 2 2 12" xfId="32674"/>
    <cellStyle name="Normal 3 3 3 13" xfId="32675"/>
    <cellStyle name="Normal 3 3 3 2 12" xfId="32676"/>
    <cellStyle name="Normal 3 3 4 12" xfId="32677"/>
    <cellStyle name="Normal 3 4 15" xfId="32678"/>
    <cellStyle name="Normal 3 4 2 13" xfId="32679"/>
    <cellStyle name="Normal 3 4 2 2 12" xfId="32680"/>
    <cellStyle name="Normal 3 4 3 13" xfId="32681"/>
    <cellStyle name="Normal 3 4 3 2 12" xfId="32682"/>
    <cellStyle name="Normal 3 4 4 12" xfId="32683"/>
    <cellStyle name="Normal 3 5 13" xfId="32684"/>
    <cellStyle name="Normal 3 5 2 12" xfId="32685"/>
    <cellStyle name="Normal 3 6 13" xfId="32686"/>
    <cellStyle name="Normal 3 6 2 12" xfId="32687"/>
    <cellStyle name="Normal 3 7 12" xfId="32688"/>
    <cellStyle name="Normal 34 3" xfId="32689"/>
    <cellStyle name="Normal 35 3" xfId="32690"/>
    <cellStyle name="Normal 36 2" xfId="32691"/>
    <cellStyle name="Normal 4 17" xfId="32692"/>
    <cellStyle name="Normal 4 2 15" xfId="32693"/>
    <cellStyle name="Normal 4 2 2 13" xfId="32694"/>
    <cellStyle name="Normal 4 2 2 2 12" xfId="32695"/>
    <cellStyle name="Normal 4 2 3 13" xfId="32696"/>
    <cellStyle name="Normal 4 2 3 2 12" xfId="32697"/>
    <cellStyle name="Normal 4 2 4 12" xfId="32698"/>
    <cellStyle name="Normal 4 3 15" xfId="32699"/>
    <cellStyle name="Normal 4 3 2 13" xfId="32700"/>
    <cellStyle name="Normal 4 3 2 2 12" xfId="32701"/>
    <cellStyle name="Normal 4 3 3 13" xfId="32702"/>
    <cellStyle name="Normal 4 3 3 2 12" xfId="32703"/>
    <cellStyle name="Normal 4 3 4 12" xfId="32704"/>
    <cellStyle name="Normal 4 4 13" xfId="32705"/>
    <cellStyle name="Normal 4 4 2 12" xfId="32706"/>
    <cellStyle name="Normal 4 5 13" xfId="32707"/>
    <cellStyle name="Normal 4 5 2 12" xfId="32708"/>
    <cellStyle name="Normal 4 6 12" xfId="32709"/>
    <cellStyle name="Normal 5 17" xfId="32710"/>
    <cellStyle name="Normal 5 2 15" xfId="32711"/>
    <cellStyle name="Normal 5 2 2 13" xfId="32712"/>
    <cellStyle name="Normal 5 2 2 2 12" xfId="32713"/>
    <cellStyle name="Normal 5 2 3 13" xfId="32714"/>
    <cellStyle name="Normal 5 2 3 2 12" xfId="32715"/>
    <cellStyle name="Normal 5 2 4 12" xfId="32716"/>
    <cellStyle name="Normal 5 3 15" xfId="32717"/>
    <cellStyle name="Normal 5 3 2 13" xfId="32718"/>
    <cellStyle name="Normal 5 3 2 2 12" xfId="32719"/>
    <cellStyle name="Normal 5 3 3 13" xfId="32720"/>
    <cellStyle name="Normal 5 3 3 2 12" xfId="32721"/>
    <cellStyle name="Normal 5 3 4 12" xfId="32722"/>
    <cellStyle name="Normal 5 4 13" xfId="32723"/>
    <cellStyle name="Normal 5 4 2 12" xfId="32724"/>
    <cellStyle name="Normal 5 5 13" xfId="32725"/>
    <cellStyle name="Normal 5 5 2 12" xfId="32726"/>
    <cellStyle name="Normal 5 6 12" xfId="32727"/>
    <cellStyle name="Normal 7 2 2 13" xfId="32728"/>
    <cellStyle name="Normal 7 2 2 2 12" xfId="32729"/>
    <cellStyle name="Normal 7 2 3 13" xfId="32730"/>
    <cellStyle name="Normal 7 2 3 2 12" xfId="32731"/>
    <cellStyle name="Normal 7 2 4 12" xfId="32732"/>
    <cellStyle name="Normal 7 2 5 11" xfId="32733"/>
    <cellStyle name="Normal 7 3 15" xfId="32734"/>
    <cellStyle name="Normal 7 3 2 13" xfId="32735"/>
    <cellStyle name="Normal 7 3 2 2 12" xfId="32736"/>
    <cellStyle name="Normal 7 3 3 13" xfId="32737"/>
    <cellStyle name="Normal 7 3 3 2 12" xfId="32738"/>
    <cellStyle name="Normal 7 3 4 12" xfId="32739"/>
    <cellStyle name="Normal 7 4 13" xfId="32740"/>
    <cellStyle name="Normal 7 4 2 12" xfId="32741"/>
    <cellStyle name="Normal 7 5 13" xfId="32742"/>
    <cellStyle name="Normal 7 5 2 12" xfId="32743"/>
    <cellStyle name="Normal 7 6 12" xfId="32744"/>
    <cellStyle name="Normal 44" xfId="32745"/>
    <cellStyle name="Normal 2 19" xfId="32746"/>
    <cellStyle name="Normal 3 19" xfId="32747"/>
    <cellStyle name="Normal 4 18" xfId="32748"/>
    <cellStyle name="Normal 5 18" xfId="32749"/>
    <cellStyle name="Normal 7 3 16" xfId="32750"/>
    <cellStyle name="Normal 7 4 14" xfId="32751"/>
    <cellStyle name="Normal 2 3 16" xfId="32752"/>
    <cellStyle name="Normal 3 3 16" xfId="32753"/>
    <cellStyle name="Normal 4 2 16" xfId="32754"/>
    <cellStyle name="Normal 5 2 16" xfId="32755"/>
    <cellStyle name="Normal 7 2 2 14" xfId="32756"/>
    <cellStyle name="Normal 2 4 16" xfId="32757"/>
    <cellStyle name="Normal 3 4 16" xfId="32758"/>
    <cellStyle name="Normal 4 3 16" xfId="32759"/>
    <cellStyle name="Normal 5 3 16" xfId="32760"/>
    <cellStyle name="Normal 2 5 14" xfId="32761"/>
    <cellStyle name="Normal 3 5 14" xfId="32762"/>
    <cellStyle name="Normal 4 4 14" xfId="32763"/>
    <cellStyle name="Normal 5 4 14" xfId="32764"/>
    <cellStyle name="Normal 2 3 2 14" xfId="32765"/>
    <cellStyle name="Normal 3 3 2 14" xfId="32766"/>
    <cellStyle name="Normal 4 2 2 14" xfId="32767"/>
    <cellStyle name="Normal 5 2 2 14" xfId="32768"/>
    <cellStyle name="Normal 2 4 2 14" xfId="32769"/>
    <cellStyle name="Normal 3 4 2 14" xfId="32770"/>
    <cellStyle name="Normal 4 3 2 14" xfId="32771"/>
    <cellStyle name="Normal 5 3 2 14" xfId="32772"/>
    <cellStyle name="Normal 7 3 2 14" xfId="32773"/>
    <cellStyle name="Normal 2 6 14" xfId="32774"/>
    <cellStyle name="Normal 3 6 14" xfId="32775"/>
    <cellStyle name="Normal 4 5 14" xfId="32776"/>
    <cellStyle name="Normal 5 5 14" xfId="32777"/>
    <cellStyle name="Normal 7 5 14" xfId="32778"/>
    <cellStyle name="Normal 2 3 3 14" xfId="32779"/>
    <cellStyle name="Normal 3 3 3 14" xfId="32780"/>
    <cellStyle name="Normal 4 2 3 14" xfId="32781"/>
    <cellStyle name="Normal 5 2 3 14" xfId="32782"/>
    <cellStyle name="Normal 7 2 3 14" xfId="32783"/>
    <cellStyle name="Normal 2 4 3 14" xfId="32784"/>
    <cellStyle name="Normal 3 4 3 14" xfId="32785"/>
    <cellStyle name="Normal 4 3 3 14" xfId="32786"/>
    <cellStyle name="Normal 5 3 3 14" xfId="32787"/>
    <cellStyle name="Normal 7 3 3 14" xfId="32788"/>
    <cellStyle name="Normal 2 7 13" xfId="32789"/>
    <cellStyle name="Normal 3 7 13" xfId="32790"/>
    <cellStyle name="Normal 4 6 13" xfId="32791"/>
    <cellStyle name="Normal 5 6 13" xfId="32792"/>
    <cellStyle name="Normal 7 6 13" xfId="32793"/>
    <cellStyle name="Normal 2 3 4 13" xfId="32794"/>
    <cellStyle name="Normal 3 3 4 13" xfId="32795"/>
    <cellStyle name="Normal 4 2 4 13" xfId="32796"/>
    <cellStyle name="Normal 5 2 4 13" xfId="32797"/>
    <cellStyle name="Normal 7 2 4 13" xfId="32798"/>
    <cellStyle name="Normal 2 4 4 13" xfId="32799"/>
    <cellStyle name="Normal 3 4 4 13" xfId="32800"/>
    <cellStyle name="Normal 4 3 4 13" xfId="32801"/>
    <cellStyle name="Normal 5 3 4 13" xfId="32802"/>
    <cellStyle name="Normal 7 3 4 13" xfId="32803"/>
    <cellStyle name="Normal 2 5 2 13" xfId="32804"/>
    <cellStyle name="Normal 3 5 2 13" xfId="32805"/>
    <cellStyle name="Normal 4 4 2 13" xfId="32806"/>
    <cellStyle name="Normal 5 4 2 13" xfId="32807"/>
    <cellStyle name="Normal 7 4 2 13" xfId="32808"/>
    <cellStyle name="Normal 2 3 2 2 13" xfId="32809"/>
    <cellStyle name="Normal 3 3 2 2 13" xfId="32810"/>
    <cellStyle name="Normal 4 2 2 2 13" xfId="32811"/>
    <cellStyle name="Normal 5 2 2 2 13" xfId="32812"/>
    <cellStyle name="Normal 7 2 2 2 13" xfId="32813"/>
    <cellStyle name="Normal 2 4 2 2 13" xfId="32814"/>
    <cellStyle name="Normal 3 4 2 2 13" xfId="32815"/>
    <cellStyle name="Normal 4 3 2 2 13" xfId="32816"/>
    <cellStyle name="Normal 5 3 2 2 13" xfId="32817"/>
    <cellStyle name="Normal 7 3 2 2 13" xfId="32818"/>
    <cellStyle name="Normal 2 6 2 13" xfId="32819"/>
    <cellStyle name="Normal 3 6 2 13" xfId="32820"/>
    <cellStyle name="Normal 4 5 2 13" xfId="32821"/>
    <cellStyle name="Normal 5 5 2 13" xfId="32822"/>
    <cellStyle name="Normal 7 5 2 13" xfId="32823"/>
    <cellStyle name="Normal 2 3 3 2 13" xfId="32824"/>
    <cellStyle name="Normal 3 3 3 2 13" xfId="32825"/>
    <cellStyle name="Normal 4 2 3 2 13" xfId="32826"/>
    <cellStyle name="Normal 5 2 3 2 13" xfId="32827"/>
    <cellStyle name="Normal 7 2 3 2 13" xfId="32828"/>
    <cellStyle name="Normal 2 4 3 2 13" xfId="32829"/>
    <cellStyle name="Normal 3 4 3 2 13" xfId="32830"/>
    <cellStyle name="Normal 4 3 3 2 13" xfId="32831"/>
    <cellStyle name="Normal 5 3 3 2 13" xfId="32832"/>
    <cellStyle name="Normal 7 3 3 2 13" xfId="32833"/>
    <cellStyle name="Normal 2 8 11" xfId="32834"/>
    <cellStyle name="Normal 3 8 11" xfId="32835"/>
    <cellStyle name="Normal 4 7 11" xfId="32836"/>
    <cellStyle name="Normal 5 7 11" xfId="32837"/>
    <cellStyle name="Normal 7 7 11" xfId="32838"/>
    <cellStyle name="Normal 2 3 5 11" xfId="32839"/>
    <cellStyle name="Normal 3 3 5 11" xfId="32840"/>
    <cellStyle name="Normal 4 2 5 11" xfId="32841"/>
    <cellStyle name="Normal 5 2 5 11" xfId="32842"/>
    <cellStyle name="Normal 7 2 5 12" xfId="32843"/>
    <cellStyle name="Normal 2 4 5 11" xfId="32844"/>
    <cellStyle name="Normal 3 4 5 11" xfId="32845"/>
    <cellStyle name="Normal 4 3 5 11" xfId="32846"/>
    <cellStyle name="Normal 5 3 5 11" xfId="32847"/>
    <cellStyle name="Normal 7 3 5 11" xfId="32848"/>
    <cellStyle name="Normal 2 5 3 11" xfId="32849"/>
    <cellStyle name="Normal 3 5 3 11" xfId="32850"/>
    <cellStyle name="Normal 4 4 3 11" xfId="32851"/>
    <cellStyle name="Normal 5 4 3 11" xfId="32852"/>
    <cellStyle name="Normal 7 4 3 11" xfId="32853"/>
    <cellStyle name="Normal 2 3 2 3 11" xfId="32854"/>
    <cellStyle name="Normal 3 3 2 3 11" xfId="32855"/>
    <cellStyle name="Normal 4 2 2 3 11" xfId="32856"/>
    <cellStyle name="Normal 5 2 2 3 11" xfId="32857"/>
    <cellStyle name="Normal 7 2 2 3 11" xfId="32858"/>
    <cellStyle name="Normal 2 4 2 3 11" xfId="32859"/>
    <cellStyle name="Normal 3 4 2 3 11" xfId="32860"/>
    <cellStyle name="Normal 4 3 2 3 11" xfId="32861"/>
    <cellStyle name="Normal 5 3 2 3 11" xfId="32862"/>
    <cellStyle name="Normal 7 3 2 3 11" xfId="32863"/>
    <cellStyle name="Normal 2 6 3 11" xfId="32864"/>
    <cellStyle name="Normal 3 6 3 11" xfId="32865"/>
    <cellStyle name="Normal 4 5 3 11" xfId="32866"/>
    <cellStyle name="Normal 5 5 3 11" xfId="32867"/>
    <cellStyle name="Normal 7 5 3 11" xfId="32868"/>
    <cellStyle name="Normal 2 3 3 3 11" xfId="32869"/>
    <cellStyle name="Normal 3 3 3 3 11" xfId="32870"/>
    <cellStyle name="Normal 4 2 3 3 11" xfId="32871"/>
    <cellStyle name="Normal 5 2 3 3 11" xfId="32872"/>
    <cellStyle name="Normal 7 2 3 3 11" xfId="32873"/>
    <cellStyle name="Normal 2 4 3 3 11" xfId="32874"/>
    <cellStyle name="Normal 3 4 3 3 11" xfId="32875"/>
    <cellStyle name="Normal 4 3 3 3 11" xfId="32876"/>
    <cellStyle name="Normal 5 3 3 3 11" xfId="32877"/>
    <cellStyle name="Normal 7 3 3 3 11" xfId="32878"/>
    <cellStyle name="Normal 2 7 2 11" xfId="32879"/>
    <cellStyle name="Normal 3 7 2 11" xfId="32880"/>
    <cellStyle name="Normal 4 6 2 11" xfId="32881"/>
    <cellStyle name="Normal 5 6 2 11" xfId="32882"/>
    <cellStyle name="Normal 7 6 2 11" xfId="32883"/>
    <cellStyle name="Normal 2 3 4 2 11" xfId="32884"/>
    <cellStyle name="Normal 3 3 4 2 11" xfId="32885"/>
    <cellStyle name="Normal 4 2 4 2 11" xfId="32886"/>
    <cellStyle name="Normal 5 2 4 2 11" xfId="32887"/>
    <cellStyle name="Normal 7 2 4 2 11" xfId="32888"/>
    <cellStyle name="Normal 2 4 4 2 11" xfId="32889"/>
    <cellStyle name="Normal 3 4 4 2 11" xfId="32890"/>
    <cellStyle name="Normal 4 3 4 2 11" xfId="32891"/>
    <cellStyle name="Normal 5 3 4 2 11" xfId="32892"/>
    <cellStyle name="Normal 7 3 4 2 11" xfId="32893"/>
    <cellStyle name="Normal 2 5 2 2 11" xfId="32894"/>
    <cellStyle name="Normal 3 5 2 2 11" xfId="32895"/>
    <cellStyle name="Normal 4 4 2 2 11" xfId="32896"/>
    <cellStyle name="Normal 5 4 2 2 11" xfId="32897"/>
    <cellStyle name="Normal 7 4 2 2 11" xfId="32898"/>
    <cellStyle name="Normal 2 3 2 2 2 11" xfId="32899"/>
    <cellStyle name="Normal 3 3 2 2 2 11" xfId="32900"/>
    <cellStyle name="Normal 4 2 2 2 2 11" xfId="32901"/>
    <cellStyle name="Normal 5 2 2 2 2 11" xfId="32902"/>
    <cellStyle name="Normal 7 2 2 2 2 11" xfId="32903"/>
    <cellStyle name="Normal 2 4 2 2 2 11" xfId="32904"/>
    <cellStyle name="Normal 3 4 2 2 2 11" xfId="32905"/>
    <cellStyle name="Normal 4 3 2 2 2 11" xfId="32906"/>
    <cellStyle name="Normal 5 3 2 2 2 11" xfId="32907"/>
    <cellStyle name="Normal 7 3 2 2 2 11" xfId="32908"/>
    <cellStyle name="Normal 2 6 2 2 11" xfId="32909"/>
    <cellStyle name="Normal 3 6 2 2 11" xfId="32910"/>
    <cellStyle name="Normal 4 5 2 2 11" xfId="32911"/>
    <cellStyle name="Normal 5 5 2 2 11" xfId="32912"/>
    <cellStyle name="Normal 7 5 2 2 11" xfId="32913"/>
    <cellStyle name="Normal 2 3 3 2 2 11" xfId="32914"/>
    <cellStyle name="Normal 3 3 3 2 2 11" xfId="32915"/>
    <cellStyle name="Normal 4 2 3 2 2 11" xfId="32916"/>
    <cellStyle name="Normal 5 2 3 2 2 11" xfId="32917"/>
    <cellStyle name="Normal 7 2 3 2 2 11" xfId="32918"/>
    <cellStyle name="Normal 2 4 3 2 2 11" xfId="32919"/>
    <cellStyle name="Normal 3 4 3 2 2 11" xfId="32920"/>
    <cellStyle name="Normal 4 3 3 2 2 11" xfId="32921"/>
    <cellStyle name="Normal 5 3 3 2 2 11" xfId="32922"/>
    <cellStyle name="Normal 7 3 3 2 2 11" xfId="32923"/>
    <cellStyle name="Normal 2 9 9" xfId="32924"/>
    <cellStyle name="Normal 3 9 9" xfId="32925"/>
    <cellStyle name="Normal 4 8 9" xfId="32926"/>
    <cellStyle name="Normal 5 8 9" xfId="32927"/>
    <cellStyle name="Normal 7 8 9" xfId="32928"/>
    <cellStyle name="Normal 2 3 6 9" xfId="32929"/>
    <cellStyle name="Normal 3 3 6 9" xfId="32930"/>
    <cellStyle name="Normal 4 2 6 9" xfId="32931"/>
    <cellStyle name="Normal 5 2 6 9" xfId="32932"/>
    <cellStyle name="Normal 7 2 6 9" xfId="32933"/>
    <cellStyle name="Normal 2 4 6 9" xfId="32934"/>
    <cellStyle name="Normal 3 4 6 9" xfId="32935"/>
    <cellStyle name="Normal 4 3 6 9" xfId="32936"/>
    <cellStyle name="Normal 5 3 6 9" xfId="32937"/>
    <cellStyle name="Normal 7 3 6 9" xfId="32938"/>
    <cellStyle name="Normal 2 5 4 9" xfId="32939"/>
    <cellStyle name="Normal 3 5 4 9" xfId="32940"/>
    <cellStyle name="Normal 4 4 4 9" xfId="32941"/>
    <cellStyle name="Normal 5 4 4 9" xfId="32942"/>
    <cellStyle name="Normal 7 4 4 9" xfId="32943"/>
    <cellStyle name="Normal 2 3 2 4 9" xfId="32944"/>
    <cellStyle name="Normal 3 3 2 4 9" xfId="32945"/>
    <cellStyle name="Normal 4 2 2 4 9" xfId="32946"/>
    <cellStyle name="Normal 5 2 2 4 9" xfId="32947"/>
    <cellStyle name="Normal 7 2 2 4 9" xfId="32948"/>
    <cellStyle name="Normal 2 4 2 4 9" xfId="32949"/>
    <cellStyle name="Normal 3 4 2 4 9" xfId="32950"/>
    <cellStyle name="Normal 4 3 2 4 9" xfId="32951"/>
    <cellStyle name="Normal 5 3 2 4 9" xfId="32952"/>
    <cellStyle name="Normal 7 3 2 4 9" xfId="32953"/>
    <cellStyle name="Normal 2 6 4 9" xfId="32954"/>
    <cellStyle name="Normal 3 6 4 9" xfId="32955"/>
    <cellStyle name="Normal 4 5 4 9" xfId="32956"/>
    <cellStyle name="Normal 5 5 4 9" xfId="32957"/>
    <cellStyle name="Normal 7 5 4 9" xfId="32958"/>
    <cellStyle name="Normal 2 3 3 4 9" xfId="32959"/>
    <cellStyle name="Normal 3 3 3 4 9" xfId="32960"/>
    <cellStyle name="Normal 4 2 3 4 9" xfId="32961"/>
    <cellStyle name="Normal 5 2 3 4 9" xfId="32962"/>
    <cellStyle name="Normal 7 2 3 4 9" xfId="32963"/>
    <cellStyle name="Normal 2 4 3 4 9" xfId="32964"/>
    <cellStyle name="Normal 3 4 3 4 9" xfId="32965"/>
    <cellStyle name="Normal 4 3 3 4 9" xfId="32966"/>
    <cellStyle name="Normal 5 3 3 4 9" xfId="32967"/>
    <cellStyle name="Normal 7 3 3 4 9" xfId="32968"/>
    <cellStyle name="Normal 2 7 3 9" xfId="32969"/>
    <cellStyle name="Normal 3 7 3 9" xfId="32970"/>
    <cellStyle name="Normal 4 6 3 9" xfId="32971"/>
    <cellStyle name="Normal 5 6 3 9" xfId="32972"/>
    <cellStyle name="Normal 7 6 3 9" xfId="32973"/>
    <cellStyle name="Normal 2 3 4 3 9" xfId="32974"/>
    <cellStyle name="Normal 3 3 4 3 9" xfId="32975"/>
    <cellStyle name="Normal 4 2 4 3 9" xfId="32976"/>
    <cellStyle name="Normal 5 2 4 3 9" xfId="32977"/>
    <cellStyle name="Normal 7 2 4 3 9" xfId="32978"/>
    <cellStyle name="Normal 2 4 4 3 9" xfId="32979"/>
    <cellStyle name="Normal 3 4 4 3 9" xfId="32980"/>
    <cellStyle name="Normal 4 3 4 3 9" xfId="32981"/>
    <cellStyle name="Normal 5 3 4 3 9" xfId="32982"/>
    <cellStyle name="Normal 7 3 4 3 9" xfId="32983"/>
    <cellStyle name="Normal 2 5 2 3 9" xfId="32984"/>
    <cellStyle name="Normal 3 5 2 3 9" xfId="32985"/>
    <cellStyle name="Normal 4 4 2 3 9" xfId="32986"/>
    <cellStyle name="Normal 5 4 2 3 9" xfId="32987"/>
    <cellStyle name="Normal 7 4 2 3 9" xfId="32988"/>
    <cellStyle name="Normal 2 3 2 2 3 9" xfId="32989"/>
    <cellStyle name="Normal 3 3 2 2 3 9" xfId="32990"/>
    <cellStyle name="Normal 4 2 2 2 3 9" xfId="32991"/>
    <cellStyle name="Normal 5 2 2 2 3 9" xfId="32992"/>
    <cellStyle name="Normal 7 2 2 2 3 9" xfId="32993"/>
    <cellStyle name="Normal 2 4 2 2 3 9" xfId="32994"/>
    <cellStyle name="Normal 3 4 2 2 3 9" xfId="32995"/>
    <cellStyle name="Normal 4 3 2 2 3 9" xfId="32996"/>
    <cellStyle name="Normal 5 3 2 2 3 9" xfId="32997"/>
    <cellStyle name="Normal 7 3 2 2 3 9" xfId="32998"/>
    <cellStyle name="Normal 2 6 2 3 9" xfId="32999"/>
    <cellStyle name="Normal 3 6 2 3 9" xfId="33000"/>
    <cellStyle name="Normal 4 5 2 3 9" xfId="33001"/>
    <cellStyle name="Normal 5 5 2 3 9" xfId="33002"/>
    <cellStyle name="Normal 7 5 2 3 9" xfId="33003"/>
    <cellStyle name="Normal 2 3 3 2 3 9" xfId="33004"/>
    <cellStyle name="Normal 3 3 3 2 3 9" xfId="33005"/>
    <cellStyle name="Normal 4 2 3 2 3 9" xfId="33006"/>
    <cellStyle name="Normal 5 2 3 2 3 9" xfId="33007"/>
    <cellStyle name="Normal 7 2 3 2 3 9" xfId="33008"/>
    <cellStyle name="Normal 2 4 3 2 3 9" xfId="33009"/>
    <cellStyle name="Normal 3 4 3 2 3 9" xfId="33010"/>
    <cellStyle name="Normal 4 3 3 2 3 9" xfId="33011"/>
    <cellStyle name="Normal 5 3 3 2 3 9" xfId="33012"/>
    <cellStyle name="Normal 7 3 3 2 3 9" xfId="33013"/>
    <cellStyle name="Normal 2 8 2 9" xfId="33014"/>
    <cellStyle name="Normal 3 8 2 9" xfId="33015"/>
    <cellStyle name="Normal 4 7 2 9" xfId="33016"/>
    <cellStyle name="Normal 5 7 2 9" xfId="33017"/>
    <cellStyle name="Normal 7 7 2 9" xfId="33018"/>
    <cellStyle name="Normal 2 3 5 2 9" xfId="33019"/>
    <cellStyle name="Normal 3 3 5 2 9" xfId="33020"/>
    <cellStyle name="Normal 4 2 5 2 9" xfId="33021"/>
    <cellStyle name="Normal 5 2 5 2 9" xfId="33022"/>
    <cellStyle name="Normal 7 2 5 2 9" xfId="33023"/>
    <cellStyle name="Normal 2 4 5 2 9" xfId="33024"/>
    <cellStyle name="Normal 3 4 5 2 9" xfId="33025"/>
    <cellStyle name="Normal 4 3 5 2 9" xfId="33026"/>
    <cellStyle name="Normal 5 3 5 2 9" xfId="33027"/>
    <cellStyle name="Normal 7 3 5 2 9" xfId="33028"/>
    <cellStyle name="Normal 2 5 3 2 9" xfId="33029"/>
    <cellStyle name="Normal 3 5 3 2 9" xfId="33030"/>
    <cellStyle name="Normal 4 4 3 2 9" xfId="33031"/>
    <cellStyle name="Normal 5 4 3 2 9" xfId="33032"/>
    <cellStyle name="Normal 7 4 3 2 9" xfId="33033"/>
    <cellStyle name="Normal 2 3 2 3 2 9" xfId="33034"/>
    <cellStyle name="Normal 3 3 2 3 2 9" xfId="33035"/>
    <cellStyle name="Normal 4 2 2 3 2 9" xfId="33036"/>
    <cellStyle name="Normal 5 2 2 3 2 9" xfId="33037"/>
    <cellStyle name="Normal 7 2 2 3 2 9" xfId="33038"/>
    <cellStyle name="Normal 2 4 2 3 2 9" xfId="33039"/>
    <cellStyle name="Normal 3 4 2 3 2 9" xfId="33040"/>
    <cellStyle name="Normal 4 3 2 3 2 9" xfId="33041"/>
    <cellStyle name="Normal 5 3 2 3 2 9" xfId="33042"/>
    <cellStyle name="Normal 7 3 2 3 2 9" xfId="33043"/>
    <cellStyle name="Normal 2 6 3 2 9" xfId="33044"/>
    <cellStyle name="Normal 3 6 3 2 9" xfId="33045"/>
    <cellStyle name="Normal 4 5 3 2 9" xfId="33046"/>
    <cellStyle name="Normal 5 5 3 2 9" xfId="33047"/>
    <cellStyle name="Normal 7 5 3 2 9" xfId="33048"/>
    <cellStyle name="Normal 2 3 3 3 2 9" xfId="33049"/>
    <cellStyle name="Normal 3 3 3 3 2 9" xfId="33050"/>
    <cellStyle name="Normal 4 2 3 3 2 9" xfId="33051"/>
    <cellStyle name="Normal 5 2 3 3 2 9" xfId="33052"/>
    <cellStyle name="Normal 7 2 3 3 2 9" xfId="33053"/>
    <cellStyle name="Normal 2 4 3 3 2 9" xfId="33054"/>
    <cellStyle name="Normal 3 4 3 3 2 9" xfId="33055"/>
    <cellStyle name="Normal 4 3 3 3 2 9" xfId="33056"/>
    <cellStyle name="Normal 5 3 3 3 2 9" xfId="33057"/>
    <cellStyle name="Normal 7 3 3 3 2 9" xfId="33058"/>
    <cellStyle name="Normal 2 7 2 2 9" xfId="33059"/>
    <cellStyle name="Normal 3 7 2 2 9" xfId="33060"/>
    <cellStyle name="Normal 4 6 2 2 9" xfId="33061"/>
    <cellStyle name="Normal 5 6 2 2 9" xfId="33062"/>
    <cellStyle name="Normal 7 6 2 2 9" xfId="33063"/>
    <cellStyle name="Normal 2 3 4 2 2 9" xfId="33064"/>
    <cellStyle name="Normal 3 3 4 2 2 9" xfId="33065"/>
    <cellStyle name="Normal 4 2 4 2 2 9" xfId="33066"/>
    <cellStyle name="Normal 5 2 4 2 2 9" xfId="33067"/>
    <cellStyle name="Normal 7 2 4 2 2 9" xfId="33068"/>
    <cellStyle name="Normal 2 4 4 2 2 9" xfId="33069"/>
    <cellStyle name="Normal 3 4 4 2 2 9" xfId="33070"/>
    <cellStyle name="Normal 4 3 4 2 2 9" xfId="33071"/>
    <cellStyle name="Normal 5 3 4 2 2 9" xfId="33072"/>
    <cellStyle name="Normal 7 3 4 2 2 9" xfId="33073"/>
    <cellStyle name="Normal 2 5 2 2 2 9" xfId="33074"/>
    <cellStyle name="Normal 3 5 2 2 2 9" xfId="33075"/>
    <cellStyle name="Normal 4 4 2 2 2 9" xfId="33076"/>
    <cellStyle name="Normal 5 4 2 2 2 9" xfId="33077"/>
    <cellStyle name="Normal 7 4 2 2 2 9" xfId="33078"/>
    <cellStyle name="Normal 2 3 2 2 2 2 9" xfId="33079"/>
    <cellStyle name="Normal 3 3 2 2 2 2 9" xfId="33080"/>
    <cellStyle name="Normal 4 2 2 2 2 2 9" xfId="33081"/>
    <cellStyle name="Normal 5 2 2 2 2 2 9" xfId="33082"/>
    <cellStyle name="Normal 7 2 2 2 2 2 9" xfId="33083"/>
    <cellStyle name="Normal 2 4 2 2 2 2 9" xfId="33084"/>
    <cellStyle name="Normal 3 4 2 2 2 2 9" xfId="33085"/>
    <cellStyle name="Normal 4 3 2 2 2 2 9" xfId="33086"/>
    <cellStyle name="Normal 5 3 2 2 2 2 9" xfId="33087"/>
    <cellStyle name="Normal 7 3 2 2 2 2 9" xfId="33088"/>
    <cellStyle name="Normal 2 6 2 2 2 9" xfId="33089"/>
    <cellStyle name="Normal 3 6 2 2 2 9" xfId="33090"/>
    <cellStyle name="Normal 4 5 2 2 2 9" xfId="33091"/>
    <cellStyle name="Normal 5 5 2 2 2 9" xfId="33092"/>
    <cellStyle name="Normal 7 5 2 2 2 9" xfId="33093"/>
    <cellStyle name="Normal 2 3 3 2 2 2 9" xfId="33094"/>
    <cellStyle name="Normal 3 3 3 2 2 2 9" xfId="33095"/>
    <cellStyle name="Normal 4 2 3 2 2 2 9" xfId="33096"/>
    <cellStyle name="Normal 5 2 3 2 2 2 9" xfId="33097"/>
    <cellStyle name="Normal 7 2 3 2 2 2 9" xfId="33098"/>
    <cellStyle name="Normal 2 4 3 2 2 2 9" xfId="33099"/>
    <cellStyle name="Normal 3 4 3 2 2 2 9" xfId="33100"/>
    <cellStyle name="Normal 4 3 3 2 2 2 9" xfId="33101"/>
    <cellStyle name="Normal 5 3 3 2 2 2 9" xfId="33102"/>
    <cellStyle name="Normal 7 3 3 2 2 2 9" xfId="33103"/>
    <cellStyle name="Normal 28 2 7" xfId="33104"/>
    <cellStyle name="Normal 2 3 7 9" xfId="33105"/>
    <cellStyle name="Normal 3 10 9" xfId="33106"/>
    <cellStyle name="Normal 4 9 9" xfId="33107"/>
    <cellStyle name="Normal 5 9 9" xfId="33108"/>
    <cellStyle name="Millares 4 9" xfId="33109"/>
    <cellStyle name="Normal 7 13 5" xfId="33110"/>
    <cellStyle name="Normal 7 2 7 9" xfId="33111"/>
    <cellStyle name="Normal 3 3 7 9" xfId="33112"/>
    <cellStyle name="Normal 4 2 7 9" xfId="33113"/>
    <cellStyle name="Normal 5 2 7 9" xfId="33114"/>
    <cellStyle name="Normal 2 4 5 3 9" xfId="33115"/>
    <cellStyle name="Normal 3 4 7 9" xfId="33116"/>
    <cellStyle name="Normal 4 3 7 9" xfId="33117"/>
    <cellStyle name="Normal 5 3 7 9" xfId="33118"/>
    <cellStyle name="Normal 7 3 7 9" xfId="33119"/>
    <cellStyle name="Normal 2 5 5 9" xfId="33120"/>
    <cellStyle name="Normal 3 5 5 9" xfId="33121"/>
    <cellStyle name="Normal 4 4 5 9" xfId="33122"/>
    <cellStyle name="Normal 5 4 5 9" xfId="33123"/>
    <cellStyle name="Normal 7 4 5 9" xfId="33124"/>
    <cellStyle name="Normal 2 3 2 5 9" xfId="33125"/>
    <cellStyle name="Normal 3 3 2 5 9" xfId="33126"/>
    <cellStyle name="Normal 4 2 2 5 9" xfId="33127"/>
    <cellStyle name="Normal 5 2 2 5 9" xfId="33128"/>
    <cellStyle name="Normal 7 2 2 5 9" xfId="33129"/>
    <cellStyle name="Normal 2 4 2 5 9" xfId="33130"/>
    <cellStyle name="Normal 3 4 2 5 9" xfId="33131"/>
    <cellStyle name="Normal 4 3 2 5 9" xfId="33132"/>
    <cellStyle name="Normal 5 3 2 5 9" xfId="33133"/>
    <cellStyle name="Normal 7 3 2 5 9" xfId="33134"/>
    <cellStyle name="Normal 2 6 5 9" xfId="33135"/>
    <cellStyle name="Normal 3 6 5 9" xfId="33136"/>
    <cellStyle name="Normal 4 5 5 9" xfId="33137"/>
    <cellStyle name="Normal 5 5 5 9" xfId="33138"/>
    <cellStyle name="Normal 7 5 5 9" xfId="33139"/>
    <cellStyle name="Normal 2 3 3 5 9" xfId="33140"/>
    <cellStyle name="Normal 3 3 3 5 9" xfId="33141"/>
    <cellStyle name="Normal 4 2 3 5 9" xfId="33142"/>
    <cellStyle name="Normal 5 2 3 5 9" xfId="33143"/>
    <cellStyle name="Normal 7 2 3 5 9" xfId="33144"/>
    <cellStyle name="Normal 2 4 3 5 9" xfId="33145"/>
    <cellStyle name="Normal 3 4 3 5 9" xfId="33146"/>
    <cellStyle name="Normal 4 3 3 5 9" xfId="33147"/>
    <cellStyle name="Normal 5 3 3 5 9" xfId="33148"/>
    <cellStyle name="Normal 7 3 3 5 9" xfId="33149"/>
    <cellStyle name="Normal 2 7 4 9" xfId="33150"/>
    <cellStyle name="Normal 3 7 4 9" xfId="33151"/>
    <cellStyle name="Normal 4 6 4 9" xfId="33152"/>
    <cellStyle name="Normal 5 6 4 9" xfId="33153"/>
    <cellStyle name="Normal 7 6 4 9" xfId="33154"/>
    <cellStyle name="Normal 2 3 4 4 9" xfId="33155"/>
    <cellStyle name="Normal 3 3 4 4 9" xfId="33156"/>
    <cellStyle name="Normal 4 2 4 4 9" xfId="33157"/>
    <cellStyle name="Normal 5 2 4 4 9" xfId="33158"/>
    <cellStyle name="Normal 7 2 4 4 9" xfId="33159"/>
    <cellStyle name="Normal 2 4 4 4 9" xfId="33160"/>
    <cellStyle name="Normal 3 4 4 4 9" xfId="33161"/>
    <cellStyle name="Normal 4 3 4 4 9" xfId="33162"/>
    <cellStyle name="Normal 5 3 4 4 9" xfId="33163"/>
    <cellStyle name="Normal 7 3 4 4 9" xfId="33164"/>
    <cellStyle name="Normal 2 5 2 4 9" xfId="33165"/>
    <cellStyle name="Normal 3 5 2 4 9" xfId="33166"/>
    <cellStyle name="Normal 4 4 2 4 9" xfId="33167"/>
    <cellStyle name="Normal 5 4 2 4 9" xfId="33168"/>
    <cellStyle name="Normal 7 4 2 4 9" xfId="33169"/>
    <cellStyle name="Normal 2 3 2 2 4 9" xfId="33170"/>
    <cellStyle name="Normal 3 3 2 2 4 9" xfId="33171"/>
    <cellStyle name="Normal 4 2 2 2 4 9" xfId="33172"/>
    <cellStyle name="Normal 5 2 2 2 4 9" xfId="33173"/>
    <cellStyle name="Normal 7 2 2 2 4 9" xfId="33174"/>
    <cellStyle name="Normal 2 4 2 2 4 9" xfId="33175"/>
    <cellStyle name="Normal 3 4 2 2 4 9" xfId="33176"/>
    <cellStyle name="Normal 4 3 2 2 4 9" xfId="33177"/>
    <cellStyle name="Normal 5 3 2 2 4 9" xfId="33178"/>
    <cellStyle name="Normal 7 3 2 2 4 9" xfId="33179"/>
    <cellStyle name="Normal 2 6 2 4 9" xfId="33180"/>
    <cellStyle name="Normal 3 6 2 4 9" xfId="33181"/>
    <cellStyle name="Normal 4 5 2 4 9" xfId="33182"/>
    <cellStyle name="Normal 5 5 2 4 9" xfId="33183"/>
    <cellStyle name="Normal 7 5 2 4 9" xfId="33184"/>
    <cellStyle name="Normal 2 3 3 2 4 9" xfId="33185"/>
    <cellStyle name="Normal 3 3 3 2 4 9" xfId="33186"/>
    <cellStyle name="Normal 4 2 3 2 4 9" xfId="33187"/>
    <cellStyle name="Normal 5 2 3 2 4 9" xfId="33188"/>
    <cellStyle name="Normal 7 2 3 2 4 9" xfId="33189"/>
    <cellStyle name="Normal 2 4 3 2 4 9" xfId="33190"/>
    <cellStyle name="Normal 3 4 3 2 4 9" xfId="33191"/>
    <cellStyle name="Normal 4 3 3 2 4 9" xfId="33192"/>
    <cellStyle name="Normal 5 3 3 2 4 9" xfId="33193"/>
    <cellStyle name="Normal 7 3 3 2 4 9" xfId="33194"/>
    <cellStyle name="Normal 2 8 3 9" xfId="33195"/>
    <cellStyle name="Normal 3 8 3 9" xfId="33196"/>
    <cellStyle name="Normal 4 7 3 9" xfId="33197"/>
    <cellStyle name="Normal 5 7 3 9" xfId="33198"/>
    <cellStyle name="Normal 7 7 3 9" xfId="33199"/>
    <cellStyle name="Normal 2 3 5 3 9" xfId="33200"/>
    <cellStyle name="Normal 3 3 5 3 9" xfId="33201"/>
    <cellStyle name="Normal 4 2 5 3 9" xfId="33202"/>
    <cellStyle name="Normal 5 2 5 3 9" xfId="33203"/>
    <cellStyle name="Normal 7 2 5 3 9" xfId="33204"/>
    <cellStyle name="Normal 3 4 5 3 9" xfId="33205"/>
    <cellStyle name="Normal 4 3 5 3 9" xfId="33206"/>
    <cellStyle name="Normal 5 3 5 3 9" xfId="33207"/>
    <cellStyle name="Normal 7 3 5 3 9" xfId="33208"/>
    <cellStyle name="Normal 2 5 3 3 9" xfId="33209"/>
    <cellStyle name="Normal 3 5 3 3 9" xfId="33210"/>
    <cellStyle name="Normal 4 4 3 3 9" xfId="33211"/>
    <cellStyle name="Normal 5 4 3 3 9" xfId="33212"/>
    <cellStyle name="Normal 7 4 3 3 9" xfId="33213"/>
    <cellStyle name="Normal 2 3 2 3 3 9" xfId="33214"/>
    <cellStyle name="Normal 3 3 2 3 3 9" xfId="33215"/>
    <cellStyle name="Normal 4 2 2 3 3 9" xfId="33216"/>
    <cellStyle name="Normal 5 2 2 3 3 9" xfId="33217"/>
    <cellStyle name="Normal 7 2 2 3 3 9" xfId="33218"/>
    <cellStyle name="Normal 2 4 2 3 3 9" xfId="33219"/>
    <cellStyle name="Normal 3 4 2 3 3 9" xfId="33220"/>
    <cellStyle name="Normal 4 3 2 3 3 9" xfId="33221"/>
    <cellStyle name="Normal 5 3 2 3 3 9" xfId="33222"/>
    <cellStyle name="Normal 7 3 2 3 3 9" xfId="33223"/>
    <cellStyle name="Normal 2 6 3 3 9" xfId="33224"/>
    <cellStyle name="Normal 3 6 3 3 9" xfId="33225"/>
    <cellStyle name="Normal 4 5 3 3 9" xfId="33226"/>
    <cellStyle name="Normal 5 5 3 3 9" xfId="33227"/>
    <cellStyle name="Normal 7 5 3 3 9" xfId="33228"/>
    <cellStyle name="Normal 2 3 3 3 3 9" xfId="33229"/>
    <cellStyle name="Normal 3 3 3 3 3 9" xfId="33230"/>
    <cellStyle name="Normal 4 2 3 3 3 9" xfId="33231"/>
    <cellStyle name="Normal 5 2 3 3 3 9" xfId="33232"/>
    <cellStyle name="Normal 7 2 3 3 3 9" xfId="33233"/>
    <cellStyle name="Normal 2 4 3 3 3 9" xfId="33234"/>
    <cellStyle name="Normal 3 4 3 3 3 9" xfId="33235"/>
    <cellStyle name="Normal 4 3 3 3 3 9" xfId="33236"/>
    <cellStyle name="Normal 5 3 3 3 3 9" xfId="33237"/>
    <cellStyle name="Normal 7 3 3 3 3 9" xfId="33238"/>
    <cellStyle name="Normal 2 7 2 3 9" xfId="33239"/>
    <cellStyle name="Normal 3 7 2 3 9" xfId="33240"/>
    <cellStyle name="Normal 4 6 2 3 9" xfId="33241"/>
    <cellStyle name="Normal 5 6 2 3 9" xfId="33242"/>
    <cellStyle name="Normal 7 6 2 3 9" xfId="33243"/>
    <cellStyle name="Normal 2 3 4 2 3 9" xfId="33244"/>
    <cellStyle name="Normal 3 3 4 2 3 9" xfId="33245"/>
    <cellStyle name="Normal 4 2 4 2 3 9" xfId="33246"/>
    <cellStyle name="Normal 5 2 4 2 3 9" xfId="33247"/>
    <cellStyle name="Normal 7 2 4 2 3 9" xfId="33248"/>
    <cellStyle name="Normal 2 4 4 2 3 9" xfId="33249"/>
    <cellStyle name="Normal 3 4 4 2 3 9" xfId="33250"/>
    <cellStyle name="Normal 4 3 4 2 3 9" xfId="33251"/>
    <cellStyle name="Normal 5 3 4 2 3 9" xfId="33252"/>
    <cellStyle name="Normal 7 3 4 2 3 9" xfId="33253"/>
    <cellStyle name="Normal 2 5 2 2 3 9" xfId="33254"/>
    <cellStyle name="Normal 3 5 2 2 3 9" xfId="33255"/>
    <cellStyle name="Normal 4 4 2 2 3 9" xfId="33256"/>
    <cellStyle name="Normal 5 4 2 2 3 9" xfId="33257"/>
    <cellStyle name="Normal 7 4 2 2 3 9" xfId="33258"/>
    <cellStyle name="Normal 2 3 2 2 2 3 9" xfId="33259"/>
    <cellStyle name="Normal 3 3 2 2 2 3 9" xfId="33260"/>
    <cellStyle name="Normal 4 2 2 2 2 3 9" xfId="33261"/>
    <cellStyle name="Normal 5 2 2 2 2 3 9" xfId="33262"/>
    <cellStyle name="Normal 7 2 2 2 2 3 9" xfId="33263"/>
    <cellStyle name="Normal 2 4 2 2 2 3 9" xfId="33264"/>
    <cellStyle name="Normal 3 4 2 2 2 3 9" xfId="33265"/>
    <cellStyle name="Normal 4 3 2 2 2 3 9" xfId="33266"/>
    <cellStyle name="Normal 5 3 2 2 2 3 9" xfId="33267"/>
    <cellStyle name="Normal 7 3 2 2 2 3 9" xfId="33268"/>
    <cellStyle name="Normal 2 6 2 2 3 9" xfId="33269"/>
    <cellStyle name="Normal 3 6 2 2 3 9" xfId="33270"/>
    <cellStyle name="Normal 4 5 2 2 3 9" xfId="33271"/>
    <cellStyle name="Normal 5 5 2 2 3 9" xfId="33272"/>
    <cellStyle name="Normal 7 5 2 2 3 9" xfId="33273"/>
    <cellStyle name="Normal 2 3 3 2 2 3 9" xfId="33274"/>
    <cellStyle name="Normal 3 3 3 2 2 3 9" xfId="33275"/>
    <cellStyle name="Normal 4 2 3 2 2 3 9" xfId="33276"/>
    <cellStyle name="Normal 5 2 3 2 2 3 9" xfId="33277"/>
    <cellStyle name="Normal 7 2 3 2 2 3 9" xfId="33278"/>
    <cellStyle name="Normal 2 4 3 2 2 3 9" xfId="33279"/>
    <cellStyle name="Normal 3 4 3 2 2 3 9" xfId="33280"/>
    <cellStyle name="Normal 4 3 3 2 2 3 9" xfId="33281"/>
    <cellStyle name="Normal 5 3 3 2 2 3 9" xfId="33282"/>
    <cellStyle name="Normal 7 3 3 2 2 3 9" xfId="33283"/>
    <cellStyle name="Normal 2 11 7" xfId="33284"/>
    <cellStyle name="Normal 3 11 7" xfId="33285"/>
    <cellStyle name="Normal 4 10 7" xfId="33286"/>
    <cellStyle name="Normal 5 10 7" xfId="33287"/>
    <cellStyle name="Normal 7 10 7" xfId="33288"/>
    <cellStyle name="Normal 2 3 8 7" xfId="33289"/>
    <cellStyle name="Normal 3 3 8 7" xfId="33290"/>
    <cellStyle name="Normal 4 2 8 7" xfId="33291"/>
    <cellStyle name="Normal 5 2 8 7" xfId="33292"/>
    <cellStyle name="Normal 7 2 8 7" xfId="33293"/>
    <cellStyle name="Normal 2 4 8 7" xfId="33294"/>
    <cellStyle name="Normal 3 4 8 7" xfId="33295"/>
    <cellStyle name="Normal 4 3 8 7" xfId="33296"/>
    <cellStyle name="Normal 5 3 8 7" xfId="33297"/>
    <cellStyle name="Normal 7 3 8 7" xfId="33298"/>
    <cellStyle name="Normal 2 5 6 7" xfId="33299"/>
    <cellStyle name="Normal 3 5 6 7" xfId="33300"/>
    <cellStyle name="Normal 4 4 6 7" xfId="33301"/>
    <cellStyle name="Normal 5 4 6 7" xfId="33302"/>
    <cellStyle name="Normal 7 4 6 7" xfId="33303"/>
    <cellStyle name="Normal 2 3 2 6 7" xfId="33304"/>
    <cellStyle name="Normal 3 3 2 6 7" xfId="33305"/>
    <cellStyle name="Normal 4 2 2 6 7" xfId="33306"/>
    <cellStyle name="Normal 5 2 2 6 7" xfId="33307"/>
    <cellStyle name="Normal 7 2 2 6 7" xfId="33308"/>
    <cellStyle name="Normal 2 4 2 6 7" xfId="33309"/>
    <cellStyle name="Normal 3 4 2 6 7" xfId="33310"/>
    <cellStyle name="Normal 4 3 2 6 7" xfId="33311"/>
    <cellStyle name="Normal 5 3 2 6 7" xfId="33312"/>
    <cellStyle name="Normal 7 3 2 6 7" xfId="33313"/>
    <cellStyle name="Normal 2 6 6 7" xfId="33314"/>
    <cellStyle name="Normal 3 6 6 7" xfId="33315"/>
    <cellStyle name="Normal 4 5 6 7" xfId="33316"/>
    <cellStyle name="Normal 5 5 6 7" xfId="33317"/>
    <cellStyle name="Normal 7 5 6 7" xfId="33318"/>
    <cellStyle name="Normal 2 3 3 6 7" xfId="33319"/>
    <cellStyle name="Normal 3 3 3 6 7" xfId="33320"/>
    <cellStyle name="Normal 4 2 3 6 7" xfId="33321"/>
    <cellStyle name="Normal 5 2 3 6 7" xfId="33322"/>
    <cellStyle name="Normal 7 2 3 6 7" xfId="33323"/>
    <cellStyle name="Normal 2 4 3 6 7" xfId="33324"/>
    <cellStyle name="Normal 3 4 3 6 7" xfId="33325"/>
    <cellStyle name="Normal 4 3 3 6 7" xfId="33326"/>
    <cellStyle name="Normal 5 3 3 6 7" xfId="33327"/>
    <cellStyle name="Normal 7 3 3 6 7" xfId="33328"/>
    <cellStyle name="Normal 2 7 5 7" xfId="33329"/>
    <cellStyle name="Normal 3 7 5 7" xfId="33330"/>
    <cellStyle name="Normal 4 6 5 7" xfId="33331"/>
    <cellStyle name="Normal 5 6 5 7" xfId="33332"/>
    <cellStyle name="Normal 7 6 5 7" xfId="33333"/>
    <cellStyle name="Normal 2 3 4 5 7" xfId="33334"/>
    <cellStyle name="Normal 3 3 4 5 7" xfId="33335"/>
    <cellStyle name="Normal 4 2 4 5 7" xfId="33336"/>
    <cellStyle name="Normal 5 2 4 5 7" xfId="33337"/>
    <cellStyle name="Normal 7 2 4 5 7" xfId="33338"/>
    <cellStyle name="Normal 2 4 4 5 7" xfId="33339"/>
    <cellStyle name="Normal 3 4 4 5 7" xfId="33340"/>
    <cellStyle name="Normal 4 3 4 5 7" xfId="33341"/>
    <cellStyle name="Normal 5 3 4 5 7" xfId="33342"/>
    <cellStyle name="Normal 7 3 4 5 7" xfId="33343"/>
    <cellStyle name="Normal 2 5 2 5 7" xfId="33344"/>
    <cellStyle name="Normal 3 5 2 5 7" xfId="33345"/>
    <cellStyle name="Normal 4 4 2 5 7" xfId="33346"/>
    <cellStyle name="Normal 5 4 2 5 7" xfId="33347"/>
    <cellStyle name="Normal 7 4 2 5 7" xfId="33348"/>
    <cellStyle name="Normal 2 3 2 2 5 7" xfId="33349"/>
    <cellStyle name="Normal 3 3 2 2 5 7" xfId="33350"/>
    <cellStyle name="Normal 4 2 2 2 5 7" xfId="33351"/>
    <cellStyle name="Normal 5 2 2 2 5 7" xfId="33352"/>
    <cellStyle name="Normal 7 2 2 2 5 7" xfId="33353"/>
    <cellStyle name="Normal 2 4 2 2 5 7" xfId="33354"/>
    <cellStyle name="Normal 3 4 2 2 5 7" xfId="33355"/>
    <cellStyle name="Normal 4 3 2 2 5 7" xfId="33356"/>
    <cellStyle name="Normal 5 3 2 2 5 7" xfId="33357"/>
    <cellStyle name="Normal 7 3 2 2 5 7" xfId="33358"/>
    <cellStyle name="Normal 2 6 2 5 7" xfId="33359"/>
    <cellStyle name="Normal 3 6 2 5 7" xfId="33360"/>
    <cellStyle name="Normal 4 5 2 5 7" xfId="33361"/>
    <cellStyle name="Normal 5 5 2 5 7" xfId="33362"/>
    <cellStyle name="Normal 7 5 2 5 7" xfId="33363"/>
    <cellStyle name="Normal 2 3 3 2 5 7" xfId="33364"/>
    <cellStyle name="Normal 3 3 3 2 5 7" xfId="33365"/>
    <cellStyle name="Normal 4 2 3 2 5 7" xfId="33366"/>
    <cellStyle name="Normal 5 2 3 2 5 7" xfId="33367"/>
    <cellStyle name="Normal 7 2 3 2 5 7" xfId="33368"/>
    <cellStyle name="Normal 2 4 3 2 5 7" xfId="33369"/>
    <cellStyle name="Normal 3 4 3 2 5 7" xfId="33370"/>
    <cellStyle name="Normal 4 3 3 2 5 7" xfId="33371"/>
    <cellStyle name="Normal 5 3 3 2 5 7" xfId="33372"/>
    <cellStyle name="Normal 7 3 3 2 5 7" xfId="33373"/>
    <cellStyle name="Normal 2 8 4 7" xfId="33374"/>
    <cellStyle name="Normal 3 8 4 7" xfId="33375"/>
    <cellStyle name="Normal 4 7 4 7" xfId="33376"/>
    <cellStyle name="Normal 5 7 4 7" xfId="33377"/>
    <cellStyle name="Normal 7 7 4 7" xfId="33378"/>
    <cellStyle name="Normal 2 3 5 4 7" xfId="33379"/>
    <cellStyle name="Normal 3 3 5 4 7" xfId="33380"/>
    <cellStyle name="Normal 4 2 5 4 7" xfId="33381"/>
    <cellStyle name="Normal 5 2 5 4 7" xfId="33382"/>
    <cellStyle name="Normal 7 2 5 4 7" xfId="33383"/>
    <cellStyle name="Normal 2 4 5 4 7" xfId="33384"/>
    <cellStyle name="Normal 3 4 5 4 7" xfId="33385"/>
    <cellStyle name="Normal 4 3 5 4 7" xfId="33386"/>
    <cellStyle name="Normal 5 3 5 4 7" xfId="33387"/>
    <cellStyle name="Normal 7 3 5 4 7" xfId="33388"/>
    <cellStyle name="Normal 2 5 3 4 7" xfId="33389"/>
    <cellStyle name="Normal 3 5 3 4 7" xfId="33390"/>
    <cellStyle name="Normal 4 4 3 4 7" xfId="33391"/>
    <cellStyle name="Normal 5 4 3 4 7" xfId="33392"/>
    <cellStyle name="Normal 7 4 3 4 7" xfId="33393"/>
    <cellStyle name="Normal 2 3 2 3 4 7" xfId="33394"/>
    <cellStyle name="Normal 3 3 2 3 4 7" xfId="33395"/>
    <cellStyle name="Normal 4 2 2 3 4 7" xfId="33396"/>
    <cellStyle name="Normal 5 2 2 3 4 7" xfId="33397"/>
    <cellStyle name="Normal 7 2 2 3 4 7" xfId="33398"/>
    <cellStyle name="Normal 2 4 2 3 4 7" xfId="33399"/>
    <cellStyle name="Normal 3 4 2 3 4 7" xfId="33400"/>
    <cellStyle name="Normal 4 3 2 3 4 7" xfId="33401"/>
    <cellStyle name="Normal 5 3 2 3 4 7" xfId="33402"/>
    <cellStyle name="Normal 7 3 2 3 4 7" xfId="33403"/>
    <cellStyle name="Normal 2 6 3 4 7" xfId="33404"/>
    <cellStyle name="Normal 3 6 3 4 7" xfId="33405"/>
    <cellStyle name="Normal 4 5 3 4 7" xfId="33406"/>
    <cellStyle name="Normal 5 5 3 4 7" xfId="33407"/>
    <cellStyle name="Normal 7 5 3 4 7" xfId="33408"/>
    <cellStyle name="Normal 2 3 3 3 4 7" xfId="33409"/>
    <cellStyle name="Normal 3 3 3 3 4 7" xfId="33410"/>
    <cellStyle name="Normal 4 2 3 3 4 7" xfId="33411"/>
    <cellStyle name="Normal 5 2 3 3 4 7" xfId="33412"/>
    <cellStyle name="Normal 7 2 3 3 4 7" xfId="33413"/>
    <cellStyle name="Normal 2 4 3 3 4 7" xfId="33414"/>
    <cellStyle name="Normal 3 4 3 3 4 7" xfId="33415"/>
    <cellStyle name="Normal 4 3 3 3 4 7" xfId="33416"/>
    <cellStyle name="Normal 5 3 3 3 4 7" xfId="33417"/>
    <cellStyle name="Normal 7 3 3 3 4 7" xfId="33418"/>
    <cellStyle name="Normal 2 7 2 4 7" xfId="33419"/>
    <cellStyle name="Normal 3 7 2 4 7" xfId="33420"/>
    <cellStyle name="Normal 4 6 2 4 7" xfId="33421"/>
    <cellStyle name="Normal 5 6 2 4 7" xfId="33422"/>
    <cellStyle name="Normal 7 6 2 4 7" xfId="33423"/>
    <cellStyle name="Normal 2 3 4 2 4 7" xfId="33424"/>
    <cellStyle name="Normal 3 3 4 2 4 7" xfId="33425"/>
    <cellStyle name="Normal 4 2 4 2 4 7" xfId="33426"/>
    <cellStyle name="Normal 5 2 4 2 4 7" xfId="33427"/>
    <cellStyle name="Normal 7 2 4 2 4 7" xfId="33428"/>
    <cellStyle name="Normal 2 4 4 2 4 7" xfId="33429"/>
    <cellStyle name="Normal 3 4 4 2 4 7" xfId="33430"/>
    <cellStyle name="Normal 4 3 4 2 4 7" xfId="33431"/>
    <cellStyle name="Normal 5 3 4 2 4 7" xfId="33432"/>
    <cellStyle name="Normal 7 3 4 2 4 7" xfId="33433"/>
    <cellStyle name="Normal 2 5 2 2 4 7" xfId="33434"/>
    <cellStyle name="Normal 3 5 2 2 4 7" xfId="33435"/>
    <cellStyle name="Normal 4 4 2 2 4 7" xfId="33436"/>
    <cellStyle name="Normal 5 4 2 2 4 7" xfId="33437"/>
    <cellStyle name="Normal 7 4 2 2 4 7" xfId="33438"/>
    <cellStyle name="Normal 2 3 2 2 2 4 7" xfId="33439"/>
    <cellStyle name="Normal 3 3 2 2 2 4 7" xfId="33440"/>
    <cellStyle name="Normal 4 2 2 2 2 4 7" xfId="33441"/>
    <cellStyle name="Normal 5 2 2 2 2 4 7" xfId="33442"/>
    <cellStyle name="Normal 7 2 2 2 2 4 7" xfId="33443"/>
    <cellStyle name="Normal 2 4 2 2 2 4 7" xfId="33444"/>
    <cellStyle name="Normal 3 4 2 2 2 4 7" xfId="33445"/>
    <cellStyle name="Normal 4 3 2 2 2 4 7" xfId="33446"/>
    <cellStyle name="Normal 5 3 2 2 2 4 7" xfId="33447"/>
    <cellStyle name="Normal 7 3 2 2 2 4 7" xfId="33448"/>
    <cellStyle name="Normal 2 6 2 2 4 7" xfId="33449"/>
    <cellStyle name="Normal 3 6 2 2 4 7" xfId="33450"/>
    <cellStyle name="Normal 4 5 2 2 4 7" xfId="33451"/>
    <cellStyle name="Normal 5 5 2 2 4 7" xfId="33452"/>
    <cellStyle name="Normal 7 5 2 2 4 7" xfId="33453"/>
    <cellStyle name="Normal 2 3 3 2 2 4 7" xfId="33454"/>
    <cellStyle name="Normal 3 3 3 2 2 4 7" xfId="33455"/>
    <cellStyle name="Normal 4 2 3 2 2 4 7" xfId="33456"/>
    <cellStyle name="Normal 5 2 3 2 2 4 7" xfId="33457"/>
    <cellStyle name="Normal 7 2 3 2 2 4 7" xfId="33458"/>
    <cellStyle name="Normal 2 4 3 2 2 4 7" xfId="33459"/>
    <cellStyle name="Normal 3 4 3 2 2 4 7" xfId="33460"/>
    <cellStyle name="Normal 4 3 3 2 2 4 7" xfId="33461"/>
    <cellStyle name="Normal 5 3 3 2 2 4 7" xfId="33462"/>
    <cellStyle name="Normal 7 3 3 2 2 4 7" xfId="33463"/>
    <cellStyle name="Normal 2 9 2 7" xfId="33464"/>
    <cellStyle name="Normal 3 9 2 7" xfId="33465"/>
    <cellStyle name="Normal 4 8 2 7" xfId="33466"/>
    <cellStyle name="Normal 5 8 2 7" xfId="33467"/>
    <cellStyle name="Normal 7 8 2 7" xfId="33468"/>
    <cellStyle name="Normal 2 3 6 2 7" xfId="33469"/>
    <cellStyle name="Normal 3 3 6 2 7" xfId="33470"/>
    <cellStyle name="Normal 4 2 6 2 7" xfId="33471"/>
    <cellStyle name="Normal 5 2 6 2 7" xfId="33472"/>
    <cellStyle name="Normal 7 2 6 2 7" xfId="33473"/>
    <cellStyle name="Normal 2 4 6 2 7" xfId="33474"/>
    <cellStyle name="Normal 3 4 6 2 7" xfId="33475"/>
    <cellStyle name="Normal 4 3 6 2 7" xfId="33476"/>
    <cellStyle name="Normal 5 3 6 2 7" xfId="33477"/>
    <cellStyle name="Normal 7 3 6 2 7" xfId="33478"/>
    <cellStyle name="Normal 2 5 4 2 7" xfId="33479"/>
    <cellStyle name="Normal 3 5 4 2 7" xfId="33480"/>
    <cellStyle name="Normal 4 4 4 2 7" xfId="33481"/>
    <cellStyle name="Normal 5 4 4 2 7" xfId="33482"/>
    <cellStyle name="Normal 7 4 4 2 7" xfId="33483"/>
    <cellStyle name="Normal 2 3 2 4 2 7" xfId="33484"/>
    <cellStyle name="Normal 3 3 2 4 2 7" xfId="33485"/>
    <cellStyle name="Normal 4 2 2 4 2 7" xfId="33486"/>
    <cellStyle name="Normal 5 2 2 4 2 7" xfId="33487"/>
    <cellStyle name="Normal 7 2 2 4 2 7" xfId="33488"/>
    <cellStyle name="Normal 2 4 2 4 2 7" xfId="33489"/>
    <cellStyle name="Normal 3 4 2 4 2 7" xfId="33490"/>
    <cellStyle name="Normal 4 3 2 4 2 7" xfId="33491"/>
    <cellStyle name="Normal 5 3 2 4 2 7" xfId="33492"/>
    <cellStyle name="Normal 7 3 2 4 2 7" xfId="33493"/>
    <cellStyle name="Normal 2 6 4 2 7" xfId="33494"/>
    <cellStyle name="Normal 3 6 4 2 7" xfId="33495"/>
    <cellStyle name="Normal 4 5 4 2 7" xfId="33496"/>
    <cellStyle name="Normal 5 5 4 2 7" xfId="33497"/>
    <cellStyle name="Normal 7 5 4 2 7" xfId="33498"/>
    <cellStyle name="Normal 2 3 3 4 2 7" xfId="33499"/>
    <cellStyle name="Normal 3 3 3 4 2 7" xfId="33500"/>
    <cellStyle name="Normal 4 2 3 4 2 7" xfId="33501"/>
    <cellStyle name="Normal 5 2 3 4 2 7" xfId="33502"/>
    <cellStyle name="Normal 7 2 3 4 2 7" xfId="33503"/>
    <cellStyle name="Normal 2 4 3 4 2 7" xfId="33504"/>
    <cellStyle name="Normal 3 4 3 4 2 7" xfId="33505"/>
    <cellStyle name="Normal 4 3 3 4 2 7" xfId="33506"/>
    <cellStyle name="Normal 5 3 3 4 2 7" xfId="33507"/>
    <cellStyle name="Normal 7 3 3 4 2 7" xfId="33508"/>
    <cellStyle name="Normal 2 7 3 2 7" xfId="33509"/>
    <cellStyle name="Normal 3 7 3 2 7" xfId="33510"/>
    <cellStyle name="Normal 4 6 3 2 7" xfId="33511"/>
    <cellStyle name="Normal 5 6 3 2 7" xfId="33512"/>
    <cellStyle name="Normal 7 6 3 2 7" xfId="33513"/>
    <cellStyle name="Normal 2 3 4 3 2 7" xfId="33514"/>
    <cellStyle name="Normal 3 3 4 3 2 7" xfId="33515"/>
    <cellStyle name="Normal 4 2 4 3 2 7" xfId="33516"/>
    <cellStyle name="Normal 5 2 4 3 2 7" xfId="33517"/>
    <cellStyle name="Normal 7 2 4 3 2 7" xfId="33518"/>
    <cellStyle name="Normal 2 4 4 3 2 7" xfId="33519"/>
    <cellStyle name="Normal 3 4 4 3 2 7" xfId="33520"/>
    <cellStyle name="Normal 4 3 4 3 2 7" xfId="33521"/>
    <cellStyle name="Normal 5 3 4 3 2 7" xfId="33522"/>
    <cellStyle name="Normal 7 3 4 3 2 7" xfId="33523"/>
    <cellStyle name="Normal 2 5 2 3 2 7" xfId="33524"/>
    <cellStyle name="Normal 3 5 2 3 2 7" xfId="33525"/>
    <cellStyle name="Normal 4 4 2 3 2 7" xfId="33526"/>
    <cellStyle name="Normal 5 4 2 3 2 7" xfId="33527"/>
    <cellStyle name="Normal 7 4 2 3 2 7" xfId="33528"/>
    <cellStyle name="Normal 2 3 2 2 3 2 7" xfId="33529"/>
    <cellStyle name="Normal 3 3 2 2 3 2 7" xfId="33530"/>
    <cellStyle name="Normal 4 2 2 2 3 2 7" xfId="33531"/>
    <cellStyle name="Normal 5 2 2 2 3 2 7" xfId="33532"/>
    <cellStyle name="Normal 7 2 2 2 3 2 7" xfId="33533"/>
    <cellStyle name="Normal 2 4 2 2 3 2 7" xfId="33534"/>
    <cellStyle name="Normal 3 4 2 2 3 2 7" xfId="33535"/>
    <cellStyle name="Normal 4 3 2 2 3 2 7" xfId="33536"/>
    <cellStyle name="Normal 5 3 2 2 3 2 7" xfId="33537"/>
    <cellStyle name="Normal 7 3 2 2 3 2 7" xfId="33538"/>
    <cellStyle name="Normal 2 6 2 3 2 7" xfId="33539"/>
    <cellStyle name="Normal 3 6 2 3 2 7" xfId="33540"/>
    <cellStyle name="Normal 4 5 2 3 2 7" xfId="33541"/>
    <cellStyle name="Normal 5 5 2 3 2 7" xfId="33542"/>
    <cellStyle name="Normal 7 5 2 3 2 7" xfId="33543"/>
    <cellStyle name="Normal 2 3 3 2 3 2 7" xfId="33544"/>
    <cellStyle name="Normal 3 3 3 2 3 2 7" xfId="33545"/>
    <cellStyle name="Normal 4 2 3 2 3 2 7" xfId="33546"/>
    <cellStyle name="Normal 5 2 3 2 3 2 7" xfId="33547"/>
    <cellStyle name="Normal 7 2 3 2 3 2 7" xfId="33548"/>
    <cellStyle name="Normal 2 4 3 2 3 2 7" xfId="33549"/>
    <cellStyle name="Normal 3 4 3 2 3 2 7" xfId="33550"/>
    <cellStyle name="Normal 4 3 3 2 3 2 7" xfId="33551"/>
    <cellStyle name="Normal 5 3 3 2 3 2 7" xfId="33552"/>
    <cellStyle name="Normal 7 3 3 2 3 2 7" xfId="33553"/>
    <cellStyle name="Normal 2 8 2 2 7" xfId="33554"/>
    <cellStyle name="Normal 3 8 2 2 7" xfId="33555"/>
    <cellStyle name="Normal 4 7 2 2 7" xfId="33556"/>
    <cellStyle name="Normal 5 7 2 2 7" xfId="33557"/>
    <cellStyle name="Normal 7 7 2 2 7" xfId="33558"/>
    <cellStyle name="Normal 2 3 5 2 2 7" xfId="33559"/>
    <cellStyle name="Normal 3 3 5 2 2 7" xfId="33560"/>
    <cellStyle name="Normal 4 2 5 2 2 7" xfId="33561"/>
    <cellStyle name="Normal 5 2 5 2 2 7" xfId="33562"/>
    <cellStyle name="Normal 7 2 5 2 2 7" xfId="33563"/>
    <cellStyle name="Normal 2 4 5 2 2 7" xfId="33564"/>
    <cellStyle name="Normal 3 4 5 2 2 7" xfId="33565"/>
    <cellStyle name="Normal 4 3 5 2 2 7" xfId="33566"/>
    <cellStyle name="Normal 5 3 5 2 2 7" xfId="33567"/>
    <cellStyle name="Normal 7 3 5 2 2 7" xfId="33568"/>
    <cellStyle name="Normal 2 5 3 2 2 7" xfId="33569"/>
    <cellStyle name="Normal 3 5 3 2 2 7" xfId="33570"/>
    <cellStyle name="Normal 4 4 3 2 2 7" xfId="33571"/>
    <cellStyle name="Normal 5 4 3 2 2 7" xfId="33572"/>
    <cellStyle name="Normal 7 4 3 2 2 7" xfId="33573"/>
    <cellStyle name="Normal 2 3 2 3 2 2 7" xfId="33574"/>
    <cellStyle name="Normal 3 3 2 3 2 2 7" xfId="33575"/>
    <cellStyle name="Normal 4 2 2 3 2 2 7" xfId="33576"/>
    <cellStyle name="Normal 5 2 2 3 2 2 7" xfId="33577"/>
    <cellStyle name="Normal 7 2 2 3 2 2 7" xfId="33578"/>
    <cellStyle name="Normal 2 4 2 3 2 2 7" xfId="33579"/>
    <cellStyle name="Normal 3 4 2 3 2 2 7" xfId="33580"/>
    <cellStyle name="Normal 4 3 2 3 2 2 7" xfId="33581"/>
    <cellStyle name="Normal 5 3 2 3 2 2 7" xfId="33582"/>
    <cellStyle name="Normal 7 3 2 3 2 2 7" xfId="33583"/>
    <cellStyle name="Normal 2 6 3 2 2 7" xfId="33584"/>
    <cellStyle name="Normal 3 6 3 2 2 7" xfId="33585"/>
    <cellStyle name="Normal 4 5 3 2 2 7" xfId="33586"/>
    <cellStyle name="Normal 5 5 3 2 2 7" xfId="33587"/>
    <cellStyle name="Normal 7 5 3 2 2 7" xfId="33588"/>
    <cellStyle name="Normal 2 3 3 3 2 2 7" xfId="33589"/>
    <cellStyle name="Normal 3 3 3 3 2 2 7" xfId="33590"/>
    <cellStyle name="Normal 4 2 3 3 2 2 7" xfId="33591"/>
    <cellStyle name="Normal 5 2 3 3 2 2 7" xfId="33592"/>
    <cellStyle name="Normal 7 2 3 3 2 2 7" xfId="33593"/>
    <cellStyle name="Normal 2 4 3 3 2 2 7" xfId="33594"/>
    <cellStyle name="Normal 3 4 3 3 2 2 7" xfId="33595"/>
    <cellStyle name="Normal 4 3 3 3 2 2 7" xfId="33596"/>
    <cellStyle name="Normal 5 3 3 3 2 2 7" xfId="33597"/>
    <cellStyle name="Normal 7 3 3 3 2 2 7" xfId="33598"/>
    <cellStyle name="Normal 2 7 2 2 2 7" xfId="33599"/>
    <cellStyle name="Normal 3 7 2 2 2 7" xfId="33600"/>
    <cellStyle name="Normal 4 6 2 2 2 7" xfId="33601"/>
    <cellStyle name="Normal 5 6 2 2 2 7" xfId="33602"/>
    <cellStyle name="Normal 7 6 2 2 2 7" xfId="33603"/>
    <cellStyle name="Normal 2 3 4 2 2 2 7" xfId="33604"/>
    <cellStyle name="Normal 3 3 4 2 2 2 7" xfId="33605"/>
    <cellStyle name="Normal 4 2 4 2 2 2 7" xfId="33606"/>
    <cellStyle name="Normal 5 2 4 2 2 2 7" xfId="33607"/>
    <cellStyle name="Normal 7 2 4 2 2 2 7" xfId="33608"/>
    <cellStyle name="Normal 2 4 4 2 2 2 7" xfId="33609"/>
    <cellStyle name="Normal 3 4 4 2 2 2 7" xfId="33610"/>
    <cellStyle name="Normal 4 3 4 2 2 2 7" xfId="33611"/>
    <cellStyle name="Normal 5 3 4 2 2 2 7" xfId="33612"/>
    <cellStyle name="Normal 7 3 4 2 2 2 7" xfId="33613"/>
    <cellStyle name="Normal 2 5 2 2 2 2 7" xfId="33614"/>
    <cellStyle name="Normal 3 5 2 2 2 2 7" xfId="33615"/>
    <cellStyle name="Normal 4 4 2 2 2 2 7" xfId="33616"/>
    <cellStyle name="Normal 5 4 2 2 2 2 7" xfId="33617"/>
    <cellStyle name="Normal 7 4 2 2 2 2 7" xfId="33618"/>
    <cellStyle name="Normal 2 3 2 2 2 2 2 7" xfId="33619"/>
    <cellStyle name="Normal 3 3 2 2 2 2 2 7" xfId="33620"/>
    <cellStyle name="Normal 4 2 2 2 2 2 2 7" xfId="33621"/>
    <cellStyle name="Normal 5 2 2 2 2 2 2 7" xfId="33622"/>
    <cellStyle name="Normal 7 2 2 2 2 2 2 7" xfId="33623"/>
    <cellStyle name="Normal 2 4 2 2 2 2 2 7" xfId="33624"/>
    <cellStyle name="Normal 3 4 2 2 2 2 2 7" xfId="33625"/>
    <cellStyle name="Normal 4 3 2 2 2 2 2 7" xfId="33626"/>
    <cellStyle name="Normal 5 3 2 2 2 2 2 7" xfId="33627"/>
    <cellStyle name="Normal 7 3 2 2 2 2 2 7" xfId="33628"/>
    <cellStyle name="Normal 2 6 2 2 2 2 7" xfId="33629"/>
    <cellStyle name="Normal 3 6 2 2 2 2 7" xfId="33630"/>
    <cellStyle name="Normal 4 5 2 2 2 2 7" xfId="33631"/>
    <cellStyle name="Normal 5 5 2 2 2 2 7" xfId="33632"/>
    <cellStyle name="Normal 7 5 2 2 2 2 7" xfId="33633"/>
    <cellStyle name="Normal 2 3 3 2 2 2 2 7" xfId="33634"/>
    <cellStyle name="Normal 3 3 3 2 2 2 2 7" xfId="33635"/>
    <cellStyle name="Normal 4 2 3 2 2 2 2 7" xfId="33636"/>
    <cellStyle name="Normal 5 2 3 2 2 2 2 7" xfId="33637"/>
    <cellStyle name="Normal 7 2 3 2 2 2 2 7" xfId="33638"/>
    <cellStyle name="Normal 2 4 3 2 2 2 2 7" xfId="33639"/>
    <cellStyle name="Normal 3 4 3 2 2 2 2 7" xfId="33640"/>
    <cellStyle name="Normal 4 3 3 2 2 2 2 7" xfId="33641"/>
    <cellStyle name="Normal 5 3 3 2 2 2 2 7" xfId="33642"/>
    <cellStyle name="Normal 7 3 3 2 2 2 2 7" xfId="33643"/>
    <cellStyle name="Normal 2 3 7 2 7" xfId="33644"/>
    <cellStyle name="Normal 3 10 2 7" xfId="33645"/>
    <cellStyle name="Normal 4 9 2 7" xfId="33646"/>
    <cellStyle name="Normal 5 9 2 7" xfId="33647"/>
    <cellStyle name="Millares 4 2 7" xfId="33648"/>
    <cellStyle name="Normal 7 2 7 2 7" xfId="33649"/>
    <cellStyle name="Normal 3 3 7 2 7" xfId="33650"/>
    <cellStyle name="Normal 4 2 7 2 7" xfId="33651"/>
    <cellStyle name="Normal 5 2 7 2 7" xfId="33652"/>
    <cellStyle name="Normal 2 4 5 3 2 7" xfId="33653"/>
    <cellStyle name="Normal 3 4 7 2 7" xfId="33654"/>
    <cellStyle name="Normal 4 3 7 2 7" xfId="33655"/>
    <cellStyle name="Normal 5 3 7 2 7" xfId="33656"/>
    <cellStyle name="Normal 7 3 7 2 7" xfId="33657"/>
    <cellStyle name="Normal 2 5 5 2 7" xfId="33658"/>
    <cellStyle name="Normal 3 5 5 2 7" xfId="33659"/>
    <cellStyle name="Normal 4 4 5 2 7" xfId="33660"/>
    <cellStyle name="Normal 5 4 5 2 7" xfId="33661"/>
    <cellStyle name="Normal 7 4 5 2 7" xfId="33662"/>
    <cellStyle name="Normal 2 3 2 5 2 7" xfId="33663"/>
    <cellStyle name="Normal 3 3 2 5 2 7" xfId="33664"/>
    <cellStyle name="Normal 4 2 2 5 2 7" xfId="33665"/>
    <cellStyle name="Normal 5 2 2 5 2 7" xfId="33666"/>
    <cellStyle name="Normal 7 2 2 5 2 7" xfId="33667"/>
    <cellStyle name="Normal 2 4 2 5 2 7" xfId="33668"/>
    <cellStyle name="Normal 3 4 2 5 2 7" xfId="33669"/>
    <cellStyle name="Normal 4 3 2 5 2 7" xfId="33670"/>
    <cellStyle name="Normal 5 3 2 5 2 7" xfId="33671"/>
    <cellStyle name="Normal 7 3 2 5 2 7" xfId="33672"/>
    <cellStyle name="Normal 2 6 5 2 7" xfId="33673"/>
    <cellStyle name="Normal 3 6 5 2 7" xfId="33674"/>
    <cellStyle name="Normal 4 5 5 2 7" xfId="33675"/>
    <cellStyle name="Normal 5 5 5 2 7" xfId="33676"/>
    <cellStyle name="Normal 7 5 5 2 7" xfId="33677"/>
    <cellStyle name="Normal 2 3 3 5 2 7" xfId="33678"/>
    <cellStyle name="Normal 3 3 3 5 2 7" xfId="33679"/>
    <cellStyle name="Normal 4 2 3 5 2 7" xfId="33680"/>
    <cellStyle name="Normal 5 2 3 5 2 7" xfId="33681"/>
    <cellStyle name="Normal 7 2 3 5 2 7" xfId="33682"/>
    <cellStyle name="Normal 2 4 3 5 2 7" xfId="33683"/>
    <cellStyle name="Normal 3 4 3 5 2 7" xfId="33684"/>
    <cellStyle name="Normal 4 3 3 5 2 7" xfId="33685"/>
    <cellStyle name="Normal 5 3 3 5 2 7" xfId="33686"/>
    <cellStyle name="Normal 7 3 3 5 2 7" xfId="33687"/>
    <cellStyle name="Normal 2 7 4 2 7" xfId="33688"/>
    <cellStyle name="Normal 3 7 4 2 7" xfId="33689"/>
    <cellStyle name="Normal 4 6 4 2 7" xfId="33690"/>
    <cellStyle name="Normal 5 6 4 2 7" xfId="33691"/>
    <cellStyle name="Normal 7 6 4 2 7" xfId="33692"/>
    <cellStyle name="Normal 2 3 4 4 2 7" xfId="33693"/>
    <cellStyle name="Normal 3 3 4 4 2 7" xfId="33694"/>
    <cellStyle name="Normal 4 2 4 4 2 7" xfId="33695"/>
    <cellStyle name="Normal 5 2 4 4 2 7" xfId="33696"/>
    <cellStyle name="Normal 7 2 4 4 2 7" xfId="33697"/>
    <cellStyle name="Normal 2 4 4 4 2 7" xfId="33698"/>
    <cellStyle name="Normal 3 4 4 4 2 7" xfId="33699"/>
    <cellStyle name="Normal 4 3 4 4 2 7" xfId="33700"/>
    <cellStyle name="Normal 5 3 4 4 2 7" xfId="33701"/>
    <cellStyle name="Normal 7 3 4 4 2 7" xfId="33702"/>
    <cellStyle name="Normal 2 5 2 4 2 7" xfId="33703"/>
    <cellStyle name="Normal 3 5 2 4 2 7" xfId="33704"/>
    <cellStyle name="Normal 4 4 2 4 2 7" xfId="33705"/>
    <cellStyle name="Normal 5 4 2 4 2 7" xfId="33706"/>
    <cellStyle name="Normal 7 4 2 4 2 7" xfId="33707"/>
    <cellStyle name="Normal 2 3 2 2 4 2 7" xfId="33708"/>
    <cellStyle name="Normal 3 3 2 2 4 2 7" xfId="33709"/>
    <cellStyle name="Normal 4 2 2 2 4 2 7" xfId="33710"/>
    <cellStyle name="Normal 5 2 2 2 4 2 7" xfId="33711"/>
    <cellStyle name="Normal 7 2 2 2 4 2 7" xfId="33712"/>
    <cellStyle name="Normal 2 4 2 2 4 2 7" xfId="33713"/>
    <cellStyle name="Normal 3 4 2 2 4 2 7" xfId="33714"/>
    <cellStyle name="Normal 4 3 2 2 4 2 7" xfId="33715"/>
    <cellStyle name="Normal 5 3 2 2 4 2 7" xfId="33716"/>
    <cellStyle name="Normal 7 3 2 2 4 2 7" xfId="33717"/>
    <cellStyle name="Normal 2 6 2 4 2 7" xfId="33718"/>
    <cellStyle name="Normal 3 6 2 4 2 7" xfId="33719"/>
    <cellStyle name="Normal 4 5 2 4 2 7" xfId="33720"/>
    <cellStyle name="Normal 5 5 2 4 2 7" xfId="33721"/>
    <cellStyle name="Normal 7 5 2 4 2 7" xfId="33722"/>
    <cellStyle name="Normal 2 3 3 2 4 2 7" xfId="33723"/>
    <cellStyle name="Normal 3 3 3 2 4 2 7" xfId="33724"/>
    <cellStyle name="Normal 4 2 3 2 4 2 7" xfId="33725"/>
    <cellStyle name="Normal 5 2 3 2 4 2 7" xfId="33726"/>
    <cellStyle name="Normal 7 2 3 2 4 2 7" xfId="33727"/>
    <cellStyle name="Normal 2 4 3 2 4 2 7" xfId="33728"/>
    <cellStyle name="Normal 3 4 3 2 4 2 7" xfId="33729"/>
    <cellStyle name="Normal 4 3 3 2 4 2 7" xfId="33730"/>
    <cellStyle name="Normal 5 3 3 2 4 2 7" xfId="33731"/>
    <cellStyle name="Normal 7 3 3 2 4 2 7" xfId="33732"/>
    <cellStyle name="Normal 2 8 3 2 7" xfId="33733"/>
    <cellStyle name="Normal 3 8 3 2 7" xfId="33734"/>
    <cellStyle name="Normal 4 7 3 2 7" xfId="33735"/>
    <cellStyle name="Normal 5 7 3 2 7" xfId="33736"/>
    <cellStyle name="Normal 7 7 3 2 7" xfId="33737"/>
    <cellStyle name="Normal 2 3 5 3 2 7" xfId="33738"/>
    <cellStyle name="Normal 3 3 5 3 2 7" xfId="33739"/>
    <cellStyle name="Normal 4 2 5 3 2 7" xfId="33740"/>
    <cellStyle name="Normal 5 2 5 3 2 7" xfId="33741"/>
    <cellStyle name="Normal 7 2 5 3 2 7" xfId="33742"/>
    <cellStyle name="Normal 3 4 5 3 2 7" xfId="33743"/>
    <cellStyle name="Normal 4 3 5 3 2 7" xfId="33744"/>
    <cellStyle name="Normal 5 3 5 3 2 7" xfId="33745"/>
    <cellStyle name="Normal 7 3 5 3 2 7" xfId="33746"/>
    <cellStyle name="Normal 2 5 3 3 2 7" xfId="33747"/>
    <cellStyle name="Normal 3 5 3 3 2 7" xfId="33748"/>
    <cellStyle name="Normal 4 4 3 3 2 7" xfId="33749"/>
    <cellStyle name="Normal 5 4 3 3 2 7" xfId="33750"/>
    <cellStyle name="Normal 7 4 3 3 2 7" xfId="33751"/>
    <cellStyle name="Normal 2 3 2 3 3 2 7" xfId="33752"/>
    <cellStyle name="Normal 3 3 2 3 3 2 7" xfId="33753"/>
    <cellStyle name="Normal 4 2 2 3 3 2 7" xfId="33754"/>
    <cellStyle name="Normal 5 2 2 3 3 2 7" xfId="33755"/>
    <cellStyle name="Normal 7 2 2 3 3 2 7" xfId="33756"/>
    <cellStyle name="Normal 2 4 2 3 3 2 7" xfId="33757"/>
    <cellStyle name="Normal 3 4 2 3 3 2 7" xfId="33758"/>
    <cellStyle name="Normal 4 3 2 3 3 2 7" xfId="33759"/>
    <cellStyle name="Normal 5 3 2 3 3 2 7" xfId="33760"/>
    <cellStyle name="Normal 7 3 2 3 3 2 7" xfId="33761"/>
    <cellStyle name="Normal 2 6 3 3 2 7" xfId="33762"/>
    <cellStyle name="Normal 3 6 3 3 2 7" xfId="33763"/>
    <cellStyle name="Normal 4 5 3 3 2 7" xfId="33764"/>
    <cellStyle name="Normal 5 5 3 3 2 7" xfId="33765"/>
    <cellStyle name="Normal 7 5 3 3 2 7" xfId="33766"/>
    <cellStyle name="Normal 2 3 3 3 3 2 7" xfId="33767"/>
    <cellStyle name="Normal 3 3 3 3 3 2 7" xfId="33768"/>
    <cellStyle name="Normal 4 2 3 3 3 2 7" xfId="33769"/>
    <cellStyle name="Normal 5 2 3 3 3 2 7" xfId="33770"/>
    <cellStyle name="Normal 7 2 3 3 3 2 7" xfId="33771"/>
    <cellStyle name="Normal 2 4 3 3 3 2 7" xfId="33772"/>
    <cellStyle name="Normal 3 4 3 3 3 2 7" xfId="33773"/>
    <cellStyle name="Normal 4 3 3 3 3 2 7" xfId="33774"/>
    <cellStyle name="Normal 5 3 3 3 3 2 7" xfId="33775"/>
    <cellStyle name="Normal 7 3 3 3 3 2 7" xfId="33776"/>
    <cellStyle name="Normal 2 7 2 3 2 7" xfId="33777"/>
    <cellStyle name="Normal 3 7 2 3 2 7" xfId="33778"/>
    <cellStyle name="Normal 4 6 2 3 2 7" xfId="33779"/>
    <cellStyle name="Normal 5 6 2 3 2 7" xfId="33780"/>
    <cellStyle name="Normal 7 6 2 3 2 7" xfId="33781"/>
    <cellStyle name="Normal 2 3 4 2 3 2 7" xfId="33782"/>
    <cellStyle name="Normal 3 3 4 2 3 2 7" xfId="33783"/>
    <cellStyle name="Normal 4 2 4 2 3 2 7" xfId="33784"/>
    <cellStyle name="Normal 5 2 4 2 3 2 7" xfId="33785"/>
    <cellStyle name="Normal 7 2 4 2 3 2 7" xfId="33786"/>
    <cellStyle name="Normal 2 4 4 2 3 2 7" xfId="33787"/>
    <cellStyle name="Normal 3 4 4 2 3 2 7" xfId="33788"/>
    <cellStyle name="Normal 4 3 4 2 3 2 7" xfId="33789"/>
    <cellStyle name="Normal 5 3 4 2 3 2 7" xfId="33790"/>
    <cellStyle name="Normal 7 3 4 2 3 2 7" xfId="33791"/>
    <cellStyle name="Normal 2 5 2 2 3 2 7" xfId="33792"/>
    <cellStyle name="Normal 3 5 2 2 3 2 7" xfId="33793"/>
    <cellStyle name="Normal 4 4 2 2 3 2 7" xfId="33794"/>
    <cellStyle name="Normal 5 4 2 2 3 2 7" xfId="33795"/>
    <cellStyle name="Normal 7 4 2 2 3 2 7" xfId="33796"/>
    <cellStyle name="Normal 2 3 2 2 2 3 2 7" xfId="33797"/>
    <cellStyle name="Normal 3 3 2 2 2 3 2 7" xfId="33798"/>
    <cellStyle name="Normal 4 2 2 2 2 3 2 7" xfId="33799"/>
    <cellStyle name="Normal 5 2 2 2 2 3 2 7" xfId="33800"/>
    <cellStyle name="Normal 7 2 2 2 2 3 2 7" xfId="33801"/>
    <cellStyle name="Normal 2 4 2 2 2 3 2 7" xfId="33802"/>
    <cellStyle name="Normal 3 4 2 2 2 3 2 7" xfId="33803"/>
    <cellStyle name="Normal 4 3 2 2 2 3 2 7" xfId="33804"/>
    <cellStyle name="Normal 5 3 2 2 2 3 2 7" xfId="33805"/>
    <cellStyle name="Normal 7 3 2 2 2 3 2 7" xfId="33806"/>
    <cellStyle name="Normal 2 6 2 2 3 2 7" xfId="33807"/>
    <cellStyle name="Normal 3 6 2 2 3 2 7" xfId="33808"/>
    <cellStyle name="Normal 4 5 2 2 3 2 7" xfId="33809"/>
    <cellStyle name="Normal 5 5 2 2 3 2 7" xfId="33810"/>
    <cellStyle name="Normal 7 5 2 2 3 2 7" xfId="33811"/>
    <cellStyle name="Normal 2 3 3 2 2 3 2 7" xfId="33812"/>
    <cellStyle name="Normal 3 3 3 2 2 3 2 7" xfId="33813"/>
    <cellStyle name="Normal 4 2 3 2 2 3 2 7" xfId="33814"/>
    <cellStyle name="Normal 5 2 3 2 2 3 2 7" xfId="33815"/>
    <cellStyle name="Normal 7 2 3 2 2 3 2 7" xfId="33816"/>
    <cellStyle name="Normal 2 4 3 2 2 3 2 7" xfId="33817"/>
    <cellStyle name="Normal 3 4 3 2 2 3 2 7" xfId="33818"/>
    <cellStyle name="Normal 4 3 3 2 2 3 2 7" xfId="33819"/>
    <cellStyle name="Normal 5 3 3 2 2 3 2 7" xfId="33820"/>
    <cellStyle name="Normal 7 3 3 2 2 3 2 7" xfId="33821"/>
    <cellStyle name="Normal 2 12 7" xfId="33822"/>
    <cellStyle name="Normal 3 12 7" xfId="33823"/>
    <cellStyle name="Normal 4 11 7" xfId="33824"/>
    <cellStyle name="Normal 5 11 7" xfId="33825"/>
    <cellStyle name="Normal 7 11 7" xfId="33826"/>
    <cellStyle name="Normal 2 3 9 7" xfId="33827"/>
    <cellStyle name="Normal 3 3 9 7" xfId="33828"/>
    <cellStyle name="Normal 4 2 9 7" xfId="33829"/>
    <cellStyle name="Normal 5 2 9 7" xfId="33830"/>
    <cellStyle name="Normal 7 2 9 7" xfId="33831"/>
    <cellStyle name="Normal 2 4 9 7" xfId="33832"/>
    <cellStyle name="Normal 3 4 9 7" xfId="33833"/>
    <cellStyle name="Normal 4 3 9 7" xfId="33834"/>
    <cellStyle name="Normal 5 3 9 7" xfId="33835"/>
    <cellStyle name="Normal 7 3 9 7" xfId="33836"/>
    <cellStyle name="Normal 2 5 7 7" xfId="33837"/>
    <cellStyle name="Normal 3 5 7 7" xfId="33838"/>
    <cellStyle name="Normal 4 4 7 7" xfId="33839"/>
    <cellStyle name="Normal 5 4 7 7" xfId="33840"/>
    <cellStyle name="Normal 7 4 7 7" xfId="33841"/>
    <cellStyle name="Normal 2 3 2 7 7" xfId="33842"/>
    <cellStyle name="Normal 3 3 2 7 7" xfId="33843"/>
    <cellStyle name="Normal 4 2 2 7 7" xfId="33844"/>
    <cellStyle name="Normal 5 2 2 7 7" xfId="33845"/>
    <cellStyle name="Normal 7 2 2 7 7" xfId="33846"/>
    <cellStyle name="Normal 2 4 2 7 7" xfId="33847"/>
    <cellStyle name="Normal 3 4 2 7 7" xfId="33848"/>
    <cellStyle name="Normal 4 3 2 7 7" xfId="33849"/>
    <cellStyle name="Normal 5 3 2 7 7" xfId="33850"/>
    <cellStyle name="Normal 7 3 2 7 7" xfId="33851"/>
    <cellStyle name="Normal 2 6 7 7" xfId="33852"/>
    <cellStyle name="Normal 3 6 7 7" xfId="33853"/>
    <cellStyle name="Normal 4 5 7 7" xfId="33854"/>
    <cellStyle name="Normal 5 5 7 7" xfId="33855"/>
    <cellStyle name="Normal 7 5 7 7" xfId="33856"/>
    <cellStyle name="Normal 2 3 3 7 7" xfId="33857"/>
    <cellStyle name="Normal 3 3 3 7 7" xfId="33858"/>
    <cellStyle name="Normal 4 2 3 7 7" xfId="33859"/>
    <cellStyle name="Normal 5 2 3 7 7" xfId="33860"/>
    <cellStyle name="Normal 7 2 3 7 7" xfId="33861"/>
    <cellStyle name="Normal 2 4 3 7 7" xfId="33862"/>
    <cellStyle name="Normal 3 4 3 7 7" xfId="33863"/>
    <cellStyle name="Normal 4 3 3 7 7" xfId="33864"/>
    <cellStyle name="Normal 5 3 3 7 7" xfId="33865"/>
    <cellStyle name="Normal 7 3 3 7 7" xfId="33866"/>
    <cellStyle name="Normal 2 7 6 7" xfId="33867"/>
    <cellStyle name="Normal 3 7 6 7" xfId="33868"/>
    <cellStyle name="Normal 4 6 6 7" xfId="33869"/>
    <cellStyle name="Normal 5 6 6 7" xfId="33870"/>
    <cellStyle name="Normal 7 6 6 7" xfId="33871"/>
    <cellStyle name="Normal 2 3 4 6 7" xfId="33872"/>
    <cellStyle name="Normal 3 3 4 6 7" xfId="33873"/>
    <cellStyle name="Normal 4 2 4 6 7" xfId="33874"/>
    <cellStyle name="Normal 5 2 4 6 7" xfId="33875"/>
    <cellStyle name="Normal 7 2 4 6 7" xfId="33876"/>
    <cellStyle name="Normal 2 4 4 6 7" xfId="33877"/>
    <cellStyle name="Normal 3 4 4 6 7" xfId="33878"/>
    <cellStyle name="Normal 4 3 4 6 7" xfId="33879"/>
    <cellStyle name="Normal 5 3 4 6 7" xfId="33880"/>
    <cellStyle name="Normal 7 3 4 6 7" xfId="33881"/>
    <cellStyle name="Normal 2 5 2 6 7" xfId="33882"/>
    <cellStyle name="Normal 3 5 2 6 7" xfId="33883"/>
    <cellStyle name="Normal 4 4 2 6 7" xfId="33884"/>
    <cellStyle name="Normal 5 4 2 6 7" xfId="33885"/>
    <cellStyle name="Normal 7 4 2 6 7" xfId="33886"/>
    <cellStyle name="Normal 2 3 2 2 6 7" xfId="33887"/>
    <cellStyle name="Normal 3 3 2 2 6 7" xfId="33888"/>
    <cellStyle name="Normal 4 2 2 2 6 7" xfId="33889"/>
    <cellStyle name="Normal 5 2 2 2 6 7" xfId="33890"/>
    <cellStyle name="Normal 7 2 2 2 6 7" xfId="33891"/>
    <cellStyle name="Normal 2 4 2 2 6 7" xfId="33892"/>
    <cellStyle name="Normal 3 4 2 2 6 7" xfId="33893"/>
    <cellStyle name="Normal 4 3 2 2 6 7" xfId="33894"/>
    <cellStyle name="Normal 5 3 2 2 6 7" xfId="33895"/>
    <cellStyle name="Normal 7 3 2 2 6 7" xfId="33896"/>
    <cellStyle name="Normal 2 6 2 6 7" xfId="33897"/>
    <cellStyle name="Normal 3 6 2 6 7" xfId="33898"/>
    <cellStyle name="Normal 4 5 2 6 7" xfId="33899"/>
    <cellStyle name="Normal 5 5 2 6 7" xfId="33900"/>
    <cellStyle name="Normal 7 5 2 6 7" xfId="33901"/>
    <cellStyle name="Normal 2 3 3 2 6 7" xfId="33902"/>
    <cellStyle name="Normal 3 3 3 2 6 7" xfId="33903"/>
    <cellStyle name="Normal 4 2 3 2 6 7" xfId="33904"/>
    <cellStyle name="Normal 5 2 3 2 6 7" xfId="33905"/>
    <cellStyle name="Normal 7 2 3 2 6 7" xfId="33906"/>
    <cellStyle name="Normal 2 4 3 2 6 7" xfId="33907"/>
    <cellStyle name="Normal 3 4 3 2 6 7" xfId="33908"/>
    <cellStyle name="Normal 4 3 3 2 6 7" xfId="33909"/>
    <cellStyle name="Normal 5 3 3 2 6 7" xfId="33910"/>
    <cellStyle name="Normal 7 3 3 2 6 7" xfId="33911"/>
    <cellStyle name="Normal 2 8 5 7" xfId="33912"/>
    <cellStyle name="Normal 3 8 5 7" xfId="33913"/>
    <cellStyle name="Normal 4 7 5 7" xfId="33914"/>
    <cellStyle name="Normal 5 7 5 7" xfId="33915"/>
    <cellStyle name="Normal 7 7 5 7" xfId="33916"/>
    <cellStyle name="Normal 2 3 5 5 7" xfId="33917"/>
    <cellStyle name="Normal 3 3 5 5 7" xfId="33918"/>
    <cellStyle name="Normal 4 2 5 5 7" xfId="33919"/>
    <cellStyle name="Normal 5 2 5 5 7" xfId="33920"/>
    <cellStyle name="Normal 7 2 5 5 7" xfId="33921"/>
    <cellStyle name="Normal 2 4 5 5 7" xfId="33922"/>
    <cellStyle name="Normal 3 4 5 5 7" xfId="33923"/>
    <cellStyle name="Normal 4 3 5 5 7" xfId="33924"/>
    <cellStyle name="Normal 5 3 5 5 7" xfId="33925"/>
    <cellStyle name="Normal 7 3 5 5 7" xfId="33926"/>
    <cellStyle name="Normal 2 5 3 5 7" xfId="33927"/>
    <cellStyle name="Normal 3 5 3 5 7" xfId="33928"/>
    <cellStyle name="Normal 4 4 3 5 7" xfId="33929"/>
    <cellStyle name="Normal 5 4 3 5 7" xfId="33930"/>
    <cellStyle name="Normal 7 4 3 5 7" xfId="33931"/>
    <cellStyle name="Normal 2 3 2 3 5 7" xfId="33932"/>
    <cellStyle name="Normal 3 3 2 3 5 7" xfId="33933"/>
    <cellStyle name="Normal 4 2 2 3 5 7" xfId="33934"/>
    <cellStyle name="Normal 5 2 2 3 5 7" xfId="33935"/>
    <cellStyle name="Normal 7 2 2 3 5 7" xfId="33936"/>
    <cellStyle name="Normal 2 4 2 3 5 7" xfId="33937"/>
    <cellStyle name="Normal 3 4 2 3 5 7" xfId="33938"/>
    <cellStyle name="Normal 4 3 2 3 5 7" xfId="33939"/>
    <cellStyle name="Normal 5 3 2 3 5 7" xfId="33940"/>
    <cellStyle name="Normal 7 3 2 3 5 7" xfId="33941"/>
    <cellStyle name="Normal 2 6 3 5 7" xfId="33942"/>
    <cellStyle name="Normal 3 6 3 5 7" xfId="33943"/>
    <cellStyle name="Normal 4 5 3 5 7" xfId="33944"/>
    <cellStyle name="Normal 5 5 3 5 7" xfId="33945"/>
    <cellStyle name="Normal 7 5 3 5 7" xfId="33946"/>
    <cellStyle name="Normal 2 3 3 3 5 7" xfId="33947"/>
    <cellStyle name="Normal 3 3 3 3 5 7" xfId="33948"/>
    <cellStyle name="Normal 4 2 3 3 5 7" xfId="33949"/>
    <cellStyle name="Normal 5 2 3 3 5 7" xfId="33950"/>
    <cellStyle name="Normal 7 2 3 3 5 7" xfId="33951"/>
    <cellStyle name="Normal 2 4 3 3 5 7" xfId="33952"/>
    <cellStyle name="Normal 3 4 3 3 5 7" xfId="33953"/>
    <cellStyle name="Normal 4 3 3 3 5 7" xfId="33954"/>
    <cellStyle name="Normal 5 3 3 3 5 7" xfId="33955"/>
    <cellStyle name="Normal 7 3 3 3 5 7" xfId="33956"/>
    <cellStyle name="Normal 2 7 2 5 7" xfId="33957"/>
    <cellStyle name="Normal 3 7 2 5 7" xfId="33958"/>
    <cellStyle name="Normal 4 6 2 5 7" xfId="33959"/>
    <cellStyle name="Normal 5 6 2 5 7" xfId="33960"/>
    <cellStyle name="Normal 7 6 2 5 7" xfId="33961"/>
    <cellStyle name="Normal 2 3 4 2 5 7" xfId="33962"/>
    <cellStyle name="Normal 3 3 4 2 5 7" xfId="33963"/>
    <cellStyle name="Normal 4 2 4 2 5 7" xfId="33964"/>
    <cellStyle name="Normal 5 2 4 2 5 7" xfId="33965"/>
    <cellStyle name="Normal 7 2 4 2 5 7" xfId="33966"/>
    <cellStyle name="Normal 2 4 4 2 5 7" xfId="33967"/>
    <cellStyle name="Normal 3 4 4 2 5 7" xfId="33968"/>
    <cellStyle name="Normal 4 3 4 2 5 7" xfId="33969"/>
    <cellStyle name="Normal 5 3 4 2 5 7" xfId="33970"/>
    <cellStyle name="Normal 7 3 4 2 5 7" xfId="33971"/>
    <cellStyle name="Normal 2 5 2 2 5 7" xfId="33972"/>
    <cellStyle name="Normal 3 5 2 2 5 7" xfId="33973"/>
    <cellStyle name="Normal 4 4 2 2 5 7" xfId="33974"/>
    <cellStyle name="Normal 5 4 2 2 5 7" xfId="33975"/>
    <cellStyle name="Normal 7 4 2 2 5 7" xfId="33976"/>
    <cellStyle name="Normal 2 3 2 2 2 5 7" xfId="33977"/>
    <cellStyle name="Normal 3 3 2 2 2 5 7" xfId="33978"/>
    <cellStyle name="Normal 4 2 2 2 2 5 7" xfId="33979"/>
    <cellStyle name="Normal 5 2 2 2 2 5 7" xfId="33980"/>
    <cellStyle name="Normal 7 2 2 2 2 5 7" xfId="33981"/>
    <cellStyle name="Normal 2 4 2 2 2 5 7" xfId="33982"/>
    <cellStyle name="Normal 3 4 2 2 2 5 7" xfId="33983"/>
    <cellStyle name="Normal 4 3 2 2 2 5 7" xfId="33984"/>
    <cellStyle name="Normal 5 3 2 2 2 5 7" xfId="33985"/>
    <cellStyle name="Normal 7 3 2 2 2 5 7" xfId="33986"/>
    <cellStyle name="Normal 2 6 2 2 5 7" xfId="33987"/>
    <cellStyle name="Normal 3 6 2 2 5 7" xfId="33988"/>
    <cellStyle name="Normal 4 5 2 2 5 7" xfId="33989"/>
    <cellStyle name="Normal 5 5 2 2 5 7" xfId="33990"/>
    <cellStyle name="Normal 7 5 2 2 5 7" xfId="33991"/>
    <cellStyle name="Normal 2 3 3 2 2 5 7" xfId="33992"/>
    <cellStyle name="Normal 3 3 3 2 2 5 7" xfId="33993"/>
    <cellStyle name="Normal 4 2 3 2 2 5 7" xfId="33994"/>
    <cellStyle name="Normal 5 2 3 2 2 5 7" xfId="33995"/>
    <cellStyle name="Normal 7 2 3 2 2 5 7" xfId="33996"/>
    <cellStyle name="Normal 2 4 3 2 2 5 7" xfId="33997"/>
    <cellStyle name="Normal 3 4 3 2 2 5 7" xfId="33998"/>
    <cellStyle name="Normal 4 3 3 2 2 5 7" xfId="33999"/>
    <cellStyle name="Normal 5 3 3 2 2 5 7" xfId="34000"/>
    <cellStyle name="Normal 7 3 3 2 2 5 7" xfId="34001"/>
    <cellStyle name="Normal 2 9 3 7" xfId="34002"/>
    <cellStyle name="Normal 3 9 3 7" xfId="34003"/>
    <cellStyle name="Normal 4 8 3 7" xfId="34004"/>
    <cellStyle name="Normal 5 8 3 7" xfId="34005"/>
    <cellStyle name="Normal 7 8 3 7" xfId="34006"/>
    <cellStyle name="Normal 2 3 6 3 7" xfId="34007"/>
    <cellStyle name="Normal 3 3 6 3 7" xfId="34008"/>
    <cellStyle name="Normal 4 2 6 3 7" xfId="34009"/>
    <cellStyle name="Normal 5 2 6 3 7" xfId="34010"/>
    <cellStyle name="Normal 7 2 6 3 7" xfId="34011"/>
    <cellStyle name="Normal 2 4 6 3 7" xfId="34012"/>
    <cellStyle name="Normal 3 4 6 3 7" xfId="34013"/>
    <cellStyle name="Normal 4 3 6 3 7" xfId="34014"/>
    <cellStyle name="Normal 5 3 6 3 7" xfId="34015"/>
    <cellStyle name="Normal 7 3 6 3 7" xfId="34016"/>
    <cellStyle name="Normal 2 5 4 3 7" xfId="34017"/>
    <cellStyle name="Normal 3 5 4 3 7" xfId="34018"/>
    <cellStyle name="Normal 4 4 4 3 7" xfId="34019"/>
    <cellStyle name="Normal 5 4 4 3 7" xfId="34020"/>
    <cellStyle name="Normal 7 4 4 3 7" xfId="34021"/>
    <cellStyle name="Normal 2 3 2 4 3 7" xfId="34022"/>
    <cellStyle name="Normal 3 3 2 4 3 7" xfId="34023"/>
    <cellStyle name="Normal 4 2 2 4 3 7" xfId="34024"/>
    <cellStyle name="Normal 5 2 2 4 3 7" xfId="34025"/>
    <cellStyle name="Normal 7 2 2 4 3 7" xfId="34026"/>
    <cellStyle name="Normal 2 4 2 4 3 7" xfId="34027"/>
    <cellStyle name="Normal 3 4 2 4 3 7" xfId="34028"/>
    <cellStyle name="Normal 4 3 2 4 3 7" xfId="34029"/>
    <cellStyle name="Normal 5 3 2 4 3 7" xfId="34030"/>
    <cellStyle name="Normal 7 3 2 4 3 7" xfId="34031"/>
    <cellStyle name="Normal 2 6 4 3 7" xfId="34032"/>
    <cellStyle name="Normal 3 6 4 3 7" xfId="34033"/>
    <cellStyle name="Normal 4 5 4 3 7" xfId="34034"/>
    <cellStyle name="Normal 5 5 4 3 7" xfId="34035"/>
    <cellStyle name="Normal 7 5 4 3 7" xfId="34036"/>
    <cellStyle name="Normal 2 3 3 4 3 7" xfId="34037"/>
    <cellStyle name="Normal 3 3 3 4 3 7" xfId="34038"/>
    <cellStyle name="Normal 4 2 3 4 3 7" xfId="34039"/>
    <cellStyle name="Normal 5 2 3 4 3 7" xfId="34040"/>
    <cellStyle name="Normal 7 2 3 4 3 7" xfId="34041"/>
    <cellStyle name="Normal 2 4 3 4 3 7" xfId="34042"/>
    <cellStyle name="Normal 3 4 3 4 3 7" xfId="34043"/>
    <cellStyle name="Normal 4 3 3 4 3 7" xfId="34044"/>
    <cellStyle name="Normal 5 3 3 4 3 7" xfId="34045"/>
    <cellStyle name="Normal 7 3 3 4 3 7" xfId="34046"/>
    <cellStyle name="Normal 2 7 3 3 7" xfId="34047"/>
    <cellStyle name="Normal 3 7 3 3 7" xfId="34048"/>
    <cellStyle name="Normal 4 6 3 3 7" xfId="34049"/>
    <cellStyle name="Normal 5 6 3 3 7" xfId="34050"/>
    <cellStyle name="Normal 7 6 3 3 7" xfId="34051"/>
    <cellStyle name="Normal 2 3 4 3 3 7" xfId="34052"/>
    <cellStyle name="Normal 3 3 4 3 3 7" xfId="34053"/>
    <cellStyle name="Normal 4 2 4 3 3 7" xfId="34054"/>
    <cellStyle name="Normal 5 2 4 3 3 7" xfId="34055"/>
    <cellStyle name="Normal 7 2 4 3 3 7" xfId="34056"/>
    <cellStyle name="Normal 2 4 4 3 3 7" xfId="34057"/>
    <cellStyle name="Normal 3 4 4 3 3 7" xfId="34058"/>
    <cellStyle name="Normal 4 3 4 3 3 7" xfId="34059"/>
    <cellStyle name="Normal 5 3 4 3 3 7" xfId="34060"/>
    <cellStyle name="Normal 7 3 4 3 3 7" xfId="34061"/>
    <cellStyle name="Normal 2 5 2 3 3 7" xfId="34062"/>
    <cellStyle name="Normal 3 5 2 3 3 7" xfId="34063"/>
    <cellStyle name="Normal 4 4 2 3 3 7" xfId="34064"/>
    <cellStyle name="Normal 5 4 2 3 3 7" xfId="34065"/>
    <cellStyle name="Normal 7 4 2 3 3 7" xfId="34066"/>
    <cellStyle name="Normal 2 3 2 2 3 3 7" xfId="34067"/>
    <cellStyle name="Normal 3 3 2 2 3 3 7" xfId="34068"/>
    <cellStyle name="Normal 4 2 2 2 3 3 7" xfId="34069"/>
    <cellStyle name="Normal 5 2 2 2 3 3 7" xfId="34070"/>
    <cellStyle name="Normal 7 2 2 2 3 3 7" xfId="34071"/>
    <cellStyle name="Normal 2 4 2 2 3 3 7" xfId="34072"/>
    <cellStyle name="Normal 3 4 2 2 3 3 7" xfId="34073"/>
    <cellStyle name="Normal 4 3 2 2 3 3 7" xfId="34074"/>
    <cellStyle name="Normal 5 3 2 2 3 3 7" xfId="34075"/>
    <cellStyle name="Normal 7 3 2 2 3 3 7" xfId="34076"/>
    <cellStyle name="Normal 2 6 2 3 3 7" xfId="34077"/>
    <cellStyle name="Normal 3 6 2 3 3 7" xfId="34078"/>
    <cellStyle name="Normal 4 5 2 3 3 7" xfId="34079"/>
    <cellStyle name="Normal 5 5 2 3 3 7" xfId="34080"/>
    <cellStyle name="Normal 7 5 2 3 3 7" xfId="34081"/>
    <cellStyle name="Normal 2 3 3 2 3 3 7" xfId="34082"/>
    <cellStyle name="Normal 3 3 3 2 3 3 7" xfId="34083"/>
    <cellStyle name="Normal 4 2 3 2 3 3 7" xfId="34084"/>
    <cellStyle name="Normal 5 2 3 2 3 3 7" xfId="34085"/>
    <cellStyle name="Normal 7 2 3 2 3 3 7" xfId="34086"/>
    <cellStyle name="Normal 2 4 3 2 3 3 7" xfId="34087"/>
    <cellStyle name="Normal 3 4 3 2 3 3 7" xfId="34088"/>
    <cellStyle name="Normal 4 3 3 2 3 3 7" xfId="34089"/>
    <cellStyle name="Normal 5 3 3 2 3 3 7" xfId="34090"/>
    <cellStyle name="Normal 7 3 3 2 3 3 7" xfId="34091"/>
    <cellStyle name="Normal 2 8 2 3 7" xfId="34092"/>
    <cellStyle name="Normal 3 8 2 3 7" xfId="34093"/>
    <cellStyle name="Normal 4 7 2 3 7" xfId="34094"/>
    <cellStyle name="Normal 5 7 2 3 7" xfId="34095"/>
    <cellStyle name="Normal 7 7 2 3 7" xfId="34096"/>
    <cellStyle name="Normal 2 3 5 2 3 7" xfId="34097"/>
    <cellStyle name="Normal 3 3 5 2 3 7" xfId="34098"/>
    <cellStyle name="Normal 4 2 5 2 3 7" xfId="34099"/>
    <cellStyle name="Normal 5 2 5 2 3 7" xfId="34100"/>
    <cellStyle name="Normal 7 2 5 2 3 7" xfId="34101"/>
    <cellStyle name="Normal 2 4 5 2 3 7" xfId="34102"/>
    <cellStyle name="Normal 3 4 5 2 3 7" xfId="34103"/>
    <cellStyle name="Normal 4 3 5 2 3 7" xfId="34104"/>
    <cellStyle name="Normal 5 3 5 2 3 7" xfId="34105"/>
    <cellStyle name="Normal 7 3 5 2 3 7" xfId="34106"/>
    <cellStyle name="Normal 2 5 3 2 3 7" xfId="34107"/>
    <cellStyle name="Normal 3 5 3 2 3 7" xfId="34108"/>
    <cellStyle name="Normal 4 4 3 2 3 7" xfId="34109"/>
    <cellStyle name="Normal 5 4 3 2 3 7" xfId="34110"/>
    <cellStyle name="Normal 7 4 3 2 3 7" xfId="34111"/>
    <cellStyle name="Normal 2 3 2 3 2 3 7" xfId="34112"/>
    <cellStyle name="Normal 3 3 2 3 2 3 7" xfId="34113"/>
    <cellStyle name="Normal 4 2 2 3 2 3 7" xfId="34114"/>
    <cellStyle name="Normal 5 2 2 3 2 3 7" xfId="34115"/>
    <cellStyle name="Normal 7 2 2 3 2 3 7" xfId="34116"/>
    <cellStyle name="Normal 2 4 2 3 2 3 7" xfId="34117"/>
    <cellStyle name="Normal 3 4 2 3 2 3 7" xfId="34118"/>
    <cellStyle name="Normal 4 3 2 3 2 3 7" xfId="34119"/>
    <cellStyle name="Normal 5 3 2 3 2 3 7" xfId="34120"/>
    <cellStyle name="Normal 7 3 2 3 2 3 7" xfId="34121"/>
    <cellStyle name="Normal 2 6 3 2 3 7" xfId="34122"/>
    <cellStyle name="Normal 3 6 3 2 3 7" xfId="34123"/>
    <cellStyle name="Normal 4 5 3 2 3 7" xfId="34124"/>
    <cellStyle name="Normal 5 5 3 2 3 7" xfId="34125"/>
    <cellStyle name="Normal 7 5 3 2 3 7" xfId="34126"/>
    <cellStyle name="Normal 2 3 3 3 2 3 7" xfId="34127"/>
    <cellStyle name="Normal 3 3 3 3 2 3 7" xfId="34128"/>
    <cellStyle name="Normal 4 2 3 3 2 3 7" xfId="34129"/>
    <cellStyle name="Normal 5 2 3 3 2 3 7" xfId="34130"/>
    <cellStyle name="Normal 7 2 3 3 2 3 7" xfId="34131"/>
    <cellStyle name="Normal 2 4 3 3 2 3 7" xfId="34132"/>
    <cellStyle name="Normal 3 4 3 3 2 3 7" xfId="34133"/>
    <cellStyle name="Normal 4 3 3 3 2 3 7" xfId="34134"/>
    <cellStyle name="Normal 5 3 3 3 2 3 7" xfId="34135"/>
    <cellStyle name="Normal 7 3 3 3 2 3 7" xfId="34136"/>
    <cellStyle name="Normal 2 7 2 2 3 7" xfId="34137"/>
    <cellStyle name="Normal 3 7 2 2 3 7" xfId="34138"/>
    <cellStyle name="Normal 4 6 2 2 3 7" xfId="34139"/>
    <cellStyle name="Normal 5 6 2 2 3 7" xfId="34140"/>
    <cellStyle name="Normal 7 6 2 2 3 7" xfId="34141"/>
    <cellStyle name="Normal 2 3 4 2 2 3 7" xfId="34142"/>
    <cellStyle name="Normal 3 3 4 2 2 3 7" xfId="34143"/>
    <cellStyle name="Normal 4 2 4 2 2 3 7" xfId="34144"/>
    <cellStyle name="Normal 5 2 4 2 2 3 7" xfId="34145"/>
    <cellStyle name="Normal 7 2 4 2 2 3 7" xfId="34146"/>
    <cellStyle name="Normal 2 4 4 2 2 3 7" xfId="34147"/>
    <cellStyle name="Normal 3 4 4 2 2 3 7" xfId="34148"/>
    <cellStyle name="Normal 4 3 4 2 2 3 7" xfId="34149"/>
    <cellStyle name="Normal 5 3 4 2 2 3 7" xfId="34150"/>
    <cellStyle name="Normal 7 3 4 2 2 3 7" xfId="34151"/>
    <cellStyle name="Normal 2 5 2 2 2 3 7" xfId="34152"/>
    <cellStyle name="Normal 3 5 2 2 2 3 7" xfId="34153"/>
    <cellStyle name="Normal 4 4 2 2 2 3 7" xfId="34154"/>
    <cellStyle name="Normal 5 4 2 2 2 3 7" xfId="34155"/>
    <cellStyle name="Normal 7 4 2 2 2 3 7" xfId="34156"/>
    <cellStyle name="Normal 2 3 2 2 2 2 3 7" xfId="34157"/>
    <cellStyle name="Normal 3 3 2 2 2 2 3 7" xfId="34158"/>
    <cellStyle name="Normal 4 2 2 2 2 2 3 7" xfId="34159"/>
    <cellStyle name="Normal 5 2 2 2 2 2 3 7" xfId="34160"/>
    <cellStyle name="Normal 7 2 2 2 2 2 3 7" xfId="34161"/>
    <cellStyle name="Normal 2 4 2 2 2 2 3 7" xfId="34162"/>
    <cellStyle name="Normal 3 4 2 2 2 2 3 7" xfId="34163"/>
    <cellStyle name="Normal 4 3 2 2 2 2 3 7" xfId="34164"/>
    <cellStyle name="Normal 5 3 2 2 2 2 3 7" xfId="34165"/>
    <cellStyle name="Normal 7 3 2 2 2 2 3 7" xfId="34166"/>
    <cellStyle name="Normal 2 6 2 2 2 3 7" xfId="34167"/>
    <cellStyle name="Normal 3 6 2 2 2 3 7" xfId="34168"/>
    <cellStyle name="Normal 4 5 2 2 2 3 7" xfId="34169"/>
    <cellStyle name="Normal 5 5 2 2 2 3 7" xfId="34170"/>
    <cellStyle name="Normal 7 5 2 2 2 3 7" xfId="34171"/>
    <cellStyle name="Normal 2 3 3 2 2 2 3 7" xfId="34172"/>
    <cellStyle name="Normal 3 3 3 2 2 2 3 7" xfId="34173"/>
    <cellStyle name="Normal 4 2 3 2 2 2 3 7" xfId="34174"/>
    <cellStyle name="Normal 5 2 3 2 2 2 3 7" xfId="34175"/>
    <cellStyle name="Normal 7 2 3 2 2 2 3 7" xfId="34176"/>
    <cellStyle name="Normal 2 4 3 2 2 2 3 7" xfId="34177"/>
    <cellStyle name="Normal 3 4 3 2 2 2 3 7" xfId="34178"/>
    <cellStyle name="Normal 4 3 3 2 2 2 3 7" xfId="34179"/>
    <cellStyle name="Normal 5 3 3 2 2 2 3 7" xfId="34180"/>
    <cellStyle name="Normal 7 3 3 2 2 2 3 7" xfId="34181"/>
    <cellStyle name="Normal 28 3 7" xfId="34182"/>
    <cellStyle name="Normal 2 3 7 3 7" xfId="34183"/>
    <cellStyle name="Normal 3 10 3 7" xfId="34184"/>
    <cellStyle name="Normal 4 9 3 7" xfId="34185"/>
    <cellStyle name="Normal 5 9 3 7" xfId="34186"/>
    <cellStyle name="Millares 4 3 7" xfId="34187"/>
    <cellStyle name="Normal 7 2 7 3 7" xfId="34188"/>
    <cellStyle name="Normal 3 3 7 3 7" xfId="34189"/>
    <cellStyle name="Normal 4 2 7 3 7" xfId="34190"/>
    <cellStyle name="Normal 5 2 7 3 7" xfId="34191"/>
    <cellStyle name="Normal 2 4 5 3 3 7" xfId="34192"/>
    <cellStyle name="Normal 3 4 7 3 7" xfId="34193"/>
    <cellStyle name="Normal 4 3 7 3 7" xfId="34194"/>
    <cellStyle name="Normal 5 3 7 3 7" xfId="34195"/>
    <cellStyle name="Normal 7 3 7 3 7" xfId="34196"/>
    <cellStyle name="Normal 2 5 5 3 7" xfId="34197"/>
    <cellStyle name="Normal 3 5 5 3 7" xfId="34198"/>
    <cellStyle name="Normal 4 4 5 3 7" xfId="34199"/>
    <cellStyle name="Normal 5 4 5 3 7" xfId="34200"/>
    <cellStyle name="Normal 7 4 5 3 7" xfId="34201"/>
    <cellStyle name="Normal 2 3 2 5 3 7" xfId="34202"/>
    <cellStyle name="Normal 3 3 2 5 3 7" xfId="34203"/>
    <cellStyle name="Normal 4 2 2 5 3 7" xfId="34204"/>
    <cellStyle name="Normal 5 2 2 5 3 7" xfId="34205"/>
    <cellStyle name="Normal 7 2 2 5 3 7" xfId="34206"/>
    <cellStyle name="Normal 2 4 2 5 3 7" xfId="34207"/>
    <cellStyle name="Normal 3 4 2 5 3 7" xfId="34208"/>
    <cellStyle name="Normal 4 3 2 5 3 7" xfId="34209"/>
    <cellStyle name="Normal 5 3 2 5 3 7" xfId="34210"/>
    <cellStyle name="Normal 7 3 2 5 3 7" xfId="34211"/>
    <cellStyle name="Normal 2 6 5 3 7" xfId="34212"/>
    <cellStyle name="Normal 3 6 5 3 7" xfId="34213"/>
    <cellStyle name="Normal 4 5 5 3 7" xfId="34214"/>
    <cellStyle name="Normal 5 5 5 3 7" xfId="34215"/>
    <cellStyle name="Normal 7 5 5 3 7" xfId="34216"/>
    <cellStyle name="Normal 2 3 3 5 3 7" xfId="34217"/>
    <cellStyle name="Normal 3 3 3 5 3 7" xfId="34218"/>
    <cellStyle name="Normal 4 2 3 5 3 7" xfId="34219"/>
    <cellStyle name="Normal 5 2 3 5 3 7" xfId="34220"/>
    <cellStyle name="Normal 7 2 3 5 3 7" xfId="34221"/>
    <cellStyle name="Normal 2 4 3 5 3 7" xfId="34222"/>
    <cellStyle name="Normal 3 4 3 5 3 7" xfId="34223"/>
    <cellStyle name="Normal 4 3 3 5 3 7" xfId="34224"/>
    <cellStyle name="Normal 5 3 3 5 3 7" xfId="34225"/>
    <cellStyle name="Normal 7 3 3 5 3 7" xfId="34226"/>
    <cellStyle name="Normal 2 7 4 3 7" xfId="34227"/>
    <cellStyle name="Normal 3 7 4 3 7" xfId="34228"/>
    <cellStyle name="Normal 4 6 4 3 7" xfId="34229"/>
    <cellStyle name="Normal 5 6 4 3 7" xfId="34230"/>
    <cellStyle name="Normal 7 6 4 3 7" xfId="34231"/>
    <cellStyle name="Normal 2 3 4 4 3 7" xfId="34232"/>
    <cellStyle name="Normal 3 3 4 4 3 7" xfId="34233"/>
    <cellStyle name="Normal 4 2 4 4 3 7" xfId="34234"/>
    <cellStyle name="Normal 5 2 4 4 3 7" xfId="34235"/>
    <cellStyle name="Normal 7 2 4 4 3 7" xfId="34236"/>
    <cellStyle name="Normal 2 4 4 4 3 7" xfId="34237"/>
    <cellStyle name="Normal 3 4 4 4 3 7" xfId="34238"/>
    <cellStyle name="Normal 4 3 4 4 3 7" xfId="34239"/>
    <cellStyle name="Normal 5 3 4 4 3 7" xfId="34240"/>
    <cellStyle name="Normal 7 3 4 4 3 7" xfId="34241"/>
    <cellStyle name="Normal 2 5 2 4 3 7" xfId="34242"/>
    <cellStyle name="Normal 3 5 2 4 3 7" xfId="34243"/>
    <cellStyle name="Normal 4 4 2 4 3 7" xfId="34244"/>
    <cellStyle name="Normal 5 4 2 4 3 7" xfId="34245"/>
    <cellStyle name="Normal 7 4 2 4 3 7" xfId="34246"/>
    <cellStyle name="Normal 2 3 2 2 4 3 7" xfId="34247"/>
    <cellStyle name="Normal 3 3 2 2 4 3 7" xfId="34248"/>
    <cellStyle name="Normal 4 2 2 2 4 3 7" xfId="34249"/>
    <cellStyle name="Normal 5 2 2 2 4 3 7" xfId="34250"/>
    <cellStyle name="Normal 7 2 2 2 4 3 7" xfId="34251"/>
    <cellStyle name="Normal 2 4 2 2 4 3 7" xfId="34252"/>
    <cellStyle name="Normal 3 4 2 2 4 3 7" xfId="34253"/>
    <cellStyle name="Normal 4 3 2 2 4 3 7" xfId="34254"/>
    <cellStyle name="Normal 5 3 2 2 4 3 7" xfId="34255"/>
    <cellStyle name="Normal 7 3 2 2 4 3 7" xfId="34256"/>
    <cellStyle name="Normal 2 6 2 4 3 7" xfId="34257"/>
    <cellStyle name="Normal 3 6 2 4 3 7" xfId="34258"/>
    <cellStyle name="Normal 4 5 2 4 3 7" xfId="34259"/>
    <cellStyle name="Normal 5 5 2 4 3 7" xfId="34260"/>
    <cellStyle name="Normal 7 5 2 4 3 7" xfId="34261"/>
    <cellStyle name="Normal 2 3 3 2 4 3 7" xfId="34262"/>
    <cellStyle name="Normal 3 3 3 2 4 3 7" xfId="34263"/>
    <cellStyle name="Normal 4 2 3 2 4 3 7" xfId="34264"/>
    <cellStyle name="Normal 5 2 3 2 4 3 7" xfId="34265"/>
    <cellStyle name="Normal 7 2 3 2 4 3 7" xfId="34266"/>
    <cellStyle name="Normal 2 4 3 2 4 3 7" xfId="34267"/>
    <cellStyle name="Normal 3 4 3 2 4 3 7" xfId="34268"/>
    <cellStyle name="Normal 4 3 3 2 4 3 7" xfId="34269"/>
    <cellStyle name="Normal 5 3 3 2 4 3 7" xfId="34270"/>
    <cellStyle name="Normal 7 3 3 2 4 3 7" xfId="34271"/>
    <cellStyle name="Normal 2 8 3 3 7" xfId="34272"/>
    <cellStyle name="Normal 3 8 3 3 7" xfId="34273"/>
    <cellStyle name="Normal 4 7 3 3 7" xfId="34274"/>
    <cellStyle name="Normal 5 7 3 3 7" xfId="34275"/>
    <cellStyle name="Normal 7 7 3 3 7" xfId="34276"/>
    <cellStyle name="Normal 2 3 5 3 3 7" xfId="34277"/>
    <cellStyle name="Normal 3 3 5 3 3 7" xfId="34278"/>
    <cellStyle name="Normal 4 2 5 3 3 7" xfId="34279"/>
    <cellStyle name="Normal 5 2 5 3 3 7" xfId="34280"/>
    <cellStyle name="Normal 7 2 5 3 3 7" xfId="34281"/>
    <cellStyle name="Normal 3 4 5 3 3 7" xfId="34282"/>
    <cellStyle name="Normal 4 3 5 3 3 7" xfId="34283"/>
    <cellStyle name="Normal 5 3 5 3 3 7" xfId="34284"/>
    <cellStyle name="Normal 7 3 5 3 3 7" xfId="34285"/>
    <cellStyle name="Normal 2 5 3 3 3 7" xfId="34286"/>
    <cellStyle name="Normal 3 5 3 3 3 7" xfId="34287"/>
    <cellStyle name="Normal 4 4 3 3 3 7" xfId="34288"/>
    <cellStyle name="Normal 5 4 3 3 3 7" xfId="34289"/>
    <cellStyle name="Normal 7 4 3 3 3 7" xfId="34290"/>
    <cellStyle name="Normal 2 3 2 3 3 3 7" xfId="34291"/>
    <cellStyle name="Normal 3 3 2 3 3 3 7" xfId="34292"/>
    <cellStyle name="Normal 4 2 2 3 3 3 7" xfId="34293"/>
    <cellStyle name="Normal 5 2 2 3 3 3 7" xfId="34294"/>
    <cellStyle name="Normal 7 2 2 3 3 3 7" xfId="34295"/>
    <cellStyle name="Normal 2 4 2 3 3 3 7" xfId="34296"/>
    <cellStyle name="Normal 3 4 2 3 3 3 7" xfId="34297"/>
    <cellStyle name="Normal 4 3 2 3 3 3 7" xfId="34298"/>
    <cellStyle name="Normal 5 3 2 3 3 3 7" xfId="34299"/>
    <cellStyle name="Normal 7 3 2 3 3 3 7" xfId="34300"/>
    <cellStyle name="Normal 2 6 3 3 3 7" xfId="34301"/>
    <cellStyle name="Normal 3 6 3 3 3 7" xfId="34302"/>
    <cellStyle name="Normal 4 5 3 3 3 7" xfId="34303"/>
    <cellStyle name="Normal 5 5 3 3 3 7" xfId="34304"/>
    <cellStyle name="Normal 7 5 3 3 3 7" xfId="34305"/>
    <cellStyle name="Normal 2 3 3 3 3 3 7" xfId="34306"/>
    <cellStyle name="Normal 3 3 3 3 3 3 7" xfId="34307"/>
    <cellStyle name="Normal 4 2 3 3 3 3 7" xfId="34308"/>
    <cellStyle name="Normal 5 2 3 3 3 3 7" xfId="34309"/>
    <cellStyle name="Normal 7 2 3 3 3 3 7" xfId="34310"/>
    <cellStyle name="Normal 2 4 3 3 3 3 7" xfId="34311"/>
    <cellStyle name="Normal 3 4 3 3 3 3 7" xfId="34312"/>
    <cellStyle name="Normal 4 3 3 3 3 3 7" xfId="34313"/>
    <cellStyle name="Normal 5 3 3 3 3 3 7" xfId="34314"/>
    <cellStyle name="Normal 7 3 3 3 3 3 7" xfId="34315"/>
    <cellStyle name="Normal 2 7 2 3 3 7" xfId="34316"/>
    <cellStyle name="Normal 3 7 2 3 3 7" xfId="34317"/>
    <cellStyle name="Normal 4 6 2 3 3 7" xfId="34318"/>
    <cellStyle name="Normal 5 6 2 3 3 7" xfId="34319"/>
    <cellStyle name="Normal 7 6 2 3 3 7" xfId="34320"/>
    <cellStyle name="Normal 2 3 4 2 3 3 7" xfId="34321"/>
    <cellStyle name="Normal 3 3 4 2 3 3 7" xfId="34322"/>
    <cellStyle name="Normal 4 2 4 2 3 3 7" xfId="34323"/>
    <cellStyle name="Normal 5 2 4 2 3 3 7" xfId="34324"/>
    <cellStyle name="Normal 7 2 4 2 3 3 7" xfId="34325"/>
    <cellStyle name="Normal 2 4 4 2 3 3 7" xfId="34326"/>
    <cellStyle name="Normal 3 4 4 2 3 3 7" xfId="34327"/>
    <cellStyle name="Normal 4 3 4 2 3 3 7" xfId="34328"/>
    <cellStyle name="Normal 5 3 4 2 3 3 7" xfId="34329"/>
    <cellStyle name="Normal 7 3 4 2 3 3 7" xfId="34330"/>
    <cellStyle name="Normal 2 5 2 2 3 3 7" xfId="34331"/>
    <cellStyle name="Normal 3 5 2 2 3 3 7" xfId="34332"/>
    <cellStyle name="Normal 4 4 2 2 3 3 7" xfId="34333"/>
    <cellStyle name="Normal 5 4 2 2 3 3 7" xfId="34334"/>
    <cellStyle name="Normal 7 4 2 2 3 3 7" xfId="34335"/>
    <cellStyle name="Normal 2 3 2 2 2 3 3 7" xfId="34336"/>
    <cellStyle name="Normal 3 3 2 2 2 3 3 7" xfId="34337"/>
    <cellStyle name="Normal 4 2 2 2 2 3 3 7" xfId="34338"/>
    <cellStyle name="Normal 5 2 2 2 2 3 3 7" xfId="34339"/>
    <cellStyle name="Normal 7 2 2 2 2 3 3 7" xfId="34340"/>
    <cellStyle name="Normal 2 4 2 2 2 3 3 7" xfId="34341"/>
    <cellStyle name="Normal 3 4 2 2 2 3 3 7" xfId="34342"/>
    <cellStyle name="Normal 4 3 2 2 2 3 3 7" xfId="34343"/>
    <cellStyle name="Normal 5 3 2 2 2 3 3 7" xfId="34344"/>
    <cellStyle name="Normal 7 3 2 2 2 3 3 7" xfId="34345"/>
    <cellStyle name="Normal 2 6 2 2 3 3 7" xfId="34346"/>
    <cellStyle name="Normal 3 6 2 2 3 3 7" xfId="34347"/>
    <cellStyle name="Normal 4 5 2 2 3 3 7" xfId="34348"/>
    <cellStyle name="Normal 5 5 2 2 3 3 7" xfId="34349"/>
    <cellStyle name="Normal 7 5 2 2 3 3 7" xfId="34350"/>
    <cellStyle name="Normal 2 3 3 2 2 3 3 7" xfId="34351"/>
    <cellStyle name="Normal 3 3 3 2 2 3 3 7" xfId="34352"/>
    <cellStyle name="Normal 4 2 3 2 2 3 3 7" xfId="34353"/>
    <cellStyle name="Normal 5 2 3 2 2 3 3 7" xfId="34354"/>
    <cellStyle name="Normal 7 2 3 2 2 3 3 7" xfId="34355"/>
    <cellStyle name="Normal 2 4 3 2 2 3 3 7" xfId="34356"/>
    <cellStyle name="Normal 3 4 3 2 2 3 3 7" xfId="34357"/>
    <cellStyle name="Normal 4 3 3 2 2 3 3 7" xfId="34358"/>
    <cellStyle name="Normal 5 3 3 2 2 3 3 7" xfId="34359"/>
    <cellStyle name="Normal 7 3 3 2 2 3 3 7" xfId="34360"/>
    <cellStyle name="Normal 2 13 6" xfId="34361"/>
    <cellStyle name="Normal 3 13 6" xfId="34362"/>
    <cellStyle name="Normal 4 12 6" xfId="34363"/>
    <cellStyle name="Normal 5 12 6" xfId="34364"/>
    <cellStyle name="Normal 7 12 6" xfId="34365"/>
    <cellStyle name="Normal 2 3 10 6" xfId="34366"/>
    <cellStyle name="Normal 3 3 10 6" xfId="34367"/>
    <cellStyle name="Normal 4 2 10 6" xfId="34368"/>
    <cellStyle name="Normal 5 2 10 6" xfId="34369"/>
    <cellStyle name="Normal 7 2 10 6" xfId="34370"/>
    <cellStyle name="Normal 2 4 10 6" xfId="34371"/>
    <cellStyle name="Normal 3 4 10 6" xfId="34372"/>
    <cellStyle name="Normal 4 3 10 6" xfId="34373"/>
    <cellStyle name="Normal 5 3 10 6" xfId="34374"/>
    <cellStyle name="Normal 7 3 10 6" xfId="34375"/>
    <cellStyle name="Normal 2 5 8 6" xfId="34376"/>
    <cellStyle name="Normal 3 5 8 6" xfId="34377"/>
    <cellStyle name="Normal 4 4 8 6" xfId="34378"/>
    <cellStyle name="Normal 5 4 8 6" xfId="34379"/>
    <cellStyle name="Normal 7 4 8 6" xfId="34380"/>
    <cellStyle name="Normal 2 3 2 8 6" xfId="34381"/>
    <cellStyle name="Normal 3 3 2 8 6" xfId="34382"/>
    <cellStyle name="Normal 4 2 2 8 6" xfId="34383"/>
    <cellStyle name="Normal 5 2 2 8 6" xfId="34384"/>
    <cellStyle name="Normal 7 2 2 8 6" xfId="34385"/>
    <cellStyle name="Normal 2 4 2 8 6" xfId="34386"/>
    <cellStyle name="Normal 3 4 2 8 6" xfId="34387"/>
    <cellStyle name="Normal 4 3 2 8 6" xfId="34388"/>
    <cellStyle name="Normal 5 3 2 8 6" xfId="34389"/>
    <cellStyle name="Normal 7 3 2 8 6" xfId="34390"/>
    <cellStyle name="Normal 2 6 8 6" xfId="34391"/>
    <cellStyle name="Normal 3 6 8 6" xfId="34392"/>
    <cellStyle name="Normal 4 5 8 6" xfId="34393"/>
    <cellStyle name="Normal 5 5 8 6" xfId="34394"/>
    <cellStyle name="Normal 7 5 8 6" xfId="34395"/>
    <cellStyle name="Normal 2 3 3 8 6" xfId="34396"/>
    <cellStyle name="Normal 3 3 3 8 6" xfId="34397"/>
    <cellStyle name="Normal 4 2 3 8 6" xfId="34398"/>
    <cellStyle name="Normal 5 2 3 8 6" xfId="34399"/>
    <cellStyle name="Normal 7 2 3 8 6" xfId="34400"/>
    <cellStyle name="Normal 2 4 3 8 6" xfId="34401"/>
    <cellStyle name="Normal 3 4 3 8 6" xfId="34402"/>
    <cellStyle name="Normal 4 3 3 8 6" xfId="34403"/>
    <cellStyle name="Normal 5 3 3 8 6" xfId="34404"/>
    <cellStyle name="Normal 7 3 3 8 6" xfId="34405"/>
    <cellStyle name="Normal 2 7 7 6" xfId="34406"/>
    <cellStyle name="Normal 3 7 7 6" xfId="34407"/>
    <cellStyle name="Normal 4 6 7 6" xfId="34408"/>
    <cellStyle name="Normal 5 6 7 6" xfId="34409"/>
    <cellStyle name="Normal 7 6 7 6" xfId="34410"/>
    <cellStyle name="Normal 2 3 4 7 6" xfId="34411"/>
    <cellStyle name="Normal 3 3 4 7 6" xfId="34412"/>
    <cellStyle name="Normal 4 2 4 7 6" xfId="34413"/>
    <cellStyle name="Normal 5 2 4 7 6" xfId="34414"/>
    <cellStyle name="Normal 7 2 4 7 6" xfId="34415"/>
    <cellStyle name="Normal 2 4 4 7 6" xfId="34416"/>
    <cellStyle name="Normal 3 4 4 7 6" xfId="34417"/>
    <cellStyle name="Normal 4 3 4 7 6" xfId="34418"/>
    <cellStyle name="Normal 5 3 4 7 6" xfId="34419"/>
    <cellStyle name="Normal 7 3 4 7 6" xfId="34420"/>
    <cellStyle name="Normal 2 5 2 7 6" xfId="34421"/>
    <cellStyle name="Normal 3 5 2 7 6" xfId="34422"/>
    <cellStyle name="Normal 4 4 2 7 6" xfId="34423"/>
    <cellStyle name="Normal 5 4 2 7 6" xfId="34424"/>
    <cellStyle name="Normal 7 4 2 7 6" xfId="34425"/>
    <cellStyle name="Normal 2 3 2 2 7 6" xfId="34426"/>
    <cellStyle name="Normal 3 3 2 2 7 6" xfId="34427"/>
    <cellStyle name="Normal 4 2 2 2 7 6" xfId="34428"/>
    <cellStyle name="Normal 5 2 2 2 7 6" xfId="34429"/>
    <cellStyle name="Normal 7 2 2 2 7 6" xfId="34430"/>
    <cellStyle name="Normal 2 4 2 2 7 6" xfId="34431"/>
    <cellStyle name="Normal 3 4 2 2 7 6" xfId="34432"/>
    <cellStyle name="Normal 4 3 2 2 7 6" xfId="34433"/>
    <cellStyle name="Normal 5 3 2 2 7 6" xfId="34434"/>
    <cellStyle name="Normal 7 3 2 2 7 6" xfId="34435"/>
    <cellStyle name="Normal 2 6 2 7 6" xfId="34436"/>
    <cellStyle name="Normal 3 6 2 7 6" xfId="34437"/>
    <cellStyle name="Normal 4 5 2 7 6" xfId="34438"/>
    <cellStyle name="Normal 5 5 2 7 6" xfId="34439"/>
    <cellStyle name="Normal 7 5 2 7 6" xfId="34440"/>
    <cellStyle name="Normal 2 3 3 2 7 6" xfId="34441"/>
    <cellStyle name="Normal 3 3 3 2 7 6" xfId="34442"/>
    <cellStyle name="Normal 4 2 3 2 7 6" xfId="34443"/>
    <cellStyle name="Normal 5 2 3 2 7 6" xfId="34444"/>
    <cellStyle name="Normal 7 2 3 2 7 6" xfId="34445"/>
    <cellStyle name="Normal 2 4 3 2 7 6" xfId="34446"/>
    <cellStyle name="Normal 3 4 3 2 7 6" xfId="34447"/>
    <cellStyle name="Normal 4 3 3 2 7 6" xfId="34448"/>
    <cellStyle name="Normal 5 3 3 2 7 6" xfId="34449"/>
    <cellStyle name="Normal 7 3 3 2 7 6" xfId="34450"/>
    <cellStyle name="Normal 2 8 6 6" xfId="34451"/>
    <cellStyle name="Normal 3 8 6 6" xfId="34452"/>
    <cellStyle name="Normal 4 7 6 6" xfId="34453"/>
    <cellStyle name="Normal 5 7 6 6" xfId="34454"/>
    <cellStyle name="Normal 7 7 6 6" xfId="34455"/>
    <cellStyle name="Normal 2 3 5 6 6" xfId="34456"/>
    <cellStyle name="Normal 3 3 5 6 6" xfId="34457"/>
    <cellStyle name="Normal 4 2 5 6 6" xfId="34458"/>
    <cellStyle name="Normal 5 2 5 6 6" xfId="34459"/>
    <cellStyle name="Normal 7 2 5 6 6" xfId="34460"/>
    <cellStyle name="Normal 2 4 5 6 6" xfId="34461"/>
    <cellStyle name="Normal 3 4 5 6 6" xfId="34462"/>
    <cellStyle name="Normal 4 3 5 6 6" xfId="34463"/>
    <cellStyle name="Normal 5 3 5 6 6" xfId="34464"/>
    <cellStyle name="Normal 7 3 5 6 6" xfId="34465"/>
    <cellStyle name="Normal 2 5 3 6 6" xfId="34466"/>
    <cellStyle name="Normal 3 5 3 6 6" xfId="34467"/>
    <cellStyle name="Normal 4 4 3 6 6" xfId="34468"/>
    <cellStyle name="Normal 5 4 3 6 6" xfId="34469"/>
    <cellStyle name="Normal 7 4 3 6 6" xfId="34470"/>
    <cellStyle name="Normal 2 3 2 3 6 6" xfId="34471"/>
    <cellStyle name="Normal 3 3 2 3 6 6" xfId="34472"/>
    <cellStyle name="Normal 4 2 2 3 6 6" xfId="34473"/>
    <cellStyle name="Normal 5 2 2 3 6 6" xfId="34474"/>
    <cellStyle name="Normal 7 2 2 3 6 6" xfId="34475"/>
    <cellStyle name="Normal 2 4 2 3 6 6" xfId="34476"/>
    <cellStyle name="Normal 3 4 2 3 6 6" xfId="34477"/>
    <cellStyle name="Normal 4 3 2 3 6 6" xfId="34478"/>
    <cellStyle name="Normal 5 3 2 3 6 6" xfId="34479"/>
    <cellStyle name="Normal 7 3 2 3 6 6" xfId="34480"/>
    <cellStyle name="Normal 2 6 3 6 6" xfId="34481"/>
    <cellStyle name="Normal 3 6 3 6 6" xfId="34482"/>
    <cellStyle name="Normal 4 5 3 6 6" xfId="34483"/>
    <cellStyle name="Normal 5 5 3 6 6" xfId="34484"/>
    <cellStyle name="Normal 7 5 3 6 6" xfId="34485"/>
    <cellStyle name="Normal 2 3 3 3 6 6" xfId="34486"/>
    <cellStyle name="Normal 3 3 3 3 6 6" xfId="34487"/>
    <cellStyle name="Normal 4 2 3 3 6 6" xfId="34488"/>
    <cellStyle name="Normal 5 2 3 3 6 6" xfId="34489"/>
    <cellStyle name="Normal 7 2 3 3 6 6" xfId="34490"/>
    <cellStyle name="Normal 2 4 3 3 6 6" xfId="34491"/>
    <cellStyle name="Normal 3 4 3 3 6 6" xfId="34492"/>
    <cellStyle name="Normal 4 3 3 3 6 6" xfId="34493"/>
    <cellStyle name="Normal 5 3 3 3 6 6" xfId="34494"/>
    <cellStyle name="Normal 7 3 3 3 6 6" xfId="34495"/>
    <cellStyle name="Normal 2 7 2 6 6" xfId="34496"/>
    <cellStyle name="Normal 3 7 2 6 6" xfId="34497"/>
    <cellStyle name="Normal 4 6 2 6 6" xfId="34498"/>
    <cellStyle name="Normal 5 6 2 6 6" xfId="34499"/>
    <cellStyle name="Normal 7 6 2 6 6" xfId="34500"/>
    <cellStyle name="Normal 2 3 4 2 6 6" xfId="34501"/>
    <cellStyle name="Normal 3 3 4 2 6 6" xfId="34502"/>
    <cellStyle name="Normal 4 2 4 2 6 6" xfId="34503"/>
    <cellStyle name="Normal 5 2 4 2 6 6" xfId="34504"/>
    <cellStyle name="Normal 7 2 4 2 6 6" xfId="34505"/>
    <cellStyle name="Normal 2 4 4 2 6 6" xfId="34506"/>
    <cellStyle name="Normal 3 4 4 2 6 6" xfId="34507"/>
    <cellStyle name="Normal 4 3 4 2 6 6" xfId="34508"/>
    <cellStyle name="Normal 5 3 4 2 6 6" xfId="34509"/>
    <cellStyle name="Normal 7 3 4 2 6 6" xfId="34510"/>
    <cellStyle name="Normal 2 5 2 2 6 6" xfId="34511"/>
    <cellStyle name="Normal 3 5 2 2 6 6" xfId="34512"/>
    <cellStyle name="Normal 4 4 2 2 6 6" xfId="34513"/>
    <cellStyle name="Normal 5 4 2 2 6 6" xfId="34514"/>
    <cellStyle name="Normal 7 4 2 2 6 6" xfId="34515"/>
    <cellStyle name="Normal 2 3 2 2 2 6 6" xfId="34516"/>
    <cellStyle name="Normal 3 3 2 2 2 6 6" xfId="34517"/>
    <cellStyle name="Normal 4 2 2 2 2 6 6" xfId="34518"/>
    <cellStyle name="Normal 5 2 2 2 2 6 6" xfId="34519"/>
    <cellStyle name="Normal 7 2 2 2 2 6 6" xfId="34520"/>
    <cellStyle name="Normal 2 4 2 2 2 6 6" xfId="34521"/>
    <cellStyle name="Normal 3 4 2 2 2 6 6" xfId="34522"/>
    <cellStyle name="Normal 4 3 2 2 2 6 6" xfId="34523"/>
    <cellStyle name="Normal 5 3 2 2 2 6 6" xfId="34524"/>
    <cellStyle name="Normal 7 3 2 2 2 6 6" xfId="34525"/>
    <cellStyle name="Normal 2 6 2 2 6 6" xfId="34526"/>
    <cellStyle name="Normal 3 6 2 2 6 6" xfId="34527"/>
    <cellStyle name="Normal 4 5 2 2 6 6" xfId="34528"/>
    <cellStyle name="Normal 5 5 2 2 6 6" xfId="34529"/>
    <cellStyle name="Normal 7 5 2 2 6 6" xfId="34530"/>
    <cellStyle name="Normal 2 3 3 2 2 6 6" xfId="34531"/>
    <cellStyle name="Normal 3 3 3 2 2 6 6" xfId="34532"/>
    <cellStyle name="Normal 4 2 3 2 2 6 6" xfId="34533"/>
    <cellStyle name="Normal 5 2 3 2 2 6 6" xfId="34534"/>
    <cellStyle name="Normal 7 2 3 2 2 6 6" xfId="34535"/>
    <cellStyle name="Normal 2 4 3 2 2 6 6" xfId="34536"/>
    <cellStyle name="Normal 3 4 3 2 2 6 6" xfId="34537"/>
    <cellStyle name="Normal 4 3 3 2 2 6 6" xfId="34538"/>
    <cellStyle name="Normal 5 3 3 2 2 6 6" xfId="34539"/>
    <cellStyle name="Normal 7 3 3 2 2 6 6" xfId="34540"/>
    <cellStyle name="Normal 2 9 4 6" xfId="34541"/>
    <cellStyle name="Normal 3 9 4 6" xfId="34542"/>
    <cellStyle name="Normal 4 8 4 6" xfId="34543"/>
    <cellStyle name="Normal 5 8 4 6" xfId="34544"/>
    <cellStyle name="Normal 7 8 4 6" xfId="34545"/>
    <cellStyle name="Normal 2 3 6 4 6" xfId="34546"/>
    <cellStyle name="Normal 3 3 6 4 6" xfId="34547"/>
    <cellStyle name="Normal 4 2 6 4 6" xfId="34548"/>
    <cellStyle name="Normal 5 2 6 4 6" xfId="34549"/>
    <cellStyle name="Normal 7 2 6 4 6" xfId="34550"/>
    <cellStyle name="Normal 2 4 6 4 6" xfId="34551"/>
    <cellStyle name="Normal 3 4 6 4 6" xfId="34552"/>
    <cellStyle name="Normal 4 3 6 4 6" xfId="34553"/>
    <cellStyle name="Normal 5 3 6 4 6" xfId="34554"/>
    <cellStyle name="Normal 7 3 6 4 6" xfId="34555"/>
    <cellStyle name="Normal 2 5 4 4 6" xfId="34556"/>
    <cellStyle name="Normal 3 5 4 4 6" xfId="34557"/>
    <cellStyle name="Normal 4 4 4 4 6" xfId="34558"/>
    <cellStyle name="Normal 5 4 4 4 6" xfId="34559"/>
    <cellStyle name="Normal 7 4 4 4 6" xfId="34560"/>
    <cellStyle name="Normal 2 3 2 4 4 6" xfId="34561"/>
    <cellStyle name="Normal 3 3 2 4 4 6" xfId="34562"/>
    <cellStyle name="Normal 4 2 2 4 4 6" xfId="34563"/>
    <cellStyle name="Normal 5 2 2 4 4 6" xfId="34564"/>
    <cellStyle name="Normal 7 2 2 4 4 6" xfId="34565"/>
    <cellStyle name="Normal 2 4 2 4 4 6" xfId="34566"/>
    <cellStyle name="Normal 3 4 2 4 4 6" xfId="34567"/>
    <cellStyle name="Normal 4 3 2 4 4 6" xfId="34568"/>
    <cellStyle name="Normal 5 3 2 4 4 6" xfId="34569"/>
    <cellStyle name="Normal 7 3 2 4 4 6" xfId="34570"/>
    <cellStyle name="Normal 2 6 4 4 6" xfId="34571"/>
    <cellStyle name="Normal 3 6 4 4 6" xfId="34572"/>
    <cellStyle name="Normal 4 5 4 4 6" xfId="34573"/>
    <cellStyle name="Normal 5 5 4 4 6" xfId="34574"/>
    <cellStyle name="Normal 7 5 4 4 6" xfId="34575"/>
    <cellStyle name="Normal 2 3 3 4 4 6" xfId="34576"/>
    <cellStyle name="Normal 3 3 3 4 4 6" xfId="34577"/>
    <cellStyle name="Normal 4 2 3 4 4 6" xfId="34578"/>
    <cellStyle name="Normal 5 2 3 4 4 6" xfId="34579"/>
    <cellStyle name="Normal 7 2 3 4 4 6" xfId="34580"/>
    <cellStyle name="Normal 2 4 3 4 4 6" xfId="34581"/>
    <cellStyle name="Normal 3 4 3 4 4 6" xfId="34582"/>
    <cellStyle name="Normal 4 3 3 4 4 6" xfId="34583"/>
    <cellStyle name="Normal 5 3 3 4 4 6" xfId="34584"/>
    <cellStyle name="Normal 7 3 3 4 4 6" xfId="34585"/>
    <cellStyle name="Normal 2 7 3 4 6" xfId="34586"/>
    <cellStyle name="Normal 3 7 3 4 6" xfId="34587"/>
    <cellStyle name="Normal 4 6 3 4 6" xfId="34588"/>
    <cellStyle name="Normal 5 6 3 4 6" xfId="34589"/>
    <cellStyle name="Normal 7 6 3 4 6" xfId="34590"/>
    <cellStyle name="Normal 2 3 4 3 4 6" xfId="34591"/>
    <cellStyle name="Normal 3 3 4 3 4 6" xfId="34592"/>
    <cellStyle name="Normal 4 2 4 3 4 6" xfId="34593"/>
    <cellStyle name="Normal 5 2 4 3 4 6" xfId="34594"/>
    <cellStyle name="Normal 7 2 4 3 4 6" xfId="34595"/>
    <cellStyle name="Normal 2 4 4 3 4 6" xfId="34596"/>
    <cellStyle name="Normal 3 4 4 3 4 6" xfId="34597"/>
    <cellStyle name="Normal 4 3 4 3 4 6" xfId="34598"/>
    <cellStyle name="Normal 5 3 4 3 4 6" xfId="34599"/>
    <cellStyle name="Normal 7 3 4 3 4 6" xfId="34600"/>
    <cellStyle name="Normal 2 5 2 3 4 6" xfId="34601"/>
    <cellStyle name="Normal 3 5 2 3 4 6" xfId="34602"/>
    <cellStyle name="Normal 4 4 2 3 4 6" xfId="34603"/>
    <cellStyle name="Normal 5 4 2 3 4 6" xfId="34604"/>
    <cellStyle name="Normal 7 4 2 3 4 6" xfId="34605"/>
    <cellStyle name="Normal 2 3 2 2 3 4 6" xfId="34606"/>
    <cellStyle name="Normal 3 3 2 2 3 4 6" xfId="34607"/>
    <cellStyle name="Normal 4 2 2 2 3 4 6" xfId="34608"/>
    <cellStyle name="Normal 5 2 2 2 3 4 6" xfId="34609"/>
    <cellStyle name="Normal 7 2 2 2 3 4 6" xfId="34610"/>
    <cellStyle name="Normal 2 4 2 2 3 4 6" xfId="34611"/>
    <cellStyle name="Normal 3 4 2 2 3 4 6" xfId="34612"/>
    <cellStyle name="Normal 4 3 2 2 3 4 6" xfId="34613"/>
    <cellStyle name="Normal 5 3 2 2 3 4 6" xfId="34614"/>
    <cellStyle name="Normal 7 3 2 2 3 4 6" xfId="34615"/>
    <cellStyle name="Normal 2 6 2 3 4 6" xfId="34616"/>
    <cellStyle name="Normal 3 6 2 3 4 6" xfId="34617"/>
    <cellStyle name="Normal 4 5 2 3 4 6" xfId="34618"/>
    <cellStyle name="Normal 5 5 2 3 4 6" xfId="34619"/>
    <cellStyle name="Normal 7 5 2 3 4 6" xfId="34620"/>
    <cellStyle name="Normal 2 3 3 2 3 4 6" xfId="34621"/>
    <cellStyle name="Normal 3 3 3 2 3 4 6" xfId="34622"/>
    <cellStyle name="Normal 4 2 3 2 3 4 6" xfId="34623"/>
    <cellStyle name="Normal 5 2 3 2 3 4 6" xfId="34624"/>
    <cellStyle name="Normal 7 2 3 2 3 4 6" xfId="34625"/>
    <cellStyle name="Normal 2 4 3 2 3 4 6" xfId="34626"/>
    <cellStyle name="Normal 3 4 3 2 3 4 6" xfId="34627"/>
    <cellStyle name="Normal 4 3 3 2 3 4 6" xfId="34628"/>
    <cellStyle name="Normal 5 3 3 2 3 4 6" xfId="34629"/>
    <cellStyle name="Normal 7 3 3 2 3 4 6" xfId="34630"/>
    <cellStyle name="Normal 2 8 2 4 6" xfId="34631"/>
    <cellStyle name="Normal 3 8 2 4 6" xfId="34632"/>
    <cellStyle name="Normal 4 7 2 4 6" xfId="34633"/>
    <cellStyle name="Normal 5 7 2 4 6" xfId="34634"/>
    <cellStyle name="Normal 7 7 2 4 6" xfId="34635"/>
    <cellStyle name="Normal 2 3 5 2 4 6" xfId="34636"/>
    <cellStyle name="Normal 3 3 5 2 4 6" xfId="34637"/>
    <cellStyle name="Normal 4 2 5 2 4 6" xfId="34638"/>
    <cellStyle name="Normal 5 2 5 2 4 6" xfId="34639"/>
    <cellStyle name="Normal 7 2 5 2 4 6" xfId="34640"/>
    <cellStyle name="Normal 2 4 5 2 4 6" xfId="34641"/>
    <cellStyle name="Normal 3 4 5 2 4 6" xfId="34642"/>
    <cellStyle name="Normal 4 3 5 2 4 6" xfId="34643"/>
    <cellStyle name="Normal 5 3 5 2 4 6" xfId="34644"/>
    <cellStyle name="Normal 7 3 5 2 4 6" xfId="34645"/>
    <cellStyle name="Normal 2 5 3 2 4 6" xfId="34646"/>
    <cellStyle name="Normal 3 5 3 2 4 6" xfId="34647"/>
    <cellStyle name="Normal 4 4 3 2 4 6" xfId="34648"/>
    <cellStyle name="Normal 5 4 3 2 4 6" xfId="34649"/>
    <cellStyle name="Normal 7 4 3 2 4 6" xfId="34650"/>
    <cellStyle name="Normal 2 3 2 3 2 4 6" xfId="34651"/>
    <cellStyle name="Normal 3 3 2 3 2 4 6" xfId="34652"/>
    <cellStyle name="Normal 4 2 2 3 2 4 6" xfId="34653"/>
    <cellStyle name="Normal 5 2 2 3 2 4 6" xfId="34654"/>
    <cellStyle name="Normal 7 2 2 3 2 4 6" xfId="34655"/>
    <cellStyle name="Normal 2 4 2 3 2 4 6" xfId="34656"/>
    <cellStyle name="Normal 3 4 2 3 2 4 6" xfId="34657"/>
    <cellStyle name="Normal 4 3 2 3 2 4 6" xfId="34658"/>
    <cellStyle name="Normal 5 3 2 3 2 4 6" xfId="34659"/>
    <cellStyle name="Normal 7 3 2 3 2 4 6" xfId="34660"/>
    <cellStyle name="Normal 2 6 3 2 4 6" xfId="34661"/>
    <cellStyle name="Normal 3 6 3 2 4 6" xfId="34662"/>
    <cellStyle name="Normal 4 5 3 2 4 6" xfId="34663"/>
    <cellStyle name="Normal 5 5 3 2 4 6" xfId="34664"/>
    <cellStyle name="Normal 7 5 3 2 4 6" xfId="34665"/>
    <cellStyle name="Normal 2 3 3 3 2 4 6" xfId="34666"/>
    <cellStyle name="Normal 3 3 3 3 2 4 6" xfId="34667"/>
    <cellStyle name="Normal 4 2 3 3 2 4 6" xfId="34668"/>
    <cellStyle name="Normal 5 2 3 3 2 4 6" xfId="34669"/>
    <cellStyle name="Normal 7 2 3 3 2 4 6" xfId="34670"/>
    <cellStyle name="Normal 2 4 3 3 2 4 6" xfId="34671"/>
    <cellStyle name="Normal 3 4 3 3 2 4 6" xfId="34672"/>
    <cellStyle name="Normal 4 3 3 3 2 4 6" xfId="34673"/>
    <cellStyle name="Normal 5 3 3 3 2 4 6" xfId="34674"/>
    <cellStyle name="Normal 7 3 3 3 2 4 6" xfId="34675"/>
    <cellStyle name="Normal 2 7 2 2 4 6" xfId="34676"/>
    <cellStyle name="Normal 3 7 2 2 4 6" xfId="34677"/>
    <cellStyle name="Normal 4 6 2 2 4 6" xfId="34678"/>
    <cellStyle name="Normal 5 6 2 2 4 6" xfId="34679"/>
    <cellStyle name="Normal 7 6 2 2 4 6" xfId="34680"/>
    <cellStyle name="Normal 2 3 4 2 2 4 6" xfId="34681"/>
    <cellStyle name="Normal 3 3 4 2 2 4 6" xfId="34682"/>
    <cellStyle name="Normal 4 2 4 2 2 4 6" xfId="34683"/>
    <cellStyle name="Normal 5 2 4 2 2 4 6" xfId="34684"/>
    <cellStyle name="Normal 7 2 4 2 2 4 6" xfId="34685"/>
    <cellStyle name="Normal 2 4 4 2 2 4 6" xfId="34686"/>
    <cellStyle name="Normal 3 4 4 2 2 4 6" xfId="34687"/>
    <cellStyle name="Normal 4 3 4 2 2 4 6" xfId="34688"/>
    <cellStyle name="Normal 5 3 4 2 2 4 6" xfId="34689"/>
    <cellStyle name="Normal 7 3 4 2 2 4 6" xfId="34690"/>
    <cellStyle name="Normal 2 5 2 2 2 4 6" xfId="34691"/>
    <cellStyle name="Normal 3 5 2 2 2 4 6" xfId="34692"/>
    <cellStyle name="Normal 4 4 2 2 2 4 6" xfId="34693"/>
    <cellStyle name="Normal 5 4 2 2 2 4 6" xfId="34694"/>
    <cellStyle name="Normal 7 4 2 2 2 4 6" xfId="34695"/>
    <cellStyle name="Normal 2 3 2 2 2 2 4 6" xfId="34696"/>
    <cellStyle name="Normal 3 3 2 2 2 2 4 6" xfId="34697"/>
    <cellStyle name="Normal 4 2 2 2 2 2 4 6" xfId="34698"/>
    <cellStyle name="Normal 5 2 2 2 2 2 4 6" xfId="34699"/>
    <cellStyle name="Normal 7 2 2 2 2 2 4 6" xfId="34700"/>
    <cellStyle name="Normal 2 4 2 2 2 2 4 6" xfId="34701"/>
    <cellStyle name="Normal 3 4 2 2 2 2 4 6" xfId="34702"/>
    <cellStyle name="Normal 4 3 2 2 2 2 4 6" xfId="34703"/>
    <cellStyle name="Normal 5 3 2 2 2 2 4 6" xfId="34704"/>
    <cellStyle name="Normal 7 3 2 2 2 2 4 6" xfId="34705"/>
    <cellStyle name="Normal 2 6 2 2 2 4 6" xfId="34706"/>
    <cellStyle name="Normal 3 6 2 2 2 4 6" xfId="34707"/>
    <cellStyle name="Normal 4 5 2 2 2 4 6" xfId="34708"/>
    <cellStyle name="Normal 5 5 2 2 2 4 6" xfId="34709"/>
    <cellStyle name="Normal 7 5 2 2 2 4 6" xfId="34710"/>
    <cellStyle name="Normal 2 3 3 2 2 2 4 6" xfId="34711"/>
    <cellStyle name="Normal 3 3 3 2 2 2 4 6" xfId="34712"/>
    <cellStyle name="Normal 4 2 3 2 2 2 4 6" xfId="34713"/>
    <cellStyle name="Normal 5 2 3 2 2 2 4 6" xfId="34714"/>
    <cellStyle name="Normal 7 2 3 2 2 2 4 6" xfId="34715"/>
    <cellStyle name="Normal 2 4 3 2 2 2 4 6" xfId="34716"/>
    <cellStyle name="Normal 3 4 3 2 2 2 4 6" xfId="34717"/>
    <cellStyle name="Normal 4 3 3 2 2 2 4 6" xfId="34718"/>
    <cellStyle name="Normal 5 3 3 2 2 2 4 6" xfId="34719"/>
    <cellStyle name="Normal 7 3 3 2 2 2 4 6" xfId="34720"/>
    <cellStyle name="Normal 28 4 6" xfId="34721"/>
    <cellStyle name="Normal 2 3 7 4 6" xfId="34722"/>
    <cellStyle name="Normal 3 10 4 6" xfId="34723"/>
    <cellStyle name="Normal 4 9 4 6" xfId="34724"/>
    <cellStyle name="Normal 5 9 4 6" xfId="34725"/>
    <cellStyle name="Millares 4 4 6" xfId="34726"/>
    <cellStyle name="Normal 7 2 7 4 6" xfId="34727"/>
    <cellStyle name="Normal 3 3 7 4 6" xfId="34728"/>
    <cellStyle name="Normal 4 2 7 4 6" xfId="34729"/>
    <cellStyle name="Normal 5 2 7 4 6" xfId="34730"/>
    <cellStyle name="Normal 2 4 5 3 4 6" xfId="34731"/>
    <cellStyle name="Normal 3 4 7 4 6" xfId="34732"/>
    <cellStyle name="Normal 4 3 7 4 6" xfId="34733"/>
    <cellStyle name="Normal 5 3 7 4 6" xfId="34734"/>
    <cellStyle name="Normal 7 3 7 4 6" xfId="34735"/>
    <cellStyle name="Normal 2 5 5 4 6" xfId="34736"/>
    <cellStyle name="Normal 3 5 5 4 6" xfId="34737"/>
    <cellStyle name="Normal 4 4 5 4 6" xfId="34738"/>
    <cellStyle name="Normal 5 4 5 4 6" xfId="34739"/>
    <cellStyle name="Normal 7 4 5 4 6" xfId="34740"/>
    <cellStyle name="Normal 2 3 2 5 4 6" xfId="34741"/>
    <cellStyle name="Normal 3 3 2 5 4 6" xfId="34742"/>
    <cellStyle name="Normal 4 2 2 5 4 6" xfId="34743"/>
    <cellStyle name="Normal 5 2 2 5 4 6" xfId="34744"/>
    <cellStyle name="Normal 7 2 2 5 4 6" xfId="34745"/>
    <cellStyle name="Normal 2 4 2 5 4 6" xfId="34746"/>
    <cellStyle name="Normal 3 4 2 5 4 6" xfId="34747"/>
    <cellStyle name="Normal 4 3 2 5 4 6" xfId="34748"/>
    <cellStyle name="Normal 5 3 2 5 4 6" xfId="34749"/>
    <cellStyle name="Normal 7 3 2 5 4 6" xfId="34750"/>
    <cellStyle name="Normal 2 6 5 4 6" xfId="34751"/>
    <cellStyle name="Normal 3 6 5 4 6" xfId="34752"/>
    <cellStyle name="Normal 4 5 5 4 6" xfId="34753"/>
    <cellStyle name="Normal 5 5 5 4 6" xfId="34754"/>
    <cellStyle name="Normal 7 5 5 4 6" xfId="34755"/>
    <cellStyle name="Normal 2 3 3 5 4 6" xfId="34756"/>
    <cellStyle name="Normal 3 3 3 5 4 6" xfId="34757"/>
    <cellStyle name="Normal 4 2 3 5 4 6" xfId="34758"/>
    <cellStyle name="Normal 5 2 3 5 4 6" xfId="34759"/>
    <cellStyle name="Normal 7 2 3 5 4 6" xfId="34760"/>
    <cellStyle name="Normal 2 4 3 5 4 6" xfId="34761"/>
    <cellStyle name="Normal 3 4 3 5 4 6" xfId="34762"/>
    <cellStyle name="Normal 4 3 3 5 4 6" xfId="34763"/>
    <cellStyle name="Normal 5 3 3 5 4 6" xfId="34764"/>
    <cellStyle name="Normal 7 3 3 5 4 6" xfId="34765"/>
    <cellStyle name="Normal 2 7 4 4 6" xfId="34766"/>
    <cellStyle name="Normal 3 7 4 4 6" xfId="34767"/>
    <cellStyle name="Normal 4 6 4 4 6" xfId="34768"/>
    <cellStyle name="Normal 5 6 4 4 6" xfId="34769"/>
    <cellStyle name="Normal 7 6 4 4 6" xfId="34770"/>
    <cellStyle name="Normal 2 3 4 4 4 6" xfId="34771"/>
    <cellStyle name="Normal 3 3 4 4 4 6" xfId="34772"/>
    <cellStyle name="Normal 4 2 4 4 4 6" xfId="34773"/>
    <cellStyle name="Normal 5 2 4 4 4 6" xfId="34774"/>
    <cellStyle name="Normal 7 2 4 4 4 6" xfId="34775"/>
    <cellStyle name="Normal 2 4 4 4 4 6" xfId="34776"/>
    <cellStyle name="Normal 3 4 4 4 4 6" xfId="34777"/>
    <cellStyle name="Normal 4 3 4 4 4 6" xfId="34778"/>
    <cellStyle name="Normal 5 3 4 4 4 6" xfId="34779"/>
    <cellStyle name="Normal 7 3 4 4 4 6" xfId="34780"/>
    <cellStyle name="Normal 2 5 2 4 4 6" xfId="34781"/>
    <cellStyle name="Normal 3 5 2 4 4 6" xfId="34782"/>
    <cellStyle name="Normal 4 4 2 4 4 6" xfId="34783"/>
    <cellStyle name="Normal 5 4 2 4 4 6" xfId="34784"/>
    <cellStyle name="Normal 7 4 2 4 4 6" xfId="34785"/>
    <cellStyle name="Normal 2 3 2 2 4 4 6" xfId="34786"/>
    <cellStyle name="Normal 3 3 2 2 4 4 6" xfId="34787"/>
    <cellStyle name="Normal 4 2 2 2 4 4 6" xfId="34788"/>
    <cellStyle name="Normal 5 2 2 2 4 4 6" xfId="34789"/>
    <cellStyle name="Normal 7 2 2 2 4 4 6" xfId="34790"/>
    <cellStyle name="Normal 2 4 2 2 4 4 6" xfId="34791"/>
    <cellStyle name="Normal 3 4 2 2 4 4 6" xfId="34792"/>
    <cellStyle name="Normal 4 3 2 2 4 4 6" xfId="34793"/>
    <cellStyle name="Normal 5 3 2 2 4 4 6" xfId="34794"/>
    <cellStyle name="Normal 7 3 2 2 4 4 6" xfId="34795"/>
    <cellStyle name="Normal 2 6 2 4 4 6" xfId="34796"/>
    <cellStyle name="Normal 3 6 2 4 4 6" xfId="34797"/>
    <cellStyle name="Normal 4 5 2 4 4 6" xfId="34798"/>
    <cellStyle name="Normal 5 5 2 4 4 6" xfId="34799"/>
    <cellStyle name="Normal 7 5 2 4 4 6" xfId="34800"/>
    <cellStyle name="Normal 2 3 3 2 4 4 6" xfId="34801"/>
    <cellStyle name="Normal 3 3 3 2 4 4 6" xfId="34802"/>
    <cellStyle name="Normal 4 2 3 2 4 4 6" xfId="34803"/>
    <cellStyle name="Normal 5 2 3 2 4 4 6" xfId="34804"/>
    <cellStyle name="Normal 7 2 3 2 4 4 6" xfId="34805"/>
    <cellStyle name="Normal 2 4 3 2 4 4 6" xfId="34806"/>
    <cellStyle name="Normal 3 4 3 2 4 4 6" xfId="34807"/>
    <cellStyle name="Normal 4 3 3 2 4 4 6" xfId="34808"/>
    <cellStyle name="Normal 5 3 3 2 4 4 6" xfId="34809"/>
    <cellStyle name="Normal 7 3 3 2 4 4 6" xfId="34810"/>
    <cellStyle name="Normal 2 8 3 4 6" xfId="34811"/>
    <cellStyle name="Normal 3 8 3 4 6" xfId="34812"/>
    <cellStyle name="Normal 4 7 3 4 6" xfId="34813"/>
    <cellStyle name="Normal 5 7 3 4 6" xfId="34814"/>
    <cellStyle name="Normal 7 7 3 4 6" xfId="34815"/>
    <cellStyle name="Normal 2 3 5 3 4 6" xfId="34816"/>
    <cellStyle name="Normal 3 3 5 3 4 6" xfId="34817"/>
    <cellStyle name="Normal 4 2 5 3 4 6" xfId="34818"/>
    <cellStyle name="Normal 5 2 5 3 4 6" xfId="34819"/>
    <cellStyle name="Normal 7 2 5 3 4 6" xfId="34820"/>
    <cellStyle name="Normal 3 4 5 3 4 6" xfId="34821"/>
    <cellStyle name="Normal 4 3 5 3 4 6" xfId="34822"/>
    <cellStyle name="Normal 5 3 5 3 4 6" xfId="34823"/>
    <cellStyle name="Normal 7 3 5 3 4 6" xfId="34824"/>
    <cellStyle name="Normal 2 5 3 3 4 6" xfId="34825"/>
    <cellStyle name="Normal 3 5 3 3 4 6" xfId="34826"/>
    <cellStyle name="Normal 4 4 3 3 4 6" xfId="34827"/>
    <cellStyle name="Normal 5 4 3 3 4 6" xfId="34828"/>
    <cellStyle name="Normal 7 4 3 3 4 6" xfId="34829"/>
    <cellStyle name="Normal 2 3 2 3 3 4 6" xfId="34830"/>
    <cellStyle name="Normal 3 3 2 3 3 4 6" xfId="34831"/>
    <cellStyle name="Normal 4 2 2 3 3 4 6" xfId="34832"/>
    <cellStyle name="Normal 5 2 2 3 3 4 6" xfId="34833"/>
    <cellStyle name="Normal 7 2 2 3 3 4 6" xfId="34834"/>
    <cellStyle name="Normal 2 4 2 3 3 4 6" xfId="34835"/>
    <cellStyle name="Normal 3 4 2 3 3 4 6" xfId="34836"/>
    <cellStyle name="Normal 4 3 2 3 3 4 6" xfId="34837"/>
    <cellStyle name="Normal 5 3 2 3 3 4 6" xfId="34838"/>
    <cellStyle name="Normal 7 3 2 3 3 4 6" xfId="34839"/>
    <cellStyle name="Normal 2 6 3 3 4 6" xfId="34840"/>
    <cellStyle name="Normal 3 6 3 3 4 6" xfId="34841"/>
    <cellStyle name="Normal 4 5 3 3 4 6" xfId="34842"/>
    <cellStyle name="Normal 5 5 3 3 4 6" xfId="34843"/>
    <cellStyle name="Normal 7 5 3 3 4 6" xfId="34844"/>
    <cellStyle name="Normal 2 3 3 3 3 4 6" xfId="34845"/>
    <cellStyle name="Normal 3 3 3 3 3 4 6" xfId="34846"/>
    <cellStyle name="Normal 4 2 3 3 3 4 6" xfId="34847"/>
    <cellStyle name="Normal 5 2 3 3 3 4 6" xfId="34848"/>
    <cellStyle name="Normal 7 2 3 3 3 4 6" xfId="34849"/>
    <cellStyle name="Normal 2 4 3 3 3 4 6" xfId="34850"/>
    <cellStyle name="Normal 3 4 3 3 3 4 6" xfId="34851"/>
    <cellStyle name="Normal 4 3 3 3 3 4 6" xfId="34852"/>
    <cellStyle name="Normal 5 3 3 3 3 4 6" xfId="34853"/>
    <cellStyle name="Normal 7 3 3 3 3 4 6" xfId="34854"/>
    <cellStyle name="Normal 2 7 2 3 4 6" xfId="34855"/>
    <cellStyle name="Normal 3 7 2 3 4 6" xfId="34856"/>
    <cellStyle name="Normal 4 6 2 3 4 6" xfId="34857"/>
    <cellStyle name="Normal 5 6 2 3 4 6" xfId="34858"/>
    <cellStyle name="Normal 7 6 2 3 4 6" xfId="34859"/>
    <cellStyle name="Normal 2 3 4 2 3 4 6" xfId="34860"/>
    <cellStyle name="Normal 3 3 4 2 3 4 6" xfId="34861"/>
    <cellStyle name="Normal 4 2 4 2 3 4 6" xfId="34862"/>
    <cellStyle name="Normal 5 2 4 2 3 4 6" xfId="34863"/>
    <cellStyle name="Normal 7 2 4 2 3 4 6" xfId="34864"/>
    <cellStyle name="Normal 2 4 4 2 3 4 6" xfId="34865"/>
    <cellStyle name="Normal 3 4 4 2 3 4 6" xfId="34866"/>
    <cellStyle name="Normal 4 3 4 2 3 4 6" xfId="34867"/>
    <cellStyle name="Normal 5 3 4 2 3 4 6" xfId="34868"/>
    <cellStyle name="Normal 7 3 4 2 3 4 6" xfId="34869"/>
    <cellStyle name="Normal 2 5 2 2 3 4 6" xfId="34870"/>
    <cellStyle name="Normal 3 5 2 2 3 4 6" xfId="34871"/>
    <cellStyle name="Normal 4 4 2 2 3 4 6" xfId="34872"/>
    <cellStyle name="Normal 5 4 2 2 3 4 6" xfId="34873"/>
    <cellStyle name="Normal 7 4 2 2 3 4 6" xfId="34874"/>
    <cellStyle name="Normal 2 3 2 2 2 3 4 6" xfId="34875"/>
    <cellStyle name="Normal 3 3 2 2 2 3 4 6" xfId="34876"/>
    <cellStyle name="Normal 4 2 2 2 2 3 4 6" xfId="34877"/>
    <cellStyle name="Normal 5 2 2 2 2 3 4 6" xfId="34878"/>
    <cellStyle name="Normal 7 2 2 2 2 3 4 6" xfId="34879"/>
    <cellStyle name="Normal 2 4 2 2 2 3 4 6" xfId="34880"/>
    <cellStyle name="Normal 3 4 2 2 2 3 4 6" xfId="34881"/>
    <cellStyle name="Normal 4 3 2 2 2 3 4 6" xfId="34882"/>
    <cellStyle name="Normal 5 3 2 2 2 3 4 6" xfId="34883"/>
    <cellStyle name="Normal 7 3 2 2 2 3 4 6" xfId="34884"/>
    <cellStyle name="Normal 2 6 2 2 3 4 6" xfId="34885"/>
    <cellStyle name="Normal 3 6 2 2 3 4 6" xfId="34886"/>
    <cellStyle name="Normal 4 5 2 2 3 4 6" xfId="34887"/>
    <cellStyle name="Normal 5 5 2 2 3 4 6" xfId="34888"/>
    <cellStyle name="Normal 7 5 2 2 3 4 6" xfId="34889"/>
    <cellStyle name="Normal 2 3 3 2 2 3 4 6" xfId="34890"/>
    <cellStyle name="Normal 3 3 3 2 2 3 4 6" xfId="34891"/>
    <cellStyle name="Normal 4 2 3 2 2 3 4 6" xfId="34892"/>
    <cellStyle name="Normal 5 2 3 2 2 3 4 6" xfId="34893"/>
    <cellStyle name="Normal 7 2 3 2 2 3 4 6" xfId="34894"/>
    <cellStyle name="Normal 2 4 3 2 2 3 4 6" xfId="34895"/>
    <cellStyle name="Normal 3 4 3 2 2 3 4 6" xfId="34896"/>
    <cellStyle name="Normal 4 3 3 2 2 3 4 6" xfId="34897"/>
    <cellStyle name="Normal 5 3 3 2 2 3 4 6" xfId="34898"/>
    <cellStyle name="Normal 7 3 3 2 2 3 4 6" xfId="34899"/>
    <cellStyle name="Normal 2 11 2 6" xfId="34900"/>
    <cellStyle name="Normal 3 11 2 6" xfId="34901"/>
    <cellStyle name="Normal 4 10 2 6" xfId="34902"/>
    <cellStyle name="Normal 5 10 2 6" xfId="34903"/>
    <cellStyle name="Normal 7 10 2 6" xfId="34904"/>
    <cellStyle name="Normal 2 3 8 2 6" xfId="34905"/>
    <cellStyle name="Normal 3 3 8 2 6" xfId="34906"/>
    <cellStyle name="Normal 4 2 8 2 6" xfId="34907"/>
    <cellStyle name="Normal 5 2 8 2 6" xfId="34908"/>
    <cellStyle name="Normal 7 2 8 2 6" xfId="34909"/>
    <cellStyle name="Normal 2 4 8 2 6" xfId="34910"/>
    <cellStyle name="Normal 3 4 8 2 6" xfId="34911"/>
    <cellStyle name="Normal 4 3 8 2 6" xfId="34912"/>
    <cellStyle name="Normal 5 3 8 2 6" xfId="34913"/>
    <cellStyle name="Normal 7 3 8 2 6" xfId="34914"/>
    <cellStyle name="Normal 2 5 6 2 6" xfId="34915"/>
    <cellStyle name="Normal 3 5 6 2 6" xfId="34916"/>
    <cellStyle name="Normal 4 4 6 2 6" xfId="34917"/>
    <cellStyle name="Normal 5 4 6 2 6" xfId="34918"/>
    <cellStyle name="Normal 7 4 6 2 6" xfId="34919"/>
    <cellStyle name="Normal 2 3 2 6 2 6" xfId="34920"/>
    <cellStyle name="Normal 3 3 2 6 2 6" xfId="34921"/>
    <cellStyle name="Normal 4 2 2 6 2 6" xfId="34922"/>
    <cellStyle name="Normal 5 2 2 6 2 6" xfId="34923"/>
    <cellStyle name="Normal 7 2 2 6 2 6" xfId="34924"/>
    <cellStyle name="Normal 2 4 2 6 2 6" xfId="34925"/>
    <cellStyle name="Normal 3 4 2 6 2 6" xfId="34926"/>
    <cellStyle name="Normal 4 3 2 6 2 6" xfId="34927"/>
    <cellStyle name="Normal 5 3 2 6 2 6" xfId="34928"/>
    <cellStyle name="Normal 7 3 2 6 2 6" xfId="34929"/>
    <cellStyle name="Normal 2 6 6 2 6" xfId="34930"/>
    <cellStyle name="Normal 3 6 6 2 6" xfId="34931"/>
    <cellStyle name="Normal 4 5 6 2 6" xfId="34932"/>
    <cellStyle name="Normal 5 5 6 2 6" xfId="34933"/>
    <cellStyle name="Normal 7 5 6 2 6" xfId="34934"/>
    <cellStyle name="Normal 2 3 3 6 2 6" xfId="34935"/>
    <cellStyle name="Normal 3 3 3 6 2 6" xfId="34936"/>
    <cellStyle name="Normal 4 2 3 6 2 6" xfId="34937"/>
    <cellStyle name="Normal 5 2 3 6 2 6" xfId="34938"/>
    <cellStyle name="Normal 7 2 3 6 2 6" xfId="34939"/>
    <cellStyle name="Normal 2 4 3 6 2 6" xfId="34940"/>
    <cellStyle name="Normal 3 4 3 6 2 6" xfId="34941"/>
    <cellStyle name="Normal 4 3 3 6 2 6" xfId="34942"/>
    <cellStyle name="Normal 5 3 3 6 2 6" xfId="34943"/>
    <cellStyle name="Normal 7 3 3 6 2 6" xfId="34944"/>
    <cellStyle name="Normal 2 7 5 2 6" xfId="34945"/>
    <cellStyle name="Normal 3 7 5 2 6" xfId="34946"/>
    <cellStyle name="Normal 4 6 5 2 6" xfId="34947"/>
    <cellStyle name="Normal 5 6 5 2 6" xfId="34948"/>
    <cellStyle name="Normal 7 6 5 2 6" xfId="34949"/>
    <cellStyle name="Normal 2 3 4 5 2 6" xfId="34950"/>
    <cellStyle name="Normal 3 3 4 5 2 6" xfId="34951"/>
    <cellStyle name="Normal 4 2 4 5 2 6" xfId="34952"/>
    <cellStyle name="Normal 5 2 4 5 2 6" xfId="34953"/>
    <cellStyle name="Normal 7 2 4 5 2 6" xfId="34954"/>
    <cellStyle name="Normal 2 4 4 5 2 6" xfId="34955"/>
    <cellStyle name="Normal 3 4 4 5 2 6" xfId="34956"/>
    <cellStyle name="Normal 4 3 4 5 2 6" xfId="34957"/>
    <cellStyle name="Normal 5 3 4 5 2 6" xfId="34958"/>
    <cellStyle name="Normal 7 3 4 5 2 6" xfId="34959"/>
    <cellStyle name="Normal 2 5 2 5 2 6" xfId="34960"/>
    <cellStyle name="Normal 3 5 2 5 2 6" xfId="34961"/>
    <cellStyle name="Normal 4 4 2 5 2 6" xfId="34962"/>
    <cellStyle name="Normal 5 4 2 5 2 6" xfId="34963"/>
    <cellStyle name="Normal 7 4 2 5 2 6" xfId="34964"/>
    <cellStyle name="Normal 2 3 2 2 5 2 6" xfId="34965"/>
    <cellStyle name="Normal 3 3 2 2 5 2 6" xfId="34966"/>
    <cellStyle name="Normal 4 2 2 2 5 2 6" xfId="34967"/>
    <cellStyle name="Normal 5 2 2 2 5 2 6" xfId="34968"/>
    <cellStyle name="Normal 7 2 2 2 5 2 6" xfId="34969"/>
    <cellStyle name="Normal 2 4 2 2 5 2 6" xfId="34970"/>
    <cellStyle name="Normal 3 4 2 2 5 2 6" xfId="34971"/>
    <cellStyle name="Normal 4 3 2 2 5 2 6" xfId="34972"/>
    <cellStyle name="Normal 5 3 2 2 5 2 6" xfId="34973"/>
    <cellStyle name="Normal 7 3 2 2 5 2 6" xfId="34974"/>
    <cellStyle name="Normal 2 6 2 5 2 6" xfId="34975"/>
    <cellStyle name="Normal 3 6 2 5 2 6" xfId="34976"/>
    <cellStyle name="Normal 4 5 2 5 2 6" xfId="34977"/>
    <cellStyle name="Normal 5 5 2 5 2 6" xfId="34978"/>
    <cellStyle name="Normal 7 5 2 5 2 6" xfId="34979"/>
    <cellStyle name="Normal 2 3 3 2 5 2 6" xfId="34980"/>
    <cellStyle name="Normal 3 3 3 2 5 2 6" xfId="34981"/>
    <cellStyle name="Normal 4 2 3 2 5 2 6" xfId="34982"/>
    <cellStyle name="Normal 5 2 3 2 5 2 6" xfId="34983"/>
    <cellStyle name="Normal 7 2 3 2 5 2 6" xfId="34984"/>
    <cellStyle name="Normal 2 4 3 2 5 2 6" xfId="34985"/>
    <cellStyle name="Normal 3 4 3 2 5 2 6" xfId="34986"/>
    <cellStyle name="Normal 4 3 3 2 5 2 6" xfId="34987"/>
    <cellStyle name="Normal 5 3 3 2 5 2 6" xfId="34988"/>
    <cellStyle name="Normal 7 3 3 2 5 2 6" xfId="34989"/>
    <cellStyle name="Normal 2 8 4 2 6" xfId="34990"/>
    <cellStyle name="Normal 3 8 4 2 6" xfId="34991"/>
    <cellStyle name="Normal 4 7 4 2 6" xfId="34992"/>
    <cellStyle name="Normal 5 7 4 2 6" xfId="34993"/>
    <cellStyle name="Normal 7 7 4 2 6" xfId="34994"/>
    <cellStyle name="Normal 2 3 5 4 2 6" xfId="34995"/>
    <cellStyle name="Normal 3 3 5 4 2 6" xfId="34996"/>
    <cellStyle name="Normal 4 2 5 4 2 6" xfId="34997"/>
    <cellStyle name="Normal 5 2 5 4 2 6" xfId="34998"/>
    <cellStyle name="Normal 7 2 5 4 2 6" xfId="34999"/>
    <cellStyle name="Normal 2 4 5 4 2 6" xfId="35000"/>
    <cellStyle name="Normal 3 4 5 4 2 6" xfId="35001"/>
    <cellStyle name="Normal 4 3 5 4 2 6" xfId="35002"/>
    <cellStyle name="Normal 5 3 5 4 2 6" xfId="35003"/>
    <cellStyle name="Normal 7 3 5 4 2 6" xfId="35004"/>
    <cellStyle name="Normal 2 5 3 4 2 6" xfId="35005"/>
    <cellStyle name="Normal 3 5 3 4 2 6" xfId="35006"/>
    <cellStyle name="Normal 4 4 3 4 2 6" xfId="35007"/>
    <cellStyle name="Normal 5 4 3 4 2 6" xfId="35008"/>
    <cellStyle name="Normal 7 4 3 4 2 6" xfId="35009"/>
    <cellStyle name="Normal 2 3 2 3 4 2 6" xfId="35010"/>
    <cellStyle name="Normal 3 3 2 3 4 2 6" xfId="35011"/>
    <cellStyle name="Normal 4 2 2 3 4 2 6" xfId="35012"/>
    <cellStyle name="Normal 5 2 2 3 4 2 6" xfId="35013"/>
    <cellStyle name="Normal 7 2 2 3 4 2 6" xfId="35014"/>
    <cellStyle name="Normal 2 4 2 3 4 2 6" xfId="35015"/>
    <cellStyle name="Normal 3 4 2 3 4 2 6" xfId="35016"/>
    <cellStyle name="Normal 4 3 2 3 4 2 6" xfId="35017"/>
    <cellStyle name="Normal 5 3 2 3 4 2 6" xfId="35018"/>
    <cellStyle name="Normal 7 3 2 3 4 2 6" xfId="35019"/>
    <cellStyle name="Normal 2 6 3 4 2 6" xfId="35020"/>
    <cellStyle name="Normal 3 6 3 4 2 6" xfId="35021"/>
    <cellStyle name="Normal 4 5 3 4 2 6" xfId="35022"/>
    <cellStyle name="Normal 5 5 3 4 2 6" xfId="35023"/>
    <cellStyle name="Normal 7 5 3 4 2 6" xfId="35024"/>
    <cellStyle name="Normal 2 3 3 3 4 2 6" xfId="35025"/>
    <cellStyle name="Normal 3 3 3 3 4 2 6" xfId="35026"/>
    <cellStyle name="Normal 4 2 3 3 4 2 6" xfId="35027"/>
    <cellStyle name="Normal 5 2 3 3 4 2 6" xfId="35028"/>
    <cellStyle name="Normal 7 2 3 3 4 2 6" xfId="35029"/>
    <cellStyle name="Normal 2 4 3 3 4 2 6" xfId="35030"/>
    <cellStyle name="Normal 3 4 3 3 4 2 6" xfId="35031"/>
    <cellStyle name="Normal 4 3 3 3 4 2 6" xfId="35032"/>
    <cellStyle name="Normal 5 3 3 3 4 2 6" xfId="35033"/>
    <cellStyle name="Normal 7 3 3 3 4 2 6" xfId="35034"/>
    <cellStyle name="Normal 2 7 2 4 2 6" xfId="35035"/>
    <cellStyle name="Normal 3 7 2 4 2 6" xfId="35036"/>
    <cellStyle name="Normal 4 6 2 4 2 6" xfId="35037"/>
    <cellStyle name="Normal 5 6 2 4 2 6" xfId="35038"/>
    <cellStyle name="Normal 7 6 2 4 2 6" xfId="35039"/>
    <cellStyle name="Normal 2 3 4 2 4 2 6" xfId="35040"/>
    <cellStyle name="Normal 3 3 4 2 4 2 6" xfId="35041"/>
    <cellStyle name="Normal 4 2 4 2 4 2 6" xfId="35042"/>
    <cellStyle name="Normal 5 2 4 2 4 2 6" xfId="35043"/>
    <cellStyle name="Normal 7 2 4 2 4 2 6" xfId="35044"/>
    <cellStyle name="Normal 2 4 4 2 4 2 6" xfId="35045"/>
    <cellStyle name="Normal 3 4 4 2 4 2 6" xfId="35046"/>
    <cellStyle name="Normal 4 3 4 2 4 2 6" xfId="35047"/>
    <cellStyle name="Normal 5 3 4 2 4 2 6" xfId="35048"/>
    <cellStyle name="Normal 7 3 4 2 4 2 6" xfId="35049"/>
    <cellStyle name="Normal 2 5 2 2 4 2 6" xfId="35050"/>
    <cellStyle name="Normal 3 5 2 2 4 2 6" xfId="35051"/>
    <cellStyle name="Normal 4 4 2 2 4 2 6" xfId="35052"/>
    <cellStyle name="Normal 5 4 2 2 4 2 6" xfId="35053"/>
    <cellStyle name="Normal 7 4 2 2 4 2 6" xfId="35054"/>
    <cellStyle name="Normal 2 3 2 2 2 4 2 6" xfId="35055"/>
    <cellStyle name="Normal 3 3 2 2 2 4 2 6" xfId="35056"/>
    <cellStyle name="Normal 4 2 2 2 2 4 2 6" xfId="35057"/>
    <cellStyle name="Normal 5 2 2 2 2 4 2 6" xfId="35058"/>
    <cellStyle name="Normal 7 2 2 2 2 4 2 6" xfId="35059"/>
    <cellStyle name="Normal 2 4 2 2 2 4 2 6" xfId="35060"/>
    <cellStyle name="Normal 3 4 2 2 2 4 2 6" xfId="35061"/>
    <cellStyle name="Normal 4 3 2 2 2 4 2 6" xfId="35062"/>
    <cellStyle name="Normal 5 3 2 2 2 4 2 6" xfId="35063"/>
    <cellStyle name="Normal 7 3 2 2 2 4 2 6" xfId="35064"/>
    <cellStyle name="Normal 2 6 2 2 4 2 6" xfId="35065"/>
    <cellStyle name="Normal 3 6 2 2 4 2 6" xfId="35066"/>
    <cellStyle name="Normal 4 5 2 2 4 2 6" xfId="35067"/>
    <cellStyle name="Normal 5 5 2 2 4 2 6" xfId="35068"/>
    <cellStyle name="Normal 7 5 2 2 4 2 6" xfId="35069"/>
    <cellStyle name="Normal 2 3 3 2 2 4 2 6" xfId="35070"/>
    <cellStyle name="Normal 3 3 3 2 2 4 2 6" xfId="35071"/>
    <cellStyle name="Normal 4 2 3 2 2 4 2 6" xfId="35072"/>
    <cellStyle name="Normal 5 2 3 2 2 4 2 6" xfId="35073"/>
    <cellStyle name="Normal 7 2 3 2 2 4 2 6" xfId="35074"/>
    <cellStyle name="Normal 2 4 3 2 2 4 2 6" xfId="35075"/>
    <cellStyle name="Normal 3 4 3 2 2 4 2 6" xfId="35076"/>
    <cellStyle name="Normal 4 3 3 2 2 4 2 6" xfId="35077"/>
    <cellStyle name="Normal 5 3 3 2 2 4 2 6" xfId="35078"/>
    <cellStyle name="Normal 7 3 3 2 2 4 2 6" xfId="35079"/>
    <cellStyle name="Normal 2 9 2 2 6" xfId="35080"/>
    <cellStyle name="Normal 3 9 2 2 6" xfId="35081"/>
    <cellStyle name="Normal 4 8 2 2 6" xfId="35082"/>
    <cellStyle name="Normal 5 8 2 2 6" xfId="35083"/>
    <cellStyle name="Normal 7 8 2 2 6" xfId="35084"/>
    <cellStyle name="Normal 2 3 6 2 2 6" xfId="35085"/>
    <cellStyle name="Normal 3 3 6 2 2 6" xfId="35086"/>
    <cellStyle name="Normal 4 2 6 2 2 6" xfId="35087"/>
    <cellStyle name="Normal 5 2 6 2 2 6" xfId="35088"/>
    <cellStyle name="Normal 7 2 6 2 2 6" xfId="35089"/>
    <cellStyle name="Normal 2 4 6 2 2 6" xfId="35090"/>
    <cellStyle name="Normal 3 4 6 2 2 6" xfId="35091"/>
    <cellStyle name="Normal 4 3 6 2 2 6" xfId="35092"/>
    <cellStyle name="Normal 5 3 6 2 2 6" xfId="35093"/>
    <cellStyle name="Normal 7 3 6 2 2 6" xfId="35094"/>
    <cellStyle name="Normal 2 5 4 2 2 6" xfId="35095"/>
    <cellStyle name="Normal 3 5 4 2 2 6" xfId="35096"/>
    <cellStyle name="Normal 4 4 4 2 2 6" xfId="35097"/>
    <cellStyle name="Normal 5 4 4 2 2 6" xfId="35098"/>
    <cellStyle name="Normal 7 4 4 2 2 6" xfId="35099"/>
    <cellStyle name="Normal 2 3 2 4 2 2 6" xfId="35100"/>
    <cellStyle name="Normal 3 3 2 4 2 2 6" xfId="35101"/>
    <cellStyle name="Normal 4 2 2 4 2 2 6" xfId="35102"/>
    <cellStyle name="Normal 5 2 2 4 2 2 6" xfId="35103"/>
    <cellStyle name="Normal 7 2 2 4 2 2 6" xfId="35104"/>
    <cellStyle name="Normal 2 4 2 4 2 2 6" xfId="35105"/>
    <cellStyle name="Normal 3 4 2 4 2 2 6" xfId="35106"/>
    <cellStyle name="Normal 4 3 2 4 2 2 6" xfId="35107"/>
    <cellStyle name="Normal 5 3 2 4 2 2 6" xfId="35108"/>
    <cellStyle name="Normal 7 3 2 4 2 2 6" xfId="35109"/>
    <cellStyle name="Normal 2 6 4 2 2 6" xfId="35110"/>
    <cellStyle name="Normal 3 6 4 2 2 6" xfId="35111"/>
    <cellStyle name="Normal 4 5 4 2 2 6" xfId="35112"/>
    <cellStyle name="Normal 5 5 4 2 2 6" xfId="35113"/>
    <cellStyle name="Normal 7 5 4 2 2 6" xfId="35114"/>
    <cellStyle name="Normal 2 3 3 4 2 2 6" xfId="35115"/>
    <cellStyle name="Normal 3 3 3 4 2 2 6" xfId="35116"/>
    <cellStyle name="Normal 4 2 3 4 2 2 6" xfId="35117"/>
    <cellStyle name="Normal 5 2 3 4 2 2 6" xfId="35118"/>
    <cellStyle name="Normal 7 2 3 4 2 2 6" xfId="35119"/>
    <cellStyle name="Normal 2 4 3 4 2 2 6" xfId="35120"/>
    <cellStyle name="Normal 3 4 3 4 2 2 6" xfId="35121"/>
    <cellStyle name="Normal 4 3 3 4 2 2 6" xfId="35122"/>
    <cellStyle name="Normal 5 3 3 4 2 2 6" xfId="35123"/>
    <cellStyle name="Normal 7 3 3 4 2 2 6" xfId="35124"/>
    <cellStyle name="Normal 2 7 3 2 2 6" xfId="35125"/>
    <cellStyle name="Normal 3 7 3 2 2 6" xfId="35126"/>
    <cellStyle name="Normal 4 6 3 2 2 6" xfId="35127"/>
    <cellStyle name="Normal 5 6 3 2 2 6" xfId="35128"/>
    <cellStyle name="Normal 7 6 3 2 2 6" xfId="35129"/>
    <cellStyle name="Normal 2 3 4 3 2 2 6" xfId="35130"/>
    <cellStyle name="Normal 3 3 4 3 2 2 6" xfId="35131"/>
    <cellStyle name="Normal 4 2 4 3 2 2 6" xfId="35132"/>
    <cellStyle name="Normal 5 2 4 3 2 2 6" xfId="35133"/>
    <cellStyle name="Normal 7 2 4 3 2 2 6" xfId="35134"/>
    <cellStyle name="Normal 2 4 4 3 2 2 6" xfId="35135"/>
    <cellStyle name="Normal 3 4 4 3 2 2 6" xfId="35136"/>
    <cellStyle name="Normal 4 3 4 3 2 2 6" xfId="35137"/>
    <cellStyle name="Normal 5 3 4 3 2 2 6" xfId="35138"/>
    <cellStyle name="Normal 7 3 4 3 2 2 6" xfId="35139"/>
    <cellStyle name="Normal 2 5 2 3 2 2 6" xfId="35140"/>
    <cellStyle name="Normal 3 5 2 3 2 2 6" xfId="35141"/>
    <cellStyle name="Normal 4 4 2 3 2 2 6" xfId="35142"/>
    <cellStyle name="Normal 5 4 2 3 2 2 6" xfId="35143"/>
    <cellStyle name="Normal 7 4 2 3 2 2 6" xfId="35144"/>
    <cellStyle name="Normal 2 3 2 2 3 2 2 6" xfId="35145"/>
    <cellStyle name="Normal 3 3 2 2 3 2 2 6" xfId="35146"/>
    <cellStyle name="Normal 4 2 2 2 3 2 2 6" xfId="35147"/>
    <cellStyle name="Normal 5 2 2 2 3 2 2 6" xfId="35148"/>
    <cellStyle name="Normal 7 2 2 2 3 2 2 6" xfId="35149"/>
    <cellStyle name="Normal 2 4 2 2 3 2 2 6" xfId="35150"/>
    <cellStyle name="Normal 3 4 2 2 3 2 2 6" xfId="35151"/>
    <cellStyle name="Normal 4 3 2 2 3 2 2 6" xfId="35152"/>
    <cellStyle name="Normal 5 3 2 2 3 2 2 6" xfId="35153"/>
    <cellStyle name="Normal 7 3 2 2 3 2 2 6" xfId="35154"/>
    <cellStyle name="Normal 2 6 2 3 2 2 6" xfId="35155"/>
    <cellStyle name="Normal 3 6 2 3 2 2 6" xfId="35156"/>
    <cellStyle name="Normal 4 5 2 3 2 2 6" xfId="35157"/>
    <cellStyle name="Normal 5 5 2 3 2 2 6" xfId="35158"/>
    <cellStyle name="Normal 7 5 2 3 2 2 6" xfId="35159"/>
    <cellStyle name="Normal 2 3 3 2 3 2 2 6" xfId="35160"/>
    <cellStyle name="Normal 3 3 3 2 3 2 2 6" xfId="35161"/>
    <cellStyle name="Normal 4 2 3 2 3 2 2 6" xfId="35162"/>
    <cellStyle name="Normal 5 2 3 2 3 2 2 6" xfId="35163"/>
    <cellStyle name="Normal 7 2 3 2 3 2 2 6" xfId="35164"/>
    <cellStyle name="Normal 2 4 3 2 3 2 2 6" xfId="35165"/>
    <cellStyle name="Normal 3 4 3 2 3 2 2 6" xfId="35166"/>
    <cellStyle name="Normal 4 3 3 2 3 2 2 6" xfId="35167"/>
    <cellStyle name="Normal 5 3 3 2 3 2 2 6" xfId="35168"/>
    <cellStyle name="Normal 7 3 3 2 3 2 2 6" xfId="35169"/>
    <cellStyle name="Normal 2 8 2 2 2 6" xfId="35170"/>
    <cellStyle name="Normal 3 8 2 2 2 6" xfId="35171"/>
    <cellStyle name="Normal 4 7 2 2 2 6" xfId="35172"/>
    <cellStyle name="Normal 5 7 2 2 2 6" xfId="35173"/>
    <cellStyle name="Normal 7 7 2 2 2 6" xfId="35174"/>
    <cellStyle name="Normal 2 3 5 2 2 2 6" xfId="35175"/>
    <cellStyle name="Normal 3 3 5 2 2 2 6" xfId="35176"/>
    <cellStyle name="Normal 4 2 5 2 2 2 6" xfId="35177"/>
    <cellStyle name="Normal 5 2 5 2 2 2 6" xfId="35178"/>
    <cellStyle name="Normal 7 2 5 2 2 2 6" xfId="35179"/>
    <cellStyle name="Normal 2 4 5 2 2 2 6" xfId="35180"/>
    <cellStyle name="Normal 3 4 5 2 2 2 6" xfId="35181"/>
    <cellStyle name="Normal 4 3 5 2 2 2 6" xfId="35182"/>
    <cellStyle name="Normal 5 3 5 2 2 2 6" xfId="35183"/>
    <cellStyle name="Normal 7 3 5 2 2 2 6" xfId="35184"/>
    <cellStyle name="Normal 2 5 3 2 2 2 6" xfId="35185"/>
    <cellStyle name="Normal 3 5 3 2 2 2 6" xfId="35186"/>
    <cellStyle name="Normal 4 4 3 2 2 2 6" xfId="35187"/>
    <cellStyle name="Normal 5 4 3 2 2 2 6" xfId="35188"/>
    <cellStyle name="Normal 7 4 3 2 2 2 6" xfId="35189"/>
    <cellStyle name="Normal 2 3 2 3 2 2 2 6" xfId="35190"/>
    <cellStyle name="Normal 3 3 2 3 2 2 2 6" xfId="35191"/>
    <cellStyle name="Normal 4 2 2 3 2 2 2 6" xfId="35192"/>
    <cellStyle name="Normal 5 2 2 3 2 2 2 6" xfId="35193"/>
    <cellStyle name="Normal 7 2 2 3 2 2 2 6" xfId="35194"/>
    <cellStyle name="Normal 2 4 2 3 2 2 2 6" xfId="35195"/>
    <cellStyle name="Normal 3 4 2 3 2 2 2 6" xfId="35196"/>
    <cellStyle name="Normal 4 3 2 3 2 2 2 6" xfId="35197"/>
    <cellStyle name="Normal 5 3 2 3 2 2 2 6" xfId="35198"/>
    <cellStyle name="Normal 7 3 2 3 2 2 2 6" xfId="35199"/>
    <cellStyle name="Normal 2 6 3 2 2 2 6" xfId="35200"/>
    <cellStyle name="Normal 3 6 3 2 2 2 6" xfId="35201"/>
    <cellStyle name="Normal 4 5 3 2 2 2 6" xfId="35202"/>
    <cellStyle name="Normal 5 5 3 2 2 2 6" xfId="35203"/>
    <cellStyle name="Normal 7 5 3 2 2 2 6" xfId="35204"/>
    <cellStyle name="Normal 2 3 3 3 2 2 2 6" xfId="35205"/>
    <cellStyle name="Normal 3 3 3 3 2 2 2 6" xfId="35206"/>
    <cellStyle name="Normal 4 2 3 3 2 2 2 6" xfId="35207"/>
    <cellStyle name="Normal 5 2 3 3 2 2 2 6" xfId="35208"/>
    <cellStyle name="Normal 7 2 3 3 2 2 2 6" xfId="35209"/>
    <cellStyle name="Normal 2 4 3 3 2 2 2 6" xfId="35210"/>
    <cellStyle name="Normal 3 4 3 3 2 2 2 6" xfId="35211"/>
    <cellStyle name="Normal 4 3 3 3 2 2 2 6" xfId="35212"/>
    <cellStyle name="Normal 5 3 3 3 2 2 2 6" xfId="35213"/>
    <cellStyle name="Normal 7 3 3 3 2 2 2 6" xfId="35214"/>
    <cellStyle name="Normal 2 7 2 2 2 2 6" xfId="35215"/>
    <cellStyle name="Normal 3 7 2 2 2 2 6" xfId="35216"/>
    <cellStyle name="Normal 4 6 2 2 2 2 6" xfId="35217"/>
    <cellStyle name="Normal 5 6 2 2 2 2 6" xfId="35218"/>
    <cellStyle name="Normal 7 6 2 2 2 2 6" xfId="35219"/>
    <cellStyle name="Normal 2 3 4 2 2 2 2 6" xfId="35220"/>
    <cellStyle name="Normal 3 3 4 2 2 2 2 6" xfId="35221"/>
    <cellStyle name="Normal 4 2 4 2 2 2 2 6" xfId="35222"/>
    <cellStyle name="Normal 5 2 4 2 2 2 2 6" xfId="35223"/>
    <cellStyle name="Normal 7 2 4 2 2 2 2 6" xfId="35224"/>
    <cellStyle name="Normal 2 4 4 2 2 2 2 6" xfId="35225"/>
    <cellStyle name="Normal 3 4 4 2 2 2 2 6" xfId="35226"/>
    <cellStyle name="Normal 4 3 4 2 2 2 2 6" xfId="35227"/>
    <cellStyle name="Normal 5 3 4 2 2 2 2 6" xfId="35228"/>
    <cellStyle name="Normal 7 3 4 2 2 2 2 6" xfId="35229"/>
    <cellStyle name="Normal 2 5 2 2 2 2 2 6" xfId="35230"/>
    <cellStyle name="Normal 3 5 2 2 2 2 2 6" xfId="35231"/>
    <cellStyle name="Normal 4 4 2 2 2 2 2 6" xfId="35232"/>
    <cellStyle name="Normal 5 4 2 2 2 2 2 6" xfId="35233"/>
    <cellStyle name="Normal 7 4 2 2 2 2 2 6" xfId="35234"/>
    <cellStyle name="Normal 2 3 2 2 2 2 2 2 6" xfId="35235"/>
    <cellStyle name="Normal 3 3 2 2 2 2 2 2 6" xfId="35236"/>
    <cellStyle name="Normal 4 2 2 2 2 2 2 2 6" xfId="35237"/>
    <cellStyle name="Normal 5 2 2 2 2 2 2 2 6" xfId="35238"/>
    <cellStyle name="Normal 7 2 2 2 2 2 2 2 6" xfId="35239"/>
    <cellStyle name="Normal 2 4 2 2 2 2 2 2 6" xfId="35240"/>
    <cellStyle name="Normal 3 4 2 2 2 2 2 2 6" xfId="35241"/>
    <cellStyle name="Normal 4 3 2 2 2 2 2 2 6" xfId="35242"/>
    <cellStyle name="Normal 5 3 2 2 2 2 2 2 6" xfId="35243"/>
    <cellStyle name="Normal 7 3 2 2 2 2 2 2 6" xfId="35244"/>
    <cellStyle name="Normal 2 6 2 2 2 2 2 6" xfId="35245"/>
    <cellStyle name="Normal 3 6 2 2 2 2 2 6" xfId="35246"/>
    <cellStyle name="Normal 4 5 2 2 2 2 2 6" xfId="35247"/>
    <cellStyle name="Normal 5 5 2 2 2 2 2 6" xfId="35248"/>
    <cellStyle name="Normal 7 5 2 2 2 2 2 6" xfId="35249"/>
    <cellStyle name="Normal 2 3 3 2 2 2 2 2 6" xfId="35250"/>
    <cellStyle name="Normal 3 3 3 2 2 2 2 2 6" xfId="35251"/>
    <cellStyle name="Normal 4 2 3 2 2 2 2 2 6" xfId="35252"/>
    <cellStyle name="Normal 5 2 3 2 2 2 2 2 6" xfId="35253"/>
    <cellStyle name="Normal 7 2 3 2 2 2 2 2 6" xfId="35254"/>
    <cellStyle name="Normal 2 4 3 2 2 2 2 2 6" xfId="35255"/>
    <cellStyle name="Normal 3 4 3 2 2 2 2 2 6" xfId="35256"/>
    <cellStyle name="Normal 4 3 3 2 2 2 2 2 6" xfId="35257"/>
    <cellStyle name="Normal 5 3 3 2 2 2 2 2 6" xfId="35258"/>
    <cellStyle name="Normal 7 3 3 2 2 2 2 2 6" xfId="35259"/>
    <cellStyle name="Normal 28 2 2 6" xfId="35260"/>
    <cellStyle name="Normal 2 3 7 2 2 6" xfId="35261"/>
    <cellStyle name="Normal 3 10 2 2 6" xfId="35262"/>
    <cellStyle name="Normal 4 9 2 2 6" xfId="35263"/>
    <cellStyle name="Normal 5 9 2 2 6" xfId="35264"/>
    <cellStyle name="Millares 4 2 2 6" xfId="35265"/>
    <cellStyle name="Normal 7 2 7 2 2 6" xfId="35266"/>
    <cellStyle name="Normal 3 3 7 2 2 6" xfId="35267"/>
    <cellStyle name="Normal 4 2 7 2 2 6" xfId="35268"/>
    <cellStyle name="Normal 5 2 7 2 2 6" xfId="35269"/>
    <cellStyle name="Normal 2 4 5 3 2 2 6" xfId="35270"/>
    <cellStyle name="Normal 3 4 7 2 2 6" xfId="35271"/>
    <cellStyle name="Normal 4 3 7 2 2 6" xfId="35272"/>
    <cellStyle name="Normal 5 3 7 2 2 6" xfId="35273"/>
    <cellStyle name="Normal 7 3 7 2 2 6" xfId="35274"/>
    <cellStyle name="Normal 2 5 5 2 2 6" xfId="35275"/>
    <cellStyle name="Normal 3 5 5 2 2 6" xfId="35276"/>
    <cellStyle name="Normal 4 4 5 2 2 6" xfId="35277"/>
    <cellStyle name="Normal 5 4 5 2 2 6" xfId="35278"/>
    <cellStyle name="Normal 7 4 5 2 2 6" xfId="35279"/>
    <cellStyle name="Normal 2 3 2 5 2 2 6" xfId="35280"/>
    <cellStyle name="Normal 3 3 2 5 2 2 6" xfId="35281"/>
    <cellStyle name="Normal 4 2 2 5 2 2 6" xfId="35282"/>
    <cellStyle name="Normal 5 2 2 5 2 2 6" xfId="35283"/>
    <cellStyle name="Normal 7 2 2 5 2 2 6" xfId="35284"/>
    <cellStyle name="Normal 2 4 2 5 2 2 6" xfId="35285"/>
    <cellStyle name="Normal 3 4 2 5 2 2 6" xfId="35286"/>
    <cellStyle name="Normal 4 3 2 5 2 2 6" xfId="35287"/>
    <cellStyle name="Normal 5 3 2 5 2 2 6" xfId="35288"/>
    <cellStyle name="Normal 7 3 2 5 2 2 6" xfId="35289"/>
    <cellStyle name="Normal 2 6 5 2 2 6" xfId="35290"/>
    <cellStyle name="Normal 3 6 5 2 2 6" xfId="35291"/>
    <cellStyle name="Normal 4 5 5 2 2 6" xfId="35292"/>
    <cellStyle name="Normal 5 5 5 2 2 6" xfId="35293"/>
    <cellStyle name="Normal 7 5 5 2 2 6" xfId="35294"/>
    <cellStyle name="Normal 2 3 3 5 2 2 6" xfId="35295"/>
    <cellStyle name="Normal 3 3 3 5 2 2 6" xfId="35296"/>
    <cellStyle name="Normal 4 2 3 5 2 2 6" xfId="35297"/>
    <cellStyle name="Normal 5 2 3 5 2 2 6" xfId="35298"/>
    <cellStyle name="Normal 7 2 3 5 2 2 6" xfId="35299"/>
    <cellStyle name="Normal 2 4 3 5 2 2 6" xfId="35300"/>
    <cellStyle name="Normal 3 4 3 5 2 2 6" xfId="35301"/>
    <cellStyle name="Normal 4 3 3 5 2 2 6" xfId="35302"/>
    <cellStyle name="Normal 5 3 3 5 2 2 6" xfId="35303"/>
    <cellStyle name="Normal 7 3 3 5 2 2 6" xfId="35304"/>
    <cellStyle name="Normal 2 7 4 2 2 6" xfId="35305"/>
    <cellStyle name="Normal 3 7 4 2 2 6" xfId="35306"/>
    <cellStyle name="Normal 4 6 4 2 2 6" xfId="35307"/>
    <cellStyle name="Normal 5 6 4 2 2 6" xfId="35308"/>
    <cellStyle name="Normal 7 6 4 2 2 6" xfId="35309"/>
    <cellStyle name="Normal 2 3 4 4 2 2 6" xfId="35310"/>
    <cellStyle name="Normal 3 3 4 4 2 2 6" xfId="35311"/>
    <cellStyle name="Normal 4 2 4 4 2 2 6" xfId="35312"/>
    <cellStyle name="Normal 5 2 4 4 2 2 6" xfId="35313"/>
    <cellStyle name="Normal 7 2 4 4 2 2 6" xfId="35314"/>
    <cellStyle name="Normal 2 4 4 4 2 2 6" xfId="35315"/>
    <cellStyle name="Normal 3 4 4 4 2 2 6" xfId="35316"/>
    <cellStyle name="Normal 4 3 4 4 2 2 6" xfId="35317"/>
    <cellStyle name="Normal 5 3 4 4 2 2 6" xfId="35318"/>
    <cellStyle name="Normal 7 3 4 4 2 2 6" xfId="35319"/>
    <cellStyle name="Normal 2 5 2 4 2 2 6" xfId="35320"/>
    <cellStyle name="Normal 3 5 2 4 2 2 6" xfId="35321"/>
    <cellStyle name="Normal 4 4 2 4 2 2 6" xfId="35322"/>
    <cellStyle name="Normal 5 4 2 4 2 2 6" xfId="35323"/>
    <cellStyle name="Normal 7 4 2 4 2 2 6" xfId="35324"/>
    <cellStyle name="Normal 2 3 2 2 4 2 2 6" xfId="35325"/>
    <cellStyle name="Normal 3 3 2 2 4 2 2 6" xfId="35326"/>
    <cellStyle name="Normal 4 2 2 2 4 2 2 6" xfId="35327"/>
    <cellStyle name="Normal 5 2 2 2 4 2 2 6" xfId="35328"/>
    <cellStyle name="Normal 7 2 2 2 4 2 2 6" xfId="35329"/>
    <cellStyle name="Normal 2 4 2 2 4 2 2 6" xfId="35330"/>
    <cellStyle name="Normal 3 4 2 2 4 2 2 6" xfId="35331"/>
    <cellStyle name="Normal 4 3 2 2 4 2 2 6" xfId="35332"/>
    <cellStyle name="Normal 5 3 2 2 4 2 2 6" xfId="35333"/>
    <cellStyle name="Normal 7 3 2 2 4 2 2 6" xfId="35334"/>
    <cellStyle name="Normal 2 6 2 4 2 2 6" xfId="35335"/>
    <cellStyle name="Normal 3 6 2 4 2 2 6" xfId="35336"/>
    <cellStyle name="Normal 4 5 2 4 2 2 6" xfId="35337"/>
    <cellStyle name="Normal 5 5 2 4 2 2 6" xfId="35338"/>
    <cellStyle name="Normal 7 5 2 4 2 2 6" xfId="35339"/>
    <cellStyle name="Normal 2 3 3 2 4 2 2 6" xfId="35340"/>
    <cellStyle name="Normal 3 3 3 2 4 2 2 6" xfId="35341"/>
    <cellStyle name="Normal 4 2 3 2 4 2 2 6" xfId="35342"/>
    <cellStyle name="Normal 5 2 3 2 4 2 2 6" xfId="35343"/>
    <cellStyle name="Normal 7 2 3 2 4 2 2 6" xfId="35344"/>
    <cellStyle name="Normal 2 4 3 2 4 2 2 6" xfId="35345"/>
    <cellStyle name="Normal 3 4 3 2 4 2 2 6" xfId="35346"/>
    <cellStyle name="Normal 4 3 3 2 4 2 2 6" xfId="35347"/>
    <cellStyle name="Normal 5 3 3 2 4 2 2 6" xfId="35348"/>
    <cellStyle name="Normal 7 3 3 2 4 2 2 6" xfId="35349"/>
    <cellStyle name="Normal 2 8 3 2 2 6" xfId="35350"/>
    <cellStyle name="Normal 3 8 3 2 2 6" xfId="35351"/>
    <cellStyle name="Normal 4 7 3 2 2 6" xfId="35352"/>
    <cellStyle name="Normal 5 7 3 2 2 6" xfId="35353"/>
    <cellStyle name="Normal 7 7 3 2 2 6" xfId="35354"/>
    <cellStyle name="Normal 2 3 5 3 2 2 6" xfId="35355"/>
    <cellStyle name="Normal 3 3 5 3 2 2 6" xfId="35356"/>
    <cellStyle name="Normal 4 2 5 3 2 2 6" xfId="35357"/>
    <cellStyle name="Normal 5 2 5 3 2 2 6" xfId="35358"/>
    <cellStyle name="Normal 7 2 5 3 2 2 6" xfId="35359"/>
    <cellStyle name="Normal 3 4 5 3 2 2 6" xfId="35360"/>
    <cellStyle name="Normal 4 3 5 3 2 2 6" xfId="35361"/>
    <cellStyle name="Normal 5 3 5 3 2 2 6" xfId="35362"/>
    <cellStyle name="Normal 7 3 5 3 2 2 6" xfId="35363"/>
    <cellStyle name="Normal 2 5 3 3 2 2 6" xfId="35364"/>
    <cellStyle name="Normal 3 5 3 3 2 2 6" xfId="35365"/>
    <cellStyle name="Normal 4 4 3 3 2 2 6" xfId="35366"/>
    <cellStyle name="Normal 5 4 3 3 2 2 6" xfId="35367"/>
    <cellStyle name="Normal 7 4 3 3 2 2 6" xfId="35368"/>
    <cellStyle name="Normal 2 3 2 3 3 2 2 6" xfId="35369"/>
    <cellStyle name="Normal 3 3 2 3 3 2 2 6" xfId="35370"/>
    <cellStyle name="Normal 4 2 2 3 3 2 2 6" xfId="35371"/>
    <cellStyle name="Normal 5 2 2 3 3 2 2 6" xfId="35372"/>
    <cellStyle name="Normal 7 2 2 3 3 2 2 6" xfId="35373"/>
    <cellStyle name="Normal 2 4 2 3 3 2 2 6" xfId="35374"/>
    <cellStyle name="Normal 3 4 2 3 3 2 2 6" xfId="35375"/>
    <cellStyle name="Normal 4 3 2 3 3 2 2 6" xfId="35376"/>
    <cellStyle name="Normal 5 3 2 3 3 2 2 6" xfId="35377"/>
    <cellStyle name="Normal 7 3 2 3 3 2 2 6" xfId="35378"/>
    <cellStyle name="Normal 2 6 3 3 2 2 6" xfId="35379"/>
    <cellStyle name="Normal 3 6 3 3 2 2 6" xfId="35380"/>
    <cellStyle name="Normal 4 5 3 3 2 2 6" xfId="35381"/>
    <cellStyle name="Normal 5 5 3 3 2 2 6" xfId="35382"/>
    <cellStyle name="Normal 7 5 3 3 2 2 6" xfId="35383"/>
    <cellStyle name="Normal 2 3 3 3 3 2 2 6" xfId="35384"/>
    <cellStyle name="Normal 3 3 3 3 3 2 2 6" xfId="35385"/>
    <cellStyle name="Normal 4 2 3 3 3 2 2 6" xfId="35386"/>
    <cellStyle name="Normal 5 2 3 3 3 2 2 6" xfId="35387"/>
    <cellStyle name="Normal 7 2 3 3 3 2 2 6" xfId="35388"/>
    <cellStyle name="Normal 2 4 3 3 3 2 2 6" xfId="35389"/>
    <cellStyle name="Normal 3 4 3 3 3 2 2 6" xfId="35390"/>
    <cellStyle name="Normal 4 3 3 3 3 2 2 6" xfId="35391"/>
    <cellStyle name="Normal 5 3 3 3 3 2 2 6" xfId="35392"/>
    <cellStyle name="Normal 7 3 3 3 3 2 2 6" xfId="35393"/>
    <cellStyle name="Normal 2 7 2 3 2 2 6" xfId="35394"/>
    <cellStyle name="Normal 3 7 2 3 2 2 6" xfId="35395"/>
    <cellStyle name="Normal 4 6 2 3 2 2 6" xfId="35396"/>
    <cellStyle name="Normal 5 6 2 3 2 2 6" xfId="35397"/>
    <cellStyle name="Normal 7 6 2 3 2 2 6" xfId="35398"/>
    <cellStyle name="Normal 2 3 4 2 3 2 2 6" xfId="35399"/>
    <cellStyle name="Normal 3 3 4 2 3 2 2 6" xfId="35400"/>
    <cellStyle name="Normal 4 2 4 2 3 2 2 6" xfId="35401"/>
    <cellStyle name="Normal 5 2 4 2 3 2 2 6" xfId="35402"/>
    <cellStyle name="Normal 7 2 4 2 3 2 2 6" xfId="35403"/>
    <cellStyle name="Normal 2 4 4 2 3 2 2 6" xfId="35404"/>
    <cellStyle name="Normal 3 4 4 2 3 2 2 6" xfId="35405"/>
    <cellStyle name="Normal 4 3 4 2 3 2 2 6" xfId="35406"/>
    <cellStyle name="Normal 5 3 4 2 3 2 2 6" xfId="35407"/>
    <cellStyle name="Normal 7 3 4 2 3 2 2 6" xfId="35408"/>
    <cellStyle name="Normal 2 5 2 2 3 2 2 6" xfId="35409"/>
    <cellStyle name="Normal 3 5 2 2 3 2 2 6" xfId="35410"/>
    <cellStyle name="Normal 4 4 2 2 3 2 2 6" xfId="35411"/>
    <cellStyle name="Normal 5 4 2 2 3 2 2 6" xfId="35412"/>
    <cellStyle name="Normal 7 4 2 2 3 2 2 6" xfId="35413"/>
    <cellStyle name="Normal 2 3 2 2 2 3 2 2 6" xfId="35414"/>
    <cellStyle name="Normal 3 3 2 2 2 3 2 2 6" xfId="35415"/>
    <cellStyle name="Normal 4 2 2 2 2 3 2 2 6" xfId="35416"/>
    <cellStyle name="Normal 5 2 2 2 2 3 2 2 6" xfId="35417"/>
    <cellStyle name="Normal 7 2 2 2 2 3 2 2 6" xfId="35418"/>
    <cellStyle name="Normal 2 4 2 2 2 3 2 2 6" xfId="35419"/>
    <cellStyle name="Normal 3 4 2 2 2 3 2 2 6" xfId="35420"/>
    <cellStyle name="Normal 4 3 2 2 2 3 2 2 6" xfId="35421"/>
    <cellStyle name="Normal 5 3 2 2 2 3 2 2 6" xfId="35422"/>
    <cellStyle name="Normal 7 3 2 2 2 3 2 2 6" xfId="35423"/>
    <cellStyle name="Normal 2 6 2 2 3 2 2 6" xfId="35424"/>
    <cellStyle name="Normal 3 6 2 2 3 2 2 6" xfId="35425"/>
    <cellStyle name="Normal 4 5 2 2 3 2 2 6" xfId="35426"/>
    <cellStyle name="Normal 5 5 2 2 3 2 2 6" xfId="35427"/>
    <cellStyle name="Normal 7 5 2 2 3 2 2 6" xfId="35428"/>
    <cellStyle name="Normal 2 3 3 2 2 3 2 2 6" xfId="35429"/>
    <cellStyle name="Normal 3 3 3 2 2 3 2 2 6" xfId="35430"/>
    <cellStyle name="Normal 4 2 3 2 2 3 2 2 6" xfId="35431"/>
    <cellStyle name="Normal 5 2 3 2 2 3 2 2 6" xfId="35432"/>
    <cellStyle name="Normal 7 2 3 2 2 3 2 2 6" xfId="35433"/>
    <cellStyle name="Normal 2 4 3 2 2 3 2 2 6" xfId="35434"/>
    <cellStyle name="Normal 3 4 3 2 2 3 2 2 6" xfId="35435"/>
    <cellStyle name="Normal 4 3 3 2 2 3 2 2 6" xfId="35436"/>
    <cellStyle name="Normal 5 3 3 2 2 3 2 2 6" xfId="35437"/>
    <cellStyle name="Normal 7 3 3 2 2 3 2 2 6" xfId="35438"/>
    <cellStyle name="Normal 2 12 2 6" xfId="35439"/>
    <cellStyle name="Normal 3 12 2 6" xfId="35440"/>
    <cellStyle name="Normal 4 11 2 6" xfId="35441"/>
    <cellStyle name="Normal 5 11 2 6" xfId="35442"/>
    <cellStyle name="Normal 7 11 2 6" xfId="35443"/>
    <cellStyle name="Normal 2 3 9 2 6" xfId="35444"/>
    <cellStyle name="Normal 3 3 9 2 6" xfId="35445"/>
    <cellStyle name="Normal 4 2 9 2 6" xfId="35446"/>
    <cellStyle name="Normal 5 2 9 2 6" xfId="35447"/>
    <cellStyle name="Normal 7 2 9 2 6" xfId="35448"/>
    <cellStyle name="Normal 2 4 9 2 6" xfId="35449"/>
    <cellStyle name="Normal 3 4 9 2 6" xfId="35450"/>
    <cellStyle name="Normal 4 3 9 2 6" xfId="35451"/>
    <cellStyle name="Normal 5 3 9 2 6" xfId="35452"/>
    <cellStyle name="Normal 7 3 9 2 6" xfId="35453"/>
    <cellStyle name="Normal 2 5 7 2 6" xfId="35454"/>
    <cellStyle name="Normal 3 5 7 2 6" xfId="35455"/>
    <cellStyle name="Normal 4 4 7 2 6" xfId="35456"/>
    <cellStyle name="Normal 5 4 7 2 6" xfId="35457"/>
    <cellStyle name="Normal 7 4 7 2 6" xfId="35458"/>
    <cellStyle name="Normal 2 3 2 7 2 6" xfId="35459"/>
    <cellStyle name="Normal 3 3 2 7 2 6" xfId="35460"/>
    <cellStyle name="Normal 4 2 2 7 2 6" xfId="35461"/>
    <cellStyle name="Normal 5 2 2 7 2 6" xfId="35462"/>
    <cellStyle name="Normal 7 2 2 7 2 6" xfId="35463"/>
    <cellStyle name="Normal 2 4 2 7 2 6" xfId="35464"/>
    <cellStyle name="Normal 3 4 2 7 2 6" xfId="35465"/>
    <cellStyle name="Normal 4 3 2 7 2 6" xfId="35466"/>
    <cellStyle name="Normal 5 3 2 7 2 6" xfId="35467"/>
    <cellStyle name="Normal 7 3 2 7 2 6" xfId="35468"/>
    <cellStyle name="Normal 2 6 7 2 6" xfId="35469"/>
    <cellStyle name="Normal 3 6 7 2 6" xfId="35470"/>
    <cellStyle name="Normal 4 5 7 2 6" xfId="35471"/>
    <cellStyle name="Normal 5 5 7 2 6" xfId="35472"/>
    <cellStyle name="Normal 7 5 7 2 6" xfId="35473"/>
    <cellStyle name="Normal 2 3 3 7 2 6" xfId="35474"/>
    <cellStyle name="Normal 3 3 3 7 2 6" xfId="35475"/>
    <cellStyle name="Normal 4 2 3 7 2 6" xfId="35476"/>
    <cellStyle name="Normal 5 2 3 7 2 6" xfId="35477"/>
    <cellStyle name="Normal 7 2 3 7 2 6" xfId="35478"/>
    <cellStyle name="Normal 2 4 3 7 2 6" xfId="35479"/>
    <cellStyle name="Normal 3 4 3 7 2 6" xfId="35480"/>
    <cellStyle name="Normal 4 3 3 7 2 6" xfId="35481"/>
    <cellStyle name="Normal 5 3 3 7 2 6" xfId="35482"/>
    <cellStyle name="Normal 7 3 3 7 2 6" xfId="35483"/>
    <cellStyle name="Normal 2 7 6 2 6" xfId="35484"/>
    <cellStyle name="Normal 3 7 6 2 6" xfId="35485"/>
    <cellStyle name="Normal 4 6 6 2 6" xfId="35486"/>
    <cellStyle name="Normal 5 6 6 2 6" xfId="35487"/>
    <cellStyle name="Normal 7 6 6 2 6" xfId="35488"/>
    <cellStyle name="Normal 2 3 4 6 2 6" xfId="35489"/>
    <cellStyle name="Normal 3 3 4 6 2 6" xfId="35490"/>
    <cellStyle name="Normal 4 2 4 6 2 6" xfId="35491"/>
    <cellStyle name="Normal 5 2 4 6 2 6" xfId="35492"/>
    <cellStyle name="Normal 7 2 4 6 2 6" xfId="35493"/>
    <cellStyle name="Normal 2 4 4 6 2 6" xfId="35494"/>
    <cellStyle name="Normal 3 4 4 6 2 6" xfId="35495"/>
    <cellStyle name="Normal 4 3 4 6 2 6" xfId="35496"/>
    <cellStyle name="Normal 5 3 4 6 2 6" xfId="35497"/>
    <cellStyle name="Normal 7 3 4 6 2 6" xfId="35498"/>
    <cellStyle name="Normal 2 5 2 6 2 6" xfId="35499"/>
    <cellStyle name="Normal 3 5 2 6 2 6" xfId="35500"/>
    <cellStyle name="Normal 4 4 2 6 2 6" xfId="35501"/>
    <cellStyle name="Normal 5 4 2 6 2 6" xfId="35502"/>
    <cellStyle name="Normal 7 4 2 6 2 6" xfId="35503"/>
    <cellStyle name="Normal 2 3 2 2 6 2 6" xfId="35504"/>
    <cellStyle name="Normal 3 3 2 2 6 2 6" xfId="35505"/>
    <cellStyle name="Normal 4 2 2 2 6 2 6" xfId="35506"/>
    <cellStyle name="Normal 5 2 2 2 6 2 6" xfId="35507"/>
    <cellStyle name="Normal 7 2 2 2 6 2 6" xfId="35508"/>
    <cellStyle name="Normal 2 4 2 2 6 2 6" xfId="35509"/>
    <cellStyle name="Normal 3 4 2 2 6 2 6" xfId="35510"/>
    <cellStyle name="Normal 4 3 2 2 6 2 6" xfId="35511"/>
    <cellStyle name="Normal 5 3 2 2 6 2 6" xfId="35512"/>
    <cellStyle name="Normal 7 3 2 2 6 2 6" xfId="35513"/>
    <cellStyle name="Normal 2 6 2 6 2 6" xfId="35514"/>
    <cellStyle name="Normal 3 6 2 6 2 6" xfId="35515"/>
    <cellStyle name="Normal 4 5 2 6 2 6" xfId="35516"/>
    <cellStyle name="Normal 5 5 2 6 2 6" xfId="35517"/>
    <cellStyle name="Normal 7 5 2 6 2 6" xfId="35518"/>
    <cellStyle name="Normal 2 3 3 2 6 2 6" xfId="35519"/>
    <cellStyle name="Normal 3 3 3 2 6 2 6" xfId="35520"/>
    <cellStyle name="Normal 4 2 3 2 6 2 6" xfId="35521"/>
    <cellStyle name="Normal 5 2 3 2 6 2 6" xfId="35522"/>
    <cellStyle name="Normal 7 2 3 2 6 2 6" xfId="35523"/>
    <cellStyle name="Normal 2 4 3 2 6 2 6" xfId="35524"/>
    <cellStyle name="Normal 3 4 3 2 6 2 6" xfId="35525"/>
    <cellStyle name="Normal 4 3 3 2 6 2 6" xfId="35526"/>
    <cellStyle name="Normal 5 3 3 2 6 2 6" xfId="35527"/>
    <cellStyle name="Normal 7 3 3 2 6 2 6" xfId="35528"/>
    <cellStyle name="Normal 2 8 5 2 6" xfId="35529"/>
    <cellStyle name="Normal 3 8 5 2 6" xfId="35530"/>
    <cellStyle name="Normal 4 7 5 2 6" xfId="35531"/>
    <cellStyle name="Normal 5 7 5 2 6" xfId="35532"/>
    <cellStyle name="Normal 7 7 5 2 6" xfId="35533"/>
    <cellStyle name="Normal 2 3 5 5 2 6" xfId="35534"/>
    <cellStyle name="Normal 3 3 5 5 2 6" xfId="35535"/>
    <cellStyle name="Normal 4 2 5 5 2 6" xfId="35536"/>
    <cellStyle name="Normal 5 2 5 5 2 6" xfId="35537"/>
    <cellStyle name="Normal 7 2 5 5 2 6" xfId="35538"/>
    <cellStyle name="Normal 2 4 5 5 2 6" xfId="35539"/>
    <cellStyle name="Normal 3 4 5 5 2 6" xfId="35540"/>
    <cellStyle name="Normal 4 3 5 5 2 6" xfId="35541"/>
    <cellStyle name="Normal 5 3 5 5 2 6" xfId="35542"/>
    <cellStyle name="Normal 7 3 5 5 2 6" xfId="35543"/>
    <cellStyle name="Normal 2 5 3 5 2 6" xfId="35544"/>
    <cellStyle name="Normal 3 5 3 5 2 6" xfId="35545"/>
    <cellStyle name="Normal 4 4 3 5 2 6" xfId="35546"/>
    <cellStyle name="Normal 5 4 3 5 2 6" xfId="35547"/>
    <cellStyle name="Normal 7 4 3 5 2 6" xfId="35548"/>
    <cellStyle name="Normal 2 3 2 3 5 2 6" xfId="35549"/>
    <cellStyle name="Normal 3 3 2 3 5 2 6" xfId="35550"/>
    <cellStyle name="Normal 4 2 2 3 5 2 6" xfId="35551"/>
    <cellStyle name="Normal 5 2 2 3 5 2 6" xfId="35552"/>
    <cellStyle name="Normal 7 2 2 3 5 2 6" xfId="35553"/>
    <cellStyle name="Normal 2 4 2 3 5 2 6" xfId="35554"/>
    <cellStyle name="Normal 3 4 2 3 5 2 6" xfId="35555"/>
    <cellStyle name="Normal 4 3 2 3 5 2 6" xfId="35556"/>
    <cellStyle name="Normal 5 3 2 3 5 2 6" xfId="35557"/>
    <cellStyle name="Normal 7 3 2 3 5 2 6" xfId="35558"/>
    <cellStyle name="Normal 2 6 3 5 2 6" xfId="35559"/>
    <cellStyle name="Normal 3 6 3 5 2 6" xfId="35560"/>
    <cellStyle name="Normal 4 5 3 5 2 6" xfId="35561"/>
    <cellStyle name="Normal 5 5 3 5 2 6" xfId="35562"/>
    <cellStyle name="Normal 7 5 3 5 2 6" xfId="35563"/>
    <cellStyle name="Normal 2 3 3 3 5 2 6" xfId="35564"/>
    <cellStyle name="Normal 3 3 3 3 5 2 6" xfId="35565"/>
    <cellStyle name="Normal 4 2 3 3 5 2 6" xfId="35566"/>
    <cellStyle name="Normal 5 2 3 3 5 2 6" xfId="35567"/>
    <cellStyle name="Normal 7 2 3 3 5 2 6" xfId="35568"/>
    <cellStyle name="Normal 2 4 3 3 5 2 6" xfId="35569"/>
    <cellStyle name="Normal 3 4 3 3 5 2 6" xfId="35570"/>
    <cellStyle name="Normal 4 3 3 3 5 2 6" xfId="35571"/>
    <cellStyle name="Normal 5 3 3 3 5 2 6" xfId="35572"/>
    <cellStyle name="Normal 7 3 3 3 5 2 6" xfId="35573"/>
    <cellStyle name="Normal 2 7 2 5 2 6" xfId="35574"/>
    <cellStyle name="Normal 3 7 2 5 2 6" xfId="35575"/>
    <cellStyle name="Normal 4 6 2 5 2 6" xfId="35576"/>
    <cellStyle name="Normal 5 6 2 5 2 6" xfId="35577"/>
    <cellStyle name="Normal 7 6 2 5 2 6" xfId="35578"/>
    <cellStyle name="Normal 2 3 4 2 5 2 6" xfId="35579"/>
    <cellStyle name="Normal 3 3 4 2 5 2 6" xfId="35580"/>
    <cellStyle name="Normal 4 2 4 2 5 2 6" xfId="35581"/>
    <cellStyle name="Normal 5 2 4 2 5 2 6" xfId="35582"/>
    <cellStyle name="Normal 7 2 4 2 5 2 6" xfId="35583"/>
    <cellStyle name="Normal 2 4 4 2 5 2 6" xfId="35584"/>
    <cellStyle name="Normal 3 4 4 2 5 2 6" xfId="35585"/>
    <cellStyle name="Normal 4 3 4 2 5 2 6" xfId="35586"/>
    <cellStyle name="Normal 5 3 4 2 5 2 6" xfId="35587"/>
    <cellStyle name="Normal 7 3 4 2 5 2 6" xfId="35588"/>
    <cellStyle name="Normal 2 5 2 2 5 2 6" xfId="35589"/>
    <cellStyle name="Normal 3 5 2 2 5 2 6" xfId="35590"/>
    <cellStyle name="Normal 4 4 2 2 5 2 6" xfId="35591"/>
    <cellStyle name="Normal 5 4 2 2 5 2 6" xfId="35592"/>
    <cellStyle name="Normal 7 4 2 2 5 2 6" xfId="35593"/>
    <cellStyle name="Normal 2 3 2 2 2 5 2 6" xfId="35594"/>
    <cellStyle name="Normal 3 3 2 2 2 5 2 6" xfId="35595"/>
    <cellStyle name="Normal 4 2 2 2 2 5 2 6" xfId="35596"/>
    <cellStyle name="Normal 5 2 2 2 2 5 2 6" xfId="35597"/>
    <cellStyle name="Normal 7 2 2 2 2 5 2 6" xfId="35598"/>
    <cellStyle name="Normal 2 4 2 2 2 5 2 6" xfId="35599"/>
    <cellStyle name="Normal 3 4 2 2 2 5 2 6" xfId="35600"/>
    <cellStyle name="Normal 4 3 2 2 2 5 2 6" xfId="35601"/>
    <cellStyle name="Normal 5 3 2 2 2 5 2 6" xfId="35602"/>
    <cellStyle name="Normal 7 3 2 2 2 5 2 6" xfId="35603"/>
    <cellStyle name="Normal 2 6 2 2 5 2 6" xfId="35604"/>
    <cellStyle name="Normal 3 6 2 2 5 2 6" xfId="35605"/>
    <cellStyle name="Normal 4 5 2 2 5 2 6" xfId="35606"/>
    <cellStyle name="Normal 5 5 2 2 5 2 6" xfId="35607"/>
    <cellStyle name="Normal 7 5 2 2 5 2 6" xfId="35608"/>
    <cellStyle name="Normal 2 3 3 2 2 5 2 6" xfId="35609"/>
    <cellStyle name="Normal 3 3 3 2 2 5 2 6" xfId="35610"/>
    <cellStyle name="Normal 4 2 3 2 2 5 2 6" xfId="35611"/>
    <cellStyle name="Normal 5 2 3 2 2 5 2 6" xfId="35612"/>
    <cellStyle name="Normal 7 2 3 2 2 5 2 6" xfId="35613"/>
    <cellStyle name="Normal 2 4 3 2 2 5 2 6" xfId="35614"/>
    <cellStyle name="Normal 3 4 3 2 2 5 2 6" xfId="35615"/>
    <cellStyle name="Normal 4 3 3 2 2 5 2 6" xfId="35616"/>
    <cellStyle name="Normal 5 3 3 2 2 5 2 6" xfId="35617"/>
    <cellStyle name="Normal 7 3 3 2 2 5 2 6" xfId="35618"/>
    <cellStyle name="Normal 2 9 3 2 6" xfId="35619"/>
    <cellStyle name="Normal 3 9 3 2 6" xfId="35620"/>
    <cellStyle name="Normal 4 8 3 2 6" xfId="35621"/>
    <cellStyle name="Normal 5 8 3 2 6" xfId="35622"/>
    <cellStyle name="Normal 7 8 3 2 6" xfId="35623"/>
    <cellStyle name="Normal 2 3 6 3 2 6" xfId="35624"/>
    <cellStyle name="Normal 3 3 6 3 2 6" xfId="35625"/>
    <cellStyle name="Normal 4 2 6 3 2 6" xfId="35626"/>
    <cellStyle name="Normal 5 2 6 3 2 6" xfId="35627"/>
    <cellStyle name="Normal 7 2 6 3 2 6" xfId="35628"/>
    <cellStyle name="Normal 2 4 6 3 2 6" xfId="35629"/>
    <cellStyle name="Normal 3 4 6 3 2 6" xfId="35630"/>
    <cellStyle name="Normal 4 3 6 3 2 6" xfId="35631"/>
    <cellStyle name="Normal 5 3 6 3 2 6" xfId="35632"/>
    <cellStyle name="Normal 7 3 6 3 2 6" xfId="35633"/>
    <cellStyle name="Normal 2 5 4 3 2 6" xfId="35634"/>
    <cellStyle name="Normal 3 5 4 3 2 6" xfId="35635"/>
    <cellStyle name="Normal 4 4 4 3 2 6" xfId="35636"/>
    <cellStyle name="Normal 5 4 4 3 2 6" xfId="35637"/>
    <cellStyle name="Normal 7 4 4 3 2 6" xfId="35638"/>
    <cellStyle name="Normal 2 3 2 4 3 2 6" xfId="35639"/>
    <cellStyle name="Normal 3 3 2 4 3 2 6" xfId="35640"/>
    <cellStyle name="Normal 4 2 2 4 3 2 6" xfId="35641"/>
    <cellStyle name="Normal 5 2 2 4 3 2 6" xfId="35642"/>
    <cellStyle name="Normal 7 2 2 4 3 2 6" xfId="35643"/>
    <cellStyle name="Normal 2 4 2 4 3 2 6" xfId="35644"/>
    <cellStyle name="Normal 3 4 2 4 3 2 6" xfId="35645"/>
    <cellStyle name="Normal 4 3 2 4 3 2 6" xfId="35646"/>
    <cellStyle name="Normal 5 3 2 4 3 2 6" xfId="35647"/>
    <cellStyle name="Normal 7 3 2 4 3 2 6" xfId="35648"/>
    <cellStyle name="Normal 2 6 4 3 2 6" xfId="35649"/>
    <cellStyle name="Normal 3 6 4 3 2 6" xfId="35650"/>
    <cellStyle name="Normal 4 5 4 3 2 6" xfId="35651"/>
    <cellStyle name="Normal 5 5 4 3 2 6" xfId="35652"/>
    <cellStyle name="Normal 7 5 4 3 2 6" xfId="35653"/>
    <cellStyle name="Normal 2 3 3 4 3 2 6" xfId="35654"/>
    <cellStyle name="Normal 3 3 3 4 3 2 6" xfId="35655"/>
    <cellStyle name="Normal 4 2 3 4 3 2 6" xfId="35656"/>
    <cellStyle name="Normal 5 2 3 4 3 2 6" xfId="35657"/>
    <cellStyle name="Normal 7 2 3 4 3 2 6" xfId="35658"/>
    <cellStyle name="Normal 2 4 3 4 3 2 6" xfId="35659"/>
    <cellStyle name="Normal 3 4 3 4 3 2 6" xfId="35660"/>
    <cellStyle name="Normal 4 3 3 4 3 2 6" xfId="35661"/>
    <cellStyle name="Normal 5 3 3 4 3 2 6" xfId="35662"/>
    <cellStyle name="Normal 7 3 3 4 3 2 6" xfId="35663"/>
    <cellStyle name="Normal 2 7 3 3 2 6" xfId="35664"/>
    <cellStyle name="Normal 3 7 3 3 2 6" xfId="35665"/>
    <cellStyle name="Normal 4 6 3 3 2 6" xfId="35666"/>
    <cellStyle name="Normal 5 6 3 3 2 6" xfId="35667"/>
    <cellStyle name="Normal 7 6 3 3 2 6" xfId="35668"/>
    <cellStyle name="Normal 2 3 4 3 3 2 6" xfId="35669"/>
    <cellStyle name="Normal 3 3 4 3 3 2 6" xfId="35670"/>
    <cellStyle name="Normal 4 2 4 3 3 2 6" xfId="35671"/>
    <cellStyle name="Normal 5 2 4 3 3 2 6" xfId="35672"/>
    <cellStyle name="Normal 7 2 4 3 3 2 6" xfId="35673"/>
    <cellStyle name="Normal 2 4 4 3 3 2 6" xfId="35674"/>
    <cellStyle name="Normal 3 4 4 3 3 2 6" xfId="35675"/>
    <cellStyle name="Normal 4 3 4 3 3 2 6" xfId="35676"/>
    <cellStyle name="Normal 5 3 4 3 3 2 6" xfId="35677"/>
    <cellStyle name="Normal 7 3 4 3 3 2 6" xfId="35678"/>
    <cellStyle name="Normal 2 5 2 3 3 2 6" xfId="35679"/>
    <cellStyle name="Normal 3 5 2 3 3 2 6" xfId="35680"/>
    <cellStyle name="Normal 4 4 2 3 3 2 6" xfId="35681"/>
    <cellStyle name="Normal 5 4 2 3 3 2 6" xfId="35682"/>
    <cellStyle name="Normal 7 4 2 3 3 2 6" xfId="35683"/>
    <cellStyle name="Normal 2 3 2 2 3 3 2 6" xfId="35684"/>
    <cellStyle name="Normal 3 3 2 2 3 3 2 6" xfId="35685"/>
    <cellStyle name="Normal 4 2 2 2 3 3 2 6" xfId="35686"/>
    <cellStyle name="Normal 5 2 2 2 3 3 2 6" xfId="35687"/>
    <cellStyle name="Normal 7 2 2 2 3 3 2 6" xfId="35688"/>
    <cellStyle name="Normal 2 4 2 2 3 3 2 6" xfId="35689"/>
    <cellStyle name="Normal 3 4 2 2 3 3 2 6" xfId="35690"/>
    <cellStyle name="Normal 4 3 2 2 3 3 2 6" xfId="35691"/>
    <cellStyle name="Normal 5 3 2 2 3 3 2 6" xfId="35692"/>
    <cellStyle name="Normal 7 3 2 2 3 3 2 6" xfId="35693"/>
    <cellStyle name="Normal 2 6 2 3 3 2 6" xfId="35694"/>
    <cellStyle name="Normal 3 6 2 3 3 2 6" xfId="35695"/>
    <cellStyle name="Normal 4 5 2 3 3 2 6" xfId="35696"/>
    <cellStyle name="Normal 5 5 2 3 3 2 6" xfId="35697"/>
    <cellStyle name="Normal 7 5 2 3 3 2 6" xfId="35698"/>
    <cellStyle name="Normal 2 3 3 2 3 3 2 6" xfId="35699"/>
    <cellStyle name="Normal 3 3 3 2 3 3 2 6" xfId="35700"/>
    <cellStyle name="Normal 4 2 3 2 3 3 2 6" xfId="35701"/>
    <cellStyle name="Normal 5 2 3 2 3 3 2 6" xfId="35702"/>
    <cellStyle name="Normal 7 2 3 2 3 3 2 6" xfId="35703"/>
    <cellStyle name="Normal 2 4 3 2 3 3 2 6" xfId="35704"/>
    <cellStyle name="Normal 3 4 3 2 3 3 2 6" xfId="35705"/>
    <cellStyle name="Normal 4 3 3 2 3 3 2 6" xfId="35706"/>
    <cellStyle name="Normal 5 3 3 2 3 3 2 6" xfId="35707"/>
    <cellStyle name="Normal 7 3 3 2 3 3 2 6" xfId="35708"/>
    <cellStyle name="Normal 2 8 2 3 2 6" xfId="35709"/>
    <cellStyle name="Normal 3 8 2 3 2 6" xfId="35710"/>
    <cellStyle name="Normal 4 7 2 3 2 6" xfId="35711"/>
    <cellStyle name="Normal 5 7 2 3 2 6" xfId="35712"/>
    <cellStyle name="Normal 7 7 2 3 2 6" xfId="35713"/>
    <cellStyle name="Normal 2 3 5 2 3 2 6" xfId="35714"/>
    <cellStyle name="Normal 3 3 5 2 3 2 6" xfId="35715"/>
    <cellStyle name="Normal 4 2 5 2 3 2 6" xfId="35716"/>
    <cellStyle name="Normal 5 2 5 2 3 2 6" xfId="35717"/>
    <cellStyle name="Normal 7 2 5 2 3 2 6" xfId="35718"/>
    <cellStyle name="Normal 2 4 5 2 3 2 6" xfId="35719"/>
    <cellStyle name="Normal 3 4 5 2 3 2 6" xfId="35720"/>
    <cellStyle name="Normal 4 3 5 2 3 2 6" xfId="35721"/>
    <cellStyle name="Normal 5 3 5 2 3 2 6" xfId="35722"/>
    <cellStyle name="Normal 7 3 5 2 3 2 6" xfId="35723"/>
    <cellStyle name="Normal 2 5 3 2 3 2 6" xfId="35724"/>
    <cellStyle name="Normal 3 5 3 2 3 2 6" xfId="35725"/>
    <cellStyle name="Normal 4 4 3 2 3 2 6" xfId="35726"/>
    <cellStyle name="Normal 5 4 3 2 3 2 6" xfId="35727"/>
    <cellStyle name="Normal 7 4 3 2 3 2 6" xfId="35728"/>
    <cellStyle name="Normal 2 3 2 3 2 3 2 6" xfId="35729"/>
    <cellStyle name="Normal 3 3 2 3 2 3 2 6" xfId="35730"/>
    <cellStyle name="Normal 4 2 2 3 2 3 2 6" xfId="35731"/>
    <cellStyle name="Normal 5 2 2 3 2 3 2 6" xfId="35732"/>
    <cellStyle name="Normal 7 2 2 3 2 3 2 6" xfId="35733"/>
    <cellStyle name="Normal 2 4 2 3 2 3 2 6" xfId="35734"/>
    <cellStyle name="Normal 3 4 2 3 2 3 2 6" xfId="35735"/>
    <cellStyle name="Normal 4 3 2 3 2 3 2 6" xfId="35736"/>
    <cellStyle name="Normal 5 3 2 3 2 3 2 6" xfId="35737"/>
    <cellStyle name="Normal 7 3 2 3 2 3 2 6" xfId="35738"/>
    <cellStyle name="Normal 2 6 3 2 3 2 6" xfId="35739"/>
    <cellStyle name="Normal 3 6 3 2 3 2 6" xfId="35740"/>
    <cellStyle name="Normal 4 5 3 2 3 2 6" xfId="35741"/>
    <cellStyle name="Normal 5 5 3 2 3 2 6" xfId="35742"/>
    <cellStyle name="Normal 7 5 3 2 3 2 6" xfId="35743"/>
    <cellStyle name="Normal 2 3 3 3 2 3 2 6" xfId="35744"/>
    <cellStyle name="Normal 3 3 3 3 2 3 2 6" xfId="35745"/>
    <cellStyle name="Normal 4 2 3 3 2 3 2 6" xfId="35746"/>
    <cellStyle name="Normal 5 2 3 3 2 3 2 6" xfId="35747"/>
    <cellStyle name="Normal 7 2 3 3 2 3 2 6" xfId="35748"/>
    <cellStyle name="Normal 2 4 3 3 2 3 2 6" xfId="35749"/>
    <cellStyle name="Normal 3 4 3 3 2 3 2 6" xfId="35750"/>
    <cellStyle name="Normal 4 3 3 3 2 3 2 6" xfId="35751"/>
    <cellStyle name="Normal 5 3 3 3 2 3 2 6" xfId="35752"/>
    <cellStyle name="Normal 7 3 3 3 2 3 2 6" xfId="35753"/>
    <cellStyle name="Normal 2 7 2 2 3 2 6" xfId="35754"/>
    <cellStyle name="Normal 3 7 2 2 3 2 6" xfId="35755"/>
    <cellStyle name="Normal 4 6 2 2 3 2 6" xfId="35756"/>
    <cellStyle name="Normal 5 6 2 2 3 2 6" xfId="35757"/>
    <cellStyle name="Normal 7 6 2 2 3 2 6" xfId="35758"/>
    <cellStyle name="Normal 2 3 4 2 2 3 2 6" xfId="35759"/>
    <cellStyle name="Normal 3 3 4 2 2 3 2 6" xfId="35760"/>
    <cellStyle name="Normal 4 2 4 2 2 3 2 6" xfId="35761"/>
    <cellStyle name="Normal 5 2 4 2 2 3 2 6" xfId="35762"/>
    <cellStyle name="Normal 7 2 4 2 2 3 2 6" xfId="35763"/>
    <cellStyle name="Normal 2 4 4 2 2 3 2 6" xfId="35764"/>
    <cellStyle name="Normal 3 4 4 2 2 3 2 6" xfId="35765"/>
    <cellStyle name="Normal 4 3 4 2 2 3 2 6" xfId="35766"/>
    <cellStyle name="Normal 5 3 4 2 2 3 2 6" xfId="35767"/>
    <cellStyle name="Normal 7 3 4 2 2 3 2 6" xfId="35768"/>
    <cellStyle name="Normal 2 5 2 2 2 3 2 6" xfId="35769"/>
    <cellStyle name="Normal 3 5 2 2 2 3 2 6" xfId="35770"/>
    <cellStyle name="Normal 4 4 2 2 2 3 2 6" xfId="35771"/>
    <cellStyle name="Normal 5 4 2 2 2 3 2 6" xfId="35772"/>
    <cellStyle name="Normal 7 4 2 2 2 3 2 6" xfId="35773"/>
    <cellStyle name="Normal 2 3 2 2 2 2 3 2 6" xfId="35774"/>
    <cellStyle name="Normal 3 3 2 2 2 2 3 2 6" xfId="35775"/>
    <cellStyle name="Normal 4 2 2 2 2 2 3 2 6" xfId="35776"/>
    <cellStyle name="Normal 5 2 2 2 2 2 3 2 6" xfId="35777"/>
    <cellStyle name="Normal 7 2 2 2 2 2 3 2 6" xfId="35778"/>
    <cellStyle name="Normal 2 4 2 2 2 2 3 2 6" xfId="35779"/>
    <cellStyle name="Normal 3 4 2 2 2 2 3 2 6" xfId="35780"/>
    <cellStyle name="Normal 4 3 2 2 2 2 3 2 6" xfId="35781"/>
    <cellStyle name="Normal 5 3 2 2 2 2 3 2 6" xfId="35782"/>
    <cellStyle name="Normal 7 3 2 2 2 2 3 2 6" xfId="35783"/>
    <cellStyle name="Normal 2 6 2 2 2 3 2 6" xfId="35784"/>
    <cellStyle name="Normal 3 6 2 2 2 3 2 6" xfId="35785"/>
    <cellStyle name="Normal 4 5 2 2 2 3 2 6" xfId="35786"/>
    <cellStyle name="Normal 5 5 2 2 2 3 2 6" xfId="35787"/>
    <cellStyle name="Normal 7 5 2 2 2 3 2 6" xfId="35788"/>
    <cellStyle name="Normal 2 3 3 2 2 2 3 2 6" xfId="35789"/>
    <cellStyle name="Normal 3 3 3 2 2 2 3 2 6" xfId="35790"/>
    <cellStyle name="Normal 4 2 3 2 2 2 3 2 6" xfId="35791"/>
    <cellStyle name="Normal 5 2 3 2 2 2 3 2 6" xfId="35792"/>
    <cellStyle name="Normal 7 2 3 2 2 2 3 2 6" xfId="35793"/>
    <cellStyle name="Normal 2 4 3 2 2 2 3 2 6" xfId="35794"/>
    <cellStyle name="Normal 3 4 3 2 2 2 3 2 6" xfId="35795"/>
    <cellStyle name="Normal 4 3 3 2 2 2 3 2 6" xfId="35796"/>
    <cellStyle name="Normal 5 3 3 2 2 2 3 2 6" xfId="35797"/>
    <cellStyle name="Normal 7 3 3 2 2 2 3 2 6" xfId="35798"/>
    <cellStyle name="Normal 28 3 2 6" xfId="35799"/>
    <cellStyle name="Normal 2 3 7 3 2 6" xfId="35800"/>
    <cellStyle name="Normal 3 10 3 2 6" xfId="35801"/>
    <cellStyle name="Normal 4 9 3 2 6" xfId="35802"/>
    <cellStyle name="Normal 5 9 3 2 6" xfId="35803"/>
    <cellStyle name="Millares 4 3 2 6" xfId="35804"/>
    <cellStyle name="Normal 7 2 7 3 2 6" xfId="35805"/>
    <cellStyle name="Normal 3 3 7 3 2 6" xfId="35806"/>
    <cellStyle name="Normal 4 2 7 3 2 6" xfId="35807"/>
    <cellStyle name="Normal 5 2 7 3 2 6" xfId="35808"/>
    <cellStyle name="Normal 2 4 5 3 3 2 6" xfId="35809"/>
    <cellStyle name="Normal 3 4 7 3 2 6" xfId="35810"/>
    <cellStyle name="Normal 4 3 7 3 2 6" xfId="35811"/>
    <cellStyle name="Normal 5 3 7 3 2 6" xfId="35812"/>
    <cellStyle name="Normal 7 3 7 3 2 6" xfId="35813"/>
    <cellStyle name="Normal 2 5 5 3 2 6" xfId="35814"/>
    <cellStyle name="Normal 3 5 5 3 2 6" xfId="35815"/>
    <cellStyle name="Normal 4 4 5 3 2 6" xfId="35816"/>
    <cellStyle name="Normal 5 4 5 3 2 6" xfId="35817"/>
    <cellStyle name="Normal 7 4 5 3 2 6" xfId="35818"/>
    <cellStyle name="Normal 2 3 2 5 3 2 6" xfId="35819"/>
    <cellStyle name="Normal 3 3 2 5 3 2 6" xfId="35820"/>
    <cellStyle name="Normal 4 2 2 5 3 2 6" xfId="35821"/>
    <cellStyle name="Normal 5 2 2 5 3 2 6" xfId="35822"/>
    <cellStyle name="Normal 7 2 2 5 3 2 6" xfId="35823"/>
    <cellStyle name="Normal 2 4 2 5 3 2 6" xfId="35824"/>
    <cellStyle name="Normal 3 4 2 5 3 2 6" xfId="35825"/>
    <cellStyle name="Normal 4 3 2 5 3 2 6" xfId="35826"/>
    <cellStyle name="Normal 5 3 2 5 3 2 6" xfId="35827"/>
    <cellStyle name="Normal 7 3 2 5 3 2 6" xfId="35828"/>
    <cellStyle name="Normal 2 6 5 3 2 6" xfId="35829"/>
    <cellStyle name="Normal 3 6 5 3 2 6" xfId="35830"/>
    <cellStyle name="Normal 4 5 5 3 2 6" xfId="35831"/>
    <cellStyle name="Normal 5 5 5 3 2 6" xfId="35832"/>
    <cellStyle name="Normal 7 5 5 3 2 6" xfId="35833"/>
    <cellStyle name="Normal 2 3 3 5 3 2 6" xfId="35834"/>
    <cellStyle name="Normal 3 3 3 5 3 2 6" xfId="35835"/>
    <cellStyle name="Normal 4 2 3 5 3 2 6" xfId="35836"/>
    <cellStyle name="Normal 5 2 3 5 3 2 6" xfId="35837"/>
    <cellStyle name="Normal 7 2 3 5 3 2 6" xfId="35838"/>
    <cellStyle name="Normal 2 4 3 5 3 2 6" xfId="35839"/>
    <cellStyle name="Normal 3 4 3 5 3 2 6" xfId="35840"/>
    <cellStyle name="Normal 4 3 3 5 3 2 6" xfId="35841"/>
    <cellStyle name="Normal 5 3 3 5 3 2 6" xfId="35842"/>
    <cellStyle name="Normal 7 3 3 5 3 2 6" xfId="35843"/>
    <cellStyle name="Normal 2 7 4 3 2 6" xfId="35844"/>
    <cellStyle name="Normal 3 7 4 3 2 6" xfId="35845"/>
    <cellStyle name="Normal 4 6 4 3 2 6" xfId="35846"/>
    <cellStyle name="Normal 5 6 4 3 2 6" xfId="35847"/>
    <cellStyle name="Normal 7 6 4 3 2 6" xfId="35848"/>
    <cellStyle name="Normal 2 3 4 4 3 2 6" xfId="35849"/>
    <cellStyle name="Normal 3 3 4 4 3 2 6" xfId="35850"/>
    <cellStyle name="Normal 4 2 4 4 3 2 6" xfId="35851"/>
    <cellStyle name="Normal 5 2 4 4 3 2 6" xfId="35852"/>
    <cellStyle name="Normal 7 2 4 4 3 2 6" xfId="35853"/>
    <cellStyle name="Normal 2 4 4 4 3 2 6" xfId="35854"/>
    <cellStyle name="Normal 3 4 4 4 3 2 6" xfId="35855"/>
    <cellStyle name="Normal 4 3 4 4 3 2 6" xfId="35856"/>
    <cellStyle name="Normal 5 3 4 4 3 2 6" xfId="35857"/>
    <cellStyle name="Normal 7 3 4 4 3 2 6" xfId="35858"/>
    <cellStyle name="Normal 2 5 2 4 3 2 6" xfId="35859"/>
    <cellStyle name="Normal 3 5 2 4 3 2 6" xfId="35860"/>
    <cellStyle name="Normal 4 4 2 4 3 2 6" xfId="35861"/>
    <cellStyle name="Normal 5 4 2 4 3 2 6" xfId="35862"/>
    <cellStyle name="Normal 7 4 2 4 3 2 6" xfId="35863"/>
    <cellStyle name="Normal 2 3 2 2 4 3 2 6" xfId="35864"/>
    <cellStyle name="Normal 3 3 2 2 4 3 2 6" xfId="35865"/>
    <cellStyle name="Normal 4 2 2 2 4 3 2 6" xfId="35866"/>
    <cellStyle name="Normal 5 2 2 2 4 3 2 6" xfId="35867"/>
    <cellStyle name="Normal 7 2 2 2 4 3 2 6" xfId="35868"/>
    <cellStyle name="Normal 2 4 2 2 4 3 2 6" xfId="35869"/>
    <cellStyle name="Normal 3 4 2 2 4 3 2 6" xfId="35870"/>
    <cellStyle name="Normal 4 3 2 2 4 3 2 6" xfId="35871"/>
    <cellStyle name="Normal 5 3 2 2 4 3 2 6" xfId="35872"/>
    <cellStyle name="Normal 7 3 2 2 4 3 2 6" xfId="35873"/>
    <cellStyle name="Normal 2 6 2 4 3 2 6" xfId="35874"/>
    <cellStyle name="Normal 3 6 2 4 3 2 6" xfId="35875"/>
    <cellStyle name="Normal 4 5 2 4 3 2 6" xfId="35876"/>
    <cellStyle name="Normal 5 5 2 4 3 2 6" xfId="35877"/>
    <cellStyle name="Normal 7 5 2 4 3 2 6" xfId="35878"/>
    <cellStyle name="Normal 2 3 3 2 4 3 2 6" xfId="35879"/>
    <cellStyle name="Normal 3 3 3 2 4 3 2 6" xfId="35880"/>
    <cellStyle name="Normal 4 2 3 2 4 3 2 6" xfId="35881"/>
    <cellStyle name="Normal 5 2 3 2 4 3 2 6" xfId="35882"/>
    <cellStyle name="Normal 7 2 3 2 4 3 2 6" xfId="35883"/>
    <cellStyle name="Normal 2 4 3 2 4 3 2 6" xfId="35884"/>
    <cellStyle name="Normal 3 4 3 2 4 3 2 6" xfId="35885"/>
    <cellStyle name="Normal 4 3 3 2 4 3 2 6" xfId="35886"/>
    <cellStyle name="Normal 5 3 3 2 4 3 2 6" xfId="35887"/>
    <cellStyle name="Normal 7 3 3 2 4 3 2 6" xfId="35888"/>
    <cellStyle name="Normal 2 8 3 3 2 6" xfId="35889"/>
    <cellStyle name="Normal 3 8 3 3 2 6" xfId="35890"/>
    <cellStyle name="Normal 4 7 3 3 2 6" xfId="35891"/>
    <cellStyle name="Normal 5 7 3 3 2 6" xfId="35892"/>
    <cellStyle name="Normal 7 7 3 3 2 6" xfId="35893"/>
    <cellStyle name="Normal 2 3 5 3 3 2 6" xfId="35894"/>
    <cellStyle name="Normal 3 3 5 3 3 2 6" xfId="35895"/>
    <cellStyle name="Normal 4 2 5 3 3 2 6" xfId="35896"/>
    <cellStyle name="Normal 5 2 5 3 3 2 6" xfId="35897"/>
    <cellStyle name="Normal 7 2 5 3 3 2 6" xfId="35898"/>
    <cellStyle name="Normal 3 4 5 3 3 2 6" xfId="35899"/>
    <cellStyle name="Normal 4 3 5 3 3 2 6" xfId="35900"/>
    <cellStyle name="Normal 5 3 5 3 3 2 6" xfId="35901"/>
    <cellStyle name="Normal 7 3 5 3 3 2 6" xfId="35902"/>
    <cellStyle name="Normal 2 5 3 3 3 2 6" xfId="35903"/>
    <cellStyle name="Normal 3 5 3 3 3 2 6" xfId="35904"/>
    <cellStyle name="Normal 4 4 3 3 3 2 6" xfId="35905"/>
    <cellStyle name="Normal 5 4 3 3 3 2 6" xfId="35906"/>
    <cellStyle name="Normal 7 4 3 3 3 2 6" xfId="35907"/>
    <cellStyle name="Normal 2 3 2 3 3 3 2 6" xfId="35908"/>
    <cellStyle name="Normal 3 3 2 3 3 3 2 6" xfId="35909"/>
    <cellStyle name="Normal 4 2 2 3 3 3 2 6" xfId="35910"/>
    <cellStyle name="Normal 5 2 2 3 3 3 2 6" xfId="35911"/>
    <cellStyle name="Normal 7 2 2 3 3 3 2 6" xfId="35912"/>
    <cellStyle name="Normal 2 4 2 3 3 3 2 6" xfId="35913"/>
    <cellStyle name="Normal 3 4 2 3 3 3 2 6" xfId="35914"/>
    <cellStyle name="Normal 4 3 2 3 3 3 2 6" xfId="35915"/>
    <cellStyle name="Normal 5 3 2 3 3 3 2 6" xfId="35916"/>
    <cellStyle name="Normal 7 3 2 3 3 3 2 6" xfId="35917"/>
    <cellStyle name="Normal 2 6 3 3 3 2 6" xfId="35918"/>
    <cellStyle name="Normal 3 6 3 3 3 2 6" xfId="35919"/>
    <cellStyle name="Normal 4 5 3 3 3 2 6" xfId="35920"/>
    <cellStyle name="Normal 5 5 3 3 3 2 6" xfId="35921"/>
    <cellStyle name="Normal 7 5 3 3 3 2 6" xfId="35922"/>
    <cellStyle name="Normal 2 3 3 3 3 3 2 6" xfId="35923"/>
    <cellStyle name="Normal 3 3 3 3 3 3 2 6" xfId="35924"/>
    <cellStyle name="Normal 4 2 3 3 3 3 2 6" xfId="35925"/>
    <cellStyle name="Normal 5 2 3 3 3 3 2 6" xfId="35926"/>
    <cellStyle name="Normal 7 2 3 3 3 3 2 6" xfId="35927"/>
    <cellStyle name="Normal 2 4 3 3 3 3 2 6" xfId="35928"/>
    <cellStyle name="Normal 3 4 3 3 3 3 2 6" xfId="35929"/>
    <cellStyle name="Normal 4 3 3 3 3 3 2 6" xfId="35930"/>
    <cellStyle name="Normal 5 3 3 3 3 3 2 6" xfId="35931"/>
    <cellStyle name="Normal 7 3 3 3 3 3 2 6" xfId="35932"/>
    <cellStyle name="Normal 2 7 2 3 3 2 6" xfId="35933"/>
    <cellStyle name="Normal 3 7 2 3 3 2 6" xfId="35934"/>
    <cellStyle name="Normal 4 6 2 3 3 2 6" xfId="35935"/>
    <cellStyle name="Normal 5 6 2 3 3 2 6" xfId="35936"/>
    <cellStyle name="Normal 7 6 2 3 3 2 6" xfId="35937"/>
    <cellStyle name="Normal 2 3 4 2 3 3 2 6" xfId="35938"/>
    <cellStyle name="Normal 3 3 4 2 3 3 2 6" xfId="35939"/>
    <cellStyle name="Normal 4 2 4 2 3 3 2 6" xfId="35940"/>
    <cellStyle name="Normal 5 2 4 2 3 3 2 6" xfId="35941"/>
    <cellStyle name="Normal 7 2 4 2 3 3 2 6" xfId="35942"/>
    <cellStyle name="Normal 2 4 4 2 3 3 2 6" xfId="35943"/>
    <cellStyle name="Normal 3 4 4 2 3 3 2 6" xfId="35944"/>
    <cellStyle name="Normal 4 3 4 2 3 3 2 6" xfId="35945"/>
    <cellStyle name="Normal 5 3 4 2 3 3 2 6" xfId="35946"/>
    <cellStyle name="Normal 7 3 4 2 3 3 2 6" xfId="35947"/>
    <cellStyle name="Normal 2 5 2 2 3 3 2 6" xfId="35948"/>
    <cellStyle name="Normal 3 5 2 2 3 3 2 6" xfId="35949"/>
    <cellStyle name="Normal 4 4 2 2 3 3 2 6" xfId="35950"/>
    <cellStyle name="Normal 5 4 2 2 3 3 2 6" xfId="35951"/>
    <cellStyle name="Normal 7 4 2 2 3 3 2 6" xfId="35952"/>
    <cellStyle name="Normal 2 3 2 2 2 3 3 2 6" xfId="35953"/>
    <cellStyle name="Normal 3 3 2 2 2 3 3 2 6" xfId="35954"/>
    <cellStyle name="Normal 4 2 2 2 2 3 3 2 6" xfId="35955"/>
    <cellStyle name="Normal 5 2 2 2 2 3 3 2 6" xfId="35956"/>
    <cellStyle name="Normal 7 2 2 2 2 3 3 2 6" xfId="35957"/>
    <cellStyle name="Normal 2 4 2 2 2 3 3 2 6" xfId="35958"/>
    <cellStyle name="Normal 3 4 2 2 2 3 3 2 6" xfId="35959"/>
    <cellStyle name="Normal 4 3 2 2 2 3 3 2 6" xfId="35960"/>
    <cellStyle name="Normal 5 3 2 2 2 3 3 2 6" xfId="35961"/>
    <cellStyle name="Normal 7 3 2 2 2 3 3 2 6" xfId="35962"/>
    <cellStyle name="Normal 2 6 2 2 3 3 2 6" xfId="35963"/>
    <cellStyle name="Normal 3 6 2 2 3 3 2 6" xfId="35964"/>
    <cellStyle name="Normal 4 5 2 2 3 3 2 6" xfId="35965"/>
    <cellStyle name="Normal 5 5 2 2 3 3 2 6" xfId="35966"/>
    <cellStyle name="Normal 7 5 2 2 3 3 2 6" xfId="35967"/>
    <cellStyle name="Normal 2 3 3 2 2 3 3 2 6" xfId="35968"/>
    <cellStyle name="Normal 3 3 3 2 2 3 3 2 6" xfId="35969"/>
    <cellStyle name="Normal 4 2 3 2 2 3 3 2 6" xfId="35970"/>
    <cellStyle name="Normal 5 2 3 2 2 3 3 2 6" xfId="35971"/>
    <cellStyle name="Normal 7 2 3 2 2 3 3 2 6" xfId="35972"/>
    <cellStyle name="Normal 2 4 3 2 2 3 3 2 6" xfId="35973"/>
    <cellStyle name="Normal 3 4 3 2 2 3 3 2 6" xfId="35974"/>
    <cellStyle name="Normal 4 3 3 2 2 3 3 2 6" xfId="35975"/>
    <cellStyle name="Normal 5 3 3 2 2 3 3 2 6" xfId="35976"/>
    <cellStyle name="Normal 7 3 3 2 2 3 3 2 6" xfId="35977"/>
    <cellStyle name="Normal 7 2 11 5" xfId="35978"/>
    <cellStyle name="Normal 28 5 5" xfId="35979"/>
    <cellStyle name="Normal 7 2 15 3" xfId="35980"/>
    <cellStyle name="Normal 7 14 4" xfId="35981"/>
    <cellStyle name="Normal 28 8 3" xfId="35982"/>
    <cellStyle name="Normal 7 17 3" xfId="35983"/>
    <cellStyle name="Normal 7 15 3" xfId="35984"/>
    <cellStyle name="Normal 7 2 13 3" xfId="35985"/>
    <cellStyle name="Normal 7 2 12 4" xfId="35986"/>
    <cellStyle name="Normal 28 9 3" xfId="35987"/>
    <cellStyle name="Normal 28 7 3" xfId="35988"/>
    <cellStyle name="Normal 28 6 4" xfId="35989"/>
    <cellStyle name="Normal 7 16 3" xfId="35990"/>
    <cellStyle name="Normal 7 2 14 3" xfId="35991"/>
    <cellStyle name="Normal 45" xfId="35992"/>
    <cellStyle name="Normal 2 20" xfId="35993"/>
    <cellStyle name="Normal 3 20" xfId="35994"/>
    <cellStyle name="Normal 4 19" xfId="35995"/>
    <cellStyle name="Normal 5 19" xfId="35996"/>
    <cellStyle name="Normal 7 3 17" xfId="35997"/>
    <cellStyle name="Normal 7 4 15" xfId="35998"/>
    <cellStyle name="Normal 2 3 17" xfId="35999"/>
    <cellStyle name="Normal 3 3 17" xfId="36000"/>
    <cellStyle name="Normal 4 2 17" xfId="36001"/>
    <cellStyle name="Normal 5 2 17" xfId="36002"/>
    <cellStyle name="Normal 7 2 2 15" xfId="36003"/>
    <cellStyle name="Normal 2 4 17" xfId="36004"/>
    <cellStyle name="Normal 3 4 17" xfId="36005"/>
    <cellStyle name="Normal 4 3 17" xfId="36006"/>
    <cellStyle name="Normal 5 3 17" xfId="36007"/>
    <cellStyle name="Normal 2 5 15" xfId="36008"/>
    <cellStyle name="Normal 3 5 15" xfId="36009"/>
    <cellStyle name="Normal 4 4 15" xfId="36010"/>
    <cellStyle name="Normal 5 4 15" xfId="36011"/>
    <cellStyle name="Normal 2 3 2 15" xfId="36012"/>
    <cellStyle name="Normal 3 3 2 15" xfId="36013"/>
    <cellStyle name="Normal 4 2 2 15" xfId="36014"/>
    <cellStyle name="Normal 5 2 2 15" xfId="36015"/>
    <cellStyle name="Normal 2 4 2 15" xfId="36016"/>
    <cellStyle name="Normal 3 4 2 15" xfId="36017"/>
    <cellStyle name="Normal 4 3 2 15" xfId="36018"/>
    <cellStyle name="Normal 5 3 2 15" xfId="36019"/>
    <cellStyle name="Normal 7 3 2 15" xfId="36020"/>
    <cellStyle name="Normal 2 6 15" xfId="36021"/>
    <cellStyle name="Normal 3 6 15" xfId="36022"/>
    <cellStyle name="Normal 4 5 15" xfId="36023"/>
    <cellStyle name="Normal 5 5 15" xfId="36024"/>
    <cellStyle name="Normal 7 5 15" xfId="36025"/>
    <cellStyle name="Normal 2 3 3 15" xfId="36026"/>
    <cellStyle name="Normal 3 3 3 15" xfId="36027"/>
    <cellStyle name="Normal 4 2 3 15" xfId="36028"/>
    <cellStyle name="Normal 5 2 3 15" xfId="36029"/>
    <cellStyle name="Normal 7 2 3 15" xfId="36030"/>
    <cellStyle name="Normal 2 4 3 15" xfId="36031"/>
    <cellStyle name="Normal 3 4 3 15" xfId="36032"/>
    <cellStyle name="Normal 4 3 3 15" xfId="36033"/>
    <cellStyle name="Normal 5 3 3 15" xfId="36034"/>
    <cellStyle name="Normal 7 3 3 15" xfId="36035"/>
    <cellStyle name="Normal 2 7 14" xfId="36036"/>
    <cellStyle name="Normal 3 7 14" xfId="36037"/>
    <cellStyle name="Normal 4 6 14" xfId="36038"/>
    <cellStyle name="Normal 5 6 14" xfId="36039"/>
    <cellStyle name="Normal 7 6 14" xfId="36040"/>
    <cellStyle name="Normal 2 3 4 14" xfId="36041"/>
    <cellStyle name="Normal 3 3 4 14" xfId="36042"/>
    <cellStyle name="Normal 4 2 4 14" xfId="36043"/>
    <cellStyle name="Normal 5 2 4 14" xfId="36044"/>
    <cellStyle name="Normal 7 2 4 14" xfId="36045"/>
    <cellStyle name="Normal 2 4 4 14" xfId="36046"/>
    <cellStyle name="Normal 3 4 4 14" xfId="36047"/>
    <cellStyle name="Normal 4 3 4 14" xfId="36048"/>
    <cellStyle name="Normal 5 3 4 14" xfId="36049"/>
    <cellStyle name="Normal 7 3 4 14" xfId="36050"/>
    <cellStyle name="Normal 2 5 2 14" xfId="36051"/>
    <cellStyle name="Normal 3 5 2 14" xfId="36052"/>
    <cellStyle name="Normal 4 4 2 14" xfId="36053"/>
    <cellStyle name="Normal 5 4 2 14" xfId="36054"/>
    <cellStyle name="Normal 7 4 2 14" xfId="36055"/>
    <cellStyle name="Normal 2 3 2 2 14" xfId="36056"/>
    <cellStyle name="Normal 3 3 2 2 14" xfId="36057"/>
    <cellStyle name="Normal 4 2 2 2 14" xfId="36058"/>
    <cellStyle name="Normal 5 2 2 2 14" xfId="36059"/>
    <cellStyle name="Normal 7 2 2 2 14" xfId="36060"/>
    <cellStyle name="Normal 2 4 2 2 14" xfId="36061"/>
    <cellStyle name="Normal 3 4 2 2 14" xfId="36062"/>
    <cellStyle name="Normal 4 3 2 2 14" xfId="36063"/>
    <cellStyle name="Normal 5 3 2 2 14" xfId="36064"/>
    <cellStyle name="Normal 7 3 2 2 14" xfId="36065"/>
    <cellStyle name="Normal 2 6 2 14" xfId="36066"/>
    <cellStyle name="Normal 3 6 2 14" xfId="36067"/>
    <cellStyle name="Normal 4 5 2 14" xfId="36068"/>
    <cellStyle name="Normal 5 5 2 14" xfId="36069"/>
    <cellStyle name="Normal 7 5 2 14" xfId="36070"/>
    <cellStyle name="Normal 2 3 3 2 14" xfId="36071"/>
    <cellStyle name="Normal 3 3 3 2 14" xfId="36072"/>
    <cellStyle name="Normal 4 2 3 2 14" xfId="36073"/>
    <cellStyle name="Normal 5 2 3 2 14" xfId="36074"/>
    <cellStyle name="Normal 7 2 3 2 14" xfId="36075"/>
    <cellStyle name="Normal 2 4 3 2 14" xfId="36076"/>
    <cellStyle name="Normal 3 4 3 2 14" xfId="36077"/>
    <cellStyle name="Normal 4 3 3 2 14" xfId="36078"/>
    <cellStyle name="Normal 5 3 3 2 14" xfId="36079"/>
    <cellStyle name="Normal 7 3 3 2 14" xfId="36080"/>
    <cellStyle name="Normal 2 8 12" xfId="36081"/>
    <cellStyle name="Normal 3 8 12" xfId="36082"/>
    <cellStyle name="Normal 4 7 12" xfId="36083"/>
    <cellStyle name="Normal 5 7 12" xfId="36084"/>
    <cellStyle name="Normal 7 7 12" xfId="36085"/>
    <cellStyle name="Normal 2 3 5 12" xfId="36086"/>
    <cellStyle name="Normal 3 3 5 12" xfId="36087"/>
    <cellStyle name="Normal 4 2 5 12" xfId="36088"/>
    <cellStyle name="Normal 5 2 5 12" xfId="36089"/>
    <cellStyle name="Normal 7 2 5 13" xfId="36090"/>
    <cellStyle name="Normal 2 4 5 12" xfId="36091"/>
    <cellStyle name="Normal 3 4 5 12" xfId="36092"/>
    <cellStyle name="Normal 4 3 5 12" xfId="36093"/>
    <cellStyle name="Normal 5 3 5 12" xfId="36094"/>
    <cellStyle name="Normal 7 3 5 12" xfId="36095"/>
    <cellStyle name="Normal 2 5 3 12" xfId="36096"/>
    <cellStyle name="Normal 3 5 3 12" xfId="36097"/>
    <cellStyle name="Normal 4 4 3 12" xfId="36098"/>
    <cellStyle name="Normal 5 4 3 12" xfId="36099"/>
    <cellStyle name="Normal 7 4 3 12" xfId="36100"/>
    <cellStyle name="Normal 2 3 2 3 12" xfId="36101"/>
    <cellStyle name="Normal 3 3 2 3 12" xfId="36102"/>
    <cellStyle name="Normal 4 2 2 3 12" xfId="36103"/>
    <cellStyle name="Normal 5 2 2 3 12" xfId="36104"/>
    <cellStyle name="Normal 7 2 2 3 12" xfId="36105"/>
    <cellStyle name="Normal 2 4 2 3 12" xfId="36106"/>
    <cellStyle name="Normal 3 4 2 3 12" xfId="36107"/>
    <cellStyle name="Normal 4 3 2 3 12" xfId="36108"/>
    <cellStyle name="Normal 5 3 2 3 12" xfId="36109"/>
    <cellStyle name="Normal 7 3 2 3 12" xfId="36110"/>
    <cellStyle name="Normal 2 6 3 12" xfId="36111"/>
    <cellStyle name="Normal 3 6 3 12" xfId="36112"/>
    <cellStyle name="Normal 4 5 3 12" xfId="36113"/>
    <cellStyle name="Normal 5 5 3 12" xfId="36114"/>
    <cellStyle name="Normal 7 5 3 12" xfId="36115"/>
    <cellStyle name="Normal 2 3 3 3 12" xfId="36116"/>
    <cellStyle name="Normal 3 3 3 3 12" xfId="36117"/>
    <cellStyle name="Normal 4 2 3 3 12" xfId="36118"/>
    <cellStyle name="Normal 5 2 3 3 12" xfId="36119"/>
    <cellStyle name="Normal 7 2 3 3 12" xfId="36120"/>
    <cellStyle name="Normal 2 4 3 3 12" xfId="36121"/>
    <cellStyle name="Normal 3 4 3 3 12" xfId="36122"/>
    <cellStyle name="Normal 4 3 3 3 12" xfId="36123"/>
    <cellStyle name="Normal 5 3 3 3 12" xfId="36124"/>
    <cellStyle name="Normal 7 3 3 3 12" xfId="36125"/>
    <cellStyle name="Normal 2 7 2 12" xfId="36126"/>
    <cellStyle name="Normal 3 7 2 12" xfId="36127"/>
    <cellStyle name="Normal 4 6 2 12" xfId="36128"/>
    <cellStyle name="Normal 5 6 2 12" xfId="36129"/>
    <cellStyle name="Normal 7 6 2 12" xfId="36130"/>
    <cellStyle name="Normal 2 3 4 2 12" xfId="36131"/>
    <cellStyle name="Normal 3 3 4 2 12" xfId="36132"/>
    <cellStyle name="Normal 4 2 4 2 12" xfId="36133"/>
    <cellStyle name="Normal 5 2 4 2 12" xfId="36134"/>
    <cellStyle name="Normal 7 2 4 2 12" xfId="36135"/>
    <cellStyle name="Normal 2 4 4 2 12" xfId="36136"/>
    <cellStyle name="Normal 3 4 4 2 12" xfId="36137"/>
    <cellStyle name="Normal 4 3 4 2 12" xfId="36138"/>
    <cellStyle name="Normal 5 3 4 2 12" xfId="36139"/>
    <cellStyle name="Normal 7 3 4 2 12" xfId="36140"/>
    <cellStyle name="Normal 2 5 2 2 12" xfId="36141"/>
    <cellStyle name="Normal 3 5 2 2 12" xfId="36142"/>
    <cellStyle name="Normal 4 4 2 2 12" xfId="36143"/>
    <cellStyle name="Normal 5 4 2 2 12" xfId="36144"/>
    <cellStyle name="Normal 7 4 2 2 12" xfId="36145"/>
    <cellStyle name="Normal 2 3 2 2 2 12" xfId="36146"/>
    <cellStyle name="Normal 3 3 2 2 2 12" xfId="36147"/>
    <cellStyle name="Normal 4 2 2 2 2 12" xfId="36148"/>
    <cellStyle name="Normal 5 2 2 2 2 12" xfId="36149"/>
    <cellStyle name="Normal 7 2 2 2 2 12" xfId="36150"/>
    <cellStyle name="Normal 2 4 2 2 2 12" xfId="36151"/>
    <cellStyle name="Normal 3 4 2 2 2 12" xfId="36152"/>
    <cellStyle name="Normal 4 3 2 2 2 12" xfId="36153"/>
    <cellStyle name="Normal 5 3 2 2 2 12" xfId="36154"/>
    <cellStyle name="Normal 7 3 2 2 2 12" xfId="36155"/>
    <cellStyle name="Normal 2 6 2 2 12" xfId="36156"/>
    <cellStyle name="Normal 3 6 2 2 12" xfId="36157"/>
    <cellStyle name="Normal 4 5 2 2 12" xfId="36158"/>
    <cellStyle name="Normal 5 5 2 2 12" xfId="36159"/>
    <cellStyle name="Normal 7 5 2 2 12" xfId="36160"/>
    <cellStyle name="Normal 2 3 3 2 2 12" xfId="36161"/>
    <cellStyle name="Normal 3 3 3 2 2 12" xfId="36162"/>
    <cellStyle name="Normal 4 2 3 2 2 12" xfId="36163"/>
    <cellStyle name="Normal 5 2 3 2 2 12" xfId="36164"/>
    <cellStyle name="Normal 7 2 3 2 2 12" xfId="36165"/>
    <cellStyle name="Normal 2 4 3 2 2 12" xfId="36166"/>
    <cellStyle name="Normal 3 4 3 2 2 12" xfId="36167"/>
    <cellStyle name="Normal 4 3 3 2 2 12" xfId="36168"/>
    <cellStyle name="Normal 5 3 3 2 2 12" xfId="36169"/>
    <cellStyle name="Normal 7 3 3 2 2 12" xfId="36170"/>
    <cellStyle name="Normal 2 9 10" xfId="36171"/>
    <cellStyle name="Normal 3 9 10" xfId="36172"/>
    <cellStyle name="Normal 4 8 10" xfId="36173"/>
    <cellStyle name="Normal 5 8 10" xfId="36174"/>
    <cellStyle name="Normal 7 8 10" xfId="36175"/>
    <cellStyle name="Normal 2 3 6 10" xfId="36176"/>
    <cellStyle name="Normal 3 3 6 10" xfId="36177"/>
    <cellStyle name="Normal 4 2 6 10" xfId="36178"/>
    <cellStyle name="Normal 5 2 6 10" xfId="36179"/>
    <cellStyle name="Normal 7 2 6 10" xfId="36180"/>
    <cellStyle name="Normal 2 4 6 10" xfId="36181"/>
    <cellStyle name="Normal 3 4 6 10" xfId="36182"/>
    <cellStyle name="Normal 4 3 6 10" xfId="36183"/>
    <cellStyle name="Normal 5 3 6 10" xfId="36184"/>
    <cellStyle name="Normal 7 3 6 10" xfId="36185"/>
    <cellStyle name="Normal 2 5 4 10" xfId="36186"/>
    <cellStyle name="Normal 3 5 4 10" xfId="36187"/>
    <cellStyle name="Normal 4 4 4 10" xfId="36188"/>
    <cellStyle name="Normal 5 4 4 10" xfId="36189"/>
    <cellStyle name="Normal 7 4 4 10" xfId="36190"/>
    <cellStyle name="Normal 2 3 2 4 10" xfId="36191"/>
    <cellStyle name="Normal 3 3 2 4 10" xfId="36192"/>
    <cellStyle name="Normal 4 2 2 4 10" xfId="36193"/>
    <cellStyle name="Normal 5 2 2 4 10" xfId="36194"/>
    <cellStyle name="Normal 7 2 2 4 10" xfId="36195"/>
    <cellStyle name="Normal 2 4 2 4 10" xfId="36196"/>
    <cellStyle name="Normal 3 4 2 4 10" xfId="36197"/>
    <cellStyle name="Normal 4 3 2 4 10" xfId="36198"/>
    <cellStyle name="Normal 5 3 2 4 10" xfId="36199"/>
    <cellStyle name="Normal 7 3 2 4 10" xfId="36200"/>
    <cellStyle name="Normal 2 6 4 10" xfId="36201"/>
    <cellStyle name="Normal 3 6 4 10" xfId="36202"/>
    <cellStyle name="Normal 4 5 4 10" xfId="36203"/>
    <cellStyle name="Normal 5 5 4 10" xfId="36204"/>
    <cellStyle name="Normal 7 5 4 10" xfId="36205"/>
    <cellStyle name="Normal 2 3 3 4 10" xfId="36206"/>
    <cellStyle name="Normal 3 3 3 4 10" xfId="36207"/>
    <cellStyle name="Normal 4 2 3 4 10" xfId="36208"/>
    <cellStyle name="Normal 5 2 3 4 10" xfId="36209"/>
    <cellStyle name="Normal 7 2 3 4 10" xfId="36210"/>
    <cellStyle name="Normal 2 4 3 4 10" xfId="36211"/>
    <cellStyle name="Normal 3 4 3 4 10" xfId="36212"/>
    <cellStyle name="Normal 4 3 3 4 10" xfId="36213"/>
    <cellStyle name="Normal 5 3 3 4 10" xfId="36214"/>
    <cellStyle name="Normal 7 3 3 4 10" xfId="36215"/>
    <cellStyle name="Normal 2 7 3 10" xfId="36216"/>
    <cellStyle name="Normal 3 7 3 10" xfId="36217"/>
    <cellStyle name="Normal 4 6 3 10" xfId="36218"/>
    <cellStyle name="Normal 5 6 3 10" xfId="36219"/>
    <cellStyle name="Normal 7 6 3 10" xfId="36220"/>
    <cellStyle name="Normal 2 3 4 3 10" xfId="36221"/>
    <cellStyle name="Normal 3 3 4 3 10" xfId="36222"/>
    <cellStyle name="Normal 4 2 4 3 10" xfId="36223"/>
    <cellStyle name="Normal 5 2 4 3 10" xfId="36224"/>
    <cellStyle name="Normal 7 2 4 3 10" xfId="36225"/>
    <cellStyle name="Normal 2 4 4 3 10" xfId="36226"/>
    <cellStyle name="Normal 3 4 4 3 10" xfId="36227"/>
    <cellStyle name="Normal 4 3 4 3 10" xfId="36228"/>
    <cellStyle name="Normal 5 3 4 3 10" xfId="36229"/>
    <cellStyle name="Normal 7 3 4 3 10" xfId="36230"/>
    <cellStyle name="Normal 2 5 2 3 10" xfId="36231"/>
    <cellStyle name="Normal 3 5 2 3 10" xfId="36232"/>
    <cellStyle name="Normal 4 4 2 3 10" xfId="36233"/>
    <cellStyle name="Normal 5 4 2 3 10" xfId="36234"/>
    <cellStyle name="Normal 7 4 2 3 10" xfId="36235"/>
    <cellStyle name="Normal 2 3 2 2 3 10" xfId="36236"/>
    <cellStyle name="Normal 3 3 2 2 3 10" xfId="36237"/>
    <cellStyle name="Normal 4 2 2 2 3 10" xfId="36238"/>
    <cellStyle name="Normal 5 2 2 2 3 10" xfId="36239"/>
    <cellStyle name="Normal 7 2 2 2 3 10" xfId="36240"/>
    <cellStyle name="Normal 2 4 2 2 3 10" xfId="36241"/>
    <cellStyle name="Normal 3 4 2 2 3 10" xfId="36242"/>
    <cellStyle name="Normal 4 3 2 2 3 10" xfId="36243"/>
    <cellStyle name="Normal 5 3 2 2 3 10" xfId="36244"/>
    <cellStyle name="Normal 7 3 2 2 3 10" xfId="36245"/>
    <cellStyle name="Normal 2 6 2 3 10" xfId="36246"/>
    <cellStyle name="Normal 3 6 2 3 10" xfId="36247"/>
    <cellStyle name="Normal 4 5 2 3 10" xfId="36248"/>
    <cellStyle name="Normal 5 5 2 3 10" xfId="36249"/>
    <cellStyle name="Normal 7 5 2 3 10" xfId="36250"/>
    <cellStyle name="Normal 2 3 3 2 3 10" xfId="36251"/>
    <cellStyle name="Normal 3 3 3 2 3 10" xfId="36252"/>
    <cellStyle name="Normal 4 2 3 2 3 10" xfId="36253"/>
    <cellStyle name="Normal 5 2 3 2 3 10" xfId="36254"/>
    <cellStyle name="Normal 7 2 3 2 3 10" xfId="36255"/>
    <cellStyle name="Normal 2 4 3 2 3 10" xfId="36256"/>
    <cellStyle name="Normal 3 4 3 2 3 10" xfId="36257"/>
    <cellStyle name="Normal 4 3 3 2 3 10" xfId="36258"/>
    <cellStyle name="Normal 5 3 3 2 3 10" xfId="36259"/>
    <cellStyle name="Normal 7 3 3 2 3 10" xfId="36260"/>
    <cellStyle name="Normal 2 8 2 10" xfId="36261"/>
    <cellStyle name="Normal 3 8 2 10" xfId="36262"/>
    <cellStyle name="Normal 4 7 2 10" xfId="36263"/>
    <cellStyle name="Normal 5 7 2 10" xfId="36264"/>
    <cellStyle name="Normal 7 7 2 10" xfId="36265"/>
    <cellStyle name="Normal 2 3 5 2 10" xfId="36266"/>
    <cellStyle name="Normal 3 3 5 2 10" xfId="36267"/>
    <cellStyle name="Normal 4 2 5 2 10" xfId="36268"/>
    <cellStyle name="Normal 5 2 5 2 10" xfId="36269"/>
    <cellStyle name="Normal 7 2 5 2 10" xfId="36270"/>
    <cellStyle name="Normal 2 4 5 2 10" xfId="36271"/>
    <cellStyle name="Normal 3 4 5 2 10" xfId="36272"/>
    <cellStyle name="Normal 4 3 5 2 10" xfId="36273"/>
    <cellStyle name="Normal 5 3 5 2 10" xfId="36274"/>
    <cellStyle name="Normal 7 3 5 2 10" xfId="36275"/>
    <cellStyle name="Normal 2 5 3 2 10" xfId="36276"/>
    <cellStyle name="Normal 3 5 3 2 10" xfId="36277"/>
    <cellStyle name="Normal 4 4 3 2 10" xfId="36278"/>
    <cellStyle name="Normal 5 4 3 2 10" xfId="36279"/>
    <cellStyle name="Normal 7 4 3 2 10" xfId="36280"/>
    <cellStyle name="Normal 2 3 2 3 2 10" xfId="36281"/>
    <cellStyle name="Normal 3 3 2 3 2 10" xfId="36282"/>
    <cellStyle name="Normal 4 2 2 3 2 10" xfId="36283"/>
    <cellStyle name="Normal 5 2 2 3 2 10" xfId="36284"/>
    <cellStyle name="Normal 7 2 2 3 2 10" xfId="36285"/>
    <cellStyle name="Normal 2 4 2 3 2 10" xfId="36286"/>
    <cellStyle name="Normal 3 4 2 3 2 10" xfId="36287"/>
    <cellStyle name="Normal 4 3 2 3 2 10" xfId="36288"/>
    <cellStyle name="Normal 5 3 2 3 2 10" xfId="36289"/>
    <cellStyle name="Normal 7 3 2 3 2 10" xfId="36290"/>
    <cellStyle name="Normal 2 6 3 2 10" xfId="36291"/>
    <cellStyle name="Normal 3 6 3 2 10" xfId="36292"/>
    <cellStyle name="Normal 4 5 3 2 10" xfId="36293"/>
    <cellStyle name="Normal 5 5 3 2 10" xfId="36294"/>
    <cellStyle name="Normal 7 5 3 2 10" xfId="36295"/>
    <cellStyle name="Normal 2 3 3 3 2 10" xfId="36296"/>
    <cellStyle name="Normal 3 3 3 3 2 10" xfId="36297"/>
    <cellStyle name="Normal 4 2 3 3 2 10" xfId="36298"/>
    <cellStyle name="Normal 5 2 3 3 2 10" xfId="36299"/>
    <cellStyle name="Normal 7 2 3 3 2 10" xfId="36300"/>
    <cellStyle name="Normal 2 4 3 3 2 10" xfId="36301"/>
    <cellStyle name="Normal 3 4 3 3 2 10" xfId="36302"/>
    <cellStyle name="Normal 4 3 3 3 2 10" xfId="36303"/>
    <cellStyle name="Normal 5 3 3 3 2 10" xfId="36304"/>
    <cellStyle name="Normal 7 3 3 3 2 10" xfId="36305"/>
    <cellStyle name="Normal 2 7 2 2 10" xfId="36306"/>
    <cellStyle name="Normal 3 7 2 2 10" xfId="36307"/>
    <cellStyle name="Normal 4 6 2 2 10" xfId="36308"/>
    <cellStyle name="Normal 5 6 2 2 10" xfId="36309"/>
    <cellStyle name="Normal 7 6 2 2 10" xfId="36310"/>
    <cellStyle name="Normal 2 3 4 2 2 10" xfId="36311"/>
    <cellStyle name="Normal 3 3 4 2 2 10" xfId="36312"/>
    <cellStyle name="Normal 4 2 4 2 2 10" xfId="36313"/>
    <cellStyle name="Normal 5 2 4 2 2 10" xfId="36314"/>
    <cellStyle name="Normal 7 2 4 2 2 10" xfId="36315"/>
    <cellStyle name="Normal 2 4 4 2 2 10" xfId="36316"/>
    <cellStyle name="Normal 3 4 4 2 2 10" xfId="36317"/>
    <cellStyle name="Normal 4 3 4 2 2 10" xfId="36318"/>
    <cellStyle name="Normal 5 3 4 2 2 10" xfId="36319"/>
    <cellStyle name="Normal 7 3 4 2 2 10" xfId="36320"/>
    <cellStyle name="Normal 2 5 2 2 2 10" xfId="36321"/>
    <cellStyle name="Normal 3 5 2 2 2 10" xfId="36322"/>
    <cellStyle name="Normal 4 4 2 2 2 10" xfId="36323"/>
    <cellStyle name="Normal 5 4 2 2 2 10" xfId="36324"/>
    <cellStyle name="Normal 7 4 2 2 2 10" xfId="36325"/>
    <cellStyle name="Normal 2 3 2 2 2 2 10" xfId="36326"/>
    <cellStyle name="Normal 3 3 2 2 2 2 10" xfId="36327"/>
    <cellStyle name="Normal 4 2 2 2 2 2 10" xfId="36328"/>
    <cellStyle name="Normal 5 2 2 2 2 2 10" xfId="36329"/>
    <cellStyle name="Normal 7 2 2 2 2 2 10" xfId="36330"/>
    <cellStyle name="Normal 2 4 2 2 2 2 10" xfId="36331"/>
    <cellStyle name="Normal 3 4 2 2 2 2 10" xfId="36332"/>
    <cellStyle name="Normal 4 3 2 2 2 2 10" xfId="36333"/>
    <cellStyle name="Normal 5 3 2 2 2 2 10" xfId="36334"/>
    <cellStyle name="Normal 7 3 2 2 2 2 10" xfId="36335"/>
    <cellStyle name="Normal 2 6 2 2 2 10" xfId="36336"/>
    <cellStyle name="Normal 3 6 2 2 2 10" xfId="36337"/>
    <cellStyle name="Normal 4 5 2 2 2 10" xfId="36338"/>
    <cellStyle name="Normal 5 5 2 2 2 10" xfId="36339"/>
    <cellStyle name="Normal 7 5 2 2 2 10" xfId="36340"/>
    <cellStyle name="Normal 2 3 3 2 2 2 10" xfId="36341"/>
    <cellStyle name="Normal 3 3 3 2 2 2 10" xfId="36342"/>
    <cellStyle name="Normal 4 2 3 2 2 2 10" xfId="36343"/>
    <cellStyle name="Normal 5 2 3 2 2 2 10" xfId="36344"/>
    <cellStyle name="Normal 7 2 3 2 2 2 10" xfId="36345"/>
    <cellStyle name="Normal 2 4 3 2 2 2 10" xfId="36346"/>
    <cellStyle name="Normal 3 4 3 2 2 2 10" xfId="36347"/>
    <cellStyle name="Normal 4 3 3 2 2 2 10" xfId="36348"/>
    <cellStyle name="Normal 5 3 3 2 2 2 10" xfId="36349"/>
    <cellStyle name="Normal 7 3 3 2 2 2 10" xfId="36350"/>
    <cellStyle name="Normal 28 2 8" xfId="36351"/>
    <cellStyle name="Normal 2 3 7 10" xfId="36352"/>
    <cellStyle name="Normal 3 10 10" xfId="36353"/>
    <cellStyle name="Normal 4 9 10" xfId="36354"/>
    <cellStyle name="Normal 5 9 10" xfId="36355"/>
    <cellStyle name="Millares 4 10" xfId="36356"/>
    <cellStyle name="Normal 7 13 6" xfId="36357"/>
    <cellStyle name="Normal 7 2 7 10" xfId="36358"/>
    <cellStyle name="Normal 3 3 7 10" xfId="36359"/>
    <cellStyle name="Normal 4 2 7 10" xfId="36360"/>
    <cellStyle name="Normal 5 2 7 10" xfId="36361"/>
    <cellStyle name="Normal 2 4 5 3 10" xfId="36362"/>
    <cellStyle name="Normal 3 4 7 10" xfId="36363"/>
    <cellStyle name="Normal 4 3 7 10" xfId="36364"/>
    <cellStyle name="Normal 5 3 7 10" xfId="36365"/>
    <cellStyle name="Normal 7 3 7 10" xfId="36366"/>
    <cellStyle name="Normal 2 5 5 10" xfId="36367"/>
    <cellStyle name="Normal 3 5 5 10" xfId="36368"/>
    <cellStyle name="Normal 4 4 5 10" xfId="36369"/>
    <cellStyle name="Normal 5 4 5 10" xfId="36370"/>
    <cellStyle name="Normal 7 4 5 10" xfId="36371"/>
    <cellStyle name="Normal 2 3 2 5 10" xfId="36372"/>
    <cellStyle name="Normal 3 3 2 5 10" xfId="36373"/>
    <cellStyle name="Normal 4 2 2 5 10" xfId="36374"/>
    <cellStyle name="Normal 5 2 2 5 10" xfId="36375"/>
    <cellStyle name="Normal 7 2 2 5 10" xfId="36376"/>
    <cellStyle name="Normal 2 4 2 5 10" xfId="36377"/>
    <cellStyle name="Normal 3 4 2 5 10" xfId="36378"/>
    <cellStyle name="Normal 4 3 2 5 10" xfId="36379"/>
    <cellStyle name="Normal 5 3 2 5 10" xfId="36380"/>
    <cellStyle name="Normal 7 3 2 5 10" xfId="36381"/>
    <cellStyle name="Normal 2 6 5 10" xfId="36382"/>
    <cellStyle name="Normal 3 6 5 10" xfId="36383"/>
    <cellStyle name="Normal 4 5 5 10" xfId="36384"/>
    <cellStyle name="Normal 5 5 5 10" xfId="36385"/>
    <cellStyle name="Normal 7 5 5 10" xfId="36386"/>
    <cellStyle name="Normal 2 3 3 5 10" xfId="36387"/>
    <cellStyle name="Normal 3 3 3 5 10" xfId="36388"/>
    <cellStyle name="Normal 4 2 3 5 10" xfId="36389"/>
    <cellStyle name="Normal 5 2 3 5 10" xfId="36390"/>
    <cellStyle name="Normal 7 2 3 5 10" xfId="36391"/>
    <cellStyle name="Normal 2 4 3 5 10" xfId="36392"/>
    <cellStyle name="Normal 3 4 3 5 10" xfId="36393"/>
    <cellStyle name="Normal 4 3 3 5 10" xfId="36394"/>
    <cellStyle name="Normal 5 3 3 5 10" xfId="36395"/>
    <cellStyle name="Normal 7 3 3 5 10" xfId="36396"/>
    <cellStyle name="Normal 2 7 4 10" xfId="36397"/>
    <cellStyle name="Normal 3 7 4 10" xfId="36398"/>
    <cellStyle name="Normal 4 6 4 10" xfId="36399"/>
    <cellStyle name="Normal 5 6 4 10" xfId="36400"/>
    <cellStyle name="Normal 7 6 4 10" xfId="36401"/>
    <cellStyle name="Normal 2 3 4 4 10" xfId="36402"/>
    <cellStyle name="Normal 3 3 4 4 10" xfId="36403"/>
    <cellStyle name="Normal 4 2 4 4 10" xfId="36404"/>
    <cellStyle name="Normal 5 2 4 4 10" xfId="36405"/>
    <cellStyle name="Normal 7 2 4 4 10" xfId="36406"/>
    <cellStyle name="Normal 2 4 4 4 10" xfId="36407"/>
    <cellStyle name="Normal 3 4 4 4 10" xfId="36408"/>
    <cellStyle name="Normal 4 3 4 4 10" xfId="36409"/>
    <cellStyle name="Normal 5 3 4 4 10" xfId="36410"/>
    <cellStyle name="Normal 7 3 4 4 10" xfId="36411"/>
    <cellStyle name="Normal 2 5 2 4 10" xfId="36412"/>
    <cellStyle name="Normal 3 5 2 4 10" xfId="36413"/>
    <cellStyle name="Normal 4 4 2 4 10" xfId="36414"/>
    <cellStyle name="Normal 5 4 2 4 10" xfId="36415"/>
    <cellStyle name="Normal 7 4 2 4 10" xfId="36416"/>
    <cellStyle name="Normal 2 3 2 2 4 10" xfId="36417"/>
    <cellStyle name="Normal 3 3 2 2 4 10" xfId="36418"/>
    <cellStyle name="Normal 4 2 2 2 4 10" xfId="36419"/>
    <cellStyle name="Normal 5 2 2 2 4 10" xfId="36420"/>
    <cellStyle name="Normal 7 2 2 2 4 10" xfId="36421"/>
    <cellStyle name="Normal 2 4 2 2 4 10" xfId="36422"/>
    <cellStyle name="Normal 3 4 2 2 4 10" xfId="36423"/>
    <cellStyle name="Normal 4 3 2 2 4 10" xfId="36424"/>
    <cellStyle name="Normal 5 3 2 2 4 10" xfId="36425"/>
    <cellStyle name="Normal 7 3 2 2 4 10" xfId="36426"/>
    <cellStyle name="Normal 2 6 2 4 10" xfId="36427"/>
    <cellStyle name="Normal 3 6 2 4 10" xfId="36428"/>
    <cellStyle name="Normal 4 5 2 4 10" xfId="36429"/>
    <cellStyle name="Normal 5 5 2 4 10" xfId="36430"/>
    <cellStyle name="Normal 7 5 2 4 10" xfId="36431"/>
    <cellStyle name="Normal 2 3 3 2 4 10" xfId="36432"/>
    <cellStyle name="Normal 3 3 3 2 4 10" xfId="36433"/>
    <cellStyle name="Normal 4 2 3 2 4 10" xfId="36434"/>
    <cellStyle name="Normal 5 2 3 2 4 10" xfId="36435"/>
    <cellStyle name="Normal 7 2 3 2 4 10" xfId="36436"/>
    <cellStyle name="Normal 2 4 3 2 4 10" xfId="36437"/>
    <cellStyle name="Normal 3 4 3 2 4 10" xfId="36438"/>
    <cellStyle name="Normal 4 3 3 2 4 10" xfId="36439"/>
    <cellStyle name="Normal 5 3 3 2 4 10" xfId="36440"/>
    <cellStyle name="Normal 7 3 3 2 4 10" xfId="36441"/>
    <cellStyle name="Normal 2 8 3 10" xfId="36442"/>
    <cellStyle name="Normal 3 8 3 10" xfId="36443"/>
    <cellStyle name="Normal 4 7 3 10" xfId="36444"/>
    <cellStyle name="Normal 5 7 3 10" xfId="36445"/>
    <cellStyle name="Normal 7 7 3 10" xfId="36446"/>
    <cellStyle name="Normal 2 3 5 3 10" xfId="36447"/>
    <cellStyle name="Normal 3 3 5 3 10" xfId="36448"/>
    <cellStyle name="Normal 4 2 5 3 10" xfId="36449"/>
    <cellStyle name="Normal 5 2 5 3 10" xfId="36450"/>
    <cellStyle name="Normal 7 2 5 3 10" xfId="36451"/>
    <cellStyle name="Normal 3 4 5 3 10" xfId="36452"/>
    <cellStyle name="Normal 4 3 5 3 10" xfId="36453"/>
    <cellStyle name="Normal 5 3 5 3 10" xfId="36454"/>
    <cellStyle name="Normal 7 3 5 3 10" xfId="36455"/>
    <cellStyle name="Normal 2 5 3 3 10" xfId="36456"/>
    <cellStyle name="Normal 3 5 3 3 10" xfId="36457"/>
    <cellStyle name="Normal 4 4 3 3 10" xfId="36458"/>
    <cellStyle name="Normal 5 4 3 3 10" xfId="36459"/>
    <cellStyle name="Normal 7 4 3 3 10" xfId="36460"/>
    <cellStyle name="Normal 2 3 2 3 3 10" xfId="36461"/>
    <cellStyle name="Normal 3 3 2 3 3 10" xfId="36462"/>
    <cellStyle name="Normal 4 2 2 3 3 10" xfId="36463"/>
    <cellStyle name="Normal 5 2 2 3 3 10" xfId="36464"/>
    <cellStyle name="Normal 7 2 2 3 3 10" xfId="36465"/>
    <cellStyle name="Normal 2 4 2 3 3 10" xfId="36466"/>
    <cellStyle name="Normal 3 4 2 3 3 10" xfId="36467"/>
    <cellStyle name="Normal 4 3 2 3 3 10" xfId="36468"/>
    <cellStyle name="Normal 5 3 2 3 3 10" xfId="36469"/>
    <cellStyle name="Normal 7 3 2 3 3 10" xfId="36470"/>
    <cellStyle name="Normal 2 6 3 3 10" xfId="36471"/>
    <cellStyle name="Normal 3 6 3 3 10" xfId="36472"/>
    <cellStyle name="Normal 4 5 3 3 10" xfId="36473"/>
    <cellStyle name="Normal 5 5 3 3 10" xfId="36474"/>
    <cellStyle name="Normal 7 5 3 3 10" xfId="36475"/>
    <cellStyle name="Normal 2 3 3 3 3 10" xfId="36476"/>
    <cellStyle name="Normal 3 3 3 3 3 10" xfId="36477"/>
    <cellStyle name="Normal 4 2 3 3 3 10" xfId="36478"/>
    <cellStyle name="Normal 5 2 3 3 3 10" xfId="36479"/>
    <cellStyle name="Normal 7 2 3 3 3 10" xfId="36480"/>
    <cellStyle name="Normal 2 4 3 3 3 10" xfId="36481"/>
    <cellStyle name="Normal 3 4 3 3 3 10" xfId="36482"/>
    <cellStyle name="Normal 4 3 3 3 3 10" xfId="36483"/>
    <cellStyle name="Normal 5 3 3 3 3 10" xfId="36484"/>
    <cellStyle name="Normal 7 3 3 3 3 10" xfId="36485"/>
    <cellStyle name="Normal 2 7 2 3 10" xfId="36486"/>
    <cellStyle name="Normal 3 7 2 3 10" xfId="36487"/>
    <cellStyle name="Normal 4 6 2 3 10" xfId="36488"/>
    <cellStyle name="Normal 5 6 2 3 10" xfId="36489"/>
    <cellStyle name="Normal 7 6 2 3 10" xfId="36490"/>
    <cellStyle name="Normal 2 3 4 2 3 10" xfId="36491"/>
    <cellStyle name="Normal 3 3 4 2 3 10" xfId="36492"/>
    <cellStyle name="Normal 4 2 4 2 3 10" xfId="36493"/>
    <cellStyle name="Normal 5 2 4 2 3 10" xfId="36494"/>
    <cellStyle name="Normal 7 2 4 2 3 10" xfId="36495"/>
    <cellStyle name="Normal 2 4 4 2 3 10" xfId="36496"/>
    <cellStyle name="Normal 3 4 4 2 3 10" xfId="36497"/>
    <cellStyle name="Normal 4 3 4 2 3 10" xfId="36498"/>
    <cellStyle name="Normal 5 3 4 2 3 10" xfId="36499"/>
    <cellStyle name="Normal 7 3 4 2 3 10" xfId="36500"/>
    <cellStyle name="Normal 2 5 2 2 3 10" xfId="36501"/>
    <cellStyle name="Normal 3 5 2 2 3 10" xfId="36502"/>
    <cellStyle name="Normal 4 4 2 2 3 10" xfId="36503"/>
    <cellStyle name="Normal 5 4 2 2 3 10" xfId="36504"/>
    <cellStyle name="Normal 7 4 2 2 3 10" xfId="36505"/>
    <cellStyle name="Normal 2 3 2 2 2 3 10" xfId="36506"/>
    <cellStyle name="Normal 3 3 2 2 2 3 10" xfId="36507"/>
    <cellStyle name="Normal 4 2 2 2 2 3 10" xfId="36508"/>
    <cellStyle name="Normal 5 2 2 2 2 3 10" xfId="36509"/>
    <cellStyle name="Normal 7 2 2 2 2 3 10" xfId="36510"/>
    <cellStyle name="Normal 2 4 2 2 2 3 10" xfId="36511"/>
    <cellStyle name="Normal 3 4 2 2 2 3 10" xfId="36512"/>
    <cellStyle name="Normal 4 3 2 2 2 3 10" xfId="36513"/>
    <cellStyle name="Normal 5 3 2 2 2 3 10" xfId="36514"/>
    <cellStyle name="Normal 7 3 2 2 2 3 10" xfId="36515"/>
    <cellStyle name="Normal 2 6 2 2 3 10" xfId="36516"/>
    <cellStyle name="Normal 3 6 2 2 3 10" xfId="36517"/>
    <cellStyle name="Normal 4 5 2 2 3 10" xfId="36518"/>
    <cellStyle name="Normal 5 5 2 2 3 10" xfId="36519"/>
    <cellStyle name="Normal 7 5 2 2 3 10" xfId="36520"/>
    <cellStyle name="Normal 2 3 3 2 2 3 10" xfId="36521"/>
    <cellStyle name="Normal 3 3 3 2 2 3 10" xfId="36522"/>
    <cellStyle name="Normal 4 2 3 2 2 3 10" xfId="36523"/>
    <cellStyle name="Normal 5 2 3 2 2 3 10" xfId="36524"/>
    <cellStyle name="Normal 7 2 3 2 2 3 10" xfId="36525"/>
    <cellStyle name="Normal 2 4 3 2 2 3 10" xfId="36526"/>
    <cellStyle name="Normal 3 4 3 2 2 3 10" xfId="36527"/>
    <cellStyle name="Normal 4 3 3 2 2 3 10" xfId="36528"/>
    <cellStyle name="Normal 5 3 3 2 2 3 10" xfId="36529"/>
    <cellStyle name="Normal 7 3 3 2 2 3 10" xfId="36530"/>
    <cellStyle name="Normal 2 11 8" xfId="36531"/>
    <cellStyle name="Normal 3 11 8" xfId="36532"/>
    <cellStyle name="Normal 4 10 8" xfId="36533"/>
    <cellStyle name="Normal 5 10 8" xfId="36534"/>
    <cellStyle name="Normal 7 10 8" xfId="36535"/>
    <cellStyle name="Normal 2 3 8 8" xfId="36536"/>
    <cellStyle name="Normal 3 3 8 8" xfId="36537"/>
    <cellStyle name="Normal 4 2 8 8" xfId="36538"/>
    <cellStyle name="Normal 5 2 8 8" xfId="36539"/>
    <cellStyle name="Normal 7 2 8 8" xfId="36540"/>
    <cellStyle name="Normal 2 4 8 8" xfId="36541"/>
    <cellStyle name="Normal 3 4 8 8" xfId="36542"/>
    <cellStyle name="Normal 4 3 8 8" xfId="36543"/>
    <cellStyle name="Normal 5 3 8 8" xfId="36544"/>
    <cellStyle name="Normal 7 3 8 8" xfId="36545"/>
    <cellStyle name="Normal 2 5 6 8" xfId="36546"/>
    <cellStyle name="Normal 3 5 6 8" xfId="36547"/>
    <cellStyle name="Normal 4 4 6 8" xfId="36548"/>
    <cellStyle name="Normal 5 4 6 8" xfId="36549"/>
    <cellStyle name="Normal 7 4 6 8" xfId="36550"/>
    <cellStyle name="Normal 2 3 2 6 8" xfId="36551"/>
    <cellStyle name="Normal 3 3 2 6 8" xfId="36552"/>
    <cellStyle name="Normal 4 2 2 6 8" xfId="36553"/>
    <cellStyle name="Normal 5 2 2 6 8" xfId="36554"/>
    <cellStyle name="Normal 7 2 2 6 8" xfId="36555"/>
    <cellStyle name="Normal 2 4 2 6 8" xfId="36556"/>
    <cellStyle name="Normal 3 4 2 6 8" xfId="36557"/>
    <cellStyle name="Normal 4 3 2 6 8" xfId="36558"/>
    <cellStyle name="Normal 5 3 2 6 8" xfId="36559"/>
    <cellStyle name="Normal 7 3 2 6 8" xfId="36560"/>
    <cellStyle name="Normal 2 6 6 8" xfId="36561"/>
    <cellStyle name="Normal 3 6 6 8" xfId="36562"/>
    <cellStyle name="Normal 4 5 6 8" xfId="36563"/>
    <cellStyle name="Normal 5 5 6 8" xfId="36564"/>
    <cellStyle name="Normal 7 5 6 8" xfId="36565"/>
    <cellStyle name="Normal 2 3 3 6 8" xfId="36566"/>
    <cellStyle name="Normal 3 3 3 6 8" xfId="36567"/>
    <cellStyle name="Normal 4 2 3 6 8" xfId="36568"/>
    <cellStyle name="Normal 5 2 3 6 8" xfId="36569"/>
    <cellStyle name="Normal 7 2 3 6 8" xfId="36570"/>
    <cellStyle name="Normal 2 4 3 6 8" xfId="36571"/>
    <cellStyle name="Normal 3 4 3 6 8" xfId="36572"/>
    <cellStyle name="Normal 4 3 3 6 8" xfId="36573"/>
    <cellStyle name="Normal 5 3 3 6 8" xfId="36574"/>
    <cellStyle name="Normal 7 3 3 6 8" xfId="36575"/>
    <cellStyle name="Normal 2 7 5 8" xfId="36576"/>
    <cellStyle name="Normal 3 7 5 8" xfId="36577"/>
    <cellStyle name="Normal 4 6 5 8" xfId="36578"/>
    <cellStyle name="Normal 5 6 5 8" xfId="36579"/>
    <cellStyle name="Normal 7 6 5 8" xfId="36580"/>
    <cellStyle name="Normal 2 3 4 5 8" xfId="36581"/>
    <cellStyle name="Normal 3 3 4 5 8" xfId="36582"/>
    <cellStyle name="Normal 4 2 4 5 8" xfId="36583"/>
    <cellStyle name="Normal 5 2 4 5 8" xfId="36584"/>
    <cellStyle name="Normal 7 2 4 5 8" xfId="36585"/>
    <cellStyle name="Normal 2 4 4 5 8" xfId="36586"/>
    <cellStyle name="Normal 3 4 4 5 8" xfId="36587"/>
    <cellStyle name="Normal 4 3 4 5 8" xfId="36588"/>
    <cellStyle name="Normal 5 3 4 5 8" xfId="36589"/>
    <cellStyle name="Normal 7 3 4 5 8" xfId="36590"/>
    <cellStyle name="Normal 2 5 2 5 8" xfId="36591"/>
    <cellStyle name="Normal 3 5 2 5 8" xfId="36592"/>
    <cellStyle name="Normal 4 4 2 5 8" xfId="36593"/>
    <cellStyle name="Normal 5 4 2 5 8" xfId="36594"/>
    <cellStyle name="Normal 7 4 2 5 8" xfId="36595"/>
    <cellStyle name="Normal 2 3 2 2 5 8" xfId="36596"/>
    <cellStyle name="Normal 3 3 2 2 5 8" xfId="36597"/>
    <cellStyle name="Normal 4 2 2 2 5 8" xfId="36598"/>
    <cellStyle name="Normal 5 2 2 2 5 8" xfId="36599"/>
    <cellStyle name="Normal 7 2 2 2 5 8" xfId="36600"/>
    <cellStyle name="Normal 2 4 2 2 5 8" xfId="36601"/>
    <cellStyle name="Normal 3 4 2 2 5 8" xfId="36602"/>
    <cellStyle name="Normal 4 3 2 2 5 8" xfId="36603"/>
    <cellStyle name="Normal 5 3 2 2 5 8" xfId="36604"/>
    <cellStyle name="Normal 7 3 2 2 5 8" xfId="36605"/>
    <cellStyle name="Normal 2 6 2 5 8" xfId="36606"/>
    <cellStyle name="Normal 3 6 2 5 8" xfId="36607"/>
    <cellStyle name="Normal 4 5 2 5 8" xfId="36608"/>
    <cellStyle name="Normal 5 5 2 5 8" xfId="36609"/>
    <cellStyle name="Normal 7 5 2 5 8" xfId="36610"/>
    <cellStyle name="Normal 2 3 3 2 5 8" xfId="36611"/>
    <cellStyle name="Normal 3 3 3 2 5 8" xfId="36612"/>
    <cellStyle name="Normal 4 2 3 2 5 8" xfId="36613"/>
    <cellStyle name="Normal 5 2 3 2 5 8" xfId="36614"/>
    <cellStyle name="Normal 7 2 3 2 5 8" xfId="36615"/>
    <cellStyle name="Normal 2 4 3 2 5 8" xfId="36616"/>
    <cellStyle name="Normal 3 4 3 2 5 8" xfId="36617"/>
    <cellStyle name="Normal 4 3 3 2 5 8" xfId="36618"/>
    <cellStyle name="Normal 5 3 3 2 5 8" xfId="36619"/>
    <cellStyle name="Normal 7 3 3 2 5 8" xfId="36620"/>
    <cellStyle name="Normal 2 8 4 8" xfId="36621"/>
    <cellStyle name="Normal 3 8 4 8" xfId="36622"/>
    <cellStyle name="Normal 4 7 4 8" xfId="36623"/>
    <cellStyle name="Normal 5 7 4 8" xfId="36624"/>
    <cellStyle name="Normal 7 7 4 8" xfId="36625"/>
    <cellStyle name="Normal 2 3 5 4 8" xfId="36626"/>
    <cellStyle name="Normal 3 3 5 4 8" xfId="36627"/>
    <cellStyle name="Normal 4 2 5 4 8" xfId="36628"/>
    <cellStyle name="Normal 5 2 5 4 8" xfId="36629"/>
    <cellStyle name="Normal 7 2 5 4 8" xfId="36630"/>
    <cellStyle name="Normal 2 4 5 4 8" xfId="36631"/>
    <cellStyle name="Normal 3 4 5 4 8" xfId="36632"/>
    <cellStyle name="Normal 4 3 5 4 8" xfId="36633"/>
    <cellStyle name="Normal 5 3 5 4 8" xfId="36634"/>
    <cellStyle name="Normal 7 3 5 4 8" xfId="36635"/>
    <cellStyle name="Normal 2 5 3 4 8" xfId="36636"/>
    <cellStyle name="Normal 3 5 3 4 8" xfId="36637"/>
    <cellStyle name="Normal 4 4 3 4 8" xfId="36638"/>
    <cellStyle name="Normal 5 4 3 4 8" xfId="36639"/>
    <cellStyle name="Normal 7 4 3 4 8" xfId="36640"/>
    <cellStyle name="Normal 2 3 2 3 4 8" xfId="36641"/>
    <cellStyle name="Normal 3 3 2 3 4 8" xfId="36642"/>
    <cellStyle name="Normal 4 2 2 3 4 8" xfId="36643"/>
    <cellStyle name="Normal 5 2 2 3 4 8" xfId="36644"/>
    <cellStyle name="Normal 7 2 2 3 4 8" xfId="36645"/>
    <cellStyle name="Normal 2 4 2 3 4 8" xfId="36646"/>
    <cellStyle name="Normal 3 4 2 3 4 8" xfId="36647"/>
    <cellStyle name="Normal 4 3 2 3 4 8" xfId="36648"/>
    <cellStyle name="Normal 5 3 2 3 4 8" xfId="36649"/>
    <cellStyle name="Normal 7 3 2 3 4 8" xfId="36650"/>
    <cellStyle name="Normal 2 6 3 4 8" xfId="36651"/>
    <cellStyle name="Normal 3 6 3 4 8" xfId="36652"/>
    <cellStyle name="Normal 4 5 3 4 8" xfId="36653"/>
    <cellStyle name="Normal 5 5 3 4 8" xfId="36654"/>
    <cellStyle name="Normal 7 5 3 4 8" xfId="36655"/>
    <cellStyle name="Normal 2 3 3 3 4 8" xfId="36656"/>
    <cellStyle name="Normal 3 3 3 3 4 8" xfId="36657"/>
    <cellStyle name="Normal 4 2 3 3 4 8" xfId="36658"/>
    <cellStyle name="Normal 5 2 3 3 4 8" xfId="36659"/>
    <cellStyle name="Normal 7 2 3 3 4 8" xfId="36660"/>
    <cellStyle name="Normal 2 4 3 3 4 8" xfId="36661"/>
    <cellStyle name="Normal 3 4 3 3 4 8" xfId="36662"/>
    <cellStyle name="Normal 4 3 3 3 4 8" xfId="36663"/>
    <cellStyle name="Normal 5 3 3 3 4 8" xfId="36664"/>
    <cellStyle name="Normal 7 3 3 3 4 8" xfId="36665"/>
    <cellStyle name="Normal 2 7 2 4 8" xfId="36666"/>
    <cellStyle name="Normal 3 7 2 4 8" xfId="36667"/>
    <cellStyle name="Normal 4 6 2 4 8" xfId="36668"/>
    <cellStyle name="Normal 5 6 2 4 8" xfId="36669"/>
    <cellStyle name="Normal 7 6 2 4 8" xfId="36670"/>
    <cellStyle name="Normal 2 3 4 2 4 8" xfId="36671"/>
    <cellStyle name="Normal 3 3 4 2 4 8" xfId="36672"/>
    <cellStyle name="Normal 4 2 4 2 4 8" xfId="36673"/>
    <cellStyle name="Normal 5 2 4 2 4 8" xfId="36674"/>
    <cellStyle name="Normal 7 2 4 2 4 8" xfId="36675"/>
    <cellStyle name="Normal 2 4 4 2 4 8" xfId="36676"/>
    <cellStyle name="Normal 3 4 4 2 4 8" xfId="36677"/>
    <cellStyle name="Normal 4 3 4 2 4 8" xfId="36678"/>
    <cellStyle name="Normal 5 3 4 2 4 8" xfId="36679"/>
    <cellStyle name="Normal 7 3 4 2 4 8" xfId="36680"/>
    <cellStyle name="Normal 2 5 2 2 4 8" xfId="36681"/>
    <cellStyle name="Normal 3 5 2 2 4 8" xfId="36682"/>
    <cellStyle name="Normal 4 4 2 2 4 8" xfId="36683"/>
    <cellStyle name="Normal 5 4 2 2 4 8" xfId="36684"/>
    <cellStyle name="Normal 7 4 2 2 4 8" xfId="36685"/>
    <cellStyle name="Normal 2 3 2 2 2 4 8" xfId="36686"/>
    <cellStyle name="Normal 3 3 2 2 2 4 8" xfId="36687"/>
    <cellStyle name="Normal 4 2 2 2 2 4 8" xfId="36688"/>
    <cellStyle name="Normal 5 2 2 2 2 4 8" xfId="36689"/>
    <cellStyle name="Normal 7 2 2 2 2 4 8" xfId="36690"/>
    <cellStyle name="Normal 2 4 2 2 2 4 8" xfId="36691"/>
    <cellStyle name="Normal 3 4 2 2 2 4 8" xfId="36692"/>
    <cellStyle name="Normal 4 3 2 2 2 4 8" xfId="36693"/>
    <cellStyle name="Normal 5 3 2 2 2 4 8" xfId="36694"/>
    <cellStyle name="Normal 7 3 2 2 2 4 8" xfId="36695"/>
    <cellStyle name="Normal 2 6 2 2 4 8" xfId="36696"/>
    <cellStyle name="Normal 3 6 2 2 4 8" xfId="36697"/>
    <cellStyle name="Normal 4 5 2 2 4 8" xfId="36698"/>
    <cellStyle name="Normal 5 5 2 2 4 8" xfId="36699"/>
    <cellStyle name="Normal 7 5 2 2 4 8" xfId="36700"/>
    <cellStyle name="Normal 2 3 3 2 2 4 8" xfId="36701"/>
    <cellStyle name="Normal 3 3 3 2 2 4 8" xfId="36702"/>
    <cellStyle name="Normal 4 2 3 2 2 4 8" xfId="36703"/>
    <cellStyle name="Normal 5 2 3 2 2 4 8" xfId="36704"/>
    <cellStyle name="Normal 7 2 3 2 2 4 8" xfId="36705"/>
    <cellStyle name="Normal 2 4 3 2 2 4 8" xfId="36706"/>
    <cellStyle name="Normal 3 4 3 2 2 4 8" xfId="36707"/>
    <cellStyle name="Normal 4 3 3 2 2 4 8" xfId="36708"/>
    <cellStyle name="Normal 5 3 3 2 2 4 8" xfId="36709"/>
    <cellStyle name="Normal 7 3 3 2 2 4 8" xfId="36710"/>
    <cellStyle name="Normal 2 9 2 8" xfId="36711"/>
    <cellStyle name="Normal 3 9 2 8" xfId="36712"/>
    <cellStyle name="Normal 4 8 2 8" xfId="36713"/>
    <cellStyle name="Normal 5 8 2 8" xfId="36714"/>
    <cellStyle name="Normal 7 8 2 8" xfId="36715"/>
    <cellStyle name="Normal 2 3 6 2 8" xfId="36716"/>
    <cellStyle name="Normal 3 3 6 2 8" xfId="36717"/>
    <cellStyle name="Normal 4 2 6 2 8" xfId="36718"/>
    <cellStyle name="Normal 5 2 6 2 8" xfId="36719"/>
    <cellStyle name="Normal 7 2 6 2 8" xfId="36720"/>
    <cellStyle name="Normal 2 4 6 2 8" xfId="36721"/>
    <cellStyle name="Normal 3 4 6 2 8" xfId="36722"/>
    <cellStyle name="Normal 4 3 6 2 8" xfId="36723"/>
    <cellStyle name="Normal 5 3 6 2 8" xfId="36724"/>
    <cellStyle name="Normal 7 3 6 2 8" xfId="36725"/>
    <cellStyle name="Normal 2 5 4 2 8" xfId="36726"/>
    <cellStyle name="Normal 3 5 4 2 8" xfId="36727"/>
    <cellStyle name="Normal 4 4 4 2 8" xfId="36728"/>
    <cellStyle name="Normal 5 4 4 2 8" xfId="36729"/>
    <cellStyle name="Normal 7 4 4 2 8" xfId="36730"/>
    <cellStyle name="Normal 2 3 2 4 2 8" xfId="36731"/>
    <cellStyle name="Normal 3 3 2 4 2 8" xfId="36732"/>
    <cellStyle name="Normal 4 2 2 4 2 8" xfId="36733"/>
    <cellStyle name="Normal 5 2 2 4 2 8" xfId="36734"/>
    <cellStyle name="Normal 7 2 2 4 2 8" xfId="36735"/>
    <cellStyle name="Normal 2 4 2 4 2 8" xfId="36736"/>
    <cellStyle name="Normal 3 4 2 4 2 8" xfId="36737"/>
    <cellStyle name="Normal 4 3 2 4 2 8" xfId="36738"/>
    <cellStyle name="Normal 5 3 2 4 2 8" xfId="36739"/>
    <cellStyle name="Normal 7 3 2 4 2 8" xfId="36740"/>
    <cellStyle name="Normal 2 6 4 2 8" xfId="36741"/>
    <cellStyle name="Normal 3 6 4 2 8" xfId="36742"/>
    <cellStyle name="Normal 4 5 4 2 8" xfId="36743"/>
    <cellStyle name="Normal 5 5 4 2 8" xfId="36744"/>
    <cellStyle name="Normal 7 5 4 2 8" xfId="36745"/>
    <cellStyle name="Normal 2 3 3 4 2 8" xfId="36746"/>
    <cellStyle name="Normal 3 3 3 4 2 8" xfId="36747"/>
    <cellStyle name="Normal 4 2 3 4 2 8" xfId="36748"/>
    <cellStyle name="Normal 5 2 3 4 2 8" xfId="36749"/>
    <cellStyle name="Normal 7 2 3 4 2 8" xfId="36750"/>
    <cellStyle name="Normal 2 4 3 4 2 8" xfId="36751"/>
    <cellStyle name="Normal 3 4 3 4 2 8" xfId="36752"/>
    <cellStyle name="Normal 4 3 3 4 2 8" xfId="36753"/>
    <cellStyle name="Normal 5 3 3 4 2 8" xfId="36754"/>
    <cellStyle name="Normal 7 3 3 4 2 8" xfId="36755"/>
    <cellStyle name="Normal 2 7 3 2 8" xfId="36756"/>
    <cellStyle name="Normal 3 7 3 2 8" xfId="36757"/>
    <cellStyle name="Normal 4 6 3 2 8" xfId="36758"/>
    <cellStyle name="Normal 5 6 3 2 8" xfId="36759"/>
    <cellStyle name="Normal 7 6 3 2 8" xfId="36760"/>
    <cellStyle name="Normal 2 3 4 3 2 8" xfId="36761"/>
    <cellStyle name="Normal 3 3 4 3 2 8" xfId="36762"/>
    <cellStyle name="Normal 4 2 4 3 2 8" xfId="36763"/>
    <cellStyle name="Normal 5 2 4 3 2 8" xfId="36764"/>
    <cellStyle name="Normal 7 2 4 3 2 8" xfId="36765"/>
    <cellStyle name="Normal 2 4 4 3 2 8" xfId="36766"/>
    <cellStyle name="Normal 3 4 4 3 2 8" xfId="36767"/>
    <cellStyle name="Normal 4 3 4 3 2 8" xfId="36768"/>
    <cellStyle name="Normal 5 3 4 3 2 8" xfId="36769"/>
    <cellStyle name="Normal 7 3 4 3 2 8" xfId="36770"/>
    <cellStyle name="Normal 2 5 2 3 2 8" xfId="36771"/>
    <cellStyle name="Normal 3 5 2 3 2 8" xfId="36772"/>
    <cellStyle name="Normal 4 4 2 3 2 8" xfId="36773"/>
    <cellStyle name="Normal 5 4 2 3 2 8" xfId="36774"/>
    <cellStyle name="Normal 7 4 2 3 2 8" xfId="36775"/>
    <cellStyle name="Normal 2 3 2 2 3 2 8" xfId="36776"/>
    <cellStyle name="Normal 3 3 2 2 3 2 8" xfId="36777"/>
    <cellStyle name="Normal 4 2 2 2 3 2 8" xfId="36778"/>
    <cellStyle name="Normal 5 2 2 2 3 2 8" xfId="36779"/>
    <cellStyle name="Normal 7 2 2 2 3 2 8" xfId="36780"/>
    <cellStyle name="Normal 2 4 2 2 3 2 8" xfId="36781"/>
    <cellStyle name="Normal 3 4 2 2 3 2 8" xfId="36782"/>
    <cellStyle name="Normal 4 3 2 2 3 2 8" xfId="36783"/>
    <cellStyle name="Normal 5 3 2 2 3 2 8" xfId="36784"/>
    <cellStyle name="Normal 7 3 2 2 3 2 8" xfId="36785"/>
    <cellStyle name="Normal 2 6 2 3 2 8" xfId="36786"/>
    <cellStyle name="Normal 3 6 2 3 2 8" xfId="36787"/>
    <cellStyle name="Normal 4 5 2 3 2 8" xfId="36788"/>
    <cellStyle name="Normal 5 5 2 3 2 8" xfId="36789"/>
    <cellStyle name="Normal 7 5 2 3 2 8" xfId="36790"/>
    <cellStyle name="Normal 2 3 3 2 3 2 8" xfId="36791"/>
    <cellStyle name="Normal 3 3 3 2 3 2 8" xfId="36792"/>
    <cellStyle name="Normal 4 2 3 2 3 2 8" xfId="36793"/>
    <cellStyle name="Normal 5 2 3 2 3 2 8" xfId="36794"/>
    <cellStyle name="Normal 7 2 3 2 3 2 8" xfId="36795"/>
    <cellStyle name="Normal 2 4 3 2 3 2 8" xfId="36796"/>
    <cellStyle name="Normal 3 4 3 2 3 2 8" xfId="36797"/>
    <cellStyle name="Normal 4 3 3 2 3 2 8" xfId="36798"/>
    <cellStyle name="Normal 5 3 3 2 3 2 8" xfId="36799"/>
    <cellStyle name="Normal 7 3 3 2 3 2 8" xfId="36800"/>
    <cellStyle name="Normal 2 8 2 2 8" xfId="36801"/>
    <cellStyle name="Normal 3 8 2 2 8" xfId="36802"/>
    <cellStyle name="Normal 4 7 2 2 8" xfId="36803"/>
    <cellStyle name="Normal 5 7 2 2 8" xfId="36804"/>
    <cellStyle name="Normal 7 7 2 2 8" xfId="36805"/>
    <cellStyle name="Normal 2 3 5 2 2 8" xfId="36806"/>
    <cellStyle name="Normal 3 3 5 2 2 8" xfId="36807"/>
    <cellStyle name="Normal 4 2 5 2 2 8" xfId="36808"/>
    <cellStyle name="Normal 5 2 5 2 2 8" xfId="36809"/>
    <cellStyle name="Normal 7 2 5 2 2 8" xfId="36810"/>
    <cellStyle name="Normal 2 4 5 2 2 8" xfId="36811"/>
    <cellStyle name="Normal 3 4 5 2 2 8" xfId="36812"/>
    <cellStyle name="Normal 4 3 5 2 2 8" xfId="36813"/>
    <cellStyle name="Normal 5 3 5 2 2 8" xfId="36814"/>
    <cellStyle name="Normal 7 3 5 2 2 8" xfId="36815"/>
    <cellStyle name="Normal 2 5 3 2 2 8" xfId="36816"/>
    <cellStyle name="Normal 3 5 3 2 2 8" xfId="36817"/>
    <cellStyle name="Normal 4 4 3 2 2 8" xfId="36818"/>
    <cellStyle name="Normal 5 4 3 2 2 8" xfId="36819"/>
    <cellStyle name="Normal 7 4 3 2 2 8" xfId="36820"/>
    <cellStyle name="Normal 2 3 2 3 2 2 8" xfId="36821"/>
    <cellStyle name="Normal 3 3 2 3 2 2 8" xfId="36822"/>
    <cellStyle name="Normal 4 2 2 3 2 2 8" xfId="36823"/>
    <cellStyle name="Normal 5 2 2 3 2 2 8" xfId="36824"/>
    <cellStyle name="Normal 7 2 2 3 2 2 8" xfId="36825"/>
    <cellStyle name="Normal 2 4 2 3 2 2 8" xfId="36826"/>
    <cellStyle name="Normal 3 4 2 3 2 2 8" xfId="36827"/>
    <cellStyle name="Normal 4 3 2 3 2 2 8" xfId="36828"/>
    <cellStyle name="Normal 5 3 2 3 2 2 8" xfId="36829"/>
    <cellStyle name="Normal 7 3 2 3 2 2 8" xfId="36830"/>
    <cellStyle name="Normal 2 6 3 2 2 8" xfId="36831"/>
    <cellStyle name="Normal 3 6 3 2 2 8" xfId="36832"/>
    <cellStyle name="Normal 4 5 3 2 2 8" xfId="36833"/>
    <cellStyle name="Normal 5 5 3 2 2 8" xfId="36834"/>
    <cellStyle name="Normal 7 5 3 2 2 8" xfId="36835"/>
    <cellStyle name="Normal 2 3 3 3 2 2 8" xfId="36836"/>
    <cellStyle name="Normal 3 3 3 3 2 2 8" xfId="36837"/>
    <cellStyle name="Normal 4 2 3 3 2 2 8" xfId="36838"/>
    <cellStyle name="Normal 5 2 3 3 2 2 8" xfId="36839"/>
    <cellStyle name="Normal 7 2 3 3 2 2 8" xfId="36840"/>
    <cellStyle name="Normal 2 4 3 3 2 2 8" xfId="36841"/>
    <cellStyle name="Normal 3 4 3 3 2 2 8" xfId="36842"/>
    <cellStyle name="Normal 4 3 3 3 2 2 8" xfId="36843"/>
    <cellStyle name="Normal 5 3 3 3 2 2 8" xfId="36844"/>
    <cellStyle name="Normal 7 3 3 3 2 2 8" xfId="36845"/>
    <cellStyle name="Normal 2 7 2 2 2 8" xfId="36846"/>
    <cellStyle name="Normal 3 7 2 2 2 8" xfId="36847"/>
    <cellStyle name="Normal 4 6 2 2 2 8" xfId="36848"/>
    <cellStyle name="Normal 5 6 2 2 2 8" xfId="36849"/>
    <cellStyle name="Normal 7 6 2 2 2 8" xfId="36850"/>
    <cellStyle name="Normal 2 3 4 2 2 2 8" xfId="36851"/>
    <cellStyle name="Normal 3 3 4 2 2 2 8" xfId="36852"/>
    <cellStyle name="Normal 4 2 4 2 2 2 8" xfId="36853"/>
    <cellStyle name="Normal 5 2 4 2 2 2 8" xfId="36854"/>
    <cellStyle name="Normal 7 2 4 2 2 2 8" xfId="36855"/>
    <cellStyle name="Normal 2 4 4 2 2 2 8" xfId="36856"/>
    <cellStyle name="Normal 3 4 4 2 2 2 8" xfId="36857"/>
    <cellStyle name="Normal 4 3 4 2 2 2 8" xfId="36858"/>
    <cellStyle name="Normal 5 3 4 2 2 2 8" xfId="36859"/>
    <cellStyle name="Normal 7 3 4 2 2 2 8" xfId="36860"/>
    <cellStyle name="Normal 2 5 2 2 2 2 8" xfId="36861"/>
    <cellStyle name="Normal 3 5 2 2 2 2 8" xfId="36862"/>
    <cellStyle name="Normal 4 4 2 2 2 2 8" xfId="36863"/>
    <cellStyle name="Normal 5 4 2 2 2 2 8" xfId="36864"/>
    <cellStyle name="Normal 7 4 2 2 2 2 8" xfId="36865"/>
    <cellStyle name="Normal 2 3 2 2 2 2 2 8" xfId="36866"/>
    <cellStyle name="Normal 3 3 2 2 2 2 2 8" xfId="36867"/>
    <cellStyle name="Normal 4 2 2 2 2 2 2 8" xfId="36868"/>
    <cellStyle name="Normal 5 2 2 2 2 2 2 8" xfId="36869"/>
    <cellStyle name="Normal 7 2 2 2 2 2 2 8" xfId="36870"/>
    <cellStyle name="Normal 2 4 2 2 2 2 2 8" xfId="36871"/>
    <cellStyle name="Normal 3 4 2 2 2 2 2 8" xfId="36872"/>
    <cellStyle name="Normal 4 3 2 2 2 2 2 8" xfId="36873"/>
    <cellStyle name="Normal 5 3 2 2 2 2 2 8" xfId="36874"/>
    <cellStyle name="Normal 7 3 2 2 2 2 2 8" xfId="36875"/>
    <cellStyle name="Normal 2 6 2 2 2 2 8" xfId="36876"/>
    <cellStyle name="Normal 3 6 2 2 2 2 8" xfId="36877"/>
    <cellStyle name="Normal 4 5 2 2 2 2 8" xfId="36878"/>
    <cellStyle name="Normal 5 5 2 2 2 2 8" xfId="36879"/>
    <cellStyle name="Normal 7 5 2 2 2 2 8" xfId="36880"/>
    <cellStyle name="Normal 2 3 3 2 2 2 2 8" xfId="36881"/>
    <cellStyle name="Normal 3 3 3 2 2 2 2 8" xfId="36882"/>
    <cellStyle name="Normal 4 2 3 2 2 2 2 8" xfId="36883"/>
    <cellStyle name="Normal 5 2 3 2 2 2 2 8" xfId="36884"/>
    <cellStyle name="Normal 7 2 3 2 2 2 2 8" xfId="36885"/>
    <cellStyle name="Normal 2 4 3 2 2 2 2 8" xfId="36886"/>
    <cellStyle name="Normal 3 4 3 2 2 2 2 8" xfId="36887"/>
    <cellStyle name="Normal 4 3 3 2 2 2 2 8" xfId="36888"/>
    <cellStyle name="Normal 5 3 3 2 2 2 2 8" xfId="36889"/>
    <cellStyle name="Normal 7 3 3 2 2 2 2 8" xfId="36890"/>
    <cellStyle name="Normal 2 3 7 2 8" xfId="36891"/>
    <cellStyle name="Normal 3 10 2 8" xfId="36892"/>
    <cellStyle name="Normal 4 9 2 8" xfId="36893"/>
    <cellStyle name="Normal 5 9 2 8" xfId="36894"/>
    <cellStyle name="Millares 4 2 8" xfId="36895"/>
    <cellStyle name="Normal 7 2 7 2 8" xfId="36896"/>
    <cellStyle name="Normal 3 3 7 2 8" xfId="36897"/>
    <cellStyle name="Normal 4 2 7 2 8" xfId="36898"/>
    <cellStyle name="Normal 5 2 7 2 8" xfId="36899"/>
    <cellStyle name="Normal 2 4 5 3 2 8" xfId="36900"/>
    <cellStyle name="Normal 3 4 7 2 8" xfId="36901"/>
    <cellStyle name="Normal 4 3 7 2 8" xfId="36902"/>
    <cellStyle name="Normal 5 3 7 2 8" xfId="36903"/>
    <cellStyle name="Normal 7 3 7 2 8" xfId="36904"/>
    <cellStyle name="Normal 2 5 5 2 8" xfId="36905"/>
    <cellStyle name="Normal 3 5 5 2 8" xfId="36906"/>
    <cellStyle name="Normal 4 4 5 2 8" xfId="36907"/>
    <cellStyle name="Normal 5 4 5 2 8" xfId="36908"/>
    <cellStyle name="Normal 7 4 5 2 8" xfId="36909"/>
    <cellStyle name="Normal 2 3 2 5 2 8" xfId="36910"/>
    <cellStyle name="Normal 3 3 2 5 2 8" xfId="36911"/>
    <cellStyle name="Normal 4 2 2 5 2 8" xfId="36912"/>
    <cellStyle name="Normal 5 2 2 5 2 8" xfId="36913"/>
    <cellStyle name="Normal 7 2 2 5 2 8" xfId="36914"/>
    <cellStyle name="Normal 2 4 2 5 2 8" xfId="36915"/>
    <cellStyle name="Normal 3 4 2 5 2 8" xfId="36916"/>
    <cellStyle name="Normal 4 3 2 5 2 8" xfId="36917"/>
    <cellStyle name="Normal 5 3 2 5 2 8" xfId="36918"/>
    <cellStyle name="Normal 7 3 2 5 2 8" xfId="36919"/>
    <cellStyle name="Normal 2 6 5 2 8" xfId="36920"/>
    <cellStyle name="Normal 3 6 5 2 8" xfId="36921"/>
    <cellStyle name="Normal 4 5 5 2 8" xfId="36922"/>
    <cellStyle name="Normal 5 5 5 2 8" xfId="36923"/>
    <cellStyle name="Normal 7 5 5 2 8" xfId="36924"/>
    <cellStyle name="Normal 2 3 3 5 2 8" xfId="36925"/>
    <cellStyle name="Normal 3 3 3 5 2 8" xfId="36926"/>
    <cellStyle name="Normal 4 2 3 5 2 8" xfId="36927"/>
    <cellStyle name="Normal 5 2 3 5 2 8" xfId="36928"/>
    <cellStyle name="Normal 7 2 3 5 2 8" xfId="36929"/>
    <cellStyle name="Normal 2 4 3 5 2 8" xfId="36930"/>
    <cellStyle name="Normal 3 4 3 5 2 8" xfId="36931"/>
    <cellStyle name="Normal 4 3 3 5 2 8" xfId="36932"/>
    <cellStyle name="Normal 5 3 3 5 2 8" xfId="36933"/>
    <cellStyle name="Normal 7 3 3 5 2 8" xfId="36934"/>
    <cellStyle name="Normal 2 7 4 2 8" xfId="36935"/>
    <cellStyle name="Normal 3 7 4 2 8" xfId="36936"/>
    <cellStyle name="Normal 4 6 4 2 8" xfId="36937"/>
    <cellStyle name="Normal 5 6 4 2 8" xfId="36938"/>
    <cellStyle name="Normal 7 6 4 2 8" xfId="36939"/>
    <cellStyle name="Normal 2 3 4 4 2 8" xfId="36940"/>
    <cellStyle name="Normal 3 3 4 4 2 8" xfId="36941"/>
    <cellStyle name="Normal 4 2 4 4 2 8" xfId="36942"/>
    <cellStyle name="Normal 5 2 4 4 2 8" xfId="36943"/>
    <cellStyle name="Normal 7 2 4 4 2 8" xfId="36944"/>
    <cellStyle name="Normal 2 4 4 4 2 8" xfId="36945"/>
    <cellStyle name="Normal 3 4 4 4 2 8" xfId="36946"/>
    <cellStyle name="Normal 4 3 4 4 2 8" xfId="36947"/>
    <cellStyle name="Normal 5 3 4 4 2 8" xfId="36948"/>
    <cellStyle name="Normal 7 3 4 4 2 8" xfId="36949"/>
    <cellStyle name="Normal 2 5 2 4 2 8" xfId="36950"/>
    <cellStyle name="Normal 3 5 2 4 2 8" xfId="36951"/>
    <cellStyle name="Normal 4 4 2 4 2 8" xfId="36952"/>
    <cellStyle name="Normal 5 4 2 4 2 8" xfId="36953"/>
    <cellStyle name="Normal 7 4 2 4 2 8" xfId="36954"/>
    <cellStyle name="Normal 2 3 2 2 4 2 8" xfId="36955"/>
    <cellStyle name="Normal 3 3 2 2 4 2 8" xfId="36956"/>
    <cellStyle name="Normal 4 2 2 2 4 2 8" xfId="36957"/>
    <cellStyle name="Normal 5 2 2 2 4 2 8" xfId="36958"/>
    <cellStyle name="Normal 7 2 2 2 4 2 8" xfId="36959"/>
    <cellStyle name="Normal 2 4 2 2 4 2 8" xfId="36960"/>
    <cellStyle name="Normal 3 4 2 2 4 2 8" xfId="36961"/>
    <cellStyle name="Normal 4 3 2 2 4 2 8" xfId="36962"/>
    <cellStyle name="Normal 5 3 2 2 4 2 8" xfId="36963"/>
    <cellStyle name="Normal 7 3 2 2 4 2 8" xfId="36964"/>
    <cellStyle name="Normal 2 6 2 4 2 8" xfId="36965"/>
    <cellStyle name="Normal 3 6 2 4 2 8" xfId="36966"/>
    <cellStyle name="Normal 4 5 2 4 2 8" xfId="36967"/>
    <cellStyle name="Normal 5 5 2 4 2 8" xfId="36968"/>
    <cellStyle name="Normal 7 5 2 4 2 8" xfId="36969"/>
    <cellStyle name="Normal 2 3 3 2 4 2 8" xfId="36970"/>
    <cellStyle name="Normal 3 3 3 2 4 2 8" xfId="36971"/>
    <cellStyle name="Normal 4 2 3 2 4 2 8" xfId="36972"/>
    <cellStyle name="Normal 5 2 3 2 4 2 8" xfId="36973"/>
    <cellStyle name="Normal 7 2 3 2 4 2 8" xfId="36974"/>
    <cellStyle name="Normal 2 4 3 2 4 2 8" xfId="36975"/>
    <cellStyle name="Normal 3 4 3 2 4 2 8" xfId="36976"/>
    <cellStyle name="Normal 4 3 3 2 4 2 8" xfId="36977"/>
    <cellStyle name="Normal 5 3 3 2 4 2 8" xfId="36978"/>
    <cellStyle name="Normal 7 3 3 2 4 2 8" xfId="36979"/>
    <cellStyle name="Normal 2 8 3 2 8" xfId="36980"/>
    <cellStyle name="Normal 3 8 3 2 8" xfId="36981"/>
    <cellStyle name="Normal 4 7 3 2 8" xfId="36982"/>
    <cellStyle name="Normal 5 7 3 2 8" xfId="36983"/>
    <cellStyle name="Normal 7 7 3 2 8" xfId="36984"/>
    <cellStyle name="Normal 2 3 5 3 2 8" xfId="36985"/>
    <cellStyle name="Normal 3 3 5 3 2 8" xfId="36986"/>
    <cellStyle name="Normal 4 2 5 3 2 8" xfId="36987"/>
    <cellStyle name="Normal 5 2 5 3 2 8" xfId="36988"/>
    <cellStyle name="Normal 7 2 5 3 2 8" xfId="36989"/>
    <cellStyle name="Normal 3 4 5 3 2 8" xfId="36990"/>
    <cellStyle name="Normal 4 3 5 3 2 8" xfId="36991"/>
    <cellStyle name="Normal 5 3 5 3 2 8" xfId="36992"/>
    <cellStyle name="Normal 7 3 5 3 2 8" xfId="36993"/>
    <cellStyle name="Normal 2 5 3 3 2 8" xfId="36994"/>
    <cellStyle name="Normal 3 5 3 3 2 8" xfId="36995"/>
    <cellStyle name="Normal 4 4 3 3 2 8" xfId="36996"/>
    <cellStyle name="Normal 5 4 3 3 2 8" xfId="36997"/>
    <cellStyle name="Normal 7 4 3 3 2 8" xfId="36998"/>
    <cellStyle name="Normal 2 3 2 3 3 2 8" xfId="36999"/>
    <cellStyle name="Normal 3 3 2 3 3 2 8" xfId="37000"/>
    <cellStyle name="Normal 4 2 2 3 3 2 8" xfId="37001"/>
    <cellStyle name="Normal 5 2 2 3 3 2 8" xfId="37002"/>
    <cellStyle name="Normal 7 2 2 3 3 2 8" xfId="37003"/>
    <cellStyle name="Normal 2 4 2 3 3 2 8" xfId="37004"/>
    <cellStyle name="Normal 3 4 2 3 3 2 8" xfId="37005"/>
    <cellStyle name="Normal 4 3 2 3 3 2 8" xfId="37006"/>
    <cellStyle name="Normal 5 3 2 3 3 2 8" xfId="37007"/>
    <cellStyle name="Normal 7 3 2 3 3 2 8" xfId="37008"/>
    <cellStyle name="Normal 2 6 3 3 2 8" xfId="37009"/>
    <cellStyle name="Normal 3 6 3 3 2 8" xfId="37010"/>
    <cellStyle name="Normal 4 5 3 3 2 8" xfId="37011"/>
    <cellStyle name="Normal 5 5 3 3 2 8" xfId="37012"/>
    <cellStyle name="Normal 7 5 3 3 2 8" xfId="37013"/>
    <cellStyle name="Normal 2 3 3 3 3 2 8" xfId="37014"/>
    <cellStyle name="Normal 3 3 3 3 3 2 8" xfId="37015"/>
    <cellStyle name="Normal 4 2 3 3 3 2 8" xfId="37016"/>
    <cellStyle name="Normal 5 2 3 3 3 2 8" xfId="37017"/>
    <cellStyle name="Normal 7 2 3 3 3 2 8" xfId="37018"/>
    <cellStyle name="Normal 2 4 3 3 3 2 8" xfId="37019"/>
    <cellStyle name="Normal 3 4 3 3 3 2 8" xfId="37020"/>
    <cellStyle name="Normal 4 3 3 3 3 2 8" xfId="37021"/>
    <cellStyle name="Normal 5 3 3 3 3 2 8" xfId="37022"/>
    <cellStyle name="Normal 7 3 3 3 3 2 8" xfId="37023"/>
    <cellStyle name="Normal 2 7 2 3 2 8" xfId="37024"/>
    <cellStyle name="Normal 3 7 2 3 2 8" xfId="37025"/>
    <cellStyle name="Normal 4 6 2 3 2 8" xfId="37026"/>
    <cellStyle name="Normal 5 6 2 3 2 8" xfId="37027"/>
    <cellStyle name="Normal 7 6 2 3 2 8" xfId="37028"/>
    <cellStyle name="Normal 2 3 4 2 3 2 8" xfId="37029"/>
    <cellStyle name="Normal 3 3 4 2 3 2 8" xfId="37030"/>
    <cellStyle name="Normal 4 2 4 2 3 2 8" xfId="37031"/>
    <cellStyle name="Normal 5 2 4 2 3 2 8" xfId="37032"/>
    <cellStyle name="Normal 7 2 4 2 3 2 8" xfId="37033"/>
    <cellStyle name="Normal 2 4 4 2 3 2 8" xfId="37034"/>
    <cellStyle name="Normal 3 4 4 2 3 2 8" xfId="37035"/>
    <cellStyle name="Normal 4 3 4 2 3 2 8" xfId="37036"/>
    <cellStyle name="Normal 5 3 4 2 3 2 8" xfId="37037"/>
    <cellStyle name="Normal 7 3 4 2 3 2 8" xfId="37038"/>
    <cellStyle name="Normal 2 5 2 2 3 2 8" xfId="37039"/>
    <cellStyle name="Normal 3 5 2 2 3 2 8" xfId="37040"/>
    <cellStyle name="Normal 4 4 2 2 3 2 8" xfId="37041"/>
    <cellStyle name="Normal 5 4 2 2 3 2 8" xfId="37042"/>
    <cellStyle name="Normal 7 4 2 2 3 2 8" xfId="37043"/>
    <cellStyle name="Normal 2 3 2 2 2 3 2 8" xfId="37044"/>
    <cellStyle name="Normal 3 3 2 2 2 3 2 8" xfId="37045"/>
    <cellStyle name="Normal 4 2 2 2 2 3 2 8" xfId="37046"/>
    <cellStyle name="Normal 5 2 2 2 2 3 2 8" xfId="37047"/>
    <cellStyle name="Normal 7 2 2 2 2 3 2 8" xfId="37048"/>
    <cellStyle name="Normal 2 4 2 2 2 3 2 8" xfId="37049"/>
    <cellStyle name="Normal 3 4 2 2 2 3 2 8" xfId="37050"/>
    <cellStyle name="Normal 4 3 2 2 2 3 2 8" xfId="37051"/>
    <cellStyle name="Normal 5 3 2 2 2 3 2 8" xfId="37052"/>
    <cellStyle name="Normal 7 3 2 2 2 3 2 8" xfId="37053"/>
    <cellStyle name="Normal 2 6 2 2 3 2 8" xfId="37054"/>
    <cellStyle name="Normal 3 6 2 2 3 2 8" xfId="37055"/>
    <cellStyle name="Normal 4 5 2 2 3 2 8" xfId="37056"/>
    <cellStyle name="Normal 5 5 2 2 3 2 8" xfId="37057"/>
    <cellStyle name="Normal 7 5 2 2 3 2 8" xfId="37058"/>
    <cellStyle name="Normal 2 3 3 2 2 3 2 8" xfId="37059"/>
    <cellStyle name="Normal 3 3 3 2 2 3 2 8" xfId="37060"/>
    <cellStyle name="Normal 4 2 3 2 2 3 2 8" xfId="37061"/>
    <cellStyle name="Normal 5 2 3 2 2 3 2 8" xfId="37062"/>
    <cellStyle name="Normal 7 2 3 2 2 3 2 8" xfId="37063"/>
    <cellStyle name="Normal 2 4 3 2 2 3 2 8" xfId="37064"/>
    <cellStyle name="Normal 3 4 3 2 2 3 2 8" xfId="37065"/>
    <cellStyle name="Normal 4 3 3 2 2 3 2 8" xfId="37066"/>
    <cellStyle name="Normal 5 3 3 2 2 3 2 8" xfId="37067"/>
    <cellStyle name="Normal 7 3 3 2 2 3 2 8" xfId="37068"/>
    <cellStyle name="Normal 2 12 8" xfId="37069"/>
    <cellStyle name="Normal 3 12 8" xfId="37070"/>
    <cellStyle name="Normal 4 11 8" xfId="37071"/>
    <cellStyle name="Normal 5 11 8" xfId="37072"/>
    <cellStyle name="Normal 7 11 8" xfId="37073"/>
    <cellStyle name="Normal 2 3 9 8" xfId="37074"/>
    <cellStyle name="Normal 3 3 9 8" xfId="37075"/>
    <cellStyle name="Normal 4 2 9 8" xfId="37076"/>
    <cellStyle name="Normal 5 2 9 8" xfId="37077"/>
    <cellStyle name="Normal 7 2 9 8" xfId="37078"/>
    <cellStyle name="Normal 2 4 9 8" xfId="37079"/>
    <cellStyle name="Normal 3 4 9 8" xfId="37080"/>
    <cellStyle name="Normal 4 3 9 8" xfId="37081"/>
    <cellStyle name="Normal 5 3 9 8" xfId="37082"/>
    <cellStyle name="Normal 7 3 9 8" xfId="37083"/>
    <cellStyle name="Normal 2 5 7 8" xfId="37084"/>
    <cellStyle name="Normal 3 5 7 8" xfId="37085"/>
    <cellStyle name="Normal 4 4 7 8" xfId="37086"/>
    <cellStyle name="Normal 5 4 7 8" xfId="37087"/>
    <cellStyle name="Normal 7 4 7 8" xfId="37088"/>
    <cellStyle name="Normal 2 3 2 7 8" xfId="37089"/>
    <cellStyle name="Normal 3 3 2 7 8" xfId="37090"/>
    <cellStyle name="Normal 4 2 2 7 8" xfId="37091"/>
    <cellStyle name="Normal 5 2 2 7 8" xfId="37092"/>
    <cellStyle name="Normal 7 2 2 7 8" xfId="37093"/>
    <cellStyle name="Normal 2 4 2 7 8" xfId="37094"/>
    <cellStyle name="Normal 3 4 2 7 8" xfId="37095"/>
    <cellStyle name="Normal 4 3 2 7 8" xfId="37096"/>
    <cellStyle name="Normal 5 3 2 7 8" xfId="37097"/>
    <cellStyle name="Normal 7 3 2 7 8" xfId="37098"/>
    <cellStyle name="Normal 2 6 7 8" xfId="37099"/>
    <cellStyle name="Normal 3 6 7 8" xfId="37100"/>
    <cellStyle name="Normal 4 5 7 8" xfId="37101"/>
    <cellStyle name="Normal 5 5 7 8" xfId="37102"/>
    <cellStyle name="Normal 7 5 7 8" xfId="37103"/>
    <cellStyle name="Normal 2 3 3 7 8" xfId="37104"/>
    <cellStyle name="Normal 3 3 3 7 8" xfId="37105"/>
    <cellStyle name="Normal 4 2 3 7 8" xfId="37106"/>
    <cellStyle name="Normal 5 2 3 7 8" xfId="37107"/>
    <cellStyle name="Normal 7 2 3 7 8" xfId="37108"/>
    <cellStyle name="Normal 2 4 3 7 8" xfId="37109"/>
    <cellStyle name="Normal 3 4 3 7 8" xfId="37110"/>
    <cellStyle name="Normal 4 3 3 7 8" xfId="37111"/>
    <cellStyle name="Normal 5 3 3 7 8" xfId="37112"/>
    <cellStyle name="Normal 7 3 3 7 8" xfId="37113"/>
    <cellStyle name="Normal 2 7 6 8" xfId="37114"/>
    <cellStyle name="Normal 3 7 6 8" xfId="37115"/>
    <cellStyle name="Normal 4 6 6 8" xfId="37116"/>
    <cellStyle name="Normal 5 6 6 8" xfId="37117"/>
    <cellStyle name="Normal 7 6 6 8" xfId="37118"/>
    <cellStyle name="Normal 2 3 4 6 8" xfId="37119"/>
    <cellStyle name="Normal 3 3 4 6 8" xfId="37120"/>
    <cellStyle name="Normal 4 2 4 6 8" xfId="37121"/>
    <cellStyle name="Normal 5 2 4 6 8" xfId="37122"/>
    <cellStyle name="Normal 7 2 4 6 8" xfId="37123"/>
    <cellStyle name="Normal 2 4 4 6 8" xfId="37124"/>
    <cellStyle name="Normal 3 4 4 6 8" xfId="37125"/>
    <cellStyle name="Normal 4 3 4 6 8" xfId="37126"/>
    <cellStyle name="Normal 5 3 4 6 8" xfId="37127"/>
    <cellStyle name="Normal 7 3 4 6 8" xfId="37128"/>
    <cellStyle name="Normal 2 5 2 6 8" xfId="37129"/>
    <cellStyle name="Normal 3 5 2 6 8" xfId="37130"/>
    <cellStyle name="Normal 4 4 2 6 8" xfId="37131"/>
    <cellStyle name="Normal 5 4 2 6 8" xfId="37132"/>
    <cellStyle name="Normal 7 4 2 6 8" xfId="37133"/>
    <cellStyle name="Normal 2 3 2 2 6 8" xfId="37134"/>
    <cellStyle name="Normal 3 3 2 2 6 8" xfId="37135"/>
    <cellStyle name="Normal 4 2 2 2 6 8" xfId="37136"/>
    <cellStyle name="Normal 5 2 2 2 6 8" xfId="37137"/>
    <cellStyle name="Normal 7 2 2 2 6 8" xfId="37138"/>
    <cellStyle name="Normal 2 4 2 2 6 8" xfId="37139"/>
    <cellStyle name="Normal 3 4 2 2 6 8" xfId="37140"/>
    <cellStyle name="Normal 4 3 2 2 6 8" xfId="37141"/>
    <cellStyle name="Normal 5 3 2 2 6 8" xfId="37142"/>
    <cellStyle name="Normal 7 3 2 2 6 8" xfId="37143"/>
    <cellStyle name="Normal 2 6 2 6 8" xfId="37144"/>
    <cellStyle name="Normal 3 6 2 6 8" xfId="37145"/>
    <cellStyle name="Normal 4 5 2 6 8" xfId="37146"/>
    <cellStyle name="Normal 5 5 2 6 8" xfId="37147"/>
    <cellStyle name="Normal 7 5 2 6 8" xfId="37148"/>
    <cellStyle name="Normal 2 3 3 2 6 8" xfId="37149"/>
    <cellStyle name="Normal 3 3 3 2 6 8" xfId="37150"/>
    <cellStyle name="Normal 4 2 3 2 6 8" xfId="37151"/>
    <cellStyle name="Normal 5 2 3 2 6 8" xfId="37152"/>
    <cellStyle name="Normal 7 2 3 2 6 8" xfId="37153"/>
    <cellStyle name="Normal 2 4 3 2 6 8" xfId="37154"/>
    <cellStyle name="Normal 3 4 3 2 6 8" xfId="37155"/>
    <cellStyle name="Normal 4 3 3 2 6 8" xfId="37156"/>
    <cellStyle name="Normal 5 3 3 2 6 8" xfId="37157"/>
    <cellStyle name="Normal 7 3 3 2 6 8" xfId="37158"/>
    <cellStyle name="Normal 2 8 5 8" xfId="37159"/>
    <cellStyle name="Normal 3 8 5 8" xfId="37160"/>
    <cellStyle name="Normal 4 7 5 8" xfId="37161"/>
    <cellStyle name="Normal 5 7 5 8" xfId="37162"/>
    <cellStyle name="Normal 7 7 5 8" xfId="37163"/>
    <cellStyle name="Normal 2 3 5 5 8" xfId="37164"/>
    <cellStyle name="Normal 3 3 5 5 8" xfId="37165"/>
    <cellStyle name="Normal 4 2 5 5 8" xfId="37166"/>
    <cellStyle name="Normal 5 2 5 5 8" xfId="37167"/>
    <cellStyle name="Normal 7 2 5 5 8" xfId="37168"/>
    <cellStyle name="Normal 2 4 5 5 8" xfId="37169"/>
    <cellStyle name="Normal 3 4 5 5 8" xfId="37170"/>
    <cellStyle name="Normal 4 3 5 5 8" xfId="37171"/>
    <cellStyle name="Normal 5 3 5 5 8" xfId="37172"/>
    <cellStyle name="Normal 7 3 5 5 8" xfId="37173"/>
    <cellStyle name="Normal 2 5 3 5 8" xfId="37174"/>
    <cellStyle name="Normal 3 5 3 5 8" xfId="37175"/>
    <cellStyle name="Normal 4 4 3 5 8" xfId="37176"/>
    <cellStyle name="Normal 5 4 3 5 8" xfId="37177"/>
    <cellStyle name="Normal 7 4 3 5 8" xfId="37178"/>
    <cellStyle name="Normal 2 3 2 3 5 8" xfId="37179"/>
    <cellStyle name="Normal 3 3 2 3 5 8" xfId="37180"/>
    <cellStyle name="Normal 4 2 2 3 5 8" xfId="37181"/>
    <cellStyle name="Normal 5 2 2 3 5 8" xfId="37182"/>
    <cellStyle name="Normal 7 2 2 3 5 8" xfId="37183"/>
    <cellStyle name="Normal 2 4 2 3 5 8" xfId="37184"/>
    <cellStyle name="Normal 3 4 2 3 5 8" xfId="37185"/>
    <cellStyle name="Normal 4 3 2 3 5 8" xfId="37186"/>
    <cellStyle name="Normal 5 3 2 3 5 8" xfId="37187"/>
    <cellStyle name="Normal 7 3 2 3 5 8" xfId="37188"/>
    <cellStyle name="Normal 2 6 3 5 8" xfId="37189"/>
    <cellStyle name="Normal 3 6 3 5 8" xfId="37190"/>
    <cellStyle name="Normal 4 5 3 5 8" xfId="37191"/>
    <cellStyle name="Normal 5 5 3 5 8" xfId="37192"/>
    <cellStyle name="Normal 7 5 3 5 8" xfId="37193"/>
    <cellStyle name="Normal 2 3 3 3 5 8" xfId="37194"/>
    <cellStyle name="Normal 3 3 3 3 5 8" xfId="37195"/>
    <cellStyle name="Normal 4 2 3 3 5 8" xfId="37196"/>
    <cellStyle name="Normal 5 2 3 3 5 8" xfId="37197"/>
    <cellStyle name="Normal 7 2 3 3 5 8" xfId="37198"/>
    <cellStyle name="Normal 2 4 3 3 5 8" xfId="37199"/>
    <cellStyle name="Normal 3 4 3 3 5 8" xfId="37200"/>
    <cellStyle name="Normal 4 3 3 3 5 8" xfId="37201"/>
    <cellStyle name="Normal 5 3 3 3 5 8" xfId="37202"/>
    <cellStyle name="Normal 7 3 3 3 5 8" xfId="37203"/>
    <cellStyle name="Normal 2 7 2 5 8" xfId="37204"/>
    <cellStyle name="Normal 3 7 2 5 8" xfId="37205"/>
    <cellStyle name="Normal 4 6 2 5 8" xfId="37206"/>
    <cellStyle name="Normal 5 6 2 5 8" xfId="37207"/>
    <cellStyle name="Normal 7 6 2 5 8" xfId="37208"/>
    <cellStyle name="Normal 2 3 4 2 5 8" xfId="37209"/>
    <cellStyle name="Normal 3 3 4 2 5 8" xfId="37210"/>
    <cellStyle name="Normal 4 2 4 2 5 8" xfId="37211"/>
    <cellStyle name="Normal 5 2 4 2 5 8" xfId="37212"/>
    <cellStyle name="Normal 7 2 4 2 5 8" xfId="37213"/>
    <cellStyle name="Normal 2 4 4 2 5 8" xfId="37214"/>
    <cellStyle name="Normal 3 4 4 2 5 8" xfId="37215"/>
    <cellStyle name="Normal 4 3 4 2 5 8" xfId="37216"/>
    <cellStyle name="Normal 5 3 4 2 5 8" xfId="37217"/>
    <cellStyle name="Normal 7 3 4 2 5 8" xfId="37218"/>
    <cellStyle name="Normal 2 5 2 2 5 8" xfId="37219"/>
    <cellStyle name="Normal 3 5 2 2 5 8" xfId="37220"/>
    <cellStyle name="Normal 4 4 2 2 5 8" xfId="37221"/>
    <cellStyle name="Normal 5 4 2 2 5 8" xfId="37222"/>
    <cellStyle name="Normal 7 4 2 2 5 8" xfId="37223"/>
    <cellStyle name="Normal 2 3 2 2 2 5 8" xfId="37224"/>
    <cellStyle name="Normal 3 3 2 2 2 5 8" xfId="37225"/>
    <cellStyle name="Normal 4 2 2 2 2 5 8" xfId="37226"/>
    <cellStyle name="Normal 5 2 2 2 2 5 8" xfId="37227"/>
    <cellStyle name="Normal 7 2 2 2 2 5 8" xfId="37228"/>
    <cellStyle name="Normal 2 4 2 2 2 5 8" xfId="37229"/>
    <cellStyle name="Normal 3 4 2 2 2 5 8" xfId="37230"/>
    <cellStyle name="Normal 4 3 2 2 2 5 8" xfId="37231"/>
    <cellStyle name="Normal 5 3 2 2 2 5 8" xfId="37232"/>
    <cellStyle name="Normal 7 3 2 2 2 5 8" xfId="37233"/>
    <cellStyle name="Normal 2 6 2 2 5 8" xfId="37234"/>
    <cellStyle name="Normal 3 6 2 2 5 8" xfId="37235"/>
    <cellStyle name="Normal 4 5 2 2 5 8" xfId="37236"/>
    <cellStyle name="Normal 5 5 2 2 5 8" xfId="37237"/>
    <cellStyle name="Normal 7 5 2 2 5 8" xfId="37238"/>
    <cellStyle name="Normal 2 3 3 2 2 5 8" xfId="37239"/>
    <cellStyle name="Normal 3 3 3 2 2 5 8" xfId="37240"/>
    <cellStyle name="Normal 4 2 3 2 2 5 8" xfId="37241"/>
    <cellStyle name="Normal 5 2 3 2 2 5 8" xfId="37242"/>
    <cellStyle name="Normal 7 2 3 2 2 5 8" xfId="37243"/>
    <cellStyle name="Normal 2 4 3 2 2 5 8" xfId="37244"/>
    <cellStyle name="Normal 3 4 3 2 2 5 8" xfId="37245"/>
    <cellStyle name="Normal 4 3 3 2 2 5 8" xfId="37246"/>
    <cellStyle name="Normal 5 3 3 2 2 5 8" xfId="37247"/>
    <cellStyle name="Normal 7 3 3 2 2 5 8" xfId="37248"/>
    <cellStyle name="Normal 2 9 3 8" xfId="37249"/>
    <cellStyle name="Normal 3 9 3 8" xfId="37250"/>
    <cellStyle name="Normal 4 8 3 8" xfId="37251"/>
    <cellStyle name="Normal 5 8 3 8" xfId="37252"/>
    <cellStyle name="Normal 7 8 3 8" xfId="37253"/>
    <cellStyle name="Normal 2 3 6 3 8" xfId="37254"/>
    <cellStyle name="Normal 3 3 6 3 8" xfId="37255"/>
    <cellStyle name="Normal 4 2 6 3 8" xfId="37256"/>
    <cellStyle name="Normal 5 2 6 3 8" xfId="37257"/>
    <cellStyle name="Normal 7 2 6 3 8" xfId="37258"/>
    <cellStyle name="Normal 2 4 6 3 8" xfId="37259"/>
    <cellStyle name="Normal 3 4 6 3 8" xfId="37260"/>
    <cellStyle name="Normal 4 3 6 3 8" xfId="37261"/>
    <cellStyle name="Normal 5 3 6 3 8" xfId="37262"/>
    <cellStyle name="Normal 7 3 6 3 8" xfId="37263"/>
    <cellStyle name="Normal 2 5 4 3 8" xfId="37264"/>
    <cellStyle name="Normal 3 5 4 3 8" xfId="37265"/>
    <cellStyle name="Normal 4 4 4 3 8" xfId="37266"/>
    <cellStyle name="Normal 5 4 4 3 8" xfId="37267"/>
    <cellStyle name="Normal 7 4 4 3 8" xfId="37268"/>
    <cellStyle name="Normal 2 3 2 4 3 8" xfId="37269"/>
    <cellStyle name="Normal 3 3 2 4 3 8" xfId="37270"/>
    <cellStyle name="Normal 4 2 2 4 3 8" xfId="37271"/>
    <cellStyle name="Normal 5 2 2 4 3 8" xfId="37272"/>
    <cellStyle name="Normal 7 2 2 4 3 8" xfId="37273"/>
    <cellStyle name="Normal 2 4 2 4 3 8" xfId="37274"/>
    <cellStyle name="Normal 3 4 2 4 3 8" xfId="37275"/>
    <cellStyle name="Normal 4 3 2 4 3 8" xfId="37276"/>
    <cellStyle name="Normal 5 3 2 4 3 8" xfId="37277"/>
    <cellStyle name="Normal 7 3 2 4 3 8" xfId="37278"/>
    <cellStyle name="Normal 2 6 4 3 8" xfId="37279"/>
    <cellStyle name="Normal 3 6 4 3 8" xfId="37280"/>
    <cellStyle name="Normal 4 5 4 3 8" xfId="37281"/>
    <cellStyle name="Normal 5 5 4 3 8" xfId="37282"/>
    <cellStyle name="Normal 7 5 4 3 8" xfId="37283"/>
    <cellStyle name="Normal 2 3 3 4 3 8" xfId="37284"/>
    <cellStyle name="Normal 3 3 3 4 3 8" xfId="37285"/>
    <cellStyle name="Normal 4 2 3 4 3 8" xfId="37286"/>
    <cellStyle name="Normal 5 2 3 4 3 8" xfId="37287"/>
    <cellStyle name="Normal 7 2 3 4 3 8" xfId="37288"/>
    <cellStyle name="Normal 2 4 3 4 3 8" xfId="37289"/>
    <cellStyle name="Normal 3 4 3 4 3 8" xfId="37290"/>
    <cellStyle name="Normal 4 3 3 4 3 8" xfId="37291"/>
    <cellStyle name="Normal 5 3 3 4 3 8" xfId="37292"/>
    <cellStyle name="Normal 7 3 3 4 3 8" xfId="37293"/>
    <cellStyle name="Normal 2 7 3 3 8" xfId="37294"/>
    <cellStyle name="Normal 3 7 3 3 8" xfId="37295"/>
    <cellStyle name="Normal 4 6 3 3 8" xfId="37296"/>
    <cellStyle name="Normal 5 6 3 3 8" xfId="37297"/>
    <cellStyle name="Normal 7 6 3 3 8" xfId="37298"/>
    <cellStyle name="Normal 2 3 4 3 3 8" xfId="37299"/>
    <cellStyle name="Normal 3 3 4 3 3 8" xfId="37300"/>
    <cellStyle name="Normal 4 2 4 3 3 8" xfId="37301"/>
    <cellStyle name="Normal 5 2 4 3 3 8" xfId="37302"/>
    <cellStyle name="Normal 7 2 4 3 3 8" xfId="37303"/>
    <cellStyle name="Normal 2 4 4 3 3 8" xfId="37304"/>
    <cellStyle name="Normal 3 4 4 3 3 8" xfId="37305"/>
    <cellStyle name="Normal 4 3 4 3 3 8" xfId="37306"/>
    <cellStyle name="Normal 5 3 4 3 3 8" xfId="37307"/>
    <cellStyle name="Normal 7 3 4 3 3 8" xfId="37308"/>
    <cellStyle name="Normal 2 5 2 3 3 8" xfId="37309"/>
    <cellStyle name="Normal 3 5 2 3 3 8" xfId="37310"/>
    <cellStyle name="Normal 4 4 2 3 3 8" xfId="37311"/>
    <cellStyle name="Normal 5 4 2 3 3 8" xfId="37312"/>
    <cellStyle name="Normal 7 4 2 3 3 8" xfId="37313"/>
    <cellStyle name="Normal 2 3 2 2 3 3 8" xfId="37314"/>
    <cellStyle name="Normal 3 3 2 2 3 3 8" xfId="37315"/>
    <cellStyle name="Normal 4 2 2 2 3 3 8" xfId="37316"/>
    <cellStyle name="Normal 5 2 2 2 3 3 8" xfId="37317"/>
    <cellStyle name="Normal 7 2 2 2 3 3 8" xfId="37318"/>
    <cellStyle name="Normal 2 4 2 2 3 3 8" xfId="37319"/>
    <cellStyle name="Normal 3 4 2 2 3 3 8" xfId="37320"/>
    <cellStyle name="Normal 4 3 2 2 3 3 8" xfId="37321"/>
    <cellStyle name="Normal 5 3 2 2 3 3 8" xfId="37322"/>
    <cellStyle name="Normal 7 3 2 2 3 3 8" xfId="37323"/>
    <cellStyle name="Normal 2 6 2 3 3 8" xfId="37324"/>
    <cellStyle name="Normal 3 6 2 3 3 8" xfId="37325"/>
    <cellStyle name="Normal 4 5 2 3 3 8" xfId="37326"/>
    <cellStyle name="Normal 5 5 2 3 3 8" xfId="37327"/>
    <cellStyle name="Normal 7 5 2 3 3 8" xfId="37328"/>
    <cellStyle name="Normal 2 3 3 2 3 3 8" xfId="37329"/>
    <cellStyle name="Normal 3 3 3 2 3 3 8" xfId="37330"/>
    <cellStyle name="Normal 4 2 3 2 3 3 8" xfId="37331"/>
    <cellStyle name="Normal 5 2 3 2 3 3 8" xfId="37332"/>
    <cellStyle name="Normal 7 2 3 2 3 3 8" xfId="37333"/>
    <cellStyle name="Normal 2 4 3 2 3 3 8" xfId="37334"/>
    <cellStyle name="Normal 3 4 3 2 3 3 8" xfId="37335"/>
    <cellStyle name="Normal 4 3 3 2 3 3 8" xfId="37336"/>
    <cellStyle name="Normal 5 3 3 2 3 3 8" xfId="37337"/>
    <cellStyle name="Normal 7 3 3 2 3 3 8" xfId="37338"/>
    <cellStyle name="Normal 2 8 2 3 8" xfId="37339"/>
    <cellStyle name="Normal 3 8 2 3 8" xfId="37340"/>
    <cellStyle name="Normal 4 7 2 3 8" xfId="37341"/>
    <cellStyle name="Normal 5 7 2 3 8" xfId="37342"/>
    <cellStyle name="Normal 7 7 2 3 8" xfId="37343"/>
    <cellStyle name="Normal 2 3 5 2 3 8" xfId="37344"/>
    <cellStyle name="Normal 3 3 5 2 3 8" xfId="37345"/>
    <cellStyle name="Normal 4 2 5 2 3 8" xfId="37346"/>
    <cellStyle name="Normal 5 2 5 2 3 8" xfId="37347"/>
    <cellStyle name="Normal 7 2 5 2 3 8" xfId="37348"/>
    <cellStyle name="Normal 2 4 5 2 3 8" xfId="37349"/>
    <cellStyle name="Normal 3 4 5 2 3 8" xfId="37350"/>
    <cellStyle name="Normal 4 3 5 2 3 8" xfId="37351"/>
    <cellStyle name="Normal 5 3 5 2 3 8" xfId="37352"/>
    <cellStyle name="Normal 7 3 5 2 3 8" xfId="37353"/>
    <cellStyle name="Normal 2 5 3 2 3 8" xfId="37354"/>
    <cellStyle name="Normal 3 5 3 2 3 8" xfId="37355"/>
    <cellStyle name="Normal 4 4 3 2 3 8" xfId="37356"/>
    <cellStyle name="Normal 5 4 3 2 3 8" xfId="37357"/>
    <cellStyle name="Normal 7 4 3 2 3 8" xfId="37358"/>
    <cellStyle name="Normal 2 3 2 3 2 3 8" xfId="37359"/>
    <cellStyle name="Normal 3 3 2 3 2 3 8" xfId="37360"/>
    <cellStyle name="Normal 4 2 2 3 2 3 8" xfId="37361"/>
    <cellStyle name="Normal 5 2 2 3 2 3 8" xfId="37362"/>
    <cellStyle name="Normal 7 2 2 3 2 3 8" xfId="37363"/>
    <cellStyle name="Normal 2 4 2 3 2 3 8" xfId="37364"/>
    <cellStyle name="Normal 3 4 2 3 2 3 8" xfId="37365"/>
    <cellStyle name="Normal 4 3 2 3 2 3 8" xfId="37366"/>
    <cellStyle name="Normal 5 3 2 3 2 3 8" xfId="37367"/>
    <cellStyle name="Normal 7 3 2 3 2 3 8" xfId="37368"/>
    <cellStyle name="Normal 2 6 3 2 3 8" xfId="37369"/>
    <cellStyle name="Normal 3 6 3 2 3 8" xfId="37370"/>
    <cellStyle name="Normal 4 5 3 2 3 8" xfId="37371"/>
    <cellStyle name="Normal 5 5 3 2 3 8" xfId="37372"/>
    <cellStyle name="Normal 7 5 3 2 3 8" xfId="37373"/>
    <cellStyle name="Normal 2 3 3 3 2 3 8" xfId="37374"/>
    <cellStyle name="Normal 3 3 3 3 2 3 8" xfId="37375"/>
    <cellStyle name="Normal 4 2 3 3 2 3 8" xfId="37376"/>
    <cellStyle name="Normal 5 2 3 3 2 3 8" xfId="37377"/>
    <cellStyle name="Normal 7 2 3 3 2 3 8" xfId="37378"/>
    <cellStyle name="Normal 2 4 3 3 2 3 8" xfId="37379"/>
    <cellStyle name="Normal 3 4 3 3 2 3 8" xfId="37380"/>
    <cellStyle name="Normal 4 3 3 3 2 3 8" xfId="37381"/>
    <cellStyle name="Normal 5 3 3 3 2 3 8" xfId="37382"/>
    <cellStyle name="Normal 7 3 3 3 2 3 8" xfId="37383"/>
    <cellStyle name="Normal 2 7 2 2 3 8" xfId="37384"/>
    <cellStyle name="Normal 3 7 2 2 3 8" xfId="37385"/>
    <cellStyle name="Normal 4 6 2 2 3 8" xfId="37386"/>
    <cellStyle name="Normal 5 6 2 2 3 8" xfId="37387"/>
    <cellStyle name="Normal 7 6 2 2 3 8" xfId="37388"/>
    <cellStyle name="Normal 2 3 4 2 2 3 8" xfId="37389"/>
    <cellStyle name="Normal 3 3 4 2 2 3 8" xfId="37390"/>
    <cellStyle name="Normal 4 2 4 2 2 3 8" xfId="37391"/>
    <cellStyle name="Normal 5 2 4 2 2 3 8" xfId="37392"/>
    <cellStyle name="Normal 7 2 4 2 2 3 8" xfId="37393"/>
    <cellStyle name="Normal 2 4 4 2 2 3 8" xfId="37394"/>
    <cellStyle name="Normal 3 4 4 2 2 3 8" xfId="37395"/>
    <cellStyle name="Normal 4 3 4 2 2 3 8" xfId="37396"/>
    <cellStyle name="Normal 5 3 4 2 2 3 8" xfId="37397"/>
    <cellStyle name="Normal 7 3 4 2 2 3 8" xfId="37398"/>
    <cellStyle name="Normal 2 5 2 2 2 3 8" xfId="37399"/>
    <cellStyle name="Normal 3 5 2 2 2 3 8" xfId="37400"/>
    <cellStyle name="Normal 4 4 2 2 2 3 8" xfId="37401"/>
    <cellStyle name="Normal 5 4 2 2 2 3 8" xfId="37402"/>
    <cellStyle name="Normal 7 4 2 2 2 3 8" xfId="37403"/>
    <cellStyle name="Normal 2 3 2 2 2 2 3 8" xfId="37404"/>
    <cellStyle name="Normal 3 3 2 2 2 2 3 8" xfId="37405"/>
    <cellStyle name="Normal 4 2 2 2 2 2 3 8" xfId="37406"/>
    <cellStyle name="Normal 5 2 2 2 2 2 3 8" xfId="37407"/>
    <cellStyle name="Normal 7 2 2 2 2 2 3 8" xfId="37408"/>
    <cellStyle name="Normal 2 4 2 2 2 2 3 8" xfId="37409"/>
    <cellStyle name="Normal 3 4 2 2 2 2 3 8" xfId="37410"/>
    <cellStyle name="Normal 4 3 2 2 2 2 3 8" xfId="37411"/>
    <cellStyle name="Normal 5 3 2 2 2 2 3 8" xfId="37412"/>
    <cellStyle name="Normal 7 3 2 2 2 2 3 8" xfId="37413"/>
    <cellStyle name="Normal 2 6 2 2 2 3 8" xfId="37414"/>
    <cellStyle name="Normal 3 6 2 2 2 3 8" xfId="37415"/>
    <cellStyle name="Normal 4 5 2 2 2 3 8" xfId="37416"/>
    <cellStyle name="Normal 5 5 2 2 2 3 8" xfId="37417"/>
    <cellStyle name="Normal 7 5 2 2 2 3 8" xfId="37418"/>
    <cellStyle name="Normal 2 3 3 2 2 2 3 8" xfId="37419"/>
    <cellStyle name="Normal 3 3 3 2 2 2 3 8" xfId="37420"/>
    <cellStyle name="Normal 4 2 3 2 2 2 3 8" xfId="37421"/>
    <cellStyle name="Normal 5 2 3 2 2 2 3 8" xfId="37422"/>
    <cellStyle name="Normal 7 2 3 2 2 2 3 8" xfId="37423"/>
    <cellStyle name="Normal 2 4 3 2 2 2 3 8" xfId="37424"/>
    <cellStyle name="Normal 3 4 3 2 2 2 3 8" xfId="37425"/>
    <cellStyle name="Normal 4 3 3 2 2 2 3 8" xfId="37426"/>
    <cellStyle name="Normal 5 3 3 2 2 2 3 8" xfId="37427"/>
    <cellStyle name="Normal 7 3 3 2 2 2 3 8" xfId="37428"/>
    <cellStyle name="Normal 28 3 8" xfId="37429"/>
    <cellStyle name="Normal 2 3 7 3 8" xfId="37430"/>
    <cellStyle name="Normal 3 10 3 8" xfId="37431"/>
    <cellStyle name="Normal 4 9 3 8" xfId="37432"/>
    <cellStyle name="Normal 5 9 3 8" xfId="37433"/>
    <cellStyle name="Millares 4 3 8" xfId="37434"/>
    <cellStyle name="Normal 7 2 7 3 8" xfId="37435"/>
    <cellStyle name="Normal 3 3 7 3 8" xfId="37436"/>
    <cellStyle name="Normal 4 2 7 3 8" xfId="37437"/>
    <cellStyle name="Normal 5 2 7 3 8" xfId="37438"/>
    <cellStyle name="Normal 2 4 5 3 3 8" xfId="37439"/>
    <cellStyle name="Normal 3 4 7 3 8" xfId="37440"/>
    <cellStyle name="Normal 4 3 7 3 8" xfId="37441"/>
    <cellStyle name="Normal 5 3 7 3 8" xfId="37442"/>
    <cellStyle name="Normal 7 3 7 3 8" xfId="37443"/>
    <cellStyle name="Normal 2 5 5 3 8" xfId="37444"/>
    <cellStyle name="Normal 3 5 5 3 8" xfId="37445"/>
    <cellStyle name="Normal 4 4 5 3 8" xfId="37446"/>
    <cellStyle name="Normal 5 4 5 3 8" xfId="37447"/>
    <cellStyle name="Normal 7 4 5 3 8" xfId="37448"/>
    <cellStyle name="Normal 2 3 2 5 3 8" xfId="37449"/>
    <cellStyle name="Normal 3 3 2 5 3 8" xfId="37450"/>
    <cellStyle name="Normal 4 2 2 5 3 8" xfId="37451"/>
    <cellStyle name="Normal 5 2 2 5 3 8" xfId="37452"/>
    <cellStyle name="Normal 7 2 2 5 3 8" xfId="37453"/>
    <cellStyle name="Normal 2 4 2 5 3 8" xfId="37454"/>
    <cellStyle name="Normal 3 4 2 5 3 8" xfId="37455"/>
    <cellStyle name="Normal 4 3 2 5 3 8" xfId="37456"/>
    <cellStyle name="Normal 5 3 2 5 3 8" xfId="37457"/>
    <cellStyle name="Normal 7 3 2 5 3 8" xfId="37458"/>
    <cellStyle name="Normal 2 6 5 3 8" xfId="37459"/>
    <cellStyle name="Normal 3 6 5 3 8" xfId="37460"/>
    <cellStyle name="Normal 4 5 5 3 8" xfId="37461"/>
    <cellStyle name="Normal 5 5 5 3 8" xfId="37462"/>
    <cellStyle name="Normal 7 5 5 3 8" xfId="37463"/>
    <cellStyle name="Normal 2 3 3 5 3 8" xfId="37464"/>
    <cellStyle name="Normal 3 3 3 5 3 8" xfId="37465"/>
    <cellStyle name="Normal 4 2 3 5 3 8" xfId="37466"/>
    <cellStyle name="Normal 5 2 3 5 3 8" xfId="37467"/>
    <cellStyle name="Normal 7 2 3 5 3 8" xfId="37468"/>
    <cellStyle name="Normal 2 4 3 5 3 8" xfId="37469"/>
    <cellStyle name="Normal 3 4 3 5 3 8" xfId="37470"/>
    <cellStyle name="Normal 4 3 3 5 3 8" xfId="37471"/>
    <cellStyle name="Normal 5 3 3 5 3 8" xfId="37472"/>
    <cellStyle name="Normal 7 3 3 5 3 8" xfId="37473"/>
    <cellStyle name="Normal 2 7 4 3 8" xfId="37474"/>
    <cellStyle name="Normal 3 7 4 3 8" xfId="37475"/>
    <cellStyle name="Normal 4 6 4 3 8" xfId="37476"/>
    <cellStyle name="Normal 5 6 4 3 8" xfId="37477"/>
    <cellStyle name="Normal 7 6 4 3 8" xfId="37478"/>
    <cellStyle name="Normal 2 3 4 4 3 8" xfId="37479"/>
    <cellStyle name="Normal 3 3 4 4 3 8" xfId="37480"/>
    <cellStyle name="Normal 4 2 4 4 3 8" xfId="37481"/>
    <cellStyle name="Normal 5 2 4 4 3 8" xfId="37482"/>
    <cellStyle name="Normal 7 2 4 4 3 8" xfId="37483"/>
    <cellStyle name="Normal 2 4 4 4 3 8" xfId="37484"/>
    <cellStyle name="Normal 3 4 4 4 3 8" xfId="37485"/>
    <cellStyle name="Normal 4 3 4 4 3 8" xfId="37486"/>
    <cellStyle name="Normal 5 3 4 4 3 8" xfId="37487"/>
    <cellStyle name="Normal 7 3 4 4 3 8" xfId="37488"/>
    <cellStyle name="Normal 2 5 2 4 3 8" xfId="37489"/>
    <cellStyle name="Normal 3 5 2 4 3 8" xfId="37490"/>
    <cellStyle name="Normal 4 4 2 4 3 8" xfId="37491"/>
    <cellStyle name="Normal 5 4 2 4 3 8" xfId="37492"/>
    <cellStyle name="Normal 7 4 2 4 3 8" xfId="37493"/>
    <cellStyle name="Normal 2 3 2 2 4 3 8" xfId="37494"/>
    <cellStyle name="Normal 3 3 2 2 4 3 8" xfId="37495"/>
    <cellStyle name="Normal 4 2 2 2 4 3 8" xfId="37496"/>
    <cellStyle name="Normal 5 2 2 2 4 3 8" xfId="37497"/>
    <cellStyle name="Normal 7 2 2 2 4 3 8" xfId="37498"/>
    <cellStyle name="Normal 2 4 2 2 4 3 8" xfId="37499"/>
    <cellStyle name="Normal 3 4 2 2 4 3 8" xfId="37500"/>
    <cellStyle name="Normal 4 3 2 2 4 3 8" xfId="37501"/>
    <cellStyle name="Normal 5 3 2 2 4 3 8" xfId="37502"/>
    <cellStyle name="Normal 7 3 2 2 4 3 8" xfId="37503"/>
    <cellStyle name="Normal 2 6 2 4 3 8" xfId="37504"/>
    <cellStyle name="Normal 3 6 2 4 3 8" xfId="37505"/>
    <cellStyle name="Normal 4 5 2 4 3 8" xfId="37506"/>
    <cellStyle name="Normal 5 5 2 4 3 8" xfId="37507"/>
    <cellStyle name="Normal 7 5 2 4 3 8" xfId="37508"/>
    <cellStyle name="Normal 2 3 3 2 4 3 8" xfId="37509"/>
    <cellStyle name="Normal 3 3 3 2 4 3 8" xfId="37510"/>
    <cellStyle name="Normal 4 2 3 2 4 3 8" xfId="37511"/>
    <cellStyle name="Normal 5 2 3 2 4 3 8" xfId="37512"/>
    <cellStyle name="Normal 7 2 3 2 4 3 8" xfId="37513"/>
    <cellStyle name="Normal 2 4 3 2 4 3 8" xfId="37514"/>
    <cellStyle name="Normal 3 4 3 2 4 3 8" xfId="37515"/>
    <cellStyle name="Normal 4 3 3 2 4 3 8" xfId="37516"/>
    <cellStyle name="Normal 5 3 3 2 4 3 8" xfId="37517"/>
    <cellStyle name="Normal 7 3 3 2 4 3 8" xfId="37518"/>
    <cellStyle name="Normal 2 8 3 3 8" xfId="37519"/>
    <cellStyle name="Normal 3 8 3 3 8" xfId="37520"/>
    <cellStyle name="Normal 4 7 3 3 8" xfId="37521"/>
    <cellStyle name="Normal 5 7 3 3 8" xfId="37522"/>
    <cellStyle name="Normal 7 7 3 3 8" xfId="37523"/>
    <cellStyle name="Normal 2 3 5 3 3 8" xfId="37524"/>
    <cellStyle name="Normal 3 3 5 3 3 8" xfId="37525"/>
    <cellStyle name="Normal 4 2 5 3 3 8" xfId="37526"/>
    <cellStyle name="Normal 5 2 5 3 3 8" xfId="37527"/>
    <cellStyle name="Normal 7 2 5 3 3 8" xfId="37528"/>
    <cellStyle name="Normal 3 4 5 3 3 8" xfId="37529"/>
    <cellStyle name="Normal 4 3 5 3 3 8" xfId="37530"/>
    <cellStyle name="Normal 5 3 5 3 3 8" xfId="37531"/>
    <cellStyle name="Normal 7 3 5 3 3 8" xfId="37532"/>
    <cellStyle name="Normal 2 5 3 3 3 8" xfId="37533"/>
    <cellStyle name="Normal 3 5 3 3 3 8" xfId="37534"/>
    <cellStyle name="Normal 4 4 3 3 3 8" xfId="37535"/>
    <cellStyle name="Normal 5 4 3 3 3 8" xfId="37536"/>
    <cellStyle name="Normal 7 4 3 3 3 8" xfId="37537"/>
    <cellStyle name="Normal 2 3 2 3 3 3 8" xfId="37538"/>
    <cellStyle name="Normal 3 3 2 3 3 3 8" xfId="37539"/>
    <cellStyle name="Normal 4 2 2 3 3 3 8" xfId="37540"/>
    <cellStyle name="Normal 5 2 2 3 3 3 8" xfId="37541"/>
    <cellStyle name="Normal 7 2 2 3 3 3 8" xfId="37542"/>
    <cellStyle name="Normal 2 4 2 3 3 3 8" xfId="37543"/>
    <cellStyle name="Normal 3 4 2 3 3 3 8" xfId="37544"/>
    <cellStyle name="Normal 4 3 2 3 3 3 8" xfId="37545"/>
    <cellStyle name="Normal 5 3 2 3 3 3 8" xfId="37546"/>
    <cellStyle name="Normal 7 3 2 3 3 3 8" xfId="37547"/>
    <cellStyle name="Normal 2 6 3 3 3 8" xfId="37548"/>
    <cellStyle name="Normal 3 6 3 3 3 8" xfId="37549"/>
    <cellStyle name="Normal 4 5 3 3 3 8" xfId="37550"/>
    <cellStyle name="Normal 5 5 3 3 3 8" xfId="37551"/>
    <cellStyle name="Normal 7 5 3 3 3 8" xfId="37552"/>
    <cellStyle name="Normal 2 3 3 3 3 3 8" xfId="37553"/>
    <cellStyle name="Normal 3 3 3 3 3 3 8" xfId="37554"/>
    <cellStyle name="Normal 4 2 3 3 3 3 8" xfId="37555"/>
    <cellStyle name="Normal 5 2 3 3 3 3 8" xfId="37556"/>
    <cellStyle name="Normal 7 2 3 3 3 3 8" xfId="37557"/>
    <cellStyle name="Normal 2 4 3 3 3 3 8" xfId="37558"/>
    <cellStyle name="Normal 3 4 3 3 3 3 8" xfId="37559"/>
    <cellStyle name="Normal 4 3 3 3 3 3 8" xfId="37560"/>
    <cellStyle name="Normal 5 3 3 3 3 3 8" xfId="37561"/>
    <cellStyle name="Normal 7 3 3 3 3 3 8" xfId="37562"/>
    <cellStyle name="Normal 2 7 2 3 3 8" xfId="37563"/>
    <cellStyle name="Normal 3 7 2 3 3 8" xfId="37564"/>
    <cellStyle name="Normal 4 6 2 3 3 8" xfId="37565"/>
    <cellStyle name="Normal 5 6 2 3 3 8" xfId="37566"/>
    <cellStyle name="Normal 7 6 2 3 3 8" xfId="37567"/>
    <cellStyle name="Normal 2 3 4 2 3 3 8" xfId="37568"/>
    <cellStyle name="Normal 3 3 4 2 3 3 8" xfId="37569"/>
    <cellStyle name="Normal 4 2 4 2 3 3 8" xfId="37570"/>
    <cellStyle name="Normal 5 2 4 2 3 3 8" xfId="37571"/>
    <cellStyle name="Normal 7 2 4 2 3 3 8" xfId="37572"/>
    <cellStyle name="Normal 2 4 4 2 3 3 8" xfId="37573"/>
    <cellStyle name="Normal 3 4 4 2 3 3 8" xfId="37574"/>
    <cellStyle name="Normal 4 3 4 2 3 3 8" xfId="37575"/>
    <cellStyle name="Normal 5 3 4 2 3 3 8" xfId="37576"/>
    <cellStyle name="Normal 7 3 4 2 3 3 8" xfId="37577"/>
    <cellStyle name="Normal 2 5 2 2 3 3 8" xfId="37578"/>
    <cellStyle name="Normal 3 5 2 2 3 3 8" xfId="37579"/>
    <cellStyle name="Normal 4 4 2 2 3 3 8" xfId="37580"/>
    <cellStyle name="Normal 5 4 2 2 3 3 8" xfId="37581"/>
    <cellStyle name="Normal 7 4 2 2 3 3 8" xfId="37582"/>
    <cellStyle name="Normal 2 3 2 2 2 3 3 8" xfId="37583"/>
    <cellStyle name="Normal 3 3 2 2 2 3 3 8" xfId="37584"/>
    <cellStyle name="Normal 4 2 2 2 2 3 3 8" xfId="37585"/>
    <cellStyle name="Normal 5 2 2 2 2 3 3 8" xfId="37586"/>
    <cellStyle name="Normal 7 2 2 2 2 3 3 8" xfId="37587"/>
    <cellStyle name="Normal 2 4 2 2 2 3 3 8" xfId="37588"/>
    <cellStyle name="Normal 3 4 2 2 2 3 3 8" xfId="37589"/>
    <cellStyle name="Normal 4 3 2 2 2 3 3 8" xfId="37590"/>
    <cellStyle name="Normal 5 3 2 2 2 3 3 8" xfId="37591"/>
    <cellStyle name="Normal 7 3 2 2 2 3 3 8" xfId="37592"/>
    <cellStyle name="Normal 2 6 2 2 3 3 8" xfId="37593"/>
    <cellStyle name="Normal 3 6 2 2 3 3 8" xfId="37594"/>
    <cellStyle name="Normal 4 5 2 2 3 3 8" xfId="37595"/>
    <cellStyle name="Normal 5 5 2 2 3 3 8" xfId="37596"/>
    <cellStyle name="Normal 7 5 2 2 3 3 8" xfId="37597"/>
    <cellStyle name="Normal 2 3 3 2 2 3 3 8" xfId="37598"/>
    <cellStyle name="Normal 3 3 3 2 2 3 3 8" xfId="37599"/>
    <cellStyle name="Normal 4 2 3 2 2 3 3 8" xfId="37600"/>
    <cellStyle name="Normal 5 2 3 2 2 3 3 8" xfId="37601"/>
    <cellStyle name="Normal 7 2 3 2 2 3 3 8" xfId="37602"/>
    <cellStyle name="Normal 2 4 3 2 2 3 3 8" xfId="37603"/>
    <cellStyle name="Normal 3 4 3 2 2 3 3 8" xfId="37604"/>
    <cellStyle name="Normal 4 3 3 2 2 3 3 8" xfId="37605"/>
    <cellStyle name="Normal 5 3 3 2 2 3 3 8" xfId="37606"/>
    <cellStyle name="Normal 7 3 3 2 2 3 3 8" xfId="37607"/>
    <cellStyle name="Normal 2 13 7" xfId="37608"/>
    <cellStyle name="Normal 3 13 7" xfId="37609"/>
    <cellStyle name="Normal 4 12 7" xfId="37610"/>
    <cellStyle name="Normal 5 12 7" xfId="37611"/>
    <cellStyle name="Normal 7 12 7" xfId="37612"/>
    <cellStyle name="Normal 2 3 10 7" xfId="37613"/>
    <cellStyle name="Normal 3 3 10 7" xfId="37614"/>
    <cellStyle name="Normal 4 2 10 7" xfId="37615"/>
    <cellStyle name="Normal 5 2 10 7" xfId="37616"/>
    <cellStyle name="Normal 7 2 10 7" xfId="37617"/>
    <cellStyle name="Normal 2 4 10 7" xfId="37618"/>
    <cellStyle name="Normal 3 4 10 7" xfId="37619"/>
    <cellStyle name="Normal 4 3 10 7" xfId="37620"/>
    <cellStyle name="Normal 5 3 10 7" xfId="37621"/>
    <cellStyle name="Normal 7 3 10 7" xfId="37622"/>
    <cellStyle name="Normal 2 5 8 7" xfId="37623"/>
    <cellStyle name="Normal 3 5 8 7" xfId="37624"/>
    <cellStyle name="Normal 4 4 8 7" xfId="37625"/>
    <cellStyle name="Normal 5 4 8 7" xfId="37626"/>
    <cellStyle name="Normal 7 4 8 7" xfId="37627"/>
    <cellStyle name="Normal 2 3 2 8 7" xfId="37628"/>
    <cellStyle name="Normal 3 3 2 8 7" xfId="37629"/>
    <cellStyle name="Normal 4 2 2 8 7" xfId="37630"/>
    <cellStyle name="Normal 5 2 2 8 7" xfId="37631"/>
    <cellStyle name="Normal 7 2 2 8 7" xfId="37632"/>
    <cellStyle name="Normal 2 4 2 8 7" xfId="37633"/>
    <cellStyle name="Normal 3 4 2 8 7" xfId="37634"/>
    <cellStyle name="Normal 4 3 2 8 7" xfId="37635"/>
    <cellStyle name="Normal 5 3 2 8 7" xfId="37636"/>
    <cellStyle name="Normal 7 3 2 8 7" xfId="37637"/>
    <cellStyle name="Normal 2 6 8 7" xfId="37638"/>
    <cellStyle name="Normal 3 6 8 7" xfId="37639"/>
    <cellStyle name="Normal 4 5 8 7" xfId="37640"/>
    <cellStyle name="Normal 5 5 8 7" xfId="37641"/>
    <cellStyle name="Normal 7 5 8 7" xfId="37642"/>
    <cellStyle name="Normal 2 3 3 8 7" xfId="37643"/>
    <cellStyle name="Normal 3 3 3 8 7" xfId="37644"/>
    <cellStyle name="Normal 4 2 3 8 7" xfId="37645"/>
    <cellStyle name="Normal 5 2 3 8 7" xfId="37646"/>
    <cellStyle name="Normal 7 2 3 8 7" xfId="37647"/>
    <cellStyle name="Normal 2 4 3 8 7" xfId="37648"/>
    <cellStyle name="Normal 3 4 3 8 7" xfId="37649"/>
    <cellStyle name="Normal 4 3 3 8 7" xfId="37650"/>
    <cellStyle name="Normal 5 3 3 8 7" xfId="37651"/>
    <cellStyle name="Normal 7 3 3 8 7" xfId="37652"/>
    <cellStyle name="Normal 2 7 7 7" xfId="37653"/>
    <cellStyle name="Normal 3 7 7 7" xfId="37654"/>
    <cellStyle name="Normal 4 6 7 7" xfId="37655"/>
    <cellStyle name="Normal 5 6 7 7" xfId="37656"/>
    <cellStyle name="Normal 7 6 7 7" xfId="37657"/>
    <cellStyle name="Normal 2 3 4 7 7" xfId="37658"/>
    <cellStyle name="Normal 3 3 4 7 7" xfId="37659"/>
    <cellStyle name="Normal 4 2 4 7 7" xfId="37660"/>
    <cellStyle name="Normal 5 2 4 7 7" xfId="37661"/>
    <cellStyle name="Normal 7 2 4 7 7" xfId="37662"/>
    <cellStyle name="Normal 2 4 4 7 7" xfId="37663"/>
    <cellStyle name="Normal 3 4 4 7 7" xfId="37664"/>
    <cellStyle name="Normal 4 3 4 7 7" xfId="37665"/>
    <cellStyle name="Normal 5 3 4 7 7" xfId="37666"/>
    <cellStyle name="Normal 7 3 4 7 7" xfId="37667"/>
    <cellStyle name="Normal 2 5 2 7 7" xfId="37668"/>
    <cellStyle name="Normal 3 5 2 7 7" xfId="37669"/>
    <cellStyle name="Normal 4 4 2 7 7" xfId="37670"/>
    <cellStyle name="Normal 5 4 2 7 7" xfId="37671"/>
    <cellStyle name="Normal 7 4 2 7 7" xfId="37672"/>
    <cellStyle name="Normal 2 3 2 2 7 7" xfId="37673"/>
    <cellStyle name="Normal 3 3 2 2 7 7" xfId="37674"/>
    <cellStyle name="Normal 4 2 2 2 7 7" xfId="37675"/>
    <cellStyle name="Normal 5 2 2 2 7 7" xfId="37676"/>
    <cellStyle name="Normal 7 2 2 2 7 7" xfId="37677"/>
    <cellStyle name="Normal 2 4 2 2 7 7" xfId="37678"/>
    <cellStyle name="Normal 3 4 2 2 7 7" xfId="37679"/>
    <cellStyle name="Normal 4 3 2 2 7 7" xfId="37680"/>
    <cellStyle name="Normal 5 3 2 2 7 7" xfId="37681"/>
    <cellStyle name="Normal 7 3 2 2 7 7" xfId="37682"/>
    <cellStyle name="Normal 2 6 2 7 7" xfId="37683"/>
    <cellStyle name="Normal 3 6 2 7 7" xfId="37684"/>
    <cellStyle name="Normal 4 5 2 7 7" xfId="37685"/>
    <cellStyle name="Normal 5 5 2 7 7" xfId="37686"/>
    <cellStyle name="Normal 7 5 2 7 7" xfId="37687"/>
    <cellStyle name="Normal 2 3 3 2 7 7" xfId="37688"/>
    <cellStyle name="Normal 3 3 3 2 7 7" xfId="37689"/>
    <cellStyle name="Normal 4 2 3 2 7 7" xfId="37690"/>
    <cellStyle name="Normal 5 2 3 2 7 7" xfId="37691"/>
    <cellStyle name="Normal 7 2 3 2 7 7" xfId="37692"/>
    <cellStyle name="Normal 2 4 3 2 7 7" xfId="37693"/>
    <cellStyle name="Normal 3 4 3 2 7 7" xfId="37694"/>
    <cellStyle name="Normal 4 3 3 2 7 7" xfId="37695"/>
    <cellStyle name="Normal 5 3 3 2 7 7" xfId="37696"/>
    <cellStyle name="Normal 7 3 3 2 7 7" xfId="37697"/>
    <cellStyle name="Normal 2 8 6 7" xfId="37698"/>
    <cellStyle name="Normal 3 8 6 7" xfId="37699"/>
    <cellStyle name="Normal 4 7 6 7" xfId="37700"/>
    <cellStyle name="Normal 5 7 6 7" xfId="37701"/>
    <cellStyle name="Normal 7 7 6 7" xfId="37702"/>
    <cellStyle name="Normal 2 3 5 6 7" xfId="37703"/>
    <cellStyle name="Normal 3 3 5 6 7" xfId="37704"/>
    <cellStyle name="Normal 4 2 5 6 7" xfId="37705"/>
    <cellStyle name="Normal 5 2 5 6 7" xfId="37706"/>
    <cellStyle name="Normal 7 2 5 6 7" xfId="37707"/>
    <cellStyle name="Normal 2 4 5 6 7" xfId="37708"/>
    <cellStyle name="Normal 3 4 5 6 7" xfId="37709"/>
    <cellStyle name="Normal 4 3 5 6 7" xfId="37710"/>
    <cellStyle name="Normal 5 3 5 6 7" xfId="37711"/>
    <cellStyle name="Normal 7 3 5 6 7" xfId="37712"/>
    <cellStyle name="Normal 2 5 3 6 7" xfId="37713"/>
    <cellStyle name="Normal 3 5 3 6 7" xfId="37714"/>
    <cellStyle name="Normal 4 4 3 6 7" xfId="37715"/>
    <cellStyle name="Normal 5 4 3 6 7" xfId="37716"/>
    <cellStyle name="Normal 7 4 3 6 7" xfId="37717"/>
    <cellStyle name="Normal 2 3 2 3 6 7" xfId="37718"/>
    <cellStyle name="Normal 3 3 2 3 6 7" xfId="37719"/>
    <cellStyle name="Normal 4 2 2 3 6 7" xfId="37720"/>
    <cellStyle name="Normal 5 2 2 3 6 7" xfId="37721"/>
    <cellStyle name="Normal 7 2 2 3 6 7" xfId="37722"/>
    <cellStyle name="Normal 2 4 2 3 6 7" xfId="37723"/>
    <cellStyle name="Normal 3 4 2 3 6 7" xfId="37724"/>
    <cellStyle name="Normal 4 3 2 3 6 7" xfId="37725"/>
    <cellStyle name="Normal 5 3 2 3 6 7" xfId="37726"/>
    <cellStyle name="Normal 7 3 2 3 6 7" xfId="37727"/>
    <cellStyle name="Normal 2 6 3 6 7" xfId="37728"/>
    <cellStyle name="Normal 3 6 3 6 7" xfId="37729"/>
    <cellStyle name="Normal 4 5 3 6 7" xfId="37730"/>
    <cellStyle name="Normal 5 5 3 6 7" xfId="37731"/>
    <cellStyle name="Normal 7 5 3 6 7" xfId="37732"/>
    <cellStyle name="Normal 2 3 3 3 6 7" xfId="37733"/>
    <cellStyle name="Normal 3 3 3 3 6 7" xfId="37734"/>
    <cellStyle name="Normal 4 2 3 3 6 7" xfId="37735"/>
    <cellStyle name="Normal 5 2 3 3 6 7" xfId="37736"/>
    <cellStyle name="Normal 7 2 3 3 6 7" xfId="37737"/>
    <cellStyle name="Normal 2 4 3 3 6 7" xfId="37738"/>
    <cellStyle name="Normal 3 4 3 3 6 7" xfId="37739"/>
    <cellStyle name="Normal 4 3 3 3 6 7" xfId="37740"/>
    <cellStyle name="Normal 5 3 3 3 6 7" xfId="37741"/>
    <cellStyle name="Normal 7 3 3 3 6 7" xfId="37742"/>
    <cellStyle name="Normal 2 7 2 6 7" xfId="37743"/>
    <cellStyle name="Normal 3 7 2 6 7" xfId="37744"/>
    <cellStyle name="Normal 4 6 2 6 7" xfId="37745"/>
    <cellStyle name="Normal 5 6 2 6 7" xfId="37746"/>
    <cellStyle name="Normal 7 6 2 6 7" xfId="37747"/>
    <cellStyle name="Normal 2 3 4 2 6 7" xfId="37748"/>
    <cellStyle name="Normal 3 3 4 2 6 7" xfId="37749"/>
    <cellStyle name="Normal 4 2 4 2 6 7" xfId="37750"/>
    <cellStyle name="Normal 5 2 4 2 6 7" xfId="37751"/>
    <cellStyle name="Normal 7 2 4 2 6 7" xfId="37752"/>
    <cellStyle name="Normal 2 4 4 2 6 7" xfId="37753"/>
    <cellStyle name="Normal 3 4 4 2 6 7" xfId="37754"/>
    <cellStyle name="Normal 4 3 4 2 6 7" xfId="37755"/>
    <cellStyle name="Normal 5 3 4 2 6 7" xfId="37756"/>
    <cellStyle name="Normal 7 3 4 2 6 7" xfId="37757"/>
    <cellStyle name="Normal 2 5 2 2 6 7" xfId="37758"/>
    <cellStyle name="Normal 3 5 2 2 6 7" xfId="37759"/>
    <cellStyle name="Normal 4 4 2 2 6 7" xfId="37760"/>
    <cellStyle name="Normal 5 4 2 2 6 7" xfId="37761"/>
    <cellStyle name="Normal 7 4 2 2 6 7" xfId="37762"/>
    <cellStyle name="Normal 2 3 2 2 2 6 7" xfId="37763"/>
    <cellStyle name="Normal 3 3 2 2 2 6 7" xfId="37764"/>
    <cellStyle name="Normal 4 2 2 2 2 6 7" xfId="37765"/>
    <cellStyle name="Normal 5 2 2 2 2 6 7" xfId="37766"/>
    <cellStyle name="Normal 7 2 2 2 2 6 7" xfId="37767"/>
    <cellStyle name="Normal 2 4 2 2 2 6 7" xfId="37768"/>
    <cellStyle name="Normal 3 4 2 2 2 6 7" xfId="37769"/>
    <cellStyle name="Normal 4 3 2 2 2 6 7" xfId="37770"/>
    <cellStyle name="Normal 5 3 2 2 2 6 7" xfId="37771"/>
    <cellStyle name="Normal 7 3 2 2 2 6 7" xfId="37772"/>
    <cellStyle name="Normal 2 6 2 2 6 7" xfId="37773"/>
    <cellStyle name="Normal 3 6 2 2 6 7" xfId="37774"/>
    <cellStyle name="Normal 4 5 2 2 6 7" xfId="37775"/>
    <cellStyle name="Normal 5 5 2 2 6 7" xfId="37776"/>
    <cellStyle name="Normal 7 5 2 2 6 7" xfId="37777"/>
    <cellStyle name="Normal 2 3 3 2 2 6 7" xfId="37778"/>
    <cellStyle name="Normal 3 3 3 2 2 6 7" xfId="37779"/>
    <cellStyle name="Normal 4 2 3 2 2 6 7" xfId="37780"/>
    <cellStyle name="Normal 5 2 3 2 2 6 7" xfId="37781"/>
    <cellStyle name="Normal 7 2 3 2 2 6 7" xfId="37782"/>
    <cellStyle name="Normal 2 4 3 2 2 6 7" xfId="37783"/>
    <cellStyle name="Normal 3 4 3 2 2 6 7" xfId="37784"/>
    <cellStyle name="Normal 4 3 3 2 2 6 7" xfId="37785"/>
    <cellStyle name="Normal 5 3 3 2 2 6 7" xfId="37786"/>
    <cellStyle name="Normal 7 3 3 2 2 6 7" xfId="37787"/>
    <cellStyle name="Normal 2 9 4 7" xfId="37788"/>
    <cellStyle name="Normal 3 9 4 7" xfId="37789"/>
    <cellStyle name="Normal 4 8 4 7" xfId="37790"/>
    <cellStyle name="Normal 5 8 4 7" xfId="37791"/>
    <cellStyle name="Normal 7 8 4 7" xfId="37792"/>
    <cellStyle name="Normal 2 3 6 4 7" xfId="37793"/>
    <cellStyle name="Normal 3 3 6 4 7" xfId="37794"/>
    <cellStyle name="Normal 4 2 6 4 7" xfId="37795"/>
    <cellStyle name="Normal 5 2 6 4 7" xfId="37796"/>
    <cellStyle name="Normal 7 2 6 4 7" xfId="37797"/>
    <cellStyle name="Normal 2 4 6 4 7" xfId="37798"/>
    <cellStyle name="Normal 3 4 6 4 7" xfId="37799"/>
    <cellStyle name="Normal 4 3 6 4 7" xfId="37800"/>
    <cellStyle name="Normal 5 3 6 4 7" xfId="37801"/>
    <cellStyle name="Normal 7 3 6 4 7" xfId="37802"/>
    <cellStyle name="Normal 2 5 4 4 7" xfId="37803"/>
    <cellStyle name="Normal 3 5 4 4 7" xfId="37804"/>
    <cellStyle name="Normal 4 4 4 4 7" xfId="37805"/>
    <cellStyle name="Normal 5 4 4 4 7" xfId="37806"/>
    <cellStyle name="Normal 7 4 4 4 7" xfId="37807"/>
    <cellStyle name="Normal 2 3 2 4 4 7" xfId="37808"/>
    <cellStyle name="Normal 3 3 2 4 4 7" xfId="37809"/>
    <cellStyle name="Normal 4 2 2 4 4 7" xfId="37810"/>
    <cellStyle name="Normal 5 2 2 4 4 7" xfId="37811"/>
    <cellStyle name="Normal 7 2 2 4 4 7" xfId="37812"/>
    <cellStyle name="Normal 2 4 2 4 4 7" xfId="37813"/>
    <cellStyle name="Normal 3 4 2 4 4 7" xfId="37814"/>
    <cellStyle name="Normal 4 3 2 4 4 7" xfId="37815"/>
    <cellStyle name="Normal 5 3 2 4 4 7" xfId="37816"/>
    <cellStyle name="Normal 7 3 2 4 4 7" xfId="37817"/>
    <cellStyle name="Normal 2 6 4 4 7" xfId="37818"/>
    <cellStyle name="Normal 3 6 4 4 7" xfId="37819"/>
    <cellStyle name="Normal 4 5 4 4 7" xfId="37820"/>
    <cellStyle name="Normal 5 5 4 4 7" xfId="37821"/>
    <cellStyle name="Normal 7 5 4 4 7" xfId="37822"/>
    <cellStyle name="Normal 2 3 3 4 4 7" xfId="37823"/>
    <cellStyle name="Normal 3 3 3 4 4 7" xfId="37824"/>
    <cellStyle name="Normal 4 2 3 4 4 7" xfId="37825"/>
    <cellStyle name="Normal 5 2 3 4 4 7" xfId="37826"/>
    <cellStyle name="Normal 7 2 3 4 4 7" xfId="37827"/>
    <cellStyle name="Normal 2 4 3 4 4 7" xfId="37828"/>
    <cellStyle name="Normal 3 4 3 4 4 7" xfId="37829"/>
    <cellStyle name="Normal 4 3 3 4 4 7" xfId="37830"/>
    <cellStyle name="Normal 5 3 3 4 4 7" xfId="37831"/>
    <cellStyle name="Normal 7 3 3 4 4 7" xfId="37832"/>
    <cellStyle name="Normal 2 7 3 4 7" xfId="37833"/>
    <cellStyle name="Normal 3 7 3 4 7" xfId="37834"/>
    <cellStyle name="Normal 4 6 3 4 7" xfId="37835"/>
    <cellStyle name="Normal 5 6 3 4 7" xfId="37836"/>
    <cellStyle name="Normal 7 6 3 4 7" xfId="37837"/>
    <cellStyle name="Normal 2 3 4 3 4 7" xfId="37838"/>
    <cellStyle name="Normal 3 3 4 3 4 7" xfId="37839"/>
    <cellStyle name="Normal 4 2 4 3 4 7" xfId="37840"/>
    <cellStyle name="Normal 5 2 4 3 4 7" xfId="37841"/>
    <cellStyle name="Normal 7 2 4 3 4 7" xfId="37842"/>
    <cellStyle name="Normal 2 4 4 3 4 7" xfId="37843"/>
    <cellStyle name="Normal 3 4 4 3 4 7" xfId="37844"/>
    <cellStyle name="Normal 4 3 4 3 4 7" xfId="37845"/>
    <cellStyle name="Normal 5 3 4 3 4 7" xfId="37846"/>
    <cellStyle name="Normal 7 3 4 3 4 7" xfId="37847"/>
    <cellStyle name="Normal 2 5 2 3 4 7" xfId="37848"/>
    <cellStyle name="Normal 3 5 2 3 4 7" xfId="37849"/>
    <cellStyle name="Normal 4 4 2 3 4 7" xfId="37850"/>
    <cellStyle name="Normal 5 4 2 3 4 7" xfId="37851"/>
    <cellStyle name="Normal 7 4 2 3 4 7" xfId="37852"/>
    <cellStyle name="Normal 2 3 2 2 3 4 7" xfId="37853"/>
    <cellStyle name="Normal 3 3 2 2 3 4 7" xfId="37854"/>
    <cellStyle name="Normal 4 2 2 2 3 4 7" xfId="37855"/>
    <cellStyle name="Normal 5 2 2 2 3 4 7" xfId="37856"/>
    <cellStyle name="Normal 7 2 2 2 3 4 7" xfId="37857"/>
    <cellStyle name="Normal 2 4 2 2 3 4 7" xfId="37858"/>
    <cellStyle name="Normal 3 4 2 2 3 4 7" xfId="37859"/>
    <cellStyle name="Normal 4 3 2 2 3 4 7" xfId="37860"/>
    <cellStyle name="Normal 5 3 2 2 3 4 7" xfId="37861"/>
    <cellStyle name="Normal 7 3 2 2 3 4 7" xfId="37862"/>
    <cellStyle name="Normal 2 6 2 3 4 7" xfId="37863"/>
    <cellStyle name="Normal 3 6 2 3 4 7" xfId="37864"/>
    <cellStyle name="Normal 4 5 2 3 4 7" xfId="37865"/>
    <cellStyle name="Normal 5 5 2 3 4 7" xfId="37866"/>
    <cellStyle name="Normal 7 5 2 3 4 7" xfId="37867"/>
    <cellStyle name="Normal 2 3 3 2 3 4 7" xfId="37868"/>
    <cellStyle name="Normal 3 3 3 2 3 4 7" xfId="37869"/>
    <cellStyle name="Normal 4 2 3 2 3 4 7" xfId="37870"/>
    <cellStyle name="Normal 5 2 3 2 3 4 7" xfId="37871"/>
    <cellStyle name="Normal 7 2 3 2 3 4 7" xfId="37872"/>
    <cellStyle name="Normal 2 4 3 2 3 4 7" xfId="37873"/>
    <cellStyle name="Normal 3 4 3 2 3 4 7" xfId="37874"/>
    <cellStyle name="Normal 4 3 3 2 3 4 7" xfId="37875"/>
    <cellStyle name="Normal 5 3 3 2 3 4 7" xfId="37876"/>
    <cellStyle name="Normal 7 3 3 2 3 4 7" xfId="37877"/>
    <cellStyle name="Normal 2 8 2 4 7" xfId="37878"/>
    <cellStyle name="Normal 3 8 2 4 7" xfId="37879"/>
    <cellStyle name="Normal 4 7 2 4 7" xfId="37880"/>
    <cellStyle name="Normal 5 7 2 4 7" xfId="37881"/>
    <cellStyle name="Normal 7 7 2 4 7" xfId="37882"/>
    <cellStyle name="Normal 2 3 5 2 4 7" xfId="37883"/>
    <cellStyle name="Normal 3 3 5 2 4 7" xfId="37884"/>
    <cellStyle name="Normal 4 2 5 2 4 7" xfId="37885"/>
    <cellStyle name="Normal 5 2 5 2 4 7" xfId="37886"/>
    <cellStyle name="Normal 7 2 5 2 4 7" xfId="37887"/>
    <cellStyle name="Normal 2 4 5 2 4 7" xfId="37888"/>
    <cellStyle name="Normal 3 4 5 2 4 7" xfId="37889"/>
    <cellStyle name="Normal 4 3 5 2 4 7" xfId="37890"/>
    <cellStyle name="Normal 5 3 5 2 4 7" xfId="37891"/>
    <cellStyle name="Normal 7 3 5 2 4 7" xfId="37892"/>
    <cellStyle name="Normal 2 5 3 2 4 7" xfId="37893"/>
    <cellStyle name="Normal 3 5 3 2 4 7" xfId="37894"/>
    <cellStyle name="Normal 4 4 3 2 4 7" xfId="37895"/>
    <cellStyle name="Normal 5 4 3 2 4 7" xfId="37896"/>
    <cellStyle name="Normal 7 4 3 2 4 7" xfId="37897"/>
    <cellStyle name="Normal 2 3 2 3 2 4 7" xfId="37898"/>
    <cellStyle name="Normal 3 3 2 3 2 4 7" xfId="37899"/>
    <cellStyle name="Normal 4 2 2 3 2 4 7" xfId="37900"/>
    <cellStyle name="Normal 5 2 2 3 2 4 7" xfId="37901"/>
    <cellStyle name="Normal 7 2 2 3 2 4 7" xfId="37902"/>
    <cellStyle name="Normal 2 4 2 3 2 4 7" xfId="37903"/>
    <cellStyle name="Normal 3 4 2 3 2 4 7" xfId="37904"/>
    <cellStyle name="Normal 4 3 2 3 2 4 7" xfId="37905"/>
    <cellStyle name="Normal 5 3 2 3 2 4 7" xfId="37906"/>
    <cellStyle name="Normal 7 3 2 3 2 4 7" xfId="37907"/>
    <cellStyle name="Normal 2 6 3 2 4 7" xfId="37908"/>
    <cellStyle name="Normal 3 6 3 2 4 7" xfId="37909"/>
    <cellStyle name="Normal 4 5 3 2 4 7" xfId="37910"/>
    <cellStyle name="Normal 5 5 3 2 4 7" xfId="37911"/>
    <cellStyle name="Normal 7 5 3 2 4 7" xfId="37912"/>
    <cellStyle name="Normal 2 3 3 3 2 4 7" xfId="37913"/>
    <cellStyle name="Normal 3 3 3 3 2 4 7" xfId="37914"/>
    <cellStyle name="Normal 4 2 3 3 2 4 7" xfId="37915"/>
    <cellStyle name="Normal 5 2 3 3 2 4 7" xfId="37916"/>
    <cellStyle name="Normal 7 2 3 3 2 4 7" xfId="37917"/>
    <cellStyle name="Normal 2 4 3 3 2 4 7" xfId="37918"/>
    <cellStyle name="Normal 3 4 3 3 2 4 7" xfId="37919"/>
    <cellStyle name="Normal 4 3 3 3 2 4 7" xfId="37920"/>
    <cellStyle name="Normal 5 3 3 3 2 4 7" xfId="37921"/>
    <cellStyle name="Normal 7 3 3 3 2 4 7" xfId="37922"/>
    <cellStyle name="Normal 2 7 2 2 4 7" xfId="37923"/>
    <cellStyle name="Normal 3 7 2 2 4 7" xfId="37924"/>
    <cellStyle name="Normal 4 6 2 2 4 7" xfId="37925"/>
    <cellStyle name="Normal 5 6 2 2 4 7" xfId="37926"/>
    <cellStyle name="Normal 7 6 2 2 4 7" xfId="37927"/>
    <cellStyle name="Normal 2 3 4 2 2 4 7" xfId="37928"/>
    <cellStyle name="Normal 3 3 4 2 2 4 7" xfId="37929"/>
    <cellStyle name="Normal 4 2 4 2 2 4 7" xfId="37930"/>
    <cellStyle name="Normal 5 2 4 2 2 4 7" xfId="37931"/>
    <cellStyle name="Normal 7 2 4 2 2 4 7" xfId="37932"/>
    <cellStyle name="Normal 2 4 4 2 2 4 7" xfId="37933"/>
    <cellStyle name="Normal 3 4 4 2 2 4 7" xfId="37934"/>
    <cellStyle name="Normal 4 3 4 2 2 4 7" xfId="37935"/>
    <cellStyle name="Normal 5 3 4 2 2 4 7" xfId="37936"/>
    <cellStyle name="Normal 7 3 4 2 2 4 7" xfId="37937"/>
    <cellStyle name="Normal 2 5 2 2 2 4 7" xfId="37938"/>
    <cellStyle name="Normal 3 5 2 2 2 4 7" xfId="37939"/>
    <cellStyle name="Normal 4 4 2 2 2 4 7" xfId="37940"/>
    <cellStyle name="Normal 5 4 2 2 2 4 7" xfId="37941"/>
    <cellStyle name="Normal 7 4 2 2 2 4 7" xfId="37942"/>
    <cellStyle name="Normal 2 3 2 2 2 2 4 7" xfId="37943"/>
    <cellStyle name="Normal 3 3 2 2 2 2 4 7" xfId="37944"/>
    <cellStyle name="Normal 4 2 2 2 2 2 4 7" xfId="37945"/>
    <cellStyle name="Normal 5 2 2 2 2 2 4 7" xfId="37946"/>
    <cellStyle name="Normal 7 2 2 2 2 2 4 7" xfId="37947"/>
    <cellStyle name="Normal 2 4 2 2 2 2 4 7" xfId="37948"/>
    <cellStyle name="Normal 3 4 2 2 2 2 4 7" xfId="37949"/>
    <cellStyle name="Normal 4 3 2 2 2 2 4 7" xfId="37950"/>
    <cellStyle name="Normal 5 3 2 2 2 2 4 7" xfId="37951"/>
    <cellStyle name="Normal 7 3 2 2 2 2 4 7" xfId="37952"/>
    <cellStyle name="Normal 2 6 2 2 2 4 7" xfId="37953"/>
    <cellStyle name="Normal 3 6 2 2 2 4 7" xfId="37954"/>
    <cellStyle name="Normal 4 5 2 2 2 4 7" xfId="37955"/>
    <cellStyle name="Normal 5 5 2 2 2 4 7" xfId="37956"/>
    <cellStyle name="Normal 7 5 2 2 2 4 7" xfId="37957"/>
    <cellStyle name="Normal 2 3 3 2 2 2 4 7" xfId="37958"/>
    <cellStyle name="Normal 3 3 3 2 2 2 4 7" xfId="37959"/>
    <cellStyle name="Normal 4 2 3 2 2 2 4 7" xfId="37960"/>
    <cellStyle name="Normal 5 2 3 2 2 2 4 7" xfId="37961"/>
    <cellStyle name="Normal 7 2 3 2 2 2 4 7" xfId="37962"/>
    <cellStyle name="Normal 2 4 3 2 2 2 4 7" xfId="37963"/>
    <cellStyle name="Normal 3 4 3 2 2 2 4 7" xfId="37964"/>
    <cellStyle name="Normal 4 3 3 2 2 2 4 7" xfId="37965"/>
    <cellStyle name="Normal 5 3 3 2 2 2 4 7" xfId="37966"/>
    <cellStyle name="Normal 7 3 3 2 2 2 4 7" xfId="37967"/>
    <cellStyle name="Normal 28 4 7" xfId="37968"/>
    <cellStyle name="Normal 2 3 7 4 7" xfId="37969"/>
    <cellStyle name="Normal 3 10 4 7" xfId="37970"/>
    <cellStyle name="Normal 4 9 4 7" xfId="37971"/>
    <cellStyle name="Normal 5 9 4 7" xfId="37972"/>
    <cellStyle name="Millares 4 4 7" xfId="37973"/>
    <cellStyle name="Normal 7 2 7 4 7" xfId="37974"/>
    <cellStyle name="Normal 3 3 7 4 7" xfId="37975"/>
    <cellStyle name="Normal 4 2 7 4 7" xfId="37976"/>
    <cellStyle name="Normal 5 2 7 4 7" xfId="37977"/>
    <cellStyle name="Normal 2 4 5 3 4 7" xfId="37978"/>
    <cellStyle name="Normal 3 4 7 4 7" xfId="37979"/>
    <cellStyle name="Normal 4 3 7 4 7" xfId="37980"/>
    <cellStyle name="Normal 5 3 7 4 7" xfId="37981"/>
    <cellStyle name="Normal 7 3 7 4 7" xfId="37982"/>
    <cellStyle name="Normal 2 5 5 4 7" xfId="37983"/>
    <cellStyle name="Normal 3 5 5 4 7" xfId="37984"/>
    <cellStyle name="Normal 4 4 5 4 7" xfId="37985"/>
    <cellStyle name="Normal 5 4 5 4 7" xfId="37986"/>
    <cellStyle name="Normal 7 4 5 4 7" xfId="37987"/>
    <cellStyle name="Normal 2 3 2 5 4 7" xfId="37988"/>
    <cellStyle name="Normal 3 3 2 5 4 7" xfId="37989"/>
    <cellStyle name="Normal 4 2 2 5 4 7" xfId="37990"/>
    <cellStyle name="Normal 5 2 2 5 4 7" xfId="37991"/>
    <cellStyle name="Normal 7 2 2 5 4 7" xfId="37992"/>
    <cellStyle name="Normal 2 4 2 5 4 7" xfId="37993"/>
    <cellStyle name="Normal 3 4 2 5 4 7" xfId="37994"/>
    <cellStyle name="Normal 4 3 2 5 4 7" xfId="37995"/>
    <cellStyle name="Normal 5 3 2 5 4 7" xfId="37996"/>
    <cellStyle name="Normal 7 3 2 5 4 7" xfId="37997"/>
    <cellStyle name="Normal 2 6 5 4 7" xfId="37998"/>
    <cellStyle name="Normal 3 6 5 4 7" xfId="37999"/>
    <cellStyle name="Normal 4 5 5 4 7" xfId="38000"/>
    <cellStyle name="Normal 5 5 5 4 7" xfId="38001"/>
    <cellStyle name="Normal 7 5 5 4 7" xfId="38002"/>
    <cellStyle name="Normal 2 3 3 5 4 7" xfId="38003"/>
    <cellStyle name="Normal 3 3 3 5 4 7" xfId="38004"/>
    <cellStyle name="Normal 4 2 3 5 4 7" xfId="38005"/>
    <cellStyle name="Normal 5 2 3 5 4 7" xfId="38006"/>
    <cellStyle name="Normal 7 2 3 5 4 7" xfId="38007"/>
    <cellStyle name="Normal 2 4 3 5 4 7" xfId="38008"/>
    <cellStyle name="Normal 3 4 3 5 4 7" xfId="38009"/>
    <cellStyle name="Normal 4 3 3 5 4 7" xfId="38010"/>
    <cellStyle name="Normal 5 3 3 5 4 7" xfId="38011"/>
    <cellStyle name="Normal 7 3 3 5 4 7" xfId="38012"/>
    <cellStyle name="Normal 2 7 4 4 7" xfId="38013"/>
    <cellStyle name="Normal 3 7 4 4 7" xfId="38014"/>
    <cellStyle name="Normal 4 6 4 4 7" xfId="38015"/>
    <cellStyle name="Normal 5 6 4 4 7" xfId="38016"/>
    <cellStyle name="Normal 7 6 4 4 7" xfId="38017"/>
    <cellStyle name="Normal 2 3 4 4 4 7" xfId="38018"/>
    <cellStyle name="Normal 3 3 4 4 4 7" xfId="38019"/>
    <cellStyle name="Normal 4 2 4 4 4 7" xfId="38020"/>
    <cellStyle name="Normal 5 2 4 4 4 7" xfId="38021"/>
    <cellStyle name="Normal 7 2 4 4 4 7" xfId="38022"/>
    <cellStyle name="Normal 2 4 4 4 4 7" xfId="38023"/>
    <cellStyle name="Normal 3 4 4 4 4 7" xfId="38024"/>
    <cellStyle name="Normal 4 3 4 4 4 7" xfId="38025"/>
    <cellStyle name="Normal 5 3 4 4 4 7" xfId="38026"/>
    <cellStyle name="Normal 7 3 4 4 4 7" xfId="38027"/>
    <cellStyle name="Normal 2 5 2 4 4 7" xfId="38028"/>
    <cellStyle name="Normal 3 5 2 4 4 7" xfId="38029"/>
    <cellStyle name="Normal 4 4 2 4 4 7" xfId="38030"/>
    <cellStyle name="Normal 5 4 2 4 4 7" xfId="38031"/>
    <cellStyle name="Normal 7 4 2 4 4 7" xfId="38032"/>
    <cellStyle name="Normal 2 3 2 2 4 4 7" xfId="38033"/>
    <cellStyle name="Normal 3 3 2 2 4 4 7" xfId="38034"/>
    <cellStyle name="Normal 4 2 2 2 4 4 7" xfId="38035"/>
    <cellStyle name="Normal 5 2 2 2 4 4 7" xfId="38036"/>
    <cellStyle name="Normal 7 2 2 2 4 4 7" xfId="38037"/>
    <cellStyle name="Normal 2 4 2 2 4 4 7" xfId="38038"/>
    <cellStyle name="Normal 3 4 2 2 4 4 7" xfId="38039"/>
    <cellStyle name="Normal 4 3 2 2 4 4 7" xfId="38040"/>
    <cellStyle name="Normal 5 3 2 2 4 4 7" xfId="38041"/>
    <cellStyle name="Normal 7 3 2 2 4 4 7" xfId="38042"/>
    <cellStyle name="Normal 2 6 2 4 4 7" xfId="38043"/>
    <cellStyle name="Normal 3 6 2 4 4 7" xfId="38044"/>
    <cellStyle name="Normal 4 5 2 4 4 7" xfId="38045"/>
    <cellStyle name="Normal 5 5 2 4 4 7" xfId="38046"/>
    <cellStyle name="Normal 7 5 2 4 4 7" xfId="38047"/>
    <cellStyle name="Normal 2 3 3 2 4 4 7" xfId="38048"/>
    <cellStyle name="Normal 3 3 3 2 4 4 7" xfId="38049"/>
    <cellStyle name="Normal 4 2 3 2 4 4 7" xfId="38050"/>
    <cellStyle name="Normal 5 2 3 2 4 4 7" xfId="38051"/>
    <cellStyle name="Normal 7 2 3 2 4 4 7" xfId="38052"/>
    <cellStyle name="Normal 2 4 3 2 4 4 7" xfId="38053"/>
    <cellStyle name="Normal 3 4 3 2 4 4 7" xfId="38054"/>
    <cellStyle name="Normal 4 3 3 2 4 4 7" xfId="38055"/>
    <cellStyle name="Normal 5 3 3 2 4 4 7" xfId="38056"/>
    <cellStyle name="Normal 7 3 3 2 4 4 7" xfId="38057"/>
    <cellStyle name="Normal 2 8 3 4 7" xfId="38058"/>
    <cellStyle name="Normal 3 8 3 4 7" xfId="38059"/>
    <cellStyle name="Normal 4 7 3 4 7" xfId="38060"/>
    <cellStyle name="Normal 5 7 3 4 7" xfId="38061"/>
    <cellStyle name="Normal 7 7 3 4 7" xfId="38062"/>
    <cellStyle name="Normal 2 3 5 3 4 7" xfId="38063"/>
    <cellStyle name="Normal 3 3 5 3 4 7" xfId="38064"/>
    <cellStyle name="Normal 4 2 5 3 4 7" xfId="38065"/>
    <cellStyle name="Normal 5 2 5 3 4 7" xfId="38066"/>
    <cellStyle name="Normal 7 2 5 3 4 7" xfId="38067"/>
    <cellStyle name="Normal 3 4 5 3 4 7" xfId="38068"/>
    <cellStyle name="Normal 4 3 5 3 4 7" xfId="38069"/>
    <cellStyle name="Normal 5 3 5 3 4 7" xfId="38070"/>
    <cellStyle name="Normal 7 3 5 3 4 7" xfId="38071"/>
    <cellStyle name="Normal 2 5 3 3 4 7" xfId="38072"/>
    <cellStyle name="Normal 3 5 3 3 4 7" xfId="38073"/>
    <cellStyle name="Normal 4 4 3 3 4 7" xfId="38074"/>
    <cellStyle name="Normal 5 4 3 3 4 7" xfId="38075"/>
    <cellStyle name="Normal 7 4 3 3 4 7" xfId="38076"/>
    <cellStyle name="Normal 2 3 2 3 3 4 7" xfId="38077"/>
    <cellStyle name="Normal 3 3 2 3 3 4 7" xfId="38078"/>
    <cellStyle name="Normal 4 2 2 3 3 4 7" xfId="38079"/>
    <cellStyle name="Normal 5 2 2 3 3 4 7" xfId="38080"/>
    <cellStyle name="Normal 7 2 2 3 3 4 7" xfId="38081"/>
    <cellStyle name="Normal 2 4 2 3 3 4 7" xfId="38082"/>
    <cellStyle name="Normal 3 4 2 3 3 4 7" xfId="38083"/>
    <cellStyle name="Normal 4 3 2 3 3 4 7" xfId="38084"/>
    <cellStyle name="Normal 5 3 2 3 3 4 7" xfId="38085"/>
    <cellStyle name="Normal 7 3 2 3 3 4 7" xfId="38086"/>
    <cellStyle name="Normal 2 6 3 3 4 7" xfId="38087"/>
    <cellStyle name="Normal 3 6 3 3 4 7" xfId="38088"/>
    <cellStyle name="Normal 4 5 3 3 4 7" xfId="38089"/>
    <cellStyle name="Normal 5 5 3 3 4 7" xfId="38090"/>
    <cellStyle name="Normal 7 5 3 3 4 7" xfId="38091"/>
    <cellStyle name="Normal 2 3 3 3 3 4 7" xfId="38092"/>
    <cellStyle name="Normal 3 3 3 3 3 4 7" xfId="38093"/>
    <cellStyle name="Normal 4 2 3 3 3 4 7" xfId="38094"/>
    <cellStyle name="Normal 5 2 3 3 3 4 7" xfId="38095"/>
    <cellStyle name="Normal 7 2 3 3 3 4 7" xfId="38096"/>
    <cellStyle name="Normal 2 4 3 3 3 4 7" xfId="38097"/>
    <cellStyle name="Normal 3 4 3 3 3 4 7" xfId="38098"/>
    <cellStyle name="Normal 4 3 3 3 3 4 7" xfId="38099"/>
    <cellStyle name="Normal 5 3 3 3 3 4 7" xfId="38100"/>
    <cellStyle name="Normal 7 3 3 3 3 4 7" xfId="38101"/>
    <cellStyle name="Normal 2 7 2 3 4 7" xfId="38102"/>
    <cellStyle name="Normal 3 7 2 3 4 7" xfId="38103"/>
    <cellStyle name="Normal 4 6 2 3 4 7" xfId="38104"/>
    <cellStyle name="Normal 5 6 2 3 4 7" xfId="38105"/>
    <cellStyle name="Normal 7 6 2 3 4 7" xfId="38106"/>
    <cellStyle name="Normal 2 3 4 2 3 4 7" xfId="38107"/>
    <cellStyle name="Normal 3 3 4 2 3 4 7" xfId="38108"/>
    <cellStyle name="Normal 4 2 4 2 3 4 7" xfId="38109"/>
    <cellStyle name="Normal 5 2 4 2 3 4 7" xfId="38110"/>
    <cellStyle name="Normal 7 2 4 2 3 4 7" xfId="38111"/>
    <cellStyle name="Normal 2 4 4 2 3 4 7" xfId="38112"/>
    <cellStyle name="Normal 3 4 4 2 3 4 7" xfId="38113"/>
    <cellStyle name="Normal 4 3 4 2 3 4 7" xfId="38114"/>
    <cellStyle name="Normal 5 3 4 2 3 4 7" xfId="38115"/>
    <cellStyle name="Normal 7 3 4 2 3 4 7" xfId="38116"/>
    <cellStyle name="Normal 2 5 2 2 3 4 7" xfId="38117"/>
    <cellStyle name="Normal 3 5 2 2 3 4 7" xfId="38118"/>
    <cellStyle name="Normal 4 4 2 2 3 4 7" xfId="38119"/>
    <cellStyle name="Normal 5 4 2 2 3 4 7" xfId="38120"/>
    <cellStyle name="Normal 7 4 2 2 3 4 7" xfId="38121"/>
    <cellStyle name="Normal 2 3 2 2 2 3 4 7" xfId="38122"/>
    <cellStyle name="Normal 3 3 2 2 2 3 4 7" xfId="38123"/>
    <cellStyle name="Normal 4 2 2 2 2 3 4 7" xfId="38124"/>
    <cellStyle name="Normal 5 2 2 2 2 3 4 7" xfId="38125"/>
    <cellStyle name="Normal 7 2 2 2 2 3 4 7" xfId="38126"/>
    <cellStyle name="Normal 2 4 2 2 2 3 4 7" xfId="38127"/>
    <cellStyle name="Normal 3 4 2 2 2 3 4 7" xfId="38128"/>
    <cellStyle name="Normal 4 3 2 2 2 3 4 7" xfId="38129"/>
    <cellStyle name="Normal 5 3 2 2 2 3 4 7" xfId="38130"/>
    <cellStyle name="Normal 7 3 2 2 2 3 4 7" xfId="38131"/>
    <cellStyle name="Normal 2 6 2 2 3 4 7" xfId="38132"/>
    <cellStyle name="Normal 3 6 2 2 3 4 7" xfId="38133"/>
    <cellStyle name="Normal 4 5 2 2 3 4 7" xfId="38134"/>
    <cellStyle name="Normal 5 5 2 2 3 4 7" xfId="38135"/>
    <cellStyle name="Normal 7 5 2 2 3 4 7" xfId="38136"/>
    <cellStyle name="Normal 2 3 3 2 2 3 4 7" xfId="38137"/>
    <cellStyle name="Normal 3 3 3 2 2 3 4 7" xfId="38138"/>
    <cellStyle name="Normal 4 2 3 2 2 3 4 7" xfId="38139"/>
    <cellStyle name="Normal 5 2 3 2 2 3 4 7" xfId="38140"/>
    <cellStyle name="Normal 7 2 3 2 2 3 4 7" xfId="38141"/>
    <cellStyle name="Normal 2 4 3 2 2 3 4 7" xfId="38142"/>
    <cellStyle name="Normal 3 4 3 2 2 3 4 7" xfId="38143"/>
    <cellStyle name="Normal 4 3 3 2 2 3 4 7" xfId="38144"/>
    <cellStyle name="Normal 5 3 3 2 2 3 4 7" xfId="38145"/>
    <cellStyle name="Normal 7 3 3 2 2 3 4 7" xfId="38146"/>
    <cellStyle name="Normal 2 11 2 7" xfId="38147"/>
    <cellStyle name="Normal 3 11 2 7" xfId="38148"/>
    <cellStyle name="Normal 4 10 2 7" xfId="38149"/>
    <cellStyle name="Normal 5 10 2 7" xfId="38150"/>
    <cellStyle name="Normal 7 10 2 7" xfId="38151"/>
    <cellStyle name="Normal 2 3 8 2 7" xfId="38152"/>
    <cellStyle name="Normal 3 3 8 2 7" xfId="38153"/>
    <cellStyle name="Normal 4 2 8 2 7" xfId="38154"/>
    <cellStyle name="Normal 5 2 8 2 7" xfId="38155"/>
    <cellStyle name="Normal 7 2 8 2 7" xfId="38156"/>
    <cellStyle name="Normal 2 4 8 2 7" xfId="38157"/>
    <cellStyle name="Normal 3 4 8 2 7" xfId="38158"/>
    <cellStyle name="Normal 4 3 8 2 7" xfId="38159"/>
    <cellStyle name="Normal 5 3 8 2 7" xfId="38160"/>
    <cellStyle name="Normal 7 3 8 2 7" xfId="38161"/>
    <cellStyle name="Normal 2 5 6 2 7" xfId="38162"/>
    <cellStyle name="Normal 3 5 6 2 7" xfId="38163"/>
    <cellStyle name="Normal 4 4 6 2 7" xfId="38164"/>
    <cellStyle name="Normal 5 4 6 2 7" xfId="38165"/>
    <cellStyle name="Normal 7 4 6 2 7" xfId="38166"/>
    <cellStyle name="Normal 2 3 2 6 2 7" xfId="38167"/>
    <cellStyle name="Normal 3 3 2 6 2 7" xfId="38168"/>
    <cellStyle name="Normal 4 2 2 6 2 7" xfId="38169"/>
    <cellStyle name="Normal 5 2 2 6 2 7" xfId="38170"/>
    <cellStyle name="Normal 7 2 2 6 2 7" xfId="38171"/>
    <cellStyle name="Normal 2 4 2 6 2 7" xfId="38172"/>
    <cellStyle name="Normal 3 4 2 6 2 7" xfId="38173"/>
    <cellStyle name="Normal 4 3 2 6 2 7" xfId="38174"/>
    <cellStyle name="Normal 5 3 2 6 2 7" xfId="38175"/>
    <cellStyle name="Normal 7 3 2 6 2 7" xfId="38176"/>
    <cellStyle name="Normal 2 6 6 2 7" xfId="38177"/>
    <cellStyle name="Normal 3 6 6 2 7" xfId="38178"/>
    <cellStyle name="Normal 4 5 6 2 7" xfId="38179"/>
    <cellStyle name="Normal 5 5 6 2 7" xfId="38180"/>
    <cellStyle name="Normal 7 5 6 2 7" xfId="38181"/>
    <cellStyle name="Normal 2 3 3 6 2 7" xfId="38182"/>
    <cellStyle name="Normal 3 3 3 6 2 7" xfId="38183"/>
    <cellStyle name="Normal 4 2 3 6 2 7" xfId="38184"/>
    <cellStyle name="Normal 5 2 3 6 2 7" xfId="38185"/>
    <cellStyle name="Normal 7 2 3 6 2 7" xfId="38186"/>
    <cellStyle name="Normal 2 4 3 6 2 7" xfId="38187"/>
    <cellStyle name="Normal 3 4 3 6 2 7" xfId="38188"/>
    <cellStyle name="Normal 4 3 3 6 2 7" xfId="38189"/>
    <cellStyle name="Normal 5 3 3 6 2 7" xfId="38190"/>
    <cellStyle name="Normal 7 3 3 6 2 7" xfId="38191"/>
    <cellStyle name="Normal 2 7 5 2 7" xfId="38192"/>
    <cellStyle name="Normal 3 7 5 2 7" xfId="38193"/>
    <cellStyle name="Normal 4 6 5 2 7" xfId="38194"/>
    <cellStyle name="Normal 5 6 5 2 7" xfId="38195"/>
    <cellStyle name="Normal 7 6 5 2 7" xfId="38196"/>
    <cellStyle name="Normal 2 3 4 5 2 7" xfId="38197"/>
    <cellStyle name="Normal 3 3 4 5 2 7" xfId="38198"/>
    <cellStyle name="Normal 4 2 4 5 2 7" xfId="38199"/>
    <cellStyle name="Normal 5 2 4 5 2 7" xfId="38200"/>
    <cellStyle name="Normal 7 2 4 5 2 7" xfId="38201"/>
    <cellStyle name="Normal 2 4 4 5 2 7" xfId="38202"/>
    <cellStyle name="Normal 3 4 4 5 2 7" xfId="38203"/>
    <cellStyle name="Normal 4 3 4 5 2 7" xfId="38204"/>
    <cellStyle name="Normal 5 3 4 5 2 7" xfId="38205"/>
    <cellStyle name="Normal 7 3 4 5 2 7" xfId="38206"/>
    <cellStyle name="Normal 2 5 2 5 2 7" xfId="38207"/>
    <cellStyle name="Normal 3 5 2 5 2 7" xfId="38208"/>
    <cellStyle name="Normal 4 4 2 5 2 7" xfId="38209"/>
    <cellStyle name="Normal 5 4 2 5 2 7" xfId="38210"/>
    <cellStyle name="Normal 7 4 2 5 2 7" xfId="38211"/>
    <cellStyle name="Normal 2 3 2 2 5 2 7" xfId="38212"/>
    <cellStyle name="Normal 3 3 2 2 5 2 7" xfId="38213"/>
    <cellStyle name="Normal 4 2 2 2 5 2 7" xfId="38214"/>
    <cellStyle name="Normal 5 2 2 2 5 2 7" xfId="38215"/>
    <cellStyle name="Normal 7 2 2 2 5 2 7" xfId="38216"/>
    <cellStyle name="Normal 2 4 2 2 5 2 7" xfId="38217"/>
    <cellStyle name="Normal 3 4 2 2 5 2 7" xfId="38218"/>
    <cellStyle name="Normal 4 3 2 2 5 2 7" xfId="38219"/>
    <cellStyle name="Normal 5 3 2 2 5 2 7" xfId="38220"/>
    <cellStyle name="Normal 7 3 2 2 5 2 7" xfId="38221"/>
    <cellStyle name="Normal 2 6 2 5 2 7" xfId="38222"/>
    <cellStyle name="Normal 3 6 2 5 2 7" xfId="38223"/>
    <cellStyle name="Normal 4 5 2 5 2 7" xfId="38224"/>
    <cellStyle name="Normal 5 5 2 5 2 7" xfId="38225"/>
    <cellStyle name="Normal 7 5 2 5 2 7" xfId="38226"/>
    <cellStyle name="Normal 2 3 3 2 5 2 7" xfId="38227"/>
    <cellStyle name="Normal 3 3 3 2 5 2 7" xfId="38228"/>
    <cellStyle name="Normal 4 2 3 2 5 2 7" xfId="38229"/>
    <cellStyle name="Normal 5 2 3 2 5 2 7" xfId="38230"/>
    <cellStyle name="Normal 7 2 3 2 5 2 7" xfId="38231"/>
    <cellStyle name="Normal 2 4 3 2 5 2 7" xfId="38232"/>
    <cellStyle name="Normal 3 4 3 2 5 2 7" xfId="38233"/>
    <cellStyle name="Normal 4 3 3 2 5 2 7" xfId="38234"/>
    <cellStyle name="Normal 5 3 3 2 5 2 7" xfId="38235"/>
    <cellStyle name="Normal 7 3 3 2 5 2 7" xfId="38236"/>
    <cellStyle name="Normal 2 8 4 2 7" xfId="38237"/>
    <cellStyle name="Normal 3 8 4 2 7" xfId="38238"/>
    <cellStyle name="Normal 4 7 4 2 7" xfId="38239"/>
    <cellStyle name="Normal 5 7 4 2 7" xfId="38240"/>
    <cellStyle name="Normal 7 7 4 2 7" xfId="38241"/>
    <cellStyle name="Normal 2 3 5 4 2 7" xfId="38242"/>
    <cellStyle name="Normal 3 3 5 4 2 7" xfId="38243"/>
    <cellStyle name="Normal 4 2 5 4 2 7" xfId="38244"/>
    <cellStyle name="Normal 5 2 5 4 2 7" xfId="38245"/>
    <cellStyle name="Normal 7 2 5 4 2 7" xfId="38246"/>
    <cellStyle name="Normal 2 4 5 4 2 7" xfId="38247"/>
    <cellStyle name="Normal 3 4 5 4 2 7" xfId="38248"/>
    <cellStyle name="Normal 4 3 5 4 2 7" xfId="38249"/>
    <cellStyle name="Normal 5 3 5 4 2 7" xfId="38250"/>
    <cellStyle name="Normal 7 3 5 4 2 7" xfId="38251"/>
    <cellStyle name="Normal 2 5 3 4 2 7" xfId="38252"/>
    <cellStyle name="Normal 3 5 3 4 2 7" xfId="38253"/>
    <cellStyle name="Normal 4 4 3 4 2 7" xfId="38254"/>
    <cellStyle name="Normal 5 4 3 4 2 7" xfId="38255"/>
    <cellStyle name="Normal 7 4 3 4 2 7" xfId="38256"/>
    <cellStyle name="Normal 2 3 2 3 4 2 7" xfId="38257"/>
    <cellStyle name="Normal 3 3 2 3 4 2 7" xfId="38258"/>
    <cellStyle name="Normal 4 2 2 3 4 2 7" xfId="38259"/>
    <cellStyle name="Normal 5 2 2 3 4 2 7" xfId="38260"/>
    <cellStyle name="Normal 7 2 2 3 4 2 7" xfId="38261"/>
    <cellStyle name="Normal 2 4 2 3 4 2 7" xfId="38262"/>
    <cellStyle name="Normal 3 4 2 3 4 2 7" xfId="38263"/>
    <cellStyle name="Normal 4 3 2 3 4 2 7" xfId="38264"/>
    <cellStyle name="Normal 5 3 2 3 4 2 7" xfId="38265"/>
    <cellStyle name="Normal 7 3 2 3 4 2 7" xfId="38266"/>
    <cellStyle name="Normal 2 6 3 4 2 7" xfId="38267"/>
    <cellStyle name="Normal 3 6 3 4 2 7" xfId="38268"/>
    <cellStyle name="Normal 4 5 3 4 2 7" xfId="38269"/>
    <cellStyle name="Normal 5 5 3 4 2 7" xfId="38270"/>
    <cellStyle name="Normal 7 5 3 4 2 7" xfId="38271"/>
    <cellStyle name="Normal 2 3 3 3 4 2 7" xfId="38272"/>
    <cellStyle name="Normal 3 3 3 3 4 2 7" xfId="38273"/>
    <cellStyle name="Normal 4 2 3 3 4 2 7" xfId="38274"/>
    <cellStyle name="Normal 5 2 3 3 4 2 7" xfId="38275"/>
    <cellStyle name="Normal 7 2 3 3 4 2 7" xfId="38276"/>
    <cellStyle name="Normal 2 4 3 3 4 2 7" xfId="38277"/>
    <cellStyle name="Normal 3 4 3 3 4 2 7" xfId="38278"/>
    <cellStyle name="Normal 4 3 3 3 4 2 7" xfId="38279"/>
    <cellStyle name="Normal 5 3 3 3 4 2 7" xfId="38280"/>
    <cellStyle name="Normal 7 3 3 3 4 2 7" xfId="38281"/>
    <cellStyle name="Normal 2 7 2 4 2 7" xfId="38282"/>
    <cellStyle name="Normal 3 7 2 4 2 7" xfId="38283"/>
    <cellStyle name="Normal 4 6 2 4 2 7" xfId="38284"/>
    <cellStyle name="Normal 5 6 2 4 2 7" xfId="38285"/>
    <cellStyle name="Normal 7 6 2 4 2 7" xfId="38286"/>
    <cellStyle name="Normal 2 3 4 2 4 2 7" xfId="38287"/>
    <cellStyle name="Normal 3 3 4 2 4 2 7" xfId="38288"/>
    <cellStyle name="Normal 4 2 4 2 4 2 7" xfId="38289"/>
    <cellStyle name="Normal 5 2 4 2 4 2 7" xfId="38290"/>
    <cellStyle name="Normal 7 2 4 2 4 2 7" xfId="38291"/>
    <cellStyle name="Normal 2 4 4 2 4 2 7" xfId="38292"/>
    <cellStyle name="Normal 3 4 4 2 4 2 7" xfId="38293"/>
    <cellStyle name="Normal 4 3 4 2 4 2 7" xfId="38294"/>
    <cellStyle name="Normal 5 3 4 2 4 2 7" xfId="38295"/>
    <cellStyle name="Normal 7 3 4 2 4 2 7" xfId="38296"/>
    <cellStyle name="Normal 2 5 2 2 4 2 7" xfId="38297"/>
    <cellStyle name="Normal 3 5 2 2 4 2 7" xfId="38298"/>
    <cellStyle name="Normal 4 4 2 2 4 2 7" xfId="38299"/>
    <cellStyle name="Normal 5 4 2 2 4 2 7" xfId="38300"/>
    <cellStyle name="Normal 7 4 2 2 4 2 7" xfId="38301"/>
    <cellStyle name="Normal 2 3 2 2 2 4 2 7" xfId="38302"/>
    <cellStyle name="Normal 3 3 2 2 2 4 2 7" xfId="38303"/>
    <cellStyle name="Normal 4 2 2 2 2 4 2 7" xfId="38304"/>
    <cellStyle name="Normal 5 2 2 2 2 4 2 7" xfId="38305"/>
    <cellStyle name="Normal 7 2 2 2 2 4 2 7" xfId="38306"/>
    <cellStyle name="Normal 2 4 2 2 2 4 2 7" xfId="38307"/>
    <cellStyle name="Normal 3 4 2 2 2 4 2 7" xfId="38308"/>
    <cellStyle name="Normal 4 3 2 2 2 4 2 7" xfId="38309"/>
    <cellStyle name="Normal 5 3 2 2 2 4 2 7" xfId="38310"/>
    <cellStyle name="Normal 7 3 2 2 2 4 2 7" xfId="38311"/>
    <cellStyle name="Normal 2 6 2 2 4 2 7" xfId="38312"/>
    <cellStyle name="Normal 3 6 2 2 4 2 7" xfId="38313"/>
    <cellStyle name="Normal 4 5 2 2 4 2 7" xfId="38314"/>
    <cellStyle name="Normal 5 5 2 2 4 2 7" xfId="38315"/>
    <cellStyle name="Normal 7 5 2 2 4 2 7" xfId="38316"/>
    <cellStyle name="Normal 2 3 3 2 2 4 2 7" xfId="38317"/>
    <cellStyle name="Normal 3 3 3 2 2 4 2 7" xfId="38318"/>
    <cellStyle name="Normal 4 2 3 2 2 4 2 7" xfId="38319"/>
    <cellStyle name="Normal 5 2 3 2 2 4 2 7" xfId="38320"/>
    <cellStyle name="Normal 7 2 3 2 2 4 2 7" xfId="38321"/>
    <cellStyle name="Normal 2 4 3 2 2 4 2 7" xfId="38322"/>
    <cellStyle name="Normal 3 4 3 2 2 4 2 7" xfId="38323"/>
    <cellStyle name="Normal 4 3 3 2 2 4 2 7" xfId="38324"/>
    <cellStyle name="Normal 5 3 3 2 2 4 2 7" xfId="38325"/>
    <cellStyle name="Normal 7 3 3 2 2 4 2 7" xfId="38326"/>
    <cellStyle name="Normal 2 9 2 2 7" xfId="38327"/>
    <cellStyle name="Normal 3 9 2 2 7" xfId="38328"/>
    <cellStyle name="Normal 4 8 2 2 7" xfId="38329"/>
    <cellStyle name="Normal 5 8 2 2 7" xfId="38330"/>
    <cellStyle name="Normal 7 8 2 2 7" xfId="38331"/>
    <cellStyle name="Normal 2 3 6 2 2 7" xfId="38332"/>
    <cellStyle name="Normal 3 3 6 2 2 7" xfId="38333"/>
    <cellStyle name="Normal 4 2 6 2 2 7" xfId="38334"/>
    <cellStyle name="Normal 5 2 6 2 2 7" xfId="38335"/>
    <cellStyle name="Normal 7 2 6 2 2 7" xfId="38336"/>
    <cellStyle name="Normal 2 4 6 2 2 7" xfId="38337"/>
    <cellStyle name="Normal 3 4 6 2 2 7" xfId="38338"/>
    <cellStyle name="Normal 4 3 6 2 2 7" xfId="38339"/>
    <cellStyle name="Normal 5 3 6 2 2 7" xfId="38340"/>
    <cellStyle name="Normal 7 3 6 2 2 7" xfId="38341"/>
    <cellStyle name="Normal 2 5 4 2 2 7" xfId="38342"/>
    <cellStyle name="Normal 3 5 4 2 2 7" xfId="38343"/>
    <cellStyle name="Normal 4 4 4 2 2 7" xfId="38344"/>
    <cellStyle name="Normal 5 4 4 2 2 7" xfId="38345"/>
    <cellStyle name="Normal 7 4 4 2 2 7" xfId="38346"/>
    <cellStyle name="Normal 2 3 2 4 2 2 7" xfId="38347"/>
    <cellStyle name="Normal 3 3 2 4 2 2 7" xfId="38348"/>
    <cellStyle name="Normal 4 2 2 4 2 2 7" xfId="38349"/>
    <cellStyle name="Normal 5 2 2 4 2 2 7" xfId="38350"/>
    <cellStyle name="Normal 7 2 2 4 2 2 7" xfId="38351"/>
    <cellStyle name="Normal 2 4 2 4 2 2 7" xfId="38352"/>
    <cellStyle name="Normal 3 4 2 4 2 2 7" xfId="38353"/>
    <cellStyle name="Normal 4 3 2 4 2 2 7" xfId="38354"/>
    <cellStyle name="Normal 5 3 2 4 2 2 7" xfId="38355"/>
    <cellStyle name="Normal 7 3 2 4 2 2 7" xfId="38356"/>
    <cellStyle name="Normal 2 6 4 2 2 7" xfId="38357"/>
    <cellStyle name="Normal 3 6 4 2 2 7" xfId="38358"/>
    <cellStyle name="Normal 4 5 4 2 2 7" xfId="38359"/>
    <cellStyle name="Normal 5 5 4 2 2 7" xfId="38360"/>
    <cellStyle name="Normal 7 5 4 2 2 7" xfId="38361"/>
    <cellStyle name="Normal 2 3 3 4 2 2 7" xfId="38362"/>
    <cellStyle name="Normal 3 3 3 4 2 2 7" xfId="38363"/>
    <cellStyle name="Normal 4 2 3 4 2 2 7" xfId="38364"/>
    <cellStyle name="Normal 5 2 3 4 2 2 7" xfId="38365"/>
    <cellStyle name="Normal 7 2 3 4 2 2 7" xfId="38366"/>
    <cellStyle name="Normal 2 4 3 4 2 2 7" xfId="38367"/>
    <cellStyle name="Normal 3 4 3 4 2 2 7" xfId="38368"/>
    <cellStyle name="Normal 4 3 3 4 2 2 7" xfId="38369"/>
    <cellStyle name="Normal 5 3 3 4 2 2 7" xfId="38370"/>
    <cellStyle name="Normal 7 3 3 4 2 2 7" xfId="38371"/>
    <cellStyle name="Normal 2 7 3 2 2 7" xfId="38372"/>
    <cellStyle name="Normal 3 7 3 2 2 7" xfId="38373"/>
    <cellStyle name="Normal 4 6 3 2 2 7" xfId="38374"/>
    <cellStyle name="Normal 5 6 3 2 2 7" xfId="38375"/>
    <cellStyle name="Normal 7 6 3 2 2 7" xfId="38376"/>
    <cellStyle name="Normal 2 3 4 3 2 2 7" xfId="38377"/>
    <cellStyle name="Normal 3 3 4 3 2 2 7" xfId="38378"/>
    <cellStyle name="Normal 4 2 4 3 2 2 7" xfId="38379"/>
    <cellStyle name="Normal 5 2 4 3 2 2 7" xfId="38380"/>
    <cellStyle name="Normal 7 2 4 3 2 2 7" xfId="38381"/>
    <cellStyle name="Normal 2 4 4 3 2 2 7" xfId="38382"/>
    <cellStyle name="Normal 3 4 4 3 2 2 7" xfId="38383"/>
    <cellStyle name="Normal 4 3 4 3 2 2 7" xfId="38384"/>
    <cellStyle name="Normal 5 3 4 3 2 2 7" xfId="38385"/>
    <cellStyle name="Normal 7 3 4 3 2 2 7" xfId="38386"/>
    <cellStyle name="Normal 2 5 2 3 2 2 7" xfId="38387"/>
    <cellStyle name="Normal 3 5 2 3 2 2 7" xfId="38388"/>
    <cellStyle name="Normal 4 4 2 3 2 2 7" xfId="38389"/>
    <cellStyle name="Normal 5 4 2 3 2 2 7" xfId="38390"/>
    <cellStyle name="Normal 7 4 2 3 2 2 7" xfId="38391"/>
    <cellStyle name="Normal 2 3 2 2 3 2 2 7" xfId="38392"/>
    <cellStyle name="Normal 3 3 2 2 3 2 2 7" xfId="38393"/>
    <cellStyle name="Normal 4 2 2 2 3 2 2 7" xfId="38394"/>
    <cellStyle name="Normal 5 2 2 2 3 2 2 7" xfId="38395"/>
    <cellStyle name="Normal 7 2 2 2 3 2 2 7" xfId="38396"/>
    <cellStyle name="Normal 2 4 2 2 3 2 2 7" xfId="38397"/>
    <cellStyle name="Normal 3 4 2 2 3 2 2 7" xfId="38398"/>
    <cellStyle name="Normal 4 3 2 2 3 2 2 7" xfId="38399"/>
    <cellStyle name="Normal 5 3 2 2 3 2 2 7" xfId="38400"/>
    <cellStyle name="Normal 7 3 2 2 3 2 2 7" xfId="38401"/>
    <cellStyle name="Normal 2 6 2 3 2 2 7" xfId="38402"/>
    <cellStyle name="Normal 3 6 2 3 2 2 7" xfId="38403"/>
    <cellStyle name="Normal 4 5 2 3 2 2 7" xfId="38404"/>
    <cellStyle name="Normal 5 5 2 3 2 2 7" xfId="38405"/>
    <cellStyle name="Normal 7 5 2 3 2 2 7" xfId="38406"/>
    <cellStyle name="Normal 2 3 3 2 3 2 2 7" xfId="38407"/>
    <cellStyle name="Normal 3 3 3 2 3 2 2 7" xfId="38408"/>
    <cellStyle name="Normal 4 2 3 2 3 2 2 7" xfId="38409"/>
    <cellStyle name="Normal 5 2 3 2 3 2 2 7" xfId="38410"/>
    <cellStyle name="Normal 7 2 3 2 3 2 2 7" xfId="38411"/>
    <cellStyle name="Normal 2 4 3 2 3 2 2 7" xfId="38412"/>
    <cellStyle name="Normal 3 4 3 2 3 2 2 7" xfId="38413"/>
    <cellStyle name="Normal 4 3 3 2 3 2 2 7" xfId="38414"/>
    <cellStyle name="Normal 5 3 3 2 3 2 2 7" xfId="38415"/>
    <cellStyle name="Normal 7 3 3 2 3 2 2 7" xfId="38416"/>
    <cellStyle name="Normal 2 8 2 2 2 7" xfId="38417"/>
    <cellStyle name="Normal 3 8 2 2 2 7" xfId="38418"/>
    <cellStyle name="Normal 4 7 2 2 2 7" xfId="38419"/>
    <cellStyle name="Normal 5 7 2 2 2 7" xfId="38420"/>
    <cellStyle name="Normal 7 7 2 2 2 7" xfId="38421"/>
    <cellStyle name="Normal 2 3 5 2 2 2 7" xfId="38422"/>
    <cellStyle name="Normal 3 3 5 2 2 2 7" xfId="38423"/>
    <cellStyle name="Normal 4 2 5 2 2 2 7" xfId="38424"/>
    <cellStyle name="Normal 5 2 5 2 2 2 7" xfId="38425"/>
    <cellStyle name="Normal 7 2 5 2 2 2 7" xfId="38426"/>
    <cellStyle name="Normal 2 4 5 2 2 2 7" xfId="38427"/>
    <cellStyle name="Normal 3 4 5 2 2 2 7" xfId="38428"/>
    <cellStyle name="Normal 4 3 5 2 2 2 7" xfId="38429"/>
    <cellStyle name="Normal 5 3 5 2 2 2 7" xfId="38430"/>
    <cellStyle name="Normal 7 3 5 2 2 2 7" xfId="38431"/>
    <cellStyle name="Normal 2 5 3 2 2 2 7" xfId="38432"/>
    <cellStyle name="Normal 3 5 3 2 2 2 7" xfId="38433"/>
    <cellStyle name="Normal 4 4 3 2 2 2 7" xfId="38434"/>
    <cellStyle name="Normal 5 4 3 2 2 2 7" xfId="38435"/>
    <cellStyle name="Normal 7 4 3 2 2 2 7" xfId="38436"/>
    <cellStyle name="Normal 2 3 2 3 2 2 2 7" xfId="38437"/>
    <cellStyle name="Normal 3 3 2 3 2 2 2 7" xfId="38438"/>
    <cellStyle name="Normal 4 2 2 3 2 2 2 7" xfId="38439"/>
    <cellStyle name="Normal 5 2 2 3 2 2 2 7" xfId="38440"/>
    <cellStyle name="Normal 7 2 2 3 2 2 2 7" xfId="38441"/>
    <cellStyle name="Normal 2 4 2 3 2 2 2 7" xfId="38442"/>
    <cellStyle name="Normal 3 4 2 3 2 2 2 7" xfId="38443"/>
    <cellStyle name="Normal 4 3 2 3 2 2 2 7" xfId="38444"/>
    <cellStyle name="Normal 5 3 2 3 2 2 2 7" xfId="38445"/>
    <cellStyle name="Normal 7 3 2 3 2 2 2 7" xfId="38446"/>
    <cellStyle name="Normal 2 6 3 2 2 2 7" xfId="38447"/>
    <cellStyle name="Normal 3 6 3 2 2 2 7" xfId="38448"/>
    <cellStyle name="Normal 4 5 3 2 2 2 7" xfId="38449"/>
    <cellStyle name="Normal 5 5 3 2 2 2 7" xfId="38450"/>
    <cellStyle name="Normal 7 5 3 2 2 2 7" xfId="38451"/>
    <cellStyle name="Normal 2 3 3 3 2 2 2 7" xfId="38452"/>
    <cellStyle name="Normal 3 3 3 3 2 2 2 7" xfId="38453"/>
    <cellStyle name="Normal 4 2 3 3 2 2 2 7" xfId="38454"/>
    <cellStyle name="Normal 5 2 3 3 2 2 2 7" xfId="38455"/>
    <cellStyle name="Normal 7 2 3 3 2 2 2 7" xfId="38456"/>
    <cellStyle name="Normal 2 4 3 3 2 2 2 7" xfId="38457"/>
    <cellStyle name="Normal 3 4 3 3 2 2 2 7" xfId="38458"/>
    <cellStyle name="Normal 4 3 3 3 2 2 2 7" xfId="38459"/>
    <cellStyle name="Normal 5 3 3 3 2 2 2 7" xfId="38460"/>
    <cellStyle name="Normal 7 3 3 3 2 2 2 7" xfId="38461"/>
    <cellStyle name="Normal 2 7 2 2 2 2 7" xfId="38462"/>
    <cellStyle name="Normal 3 7 2 2 2 2 7" xfId="38463"/>
    <cellStyle name="Normal 4 6 2 2 2 2 7" xfId="38464"/>
    <cellStyle name="Normal 5 6 2 2 2 2 7" xfId="38465"/>
    <cellStyle name="Normal 7 6 2 2 2 2 7" xfId="38466"/>
    <cellStyle name="Normal 2 3 4 2 2 2 2 7" xfId="38467"/>
    <cellStyle name="Normal 3 3 4 2 2 2 2 7" xfId="38468"/>
    <cellStyle name="Normal 4 2 4 2 2 2 2 7" xfId="38469"/>
    <cellStyle name="Normal 5 2 4 2 2 2 2 7" xfId="38470"/>
    <cellStyle name="Normal 7 2 4 2 2 2 2 7" xfId="38471"/>
    <cellStyle name="Normal 2 4 4 2 2 2 2 7" xfId="38472"/>
    <cellStyle name="Normal 3 4 4 2 2 2 2 7" xfId="38473"/>
    <cellStyle name="Normal 4 3 4 2 2 2 2 7" xfId="38474"/>
    <cellStyle name="Normal 5 3 4 2 2 2 2 7" xfId="38475"/>
    <cellStyle name="Normal 7 3 4 2 2 2 2 7" xfId="38476"/>
    <cellStyle name="Normal 2 5 2 2 2 2 2 7" xfId="38477"/>
    <cellStyle name="Normal 3 5 2 2 2 2 2 7" xfId="38478"/>
    <cellStyle name="Normal 4 4 2 2 2 2 2 7" xfId="38479"/>
    <cellStyle name="Normal 5 4 2 2 2 2 2 7" xfId="38480"/>
    <cellStyle name="Normal 7 4 2 2 2 2 2 7" xfId="38481"/>
    <cellStyle name="Normal 2 3 2 2 2 2 2 2 7" xfId="38482"/>
    <cellStyle name="Normal 3 3 2 2 2 2 2 2 7" xfId="38483"/>
    <cellStyle name="Normal 4 2 2 2 2 2 2 2 7" xfId="38484"/>
    <cellStyle name="Normal 5 2 2 2 2 2 2 2 7" xfId="38485"/>
    <cellStyle name="Normal 7 2 2 2 2 2 2 2 7" xfId="38486"/>
    <cellStyle name="Normal 2 4 2 2 2 2 2 2 7" xfId="38487"/>
    <cellStyle name="Normal 3 4 2 2 2 2 2 2 7" xfId="38488"/>
    <cellStyle name="Normal 4 3 2 2 2 2 2 2 7" xfId="38489"/>
    <cellStyle name="Normal 5 3 2 2 2 2 2 2 7" xfId="38490"/>
    <cellStyle name="Normal 7 3 2 2 2 2 2 2 7" xfId="38491"/>
    <cellStyle name="Normal 2 6 2 2 2 2 2 7" xfId="38492"/>
    <cellStyle name="Normal 3 6 2 2 2 2 2 7" xfId="38493"/>
    <cellStyle name="Normal 4 5 2 2 2 2 2 7" xfId="38494"/>
    <cellStyle name="Normal 5 5 2 2 2 2 2 7" xfId="38495"/>
    <cellStyle name="Normal 7 5 2 2 2 2 2 7" xfId="38496"/>
    <cellStyle name="Normal 2 3 3 2 2 2 2 2 7" xfId="38497"/>
    <cellStyle name="Normal 3 3 3 2 2 2 2 2 7" xfId="38498"/>
    <cellStyle name="Normal 4 2 3 2 2 2 2 2 7" xfId="38499"/>
    <cellStyle name="Normal 5 2 3 2 2 2 2 2 7" xfId="38500"/>
    <cellStyle name="Normal 7 2 3 2 2 2 2 2 7" xfId="38501"/>
    <cellStyle name="Normal 2 4 3 2 2 2 2 2 7" xfId="38502"/>
    <cellStyle name="Normal 3 4 3 2 2 2 2 2 7" xfId="38503"/>
    <cellStyle name="Normal 4 3 3 2 2 2 2 2 7" xfId="38504"/>
    <cellStyle name="Normal 5 3 3 2 2 2 2 2 7" xfId="38505"/>
    <cellStyle name="Normal 7 3 3 2 2 2 2 2 7" xfId="38506"/>
    <cellStyle name="Normal 28 2 2 7" xfId="38507"/>
    <cellStyle name="Normal 2 3 7 2 2 7" xfId="38508"/>
    <cellStyle name="Normal 3 10 2 2 7" xfId="38509"/>
    <cellStyle name="Normal 4 9 2 2 7" xfId="38510"/>
    <cellStyle name="Normal 5 9 2 2 7" xfId="38511"/>
    <cellStyle name="Millares 4 2 2 7" xfId="38512"/>
    <cellStyle name="Normal 7 2 7 2 2 7" xfId="38513"/>
    <cellStyle name="Normal 3 3 7 2 2 7" xfId="38514"/>
    <cellStyle name="Normal 4 2 7 2 2 7" xfId="38515"/>
    <cellStyle name="Normal 5 2 7 2 2 7" xfId="38516"/>
    <cellStyle name="Normal 2 4 5 3 2 2 7" xfId="38517"/>
    <cellStyle name="Normal 3 4 7 2 2 7" xfId="38518"/>
    <cellStyle name="Normal 4 3 7 2 2 7" xfId="38519"/>
    <cellStyle name="Normal 5 3 7 2 2 7" xfId="38520"/>
    <cellStyle name="Normal 7 3 7 2 2 7" xfId="38521"/>
    <cellStyle name="Normal 2 5 5 2 2 7" xfId="38522"/>
    <cellStyle name="Normal 3 5 5 2 2 7" xfId="38523"/>
    <cellStyle name="Normal 4 4 5 2 2 7" xfId="38524"/>
    <cellStyle name="Normal 5 4 5 2 2 7" xfId="38525"/>
    <cellStyle name="Normal 7 4 5 2 2 7" xfId="38526"/>
    <cellStyle name="Normal 2 3 2 5 2 2 7" xfId="38527"/>
    <cellStyle name="Normal 3 3 2 5 2 2 7" xfId="38528"/>
    <cellStyle name="Normal 4 2 2 5 2 2 7" xfId="38529"/>
    <cellStyle name="Normal 5 2 2 5 2 2 7" xfId="38530"/>
    <cellStyle name="Normal 7 2 2 5 2 2 7" xfId="38531"/>
    <cellStyle name="Normal 2 4 2 5 2 2 7" xfId="38532"/>
    <cellStyle name="Normal 3 4 2 5 2 2 7" xfId="38533"/>
    <cellStyle name="Normal 4 3 2 5 2 2 7" xfId="38534"/>
    <cellStyle name="Normal 5 3 2 5 2 2 7" xfId="38535"/>
    <cellStyle name="Normal 7 3 2 5 2 2 7" xfId="38536"/>
    <cellStyle name="Normal 2 6 5 2 2 7" xfId="38537"/>
    <cellStyle name="Normal 3 6 5 2 2 7" xfId="38538"/>
    <cellStyle name="Normal 4 5 5 2 2 7" xfId="38539"/>
    <cellStyle name="Normal 5 5 5 2 2 7" xfId="38540"/>
    <cellStyle name="Normal 7 5 5 2 2 7" xfId="38541"/>
    <cellStyle name="Normal 2 3 3 5 2 2 7" xfId="38542"/>
    <cellStyle name="Normal 3 3 3 5 2 2 7" xfId="38543"/>
    <cellStyle name="Normal 4 2 3 5 2 2 7" xfId="38544"/>
    <cellStyle name="Normal 5 2 3 5 2 2 7" xfId="38545"/>
    <cellStyle name="Normal 7 2 3 5 2 2 7" xfId="38546"/>
    <cellStyle name="Normal 2 4 3 5 2 2 7" xfId="38547"/>
    <cellStyle name="Normal 3 4 3 5 2 2 7" xfId="38548"/>
    <cellStyle name="Normal 4 3 3 5 2 2 7" xfId="38549"/>
    <cellStyle name="Normal 5 3 3 5 2 2 7" xfId="38550"/>
    <cellStyle name="Normal 7 3 3 5 2 2 7" xfId="38551"/>
    <cellStyle name="Normal 2 7 4 2 2 7" xfId="38552"/>
    <cellStyle name="Normal 3 7 4 2 2 7" xfId="38553"/>
    <cellStyle name="Normal 4 6 4 2 2 7" xfId="38554"/>
    <cellStyle name="Normal 5 6 4 2 2 7" xfId="38555"/>
    <cellStyle name="Normal 7 6 4 2 2 7" xfId="38556"/>
    <cellStyle name="Normal 2 3 4 4 2 2 7" xfId="38557"/>
    <cellStyle name="Normal 3 3 4 4 2 2 7" xfId="38558"/>
    <cellStyle name="Normal 4 2 4 4 2 2 7" xfId="38559"/>
    <cellStyle name="Normal 5 2 4 4 2 2 7" xfId="38560"/>
    <cellStyle name="Normal 7 2 4 4 2 2 7" xfId="38561"/>
    <cellStyle name="Normal 2 4 4 4 2 2 7" xfId="38562"/>
    <cellStyle name="Normal 3 4 4 4 2 2 7" xfId="38563"/>
    <cellStyle name="Normal 4 3 4 4 2 2 7" xfId="38564"/>
    <cellStyle name="Normal 5 3 4 4 2 2 7" xfId="38565"/>
    <cellStyle name="Normal 7 3 4 4 2 2 7" xfId="38566"/>
    <cellStyle name="Normal 2 5 2 4 2 2 7" xfId="38567"/>
    <cellStyle name="Normal 3 5 2 4 2 2 7" xfId="38568"/>
    <cellStyle name="Normal 4 4 2 4 2 2 7" xfId="38569"/>
    <cellStyle name="Normal 5 4 2 4 2 2 7" xfId="38570"/>
    <cellStyle name="Normal 7 4 2 4 2 2 7" xfId="38571"/>
    <cellStyle name="Normal 2 3 2 2 4 2 2 7" xfId="38572"/>
    <cellStyle name="Normal 3 3 2 2 4 2 2 7" xfId="38573"/>
    <cellStyle name="Normal 4 2 2 2 4 2 2 7" xfId="38574"/>
    <cellStyle name="Normal 5 2 2 2 4 2 2 7" xfId="38575"/>
    <cellStyle name="Normal 7 2 2 2 4 2 2 7" xfId="38576"/>
    <cellStyle name="Normal 2 4 2 2 4 2 2 7" xfId="38577"/>
    <cellStyle name="Normal 3 4 2 2 4 2 2 7" xfId="38578"/>
    <cellStyle name="Normal 4 3 2 2 4 2 2 7" xfId="38579"/>
    <cellStyle name="Normal 5 3 2 2 4 2 2 7" xfId="38580"/>
    <cellStyle name="Normal 7 3 2 2 4 2 2 7" xfId="38581"/>
    <cellStyle name="Normal 2 6 2 4 2 2 7" xfId="38582"/>
    <cellStyle name="Normal 3 6 2 4 2 2 7" xfId="38583"/>
    <cellStyle name="Normal 4 5 2 4 2 2 7" xfId="38584"/>
    <cellStyle name="Normal 5 5 2 4 2 2 7" xfId="38585"/>
    <cellStyle name="Normal 7 5 2 4 2 2 7" xfId="38586"/>
    <cellStyle name="Normal 2 3 3 2 4 2 2 7" xfId="38587"/>
    <cellStyle name="Normal 3 3 3 2 4 2 2 7" xfId="38588"/>
    <cellStyle name="Normal 4 2 3 2 4 2 2 7" xfId="38589"/>
    <cellStyle name="Normal 5 2 3 2 4 2 2 7" xfId="38590"/>
    <cellStyle name="Normal 7 2 3 2 4 2 2 7" xfId="38591"/>
    <cellStyle name="Normal 2 4 3 2 4 2 2 7" xfId="38592"/>
    <cellStyle name="Normal 3 4 3 2 4 2 2 7" xfId="38593"/>
    <cellStyle name="Normal 4 3 3 2 4 2 2 7" xfId="38594"/>
    <cellStyle name="Normal 5 3 3 2 4 2 2 7" xfId="38595"/>
    <cellStyle name="Normal 7 3 3 2 4 2 2 7" xfId="38596"/>
    <cellStyle name="Normal 2 8 3 2 2 7" xfId="38597"/>
    <cellStyle name="Normal 3 8 3 2 2 7" xfId="38598"/>
    <cellStyle name="Normal 4 7 3 2 2 7" xfId="38599"/>
    <cellStyle name="Normal 5 7 3 2 2 7" xfId="38600"/>
    <cellStyle name="Normal 7 7 3 2 2 7" xfId="38601"/>
    <cellStyle name="Normal 2 3 5 3 2 2 7" xfId="38602"/>
    <cellStyle name="Normal 3 3 5 3 2 2 7" xfId="38603"/>
    <cellStyle name="Normal 4 2 5 3 2 2 7" xfId="38604"/>
    <cellStyle name="Normal 5 2 5 3 2 2 7" xfId="38605"/>
    <cellStyle name="Normal 7 2 5 3 2 2 7" xfId="38606"/>
    <cellStyle name="Normal 3 4 5 3 2 2 7" xfId="38607"/>
    <cellStyle name="Normal 4 3 5 3 2 2 7" xfId="38608"/>
    <cellStyle name="Normal 5 3 5 3 2 2 7" xfId="38609"/>
    <cellStyle name="Normal 7 3 5 3 2 2 7" xfId="38610"/>
    <cellStyle name="Normal 2 5 3 3 2 2 7" xfId="38611"/>
    <cellStyle name="Normal 3 5 3 3 2 2 7" xfId="38612"/>
    <cellStyle name="Normal 4 4 3 3 2 2 7" xfId="38613"/>
    <cellStyle name="Normal 5 4 3 3 2 2 7" xfId="38614"/>
    <cellStyle name="Normal 7 4 3 3 2 2 7" xfId="38615"/>
    <cellStyle name="Normal 2 3 2 3 3 2 2 7" xfId="38616"/>
    <cellStyle name="Normal 3 3 2 3 3 2 2 7" xfId="38617"/>
    <cellStyle name="Normal 4 2 2 3 3 2 2 7" xfId="38618"/>
    <cellStyle name="Normal 5 2 2 3 3 2 2 7" xfId="38619"/>
    <cellStyle name="Normal 7 2 2 3 3 2 2 7" xfId="38620"/>
    <cellStyle name="Normal 2 4 2 3 3 2 2 7" xfId="38621"/>
    <cellStyle name="Normal 3 4 2 3 3 2 2 7" xfId="38622"/>
    <cellStyle name="Normal 4 3 2 3 3 2 2 7" xfId="38623"/>
    <cellStyle name="Normal 5 3 2 3 3 2 2 7" xfId="38624"/>
    <cellStyle name="Normal 7 3 2 3 3 2 2 7" xfId="38625"/>
    <cellStyle name="Normal 2 6 3 3 2 2 7" xfId="38626"/>
    <cellStyle name="Normal 3 6 3 3 2 2 7" xfId="38627"/>
    <cellStyle name="Normal 4 5 3 3 2 2 7" xfId="38628"/>
    <cellStyle name="Normal 5 5 3 3 2 2 7" xfId="38629"/>
    <cellStyle name="Normal 7 5 3 3 2 2 7" xfId="38630"/>
    <cellStyle name="Normal 2 3 3 3 3 2 2 7" xfId="38631"/>
    <cellStyle name="Normal 3 3 3 3 3 2 2 7" xfId="38632"/>
    <cellStyle name="Normal 4 2 3 3 3 2 2 7" xfId="38633"/>
    <cellStyle name="Normal 5 2 3 3 3 2 2 7" xfId="38634"/>
    <cellStyle name="Normal 7 2 3 3 3 2 2 7" xfId="38635"/>
    <cellStyle name="Normal 2 4 3 3 3 2 2 7" xfId="38636"/>
    <cellStyle name="Normal 3 4 3 3 3 2 2 7" xfId="38637"/>
    <cellStyle name="Normal 4 3 3 3 3 2 2 7" xfId="38638"/>
    <cellStyle name="Normal 5 3 3 3 3 2 2 7" xfId="38639"/>
    <cellStyle name="Normal 7 3 3 3 3 2 2 7" xfId="38640"/>
    <cellStyle name="Normal 2 7 2 3 2 2 7" xfId="38641"/>
    <cellStyle name="Normal 3 7 2 3 2 2 7" xfId="38642"/>
    <cellStyle name="Normal 4 6 2 3 2 2 7" xfId="38643"/>
    <cellStyle name="Normal 5 6 2 3 2 2 7" xfId="38644"/>
    <cellStyle name="Normal 7 6 2 3 2 2 7" xfId="38645"/>
    <cellStyle name="Normal 2 3 4 2 3 2 2 7" xfId="38646"/>
    <cellStyle name="Normal 3 3 4 2 3 2 2 7" xfId="38647"/>
    <cellStyle name="Normal 4 2 4 2 3 2 2 7" xfId="38648"/>
    <cellStyle name="Normal 5 2 4 2 3 2 2 7" xfId="38649"/>
    <cellStyle name="Normal 7 2 4 2 3 2 2 7" xfId="38650"/>
    <cellStyle name="Normal 2 4 4 2 3 2 2 7" xfId="38651"/>
    <cellStyle name="Normal 3 4 4 2 3 2 2 7" xfId="38652"/>
    <cellStyle name="Normal 4 3 4 2 3 2 2 7" xfId="38653"/>
    <cellStyle name="Normal 5 3 4 2 3 2 2 7" xfId="38654"/>
    <cellStyle name="Normal 7 3 4 2 3 2 2 7" xfId="38655"/>
    <cellStyle name="Normal 2 5 2 2 3 2 2 7" xfId="38656"/>
    <cellStyle name="Normal 3 5 2 2 3 2 2 7" xfId="38657"/>
    <cellStyle name="Normal 4 4 2 2 3 2 2 7" xfId="38658"/>
    <cellStyle name="Normal 5 4 2 2 3 2 2 7" xfId="38659"/>
    <cellStyle name="Normal 7 4 2 2 3 2 2 7" xfId="38660"/>
    <cellStyle name="Normal 2 3 2 2 2 3 2 2 7" xfId="38661"/>
    <cellStyle name="Normal 3 3 2 2 2 3 2 2 7" xfId="38662"/>
    <cellStyle name="Normal 4 2 2 2 2 3 2 2 7" xfId="38663"/>
    <cellStyle name="Normal 5 2 2 2 2 3 2 2 7" xfId="38664"/>
    <cellStyle name="Normal 7 2 2 2 2 3 2 2 7" xfId="38665"/>
    <cellStyle name="Normal 2 4 2 2 2 3 2 2 7" xfId="38666"/>
    <cellStyle name="Normal 3 4 2 2 2 3 2 2 7" xfId="38667"/>
    <cellStyle name="Normal 4 3 2 2 2 3 2 2 7" xfId="38668"/>
    <cellStyle name="Normal 5 3 2 2 2 3 2 2 7" xfId="38669"/>
    <cellStyle name="Normal 7 3 2 2 2 3 2 2 7" xfId="38670"/>
    <cellStyle name="Normal 2 6 2 2 3 2 2 7" xfId="38671"/>
    <cellStyle name="Normal 3 6 2 2 3 2 2 7" xfId="38672"/>
    <cellStyle name="Normal 4 5 2 2 3 2 2 7" xfId="38673"/>
    <cellStyle name="Normal 5 5 2 2 3 2 2 7" xfId="38674"/>
    <cellStyle name="Normal 7 5 2 2 3 2 2 7" xfId="38675"/>
    <cellStyle name="Normal 2 3 3 2 2 3 2 2 7" xfId="38676"/>
    <cellStyle name="Normal 3 3 3 2 2 3 2 2 7" xfId="38677"/>
    <cellStyle name="Normal 4 2 3 2 2 3 2 2 7" xfId="38678"/>
    <cellStyle name="Normal 5 2 3 2 2 3 2 2 7" xfId="38679"/>
    <cellStyle name="Normal 7 2 3 2 2 3 2 2 7" xfId="38680"/>
    <cellStyle name="Normal 2 4 3 2 2 3 2 2 7" xfId="38681"/>
    <cellStyle name="Normal 3 4 3 2 2 3 2 2 7" xfId="38682"/>
    <cellStyle name="Normal 4 3 3 2 2 3 2 2 7" xfId="38683"/>
    <cellStyle name="Normal 5 3 3 2 2 3 2 2 7" xfId="38684"/>
    <cellStyle name="Normal 7 3 3 2 2 3 2 2 7" xfId="38685"/>
    <cellStyle name="Normal 2 12 2 7" xfId="38686"/>
    <cellStyle name="Normal 3 12 2 7" xfId="38687"/>
    <cellStyle name="Normal 4 11 2 7" xfId="38688"/>
    <cellStyle name="Normal 5 11 2 7" xfId="38689"/>
    <cellStyle name="Normal 7 11 2 7" xfId="38690"/>
    <cellStyle name="Normal 2 3 9 2 7" xfId="38691"/>
    <cellStyle name="Normal 3 3 9 2 7" xfId="38692"/>
    <cellStyle name="Normal 4 2 9 2 7" xfId="38693"/>
    <cellStyle name="Normal 5 2 9 2 7" xfId="38694"/>
    <cellStyle name="Normal 7 2 9 2 7" xfId="38695"/>
    <cellStyle name="Normal 2 4 9 2 7" xfId="38696"/>
    <cellStyle name="Normal 3 4 9 2 7" xfId="38697"/>
    <cellStyle name="Normal 4 3 9 2 7" xfId="38698"/>
    <cellStyle name="Normal 5 3 9 2 7" xfId="38699"/>
    <cellStyle name="Normal 7 3 9 2 7" xfId="38700"/>
    <cellStyle name="Normal 2 5 7 2 7" xfId="38701"/>
    <cellStyle name="Normal 3 5 7 2 7" xfId="38702"/>
    <cellStyle name="Normal 4 4 7 2 7" xfId="38703"/>
    <cellStyle name="Normal 5 4 7 2 7" xfId="38704"/>
    <cellStyle name="Normal 7 4 7 2 7" xfId="38705"/>
    <cellStyle name="Normal 2 3 2 7 2 7" xfId="38706"/>
    <cellStyle name="Normal 3 3 2 7 2 7" xfId="38707"/>
    <cellStyle name="Normal 4 2 2 7 2 7" xfId="38708"/>
    <cellStyle name="Normal 5 2 2 7 2 7" xfId="38709"/>
    <cellStyle name="Normal 7 2 2 7 2 7" xfId="38710"/>
    <cellStyle name="Normal 2 4 2 7 2 7" xfId="38711"/>
    <cellStyle name="Normal 3 4 2 7 2 7" xfId="38712"/>
    <cellStyle name="Normal 4 3 2 7 2 7" xfId="38713"/>
    <cellStyle name="Normal 5 3 2 7 2 7" xfId="38714"/>
    <cellStyle name="Normal 7 3 2 7 2 7" xfId="38715"/>
    <cellStyle name="Normal 2 6 7 2 7" xfId="38716"/>
    <cellStyle name="Normal 3 6 7 2 7" xfId="38717"/>
    <cellStyle name="Normal 4 5 7 2 7" xfId="38718"/>
    <cellStyle name="Normal 5 5 7 2 7" xfId="38719"/>
    <cellStyle name="Normal 7 5 7 2 7" xfId="38720"/>
    <cellStyle name="Normal 2 3 3 7 2 7" xfId="38721"/>
    <cellStyle name="Normal 3 3 3 7 2 7" xfId="38722"/>
    <cellStyle name="Normal 4 2 3 7 2 7" xfId="38723"/>
    <cellStyle name="Normal 5 2 3 7 2 7" xfId="38724"/>
    <cellStyle name="Normal 7 2 3 7 2 7" xfId="38725"/>
    <cellStyle name="Normal 2 4 3 7 2 7" xfId="38726"/>
    <cellStyle name="Normal 3 4 3 7 2 7" xfId="38727"/>
    <cellStyle name="Normal 4 3 3 7 2 7" xfId="38728"/>
    <cellStyle name="Normal 5 3 3 7 2 7" xfId="38729"/>
    <cellStyle name="Normal 7 3 3 7 2 7" xfId="38730"/>
    <cellStyle name="Normal 2 7 6 2 7" xfId="38731"/>
    <cellStyle name="Normal 3 7 6 2 7" xfId="38732"/>
    <cellStyle name="Normal 4 6 6 2 7" xfId="38733"/>
    <cellStyle name="Normal 5 6 6 2 7" xfId="38734"/>
    <cellStyle name="Normal 7 6 6 2 7" xfId="38735"/>
    <cellStyle name="Normal 2 3 4 6 2 7" xfId="38736"/>
    <cellStyle name="Normal 3 3 4 6 2 7" xfId="38737"/>
    <cellStyle name="Normal 4 2 4 6 2 7" xfId="38738"/>
    <cellStyle name="Normal 5 2 4 6 2 7" xfId="38739"/>
    <cellStyle name="Normal 7 2 4 6 2 7" xfId="38740"/>
    <cellStyle name="Normal 2 4 4 6 2 7" xfId="38741"/>
    <cellStyle name="Normal 3 4 4 6 2 7" xfId="38742"/>
    <cellStyle name="Normal 4 3 4 6 2 7" xfId="38743"/>
    <cellStyle name="Normal 5 3 4 6 2 7" xfId="38744"/>
    <cellStyle name="Normal 7 3 4 6 2 7" xfId="38745"/>
    <cellStyle name="Normal 2 5 2 6 2 7" xfId="38746"/>
    <cellStyle name="Normal 3 5 2 6 2 7" xfId="38747"/>
    <cellStyle name="Normal 4 4 2 6 2 7" xfId="38748"/>
    <cellStyle name="Normal 5 4 2 6 2 7" xfId="38749"/>
    <cellStyle name="Normal 7 4 2 6 2 7" xfId="38750"/>
    <cellStyle name="Normal 2 3 2 2 6 2 7" xfId="38751"/>
    <cellStyle name="Normal 3 3 2 2 6 2 7" xfId="38752"/>
    <cellStyle name="Normal 4 2 2 2 6 2 7" xfId="38753"/>
    <cellStyle name="Normal 5 2 2 2 6 2 7" xfId="38754"/>
    <cellStyle name="Normal 7 2 2 2 6 2 7" xfId="38755"/>
    <cellStyle name="Normal 2 4 2 2 6 2 7" xfId="38756"/>
    <cellStyle name="Normal 3 4 2 2 6 2 7" xfId="38757"/>
    <cellStyle name="Normal 4 3 2 2 6 2 7" xfId="38758"/>
    <cellStyle name="Normal 5 3 2 2 6 2 7" xfId="38759"/>
    <cellStyle name="Normal 7 3 2 2 6 2 7" xfId="38760"/>
    <cellStyle name="Normal 2 6 2 6 2 7" xfId="38761"/>
    <cellStyle name="Normal 3 6 2 6 2 7" xfId="38762"/>
    <cellStyle name="Normal 4 5 2 6 2 7" xfId="38763"/>
    <cellStyle name="Normal 5 5 2 6 2 7" xfId="38764"/>
    <cellStyle name="Normal 7 5 2 6 2 7" xfId="38765"/>
    <cellStyle name="Normal 2 3 3 2 6 2 7" xfId="38766"/>
    <cellStyle name="Normal 3 3 3 2 6 2 7" xfId="38767"/>
    <cellStyle name="Normal 4 2 3 2 6 2 7" xfId="38768"/>
    <cellStyle name="Normal 5 2 3 2 6 2 7" xfId="38769"/>
    <cellStyle name="Normal 7 2 3 2 6 2 7" xfId="38770"/>
    <cellStyle name="Normal 2 4 3 2 6 2 7" xfId="38771"/>
    <cellStyle name="Normal 3 4 3 2 6 2 7" xfId="38772"/>
    <cellStyle name="Normal 4 3 3 2 6 2 7" xfId="38773"/>
    <cellStyle name="Normal 5 3 3 2 6 2 7" xfId="38774"/>
    <cellStyle name="Normal 7 3 3 2 6 2 7" xfId="38775"/>
    <cellStyle name="Normal 2 8 5 2 7" xfId="38776"/>
    <cellStyle name="Normal 3 8 5 2 7" xfId="38777"/>
    <cellStyle name="Normal 4 7 5 2 7" xfId="38778"/>
    <cellStyle name="Normal 5 7 5 2 7" xfId="38779"/>
    <cellStyle name="Normal 7 7 5 2 7" xfId="38780"/>
    <cellStyle name="Normal 2 3 5 5 2 7" xfId="38781"/>
    <cellStyle name="Normal 3 3 5 5 2 7" xfId="38782"/>
    <cellStyle name="Normal 4 2 5 5 2 7" xfId="38783"/>
    <cellStyle name="Normal 5 2 5 5 2 7" xfId="38784"/>
    <cellStyle name="Normal 7 2 5 5 2 7" xfId="38785"/>
    <cellStyle name="Normal 2 4 5 5 2 7" xfId="38786"/>
    <cellStyle name="Normal 3 4 5 5 2 7" xfId="38787"/>
    <cellStyle name="Normal 4 3 5 5 2 7" xfId="38788"/>
    <cellStyle name="Normal 5 3 5 5 2 7" xfId="38789"/>
    <cellStyle name="Normal 7 3 5 5 2 7" xfId="38790"/>
    <cellStyle name="Normal 2 5 3 5 2 7" xfId="38791"/>
    <cellStyle name="Normal 3 5 3 5 2 7" xfId="38792"/>
    <cellStyle name="Normal 4 4 3 5 2 7" xfId="38793"/>
    <cellStyle name="Normal 5 4 3 5 2 7" xfId="38794"/>
    <cellStyle name="Normal 7 4 3 5 2 7" xfId="38795"/>
    <cellStyle name="Normal 2 3 2 3 5 2 7" xfId="38796"/>
    <cellStyle name="Normal 3 3 2 3 5 2 7" xfId="38797"/>
    <cellStyle name="Normal 4 2 2 3 5 2 7" xfId="38798"/>
    <cellStyle name="Normal 5 2 2 3 5 2 7" xfId="38799"/>
    <cellStyle name="Normal 7 2 2 3 5 2 7" xfId="38800"/>
    <cellStyle name="Normal 2 4 2 3 5 2 7" xfId="38801"/>
    <cellStyle name="Normal 3 4 2 3 5 2 7" xfId="38802"/>
    <cellStyle name="Normal 4 3 2 3 5 2 7" xfId="38803"/>
    <cellStyle name="Normal 5 3 2 3 5 2 7" xfId="38804"/>
    <cellStyle name="Normal 7 3 2 3 5 2 7" xfId="38805"/>
    <cellStyle name="Normal 2 6 3 5 2 7" xfId="38806"/>
    <cellStyle name="Normal 3 6 3 5 2 7" xfId="38807"/>
    <cellStyle name="Normal 4 5 3 5 2 7" xfId="38808"/>
    <cellStyle name="Normal 5 5 3 5 2 7" xfId="38809"/>
    <cellStyle name="Normal 7 5 3 5 2 7" xfId="38810"/>
    <cellStyle name="Normal 2 3 3 3 5 2 7" xfId="38811"/>
    <cellStyle name="Normal 3 3 3 3 5 2 7" xfId="38812"/>
    <cellStyle name="Normal 4 2 3 3 5 2 7" xfId="38813"/>
    <cellStyle name="Normal 5 2 3 3 5 2 7" xfId="38814"/>
    <cellStyle name="Normal 7 2 3 3 5 2 7" xfId="38815"/>
    <cellStyle name="Normal 2 4 3 3 5 2 7" xfId="38816"/>
    <cellStyle name="Normal 3 4 3 3 5 2 7" xfId="38817"/>
    <cellStyle name="Normal 4 3 3 3 5 2 7" xfId="38818"/>
    <cellStyle name="Normal 5 3 3 3 5 2 7" xfId="38819"/>
    <cellStyle name="Normal 7 3 3 3 5 2 7" xfId="38820"/>
    <cellStyle name="Normal 2 7 2 5 2 7" xfId="38821"/>
    <cellStyle name="Normal 3 7 2 5 2 7" xfId="38822"/>
    <cellStyle name="Normal 4 6 2 5 2 7" xfId="38823"/>
    <cellStyle name="Normal 5 6 2 5 2 7" xfId="38824"/>
    <cellStyle name="Normal 7 6 2 5 2 7" xfId="38825"/>
    <cellStyle name="Normal 2 3 4 2 5 2 7" xfId="38826"/>
    <cellStyle name="Normal 3 3 4 2 5 2 7" xfId="38827"/>
    <cellStyle name="Normal 4 2 4 2 5 2 7" xfId="38828"/>
    <cellStyle name="Normal 5 2 4 2 5 2 7" xfId="38829"/>
    <cellStyle name="Normal 7 2 4 2 5 2 7" xfId="38830"/>
    <cellStyle name="Normal 2 4 4 2 5 2 7" xfId="38831"/>
    <cellStyle name="Normal 3 4 4 2 5 2 7" xfId="38832"/>
    <cellStyle name="Normal 4 3 4 2 5 2 7" xfId="38833"/>
    <cellStyle name="Normal 5 3 4 2 5 2 7" xfId="38834"/>
    <cellStyle name="Normal 7 3 4 2 5 2 7" xfId="38835"/>
    <cellStyle name="Normal 2 5 2 2 5 2 7" xfId="38836"/>
    <cellStyle name="Normal 3 5 2 2 5 2 7" xfId="38837"/>
    <cellStyle name="Normal 4 4 2 2 5 2 7" xfId="38838"/>
    <cellStyle name="Normal 5 4 2 2 5 2 7" xfId="38839"/>
    <cellStyle name="Normal 7 4 2 2 5 2 7" xfId="38840"/>
    <cellStyle name="Normal 2 3 2 2 2 5 2 7" xfId="38841"/>
    <cellStyle name="Normal 3 3 2 2 2 5 2 7" xfId="38842"/>
    <cellStyle name="Normal 4 2 2 2 2 5 2 7" xfId="38843"/>
    <cellStyle name="Normal 5 2 2 2 2 5 2 7" xfId="38844"/>
    <cellStyle name="Normal 7 2 2 2 2 5 2 7" xfId="38845"/>
    <cellStyle name="Normal 2 4 2 2 2 5 2 7" xfId="38846"/>
    <cellStyle name="Normal 3 4 2 2 2 5 2 7" xfId="38847"/>
    <cellStyle name="Normal 4 3 2 2 2 5 2 7" xfId="38848"/>
    <cellStyle name="Normal 5 3 2 2 2 5 2 7" xfId="38849"/>
    <cellStyle name="Normal 7 3 2 2 2 5 2 7" xfId="38850"/>
    <cellStyle name="Normal 2 6 2 2 5 2 7" xfId="38851"/>
    <cellStyle name="Normal 3 6 2 2 5 2 7" xfId="38852"/>
    <cellStyle name="Normal 4 5 2 2 5 2 7" xfId="38853"/>
    <cellStyle name="Normal 5 5 2 2 5 2 7" xfId="38854"/>
    <cellStyle name="Normal 7 5 2 2 5 2 7" xfId="38855"/>
    <cellStyle name="Normal 2 3 3 2 2 5 2 7" xfId="38856"/>
    <cellStyle name="Normal 3 3 3 2 2 5 2 7" xfId="38857"/>
    <cellStyle name="Normal 4 2 3 2 2 5 2 7" xfId="38858"/>
    <cellStyle name="Normal 5 2 3 2 2 5 2 7" xfId="38859"/>
    <cellStyle name="Normal 7 2 3 2 2 5 2 7" xfId="38860"/>
    <cellStyle name="Normal 2 4 3 2 2 5 2 7" xfId="38861"/>
    <cellStyle name="Normal 3 4 3 2 2 5 2 7" xfId="38862"/>
    <cellStyle name="Normal 4 3 3 2 2 5 2 7" xfId="38863"/>
    <cellStyle name="Normal 5 3 3 2 2 5 2 7" xfId="38864"/>
    <cellStyle name="Normal 7 3 3 2 2 5 2 7" xfId="38865"/>
    <cellStyle name="Normal 2 9 3 2 7" xfId="38866"/>
    <cellStyle name="Normal 3 9 3 2 7" xfId="38867"/>
    <cellStyle name="Normal 4 8 3 2 7" xfId="38868"/>
    <cellStyle name="Normal 5 8 3 2 7" xfId="38869"/>
    <cellStyle name="Normal 7 8 3 2 7" xfId="38870"/>
    <cellStyle name="Normal 2 3 6 3 2 7" xfId="38871"/>
    <cellStyle name="Normal 3 3 6 3 2 7" xfId="38872"/>
    <cellStyle name="Normal 4 2 6 3 2 7" xfId="38873"/>
    <cellStyle name="Normal 5 2 6 3 2 7" xfId="38874"/>
    <cellStyle name="Normal 7 2 6 3 2 7" xfId="38875"/>
    <cellStyle name="Normal 2 4 6 3 2 7" xfId="38876"/>
    <cellStyle name="Normal 3 4 6 3 2 7" xfId="38877"/>
    <cellStyle name="Normal 4 3 6 3 2 7" xfId="38878"/>
    <cellStyle name="Normal 5 3 6 3 2 7" xfId="38879"/>
    <cellStyle name="Normal 7 3 6 3 2 7" xfId="38880"/>
    <cellStyle name="Normal 2 5 4 3 2 7" xfId="38881"/>
    <cellStyle name="Normal 3 5 4 3 2 7" xfId="38882"/>
    <cellStyle name="Normal 4 4 4 3 2 7" xfId="38883"/>
    <cellStyle name="Normal 5 4 4 3 2 7" xfId="38884"/>
    <cellStyle name="Normal 7 4 4 3 2 7" xfId="38885"/>
    <cellStyle name="Normal 2 3 2 4 3 2 7" xfId="38886"/>
    <cellStyle name="Normal 3 3 2 4 3 2 7" xfId="38887"/>
    <cellStyle name="Normal 4 2 2 4 3 2 7" xfId="38888"/>
    <cellStyle name="Normal 5 2 2 4 3 2 7" xfId="38889"/>
    <cellStyle name="Normal 7 2 2 4 3 2 7" xfId="38890"/>
    <cellStyle name="Normal 2 4 2 4 3 2 7" xfId="38891"/>
    <cellStyle name="Normal 3 4 2 4 3 2 7" xfId="38892"/>
    <cellStyle name="Normal 4 3 2 4 3 2 7" xfId="38893"/>
    <cellStyle name="Normal 5 3 2 4 3 2 7" xfId="38894"/>
    <cellStyle name="Normal 7 3 2 4 3 2 7" xfId="38895"/>
    <cellStyle name="Normal 2 6 4 3 2 7" xfId="38896"/>
    <cellStyle name="Normal 3 6 4 3 2 7" xfId="38897"/>
    <cellStyle name="Normal 4 5 4 3 2 7" xfId="38898"/>
    <cellStyle name="Normal 5 5 4 3 2 7" xfId="38899"/>
    <cellStyle name="Normal 7 5 4 3 2 7" xfId="38900"/>
    <cellStyle name="Normal 2 3 3 4 3 2 7" xfId="38901"/>
    <cellStyle name="Normal 3 3 3 4 3 2 7" xfId="38902"/>
    <cellStyle name="Normal 4 2 3 4 3 2 7" xfId="38903"/>
    <cellStyle name="Normal 5 2 3 4 3 2 7" xfId="38904"/>
    <cellStyle name="Normal 7 2 3 4 3 2 7" xfId="38905"/>
    <cellStyle name="Normal 2 4 3 4 3 2 7" xfId="38906"/>
    <cellStyle name="Normal 3 4 3 4 3 2 7" xfId="38907"/>
    <cellStyle name="Normal 4 3 3 4 3 2 7" xfId="38908"/>
    <cellStyle name="Normal 5 3 3 4 3 2 7" xfId="38909"/>
    <cellStyle name="Normal 7 3 3 4 3 2 7" xfId="38910"/>
    <cellStyle name="Normal 2 7 3 3 2 7" xfId="38911"/>
    <cellStyle name="Normal 3 7 3 3 2 7" xfId="38912"/>
    <cellStyle name="Normal 4 6 3 3 2 7" xfId="38913"/>
    <cellStyle name="Normal 5 6 3 3 2 7" xfId="38914"/>
    <cellStyle name="Normal 7 6 3 3 2 7" xfId="38915"/>
    <cellStyle name="Normal 2 3 4 3 3 2 7" xfId="38916"/>
    <cellStyle name="Normal 3 3 4 3 3 2 7" xfId="38917"/>
    <cellStyle name="Normal 4 2 4 3 3 2 7" xfId="38918"/>
    <cellStyle name="Normal 5 2 4 3 3 2 7" xfId="38919"/>
    <cellStyle name="Normal 7 2 4 3 3 2 7" xfId="38920"/>
    <cellStyle name="Normal 2 4 4 3 3 2 7" xfId="38921"/>
    <cellStyle name="Normal 3 4 4 3 3 2 7" xfId="38922"/>
    <cellStyle name="Normal 4 3 4 3 3 2 7" xfId="38923"/>
    <cellStyle name="Normal 5 3 4 3 3 2 7" xfId="38924"/>
    <cellStyle name="Normal 7 3 4 3 3 2 7" xfId="38925"/>
    <cellStyle name="Normal 2 5 2 3 3 2 7" xfId="38926"/>
    <cellStyle name="Normal 3 5 2 3 3 2 7" xfId="38927"/>
    <cellStyle name="Normal 4 4 2 3 3 2 7" xfId="38928"/>
    <cellStyle name="Normal 5 4 2 3 3 2 7" xfId="38929"/>
    <cellStyle name="Normal 7 4 2 3 3 2 7" xfId="38930"/>
    <cellStyle name="Normal 2 3 2 2 3 3 2 7" xfId="38931"/>
    <cellStyle name="Normal 3 3 2 2 3 3 2 7" xfId="38932"/>
    <cellStyle name="Normal 4 2 2 2 3 3 2 7" xfId="38933"/>
    <cellStyle name="Normal 5 2 2 2 3 3 2 7" xfId="38934"/>
    <cellStyle name="Normal 7 2 2 2 3 3 2 7" xfId="38935"/>
    <cellStyle name="Normal 2 4 2 2 3 3 2 7" xfId="38936"/>
    <cellStyle name="Normal 3 4 2 2 3 3 2 7" xfId="38937"/>
    <cellStyle name="Normal 4 3 2 2 3 3 2 7" xfId="38938"/>
    <cellStyle name="Normal 5 3 2 2 3 3 2 7" xfId="38939"/>
    <cellStyle name="Normal 7 3 2 2 3 3 2 7" xfId="38940"/>
    <cellStyle name="Normal 2 6 2 3 3 2 7" xfId="38941"/>
    <cellStyle name="Normal 3 6 2 3 3 2 7" xfId="38942"/>
    <cellStyle name="Normal 4 5 2 3 3 2 7" xfId="38943"/>
    <cellStyle name="Normal 5 5 2 3 3 2 7" xfId="38944"/>
    <cellStyle name="Normal 7 5 2 3 3 2 7" xfId="38945"/>
    <cellStyle name="Normal 2 3 3 2 3 3 2 7" xfId="38946"/>
    <cellStyle name="Normal 3 3 3 2 3 3 2 7" xfId="38947"/>
    <cellStyle name="Normal 4 2 3 2 3 3 2 7" xfId="38948"/>
    <cellStyle name="Normal 5 2 3 2 3 3 2 7" xfId="38949"/>
    <cellStyle name="Normal 7 2 3 2 3 3 2 7" xfId="38950"/>
    <cellStyle name="Normal 2 4 3 2 3 3 2 7" xfId="38951"/>
    <cellStyle name="Normal 3 4 3 2 3 3 2 7" xfId="38952"/>
    <cellStyle name="Normal 4 3 3 2 3 3 2 7" xfId="38953"/>
    <cellStyle name="Normal 5 3 3 2 3 3 2 7" xfId="38954"/>
    <cellStyle name="Normal 7 3 3 2 3 3 2 7" xfId="38955"/>
    <cellStyle name="Normal 2 8 2 3 2 7" xfId="38956"/>
    <cellStyle name="Normal 3 8 2 3 2 7" xfId="38957"/>
    <cellStyle name="Normal 4 7 2 3 2 7" xfId="38958"/>
    <cellStyle name="Normal 5 7 2 3 2 7" xfId="38959"/>
    <cellStyle name="Normal 7 7 2 3 2 7" xfId="38960"/>
    <cellStyle name="Normal 2 3 5 2 3 2 7" xfId="38961"/>
    <cellStyle name="Normal 3 3 5 2 3 2 7" xfId="38962"/>
    <cellStyle name="Normal 4 2 5 2 3 2 7" xfId="38963"/>
    <cellStyle name="Normal 5 2 5 2 3 2 7" xfId="38964"/>
    <cellStyle name="Normal 7 2 5 2 3 2 7" xfId="38965"/>
    <cellStyle name="Normal 2 4 5 2 3 2 7" xfId="38966"/>
    <cellStyle name="Normal 3 4 5 2 3 2 7" xfId="38967"/>
    <cellStyle name="Normal 4 3 5 2 3 2 7" xfId="38968"/>
    <cellStyle name="Normal 5 3 5 2 3 2 7" xfId="38969"/>
    <cellStyle name="Normal 7 3 5 2 3 2 7" xfId="38970"/>
    <cellStyle name="Normal 2 5 3 2 3 2 7" xfId="38971"/>
    <cellStyle name="Normal 3 5 3 2 3 2 7" xfId="38972"/>
    <cellStyle name="Normal 4 4 3 2 3 2 7" xfId="38973"/>
    <cellStyle name="Normal 5 4 3 2 3 2 7" xfId="38974"/>
    <cellStyle name="Normal 7 4 3 2 3 2 7" xfId="38975"/>
    <cellStyle name="Normal 2 3 2 3 2 3 2 7" xfId="38976"/>
    <cellStyle name="Normal 3 3 2 3 2 3 2 7" xfId="38977"/>
    <cellStyle name="Normal 4 2 2 3 2 3 2 7" xfId="38978"/>
    <cellStyle name="Normal 5 2 2 3 2 3 2 7" xfId="38979"/>
    <cellStyle name="Normal 7 2 2 3 2 3 2 7" xfId="38980"/>
    <cellStyle name="Normal 2 4 2 3 2 3 2 7" xfId="38981"/>
    <cellStyle name="Normal 3 4 2 3 2 3 2 7" xfId="38982"/>
    <cellStyle name="Normal 4 3 2 3 2 3 2 7" xfId="38983"/>
    <cellStyle name="Normal 5 3 2 3 2 3 2 7" xfId="38984"/>
    <cellStyle name="Normal 7 3 2 3 2 3 2 7" xfId="38985"/>
    <cellStyle name="Normal 2 6 3 2 3 2 7" xfId="38986"/>
    <cellStyle name="Normal 3 6 3 2 3 2 7" xfId="38987"/>
    <cellStyle name="Normal 4 5 3 2 3 2 7" xfId="38988"/>
    <cellStyle name="Normal 5 5 3 2 3 2 7" xfId="38989"/>
    <cellStyle name="Normal 7 5 3 2 3 2 7" xfId="38990"/>
    <cellStyle name="Normal 2 3 3 3 2 3 2 7" xfId="38991"/>
    <cellStyle name="Normal 3 3 3 3 2 3 2 7" xfId="38992"/>
    <cellStyle name="Normal 4 2 3 3 2 3 2 7" xfId="38993"/>
    <cellStyle name="Normal 5 2 3 3 2 3 2 7" xfId="38994"/>
    <cellStyle name="Normal 7 2 3 3 2 3 2 7" xfId="38995"/>
    <cellStyle name="Normal 2 4 3 3 2 3 2 7" xfId="38996"/>
    <cellStyle name="Normal 3 4 3 3 2 3 2 7" xfId="38997"/>
    <cellStyle name="Normal 4 3 3 3 2 3 2 7" xfId="38998"/>
    <cellStyle name="Normal 5 3 3 3 2 3 2 7" xfId="38999"/>
    <cellStyle name="Normal 7 3 3 3 2 3 2 7" xfId="39000"/>
    <cellStyle name="Normal 2 7 2 2 3 2 7" xfId="39001"/>
    <cellStyle name="Normal 3 7 2 2 3 2 7" xfId="39002"/>
    <cellStyle name="Normal 4 6 2 2 3 2 7" xfId="39003"/>
    <cellStyle name="Normal 5 6 2 2 3 2 7" xfId="39004"/>
    <cellStyle name="Normal 7 6 2 2 3 2 7" xfId="39005"/>
    <cellStyle name="Normal 2 3 4 2 2 3 2 7" xfId="39006"/>
    <cellStyle name="Normal 3 3 4 2 2 3 2 7" xfId="39007"/>
    <cellStyle name="Normal 4 2 4 2 2 3 2 7" xfId="39008"/>
    <cellStyle name="Normal 5 2 4 2 2 3 2 7" xfId="39009"/>
    <cellStyle name="Normal 7 2 4 2 2 3 2 7" xfId="39010"/>
    <cellStyle name="Normal 2 4 4 2 2 3 2 7" xfId="39011"/>
    <cellStyle name="Normal 3 4 4 2 2 3 2 7" xfId="39012"/>
    <cellStyle name="Normal 4 3 4 2 2 3 2 7" xfId="39013"/>
    <cellStyle name="Normal 5 3 4 2 2 3 2 7" xfId="39014"/>
    <cellStyle name="Normal 7 3 4 2 2 3 2 7" xfId="39015"/>
    <cellStyle name="Normal 2 5 2 2 2 3 2 7" xfId="39016"/>
    <cellStyle name="Normal 3 5 2 2 2 3 2 7" xfId="39017"/>
    <cellStyle name="Normal 4 4 2 2 2 3 2 7" xfId="39018"/>
    <cellStyle name="Normal 5 4 2 2 2 3 2 7" xfId="39019"/>
    <cellStyle name="Normal 7 4 2 2 2 3 2 7" xfId="39020"/>
    <cellStyle name="Normal 2 3 2 2 2 2 3 2 7" xfId="39021"/>
    <cellStyle name="Normal 3 3 2 2 2 2 3 2 7" xfId="39022"/>
    <cellStyle name="Normal 4 2 2 2 2 2 3 2 7" xfId="39023"/>
    <cellStyle name="Normal 5 2 2 2 2 2 3 2 7" xfId="39024"/>
    <cellStyle name="Normal 7 2 2 2 2 2 3 2 7" xfId="39025"/>
    <cellStyle name="Normal 2 4 2 2 2 2 3 2 7" xfId="39026"/>
    <cellStyle name="Normal 3 4 2 2 2 2 3 2 7" xfId="39027"/>
    <cellStyle name="Normal 4 3 2 2 2 2 3 2 7" xfId="39028"/>
    <cellStyle name="Normal 5 3 2 2 2 2 3 2 7" xfId="39029"/>
    <cellStyle name="Normal 7 3 2 2 2 2 3 2 7" xfId="39030"/>
    <cellStyle name="Normal 2 6 2 2 2 3 2 7" xfId="39031"/>
    <cellStyle name="Normal 3 6 2 2 2 3 2 7" xfId="39032"/>
    <cellStyle name="Normal 4 5 2 2 2 3 2 7" xfId="39033"/>
    <cellStyle name="Normal 5 5 2 2 2 3 2 7" xfId="39034"/>
    <cellStyle name="Normal 7 5 2 2 2 3 2 7" xfId="39035"/>
    <cellStyle name="Normal 2 3 3 2 2 2 3 2 7" xfId="39036"/>
    <cellStyle name="Normal 3 3 3 2 2 2 3 2 7" xfId="39037"/>
    <cellStyle name="Normal 4 2 3 2 2 2 3 2 7" xfId="39038"/>
    <cellStyle name="Normal 5 2 3 2 2 2 3 2 7" xfId="39039"/>
    <cellStyle name="Normal 7 2 3 2 2 2 3 2 7" xfId="39040"/>
    <cellStyle name="Normal 2 4 3 2 2 2 3 2 7" xfId="39041"/>
    <cellStyle name="Normal 3 4 3 2 2 2 3 2 7" xfId="39042"/>
    <cellStyle name="Normal 4 3 3 2 2 2 3 2 7" xfId="39043"/>
    <cellStyle name="Normal 5 3 3 2 2 2 3 2 7" xfId="39044"/>
    <cellStyle name="Normal 7 3 3 2 2 2 3 2 7" xfId="39045"/>
    <cellStyle name="Normal 28 3 2 7" xfId="39046"/>
    <cellStyle name="Normal 2 3 7 3 2 7" xfId="39047"/>
    <cellStyle name="Normal 3 10 3 2 7" xfId="39048"/>
    <cellStyle name="Normal 4 9 3 2 7" xfId="39049"/>
    <cellStyle name="Normal 5 9 3 2 7" xfId="39050"/>
    <cellStyle name="Millares 4 3 2 7" xfId="39051"/>
    <cellStyle name="Normal 7 2 7 3 2 7" xfId="39052"/>
    <cellStyle name="Normal 3 3 7 3 2 7" xfId="39053"/>
    <cellStyle name="Normal 4 2 7 3 2 7" xfId="39054"/>
    <cellStyle name="Normal 5 2 7 3 2 7" xfId="39055"/>
    <cellStyle name="Normal 2 4 5 3 3 2 7" xfId="39056"/>
    <cellStyle name="Normal 3 4 7 3 2 7" xfId="39057"/>
    <cellStyle name="Normal 4 3 7 3 2 7" xfId="39058"/>
    <cellStyle name="Normal 5 3 7 3 2 7" xfId="39059"/>
    <cellStyle name="Normal 7 3 7 3 2 7" xfId="39060"/>
    <cellStyle name="Normal 2 5 5 3 2 7" xfId="39061"/>
    <cellStyle name="Normal 3 5 5 3 2 7" xfId="39062"/>
    <cellStyle name="Normal 4 4 5 3 2 7" xfId="39063"/>
    <cellStyle name="Normal 5 4 5 3 2 7" xfId="39064"/>
    <cellStyle name="Normal 7 4 5 3 2 7" xfId="39065"/>
    <cellStyle name="Normal 2 3 2 5 3 2 7" xfId="39066"/>
    <cellStyle name="Normal 3 3 2 5 3 2 7" xfId="39067"/>
    <cellStyle name="Normal 4 2 2 5 3 2 7" xfId="39068"/>
    <cellStyle name="Normal 5 2 2 5 3 2 7" xfId="39069"/>
    <cellStyle name="Normal 7 2 2 5 3 2 7" xfId="39070"/>
    <cellStyle name="Normal 2 4 2 5 3 2 7" xfId="39071"/>
    <cellStyle name="Normal 3 4 2 5 3 2 7" xfId="39072"/>
    <cellStyle name="Normal 4 3 2 5 3 2 7" xfId="39073"/>
    <cellStyle name="Normal 5 3 2 5 3 2 7" xfId="39074"/>
    <cellStyle name="Normal 7 3 2 5 3 2 7" xfId="39075"/>
    <cellStyle name="Normal 2 6 5 3 2 7" xfId="39076"/>
    <cellStyle name="Normal 3 6 5 3 2 7" xfId="39077"/>
    <cellStyle name="Normal 4 5 5 3 2 7" xfId="39078"/>
    <cellStyle name="Normal 5 5 5 3 2 7" xfId="39079"/>
    <cellStyle name="Normal 7 5 5 3 2 7" xfId="39080"/>
    <cellStyle name="Normal 2 3 3 5 3 2 7" xfId="39081"/>
    <cellStyle name="Normal 3 3 3 5 3 2 7" xfId="39082"/>
    <cellStyle name="Normal 4 2 3 5 3 2 7" xfId="39083"/>
    <cellStyle name="Normal 5 2 3 5 3 2 7" xfId="39084"/>
    <cellStyle name="Normal 7 2 3 5 3 2 7" xfId="39085"/>
    <cellStyle name="Normal 2 4 3 5 3 2 7" xfId="39086"/>
    <cellStyle name="Normal 3 4 3 5 3 2 7" xfId="39087"/>
    <cellStyle name="Normal 4 3 3 5 3 2 7" xfId="39088"/>
    <cellStyle name="Normal 5 3 3 5 3 2 7" xfId="39089"/>
    <cellStyle name="Normal 7 3 3 5 3 2 7" xfId="39090"/>
    <cellStyle name="Normal 2 7 4 3 2 7" xfId="39091"/>
    <cellStyle name="Normal 3 7 4 3 2 7" xfId="39092"/>
    <cellStyle name="Normal 4 6 4 3 2 7" xfId="39093"/>
    <cellStyle name="Normal 5 6 4 3 2 7" xfId="39094"/>
    <cellStyle name="Normal 7 6 4 3 2 7" xfId="39095"/>
    <cellStyle name="Normal 2 3 4 4 3 2 7" xfId="39096"/>
    <cellStyle name="Normal 3 3 4 4 3 2 7" xfId="39097"/>
    <cellStyle name="Normal 4 2 4 4 3 2 7" xfId="39098"/>
    <cellStyle name="Normal 5 2 4 4 3 2 7" xfId="39099"/>
    <cellStyle name="Normal 7 2 4 4 3 2 7" xfId="39100"/>
    <cellStyle name="Normal 2 4 4 4 3 2 7" xfId="39101"/>
    <cellStyle name="Normal 3 4 4 4 3 2 7" xfId="39102"/>
    <cellStyle name="Normal 4 3 4 4 3 2 7" xfId="39103"/>
    <cellStyle name="Normal 5 3 4 4 3 2 7" xfId="39104"/>
    <cellStyle name="Normal 7 3 4 4 3 2 7" xfId="39105"/>
    <cellStyle name="Normal 2 5 2 4 3 2 7" xfId="39106"/>
    <cellStyle name="Normal 3 5 2 4 3 2 7" xfId="39107"/>
    <cellStyle name="Normal 4 4 2 4 3 2 7" xfId="39108"/>
    <cellStyle name="Normal 5 4 2 4 3 2 7" xfId="39109"/>
    <cellStyle name="Normal 7 4 2 4 3 2 7" xfId="39110"/>
    <cellStyle name="Normal 2 3 2 2 4 3 2 7" xfId="39111"/>
    <cellStyle name="Normal 3 3 2 2 4 3 2 7" xfId="39112"/>
    <cellStyle name="Normal 4 2 2 2 4 3 2 7" xfId="39113"/>
    <cellStyle name="Normal 5 2 2 2 4 3 2 7" xfId="39114"/>
    <cellStyle name="Normal 7 2 2 2 4 3 2 7" xfId="39115"/>
    <cellStyle name="Normal 2 4 2 2 4 3 2 7" xfId="39116"/>
    <cellStyle name="Normal 3 4 2 2 4 3 2 7" xfId="39117"/>
    <cellStyle name="Normal 4 3 2 2 4 3 2 7" xfId="39118"/>
    <cellStyle name="Normal 5 3 2 2 4 3 2 7" xfId="39119"/>
    <cellStyle name="Normal 7 3 2 2 4 3 2 7" xfId="39120"/>
    <cellStyle name="Normal 2 6 2 4 3 2 7" xfId="39121"/>
    <cellStyle name="Normal 3 6 2 4 3 2 7" xfId="39122"/>
    <cellStyle name="Normal 4 5 2 4 3 2 7" xfId="39123"/>
    <cellStyle name="Normal 5 5 2 4 3 2 7" xfId="39124"/>
    <cellStyle name="Normal 7 5 2 4 3 2 7" xfId="39125"/>
    <cellStyle name="Normal 2 3 3 2 4 3 2 7" xfId="39126"/>
    <cellStyle name="Normal 3 3 3 2 4 3 2 7" xfId="39127"/>
    <cellStyle name="Normal 4 2 3 2 4 3 2 7" xfId="39128"/>
    <cellStyle name="Normal 5 2 3 2 4 3 2 7" xfId="39129"/>
    <cellStyle name="Normal 7 2 3 2 4 3 2 7" xfId="39130"/>
    <cellStyle name="Normal 2 4 3 2 4 3 2 7" xfId="39131"/>
    <cellStyle name="Normal 3 4 3 2 4 3 2 7" xfId="39132"/>
    <cellStyle name="Normal 4 3 3 2 4 3 2 7" xfId="39133"/>
    <cellStyle name="Normal 5 3 3 2 4 3 2 7" xfId="39134"/>
    <cellStyle name="Normal 7 3 3 2 4 3 2 7" xfId="39135"/>
    <cellStyle name="Normal 2 8 3 3 2 7" xfId="39136"/>
    <cellStyle name="Normal 3 8 3 3 2 7" xfId="39137"/>
    <cellStyle name="Normal 4 7 3 3 2 7" xfId="39138"/>
    <cellStyle name="Normal 5 7 3 3 2 7" xfId="39139"/>
    <cellStyle name="Normal 7 7 3 3 2 7" xfId="39140"/>
    <cellStyle name="Normal 2 3 5 3 3 2 7" xfId="39141"/>
    <cellStyle name="Normal 3 3 5 3 3 2 7" xfId="39142"/>
    <cellStyle name="Normal 4 2 5 3 3 2 7" xfId="39143"/>
    <cellStyle name="Normal 5 2 5 3 3 2 7" xfId="39144"/>
    <cellStyle name="Normal 7 2 5 3 3 2 7" xfId="39145"/>
    <cellStyle name="Normal 3 4 5 3 3 2 7" xfId="39146"/>
    <cellStyle name="Normal 4 3 5 3 3 2 7" xfId="39147"/>
    <cellStyle name="Normal 5 3 5 3 3 2 7" xfId="39148"/>
    <cellStyle name="Normal 7 3 5 3 3 2 7" xfId="39149"/>
    <cellStyle name="Normal 2 5 3 3 3 2 7" xfId="39150"/>
    <cellStyle name="Normal 3 5 3 3 3 2 7" xfId="39151"/>
    <cellStyle name="Normal 4 4 3 3 3 2 7" xfId="39152"/>
    <cellStyle name="Normal 5 4 3 3 3 2 7" xfId="39153"/>
    <cellStyle name="Normal 7 4 3 3 3 2 7" xfId="39154"/>
    <cellStyle name="Normal 2 3 2 3 3 3 2 7" xfId="39155"/>
    <cellStyle name="Normal 3 3 2 3 3 3 2 7" xfId="39156"/>
    <cellStyle name="Normal 4 2 2 3 3 3 2 7" xfId="39157"/>
    <cellStyle name="Normal 5 2 2 3 3 3 2 7" xfId="39158"/>
    <cellStyle name="Normal 7 2 2 3 3 3 2 7" xfId="39159"/>
    <cellStyle name="Normal 2 4 2 3 3 3 2 7" xfId="39160"/>
    <cellStyle name="Normal 3 4 2 3 3 3 2 7" xfId="39161"/>
    <cellStyle name="Normal 4 3 2 3 3 3 2 7" xfId="39162"/>
    <cellStyle name="Normal 5 3 2 3 3 3 2 7" xfId="39163"/>
    <cellStyle name="Normal 7 3 2 3 3 3 2 7" xfId="39164"/>
    <cellStyle name="Normal 2 6 3 3 3 2 7" xfId="39165"/>
    <cellStyle name="Normal 3 6 3 3 3 2 7" xfId="39166"/>
    <cellStyle name="Normal 4 5 3 3 3 2 7" xfId="39167"/>
    <cellStyle name="Normal 5 5 3 3 3 2 7" xfId="39168"/>
    <cellStyle name="Normal 7 5 3 3 3 2 7" xfId="39169"/>
    <cellStyle name="Normal 2 3 3 3 3 3 2 7" xfId="39170"/>
    <cellStyle name="Normal 3 3 3 3 3 3 2 7" xfId="39171"/>
    <cellStyle name="Normal 4 2 3 3 3 3 2 7" xfId="39172"/>
    <cellStyle name="Normal 5 2 3 3 3 3 2 7" xfId="39173"/>
    <cellStyle name="Normal 7 2 3 3 3 3 2 7" xfId="39174"/>
    <cellStyle name="Normal 2 4 3 3 3 3 2 7" xfId="39175"/>
    <cellStyle name="Normal 3 4 3 3 3 3 2 7" xfId="39176"/>
    <cellStyle name="Normal 4 3 3 3 3 3 2 7" xfId="39177"/>
    <cellStyle name="Normal 5 3 3 3 3 3 2 7" xfId="39178"/>
    <cellStyle name="Normal 7 3 3 3 3 3 2 7" xfId="39179"/>
    <cellStyle name="Normal 2 7 2 3 3 2 7" xfId="39180"/>
    <cellStyle name="Normal 3 7 2 3 3 2 7" xfId="39181"/>
    <cellStyle name="Normal 4 6 2 3 3 2 7" xfId="39182"/>
    <cellStyle name="Normal 5 6 2 3 3 2 7" xfId="39183"/>
    <cellStyle name="Normal 7 6 2 3 3 2 7" xfId="39184"/>
    <cellStyle name="Normal 2 3 4 2 3 3 2 7" xfId="39185"/>
    <cellStyle name="Normal 3 3 4 2 3 3 2 7" xfId="39186"/>
    <cellStyle name="Normal 4 2 4 2 3 3 2 7" xfId="39187"/>
    <cellStyle name="Normal 5 2 4 2 3 3 2 7" xfId="39188"/>
    <cellStyle name="Normal 7 2 4 2 3 3 2 7" xfId="39189"/>
    <cellStyle name="Normal 2 4 4 2 3 3 2 7" xfId="39190"/>
    <cellStyle name="Normal 3 4 4 2 3 3 2 7" xfId="39191"/>
    <cellStyle name="Normal 4 3 4 2 3 3 2 7" xfId="39192"/>
    <cellStyle name="Normal 5 3 4 2 3 3 2 7" xfId="39193"/>
    <cellStyle name="Normal 7 3 4 2 3 3 2 7" xfId="39194"/>
    <cellStyle name="Normal 2 5 2 2 3 3 2 7" xfId="39195"/>
    <cellStyle name="Normal 3 5 2 2 3 3 2 7" xfId="39196"/>
    <cellStyle name="Normal 4 4 2 2 3 3 2 7" xfId="39197"/>
    <cellStyle name="Normal 5 4 2 2 3 3 2 7" xfId="39198"/>
    <cellStyle name="Normal 7 4 2 2 3 3 2 7" xfId="39199"/>
    <cellStyle name="Normal 2 3 2 2 2 3 3 2 7" xfId="39200"/>
    <cellStyle name="Normal 3 3 2 2 2 3 3 2 7" xfId="39201"/>
    <cellStyle name="Normal 4 2 2 2 2 3 3 2 7" xfId="39202"/>
    <cellStyle name="Normal 5 2 2 2 2 3 3 2 7" xfId="39203"/>
    <cellStyle name="Normal 7 2 2 2 2 3 3 2 7" xfId="39204"/>
    <cellStyle name="Normal 2 4 2 2 2 3 3 2 7" xfId="39205"/>
    <cellStyle name="Normal 3 4 2 2 2 3 3 2 7" xfId="39206"/>
    <cellStyle name="Normal 4 3 2 2 2 3 3 2 7" xfId="39207"/>
    <cellStyle name="Normal 5 3 2 2 2 3 3 2 7" xfId="39208"/>
    <cellStyle name="Normal 7 3 2 2 2 3 3 2 7" xfId="39209"/>
    <cellStyle name="Normal 2 6 2 2 3 3 2 7" xfId="39210"/>
    <cellStyle name="Normal 3 6 2 2 3 3 2 7" xfId="39211"/>
    <cellStyle name="Normal 4 5 2 2 3 3 2 7" xfId="39212"/>
    <cellStyle name="Normal 5 5 2 2 3 3 2 7" xfId="39213"/>
    <cellStyle name="Normal 7 5 2 2 3 3 2 7" xfId="39214"/>
    <cellStyle name="Normal 2 3 3 2 2 3 3 2 7" xfId="39215"/>
    <cellStyle name="Normal 3 3 3 2 2 3 3 2 7" xfId="39216"/>
    <cellStyle name="Normal 4 2 3 2 2 3 3 2 7" xfId="39217"/>
    <cellStyle name="Normal 5 2 3 2 2 3 3 2 7" xfId="39218"/>
    <cellStyle name="Normal 7 2 3 2 2 3 3 2 7" xfId="39219"/>
    <cellStyle name="Normal 2 4 3 2 2 3 3 2 7" xfId="39220"/>
    <cellStyle name="Normal 3 4 3 2 2 3 3 2 7" xfId="39221"/>
    <cellStyle name="Normal 4 3 3 2 2 3 3 2 7" xfId="39222"/>
    <cellStyle name="Normal 5 3 3 2 2 3 3 2 7" xfId="39223"/>
    <cellStyle name="Normal 7 3 3 2 2 3 3 2 7" xfId="39224"/>
    <cellStyle name="Normal 7 2 11 6" xfId="39225"/>
    <cellStyle name="Normal 28 5 6" xfId="39226"/>
    <cellStyle name="Normal 7 2 15 4" xfId="39227"/>
    <cellStyle name="Normal 7 14 5" xfId="39228"/>
    <cellStyle name="Normal 28 8 4" xfId="39229"/>
    <cellStyle name="Normal 7 17 4" xfId="39230"/>
    <cellStyle name="Normal 7 15 4" xfId="39231"/>
    <cellStyle name="Normal 7 2 13 4" xfId="39232"/>
    <cellStyle name="Normal 7 2 12 5" xfId="39233"/>
    <cellStyle name="Normal 28 9 4" xfId="39234"/>
    <cellStyle name="Normal 28 7 4" xfId="39235"/>
    <cellStyle name="Normal 28 6 5" xfId="39236"/>
    <cellStyle name="Normal 7 16 4" xfId="39237"/>
    <cellStyle name="Normal 7 2 14 4" xfId="39238"/>
    <cellStyle name="Normal 46" xfId="39239"/>
    <cellStyle name="Normal 2 21" xfId="39240"/>
    <cellStyle name="Normal 3 21" xfId="39241"/>
    <cellStyle name="Normal 4 20" xfId="39242"/>
    <cellStyle name="Normal 5 20" xfId="39243"/>
    <cellStyle name="Normal 7 3 18" xfId="39244"/>
    <cellStyle name="Normal 7 4 16" xfId="39245"/>
    <cellStyle name="Normal 2 3 18" xfId="39246"/>
    <cellStyle name="Normal 3 3 18" xfId="39247"/>
    <cellStyle name="Normal 4 2 18" xfId="39248"/>
    <cellStyle name="Normal 5 2 18" xfId="39249"/>
    <cellStyle name="Normal 7 2 2 16" xfId="39250"/>
    <cellStyle name="Normal 2 4 18" xfId="39251"/>
    <cellStyle name="Normal 3 4 18" xfId="39252"/>
    <cellStyle name="Normal 4 3 18" xfId="39253"/>
    <cellStyle name="Normal 5 3 18" xfId="39254"/>
    <cellStyle name="Normal 2 5 16" xfId="39255"/>
    <cellStyle name="Normal 3 5 16" xfId="39256"/>
    <cellStyle name="Normal 4 4 16" xfId="39257"/>
    <cellStyle name="Normal 5 4 16" xfId="39258"/>
    <cellStyle name="Normal 2 3 2 16" xfId="39259"/>
    <cellStyle name="Normal 3 3 2 16" xfId="39260"/>
    <cellStyle name="Normal 4 2 2 16" xfId="39261"/>
    <cellStyle name="Normal 5 2 2 16" xfId="39262"/>
    <cellStyle name="Normal 2 4 2 16" xfId="39263"/>
    <cellStyle name="Normal 3 4 2 16" xfId="39264"/>
    <cellStyle name="Normal 4 3 2 16" xfId="39265"/>
    <cellStyle name="Normal 5 3 2 16" xfId="39266"/>
    <cellStyle name="Normal 7 3 2 16" xfId="39267"/>
    <cellStyle name="Normal 2 6 16" xfId="39268"/>
    <cellStyle name="Normal 3 6 16" xfId="39269"/>
    <cellStyle name="Normal 4 5 16" xfId="39270"/>
    <cellStyle name="Normal 5 5 16" xfId="39271"/>
    <cellStyle name="Normal 7 5 16" xfId="39272"/>
    <cellStyle name="Normal 2 3 3 16" xfId="39273"/>
    <cellStyle name="Normal 3 3 3 16" xfId="39274"/>
    <cellStyle name="Normal 4 2 3 16" xfId="39275"/>
    <cellStyle name="Normal 5 2 3 16" xfId="39276"/>
    <cellStyle name="Normal 7 2 3 16" xfId="39277"/>
    <cellStyle name="Normal 2 4 3 16" xfId="39278"/>
    <cellStyle name="Normal 3 4 3 16" xfId="39279"/>
    <cellStyle name="Normal 4 3 3 16" xfId="39280"/>
    <cellStyle name="Normal 5 3 3 16" xfId="39281"/>
    <cellStyle name="Normal 7 3 3 16" xfId="39282"/>
    <cellStyle name="Normal 2 7 15" xfId="39283"/>
    <cellStyle name="Normal 3 7 15" xfId="39284"/>
    <cellStyle name="Normal 4 6 15" xfId="39285"/>
    <cellStyle name="Normal 5 6 15" xfId="39286"/>
    <cellStyle name="Normal 7 6 15" xfId="39287"/>
    <cellStyle name="Normal 2 3 4 15" xfId="39288"/>
    <cellStyle name="Normal 3 3 4 15" xfId="39289"/>
    <cellStyle name="Normal 4 2 4 15" xfId="39290"/>
    <cellStyle name="Normal 5 2 4 15" xfId="39291"/>
    <cellStyle name="Normal 7 2 4 15" xfId="39292"/>
    <cellStyle name="Normal 2 4 4 15" xfId="39293"/>
    <cellStyle name="Normal 3 4 4 15" xfId="39294"/>
    <cellStyle name="Normal 4 3 4 15" xfId="39295"/>
    <cellStyle name="Normal 5 3 4 15" xfId="39296"/>
    <cellStyle name="Normal 7 3 4 15" xfId="39297"/>
    <cellStyle name="Normal 2 5 2 15" xfId="39298"/>
    <cellStyle name="Normal 3 5 2 15" xfId="39299"/>
    <cellStyle name="Normal 4 4 2 15" xfId="39300"/>
    <cellStyle name="Normal 5 4 2 15" xfId="39301"/>
    <cellStyle name="Normal 7 4 2 15" xfId="39302"/>
    <cellStyle name="Normal 2 3 2 2 15" xfId="39303"/>
    <cellStyle name="Normal 3 3 2 2 15" xfId="39304"/>
    <cellStyle name="Normal 4 2 2 2 15" xfId="39305"/>
    <cellStyle name="Normal 5 2 2 2 15" xfId="39306"/>
    <cellStyle name="Normal 7 2 2 2 15" xfId="39307"/>
    <cellStyle name="Normal 2 4 2 2 15" xfId="39308"/>
    <cellStyle name="Normal 3 4 2 2 15" xfId="39309"/>
    <cellStyle name="Normal 4 3 2 2 15" xfId="39310"/>
    <cellStyle name="Normal 5 3 2 2 15" xfId="39311"/>
    <cellStyle name="Normal 7 3 2 2 15" xfId="39312"/>
    <cellStyle name="Normal 2 6 2 15" xfId="39313"/>
    <cellStyle name="Normal 3 6 2 15" xfId="39314"/>
    <cellStyle name="Normal 4 5 2 15" xfId="39315"/>
    <cellStyle name="Normal 5 5 2 15" xfId="39316"/>
    <cellStyle name="Normal 7 5 2 15" xfId="39317"/>
    <cellStyle name="Normal 2 3 3 2 15" xfId="39318"/>
    <cellStyle name="Normal 3 3 3 2 15" xfId="39319"/>
    <cellStyle name="Normal 4 2 3 2 15" xfId="39320"/>
    <cellStyle name="Normal 5 2 3 2 15" xfId="39321"/>
    <cellStyle name="Normal 7 2 3 2 15" xfId="39322"/>
    <cellStyle name="Normal 2 4 3 2 15" xfId="39323"/>
    <cellStyle name="Normal 3 4 3 2 15" xfId="39324"/>
    <cellStyle name="Normal 4 3 3 2 15" xfId="39325"/>
    <cellStyle name="Normal 5 3 3 2 15" xfId="39326"/>
    <cellStyle name="Normal 7 3 3 2 15" xfId="39327"/>
    <cellStyle name="Normal 2 8 13" xfId="39328"/>
    <cellStyle name="Normal 3 8 13" xfId="39329"/>
    <cellStyle name="Normal 4 7 13" xfId="39330"/>
    <cellStyle name="Normal 5 7 13" xfId="39331"/>
    <cellStyle name="Normal 7 7 13" xfId="39332"/>
    <cellStyle name="Normal 2 3 5 13" xfId="39333"/>
    <cellStyle name="Normal 3 3 5 13" xfId="39334"/>
    <cellStyle name="Normal 4 2 5 13" xfId="39335"/>
    <cellStyle name="Normal 5 2 5 13" xfId="39336"/>
    <cellStyle name="Normal 7 2 5 14" xfId="39337"/>
    <cellStyle name="Normal 2 4 5 13" xfId="39338"/>
    <cellStyle name="Normal 3 4 5 13" xfId="39339"/>
    <cellStyle name="Normal 4 3 5 13" xfId="39340"/>
    <cellStyle name="Normal 5 3 5 13" xfId="39341"/>
    <cellStyle name="Normal 7 3 5 13" xfId="39342"/>
    <cellStyle name="Normal 2 5 3 13" xfId="39343"/>
    <cellStyle name="Normal 3 5 3 13" xfId="39344"/>
    <cellStyle name="Normal 4 4 3 13" xfId="39345"/>
    <cellStyle name="Normal 5 4 3 13" xfId="39346"/>
    <cellStyle name="Normal 7 4 3 13" xfId="39347"/>
    <cellStyle name="Normal 2 3 2 3 13" xfId="39348"/>
    <cellStyle name="Normal 3 3 2 3 13" xfId="39349"/>
    <cellStyle name="Normal 4 2 2 3 13" xfId="39350"/>
    <cellStyle name="Normal 5 2 2 3 13" xfId="39351"/>
    <cellStyle name="Normal 7 2 2 3 13" xfId="39352"/>
    <cellStyle name="Normal 2 4 2 3 13" xfId="39353"/>
    <cellStyle name="Normal 3 4 2 3 13" xfId="39354"/>
    <cellStyle name="Normal 4 3 2 3 13" xfId="39355"/>
    <cellStyle name="Normal 5 3 2 3 13" xfId="39356"/>
    <cellStyle name="Normal 7 3 2 3 13" xfId="39357"/>
    <cellStyle name="Normal 2 6 3 13" xfId="39358"/>
    <cellStyle name="Normal 3 6 3 13" xfId="39359"/>
    <cellStyle name="Normal 4 5 3 13" xfId="39360"/>
    <cellStyle name="Normal 5 5 3 13" xfId="39361"/>
    <cellStyle name="Normal 7 5 3 13" xfId="39362"/>
    <cellStyle name="Normal 2 3 3 3 13" xfId="39363"/>
    <cellStyle name="Normal 3 3 3 3 13" xfId="39364"/>
    <cellStyle name="Normal 4 2 3 3 13" xfId="39365"/>
    <cellStyle name="Normal 5 2 3 3 13" xfId="39366"/>
    <cellStyle name="Normal 7 2 3 3 13" xfId="39367"/>
    <cellStyle name="Normal 2 4 3 3 13" xfId="39368"/>
    <cellStyle name="Normal 3 4 3 3 13" xfId="39369"/>
    <cellStyle name="Normal 4 3 3 3 13" xfId="39370"/>
    <cellStyle name="Normal 5 3 3 3 13" xfId="39371"/>
    <cellStyle name="Normal 7 3 3 3 13" xfId="39372"/>
    <cellStyle name="Normal 2 7 2 13" xfId="39373"/>
    <cellStyle name="Normal 3 7 2 13" xfId="39374"/>
    <cellStyle name="Normal 4 6 2 13" xfId="39375"/>
    <cellStyle name="Normal 5 6 2 13" xfId="39376"/>
    <cellStyle name="Normal 7 6 2 13" xfId="39377"/>
    <cellStyle name="Normal 2 3 4 2 13" xfId="39378"/>
    <cellStyle name="Normal 3 3 4 2 13" xfId="39379"/>
    <cellStyle name="Normal 4 2 4 2 13" xfId="39380"/>
    <cellStyle name="Normal 5 2 4 2 13" xfId="39381"/>
    <cellStyle name="Normal 7 2 4 2 13" xfId="39382"/>
    <cellStyle name="Normal 2 4 4 2 13" xfId="39383"/>
    <cellStyle name="Normal 3 4 4 2 13" xfId="39384"/>
    <cellStyle name="Normal 4 3 4 2 13" xfId="39385"/>
    <cellStyle name="Normal 5 3 4 2 13" xfId="39386"/>
    <cellStyle name="Normal 7 3 4 2 13" xfId="39387"/>
    <cellStyle name="Normal 2 5 2 2 13" xfId="39388"/>
    <cellStyle name="Normal 3 5 2 2 13" xfId="39389"/>
    <cellStyle name="Normal 4 4 2 2 13" xfId="39390"/>
    <cellStyle name="Normal 5 4 2 2 13" xfId="39391"/>
    <cellStyle name="Normal 7 4 2 2 13" xfId="39392"/>
    <cellStyle name="Normal 2 3 2 2 2 13" xfId="39393"/>
    <cellStyle name="Normal 3 3 2 2 2 13" xfId="39394"/>
    <cellStyle name="Normal 4 2 2 2 2 13" xfId="39395"/>
    <cellStyle name="Normal 5 2 2 2 2 13" xfId="39396"/>
    <cellStyle name="Normal 7 2 2 2 2 13" xfId="39397"/>
    <cellStyle name="Normal 2 4 2 2 2 13" xfId="39398"/>
    <cellStyle name="Normal 3 4 2 2 2 13" xfId="39399"/>
    <cellStyle name="Normal 4 3 2 2 2 13" xfId="39400"/>
    <cellStyle name="Normal 5 3 2 2 2 13" xfId="39401"/>
    <cellStyle name="Normal 7 3 2 2 2 13" xfId="39402"/>
    <cellStyle name="Normal 2 6 2 2 13" xfId="39403"/>
    <cellStyle name="Normal 3 6 2 2 13" xfId="39404"/>
    <cellStyle name="Normal 4 5 2 2 13" xfId="39405"/>
    <cellStyle name="Normal 5 5 2 2 13" xfId="39406"/>
    <cellStyle name="Normal 7 5 2 2 13" xfId="39407"/>
    <cellStyle name="Normal 2 3 3 2 2 13" xfId="39408"/>
    <cellStyle name="Normal 3 3 3 2 2 13" xfId="39409"/>
    <cellStyle name="Normal 4 2 3 2 2 13" xfId="39410"/>
    <cellStyle name="Normal 5 2 3 2 2 13" xfId="39411"/>
    <cellStyle name="Normal 7 2 3 2 2 13" xfId="39412"/>
    <cellStyle name="Normal 2 4 3 2 2 13" xfId="39413"/>
    <cellStyle name="Normal 3 4 3 2 2 13" xfId="39414"/>
    <cellStyle name="Normal 4 3 3 2 2 13" xfId="39415"/>
    <cellStyle name="Normal 5 3 3 2 2 13" xfId="39416"/>
    <cellStyle name="Normal 7 3 3 2 2 13" xfId="39417"/>
    <cellStyle name="Normal 2 9 11" xfId="39418"/>
    <cellStyle name="Normal 3 9 11" xfId="39419"/>
    <cellStyle name="Normal 4 8 11" xfId="39420"/>
    <cellStyle name="Normal 5 8 11" xfId="39421"/>
    <cellStyle name="Normal 7 8 11" xfId="39422"/>
    <cellStyle name="Normal 2 3 6 11" xfId="39423"/>
    <cellStyle name="Normal 3 3 6 11" xfId="39424"/>
    <cellStyle name="Normal 4 2 6 11" xfId="39425"/>
    <cellStyle name="Normal 5 2 6 11" xfId="39426"/>
    <cellStyle name="Normal 7 2 6 11" xfId="39427"/>
    <cellStyle name="Normal 2 4 6 11" xfId="39428"/>
    <cellStyle name="Normal 3 4 6 11" xfId="39429"/>
    <cellStyle name="Normal 4 3 6 11" xfId="39430"/>
    <cellStyle name="Normal 5 3 6 11" xfId="39431"/>
    <cellStyle name="Normal 7 3 6 11" xfId="39432"/>
    <cellStyle name="Normal 2 5 4 11" xfId="39433"/>
    <cellStyle name="Normal 3 5 4 11" xfId="39434"/>
    <cellStyle name="Normal 4 4 4 11" xfId="39435"/>
    <cellStyle name="Normal 5 4 4 11" xfId="39436"/>
    <cellStyle name="Normal 7 4 4 11" xfId="39437"/>
    <cellStyle name="Normal 2 3 2 4 11" xfId="39438"/>
    <cellStyle name="Normal 3 3 2 4 11" xfId="39439"/>
    <cellStyle name="Normal 4 2 2 4 11" xfId="39440"/>
    <cellStyle name="Normal 5 2 2 4 11" xfId="39441"/>
    <cellStyle name="Normal 7 2 2 4 11" xfId="39442"/>
    <cellStyle name="Normal 2 4 2 4 11" xfId="39443"/>
    <cellStyle name="Normal 3 4 2 4 11" xfId="39444"/>
    <cellStyle name="Normal 4 3 2 4 11" xfId="39445"/>
    <cellStyle name="Normal 5 3 2 4 11" xfId="39446"/>
    <cellStyle name="Normal 7 3 2 4 11" xfId="39447"/>
    <cellStyle name="Normal 2 6 4 11" xfId="39448"/>
    <cellStyle name="Normal 3 6 4 11" xfId="39449"/>
    <cellStyle name="Normal 4 5 4 11" xfId="39450"/>
    <cellStyle name="Normal 5 5 4 11" xfId="39451"/>
    <cellStyle name="Normal 7 5 4 11" xfId="39452"/>
    <cellStyle name="Normal 2 3 3 4 11" xfId="39453"/>
    <cellStyle name="Normal 3 3 3 4 11" xfId="39454"/>
    <cellStyle name="Normal 4 2 3 4 11" xfId="39455"/>
    <cellStyle name="Normal 5 2 3 4 11" xfId="39456"/>
    <cellStyle name="Normal 7 2 3 4 11" xfId="39457"/>
    <cellStyle name="Normal 2 4 3 4 11" xfId="39458"/>
    <cellStyle name="Normal 3 4 3 4 11" xfId="39459"/>
    <cellStyle name="Normal 4 3 3 4 11" xfId="39460"/>
    <cellStyle name="Normal 5 3 3 4 11" xfId="39461"/>
    <cellStyle name="Normal 7 3 3 4 11" xfId="39462"/>
    <cellStyle name="Normal 2 7 3 11" xfId="39463"/>
    <cellStyle name="Normal 3 7 3 11" xfId="39464"/>
    <cellStyle name="Normal 4 6 3 11" xfId="39465"/>
    <cellStyle name="Normal 5 6 3 11" xfId="39466"/>
    <cellStyle name="Normal 7 6 3 11" xfId="39467"/>
    <cellStyle name="Normal 2 3 4 3 11" xfId="39468"/>
    <cellStyle name="Normal 3 3 4 3 11" xfId="39469"/>
    <cellStyle name="Normal 4 2 4 3 11" xfId="39470"/>
    <cellStyle name="Normal 5 2 4 3 11" xfId="39471"/>
    <cellStyle name="Normal 7 2 4 3 11" xfId="39472"/>
    <cellStyle name="Normal 2 4 4 3 11" xfId="39473"/>
    <cellStyle name="Normal 3 4 4 3 11" xfId="39474"/>
    <cellStyle name="Normal 4 3 4 3 11" xfId="39475"/>
    <cellStyle name="Normal 5 3 4 3 11" xfId="39476"/>
    <cellStyle name="Normal 7 3 4 3 11" xfId="39477"/>
    <cellStyle name="Normal 2 5 2 3 11" xfId="39478"/>
    <cellStyle name="Normal 3 5 2 3 11" xfId="39479"/>
    <cellStyle name="Normal 4 4 2 3 11" xfId="39480"/>
    <cellStyle name="Normal 5 4 2 3 11" xfId="39481"/>
    <cellStyle name="Normal 7 4 2 3 11" xfId="39482"/>
    <cellStyle name="Normal 2 3 2 2 3 11" xfId="39483"/>
    <cellStyle name="Normal 3 3 2 2 3 11" xfId="39484"/>
    <cellStyle name="Normal 4 2 2 2 3 11" xfId="39485"/>
    <cellStyle name="Normal 5 2 2 2 3 11" xfId="39486"/>
    <cellStyle name="Normal 7 2 2 2 3 11" xfId="39487"/>
    <cellStyle name="Normal 2 4 2 2 3 11" xfId="39488"/>
    <cellStyle name="Normal 3 4 2 2 3 11" xfId="39489"/>
    <cellStyle name="Normal 4 3 2 2 3 11" xfId="39490"/>
    <cellStyle name="Normal 5 3 2 2 3 11" xfId="39491"/>
    <cellStyle name="Normal 7 3 2 2 3 11" xfId="39492"/>
    <cellStyle name="Normal 2 6 2 3 11" xfId="39493"/>
    <cellStyle name="Normal 3 6 2 3 11" xfId="39494"/>
    <cellStyle name="Normal 4 5 2 3 11" xfId="39495"/>
    <cellStyle name="Normal 5 5 2 3 11" xfId="39496"/>
    <cellStyle name="Normal 7 5 2 3 11" xfId="39497"/>
    <cellStyle name="Normal 2 3 3 2 3 11" xfId="39498"/>
    <cellStyle name="Normal 3 3 3 2 3 11" xfId="39499"/>
    <cellStyle name="Normal 4 2 3 2 3 11" xfId="39500"/>
    <cellStyle name="Normal 5 2 3 2 3 11" xfId="39501"/>
    <cellStyle name="Normal 7 2 3 2 3 11" xfId="39502"/>
    <cellStyle name="Normal 2 4 3 2 3 11" xfId="39503"/>
    <cellStyle name="Normal 3 4 3 2 3 11" xfId="39504"/>
    <cellStyle name="Normal 4 3 3 2 3 11" xfId="39505"/>
    <cellStyle name="Normal 5 3 3 2 3 11" xfId="39506"/>
    <cellStyle name="Normal 7 3 3 2 3 11" xfId="39507"/>
    <cellStyle name="Normal 2 8 2 11" xfId="39508"/>
    <cellStyle name="Normal 3 8 2 11" xfId="39509"/>
    <cellStyle name="Normal 4 7 2 11" xfId="39510"/>
    <cellStyle name="Normal 5 7 2 11" xfId="39511"/>
    <cellStyle name="Normal 7 7 2 11" xfId="39512"/>
    <cellStyle name="Normal 2 3 5 2 11" xfId="39513"/>
    <cellStyle name="Normal 3 3 5 2 11" xfId="39514"/>
    <cellStyle name="Normal 4 2 5 2 11" xfId="39515"/>
    <cellStyle name="Normal 5 2 5 2 11" xfId="39516"/>
    <cellStyle name="Normal 7 2 5 2 11" xfId="39517"/>
    <cellStyle name="Normal 2 4 5 2 11" xfId="39518"/>
    <cellStyle name="Normal 3 4 5 2 11" xfId="39519"/>
    <cellStyle name="Normal 4 3 5 2 11" xfId="39520"/>
    <cellStyle name="Normal 5 3 5 2 11" xfId="39521"/>
    <cellStyle name="Normal 7 3 5 2 11" xfId="39522"/>
    <cellStyle name="Normal 2 5 3 2 11" xfId="39523"/>
    <cellStyle name="Normal 3 5 3 2 11" xfId="39524"/>
    <cellStyle name="Normal 4 4 3 2 11" xfId="39525"/>
    <cellStyle name="Normal 5 4 3 2 11" xfId="39526"/>
    <cellStyle name="Normal 7 4 3 2 11" xfId="39527"/>
    <cellStyle name="Normal 2 3 2 3 2 11" xfId="39528"/>
    <cellStyle name="Normal 3 3 2 3 2 11" xfId="39529"/>
    <cellStyle name="Normal 4 2 2 3 2 11" xfId="39530"/>
    <cellStyle name="Normal 5 2 2 3 2 11" xfId="39531"/>
    <cellStyle name="Normal 7 2 2 3 2 11" xfId="39532"/>
    <cellStyle name="Normal 2 4 2 3 2 11" xfId="39533"/>
    <cellStyle name="Normal 3 4 2 3 2 11" xfId="39534"/>
    <cellStyle name="Normal 4 3 2 3 2 11" xfId="39535"/>
    <cellStyle name="Normal 5 3 2 3 2 11" xfId="39536"/>
    <cellStyle name="Normal 7 3 2 3 2 11" xfId="39537"/>
    <cellStyle name="Normal 2 6 3 2 11" xfId="39538"/>
    <cellStyle name="Normal 3 6 3 2 11" xfId="39539"/>
    <cellStyle name="Normal 4 5 3 2 11" xfId="39540"/>
    <cellStyle name="Normal 5 5 3 2 11" xfId="39541"/>
    <cellStyle name="Normal 7 5 3 2 11" xfId="39542"/>
    <cellStyle name="Normal 2 3 3 3 2 11" xfId="39543"/>
    <cellStyle name="Normal 3 3 3 3 2 11" xfId="39544"/>
    <cellStyle name="Normal 4 2 3 3 2 11" xfId="39545"/>
    <cellStyle name="Normal 5 2 3 3 2 11" xfId="39546"/>
    <cellStyle name="Normal 7 2 3 3 2 11" xfId="39547"/>
    <cellStyle name="Normal 2 4 3 3 2 11" xfId="39548"/>
    <cellStyle name="Normal 3 4 3 3 2 11" xfId="39549"/>
    <cellStyle name="Normal 4 3 3 3 2 11" xfId="39550"/>
    <cellStyle name="Normal 5 3 3 3 2 11" xfId="39551"/>
    <cellStyle name="Normal 7 3 3 3 2 11" xfId="39552"/>
    <cellStyle name="Normal 2 7 2 2 11" xfId="39553"/>
    <cellStyle name="Normal 3 7 2 2 11" xfId="39554"/>
    <cellStyle name="Normal 4 6 2 2 11" xfId="39555"/>
    <cellStyle name="Normal 5 6 2 2 11" xfId="39556"/>
    <cellStyle name="Normal 7 6 2 2 11" xfId="39557"/>
    <cellStyle name="Normal 2 3 4 2 2 11" xfId="39558"/>
    <cellStyle name="Normal 3 3 4 2 2 11" xfId="39559"/>
    <cellStyle name="Normal 4 2 4 2 2 11" xfId="39560"/>
    <cellStyle name="Normal 5 2 4 2 2 11" xfId="39561"/>
    <cellStyle name="Normal 7 2 4 2 2 11" xfId="39562"/>
    <cellStyle name="Normal 2 4 4 2 2 11" xfId="39563"/>
    <cellStyle name="Normal 3 4 4 2 2 11" xfId="39564"/>
    <cellStyle name="Normal 4 3 4 2 2 11" xfId="39565"/>
    <cellStyle name="Normal 5 3 4 2 2 11" xfId="39566"/>
    <cellStyle name="Normal 7 3 4 2 2 11" xfId="39567"/>
    <cellStyle name="Normal 2 5 2 2 2 11" xfId="39568"/>
    <cellStyle name="Normal 3 5 2 2 2 11" xfId="39569"/>
    <cellStyle name="Normal 4 4 2 2 2 11" xfId="39570"/>
    <cellStyle name="Normal 5 4 2 2 2 11" xfId="39571"/>
    <cellStyle name="Normal 7 4 2 2 2 11" xfId="39572"/>
    <cellStyle name="Normal 2 3 2 2 2 2 11" xfId="39573"/>
    <cellStyle name="Normal 3 3 2 2 2 2 11" xfId="39574"/>
    <cellStyle name="Normal 4 2 2 2 2 2 11" xfId="39575"/>
    <cellStyle name="Normal 5 2 2 2 2 2 11" xfId="39576"/>
    <cellStyle name="Normal 7 2 2 2 2 2 11" xfId="39577"/>
    <cellStyle name="Normal 2 4 2 2 2 2 11" xfId="39578"/>
    <cellStyle name="Normal 3 4 2 2 2 2 11" xfId="39579"/>
    <cellStyle name="Normal 4 3 2 2 2 2 11" xfId="39580"/>
    <cellStyle name="Normal 5 3 2 2 2 2 11" xfId="39581"/>
    <cellStyle name="Normal 7 3 2 2 2 2 11" xfId="39582"/>
    <cellStyle name="Normal 2 6 2 2 2 11" xfId="39583"/>
    <cellStyle name="Normal 3 6 2 2 2 11" xfId="39584"/>
    <cellStyle name="Normal 4 5 2 2 2 11" xfId="39585"/>
    <cellStyle name="Normal 5 5 2 2 2 11" xfId="39586"/>
    <cellStyle name="Normal 7 5 2 2 2 11" xfId="39587"/>
    <cellStyle name="Normal 2 3 3 2 2 2 11" xfId="39588"/>
    <cellStyle name="Normal 3 3 3 2 2 2 11" xfId="39589"/>
    <cellStyle name="Normal 4 2 3 2 2 2 11" xfId="39590"/>
    <cellStyle name="Normal 5 2 3 2 2 2 11" xfId="39591"/>
    <cellStyle name="Normal 7 2 3 2 2 2 11" xfId="39592"/>
    <cellStyle name="Normal 2 4 3 2 2 2 11" xfId="39593"/>
    <cellStyle name="Normal 3 4 3 2 2 2 11" xfId="39594"/>
    <cellStyle name="Normal 4 3 3 2 2 2 11" xfId="39595"/>
    <cellStyle name="Normal 5 3 3 2 2 2 11" xfId="39596"/>
    <cellStyle name="Normal 7 3 3 2 2 2 11" xfId="39597"/>
    <cellStyle name="Normal 28 2 9" xfId="39598"/>
    <cellStyle name="Normal 2 3 7 11" xfId="39599"/>
    <cellStyle name="Normal 3 10 11" xfId="39600"/>
    <cellStyle name="Normal 4 9 11" xfId="39601"/>
    <cellStyle name="Normal 5 9 11" xfId="39602"/>
    <cellStyle name="Millares 4 11" xfId="39603"/>
    <cellStyle name="Normal 7 13 7" xfId="39604"/>
    <cellStyle name="Normal 7 2 7 11" xfId="39605"/>
    <cellStyle name="Normal 3 3 7 11" xfId="39606"/>
    <cellStyle name="Normal 4 2 7 11" xfId="39607"/>
    <cellStyle name="Normal 5 2 7 11" xfId="39608"/>
    <cellStyle name="Normal 2 4 5 3 11" xfId="39609"/>
    <cellStyle name="Normal 3 4 7 11" xfId="39610"/>
    <cellStyle name="Normal 4 3 7 11" xfId="39611"/>
    <cellStyle name="Normal 5 3 7 11" xfId="39612"/>
    <cellStyle name="Normal 7 3 7 11" xfId="39613"/>
    <cellStyle name="Normal 2 5 5 11" xfId="39614"/>
    <cellStyle name="Normal 3 5 5 11" xfId="39615"/>
    <cellStyle name="Normal 4 4 5 11" xfId="39616"/>
    <cellStyle name="Normal 5 4 5 11" xfId="39617"/>
    <cellStyle name="Normal 7 4 5 11" xfId="39618"/>
    <cellStyle name="Normal 2 3 2 5 11" xfId="39619"/>
    <cellStyle name="Normal 3 3 2 5 11" xfId="39620"/>
    <cellStyle name="Normal 4 2 2 5 11" xfId="39621"/>
    <cellStyle name="Normal 5 2 2 5 11" xfId="39622"/>
    <cellStyle name="Normal 7 2 2 5 11" xfId="39623"/>
    <cellStyle name="Normal 2 4 2 5 11" xfId="39624"/>
    <cellStyle name="Normal 3 4 2 5 11" xfId="39625"/>
    <cellStyle name="Normal 4 3 2 5 11" xfId="39626"/>
    <cellStyle name="Normal 5 3 2 5 11" xfId="39627"/>
    <cellStyle name="Normal 7 3 2 5 11" xfId="39628"/>
    <cellStyle name="Normal 2 6 5 11" xfId="39629"/>
    <cellStyle name="Normal 3 6 5 11" xfId="39630"/>
    <cellStyle name="Normal 4 5 5 11" xfId="39631"/>
    <cellStyle name="Normal 5 5 5 11" xfId="39632"/>
    <cellStyle name="Normal 7 5 5 11" xfId="39633"/>
    <cellStyle name="Normal 2 3 3 5 11" xfId="39634"/>
    <cellStyle name="Normal 3 3 3 5 11" xfId="39635"/>
    <cellStyle name="Normal 4 2 3 5 11" xfId="39636"/>
    <cellStyle name="Normal 5 2 3 5 11" xfId="39637"/>
    <cellStyle name="Normal 7 2 3 5 11" xfId="39638"/>
    <cellStyle name="Normal 2 4 3 5 11" xfId="39639"/>
    <cellStyle name="Normal 3 4 3 5 11" xfId="39640"/>
    <cellStyle name="Normal 4 3 3 5 11" xfId="39641"/>
    <cellStyle name="Normal 5 3 3 5 11" xfId="39642"/>
    <cellStyle name="Normal 7 3 3 5 11" xfId="39643"/>
    <cellStyle name="Normal 2 7 4 11" xfId="39644"/>
    <cellStyle name="Normal 3 7 4 11" xfId="39645"/>
    <cellStyle name="Normal 4 6 4 11" xfId="39646"/>
    <cellStyle name="Normal 5 6 4 11" xfId="39647"/>
    <cellStyle name="Normal 7 6 4 11" xfId="39648"/>
    <cellStyle name="Normal 2 3 4 4 11" xfId="39649"/>
    <cellStyle name="Normal 3 3 4 4 11" xfId="39650"/>
    <cellStyle name="Normal 4 2 4 4 11" xfId="39651"/>
    <cellStyle name="Normal 5 2 4 4 11" xfId="39652"/>
    <cellStyle name="Normal 7 2 4 4 11" xfId="39653"/>
    <cellStyle name="Normal 2 4 4 4 11" xfId="39654"/>
    <cellStyle name="Normal 3 4 4 4 11" xfId="39655"/>
    <cellStyle name="Normal 4 3 4 4 11" xfId="39656"/>
    <cellStyle name="Normal 5 3 4 4 11" xfId="39657"/>
    <cellStyle name="Normal 7 3 4 4 11" xfId="39658"/>
    <cellStyle name="Normal 2 5 2 4 11" xfId="39659"/>
    <cellStyle name="Normal 3 5 2 4 11" xfId="39660"/>
    <cellStyle name="Normal 4 4 2 4 11" xfId="39661"/>
    <cellStyle name="Normal 5 4 2 4 11" xfId="39662"/>
    <cellStyle name="Normal 7 4 2 4 11" xfId="39663"/>
    <cellStyle name="Normal 2 3 2 2 4 11" xfId="39664"/>
    <cellStyle name="Normal 3 3 2 2 4 11" xfId="39665"/>
    <cellStyle name="Normal 4 2 2 2 4 11" xfId="39666"/>
    <cellStyle name="Normal 5 2 2 2 4 11" xfId="39667"/>
    <cellStyle name="Normal 7 2 2 2 4 11" xfId="39668"/>
    <cellStyle name="Normal 2 4 2 2 4 11" xfId="39669"/>
    <cellStyle name="Normal 3 4 2 2 4 11" xfId="39670"/>
    <cellStyle name="Normal 4 3 2 2 4 11" xfId="39671"/>
    <cellStyle name="Normal 5 3 2 2 4 11" xfId="39672"/>
    <cellStyle name="Normal 7 3 2 2 4 11" xfId="39673"/>
    <cellStyle name="Normal 2 6 2 4 11" xfId="39674"/>
    <cellStyle name="Normal 3 6 2 4 11" xfId="39675"/>
    <cellStyle name="Normal 4 5 2 4 11" xfId="39676"/>
    <cellStyle name="Normal 5 5 2 4 11" xfId="39677"/>
    <cellStyle name="Normal 7 5 2 4 11" xfId="39678"/>
    <cellStyle name="Normal 2 3 3 2 4 11" xfId="39679"/>
    <cellStyle name="Normal 3 3 3 2 4 11" xfId="39680"/>
    <cellStyle name="Normal 4 2 3 2 4 11" xfId="39681"/>
    <cellStyle name="Normal 5 2 3 2 4 11" xfId="39682"/>
    <cellStyle name="Normal 7 2 3 2 4 11" xfId="39683"/>
    <cellStyle name="Normal 2 4 3 2 4 11" xfId="39684"/>
    <cellStyle name="Normal 3 4 3 2 4 11" xfId="39685"/>
    <cellStyle name="Normal 4 3 3 2 4 11" xfId="39686"/>
    <cellStyle name="Normal 5 3 3 2 4 11" xfId="39687"/>
    <cellStyle name="Normal 7 3 3 2 4 11" xfId="39688"/>
    <cellStyle name="Normal 2 8 3 11" xfId="39689"/>
    <cellStyle name="Normal 3 8 3 11" xfId="39690"/>
    <cellStyle name="Normal 4 7 3 11" xfId="39691"/>
    <cellStyle name="Normal 5 7 3 11" xfId="39692"/>
    <cellStyle name="Normal 7 7 3 11" xfId="39693"/>
    <cellStyle name="Normal 2 3 5 3 11" xfId="39694"/>
    <cellStyle name="Normal 3 3 5 3 11" xfId="39695"/>
    <cellStyle name="Normal 4 2 5 3 11" xfId="39696"/>
    <cellStyle name="Normal 5 2 5 3 11" xfId="39697"/>
    <cellStyle name="Normal 7 2 5 3 11" xfId="39698"/>
    <cellStyle name="Normal 3 4 5 3 11" xfId="39699"/>
    <cellStyle name="Normal 4 3 5 3 11" xfId="39700"/>
    <cellStyle name="Normal 5 3 5 3 11" xfId="39701"/>
    <cellStyle name="Normal 7 3 5 3 11" xfId="39702"/>
    <cellStyle name="Normal 2 5 3 3 11" xfId="39703"/>
    <cellStyle name="Normal 3 5 3 3 11" xfId="39704"/>
    <cellStyle name="Normal 4 4 3 3 11" xfId="39705"/>
    <cellStyle name="Normal 5 4 3 3 11" xfId="39706"/>
    <cellStyle name="Normal 7 4 3 3 11" xfId="39707"/>
    <cellStyle name="Normal 2 3 2 3 3 11" xfId="39708"/>
    <cellStyle name="Normal 3 3 2 3 3 11" xfId="39709"/>
    <cellStyle name="Normal 4 2 2 3 3 11" xfId="39710"/>
    <cellStyle name="Normal 5 2 2 3 3 11" xfId="39711"/>
    <cellStyle name="Normal 7 2 2 3 3 11" xfId="39712"/>
    <cellStyle name="Normal 2 4 2 3 3 11" xfId="39713"/>
    <cellStyle name="Normal 3 4 2 3 3 11" xfId="39714"/>
    <cellStyle name="Normal 4 3 2 3 3 11" xfId="39715"/>
    <cellStyle name="Normal 5 3 2 3 3 11" xfId="39716"/>
    <cellStyle name="Normal 7 3 2 3 3 11" xfId="39717"/>
    <cellStyle name="Normal 2 6 3 3 11" xfId="39718"/>
    <cellStyle name="Normal 3 6 3 3 11" xfId="39719"/>
    <cellStyle name="Normal 4 5 3 3 11" xfId="39720"/>
    <cellStyle name="Normal 5 5 3 3 11" xfId="39721"/>
    <cellStyle name="Normal 7 5 3 3 11" xfId="39722"/>
    <cellStyle name="Normal 2 3 3 3 3 11" xfId="39723"/>
    <cellStyle name="Normal 3 3 3 3 3 11" xfId="39724"/>
    <cellStyle name="Normal 4 2 3 3 3 11" xfId="39725"/>
    <cellStyle name="Normal 5 2 3 3 3 11" xfId="39726"/>
    <cellStyle name="Normal 7 2 3 3 3 11" xfId="39727"/>
    <cellStyle name="Normal 2 4 3 3 3 11" xfId="39728"/>
    <cellStyle name="Normal 3 4 3 3 3 11" xfId="39729"/>
    <cellStyle name="Normal 4 3 3 3 3 11" xfId="39730"/>
    <cellStyle name="Normal 5 3 3 3 3 11" xfId="39731"/>
    <cellStyle name="Normal 7 3 3 3 3 11" xfId="39732"/>
    <cellStyle name="Normal 2 7 2 3 11" xfId="39733"/>
    <cellStyle name="Normal 3 7 2 3 11" xfId="39734"/>
    <cellStyle name="Normal 4 6 2 3 11" xfId="39735"/>
    <cellStyle name="Normal 5 6 2 3 11" xfId="39736"/>
    <cellStyle name="Normal 7 6 2 3 11" xfId="39737"/>
    <cellStyle name="Normal 2 3 4 2 3 11" xfId="39738"/>
    <cellStyle name="Normal 3 3 4 2 3 11" xfId="39739"/>
    <cellStyle name="Normal 4 2 4 2 3 11" xfId="39740"/>
    <cellStyle name="Normal 5 2 4 2 3 11" xfId="39741"/>
    <cellStyle name="Normal 7 2 4 2 3 11" xfId="39742"/>
    <cellStyle name="Normal 2 4 4 2 3 11" xfId="39743"/>
    <cellStyle name="Normal 3 4 4 2 3 11" xfId="39744"/>
    <cellStyle name="Normal 4 3 4 2 3 11" xfId="39745"/>
    <cellStyle name="Normal 5 3 4 2 3 11" xfId="39746"/>
    <cellStyle name="Normal 7 3 4 2 3 11" xfId="39747"/>
    <cellStyle name="Normal 2 5 2 2 3 11" xfId="39748"/>
    <cellStyle name="Normal 3 5 2 2 3 11" xfId="39749"/>
    <cellStyle name="Normal 4 4 2 2 3 11" xfId="39750"/>
    <cellStyle name="Normal 5 4 2 2 3 11" xfId="39751"/>
    <cellStyle name="Normal 7 4 2 2 3 11" xfId="39752"/>
    <cellStyle name="Normal 2 3 2 2 2 3 11" xfId="39753"/>
    <cellStyle name="Normal 3 3 2 2 2 3 11" xfId="39754"/>
    <cellStyle name="Normal 4 2 2 2 2 3 11" xfId="39755"/>
    <cellStyle name="Normal 5 2 2 2 2 3 11" xfId="39756"/>
    <cellStyle name="Normal 7 2 2 2 2 3 11" xfId="39757"/>
    <cellStyle name="Normal 2 4 2 2 2 3 11" xfId="39758"/>
    <cellStyle name="Normal 3 4 2 2 2 3 11" xfId="39759"/>
    <cellStyle name="Normal 4 3 2 2 2 3 11" xfId="39760"/>
    <cellStyle name="Normal 5 3 2 2 2 3 11" xfId="39761"/>
    <cellStyle name="Normal 7 3 2 2 2 3 11" xfId="39762"/>
    <cellStyle name="Normal 2 6 2 2 3 11" xfId="39763"/>
    <cellStyle name="Normal 3 6 2 2 3 11" xfId="39764"/>
    <cellStyle name="Normal 4 5 2 2 3 11" xfId="39765"/>
    <cellStyle name="Normal 5 5 2 2 3 11" xfId="39766"/>
    <cellStyle name="Normal 7 5 2 2 3 11" xfId="39767"/>
    <cellStyle name="Normal 2 3 3 2 2 3 11" xfId="39768"/>
    <cellStyle name="Normal 3 3 3 2 2 3 11" xfId="39769"/>
    <cellStyle name="Normal 4 2 3 2 2 3 11" xfId="39770"/>
    <cellStyle name="Normal 5 2 3 2 2 3 11" xfId="39771"/>
    <cellStyle name="Normal 7 2 3 2 2 3 11" xfId="39772"/>
    <cellStyle name="Normal 2 4 3 2 2 3 11" xfId="39773"/>
    <cellStyle name="Normal 3 4 3 2 2 3 11" xfId="39774"/>
    <cellStyle name="Normal 4 3 3 2 2 3 11" xfId="39775"/>
    <cellStyle name="Normal 5 3 3 2 2 3 11" xfId="39776"/>
    <cellStyle name="Normal 7 3 3 2 2 3 11" xfId="39777"/>
    <cellStyle name="Normal 2 11 9" xfId="39778"/>
    <cellStyle name="Normal 3 11 9" xfId="39779"/>
    <cellStyle name="Normal 4 10 9" xfId="39780"/>
    <cellStyle name="Normal 5 10 9" xfId="39781"/>
    <cellStyle name="Normal 7 10 9" xfId="39782"/>
    <cellStyle name="Normal 2 3 8 9" xfId="39783"/>
    <cellStyle name="Normal 3 3 8 9" xfId="39784"/>
    <cellStyle name="Normal 4 2 8 9" xfId="39785"/>
    <cellStyle name="Normal 5 2 8 9" xfId="39786"/>
    <cellStyle name="Normal 7 2 8 9" xfId="39787"/>
    <cellStyle name="Normal 2 4 8 9" xfId="39788"/>
    <cellStyle name="Normal 3 4 8 9" xfId="39789"/>
    <cellStyle name="Normal 4 3 8 9" xfId="39790"/>
    <cellStyle name="Normal 5 3 8 9" xfId="39791"/>
    <cellStyle name="Normal 7 3 8 9" xfId="39792"/>
    <cellStyle name="Normal 2 5 6 9" xfId="39793"/>
    <cellStyle name="Normal 3 5 6 9" xfId="39794"/>
    <cellStyle name="Normal 4 4 6 9" xfId="39795"/>
    <cellStyle name="Normal 5 4 6 9" xfId="39796"/>
    <cellStyle name="Normal 7 4 6 9" xfId="39797"/>
    <cellStyle name="Normal 2 3 2 6 9" xfId="39798"/>
    <cellStyle name="Normal 3 3 2 6 9" xfId="39799"/>
    <cellStyle name="Normal 4 2 2 6 9" xfId="39800"/>
    <cellStyle name="Normal 5 2 2 6 9" xfId="39801"/>
    <cellStyle name="Normal 7 2 2 6 9" xfId="39802"/>
    <cellStyle name="Normal 2 4 2 6 9" xfId="39803"/>
    <cellStyle name="Normal 3 4 2 6 9" xfId="39804"/>
    <cellStyle name="Normal 4 3 2 6 9" xfId="39805"/>
    <cellStyle name="Normal 5 3 2 6 9" xfId="39806"/>
    <cellStyle name="Normal 7 3 2 6 9" xfId="39807"/>
    <cellStyle name="Normal 2 6 6 9" xfId="39808"/>
    <cellStyle name="Normal 3 6 6 9" xfId="39809"/>
    <cellStyle name="Normal 4 5 6 9" xfId="39810"/>
    <cellStyle name="Normal 5 5 6 9" xfId="39811"/>
    <cellStyle name="Normal 7 5 6 9" xfId="39812"/>
    <cellStyle name="Normal 2 3 3 6 9" xfId="39813"/>
    <cellStyle name="Normal 3 3 3 6 9" xfId="39814"/>
    <cellStyle name="Normal 4 2 3 6 9" xfId="39815"/>
    <cellStyle name="Normal 5 2 3 6 9" xfId="39816"/>
    <cellStyle name="Normal 7 2 3 6 9" xfId="39817"/>
    <cellStyle name="Normal 2 4 3 6 9" xfId="39818"/>
    <cellStyle name="Normal 3 4 3 6 9" xfId="39819"/>
    <cellStyle name="Normal 4 3 3 6 9" xfId="39820"/>
    <cellStyle name="Normal 5 3 3 6 9" xfId="39821"/>
    <cellStyle name="Normal 7 3 3 6 9" xfId="39822"/>
    <cellStyle name="Normal 2 7 5 9" xfId="39823"/>
    <cellStyle name="Normal 3 7 5 9" xfId="39824"/>
    <cellStyle name="Normal 4 6 5 9" xfId="39825"/>
    <cellStyle name="Normal 5 6 5 9" xfId="39826"/>
    <cellStyle name="Normal 7 6 5 9" xfId="39827"/>
    <cellStyle name="Normal 2 3 4 5 9" xfId="39828"/>
    <cellStyle name="Normal 3 3 4 5 9" xfId="39829"/>
    <cellStyle name="Normal 4 2 4 5 9" xfId="39830"/>
    <cellStyle name="Normal 5 2 4 5 9" xfId="39831"/>
    <cellStyle name="Normal 7 2 4 5 9" xfId="39832"/>
    <cellStyle name="Normal 2 4 4 5 9" xfId="39833"/>
    <cellStyle name="Normal 3 4 4 5 9" xfId="39834"/>
    <cellStyle name="Normal 4 3 4 5 9" xfId="39835"/>
    <cellStyle name="Normal 5 3 4 5 9" xfId="39836"/>
    <cellStyle name="Normal 7 3 4 5 9" xfId="39837"/>
    <cellStyle name="Normal 2 5 2 5 9" xfId="39838"/>
    <cellStyle name="Normal 3 5 2 5 9" xfId="39839"/>
    <cellStyle name="Normal 4 4 2 5 9" xfId="39840"/>
    <cellStyle name="Normal 5 4 2 5 9" xfId="39841"/>
    <cellStyle name="Normal 7 4 2 5 9" xfId="39842"/>
    <cellStyle name="Normal 2 3 2 2 5 9" xfId="39843"/>
    <cellStyle name="Normal 3 3 2 2 5 9" xfId="39844"/>
    <cellStyle name="Normal 4 2 2 2 5 9" xfId="39845"/>
    <cellStyle name="Normal 5 2 2 2 5 9" xfId="39846"/>
    <cellStyle name="Normal 7 2 2 2 5 9" xfId="39847"/>
    <cellStyle name="Normal 2 4 2 2 5 9" xfId="39848"/>
    <cellStyle name="Normal 3 4 2 2 5 9" xfId="39849"/>
    <cellStyle name="Normal 4 3 2 2 5 9" xfId="39850"/>
    <cellStyle name="Normal 5 3 2 2 5 9" xfId="39851"/>
    <cellStyle name="Normal 7 3 2 2 5 9" xfId="39852"/>
    <cellStyle name="Normal 2 6 2 5 9" xfId="39853"/>
    <cellStyle name="Normal 3 6 2 5 9" xfId="39854"/>
    <cellStyle name="Normal 4 5 2 5 9" xfId="39855"/>
    <cellStyle name="Normal 5 5 2 5 9" xfId="39856"/>
    <cellStyle name="Normal 7 5 2 5 9" xfId="39857"/>
    <cellStyle name="Normal 2 3 3 2 5 9" xfId="39858"/>
    <cellStyle name="Normal 3 3 3 2 5 9" xfId="39859"/>
    <cellStyle name="Normal 4 2 3 2 5 9" xfId="39860"/>
    <cellStyle name="Normal 5 2 3 2 5 9" xfId="39861"/>
    <cellStyle name="Normal 7 2 3 2 5 9" xfId="39862"/>
    <cellStyle name="Normal 2 4 3 2 5 9" xfId="39863"/>
    <cellStyle name="Normal 3 4 3 2 5 9" xfId="39864"/>
    <cellStyle name="Normal 4 3 3 2 5 9" xfId="39865"/>
    <cellStyle name="Normal 5 3 3 2 5 9" xfId="39866"/>
    <cellStyle name="Normal 7 3 3 2 5 9" xfId="39867"/>
    <cellStyle name="Normal 2 8 4 9" xfId="39868"/>
    <cellStyle name="Normal 3 8 4 9" xfId="39869"/>
    <cellStyle name="Normal 4 7 4 9" xfId="39870"/>
    <cellStyle name="Normal 5 7 4 9" xfId="39871"/>
    <cellStyle name="Normal 7 7 4 9" xfId="39872"/>
    <cellStyle name="Normal 2 3 5 4 9" xfId="39873"/>
    <cellStyle name="Normal 3 3 5 4 9" xfId="39874"/>
    <cellStyle name="Normal 4 2 5 4 9" xfId="39875"/>
    <cellStyle name="Normal 5 2 5 4 9" xfId="39876"/>
    <cellStyle name="Normal 7 2 5 4 9" xfId="39877"/>
    <cellStyle name="Normal 2 4 5 4 9" xfId="39878"/>
    <cellStyle name="Normal 3 4 5 4 9" xfId="39879"/>
    <cellStyle name="Normal 4 3 5 4 9" xfId="39880"/>
    <cellStyle name="Normal 5 3 5 4 9" xfId="39881"/>
    <cellStyle name="Normal 7 3 5 4 9" xfId="39882"/>
    <cellStyle name="Normal 2 5 3 4 9" xfId="39883"/>
    <cellStyle name="Normal 3 5 3 4 9" xfId="39884"/>
    <cellStyle name="Normal 4 4 3 4 9" xfId="39885"/>
    <cellStyle name="Normal 5 4 3 4 9" xfId="39886"/>
    <cellStyle name="Normal 7 4 3 4 9" xfId="39887"/>
    <cellStyle name="Normal 2 3 2 3 4 9" xfId="39888"/>
    <cellStyle name="Normal 3 3 2 3 4 9" xfId="39889"/>
    <cellStyle name="Normal 4 2 2 3 4 9" xfId="39890"/>
    <cellStyle name="Normal 5 2 2 3 4 9" xfId="39891"/>
    <cellStyle name="Normal 7 2 2 3 4 9" xfId="39892"/>
    <cellStyle name="Normal 2 4 2 3 4 9" xfId="39893"/>
    <cellStyle name="Normal 3 4 2 3 4 9" xfId="39894"/>
    <cellStyle name="Normal 4 3 2 3 4 9" xfId="39895"/>
    <cellStyle name="Normal 5 3 2 3 4 9" xfId="39896"/>
    <cellStyle name="Normal 7 3 2 3 4 9" xfId="39897"/>
    <cellStyle name="Normal 2 6 3 4 9" xfId="39898"/>
    <cellStyle name="Normal 3 6 3 4 9" xfId="39899"/>
    <cellStyle name="Normal 4 5 3 4 9" xfId="39900"/>
    <cellStyle name="Normal 5 5 3 4 9" xfId="39901"/>
    <cellStyle name="Normal 7 5 3 4 9" xfId="39902"/>
    <cellStyle name="Normal 2 3 3 3 4 9" xfId="39903"/>
    <cellStyle name="Normal 3 3 3 3 4 9" xfId="39904"/>
    <cellStyle name="Normal 4 2 3 3 4 9" xfId="39905"/>
    <cellStyle name="Normal 5 2 3 3 4 9" xfId="39906"/>
    <cellStyle name="Normal 7 2 3 3 4 9" xfId="39907"/>
    <cellStyle name="Normal 2 4 3 3 4 9" xfId="39908"/>
    <cellStyle name="Normal 3 4 3 3 4 9" xfId="39909"/>
    <cellStyle name="Normal 4 3 3 3 4 9" xfId="39910"/>
    <cellStyle name="Normal 5 3 3 3 4 9" xfId="39911"/>
    <cellStyle name="Normal 7 3 3 3 4 9" xfId="39912"/>
    <cellStyle name="Normal 2 7 2 4 9" xfId="39913"/>
    <cellStyle name="Normal 3 7 2 4 9" xfId="39914"/>
    <cellStyle name="Normal 4 6 2 4 9" xfId="39915"/>
    <cellStyle name="Normal 5 6 2 4 9" xfId="39916"/>
    <cellStyle name="Normal 7 6 2 4 9" xfId="39917"/>
    <cellStyle name="Normal 2 3 4 2 4 9" xfId="39918"/>
    <cellStyle name="Normal 3 3 4 2 4 9" xfId="39919"/>
    <cellStyle name="Normal 4 2 4 2 4 9" xfId="39920"/>
    <cellStyle name="Normal 5 2 4 2 4 9" xfId="39921"/>
    <cellStyle name="Normal 7 2 4 2 4 9" xfId="39922"/>
    <cellStyle name="Normal 2 4 4 2 4 9" xfId="39923"/>
    <cellStyle name="Normal 3 4 4 2 4 9" xfId="39924"/>
    <cellStyle name="Normal 4 3 4 2 4 9" xfId="39925"/>
    <cellStyle name="Normal 5 3 4 2 4 9" xfId="39926"/>
    <cellStyle name="Normal 7 3 4 2 4 9" xfId="39927"/>
    <cellStyle name="Normal 2 5 2 2 4 9" xfId="39928"/>
    <cellStyle name="Normal 3 5 2 2 4 9" xfId="39929"/>
    <cellStyle name="Normal 4 4 2 2 4 9" xfId="39930"/>
    <cellStyle name="Normal 5 4 2 2 4 9" xfId="39931"/>
    <cellStyle name="Normal 7 4 2 2 4 9" xfId="39932"/>
    <cellStyle name="Normal 2 3 2 2 2 4 9" xfId="39933"/>
    <cellStyle name="Normal 3 3 2 2 2 4 9" xfId="39934"/>
    <cellStyle name="Normal 4 2 2 2 2 4 9" xfId="39935"/>
    <cellStyle name="Normal 5 2 2 2 2 4 9" xfId="39936"/>
    <cellStyle name="Normal 7 2 2 2 2 4 9" xfId="39937"/>
    <cellStyle name="Normal 2 4 2 2 2 4 9" xfId="39938"/>
    <cellStyle name="Normal 3 4 2 2 2 4 9" xfId="39939"/>
    <cellStyle name="Normal 4 3 2 2 2 4 9" xfId="39940"/>
    <cellStyle name="Normal 5 3 2 2 2 4 9" xfId="39941"/>
    <cellStyle name="Normal 7 3 2 2 2 4 9" xfId="39942"/>
    <cellStyle name="Normal 2 6 2 2 4 9" xfId="39943"/>
    <cellStyle name="Normal 3 6 2 2 4 9" xfId="39944"/>
    <cellStyle name="Normal 4 5 2 2 4 9" xfId="39945"/>
    <cellStyle name="Normal 5 5 2 2 4 9" xfId="39946"/>
    <cellStyle name="Normal 7 5 2 2 4 9" xfId="39947"/>
    <cellStyle name="Normal 2 3 3 2 2 4 9" xfId="39948"/>
    <cellStyle name="Normal 3 3 3 2 2 4 9" xfId="39949"/>
    <cellStyle name="Normal 4 2 3 2 2 4 9" xfId="39950"/>
    <cellStyle name="Normal 5 2 3 2 2 4 9" xfId="39951"/>
    <cellStyle name="Normal 7 2 3 2 2 4 9" xfId="39952"/>
    <cellStyle name="Normal 2 4 3 2 2 4 9" xfId="39953"/>
    <cellStyle name="Normal 3 4 3 2 2 4 9" xfId="39954"/>
    <cellStyle name="Normal 4 3 3 2 2 4 9" xfId="39955"/>
    <cellStyle name="Normal 5 3 3 2 2 4 9" xfId="39956"/>
    <cellStyle name="Normal 7 3 3 2 2 4 9" xfId="39957"/>
    <cellStyle name="Normal 2 9 2 9" xfId="39958"/>
    <cellStyle name="Normal 3 9 2 9" xfId="39959"/>
    <cellStyle name="Normal 4 8 2 9" xfId="39960"/>
    <cellStyle name="Normal 5 8 2 9" xfId="39961"/>
    <cellStyle name="Normal 7 8 2 9" xfId="39962"/>
    <cellStyle name="Normal 2 3 6 2 9" xfId="39963"/>
    <cellStyle name="Normal 3 3 6 2 9" xfId="39964"/>
    <cellStyle name="Normal 4 2 6 2 9" xfId="39965"/>
    <cellStyle name="Normal 5 2 6 2 9" xfId="39966"/>
    <cellStyle name="Normal 7 2 6 2 9" xfId="39967"/>
    <cellStyle name="Normal 2 4 6 2 9" xfId="39968"/>
    <cellStyle name="Normal 3 4 6 2 9" xfId="39969"/>
    <cellStyle name="Normal 4 3 6 2 9" xfId="39970"/>
    <cellStyle name="Normal 5 3 6 2 9" xfId="39971"/>
    <cellStyle name="Normal 7 3 6 2 9" xfId="39972"/>
    <cellStyle name="Normal 2 5 4 2 9" xfId="39973"/>
    <cellStyle name="Normal 3 5 4 2 9" xfId="39974"/>
    <cellStyle name="Normal 4 4 4 2 9" xfId="39975"/>
    <cellStyle name="Normal 5 4 4 2 9" xfId="39976"/>
    <cellStyle name="Normal 7 4 4 2 9" xfId="39977"/>
    <cellStyle name="Normal 2 3 2 4 2 9" xfId="39978"/>
    <cellStyle name="Normal 3 3 2 4 2 9" xfId="39979"/>
    <cellStyle name="Normal 4 2 2 4 2 9" xfId="39980"/>
    <cellStyle name="Normal 5 2 2 4 2 9" xfId="39981"/>
    <cellStyle name="Normal 7 2 2 4 2 9" xfId="39982"/>
    <cellStyle name="Normal 2 4 2 4 2 9" xfId="39983"/>
    <cellStyle name="Normal 3 4 2 4 2 9" xfId="39984"/>
    <cellStyle name="Normal 4 3 2 4 2 9" xfId="39985"/>
    <cellStyle name="Normal 5 3 2 4 2 9" xfId="39986"/>
    <cellStyle name="Normal 7 3 2 4 2 9" xfId="39987"/>
    <cellStyle name="Normal 2 6 4 2 9" xfId="39988"/>
    <cellStyle name="Normal 3 6 4 2 9" xfId="39989"/>
    <cellStyle name="Normal 4 5 4 2 9" xfId="39990"/>
    <cellStyle name="Normal 5 5 4 2 9" xfId="39991"/>
    <cellStyle name="Normal 7 5 4 2 9" xfId="39992"/>
    <cellStyle name="Normal 2 3 3 4 2 9" xfId="39993"/>
    <cellStyle name="Normal 3 3 3 4 2 9" xfId="39994"/>
    <cellStyle name="Normal 4 2 3 4 2 9" xfId="39995"/>
    <cellStyle name="Normal 5 2 3 4 2 9" xfId="39996"/>
    <cellStyle name="Normal 7 2 3 4 2 9" xfId="39997"/>
    <cellStyle name="Normal 2 4 3 4 2 9" xfId="39998"/>
    <cellStyle name="Normal 3 4 3 4 2 9" xfId="39999"/>
    <cellStyle name="Normal 4 3 3 4 2 9" xfId="40000"/>
    <cellStyle name="Normal 5 3 3 4 2 9" xfId="40001"/>
    <cellStyle name="Normal 7 3 3 4 2 9" xfId="40002"/>
    <cellStyle name="Normal 2 7 3 2 9" xfId="40003"/>
    <cellStyle name="Normal 3 7 3 2 9" xfId="40004"/>
    <cellStyle name="Normal 4 6 3 2 9" xfId="40005"/>
    <cellStyle name="Normal 5 6 3 2 9" xfId="40006"/>
    <cellStyle name="Normal 7 6 3 2 9" xfId="40007"/>
    <cellStyle name="Normal 2 3 4 3 2 9" xfId="40008"/>
    <cellStyle name="Normal 3 3 4 3 2 9" xfId="40009"/>
    <cellStyle name="Normal 4 2 4 3 2 9" xfId="40010"/>
    <cellStyle name="Normal 5 2 4 3 2 9" xfId="40011"/>
    <cellStyle name="Normal 7 2 4 3 2 9" xfId="40012"/>
    <cellStyle name="Normal 2 4 4 3 2 9" xfId="40013"/>
    <cellStyle name="Normal 3 4 4 3 2 9" xfId="40014"/>
    <cellStyle name="Normal 4 3 4 3 2 9" xfId="40015"/>
    <cellStyle name="Normal 5 3 4 3 2 9" xfId="40016"/>
    <cellStyle name="Normal 7 3 4 3 2 9" xfId="40017"/>
    <cellStyle name="Normal 2 5 2 3 2 9" xfId="40018"/>
    <cellStyle name="Normal 3 5 2 3 2 9" xfId="40019"/>
    <cellStyle name="Normal 4 4 2 3 2 9" xfId="40020"/>
    <cellStyle name="Normal 5 4 2 3 2 9" xfId="40021"/>
    <cellStyle name="Normal 7 4 2 3 2 9" xfId="40022"/>
    <cellStyle name="Normal 2 3 2 2 3 2 9" xfId="40023"/>
    <cellStyle name="Normal 3 3 2 2 3 2 9" xfId="40024"/>
    <cellStyle name="Normal 4 2 2 2 3 2 9" xfId="40025"/>
    <cellStyle name="Normal 5 2 2 2 3 2 9" xfId="40026"/>
    <cellStyle name="Normal 7 2 2 2 3 2 9" xfId="40027"/>
    <cellStyle name="Normal 2 4 2 2 3 2 9" xfId="40028"/>
    <cellStyle name="Normal 3 4 2 2 3 2 9" xfId="40029"/>
    <cellStyle name="Normal 4 3 2 2 3 2 9" xfId="40030"/>
    <cellStyle name="Normal 5 3 2 2 3 2 9" xfId="40031"/>
    <cellStyle name="Normal 7 3 2 2 3 2 9" xfId="40032"/>
    <cellStyle name="Normal 2 6 2 3 2 9" xfId="40033"/>
    <cellStyle name="Normal 3 6 2 3 2 9" xfId="40034"/>
    <cellStyle name="Normal 4 5 2 3 2 9" xfId="40035"/>
    <cellStyle name="Normal 5 5 2 3 2 9" xfId="40036"/>
    <cellStyle name="Normal 7 5 2 3 2 9" xfId="40037"/>
    <cellStyle name="Normal 2 3 3 2 3 2 9" xfId="40038"/>
    <cellStyle name="Normal 3 3 3 2 3 2 9" xfId="40039"/>
    <cellStyle name="Normal 4 2 3 2 3 2 9" xfId="40040"/>
    <cellStyle name="Normal 5 2 3 2 3 2 9" xfId="40041"/>
    <cellStyle name="Normal 7 2 3 2 3 2 9" xfId="40042"/>
    <cellStyle name="Normal 2 4 3 2 3 2 9" xfId="40043"/>
    <cellStyle name="Normal 3 4 3 2 3 2 9" xfId="40044"/>
    <cellStyle name="Normal 4 3 3 2 3 2 9" xfId="40045"/>
    <cellStyle name="Normal 5 3 3 2 3 2 9" xfId="40046"/>
    <cellStyle name="Normal 7 3 3 2 3 2 9" xfId="40047"/>
    <cellStyle name="Normal 2 8 2 2 9" xfId="40048"/>
    <cellStyle name="Normal 3 8 2 2 9" xfId="40049"/>
    <cellStyle name="Normal 4 7 2 2 9" xfId="40050"/>
    <cellStyle name="Normal 5 7 2 2 9" xfId="40051"/>
    <cellStyle name="Normal 7 7 2 2 9" xfId="40052"/>
    <cellStyle name="Normal 2 3 5 2 2 9" xfId="40053"/>
    <cellStyle name="Normal 3 3 5 2 2 9" xfId="40054"/>
    <cellStyle name="Normal 4 2 5 2 2 9" xfId="40055"/>
    <cellStyle name="Normal 5 2 5 2 2 9" xfId="40056"/>
    <cellStyle name="Normal 7 2 5 2 2 9" xfId="40057"/>
    <cellStyle name="Normal 2 4 5 2 2 9" xfId="40058"/>
    <cellStyle name="Normal 3 4 5 2 2 9" xfId="40059"/>
    <cellStyle name="Normal 4 3 5 2 2 9" xfId="40060"/>
    <cellStyle name="Normal 5 3 5 2 2 9" xfId="40061"/>
    <cellStyle name="Normal 7 3 5 2 2 9" xfId="40062"/>
    <cellStyle name="Normal 2 5 3 2 2 9" xfId="40063"/>
    <cellStyle name="Normal 3 5 3 2 2 9" xfId="40064"/>
    <cellStyle name="Normal 4 4 3 2 2 9" xfId="40065"/>
    <cellStyle name="Normal 5 4 3 2 2 9" xfId="40066"/>
    <cellStyle name="Normal 7 4 3 2 2 9" xfId="40067"/>
    <cellStyle name="Normal 2 3 2 3 2 2 9" xfId="40068"/>
    <cellStyle name="Normal 3 3 2 3 2 2 9" xfId="40069"/>
    <cellStyle name="Normal 4 2 2 3 2 2 9" xfId="40070"/>
    <cellStyle name="Normal 5 2 2 3 2 2 9" xfId="40071"/>
    <cellStyle name="Normal 7 2 2 3 2 2 9" xfId="40072"/>
    <cellStyle name="Normal 2 4 2 3 2 2 9" xfId="40073"/>
    <cellStyle name="Normal 3 4 2 3 2 2 9" xfId="40074"/>
    <cellStyle name="Normal 4 3 2 3 2 2 9" xfId="40075"/>
    <cellStyle name="Normal 5 3 2 3 2 2 9" xfId="40076"/>
    <cellStyle name="Normal 7 3 2 3 2 2 9" xfId="40077"/>
    <cellStyle name="Normal 2 6 3 2 2 9" xfId="40078"/>
    <cellStyle name="Normal 3 6 3 2 2 9" xfId="40079"/>
    <cellStyle name="Normal 4 5 3 2 2 9" xfId="40080"/>
    <cellStyle name="Normal 5 5 3 2 2 9" xfId="40081"/>
    <cellStyle name="Normal 7 5 3 2 2 9" xfId="40082"/>
    <cellStyle name="Normal 2 3 3 3 2 2 9" xfId="40083"/>
    <cellStyle name="Normal 3 3 3 3 2 2 9" xfId="40084"/>
    <cellStyle name="Normal 4 2 3 3 2 2 9" xfId="40085"/>
    <cellStyle name="Normal 5 2 3 3 2 2 9" xfId="40086"/>
    <cellStyle name="Normal 7 2 3 3 2 2 9" xfId="40087"/>
    <cellStyle name="Normal 2 4 3 3 2 2 9" xfId="40088"/>
    <cellStyle name="Normal 3 4 3 3 2 2 9" xfId="40089"/>
    <cellStyle name="Normal 4 3 3 3 2 2 9" xfId="40090"/>
    <cellStyle name="Normal 5 3 3 3 2 2 9" xfId="40091"/>
    <cellStyle name="Normal 7 3 3 3 2 2 9" xfId="40092"/>
    <cellStyle name="Normal 2 7 2 2 2 9" xfId="40093"/>
    <cellStyle name="Normal 3 7 2 2 2 9" xfId="40094"/>
    <cellStyle name="Normal 4 6 2 2 2 9" xfId="40095"/>
    <cellStyle name="Normal 5 6 2 2 2 9" xfId="40096"/>
    <cellStyle name="Normal 7 6 2 2 2 9" xfId="40097"/>
    <cellStyle name="Normal 2 3 4 2 2 2 9" xfId="40098"/>
    <cellStyle name="Normal 3 3 4 2 2 2 9" xfId="40099"/>
    <cellStyle name="Normal 4 2 4 2 2 2 9" xfId="40100"/>
    <cellStyle name="Normal 5 2 4 2 2 2 9" xfId="40101"/>
    <cellStyle name="Normal 7 2 4 2 2 2 9" xfId="40102"/>
    <cellStyle name="Normal 2 4 4 2 2 2 9" xfId="40103"/>
    <cellStyle name="Normal 3 4 4 2 2 2 9" xfId="40104"/>
    <cellStyle name="Normal 4 3 4 2 2 2 9" xfId="40105"/>
    <cellStyle name="Normal 5 3 4 2 2 2 9" xfId="40106"/>
    <cellStyle name="Normal 7 3 4 2 2 2 9" xfId="40107"/>
    <cellStyle name="Normal 2 5 2 2 2 2 9" xfId="40108"/>
    <cellStyle name="Normal 3 5 2 2 2 2 9" xfId="40109"/>
    <cellStyle name="Normal 4 4 2 2 2 2 9" xfId="40110"/>
    <cellStyle name="Normal 5 4 2 2 2 2 9" xfId="40111"/>
    <cellStyle name="Normal 7 4 2 2 2 2 9" xfId="40112"/>
    <cellStyle name="Normal 2 3 2 2 2 2 2 9" xfId="40113"/>
    <cellStyle name="Normal 3 3 2 2 2 2 2 9" xfId="40114"/>
    <cellStyle name="Normal 4 2 2 2 2 2 2 9" xfId="40115"/>
    <cellStyle name="Normal 5 2 2 2 2 2 2 9" xfId="40116"/>
    <cellStyle name="Normal 7 2 2 2 2 2 2 9" xfId="40117"/>
    <cellStyle name="Normal 2 4 2 2 2 2 2 9" xfId="40118"/>
    <cellStyle name="Normal 3 4 2 2 2 2 2 9" xfId="40119"/>
    <cellStyle name="Normal 4 3 2 2 2 2 2 9" xfId="40120"/>
    <cellStyle name="Normal 5 3 2 2 2 2 2 9" xfId="40121"/>
    <cellStyle name="Normal 7 3 2 2 2 2 2 9" xfId="40122"/>
    <cellStyle name="Normal 2 6 2 2 2 2 9" xfId="40123"/>
    <cellStyle name="Normal 3 6 2 2 2 2 9" xfId="40124"/>
    <cellStyle name="Normal 4 5 2 2 2 2 9" xfId="40125"/>
    <cellStyle name="Normal 5 5 2 2 2 2 9" xfId="40126"/>
    <cellStyle name="Normal 7 5 2 2 2 2 9" xfId="40127"/>
    <cellStyle name="Normal 2 3 3 2 2 2 2 9" xfId="40128"/>
    <cellStyle name="Normal 3 3 3 2 2 2 2 9" xfId="40129"/>
    <cellStyle name="Normal 4 2 3 2 2 2 2 9" xfId="40130"/>
    <cellStyle name="Normal 5 2 3 2 2 2 2 9" xfId="40131"/>
    <cellStyle name="Normal 7 2 3 2 2 2 2 9" xfId="40132"/>
    <cellStyle name="Normal 2 4 3 2 2 2 2 9" xfId="40133"/>
    <cellStyle name="Normal 3 4 3 2 2 2 2 9" xfId="40134"/>
    <cellStyle name="Normal 4 3 3 2 2 2 2 9" xfId="40135"/>
    <cellStyle name="Normal 5 3 3 2 2 2 2 9" xfId="40136"/>
    <cellStyle name="Normal 7 3 3 2 2 2 2 9" xfId="40137"/>
    <cellStyle name="Normal 2 3 7 2 9" xfId="40138"/>
    <cellStyle name="Normal 3 10 2 9" xfId="40139"/>
    <cellStyle name="Normal 4 9 2 9" xfId="40140"/>
    <cellStyle name="Normal 5 9 2 9" xfId="40141"/>
    <cellStyle name="Millares 4 2 9" xfId="40142"/>
    <cellStyle name="Normal 7 2 7 2 9" xfId="40143"/>
    <cellStyle name="Normal 3 3 7 2 9" xfId="40144"/>
    <cellStyle name="Normal 4 2 7 2 9" xfId="40145"/>
    <cellStyle name="Normal 5 2 7 2 9" xfId="40146"/>
    <cellStyle name="Normal 2 4 5 3 2 9" xfId="40147"/>
    <cellStyle name="Normal 3 4 7 2 9" xfId="40148"/>
    <cellStyle name="Normal 4 3 7 2 9" xfId="40149"/>
    <cellStyle name="Normal 5 3 7 2 9" xfId="40150"/>
    <cellStyle name="Normal 7 3 7 2 9" xfId="40151"/>
    <cellStyle name="Normal 2 5 5 2 9" xfId="40152"/>
    <cellStyle name="Normal 3 5 5 2 9" xfId="40153"/>
    <cellStyle name="Normal 4 4 5 2 9" xfId="40154"/>
    <cellStyle name="Normal 5 4 5 2 9" xfId="40155"/>
    <cellStyle name="Normal 7 4 5 2 9" xfId="40156"/>
    <cellStyle name="Normal 2 3 2 5 2 9" xfId="40157"/>
    <cellStyle name="Normal 3 3 2 5 2 9" xfId="40158"/>
    <cellStyle name="Normal 4 2 2 5 2 9" xfId="40159"/>
    <cellStyle name="Normal 5 2 2 5 2 9" xfId="40160"/>
    <cellStyle name="Normal 7 2 2 5 2 9" xfId="40161"/>
    <cellStyle name="Normal 2 4 2 5 2 9" xfId="40162"/>
    <cellStyle name="Normal 3 4 2 5 2 9" xfId="40163"/>
    <cellStyle name="Normal 4 3 2 5 2 9" xfId="40164"/>
    <cellStyle name="Normal 5 3 2 5 2 9" xfId="40165"/>
    <cellStyle name="Normal 7 3 2 5 2 9" xfId="40166"/>
    <cellStyle name="Normal 2 6 5 2 9" xfId="40167"/>
    <cellStyle name="Normal 3 6 5 2 9" xfId="40168"/>
    <cellStyle name="Normal 4 5 5 2 9" xfId="40169"/>
    <cellStyle name="Normal 5 5 5 2 9" xfId="40170"/>
    <cellStyle name="Normal 7 5 5 2 9" xfId="40171"/>
    <cellStyle name="Normal 2 3 3 5 2 9" xfId="40172"/>
    <cellStyle name="Normal 3 3 3 5 2 9" xfId="40173"/>
    <cellStyle name="Normal 4 2 3 5 2 9" xfId="40174"/>
    <cellStyle name="Normal 5 2 3 5 2 9" xfId="40175"/>
    <cellStyle name="Normal 7 2 3 5 2 9" xfId="40176"/>
    <cellStyle name="Normal 2 4 3 5 2 9" xfId="40177"/>
    <cellStyle name="Normal 3 4 3 5 2 9" xfId="40178"/>
    <cellStyle name="Normal 4 3 3 5 2 9" xfId="40179"/>
    <cellStyle name="Normal 5 3 3 5 2 9" xfId="40180"/>
    <cellStyle name="Normal 7 3 3 5 2 9" xfId="40181"/>
    <cellStyle name="Normal 2 7 4 2 9" xfId="40182"/>
    <cellStyle name="Normal 3 7 4 2 9" xfId="40183"/>
    <cellStyle name="Normal 4 6 4 2 9" xfId="40184"/>
    <cellStyle name="Normal 5 6 4 2 9" xfId="40185"/>
    <cellStyle name="Normal 7 6 4 2 9" xfId="40186"/>
    <cellStyle name="Normal 2 3 4 4 2 9" xfId="40187"/>
    <cellStyle name="Normal 3 3 4 4 2 9" xfId="40188"/>
    <cellStyle name="Normal 4 2 4 4 2 9" xfId="40189"/>
    <cellStyle name="Normal 5 2 4 4 2 9" xfId="40190"/>
    <cellStyle name="Normal 7 2 4 4 2 9" xfId="40191"/>
    <cellStyle name="Normal 2 4 4 4 2 9" xfId="40192"/>
    <cellStyle name="Normal 3 4 4 4 2 9" xfId="40193"/>
    <cellStyle name="Normal 4 3 4 4 2 9" xfId="40194"/>
    <cellStyle name="Normal 5 3 4 4 2 9" xfId="40195"/>
    <cellStyle name="Normal 7 3 4 4 2 9" xfId="40196"/>
    <cellStyle name="Normal 2 5 2 4 2 9" xfId="40197"/>
    <cellStyle name="Normal 3 5 2 4 2 9" xfId="40198"/>
    <cellStyle name="Normal 4 4 2 4 2 9" xfId="40199"/>
    <cellStyle name="Normal 5 4 2 4 2 9" xfId="40200"/>
    <cellStyle name="Normal 7 4 2 4 2 9" xfId="40201"/>
    <cellStyle name="Normal 2 3 2 2 4 2 9" xfId="40202"/>
    <cellStyle name="Normal 3 3 2 2 4 2 9" xfId="40203"/>
    <cellStyle name="Normal 4 2 2 2 4 2 9" xfId="40204"/>
    <cellStyle name="Normal 5 2 2 2 4 2 9" xfId="40205"/>
    <cellStyle name="Normal 7 2 2 2 4 2 9" xfId="40206"/>
    <cellStyle name="Normal 2 4 2 2 4 2 9" xfId="40207"/>
    <cellStyle name="Normal 3 4 2 2 4 2 9" xfId="40208"/>
    <cellStyle name="Normal 4 3 2 2 4 2 9" xfId="40209"/>
    <cellStyle name="Normal 5 3 2 2 4 2 9" xfId="40210"/>
    <cellStyle name="Normal 7 3 2 2 4 2 9" xfId="40211"/>
    <cellStyle name="Normal 2 6 2 4 2 9" xfId="40212"/>
    <cellStyle name="Normal 3 6 2 4 2 9" xfId="40213"/>
    <cellStyle name="Normal 4 5 2 4 2 9" xfId="40214"/>
    <cellStyle name="Normal 5 5 2 4 2 9" xfId="40215"/>
    <cellStyle name="Normal 7 5 2 4 2 9" xfId="40216"/>
    <cellStyle name="Normal 2 3 3 2 4 2 9" xfId="40217"/>
    <cellStyle name="Normal 3 3 3 2 4 2 9" xfId="40218"/>
    <cellStyle name="Normal 4 2 3 2 4 2 9" xfId="40219"/>
    <cellStyle name="Normal 5 2 3 2 4 2 9" xfId="40220"/>
    <cellStyle name="Normal 7 2 3 2 4 2 9" xfId="40221"/>
    <cellStyle name="Normal 2 4 3 2 4 2 9" xfId="40222"/>
    <cellStyle name="Normal 3 4 3 2 4 2 9" xfId="40223"/>
    <cellStyle name="Normal 4 3 3 2 4 2 9" xfId="40224"/>
    <cellStyle name="Normal 5 3 3 2 4 2 9" xfId="40225"/>
    <cellStyle name="Normal 7 3 3 2 4 2 9" xfId="40226"/>
    <cellStyle name="Normal 2 8 3 2 9" xfId="40227"/>
    <cellStyle name="Normal 3 8 3 2 9" xfId="40228"/>
    <cellStyle name="Normal 4 7 3 2 9" xfId="40229"/>
    <cellStyle name="Normal 5 7 3 2 9" xfId="40230"/>
    <cellStyle name="Normal 7 7 3 2 9" xfId="40231"/>
    <cellStyle name="Normal 2 3 5 3 2 9" xfId="40232"/>
    <cellStyle name="Normal 3 3 5 3 2 9" xfId="40233"/>
    <cellStyle name="Normal 4 2 5 3 2 9" xfId="40234"/>
    <cellStyle name="Normal 5 2 5 3 2 9" xfId="40235"/>
    <cellStyle name="Normal 7 2 5 3 2 9" xfId="40236"/>
    <cellStyle name="Normal 3 4 5 3 2 9" xfId="40237"/>
    <cellStyle name="Normal 4 3 5 3 2 9" xfId="40238"/>
    <cellStyle name="Normal 5 3 5 3 2 9" xfId="40239"/>
    <cellStyle name="Normal 7 3 5 3 2 9" xfId="40240"/>
    <cellStyle name="Normal 2 5 3 3 2 9" xfId="40241"/>
    <cellStyle name="Normal 3 5 3 3 2 9" xfId="40242"/>
    <cellStyle name="Normal 4 4 3 3 2 9" xfId="40243"/>
    <cellStyle name="Normal 5 4 3 3 2 9" xfId="40244"/>
    <cellStyle name="Normal 7 4 3 3 2 9" xfId="40245"/>
    <cellStyle name="Normal 2 3 2 3 3 2 9" xfId="40246"/>
    <cellStyle name="Normal 3 3 2 3 3 2 9" xfId="40247"/>
    <cellStyle name="Normal 4 2 2 3 3 2 9" xfId="40248"/>
    <cellStyle name="Normal 5 2 2 3 3 2 9" xfId="40249"/>
    <cellStyle name="Normal 7 2 2 3 3 2 9" xfId="40250"/>
    <cellStyle name="Normal 2 4 2 3 3 2 9" xfId="40251"/>
    <cellStyle name="Normal 3 4 2 3 3 2 9" xfId="40252"/>
    <cellStyle name="Normal 4 3 2 3 3 2 9" xfId="40253"/>
    <cellStyle name="Normal 5 3 2 3 3 2 9" xfId="40254"/>
    <cellStyle name="Normal 7 3 2 3 3 2 9" xfId="40255"/>
    <cellStyle name="Normal 2 6 3 3 2 9" xfId="40256"/>
    <cellStyle name="Normal 3 6 3 3 2 9" xfId="40257"/>
    <cellStyle name="Normal 4 5 3 3 2 9" xfId="40258"/>
    <cellStyle name="Normal 5 5 3 3 2 9" xfId="40259"/>
    <cellStyle name="Normal 7 5 3 3 2 9" xfId="40260"/>
    <cellStyle name="Normal 2 3 3 3 3 2 9" xfId="40261"/>
    <cellStyle name="Normal 3 3 3 3 3 2 9" xfId="40262"/>
    <cellStyle name="Normal 4 2 3 3 3 2 9" xfId="40263"/>
    <cellStyle name="Normal 5 2 3 3 3 2 9" xfId="40264"/>
    <cellStyle name="Normal 7 2 3 3 3 2 9" xfId="40265"/>
    <cellStyle name="Normal 2 4 3 3 3 2 9" xfId="40266"/>
    <cellStyle name="Normal 3 4 3 3 3 2 9" xfId="40267"/>
    <cellStyle name="Normal 4 3 3 3 3 2 9" xfId="40268"/>
    <cellStyle name="Normal 5 3 3 3 3 2 9" xfId="40269"/>
    <cellStyle name="Normal 7 3 3 3 3 2 9" xfId="40270"/>
    <cellStyle name="Normal 2 7 2 3 2 9" xfId="40271"/>
    <cellStyle name="Normal 3 7 2 3 2 9" xfId="40272"/>
    <cellStyle name="Normal 4 6 2 3 2 9" xfId="40273"/>
    <cellStyle name="Normal 5 6 2 3 2 9" xfId="40274"/>
    <cellStyle name="Normal 7 6 2 3 2 9" xfId="40275"/>
    <cellStyle name="Normal 2 3 4 2 3 2 9" xfId="40276"/>
    <cellStyle name="Normal 3 3 4 2 3 2 9" xfId="40277"/>
    <cellStyle name="Normal 4 2 4 2 3 2 9" xfId="40278"/>
    <cellStyle name="Normal 5 2 4 2 3 2 9" xfId="40279"/>
    <cellStyle name="Normal 7 2 4 2 3 2 9" xfId="40280"/>
    <cellStyle name="Normal 2 4 4 2 3 2 9" xfId="40281"/>
    <cellStyle name="Normal 3 4 4 2 3 2 9" xfId="40282"/>
    <cellStyle name="Normal 4 3 4 2 3 2 9" xfId="40283"/>
    <cellStyle name="Normal 5 3 4 2 3 2 9" xfId="40284"/>
    <cellStyle name="Normal 7 3 4 2 3 2 9" xfId="40285"/>
    <cellStyle name="Normal 2 5 2 2 3 2 9" xfId="40286"/>
    <cellStyle name="Normal 3 5 2 2 3 2 9" xfId="40287"/>
    <cellStyle name="Normal 4 4 2 2 3 2 9" xfId="40288"/>
    <cellStyle name="Normal 5 4 2 2 3 2 9" xfId="40289"/>
    <cellStyle name="Normal 7 4 2 2 3 2 9" xfId="40290"/>
    <cellStyle name="Normal 2 3 2 2 2 3 2 9" xfId="40291"/>
    <cellStyle name="Normal 3 3 2 2 2 3 2 9" xfId="40292"/>
    <cellStyle name="Normal 4 2 2 2 2 3 2 9" xfId="40293"/>
    <cellStyle name="Normal 5 2 2 2 2 3 2 9" xfId="40294"/>
    <cellStyle name="Normal 7 2 2 2 2 3 2 9" xfId="40295"/>
    <cellStyle name="Normal 2 4 2 2 2 3 2 9" xfId="40296"/>
    <cellStyle name="Normal 3 4 2 2 2 3 2 9" xfId="40297"/>
    <cellStyle name="Normal 4 3 2 2 2 3 2 9" xfId="40298"/>
    <cellStyle name="Normal 5 3 2 2 2 3 2 9" xfId="40299"/>
    <cellStyle name="Normal 7 3 2 2 2 3 2 9" xfId="40300"/>
    <cellStyle name="Normal 2 6 2 2 3 2 9" xfId="40301"/>
    <cellStyle name="Normal 3 6 2 2 3 2 9" xfId="40302"/>
    <cellStyle name="Normal 4 5 2 2 3 2 9" xfId="40303"/>
    <cellStyle name="Normal 5 5 2 2 3 2 9" xfId="40304"/>
    <cellStyle name="Normal 7 5 2 2 3 2 9" xfId="40305"/>
    <cellStyle name="Normal 2 3 3 2 2 3 2 9" xfId="40306"/>
    <cellStyle name="Normal 3 3 3 2 2 3 2 9" xfId="40307"/>
    <cellStyle name="Normal 4 2 3 2 2 3 2 9" xfId="40308"/>
    <cellStyle name="Normal 5 2 3 2 2 3 2 9" xfId="40309"/>
    <cellStyle name="Normal 7 2 3 2 2 3 2 9" xfId="40310"/>
    <cellStyle name="Normal 2 4 3 2 2 3 2 9" xfId="40311"/>
    <cellStyle name="Normal 3 4 3 2 2 3 2 9" xfId="40312"/>
    <cellStyle name="Normal 4 3 3 2 2 3 2 9" xfId="40313"/>
    <cellStyle name="Normal 5 3 3 2 2 3 2 9" xfId="40314"/>
    <cellStyle name="Normal 7 3 3 2 2 3 2 9" xfId="40315"/>
    <cellStyle name="Normal 2 12 9" xfId="40316"/>
    <cellStyle name="Normal 3 12 9" xfId="40317"/>
    <cellStyle name="Normal 4 11 9" xfId="40318"/>
    <cellStyle name="Normal 5 11 9" xfId="40319"/>
    <cellStyle name="Normal 7 11 9" xfId="40320"/>
    <cellStyle name="Normal 2 3 9 9" xfId="40321"/>
    <cellStyle name="Normal 3 3 9 9" xfId="40322"/>
    <cellStyle name="Normal 4 2 9 9" xfId="40323"/>
    <cellStyle name="Normal 5 2 9 9" xfId="40324"/>
    <cellStyle name="Normal 7 2 9 9" xfId="40325"/>
    <cellStyle name="Normal 2 4 9 9" xfId="40326"/>
    <cellStyle name="Normal 3 4 9 9" xfId="40327"/>
    <cellStyle name="Normal 4 3 9 9" xfId="40328"/>
    <cellStyle name="Normal 5 3 9 9" xfId="40329"/>
    <cellStyle name="Normal 7 3 9 9" xfId="40330"/>
    <cellStyle name="Normal 2 5 7 9" xfId="40331"/>
    <cellStyle name="Normal 3 5 7 9" xfId="40332"/>
    <cellStyle name="Normal 4 4 7 9" xfId="40333"/>
    <cellStyle name="Normal 5 4 7 9" xfId="40334"/>
    <cellStyle name="Normal 7 4 7 9" xfId="40335"/>
    <cellStyle name="Normal 2 3 2 7 9" xfId="40336"/>
    <cellStyle name="Normal 3 3 2 7 9" xfId="40337"/>
    <cellStyle name="Normal 4 2 2 7 9" xfId="40338"/>
    <cellStyle name="Normal 5 2 2 7 9" xfId="40339"/>
    <cellStyle name="Normal 7 2 2 7 9" xfId="40340"/>
    <cellStyle name="Normal 2 4 2 7 9" xfId="40341"/>
    <cellStyle name="Normal 3 4 2 7 9" xfId="40342"/>
    <cellStyle name="Normal 4 3 2 7 9" xfId="40343"/>
    <cellStyle name="Normal 5 3 2 7 9" xfId="40344"/>
    <cellStyle name="Normal 7 3 2 7 9" xfId="40345"/>
    <cellStyle name="Normal 2 6 7 9" xfId="40346"/>
    <cellStyle name="Normal 3 6 7 9" xfId="40347"/>
    <cellStyle name="Normal 4 5 7 9" xfId="40348"/>
    <cellStyle name="Normal 5 5 7 9" xfId="40349"/>
    <cellStyle name="Normal 7 5 7 9" xfId="40350"/>
    <cellStyle name="Normal 2 3 3 7 9" xfId="40351"/>
    <cellStyle name="Normal 3 3 3 7 9" xfId="40352"/>
    <cellStyle name="Normal 4 2 3 7 9" xfId="40353"/>
    <cellStyle name="Normal 5 2 3 7 9" xfId="40354"/>
    <cellStyle name="Normal 7 2 3 7 9" xfId="40355"/>
    <cellStyle name="Normal 2 4 3 7 9" xfId="40356"/>
    <cellStyle name="Normal 3 4 3 7 9" xfId="40357"/>
    <cellStyle name="Normal 4 3 3 7 9" xfId="40358"/>
    <cellStyle name="Normal 5 3 3 7 9" xfId="40359"/>
    <cellStyle name="Normal 7 3 3 7 9" xfId="40360"/>
    <cellStyle name="Normal 2 7 6 9" xfId="40361"/>
    <cellStyle name="Normal 3 7 6 9" xfId="40362"/>
    <cellStyle name="Normal 4 6 6 9" xfId="40363"/>
    <cellStyle name="Normal 5 6 6 9" xfId="40364"/>
    <cellStyle name="Normal 7 6 6 9" xfId="40365"/>
    <cellStyle name="Normal 2 3 4 6 9" xfId="40366"/>
    <cellStyle name="Normal 3 3 4 6 9" xfId="40367"/>
    <cellStyle name="Normal 4 2 4 6 9" xfId="40368"/>
    <cellStyle name="Normal 5 2 4 6 9" xfId="40369"/>
    <cellStyle name="Normal 7 2 4 6 9" xfId="40370"/>
    <cellStyle name="Normal 2 4 4 6 9" xfId="40371"/>
    <cellStyle name="Normal 3 4 4 6 9" xfId="40372"/>
    <cellStyle name="Normal 4 3 4 6 9" xfId="40373"/>
    <cellStyle name="Normal 5 3 4 6 9" xfId="40374"/>
    <cellStyle name="Normal 7 3 4 6 9" xfId="40375"/>
    <cellStyle name="Normal 2 5 2 6 9" xfId="40376"/>
    <cellStyle name="Normal 3 5 2 6 9" xfId="40377"/>
    <cellStyle name="Normal 4 4 2 6 9" xfId="40378"/>
    <cellStyle name="Normal 5 4 2 6 9" xfId="40379"/>
    <cellStyle name="Normal 7 4 2 6 9" xfId="40380"/>
    <cellStyle name="Normal 2 3 2 2 6 9" xfId="40381"/>
    <cellStyle name="Normal 3 3 2 2 6 9" xfId="40382"/>
    <cellStyle name="Normal 4 2 2 2 6 9" xfId="40383"/>
    <cellStyle name="Normal 5 2 2 2 6 9" xfId="40384"/>
    <cellStyle name="Normal 7 2 2 2 6 9" xfId="40385"/>
    <cellStyle name="Normal 2 4 2 2 6 9" xfId="40386"/>
    <cellStyle name="Normal 3 4 2 2 6 9" xfId="40387"/>
    <cellStyle name="Normal 4 3 2 2 6 9" xfId="40388"/>
    <cellStyle name="Normal 5 3 2 2 6 9" xfId="40389"/>
    <cellStyle name="Normal 7 3 2 2 6 9" xfId="40390"/>
    <cellStyle name="Normal 2 6 2 6 9" xfId="40391"/>
    <cellStyle name="Normal 3 6 2 6 9" xfId="40392"/>
    <cellStyle name="Normal 4 5 2 6 9" xfId="40393"/>
    <cellStyle name="Normal 5 5 2 6 9" xfId="40394"/>
    <cellStyle name="Normal 7 5 2 6 9" xfId="40395"/>
    <cellStyle name="Normal 2 3 3 2 6 9" xfId="40396"/>
    <cellStyle name="Normal 3 3 3 2 6 9" xfId="40397"/>
    <cellStyle name="Normal 4 2 3 2 6 9" xfId="40398"/>
    <cellStyle name="Normal 5 2 3 2 6 9" xfId="40399"/>
    <cellStyle name="Normal 7 2 3 2 6 9" xfId="40400"/>
    <cellStyle name="Normal 2 4 3 2 6 9" xfId="40401"/>
    <cellStyle name="Normal 3 4 3 2 6 9" xfId="40402"/>
    <cellStyle name="Normal 4 3 3 2 6 9" xfId="40403"/>
    <cellStyle name="Normal 5 3 3 2 6 9" xfId="40404"/>
    <cellStyle name="Normal 7 3 3 2 6 9" xfId="40405"/>
    <cellStyle name="Normal 2 8 5 9" xfId="40406"/>
    <cellStyle name="Normal 3 8 5 9" xfId="40407"/>
    <cellStyle name="Normal 4 7 5 9" xfId="40408"/>
    <cellStyle name="Normal 5 7 5 9" xfId="40409"/>
    <cellStyle name="Normal 7 7 5 9" xfId="40410"/>
    <cellStyle name="Normal 2 3 5 5 9" xfId="40411"/>
    <cellStyle name="Normal 3 3 5 5 9" xfId="40412"/>
    <cellStyle name="Normal 4 2 5 5 9" xfId="40413"/>
    <cellStyle name="Normal 5 2 5 5 9" xfId="40414"/>
    <cellStyle name="Normal 7 2 5 5 9" xfId="40415"/>
    <cellStyle name="Normal 2 4 5 5 9" xfId="40416"/>
    <cellStyle name="Normal 3 4 5 5 9" xfId="40417"/>
    <cellStyle name="Normal 4 3 5 5 9" xfId="40418"/>
    <cellStyle name="Normal 5 3 5 5 9" xfId="40419"/>
    <cellStyle name="Normal 7 3 5 5 9" xfId="40420"/>
    <cellStyle name="Normal 2 5 3 5 9" xfId="40421"/>
    <cellStyle name="Normal 3 5 3 5 9" xfId="40422"/>
    <cellStyle name="Normal 4 4 3 5 9" xfId="40423"/>
    <cellStyle name="Normal 5 4 3 5 9" xfId="40424"/>
    <cellStyle name="Normal 7 4 3 5 9" xfId="40425"/>
    <cellStyle name="Normal 2 3 2 3 5 9" xfId="40426"/>
    <cellStyle name="Normal 3 3 2 3 5 9" xfId="40427"/>
    <cellStyle name="Normal 4 2 2 3 5 9" xfId="40428"/>
    <cellStyle name="Normal 5 2 2 3 5 9" xfId="40429"/>
    <cellStyle name="Normal 7 2 2 3 5 9" xfId="40430"/>
    <cellStyle name="Normal 2 4 2 3 5 9" xfId="40431"/>
    <cellStyle name="Normal 3 4 2 3 5 9" xfId="40432"/>
    <cellStyle name="Normal 4 3 2 3 5 9" xfId="40433"/>
    <cellStyle name="Normal 5 3 2 3 5 9" xfId="40434"/>
    <cellStyle name="Normal 7 3 2 3 5 9" xfId="40435"/>
    <cellStyle name="Normal 2 6 3 5 9" xfId="40436"/>
    <cellStyle name="Normal 3 6 3 5 9" xfId="40437"/>
    <cellStyle name="Normal 4 5 3 5 9" xfId="40438"/>
    <cellStyle name="Normal 5 5 3 5 9" xfId="40439"/>
    <cellStyle name="Normal 7 5 3 5 9" xfId="40440"/>
    <cellStyle name="Normal 2 3 3 3 5 9" xfId="40441"/>
    <cellStyle name="Normal 3 3 3 3 5 9" xfId="40442"/>
    <cellStyle name="Normal 4 2 3 3 5 9" xfId="40443"/>
    <cellStyle name="Normal 5 2 3 3 5 9" xfId="40444"/>
    <cellStyle name="Normal 7 2 3 3 5 9" xfId="40445"/>
    <cellStyle name="Normal 2 4 3 3 5 9" xfId="40446"/>
    <cellStyle name="Normal 3 4 3 3 5 9" xfId="40447"/>
    <cellStyle name="Normal 4 3 3 3 5 9" xfId="40448"/>
    <cellStyle name="Normal 5 3 3 3 5 9" xfId="40449"/>
    <cellStyle name="Normal 7 3 3 3 5 9" xfId="40450"/>
    <cellStyle name="Normal 2 7 2 5 9" xfId="40451"/>
    <cellStyle name="Normal 3 7 2 5 9" xfId="40452"/>
    <cellStyle name="Normal 4 6 2 5 9" xfId="40453"/>
    <cellStyle name="Normal 5 6 2 5 9" xfId="40454"/>
    <cellStyle name="Normal 7 6 2 5 9" xfId="40455"/>
    <cellStyle name="Normal 2 3 4 2 5 9" xfId="40456"/>
    <cellStyle name="Normal 3 3 4 2 5 9" xfId="40457"/>
    <cellStyle name="Normal 4 2 4 2 5 9" xfId="40458"/>
    <cellStyle name="Normal 5 2 4 2 5 9" xfId="40459"/>
    <cellStyle name="Normal 7 2 4 2 5 9" xfId="40460"/>
    <cellStyle name="Normal 2 4 4 2 5 9" xfId="40461"/>
    <cellStyle name="Normal 3 4 4 2 5 9" xfId="40462"/>
    <cellStyle name="Normal 4 3 4 2 5 9" xfId="40463"/>
    <cellStyle name="Normal 5 3 4 2 5 9" xfId="40464"/>
    <cellStyle name="Normal 7 3 4 2 5 9" xfId="40465"/>
    <cellStyle name="Normal 2 5 2 2 5 9" xfId="40466"/>
    <cellStyle name="Normal 3 5 2 2 5 9" xfId="40467"/>
    <cellStyle name="Normal 4 4 2 2 5 9" xfId="40468"/>
    <cellStyle name="Normal 5 4 2 2 5 9" xfId="40469"/>
    <cellStyle name="Normal 7 4 2 2 5 9" xfId="40470"/>
    <cellStyle name="Normal 2 3 2 2 2 5 9" xfId="40471"/>
    <cellStyle name="Normal 3 3 2 2 2 5 9" xfId="40472"/>
    <cellStyle name="Normal 4 2 2 2 2 5 9" xfId="40473"/>
    <cellStyle name="Normal 5 2 2 2 2 5 9" xfId="40474"/>
    <cellStyle name="Normal 7 2 2 2 2 5 9" xfId="40475"/>
    <cellStyle name="Normal 2 4 2 2 2 5 9" xfId="40476"/>
    <cellStyle name="Normal 3 4 2 2 2 5 9" xfId="40477"/>
    <cellStyle name="Normal 4 3 2 2 2 5 9" xfId="40478"/>
    <cellStyle name="Normal 5 3 2 2 2 5 9" xfId="40479"/>
    <cellStyle name="Normal 7 3 2 2 2 5 9" xfId="40480"/>
    <cellStyle name="Normal 2 6 2 2 5 9" xfId="40481"/>
    <cellStyle name="Normal 3 6 2 2 5 9" xfId="40482"/>
    <cellStyle name="Normal 4 5 2 2 5 9" xfId="40483"/>
    <cellStyle name="Normal 5 5 2 2 5 9" xfId="40484"/>
    <cellStyle name="Normal 7 5 2 2 5 9" xfId="40485"/>
    <cellStyle name="Normal 2 3 3 2 2 5 9" xfId="40486"/>
    <cellStyle name="Normal 3 3 3 2 2 5 9" xfId="40487"/>
    <cellStyle name="Normal 4 2 3 2 2 5 9" xfId="40488"/>
    <cellStyle name="Normal 5 2 3 2 2 5 9" xfId="40489"/>
    <cellStyle name="Normal 7 2 3 2 2 5 9" xfId="40490"/>
    <cellStyle name="Normal 2 4 3 2 2 5 9" xfId="40491"/>
    <cellStyle name="Normal 3 4 3 2 2 5 9" xfId="40492"/>
    <cellStyle name="Normal 4 3 3 2 2 5 9" xfId="40493"/>
    <cellStyle name="Normal 5 3 3 2 2 5 9" xfId="40494"/>
    <cellStyle name="Normal 7 3 3 2 2 5 9" xfId="40495"/>
    <cellStyle name="Normal 2 9 3 9" xfId="40496"/>
    <cellStyle name="Normal 3 9 3 9" xfId="40497"/>
    <cellStyle name="Normal 4 8 3 9" xfId="40498"/>
    <cellStyle name="Normal 5 8 3 9" xfId="40499"/>
    <cellStyle name="Normal 7 8 3 9" xfId="40500"/>
    <cellStyle name="Normal 2 3 6 3 9" xfId="40501"/>
    <cellStyle name="Normal 3 3 6 3 9" xfId="40502"/>
    <cellStyle name="Normal 4 2 6 3 9" xfId="40503"/>
    <cellStyle name="Normal 5 2 6 3 9" xfId="40504"/>
    <cellStyle name="Normal 7 2 6 3 9" xfId="40505"/>
    <cellStyle name="Normal 2 4 6 3 9" xfId="40506"/>
    <cellStyle name="Normal 3 4 6 3 9" xfId="40507"/>
    <cellStyle name="Normal 4 3 6 3 9" xfId="40508"/>
    <cellStyle name="Normal 5 3 6 3 9" xfId="40509"/>
    <cellStyle name="Normal 7 3 6 3 9" xfId="40510"/>
    <cellStyle name="Normal 2 5 4 3 9" xfId="40511"/>
    <cellStyle name="Normal 3 5 4 3 9" xfId="40512"/>
    <cellStyle name="Normal 4 4 4 3 9" xfId="40513"/>
    <cellStyle name="Normal 5 4 4 3 9" xfId="40514"/>
    <cellStyle name="Normal 7 4 4 3 9" xfId="40515"/>
    <cellStyle name="Normal 2 3 2 4 3 9" xfId="40516"/>
    <cellStyle name="Normal 3 3 2 4 3 9" xfId="40517"/>
    <cellStyle name="Normal 4 2 2 4 3 9" xfId="40518"/>
    <cellStyle name="Normal 5 2 2 4 3 9" xfId="40519"/>
    <cellStyle name="Normal 7 2 2 4 3 9" xfId="40520"/>
    <cellStyle name="Normal 2 4 2 4 3 9" xfId="40521"/>
    <cellStyle name="Normal 3 4 2 4 3 9" xfId="40522"/>
    <cellStyle name="Normal 4 3 2 4 3 9" xfId="40523"/>
    <cellStyle name="Normal 5 3 2 4 3 9" xfId="40524"/>
    <cellStyle name="Normal 7 3 2 4 3 9" xfId="40525"/>
    <cellStyle name="Normal 2 6 4 3 9" xfId="40526"/>
    <cellStyle name="Normal 3 6 4 3 9" xfId="40527"/>
    <cellStyle name="Normal 4 5 4 3 9" xfId="40528"/>
    <cellStyle name="Normal 5 5 4 3 9" xfId="40529"/>
    <cellStyle name="Normal 7 5 4 3 9" xfId="40530"/>
    <cellStyle name="Normal 2 3 3 4 3 9" xfId="40531"/>
    <cellStyle name="Normal 3 3 3 4 3 9" xfId="40532"/>
    <cellStyle name="Normal 4 2 3 4 3 9" xfId="40533"/>
    <cellStyle name="Normal 5 2 3 4 3 9" xfId="40534"/>
    <cellStyle name="Normal 7 2 3 4 3 9" xfId="40535"/>
    <cellStyle name="Normal 2 4 3 4 3 9" xfId="40536"/>
    <cellStyle name="Normal 3 4 3 4 3 9" xfId="40537"/>
    <cellStyle name="Normal 4 3 3 4 3 9" xfId="40538"/>
    <cellStyle name="Normal 5 3 3 4 3 9" xfId="40539"/>
    <cellStyle name="Normal 7 3 3 4 3 9" xfId="40540"/>
    <cellStyle name="Normal 2 7 3 3 9" xfId="40541"/>
    <cellStyle name="Normal 3 7 3 3 9" xfId="40542"/>
    <cellStyle name="Normal 4 6 3 3 9" xfId="40543"/>
    <cellStyle name="Normal 5 6 3 3 9" xfId="40544"/>
    <cellStyle name="Normal 7 6 3 3 9" xfId="40545"/>
    <cellStyle name="Normal 2 3 4 3 3 9" xfId="40546"/>
    <cellStyle name="Normal 3 3 4 3 3 9" xfId="40547"/>
    <cellStyle name="Normal 4 2 4 3 3 9" xfId="40548"/>
    <cellStyle name="Normal 5 2 4 3 3 9" xfId="40549"/>
    <cellStyle name="Normal 7 2 4 3 3 9" xfId="40550"/>
    <cellStyle name="Normal 2 4 4 3 3 9" xfId="40551"/>
    <cellStyle name="Normal 3 4 4 3 3 9" xfId="40552"/>
    <cellStyle name="Normal 4 3 4 3 3 9" xfId="40553"/>
    <cellStyle name="Normal 5 3 4 3 3 9" xfId="40554"/>
    <cellStyle name="Normal 7 3 4 3 3 9" xfId="40555"/>
    <cellStyle name="Normal 2 5 2 3 3 9" xfId="40556"/>
    <cellStyle name="Normal 3 5 2 3 3 9" xfId="40557"/>
    <cellStyle name="Normal 4 4 2 3 3 9" xfId="40558"/>
    <cellStyle name="Normal 5 4 2 3 3 9" xfId="40559"/>
    <cellStyle name="Normal 7 4 2 3 3 9" xfId="40560"/>
    <cellStyle name="Normal 2 3 2 2 3 3 9" xfId="40561"/>
    <cellStyle name="Normal 3 3 2 2 3 3 9" xfId="40562"/>
    <cellStyle name="Normal 4 2 2 2 3 3 9" xfId="40563"/>
    <cellStyle name="Normal 5 2 2 2 3 3 9" xfId="40564"/>
    <cellStyle name="Normal 7 2 2 2 3 3 9" xfId="40565"/>
    <cellStyle name="Normal 2 4 2 2 3 3 9" xfId="40566"/>
    <cellStyle name="Normal 3 4 2 2 3 3 9" xfId="40567"/>
    <cellStyle name="Normal 4 3 2 2 3 3 9" xfId="40568"/>
    <cellStyle name="Normal 5 3 2 2 3 3 9" xfId="40569"/>
    <cellStyle name="Normal 7 3 2 2 3 3 9" xfId="40570"/>
    <cellStyle name="Normal 2 6 2 3 3 9" xfId="40571"/>
    <cellStyle name="Normal 3 6 2 3 3 9" xfId="40572"/>
    <cellStyle name="Normal 4 5 2 3 3 9" xfId="40573"/>
    <cellStyle name="Normal 5 5 2 3 3 9" xfId="40574"/>
    <cellStyle name="Normal 7 5 2 3 3 9" xfId="40575"/>
    <cellStyle name="Normal 2 3 3 2 3 3 9" xfId="40576"/>
    <cellStyle name="Normal 3 3 3 2 3 3 9" xfId="40577"/>
    <cellStyle name="Normal 4 2 3 2 3 3 9" xfId="40578"/>
    <cellStyle name="Normal 5 2 3 2 3 3 9" xfId="40579"/>
    <cellStyle name="Normal 7 2 3 2 3 3 9" xfId="40580"/>
    <cellStyle name="Normal 2 4 3 2 3 3 9" xfId="40581"/>
    <cellStyle name="Normal 3 4 3 2 3 3 9" xfId="40582"/>
    <cellStyle name="Normal 4 3 3 2 3 3 9" xfId="40583"/>
    <cellStyle name="Normal 5 3 3 2 3 3 9" xfId="40584"/>
    <cellStyle name="Normal 7 3 3 2 3 3 9" xfId="40585"/>
    <cellStyle name="Normal 2 8 2 3 9" xfId="40586"/>
    <cellStyle name="Normal 3 8 2 3 9" xfId="40587"/>
    <cellStyle name="Normal 4 7 2 3 9" xfId="40588"/>
    <cellStyle name="Normal 5 7 2 3 9" xfId="40589"/>
    <cellStyle name="Normal 7 7 2 3 9" xfId="40590"/>
    <cellStyle name="Normal 2 3 5 2 3 9" xfId="40591"/>
    <cellStyle name="Normal 3 3 5 2 3 9" xfId="40592"/>
    <cellStyle name="Normal 4 2 5 2 3 9" xfId="40593"/>
    <cellStyle name="Normal 5 2 5 2 3 9" xfId="40594"/>
    <cellStyle name="Normal 7 2 5 2 3 9" xfId="40595"/>
    <cellStyle name="Normal 2 4 5 2 3 9" xfId="40596"/>
    <cellStyle name="Normal 3 4 5 2 3 9" xfId="40597"/>
    <cellStyle name="Normal 4 3 5 2 3 9" xfId="40598"/>
    <cellStyle name="Normal 5 3 5 2 3 9" xfId="40599"/>
    <cellStyle name="Normal 7 3 5 2 3 9" xfId="40600"/>
    <cellStyle name="Normal 2 5 3 2 3 9" xfId="40601"/>
    <cellStyle name="Normal 3 5 3 2 3 9" xfId="40602"/>
    <cellStyle name="Normal 4 4 3 2 3 9" xfId="40603"/>
    <cellStyle name="Normal 5 4 3 2 3 9" xfId="40604"/>
    <cellStyle name="Normal 7 4 3 2 3 9" xfId="40605"/>
    <cellStyle name="Normal 2 3 2 3 2 3 9" xfId="40606"/>
    <cellStyle name="Normal 3 3 2 3 2 3 9" xfId="40607"/>
    <cellStyle name="Normal 4 2 2 3 2 3 9" xfId="40608"/>
    <cellStyle name="Normal 5 2 2 3 2 3 9" xfId="40609"/>
    <cellStyle name="Normal 7 2 2 3 2 3 9" xfId="40610"/>
    <cellStyle name="Normal 2 4 2 3 2 3 9" xfId="40611"/>
    <cellStyle name="Normal 3 4 2 3 2 3 9" xfId="40612"/>
    <cellStyle name="Normal 4 3 2 3 2 3 9" xfId="40613"/>
    <cellStyle name="Normal 5 3 2 3 2 3 9" xfId="40614"/>
    <cellStyle name="Normal 7 3 2 3 2 3 9" xfId="40615"/>
    <cellStyle name="Normal 2 6 3 2 3 9" xfId="40616"/>
    <cellStyle name="Normal 3 6 3 2 3 9" xfId="40617"/>
    <cellStyle name="Normal 4 5 3 2 3 9" xfId="40618"/>
    <cellStyle name="Normal 5 5 3 2 3 9" xfId="40619"/>
    <cellStyle name="Normal 7 5 3 2 3 9" xfId="40620"/>
    <cellStyle name="Normal 2 3 3 3 2 3 9" xfId="40621"/>
    <cellStyle name="Normal 3 3 3 3 2 3 9" xfId="40622"/>
    <cellStyle name="Normal 4 2 3 3 2 3 9" xfId="40623"/>
    <cellStyle name="Normal 5 2 3 3 2 3 9" xfId="40624"/>
    <cellStyle name="Normal 7 2 3 3 2 3 9" xfId="40625"/>
    <cellStyle name="Normal 2 4 3 3 2 3 9" xfId="40626"/>
    <cellStyle name="Normal 3 4 3 3 2 3 9" xfId="40627"/>
    <cellStyle name="Normal 4 3 3 3 2 3 9" xfId="40628"/>
    <cellStyle name="Normal 5 3 3 3 2 3 9" xfId="40629"/>
    <cellStyle name="Normal 7 3 3 3 2 3 9" xfId="40630"/>
    <cellStyle name="Normal 2 7 2 2 3 9" xfId="40631"/>
    <cellStyle name="Normal 3 7 2 2 3 9" xfId="40632"/>
    <cellStyle name="Normal 4 6 2 2 3 9" xfId="40633"/>
    <cellStyle name="Normal 5 6 2 2 3 9" xfId="40634"/>
    <cellStyle name="Normal 7 6 2 2 3 9" xfId="40635"/>
    <cellStyle name="Normal 2 3 4 2 2 3 9" xfId="40636"/>
    <cellStyle name="Normal 3 3 4 2 2 3 9" xfId="40637"/>
    <cellStyle name="Normal 4 2 4 2 2 3 9" xfId="40638"/>
    <cellStyle name="Normal 5 2 4 2 2 3 9" xfId="40639"/>
    <cellStyle name="Normal 7 2 4 2 2 3 9" xfId="40640"/>
    <cellStyle name="Normal 2 4 4 2 2 3 9" xfId="40641"/>
    <cellStyle name="Normal 3 4 4 2 2 3 9" xfId="40642"/>
    <cellStyle name="Normal 4 3 4 2 2 3 9" xfId="40643"/>
    <cellStyle name="Normal 5 3 4 2 2 3 9" xfId="40644"/>
    <cellStyle name="Normal 7 3 4 2 2 3 9" xfId="40645"/>
    <cellStyle name="Normal 2 5 2 2 2 3 9" xfId="40646"/>
    <cellStyle name="Normal 3 5 2 2 2 3 9" xfId="40647"/>
    <cellStyle name="Normal 4 4 2 2 2 3 9" xfId="40648"/>
    <cellStyle name="Normal 5 4 2 2 2 3 9" xfId="40649"/>
    <cellStyle name="Normal 7 4 2 2 2 3 9" xfId="40650"/>
    <cellStyle name="Normal 2 3 2 2 2 2 3 9" xfId="40651"/>
    <cellStyle name="Normal 3 3 2 2 2 2 3 9" xfId="40652"/>
    <cellStyle name="Normal 4 2 2 2 2 2 3 9" xfId="40653"/>
    <cellStyle name="Normal 5 2 2 2 2 2 3 9" xfId="40654"/>
    <cellStyle name="Normal 7 2 2 2 2 2 3 9" xfId="40655"/>
    <cellStyle name="Normal 2 4 2 2 2 2 3 9" xfId="40656"/>
    <cellStyle name="Normal 3 4 2 2 2 2 3 9" xfId="40657"/>
    <cellStyle name="Normal 4 3 2 2 2 2 3 9" xfId="40658"/>
    <cellStyle name="Normal 5 3 2 2 2 2 3 9" xfId="40659"/>
    <cellStyle name="Normal 7 3 2 2 2 2 3 9" xfId="40660"/>
    <cellStyle name="Normal 2 6 2 2 2 3 9" xfId="40661"/>
    <cellStyle name="Normal 3 6 2 2 2 3 9" xfId="40662"/>
    <cellStyle name="Normal 4 5 2 2 2 3 9" xfId="40663"/>
    <cellStyle name="Normal 5 5 2 2 2 3 9" xfId="40664"/>
    <cellStyle name="Normal 7 5 2 2 2 3 9" xfId="40665"/>
    <cellStyle name="Normal 2 3 3 2 2 2 3 9" xfId="40666"/>
    <cellStyle name="Normal 3 3 3 2 2 2 3 9" xfId="40667"/>
    <cellStyle name="Normal 4 2 3 2 2 2 3 9" xfId="40668"/>
    <cellStyle name="Normal 5 2 3 2 2 2 3 9" xfId="40669"/>
    <cellStyle name="Normal 7 2 3 2 2 2 3 9" xfId="40670"/>
    <cellStyle name="Normal 2 4 3 2 2 2 3 9" xfId="40671"/>
    <cellStyle name="Normal 3 4 3 2 2 2 3 9" xfId="40672"/>
    <cellStyle name="Normal 4 3 3 2 2 2 3 9" xfId="40673"/>
    <cellStyle name="Normal 5 3 3 2 2 2 3 9" xfId="40674"/>
    <cellStyle name="Normal 7 3 3 2 2 2 3 9" xfId="40675"/>
    <cellStyle name="Normal 28 3 9" xfId="40676"/>
    <cellStyle name="Normal 2 3 7 3 9" xfId="40677"/>
    <cellStyle name="Normal 3 10 3 9" xfId="40678"/>
    <cellStyle name="Normal 4 9 3 9" xfId="40679"/>
    <cellStyle name="Normal 5 9 3 9" xfId="40680"/>
    <cellStyle name="Millares 4 3 9" xfId="40681"/>
    <cellStyle name="Normal 7 2 7 3 9" xfId="40682"/>
    <cellStyle name="Normal 3 3 7 3 9" xfId="40683"/>
    <cellStyle name="Normal 4 2 7 3 9" xfId="40684"/>
    <cellStyle name="Normal 5 2 7 3 9" xfId="40685"/>
    <cellStyle name="Normal 2 4 5 3 3 9" xfId="40686"/>
    <cellStyle name="Normal 3 4 7 3 9" xfId="40687"/>
    <cellStyle name="Normal 4 3 7 3 9" xfId="40688"/>
    <cellStyle name="Normal 5 3 7 3 9" xfId="40689"/>
    <cellStyle name="Normal 7 3 7 3 9" xfId="40690"/>
    <cellStyle name="Normal 2 5 5 3 9" xfId="40691"/>
    <cellStyle name="Normal 3 5 5 3 9" xfId="40692"/>
    <cellStyle name="Normal 4 4 5 3 9" xfId="40693"/>
    <cellStyle name="Normal 5 4 5 3 9" xfId="40694"/>
    <cellStyle name="Normal 7 4 5 3 9" xfId="40695"/>
    <cellStyle name="Normal 2 3 2 5 3 9" xfId="40696"/>
    <cellStyle name="Normal 3 3 2 5 3 9" xfId="40697"/>
    <cellStyle name="Normal 4 2 2 5 3 9" xfId="40698"/>
    <cellStyle name="Normal 5 2 2 5 3 9" xfId="40699"/>
    <cellStyle name="Normal 7 2 2 5 3 9" xfId="40700"/>
    <cellStyle name="Normal 2 4 2 5 3 9" xfId="40701"/>
    <cellStyle name="Normal 3 4 2 5 3 9" xfId="40702"/>
    <cellStyle name="Normal 4 3 2 5 3 9" xfId="40703"/>
    <cellStyle name="Normal 5 3 2 5 3 9" xfId="40704"/>
    <cellStyle name="Normal 7 3 2 5 3 9" xfId="40705"/>
    <cellStyle name="Normal 2 6 5 3 9" xfId="40706"/>
    <cellStyle name="Normal 3 6 5 3 9" xfId="40707"/>
    <cellStyle name="Normal 4 5 5 3 9" xfId="40708"/>
    <cellStyle name="Normal 5 5 5 3 9" xfId="40709"/>
    <cellStyle name="Normal 7 5 5 3 9" xfId="40710"/>
    <cellStyle name="Normal 2 3 3 5 3 9" xfId="40711"/>
    <cellStyle name="Normal 3 3 3 5 3 9" xfId="40712"/>
    <cellStyle name="Normal 4 2 3 5 3 9" xfId="40713"/>
    <cellStyle name="Normal 5 2 3 5 3 9" xfId="40714"/>
    <cellStyle name="Normal 7 2 3 5 3 9" xfId="40715"/>
    <cellStyle name="Normal 2 4 3 5 3 9" xfId="40716"/>
    <cellStyle name="Normal 3 4 3 5 3 9" xfId="40717"/>
    <cellStyle name="Normal 4 3 3 5 3 9" xfId="40718"/>
    <cellStyle name="Normal 5 3 3 5 3 9" xfId="40719"/>
    <cellStyle name="Normal 7 3 3 5 3 9" xfId="40720"/>
    <cellStyle name="Normal 2 7 4 3 9" xfId="40721"/>
    <cellStyle name="Normal 3 7 4 3 9" xfId="40722"/>
    <cellStyle name="Normal 4 6 4 3 9" xfId="40723"/>
    <cellStyle name="Normal 5 6 4 3 9" xfId="40724"/>
    <cellStyle name="Normal 7 6 4 3 9" xfId="40725"/>
    <cellStyle name="Normal 2 3 4 4 3 9" xfId="40726"/>
    <cellStyle name="Normal 3 3 4 4 3 9" xfId="40727"/>
    <cellStyle name="Normal 4 2 4 4 3 9" xfId="40728"/>
    <cellStyle name="Normal 5 2 4 4 3 9" xfId="40729"/>
    <cellStyle name="Normal 7 2 4 4 3 9" xfId="40730"/>
    <cellStyle name="Normal 2 4 4 4 3 9" xfId="40731"/>
    <cellStyle name="Normal 3 4 4 4 3 9" xfId="40732"/>
    <cellStyle name="Normal 4 3 4 4 3 9" xfId="40733"/>
    <cellStyle name="Normal 5 3 4 4 3 9" xfId="40734"/>
    <cellStyle name="Normal 7 3 4 4 3 9" xfId="40735"/>
    <cellStyle name="Normal 2 5 2 4 3 9" xfId="40736"/>
    <cellStyle name="Normal 3 5 2 4 3 9" xfId="40737"/>
    <cellStyle name="Normal 4 4 2 4 3 9" xfId="40738"/>
    <cellStyle name="Normal 5 4 2 4 3 9" xfId="40739"/>
    <cellStyle name="Normal 7 4 2 4 3 9" xfId="40740"/>
    <cellStyle name="Normal 2 3 2 2 4 3 9" xfId="40741"/>
    <cellStyle name="Normal 3 3 2 2 4 3 9" xfId="40742"/>
    <cellStyle name="Normal 4 2 2 2 4 3 9" xfId="40743"/>
    <cellStyle name="Normal 5 2 2 2 4 3 9" xfId="40744"/>
    <cellStyle name="Normal 7 2 2 2 4 3 9" xfId="40745"/>
    <cellStyle name="Normal 2 4 2 2 4 3 9" xfId="40746"/>
    <cellStyle name="Normal 3 4 2 2 4 3 9" xfId="40747"/>
    <cellStyle name="Normal 4 3 2 2 4 3 9" xfId="40748"/>
    <cellStyle name="Normal 5 3 2 2 4 3 9" xfId="40749"/>
    <cellStyle name="Normal 7 3 2 2 4 3 9" xfId="40750"/>
    <cellStyle name="Normal 2 6 2 4 3 9" xfId="40751"/>
    <cellStyle name="Normal 3 6 2 4 3 9" xfId="40752"/>
    <cellStyle name="Normal 4 5 2 4 3 9" xfId="40753"/>
    <cellStyle name="Normal 5 5 2 4 3 9" xfId="40754"/>
    <cellStyle name="Normal 7 5 2 4 3 9" xfId="40755"/>
    <cellStyle name="Normal 2 3 3 2 4 3 9" xfId="40756"/>
    <cellStyle name="Normal 3 3 3 2 4 3 9" xfId="40757"/>
    <cellStyle name="Normal 4 2 3 2 4 3 9" xfId="40758"/>
    <cellStyle name="Normal 5 2 3 2 4 3 9" xfId="40759"/>
    <cellStyle name="Normal 7 2 3 2 4 3 9" xfId="40760"/>
    <cellStyle name="Normal 2 4 3 2 4 3 9" xfId="40761"/>
    <cellStyle name="Normal 3 4 3 2 4 3 9" xfId="40762"/>
    <cellStyle name="Normal 4 3 3 2 4 3 9" xfId="40763"/>
    <cellStyle name="Normal 5 3 3 2 4 3 9" xfId="40764"/>
    <cellStyle name="Normal 7 3 3 2 4 3 9" xfId="40765"/>
    <cellStyle name="Normal 2 8 3 3 9" xfId="40766"/>
    <cellStyle name="Normal 3 8 3 3 9" xfId="40767"/>
    <cellStyle name="Normal 4 7 3 3 9" xfId="40768"/>
    <cellStyle name="Normal 5 7 3 3 9" xfId="40769"/>
    <cellStyle name="Normal 7 7 3 3 9" xfId="40770"/>
    <cellStyle name="Normal 2 3 5 3 3 9" xfId="40771"/>
    <cellStyle name="Normal 3 3 5 3 3 9" xfId="40772"/>
    <cellStyle name="Normal 4 2 5 3 3 9" xfId="40773"/>
    <cellStyle name="Normal 5 2 5 3 3 9" xfId="40774"/>
    <cellStyle name="Normal 7 2 5 3 3 9" xfId="40775"/>
    <cellStyle name="Normal 3 4 5 3 3 9" xfId="40776"/>
    <cellStyle name="Normal 4 3 5 3 3 9" xfId="40777"/>
    <cellStyle name="Normal 5 3 5 3 3 9" xfId="40778"/>
    <cellStyle name="Normal 7 3 5 3 3 9" xfId="40779"/>
    <cellStyle name="Normal 2 5 3 3 3 9" xfId="40780"/>
    <cellStyle name="Normal 3 5 3 3 3 9" xfId="40781"/>
    <cellStyle name="Normal 4 4 3 3 3 9" xfId="40782"/>
    <cellStyle name="Normal 5 4 3 3 3 9" xfId="40783"/>
    <cellStyle name="Normal 7 4 3 3 3 9" xfId="40784"/>
    <cellStyle name="Normal 2 3 2 3 3 3 9" xfId="40785"/>
    <cellStyle name="Normal 3 3 2 3 3 3 9" xfId="40786"/>
    <cellStyle name="Normal 4 2 2 3 3 3 9" xfId="40787"/>
    <cellStyle name="Normal 5 2 2 3 3 3 9" xfId="40788"/>
    <cellStyle name="Normal 7 2 2 3 3 3 9" xfId="40789"/>
    <cellStyle name="Normal 2 4 2 3 3 3 9" xfId="40790"/>
    <cellStyle name="Normal 3 4 2 3 3 3 9" xfId="40791"/>
    <cellStyle name="Normal 4 3 2 3 3 3 9" xfId="40792"/>
    <cellStyle name="Normal 5 3 2 3 3 3 9" xfId="40793"/>
    <cellStyle name="Normal 7 3 2 3 3 3 9" xfId="40794"/>
    <cellStyle name="Normal 2 6 3 3 3 9" xfId="40795"/>
    <cellStyle name="Normal 3 6 3 3 3 9" xfId="40796"/>
    <cellStyle name="Normal 4 5 3 3 3 9" xfId="40797"/>
    <cellStyle name="Normal 5 5 3 3 3 9" xfId="40798"/>
    <cellStyle name="Normal 7 5 3 3 3 9" xfId="40799"/>
    <cellStyle name="Normal 2 3 3 3 3 3 9" xfId="40800"/>
    <cellStyle name="Normal 3 3 3 3 3 3 9" xfId="40801"/>
    <cellStyle name="Normal 4 2 3 3 3 3 9" xfId="40802"/>
    <cellStyle name="Normal 5 2 3 3 3 3 9" xfId="40803"/>
    <cellStyle name="Normal 7 2 3 3 3 3 9" xfId="40804"/>
    <cellStyle name="Normal 2 4 3 3 3 3 9" xfId="40805"/>
    <cellStyle name="Normal 3 4 3 3 3 3 9" xfId="40806"/>
    <cellStyle name="Normal 4 3 3 3 3 3 9" xfId="40807"/>
    <cellStyle name="Normal 5 3 3 3 3 3 9" xfId="40808"/>
    <cellStyle name="Normal 7 3 3 3 3 3 9" xfId="40809"/>
    <cellStyle name="Normal 2 7 2 3 3 9" xfId="40810"/>
    <cellStyle name="Normal 3 7 2 3 3 9" xfId="40811"/>
    <cellStyle name="Normal 4 6 2 3 3 9" xfId="40812"/>
    <cellStyle name="Normal 5 6 2 3 3 9" xfId="40813"/>
    <cellStyle name="Normal 7 6 2 3 3 9" xfId="40814"/>
    <cellStyle name="Normal 2 3 4 2 3 3 9" xfId="40815"/>
    <cellStyle name="Normal 3 3 4 2 3 3 9" xfId="40816"/>
    <cellStyle name="Normal 4 2 4 2 3 3 9" xfId="40817"/>
    <cellStyle name="Normal 5 2 4 2 3 3 9" xfId="40818"/>
    <cellStyle name="Normal 7 2 4 2 3 3 9" xfId="40819"/>
    <cellStyle name="Normal 2 4 4 2 3 3 9" xfId="40820"/>
    <cellStyle name="Normal 3 4 4 2 3 3 9" xfId="40821"/>
    <cellStyle name="Normal 4 3 4 2 3 3 9" xfId="40822"/>
    <cellStyle name="Normal 5 3 4 2 3 3 9" xfId="40823"/>
    <cellStyle name="Normal 7 3 4 2 3 3 9" xfId="40824"/>
    <cellStyle name="Normal 2 5 2 2 3 3 9" xfId="40825"/>
    <cellStyle name="Normal 3 5 2 2 3 3 9" xfId="40826"/>
    <cellStyle name="Normal 4 4 2 2 3 3 9" xfId="40827"/>
    <cellStyle name="Normal 5 4 2 2 3 3 9" xfId="40828"/>
    <cellStyle name="Normal 7 4 2 2 3 3 9" xfId="40829"/>
    <cellStyle name="Normal 2 3 2 2 2 3 3 9" xfId="40830"/>
    <cellStyle name="Normal 3 3 2 2 2 3 3 9" xfId="40831"/>
    <cellStyle name="Normal 4 2 2 2 2 3 3 9" xfId="40832"/>
    <cellStyle name="Normal 5 2 2 2 2 3 3 9" xfId="40833"/>
    <cellStyle name="Normal 7 2 2 2 2 3 3 9" xfId="40834"/>
    <cellStyle name="Normal 2 4 2 2 2 3 3 9" xfId="40835"/>
    <cellStyle name="Normal 3 4 2 2 2 3 3 9" xfId="40836"/>
    <cellStyle name="Normal 4 3 2 2 2 3 3 9" xfId="40837"/>
    <cellStyle name="Normal 5 3 2 2 2 3 3 9" xfId="40838"/>
    <cellStyle name="Normal 7 3 2 2 2 3 3 9" xfId="40839"/>
    <cellStyle name="Normal 2 6 2 2 3 3 9" xfId="40840"/>
    <cellStyle name="Normal 3 6 2 2 3 3 9" xfId="40841"/>
    <cellStyle name="Normal 4 5 2 2 3 3 9" xfId="40842"/>
    <cellStyle name="Normal 5 5 2 2 3 3 9" xfId="40843"/>
    <cellStyle name="Normal 7 5 2 2 3 3 9" xfId="40844"/>
    <cellStyle name="Normal 2 3 3 2 2 3 3 9" xfId="40845"/>
    <cellStyle name="Normal 3 3 3 2 2 3 3 9" xfId="40846"/>
    <cellStyle name="Normal 4 2 3 2 2 3 3 9" xfId="40847"/>
    <cellStyle name="Normal 5 2 3 2 2 3 3 9" xfId="40848"/>
    <cellStyle name="Normal 7 2 3 2 2 3 3 9" xfId="40849"/>
    <cellStyle name="Normal 2 4 3 2 2 3 3 9" xfId="40850"/>
    <cellStyle name="Normal 3 4 3 2 2 3 3 9" xfId="40851"/>
    <cellStyle name="Normal 4 3 3 2 2 3 3 9" xfId="40852"/>
    <cellStyle name="Normal 5 3 3 2 2 3 3 9" xfId="40853"/>
    <cellStyle name="Normal 7 3 3 2 2 3 3 9" xfId="40854"/>
    <cellStyle name="Normal 2 13 8" xfId="40855"/>
    <cellStyle name="Normal 3 13 8" xfId="40856"/>
    <cellStyle name="Normal 4 12 8" xfId="40857"/>
    <cellStyle name="Normal 5 12 8" xfId="40858"/>
    <cellStyle name="Normal 7 12 8" xfId="40859"/>
    <cellStyle name="Normal 2 3 10 8" xfId="40860"/>
    <cellStyle name="Normal 3 3 10 8" xfId="40861"/>
    <cellStyle name="Normal 4 2 10 8" xfId="40862"/>
    <cellStyle name="Normal 5 2 10 8" xfId="40863"/>
    <cellStyle name="Normal 7 2 10 8" xfId="40864"/>
    <cellStyle name="Normal 2 4 10 8" xfId="40865"/>
    <cellStyle name="Normal 3 4 10 8" xfId="40866"/>
    <cellStyle name="Normal 4 3 10 8" xfId="40867"/>
    <cellStyle name="Normal 5 3 10 8" xfId="40868"/>
    <cellStyle name="Normal 7 3 10 8" xfId="40869"/>
    <cellStyle name="Normal 2 5 8 8" xfId="40870"/>
    <cellStyle name="Normal 3 5 8 8" xfId="40871"/>
    <cellStyle name="Normal 4 4 8 8" xfId="40872"/>
    <cellStyle name="Normal 5 4 8 8" xfId="40873"/>
    <cellStyle name="Normal 7 4 8 8" xfId="40874"/>
    <cellStyle name="Normal 2 3 2 8 8" xfId="40875"/>
    <cellStyle name="Normal 3 3 2 8 8" xfId="40876"/>
    <cellStyle name="Normal 4 2 2 8 8" xfId="40877"/>
    <cellStyle name="Normal 5 2 2 8 8" xfId="40878"/>
    <cellStyle name="Normal 7 2 2 8 8" xfId="40879"/>
    <cellStyle name="Normal 2 4 2 8 8" xfId="40880"/>
    <cellStyle name="Normal 3 4 2 8 8" xfId="40881"/>
    <cellStyle name="Normal 4 3 2 8 8" xfId="40882"/>
    <cellStyle name="Normal 5 3 2 8 8" xfId="40883"/>
    <cellStyle name="Normal 7 3 2 8 8" xfId="40884"/>
    <cellStyle name="Normal 2 6 8 8" xfId="40885"/>
    <cellStyle name="Normal 3 6 8 8" xfId="40886"/>
    <cellStyle name="Normal 4 5 8 8" xfId="40887"/>
    <cellStyle name="Normal 5 5 8 8" xfId="40888"/>
    <cellStyle name="Normal 7 5 8 8" xfId="40889"/>
    <cellStyle name="Normal 2 3 3 8 8" xfId="40890"/>
    <cellStyle name="Normal 3 3 3 8 8" xfId="40891"/>
    <cellStyle name="Normal 4 2 3 8 8" xfId="40892"/>
    <cellStyle name="Normal 5 2 3 8 8" xfId="40893"/>
    <cellStyle name="Normal 7 2 3 8 8" xfId="40894"/>
    <cellStyle name="Normal 2 4 3 8 8" xfId="40895"/>
    <cellStyle name="Normal 3 4 3 8 8" xfId="40896"/>
    <cellStyle name="Normal 4 3 3 8 8" xfId="40897"/>
    <cellStyle name="Normal 5 3 3 8 8" xfId="40898"/>
    <cellStyle name="Normal 7 3 3 8 8" xfId="40899"/>
    <cellStyle name="Normal 2 7 7 8" xfId="40900"/>
    <cellStyle name="Normal 3 7 7 8" xfId="40901"/>
    <cellStyle name="Normal 4 6 7 8" xfId="40902"/>
    <cellStyle name="Normal 5 6 7 8" xfId="40903"/>
    <cellStyle name="Normal 7 6 7 8" xfId="40904"/>
    <cellStyle name="Normal 2 3 4 7 8" xfId="40905"/>
    <cellStyle name="Normal 3 3 4 7 8" xfId="40906"/>
    <cellStyle name="Normal 4 2 4 7 8" xfId="40907"/>
    <cellStyle name="Normal 5 2 4 7 8" xfId="40908"/>
    <cellStyle name="Normal 7 2 4 7 8" xfId="40909"/>
    <cellStyle name="Normal 2 4 4 7 8" xfId="40910"/>
    <cellStyle name="Normal 3 4 4 7 8" xfId="40911"/>
    <cellStyle name="Normal 4 3 4 7 8" xfId="40912"/>
    <cellStyle name="Normal 5 3 4 7 8" xfId="40913"/>
    <cellStyle name="Normal 7 3 4 7 8" xfId="40914"/>
    <cellStyle name="Normal 2 5 2 7 8" xfId="40915"/>
    <cellStyle name="Normal 3 5 2 7 8" xfId="40916"/>
    <cellStyle name="Normal 4 4 2 7 8" xfId="40917"/>
    <cellStyle name="Normal 5 4 2 7 8" xfId="40918"/>
    <cellStyle name="Normal 7 4 2 7 8" xfId="40919"/>
    <cellStyle name="Normal 2 3 2 2 7 8" xfId="40920"/>
    <cellStyle name="Normal 3 3 2 2 7 8" xfId="40921"/>
    <cellStyle name="Normal 4 2 2 2 7 8" xfId="40922"/>
    <cellStyle name="Normal 5 2 2 2 7 8" xfId="40923"/>
    <cellStyle name="Normal 7 2 2 2 7 8" xfId="40924"/>
    <cellStyle name="Normal 2 4 2 2 7 8" xfId="40925"/>
    <cellStyle name="Normal 3 4 2 2 7 8" xfId="40926"/>
    <cellStyle name="Normal 4 3 2 2 7 8" xfId="40927"/>
    <cellStyle name="Normal 5 3 2 2 7 8" xfId="40928"/>
    <cellStyle name="Normal 7 3 2 2 7 8" xfId="40929"/>
    <cellStyle name="Normal 2 6 2 7 8" xfId="40930"/>
    <cellStyle name="Normal 3 6 2 7 8" xfId="40931"/>
    <cellStyle name="Normal 4 5 2 7 8" xfId="40932"/>
    <cellStyle name="Normal 5 5 2 7 8" xfId="40933"/>
    <cellStyle name="Normal 7 5 2 7 8" xfId="40934"/>
    <cellStyle name="Normal 2 3 3 2 7 8" xfId="40935"/>
    <cellStyle name="Normal 3 3 3 2 7 8" xfId="40936"/>
    <cellStyle name="Normal 4 2 3 2 7 8" xfId="40937"/>
    <cellStyle name="Normal 5 2 3 2 7 8" xfId="40938"/>
    <cellStyle name="Normal 7 2 3 2 7 8" xfId="40939"/>
    <cellStyle name="Normal 2 4 3 2 7 8" xfId="40940"/>
    <cellStyle name="Normal 3 4 3 2 7 8" xfId="40941"/>
    <cellStyle name="Normal 4 3 3 2 7 8" xfId="40942"/>
    <cellStyle name="Normal 5 3 3 2 7 8" xfId="40943"/>
    <cellStyle name="Normal 7 3 3 2 7 8" xfId="40944"/>
    <cellStyle name="Normal 2 8 6 8" xfId="40945"/>
    <cellStyle name="Normal 3 8 6 8" xfId="40946"/>
    <cellStyle name="Normal 4 7 6 8" xfId="40947"/>
    <cellStyle name="Normal 5 7 6 8" xfId="40948"/>
    <cellStyle name="Normal 7 7 6 8" xfId="40949"/>
    <cellStyle name="Normal 2 3 5 6 8" xfId="40950"/>
    <cellStyle name="Normal 3 3 5 6 8" xfId="40951"/>
    <cellStyle name="Normal 4 2 5 6 8" xfId="40952"/>
    <cellStyle name="Normal 5 2 5 6 8" xfId="40953"/>
    <cellStyle name="Normal 7 2 5 6 8" xfId="40954"/>
    <cellStyle name="Normal 2 4 5 6 8" xfId="40955"/>
    <cellStyle name="Normal 3 4 5 6 8" xfId="40956"/>
    <cellStyle name="Normal 4 3 5 6 8" xfId="40957"/>
    <cellStyle name="Normal 5 3 5 6 8" xfId="40958"/>
    <cellStyle name="Normal 7 3 5 6 8" xfId="40959"/>
    <cellStyle name="Normal 2 5 3 6 8" xfId="40960"/>
    <cellStyle name="Normal 3 5 3 6 8" xfId="40961"/>
    <cellStyle name="Normal 4 4 3 6 8" xfId="40962"/>
    <cellStyle name="Normal 5 4 3 6 8" xfId="40963"/>
    <cellStyle name="Normal 7 4 3 6 8" xfId="40964"/>
    <cellStyle name="Normal 2 3 2 3 6 8" xfId="40965"/>
    <cellStyle name="Normal 3 3 2 3 6 8" xfId="40966"/>
    <cellStyle name="Normal 4 2 2 3 6 8" xfId="40967"/>
    <cellStyle name="Normal 5 2 2 3 6 8" xfId="40968"/>
    <cellStyle name="Normal 7 2 2 3 6 8" xfId="40969"/>
    <cellStyle name="Normal 2 4 2 3 6 8" xfId="40970"/>
    <cellStyle name="Normal 3 4 2 3 6 8" xfId="40971"/>
    <cellStyle name="Normal 4 3 2 3 6 8" xfId="40972"/>
    <cellStyle name="Normal 5 3 2 3 6 8" xfId="40973"/>
    <cellStyle name="Normal 7 3 2 3 6 8" xfId="40974"/>
    <cellStyle name="Normal 2 6 3 6 8" xfId="40975"/>
    <cellStyle name="Normal 3 6 3 6 8" xfId="40976"/>
    <cellStyle name="Normal 4 5 3 6 8" xfId="40977"/>
    <cellStyle name="Normal 5 5 3 6 8" xfId="40978"/>
    <cellStyle name="Normal 7 5 3 6 8" xfId="40979"/>
    <cellStyle name="Normal 2 3 3 3 6 8" xfId="40980"/>
    <cellStyle name="Normal 3 3 3 3 6 8" xfId="40981"/>
    <cellStyle name="Normal 4 2 3 3 6 8" xfId="40982"/>
    <cellStyle name="Normal 5 2 3 3 6 8" xfId="40983"/>
    <cellStyle name="Normal 7 2 3 3 6 8" xfId="40984"/>
    <cellStyle name="Normal 2 4 3 3 6 8" xfId="40985"/>
    <cellStyle name="Normal 3 4 3 3 6 8" xfId="40986"/>
    <cellStyle name="Normal 4 3 3 3 6 8" xfId="40987"/>
    <cellStyle name="Normal 5 3 3 3 6 8" xfId="40988"/>
    <cellStyle name="Normal 7 3 3 3 6 8" xfId="40989"/>
    <cellStyle name="Normal 2 7 2 6 8" xfId="40990"/>
    <cellStyle name="Normal 3 7 2 6 8" xfId="40991"/>
    <cellStyle name="Normal 4 6 2 6 8" xfId="40992"/>
    <cellStyle name="Normal 5 6 2 6 8" xfId="40993"/>
    <cellStyle name="Normal 7 6 2 6 8" xfId="40994"/>
    <cellStyle name="Normal 2 3 4 2 6 8" xfId="40995"/>
    <cellStyle name="Normal 3 3 4 2 6 8" xfId="40996"/>
    <cellStyle name="Normal 4 2 4 2 6 8" xfId="40997"/>
    <cellStyle name="Normal 5 2 4 2 6 8" xfId="40998"/>
    <cellStyle name="Normal 7 2 4 2 6 8" xfId="40999"/>
    <cellStyle name="Normal 2 4 4 2 6 8" xfId="41000"/>
    <cellStyle name="Normal 3 4 4 2 6 8" xfId="41001"/>
    <cellStyle name="Normal 4 3 4 2 6 8" xfId="41002"/>
    <cellStyle name="Normal 5 3 4 2 6 8" xfId="41003"/>
    <cellStyle name="Normal 7 3 4 2 6 8" xfId="41004"/>
    <cellStyle name="Normal 2 5 2 2 6 8" xfId="41005"/>
    <cellStyle name="Normal 3 5 2 2 6 8" xfId="41006"/>
    <cellStyle name="Normal 4 4 2 2 6 8" xfId="41007"/>
    <cellStyle name="Normal 5 4 2 2 6 8" xfId="41008"/>
    <cellStyle name="Normal 7 4 2 2 6 8" xfId="41009"/>
    <cellStyle name="Normal 2 3 2 2 2 6 8" xfId="41010"/>
    <cellStyle name="Normal 3 3 2 2 2 6 8" xfId="41011"/>
    <cellStyle name="Normal 4 2 2 2 2 6 8" xfId="41012"/>
    <cellStyle name="Normal 5 2 2 2 2 6 8" xfId="41013"/>
    <cellStyle name="Normal 7 2 2 2 2 6 8" xfId="41014"/>
    <cellStyle name="Normal 2 4 2 2 2 6 8" xfId="41015"/>
    <cellStyle name="Normal 3 4 2 2 2 6 8" xfId="41016"/>
    <cellStyle name="Normal 4 3 2 2 2 6 8" xfId="41017"/>
    <cellStyle name="Normal 5 3 2 2 2 6 8" xfId="41018"/>
    <cellStyle name="Normal 7 3 2 2 2 6 8" xfId="41019"/>
    <cellStyle name="Normal 2 6 2 2 6 8" xfId="41020"/>
    <cellStyle name="Normal 3 6 2 2 6 8" xfId="41021"/>
    <cellStyle name="Normal 4 5 2 2 6 8" xfId="41022"/>
    <cellStyle name="Normal 5 5 2 2 6 8" xfId="41023"/>
    <cellStyle name="Normal 7 5 2 2 6 8" xfId="41024"/>
    <cellStyle name="Normal 2 3 3 2 2 6 8" xfId="41025"/>
    <cellStyle name="Normal 3 3 3 2 2 6 8" xfId="41026"/>
    <cellStyle name="Normal 4 2 3 2 2 6 8" xfId="41027"/>
    <cellStyle name="Normal 5 2 3 2 2 6 8" xfId="41028"/>
    <cellStyle name="Normal 7 2 3 2 2 6 8" xfId="41029"/>
    <cellStyle name="Normal 2 4 3 2 2 6 8" xfId="41030"/>
    <cellStyle name="Normal 3 4 3 2 2 6 8" xfId="41031"/>
    <cellStyle name="Normal 4 3 3 2 2 6 8" xfId="41032"/>
    <cellStyle name="Normal 5 3 3 2 2 6 8" xfId="41033"/>
    <cellStyle name="Normal 7 3 3 2 2 6 8" xfId="41034"/>
    <cellStyle name="Normal 2 9 4 8" xfId="41035"/>
    <cellStyle name="Normal 3 9 4 8" xfId="41036"/>
    <cellStyle name="Normal 4 8 4 8" xfId="41037"/>
    <cellStyle name="Normal 5 8 4 8" xfId="41038"/>
    <cellStyle name="Normal 7 8 4 8" xfId="41039"/>
    <cellStyle name="Normal 2 3 6 4 8" xfId="41040"/>
    <cellStyle name="Normal 3 3 6 4 8" xfId="41041"/>
    <cellStyle name="Normal 4 2 6 4 8" xfId="41042"/>
    <cellStyle name="Normal 5 2 6 4 8" xfId="41043"/>
    <cellStyle name="Normal 7 2 6 4 8" xfId="41044"/>
    <cellStyle name="Normal 2 4 6 4 8" xfId="41045"/>
    <cellStyle name="Normal 3 4 6 4 8" xfId="41046"/>
    <cellStyle name="Normal 4 3 6 4 8" xfId="41047"/>
    <cellStyle name="Normal 5 3 6 4 8" xfId="41048"/>
    <cellStyle name="Normal 7 3 6 4 8" xfId="41049"/>
    <cellStyle name="Normal 2 5 4 4 8" xfId="41050"/>
    <cellStyle name="Normal 3 5 4 4 8" xfId="41051"/>
    <cellStyle name="Normal 4 4 4 4 8" xfId="41052"/>
    <cellStyle name="Normal 5 4 4 4 8" xfId="41053"/>
    <cellStyle name="Normal 7 4 4 4 8" xfId="41054"/>
    <cellStyle name="Normal 2 3 2 4 4 8" xfId="41055"/>
    <cellStyle name="Normal 3 3 2 4 4 8" xfId="41056"/>
    <cellStyle name="Normal 4 2 2 4 4 8" xfId="41057"/>
    <cellStyle name="Normal 5 2 2 4 4 8" xfId="41058"/>
    <cellStyle name="Normal 7 2 2 4 4 8" xfId="41059"/>
    <cellStyle name="Normal 2 4 2 4 4 8" xfId="41060"/>
    <cellStyle name="Normal 3 4 2 4 4 8" xfId="41061"/>
    <cellStyle name="Normal 4 3 2 4 4 8" xfId="41062"/>
    <cellStyle name="Normal 5 3 2 4 4 8" xfId="41063"/>
    <cellStyle name="Normal 7 3 2 4 4 8" xfId="41064"/>
    <cellStyle name="Normal 2 6 4 4 8" xfId="41065"/>
    <cellStyle name="Normal 3 6 4 4 8" xfId="41066"/>
    <cellStyle name="Normal 4 5 4 4 8" xfId="41067"/>
    <cellStyle name="Normal 5 5 4 4 8" xfId="41068"/>
    <cellStyle name="Normal 7 5 4 4 8" xfId="41069"/>
    <cellStyle name="Normal 2 3 3 4 4 8" xfId="41070"/>
    <cellStyle name="Normal 3 3 3 4 4 8" xfId="41071"/>
    <cellStyle name="Normal 4 2 3 4 4 8" xfId="41072"/>
    <cellStyle name="Normal 5 2 3 4 4 8" xfId="41073"/>
    <cellStyle name="Normal 7 2 3 4 4 8" xfId="41074"/>
    <cellStyle name="Normal 2 4 3 4 4 8" xfId="41075"/>
    <cellStyle name="Normal 3 4 3 4 4 8" xfId="41076"/>
    <cellStyle name="Normal 4 3 3 4 4 8" xfId="41077"/>
    <cellStyle name="Normal 5 3 3 4 4 8" xfId="41078"/>
    <cellStyle name="Normal 7 3 3 4 4 8" xfId="41079"/>
    <cellStyle name="Normal 2 7 3 4 8" xfId="41080"/>
    <cellStyle name="Normal 3 7 3 4 8" xfId="41081"/>
    <cellStyle name="Normal 4 6 3 4 8" xfId="41082"/>
    <cellStyle name="Normal 5 6 3 4 8" xfId="41083"/>
    <cellStyle name="Normal 7 6 3 4 8" xfId="41084"/>
    <cellStyle name="Normal 2 3 4 3 4 8" xfId="41085"/>
    <cellStyle name="Normal 3 3 4 3 4 8" xfId="41086"/>
    <cellStyle name="Normal 4 2 4 3 4 8" xfId="41087"/>
    <cellStyle name="Normal 5 2 4 3 4 8" xfId="41088"/>
    <cellStyle name="Normal 7 2 4 3 4 8" xfId="41089"/>
    <cellStyle name="Normal 2 4 4 3 4 8" xfId="41090"/>
    <cellStyle name="Normal 3 4 4 3 4 8" xfId="41091"/>
    <cellStyle name="Normal 4 3 4 3 4 8" xfId="41092"/>
    <cellStyle name="Normal 5 3 4 3 4 8" xfId="41093"/>
    <cellStyle name="Normal 7 3 4 3 4 8" xfId="41094"/>
    <cellStyle name="Normal 2 5 2 3 4 8" xfId="41095"/>
    <cellStyle name="Normal 3 5 2 3 4 8" xfId="41096"/>
    <cellStyle name="Normal 4 4 2 3 4 8" xfId="41097"/>
    <cellStyle name="Normal 5 4 2 3 4 8" xfId="41098"/>
    <cellStyle name="Normal 7 4 2 3 4 8" xfId="41099"/>
    <cellStyle name="Normal 2 3 2 2 3 4 8" xfId="41100"/>
    <cellStyle name="Normal 3 3 2 2 3 4 8" xfId="41101"/>
    <cellStyle name="Normal 4 2 2 2 3 4 8" xfId="41102"/>
    <cellStyle name="Normal 5 2 2 2 3 4 8" xfId="41103"/>
    <cellStyle name="Normal 7 2 2 2 3 4 8" xfId="41104"/>
    <cellStyle name="Normal 2 4 2 2 3 4 8" xfId="41105"/>
    <cellStyle name="Normal 3 4 2 2 3 4 8" xfId="41106"/>
    <cellStyle name="Normal 4 3 2 2 3 4 8" xfId="41107"/>
    <cellStyle name="Normal 5 3 2 2 3 4 8" xfId="41108"/>
    <cellStyle name="Normal 7 3 2 2 3 4 8" xfId="41109"/>
    <cellStyle name="Normal 2 6 2 3 4 8" xfId="41110"/>
    <cellStyle name="Normal 3 6 2 3 4 8" xfId="41111"/>
    <cellStyle name="Normal 4 5 2 3 4 8" xfId="41112"/>
    <cellStyle name="Normal 5 5 2 3 4 8" xfId="41113"/>
    <cellStyle name="Normal 7 5 2 3 4 8" xfId="41114"/>
    <cellStyle name="Normal 2 3 3 2 3 4 8" xfId="41115"/>
    <cellStyle name="Normal 3 3 3 2 3 4 8" xfId="41116"/>
    <cellStyle name="Normal 4 2 3 2 3 4 8" xfId="41117"/>
    <cellStyle name="Normal 5 2 3 2 3 4 8" xfId="41118"/>
    <cellStyle name="Normal 7 2 3 2 3 4 8" xfId="41119"/>
    <cellStyle name="Normal 2 4 3 2 3 4 8" xfId="41120"/>
    <cellStyle name="Normal 3 4 3 2 3 4 8" xfId="41121"/>
    <cellStyle name="Normal 4 3 3 2 3 4 8" xfId="41122"/>
    <cellStyle name="Normal 5 3 3 2 3 4 8" xfId="41123"/>
    <cellStyle name="Normal 7 3 3 2 3 4 8" xfId="41124"/>
    <cellStyle name="Normal 2 8 2 4 8" xfId="41125"/>
    <cellStyle name="Normal 3 8 2 4 8" xfId="41126"/>
    <cellStyle name="Normal 4 7 2 4 8" xfId="41127"/>
    <cellStyle name="Normal 5 7 2 4 8" xfId="41128"/>
    <cellStyle name="Normal 7 7 2 4 8" xfId="41129"/>
    <cellStyle name="Normal 2 3 5 2 4 8" xfId="41130"/>
    <cellStyle name="Normal 3 3 5 2 4 8" xfId="41131"/>
    <cellStyle name="Normal 4 2 5 2 4 8" xfId="41132"/>
    <cellStyle name="Normal 5 2 5 2 4 8" xfId="41133"/>
    <cellStyle name="Normal 7 2 5 2 4 8" xfId="41134"/>
    <cellStyle name="Normal 2 4 5 2 4 8" xfId="41135"/>
    <cellStyle name="Normal 3 4 5 2 4 8" xfId="41136"/>
    <cellStyle name="Normal 4 3 5 2 4 8" xfId="41137"/>
    <cellStyle name="Normal 5 3 5 2 4 8" xfId="41138"/>
    <cellStyle name="Normal 7 3 5 2 4 8" xfId="41139"/>
    <cellStyle name="Normal 2 5 3 2 4 8" xfId="41140"/>
    <cellStyle name="Normal 3 5 3 2 4 8" xfId="41141"/>
    <cellStyle name="Normal 4 4 3 2 4 8" xfId="41142"/>
    <cellStyle name="Normal 5 4 3 2 4 8" xfId="41143"/>
    <cellStyle name="Normal 7 4 3 2 4 8" xfId="41144"/>
    <cellStyle name="Normal 2 3 2 3 2 4 8" xfId="41145"/>
    <cellStyle name="Normal 3 3 2 3 2 4 8" xfId="41146"/>
    <cellStyle name="Normal 4 2 2 3 2 4 8" xfId="41147"/>
    <cellStyle name="Normal 5 2 2 3 2 4 8" xfId="41148"/>
    <cellStyle name="Normal 7 2 2 3 2 4 8" xfId="41149"/>
    <cellStyle name="Normal 2 4 2 3 2 4 8" xfId="41150"/>
    <cellStyle name="Normal 3 4 2 3 2 4 8" xfId="41151"/>
    <cellStyle name="Normal 4 3 2 3 2 4 8" xfId="41152"/>
    <cellStyle name="Normal 5 3 2 3 2 4 8" xfId="41153"/>
    <cellStyle name="Normal 7 3 2 3 2 4 8" xfId="41154"/>
    <cellStyle name="Normal 2 6 3 2 4 8" xfId="41155"/>
    <cellStyle name="Normal 3 6 3 2 4 8" xfId="41156"/>
    <cellStyle name="Normal 4 5 3 2 4 8" xfId="41157"/>
    <cellStyle name="Normal 5 5 3 2 4 8" xfId="41158"/>
    <cellStyle name="Normal 7 5 3 2 4 8" xfId="41159"/>
    <cellStyle name="Normal 2 3 3 3 2 4 8" xfId="41160"/>
    <cellStyle name="Normal 3 3 3 3 2 4 8" xfId="41161"/>
    <cellStyle name="Normal 4 2 3 3 2 4 8" xfId="41162"/>
    <cellStyle name="Normal 5 2 3 3 2 4 8" xfId="41163"/>
    <cellStyle name="Normal 7 2 3 3 2 4 8" xfId="41164"/>
    <cellStyle name="Normal 2 4 3 3 2 4 8" xfId="41165"/>
    <cellStyle name="Normal 3 4 3 3 2 4 8" xfId="41166"/>
    <cellStyle name="Normal 4 3 3 3 2 4 8" xfId="41167"/>
    <cellStyle name="Normal 5 3 3 3 2 4 8" xfId="41168"/>
    <cellStyle name="Normal 7 3 3 3 2 4 8" xfId="41169"/>
    <cellStyle name="Normal 2 7 2 2 4 8" xfId="41170"/>
    <cellStyle name="Normal 3 7 2 2 4 8" xfId="41171"/>
    <cellStyle name="Normal 4 6 2 2 4 8" xfId="41172"/>
    <cellStyle name="Normal 5 6 2 2 4 8" xfId="41173"/>
    <cellStyle name="Normal 7 6 2 2 4 8" xfId="41174"/>
    <cellStyle name="Normal 2 3 4 2 2 4 8" xfId="41175"/>
    <cellStyle name="Normal 3 3 4 2 2 4 8" xfId="41176"/>
    <cellStyle name="Normal 4 2 4 2 2 4 8" xfId="41177"/>
    <cellStyle name="Normal 5 2 4 2 2 4 8" xfId="41178"/>
    <cellStyle name="Normal 7 2 4 2 2 4 8" xfId="41179"/>
    <cellStyle name="Normal 2 4 4 2 2 4 8" xfId="41180"/>
    <cellStyle name="Normal 3 4 4 2 2 4 8" xfId="41181"/>
    <cellStyle name="Normal 4 3 4 2 2 4 8" xfId="41182"/>
    <cellStyle name="Normal 5 3 4 2 2 4 8" xfId="41183"/>
    <cellStyle name="Normal 7 3 4 2 2 4 8" xfId="41184"/>
    <cellStyle name="Normal 2 5 2 2 2 4 8" xfId="41185"/>
    <cellStyle name="Normal 3 5 2 2 2 4 8" xfId="41186"/>
    <cellStyle name="Normal 4 4 2 2 2 4 8" xfId="41187"/>
    <cellStyle name="Normal 5 4 2 2 2 4 8" xfId="41188"/>
    <cellStyle name="Normal 7 4 2 2 2 4 8" xfId="41189"/>
    <cellStyle name="Normal 2 3 2 2 2 2 4 8" xfId="41190"/>
    <cellStyle name="Normal 3 3 2 2 2 2 4 8" xfId="41191"/>
    <cellStyle name="Normal 4 2 2 2 2 2 4 8" xfId="41192"/>
    <cellStyle name="Normal 5 2 2 2 2 2 4 8" xfId="41193"/>
    <cellStyle name="Normal 7 2 2 2 2 2 4 8" xfId="41194"/>
    <cellStyle name="Normal 2 4 2 2 2 2 4 8" xfId="41195"/>
    <cellStyle name="Normal 3 4 2 2 2 2 4 8" xfId="41196"/>
    <cellStyle name="Normal 4 3 2 2 2 2 4 8" xfId="41197"/>
    <cellStyle name="Normal 5 3 2 2 2 2 4 8" xfId="41198"/>
    <cellStyle name="Normal 7 3 2 2 2 2 4 8" xfId="41199"/>
    <cellStyle name="Normal 2 6 2 2 2 4 8" xfId="41200"/>
    <cellStyle name="Normal 3 6 2 2 2 4 8" xfId="41201"/>
    <cellStyle name="Normal 4 5 2 2 2 4 8" xfId="41202"/>
    <cellStyle name="Normal 5 5 2 2 2 4 8" xfId="41203"/>
    <cellStyle name="Normal 7 5 2 2 2 4 8" xfId="41204"/>
    <cellStyle name="Normal 2 3 3 2 2 2 4 8" xfId="41205"/>
    <cellStyle name="Normal 3 3 3 2 2 2 4 8" xfId="41206"/>
    <cellStyle name="Normal 4 2 3 2 2 2 4 8" xfId="41207"/>
    <cellStyle name="Normal 5 2 3 2 2 2 4 8" xfId="41208"/>
    <cellStyle name="Normal 7 2 3 2 2 2 4 8" xfId="41209"/>
    <cellStyle name="Normal 2 4 3 2 2 2 4 8" xfId="41210"/>
    <cellStyle name="Normal 3 4 3 2 2 2 4 8" xfId="41211"/>
    <cellStyle name="Normal 4 3 3 2 2 2 4 8" xfId="41212"/>
    <cellStyle name="Normal 5 3 3 2 2 2 4 8" xfId="41213"/>
    <cellStyle name="Normal 7 3 3 2 2 2 4 8" xfId="41214"/>
    <cellStyle name="Normal 28 4 8" xfId="41215"/>
    <cellStyle name="Normal 2 3 7 4 8" xfId="41216"/>
    <cellStyle name="Normal 3 10 4 8" xfId="41217"/>
    <cellStyle name="Normal 4 9 4 8" xfId="41218"/>
    <cellStyle name="Normal 5 9 4 8" xfId="41219"/>
    <cellStyle name="Millares 4 4 8" xfId="41220"/>
    <cellStyle name="Normal 7 2 7 4 8" xfId="41221"/>
    <cellStyle name="Normal 3 3 7 4 8" xfId="41222"/>
    <cellStyle name="Normal 4 2 7 4 8" xfId="41223"/>
    <cellStyle name="Normal 5 2 7 4 8" xfId="41224"/>
    <cellStyle name="Normal 2 4 5 3 4 8" xfId="41225"/>
    <cellStyle name="Normal 3 4 7 4 8" xfId="41226"/>
    <cellStyle name="Normal 4 3 7 4 8" xfId="41227"/>
    <cellStyle name="Normal 5 3 7 4 8" xfId="41228"/>
    <cellStyle name="Normal 7 3 7 4 8" xfId="41229"/>
    <cellStyle name="Normal 2 5 5 4 8" xfId="41230"/>
    <cellStyle name="Normal 3 5 5 4 8" xfId="41231"/>
    <cellStyle name="Normal 4 4 5 4 8" xfId="41232"/>
    <cellStyle name="Normal 5 4 5 4 8" xfId="41233"/>
    <cellStyle name="Normal 7 4 5 4 8" xfId="41234"/>
    <cellStyle name="Normal 2 3 2 5 4 8" xfId="41235"/>
    <cellStyle name="Normal 3 3 2 5 4 8" xfId="41236"/>
    <cellStyle name="Normal 4 2 2 5 4 8" xfId="41237"/>
    <cellStyle name="Normal 5 2 2 5 4 8" xfId="41238"/>
    <cellStyle name="Normal 7 2 2 5 4 8" xfId="41239"/>
    <cellStyle name="Normal 2 4 2 5 4 8" xfId="41240"/>
    <cellStyle name="Normal 3 4 2 5 4 8" xfId="41241"/>
    <cellStyle name="Normal 4 3 2 5 4 8" xfId="41242"/>
    <cellStyle name="Normal 5 3 2 5 4 8" xfId="41243"/>
    <cellStyle name="Normal 7 3 2 5 4 8" xfId="41244"/>
    <cellStyle name="Normal 2 6 5 4 8" xfId="41245"/>
    <cellStyle name="Normal 3 6 5 4 8" xfId="41246"/>
    <cellStyle name="Normal 4 5 5 4 8" xfId="41247"/>
    <cellStyle name="Normal 5 5 5 4 8" xfId="41248"/>
    <cellStyle name="Normal 7 5 5 4 8" xfId="41249"/>
    <cellStyle name="Normal 2 3 3 5 4 8" xfId="41250"/>
    <cellStyle name="Normal 3 3 3 5 4 8" xfId="41251"/>
    <cellStyle name="Normal 4 2 3 5 4 8" xfId="41252"/>
    <cellStyle name="Normal 5 2 3 5 4 8" xfId="41253"/>
    <cellStyle name="Normal 7 2 3 5 4 8" xfId="41254"/>
    <cellStyle name="Normal 2 4 3 5 4 8" xfId="41255"/>
    <cellStyle name="Normal 3 4 3 5 4 8" xfId="41256"/>
    <cellStyle name="Normal 4 3 3 5 4 8" xfId="41257"/>
    <cellStyle name="Normal 5 3 3 5 4 8" xfId="41258"/>
    <cellStyle name="Normal 7 3 3 5 4 8" xfId="41259"/>
    <cellStyle name="Normal 2 7 4 4 8" xfId="41260"/>
    <cellStyle name="Normal 3 7 4 4 8" xfId="41261"/>
    <cellStyle name="Normal 4 6 4 4 8" xfId="41262"/>
    <cellStyle name="Normal 5 6 4 4 8" xfId="41263"/>
    <cellStyle name="Normal 7 6 4 4 8" xfId="41264"/>
    <cellStyle name="Normal 2 3 4 4 4 8" xfId="41265"/>
    <cellStyle name="Normal 3 3 4 4 4 8" xfId="41266"/>
    <cellStyle name="Normal 4 2 4 4 4 8" xfId="41267"/>
    <cellStyle name="Normal 5 2 4 4 4 8" xfId="41268"/>
    <cellStyle name="Normal 7 2 4 4 4 8" xfId="41269"/>
    <cellStyle name="Normal 2 4 4 4 4 8" xfId="41270"/>
    <cellStyle name="Normal 3 4 4 4 4 8" xfId="41271"/>
    <cellStyle name="Normal 4 3 4 4 4 8" xfId="41272"/>
    <cellStyle name="Normal 5 3 4 4 4 8" xfId="41273"/>
    <cellStyle name="Normal 7 3 4 4 4 8" xfId="41274"/>
    <cellStyle name="Normal 2 5 2 4 4 8" xfId="41275"/>
    <cellStyle name="Normal 3 5 2 4 4 8" xfId="41276"/>
    <cellStyle name="Normal 4 4 2 4 4 8" xfId="41277"/>
    <cellStyle name="Normal 5 4 2 4 4 8" xfId="41278"/>
    <cellStyle name="Normal 7 4 2 4 4 8" xfId="41279"/>
    <cellStyle name="Normal 2 3 2 2 4 4 8" xfId="41280"/>
    <cellStyle name="Normal 3 3 2 2 4 4 8" xfId="41281"/>
    <cellStyle name="Normal 4 2 2 2 4 4 8" xfId="41282"/>
    <cellStyle name="Normal 5 2 2 2 4 4 8" xfId="41283"/>
    <cellStyle name="Normal 7 2 2 2 4 4 8" xfId="41284"/>
    <cellStyle name="Normal 2 4 2 2 4 4 8" xfId="41285"/>
    <cellStyle name="Normal 3 4 2 2 4 4 8" xfId="41286"/>
    <cellStyle name="Normal 4 3 2 2 4 4 8" xfId="41287"/>
    <cellStyle name="Normal 5 3 2 2 4 4 8" xfId="41288"/>
    <cellStyle name="Normal 7 3 2 2 4 4 8" xfId="41289"/>
    <cellStyle name="Normal 2 6 2 4 4 8" xfId="41290"/>
    <cellStyle name="Normal 3 6 2 4 4 8" xfId="41291"/>
    <cellStyle name="Normal 4 5 2 4 4 8" xfId="41292"/>
    <cellStyle name="Normal 5 5 2 4 4 8" xfId="41293"/>
    <cellStyle name="Normal 7 5 2 4 4 8" xfId="41294"/>
    <cellStyle name="Normal 2 3 3 2 4 4 8" xfId="41295"/>
    <cellStyle name="Normal 3 3 3 2 4 4 8" xfId="41296"/>
    <cellStyle name="Normal 4 2 3 2 4 4 8" xfId="41297"/>
    <cellStyle name="Normal 5 2 3 2 4 4 8" xfId="41298"/>
    <cellStyle name="Normal 7 2 3 2 4 4 8" xfId="41299"/>
    <cellStyle name="Normal 2 4 3 2 4 4 8" xfId="41300"/>
    <cellStyle name="Normal 3 4 3 2 4 4 8" xfId="41301"/>
    <cellStyle name="Normal 4 3 3 2 4 4 8" xfId="41302"/>
    <cellStyle name="Normal 5 3 3 2 4 4 8" xfId="41303"/>
    <cellStyle name="Normal 7 3 3 2 4 4 8" xfId="41304"/>
    <cellStyle name="Normal 2 8 3 4 8" xfId="41305"/>
    <cellStyle name="Normal 3 8 3 4 8" xfId="41306"/>
    <cellStyle name="Normal 4 7 3 4 8" xfId="41307"/>
    <cellStyle name="Normal 5 7 3 4 8" xfId="41308"/>
    <cellStyle name="Normal 7 7 3 4 8" xfId="41309"/>
    <cellStyle name="Normal 2 3 5 3 4 8" xfId="41310"/>
    <cellStyle name="Normal 3 3 5 3 4 8" xfId="41311"/>
    <cellStyle name="Normal 4 2 5 3 4 8" xfId="41312"/>
    <cellStyle name="Normal 5 2 5 3 4 8" xfId="41313"/>
    <cellStyle name="Normal 7 2 5 3 4 8" xfId="41314"/>
    <cellStyle name="Normal 3 4 5 3 4 8" xfId="41315"/>
    <cellStyle name="Normal 4 3 5 3 4 8" xfId="41316"/>
    <cellStyle name="Normal 5 3 5 3 4 8" xfId="41317"/>
    <cellStyle name="Normal 7 3 5 3 4 8" xfId="41318"/>
    <cellStyle name="Normal 2 5 3 3 4 8" xfId="41319"/>
    <cellStyle name="Normal 3 5 3 3 4 8" xfId="41320"/>
    <cellStyle name="Normal 4 4 3 3 4 8" xfId="41321"/>
    <cellStyle name="Normal 5 4 3 3 4 8" xfId="41322"/>
    <cellStyle name="Normal 7 4 3 3 4 8" xfId="41323"/>
    <cellStyle name="Normal 2 3 2 3 3 4 8" xfId="41324"/>
    <cellStyle name="Normal 3 3 2 3 3 4 8" xfId="41325"/>
    <cellStyle name="Normal 4 2 2 3 3 4 8" xfId="41326"/>
    <cellStyle name="Normal 5 2 2 3 3 4 8" xfId="41327"/>
    <cellStyle name="Normal 7 2 2 3 3 4 8" xfId="41328"/>
    <cellStyle name="Normal 2 4 2 3 3 4 8" xfId="41329"/>
    <cellStyle name="Normal 3 4 2 3 3 4 8" xfId="41330"/>
    <cellStyle name="Normal 4 3 2 3 3 4 8" xfId="41331"/>
    <cellStyle name="Normal 5 3 2 3 3 4 8" xfId="41332"/>
    <cellStyle name="Normal 7 3 2 3 3 4 8" xfId="41333"/>
    <cellStyle name="Normal 2 6 3 3 4 8" xfId="41334"/>
    <cellStyle name="Normal 3 6 3 3 4 8" xfId="41335"/>
    <cellStyle name="Normal 4 5 3 3 4 8" xfId="41336"/>
    <cellStyle name="Normal 5 5 3 3 4 8" xfId="41337"/>
    <cellStyle name="Normal 7 5 3 3 4 8" xfId="41338"/>
    <cellStyle name="Normal 2 3 3 3 3 4 8" xfId="41339"/>
    <cellStyle name="Normal 3 3 3 3 3 4 8" xfId="41340"/>
    <cellStyle name="Normal 4 2 3 3 3 4 8" xfId="41341"/>
    <cellStyle name="Normal 5 2 3 3 3 4 8" xfId="41342"/>
    <cellStyle name="Normal 7 2 3 3 3 4 8" xfId="41343"/>
    <cellStyle name="Normal 2 4 3 3 3 4 8" xfId="41344"/>
    <cellStyle name="Normal 3 4 3 3 3 4 8" xfId="41345"/>
    <cellStyle name="Normal 4 3 3 3 3 4 8" xfId="41346"/>
    <cellStyle name="Normal 5 3 3 3 3 4 8" xfId="41347"/>
    <cellStyle name="Normal 7 3 3 3 3 4 8" xfId="41348"/>
    <cellStyle name="Normal 2 7 2 3 4 8" xfId="41349"/>
    <cellStyle name="Normal 3 7 2 3 4 8" xfId="41350"/>
    <cellStyle name="Normal 4 6 2 3 4 8" xfId="41351"/>
    <cellStyle name="Normal 5 6 2 3 4 8" xfId="41352"/>
    <cellStyle name="Normal 7 6 2 3 4 8" xfId="41353"/>
    <cellStyle name="Normal 2 3 4 2 3 4 8" xfId="41354"/>
    <cellStyle name="Normal 3 3 4 2 3 4 8" xfId="41355"/>
    <cellStyle name="Normal 4 2 4 2 3 4 8" xfId="41356"/>
    <cellStyle name="Normal 5 2 4 2 3 4 8" xfId="41357"/>
    <cellStyle name="Normal 7 2 4 2 3 4 8" xfId="41358"/>
    <cellStyle name="Normal 2 4 4 2 3 4 8" xfId="41359"/>
    <cellStyle name="Normal 3 4 4 2 3 4 8" xfId="41360"/>
    <cellStyle name="Normal 4 3 4 2 3 4 8" xfId="41361"/>
    <cellStyle name="Normal 5 3 4 2 3 4 8" xfId="41362"/>
    <cellStyle name="Normal 7 3 4 2 3 4 8" xfId="41363"/>
    <cellStyle name="Normal 2 5 2 2 3 4 8" xfId="41364"/>
    <cellStyle name="Normal 3 5 2 2 3 4 8" xfId="41365"/>
    <cellStyle name="Normal 4 4 2 2 3 4 8" xfId="41366"/>
    <cellStyle name="Normal 5 4 2 2 3 4 8" xfId="41367"/>
    <cellStyle name="Normal 7 4 2 2 3 4 8" xfId="41368"/>
    <cellStyle name="Normal 2 3 2 2 2 3 4 8" xfId="41369"/>
    <cellStyle name="Normal 3 3 2 2 2 3 4 8" xfId="41370"/>
    <cellStyle name="Normal 4 2 2 2 2 3 4 8" xfId="41371"/>
    <cellStyle name="Normal 5 2 2 2 2 3 4 8" xfId="41372"/>
    <cellStyle name="Normal 7 2 2 2 2 3 4 8" xfId="41373"/>
    <cellStyle name="Normal 2 4 2 2 2 3 4 8" xfId="41374"/>
    <cellStyle name="Normal 3 4 2 2 2 3 4 8" xfId="41375"/>
    <cellStyle name="Normal 4 3 2 2 2 3 4 8" xfId="41376"/>
    <cellStyle name="Normal 5 3 2 2 2 3 4 8" xfId="41377"/>
    <cellStyle name="Normal 7 3 2 2 2 3 4 8" xfId="41378"/>
    <cellStyle name="Normal 2 6 2 2 3 4 8" xfId="41379"/>
    <cellStyle name="Normal 3 6 2 2 3 4 8" xfId="41380"/>
    <cellStyle name="Normal 4 5 2 2 3 4 8" xfId="41381"/>
    <cellStyle name="Normal 5 5 2 2 3 4 8" xfId="41382"/>
    <cellStyle name="Normal 7 5 2 2 3 4 8" xfId="41383"/>
    <cellStyle name="Normal 2 3 3 2 2 3 4 8" xfId="41384"/>
    <cellStyle name="Normal 3 3 3 2 2 3 4 8" xfId="41385"/>
    <cellStyle name="Normal 4 2 3 2 2 3 4 8" xfId="41386"/>
    <cellStyle name="Normal 5 2 3 2 2 3 4 8" xfId="41387"/>
    <cellStyle name="Normal 7 2 3 2 2 3 4 8" xfId="41388"/>
    <cellStyle name="Normal 2 4 3 2 2 3 4 8" xfId="41389"/>
    <cellStyle name="Normal 3 4 3 2 2 3 4 8" xfId="41390"/>
    <cellStyle name="Normal 4 3 3 2 2 3 4 8" xfId="41391"/>
    <cellStyle name="Normal 5 3 3 2 2 3 4 8" xfId="41392"/>
    <cellStyle name="Normal 7 3 3 2 2 3 4 8" xfId="41393"/>
    <cellStyle name="Normal 2 11 2 8" xfId="41394"/>
    <cellStyle name="Normal 3 11 2 8" xfId="41395"/>
    <cellStyle name="Normal 4 10 2 8" xfId="41396"/>
    <cellStyle name="Normal 5 10 2 8" xfId="41397"/>
    <cellStyle name="Normal 7 10 2 8" xfId="41398"/>
    <cellStyle name="Normal 2 3 8 2 8" xfId="41399"/>
    <cellStyle name="Normal 3 3 8 2 8" xfId="41400"/>
    <cellStyle name="Normal 4 2 8 2 8" xfId="41401"/>
    <cellStyle name="Normal 5 2 8 2 8" xfId="41402"/>
    <cellStyle name="Normal 7 2 8 2 8" xfId="41403"/>
    <cellStyle name="Normal 2 4 8 2 8" xfId="41404"/>
    <cellStyle name="Normal 3 4 8 2 8" xfId="41405"/>
    <cellStyle name="Normal 4 3 8 2 8" xfId="41406"/>
    <cellStyle name="Normal 5 3 8 2 8" xfId="41407"/>
    <cellStyle name="Normal 7 3 8 2 8" xfId="41408"/>
    <cellStyle name="Normal 2 5 6 2 8" xfId="41409"/>
    <cellStyle name="Normal 3 5 6 2 8" xfId="41410"/>
    <cellStyle name="Normal 4 4 6 2 8" xfId="41411"/>
    <cellStyle name="Normal 5 4 6 2 8" xfId="41412"/>
    <cellStyle name="Normal 7 4 6 2 8" xfId="41413"/>
    <cellStyle name="Normal 2 3 2 6 2 8" xfId="41414"/>
    <cellStyle name="Normal 3 3 2 6 2 8" xfId="41415"/>
    <cellStyle name="Normal 4 2 2 6 2 8" xfId="41416"/>
    <cellStyle name="Normal 5 2 2 6 2 8" xfId="41417"/>
    <cellStyle name="Normal 7 2 2 6 2 8" xfId="41418"/>
    <cellStyle name="Normal 2 4 2 6 2 8" xfId="41419"/>
    <cellStyle name="Normal 3 4 2 6 2 8" xfId="41420"/>
    <cellStyle name="Normal 4 3 2 6 2 8" xfId="41421"/>
    <cellStyle name="Normal 5 3 2 6 2 8" xfId="41422"/>
    <cellStyle name="Normal 7 3 2 6 2 8" xfId="41423"/>
    <cellStyle name="Normal 2 6 6 2 8" xfId="41424"/>
    <cellStyle name="Normal 3 6 6 2 8" xfId="41425"/>
    <cellStyle name="Normal 4 5 6 2 8" xfId="41426"/>
    <cellStyle name="Normal 5 5 6 2 8" xfId="41427"/>
    <cellStyle name="Normal 7 5 6 2 8" xfId="41428"/>
    <cellStyle name="Normal 2 3 3 6 2 8" xfId="41429"/>
    <cellStyle name="Normal 3 3 3 6 2 8" xfId="41430"/>
    <cellStyle name="Normal 4 2 3 6 2 8" xfId="41431"/>
    <cellStyle name="Normal 5 2 3 6 2 8" xfId="41432"/>
    <cellStyle name="Normal 7 2 3 6 2 8" xfId="41433"/>
    <cellStyle name="Normal 2 4 3 6 2 8" xfId="41434"/>
    <cellStyle name="Normal 3 4 3 6 2 8" xfId="41435"/>
    <cellStyle name="Normal 4 3 3 6 2 8" xfId="41436"/>
    <cellStyle name="Normal 5 3 3 6 2 8" xfId="41437"/>
    <cellStyle name="Normal 7 3 3 6 2 8" xfId="41438"/>
    <cellStyle name="Normal 2 7 5 2 8" xfId="41439"/>
    <cellStyle name="Normal 3 7 5 2 8" xfId="41440"/>
    <cellStyle name="Normal 4 6 5 2 8" xfId="41441"/>
    <cellStyle name="Normal 5 6 5 2 8" xfId="41442"/>
    <cellStyle name="Normal 7 6 5 2 8" xfId="41443"/>
    <cellStyle name="Normal 2 3 4 5 2 8" xfId="41444"/>
    <cellStyle name="Normal 3 3 4 5 2 8" xfId="41445"/>
    <cellStyle name="Normal 4 2 4 5 2 8" xfId="41446"/>
    <cellStyle name="Normal 5 2 4 5 2 8" xfId="41447"/>
    <cellStyle name="Normal 7 2 4 5 2 8" xfId="41448"/>
    <cellStyle name="Normal 2 4 4 5 2 8" xfId="41449"/>
    <cellStyle name="Normal 3 4 4 5 2 8" xfId="41450"/>
    <cellStyle name="Normal 4 3 4 5 2 8" xfId="41451"/>
    <cellStyle name="Normal 5 3 4 5 2 8" xfId="41452"/>
    <cellStyle name="Normal 7 3 4 5 2 8" xfId="41453"/>
    <cellStyle name="Normal 2 5 2 5 2 8" xfId="41454"/>
    <cellStyle name="Normal 3 5 2 5 2 8" xfId="41455"/>
    <cellStyle name="Normal 4 4 2 5 2 8" xfId="41456"/>
    <cellStyle name="Normal 5 4 2 5 2 8" xfId="41457"/>
    <cellStyle name="Normal 7 4 2 5 2 8" xfId="41458"/>
    <cellStyle name="Normal 2 3 2 2 5 2 8" xfId="41459"/>
    <cellStyle name="Normal 3 3 2 2 5 2 8" xfId="41460"/>
    <cellStyle name="Normal 4 2 2 2 5 2 8" xfId="41461"/>
    <cellStyle name="Normal 5 2 2 2 5 2 8" xfId="41462"/>
    <cellStyle name="Normal 7 2 2 2 5 2 8" xfId="41463"/>
    <cellStyle name="Normal 2 4 2 2 5 2 8" xfId="41464"/>
    <cellStyle name="Normal 3 4 2 2 5 2 8" xfId="41465"/>
    <cellStyle name="Normal 4 3 2 2 5 2 8" xfId="41466"/>
    <cellStyle name="Normal 5 3 2 2 5 2 8" xfId="41467"/>
    <cellStyle name="Normal 7 3 2 2 5 2 8" xfId="41468"/>
    <cellStyle name="Normal 2 6 2 5 2 8" xfId="41469"/>
    <cellStyle name="Normal 3 6 2 5 2 8" xfId="41470"/>
    <cellStyle name="Normal 4 5 2 5 2 8" xfId="41471"/>
    <cellStyle name="Normal 5 5 2 5 2 8" xfId="41472"/>
    <cellStyle name="Normal 7 5 2 5 2 8" xfId="41473"/>
    <cellStyle name="Normal 2 3 3 2 5 2 8" xfId="41474"/>
    <cellStyle name="Normal 3 3 3 2 5 2 8" xfId="41475"/>
    <cellStyle name="Normal 4 2 3 2 5 2 8" xfId="41476"/>
    <cellStyle name="Normal 5 2 3 2 5 2 8" xfId="41477"/>
    <cellStyle name="Normal 7 2 3 2 5 2 8" xfId="41478"/>
    <cellStyle name="Normal 2 4 3 2 5 2 8" xfId="41479"/>
    <cellStyle name="Normal 3 4 3 2 5 2 8" xfId="41480"/>
    <cellStyle name="Normal 4 3 3 2 5 2 8" xfId="41481"/>
    <cellStyle name="Normal 5 3 3 2 5 2 8" xfId="41482"/>
    <cellStyle name="Normal 7 3 3 2 5 2 8" xfId="41483"/>
    <cellStyle name="Normal 2 8 4 2 8" xfId="41484"/>
    <cellStyle name="Normal 3 8 4 2 8" xfId="41485"/>
    <cellStyle name="Normal 4 7 4 2 8" xfId="41486"/>
    <cellStyle name="Normal 5 7 4 2 8" xfId="41487"/>
    <cellStyle name="Normal 7 7 4 2 8" xfId="41488"/>
    <cellStyle name="Normal 2 3 5 4 2 8" xfId="41489"/>
    <cellStyle name="Normal 3 3 5 4 2 8" xfId="41490"/>
    <cellStyle name="Normal 4 2 5 4 2 8" xfId="41491"/>
    <cellStyle name="Normal 5 2 5 4 2 8" xfId="41492"/>
    <cellStyle name="Normal 7 2 5 4 2 8" xfId="41493"/>
    <cellStyle name="Normal 2 4 5 4 2 8" xfId="41494"/>
    <cellStyle name="Normal 3 4 5 4 2 8" xfId="41495"/>
    <cellStyle name="Normal 4 3 5 4 2 8" xfId="41496"/>
    <cellStyle name="Normal 5 3 5 4 2 8" xfId="41497"/>
    <cellStyle name="Normal 7 3 5 4 2 8" xfId="41498"/>
    <cellStyle name="Normal 2 5 3 4 2 8" xfId="41499"/>
    <cellStyle name="Normal 3 5 3 4 2 8" xfId="41500"/>
    <cellStyle name="Normal 4 4 3 4 2 8" xfId="41501"/>
    <cellStyle name="Normal 5 4 3 4 2 8" xfId="41502"/>
    <cellStyle name="Normal 7 4 3 4 2 8" xfId="41503"/>
    <cellStyle name="Normal 2 3 2 3 4 2 8" xfId="41504"/>
    <cellStyle name="Normal 3 3 2 3 4 2 8" xfId="41505"/>
    <cellStyle name="Normal 4 2 2 3 4 2 8" xfId="41506"/>
    <cellStyle name="Normal 5 2 2 3 4 2 8" xfId="41507"/>
    <cellStyle name="Normal 7 2 2 3 4 2 8" xfId="41508"/>
    <cellStyle name="Normal 2 4 2 3 4 2 8" xfId="41509"/>
    <cellStyle name="Normal 3 4 2 3 4 2 8" xfId="41510"/>
    <cellStyle name="Normal 4 3 2 3 4 2 8" xfId="41511"/>
    <cellStyle name="Normal 5 3 2 3 4 2 8" xfId="41512"/>
    <cellStyle name="Normal 7 3 2 3 4 2 8" xfId="41513"/>
    <cellStyle name="Normal 2 6 3 4 2 8" xfId="41514"/>
    <cellStyle name="Normal 3 6 3 4 2 8" xfId="41515"/>
    <cellStyle name="Normal 4 5 3 4 2 8" xfId="41516"/>
    <cellStyle name="Normal 5 5 3 4 2 8" xfId="41517"/>
    <cellStyle name="Normal 7 5 3 4 2 8" xfId="41518"/>
    <cellStyle name="Normal 2 3 3 3 4 2 8" xfId="41519"/>
    <cellStyle name="Normal 3 3 3 3 4 2 8" xfId="41520"/>
    <cellStyle name="Normal 4 2 3 3 4 2 8" xfId="41521"/>
    <cellStyle name="Normal 5 2 3 3 4 2 8" xfId="41522"/>
    <cellStyle name="Normal 7 2 3 3 4 2 8" xfId="41523"/>
    <cellStyle name="Normal 2 4 3 3 4 2 8" xfId="41524"/>
    <cellStyle name="Normal 3 4 3 3 4 2 8" xfId="41525"/>
    <cellStyle name="Normal 4 3 3 3 4 2 8" xfId="41526"/>
    <cellStyle name="Normal 5 3 3 3 4 2 8" xfId="41527"/>
    <cellStyle name="Normal 7 3 3 3 4 2 8" xfId="41528"/>
    <cellStyle name="Normal 2 7 2 4 2 8" xfId="41529"/>
    <cellStyle name="Normal 3 7 2 4 2 8" xfId="41530"/>
    <cellStyle name="Normal 4 6 2 4 2 8" xfId="41531"/>
    <cellStyle name="Normal 5 6 2 4 2 8" xfId="41532"/>
    <cellStyle name="Normal 7 6 2 4 2 8" xfId="41533"/>
    <cellStyle name="Normal 2 3 4 2 4 2 8" xfId="41534"/>
    <cellStyle name="Normal 3 3 4 2 4 2 8" xfId="41535"/>
    <cellStyle name="Normal 4 2 4 2 4 2 8" xfId="41536"/>
    <cellStyle name="Normal 5 2 4 2 4 2 8" xfId="41537"/>
    <cellStyle name="Normal 7 2 4 2 4 2 8" xfId="41538"/>
    <cellStyle name="Normal 2 4 4 2 4 2 8" xfId="41539"/>
    <cellStyle name="Normal 3 4 4 2 4 2 8" xfId="41540"/>
    <cellStyle name="Normal 4 3 4 2 4 2 8" xfId="41541"/>
    <cellStyle name="Normal 5 3 4 2 4 2 8" xfId="41542"/>
    <cellStyle name="Normal 7 3 4 2 4 2 8" xfId="41543"/>
    <cellStyle name="Normal 2 5 2 2 4 2 8" xfId="41544"/>
    <cellStyle name="Normal 3 5 2 2 4 2 8" xfId="41545"/>
    <cellStyle name="Normal 4 4 2 2 4 2 8" xfId="41546"/>
    <cellStyle name="Normal 5 4 2 2 4 2 8" xfId="41547"/>
    <cellStyle name="Normal 7 4 2 2 4 2 8" xfId="41548"/>
    <cellStyle name="Normal 2 3 2 2 2 4 2 8" xfId="41549"/>
    <cellStyle name="Normal 3 3 2 2 2 4 2 8" xfId="41550"/>
    <cellStyle name="Normal 4 2 2 2 2 4 2 8" xfId="41551"/>
    <cellStyle name="Normal 5 2 2 2 2 4 2 8" xfId="41552"/>
    <cellStyle name="Normal 7 2 2 2 2 4 2 8" xfId="41553"/>
    <cellStyle name="Normal 2 4 2 2 2 4 2 8" xfId="41554"/>
    <cellStyle name="Normal 3 4 2 2 2 4 2 8" xfId="41555"/>
    <cellStyle name="Normal 4 3 2 2 2 4 2 8" xfId="41556"/>
    <cellStyle name="Normal 5 3 2 2 2 4 2 8" xfId="41557"/>
    <cellStyle name="Normal 7 3 2 2 2 4 2 8" xfId="41558"/>
    <cellStyle name="Normal 2 6 2 2 4 2 8" xfId="41559"/>
    <cellStyle name="Normal 3 6 2 2 4 2 8" xfId="41560"/>
    <cellStyle name="Normal 4 5 2 2 4 2 8" xfId="41561"/>
    <cellStyle name="Normal 5 5 2 2 4 2 8" xfId="41562"/>
    <cellStyle name="Normal 7 5 2 2 4 2 8" xfId="41563"/>
    <cellStyle name="Normal 2 3 3 2 2 4 2 8" xfId="41564"/>
    <cellStyle name="Normal 3 3 3 2 2 4 2 8" xfId="41565"/>
    <cellStyle name="Normal 4 2 3 2 2 4 2 8" xfId="41566"/>
    <cellStyle name="Normal 5 2 3 2 2 4 2 8" xfId="41567"/>
    <cellStyle name="Normal 7 2 3 2 2 4 2 8" xfId="41568"/>
    <cellStyle name="Normal 2 4 3 2 2 4 2 8" xfId="41569"/>
    <cellStyle name="Normal 3 4 3 2 2 4 2 8" xfId="41570"/>
    <cellStyle name="Normal 4 3 3 2 2 4 2 8" xfId="41571"/>
    <cellStyle name="Normal 5 3 3 2 2 4 2 8" xfId="41572"/>
    <cellStyle name="Normal 7 3 3 2 2 4 2 8" xfId="41573"/>
    <cellStyle name="Normal 2 9 2 2 8" xfId="41574"/>
    <cellStyle name="Normal 3 9 2 2 8" xfId="41575"/>
    <cellStyle name="Normal 4 8 2 2 8" xfId="41576"/>
    <cellStyle name="Normal 5 8 2 2 8" xfId="41577"/>
    <cellStyle name="Normal 7 8 2 2 8" xfId="41578"/>
    <cellStyle name="Normal 2 3 6 2 2 8" xfId="41579"/>
    <cellStyle name="Normal 3 3 6 2 2 8" xfId="41580"/>
    <cellStyle name="Normal 4 2 6 2 2 8" xfId="41581"/>
    <cellStyle name="Normal 5 2 6 2 2 8" xfId="41582"/>
    <cellStyle name="Normal 7 2 6 2 2 8" xfId="41583"/>
    <cellStyle name="Normal 2 4 6 2 2 8" xfId="41584"/>
    <cellStyle name="Normal 3 4 6 2 2 8" xfId="41585"/>
    <cellStyle name="Normal 4 3 6 2 2 8" xfId="41586"/>
    <cellStyle name="Normal 5 3 6 2 2 8" xfId="41587"/>
    <cellStyle name="Normal 7 3 6 2 2 8" xfId="41588"/>
    <cellStyle name="Normal 2 5 4 2 2 8" xfId="41589"/>
    <cellStyle name="Normal 3 5 4 2 2 8" xfId="41590"/>
    <cellStyle name="Normal 4 4 4 2 2 8" xfId="41591"/>
    <cellStyle name="Normal 5 4 4 2 2 8" xfId="41592"/>
    <cellStyle name="Normal 7 4 4 2 2 8" xfId="41593"/>
    <cellStyle name="Normal 2 3 2 4 2 2 8" xfId="41594"/>
    <cellStyle name="Normal 3 3 2 4 2 2 8" xfId="41595"/>
    <cellStyle name="Normal 4 2 2 4 2 2 8" xfId="41596"/>
    <cellStyle name="Normal 5 2 2 4 2 2 8" xfId="41597"/>
    <cellStyle name="Normal 7 2 2 4 2 2 8" xfId="41598"/>
    <cellStyle name="Normal 2 4 2 4 2 2 8" xfId="41599"/>
    <cellStyle name="Normal 3 4 2 4 2 2 8" xfId="41600"/>
    <cellStyle name="Normal 4 3 2 4 2 2 8" xfId="41601"/>
    <cellStyle name="Normal 5 3 2 4 2 2 8" xfId="41602"/>
    <cellStyle name="Normal 7 3 2 4 2 2 8" xfId="41603"/>
    <cellStyle name="Normal 2 6 4 2 2 8" xfId="41604"/>
    <cellStyle name="Normal 3 6 4 2 2 8" xfId="41605"/>
    <cellStyle name="Normal 4 5 4 2 2 8" xfId="41606"/>
    <cellStyle name="Normal 5 5 4 2 2 8" xfId="41607"/>
    <cellStyle name="Normal 7 5 4 2 2 8" xfId="41608"/>
    <cellStyle name="Normal 2 3 3 4 2 2 8" xfId="41609"/>
    <cellStyle name="Normal 3 3 3 4 2 2 8" xfId="41610"/>
    <cellStyle name="Normal 4 2 3 4 2 2 8" xfId="41611"/>
    <cellStyle name="Normal 5 2 3 4 2 2 8" xfId="41612"/>
    <cellStyle name="Normal 7 2 3 4 2 2 8" xfId="41613"/>
    <cellStyle name="Normal 2 4 3 4 2 2 8" xfId="41614"/>
    <cellStyle name="Normal 3 4 3 4 2 2 8" xfId="41615"/>
    <cellStyle name="Normal 4 3 3 4 2 2 8" xfId="41616"/>
    <cellStyle name="Normal 5 3 3 4 2 2 8" xfId="41617"/>
    <cellStyle name="Normal 7 3 3 4 2 2 8" xfId="41618"/>
    <cellStyle name="Normal 2 7 3 2 2 8" xfId="41619"/>
    <cellStyle name="Normal 3 7 3 2 2 8" xfId="41620"/>
    <cellStyle name="Normal 4 6 3 2 2 8" xfId="41621"/>
    <cellStyle name="Normal 5 6 3 2 2 8" xfId="41622"/>
    <cellStyle name="Normal 7 6 3 2 2 8" xfId="41623"/>
    <cellStyle name="Normal 2 3 4 3 2 2 8" xfId="41624"/>
    <cellStyle name="Normal 3 3 4 3 2 2 8" xfId="41625"/>
    <cellStyle name="Normal 4 2 4 3 2 2 8" xfId="41626"/>
    <cellStyle name="Normal 5 2 4 3 2 2 8" xfId="41627"/>
    <cellStyle name="Normal 7 2 4 3 2 2 8" xfId="41628"/>
    <cellStyle name="Normal 2 4 4 3 2 2 8" xfId="41629"/>
    <cellStyle name="Normal 3 4 4 3 2 2 8" xfId="41630"/>
    <cellStyle name="Normal 4 3 4 3 2 2 8" xfId="41631"/>
    <cellStyle name="Normal 5 3 4 3 2 2 8" xfId="41632"/>
    <cellStyle name="Normal 7 3 4 3 2 2 8" xfId="41633"/>
    <cellStyle name="Normal 2 5 2 3 2 2 8" xfId="41634"/>
    <cellStyle name="Normal 3 5 2 3 2 2 8" xfId="41635"/>
    <cellStyle name="Normal 4 4 2 3 2 2 8" xfId="41636"/>
    <cellStyle name="Normal 5 4 2 3 2 2 8" xfId="41637"/>
    <cellStyle name="Normal 7 4 2 3 2 2 8" xfId="41638"/>
    <cellStyle name="Normal 2 3 2 2 3 2 2 8" xfId="41639"/>
    <cellStyle name="Normal 3 3 2 2 3 2 2 8" xfId="41640"/>
    <cellStyle name="Normal 4 2 2 2 3 2 2 8" xfId="41641"/>
    <cellStyle name="Normal 5 2 2 2 3 2 2 8" xfId="41642"/>
    <cellStyle name="Normal 7 2 2 2 3 2 2 8" xfId="41643"/>
    <cellStyle name="Normal 2 4 2 2 3 2 2 8" xfId="41644"/>
    <cellStyle name="Normal 3 4 2 2 3 2 2 8" xfId="41645"/>
    <cellStyle name="Normal 4 3 2 2 3 2 2 8" xfId="41646"/>
    <cellStyle name="Normal 5 3 2 2 3 2 2 8" xfId="41647"/>
    <cellStyle name="Normal 7 3 2 2 3 2 2 8" xfId="41648"/>
    <cellStyle name="Normal 2 6 2 3 2 2 8" xfId="41649"/>
    <cellStyle name="Normal 3 6 2 3 2 2 8" xfId="41650"/>
    <cellStyle name="Normal 4 5 2 3 2 2 8" xfId="41651"/>
    <cellStyle name="Normal 5 5 2 3 2 2 8" xfId="41652"/>
    <cellStyle name="Normal 7 5 2 3 2 2 8" xfId="41653"/>
    <cellStyle name="Normal 2 3 3 2 3 2 2 8" xfId="41654"/>
    <cellStyle name="Normal 3 3 3 2 3 2 2 8" xfId="41655"/>
    <cellStyle name="Normal 4 2 3 2 3 2 2 8" xfId="41656"/>
    <cellStyle name="Normal 5 2 3 2 3 2 2 8" xfId="41657"/>
    <cellStyle name="Normal 7 2 3 2 3 2 2 8" xfId="41658"/>
    <cellStyle name="Normal 2 4 3 2 3 2 2 8" xfId="41659"/>
    <cellStyle name="Normal 3 4 3 2 3 2 2 8" xfId="41660"/>
    <cellStyle name="Normal 4 3 3 2 3 2 2 8" xfId="41661"/>
    <cellStyle name="Normal 5 3 3 2 3 2 2 8" xfId="41662"/>
    <cellStyle name="Normal 7 3 3 2 3 2 2 8" xfId="41663"/>
    <cellStyle name="Normal 2 8 2 2 2 8" xfId="41664"/>
    <cellStyle name="Normal 3 8 2 2 2 8" xfId="41665"/>
    <cellStyle name="Normal 4 7 2 2 2 8" xfId="41666"/>
    <cellStyle name="Normal 5 7 2 2 2 8" xfId="41667"/>
    <cellStyle name="Normal 7 7 2 2 2 8" xfId="41668"/>
    <cellStyle name="Normal 2 3 5 2 2 2 8" xfId="41669"/>
    <cellStyle name="Normal 3 3 5 2 2 2 8" xfId="41670"/>
    <cellStyle name="Normal 4 2 5 2 2 2 8" xfId="41671"/>
    <cellStyle name="Normal 5 2 5 2 2 2 8" xfId="41672"/>
    <cellStyle name="Normal 7 2 5 2 2 2 8" xfId="41673"/>
    <cellStyle name="Normal 2 4 5 2 2 2 8" xfId="41674"/>
    <cellStyle name="Normal 3 4 5 2 2 2 8" xfId="41675"/>
    <cellStyle name="Normal 4 3 5 2 2 2 8" xfId="41676"/>
    <cellStyle name="Normal 5 3 5 2 2 2 8" xfId="41677"/>
    <cellStyle name="Normal 7 3 5 2 2 2 8" xfId="41678"/>
    <cellStyle name="Normal 2 5 3 2 2 2 8" xfId="41679"/>
    <cellStyle name="Normal 3 5 3 2 2 2 8" xfId="41680"/>
    <cellStyle name="Normal 4 4 3 2 2 2 8" xfId="41681"/>
    <cellStyle name="Normal 5 4 3 2 2 2 8" xfId="41682"/>
    <cellStyle name="Normal 7 4 3 2 2 2 8" xfId="41683"/>
    <cellStyle name="Normal 2 3 2 3 2 2 2 8" xfId="41684"/>
    <cellStyle name="Normal 3 3 2 3 2 2 2 8" xfId="41685"/>
    <cellStyle name="Normal 4 2 2 3 2 2 2 8" xfId="41686"/>
    <cellStyle name="Normal 5 2 2 3 2 2 2 8" xfId="41687"/>
    <cellStyle name="Normal 7 2 2 3 2 2 2 8" xfId="41688"/>
    <cellStyle name="Normal 2 4 2 3 2 2 2 8" xfId="41689"/>
    <cellStyle name="Normal 3 4 2 3 2 2 2 8" xfId="41690"/>
    <cellStyle name="Normal 4 3 2 3 2 2 2 8" xfId="41691"/>
    <cellStyle name="Normal 5 3 2 3 2 2 2 8" xfId="41692"/>
    <cellStyle name="Normal 7 3 2 3 2 2 2 8" xfId="41693"/>
    <cellStyle name="Normal 2 6 3 2 2 2 8" xfId="41694"/>
    <cellStyle name="Normal 3 6 3 2 2 2 8" xfId="41695"/>
    <cellStyle name="Normal 4 5 3 2 2 2 8" xfId="41696"/>
    <cellStyle name="Normal 5 5 3 2 2 2 8" xfId="41697"/>
    <cellStyle name="Normal 7 5 3 2 2 2 8" xfId="41698"/>
    <cellStyle name="Normal 2 3 3 3 2 2 2 8" xfId="41699"/>
    <cellStyle name="Normal 3 3 3 3 2 2 2 8" xfId="41700"/>
    <cellStyle name="Normal 4 2 3 3 2 2 2 8" xfId="41701"/>
    <cellStyle name="Normal 5 2 3 3 2 2 2 8" xfId="41702"/>
    <cellStyle name="Normal 7 2 3 3 2 2 2 8" xfId="41703"/>
    <cellStyle name="Normal 2 4 3 3 2 2 2 8" xfId="41704"/>
    <cellStyle name="Normal 3 4 3 3 2 2 2 8" xfId="41705"/>
    <cellStyle name="Normal 4 3 3 3 2 2 2 8" xfId="41706"/>
    <cellStyle name="Normal 5 3 3 3 2 2 2 8" xfId="41707"/>
    <cellStyle name="Normal 7 3 3 3 2 2 2 8" xfId="41708"/>
    <cellStyle name="Normal 2 7 2 2 2 2 8" xfId="41709"/>
    <cellStyle name="Normal 3 7 2 2 2 2 8" xfId="41710"/>
    <cellStyle name="Normal 4 6 2 2 2 2 8" xfId="41711"/>
    <cellStyle name="Normal 5 6 2 2 2 2 8" xfId="41712"/>
    <cellStyle name="Normal 7 6 2 2 2 2 8" xfId="41713"/>
    <cellStyle name="Normal 2 3 4 2 2 2 2 8" xfId="41714"/>
    <cellStyle name="Normal 3 3 4 2 2 2 2 8" xfId="41715"/>
    <cellStyle name="Normal 4 2 4 2 2 2 2 8" xfId="41716"/>
    <cellStyle name="Normal 5 2 4 2 2 2 2 8" xfId="41717"/>
    <cellStyle name="Normal 7 2 4 2 2 2 2 8" xfId="41718"/>
    <cellStyle name="Normal 2 4 4 2 2 2 2 8" xfId="41719"/>
    <cellStyle name="Normal 3 4 4 2 2 2 2 8" xfId="41720"/>
    <cellStyle name="Normal 4 3 4 2 2 2 2 8" xfId="41721"/>
    <cellStyle name="Normal 5 3 4 2 2 2 2 8" xfId="41722"/>
    <cellStyle name="Normal 7 3 4 2 2 2 2 8" xfId="41723"/>
    <cellStyle name="Normal 2 5 2 2 2 2 2 8" xfId="41724"/>
    <cellStyle name="Normal 3 5 2 2 2 2 2 8" xfId="41725"/>
    <cellStyle name="Normal 4 4 2 2 2 2 2 8" xfId="41726"/>
    <cellStyle name="Normal 5 4 2 2 2 2 2 8" xfId="41727"/>
    <cellStyle name="Normal 7 4 2 2 2 2 2 8" xfId="41728"/>
    <cellStyle name="Normal 2 3 2 2 2 2 2 2 8" xfId="41729"/>
    <cellStyle name="Normal 3 3 2 2 2 2 2 2 8" xfId="41730"/>
    <cellStyle name="Normal 4 2 2 2 2 2 2 2 8" xfId="41731"/>
    <cellStyle name="Normal 5 2 2 2 2 2 2 2 8" xfId="41732"/>
    <cellStyle name="Normal 7 2 2 2 2 2 2 2 8" xfId="41733"/>
    <cellStyle name="Normal 2 4 2 2 2 2 2 2 8" xfId="41734"/>
    <cellStyle name="Normal 3 4 2 2 2 2 2 2 8" xfId="41735"/>
    <cellStyle name="Normal 4 3 2 2 2 2 2 2 8" xfId="41736"/>
    <cellStyle name="Normal 5 3 2 2 2 2 2 2 8" xfId="41737"/>
    <cellStyle name="Normal 7 3 2 2 2 2 2 2 8" xfId="41738"/>
    <cellStyle name="Normal 2 6 2 2 2 2 2 8" xfId="41739"/>
    <cellStyle name="Normal 3 6 2 2 2 2 2 8" xfId="41740"/>
    <cellStyle name="Normal 4 5 2 2 2 2 2 8" xfId="41741"/>
    <cellStyle name="Normal 5 5 2 2 2 2 2 8" xfId="41742"/>
    <cellStyle name="Normal 7 5 2 2 2 2 2 8" xfId="41743"/>
    <cellStyle name="Normal 2 3 3 2 2 2 2 2 8" xfId="41744"/>
    <cellStyle name="Normal 3 3 3 2 2 2 2 2 8" xfId="41745"/>
    <cellStyle name="Normal 4 2 3 2 2 2 2 2 8" xfId="41746"/>
    <cellStyle name="Normal 5 2 3 2 2 2 2 2 8" xfId="41747"/>
    <cellStyle name="Normal 7 2 3 2 2 2 2 2 8" xfId="41748"/>
    <cellStyle name="Normal 2 4 3 2 2 2 2 2 8" xfId="41749"/>
    <cellStyle name="Normal 3 4 3 2 2 2 2 2 8" xfId="41750"/>
    <cellStyle name="Normal 4 3 3 2 2 2 2 2 8" xfId="41751"/>
    <cellStyle name="Normal 5 3 3 2 2 2 2 2 8" xfId="41752"/>
    <cellStyle name="Normal 7 3 3 2 2 2 2 2 8" xfId="41753"/>
    <cellStyle name="Normal 28 2 2 8" xfId="41754"/>
    <cellStyle name="Normal 2 3 7 2 2 8" xfId="41755"/>
    <cellStyle name="Normal 3 10 2 2 8" xfId="41756"/>
    <cellStyle name="Normal 4 9 2 2 8" xfId="41757"/>
    <cellStyle name="Normal 5 9 2 2 8" xfId="41758"/>
    <cellStyle name="Millares 4 2 2 8" xfId="41759"/>
    <cellStyle name="Normal 7 2 7 2 2 8" xfId="41760"/>
    <cellStyle name="Normal 3 3 7 2 2 8" xfId="41761"/>
    <cellStyle name="Normal 4 2 7 2 2 8" xfId="41762"/>
    <cellStyle name="Normal 5 2 7 2 2 8" xfId="41763"/>
    <cellStyle name="Normal 2 4 5 3 2 2 8" xfId="41764"/>
    <cellStyle name="Normal 3 4 7 2 2 8" xfId="41765"/>
    <cellStyle name="Normal 4 3 7 2 2 8" xfId="41766"/>
    <cellStyle name="Normal 5 3 7 2 2 8" xfId="41767"/>
    <cellStyle name="Normal 7 3 7 2 2 8" xfId="41768"/>
    <cellStyle name="Normal 2 5 5 2 2 8" xfId="41769"/>
    <cellStyle name="Normal 3 5 5 2 2 8" xfId="41770"/>
    <cellStyle name="Normal 4 4 5 2 2 8" xfId="41771"/>
    <cellStyle name="Normal 5 4 5 2 2 8" xfId="41772"/>
    <cellStyle name="Normal 7 4 5 2 2 8" xfId="41773"/>
    <cellStyle name="Normal 2 3 2 5 2 2 8" xfId="41774"/>
    <cellStyle name="Normal 3 3 2 5 2 2 8" xfId="41775"/>
    <cellStyle name="Normal 4 2 2 5 2 2 8" xfId="41776"/>
    <cellStyle name="Normal 5 2 2 5 2 2 8" xfId="41777"/>
    <cellStyle name="Normal 7 2 2 5 2 2 8" xfId="41778"/>
    <cellStyle name="Normal 2 4 2 5 2 2 8" xfId="41779"/>
    <cellStyle name="Normal 3 4 2 5 2 2 8" xfId="41780"/>
    <cellStyle name="Normal 4 3 2 5 2 2 8" xfId="41781"/>
    <cellStyle name="Normal 5 3 2 5 2 2 8" xfId="41782"/>
    <cellStyle name="Normal 7 3 2 5 2 2 8" xfId="41783"/>
    <cellStyle name="Normal 2 6 5 2 2 8" xfId="41784"/>
    <cellStyle name="Normal 3 6 5 2 2 8" xfId="41785"/>
    <cellStyle name="Normal 4 5 5 2 2 8" xfId="41786"/>
    <cellStyle name="Normal 5 5 5 2 2 8" xfId="41787"/>
    <cellStyle name="Normal 7 5 5 2 2 8" xfId="41788"/>
    <cellStyle name="Normal 2 3 3 5 2 2 8" xfId="41789"/>
    <cellStyle name="Normal 3 3 3 5 2 2 8" xfId="41790"/>
    <cellStyle name="Normal 4 2 3 5 2 2 8" xfId="41791"/>
    <cellStyle name="Normal 5 2 3 5 2 2 8" xfId="41792"/>
    <cellStyle name="Normal 7 2 3 5 2 2 8" xfId="41793"/>
    <cellStyle name="Normal 2 4 3 5 2 2 8" xfId="41794"/>
    <cellStyle name="Normal 3 4 3 5 2 2 8" xfId="41795"/>
    <cellStyle name="Normal 4 3 3 5 2 2 8" xfId="41796"/>
    <cellStyle name="Normal 5 3 3 5 2 2 8" xfId="41797"/>
    <cellStyle name="Normal 7 3 3 5 2 2 8" xfId="41798"/>
    <cellStyle name="Normal 2 7 4 2 2 8" xfId="41799"/>
    <cellStyle name="Normal 3 7 4 2 2 8" xfId="41800"/>
    <cellStyle name="Normal 4 6 4 2 2 8" xfId="41801"/>
    <cellStyle name="Normal 5 6 4 2 2 8" xfId="41802"/>
    <cellStyle name="Normal 7 6 4 2 2 8" xfId="41803"/>
    <cellStyle name="Normal 2 3 4 4 2 2 8" xfId="41804"/>
    <cellStyle name="Normal 3 3 4 4 2 2 8" xfId="41805"/>
    <cellStyle name="Normal 4 2 4 4 2 2 8" xfId="41806"/>
    <cellStyle name="Normal 5 2 4 4 2 2 8" xfId="41807"/>
    <cellStyle name="Normal 7 2 4 4 2 2 8" xfId="41808"/>
    <cellStyle name="Normal 2 4 4 4 2 2 8" xfId="41809"/>
    <cellStyle name="Normal 3 4 4 4 2 2 8" xfId="41810"/>
    <cellStyle name="Normal 4 3 4 4 2 2 8" xfId="41811"/>
    <cellStyle name="Normal 5 3 4 4 2 2 8" xfId="41812"/>
    <cellStyle name="Normal 7 3 4 4 2 2 8" xfId="41813"/>
    <cellStyle name="Normal 2 5 2 4 2 2 8" xfId="41814"/>
    <cellStyle name="Normal 3 5 2 4 2 2 8" xfId="41815"/>
    <cellStyle name="Normal 4 4 2 4 2 2 8" xfId="41816"/>
    <cellStyle name="Normal 5 4 2 4 2 2 8" xfId="41817"/>
    <cellStyle name="Normal 7 4 2 4 2 2 8" xfId="41818"/>
    <cellStyle name="Normal 2 3 2 2 4 2 2 8" xfId="41819"/>
    <cellStyle name="Normal 3 3 2 2 4 2 2 8" xfId="41820"/>
    <cellStyle name="Normal 4 2 2 2 4 2 2 8" xfId="41821"/>
    <cellStyle name="Normal 5 2 2 2 4 2 2 8" xfId="41822"/>
    <cellStyle name="Normal 7 2 2 2 4 2 2 8" xfId="41823"/>
    <cellStyle name="Normal 2 4 2 2 4 2 2 8" xfId="41824"/>
    <cellStyle name="Normal 3 4 2 2 4 2 2 8" xfId="41825"/>
    <cellStyle name="Normal 4 3 2 2 4 2 2 8" xfId="41826"/>
    <cellStyle name="Normal 5 3 2 2 4 2 2 8" xfId="41827"/>
    <cellStyle name="Normal 7 3 2 2 4 2 2 8" xfId="41828"/>
    <cellStyle name="Normal 2 6 2 4 2 2 8" xfId="41829"/>
    <cellStyle name="Normal 3 6 2 4 2 2 8" xfId="41830"/>
    <cellStyle name="Normal 4 5 2 4 2 2 8" xfId="41831"/>
    <cellStyle name="Normal 5 5 2 4 2 2 8" xfId="41832"/>
    <cellStyle name="Normal 7 5 2 4 2 2 8" xfId="41833"/>
    <cellStyle name="Normal 2 3 3 2 4 2 2 8" xfId="41834"/>
    <cellStyle name="Normal 3 3 3 2 4 2 2 8" xfId="41835"/>
    <cellStyle name="Normal 4 2 3 2 4 2 2 8" xfId="41836"/>
    <cellStyle name="Normal 5 2 3 2 4 2 2 8" xfId="41837"/>
    <cellStyle name="Normal 7 2 3 2 4 2 2 8" xfId="41838"/>
    <cellStyle name="Normal 2 4 3 2 4 2 2 8" xfId="41839"/>
    <cellStyle name="Normal 3 4 3 2 4 2 2 8" xfId="41840"/>
    <cellStyle name="Normal 4 3 3 2 4 2 2 8" xfId="41841"/>
    <cellStyle name="Normal 5 3 3 2 4 2 2 8" xfId="41842"/>
    <cellStyle name="Normal 7 3 3 2 4 2 2 8" xfId="41843"/>
    <cellStyle name="Normal 2 8 3 2 2 8" xfId="41844"/>
    <cellStyle name="Normal 3 8 3 2 2 8" xfId="41845"/>
    <cellStyle name="Normal 4 7 3 2 2 8" xfId="41846"/>
    <cellStyle name="Normal 5 7 3 2 2 8" xfId="41847"/>
    <cellStyle name="Normal 7 7 3 2 2 8" xfId="41848"/>
    <cellStyle name="Normal 2 3 5 3 2 2 8" xfId="41849"/>
    <cellStyle name="Normal 3 3 5 3 2 2 8" xfId="41850"/>
    <cellStyle name="Normal 4 2 5 3 2 2 8" xfId="41851"/>
    <cellStyle name="Normal 5 2 5 3 2 2 8" xfId="41852"/>
    <cellStyle name="Normal 7 2 5 3 2 2 8" xfId="41853"/>
    <cellStyle name="Normal 3 4 5 3 2 2 8" xfId="41854"/>
    <cellStyle name="Normal 4 3 5 3 2 2 8" xfId="41855"/>
    <cellStyle name="Normal 5 3 5 3 2 2 8" xfId="41856"/>
    <cellStyle name="Normal 7 3 5 3 2 2 8" xfId="41857"/>
    <cellStyle name="Normal 2 5 3 3 2 2 8" xfId="41858"/>
    <cellStyle name="Normal 3 5 3 3 2 2 8" xfId="41859"/>
    <cellStyle name="Normal 4 4 3 3 2 2 8" xfId="41860"/>
    <cellStyle name="Normal 5 4 3 3 2 2 8" xfId="41861"/>
    <cellStyle name="Normal 7 4 3 3 2 2 8" xfId="41862"/>
    <cellStyle name="Normal 2 3 2 3 3 2 2 8" xfId="41863"/>
    <cellStyle name="Normal 3 3 2 3 3 2 2 8" xfId="41864"/>
    <cellStyle name="Normal 4 2 2 3 3 2 2 8" xfId="41865"/>
    <cellStyle name="Normal 5 2 2 3 3 2 2 8" xfId="41866"/>
    <cellStyle name="Normal 7 2 2 3 3 2 2 8" xfId="41867"/>
    <cellStyle name="Normal 2 4 2 3 3 2 2 8" xfId="41868"/>
    <cellStyle name="Normal 3 4 2 3 3 2 2 8" xfId="41869"/>
    <cellStyle name="Normal 4 3 2 3 3 2 2 8" xfId="41870"/>
    <cellStyle name="Normal 5 3 2 3 3 2 2 8" xfId="41871"/>
    <cellStyle name="Normal 7 3 2 3 3 2 2 8" xfId="41872"/>
    <cellStyle name="Normal 2 6 3 3 2 2 8" xfId="41873"/>
    <cellStyle name="Normal 3 6 3 3 2 2 8" xfId="41874"/>
    <cellStyle name="Normal 4 5 3 3 2 2 8" xfId="41875"/>
    <cellStyle name="Normal 5 5 3 3 2 2 8" xfId="41876"/>
    <cellStyle name="Normal 7 5 3 3 2 2 8" xfId="41877"/>
    <cellStyle name="Normal 2 3 3 3 3 2 2 8" xfId="41878"/>
    <cellStyle name="Normal 3 3 3 3 3 2 2 8" xfId="41879"/>
    <cellStyle name="Normal 4 2 3 3 3 2 2 8" xfId="41880"/>
    <cellStyle name="Normal 5 2 3 3 3 2 2 8" xfId="41881"/>
    <cellStyle name="Normal 7 2 3 3 3 2 2 8" xfId="41882"/>
    <cellStyle name="Normal 2 4 3 3 3 2 2 8" xfId="41883"/>
    <cellStyle name="Normal 3 4 3 3 3 2 2 8" xfId="41884"/>
    <cellStyle name="Normal 4 3 3 3 3 2 2 8" xfId="41885"/>
    <cellStyle name="Normal 5 3 3 3 3 2 2 8" xfId="41886"/>
    <cellStyle name="Normal 7 3 3 3 3 2 2 8" xfId="41887"/>
    <cellStyle name="Normal 2 7 2 3 2 2 8" xfId="41888"/>
    <cellStyle name="Normal 3 7 2 3 2 2 8" xfId="41889"/>
    <cellStyle name="Normal 4 6 2 3 2 2 8" xfId="41890"/>
    <cellStyle name="Normal 5 6 2 3 2 2 8" xfId="41891"/>
    <cellStyle name="Normal 7 6 2 3 2 2 8" xfId="41892"/>
    <cellStyle name="Normal 2 3 4 2 3 2 2 8" xfId="41893"/>
    <cellStyle name="Normal 3 3 4 2 3 2 2 8" xfId="41894"/>
    <cellStyle name="Normal 4 2 4 2 3 2 2 8" xfId="41895"/>
    <cellStyle name="Normal 5 2 4 2 3 2 2 8" xfId="41896"/>
    <cellStyle name="Normal 7 2 4 2 3 2 2 8" xfId="41897"/>
    <cellStyle name="Normal 2 4 4 2 3 2 2 8" xfId="41898"/>
    <cellStyle name="Normal 3 4 4 2 3 2 2 8" xfId="41899"/>
    <cellStyle name="Normal 4 3 4 2 3 2 2 8" xfId="41900"/>
    <cellStyle name="Normal 5 3 4 2 3 2 2 8" xfId="41901"/>
    <cellStyle name="Normal 7 3 4 2 3 2 2 8" xfId="41902"/>
    <cellStyle name="Normal 2 5 2 2 3 2 2 8" xfId="41903"/>
    <cellStyle name="Normal 3 5 2 2 3 2 2 8" xfId="41904"/>
    <cellStyle name="Normal 4 4 2 2 3 2 2 8" xfId="41905"/>
    <cellStyle name="Normal 5 4 2 2 3 2 2 8" xfId="41906"/>
    <cellStyle name="Normal 7 4 2 2 3 2 2 8" xfId="41907"/>
    <cellStyle name="Normal 2 3 2 2 2 3 2 2 8" xfId="41908"/>
    <cellStyle name="Normal 3 3 2 2 2 3 2 2 8" xfId="41909"/>
    <cellStyle name="Normal 4 2 2 2 2 3 2 2 8" xfId="41910"/>
    <cellStyle name="Normal 5 2 2 2 2 3 2 2 8" xfId="41911"/>
    <cellStyle name="Normal 7 2 2 2 2 3 2 2 8" xfId="41912"/>
    <cellStyle name="Normal 2 4 2 2 2 3 2 2 8" xfId="41913"/>
    <cellStyle name="Normal 3 4 2 2 2 3 2 2 8" xfId="41914"/>
    <cellStyle name="Normal 4 3 2 2 2 3 2 2 8" xfId="41915"/>
    <cellStyle name="Normal 5 3 2 2 2 3 2 2 8" xfId="41916"/>
    <cellStyle name="Normal 7 3 2 2 2 3 2 2 8" xfId="41917"/>
    <cellStyle name="Normal 2 6 2 2 3 2 2 8" xfId="41918"/>
    <cellStyle name="Normal 3 6 2 2 3 2 2 8" xfId="41919"/>
    <cellStyle name="Normal 4 5 2 2 3 2 2 8" xfId="41920"/>
    <cellStyle name="Normal 5 5 2 2 3 2 2 8" xfId="41921"/>
    <cellStyle name="Normal 7 5 2 2 3 2 2 8" xfId="41922"/>
    <cellStyle name="Normal 2 3 3 2 2 3 2 2 8" xfId="41923"/>
    <cellStyle name="Normal 3 3 3 2 2 3 2 2 8" xfId="41924"/>
    <cellStyle name="Normal 4 2 3 2 2 3 2 2 8" xfId="41925"/>
    <cellStyle name="Normal 5 2 3 2 2 3 2 2 8" xfId="41926"/>
    <cellStyle name="Normal 7 2 3 2 2 3 2 2 8" xfId="41927"/>
    <cellStyle name="Normal 2 4 3 2 2 3 2 2 8" xfId="41928"/>
    <cellStyle name="Normal 3 4 3 2 2 3 2 2 8" xfId="41929"/>
    <cellStyle name="Normal 4 3 3 2 2 3 2 2 8" xfId="41930"/>
    <cellStyle name="Normal 5 3 3 2 2 3 2 2 8" xfId="41931"/>
    <cellStyle name="Normal 7 3 3 2 2 3 2 2 8" xfId="41932"/>
    <cellStyle name="Normal 2 12 2 8" xfId="41933"/>
    <cellStyle name="Normal 3 12 2 8" xfId="41934"/>
    <cellStyle name="Normal 4 11 2 8" xfId="41935"/>
    <cellStyle name="Normal 5 11 2 8" xfId="41936"/>
    <cellStyle name="Normal 7 11 2 8" xfId="41937"/>
    <cellStyle name="Normal 2 3 9 2 8" xfId="41938"/>
    <cellStyle name="Normal 3 3 9 2 8" xfId="41939"/>
    <cellStyle name="Normal 4 2 9 2 8" xfId="41940"/>
    <cellStyle name="Normal 5 2 9 2 8" xfId="41941"/>
    <cellStyle name="Normal 7 2 9 2 8" xfId="41942"/>
    <cellStyle name="Normal 2 4 9 2 8" xfId="41943"/>
    <cellStyle name="Normal 3 4 9 2 8" xfId="41944"/>
    <cellStyle name="Normal 4 3 9 2 8" xfId="41945"/>
    <cellStyle name="Normal 5 3 9 2 8" xfId="41946"/>
    <cellStyle name="Normal 7 3 9 2 8" xfId="41947"/>
    <cellStyle name="Normal 2 5 7 2 8" xfId="41948"/>
    <cellStyle name="Normal 3 5 7 2 8" xfId="41949"/>
    <cellStyle name="Normal 4 4 7 2 8" xfId="41950"/>
    <cellStyle name="Normal 5 4 7 2 8" xfId="41951"/>
    <cellStyle name="Normal 7 4 7 2 8" xfId="41952"/>
    <cellStyle name="Normal 2 3 2 7 2 8" xfId="41953"/>
    <cellStyle name="Normal 3 3 2 7 2 8" xfId="41954"/>
    <cellStyle name="Normal 4 2 2 7 2 8" xfId="41955"/>
    <cellStyle name="Normal 5 2 2 7 2 8" xfId="41956"/>
    <cellStyle name="Normal 7 2 2 7 2 8" xfId="41957"/>
    <cellStyle name="Normal 2 4 2 7 2 8" xfId="41958"/>
    <cellStyle name="Normal 3 4 2 7 2 8" xfId="41959"/>
    <cellStyle name="Normal 4 3 2 7 2 8" xfId="41960"/>
    <cellStyle name="Normal 5 3 2 7 2 8" xfId="41961"/>
    <cellStyle name="Normal 7 3 2 7 2 8" xfId="41962"/>
    <cellStyle name="Normal 2 6 7 2 8" xfId="41963"/>
    <cellStyle name="Normal 3 6 7 2 8" xfId="41964"/>
    <cellStyle name="Normal 4 5 7 2 8" xfId="41965"/>
    <cellStyle name="Normal 5 5 7 2 8" xfId="41966"/>
    <cellStyle name="Normal 7 5 7 2 8" xfId="41967"/>
    <cellStyle name="Normal 2 3 3 7 2 8" xfId="41968"/>
    <cellStyle name="Normal 3 3 3 7 2 8" xfId="41969"/>
    <cellStyle name="Normal 4 2 3 7 2 8" xfId="41970"/>
    <cellStyle name="Normal 5 2 3 7 2 8" xfId="41971"/>
    <cellStyle name="Normal 7 2 3 7 2 8" xfId="41972"/>
    <cellStyle name="Normal 2 4 3 7 2 8" xfId="41973"/>
    <cellStyle name="Normal 3 4 3 7 2 8" xfId="41974"/>
    <cellStyle name="Normal 4 3 3 7 2 8" xfId="41975"/>
    <cellStyle name="Normal 5 3 3 7 2 8" xfId="41976"/>
    <cellStyle name="Normal 7 3 3 7 2 8" xfId="41977"/>
    <cellStyle name="Normal 2 7 6 2 8" xfId="41978"/>
    <cellStyle name="Normal 3 7 6 2 8" xfId="41979"/>
    <cellStyle name="Normal 4 6 6 2 8" xfId="41980"/>
    <cellStyle name="Normal 5 6 6 2 8" xfId="41981"/>
    <cellStyle name="Normal 7 6 6 2 8" xfId="41982"/>
    <cellStyle name="Normal 2 3 4 6 2 8" xfId="41983"/>
    <cellStyle name="Normal 3 3 4 6 2 8" xfId="41984"/>
    <cellStyle name="Normal 4 2 4 6 2 8" xfId="41985"/>
    <cellStyle name="Normal 5 2 4 6 2 8" xfId="41986"/>
    <cellStyle name="Normal 7 2 4 6 2 8" xfId="41987"/>
    <cellStyle name="Normal 2 4 4 6 2 8" xfId="41988"/>
    <cellStyle name="Normal 3 4 4 6 2 8" xfId="41989"/>
    <cellStyle name="Normal 4 3 4 6 2 8" xfId="41990"/>
    <cellStyle name="Normal 5 3 4 6 2 8" xfId="41991"/>
    <cellStyle name="Normal 7 3 4 6 2 8" xfId="41992"/>
    <cellStyle name="Normal 2 5 2 6 2 8" xfId="41993"/>
    <cellStyle name="Normal 3 5 2 6 2 8" xfId="41994"/>
    <cellStyle name="Normal 4 4 2 6 2 8" xfId="41995"/>
    <cellStyle name="Normal 5 4 2 6 2 8" xfId="41996"/>
    <cellStyle name="Normal 7 4 2 6 2 8" xfId="41997"/>
    <cellStyle name="Normal 2 3 2 2 6 2 8" xfId="41998"/>
    <cellStyle name="Normal 3 3 2 2 6 2 8" xfId="41999"/>
    <cellStyle name="Normal 4 2 2 2 6 2 8" xfId="42000"/>
    <cellStyle name="Normal 5 2 2 2 6 2 8" xfId="42001"/>
    <cellStyle name="Normal 7 2 2 2 6 2 8" xfId="42002"/>
    <cellStyle name="Normal 2 4 2 2 6 2 8" xfId="42003"/>
    <cellStyle name="Normal 3 4 2 2 6 2 8" xfId="42004"/>
    <cellStyle name="Normal 4 3 2 2 6 2 8" xfId="42005"/>
    <cellStyle name="Normal 5 3 2 2 6 2 8" xfId="42006"/>
    <cellStyle name="Normal 7 3 2 2 6 2 8" xfId="42007"/>
    <cellStyle name="Normal 2 6 2 6 2 8" xfId="42008"/>
    <cellStyle name="Normal 3 6 2 6 2 8" xfId="42009"/>
    <cellStyle name="Normal 4 5 2 6 2 8" xfId="42010"/>
    <cellStyle name="Normal 5 5 2 6 2 8" xfId="42011"/>
    <cellStyle name="Normal 7 5 2 6 2 8" xfId="42012"/>
    <cellStyle name="Normal 2 3 3 2 6 2 8" xfId="42013"/>
    <cellStyle name="Normal 3 3 3 2 6 2 8" xfId="42014"/>
    <cellStyle name="Normal 4 2 3 2 6 2 8" xfId="42015"/>
    <cellStyle name="Normal 5 2 3 2 6 2 8" xfId="42016"/>
    <cellStyle name="Normal 7 2 3 2 6 2 8" xfId="42017"/>
    <cellStyle name="Normal 2 4 3 2 6 2 8" xfId="42018"/>
    <cellStyle name="Normal 3 4 3 2 6 2 8" xfId="42019"/>
    <cellStyle name="Normal 4 3 3 2 6 2 8" xfId="42020"/>
    <cellStyle name="Normal 5 3 3 2 6 2 8" xfId="42021"/>
    <cellStyle name="Normal 7 3 3 2 6 2 8" xfId="42022"/>
    <cellStyle name="Normal 2 8 5 2 8" xfId="42023"/>
    <cellStyle name="Normal 3 8 5 2 8" xfId="42024"/>
    <cellStyle name="Normal 4 7 5 2 8" xfId="42025"/>
    <cellStyle name="Normal 5 7 5 2 8" xfId="42026"/>
    <cellStyle name="Normal 7 7 5 2 8" xfId="42027"/>
    <cellStyle name="Normal 2 3 5 5 2 8" xfId="42028"/>
    <cellStyle name="Normal 3 3 5 5 2 8" xfId="42029"/>
    <cellStyle name="Normal 4 2 5 5 2 8" xfId="42030"/>
    <cellStyle name="Normal 5 2 5 5 2 8" xfId="42031"/>
    <cellStyle name="Normal 7 2 5 5 2 8" xfId="42032"/>
    <cellStyle name="Normal 2 4 5 5 2 8" xfId="42033"/>
    <cellStyle name="Normal 3 4 5 5 2 8" xfId="42034"/>
    <cellStyle name="Normal 4 3 5 5 2 8" xfId="42035"/>
    <cellStyle name="Normal 5 3 5 5 2 8" xfId="42036"/>
    <cellStyle name="Normal 7 3 5 5 2 8" xfId="42037"/>
    <cellStyle name="Normal 2 5 3 5 2 8" xfId="42038"/>
    <cellStyle name="Normal 3 5 3 5 2 8" xfId="42039"/>
    <cellStyle name="Normal 4 4 3 5 2 8" xfId="42040"/>
    <cellStyle name="Normal 5 4 3 5 2 8" xfId="42041"/>
    <cellStyle name="Normal 7 4 3 5 2 8" xfId="42042"/>
    <cellStyle name="Normal 2 3 2 3 5 2 8" xfId="42043"/>
    <cellStyle name="Normal 3 3 2 3 5 2 8" xfId="42044"/>
    <cellStyle name="Normal 4 2 2 3 5 2 8" xfId="42045"/>
    <cellStyle name="Normal 5 2 2 3 5 2 8" xfId="42046"/>
    <cellStyle name="Normal 7 2 2 3 5 2 8" xfId="42047"/>
    <cellStyle name="Normal 2 4 2 3 5 2 8" xfId="42048"/>
    <cellStyle name="Normal 3 4 2 3 5 2 8" xfId="42049"/>
    <cellStyle name="Normal 4 3 2 3 5 2 8" xfId="42050"/>
    <cellStyle name="Normal 5 3 2 3 5 2 8" xfId="42051"/>
    <cellStyle name="Normal 7 3 2 3 5 2 8" xfId="42052"/>
    <cellStyle name="Normal 2 6 3 5 2 8" xfId="42053"/>
    <cellStyle name="Normal 3 6 3 5 2 8" xfId="42054"/>
    <cellStyle name="Normal 4 5 3 5 2 8" xfId="42055"/>
    <cellStyle name="Normal 5 5 3 5 2 8" xfId="42056"/>
    <cellStyle name="Normal 7 5 3 5 2 8" xfId="42057"/>
    <cellStyle name="Normal 2 3 3 3 5 2 8" xfId="42058"/>
    <cellStyle name="Normal 3 3 3 3 5 2 8" xfId="42059"/>
    <cellStyle name="Normal 4 2 3 3 5 2 8" xfId="42060"/>
    <cellStyle name="Normal 5 2 3 3 5 2 8" xfId="42061"/>
    <cellStyle name="Normal 7 2 3 3 5 2 8" xfId="42062"/>
    <cellStyle name="Normal 2 4 3 3 5 2 8" xfId="42063"/>
    <cellStyle name="Normal 3 4 3 3 5 2 8" xfId="42064"/>
    <cellStyle name="Normal 4 3 3 3 5 2 8" xfId="42065"/>
    <cellStyle name="Normal 5 3 3 3 5 2 8" xfId="42066"/>
    <cellStyle name="Normal 7 3 3 3 5 2 8" xfId="42067"/>
    <cellStyle name="Normal 2 7 2 5 2 8" xfId="42068"/>
    <cellStyle name="Normal 3 7 2 5 2 8" xfId="42069"/>
    <cellStyle name="Normal 4 6 2 5 2 8" xfId="42070"/>
    <cellStyle name="Normal 5 6 2 5 2 8" xfId="42071"/>
    <cellStyle name="Normal 7 6 2 5 2 8" xfId="42072"/>
    <cellStyle name="Normal 2 3 4 2 5 2 8" xfId="42073"/>
    <cellStyle name="Normal 3 3 4 2 5 2 8" xfId="42074"/>
    <cellStyle name="Normal 4 2 4 2 5 2 8" xfId="42075"/>
    <cellStyle name="Normal 5 2 4 2 5 2 8" xfId="42076"/>
    <cellStyle name="Normal 7 2 4 2 5 2 8" xfId="42077"/>
    <cellStyle name="Normal 2 4 4 2 5 2 8" xfId="42078"/>
    <cellStyle name="Normal 3 4 4 2 5 2 8" xfId="42079"/>
    <cellStyle name="Normal 4 3 4 2 5 2 8" xfId="42080"/>
    <cellStyle name="Normal 5 3 4 2 5 2 8" xfId="42081"/>
    <cellStyle name="Normal 7 3 4 2 5 2 8" xfId="42082"/>
    <cellStyle name="Normal 2 5 2 2 5 2 8" xfId="42083"/>
    <cellStyle name="Normal 3 5 2 2 5 2 8" xfId="42084"/>
    <cellStyle name="Normal 4 4 2 2 5 2 8" xfId="42085"/>
    <cellStyle name="Normal 5 4 2 2 5 2 8" xfId="42086"/>
    <cellStyle name="Normal 7 4 2 2 5 2 8" xfId="42087"/>
    <cellStyle name="Normal 2 3 2 2 2 5 2 8" xfId="42088"/>
    <cellStyle name="Normal 3 3 2 2 2 5 2 8" xfId="42089"/>
    <cellStyle name="Normal 4 2 2 2 2 5 2 8" xfId="42090"/>
    <cellStyle name="Normal 5 2 2 2 2 5 2 8" xfId="42091"/>
    <cellStyle name="Normal 7 2 2 2 2 5 2 8" xfId="42092"/>
    <cellStyle name="Normal 2 4 2 2 2 5 2 8" xfId="42093"/>
    <cellStyle name="Normal 3 4 2 2 2 5 2 8" xfId="42094"/>
    <cellStyle name="Normal 4 3 2 2 2 5 2 8" xfId="42095"/>
    <cellStyle name="Normal 5 3 2 2 2 5 2 8" xfId="42096"/>
    <cellStyle name="Normal 7 3 2 2 2 5 2 8" xfId="42097"/>
    <cellStyle name="Normal 2 6 2 2 5 2 8" xfId="42098"/>
    <cellStyle name="Normal 3 6 2 2 5 2 8" xfId="42099"/>
    <cellStyle name="Normal 4 5 2 2 5 2 8" xfId="42100"/>
    <cellStyle name="Normal 5 5 2 2 5 2 8" xfId="42101"/>
    <cellStyle name="Normal 7 5 2 2 5 2 8" xfId="42102"/>
    <cellStyle name="Normal 2 3 3 2 2 5 2 8" xfId="42103"/>
    <cellStyle name="Normal 3 3 3 2 2 5 2 8" xfId="42104"/>
    <cellStyle name="Normal 4 2 3 2 2 5 2 8" xfId="42105"/>
    <cellStyle name="Normal 5 2 3 2 2 5 2 8" xfId="42106"/>
    <cellStyle name="Normal 7 2 3 2 2 5 2 8" xfId="42107"/>
    <cellStyle name="Normal 2 4 3 2 2 5 2 8" xfId="42108"/>
    <cellStyle name="Normal 3 4 3 2 2 5 2 8" xfId="42109"/>
    <cellStyle name="Normal 4 3 3 2 2 5 2 8" xfId="42110"/>
    <cellStyle name="Normal 5 3 3 2 2 5 2 8" xfId="42111"/>
    <cellStyle name="Normal 7 3 3 2 2 5 2 8" xfId="42112"/>
    <cellStyle name="Normal 2 9 3 2 8" xfId="42113"/>
    <cellStyle name="Normal 3 9 3 2 8" xfId="42114"/>
    <cellStyle name="Normal 4 8 3 2 8" xfId="42115"/>
    <cellStyle name="Normal 5 8 3 2 8" xfId="42116"/>
    <cellStyle name="Normal 7 8 3 2 8" xfId="42117"/>
    <cellStyle name="Normal 2 3 6 3 2 8" xfId="42118"/>
    <cellStyle name="Normal 3 3 6 3 2 8" xfId="42119"/>
    <cellStyle name="Normal 4 2 6 3 2 8" xfId="42120"/>
    <cellStyle name="Normal 5 2 6 3 2 8" xfId="42121"/>
    <cellStyle name="Normal 7 2 6 3 2 8" xfId="42122"/>
    <cellStyle name="Normal 2 4 6 3 2 8" xfId="42123"/>
    <cellStyle name="Normal 3 4 6 3 2 8" xfId="42124"/>
    <cellStyle name="Normal 4 3 6 3 2 8" xfId="42125"/>
    <cellStyle name="Normal 5 3 6 3 2 8" xfId="42126"/>
    <cellStyle name="Normal 7 3 6 3 2 8" xfId="42127"/>
    <cellStyle name="Normal 2 5 4 3 2 8" xfId="42128"/>
    <cellStyle name="Normal 3 5 4 3 2 8" xfId="42129"/>
    <cellStyle name="Normal 4 4 4 3 2 8" xfId="42130"/>
    <cellStyle name="Normal 5 4 4 3 2 8" xfId="42131"/>
    <cellStyle name="Normal 7 4 4 3 2 8" xfId="42132"/>
    <cellStyle name="Normal 2 3 2 4 3 2 8" xfId="42133"/>
    <cellStyle name="Normal 3 3 2 4 3 2 8" xfId="42134"/>
    <cellStyle name="Normal 4 2 2 4 3 2 8" xfId="42135"/>
    <cellStyle name="Normal 5 2 2 4 3 2 8" xfId="42136"/>
    <cellStyle name="Normal 7 2 2 4 3 2 8" xfId="42137"/>
    <cellStyle name="Normal 2 4 2 4 3 2 8" xfId="42138"/>
    <cellStyle name="Normal 3 4 2 4 3 2 8" xfId="42139"/>
    <cellStyle name="Normal 4 3 2 4 3 2 8" xfId="42140"/>
    <cellStyle name="Normal 5 3 2 4 3 2 8" xfId="42141"/>
    <cellStyle name="Normal 7 3 2 4 3 2 8" xfId="42142"/>
    <cellStyle name="Normal 2 6 4 3 2 8" xfId="42143"/>
    <cellStyle name="Normal 3 6 4 3 2 8" xfId="42144"/>
    <cellStyle name="Normal 4 5 4 3 2 8" xfId="42145"/>
    <cellStyle name="Normal 5 5 4 3 2 8" xfId="42146"/>
    <cellStyle name="Normal 7 5 4 3 2 8" xfId="42147"/>
    <cellStyle name="Normal 2 3 3 4 3 2 8" xfId="42148"/>
    <cellStyle name="Normal 3 3 3 4 3 2 8" xfId="42149"/>
    <cellStyle name="Normal 4 2 3 4 3 2 8" xfId="42150"/>
    <cellStyle name="Normal 5 2 3 4 3 2 8" xfId="42151"/>
    <cellStyle name="Normal 7 2 3 4 3 2 8" xfId="42152"/>
    <cellStyle name="Normal 2 4 3 4 3 2 8" xfId="42153"/>
    <cellStyle name="Normal 3 4 3 4 3 2 8" xfId="42154"/>
    <cellStyle name="Normal 4 3 3 4 3 2 8" xfId="42155"/>
    <cellStyle name="Normal 5 3 3 4 3 2 8" xfId="42156"/>
    <cellStyle name="Normal 7 3 3 4 3 2 8" xfId="42157"/>
    <cellStyle name="Normal 2 7 3 3 2 8" xfId="42158"/>
    <cellStyle name="Normal 3 7 3 3 2 8" xfId="42159"/>
    <cellStyle name="Normal 4 6 3 3 2 8" xfId="42160"/>
    <cellStyle name="Normal 5 6 3 3 2 8" xfId="42161"/>
    <cellStyle name="Normal 7 6 3 3 2 8" xfId="42162"/>
    <cellStyle name="Normal 2 3 4 3 3 2 8" xfId="42163"/>
    <cellStyle name="Normal 3 3 4 3 3 2 8" xfId="42164"/>
    <cellStyle name="Normal 4 2 4 3 3 2 8" xfId="42165"/>
    <cellStyle name="Normal 5 2 4 3 3 2 8" xfId="42166"/>
    <cellStyle name="Normal 7 2 4 3 3 2 8" xfId="42167"/>
    <cellStyle name="Normal 2 4 4 3 3 2 8" xfId="42168"/>
    <cellStyle name="Normal 3 4 4 3 3 2 8" xfId="42169"/>
    <cellStyle name="Normal 4 3 4 3 3 2 8" xfId="42170"/>
    <cellStyle name="Normal 5 3 4 3 3 2 8" xfId="42171"/>
    <cellStyle name="Normal 7 3 4 3 3 2 8" xfId="42172"/>
    <cellStyle name="Normal 2 5 2 3 3 2 8" xfId="42173"/>
    <cellStyle name="Normal 3 5 2 3 3 2 8" xfId="42174"/>
    <cellStyle name="Normal 4 4 2 3 3 2 8" xfId="42175"/>
    <cellStyle name="Normal 5 4 2 3 3 2 8" xfId="42176"/>
    <cellStyle name="Normal 7 4 2 3 3 2 8" xfId="42177"/>
    <cellStyle name="Normal 2 3 2 2 3 3 2 8" xfId="42178"/>
    <cellStyle name="Normal 3 3 2 2 3 3 2 8" xfId="42179"/>
    <cellStyle name="Normal 4 2 2 2 3 3 2 8" xfId="42180"/>
    <cellStyle name="Normal 5 2 2 2 3 3 2 8" xfId="42181"/>
    <cellStyle name="Normal 7 2 2 2 3 3 2 8" xfId="42182"/>
    <cellStyle name="Normal 2 4 2 2 3 3 2 8" xfId="42183"/>
    <cellStyle name="Normal 3 4 2 2 3 3 2 8" xfId="42184"/>
    <cellStyle name="Normal 4 3 2 2 3 3 2 8" xfId="42185"/>
    <cellStyle name="Normal 5 3 2 2 3 3 2 8" xfId="42186"/>
    <cellStyle name="Normal 7 3 2 2 3 3 2 8" xfId="42187"/>
    <cellStyle name="Normal 2 6 2 3 3 2 8" xfId="42188"/>
    <cellStyle name="Normal 3 6 2 3 3 2 8" xfId="42189"/>
    <cellStyle name="Normal 4 5 2 3 3 2 8" xfId="42190"/>
    <cellStyle name="Normal 5 5 2 3 3 2 8" xfId="42191"/>
    <cellStyle name="Normal 7 5 2 3 3 2 8" xfId="42192"/>
    <cellStyle name="Normal 2 3 3 2 3 3 2 8" xfId="42193"/>
    <cellStyle name="Normal 3 3 3 2 3 3 2 8" xfId="42194"/>
    <cellStyle name="Normal 4 2 3 2 3 3 2 8" xfId="42195"/>
    <cellStyle name="Normal 5 2 3 2 3 3 2 8" xfId="42196"/>
    <cellStyle name="Normal 7 2 3 2 3 3 2 8" xfId="42197"/>
    <cellStyle name="Normal 2 4 3 2 3 3 2 8" xfId="42198"/>
    <cellStyle name="Normal 3 4 3 2 3 3 2 8" xfId="42199"/>
    <cellStyle name="Normal 4 3 3 2 3 3 2 8" xfId="42200"/>
    <cellStyle name="Normal 5 3 3 2 3 3 2 8" xfId="42201"/>
    <cellStyle name="Normal 7 3 3 2 3 3 2 8" xfId="42202"/>
    <cellStyle name="Normal 2 8 2 3 2 8" xfId="42203"/>
    <cellStyle name="Normal 3 8 2 3 2 8" xfId="42204"/>
    <cellStyle name="Normal 4 7 2 3 2 8" xfId="42205"/>
    <cellStyle name="Normal 5 7 2 3 2 8" xfId="42206"/>
    <cellStyle name="Normal 7 7 2 3 2 8" xfId="42207"/>
    <cellStyle name="Normal 2 3 5 2 3 2 8" xfId="42208"/>
    <cellStyle name="Normal 3 3 5 2 3 2 8" xfId="42209"/>
    <cellStyle name="Normal 4 2 5 2 3 2 8" xfId="42210"/>
    <cellStyle name="Normal 5 2 5 2 3 2 8" xfId="42211"/>
    <cellStyle name="Normal 7 2 5 2 3 2 8" xfId="42212"/>
    <cellStyle name="Normal 2 4 5 2 3 2 8" xfId="42213"/>
    <cellStyle name="Normal 3 4 5 2 3 2 8" xfId="42214"/>
    <cellStyle name="Normal 4 3 5 2 3 2 8" xfId="42215"/>
    <cellStyle name="Normal 5 3 5 2 3 2 8" xfId="42216"/>
    <cellStyle name="Normal 7 3 5 2 3 2 8" xfId="42217"/>
    <cellStyle name="Normal 2 5 3 2 3 2 8" xfId="42218"/>
    <cellStyle name="Normal 3 5 3 2 3 2 8" xfId="42219"/>
    <cellStyle name="Normal 4 4 3 2 3 2 8" xfId="42220"/>
    <cellStyle name="Normal 5 4 3 2 3 2 8" xfId="42221"/>
    <cellStyle name="Normal 7 4 3 2 3 2 8" xfId="42222"/>
    <cellStyle name="Normal 2 3 2 3 2 3 2 8" xfId="42223"/>
    <cellStyle name="Normal 3 3 2 3 2 3 2 8" xfId="42224"/>
    <cellStyle name="Normal 4 2 2 3 2 3 2 8" xfId="42225"/>
    <cellStyle name="Normal 5 2 2 3 2 3 2 8" xfId="42226"/>
    <cellStyle name="Normal 7 2 2 3 2 3 2 8" xfId="42227"/>
    <cellStyle name="Normal 2 4 2 3 2 3 2 8" xfId="42228"/>
    <cellStyle name="Normal 3 4 2 3 2 3 2 8" xfId="42229"/>
    <cellStyle name="Normal 4 3 2 3 2 3 2 8" xfId="42230"/>
    <cellStyle name="Normal 5 3 2 3 2 3 2 8" xfId="42231"/>
    <cellStyle name="Normal 7 3 2 3 2 3 2 8" xfId="42232"/>
    <cellStyle name="Normal 2 6 3 2 3 2 8" xfId="42233"/>
    <cellStyle name="Normal 3 6 3 2 3 2 8" xfId="42234"/>
    <cellStyle name="Normal 4 5 3 2 3 2 8" xfId="42235"/>
    <cellStyle name="Normal 5 5 3 2 3 2 8" xfId="42236"/>
    <cellStyle name="Normal 7 5 3 2 3 2 8" xfId="42237"/>
    <cellStyle name="Normal 2 3 3 3 2 3 2 8" xfId="42238"/>
    <cellStyle name="Normal 3 3 3 3 2 3 2 8" xfId="42239"/>
    <cellStyle name="Normal 4 2 3 3 2 3 2 8" xfId="42240"/>
    <cellStyle name="Normal 5 2 3 3 2 3 2 8" xfId="42241"/>
    <cellStyle name="Normal 7 2 3 3 2 3 2 8" xfId="42242"/>
    <cellStyle name="Normal 2 4 3 3 2 3 2 8" xfId="42243"/>
    <cellStyle name="Normal 3 4 3 3 2 3 2 8" xfId="42244"/>
    <cellStyle name="Normal 4 3 3 3 2 3 2 8" xfId="42245"/>
    <cellStyle name="Normal 5 3 3 3 2 3 2 8" xfId="42246"/>
    <cellStyle name="Normal 7 3 3 3 2 3 2 8" xfId="42247"/>
    <cellStyle name="Normal 2 7 2 2 3 2 8" xfId="42248"/>
    <cellStyle name="Normal 3 7 2 2 3 2 8" xfId="42249"/>
    <cellStyle name="Normal 4 6 2 2 3 2 8" xfId="42250"/>
    <cellStyle name="Normal 5 6 2 2 3 2 8" xfId="42251"/>
    <cellStyle name="Normal 7 6 2 2 3 2 8" xfId="42252"/>
    <cellStyle name="Normal 2 3 4 2 2 3 2 8" xfId="42253"/>
    <cellStyle name="Normal 3 3 4 2 2 3 2 8" xfId="42254"/>
    <cellStyle name="Normal 4 2 4 2 2 3 2 8" xfId="42255"/>
    <cellStyle name="Normal 5 2 4 2 2 3 2 8" xfId="42256"/>
    <cellStyle name="Normal 7 2 4 2 2 3 2 8" xfId="42257"/>
    <cellStyle name="Normal 2 4 4 2 2 3 2 8" xfId="42258"/>
    <cellStyle name="Normal 3 4 4 2 2 3 2 8" xfId="42259"/>
    <cellStyle name="Normal 4 3 4 2 2 3 2 8" xfId="42260"/>
    <cellStyle name="Normal 5 3 4 2 2 3 2 8" xfId="42261"/>
    <cellStyle name="Normal 7 3 4 2 2 3 2 8" xfId="42262"/>
    <cellStyle name="Normal 2 5 2 2 2 3 2 8" xfId="42263"/>
    <cellStyle name="Normal 3 5 2 2 2 3 2 8" xfId="42264"/>
    <cellStyle name="Normal 4 4 2 2 2 3 2 8" xfId="42265"/>
    <cellStyle name="Normal 5 4 2 2 2 3 2 8" xfId="42266"/>
    <cellStyle name="Normal 7 4 2 2 2 3 2 8" xfId="42267"/>
    <cellStyle name="Normal 2 3 2 2 2 2 3 2 8" xfId="42268"/>
    <cellStyle name="Normal 3 3 2 2 2 2 3 2 8" xfId="42269"/>
    <cellStyle name="Normal 4 2 2 2 2 2 3 2 8" xfId="42270"/>
    <cellStyle name="Normal 5 2 2 2 2 2 3 2 8" xfId="42271"/>
    <cellStyle name="Normal 7 2 2 2 2 2 3 2 8" xfId="42272"/>
    <cellStyle name="Normal 2 4 2 2 2 2 3 2 8" xfId="42273"/>
    <cellStyle name="Normal 3 4 2 2 2 2 3 2 8" xfId="42274"/>
    <cellStyle name="Normal 4 3 2 2 2 2 3 2 8" xfId="42275"/>
    <cellStyle name="Normal 5 3 2 2 2 2 3 2 8" xfId="42276"/>
    <cellStyle name="Normal 7 3 2 2 2 2 3 2 8" xfId="42277"/>
    <cellStyle name="Normal 2 6 2 2 2 3 2 8" xfId="42278"/>
    <cellStyle name="Normal 3 6 2 2 2 3 2 8" xfId="42279"/>
    <cellStyle name="Normal 4 5 2 2 2 3 2 8" xfId="42280"/>
    <cellStyle name="Normal 5 5 2 2 2 3 2 8" xfId="42281"/>
    <cellStyle name="Normal 7 5 2 2 2 3 2 8" xfId="42282"/>
    <cellStyle name="Normal 2 3 3 2 2 2 3 2 8" xfId="42283"/>
    <cellStyle name="Normal 3 3 3 2 2 2 3 2 8" xfId="42284"/>
    <cellStyle name="Normal 4 2 3 2 2 2 3 2 8" xfId="42285"/>
    <cellStyle name="Normal 5 2 3 2 2 2 3 2 8" xfId="42286"/>
    <cellStyle name="Normal 7 2 3 2 2 2 3 2 8" xfId="42287"/>
    <cellStyle name="Normal 2 4 3 2 2 2 3 2 8" xfId="42288"/>
    <cellStyle name="Normal 3 4 3 2 2 2 3 2 8" xfId="42289"/>
    <cellStyle name="Normal 4 3 3 2 2 2 3 2 8" xfId="42290"/>
    <cellStyle name="Normal 5 3 3 2 2 2 3 2 8" xfId="42291"/>
    <cellStyle name="Normal 7 3 3 2 2 2 3 2 8" xfId="42292"/>
    <cellStyle name="Normal 28 3 2 8" xfId="42293"/>
    <cellStyle name="Normal 2 3 7 3 2 8" xfId="42294"/>
    <cellStyle name="Normal 3 10 3 2 8" xfId="42295"/>
    <cellStyle name="Normal 4 9 3 2 8" xfId="42296"/>
    <cellStyle name="Normal 5 9 3 2 8" xfId="42297"/>
    <cellStyle name="Millares 4 3 2 8" xfId="42298"/>
    <cellStyle name="Normal 7 2 7 3 2 8" xfId="42299"/>
    <cellStyle name="Normal 3 3 7 3 2 8" xfId="42300"/>
    <cellStyle name="Normal 4 2 7 3 2 8" xfId="42301"/>
    <cellStyle name="Normal 5 2 7 3 2 8" xfId="42302"/>
    <cellStyle name="Normal 2 4 5 3 3 2 8" xfId="42303"/>
    <cellStyle name="Normal 3 4 7 3 2 8" xfId="42304"/>
    <cellStyle name="Normal 4 3 7 3 2 8" xfId="42305"/>
    <cellStyle name="Normal 5 3 7 3 2 8" xfId="42306"/>
    <cellStyle name="Normal 7 3 7 3 2 8" xfId="42307"/>
    <cellStyle name="Normal 2 5 5 3 2 8" xfId="42308"/>
    <cellStyle name="Normal 3 5 5 3 2 8" xfId="42309"/>
    <cellStyle name="Normal 4 4 5 3 2 8" xfId="42310"/>
    <cellStyle name="Normal 5 4 5 3 2 8" xfId="42311"/>
    <cellStyle name="Normal 7 4 5 3 2 8" xfId="42312"/>
    <cellStyle name="Normal 2 3 2 5 3 2 8" xfId="42313"/>
    <cellStyle name="Normal 3 3 2 5 3 2 8" xfId="42314"/>
    <cellStyle name="Normal 4 2 2 5 3 2 8" xfId="42315"/>
    <cellStyle name="Normal 5 2 2 5 3 2 8" xfId="42316"/>
    <cellStyle name="Normal 7 2 2 5 3 2 8" xfId="42317"/>
    <cellStyle name="Normal 2 4 2 5 3 2 8" xfId="42318"/>
    <cellStyle name="Normal 3 4 2 5 3 2 8" xfId="42319"/>
    <cellStyle name="Normal 4 3 2 5 3 2 8" xfId="42320"/>
    <cellStyle name="Normal 5 3 2 5 3 2 8" xfId="42321"/>
    <cellStyle name="Normal 7 3 2 5 3 2 8" xfId="42322"/>
    <cellStyle name="Normal 2 6 5 3 2 8" xfId="42323"/>
    <cellStyle name="Normal 3 6 5 3 2 8" xfId="42324"/>
    <cellStyle name="Normal 4 5 5 3 2 8" xfId="42325"/>
    <cellStyle name="Normal 5 5 5 3 2 8" xfId="42326"/>
    <cellStyle name="Normal 7 5 5 3 2 8" xfId="42327"/>
    <cellStyle name="Normal 2 3 3 5 3 2 8" xfId="42328"/>
    <cellStyle name="Normal 3 3 3 5 3 2 8" xfId="42329"/>
    <cellStyle name="Normal 4 2 3 5 3 2 8" xfId="42330"/>
    <cellStyle name="Normal 5 2 3 5 3 2 8" xfId="42331"/>
    <cellStyle name="Normal 7 2 3 5 3 2 8" xfId="42332"/>
    <cellStyle name="Normal 2 4 3 5 3 2 8" xfId="42333"/>
    <cellStyle name="Normal 3 4 3 5 3 2 8" xfId="42334"/>
    <cellStyle name="Normal 4 3 3 5 3 2 8" xfId="42335"/>
    <cellStyle name="Normal 5 3 3 5 3 2 8" xfId="42336"/>
    <cellStyle name="Normal 7 3 3 5 3 2 8" xfId="42337"/>
    <cellStyle name="Normal 2 7 4 3 2 8" xfId="42338"/>
    <cellStyle name="Normal 3 7 4 3 2 8" xfId="42339"/>
    <cellStyle name="Normal 4 6 4 3 2 8" xfId="42340"/>
    <cellStyle name="Normal 5 6 4 3 2 8" xfId="42341"/>
    <cellStyle name="Normal 7 6 4 3 2 8" xfId="42342"/>
    <cellStyle name="Normal 2 3 4 4 3 2 8" xfId="42343"/>
    <cellStyle name="Normal 3 3 4 4 3 2 8" xfId="42344"/>
    <cellStyle name="Normal 4 2 4 4 3 2 8" xfId="42345"/>
    <cellStyle name="Normal 5 2 4 4 3 2 8" xfId="42346"/>
    <cellStyle name="Normal 7 2 4 4 3 2 8" xfId="42347"/>
    <cellStyle name="Normal 2 4 4 4 3 2 8" xfId="42348"/>
    <cellStyle name="Normal 3 4 4 4 3 2 8" xfId="42349"/>
    <cellStyle name="Normal 4 3 4 4 3 2 8" xfId="42350"/>
    <cellStyle name="Normal 5 3 4 4 3 2 8" xfId="42351"/>
    <cellStyle name="Normal 7 3 4 4 3 2 8" xfId="42352"/>
    <cellStyle name="Normal 2 5 2 4 3 2 8" xfId="42353"/>
    <cellStyle name="Normal 3 5 2 4 3 2 8" xfId="42354"/>
    <cellStyle name="Normal 4 4 2 4 3 2 8" xfId="42355"/>
    <cellStyle name="Normal 5 4 2 4 3 2 8" xfId="42356"/>
    <cellStyle name="Normal 7 4 2 4 3 2 8" xfId="42357"/>
    <cellStyle name="Normal 2 3 2 2 4 3 2 8" xfId="42358"/>
    <cellStyle name="Normal 3 3 2 2 4 3 2 8" xfId="42359"/>
    <cellStyle name="Normal 4 2 2 2 4 3 2 8" xfId="42360"/>
    <cellStyle name="Normal 5 2 2 2 4 3 2 8" xfId="42361"/>
    <cellStyle name="Normal 7 2 2 2 4 3 2 8" xfId="42362"/>
    <cellStyle name="Normal 2 4 2 2 4 3 2 8" xfId="42363"/>
    <cellStyle name="Normal 3 4 2 2 4 3 2 8" xfId="42364"/>
    <cellStyle name="Normal 4 3 2 2 4 3 2 8" xfId="42365"/>
    <cellStyle name="Normal 5 3 2 2 4 3 2 8" xfId="42366"/>
    <cellStyle name="Normal 7 3 2 2 4 3 2 8" xfId="42367"/>
    <cellStyle name="Normal 2 6 2 4 3 2 8" xfId="42368"/>
    <cellStyle name="Normal 3 6 2 4 3 2 8" xfId="42369"/>
    <cellStyle name="Normal 4 5 2 4 3 2 8" xfId="42370"/>
    <cellStyle name="Normal 5 5 2 4 3 2 8" xfId="42371"/>
    <cellStyle name="Normal 7 5 2 4 3 2 8" xfId="42372"/>
    <cellStyle name="Normal 2 3 3 2 4 3 2 8" xfId="42373"/>
    <cellStyle name="Normal 3 3 3 2 4 3 2 8" xfId="42374"/>
    <cellStyle name="Normal 4 2 3 2 4 3 2 8" xfId="42375"/>
    <cellStyle name="Normal 5 2 3 2 4 3 2 8" xfId="42376"/>
    <cellStyle name="Normal 7 2 3 2 4 3 2 8" xfId="42377"/>
    <cellStyle name="Normal 2 4 3 2 4 3 2 8" xfId="42378"/>
    <cellStyle name="Normal 3 4 3 2 4 3 2 8" xfId="42379"/>
    <cellStyle name="Normal 4 3 3 2 4 3 2 8" xfId="42380"/>
    <cellStyle name="Normal 5 3 3 2 4 3 2 8" xfId="42381"/>
    <cellStyle name="Normal 7 3 3 2 4 3 2 8" xfId="42382"/>
    <cellStyle name="Normal 2 8 3 3 2 8" xfId="42383"/>
    <cellStyle name="Normal 3 8 3 3 2 8" xfId="42384"/>
    <cellStyle name="Normal 4 7 3 3 2 8" xfId="42385"/>
    <cellStyle name="Normal 5 7 3 3 2 8" xfId="42386"/>
    <cellStyle name="Normal 7 7 3 3 2 8" xfId="42387"/>
    <cellStyle name="Normal 2 3 5 3 3 2 8" xfId="42388"/>
    <cellStyle name="Normal 3 3 5 3 3 2 8" xfId="42389"/>
    <cellStyle name="Normal 4 2 5 3 3 2 8" xfId="42390"/>
    <cellStyle name="Normal 5 2 5 3 3 2 8" xfId="42391"/>
    <cellStyle name="Normal 7 2 5 3 3 2 8" xfId="42392"/>
    <cellStyle name="Normal 3 4 5 3 3 2 8" xfId="42393"/>
    <cellStyle name="Normal 4 3 5 3 3 2 8" xfId="42394"/>
    <cellStyle name="Normal 5 3 5 3 3 2 8" xfId="42395"/>
    <cellStyle name="Normal 7 3 5 3 3 2 8" xfId="42396"/>
    <cellStyle name="Normal 2 5 3 3 3 2 8" xfId="42397"/>
    <cellStyle name="Normal 3 5 3 3 3 2 8" xfId="42398"/>
    <cellStyle name="Normal 4 4 3 3 3 2 8" xfId="42399"/>
    <cellStyle name="Normal 5 4 3 3 3 2 8" xfId="42400"/>
    <cellStyle name="Normal 7 4 3 3 3 2 8" xfId="42401"/>
    <cellStyle name="Normal 2 3 2 3 3 3 2 8" xfId="42402"/>
    <cellStyle name="Normal 3 3 2 3 3 3 2 8" xfId="42403"/>
    <cellStyle name="Normal 4 2 2 3 3 3 2 8" xfId="42404"/>
    <cellStyle name="Normal 5 2 2 3 3 3 2 8" xfId="42405"/>
    <cellStyle name="Normal 7 2 2 3 3 3 2 8" xfId="42406"/>
    <cellStyle name="Normal 2 4 2 3 3 3 2 8" xfId="42407"/>
    <cellStyle name="Normal 3 4 2 3 3 3 2 8" xfId="42408"/>
    <cellStyle name="Normal 4 3 2 3 3 3 2 8" xfId="42409"/>
    <cellStyle name="Normal 5 3 2 3 3 3 2 8" xfId="42410"/>
    <cellStyle name="Normal 7 3 2 3 3 3 2 8" xfId="42411"/>
    <cellStyle name="Normal 2 6 3 3 3 2 8" xfId="42412"/>
    <cellStyle name="Normal 3 6 3 3 3 2 8" xfId="42413"/>
    <cellStyle name="Normal 4 5 3 3 3 2 8" xfId="42414"/>
    <cellStyle name="Normal 5 5 3 3 3 2 8" xfId="42415"/>
    <cellStyle name="Normal 7 5 3 3 3 2 8" xfId="42416"/>
    <cellStyle name="Normal 2 3 3 3 3 3 2 8" xfId="42417"/>
    <cellStyle name="Normal 3 3 3 3 3 3 2 8" xfId="42418"/>
    <cellStyle name="Normal 4 2 3 3 3 3 2 8" xfId="42419"/>
    <cellStyle name="Normal 5 2 3 3 3 3 2 8" xfId="42420"/>
    <cellStyle name="Normal 7 2 3 3 3 3 2 8" xfId="42421"/>
    <cellStyle name="Normal 2 4 3 3 3 3 2 8" xfId="42422"/>
    <cellStyle name="Normal 3 4 3 3 3 3 2 8" xfId="42423"/>
    <cellStyle name="Normal 4 3 3 3 3 3 2 8" xfId="42424"/>
    <cellStyle name="Normal 5 3 3 3 3 3 2 8" xfId="42425"/>
    <cellStyle name="Normal 7 3 3 3 3 3 2 8" xfId="42426"/>
    <cellStyle name="Normal 2 7 2 3 3 2 8" xfId="42427"/>
    <cellStyle name="Normal 3 7 2 3 3 2 8" xfId="42428"/>
    <cellStyle name="Normal 4 6 2 3 3 2 8" xfId="42429"/>
    <cellStyle name="Normal 5 6 2 3 3 2 8" xfId="42430"/>
    <cellStyle name="Normal 7 6 2 3 3 2 8" xfId="42431"/>
    <cellStyle name="Normal 2 3 4 2 3 3 2 8" xfId="42432"/>
    <cellStyle name="Normal 3 3 4 2 3 3 2 8" xfId="42433"/>
    <cellStyle name="Normal 4 2 4 2 3 3 2 8" xfId="42434"/>
    <cellStyle name="Normal 5 2 4 2 3 3 2 8" xfId="42435"/>
    <cellStyle name="Normal 7 2 4 2 3 3 2 8" xfId="42436"/>
    <cellStyle name="Normal 2 4 4 2 3 3 2 8" xfId="42437"/>
    <cellStyle name="Normal 3 4 4 2 3 3 2 8" xfId="42438"/>
    <cellStyle name="Normal 4 3 4 2 3 3 2 8" xfId="42439"/>
    <cellStyle name="Normal 5 3 4 2 3 3 2 8" xfId="42440"/>
    <cellStyle name="Normal 7 3 4 2 3 3 2 8" xfId="42441"/>
    <cellStyle name="Normal 2 5 2 2 3 3 2 8" xfId="42442"/>
    <cellStyle name="Normal 3 5 2 2 3 3 2 8" xfId="42443"/>
    <cellStyle name="Normal 4 4 2 2 3 3 2 8" xfId="42444"/>
    <cellStyle name="Normal 5 4 2 2 3 3 2 8" xfId="42445"/>
    <cellStyle name="Normal 7 4 2 2 3 3 2 8" xfId="42446"/>
    <cellStyle name="Normal 2 3 2 2 2 3 3 2 8" xfId="42447"/>
    <cellStyle name="Normal 3 3 2 2 2 3 3 2 8" xfId="42448"/>
    <cellStyle name="Normal 4 2 2 2 2 3 3 2 8" xfId="42449"/>
    <cellStyle name="Normal 5 2 2 2 2 3 3 2 8" xfId="42450"/>
    <cellStyle name="Normal 7 2 2 2 2 3 3 2 8" xfId="42451"/>
    <cellStyle name="Normal 2 4 2 2 2 3 3 2 8" xfId="42452"/>
    <cellStyle name="Normal 3 4 2 2 2 3 3 2 8" xfId="42453"/>
    <cellStyle name="Normal 4 3 2 2 2 3 3 2 8" xfId="42454"/>
    <cellStyle name="Normal 5 3 2 2 2 3 3 2 8" xfId="42455"/>
    <cellStyle name="Normal 7 3 2 2 2 3 3 2 8" xfId="42456"/>
    <cellStyle name="Normal 2 6 2 2 3 3 2 8" xfId="42457"/>
    <cellStyle name="Normal 3 6 2 2 3 3 2 8" xfId="42458"/>
    <cellStyle name="Normal 4 5 2 2 3 3 2 8" xfId="42459"/>
    <cellStyle name="Normal 5 5 2 2 3 3 2 8" xfId="42460"/>
    <cellStyle name="Normal 7 5 2 2 3 3 2 8" xfId="42461"/>
    <cellStyle name="Normal 2 3 3 2 2 3 3 2 8" xfId="42462"/>
    <cellStyle name="Normal 3 3 3 2 2 3 3 2 8" xfId="42463"/>
    <cellStyle name="Normal 4 2 3 2 2 3 3 2 8" xfId="42464"/>
    <cellStyle name="Normal 5 2 3 2 2 3 3 2 8" xfId="42465"/>
    <cellStyle name="Normal 7 2 3 2 2 3 3 2 8" xfId="42466"/>
    <cellStyle name="Normal 2 4 3 2 2 3 3 2 8" xfId="42467"/>
    <cellStyle name="Normal 3 4 3 2 2 3 3 2 8" xfId="42468"/>
    <cellStyle name="Normal 4 3 3 2 2 3 3 2 8" xfId="42469"/>
    <cellStyle name="Normal 5 3 3 2 2 3 3 2 8" xfId="42470"/>
    <cellStyle name="Normal 7 3 3 2 2 3 3 2 8" xfId="42471"/>
    <cellStyle name="Normal 7 2 11 7" xfId="42472"/>
    <cellStyle name="Normal 28 5 7" xfId="42473"/>
    <cellStyle name="Normal 7 2 15 5" xfId="42474"/>
    <cellStyle name="Normal 7 14 6" xfId="42475"/>
    <cellStyle name="Normal 28 8 5" xfId="42476"/>
    <cellStyle name="Normal 7 17 5" xfId="42477"/>
    <cellStyle name="Normal 7 15 5" xfId="42478"/>
    <cellStyle name="Normal 7 2 13 5" xfId="42479"/>
    <cellStyle name="Normal 7 2 12 6" xfId="42480"/>
    <cellStyle name="Normal 28 9 5" xfId="42481"/>
    <cellStyle name="Normal 28 7 5" xfId="42482"/>
    <cellStyle name="Normal 28 6 6" xfId="42483"/>
    <cellStyle name="Normal 7 16 5" xfId="42484"/>
    <cellStyle name="Normal 7 2 14 5" xfId="42485"/>
    <cellStyle name="Normal 47" xfId="42486"/>
    <cellStyle name="Normal 2 22" xfId="42487"/>
    <cellStyle name="Normal 3 22" xfId="42488"/>
    <cellStyle name="Normal 4 21" xfId="42489"/>
    <cellStyle name="Normal 5 21" xfId="42490"/>
    <cellStyle name="Normal 7 3 19" xfId="42491"/>
    <cellStyle name="Normal 7 4 17" xfId="42492"/>
    <cellStyle name="Normal 2 3 19" xfId="42493"/>
    <cellStyle name="Normal 3 3 19" xfId="42494"/>
    <cellStyle name="Normal 4 2 19" xfId="42495"/>
    <cellStyle name="Normal 5 2 19" xfId="42496"/>
    <cellStyle name="Normal 7 2 2 17" xfId="42497"/>
    <cellStyle name="Normal 2 4 19" xfId="42498"/>
    <cellStyle name="Normal 3 4 19" xfId="42499"/>
    <cellStyle name="Normal 4 3 19" xfId="42500"/>
    <cellStyle name="Normal 5 3 19" xfId="42501"/>
    <cellStyle name="Normal 2 5 17" xfId="42502"/>
    <cellStyle name="Normal 3 5 17" xfId="42503"/>
    <cellStyle name="Normal 4 4 17" xfId="42504"/>
    <cellStyle name="Normal 5 4 17" xfId="42505"/>
    <cellStyle name="Normal 2 3 2 17" xfId="42506"/>
    <cellStyle name="Normal 3 3 2 17" xfId="42507"/>
    <cellStyle name="Normal 4 2 2 17" xfId="42508"/>
    <cellStyle name="Normal 5 2 2 17" xfId="42509"/>
    <cellStyle name="Normal 2 4 2 17" xfId="42510"/>
    <cellStyle name="Normal 3 4 2 17" xfId="42511"/>
    <cellStyle name="Normal 4 3 2 17" xfId="42512"/>
    <cellStyle name="Normal 5 3 2 17" xfId="42513"/>
    <cellStyle name="Normal 7 3 2 17" xfId="42514"/>
    <cellStyle name="Normal 2 6 17" xfId="42515"/>
    <cellStyle name="Normal 3 6 17" xfId="42516"/>
    <cellStyle name="Normal 4 5 17" xfId="42517"/>
    <cellStyle name="Normal 5 5 17" xfId="42518"/>
    <cellStyle name="Normal 7 5 17" xfId="42519"/>
    <cellStyle name="Normal 2 3 3 17" xfId="42520"/>
    <cellStyle name="Normal 3 3 3 17" xfId="42521"/>
    <cellStyle name="Normal 4 2 3 17" xfId="42522"/>
    <cellStyle name="Normal 5 2 3 17" xfId="42523"/>
    <cellStyle name="Normal 7 2 3 17" xfId="42524"/>
    <cellStyle name="Normal 2 4 3 17" xfId="42525"/>
    <cellStyle name="Normal 3 4 3 17" xfId="42526"/>
    <cellStyle name="Normal 4 3 3 17" xfId="42527"/>
    <cellStyle name="Normal 5 3 3 17" xfId="42528"/>
    <cellStyle name="Normal 7 3 3 17" xfId="42529"/>
    <cellStyle name="Normal 2 7 16" xfId="42530"/>
    <cellStyle name="Normal 3 7 16" xfId="42531"/>
    <cellStyle name="Normal 4 6 16" xfId="42532"/>
    <cellStyle name="Normal 5 6 16" xfId="42533"/>
    <cellStyle name="Normal 7 6 16" xfId="42534"/>
    <cellStyle name="Normal 2 3 4 16" xfId="42535"/>
    <cellStyle name="Normal 3 3 4 16" xfId="42536"/>
    <cellStyle name="Normal 4 2 4 16" xfId="42537"/>
    <cellStyle name="Normal 5 2 4 16" xfId="42538"/>
    <cellStyle name="Normal 7 2 4 16" xfId="42539"/>
    <cellStyle name="Normal 2 4 4 16" xfId="42540"/>
    <cellStyle name="Normal 3 4 4 16" xfId="42541"/>
    <cellStyle name="Normal 4 3 4 16" xfId="42542"/>
    <cellStyle name="Normal 5 3 4 16" xfId="42543"/>
    <cellStyle name="Normal 7 3 4 16" xfId="42544"/>
    <cellStyle name="Normal 2 5 2 16" xfId="42545"/>
    <cellStyle name="Normal 3 5 2 16" xfId="42546"/>
    <cellStyle name="Normal 4 4 2 16" xfId="42547"/>
    <cellStyle name="Normal 5 4 2 16" xfId="42548"/>
    <cellStyle name="Normal 7 4 2 16" xfId="42549"/>
    <cellStyle name="Normal 2 3 2 2 16" xfId="42550"/>
    <cellStyle name="Normal 3 3 2 2 16" xfId="42551"/>
    <cellStyle name="Normal 4 2 2 2 16" xfId="42552"/>
    <cellStyle name="Normal 5 2 2 2 16" xfId="42553"/>
    <cellStyle name="Normal 7 2 2 2 16" xfId="42554"/>
    <cellStyle name="Normal 2 4 2 2 16" xfId="42555"/>
    <cellStyle name="Normal 3 4 2 2 16" xfId="42556"/>
    <cellStyle name="Normal 4 3 2 2 16" xfId="42557"/>
    <cellStyle name="Normal 5 3 2 2 16" xfId="42558"/>
    <cellStyle name="Normal 7 3 2 2 16" xfId="42559"/>
    <cellStyle name="Normal 2 6 2 16" xfId="42560"/>
    <cellStyle name="Normal 3 6 2 16" xfId="42561"/>
    <cellStyle name="Normal 4 5 2 16" xfId="42562"/>
    <cellStyle name="Normal 5 5 2 16" xfId="42563"/>
    <cellStyle name="Normal 7 5 2 16" xfId="42564"/>
    <cellStyle name="Normal 2 3 3 2 16" xfId="42565"/>
    <cellStyle name="Normal 3 3 3 2 16" xfId="42566"/>
    <cellStyle name="Normal 4 2 3 2 16" xfId="42567"/>
    <cellStyle name="Normal 5 2 3 2 16" xfId="42568"/>
    <cellStyle name="Normal 7 2 3 2 16" xfId="42569"/>
    <cellStyle name="Normal 2 4 3 2 16" xfId="42570"/>
    <cellStyle name="Normal 3 4 3 2 16" xfId="42571"/>
    <cellStyle name="Normal 4 3 3 2 16" xfId="42572"/>
    <cellStyle name="Normal 5 3 3 2 16" xfId="42573"/>
    <cellStyle name="Normal 7 3 3 2 16" xfId="42574"/>
    <cellStyle name="Normal 2 8 14" xfId="42575"/>
    <cellStyle name="Normal 3 8 14" xfId="42576"/>
    <cellStyle name="Normal 4 7 14" xfId="42577"/>
    <cellStyle name="Normal 5 7 14" xfId="42578"/>
    <cellStyle name="Normal 7 7 14" xfId="42579"/>
    <cellStyle name="Normal 2 3 5 14" xfId="42580"/>
    <cellStyle name="Normal 3 3 5 14" xfId="42581"/>
    <cellStyle name="Normal 4 2 5 14" xfId="42582"/>
    <cellStyle name="Normal 5 2 5 14" xfId="42583"/>
    <cellStyle name="Normal 7 2 5 15" xfId="42584"/>
    <cellStyle name="Normal 2 4 5 14" xfId="42585"/>
    <cellStyle name="Normal 3 4 5 14" xfId="42586"/>
    <cellStyle name="Normal 4 3 5 14" xfId="42587"/>
    <cellStyle name="Normal 5 3 5 14" xfId="42588"/>
    <cellStyle name="Normal 7 3 5 14" xfId="42589"/>
    <cellStyle name="Normal 2 5 3 14" xfId="42590"/>
    <cellStyle name="Normal 3 5 3 14" xfId="42591"/>
    <cellStyle name="Normal 4 4 3 14" xfId="42592"/>
    <cellStyle name="Normal 5 4 3 14" xfId="42593"/>
    <cellStyle name="Normal 7 4 3 14" xfId="42594"/>
    <cellStyle name="Normal 2 3 2 3 14" xfId="42595"/>
    <cellStyle name="Normal 3 3 2 3 14" xfId="42596"/>
    <cellStyle name="Normal 4 2 2 3 14" xfId="42597"/>
    <cellStyle name="Normal 5 2 2 3 14" xfId="42598"/>
    <cellStyle name="Normal 7 2 2 3 14" xfId="42599"/>
    <cellStyle name="Normal 2 4 2 3 14" xfId="42600"/>
    <cellStyle name="Normal 3 4 2 3 14" xfId="42601"/>
    <cellStyle name="Normal 4 3 2 3 14" xfId="42602"/>
    <cellStyle name="Normal 5 3 2 3 14" xfId="42603"/>
    <cellStyle name="Normal 7 3 2 3 14" xfId="42604"/>
    <cellStyle name="Normal 2 6 3 14" xfId="42605"/>
    <cellStyle name="Normal 3 6 3 14" xfId="42606"/>
    <cellStyle name="Normal 4 5 3 14" xfId="42607"/>
    <cellStyle name="Normal 5 5 3 14" xfId="42608"/>
    <cellStyle name="Normal 7 5 3 14" xfId="42609"/>
    <cellStyle name="Normal 2 3 3 3 14" xfId="42610"/>
    <cellStyle name="Normal 3 3 3 3 14" xfId="42611"/>
    <cellStyle name="Normal 4 2 3 3 14" xfId="42612"/>
    <cellStyle name="Normal 5 2 3 3 14" xfId="42613"/>
    <cellStyle name="Normal 7 2 3 3 14" xfId="42614"/>
    <cellStyle name="Normal 2 4 3 3 14" xfId="42615"/>
    <cellStyle name="Normal 3 4 3 3 14" xfId="42616"/>
    <cellStyle name="Normal 4 3 3 3 14" xfId="42617"/>
    <cellStyle name="Normal 5 3 3 3 14" xfId="42618"/>
    <cellStyle name="Normal 7 3 3 3 14" xfId="42619"/>
    <cellStyle name="Normal 2 7 2 14" xfId="42620"/>
    <cellStyle name="Normal 3 7 2 14" xfId="42621"/>
    <cellStyle name="Normal 4 6 2 14" xfId="42622"/>
    <cellStyle name="Normal 5 6 2 14" xfId="42623"/>
    <cellStyle name="Normal 7 6 2 14" xfId="42624"/>
    <cellStyle name="Normal 2 3 4 2 14" xfId="42625"/>
    <cellStyle name="Normal 3 3 4 2 14" xfId="42626"/>
    <cellStyle name="Normal 4 2 4 2 14" xfId="42627"/>
    <cellStyle name="Normal 5 2 4 2 14" xfId="42628"/>
    <cellStyle name="Normal 7 2 4 2 14" xfId="42629"/>
    <cellStyle name="Normal 2 4 4 2 14" xfId="42630"/>
    <cellStyle name="Normal 3 4 4 2 14" xfId="42631"/>
    <cellStyle name="Normal 4 3 4 2 14" xfId="42632"/>
    <cellStyle name="Normal 5 3 4 2 14" xfId="42633"/>
    <cellStyle name="Normal 7 3 4 2 14" xfId="42634"/>
    <cellStyle name="Normal 2 5 2 2 14" xfId="42635"/>
    <cellStyle name="Normal 3 5 2 2 14" xfId="42636"/>
    <cellStyle name="Normal 4 4 2 2 14" xfId="42637"/>
    <cellStyle name="Normal 5 4 2 2 14" xfId="42638"/>
    <cellStyle name="Normal 7 4 2 2 14" xfId="42639"/>
    <cellStyle name="Normal 2 3 2 2 2 14" xfId="42640"/>
    <cellStyle name="Normal 3 3 2 2 2 14" xfId="42641"/>
    <cellStyle name="Normal 4 2 2 2 2 14" xfId="42642"/>
    <cellStyle name="Normal 5 2 2 2 2 14" xfId="42643"/>
    <cellStyle name="Normal 7 2 2 2 2 14" xfId="42644"/>
    <cellStyle name="Normal 2 4 2 2 2 14" xfId="42645"/>
    <cellStyle name="Normal 3 4 2 2 2 14" xfId="42646"/>
    <cellStyle name="Normal 4 3 2 2 2 14" xfId="42647"/>
    <cellStyle name="Normal 5 3 2 2 2 14" xfId="42648"/>
    <cellStyle name="Normal 7 3 2 2 2 14" xfId="42649"/>
    <cellStyle name="Normal 2 6 2 2 14" xfId="42650"/>
    <cellStyle name="Normal 3 6 2 2 14" xfId="42651"/>
    <cellStyle name="Normal 4 5 2 2 14" xfId="42652"/>
    <cellStyle name="Normal 5 5 2 2 14" xfId="42653"/>
    <cellStyle name="Normal 7 5 2 2 14" xfId="42654"/>
    <cellStyle name="Normal 2 3 3 2 2 14" xfId="42655"/>
    <cellStyle name="Normal 3 3 3 2 2 14" xfId="42656"/>
    <cellStyle name="Normal 4 2 3 2 2 14" xfId="42657"/>
    <cellStyle name="Normal 5 2 3 2 2 14" xfId="42658"/>
    <cellStyle name="Normal 7 2 3 2 2 14" xfId="42659"/>
    <cellStyle name="Normal 2 4 3 2 2 14" xfId="42660"/>
    <cellStyle name="Normal 3 4 3 2 2 14" xfId="42661"/>
    <cellStyle name="Normal 4 3 3 2 2 14" xfId="42662"/>
    <cellStyle name="Normal 5 3 3 2 2 14" xfId="42663"/>
    <cellStyle name="Normal 7 3 3 2 2 14" xfId="42664"/>
    <cellStyle name="Normal 2 9 12" xfId="42665"/>
    <cellStyle name="Normal 3 9 12" xfId="42666"/>
    <cellStyle name="Normal 4 8 12" xfId="42667"/>
    <cellStyle name="Normal 5 8 12" xfId="42668"/>
    <cellStyle name="Normal 7 8 12" xfId="42669"/>
    <cellStyle name="Normal 2 3 6 12" xfId="42670"/>
    <cellStyle name="Normal 3 3 6 12" xfId="42671"/>
    <cellStyle name="Normal 4 2 6 12" xfId="42672"/>
    <cellStyle name="Normal 5 2 6 12" xfId="42673"/>
    <cellStyle name="Normal 7 2 6 12" xfId="42674"/>
    <cellStyle name="Normal 2 4 6 12" xfId="42675"/>
    <cellStyle name="Normal 3 4 6 12" xfId="42676"/>
    <cellStyle name="Normal 4 3 6 12" xfId="42677"/>
    <cellStyle name="Normal 5 3 6 12" xfId="42678"/>
    <cellStyle name="Normal 7 3 6 12" xfId="42679"/>
    <cellStyle name="Normal 2 5 4 12" xfId="42680"/>
    <cellStyle name="Normal 3 5 4 12" xfId="42681"/>
    <cellStyle name="Normal 4 4 4 12" xfId="42682"/>
    <cellStyle name="Normal 5 4 4 12" xfId="42683"/>
    <cellStyle name="Normal 7 4 4 12" xfId="42684"/>
    <cellStyle name="Normal 2 3 2 4 12" xfId="42685"/>
    <cellStyle name="Normal 3 3 2 4 12" xfId="42686"/>
    <cellStyle name="Normal 4 2 2 4 12" xfId="42687"/>
    <cellStyle name="Normal 5 2 2 4 12" xfId="42688"/>
    <cellStyle name="Normal 7 2 2 4 12" xfId="42689"/>
    <cellStyle name="Normal 2 4 2 4 12" xfId="42690"/>
    <cellStyle name="Normal 3 4 2 4 12" xfId="42691"/>
    <cellStyle name="Normal 4 3 2 4 12" xfId="42692"/>
    <cellStyle name="Normal 5 3 2 4 12" xfId="42693"/>
    <cellStyle name="Normal 7 3 2 4 12" xfId="42694"/>
    <cellStyle name="Normal 2 6 4 12" xfId="42695"/>
    <cellStyle name="Normal 3 6 4 12" xfId="42696"/>
    <cellStyle name="Normal 4 5 4 12" xfId="42697"/>
    <cellStyle name="Normal 5 5 4 12" xfId="42698"/>
    <cellStyle name="Normal 7 5 4 12" xfId="42699"/>
    <cellStyle name="Normal 2 3 3 4 12" xfId="42700"/>
    <cellStyle name="Normal 3 3 3 4 12" xfId="42701"/>
    <cellStyle name="Normal 4 2 3 4 12" xfId="42702"/>
    <cellStyle name="Normal 5 2 3 4 12" xfId="42703"/>
    <cellStyle name="Normal 7 2 3 4 12" xfId="42704"/>
    <cellStyle name="Normal 2 4 3 4 12" xfId="42705"/>
    <cellStyle name="Normal 3 4 3 4 12" xfId="42706"/>
    <cellStyle name="Normal 4 3 3 4 12" xfId="42707"/>
    <cellStyle name="Normal 5 3 3 4 12" xfId="42708"/>
    <cellStyle name="Normal 7 3 3 4 12" xfId="42709"/>
    <cellStyle name="Normal 2 7 3 12" xfId="42710"/>
    <cellStyle name="Normal 3 7 3 12" xfId="42711"/>
    <cellStyle name="Normal 4 6 3 12" xfId="42712"/>
    <cellStyle name="Normal 5 6 3 12" xfId="42713"/>
    <cellStyle name="Normal 7 6 3 12" xfId="42714"/>
    <cellStyle name="Normal 2 3 4 3 12" xfId="42715"/>
    <cellStyle name="Normal 3 3 4 3 12" xfId="42716"/>
    <cellStyle name="Normal 4 2 4 3 12" xfId="42717"/>
    <cellStyle name="Normal 5 2 4 3 12" xfId="42718"/>
    <cellStyle name="Normal 7 2 4 3 12" xfId="42719"/>
    <cellStyle name="Normal 2 4 4 3 12" xfId="42720"/>
    <cellStyle name="Normal 3 4 4 3 12" xfId="42721"/>
    <cellStyle name="Normal 4 3 4 3 12" xfId="42722"/>
    <cellStyle name="Normal 5 3 4 3 12" xfId="42723"/>
    <cellStyle name="Normal 7 3 4 3 12" xfId="42724"/>
    <cellStyle name="Normal 2 5 2 3 12" xfId="42725"/>
    <cellStyle name="Normal 3 5 2 3 12" xfId="42726"/>
    <cellStyle name="Normal 4 4 2 3 12" xfId="42727"/>
    <cellStyle name="Normal 5 4 2 3 12" xfId="42728"/>
    <cellStyle name="Normal 7 4 2 3 12" xfId="42729"/>
    <cellStyle name="Normal 2 3 2 2 3 12" xfId="42730"/>
    <cellStyle name="Normal 3 3 2 2 3 12" xfId="42731"/>
    <cellStyle name="Normal 4 2 2 2 3 12" xfId="42732"/>
    <cellStyle name="Normal 5 2 2 2 3 12" xfId="42733"/>
    <cellStyle name="Normal 7 2 2 2 3 12" xfId="42734"/>
    <cellStyle name="Normal 2 4 2 2 3 12" xfId="42735"/>
    <cellStyle name="Normal 3 4 2 2 3 12" xfId="42736"/>
    <cellStyle name="Normal 4 3 2 2 3 12" xfId="42737"/>
    <cellStyle name="Normal 5 3 2 2 3 12" xfId="42738"/>
    <cellStyle name="Normal 7 3 2 2 3 12" xfId="42739"/>
    <cellStyle name="Normal 2 6 2 3 12" xfId="42740"/>
    <cellStyle name="Normal 3 6 2 3 12" xfId="42741"/>
    <cellStyle name="Normal 4 5 2 3 12" xfId="42742"/>
    <cellStyle name="Normal 5 5 2 3 12" xfId="42743"/>
    <cellStyle name="Normal 7 5 2 3 12" xfId="42744"/>
    <cellStyle name="Normal 2 3 3 2 3 12" xfId="42745"/>
    <cellStyle name="Normal 3 3 3 2 3 12" xfId="42746"/>
    <cellStyle name="Normal 4 2 3 2 3 12" xfId="42747"/>
    <cellStyle name="Normal 5 2 3 2 3 12" xfId="42748"/>
    <cellStyle name="Normal 7 2 3 2 3 12" xfId="42749"/>
    <cellStyle name="Normal 2 4 3 2 3 12" xfId="42750"/>
    <cellStyle name="Normal 3 4 3 2 3 12" xfId="42751"/>
    <cellStyle name="Normal 4 3 3 2 3 12" xfId="42752"/>
    <cellStyle name="Normal 5 3 3 2 3 12" xfId="42753"/>
    <cellStyle name="Normal 7 3 3 2 3 12" xfId="42754"/>
    <cellStyle name="Normal 2 8 2 12" xfId="42755"/>
    <cellStyle name="Normal 3 8 2 12" xfId="42756"/>
    <cellStyle name="Normal 4 7 2 12" xfId="42757"/>
    <cellStyle name="Normal 5 7 2 12" xfId="42758"/>
    <cellStyle name="Normal 7 7 2 12" xfId="42759"/>
    <cellStyle name="Normal 2 3 5 2 12" xfId="42760"/>
    <cellStyle name="Normal 3 3 5 2 12" xfId="42761"/>
    <cellStyle name="Normal 4 2 5 2 12" xfId="42762"/>
    <cellStyle name="Normal 5 2 5 2 12" xfId="42763"/>
    <cellStyle name="Normal 7 2 5 2 12" xfId="42764"/>
    <cellStyle name="Normal 2 4 5 2 12" xfId="42765"/>
    <cellStyle name="Normal 3 4 5 2 12" xfId="42766"/>
    <cellStyle name="Normal 4 3 5 2 12" xfId="42767"/>
    <cellStyle name="Normal 5 3 5 2 12" xfId="42768"/>
    <cellStyle name="Normal 7 3 5 2 12" xfId="42769"/>
    <cellStyle name="Normal 2 5 3 2 12" xfId="42770"/>
    <cellStyle name="Normal 3 5 3 2 12" xfId="42771"/>
    <cellStyle name="Normal 4 4 3 2 12" xfId="42772"/>
    <cellStyle name="Normal 5 4 3 2 12" xfId="42773"/>
    <cellStyle name="Normal 7 4 3 2 12" xfId="42774"/>
    <cellStyle name="Normal 2 3 2 3 2 12" xfId="42775"/>
    <cellStyle name="Normal 3 3 2 3 2 12" xfId="42776"/>
    <cellStyle name="Normal 4 2 2 3 2 12" xfId="42777"/>
    <cellStyle name="Normal 5 2 2 3 2 12" xfId="42778"/>
    <cellStyle name="Normal 7 2 2 3 2 12" xfId="42779"/>
    <cellStyle name="Normal 2 4 2 3 2 12" xfId="42780"/>
    <cellStyle name="Normal 3 4 2 3 2 12" xfId="42781"/>
    <cellStyle name="Normal 4 3 2 3 2 12" xfId="42782"/>
    <cellStyle name="Normal 5 3 2 3 2 12" xfId="42783"/>
    <cellStyle name="Normal 7 3 2 3 2 12" xfId="42784"/>
    <cellStyle name="Normal 2 6 3 2 12" xfId="42785"/>
    <cellStyle name="Normal 3 6 3 2 12" xfId="42786"/>
    <cellStyle name="Normal 4 5 3 2 12" xfId="42787"/>
    <cellStyle name="Normal 5 5 3 2 12" xfId="42788"/>
    <cellStyle name="Normal 7 5 3 2 12" xfId="42789"/>
    <cellStyle name="Normal 2 3 3 3 2 12" xfId="42790"/>
    <cellStyle name="Normal 3 3 3 3 2 12" xfId="42791"/>
    <cellStyle name="Normal 4 2 3 3 2 12" xfId="42792"/>
    <cellStyle name="Normal 5 2 3 3 2 12" xfId="42793"/>
    <cellStyle name="Normal 7 2 3 3 2 12" xfId="42794"/>
    <cellStyle name="Normal 2 4 3 3 2 12" xfId="42795"/>
    <cellStyle name="Normal 3 4 3 3 2 12" xfId="42796"/>
    <cellStyle name="Normal 4 3 3 3 2 12" xfId="42797"/>
    <cellStyle name="Normal 5 3 3 3 2 12" xfId="42798"/>
    <cellStyle name="Normal 7 3 3 3 2 12" xfId="42799"/>
    <cellStyle name="Normal 2 7 2 2 12" xfId="42800"/>
    <cellStyle name="Normal 3 7 2 2 12" xfId="42801"/>
    <cellStyle name="Normal 4 6 2 2 12" xfId="42802"/>
    <cellStyle name="Normal 5 6 2 2 12" xfId="42803"/>
    <cellStyle name="Normal 7 6 2 2 12" xfId="42804"/>
    <cellStyle name="Normal 2 3 4 2 2 12" xfId="42805"/>
    <cellStyle name="Normal 3 3 4 2 2 12" xfId="42806"/>
    <cellStyle name="Normal 4 2 4 2 2 12" xfId="42807"/>
    <cellStyle name="Normal 5 2 4 2 2 12" xfId="42808"/>
    <cellStyle name="Normal 7 2 4 2 2 12" xfId="42809"/>
    <cellStyle name="Normal 2 4 4 2 2 12" xfId="42810"/>
    <cellStyle name="Normal 3 4 4 2 2 12" xfId="42811"/>
    <cellStyle name="Normal 4 3 4 2 2 12" xfId="42812"/>
    <cellStyle name="Normal 5 3 4 2 2 12" xfId="42813"/>
    <cellStyle name="Normal 7 3 4 2 2 12" xfId="42814"/>
    <cellStyle name="Normal 2 5 2 2 2 12" xfId="42815"/>
    <cellStyle name="Normal 3 5 2 2 2 12" xfId="42816"/>
    <cellStyle name="Normal 4 4 2 2 2 12" xfId="42817"/>
    <cellStyle name="Normal 5 4 2 2 2 12" xfId="42818"/>
    <cellStyle name="Normal 7 4 2 2 2 12" xfId="42819"/>
    <cellStyle name="Normal 2 3 2 2 2 2 12" xfId="42820"/>
    <cellStyle name="Normal 3 3 2 2 2 2 12" xfId="42821"/>
    <cellStyle name="Normal 4 2 2 2 2 2 12" xfId="42822"/>
    <cellStyle name="Normal 5 2 2 2 2 2 12" xfId="42823"/>
    <cellStyle name="Normal 7 2 2 2 2 2 12" xfId="42824"/>
    <cellStyle name="Normal 2 4 2 2 2 2 12" xfId="42825"/>
    <cellStyle name="Normal 3 4 2 2 2 2 12" xfId="42826"/>
    <cellStyle name="Normal 4 3 2 2 2 2 12" xfId="42827"/>
    <cellStyle name="Normal 5 3 2 2 2 2 12" xfId="42828"/>
    <cellStyle name="Normal 7 3 2 2 2 2 12" xfId="42829"/>
    <cellStyle name="Normal 2 6 2 2 2 12" xfId="42830"/>
    <cellStyle name="Normal 3 6 2 2 2 12" xfId="42831"/>
    <cellStyle name="Normal 4 5 2 2 2 12" xfId="42832"/>
    <cellStyle name="Normal 5 5 2 2 2 12" xfId="42833"/>
    <cellStyle name="Normal 7 5 2 2 2 12" xfId="42834"/>
    <cellStyle name="Normal 2 3 3 2 2 2 12" xfId="42835"/>
    <cellStyle name="Normal 3 3 3 2 2 2 12" xfId="42836"/>
    <cellStyle name="Normal 4 2 3 2 2 2 12" xfId="42837"/>
    <cellStyle name="Normal 5 2 3 2 2 2 12" xfId="42838"/>
    <cellStyle name="Normal 7 2 3 2 2 2 12" xfId="42839"/>
    <cellStyle name="Normal 2 4 3 2 2 2 12" xfId="42840"/>
    <cellStyle name="Normal 3 4 3 2 2 2 12" xfId="42841"/>
    <cellStyle name="Normal 4 3 3 2 2 2 12" xfId="42842"/>
    <cellStyle name="Normal 5 3 3 2 2 2 12" xfId="42843"/>
    <cellStyle name="Normal 7 3 3 2 2 2 12" xfId="42844"/>
    <cellStyle name="Normal 28 2 10" xfId="42845"/>
    <cellStyle name="Normal 2 3 7 12" xfId="42846"/>
    <cellStyle name="Normal 3 10 12" xfId="42847"/>
    <cellStyle name="Normal 4 9 12" xfId="42848"/>
    <cellStyle name="Normal 5 9 12" xfId="42849"/>
    <cellStyle name="Millares 4 12" xfId="42850"/>
    <cellStyle name="Normal 7 13 8" xfId="42851"/>
    <cellStyle name="Normal 7 2 7 12" xfId="42852"/>
    <cellStyle name="Normal 3 3 7 12" xfId="42853"/>
    <cellStyle name="Normal 4 2 7 12" xfId="42854"/>
    <cellStyle name="Normal 5 2 7 12" xfId="42855"/>
    <cellStyle name="Normal 2 4 5 3 12" xfId="42856"/>
    <cellStyle name="Normal 3 4 7 12" xfId="42857"/>
    <cellStyle name="Normal 4 3 7 12" xfId="42858"/>
    <cellStyle name="Normal 5 3 7 12" xfId="42859"/>
    <cellStyle name="Normal 7 3 7 12" xfId="42860"/>
    <cellStyle name="Normal 2 5 5 12" xfId="42861"/>
    <cellStyle name="Normal 3 5 5 12" xfId="42862"/>
    <cellStyle name="Normal 4 4 5 12" xfId="42863"/>
    <cellStyle name="Normal 5 4 5 12" xfId="42864"/>
    <cellStyle name="Normal 7 4 5 12" xfId="42865"/>
    <cellStyle name="Normal 2 3 2 5 12" xfId="42866"/>
    <cellStyle name="Normal 3 3 2 5 12" xfId="42867"/>
    <cellStyle name="Normal 4 2 2 5 12" xfId="42868"/>
    <cellStyle name="Normal 5 2 2 5 12" xfId="42869"/>
    <cellStyle name="Normal 7 2 2 5 12" xfId="42870"/>
    <cellStyle name="Normal 2 4 2 5 12" xfId="42871"/>
    <cellStyle name="Normal 3 4 2 5 12" xfId="42872"/>
    <cellStyle name="Normal 4 3 2 5 12" xfId="42873"/>
    <cellStyle name="Normal 5 3 2 5 12" xfId="42874"/>
    <cellStyle name="Normal 7 3 2 5 12" xfId="42875"/>
    <cellStyle name="Normal 2 6 5 12" xfId="42876"/>
    <cellStyle name="Normal 3 6 5 12" xfId="42877"/>
    <cellStyle name="Normal 4 5 5 12" xfId="42878"/>
    <cellStyle name="Normal 5 5 5 12" xfId="42879"/>
    <cellStyle name="Normal 7 5 5 12" xfId="42880"/>
    <cellStyle name="Normal 2 3 3 5 12" xfId="42881"/>
    <cellStyle name="Normal 3 3 3 5 12" xfId="42882"/>
    <cellStyle name="Normal 4 2 3 5 12" xfId="42883"/>
    <cellStyle name="Normal 5 2 3 5 12" xfId="42884"/>
    <cellStyle name="Normal 7 2 3 5 12" xfId="42885"/>
    <cellStyle name="Normal 2 4 3 5 12" xfId="42886"/>
    <cellStyle name="Normal 3 4 3 5 12" xfId="42887"/>
    <cellStyle name="Normal 4 3 3 5 12" xfId="42888"/>
    <cellStyle name="Normal 5 3 3 5 12" xfId="42889"/>
    <cellStyle name="Normal 7 3 3 5 12" xfId="42890"/>
    <cellStyle name="Normal 2 7 4 12" xfId="42891"/>
    <cellStyle name="Normal 3 7 4 12" xfId="42892"/>
    <cellStyle name="Normal 4 6 4 12" xfId="42893"/>
    <cellStyle name="Normal 5 6 4 12" xfId="42894"/>
    <cellStyle name="Normal 7 6 4 12" xfId="42895"/>
    <cellStyle name="Normal 2 3 4 4 12" xfId="42896"/>
    <cellStyle name="Normal 3 3 4 4 12" xfId="42897"/>
    <cellStyle name="Normal 4 2 4 4 12" xfId="42898"/>
    <cellStyle name="Normal 5 2 4 4 12" xfId="42899"/>
    <cellStyle name="Normal 7 2 4 4 12" xfId="42900"/>
    <cellStyle name="Normal 2 4 4 4 12" xfId="42901"/>
    <cellStyle name="Normal 3 4 4 4 12" xfId="42902"/>
    <cellStyle name="Normal 4 3 4 4 12" xfId="42903"/>
    <cellStyle name="Normal 5 3 4 4 12" xfId="42904"/>
    <cellStyle name="Normal 7 3 4 4 12" xfId="42905"/>
    <cellStyle name="Normal 2 5 2 4 12" xfId="42906"/>
    <cellStyle name="Normal 3 5 2 4 12" xfId="42907"/>
    <cellStyle name="Normal 4 4 2 4 12" xfId="42908"/>
    <cellStyle name="Normal 5 4 2 4 12" xfId="42909"/>
    <cellStyle name="Normal 7 4 2 4 12" xfId="42910"/>
    <cellStyle name="Normal 2 3 2 2 4 12" xfId="42911"/>
    <cellStyle name="Normal 3 3 2 2 4 12" xfId="42912"/>
    <cellStyle name="Normal 4 2 2 2 4 12" xfId="42913"/>
    <cellStyle name="Normal 5 2 2 2 4 12" xfId="42914"/>
    <cellStyle name="Normal 7 2 2 2 4 12" xfId="42915"/>
    <cellStyle name="Normal 2 4 2 2 4 12" xfId="42916"/>
    <cellStyle name="Normal 3 4 2 2 4 12" xfId="42917"/>
    <cellStyle name="Normal 4 3 2 2 4 12" xfId="42918"/>
    <cellStyle name="Normal 5 3 2 2 4 12" xfId="42919"/>
    <cellStyle name="Normal 7 3 2 2 4 12" xfId="42920"/>
    <cellStyle name="Normal 2 6 2 4 12" xfId="42921"/>
    <cellStyle name="Normal 3 6 2 4 12" xfId="42922"/>
    <cellStyle name="Normal 4 5 2 4 12" xfId="42923"/>
    <cellStyle name="Normal 5 5 2 4 12" xfId="42924"/>
    <cellStyle name="Normal 7 5 2 4 12" xfId="42925"/>
    <cellStyle name="Normal 2 3 3 2 4 12" xfId="42926"/>
    <cellStyle name="Normal 3 3 3 2 4 12" xfId="42927"/>
    <cellStyle name="Normal 4 2 3 2 4 12" xfId="42928"/>
    <cellStyle name="Normal 5 2 3 2 4 12" xfId="42929"/>
    <cellStyle name="Normal 7 2 3 2 4 12" xfId="42930"/>
    <cellStyle name="Normal 2 4 3 2 4 12" xfId="42931"/>
    <cellStyle name="Normal 3 4 3 2 4 12" xfId="42932"/>
    <cellStyle name="Normal 4 3 3 2 4 12" xfId="42933"/>
    <cellStyle name="Normal 5 3 3 2 4 12" xfId="42934"/>
    <cellStyle name="Normal 7 3 3 2 4 12" xfId="42935"/>
    <cellStyle name="Normal 2 8 3 12" xfId="42936"/>
    <cellStyle name="Normal 3 8 3 12" xfId="42937"/>
    <cellStyle name="Normal 4 7 3 12" xfId="42938"/>
    <cellStyle name="Normal 5 7 3 12" xfId="42939"/>
    <cellStyle name="Normal 7 7 3 12" xfId="42940"/>
    <cellStyle name="Normal 2 3 5 3 12" xfId="42941"/>
    <cellStyle name="Normal 3 3 5 3 12" xfId="42942"/>
    <cellStyle name="Normal 4 2 5 3 12" xfId="42943"/>
    <cellStyle name="Normal 5 2 5 3 12" xfId="42944"/>
    <cellStyle name="Normal 7 2 5 3 12" xfId="42945"/>
    <cellStyle name="Normal 3 4 5 3 12" xfId="42946"/>
    <cellStyle name="Normal 4 3 5 3 12" xfId="42947"/>
    <cellStyle name="Normal 5 3 5 3 12" xfId="42948"/>
    <cellStyle name="Normal 7 3 5 3 12" xfId="42949"/>
    <cellStyle name="Normal 2 5 3 3 12" xfId="42950"/>
    <cellStyle name="Normal 3 5 3 3 12" xfId="42951"/>
    <cellStyle name="Normal 4 4 3 3 12" xfId="42952"/>
    <cellStyle name="Normal 5 4 3 3 12" xfId="42953"/>
    <cellStyle name="Normal 7 4 3 3 12" xfId="42954"/>
    <cellStyle name="Normal 2 3 2 3 3 12" xfId="42955"/>
    <cellStyle name="Normal 3 3 2 3 3 12" xfId="42956"/>
    <cellStyle name="Normal 4 2 2 3 3 12" xfId="42957"/>
    <cellStyle name="Normal 5 2 2 3 3 12" xfId="42958"/>
    <cellStyle name="Normal 7 2 2 3 3 12" xfId="42959"/>
    <cellStyle name="Normal 2 4 2 3 3 12" xfId="42960"/>
    <cellStyle name="Normal 3 4 2 3 3 12" xfId="42961"/>
    <cellStyle name="Normal 4 3 2 3 3 12" xfId="42962"/>
    <cellStyle name="Normal 5 3 2 3 3 12" xfId="42963"/>
    <cellStyle name="Normal 7 3 2 3 3 12" xfId="42964"/>
    <cellStyle name="Normal 2 6 3 3 12" xfId="42965"/>
    <cellStyle name="Normal 3 6 3 3 12" xfId="42966"/>
    <cellStyle name="Normal 4 5 3 3 12" xfId="42967"/>
    <cellStyle name="Normal 5 5 3 3 12" xfId="42968"/>
    <cellStyle name="Normal 7 5 3 3 12" xfId="42969"/>
    <cellStyle name="Normal 2 3 3 3 3 12" xfId="42970"/>
    <cellStyle name="Normal 3 3 3 3 3 12" xfId="42971"/>
    <cellStyle name="Normal 4 2 3 3 3 12" xfId="42972"/>
    <cellStyle name="Normal 5 2 3 3 3 12" xfId="42973"/>
    <cellStyle name="Normal 7 2 3 3 3 12" xfId="42974"/>
    <cellStyle name="Normal 2 4 3 3 3 12" xfId="42975"/>
    <cellStyle name="Normal 3 4 3 3 3 12" xfId="42976"/>
    <cellStyle name="Normal 4 3 3 3 3 12" xfId="42977"/>
    <cellStyle name="Normal 5 3 3 3 3 12" xfId="42978"/>
    <cellStyle name="Normal 7 3 3 3 3 12" xfId="42979"/>
    <cellStyle name="Normal 2 7 2 3 12" xfId="42980"/>
    <cellStyle name="Normal 3 7 2 3 12" xfId="42981"/>
    <cellStyle name="Normal 4 6 2 3 12" xfId="42982"/>
    <cellStyle name="Normal 5 6 2 3 12" xfId="42983"/>
    <cellStyle name="Normal 7 6 2 3 12" xfId="42984"/>
    <cellStyle name="Normal 2 3 4 2 3 12" xfId="42985"/>
    <cellStyle name="Normal 3 3 4 2 3 12" xfId="42986"/>
    <cellStyle name="Normal 4 2 4 2 3 12" xfId="42987"/>
    <cellStyle name="Normal 5 2 4 2 3 12" xfId="42988"/>
    <cellStyle name="Normal 7 2 4 2 3 12" xfId="42989"/>
    <cellStyle name="Normal 2 4 4 2 3 12" xfId="42990"/>
    <cellStyle name="Normal 3 4 4 2 3 12" xfId="42991"/>
    <cellStyle name="Normal 4 3 4 2 3 12" xfId="42992"/>
    <cellStyle name="Normal 5 3 4 2 3 12" xfId="42993"/>
    <cellStyle name="Normal 7 3 4 2 3 12" xfId="42994"/>
    <cellStyle name="Normal 2 5 2 2 3 12" xfId="42995"/>
    <cellStyle name="Normal 3 5 2 2 3 12" xfId="42996"/>
    <cellStyle name="Normal 4 4 2 2 3 12" xfId="42997"/>
    <cellStyle name="Normal 5 4 2 2 3 12" xfId="42998"/>
    <cellStyle name="Normal 7 4 2 2 3 12" xfId="42999"/>
    <cellStyle name="Normal 2 3 2 2 2 3 12" xfId="43000"/>
    <cellStyle name="Normal 3 3 2 2 2 3 12" xfId="43001"/>
    <cellStyle name="Normal 4 2 2 2 2 3 12" xfId="43002"/>
    <cellStyle name="Normal 5 2 2 2 2 3 12" xfId="43003"/>
    <cellStyle name="Normal 7 2 2 2 2 3 12" xfId="43004"/>
    <cellStyle name="Normal 2 4 2 2 2 3 12" xfId="43005"/>
    <cellStyle name="Normal 3 4 2 2 2 3 12" xfId="43006"/>
    <cellStyle name="Normal 4 3 2 2 2 3 12" xfId="43007"/>
    <cellStyle name="Normal 5 3 2 2 2 3 12" xfId="43008"/>
    <cellStyle name="Normal 7 3 2 2 2 3 12" xfId="43009"/>
    <cellStyle name="Normal 2 6 2 2 3 12" xfId="43010"/>
    <cellStyle name="Normal 3 6 2 2 3 12" xfId="43011"/>
    <cellStyle name="Normal 4 5 2 2 3 12" xfId="43012"/>
    <cellStyle name="Normal 5 5 2 2 3 12" xfId="43013"/>
    <cellStyle name="Normal 7 5 2 2 3 12" xfId="43014"/>
    <cellStyle name="Normal 2 3 3 2 2 3 12" xfId="43015"/>
    <cellStyle name="Normal 3 3 3 2 2 3 12" xfId="43016"/>
    <cellStyle name="Normal 4 2 3 2 2 3 12" xfId="43017"/>
    <cellStyle name="Normal 5 2 3 2 2 3 12" xfId="43018"/>
    <cellStyle name="Normal 7 2 3 2 2 3 12" xfId="43019"/>
    <cellStyle name="Normal 2 4 3 2 2 3 12" xfId="43020"/>
    <cellStyle name="Normal 3 4 3 2 2 3 12" xfId="43021"/>
    <cellStyle name="Normal 4 3 3 2 2 3 12" xfId="43022"/>
    <cellStyle name="Normal 5 3 3 2 2 3 12" xfId="43023"/>
    <cellStyle name="Normal 7 3 3 2 2 3 12" xfId="43024"/>
    <cellStyle name="Normal 2 11 10" xfId="43025"/>
    <cellStyle name="Normal 3 11 10" xfId="43026"/>
    <cellStyle name="Normal 4 10 10" xfId="43027"/>
    <cellStyle name="Normal 5 10 10" xfId="43028"/>
    <cellStyle name="Normal 7 10 10" xfId="43029"/>
    <cellStyle name="Normal 2 3 8 10" xfId="43030"/>
    <cellStyle name="Normal 3 3 8 10" xfId="43031"/>
    <cellStyle name="Normal 4 2 8 10" xfId="43032"/>
    <cellStyle name="Normal 5 2 8 10" xfId="43033"/>
    <cellStyle name="Normal 7 2 8 10" xfId="43034"/>
    <cellStyle name="Normal 2 4 8 10" xfId="43035"/>
    <cellStyle name="Normal 3 4 8 10" xfId="43036"/>
    <cellStyle name="Normal 4 3 8 10" xfId="43037"/>
    <cellStyle name="Normal 5 3 8 10" xfId="43038"/>
    <cellStyle name="Normal 7 3 8 10" xfId="43039"/>
    <cellStyle name="Normal 2 5 6 10" xfId="43040"/>
    <cellStyle name="Normal 3 5 6 10" xfId="43041"/>
    <cellStyle name="Normal 4 4 6 10" xfId="43042"/>
    <cellStyle name="Normal 5 4 6 10" xfId="43043"/>
    <cellStyle name="Normal 7 4 6 10" xfId="43044"/>
    <cellStyle name="Normal 2 3 2 6 10" xfId="43045"/>
    <cellStyle name="Normal 3 3 2 6 10" xfId="43046"/>
    <cellStyle name="Normal 4 2 2 6 10" xfId="43047"/>
    <cellStyle name="Normal 5 2 2 6 10" xfId="43048"/>
    <cellStyle name="Normal 7 2 2 6 10" xfId="43049"/>
    <cellStyle name="Normal 2 4 2 6 10" xfId="43050"/>
    <cellStyle name="Normal 3 4 2 6 10" xfId="43051"/>
    <cellStyle name="Normal 4 3 2 6 10" xfId="43052"/>
    <cellStyle name="Normal 5 3 2 6 10" xfId="43053"/>
    <cellStyle name="Normal 7 3 2 6 10" xfId="43054"/>
    <cellStyle name="Normal 2 6 6 10" xfId="43055"/>
    <cellStyle name="Normal 3 6 6 10" xfId="43056"/>
    <cellStyle name="Normal 4 5 6 10" xfId="43057"/>
    <cellStyle name="Normal 5 5 6 10" xfId="43058"/>
    <cellStyle name="Normal 7 5 6 10" xfId="43059"/>
    <cellStyle name="Normal 2 3 3 6 10" xfId="43060"/>
    <cellStyle name="Normal 3 3 3 6 10" xfId="43061"/>
    <cellStyle name="Normal 4 2 3 6 10" xfId="43062"/>
    <cellStyle name="Normal 5 2 3 6 10" xfId="43063"/>
    <cellStyle name="Normal 7 2 3 6 10" xfId="43064"/>
    <cellStyle name="Normal 2 4 3 6 10" xfId="43065"/>
    <cellStyle name="Normal 3 4 3 6 10" xfId="43066"/>
    <cellStyle name="Normal 4 3 3 6 10" xfId="43067"/>
    <cellStyle name="Normal 5 3 3 6 10" xfId="43068"/>
    <cellStyle name="Normal 7 3 3 6 10" xfId="43069"/>
    <cellStyle name="Normal 2 7 5 10" xfId="43070"/>
    <cellStyle name="Normal 3 7 5 10" xfId="43071"/>
    <cellStyle name="Normal 4 6 5 10" xfId="43072"/>
    <cellStyle name="Normal 5 6 5 10" xfId="43073"/>
    <cellStyle name="Normal 7 6 5 10" xfId="43074"/>
    <cellStyle name="Normal 2 3 4 5 10" xfId="43075"/>
    <cellStyle name="Normal 3 3 4 5 10" xfId="43076"/>
    <cellStyle name="Normal 4 2 4 5 10" xfId="43077"/>
    <cellStyle name="Normal 5 2 4 5 10" xfId="43078"/>
    <cellStyle name="Normal 7 2 4 5 10" xfId="43079"/>
    <cellStyle name="Normal 2 4 4 5 10" xfId="43080"/>
    <cellStyle name="Normal 3 4 4 5 10" xfId="43081"/>
    <cellStyle name="Normal 4 3 4 5 10" xfId="43082"/>
    <cellStyle name="Normal 5 3 4 5 10" xfId="43083"/>
    <cellStyle name="Normal 7 3 4 5 10" xfId="43084"/>
    <cellStyle name="Normal 2 5 2 5 10" xfId="43085"/>
    <cellStyle name="Normal 3 5 2 5 10" xfId="43086"/>
    <cellStyle name="Normal 4 4 2 5 10" xfId="43087"/>
    <cellStyle name="Normal 5 4 2 5 10" xfId="43088"/>
    <cellStyle name="Normal 7 4 2 5 10" xfId="43089"/>
    <cellStyle name="Normal 2 3 2 2 5 10" xfId="43090"/>
    <cellStyle name="Normal 3 3 2 2 5 10" xfId="43091"/>
    <cellStyle name="Normal 4 2 2 2 5 10" xfId="43092"/>
    <cellStyle name="Normal 5 2 2 2 5 10" xfId="43093"/>
    <cellStyle name="Normal 7 2 2 2 5 10" xfId="43094"/>
    <cellStyle name="Normal 2 4 2 2 5 10" xfId="43095"/>
    <cellStyle name="Normal 3 4 2 2 5 10" xfId="43096"/>
    <cellStyle name="Normal 4 3 2 2 5 10" xfId="43097"/>
    <cellStyle name="Normal 5 3 2 2 5 10" xfId="43098"/>
    <cellStyle name="Normal 7 3 2 2 5 10" xfId="43099"/>
    <cellStyle name="Normal 2 6 2 5 10" xfId="43100"/>
    <cellStyle name="Normal 3 6 2 5 10" xfId="43101"/>
    <cellStyle name="Normal 4 5 2 5 10" xfId="43102"/>
    <cellStyle name="Normal 5 5 2 5 10" xfId="43103"/>
    <cellStyle name="Normal 7 5 2 5 10" xfId="43104"/>
    <cellStyle name="Normal 2 3 3 2 5 10" xfId="43105"/>
    <cellStyle name="Normal 3 3 3 2 5 10" xfId="43106"/>
    <cellStyle name="Normal 4 2 3 2 5 10" xfId="43107"/>
    <cellStyle name="Normal 5 2 3 2 5 10" xfId="43108"/>
    <cellStyle name="Normal 7 2 3 2 5 10" xfId="43109"/>
    <cellStyle name="Normal 2 4 3 2 5 10" xfId="43110"/>
    <cellStyle name="Normal 3 4 3 2 5 10" xfId="43111"/>
    <cellStyle name="Normal 4 3 3 2 5 10" xfId="43112"/>
    <cellStyle name="Normal 5 3 3 2 5 10" xfId="43113"/>
    <cellStyle name="Normal 7 3 3 2 5 10" xfId="43114"/>
    <cellStyle name="Normal 2 8 4 10" xfId="43115"/>
    <cellStyle name="Normal 3 8 4 10" xfId="43116"/>
    <cellStyle name="Normal 4 7 4 10" xfId="43117"/>
    <cellStyle name="Normal 5 7 4 10" xfId="43118"/>
    <cellStyle name="Normal 7 7 4 10" xfId="43119"/>
    <cellStyle name="Normal 2 3 5 4 10" xfId="43120"/>
    <cellStyle name="Normal 3 3 5 4 10" xfId="43121"/>
    <cellStyle name="Normal 4 2 5 4 10" xfId="43122"/>
    <cellStyle name="Normal 5 2 5 4 10" xfId="43123"/>
    <cellStyle name="Normal 7 2 5 4 10" xfId="43124"/>
    <cellStyle name="Normal 2 4 5 4 10" xfId="43125"/>
    <cellStyle name="Normal 3 4 5 4 10" xfId="43126"/>
    <cellStyle name="Normal 4 3 5 4 10" xfId="43127"/>
    <cellStyle name="Normal 5 3 5 4 10" xfId="43128"/>
    <cellStyle name="Normal 7 3 5 4 10" xfId="43129"/>
    <cellStyle name="Normal 2 5 3 4 10" xfId="43130"/>
    <cellStyle name="Normal 3 5 3 4 10" xfId="43131"/>
    <cellStyle name="Normal 4 4 3 4 10" xfId="43132"/>
    <cellStyle name="Normal 5 4 3 4 10" xfId="43133"/>
    <cellStyle name="Normal 7 4 3 4 10" xfId="43134"/>
    <cellStyle name="Normal 2 3 2 3 4 10" xfId="43135"/>
    <cellStyle name="Normal 3 3 2 3 4 10" xfId="43136"/>
    <cellStyle name="Normal 4 2 2 3 4 10" xfId="43137"/>
    <cellStyle name="Normal 5 2 2 3 4 10" xfId="43138"/>
    <cellStyle name="Normal 7 2 2 3 4 10" xfId="43139"/>
    <cellStyle name="Normal 2 4 2 3 4 10" xfId="43140"/>
    <cellStyle name="Normal 3 4 2 3 4 10" xfId="43141"/>
    <cellStyle name="Normal 4 3 2 3 4 10" xfId="43142"/>
    <cellStyle name="Normal 5 3 2 3 4 10" xfId="43143"/>
    <cellStyle name="Normal 7 3 2 3 4 10" xfId="43144"/>
    <cellStyle name="Normal 2 6 3 4 10" xfId="43145"/>
    <cellStyle name="Normal 3 6 3 4 10" xfId="43146"/>
    <cellStyle name="Normal 4 5 3 4 10" xfId="43147"/>
    <cellStyle name="Normal 5 5 3 4 10" xfId="43148"/>
    <cellStyle name="Normal 7 5 3 4 10" xfId="43149"/>
    <cellStyle name="Normal 2 3 3 3 4 10" xfId="43150"/>
    <cellStyle name="Normal 3 3 3 3 4 10" xfId="43151"/>
    <cellStyle name="Normal 4 2 3 3 4 10" xfId="43152"/>
    <cellStyle name="Normal 5 2 3 3 4 10" xfId="43153"/>
    <cellStyle name="Normal 7 2 3 3 4 10" xfId="43154"/>
    <cellStyle name="Normal 2 4 3 3 4 10" xfId="43155"/>
    <cellStyle name="Normal 3 4 3 3 4 10" xfId="43156"/>
    <cellStyle name="Normal 4 3 3 3 4 10" xfId="43157"/>
    <cellStyle name="Normal 5 3 3 3 4 10" xfId="43158"/>
    <cellStyle name="Normal 7 3 3 3 4 10" xfId="43159"/>
    <cellStyle name="Normal 2 7 2 4 10" xfId="43160"/>
    <cellStyle name="Normal 3 7 2 4 10" xfId="43161"/>
    <cellStyle name="Normal 4 6 2 4 10" xfId="43162"/>
    <cellStyle name="Normal 5 6 2 4 10" xfId="43163"/>
    <cellStyle name="Normal 7 6 2 4 10" xfId="43164"/>
    <cellStyle name="Normal 2 3 4 2 4 10" xfId="43165"/>
    <cellStyle name="Normal 3 3 4 2 4 10" xfId="43166"/>
    <cellStyle name="Normal 4 2 4 2 4 10" xfId="43167"/>
    <cellStyle name="Normal 5 2 4 2 4 10" xfId="43168"/>
    <cellStyle name="Normal 7 2 4 2 4 10" xfId="43169"/>
    <cellStyle name="Normal 2 4 4 2 4 10" xfId="43170"/>
    <cellStyle name="Normal 3 4 4 2 4 10" xfId="43171"/>
    <cellStyle name="Normal 4 3 4 2 4 10" xfId="43172"/>
    <cellStyle name="Normal 5 3 4 2 4 10" xfId="43173"/>
    <cellStyle name="Normal 7 3 4 2 4 10" xfId="43174"/>
    <cellStyle name="Normal 2 5 2 2 4 10" xfId="43175"/>
    <cellStyle name="Normal 3 5 2 2 4 10" xfId="43176"/>
    <cellStyle name="Normal 4 4 2 2 4 10" xfId="43177"/>
    <cellStyle name="Normal 5 4 2 2 4 10" xfId="43178"/>
    <cellStyle name="Normal 7 4 2 2 4 10" xfId="43179"/>
    <cellStyle name="Normal 2 3 2 2 2 4 10" xfId="43180"/>
    <cellStyle name="Normal 3 3 2 2 2 4 10" xfId="43181"/>
    <cellStyle name="Normal 4 2 2 2 2 4 10" xfId="43182"/>
    <cellStyle name="Normal 5 2 2 2 2 4 10" xfId="43183"/>
    <cellStyle name="Normal 7 2 2 2 2 4 10" xfId="43184"/>
    <cellStyle name="Normal 2 4 2 2 2 4 10" xfId="43185"/>
    <cellStyle name="Normal 3 4 2 2 2 4 10" xfId="43186"/>
    <cellStyle name="Normal 4 3 2 2 2 4 10" xfId="43187"/>
    <cellStyle name="Normal 5 3 2 2 2 4 10" xfId="43188"/>
    <cellStyle name="Normal 7 3 2 2 2 4 10" xfId="43189"/>
    <cellStyle name="Normal 2 6 2 2 4 10" xfId="43190"/>
    <cellStyle name="Normal 3 6 2 2 4 10" xfId="43191"/>
    <cellStyle name="Normal 4 5 2 2 4 10" xfId="43192"/>
    <cellStyle name="Normal 5 5 2 2 4 10" xfId="43193"/>
    <cellStyle name="Normal 7 5 2 2 4 10" xfId="43194"/>
    <cellStyle name="Normal 2 3 3 2 2 4 10" xfId="43195"/>
    <cellStyle name="Normal 3 3 3 2 2 4 10" xfId="43196"/>
    <cellStyle name="Normal 4 2 3 2 2 4 10" xfId="43197"/>
    <cellStyle name="Normal 5 2 3 2 2 4 10" xfId="43198"/>
    <cellStyle name="Normal 7 2 3 2 2 4 10" xfId="43199"/>
    <cellStyle name="Normal 2 4 3 2 2 4 10" xfId="43200"/>
    <cellStyle name="Normal 3 4 3 2 2 4 10" xfId="43201"/>
    <cellStyle name="Normal 4 3 3 2 2 4 10" xfId="43202"/>
    <cellStyle name="Normal 5 3 3 2 2 4 10" xfId="43203"/>
    <cellStyle name="Normal 7 3 3 2 2 4 10" xfId="43204"/>
    <cellStyle name="Normal 2 9 2 10" xfId="43205"/>
    <cellStyle name="Normal 3 9 2 10" xfId="43206"/>
    <cellStyle name="Normal 4 8 2 10" xfId="43207"/>
    <cellStyle name="Normal 5 8 2 10" xfId="43208"/>
    <cellStyle name="Normal 7 8 2 10" xfId="43209"/>
    <cellStyle name="Normal 2 3 6 2 10" xfId="43210"/>
    <cellStyle name="Normal 3 3 6 2 10" xfId="43211"/>
    <cellStyle name="Normal 4 2 6 2 10" xfId="43212"/>
    <cellStyle name="Normal 5 2 6 2 10" xfId="43213"/>
    <cellStyle name="Normal 7 2 6 2 10" xfId="43214"/>
    <cellStyle name="Normal 2 4 6 2 10" xfId="43215"/>
    <cellStyle name="Normal 3 4 6 2 10" xfId="43216"/>
    <cellStyle name="Normal 4 3 6 2 10" xfId="43217"/>
    <cellStyle name="Normal 5 3 6 2 10" xfId="43218"/>
    <cellStyle name="Normal 7 3 6 2 10" xfId="43219"/>
    <cellStyle name="Normal 2 5 4 2 10" xfId="43220"/>
    <cellStyle name="Normal 3 5 4 2 10" xfId="43221"/>
    <cellStyle name="Normal 4 4 4 2 10" xfId="43222"/>
    <cellStyle name="Normal 5 4 4 2 10" xfId="43223"/>
    <cellStyle name="Normal 7 4 4 2 10" xfId="43224"/>
    <cellStyle name="Normal 2 3 2 4 2 10" xfId="43225"/>
    <cellStyle name="Normal 3 3 2 4 2 10" xfId="43226"/>
    <cellStyle name="Normal 4 2 2 4 2 10" xfId="43227"/>
    <cellStyle name="Normal 5 2 2 4 2 10" xfId="43228"/>
    <cellStyle name="Normal 7 2 2 4 2 10" xfId="43229"/>
    <cellStyle name="Normal 2 4 2 4 2 10" xfId="43230"/>
    <cellStyle name="Normal 3 4 2 4 2 10" xfId="43231"/>
    <cellStyle name="Normal 4 3 2 4 2 10" xfId="43232"/>
    <cellStyle name="Normal 5 3 2 4 2 10" xfId="43233"/>
    <cellStyle name="Normal 7 3 2 4 2 10" xfId="43234"/>
    <cellStyle name="Normal 2 6 4 2 10" xfId="43235"/>
    <cellStyle name="Normal 3 6 4 2 10" xfId="43236"/>
    <cellStyle name="Normal 4 5 4 2 10" xfId="43237"/>
    <cellStyle name="Normal 5 5 4 2 10" xfId="43238"/>
    <cellStyle name="Normal 7 5 4 2 10" xfId="43239"/>
    <cellStyle name="Normal 2 3 3 4 2 10" xfId="43240"/>
    <cellStyle name="Normal 3 3 3 4 2 10" xfId="43241"/>
    <cellStyle name="Normal 4 2 3 4 2 10" xfId="43242"/>
    <cellStyle name="Normal 5 2 3 4 2 10" xfId="43243"/>
    <cellStyle name="Normal 7 2 3 4 2 10" xfId="43244"/>
    <cellStyle name="Normal 2 4 3 4 2 10" xfId="43245"/>
    <cellStyle name="Normal 3 4 3 4 2 10" xfId="43246"/>
    <cellStyle name="Normal 4 3 3 4 2 10" xfId="43247"/>
    <cellStyle name="Normal 5 3 3 4 2 10" xfId="43248"/>
    <cellStyle name="Normal 7 3 3 4 2 10" xfId="43249"/>
    <cellStyle name="Normal 2 7 3 2 10" xfId="43250"/>
    <cellStyle name="Normal 3 7 3 2 10" xfId="43251"/>
    <cellStyle name="Normal 4 6 3 2 10" xfId="43252"/>
    <cellStyle name="Normal 5 6 3 2 10" xfId="43253"/>
    <cellStyle name="Normal 7 6 3 2 10" xfId="43254"/>
    <cellStyle name="Normal 2 3 4 3 2 10" xfId="43255"/>
    <cellStyle name="Normal 3 3 4 3 2 10" xfId="43256"/>
    <cellStyle name="Normal 4 2 4 3 2 10" xfId="43257"/>
    <cellStyle name="Normal 5 2 4 3 2 10" xfId="43258"/>
    <cellStyle name="Normal 7 2 4 3 2 10" xfId="43259"/>
    <cellStyle name="Normal 2 4 4 3 2 10" xfId="43260"/>
    <cellStyle name="Normal 3 4 4 3 2 10" xfId="43261"/>
    <cellStyle name="Normal 4 3 4 3 2 10" xfId="43262"/>
    <cellStyle name="Normal 5 3 4 3 2 10" xfId="43263"/>
    <cellStyle name="Normal 7 3 4 3 2 10" xfId="43264"/>
    <cellStyle name="Normal 2 5 2 3 2 10" xfId="43265"/>
    <cellStyle name="Normal 3 5 2 3 2 10" xfId="43266"/>
    <cellStyle name="Normal 4 4 2 3 2 10" xfId="43267"/>
    <cellStyle name="Normal 5 4 2 3 2 10" xfId="43268"/>
    <cellStyle name="Normal 7 4 2 3 2 10" xfId="43269"/>
    <cellStyle name="Normal 2 3 2 2 3 2 10" xfId="43270"/>
    <cellStyle name="Normal 3 3 2 2 3 2 10" xfId="43271"/>
    <cellStyle name="Normal 4 2 2 2 3 2 10" xfId="43272"/>
    <cellStyle name="Normal 5 2 2 2 3 2 10" xfId="43273"/>
    <cellStyle name="Normal 7 2 2 2 3 2 10" xfId="43274"/>
    <cellStyle name="Normal 2 4 2 2 3 2 10" xfId="43275"/>
    <cellStyle name="Normal 3 4 2 2 3 2 10" xfId="43276"/>
    <cellStyle name="Normal 4 3 2 2 3 2 10" xfId="43277"/>
    <cellStyle name="Normal 5 3 2 2 3 2 10" xfId="43278"/>
    <cellStyle name="Normal 7 3 2 2 3 2 10" xfId="43279"/>
    <cellStyle name="Normal 2 6 2 3 2 10" xfId="43280"/>
    <cellStyle name="Normal 3 6 2 3 2 10" xfId="43281"/>
    <cellStyle name="Normal 4 5 2 3 2 10" xfId="43282"/>
    <cellStyle name="Normal 5 5 2 3 2 10" xfId="43283"/>
    <cellStyle name="Normal 7 5 2 3 2 10" xfId="43284"/>
    <cellStyle name="Normal 2 3 3 2 3 2 10" xfId="43285"/>
    <cellStyle name="Normal 3 3 3 2 3 2 10" xfId="43286"/>
    <cellStyle name="Normal 4 2 3 2 3 2 10" xfId="43287"/>
    <cellStyle name="Normal 5 2 3 2 3 2 10" xfId="43288"/>
    <cellStyle name="Normal 7 2 3 2 3 2 10" xfId="43289"/>
    <cellStyle name="Normal 2 4 3 2 3 2 10" xfId="43290"/>
    <cellStyle name="Normal 3 4 3 2 3 2 10" xfId="43291"/>
    <cellStyle name="Normal 4 3 3 2 3 2 10" xfId="43292"/>
    <cellStyle name="Normal 5 3 3 2 3 2 10" xfId="43293"/>
    <cellStyle name="Normal 7 3 3 2 3 2 10" xfId="43294"/>
    <cellStyle name="Normal 2 8 2 2 10" xfId="43295"/>
    <cellStyle name="Normal 3 8 2 2 10" xfId="43296"/>
    <cellStyle name="Normal 4 7 2 2 10" xfId="43297"/>
    <cellStyle name="Normal 5 7 2 2 10" xfId="43298"/>
    <cellStyle name="Normal 7 7 2 2 10" xfId="43299"/>
    <cellStyle name="Normal 2 3 5 2 2 10" xfId="43300"/>
    <cellStyle name="Normal 3 3 5 2 2 10" xfId="43301"/>
    <cellStyle name="Normal 4 2 5 2 2 10" xfId="43302"/>
    <cellStyle name="Normal 5 2 5 2 2 10" xfId="43303"/>
    <cellStyle name="Normal 7 2 5 2 2 10" xfId="43304"/>
    <cellStyle name="Normal 2 4 5 2 2 10" xfId="43305"/>
    <cellStyle name="Normal 3 4 5 2 2 10" xfId="43306"/>
    <cellStyle name="Normal 4 3 5 2 2 10" xfId="43307"/>
    <cellStyle name="Normal 5 3 5 2 2 10" xfId="43308"/>
    <cellStyle name="Normal 7 3 5 2 2 10" xfId="43309"/>
    <cellStyle name="Normal 2 5 3 2 2 10" xfId="43310"/>
    <cellStyle name="Normal 3 5 3 2 2 10" xfId="43311"/>
    <cellStyle name="Normal 4 4 3 2 2 10" xfId="43312"/>
    <cellStyle name="Normal 5 4 3 2 2 10" xfId="43313"/>
    <cellStyle name="Normal 7 4 3 2 2 10" xfId="43314"/>
    <cellStyle name="Normal 2 3 2 3 2 2 10" xfId="43315"/>
    <cellStyle name="Normal 3 3 2 3 2 2 10" xfId="43316"/>
    <cellStyle name="Normal 4 2 2 3 2 2 10" xfId="43317"/>
    <cellStyle name="Normal 5 2 2 3 2 2 10" xfId="43318"/>
    <cellStyle name="Normal 7 2 2 3 2 2 10" xfId="43319"/>
    <cellStyle name="Normal 2 4 2 3 2 2 10" xfId="43320"/>
    <cellStyle name="Normal 3 4 2 3 2 2 10" xfId="43321"/>
    <cellStyle name="Normal 4 3 2 3 2 2 10" xfId="43322"/>
    <cellStyle name="Normal 5 3 2 3 2 2 10" xfId="43323"/>
    <cellStyle name="Normal 7 3 2 3 2 2 10" xfId="43324"/>
    <cellStyle name="Normal 2 6 3 2 2 10" xfId="43325"/>
    <cellStyle name="Normal 3 6 3 2 2 10" xfId="43326"/>
    <cellStyle name="Normal 4 5 3 2 2 10" xfId="43327"/>
    <cellStyle name="Normal 5 5 3 2 2 10" xfId="43328"/>
    <cellStyle name="Normal 7 5 3 2 2 10" xfId="43329"/>
    <cellStyle name="Normal 2 3 3 3 2 2 10" xfId="43330"/>
    <cellStyle name="Normal 3 3 3 3 2 2 10" xfId="43331"/>
    <cellStyle name="Normal 4 2 3 3 2 2 10" xfId="43332"/>
    <cellStyle name="Normal 5 2 3 3 2 2 10" xfId="43333"/>
    <cellStyle name="Normal 7 2 3 3 2 2 10" xfId="43334"/>
    <cellStyle name="Normal 2 4 3 3 2 2 10" xfId="43335"/>
    <cellStyle name="Normal 3 4 3 3 2 2 10" xfId="43336"/>
    <cellStyle name="Normal 4 3 3 3 2 2 10" xfId="43337"/>
    <cellStyle name="Normal 5 3 3 3 2 2 10" xfId="43338"/>
    <cellStyle name="Normal 7 3 3 3 2 2 10" xfId="43339"/>
    <cellStyle name="Normal 2 7 2 2 2 10" xfId="43340"/>
    <cellStyle name="Normal 3 7 2 2 2 10" xfId="43341"/>
    <cellStyle name="Normal 4 6 2 2 2 10" xfId="43342"/>
    <cellStyle name="Normal 5 6 2 2 2 10" xfId="43343"/>
    <cellStyle name="Normal 7 6 2 2 2 10" xfId="43344"/>
    <cellStyle name="Normal 2 3 4 2 2 2 10" xfId="43345"/>
    <cellStyle name="Normal 3 3 4 2 2 2 10" xfId="43346"/>
    <cellStyle name="Normal 4 2 4 2 2 2 10" xfId="43347"/>
    <cellStyle name="Normal 5 2 4 2 2 2 10" xfId="43348"/>
    <cellStyle name="Normal 7 2 4 2 2 2 10" xfId="43349"/>
    <cellStyle name="Normal 2 4 4 2 2 2 10" xfId="43350"/>
    <cellStyle name="Normal 3 4 4 2 2 2 10" xfId="43351"/>
    <cellStyle name="Normal 4 3 4 2 2 2 10" xfId="43352"/>
    <cellStyle name="Normal 5 3 4 2 2 2 10" xfId="43353"/>
    <cellStyle name="Normal 7 3 4 2 2 2 10" xfId="43354"/>
    <cellStyle name="Normal 2 5 2 2 2 2 10" xfId="43355"/>
    <cellStyle name="Normal 3 5 2 2 2 2 10" xfId="43356"/>
    <cellStyle name="Normal 4 4 2 2 2 2 10" xfId="43357"/>
    <cellStyle name="Normal 5 4 2 2 2 2 10" xfId="43358"/>
    <cellStyle name="Normal 7 4 2 2 2 2 10" xfId="43359"/>
    <cellStyle name="Normal 2 3 2 2 2 2 2 10" xfId="43360"/>
    <cellStyle name="Normal 3 3 2 2 2 2 2 10" xfId="43361"/>
    <cellStyle name="Normal 4 2 2 2 2 2 2 10" xfId="43362"/>
    <cellStyle name="Normal 5 2 2 2 2 2 2 10" xfId="43363"/>
    <cellStyle name="Normal 7 2 2 2 2 2 2 10" xfId="43364"/>
    <cellStyle name="Normal 2 4 2 2 2 2 2 10" xfId="43365"/>
    <cellStyle name="Normal 3 4 2 2 2 2 2 10" xfId="43366"/>
    <cellStyle name="Normal 4 3 2 2 2 2 2 10" xfId="43367"/>
    <cellStyle name="Normal 5 3 2 2 2 2 2 10" xfId="43368"/>
    <cellStyle name="Normal 7 3 2 2 2 2 2 10" xfId="43369"/>
    <cellStyle name="Normal 2 6 2 2 2 2 10" xfId="43370"/>
    <cellStyle name="Normal 3 6 2 2 2 2 10" xfId="43371"/>
    <cellStyle name="Normal 4 5 2 2 2 2 10" xfId="43372"/>
    <cellStyle name="Normal 5 5 2 2 2 2 10" xfId="43373"/>
    <cellStyle name="Normal 7 5 2 2 2 2 10" xfId="43374"/>
    <cellStyle name="Normal 2 3 3 2 2 2 2 10" xfId="43375"/>
    <cellStyle name="Normal 3 3 3 2 2 2 2 10" xfId="43376"/>
    <cellStyle name="Normal 4 2 3 2 2 2 2 10" xfId="43377"/>
    <cellStyle name="Normal 5 2 3 2 2 2 2 10" xfId="43378"/>
    <cellStyle name="Normal 7 2 3 2 2 2 2 10" xfId="43379"/>
    <cellStyle name="Normal 2 4 3 2 2 2 2 10" xfId="43380"/>
    <cellStyle name="Normal 3 4 3 2 2 2 2 10" xfId="43381"/>
    <cellStyle name="Normal 4 3 3 2 2 2 2 10" xfId="43382"/>
    <cellStyle name="Normal 5 3 3 2 2 2 2 10" xfId="43383"/>
    <cellStyle name="Normal 7 3 3 2 2 2 2 10" xfId="43384"/>
    <cellStyle name="Normal 2 3 7 2 10" xfId="43385"/>
    <cellStyle name="Normal 3 10 2 10" xfId="43386"/>
    <cellStyle name="Normal 4 9 2 10" xfId="43387"/>
    <cellStyle name="Normal 5 9 2 10" xfId="43388"/>
    <cellStyle name="Millares 4 2 10" xfId="43389"/>
    <cellStyle name="Normal 7 2 7 2 10" xfId="43390"/>
    <cellStyle name="Normal 3 3 7 2 10" xfId="43391"/>
    <cellStyle name="Normal 4 2 7 2 10" xfId="43392"/>
    <cellStyle name="Normal 5 2 7 2 10" xfId="43393"/>
    <cellStyle name="Normal 2 4 5 3 2 10" xfId="43394"/>
    <cellStyle name="Normal 3 4 7 2 10" xfId="43395"/>
    <cellStyle name="Normal 4 3 7 2 10" xfId="43396"/>
    <cellStyle name="Normal 5 3 7 2 10" xfId="43397"/>
    <cellStyle name="Normal 7 3 7 2 10" xfId="43398"/>
    <cellStyle name="Normal 2 5 5 2 10" xfId="43399"/>
    <cellStyle name="Normal 3 5 5 2 10" xfId="43400"/>
    <cellStyle name="Normal 4 4 5 2 10" xfId="43401"/>
    <cellStyle name="Normal 5 4 5 2 10" xfId="43402"/>
    <cellStyle name="Normal 7 4 5 2 10" xfId="43403"/>
    <cellStyle name="Normal 2 3 2 5 2 10" xfId="43404"/>
    <cellStyle name="Normal 3 3 2 5 2 10" xfId="43405"/>
    <cellStyle name="Normal 4 2 2 5 2 10" xfId="43406"/>
    <cellStyle name="Normal 5 2 2 5 2 10" xfId="43407"/>
    <cellStyle name="Normal 7 2 2 5 2 10" xfId="43408"/>
    <cellStyle name="Normal 2 4 2 5 2 10" xfId="43409"/>
    <cellStyle name="Normal 3 4 2 5 2 10" xfId="43410"/>
    <cellStyle name="Normal 4 3 2 5 2 10" xfId="43411"/>
    <cellStyle name="Normal 5 3 2 5 2 10" xfId="43412"/>
    <cellStyle name="Normal 7 3 2 5 2 10" xfId="43413"/>
    <cellStyle name="Normal 2 6 5 2 10" xfId="43414"/>
    <cellStyle name="Normal 3 6 5 2 10" xfId="43415"/>
    <cellStyle name="Normal 4 5 5 2 10" xfId="43416"/>
    <cellStyle name="Normal 5 5 5 2 10" xfId="43417"/>
    <cellStyle name="Normal 7 5 5 2 10" xfId="43418"/>
    <cellStyle name="Normal 2 3 3 5 2 10" xfId="43419"/>
    <cellStyle name="Normal 3 3 3 5 2 10" xfId="43420"/>
    <cellStyle name="Normal 4 2 3 5 2 10" xfId="43421"/>
    <cellStyle name="Normal 5 2 3 5 2 10" xfId="43422"/>
    <cellStyle name="Normal 7 2 3 5 2 10" xfId="43423"/>
    <cellStyle name="Normal 2 4 3 5 2 10" xfId="43424"/>
    <cellStyle name="Normal 3 4 3 5 2 10" xfId="43425"/>
    <cellStyle name="Normal 4 3 3 5 2 10" xfId="43426"/>
    <cellStyle name="Normal 5 3 3 5 2 10" xfId="43427"/>
    <cellStyle name="Normal 7 3 3 5 2 10" xfId="43428"/>
    <cellStyle name="Normal 2 7 4 2 10" xfId="43429"/>
    <cellStyle name="Normal 3 7 4 2 10" xfId="43430"/>
    <cellStyle name="Normal 4 6 4 2 10" xfId="43431"/>
    <cellStyle name="Normal 5 6 4 2 10" xfId="43432"/>
    <cellStyle name="Normal 7 6 4 2 10" xfId="43433"/>
    <cellStyle name="Normal 2 3 4 4 2 10" xfId="43434"/>
    <cellStyle name="Normal 3 3 4 4 2 10" xfId="43435"/>
    <cellStyle name="Normal 4 2 4 4 2 10" xfId="43436"/>
    <cellStyle name="Normal 5 2 4 4 2 10" xfId="43437"/>
    <cellStyle name="Normal 7 2 4 4 2 10" xfId="43438"/>
    <cellStyle name="Normal 2 4 4 4 2 10" xfId="43439"/>
    <cellStyle name="Normal 3 4 4 4 2 10" xfId="43440"/>
    <cellStyle name="Normal 4 3 4 4 2 10" xfId="43441"/>
    <cellStyle name="Normal 5 3 4 4 2 10" xfId="43442"/>
    <cellStyle name="Normal 7 3 4 4 2 10" xfId="43443"/>
    <cellStyle name="Normal 2 5 2 4 2 10" xfId="43444"/>
    <cellStyle name="Normal 3 5 2 4 2 10" xfId="43445"/>
    <cellStyle name="Normal 4 4 2 4 2 10" xfId="43446"/>
    <cellStyle name="Normal 5 4 2 4 2 10" xfId="43447"/>
    <cellStyle name="Normal 7 4 2 4 2 10" xfId="43448"/>
    <cellStyle name="Normal 2 3 2 2 4 2 10" xfId="43449"/>
    <cellStyle name="Normal 3 3 2 2 4 2 10" xfId="43450"/>
    <cellStyle name="Normal 4 2 2 2 4 2 10" xfId="43451"/>
    <cellStyle name="Normal 5 2 2 2 4 2 10" xfId="43452"/>
    <cellStyle name="Normal 7 2 2 2 4 2 10" xfId="43453"/>
    <cellStyle name="Normal 2 4 2 2 4 2 10" xfId="43454"/>
    <cellStyle name="Normal 3 4 2 2 4 2 10" xfId="43455"/>
    <cellStyle name="Normal 4 3 2 2 4 2 10" xfId="43456"/>
    <cellStyle name="Normal 5 3 2 2 4 2 10" xfId="43457"/>
    <cellStyle name="Normal 7 3 2 2 4 2 10" xfId="43458"/>
    <cellStyle name="Normal 2 6 2 4 2 10" xfId="43459"/>
    <cellStyle name="Normal 3 6 2 4 2 10" xfId="43460"/>
    <cellStyle name="Normal 4 5 2 4 2 10" xfId="43461"/>
    <cellStyle name="Normal 5 5 2 4 2 10" xfId="43462"/>
    <cellStyle name="Normal 7 5 2 4 2 10" xfId="43463"/>
    <cellStyle name="Normal 2 3 3 2 4 2 10" xfId="43464"/>
    <cellStyle name="Normal 3 3 3 2 4 2 10" xfId="43465"/>
    <cellStyle name="Normal 4 2 3 2 4 2 10" xfId="43466"/>
    <cellStyle name="Normal 5 2 3 2 4 2 10" xfId="43467"/>
    <cellStyle name="Normal 7 2 3 2 4 2 10" xfId="43468"/>
    <cellStyle name="Normal 2 4 3 2 4 2 10" xfId="43469"/>
    <cellStyle name="Normal 3 4 3 2 4 2 10" xfId="43470"/>
    <cellStyle name="Normal 4 3 3 2 4 2 10" xfId="43471"/>
    <cellStyle name="Normal 5 3 3 2 4 2 10" xfId="43472"/>
    <cellStyle name="Normal 7 3 3 2 4 2 10" xfId="43473"/>
    <cellStyle name="Normal 2 8 3 2 10" xfId="43474"/>
    <cellStyle name="Normal 3 8 3 2 10" xfId="43475"/>
    <cellStyle name="Normal 4 7 3 2 10" xfId="43476"/>
    <cellStyle name="Normal 5 7 3 2 10" xfId="43477"/>
    <cellStyle name="Normal 7 7 3 2 10" xfId="43478"/>
    <cellStyle name="Normal 2 3 5 3 2 10" xfId="43479"/>
    <cellStyle name="Normal 3 3 5 3 2 10" xfId="43480"/>
    <cellStyle name="Normal 4 2 5 3 2 10" xfId="43481"/>
    <cellStyle name="Normal 5 2 5 3 2 10" xfId="43482"/>
    <cellStyle name="Normal 7 2 5 3 2 10" xfId="43483"/>
    <cellStyle name="Normal 3 4 5 3 2 10" xfId="43484"/>
    <cellStyle name="Normal 4 3 5 3 2 10" xfId="43485"/>
    <cellStyle name="Normal 5 3 5 3 2 10" xfId="43486"/>
    <cellStyle name="Normal 7 3 5 3 2 10" xfId="43487"/>
    <cellStyle name="Normal 2 5 3 3 2 10" xfId="43488"/>
    <cellStyle name="Normal 3 5 3 3 2 10" xfId="43489"/>
    <cellStyle name="Normal 4 4 3 3 2 10" xfId="43490"/>
    <cellStyle name="Normal 5 4 3 3 2 10" xfId="43491"/>
    <cellStyle name="Normal 7 4 3 3 2 10" xfId="43492"/>
    <cellStyle name="Normal 2 3 2 3 3 2 10" xfId="43493"/>
    <cellStyle name="Normal 3 3 2 3 3 2 10" xfId="43494"/>
    <cellStyle name="Normal 4 2 2 3 3 2 10" xfId="43495"/>
    <cellStyle name="Normal 5 2 2 3 3 2 10" xfId="43496"/>
    <cellStyle name="Normal 7 2 2 3 3 2 10" xfId="43497"/>
    <cellStyle name="Normal 2 4 2 3 3 2 10" xfId="43498"/>
    <cellStyle name="Normal 3 4 2 3 3 2 10" xfId="43499"/>
    <cellStyle name="Normal 4 3 2 3 3 2 10" xfId="43500"/>
    <cellStyle name="Normal 5 3 2 3 3 2 10" xfId="43501"/>
    <cellStyle name="Normal 7 3 2 3 3 2 10" xfId="43502"/>
    <cellStyle name="Normal 2 6 3 3 2 10" xfId="43503"/>
    <cellStyle name="Normal 3 6 3 3 2 10" xfId="43504"/>
    <cellStyle name="Normal 4 5 3 3 2 10" xfId="43505"/>
    <cellStyle name="Normal 5 5 3 3 2 10" xfId="43506"/>
    <cellStyle name="Normal 7 5 3 3 2 10" xfId="43507"/>
    <cellStyle name="Normal 2 3 3 3 3 2 10" xfId="43508"/>
    <cellStyle name="Normal 3 3 3 3 3 2 10" xfId="43509"/>
    <cellStyle name="Normal 4 2 3 3 3 2 10" xfId="43510"/>
    <cellStyle name="Normal 5 2 3 3 3 2 10" xfId="43511"/>
    <cellStyle name="Normal 7 2 3 3 3 2 10" xfId="43512"/>
    <cellStyle name="Normal 2 4 3 3 3 2 10" xfId="43513"/>
    <cellStyle name="Normal 3 4 3 3 3 2 10" xfId="43514"/>
    <cellStyle name="Normal 4 3 3 3 3 2 10" xfId="43515"/>
    <cellStyle name="Normal 5 3 3 3 3 2 10" xfId="43516"/>
    <cellStyle name="Normal 7 3 3 3 3 2 10" xfId="43517"/>
    <cellStyle name="Normal 2 7 2 3 2 10" xfId="43518"/>
    <cellStyle name="Normal 3 7 2 3 2 10" xfId="43519"/>
    <cellStyle name="Normal 4 6 2 3 2 10" xfId="43520"/>
    <cellStyle name="Normal 5 6 2 3 2 10" xfId="43521"/>
    <cellStyle name="Normal 7 6 2 3 2 10" xfId="43522"/>
    <cellStyle name="Normal 2 3 4 2 3 2 10" xfId="43523"/>
    <cellStyle name="Normal 3 3 4 2 3 2 10" xfId="43524"/>
    <cellStyle name="Normal 4 2 4 2 3 2 10" xfId="43525"/>
    <cellStyle name="Normal 5 2 4 2 3 2 10" xfId="43526"/>
    <cellStyle name="Normal 7 2 4 2 3 2 10" xfId="43527"/>
    <cellStyle name="Normal 2 4 4 2 3 2 10" xfId="43528"/>
    <cellStyle name="Normal 3 4 4 2 3 2 10" xfId="43529"/>
    <cellStyle name="Normal 4 3 4 2 3 2 10" xfId="43530"/>
    <cellStyle name="Normal 5 3 4 2 3 2 10" xfId="43531"/>
    <cellStyle name="Normal 7 3 4 2 3 2 10" xfId="43532"/>
    <cellStyle name="Normal 2 5 2 2 3 2 10" xfId="43533"/>
    <cellStyle name="Normal 3 5 2 2 3 2 10" xfId="43534"/>
    <cellStyle name="Normal 4 4 2 2 3 2 10" xfId="43535"/>
    <cellStyle name="Normal 5 4 2 2 3 2 10" xfId="43536"/>
    <cellStyle name="Normal 7 4 2 2 3 2 10" xfId="43537"/>
    <cellStyle name="Normal 2 3 2 2 2 3 2 10" xfId="43538"/>
    <cellStyle name="Normal 3 3 2 2 2 3 2 10" xfId="43539"/>
    <cellStyle name="Normal 4 2 2 2 2 3 2 10" xfId="43540"/>
    <cellStyle name="Normal 5 2 2 2 2 3 2 10" xfId="43541"/>
    <cellStyle name="Normal 7 2 2 2 2 3 2 10" xfId="43542"/>
    <cellStyle name="Normal 2 4 2 2 2 3 2 10" xfId="43543"/>
    <cellStyle name="Normal 3 4 2 2 2 3 2 10" xfId="43544"/>
    <cellStyle name="Normal 4 3 2 2 2 3 2 10" xfId="43545"/>
    <cellStyle name="Normal 5 3 2 2 2 3 2 10" xfId="43546"/>
    <cellStyle name="Normal 7 3 2 2 2 3 2 10" xfId="43547"/>
    <cellStyle name="Normal 2 6 2 2 3 2 10" xfId="43548"/>
    <cellStyle name="Normal 3 6 2 2 3 2 10" xfId="43549"/>
    <cellStyle name="Normal 4 5 2 2 3 2 10" xfId="43550"/>
    <cellStyle name="Normal 5 5 2 2 3 2 10" xfId="43551"/>
    <cellStyle name="Normal 7 5 2 2 3 2 10" xfId="43552"/>
    <cellStyle name="Normal 2 3 3 2 2 3 2 10" xfId="43553"/>
    <cellStyle name="Normal 3 3 3 2 2 3 2 10" xfId="43554"/>
    <cellStyle name="Normal 4 2 3 2 2 3 2 10" xfId="43555"/>
    <cellStyle name="Normal 5 2 3 2 2 3 2 10" xfId="43556"/>
    <cellStyle name="Normal 7 2 3 2 2 3 2 10" xfId="43557"/>
    <cellStyle name="Normal 2 4 3 2 2 3 2 10" xfId="43558"/>
    <cellStyle name="Normal 3 4 3 2 2 3 2 10" xfId="43559"/>
    <cellStyle name="Normal 4 3 3 2 2 3 2 10" xfId="43560"/>
    <cellStyle name="Normal 5 3 3 2 2 3 2 10" xfId="43561"/>
    <cellStyle name="Normal 7 3 3 2 2 3 2 10" xfId="43562"/>
    <cellStyle name="Normal 2 12 10" xfId="43563"/>
    <cellStyle name="Normal 3 12 10" xfId="43564"/>
    <cellStyle name="Normal 4 11 10" xfId="43565"/>
    <cellStyle name="Normal 5 11 10" xfId="43566"/>
    <cellStyle name="Normal 7 11 10" xfId="43567"/>
    <cellStyle name="Normal 2 3 9 10" xfId="43568"/>
    <cellStyle name="Normal 3 3 9 10" xfId="43569"/>
    <cellStyle name="Normal 4 2 9 10" xfId="43570"/>
    <cellStyle name="Normal 5 2 9 10" xfId="43571"/>
    <cellStyle name="Normal 7 2 9 10" xfId="43572"/>
    <cellStyle name="Normal 2 4 9 10" xfId="43573"/>
    <cellStyle name="Normal 3 4 9 10" xfId="43574"/>
    <cellStyle name="Normal 4 3 9 10" xfId="43575"/>
    <cellStyle name="Normal 5 3 9 10" xfId="43576"/>
    <cellStyle name="Normal 7 3 9 10" xfId="43577"/>
    <cellStyle name="Normal 2 5 7 10" xfId="43578"/>
    <cellStyle name="Normal 3 5 7 10" xfId="43579"/>
    <cellStyle name="Normal 4 4 7 10" xfId="43580"/>
    <cellStyle name="Normal 5 4 7 10" xfId="43581"/>
    <cellStyle name="Normal 7 4 7 10" xfId="43582"/>
    <cellStyle name="Normal 2 3 2 7 10" xfId="43583"/>
    <cellStyle name="Normal 3 3 2 7 10" xfId="43584"/>
    <cellStyle name="Normal 4 2 2 7 10" xfId="43585"/>
    <cellStyle name="Normal 5 2 2 7 10" xfId="43586"/>
    <cellStyle name="Normal 7 2 2 7 10" xfId="43587"/>
    <cellStyle name="Normal 2 4 2 7 10" xfId="43588"/>
    <cellStyle name="Normal 3 4 2 7 10" xfId="43589"/>
    <cellStyle name="Normal 4 3 2 7 10" xfId="43590"/>
    <cellStyle name="Normal 5 3 2 7 10" xfId="43591"/>
    <cellStyle name="Normal 7 3 2 7 10" xfId="43592"/>
    <cellStyle name="Normal 2 6 7 10" xfId="43593"/>
    <cellStyle name="Normal 3 6 7 10" xfId="43594"/>
    <cellStyle name="Normal 4 5 7 10" xfId="43595"/>
    <cellStyle name="Normal 5 5 7 10" xfId="43596"/>
    <cellStyle name="Normal 7 5 7 10" xfId="43597"/>
    <cellStyle name="Normal 2 3 3 7 10" xfId="43598"/>
    <cellStyle name="Normal 3 3 3 7 10" xfId="43599"/>
    <cellStyle name="Normal 4 2 3 7 10" xfId="43600"/>
    <cellStyle name="Normal 5 2 3 7 10" xfId="43601"/>
    <cellStyle name="Normal 7 2 3 7 10" xfId="43602"/>
    <cellStyle name="Normal 2 4 3 7 10" xfId="43603"/>
    <cellStyle name="Normal 3 4 3 7 10" xfId="43604"/>
    <cellStyle name="Normal 4 3 3 7 10" xfId="43605"/>
    <cellStyle name="Normal 5 3 3 7 10" xfId="43606"/>
    <cellStyle name="Normal 7 3 3 7 10" xfId="43607"/>
    <cellStyle name="Normal 2 7 6 10" xfId="43608"/>
    <cellStyle name="Normal 3 7 6 10" xfId="43609"/>
    <cellStyle name="Normal 4 6 6 10" xfId="43610"/>
    <cellStyle name="Normal 5 6 6 10" xfId="43611"/>
    <cellStyle name="Normal 7 6 6 10" xfId="43612"/>
    <cellStyle name="Normal 2 3 4 6 10" xfId="43613"/>
    <cellStyle name="Normal 3 3 4 6 10" xfId="43614"/>
    <cellStyle name="Normal 4 2 4 6 10" xfId="43615"/>
    <cellStyle name="Normal 5 2 4 6 10" xfId="43616"/>
    <cellStyle name="Normal 7 2 4 6 10" xfId="43617"/>
    <cellStyle name="Normal 2 4 4 6 10" xfId="43618"/>
    <cellStyle name="Normal 3 4 4 6 10" xfId="43619"/>
    <cellStyle name="Normal 4 3 4 6 10" xfId="43620"/>
    <cellStyle name="Normal 5 3 4 6 10" xfId="43621"/>
    <cellStyle name="Normal 7 3 4 6 10" xfId="43622"/>
    <cellStyle name="Normal 2 5 2 6 10" xfId="43623"/>
    <cellStyle name="Normal 3 5 2 6 10" xfId="43624"/>
    <cellStyle name="Normal 4 4 2 6 10" xfId="43625"/>
    <cellStyle name="Normal 5 4 2 6 10" xfId="43626"/>
    <cellStyle name="Normal 7 4 2 6 10" xfId="43627"/>
    <cellStyle name="Normal 2 3 2 2 6 10" xfId="43628"/>
    <cellStyle name="Normal 3 3 2 2 6 10" xfId="43629"/>
    <cellStyle name="Normal 4 2 2 2 6 10" xfId="43630"/>
    <cellStyle name="Normal 5 2 2 2 6 10" xfId="43631"/>
    <cellStyle name="Normal 7 2 2 2 6 10" xfId="43632"/>
    <cellStyle name="Normal 2 4 2 2 6 10" xfId="43633"/>
    <cellStyle name="Normal 3 4 2 2 6 10" xfId="43634"/>
    <cellStyle name="Normal 4 3 2 2 6 10" xfId="43635"/>
    <cellStyle name="Normal 5 3 2 2 6 10" xfId="43636"/>
    <cellStyle name="Normal 7 3 2 2 6 10" xfId="43637"/>
    <cellStyle name="Normal 2 6 2 6 10" xfId="43638"/>
    <cellStyle name="Normal 3 6 2 6 10" xfId="43639"/>
    <cellStyle name="Normal 4 5 2 6 10" xfId="43640"/>
    <cellStyle name="Normal 5 5 2 6 10" xfId="43641"/>
    <cellStyle name="Normal 7 5 2 6 10" xfId="43642"/>
    <cellStyle name="Normal 2 3 3 2 6 10" xfId="43643"/>
    <cellStyle name="Normal 3 3 3 2 6 10" xfId="43644"/>
    <cellStyle name="Normal 4 2 3 2 6 10" xfId="43645"/>
    <cellStyle name="Normal 5 2 3 2 6 10" xfId="43646"/>
    <cellStyle name="Normal 7 2 3 2 6 10" xfId="43647"/>
    <cellStyle name="Normal 2 4 3 2 6 10" xfId="43648"/>
    <cellStyle name="Normal 3 4 3 2 6 10" xfId="43649"/>
    <cellStyle name="Normal 4 3 3 2 6 10" xfId="43650"/>
    <cellStyle name="Normal 5 3 3 2 6 10" xfId="43651"/>
    <cellStyle name="Normal 7 3 3 2 6 10" xfId="43652"/>
    <cellStyle name="Normal 2 8 5 10" xfId="43653"/>
    <cellStyle name="Normal 3 8 5 10" xfId="43654"/>
    <cellStyle name="Normal 4 7 5 10" xfId="43655"/>
    <cellStyle name="Normal 5 7 5 10" xfId="43656"/>
    <cellStyle name="Normal 7 7 5 10" xfId="43657"/>
    <cellStyle name="Normal 2 3 5 5 10" xfId="43658"/>
    <cellStyle name="Normal 3 3 5 5 10" xfId="43659"/>
    <cellStyle name="Normal 4 2 5 5 10" xfId="43660"/>
    <cellStyle name="Normal 5 2 5 5 10" xfId="43661"/>
    <cellStyle name="Normal 7 2 5 5 10" xfId="43662"/>
    <cellStyle name="Normal 2 4 5 5 10" xfId="43663"/>
    <cellStyle name="Normal 3 4 5 5 10" xfId="43664"/>
    <cellStyle name="Normal 4 3 5 5 10" xfId="43665"/>
    <cellStyle name="Normal 5 3 5 5 10" xfId="43666"/>
    <cellStyle name="Normal 7 3 5 5 10" xfId="43667"/>
    <cellStyle name="Normal 2 5 3 5 10" xfId="43668"/>
    <cellStyle name="Normal 3 5 3 5 10" xfId="43669"/>
    <cellStyle name="Normal 4 4 3 5 10" xfId="43670"/>
    <cellStyle name="Normal 5 4 3 5 10" xfId="43671"/>
    <cellStyle name="Normal 7 4 3 5 10" xfId="43672"/>
    <cellStyle name="Normal 2 3 2 3 5 10" xfId="43673"/>
    <cellStyle name="Normal 3 3 2 3 5 10" xfId="43674"/>
    <cellStyle name="Normal 4 2 2 3 5 10" xfId="43675"/>
    <cellStyle name="Normal 5 2 2 3 5 10" xfId="43676"/>
    <cellStyle name="Normal 7 2 2 3 5 10" xfId="43677"/>
    <cellStyle name="Normal 2 4 2 3 5 10" xfId="43678"/>
    <cellStyle name="Normal 3 4 2 3 5 10" xfId="43679"/>
    <cellStyle name="Normal 4 3 2 3 5 10" xfId="43680"/>
    <cellStyle name="Normal 5 3 2 3 5 10" xfId="43681"/>
    <cellStyle name="Normal 7 3 2 3 5 10" xfId="43682"/>
    <cellStyle name="Normal 2 6 3 5 10" xfId="43683"/>
    <cellStyle name="Normal 3 6 3 5 10" xfId="43684"/>
    <cellStyle name="Normal 4 5 3 5 10" xfId="43685"/>
    <cellStyle name="Normal 5 5 3 5 10" xfId="43686"/>
    <cellStyle name="Normal 7 5 3 5 10" xfId="43687"/>
    <cellStyle name="Normal 2 3 3 3 5 10" xfId="43688"/>
    <cellStyle name="Normal 3 3 3 3 5 10" xfId="43689"/>
    <cellStyle name="Normal 4 2 3 3 5 10" xfId="43690"/>
    <cellStyle name="Normal 5 2 3 3 5 10" xfId="43691"/>
    <cellStyle name="Normal 7 2 3 3 5 10" xfId="43692"/>
    <cellStyle name="Normal 2 4 3 3 5 10" xfId="43693"/>
    <cellStyle name="Normal 3 4 3 3 5 10" xfId="43694"/>
    <cellStyle name="Normal 4 3 3 3 5 10" xfId="43695"/>
    <cellStyle name="Normal 5 3 3 3 5 10" xfId="43696"/>
    <cellStyle name="Normal 7 3 3 3 5 10" xfId="43697"/>
    <cellStyle name="Normal 2 7 2 5 10" xfId="43698"/>
    <cellStyle name="Normal 3 7 2 5 10" xfId="43699"/>
    <cellStyle name="Normal 4 6 2 5 10" xfId="43700"/>
    <cellStyle name="Normal 5 6 2 5 10" xfId="43701"/>
    <cellStyle name="Normal 7 6 2 5 10" xfId="43702"/>
    <cellStyle name="Normal 2 3 4 2 5 10" xfId="43703"/>
    <cellStyle name="Normal 3 3 4 2 5 10" xfId="43704"/>
    <cellStyle name="Normal 4 2 4 2 5 10" xfId="43705"/>
    <cellStyle name="Normal 5 2 4 2 5 10" xfId="43706"/>
    <cellStyle name="Normal 7 2 4 2 5 10" xfId="43707"/>
    <cellStyle name="Normal 2 4 4 2 5 10" xfId="43708"/>
    <cellStyle name="Normal 3 4 4 2 5 10" xfId="43709"/>
    <cellStyle name="Normal 4 3 4 2 5 10" xfId="43710"/>
    <cellStyle name="Normal 5 3 4 2 5 10" xfId="43711"/>
    <cellStyle name="Normal 7 3 4 2 5 10" xfId="43712"/>
    <cellStyle name="Normal 2 5 2 2 5 10" xfId="43713"/>
    <cellStyle name="Normal 3 5 2 2 5 10" xfId="43714"/>
    <cellStyle name="Normal 4 4 2 2 5 10" xfId="43715"/>
    <cellStyle name="Normal 5 4 2 2 5 10" xfId="43716"/>
    <cellStyle name="Normal 7 4 2 2 5 10" xfId="43717"/>
    <cellStyle name="Normal 2 3 2 2 2 5 10" xfId="43718"/>
    <cellStyle name="Normal 3 3 2 2 2 5 10" xfId="43719"/>
    <cellStyle name="Normal 4 2 2 2 2 5 10" xfId="43720"/>
    <cellStyle name="Normal 5 2 2 2 2 5 10" xfId="43721"/>
    <cellStyle name="Normal 7 2 2 2 2 5 10" xfId="43722"/>
    <cellStyle name="Normal 2 4 2 2 2 5 10" xfId="43723"/>
    <cellStyle name="Normal 3 4 2 2 2 5 10" xfId="43724"/>
    <cellStyle name="Normal 4 3 2 2 2 5 10" xfId="43725"/>
    <cellStyle name="Normal 5 3 2 2 2 5 10" xfId="43726"/>
    <cellStyle name="Normal 7 3 2 2 2 5 10" xfId="43727"/>
    <cellStyle name="Normal 2 6 2 2 5 10" xfId="43728"/>
    <cellStyle name="Normal 3 6 2 2 5 10" xfId="43729"/>
    <cellStyle name="Normal 4 5 2 2 5 10" xfId="43730"/>
    <cellStyle name="Normal 5 5 2 2 5 10" xfId="43731"/>
    <cellStyle name="Normal 7 5 2 2 5 10" xfId="43732"/>
    <cellStyle name="Normal 2 3 3 2 2 5 10" xfId="43733"/>
    <cellStyle name="Normal 3 3 3 2 2 5 10" xfId="43734"/>
    <cellStyle name="Normal 4 2 3 2 2 5 10" xfId="43735"/>
    <cellStyle name="Normal 5 2 3 2 2 5 10" xfId="43736"/>
    <cellStyle name="Normal 7 2 3 2 2 5 10" xfId="43737"/>
    <cellStyle name="Normal 2 4 3 2 2 5 10" xfId="43738"/>
    <cellStyle name="Normal 3 4 3 2 2 5 10" xfId="43739"/>
    <cellStyle name="Normal 4 3 3 2 2 5 10" xfId="43740"/>
    <cellStyle name="Normal 5 3 3 2 2 5 10" xfId="43741"/>
    <cellStyle name="Normal 7 3 3 2 2 5 10" xfId="43742"/>
    <cellStyle name="Normal 2 9 3 10" xfId="43743"/>
    <cellStyle name="Normal 3 9 3 10" xfId="43744"/>
    <cellStyle name="Normal 4 8 3 10" xfId="43745"/>
    <cellStyle name="Normal 5 8 3 10" xfId="43746"/>
    <cellStyle name="Normal 7 8 3 10" xfId="43747"/>
    <cellStyle name="Normal 2 3 6 3 10" xfId="43748"/>
    <cellStyle name="Normal 3 3 6 3 10" xfId="43749"/>
    <cellStyle name="Normal 4 2 6 3 10" xfId="43750"/>
    <cellStyle name="Normal 5 2 6 3 10" xfId="43751"/>
    <cellStyle name="Normal 7 2 6 3 10" xfId="43752"/>
    <cellStyle name="Normal 2 4 6 3 10" xfId="43753"/>
    <cellStyle name="Normal 3 4 6 3 10" xfId="43754"/>
    <cellStyle name="Normal 4 3 6 3 10" xfId="43755"/>
    <cellStyle name="Normal 5 3 6 3 10" xfId="43756"/>
    <cellStyle name="Normal 7 3 6 3 10" xfId="43757"/>
    <cellStyle name="Normal 2 5 4 3 10" xfId="43758"/>
    <cellStyle name="Normal 3 5 4 3 10" xfId="43759"/>
    <cellStyle name="Normal 4 4 4 3 10" xfId="43760"/>
    <cellStyle name="Normal 5 4 4 3 10" xfId="43761"/>
    <cellStyle name="Normal 7 4 4 3 10" xfId="43762"/>
    <cellStyle name="Normal 2 3 2 4 3 10" xfId="43763"/>
    <cellStyle name="Normal 3 3 2 4 3 10" xfId="43764"/>
    <cellStyle name="Normal 4 2 2 4 3 10" xfId="43765"/>
    <cellStyle name="Normal 5 2 2 4 3 10" xfId="43766"/>
    <cellStyle name="Normal 7 2 2 4 3 10" xfId="43767"/>
    <cellStyle name="Normal 2 4 2 4 3 10" xfId="43768"/>
    <cellStyle name="Normal 3 4 2 4 3 10" xfId="43769"/>
    <cellStyle name="Normal 4 3 2 4 3 10" xfId="43770"/>
    <cellStyle name="Normal 5 3 2 4 3 10" xfId="43771"/>
    <cellStyle name="Normal 7 3 2 4 3 10" xfId="43772"/>
    <cellStyle name="Normal 2 6 4 3 10" xfId="43773"/>
    <cellStyle name="Normal 3 6 4 3 10" xfId="43774"/>
    <cellStyle name="Normal 4 5 4 3 10" xfId="43775"/>
    <cellStyle name="Normal 5 5 4 3 10" xfId="43776"/>
    <cellStyle name="Normal 7 5 4 3 10" xfId="43777"/>
    <cellStyle name="Normal 2 3 3 4 3 10" xfId="43778"/>
    <cellStyle name="Normal 3 3 3 4 3 10" xfId="43779"/>
    <cellStyle name="Normal 4 2 3 4 3 10" xfId="43780"/>
    <cellStyle name="Normal 5 2 3 4 3 10" xfId="43781"/>
    <cellStyle name="Normal 7 2 3 4 3 10" xfId="43782"/>
    <cellStyle name="Normal 2 4 3 4 3 10" xfId="43783"/>
    <cellStyle name="Normal 3 4 3 4 3 10" xfId="43784"/>
    <cellStyle name="Normal 4 3 3 4 3 10" xfId="43785"/>
    <cellStyle name="Normal 5 3 3 4 3 10" xfId="43786"/>
    <cellStyle name="Normal 7 3 3 4 3 10" xfId="43787"/>
    <cellStyle name="Normal 2 7 3 3 10" xfId="43788"/>
    <cellStyle name="Normal 3 7 3 3 10" xfId="43789"/>
    <cellStyle name="Normal 4 6 3 3 10" xfId="43790"/>
    <cellStyle name="Normal 5 6 3 3 10" xfId="43791"/>
    <cellStyle name="Normal 7 6 3 3 10" xfId="43792"/>
    <cellStyle name="Normal 2 3 4 3 3 10" xfId="43793"/>
    <cellStyle name="Normal 3 3 4 3 3 10" xfId="43794"/>
    <cellStyle name="Normal 4 2 4 3 3 10" xfId="43795"/>
    <cellStyle name="Normal 5 2 4 3 3 10" xfId="43796"/>
    <cellStyle name="Normal 7 2 4 3 3 10" xfId="43797"/>
    <cellStyle name="Normal 2 4 4 3 3 10" xfId="43798"/>
    <cellStyle name="Normal 3 4 4 3 3 10" xfId="43799"/>
    <cellStyle name="Normal 4 3 4 3 3 10" xfId="43800"/>
    <cellStyle name="Normal 5 3 4 3 3 10" xfId="43801"/>
    <cellStyle name="Normal 7 3 4 3 3 10" xfId="43802"/>
    <cellStyle name="Normal 2 5 2 3 3 10" xfId="43803"/>
    <cellStyle name="Normal 3 5 2 3 3 10" xfId="43804"/>
    <cellStyle name="Normal 4 4 2 3 3 10" xfId="43805"/>
    <cellStyle name="Normal 5 4 2 3 3 10" xfId="43806"/>
    <cellStyle name="Normal 7 4 2 3 3 10" xfId="43807"/>
    <cellStyle name="Normal 2 3 2 2 3 3 10" xfId="43808"/>
    <cellStyle name="Normal 3 3 2 2 3 3 10" xfId="43809"/>
    <cellStyle name="Normal 4 2 2 2 3 3 10" xfId="43810"/>
    <cellStyle name="Normal 5 2 2 2 3 3 10" xfId="43811"/>
    <cellStyle name="Normal 7 2 2 2 3 3 10" xfId="43812"/>
    <cellStyle name="Normal 2 4 2 2 3 3 10" xfId="43813"/>
    <cellStyle name="Normal 3 4 2 2 3 3 10" xfId="43814"/>
    <cellStyle name="Normal 4 3 2 2 3 3 10" xfId="43815"/>
    <cellStyle name="Normal 5 3 2 2 3 3 10" xfId="43816"/>
    <cellStyle name="Normal 7 3 2 2 3 3 10" xfId="43817"/>
    <cellStyle name="Normal 2 6 2 3 3 10" xfId="43818"/>
    <cellStyle name="Normal 3 6 2 3 3 10" xfId="43819"/>
    <cellStyle name="Normal 4 5 2 3 3 10" xfId="43820"/>
    <cellStyle name="Normal 5 5 2 3 3 10" xfId="43821"/>
    <cellStyle name="Normal 7 5 2 3 3 10" xfId="43822"/>
    <cellStyle name="Normal 2 3 3 2 3 3 10" xfId="43823"/>
    <cellStyle name="Normal 3 3 3 2 3 3 10" xfId="43824"/>
    <cellStyle name="Normal 4 2 3 2 3 3 10" xfId="43825"/>
    <cellStyle name="Normal 5 2 3 2 3 3 10" xfId="43826"/>
    <cellStyle name="Normal 7 2 3 2 3 3 10" xfId="43827"/>
    <cellStyle name="Normal 2 4 3 2 3 3 10" xfId="43828"/>
    <cellStyle name="Normal 3 4 3 2 3 3 10" xfId="43829"/>
    <cellStyle name="Normal 4 3 3 2 3 3 10" xfId="43830"/>
    <cellStyle name="Normal 5 3 3 2 3 3 10" xfId="43831"/>
    <cellStyle name="Normal 7 3 3 2 3 3 10" xfId="43832"/>
    <cellStyle name="Normal 2 8 2 3 10" xfId="43833"/>
    <cellStyle name="Normal 3 8 2 3 10" xfId="43834"/>
    <cellStyle name="Normal 4 7 2 3 10" xfId="43835"/>
    <cellStyle name="Normal 5 7 2 3 10" xfId="43836"/>
    <cellStyle name="Normal 7 7 2 3 10" xfId="43837"/>
    <cellStyle name="Normal 2 3 5 2 3 10" xfId="43838"/>
    <cellStyle name="Normal 3 3 5 2 3 10" xfId="43839"/>
    <cellStyle name="Normal 4 2 5 2 3 10" xfId="43840"/>
    <cellStyle name="Normal 5 2 5 2 3 10" xfId="43841"/>
    <cellStyle name="Normal 7 2 5 2 3 10" xfId="43842"/>
    <cellStyle name="Normal 2 4 5 2 3 10" xfId="43843"/>
    <cellStyle name="Normal 3 4 5 2 3 10" xfId="43844"/>
    <cellStyle name="Normal 4 3 5 2 3 10" xfId="43845"/>
    <cellStyle name="Normal 5 3 5 2 3 10" xfId="43846"/>
    <cellStyle name="Normal 7 3 5 2 3 10" xfId="43847"/>
    <cellStyle name="Normal 2 5 3 2 3 10" xfId="43848"/>
    <cellStyle name="Normal 3 5 3 2 3 10" xfId="43849"/>
    <cellStyle name="Normal 4 4 3 2 3 10" xfId="43850"/>
    <cellStyle name="Normal 5 4 3 2 3 10" xfId="43851"/>
    <cellStyle name="Normal 7 4 3 2 3 10" xfId="43852"/>
    <cellStyle name="Normal 2 3 2 3 2 3 10" xfId="43853"/>
    <cellStyle name="Normal 3 3 2 3 2 3 10" xfId="43854"/>
    <cellStyle name="Normal 4 2 2 3 2 3 10" xfId="43855"/>
    <cellStyle name="Normal 5 2 2 3 2 3 10" xfId="43856"/>
    <cellStyle name="Normal 7 2 2 3 2 3 10" xfId="43857"/>
    <cellStyle name="Normal 2 4 2 3 2 3 10" xfId="43858"/>
    <cellStyle name="Normal 3 4 2 3 2 3 10" xfId="43859"/>
    <cellStyle name="Normal 4 3 2 3 2 3 10" xfId="43860"/>
    <cellStyle name="Normal 5 3 2 3 2 3 10" xfId="43861"/>
    <cellStyle name="Normal 7 3 2 3 2 3 10" xfId="43862"/>
    <cellStyle name="Normal 2 6 3 2 3 10" xfId="43863"/>
    <cellStyle name="Normal 3 6 3 2 3 10" xfId="43864"/>
    <cellStyle name="Normal 4 5 3 2 3 10" xfId="43865"/>
    <cellStyle name="Normal 5 5 3 2 3 10" xfId="43866"/>
    <cellStyle name="Normal 7 5 3 2 3 10" xfId="43867"/>
    <cellStyle name="Normal 2 3 3 3 2 3 10" xfId="43868"/>
    <cellStyle name="Normal 3 3 3 3 2 3 10" xfId="43869"/>
    <cellStyle name="Normal 4 2 3 3 2 3 10" xfId="43870"/>
    <cellStyle name="Normal 5 2 3 3 2 3 10" xfId="43871"/>
    <cellStyle name="Normal 7 2 3 3 2 3 10" xfId="43872"/>
    <cellStyle name="Normal 2 4 3 3 2 3 10" xfId="43873"/>
    <cellStyle name="Normal 3 4 3 3 2 3 10" xfId="43874"/>
    <cellStyle name="Normal 4 3 3 3 2 3 10" xfId="43875"/>
    <cellStyle name="Normal 5 3 3 3 2 3 10" xfId="43876"/>
    <cellStyle name="Normal 7 3 3 3 2 3 10" xfId="43877"/>
    <cellStyle name="Normal 2 7 2 2 3 10" xfId="43878"/>
    <cellStyle name="Normal 3 7 2 2 3 10" xfId="43879"/>
    <cellStyle name="Normal 4 6 2 2 3 10" xfId="43880"/>
    <cellStyle name="Normal 5 6 2 2 3 10" xfId="43881"/>
    <cellStyle name="Normal 7 6 2 2 3 10" xfId="43882"/>
    <cellStyle name="Normal 2 3 4 2 2 3 10" xfId="43883"/>
    <cellStyle name="Normal 3 3 4 2 2 3 10" xfId="43884"/>
    <cellStyle name="Normal 4 2 4 2 2 3 10" xfId="43885"/>
    <cellStyle name="Normal 5 2 4 2 2 3 10" xfId="43886"/>
    <cellStyle name="Normal 7 2 4 2 2 3 10" xfId="43887"/>
    <cellStyle name="Normal 2 4 4 2 2 3 10" xfId="43888"/>
    <cellStyle name="Normal 3 4 4 2 2 3 10" xfId="43889"/>
    <cellStyle name="Normal 4 3 4 2 2 3 10" xfId="43890"/>
    <cellStyle name="Normal 5 3 4 2 2 3 10" xfId="43891"/>
    <cellStyle name="Normal 7 3 4 2 2 3 10" xfId="43892"/>
    <cellStyle name="Normal 2 5 2 2 2 3 10" xfId="43893"/>
    <cellStyle name="Normal 3 5 2 2 2 3 10" xfId="43894"/>
    <cellStyle name="Normal 4 4 2 2 2 3 10" xfId="43895"/>
    <cellStyle name="Normal 5 4 2 2 2 3 10" xfId="43896"/>
    <cellStyle name="Normal 7 4 2 2 2 3 10" xfId="43897"/>
    <cellStyle name="Normal 2 3 2 2 2 2 3 10" xfId="43898"/>
    <cellStyle name="Normal 3 3 2 2 2 2 3 10" xfId="43899"/>
    <cellStyle name="Normal 4 2 2 2 2 2 3 10" xfId="43900"/>
    <cellStyle name="Normal 5 2 2 2 2 2 3 10" xfId="43901"/>
    <cellStyle name="Normal 7 2 2 2 2 2 3 10" xfId="43902"/>
    <cellStyle name="Normal 2 4 2 2 2 2 3 10" xfId="43903"/>
    <cellStyle name="Normal 3 4 2 2 2 2 3 10" xfId="43904"/>
    <cellStyle name="Normal 4 3 2 2 2 2 3 10" xfId="43905"/>
    <cellStyle name="Normal 5 3 2 2 2 2 3 10" xfId="43906"/>
    <cellStyle name="Normal 7 3 2 2 2 2 3 10" xfId="43907"/>
    <cellStyle name="Normal 2 6 2 2 2 3 10" xfId="43908"/>
    <cellStyle name="Normal 3 6 2 2 2 3 10" xfId="43909"/>
    <cellStyle name="Normal 4 5 2 2 2 3 10" xfId="43910"/>
    <cellStyle name="Normal 5 5 2 2 2 3 10" xfId="43911"/>
    <cellStyle name="Normal 7 5 2 2 2 3 10" xfId="43912"/>
    <cellStyle name="Normal 2 3 3 2 2 2 3 10" xfId="43913"/>
    <cellStyle name="Normal 3 3 3 2 2 2 3 10" xfId="43914"/>
    <cellStyle name="Normal 4 2 3 2 2 2 3 10" xfId="43915"/>
    <cellStyle name="Normal 5 2 3 2 2 2 3 10" xfId="43916"/>
    <cellStyle name="Normal 7 2 3 2 2 2 3 10" xfId="43917"/>
    <cellStyle name="Normal 2 4 3 2 2 2 3 10" xfId="43918"/>
    <cellStyle name="Normal 3 4 3 2 2 2 3 10" xfId="43919"/>
    <cellStyle name="Normal 4 3 3 2 2 2 3 10" xfId="43920"/>
    <cellStyle name="Normal 5 3 3 2 2 2 3 10" xfId="43921"/>
    <cellStyle name="Normal 7 3 3 2 2 2 3 10" xfId="43922"/>
    <cellStyle name="Normal 28 3 10" xfId="43923"/>
    <cellStyle name="Normal 2 3 7 3 10" xfId="43924"/>
    <cellStyle name="Normal 3 10 3 10" xfId="43925"/>
    <cellStyle name="Normal 4 9 3 10" xfId="43926"/>
    <cellStyle name="Normal 5 9 3 10" xfId="43927"/>
    <cellStyle name="Millares 4 3 10" xfId="43928"/>
    <cellStyle name="Normal 7 2 7 3 10" xfId="43929"/>
    <cellStyle name="Normal 3 3 7 3 10" xfId="43930"/>
    <cellStyle name="Normal 4 2 7 3 10" xfId="43931"/>
    <cellStyle name="Normal 5 2 7 3 10" xfId="43932"/>
    <cellStyle name="Normal 2 4 5 3 3 10" xfId="43933"/>
    <cellStyle name="Normal 3 4 7 3 10" xfId="43934"/>
    <cellStyle name="Normal 4 3 7 3 10" xfId="43935"/>
    <cellStyle name="Normal 5 3 7 3 10" xfId="43936"/>
    <cellStyle name="Normal 7 3 7 3 10" xfId="43937"/>
    <cellStyle name="Normal 2 5 5 3 10" xfId="43938"/>
    <cellStyle name="Normal 3 5 5 3 10" xfId="43939"/>
    <cellStyle name="Normal 4 4 5 3 10" xfId="43940"/>
    <cellStyle name="Normal 5 4 5 3 10" xfId="43941"/>
    <cellStyle name="Normal 7 4 5 3 10" xfId="43942"/>
    <cellStyle name="Normal 2 3 2 5 3 10" xfId="43943"/>
    <cellStyle name="Normal 3 3 2 5 3 10" xfId="43944"/>
    <cellStyle name="Normal 4 2 2 5 3 10" xfId="43945"/>
    <cellStyle name="Normal 5 2 2 5 3 10" xfId="43946"/>
    <cellStyle name="Normal 7 2 2 5 3 10" xfId="43947"/>
    <cellStyle name="Normal 2 4 2 5 3 10" xfId="43948"/>
    <cellStyle name="Normal 3 4 2 5 3 10" xfId="43949"/>
    <cellStyle name="Normal 4 3 2 5 3 10" xfId="43950"/>
    <cellStyle name="Normal 5 3 2 5 3 10" xfId="43951"/>
    <cellStyle name="Normal 7 3 2 5 3 10" xfId="43952"/>
    <cellStyle name="Normal 2 6 5 3 10" xfId="43953"/>
    <cellStyle name="Normal 3 6 5 3 10" xfId="43954"/>
    <cellStyle name="Normal 4 5 5 3 10" xfId="43955"/>
    <cellStyle name="Normal 5 5 5 3 10" xfId="43956"/>
    <cellStyle name="Normal 7 5 5 3 10" xfId="43957"/>
    <cellStyle name="Normal 2 3 3 5 3 10" xfId="43958"/>
    <cellStyle name="Normal 3 3 3 5 3 10" xfId="43959"/>
    <cellStyle name="Normal 4 2 3 5 3 10" xfId="43960"/>
    <cellStyle name="Normal 5 2 3 5 3 10" xfId="43961"/>
    <cellStyle name="Normal 7 2 3 5 3 10" xfId="43962"/>
    <cellStyle name="Normal 2 4 3 5 3 10" xfId="43963"/>
    <cellStyle name="Normal 3 4 3 5 3 10" xfId="43964"/>
    <cellStyle name="Normal 4 3 3 5 3 10" xfId="43965"/>
    <cellStyle name="Normal 5 3 3 5 3 10" xfId="43966"/>
    <cellStyle name="Normal 7 3 3 5 3 10" xfId="43967"/>
    <cellStyle name="Normal 2 7 4 3 10" xfId="43968"/>
    <cellStyle name="Normal 3 7 4 3 10" xfId="43969"/>
    <cellStyle name="Normal 4 6 4 3 10" xfId="43970"/>
    <cellStyle name="Normal 5 6 4 3 10" xfId="43971"/>
    <cellStyle name="Normal 7 6 4 3 10" xfId="43972"/>
    <cellStyle name="Normal 2 3 4 4 3 10" xfId="43973"/>
    <cellStyle name="Normal 3 3 4 4 3 10" xfId="43974"/>
    <cellStyle name="Normal 4 2 4 4 3 10" xfId="43975"/>
    <cellStyle name="Normal 5 2 4 4 3 10" xfId="43976"/>
    <cellStyle name="Normal 7 2 4 4 3 10" xfId="43977"/>
    <cellStyle name="Normal 2 4 4 4 3 10" xfId="43978"/>
    <cellStyle name="Normal 3 4 4 4 3 10" xfId="43979"/>
    <cellStyle name="Normal 4 3 4 4 3 10" xfId="43980"/>
    <cellStyle name="Normal 5 3 4 4 3 10" xfId="43981"/>
    <cellStyle name="Normal 7 3 4 4 3 10" xfId="43982"/>
    <cellStyle name="Normal 2 5 2 4 3 10" xfId="43983"/>
    <cellStyle name="Normal 3 5 2 4 3 10" xfId="43984"/>
    <cellStyle name="Normal 4 4 2 4 3 10" xfId="43985"/>
    <cellStyle name="Normal 5 4 2 4 3 10" xfId="43986"/>
    <cellStyle name="Normal 7 4 2 4 3 10" xfId="43987"/>
    <cellStyle name="Normal 2 3 2 2 4 3 10" xfId="43988"/>
    <cellStyle name="Normal 3 3 2 2 4 3 10" xfId="43989"/>
    <cellStyle name="Normal 4 2 2 2 4 3 10" xfId="43990"/>
    <cellStyle name="Normal 5 2 2 2 4 3 10" xfId="43991"/>
    <cellStyle name="Normal 7 2 2 2 4 3 10" xfId="43992"/>
    <cellStyle name="Normal 2 4 2 2 4 3 10" xfId="43993"/>
    <cellStyle name="Normal 3 4 2 2 4 3 10" xfId="43994"/>
    <cellStyle name="Normal 4 3 2 2 4 3 10" xfId="43995"/>
    <cellStyle name="Normal 5 3 2 2 4 3 10" xfId="43996"/>
    <cellStyle name="Normal 7 3 2 2 4 3 10" xfId="43997"/>
    <cellStyle name="Normal 2 6 2 4 3 10" xfId="43998"/>
    <cellStyle name="Normal 3 6 2 4 3 10" xfId="43999"/>
    <cellStyle name="Normal 4 5 2 4 3 10" xfId="44000"/>
    <cellStyle name="Normal 5 5 2 4 3 10" xfId="44001"/>
    <cellStyle name="Normal 7 5 2 4 3 10" xfId="44002"/>
    <cellStyle name="Normal 2 3 3 2 4 3 10" xfId="44003"/>
    <cellStyle name="Normal 3 3 3 2 4 3 10" xfId="44004"/>
    <cellStyle name="Normal 4 2 3 2 4 3 10" xfId="44005"/>
    <cellStyle name="Normal 5 2 3 2 4 3 10" xfId="44006"/>
    <cellStyle name="Normal 7 2 3 2 4 3 10" xfId="44007"/>
    <cellStyle name="Normal 2 4 3 2 4 3 10" xfId="44008"/>
    <cellStyle name="Normal 3 4 3 2 4 3 10" xfId="44009"/>
    <cellStyle name="Normal 4 3 3 2 4 3 10" xfId="44010"/>
    <cellStyle name="Normal 5 3 3 2 4 3 10" xfId="44011"/>
    <cellStyle name="Normal 7 3 3 2 4 3 10" xfId="44012"/>
    <cellStyle name="Normal 2 8 3 3 10" xfId="44013"/>
    <cellStyle name="Normal 3 8 3 3 10" xfId="44014"/>
    <cellStyle name="Normal 4 7 3 3 10" xfId="44015"/>
    <cellStyle name="Normal 5 7 3 3 10" xfId="44016"/>
    <cellStyle name="Normal 7 7 3 3 10" xfId="44017"/>
    <cellStyle name="Normal 2 3 5 3 3 10" xfId="44018"/>
    <cellStyle name="Normal 3 3 5 3 3 10" xfId="44019"/>
    <cellStyle name="Normal 4 2 5 3 3 10" xfId="44020"/>
    <cellStyle name="Normal 5 2 5 3 3 10" xfId="44021"/>
    <cellStyle name="Normal 7 2 5 3 3 10" xfId="44022"/>
    <cellStyle name="Normal 3 4 5 3 3 10" xfId="44023"/>
    <cellStyle name="Normal 4 3 5 3 3 10" xfId="44024"/>
    <cellStyle name="Normal 5 3 5 3 3 10" xfId="44025"/>
    <cellStyle name="Normal 7 3 5 3 3 10" xfId="44026"/>
    <cellStyle name="Normal 2 5 3 3 3 10" xfId="44027"/>
    <cellStyle name="Normal 3 5 3 3 3 10" xfId="44028"/>
    <cellStyle name="Normal 4 4 3 3 3 10" xfId="44029"/>
    <cellStyle name="Normal 5 4 3 3 3 10" xfId="44030"/>
    <cellStyle name="Normal 7 4 3 3 3 10" xfId="44031"/>
    <cellStyle name="Normal 2 3 2 3 3 3 10" xfId="44032"/>
    <cellStyle name="Normal 3 3 2 3 3 3 10" xfId="44033"/>
    <cellStyle name="Normal 4 2 2 3 3 3 10" xfId="44034"/>
    <cellStyle name="Normal 5 2 2 3 3 3 10" xfId="44035"/>
    <cellStyle name="Normal 7 2 2 3 3 3 10" xfId="44036"/>
    <cellStyle name="Normal 2 4 2 3 3 3 10" xfId="44037"/>
    <cellStyle name="Normal 3 4 2 3 3 3 10" xfId="44038"/>
    <cellStyle name="Normal 4 3 2 3 3 3 10" xfId="44039"/>
    <cellStyle name="Normal 5 3 2 3 3 3 10" xfId="44040"/>
    <cellStyle name="Normal 7 3 2 3 3 3 10" xfId="44041"/>
    <cellStyle name="Normal 2 6 3 3 3 10" xfId="44042"/>
    <cellStyle name="Normal 3 6 3 3 3 10" xfId="44043"/>
    <cellStyle name="Normal 4 5 3 3 3 10" xfId="44044"/>
    <cellStyle name="Normal 5 5 3 3 3 10" xfId="44045"/>
    <cellStyle name="Normal 7 5 3 3 3 10" xfId="44046"/>
    <cellStyle name="Normal 2 3 3 3 3 3 10" xfId="44047"/>
    <cellStyle name="Normal 3 3 3 3 3 3 10" xfId="44048"/>
    <cellStyle name="Normal 4 2 3 3 3 3 10" xfId="44049"/>
    <cellStyle name="Normal 5 2 3 3 3 3 10" xfId="44050"/>
    <cellStyle name="Normal 7 2 3 3 3 3 10" xfId="44051"/>
    <cellStyle name="Normal 2 4 3 3 3 3 10" xfId="44052"/>
    <cellStyle name="Normal 3 4 3 3 3 3 10" xfId="44053"/>
    <cellStyle name="Normal 4 3 3 3 3 3 10" xfId="44054"/>
    <cellStyle name="Normal 5 3 3 3 3 3 10" xfId="44055"/>
    <cellStyle name="Normal 7 3 3 3 3 3 10" xfId="44056"/>
    <cellStyle name="Normal 2 7 2 3 3 10" xfId="44057"/>
    <cellStyle name="Normal 3 7 2 3 3 10" xfId="44058"/>
    <cellStyle name="Normal 4 6 2 3 3 10" xfId="44059"/>
    <cellStyle name="Normal 5 6 2 3 3 10" xfId="44060"/>
    <cellStyle name="Normal 7 6 2 3 3 10" xfId="44061"/>
    <cellStyle name="Normal 2 3 4 2 3 3 10" xfId="44062"/>
    <cellStyle name="Normal 3 3 4 2 3 3 10" xfId="44063"/>
    <cellStyle name="Normal 4 2 4 2 3 3 10" xfId="44064"/>
    <cellStyle name="Normal 5 2 4 2 3 3 10" xfId="44065"/>
    <cellStyle name="Normal 7 2 4 2 3 3 10" xfId="44066"/>
    <cellStyle name="Normal 2 4 4 2 3 3 10" xfId="44067"/>
    <cellStyle name="Normal 3 4 4 2 3 3 10" xfId="44068"/>
    <cellStyle name="Normal 4 3 4 2 3 3 10" xfId="44069"/>
    <cellStyle name="Normal 5 3 4 2 3 3 10" xfId="44070"/>
    <cellStyle name="Normal 7 3 4 2 3 3 10" xfId="44071"/>
    <cellStyle name="Normal 2 5 2 2 3 3 10" xfId="44072"/>
    <cellStyle name="Normal 3 5 2 2 3 3 10" xfId="44073"/>
    <cellStyle name="Normal 4 4 2 2 3 3 10" xfId="44074"/>
    <cellStyle name="Normal 5 4 2 2 3 3 10" xfId="44075"/>
    <cellStyle name="Normal 7 4 2 2 3 3 10" xfId="44076"/>
    <cellStyle name="Normal 2 3 2 2 2 3 3 10" xfId="44077"/>
    <cellStyle name="Normal 3 3 2 2 2 3 3 10" xfId="44078"/>
    <cellStyle name="Normal 4 2 2 2 2 3 3 10" xfId="44079"/>
    <cellStyle name="Normal 5 2 2 2 2 3 3 10" xfId="44080"/>
    <cellStyle name="Normal 7 2 2 2 2 3 3 10" xfId="44081"/>
    <cellStyle name="Normal 2 4 2 2 2 3 3 10" xfId="44082"/>
    <cellStyle name="Normal 3 4 2 2 2 3 3 10" xfId="44083"/>
    <cellStyle name="Normal 4 3 2 2 2 3 3 10" xfId="44084"/>
    <cellStyle name="Normal 5 3 2 2 2 3 3 10" xfId="44085"/>
    <cellStyle name="Normal 7 3 2 2 2 3 3 10" xfId="44086"/>
    <cellStyle name="Normal 2 6 2 2 3 3 10" xfId="44087"/>
    <cellStyle name="Normal 3 6 2 2 3 3 10" xfId="44088"/>
    <cellStyle name="Normal 4 5 2 2 3 3 10" xfId="44089"/>
    <cellStyle name="Normal 5 5 2 2 3 3 10" xfId="44090"/>
    <cellStyle name="Normal 7 5 2 2 3 3 10" xfId="44091"/>
    <cellStyle name="Normal 2 3 3 2 2 3 3 10" xfId="44092"/>
    <cellStyle name="Normal 3 3 3 2 2 3 3 10" xfId="44093"/>
    <cellStyle name="Normal 4 2 3 2 2 3 3 10" xfId="44094"/>
    <cellStyle name="Normal 5 2 3 2 2 3 3 10" xfId="44095"/>
    <cellStyle name="Normal 7 2 3 2 2 3 3 10" xfId="44096"/>
    <cellStyle name="Normal 2 4 3 2 2 3 3 10" xfId="44097"/>
    <cellStyle name="Normal 3 4 3 2 2 3 3 10" xfId="44098"/>
    <cellStyle name="Normal 4 3 3 2 2 3 3 10" xfId="44099"/>
    <cellStyle name="Normal 5 3 3 2 2 3 3 10" xfId="44100"/>
    <cellStyle name="Normal 7 3 3 2 2 3 3 10" xfId="44101"/>
    <cellStyle name="Normal 2 13 9" xfId="44102"/>
    <cellStyle name="Normal 3 13 9" xfId="44103"/>
    <cellStyle name="Normal 4 12 9" xfId="44104"/>
    <cellStyle name="Normal 5 12 9" xfId="44105"/>
    <cellStyle name="Normal 7 12 9" xfId="44106"/>
    <cellStyle name="Normal 2 3 10 9" xfId="44107"/>
    <cellStyle name="Normal 3 3 10 9" xfId="44108"/>
    <cellStyle name="Normal 4 2 10 9" xfId="44109"/>
    <cellStyle name="Normal 5 2 10 9" xfId="44110"/>
    <cellStyle name="Normal 7 2 10 9" xfId="44111"/>
    <cellStyle name="Normal 2 4 10 9" xfId="44112"/>
    <cellStyle name="Normal 3 4 10 9" xfId="44113"/>
    <cellStyle name="Normal 4 3 10 9" xfId="44114"/>
    <cellStyle name="Normal 5 3 10 9" xfId="44115"/>
    <cellStyle name="Normal 7 3 10 9" xfId="44116"/>
    <cellStyle name="Normal 2 5 8 9" xfId="44117"/>
    <cellStyle name="Normal 3 5 8 9" xfId="44118"/>
    <cellStyle name="Normal 4 4 8 9" xfId="44119"/>
    <cellStyle name="Normal 5 4 8 9" xfId="44120"/>
    <cellStyle name="Normal 7 4 8 9" xfId="44121"/>
    <cellStyle name="Normal 2 3 2 8 9" xfId="44122"/>
    <cellStyle name="Normal 3 3 2 8 9" xfId="44123"/>
    <cellStyle name="Normal 4 2 2 8 9" xfId="44124"/>
    <cellStyle name="Normal 5 2 2 8 9" xfId="44125"/>
    <cellStyle name="Normal 7 2 2 8 9" xfId="44126"/>
    <cellStyle name="Normal 2 4 2 8 9" xfId="44127"/>
    <cellStyle name="Normal 3 4 2 8 9" xfId="44128"/>
    <cellStyle name="Normal 4 3 2 8 9" xfId="44129"/>
    <cellStyle name="Normal 5 3 2 8 9" xfId="44130"/>
    <cellStyle name="Normal 7 3 2 8 9" xfId="44131"/>
    <cellStyle name="Normal 2 6 8 9" xfId="44132"/>
    <cellStyle name="Normal 3 6 8 9" xfId="44133"/>
    <cellStyle name="Normal 4 5 8 9" xfId="44134"/>
    <cellStyle name="Normal 5 5 8 9" xfId="44135"/>
    <cellStyle name="Normal 7 5 8 9" xfId="44136"/>
    <cellStyle name="Normal 2 3 3 8 9" xfId="44137"/>
    <cellStyle name="Normal 3 3 3 8 9" xfId="44138"/>
    <cellStyle name="Normal 4 2 3 8 9" xfId="44139"/>
    <cellStyle name="Normal 5 2 3 8 9" xfId="44140"/>
    <cellStyle name="Normal 7 2 3 8 9" xfId="44141"/>
    <cellStyle name="Normal 2 4 3 8 9" xfId="44142"/>
    <cellStyle name="Normal 3 4 3 8 9" xfId="44143"/>
    <cellStyle name="Normal 4 3 3 8 9" xfId="44144"/>
    <cellStyle name="Normal 5 3 3 8 9" xfId="44145"/>
    <cellStyle name="Normal 7 3 3 8 9" xfId="44146"/>
    <cellStyle name="Normal 2 7 7 9" xfId="44147"/>
    <cellStyle name="Normal 3 7 7 9" xfId="44148"/>
    <cellStyle name="Normal 4 6 7 9" xfId="44149"/>
    <cellStyle name="Normal 5 6 7 9" xfId="44150"/>
    <cellStyle name="Normal 7 6 7 9" xfId="44151"/>
    <cellStyle name="Normal 2 3 4 7 9" xfId="44152"/>
    <cellStyle name="Normal 3 3 4 7 9" xfId="44153"/>
    <cellStyle name="Normal 4 2 4 7 9" xfId="44154"/>
    <cellStyle name="Normal 5 2 4 7 9" xfId="44155"/>
    <cellStyle name="Normal 7 2 4 7 9" xfId="44156"/>
    <cellStyle name="Normal 2 4 4 7 9" xfId="44157"/>
    <cellStyle name="Normal 3 4 4 7 9" xfId="44158"/>
    <cellStyle name="Normal 4 3 4 7 9" xfId="44159"/>
    <cellStyle name="Normal 5 3 4 7 9" xfId="44160"/>
    <cellStyle name="Normal 7 3 4 7 9" xfId="44161"/>
    <cellStyle name="Normal 2 5 2 7 9" xfId="44162"/>
    <cellStyle name="Normal 3 5 2 7 9" xfId="44163"/>
    <cellStyle name="Normal 4 4 2 7 9" xfId="44164"/>
    <cellStyle name="Normal 5 4 2 7 9" xfId="44165"/>
    <cellStyle name="Normal 7 4 2 7 9" xfId="44166"/>
    <cellStyle name="Normal 2 3 2 2 7 9" xfId="44167"/>
    <cellStyle name="Normal 3 3 2 2 7 9" xfId="44168"/>
    <cellStyle name="Normal 4 2 2 2 7 9" xfId="44169"/>
    <cellStyle name="Normal 5 2 2 2 7 9" xfId="44170"/>
    <cellStyle name="Normal 7 2 2 2 7 9" xfId="44171"/>
    <cellStyle name="Normal 2 4 2 2 7 9" xfId="44172"/>
    <cellStyle name="Normal 3 4 2 2 7 9" xfId="44173"/>
    <cellStyle name="Normal 4 3 2 2 7 9" xfId="44174"/>
    <cellStyle name="Normal 5 3 2 2 7 9" xfId="44175"/>
    <cellStyle name="Normal 7 3 2 2 7 9" xfId="44176"/>
    <cellStyle name="Normal 2 6 2 7 9" xfId="44177"/>
    <cellStyle name="Normal 3 6 2 7 9" xfId="44178"/>
    <cellStyle name="Normal 4 5 2 7 9" xfId="44179"/>
    <cellStyle name="Normal 5 5 2 7 9" xfId="44180"/>
    <cellStyle name="Normal 7 5 2 7 9" xfId="44181"/>
    <cellStyle name="Normal 2 3 3 2 7 9" xfId="44182"/>
    <cellStyle name="Normal 3 3 3 2 7 9" xfId="44183"/>
    <cellStyle name="Normal 4 2 3 2 7 9" xfId="44184"/>
    <cellStyle name="Normal 5 2 3 2 7 9" xfId="44185"/>
    <cellStyle name="Normal 7 2 3 2 7 9" xfId="44186"/>
    <cellStyle name="Normal 2 4 3 2 7 9" xfId="44187"/>
    <cellStyle name="Normal 3 4 3 2 7 9" xfId="44188"/>
    <cellStyle name="Normal 4 3 3 2 7 9" xfId="44189"/>
    <cellStyle name="Normal 5 3 3 2 7 9" xfId="44190"/>
    <cellStyle name="Normal 7 3 3 2 7 9" xfId="44191"/>
    <cellStyle name="Normal 2 8 6 9" xfId="44192"/>
    <cellStyle name="Normal 3 8 6 9" xfId="44193"/>
    <cellStyle name="Normal 4 7 6 9" xfId="44194"/>
    <cellStyle name="Normal 5 7 6 9" xfId="44195"/>
    <cellStyle name="Normal 7 7 6 9" xfId="44196"/>
    <cellStyle name="Normal 2 3 5 6 9" xfId="44197"/>
    <cellStyle name="Normal 3 3 5 6 9" xfId="44198"/>
    <cellStyle name="Normal 4 2 5 6 9" xfId="44199"/>
    <cellStyle name="Normal 5 2 5 6 9" xfId="44200"/>
    <cellStyle name="Normal 7 2 5 6 9" xfId="44201"/>
    <cellStyle name="Normal 2 4 5 6 9" xfId="44202"/>
    <cellStyle name="Normal 3 4 5 6 9" xfId="44203"/>
    <cellStyle name="Normal 4 3 5 6 9" xfId="44204"/>
    <cellStyle name="Normal 5 3 5 6 9" xfId="44205"/>
    <cellStyle name="Normal 7 3 5 6 9" xfId="44206"/>
    <cellStyle name="Normal 2 5 3 6 9" xfId="44207"/>
    <cellStyle name="Normal 3 5 3 6 9" xfId="44208"/>
    <cellStyle name="Normal 4 4 3 6 9" xfId="44209"/>
    <cellStyle name="Normal 5 4 3 6 9" xfId="44210"/>
    <cellStyle name="Normal 7 4 3 6 9" xfId="44211"/>
    <cellStyle name="Normal 2 3 2 3 6 9" xfId="44212"/>
    <cellStyle name="Normal 3 3 2 3 6 9" xfId="44213"/>
    <cellStyle name="Normal 4 2 2 3 6 9" xfId="44214"/>
    <cellStyle name="Normal 5 2 2 3 6 9" xfId="44215"/>
    <cellStyle name="Normal 7 2 2 3 6 9" xfId="44216"/>
    <cellStyle name="Normal 2 4 2 3 6 9" xfId="44217"/>
    <cellStyle name="Normal 3 4 2 3 6 9" xfId="44218"/>
    <cellStyle name="Normal 4 3 2 3 6 9" xfId="44219"/>
    <cellStyle name="Normal 5 3 2 3 6 9" xfId="44220"/>
    <cellStyle name="Normal 7 3 2 3 6 9" xfId="44221"/>
    <cellStyle name="Normal 2 6 3 6 9" xfId="44222"/>
    <cellStyle name="Normal 3 6 3 6 9" xfId="44223"/>
    <cellStyle name="Normal 4 5 3 6 9" xfId="44224"/>
    <cellStyle name="Normal 5 5 3 6 9" xfId="44225"/>
    <cellStyle name="Normal 7 5 3 6 9" xfId="44226"/>
    <cellStyle name="Normal 2 3 3 3 6 9" xfId="44227"/>
    <cellStyle name="Normal 3 3 3 3 6 9" xfId="44228"/>
    <cellStyle name="Normal 4 2 3 3 6 9" xfId="44229"/>
    <cellStyle name="Normal 5 2 3 3 6 9" xfId="44230"/>
    <cellStyle name="Normal 7 2 3 3 6 9" xfId="44231"/>
    <cellStyle name="Normal 2 4 3 3 6 9" xfId="44232"/>
    <cellStyle name="Normal 3 4 3 3 6 9" xfId="44233"/>
    <cellStyle name="Normal 4 3 3 3 6 9" xfId="44234"/>
    <cellStyle name="Normal 5 3 3 3 6 9" xfId="44235"/>
    <cellStyle name="Normal 7 3 3 3 6 9" xfId="44236"/>
    <cellStyle name="Normal 2 7 2 6 9" xfId="44237"/>
    <cellStyle name="Normal 3 7 2 6 9" xfId="44238"/>
    <cellStyle name="Normal 4 6 2 6 9" xfId="44239"/>
    <cellStyle name="Normal 5 6 2 6 9" xfId="44240"/>
    <cellStyle name="Normal 7 6 2 6 9" xfId="44241"/>
    <cellStyle name="Normal 2 3 4 2 6 9" xfId="44242"/>
    <cellStyle name="Normal 3 3 4 2 6 9" xfId="44243"/>
    <cellStyle name="Normal 4 2 4 2 6 9" xfId="44244"/>
    <cellStyle name="Normal 5 2 4 2 6 9" xfId="44245"/>
    <cellStyle name="Normal 7 2 4 2 6 9" xfId="44246"/>
    <cellStyle name="Normal 2 4 4 2 6 9" xfId="44247"/>
    <cellStyle name="Normal 3 4 4 2 6 9" xfId="44248"/>
    <cellStyle name="Normal 4 3 4 2 6 9" xfId="44249"/>
    <cellStyle name="Normal 5 3 4 2 6 9" xfId="44250"/>
    <cellStyle name="Normal 7 3 4 2 6 9" xfId="44251"/>
    <cellStyle name="Normal 2 5 2 2 6 9" xfId="44252"/>
    <cellStyle name="Normal 3 5 2 2 6 9" xfId="44253"/>
    <cellStyle name="Normal 4 4 2 2 6 9" xfId="44254"/>
    <cellStyle name="Normal 5 4 2 2 6 9" xfId="44255"/>
    <cellStyle name="Normal 7 4 2 2 6 9" xfId="44256"/>
    <cellStyle name="Normal 2 3 2 2 2 6 9" xfId="44257"/>
    <cellStyle name="Normal 3 3 2 2 2 6 9" xfId="44258"/>
    <cellStyle name="Normal 4 2 2 2 2 6 9" xfId="44259"/>
    <cellStyle name="Normal 5 2 2 2 2 6 9" xfId="44260"/>
    <cellStyle name="Normal 7 2 2 2 2 6 9" xfId="44261"/>
    <cellStyle name="Normal 2 4 2 2 2 6 9" xfId="44262"/>
    <cellStyle name="Normal 3 4 2 2 2 6 9" xfId="44263"/>
    <cellStyle name="Normal 4 3 2 2 2 6 9" xfId="44264"/>
    <cellStyle name="Normal 5 3 2 2 2 6 9" xfId="44265"/>
    <cellStyle name="Normal 7 3 2 2 2 6 9" xfId="44266"/>
    <cellStyle name="Normal 2 6 2 2 6 9" xfId="44267"/>
    <cellStyle name="Normal 3 6 2 2 6 9" xfId="44268"/>
    <cellStyle name="Normal 4 5 2 2 6 9" xfId="44269"/>
    <cellStyle name="Normal 5 5 2 2 6 9" xfId="44270"/>
    <cellStyle name="Normal 7 5 2 2 6 9" xfId="44271"/>
    <cellStyle name="Normal 2 3 3 2 2 6 9" xfId="44272"/>
    <cellStyle name="Normal 3 3 3 2 2 6 9" xfId="44273"/>
    <cellStyle name="Normal 4 2 3 2 2 6 9" xfId="44274"/>
    <cellStyle name="Normal 5 2 3 2 2 6 9" xfId="44275"/>
    <cellStyle name="Normal 7 2 3 2 2 6 9" xfId="44276"/>
    <cellStyle name="Normal 2 4 3 2 2 6 9" xfId="44277"/>
    <cellStyle name="Normal 3 4 3 2 2 6 9" xfId="44278"/>
    <cellStyle name="Normal 4 3 3 2 2 6 9" xfId="44279"/>
    <cellStyle name="Normal 5 3 3 2 2 6 9" xfId="44280"/>
    <cellStyle name="Normal 7 3 3 2 2 6 9" xfId="44281"/>
    <cellStyle name="Normal 2 9 4 9" xfId="44282"/>
    <cellStyle name="Normal 3 9 4 9" xfId="44283"/>
    <cellStyle name="Normal 4 8 4 9" xfId="44284"/>
    <cellStyle name="Normal 5 8 4 9" xfId="44285"/>
    <cellStyle name="Normal 7 8 4 9" xfId="44286"/>
    <cellStyle name="Normal 2 3 6 4 9" xfId="44287"/>
    <cellStyle name="Normal 3 3 6 4 9" xfId="44288"/>
    <cellStyle name="Normal 4 2 6 4 9" xfId="44289"/>
    <cellStyle name="Normal 5 2 6 4 9" xfId="44290"/>
    <cellStyle name="Normal 7 2 6 4 9" xfId="44291"/>
    <cellStyle name="Normal 2 4 6 4 9" xfId="44292"/>
    <cellStyle name="Normal 3 4 6 4 9" xfId="44293"/>
    <cellStyle name="Normal 4 3 6 4 9" xfId="44294"/>
    <cellStyle name="Normal 5 3 6 4 9" xfId="44295"/>
    <cellStyle name="Normal 7 3 6 4 9" xfId="44296"/>
    <cellStyle name="Normal 2 5 4 4 9" xfId="44297"/>
    <cellStyle name="Normal 3 5 4 4 9" xfId="44298"/>
    <cellStyle name="Normal 4 4 4 4 9" xfId="44299"/>
    <cellStyle name="Normal 5 4 4 4 9" xfId="44300"/>
    <cellStyle name="Normal 7 4 4 4 9" xfId="44301"/>
    <cellStyle name="Normal 2 3 2 4 4 9" xfId="44302"/>
    <cellStyle name="Normal 3 3 2 4 4 9" xfId="44303"/>
    <cellStyle name="Normal 4 2 2 4 4 9" xfId="44304"/>
    <cellStyle name="Normal 5 2 2 4 4 9" xfId="44305"/>
    <cellStyle name="Normal 7 2 2 4 4 9" xfId="44306"/>
    <cellStyle name="Normal 2 4 2 4 4 9" xfId="44307"/>
    <cellStyle name="Normal 3 4 2 4 4 9" xfId="44308"/>
    <cellStyle name="Normal 4 3 2 4 4 9" xfId="44309"/>
    <cellStyle name="Normal 5 3 2 4 4 9" xfId="44310"/>
    <cellStyle name="Normal 7 3 2 4 4 9" xfId="44311"/>
    <cellStyle name="Normal 2 6 4 4 9" xfId="44312"/>
    <cellStyle name="Normal 3 6 4 4 9" xfId="44313"/>
    <cellStyle name="Normal 4 5 4 4 9" xfId="44314"/>
    <cellStyle name="Normal 5 5 4 4 9" xfId="44315"/>
    <cellStyle name="Normal 7 5 4 4 9" xfId="44316"/>
    <cellStyle name="Normal 2 3 3 4 4 9" xfId="44317"/>
    <cellStyle name="Normal 3 3 3 4 4 9" xfId="44318"/>
    <cellStyle name="Normal 4 2 3 4 4 9" xfId="44319"/>
    <cellStyle name="Normal 5 2 3 4 4 9" xfId="44320"/>
    <cellStyle name="Normal 7 2 3 4 4 9" xfId="44321"/>
    <cellStyle name="Normal 2 4 3 4 4 9" xfId="44322"/>
    <cellStyle name="Normal 3 4 3 4 4 9" xfId="44323"/>
    <cellStyle name="Normal 4 3 3 4 4 9" xfId="44324"/>
    <cellStyle name="Normal 5 3 3 4 4 9" xfId="44325"/>
    <cellStyle name="Normal 7 3 3 4 4 9" xfId="44326"/>
    <cellStyle name="Normal 2 7 3 4 9" xfId="44327"/>
    <cellStyle name="Normal 3 7 3 4 9" xfId="44328"/>
    <cellStyle name="Normal 4 6 3 4 9" xfId="44329"/>
    <cellStyle name="Normal 5 6 3 4 9" xfId="44330"/>
    <cellStyle name="Normal 7 6 3 4 9" xfId="44331"/>
    <cellStyle name="Normal 2 3 4 3 4 9" xfId="44332"/>
    <cellStyle name="Normal 3 3 4 3 4 9" xfId="44333"/>
    <cellStyle name="Normal 4 2 4 3 4 9" xfId="44334"/>
    <cellStyle name="Normal 5 2 4 3 4 9" xfId="44335"/>
    <cellStyle name="Normal 7 2 4 3 4 9" xfId="44336"/>
    <cellStyle name="Normal 2 4 4 3 4 9" xfId="44337"/>
    <cellStyle name="Normal 3 4 4 3 4 9" xfId="44338"/>
    <cellStyle name="Normal 4 3 4 3 4 9" xfId="44339"/>
    <cellStyle name="Normal 5 3 4 3 4 9" xfId="44340"/>
    <cellStyle name="Normal 7 3 4 3 4 9" xfId="44341"/>
    <cellStyle name="Normal 2 5 2 3 4 9" xfId="44342"/>
    <cellStyle name="Normal 3 5 2 3 4 9" xfId="44343"/>
    <cellStyle name="Normal 4 4 2 3 4 9" xfId="44344"/>
    <cellStyle name="Normal 5 4 2 3 4 9" xfId="44345"/>
    <cellStyle name="Normal 7 4 2 3 4 9" xfId="44346"/>
    <cellStyle name="Normal 2 3 2 2 3 4 9" xfId="44347"/>
    <cellStyle name="Normal 3 3 2 2 3 4 9" xfId="44348"/>
    <cellStyle name="Normal 4 2 2 2 3 4 9" xfId="44349"/>
    <cellStyle name="Normal 5 2 2 2 3 4 9" xfId="44350"/>
    <cellStyle name="Normal 7 2 2 2 3 4 9" xfId="44351"/>
    <cellStyle name="Normal 2 4 2 2 3 4 9" xfId="44352"/>
    <cellStyle name="Normal 3 4 2 2 3 4 9" xfId="44353"/>
    <cellStyle name="Normal 4 3 2 2 3 4 9" xfId="44354"/>
    <cellStyle name="Normal 5 3 2 2 3 4 9" xfId="44355"/>
    <cellStyle name="Normal 7 3 2 2 3 4 9" xfId="44356"/>
    <cellStyle name="Normal 2 6 2 3 4 9" xfId="44357"/>
    <cellStyle name="Normal 3 6 2 3 4 9" xfId="44358"/>
    <cellStyle name="Normal 4 5 2 3 4 9" xfId="44359"/>
    <cellStyle name="Normal 5 5 2 3 4 9" xfId="44360"/>
    <cellStyle name="Normal 7 5 2 3 4 9" xfId="44361"/>
    <cellStyle name="Normal 2 3 3 2 3 4 9" xfId="44362"/>
    <cellStyle name="Normal 3 3 3 2 3 4 9" xfId="44363"/>
    <cellStyle name="Normal 4 2 3 2 3 4 9" xfId="44364"/>
    <cellStyle name="Normal 5 2 3 2 3 4 9" xfId="44365"/>
    <cellStyle name="Normal 7 2 3 2 3 4 9" xfId="44366"/>
    <cellStyle name="Normal 2 4 3 2 3 4 9" xfId="44367"/>
    <cellStyle name="Normal 3 4 3 2 3 4 9" xfId="44368"/>
    <cellStyle name="Normal 4 3 3 2 3 4 9" xfId="44369"/>
    <cellStyle name="Normal 5 3 3 2 3 4 9" xfId="44370"/>
    <cellStyle name="Normal 7 3 3 2 3 4 9" xfId="44371"/>
    <cellStyle name="Normal 2 8 2 4 9" xfId="44372"/>
    <cellStyle name="Normal 3 8 2 4 9" xfId="44373"/>
    <cellStyle name="Normal 4 7 2 4 9" xfId="44374"/>
    <cellStyle name="Normal 5 7 2 4 9" xfId="44375"/>
    <cellStyle name="Normal 7 7 2 4 9" xfId="44376"/>
    <cellStyle name="Normal 2 3 5 2 4 9" xfId="44377"/>
    <cellStyle name="Normal 3 3 5 2 4 9" xfId="44378"/>
    <cellStyle name="Normal 4 2 5 2 4 9" xfId="44379"/>
    <cellStyle name="Normal 5 2 5 2 4 9" xfId="44380"/>
    <cellStyle name="Normal 7 2 5 2 4 9" xfId="44381"/>
    <cellStyle name="Normal 2 4 5 2 4 9" xfId="44382"/>
    <cellStyle name="Normal 3 4 5 2 4 9" xfId="44383"/>
    <cellStyle name="Normal 4 3 5 2 4 9" xfId="44384"/>
    <cellStyle name="Normal 5 3 5 2 4 9" xfId="44385"/>
    <cellStyle name="Normal 7 3 5 2 4 9" xfId="44386"/>
    <cellStyle name="Normal 2 5 3 2 4 9" xfId="44387"/>
    <cellStyle name="Normal 3 5 3 2 4 9" xfId="44388"/>
    <cellStyle name="Normal 4 4 3 2 4 9" xfId="44389"/>
    <cellStyle name="Normal 5 4 3 2 4 9" xfId="44390"/>
    <cellStyle name="Normal 7 4 3 2 4 9" xfId="44391"/>
    <cellStyle name="Normal 2 3 2 3 2 4 9" xfId="44392"/>
    <cellStyle name="Normal 3 3 2 3 2 4 9" xfId="44393"/>
    <cellStyle name="Normal 4 2 2 3 2 4 9" xfId="44394"/>
    <cellStyle name="Normal 5 2 2 3 2 4 9" xfId="44395"/>
    <cellStyle name="Normal 7 2 2 3 2 4 9" xfId="44396"/>
    <cellStyle name="Normal 2 4 2 3 2 4 9" xfId="44397"/>
    <cellStyle name="Normal 3 4 2 3 2 4 9" xfId="44398"/>
    <cellStyle name="Normal 4 3 2 3 2 4 9" xfId="44399"/>
    <cellStyle name="Normal 5 3 2 3 2 4 9" xfId="44400"/>
    <cellStyle name="Normal 7 3 2 3 2 4 9" xfId="44401"/>
    <cellStyle name="Normal 2 6 3 2 4 9" xfId="44402"/>
    <cellStyle name="Normal 3 6 3 2 4 9" xfId="44403"/>
    <cellStyle name="Normal 4 5 3 2 4 9" xfId="44404"/>
    <cellStyle name="Normal 5 5 3 2 4 9" xfId="44405"/>
    <cellStyle name="Normal 7 5 3 2 4 9" xfId="44406"/>
    <cellStyle name="Normal 2 3 3 3 2 4 9" xfId="44407"/>
    <cellStyle name="Normal 3 3 3 3 2 4 9" xfId="44408"/>
    <cellStyle name="Normal 4 2 3 3 2 4 9" xfId="44409"/>
    <cellStyle name="Normal 5 2 3 3 2 4 9" xfId="44410"/>
    <cellStyle name="Normal 7 2 3 3 2 4 9" xfId="44411"/>
    <cellStyle name="Normal 2 4 3 3 2 4 9" xfId="44412"/>
    <cellStyle name="Normal 3 4 3 3 2 4 9" xfId="44413"/>
    <cellStyle name="Normal 4 3 3 3 2 4 9" xfId="44414"/>
    <cellStyle name="Normal 5 3 3 3 2 4 9" xfId="44415"/>
    <cellStyle name="Normal 7 3 3 3 2 4 9" xfId="44416"/>
    <cellStyle name="Normal 2 7 2 2 4 9" xfId="44417"/>
    <cellStyle name="Normal 3 7 2 2 4 9" xfId="44418"/>
    <cellStyle name="Normal 4 6 2 2 4 9" xfId="44419"/>
    <cellStyle name="Normal 5 6 2 2 4 9" xfId="44420"/>
    <cellStyle name="Normal 7 6 2 2 4 9" xfId="44421"/>
    <cellStyle name="Normal 2 3 4 2 2 4 9" xfId="44422"/>
    <cellStyle name="Normal 3 3 4 2 2 4 9" xfId="44423"/>
    <cellStyle name="Normal 4 2 4 2 2 4 9" xfId="44424"/>
    <cellStyle name="Normal 5 2 4 2 2 4 9" xfId="44425"/>
    <cellStyle name="Normal 7 2 4 2 2 4 9" xfId="44426"/>
    <cellStyle name="Normal 2 4 4 2 2 4 9" xfId="44427"/>
    <cellStyle name="Normal 3 4 4 2 2 4 9" xfId="44428"/>
    <cellStyle name="Normal 4 3 4 2 2 4 9" xfId="44429"/>
    <cellStyle name="Normal 5 3 4 2 2 4 9" xfId="44430"/>
    <cellStyle name="Normal 7 3 4 2 2 4 9" xfId="44431"/>
    <cellStyle name="Normal 2 5 2 2 2 4 9" xfId="44432"/>
    <cellStyle name="Normal 3 5 2 2 2 4 9" xfId="44433"/>
    <cellStyle name="Normal 4 4 2 2 2 4 9" xfId="44434"/>
    <cellStyle name="Normal 5 4 2 2 2 4 9" xfId="44435"/>
    <cellStyle name="Normal 7 4 2 2 2 4 9" xfId="44436"/>
    <cellStyle name="Normal 2 3 2 2 2 2 4 9" xfId="44437"/>
    <cellStyle name="Normal 3 3 2 2 2 2 4 9" xfId="44438"/>
    <cellStyle name="Normal 4 2 2 2 2 2 4 9" xfId="44439"/>
    <cellStyle name="Normal 5 2 2 2 2 2 4 9" xfId="44440"/>
    <cellStyle name="Normal 7 2 2 2 2 2 4 9" xfId="44441"/>
    <cellStyle name="Normal 2 4 2 2 2 2 4 9" xfId="44442"/>
    <cellStyle name="Normal 3 4 2 2 2 2 4 9" xfId="44443"/>
    <cellStyle name="Normal 4 3 2 2 2 2 4 9" xfId="44444"/>
    <cellStyle name="Normal 5 3 2 2 2 2 4 9" xfId="44445"/>
    <cellStyle name="Normal 7 3 2 2 2 2 4 9" xfId="44446"/>
    <cellStyle name="Normal 2 6 2 2 2 4 9" xfId="44447"/>
    <cellStyle name="Normal 3 6 2 2 2 4 9" xfId="44448"/>
    <cellStyle name="Normal 4 5 2 2 2 4 9" xfId="44449"/>
    <cellStyle name="Normal 5 5 2 2 2 4 9" xfId="44450"/>
    <cellStyle name="Normal 7 5 2 2 2 4 9" xfId="44451"/>
    <cellStyle name="Normal 2 3 3 2 2 2 4 9" xfId="44452"/>
    <cellStyle name="Normal 3 3 3 2 2 2 4 9" xfId="44453"/>
    <cellStyle name="Normal 4 2 3 2 2 2 4 9" xfId="44454"/>
    <cellStyle name="Normal 5 2 3 2 2 2 4 9" xfId="44455"/>
    <cellStyle name="Normal 7 2 3 2 2 2 4 9" xfId="44456"/>
    <cellStyle name="Normal 2 4 3 2 2 2 4 9" xfId="44457"/>
    <cellStyle name="Normal 3 4 3 2 2 2 4 9" xfId="44458"/>
    <cellStyle name="Normal 4 3 3 2 2 2 4 9" xfId="44459"/>
    <cellStyle name="Normal 5 3 3 2 2 2 4 9" xfId="44460"/>
    <cellStyle name="Normal 7 3 3 2 2 2 4 9" xfId="44461"/>
    <cellStyle name="Normal 28 4 9" xfId="44462"/>
    <cellStyle name="Normal 2 3 7 4 9" xfId="44463"/>
    <cellStyle name="Normal 3 10 4 9" xfId="44464"/>
    <cellStyle name="Normal 4 9 4 9" xfId="44465"/>
    <cellStyle name="Normal 5 9 4 9" xfId="44466"/>
    <cellStyle name="Millares 4 4 9" xfId="44467"/>
    <cellStyle name="Normal 7 2 7 4 9" xfId="44468"/>
    <cellStyle name="Normal 3 3 7 4 9" xfId="44469"/>
    <cellStyle name="Normal 4 2 7 4 9" xfId="44470"/>
    <cellStyle name="Normal 5 2 7 4 9" xfId="44471"/>
    <cellStyle name="Normal 2 4 5 3 4 9" xfId="44472"/>
    <cellStyle name="Normal 3 4 7 4 9" xfId="44473"/>
    <cellStyle name="Normal 4 3 7 4 9" xfId="44474"/>
    <cellStyle name="Normal 5 3 7 4 9" xfId="44475"/>
    <cellStyle name="Normal 7 3 7 4 9" xfId="44476"/>
    <cellStyle name="Normal 2 5 5 4 9" xfId="44477"/>
    <cellStyle name="Normal 3 5 5 4 9" xfId="44478"/>
    <cellStyle name="Normal 4 4 5 4 9" xfId="44479"/>
    <cellStyle name="Normal 5 4 5 4 9" xfId="44480"/>
    <cellStyle name="Normal 7 4 5 4 9" xfId="44481"/>
    <cellStyle name="Normal 2 3 2 5 4 9" xfId="44482"/>
    <cellStyle name="Normal 3 3 2 5 4 9" xfId="44483"/>
    <cellStyle name="Normal 4 2 2 5 4 9" xfId="44484"/>
    <cellStyle name="Normal 5 2 2 5 4 9" xfId="44485"/>
    <cellStyle name="Normal 7 2 2 5 4 9" xfId="44486"/>
    <cellStyle name="Normal 2 4 2 5 4 9" xfId="44487"/>
    <cellStyle name="Normal 3 4 2 5 4 9" xfId="44488"/>
    <cellStyle name="Normal 4 3 2 5 4 9" xfId="44489"/>
    <cellStyle name="Normal 5 3 2 5 4 9" xfId="44490"/>
    <cellStyle name="Normal 7 3 2 5 4 9" xfId="44491"/>
    <cellStyle name="Normal 2 6 5 4 9" xfId="44492"/>
    <cellStyle name="Normal 3 6 5 4 9" xfId="44493"/>
    <cellStyle name="Normal 4 5 5 4 9" xfId="44494"/>
    <cellStyle name="Normal 5 5 5 4 9" xfId="44495"/>
    <cellStyle name="Normal 7 5 5 4 9" xfId="44496"/>
    <cellStyle name="Normal 2 3 3 5 4 9" xfId="44497"/>
    <cellStyle name="Normal 3 3 3 5 4 9" xfId="44498"/>
    <cellStyle name="Normal 4 2 3 5 4 9" xfId="44499"/>
    <cellStyle name="Normal 5 2 3 5 4 9" xfId="44500"/>
    <cellStyle name="Normal 7 2 3 5 4 9" xfId="44501"/>
    <cellStyle name="Normal 2 4 3 5 4 9" xfId="44502"/>
    <cellStyle name="Normal 3 4 3 5 4 9" xfId="44503"/>
    <cellStyle name="Normal 4 3 3 5 4 9" xfId="44504"/>
    <cellStyle name="Normal 5 3 3 5 4 9" xfId="44505"/>
    <cellStyle name="Normal 7 3 3 5 4 9" xfId="44506"/>
    <cellStyle name="Normal 2 7 4 4 9" xfId="44507"/>
    <cellStyle name="Normal 3 7 4 4 9" xfId="44508"/>
    <cellStyle name="Normal 4 6 4 4 9" xfId="44509"/>
    <cellStyle name="Normal 5 6 4 4 9" xfId="44510"/>
    <cellStyle name="Normal 7 6 4 4 9" xfId="44511"/>
    <cellStyle name="Normal 2 3 4 4 4 9" xfId="44512"/>
    <cellStyle name="Normal 3 3 4 4 4 9" xfId="44513"/>
    <cellStyle name="Normal 4 2 4 4 4 9" xfId="44514"/>
    <cellStyle name="Normal 5 2 4 4 4 9" xfId="44515"/>
    <cellStyle name="Normal 7 2 4 4 4 9" xfId="44516"/>
    <cellStyle name="Normal 2 4 4 4 4 9" xfId="44517"/>
    <cellStyle name="Normal 3 4 4 4 4 9" xfId="44518"/>
    <cellStyle name="Normal 4 3 4 4 4 9" xfId="44519"/>
    <cellStyle name="Normal 5 3 4 4 4 9" xfId="44520"/>
    <cellStyle name="Normal 7 3 4 4 4 9" xfId="44521"/>
    <cellStyle name="Normal 2 5 2 4 4 9" xfId="44522"/>
    <cellStyle name="Normal 3 5 2 4 4 9" xfId="44523"/>
    <cellStyle name="Normal 4 4 2 4 4 9" xfId="44524"/>
    <cellStyle name="Normal 5 4 2 4 4 9" xfId="44525"/>
    <cellStyle name="Normal 7 4 2 4 4 9" xfId="44526"/>
    <cellStyle name="Normal 2 3 2 2 4 4 9" xfId="44527"/>
    <cellStyle name="Normal 3 3 2 2 4 4 9" xfId="44528"/>
    <cellStyle name="Normal 4 2 2 2 4 4 9" xfId="44529"/>
    <cellStyle name="Normal 5 2 2 2 4 4 9" xfId="44530"/>
    <cellStyle name="Normal 7 2 2 2 4 4 9" xfId="44531"/>
    <cellStyle name="Normal 2 4 2 2 4 4 9" xfId="44532"/>
    <cellStyle name="Normal 3 4 2 2 4 4 9" xfId="44533"/>
    <cellStyle name="Normal 4 3 2 2 4 4 9" xfId="44534"/>
    <cellStyle name="Normal 5 3 2 2 4 4 9" xfId="44535"/>
    <cellStyle name="Normal 7 3 2 2 4 4 9" xfId="44536"/>
    <cellStyle name="Normal 2 6 2 4 4 9" xfId="44537"/>
    <cellStyle name="Normal 3 6 2 4 4 9" xfId="44538"/>
    <cellStyle name="Normal 4 5 2 4 4 9" xfId="44539"/>
    <cellStyle name="Normal 5 5 2 4 4 9" xfId="44540"/>
    <cellStyle name="Normal 7 5 2 4 4 9" xfId="44541"/>
    <cellStyle name="Normal 2 3 3 2 4 4 9" xfId="44542"/>
    <cellStyle name="Normal 3 3 3 2 4 4 9" xfId="44543"/>
    <cellStyle name="Normal 4 2 3 2 4 4 9" xfId="44544"/>
    <cellStyle name="Normal 5 2 3 2 4 4 9" xfId="44545"/>
    <cellStyle name="Normal 7 2 3 2 4 4 9" xfId="44546"/>
    <cellStyle name="Normal 2 4 3 2 4 4 9" xfId="44547"/>
    <cellStyle name="Normal 3 4 3 2 4 4 9" xfId="44548"/>
    <cellStyle name="Normal 4 3 3 2 4 4 9" xfId="44549"/>
    <cellStyle name="Normal 5 3 3 2 4 4 9" xfId="44550"/>
    <cellStyle name="Normal 7 3 3 2 4 4 9" xfId="44551"/>
    <cellStyle name="Normal 2 8 3 4 9" xfId="44552"/>
    <cellStyle name="Normal 3 8 3 4 9" xfId="44553"/>
    <cellStyle name="Normal 4 7 3 4 9" xfId="44554"/>
    <cellStyle name="Normal 5 7 3 4 9" xfId="44555"/>
    <cellStyle name="Normal 7 7 3 4 9" xfId="44556"/>
    <cellStyle name="Normal 2 3 5 3 4 9" xfId="44557"/>
    <cellStyle name="Normal 3 3 5 3 4 9" xfId="44558"/>
    <cellStyle name="Normal 4 2 5 3 4 9" xfId="44559"/>
    <cellStyle name="Normal 5 2 5 3 4 9" xfId="44560"/>
    <cellStyle name="Normal 7 2 5 3 4 9" xfId="44561"/>
    <cellStyle name="Normal 3 4 5 3 4 9" xfId="44562"/>
    <cellStyle name="Normal 4 3 5 3 4 9" xfId="44563"/>
    <cellStyle name="Normal 5 3 5 3 4 9" xfId="44564"/>
    <cellStyle name="Normal 7 3 5 3 4 9" xfId="44565"/>
    <cellStyle name="Normal 2 5 3 3 4 9" xfId="44566"/>
    <cellStyle name="Normal 3 5 3 3 4 9" xfId="44567"/>
    <cellStyle name="Normal 4 4 3 3 4 9" xfId="44568"/>
    <cellStyle name="Normal 5 4 3 3 4 9" xfId="44569"/>
    <cellStyle name="Normal 7 4 3 3 4 9" xfId="44570"/>
    <cellStyle name="Normal 2 3 2 3 3 4 9" xfId="44571"/>
    <cellStyle name="Normal 3 3 2 3 3 4 9" xfId="44572"/>
    <cellStyle name="Normal 4 2 2 3 3 4 9" xfId="44573"/>
    <cellStyle name="Normal 5 2 2 3 3 4 9" xfId="44574"/>
    <cellStyle name="Normal 7 2 2 3 3 4 9" xfId="44575"/>
    <cellStyle name="Normal 2 4 2 3 3 4 9" xfId="44576"/>
    <cellStyle name="Normal 3 4 2 3 3 4 9" xfId="44577"/>
    <cellStyle name="Normal 4 3 2 3 3 4 9" xfId="44578"/>
    <cellStyle name="Normal 5 3 2 3 3 4 9" xfId="44579"/>
    <cellStyle name="Normal 7 3 2 3 3 4 9" xfId="44580"/>
    <cellStyle name="Normal 2 6 3 3 4 9" xfId="44581"/>
    <cellStyle name="Normal 3 6 3 3 4 9" xfId="44582"/>
    <cellStyle name="Normal 4 5 3 3 4 9" xfId="44583"/>
    <cellStyle name="Normal 5 5 3 3 4 9" xfId="44584"/>
    <cellStyle name="Normal 7 5 3 3 4 9" xfId="44585"/>
    <cellStyle name="Normal 2 3 3 3 3 4 9" xfId="44586"/>
    <cellStyle name="Normal 3 3 3 3 3 4 9" xfId="44587"/>
    <cellStyle name="Normal 4 2 3 3 3 4 9" xfId="44588"/>
    <cellStyle name="Normal 5 2 3 3 3 4 9" xfId="44589"/>
    <cellStyle name="Normal 7 2 3 3 3 4 9" xfId="44590"/>
    <cellStyle name="Normal 2 4 3 3 3 4 9" xfId="44591"/>
    <cellStyle name="Normal 3 4 3 3 3 4 9" xfId="44592"/>
    <cellStyle name="Normal 4 3 3 3 3 4 9" xfId="44593"/>
    <cellStyle name="Normal 5 3 3 3 3 4 9" xfId="44594"/>
    <cellStyle name="Normal 7 3 3 3 3 4 9" xfId="44595"/>
    <cellStyle name="Normal 2 7 2 3 4 9" xfId="44596"/>
    <cellStyle name="Normal 3 7 2 3 4 9" xfId="44597"/>
    <cellStyle name="Normal 4 6 2 3 4 9" xfId="44598"/>
    <cellStyle name="Normal 5 6 2 3 4 9" xfId="44599"/>
    <cellStyle name="Normal 7 6 2 3 4 9" xfId="44600"/>
    <cellStyle name="Normal 2 3 4 2 3 4 9" xfId="44601"/>
    <cellStyle name="Normal 3 3 4 2 3 4 9" xfId="44602"/>
    <cellStyle name="Normal 4 2 4 2 3 4 9" xfId="44603"/>
    <cellStyle name="Normal 5 2 4 2 3 4 9" xfId="44604"/>
    <cellStyle name="Normal 7 2 4 2 3 4 9" xfId="44605"/>
    <cellStyle name="Normal 2 4 4 2 3 4 9" xfId="44606"/>
    <cellStyle name="Normal 3 4 4 2 3 4 9" xfId="44607"/>
    <cellStyle name="Normal 4 3 4 2 3 4 9" xfId="44608"/>
    <cellStyle name="Normal 5 3 4 2 3 4 9" xfId="44609"/>
    <cellStyle name="Normal 7 3 4 2 3 4 9" xfId="44610"/>
    <cellStyle name="Normal 2 5 2 2 3 4 9" xfId="44611"/>
    <cellStyle name="Normal 3 5 2 2 3 4 9" xfId="44612"/>
    <cellStyle name="Normal 4 4 2 2 3 4 9" xfId="44613"/>
    <cellStyle name="Normal 5 4 2 2 3 4 9" xfId="44614"/>
    <cellStyle name="Normal 7 4 2 2 3 4 9" xfId="44615"/>
    <cellStyle name="Normal 2 3 2 2 2 3 4 9" xfId="44616"/>
    <cellStyle name="Normal 3 3 2 2 2 3 4 9" xfId="44617"/>
    <cellStyle name="Normal 4 2 2 2 2 3 4 9" xfId="44618"/>
    <cellStyle name="Normal 5 2 2 2 2 3 4 9" xfId="44619"/>
    <cellStyle name="Normal 7 2 2 2 2 3 4 9" xfId="44620"/>
    <cellStyle name="Normal 2 4 2 2 2 3 4 9" xfId="44621"/>
    <cellStyle name="Normal 3 4 2 2 2 3 4 9" xfId="44622"/>
    <cellStyle name="Normal 4 3 2 2 2 3 4 9" xfId="44623"/>
    <cellStyle name="Normal 5 3 2 2 2 3 4 9" xfId="44624"/>
    <cellStyle name="Normal 7 3 2 2 2 3 4 9" xfId="44625"/>
    <cellStyle name="Normal 2 6 2 2 3 4 9" xfId="44626"/>
    <cellStyle name="Normal 3 6 2 2 3 4 9" xfId="44627"/>
    <cellStyle name="Normal 4 5 2 2 3 4 9" xfId="44628"/>
    <cellStyle name="Normal 5 5 2 2 3 4 9" xfId="44629"/>
    <cellStyle name="Normal 7 5 2 2 3 4 9" xfId="44630"/>
    <cellStyle name="Normal 2 3 3 2 2 3 4 9" xfId="44631"/>
    <cellStyle name="Normal 3 3 3 2 2 3 4 9" xfId="44632"/>
    <cellStyle name="Normal 4 2 3 2 2 3 4 9" xfId="44633"/>
    <cellStyle name="Normal 5 2 3 2 2 3 4 9" xfId="44634"/>
    <cellStyle name="Normal 7 2 3 2 2 3 4 9" xfId="44635"/>
    <cellStyle name="Normal 2 4 3 2 2 3 4 9" xfId="44636"/>
    <cellStyle name="Normal 3 4 3 2 2 3 4 9" xfId="44637"/>
    <cellStyle name="Normal 4 3 3 2 2 3 4 9" xfId="44638"/>
    <cellStyle name="Normal 5 3 3 2 2 3 4 9" xfId="44639"/>
    <cellStyle name="Normal 7 3 3 2 2 3 4 9" xfId="44640"/>
    <cellStyle name="Normal 2 11 2 9" xfId="44641"/>
    <cellStyle name="Normal 3 11 2 9" xfId="44642"/>
    <cellStyle name="Normal 4 10 2 9" xfId="44643"/>
    <cellStyle name="Normal 5 10 2 9" xfId="44644"/>
    <cellStyle name="Normal 7 10 2 9" xfId="44645"/>
    <cellStyle name="Normal 2 3 8 2 9" xfId="44646"/>
    <cellStyle name="Normal 3 3 8 2 9" xfId="44647"/>
    <cellStyle name="Normal 4 2 8 2 9" xfId="44648"/>
    <cellStyle name="Normal 5 2 8 2 9" xfId="44649"/>
    <cellStyle name="Normal 7 2 8 2 9" xfId="44650"/>
    <cellStyle name="Normal 2 4 8 2 9" xfId="44651"/>
    <cellStyle name="Normal 3 4 8 2 9" xfId="44652"/>
    <cellStyle name="Normal 4 3 8 2 9" xfId="44653"/>
    <cellStyle name="Normal 5 3 8 2 9" xfId="44654"/>
    <cellStyle name="Normal 7 3 8 2 9" xfId="44655"/>
    <cellStyle name="Normal 2 5 6 2 9" xfId="44656"/>
    <cellStyle name="Normal 3 5 6 2 9" xfId="44657"/>
    <cellStyle name="Normal 4 4 6 2 9" xfId="44658"/>
    <cellStyle name="Normal 5 4 6 2 9" xfId="44659"/>
    <cellStyle name="Normal 7 4 6 2 9" xfId="44660"/>
    <cellStyle name="Normal 2 3 2 6 2 9" xfId="44661"/>
    <cellStyle name="Normal 3 3 2 6 2 9" xfId="44662"/>
    <cellStyle name="Normal 4 2 2 6 2 9" xfId="44663"/>
    <cellStyle name="Normal 5 2 2 6 2 9" xfId="44664"/>
    <cellStyle name="Normal 7 2 2 6 2 9" xfId="44665"/>
    <cellStyle name="Normal 2 4 2 6 2 9" xfId="44666"/>
    <cellStyle name="Normal 3 4 2 6 2 9" xfId="44667"/>
    <cellStyle name="Normal 4 3 2 6 2 9" xfId="44668"/>
    <cellStyle name="Normal 5 3 2 6 2 9" xfId="44669"/>
    <cellStyle name="Normal 7 3 2 6 2 9" xfId="44670"/>
    <cellStyle name="Normal 2 6 6 2 9" xfId="44671"/>
    <cellStyle name="Normal 3 6 6 2 9" xfId="44672"/>
    <cellStyle name="Normal 4 5 6 2 9" xfId="44673"/>
    <cellStyle name="Normal 5 5 6 2 9" xfId="44674"/>
    <cellStyle name="Normal 7 5 6 2 9" xfId="44675"/>
    <cellStyle name="Normal 2 3 3 6 2 9" xfId="44676"/>
    <cellStyle name="Normal 3 3 3 6 2 9" xfId="44677"/>
    <cellStyle name="Normal 4 2 3 6 2 9" xfId="44678"/>
    <cellStyle name="Normal 5 2 3 6 2 9" xfId="44679"/>
    <cellStyle name="Normal 7 2 3 6 2 9" xfId="44680"/>
    <cellStyle name="Normal 2 4 3 6 2 9" xfId="44681"/>
    <cellStyle name="Normal 3 4 3 6 2 9" xfId="44682"/>
    <cellStyle name="Normal 4 3 3 6 2 9" xfId="44683"/>
    <cellStyle name="Normal 5 3 3 6 2 9" xfId="44684"/>
    <cellStyle name="Normal 7 3 3 6 2 9" xfId="44685"/>
    <cellStyle name="Normal 2 7 5 2 9" xfId="44686"/>
    <cellStyle name="Normal 3 7 5 2 9" xfId="44687"/>
    <cellStyle name="Normal 4 6 5 2 9" xfId="44688"/>
    <cellStyle name="Normal 5 6 5 2 9" xfId="44689"/>
    <cellStyle name="Normal 7 6 5 2 9" xfId="44690"/>
    <cellStyle name="Normal 2 3 4 5 2 9" xfId="44691"/>
    <cellStyle name="Normal 3 3 4 5 2 9" xfId="44692"/>
    <cellStyle name="Normal 4 2 4 5 2 9" xfId="44693"/>
    <cellStyle name="Normal 5 2 4 5 2 9" xfId="44694"/>
    <cellStyle name="Normal 7 2 4 5 2 9" xfId="44695"/>
    <cellStyle name="Normal 2 4 4 5 2 9" xfId="44696"/>
    <cellStyle name="Normal 3 4 4 5 2 9" xfId="44697"/>
    <cellStyle name="Normal 4 3 4 5 2 9" xfId="44698"/>
    <cellStyle name="Normal 5 3 4 5 2 9" xfId="44699"/>
    <cellStyle name="Normal 7 3 4 5 2 9" xfId="44700"/>
    <cellStyle name="Normal 2 5 2 5 2 9" xfId="44701"/>
    <cellStyle name="Normal 3 5 2 5 2 9" xfId="44702"/>
    <cellStyle name="Normal 4 4 2 5 2 9" xfId="44703"/>
    <cellStyle name="Normal 5 4 2 5 2 9" xfId="44704"/>
    <cellStyle name="Normal 7 4 2 5 2 9" xfId="44705"/>
    <cellStyle name="Normal 2 3 2 2 5 2 9" xfId="44706"/>
    <cellStyle name="Normal 3 3 2 2 5 2 9" xfId="44707"/>
    <cellStyle name="Normal 4 2 2 2 5 2 9" xfId="44708"/>
    <cellStyle name="Normal 5 2 2 2 5 2 9" xfId="44709"/>
    <cellStyle name="Normal 7 2 2 2 5 2 9" xfId="44710"/>
    <cellStyle name="Normal 2 4 2 2 5 2 9" xfId="44711"/>
    <cellStyle name="Normal 3 4 2 2 5 2 9" xfId="44712"/>
    <cellStyle name="Normal 4 3 2 2 5 2 9" xfId="44713"/>
    <cellStyle name="Normal 5 3 2 2 5 2 9" xfId="44714"/>
    <cellStyle name="Normal 7 3 2 2 5 2 9" xfId="44715"/>
    <cellStyle name="Normal 2 6 2 5 2 9" xfId="44716"/>
    <cellStyle name="Normal 3 6 2 5 2 9" xfId="44717"/>
    <cellStyle name="Normal 4 5 2 5 2 9" xfId="44718"/>
    <cellStyle name="Normal 5 5 2 5 2 9" xfId="44719"/>
    <cellStyle name="Normal 7 5 2 5 2 9" xfId="44720"/>
    <cellStyle name="Normal 2 3 3 2 5 2 9" xfId="44721"/>
    <cellStyle name="Normal 3 3 3 2 5 2 9" xfId="44722"/>
    <cellStyle name="Normal 4 2 3 2 5 2 9" xfId="44723"/>
    <cellStyle name="Normal 5 2 3 2 5 2 9" xfId="44724"/>
    <cellStyle name="Normal 7 2 3 2 5 2 9" xfId="44725"/>
    <cellStyle name="Normal 2 4 3 2 5 2 9" xfId="44726"/>
    <cellStyle name="Normal 3 4 3 2 5 2 9" xfId="44727"/>
    <cellStyle name="Normal 4 3 3 2 5 2 9" xfId="44728"/>
    <cellStyle name="Normal 5 3 3 2 5 2 9" xfId="44729"/>
    <cellStyle name="Normal 7 3 3 2 5 2 9" xfId="44730"/>
    <cellStyle name="Normal 2 8 4 2 9" xfId="44731"/>
    <cellStyle name="Normal 3 8 4 2 9" xfId="44732"/>
    <cellStyle name="Normal 4 7 4 2 9" xfId="44733"/>
    <cellStyle name="Normal 5 7 4 2 9" xfId="44734"/>
    <cellStyle name="Normal 7 7 4 2 9" xfId="44735"/>
    <cellStyle name="Normal 2 3 5 4 2 9" xfId="44736"/>
    <cellStyle name="Normal 3 3 5 4 2 9" xfId="44737"/>
    <cellStyle name="Normal 4 2 5 4 2 9" xfId="44738"/>
    <cellStyle name="Normal 5 2 5 4 2 9" xfId="44739"/>
    <cellStyle name="Normal 7 2 5 4 2 9" xfId="44740"/>
    <cellStyle name="Normal 2 4 5 4 2 9" xfId="44741"/>
    <cellStyle name="Normal 3 4 5 4 2 9" xfId="44742"/>
    <cellStyle name="Normal 4 3 5 4 2 9" xfId="44743"/>
    <cellStyle name="Normal 5 3 5 4 2 9" xfId="44744"/>
    <cellStyle name="Normal 7 3 5 4 2 9" xfId="44745"/>
    <cellStyle name="Normal 2 5 3 4 2 9" xfId="44746"/>
    <cellStyle name="Normal 3 5 3 4 2 9" xfId="44747"/>
    <cellStyle name="Normal 4 4 3 4 2 9" xfId="44748"/>
    <cellStyle name="Normal 5 4 3 4 2 9" xfId="44749"/>
    <cellStyle name="Normal 7 4 3 4 2 9" xfId="44750"/>
    <cellStyle name="Normal 2 3 2 3 4 2 9" xfId="44751"/>
    <cellStyle name="Normal 3 3 2 3 4 2 9" xfId="44752"/>
    <cellStyle name="Normal 4 2 2 3 4 2 9" xfId="44753"/>
    <cellStyle name="Normal 5 2 2 3 4 2 9" xfId="44754"/>
    <cellStyle name="Normal 7 2 2 3 4 2 9" xfId="44755"/>
    <cellStyle name="Normal 2 4 2 3 4 2 9" xfId="44756"/>
    <cellStyle name="Normal 3 4 2 3 4 2 9" xfId="44757"/>
    <cellStyle name="Normal 4 3 2 3 4 2 9" xfId="44758"/>
    <cellStyle name="Normal 5 3 2 3 4 2 9" xfId="44759"/>
    <cellStyle name="Normal 7 3 2 3 4 2 9" xfId="44760"/>
    <cellStyle name="Normal 2 6 3 4 2 9" xfId="44761"/>
    <cellStyle name="Normal 3 6 3 4 2 9" xfId="44762"/>
    <cellStyle name="Normal 4 5 3 4 2 9" xfId="44763"/>
    <cellStyle name="Normal 5 5 3 4 2 9" xfId="44764"/>
    <cellStyle name="Normal 7 5 3 4 2 9" xfId="44765"/>
    <cellStyle name="Normal 2 3 3 3 4 2 9" xfId="44766"/>
    <cellStyle name="Normal 3 3 3 3 4 2 9" xfId="44767"/>
    <cellStyle name="Normal 4 2 3 3 4 2 9" xfId="44768"/>
    <cellStyle name="Normal 5 2 3 3 4 2 9" xfId="44769"/>
    <cellStyle name="Normal 7 2 3 3 4 2 9" xfId="44770"/>
    <cellStyle name="Normal 2 4 3 3 4 2 9" xfId="44771"/>
    <cellStyle name="Normal 3 4 3 3 4 2 9" xfId="44772"/>
    <cellStyle name="Normal 4 3 3 3 4 2 9" xfId="44773"/>
    <cellStyle name="Normal 5 3 3 3 4 2 9" xfId="44774"/>
    <cellStyle name="Normal 7 3 3 3 4 2 9" xfId="44775"/>
    <cellStyle name="Normal 2 7 2 4 2 9" xfId="44776"/>
    <cellStyle name="Normal 3 7 2 4 2 9" xfId="44777"/>
    <cellStyle name="Normal 4 6 2 4 2 9" xfId="44778"/>
    <cellStyle name="Normal 5 6 2 4 2 9" xfId="44779"/>
    <cellStyle name="Normal 7 6 2 4 2 9" xfId="44780"/>
    <cellStyle name="Normal 2 3 4 2 4 2 9" xfId="44781"/>
    <cellStyle name="Normal 3 3 4 2 4 2 9" xfId="44782"/>
    <cellStyle name="Normal 4 2 4 2 4 2 9" xfId="44783"/>
    <cellStyle name="Normal 5 2 4 2 4 2 9" xfId="44784"/>
    <cellStyle name="Normal 7 2 4 2 4 2 9" xfId="44785"/>
    <cellStyle name="Normal 2 4 4 2 4 2 9" xfId="44786"/>
    <cellStyle name="Normal 3 4 4 2 4 2 9" xfId="44787"/>
    <cellStyle name="Normal 4 3 4 2 4 2 9" xfId="44788"/>
    <cellStyle name="Normal 5 3 4 2 4 2 9" xfId="44789"/>
    <cellStyle name="Normal 7 3 4 2 4 2 9" xfId="44790"/>
    <cellStyle name="Normal 2 5 2 2 4 2 9" xfId="44791"/>
    <cellStyle name="Normal 3 5 2 2 4 2 9" xfId="44792"/>
    <cellStyle name="Normal 4 4 2 2 4 2 9" xfId="44793"/>
    <cellStyle name="Normal 5 4 2 2 4 2 9" xfId="44794"/>
    <cellStyle name="Normal 7 4 2 2 4 2 9" xfId="44795"/>
    <cellStyle name="Normal 2 3 2 2 2 4 2 9" xfId="44796"/>
    <cellStyle name="Normal 3 3 2 2 2 4 2 9" xfId="44797"/>
    <cellStyle name="Normal 4 2 2 2 2 4 2 9" xfId="44798"/>
    <cellStyle name="Normal 5 2 2 2 2 4 2 9" xfId="44799"/>
    <cellStyle name="Normal 7 2 2 2 2 4 2 9" xfId="44800"/>
    <cellStyle name="Normal 2 4 2 2 2 4 2 9" xfId="44801"/>
    <cellStyle name="Normal 3 4 2 2 2 4 2 9" xfId="44802"/>
    <cellStyle name="Normal 4 3 2 2 2 4 2 9" xfId="44803"/>
    <cellStyle name="Normal 5 3 2 2 2 4 2 9" xfId="44804"/>
    <cellStyle name="Normal 7 3 2 2 2 4 2 9" xfId="44805"/>
    <cellStyle name="Normal 2 6 2 2 4 2 9" xfId="44806"/>
    <cellStyle name="Normal 3 6 2 2 4 2 9" xfId="44807"/>
    <cellStyle name="Normal 4 5 2 2 4 2 9" xfId="44808"/>
    <cellStyle name="Normal 5 5 2 2 4 2 9" xfId="44809"/>
    <cellStyle name="Normal 7 5 2 2 4 2 9" xfId="44810"/>
    <cellStyle name="Normal 2 3 3 2 2 4 2 9" xfId="44811"/>
    <cellStyle name="Normal 3 3 3 2 2 4 2 9" xfId="44812"/>
    <cellStyle name="Normal 4 2 3 2 2 4 2 9" xfId="44813"/>
    <cellStyle name="Normal 5 2 3 2 2 4 2 9" xfId="44814"/>
    <cellStyle name="Normal 7 2 3 2 2 4 2 9" xfId="44815"/>
    <cellStyle name="Normal 2 4 3 2 2 4 2 9" xfId="44816"/>
    <cellStyle name="Normal 3 4 3 2 2 4 2 9" xfId="44817"/>
    <cellStyle name="Normal 4 3 3 2 2 4 2 9" xfId="44818"/>
    <cellStyle name="Normal 5 3 3 2 2 4 2 9" xfId="44819"/>
    <cellStyle name="Normal 7 3 3 2 2 4 2 9" xfId="44820"/>
    <cellStyle name="Normal 2 9 2 2 9" xfId="44821"/>
    <cellStyle name="Normal 3 9 2 2 9" xfId="44822"/>
    <cellStyle name="Normal 4 8 2 2 9" xfId="44823"/>
    <cellStyle name="Normal 5 8 2 2 9" xfId="44824"/>
    <cellStyle name="Normal 7 8 2 2 9" xfId="44825"/>
    <cellStyle name="Normal 2 3 6 2 2 9" xfId="44826"/>
    <cellStyle name="Normal 3 3 6 2 2 9" xfId="44827"/>
    <cellStyle name="Normal 4 2 6 2 2 9" xfId="44828"/>
    <cellStyle name="Normal 5 2 6 2 2 9" xfId="44829"/>
    <cellStyle name="Normal 7 2 6 2 2 9" xfId="44830"/>
    <cellStyle name="Normal 2 4 6 2 2 9" xfId="44831"/>
    <cellStyle name="Normal 3 4 6 2 2 9" xfId="44832"/>
    <cellStyle name="Normal 4 3 6 2 2 9" xfId="44833"/>
    <cellStyle name="Normal 5 3 6 2 2 9" xfId="44834"/>
    <cellStyle name="Normal 7 3 6 2 2 9" xfId="44835"/>
    <cellStyle name="Normal 2 5 4 2 2 9" xfId="44836"/>
    <cellStyle name="Normal 3 5 4 2 2 9" xfId="44837"/>
    <cellStyle name="Normal 4 4 4 2 2 9" xfId="44838"/>
    <cellStyle name="Normal 5 4 4 2 2 9" xfId="44839"/>
    <cellStyle name="Normal 7 4 4 2 2 9" xfId="44840"/>
    <cellStyle name="Normal 2 3 2 4 2 2 9" xfId="44841"/>
    <cellStyle name="Normal 3 3 2 4 2 2 9" xfId="44842"/>
    <cellStyle name="Normal 4 2 2 4 2 2 9" xfId="44843"/>
    <cellStyle name="Normal 5 2 2 4 2 2 9" xfId="44844"/>
    <cellStyle name="Normal 7 2 2 4 2 2 9" xfId="44845"/>
    <cellStyle name="Normal 2 4 2 4 2 2 9" xfId="44846"/>
    <cellStyle name="Normal 3 4 2 4 2 2 9" xfId="44847"/>
    <cellStyle name="Normal 4 3 2 4 2 2 9" xfId="44848"/>
    <cellStyle name="Normal 5 3 2 4 2 2 9" xfId="44849"/>
    <cellStyle name="Normal 7 3 2 4 2 2 9" xfId="44850"/>
    <cellStyle name="Normal 2 6 4 2 2 9" xfId="44851"/>
    <cellStyle name="Normal 3 6 4 2 2 9" xfId="44852"/>
    <cellStyle name="Normal 4 5 4 2 2 9" xfId="44853"/>
    <cellStyle name="Normal 5 5 4 2 2 9" xfId="44854"/>
    <cellStyle name="Normal 7 5 4 2 2 9" xfId="44855"/>
    <cellStyle name="Normal 2 3 3 4 2 2 9" xfId="44856"/>
    <cellStyle name="Normal 3 3 3 4 2 2 9" xfId="44857"/>
    <cellStyle name="Normal 4 2 3 4 2 2 9" xfId="44858"/>
    <cellStyle name="Normal 5 2 3 4 2 2 9" xfId="44859"/>
    <cellStyle name="Normal 7 2 3 4 2 2 9" xfId="44860"/>
    <cellStyle name="Normal 2 4 3 4 2 2 9" xfId="44861"/>
    <cellStyle name="Normal 3 4 3 4 2 2 9" xfId="44862"/>
    <cellStyle name="Normal 4 3 3 4 2 2 9" xfId="44863"/>
    <cellStyle name="Normal 5 3 3 4 2 2 9" xfId="44864"/>
    <cellStyle name="Normal 7 3 3 4 2 2 9" xfId="44865"/>
    <cellStyle name="Normal 2 7 3 2 2 9" xfId="44866"/>
    <cellStyle name="Normal 3 7 3 2 2 9" xfId="44867"/>
    <cellStyle name="Normal 4 6 3 2 2 9" xfId="44868"/>
    <cellStyle name="Normal 5 6 3 2 2 9" xfId="44869"/>
    <cellStyle name="Normal 7 6 3 2 2 9" xfId="44870"/>
    <cellStyle name="Normal 2 3 4 3 2 2 9" xfId="44871"/>
    <cellStyle name="Normal 3 3 4 3 2 2 9" xfId="44872"/>
    <cellStyle name="Normal 4 2 4 3 2 2 9" xfId="44873"/>
    <cellStyle name="Normal 5 2 4 3 2 2 9" xfId="44874"/>
    <cellStyle name="Normal 7 2 4 3 2 2 9" xfId="44875"/>
    <cellStyle name="Normal 2 4 4 3 2 2 9" xfId="44876"/>
    <cellStyle name="Normal 3 4 4 3 2 2 9" xfId="44877"/>
    <cellStyle name="Normal 4 3 4 3 2 2 9" xfId="44878"/>
    <cellStyle name="Normal 5 3 4 3 2 2 9" xfId="44879"/>
    <cellStyle name="Normal 7 3 4 3 2 2 9" xfId="44880"/>
    <cellStyle name="Normal 2 5 2 3 2 2 9" xfId="44881"/>
    <cellStyle name="Normal 3 5 2 3 2 2 9" xfId="44882"/>
    <cellStyle name="Normal 4 4 2 3 2 2 9" xfId="44883"/>
    <cellStyle name="Normal 5 4 2 3 2 2 9" xfId="44884"/>
    <cellStyle name="Normal 7 4 2 3 2 2 9" xfId="44885"/>
    <cellStyle name="Normal 2 3 2 2 3 2 2 9" xfId="44886"/>
    <cellStyle name="Normal 3 3 2 2 3 2 2 9" xfId="44887"/>
    <cellStyle name="Normal 4 2 2 2 3 2 2 9" xfId="44888"/>
    <cellStyle name="Normal 5 2 2 2 3 2 2 9" xfId="44889"/>
    <cellStyle name="Normal 7 2 2 2 3 2 2 9" xfId="44890"/>
    <cellStyle name="Normal 2 4 2 2 3 2 2 9" xfId="44891"/>
    <cellStyle name="Normal 3 4 2 2 3 2 2 9" xfId="44892"/>
    <cellStyle name="Normal 4 3 2 2 3 2 2 9" xfId="44893"/>
    <cellStyle name="Normal 5 3 2 2 3 2 2 9" xfId="44894"/>
    <cellStyle name="Normal 7 3 2 2 3 2 2 9" xfId="44895"/>
    <cellStyle name="Normal 2 6 2 3 2 2 9" xfId="44896"/>
    <cellStyle name="Normal 3 6 2 3 2 2 9" xfId="44897"/>
    <cellStyle name="Normal 4 5 2 3 2 2 9" xfId="44898"/>
    <cellStyle name="Normal 5 5 2 3 2 2 9" xfId="44899"/>
    <cellStyle name="Normal 7 5 2 3 2 2 9" xfId="44900"/>
    <cellStyle name="Normal 2 3 3 2 3 2 2 9" xfId="44901"/>
    <cellStyle name="Normal 3 3 3 2 3 2 2 9" xfId="44902"/>
    <cellStyle name="Normal 4 2 3 2 3 2 2 9" xfId="44903"/>
    <cellStyle name="Normal 5 2 3 2 3 2 2 9" xfId="44904"/>
    <cellStyle name="Normal 7 2 3 2 3 2 2 9" xfId="44905"/>
    <cellStyle name="Normal 2 4 3 2 3 2 2 9" xfId="44906"/>
    <cellStyle name="Normal 3 4 3 2 3 2 2 9" xfId="44907"/>
    <cellStyle name="Normal 4 3 3 2 3 2 2 9" xfId="44908"/>
    <cellStyle name="Normal 5 3 3 2 3 2 2 9" xfId="44909"/>
    <cellStyle name="Normal 7 3 3 2 3 2 2 9" xfId="44910"/>
    <cellStyle name="Normal 2 8 2 2 2 9" xfId="44911"/>
    <cellStyle name="Normal 3 8 2 2 2 9" xfId="44912"/>
    <cellStyle name="Normal 4 7 2 2 2 9" xfId="44913"/>
    <cellStyle name="Normal 5 7 2 2 2 9" xfId="44914"/>
    <cellStyle name="Normal 7 7 2 2 2 9" xfId="44915"/>
    <cellStyle name="Normal 2 3 5 2 2 2 9" xfId="44916"/>
    <cellStyle name="Normal 3 3 5 2 2 2 9" xfId="44917"/>
    <cellStyle name="Normal 4 2 5 2 2 2 9" xfId="44918"/>
    <cellStyle name="Normal 5 2 5 2 2 2 9" xfId="44919"/>
    <cellStyle name="Normal 7 2 5 2 2 2 9" xfId="44920"/>
    <cellStyle name="Normal 2 4 5 2 2 2 9" xfId="44921"/>
    <cellStyle name="Normal 3 4 5 2 2 2 9" xfId="44922"/>
    <cellStyle name="Normal 4 3 5 2 2 2 9" xfId="44923"/>
    <cellStyle name="Normal 5 3 5 2 2 2 9" xfId="44924"/>
    <cellStyle name="Normal 7 3 5 2 2 2 9" xfId="44925"/>
    <cellStyle name="Normal 2 5 3 2 2 2 9" xfId="44926"/>
    <cellStyle name="Normal 3 5 3 2 2 2 9" xfId="44927"/>
    <cellStyle name="Normal 4 4 3 2 2 2 9" xfId="44928"/>
    <cellStyle name="Normal 5 4 3 2 2 2 9" xfId="44929"/>
    <cellStyle name="Normal 7 4 3 2 2 2 9" xfId="44930"/>
    <cellStyle name="Normal 2 3 2 3 2 2 2 9" xfId="44931"/>
    <cellStyle name="Normal 3 3 2 3 2 2 2 9" xfId="44932"/>
    <cellStyle name="Normal 4 2 2 3 2 2 2 9" xfId="44933"/>
    <cellStyle name="Normal 5 2 2 3 2 2 2 9" xfId="44934"/>
    <cellStyle name="Normal 7 2 2 3 2 2 2 9" xfId="44935"/>
    <cellStyle name="Normal 2 4 2 3 2 2 2 9" xfId="44936"/>
    <cellStyle name="Normal 3 4 2 3 2 2 2 9" xfId="44937"/>
    <cellStyle name="Normal 4 3 2 3 2 2 2 9" xfId="44938"/>
    <cellStyle name="Normal 5 3 2 3 2 2 2 9" xfId="44939"/>
    <cellStyle name="Normal 7 3 2 3 2 2 2 9" xfId="44940"/>
    <cellStyle name="Normal 2 6 3 2 2 2 9" xfId="44941"/>
    <cellStyle name="Normal 3 6 3 2 2 2 9" xfId="44942"/>
    <cellStyle name="Normal 4 5 3 2 2 2 9" xfId="44943"/>
    <cellStyle name="Normal 5 5 3 2 2 2 9" xfId="44944"/>
    <cellStyle name="Normal 7 5 3 2 2 2 9" xfId="44945"/>
    <cellStyle name="Normal 2 3 3 3 2 2 2 9" xfId="44946"/>
    <cellStyle name="Normal 3 3 3 3 2 2 2 9" xfId="44947"/>
    <cellStyle name="Normal 4 2 3 3 2 2 2 9" xfId="44948"/>
    <cellStyle name="Normal 5 2 3 3 2 2 2 9" xfId="44949"/>
    <cellStyle name="Normal 7 2 3 3 2 2 2 9" xfId="44950"/>
    <cellStyle name="Normal 2 4 3 3 2 2 2 9" xfId="44951"/>
    <cellStyle name="Normal 3 4 3 3 2 2 2 9" xfId="44952"/>
    <cellStyle name="Normal 4 3 3 3 2 2 2 9" xfId="44953"/>
    <cellStyle name="Normal 5 3 3 3 2 2 2 9" xfId="44954"/>
    <cellStyle name="Normal 7 3 3 3 2 2 2 9" xfId="44955"/>
    <cellStyle name="Normal 2 7 2 2 2 2 9" xfId="44956"/>
    <cellStyle name="Normal 3 7 2 2 2 2 9" xfId="44957"/>
    <cellStyle name="Normal 4 6 2 2 2 2 9" xfId="44958"/>
    <cellStyle name="Normal 5 6 2 2 2 2 9" xfId="44959"/>
    <cellStyle name="Normal 7 6 2 2 2 2 9" xfId="44960"/>
    <cellStyle name="Normal 2 3 4 2 2 2 2 9" xfId="44961"/>
    <cellStyle name="Normal 3 3 4 2 2 2 2 9" xfId="44962"/>
    <cellStyle name="Normal 4 2 4 2 2 2 2 9" xfId="44963"/>
    <cellStyle name="Normal 5 2 4 2 2 2 2 9" xfId="44964"/>
    <cellStyle name="Normal 7 2 4 2 2 2 2 9" xfId="44965"/>
    <cellStyle name="Normal 2 4 4 2 2 2 2 9" xfId="44966"/>
    <cellStyle name="Normal 3 4 4 2 2 2 2 9" xfId="44967"/>
    <cellStyle name="Normal 4 3 4 2 2 2 2 9" xfId="44968"/>
    <cellStyle name="Normal 5 3 4 2 2 2 2 9" xfId="44969"/>
    <cellStyle name="Normal 7 3 4 2 2 2 2 9" xfId="44970"/>
    <cellStyle name="Normal 2 5 2 2 2 2 2 9" xfId="44971"/>
    <cellStyle name="Normal 3 5 2 2 2 2 2 9" xfId="44972"/>
    <cellStyle name="Normal 4 4 2 2 2 2 2 9" xfId="44973"/>
    <cellStyle name="Normal 5 4 2 2 2 2 2 9" xfId="44974"/>
    <cellStyle name="Normal 7 4 2 2 2 2 2 9" xfId="44975"/>
    <cellStyle name="Normal 2 3 2 2 2 2 2 2 9" xfId="44976"/>
    <cellStyle name="Normal 3 3 2 2 2 2 2 2 9" xfId="44977"/>
    <cellStyle name="Normal 4 2 2 2 2 2 2 2 9" xfId="44978"/>
    <cellStyle name="Normal 5 2 2 2 2 2 2 2 9" xfId="44979"/>
    <cellStyle name="Normal 7 2 2 2 2 2 2 2 9" xfId="44980"/>
    <cellStyle name="Normal 2 4 2 2 2 2 2 2 9" xfId="44981"/>
    <cellStyle name="Normal 3 4 2 2 2 2 2 2 9" xfId="44982"/>
    <cellStyle name="Normal 4 3 2 2 2 2 2 2 9" xfId="44983"/>
    <cellStyle name="Normal 5 3 2 2 2 2 2 2 9" xfId="44984"/>
    <cellStyle name="Normal 7 3 2 2 2 2 2 2 9" xfId="44985"/>
    <cellStyle name="Normal 2 6 2 2 2 2 2 9" xfId="44986"/>
    <cellStyle name="Normal 3 6 2 2 2 2 2 9" xfId="44987"/>
    <cellStyle name="Normal 4 5 2 2 2 2 2 9" xfId="44988"/>
    <cellStyle name="Normal 5 5 2 2 2 2 2 9" xfId="44989"/>
    <cellStyle name="Normal 7 5 2 2 2 2 2 9" xfId="44990"/>
    <cellStyle name="Normal 2 3 3 2 2 2 2 2 9" xfId="44991"/>
    <cellStyle name="Normal 3 3 3 2 2 2 2 2 9" xfId="44992"/>
    <cellStyle name="Normal 4 2 3 2 2 2 2 2 9" xfId="44993"/>
    <cellStyle name="Normal 5 2 3 2 2 2 2 2 9" xfId="44994"/>
    <cellStyle name="Normal 7 2 3 2 2 2 2 2 9" xfId="44995"/>
    <cellStyle name="Normal 2 4 3 2 2 2 2 2 9" xfId="44996"/>
    <cellStyle name="Normal 3 4 3 2 2 2 2 2 9" xfId="44997"/>
    <cellStyle name="Normal 4 3 3 2 2 2 2 2 9" xfId="44998"/>
    <cellStyle name="Normal 5 3 3 2 2 2 2 2 9" xfId="44999"/>
    <cellStyle name="Normal 7 3 3 2 2 2 2 2 9" xfId="45000"/>
    <cellStyle name="Normal 28 2 2 9" xfId="45001"/>
    <cellStyle name="Normal 2 3 7 2 2 9" xfId="45002"/>
    <cellStyle name="Normal 3 10 2 2 9" xfId="45003"/>
    <cellStyle name="Normal 4 9 2 2 9" xfId="45004"/>
    <cellStyle name="Normal 5 9 2 2 9" xfId="45005"/>
    <cellStyle name="Millares 4 2 2 9" xfId="45006"/>
    <cellStyle name="Normal 7 2 7 2 2 9" xfId="45007"/>
    <cellStyle name="Normal 3 3 7 2 2 9" xfId="45008"/>
    <cellStyle name="Normal 4 2 7 2 2 9" xfId="45009"/>
    <cellStyle name="Normal 5 2 7 2 2 9" xfId="45010"/>
    <cellStyle name="Normal 2 4 5 3 2 2 9" xfId="45011"/>
    <cellStyle name="Normal 3 4 7 2 2 9" xfId="45012"/>
    <cellStyle name="Normal 4 3 7 2 2 9" xfId="45013"/>
    <cellStyle name="Normal 5 3 7 2 2 9" xfId="45014"/>
    <cellStyle name="Normal 7 3 7 2 2 9" xfId="45015"/>
    <cellStyle name="Normal 2 5 5 2 2 9" xfId="45016"/>
    <cellStyle name="Normal 3 5 5 2 2 9" xfId="45017"/>
    <cellStyle name="Normal 4 4 5 2 2 9" xfId="45018"/>
    <cellStyle name="Normal 5 4 5 2 2 9" xfId="45019"/>
    <cellStyle name="Normal 7 4 5 2 2 9" xfId="45020"/>
    <cellStyle name="Normal 2 3 2 5 2 2 9" xfId="45021"/>
    <cellStyle name="Normal 3 3 2 5 2 2 9" xfId="45022"/>
    <cellStyle name="Normal 4 2 2 5 2 2 9" xfId="45023"/>
    <cellStyle name="Normal 5 2 2 5 2 2 9" xfId="45024"/>
    <cellStyle name="Normal 7 2 2 5 2 2 9" xfId="45025"/>
    <cellStyle name="Normal 2 4 2 5 2 2 9" xfId="45026"/>
    <cellStyle name="Normal 3 4 2 5 2 2 9" xfId="45027"/>
    <cellStyle name="Normal 4 3 2 5 2 2 9" xfId="45028"/>
    <cellStyle name="Normal 5 3 2 5 2 2 9" xfId="45029"/>
    <cellStyle name="Normal 7 3 2 5 2 2 9" xfId="45030"/>
    <cellStyle name="Normal 2 6 5 2 2 9" xfId="45031"/>
    <cellStyle name="Normal 3 6 5 2 2 9" xfId="45032"/>
    <cellStyle name="Normal 4 5 5 2 2 9" xfId="45033"/>
    <cellStyle name="Normal 5 5 5 2 2 9" xfId="45034"/>
    <cellStyle name="Normal 7 5 5 2 2 9" xfId="45035"/>
    <cellStyle name="Normal 2 3 3 5 2 2 9" xfId="45036"/>
    <cellStyle name="Normal 3 3 3 5 2 2 9" xfId="45037"/>
    <cellStyle name="Normal 4 2 3 5 2 2 9" xfId="45038"/>
    <cellStyle name="Normal 5 2 3 5 2 2 9" xfId="45039"/>
    <cellStyle name="Normal 7 2 3 5 2 2 9" xfId="45040"/>
    <cellStyle name="Normal 2 4 3 5 2 2 9" xfId="45041"/>
    <cellStyle name="Normal 3 4 3 5 2 2 9" xfId="45042"/>
    <cellStyle name="Normal 4 3 3 5 2 2 9" xfId="45043"/>
    <cellStyle name="Normal 5 3 3 5 2 2 9" xfId="45044"/>
    <cellStyle name="Normal 7 3 3 5 2 2 9" xfId="45045"/>
    <cellStyle name="Normal 2 7 4 2 2 9" xfId="45046"/>
    <cellStyle name="Normal 3 7 4 2 2 9" xfId="45047"/>
    <cellStyle name="Normal 4 6 4 2 2 9" xfId="45048"/>
    <cellStyle name="Normal 5 6 4 2 2 9" xfId="45049"/>
    <cellStyle name="Normal 7 6 4 2 2 9" xfId="45050"/>
    <cellStyle name="Normal 2 3 4 4 2 2 9" xfId="45051"/>
    <cellStyle name="Normal 3 3 4 4 2 2 9" xfId="45052"/>
    <cellStyle name="Normal 4 2 4 4 2 2 9" xfId="45053"/>
    <cellStyle name="Normal 5 2 4 4 2 2 9" xfId="45054"/>
    <cellStyle name="Normal 7 2 4 4 2 2 9" xfId="45055"/>
    <cellStyle name="Normal 2 4 4 4 2 2 9" xfId="45056"/>
    <cellStyle name="Normal 3 4 4 4 2 2 9" xfId="45057"/>
    <cellStyle name="Normal 4 3 4 4 2 2 9" xfId="45058"/>
    <cellStyle name="Normal 5 3 4 4 2 2 9" xfId="45059"/>
    <cellStyle name="Normal 7 3 4 4 2 2 9" xfId="45060"/>
    <cellStyle name="Normal 2 5 2 4 2 2 9" xfId="45061"/>
    <cellStyle name="Normal 3 5 2 4 2 2 9" xfId="45062"/>
    <cellStyle name="Normal 4 4 2 4 2 2 9" xfId="45063"/>
    <cellStyle name="Normal 5 4 2 4 2 2 9" xfId="45064"/>
    <cellStyle name="Normal 7 4 2 4 2 2 9" xfId="45065"/>
    <cellStyle name="Normal 2 3 2 2 4 2 2 9" xfId="45066"/>
    <cellStyle name="Normal 3 3 2 2 4 2 2 9" xfId="45067"/>
    <cellStyle name="Normal 4 2 2 2 4 2 2 9" xfId="45068"/>
    <cellStyle name="Normal 5 2 2 2 4 2 2 9" xfId="45069"/>
    <cellStyle name="Normal 7 2 2 2 4 2 2 9" xfId="45070"/>
    <cellStyle name="Normal 2 4 2 2 4 2 2 9" xfId="45071"/>
    <cellStyle name="Normal 3 4 2 2 4 2 2 9" xfId="45072"/>
    <cellStyle name="Normal 4 3 2 2 4 2 2 9" xfId="45073"/>
    <cellStyle name="Normal 5 3 2 2 4 2 2 9" xfId="45074"/>
    <cellStyle name="Normal 7 3 2 2 4 2 2 9" xfId="45075"/>
    <cellStyle name="Normal 2 6 2 4 2 2 9" xfId="45076"/>
    <cellStyle name="Normal 3 6 2 4 2 2 9" xfId="45077"/>
    <cellStyle name="Normal 4 5 2 4 2 2 9" xfId="45078"/>
    <cellStyle name="Normal 5 5 2 4 2 2 9" xfId="45079"/>
    <cellStyle name="Normal 7 5 2 4 2 2 9" xfId="45080"/>
    <cellStyle name="Normal 2 3 3 2 4 2 2 9" xfId="45081"/>
    <cellStyle name="Normal 3 3 3 2 4 2 2 9" xfId="45082"/>
    <cellStyle name="Normal 4 2 3 2 4 2 2 9" xfId="45083"/>
    <cellStyle name="Normal 5 2 3 2 4 2 2 9" xfId="45084"/>
    <cellStyle name="Normal 7 2 3 2 4 2 2 9" xfId="45085"/>
    <cellStyle name="Normal 2 4 3 2 4 2 2 9" xfId="45086"/>
    <cellStyle name="Normal 3 4 3 2 4 2 2 9" xfId="45087"/>
    <cellStyle name="Normal 4 3 3 2 4 2 2 9" xfId="45088"/>
    <cellStyle name="Normal 5 3 3 2 4 2 2 9" xfId="45089"/>
    <cellStyle name="Normal 7 3 3 2 4 2 2 9" xfId="45090"/>
    <cellStyle name="Normal 2 8 3 2 2 9" xfId="45091"/>
    <cellStyle name="Normal 3 8 3 2 2 9" xfId="45092"/>
    <cellStyle name="Normal 4 7 3 2 2 9" xfId="45093"/>
    <cellStyle name="Normal 5 7 3 2 2 9" xfId="45094"/>
    <cellStyle name="Normal 7 7 3 2 2 9" xfId="45095"/>
    <cellStyle name="Normal 2 3 5 3 2 2 9" xfId="45096"/>
    <cellStyle name="Normal 3 3 5 3 2 2 9" xfId="45097"/>
    <cellStyle name="Normal 4 2 5 3 2 2 9" xfId="45098"/>
    <cellStyle name="Normal 5 2 5 3 2 2 9" xfId="45099"/>
    <cellStyle name="Normal 7 2 5 3 2 2 9" xfId="45100"/>
    <cellStyle name="Normal 3 4 5 3 2 2 9" xfId="45101"/>
    <cellStyle name="Normal 4 3 5 3 2 2 9" xfId="45102"/>
    <cellStyle name="Normal 5 3 5 3 2 2 9" xfId="45103"/>
    <cellStyle name="Normal 7 3 5 3 2 2 9" xfId="45104"/>
    <cellStyle name="Normal 2 5 3 3 2 2 9" xfId="45105"/>
    <cellStyle name="Normal 3 5 3 3 2 2 9" xfId="45106"/>
    <cellStyle name="Normal 4 4 3 3 2 2 9" xfId="45107"/>
    <cellStyle name="Normal 5 4 3 3 2 2 9" xfId="45108"/>
    <cellStyle name="Normal 7 4 3 3 2 2 9" xfId="45109"/>
    <cellStyle name="Normal 2 3 2 3 3 2 2 9" xfId="45110"/>
    <cellStyle name="Normal 3 3 2 3 3 2 2 9" xfId="45111"/>
    <cellStyle name="Normal 4 2 2 3 3 2 2 9" xfId="45112"/>
    <cellStyle name="Normal 5 2 2 3 3 2 2 9" xfId="45113"/>
    <cellStyle name="Normal 7 2 2 3 3 2 2 9" xfId="45114"/>
    <cellStyle name="Normal 2 4 2 3 3 2 2 9" xfId="45115"/>
    <cellStyle name="Normal 3 4 2 3 3 2 2 9" xfId="45116"/>
    <cellStyle name="Normal 4 3 2 3 3 2 2 9" xfId="45117"/>
    <cellStyle name="Normal 5 3 2 3 3 2 2 9" xfId="45118"/>
    <cellStyle name="Normal 7 3 2 3 3 2 2 9" xfId="45119"/>
    <cellStyle name="Normal 2 6 3 3 2 2 9" xfId="45120"/>
    <cellStyle name="Normal 3 6 3 3 2 2 9" xfId="45121"/>
    <cellStyle name="Normal 4 5 3 3 2 2 9" xfId="45122"/>
    <cellStyle name="Normal 5 5 3 3 2 2 9" xfId="45123"/>
    <cellStyle name="Normal 7 5 3 3 2 2 9" xfId="45124"/>
    <cellStyle name="Normal 2 3 3 3 3 2 2 9" xfId="45125"/>
    <cellStyle name="Normal 3 3 3 3 3 2 2 9" xfId="45126"/>
    <cellStyle name="Normal 4 2 3 3 3 2 2 9" xfId="45127"/>
    <cellStyle name="Normal 5 2 3 3 3 2 2 9" xfId="45128"/>
    <cellStyle name="Normal 7 2 3 3 3 2 2 9" xfId="45129"/>
    <cellStyle name="Normal 2 4 3 3 3 2 2 9" xfId="45130"/>
    <cellStyle name="Normal 3 4 3 3 3 2 2 9" xfId="45131"/>
    <cellStyle name="Normal 4 3 3 3 3 2 2 9" xfId="45132"/>
    <cellStyle name="Normal 5 3 3 3 3 2 2 9" xfId="45133"/>
    <cellStyle name="Normal 7 3 3 3 3 2 2 9" xfId="45134"/>
    <cellStyle name="Normal 2 7 2 3 2 2 9" xfId="45135"/>
    <cellStyle name="Normal 3 7 2 3 2 2 9" xfId="45136"/>
    <cellStyle name="Normal 4 6 2 3 2 2 9" xfId="45137"/>
    <cellStyle name="Normal 5 6 2 3 2 2 9" xfId="45138"/>
    <cellStyle name="Normal 7 6 2 3 2 2 9" xfId="45139"/>
    <cellStyle name="Normal 2 3 4 2 3 2 2 9" xfId="45140"/>
    <cellStyle name="Normal 3 3 4 2 3 2 2 9" xfId="45141"/>
    <cellStyle name="Normal 4 2 4 2 3 2 2 9" xfId="45142"/>
    <cellStyle name="Normal 5 2 4 2 3 2 2 9" xfId="45143"/>
    <cellStyle name="Normal 7 2 4 2 3 2 2 9" xfId="45144"/>
    <cellStyle name="Normal 2 4 4 2 3 2 2 9" xfId="45145"/>
    <cellStyle name="Normal 3 4 4 2 3 2 2 9" xfId="45146"/>
    <cellStyle name="Normal 4 3 4 2 3 2 2 9" xfId="45147"/>
    <cellStyle name="Normal 5 3 4 2 3 2 2 9" xfId="45148"/>
    <cellStyle name="Normal 7 3 4 2 3 2 2 9" xfId="45149"/>
    <cellStyle name="Normal 2 5 2 2 3 2 2 9" xfId="45150"/>
    <cellStyle name="Normal 3 5 2 2 3 2 2 9" xfId="45151"/>
    <cellStyle name="Normal 4 4 2 2 3 2 2 9" xfId="45152"/>
    <cellStyle name="Normal 5 4 2 2 3 2 2 9" xfId="45153"/>
    <cellStyle name="Normal 7 4 2 2 3 2 2 9" xfId="45154"/>
    <cellStyle name="Normal 2 3 2 2 2 3 2 2 9" xfId="45155"/>
    <cellStyle name="Normal 3 3 2 2 2 3 2 2 9" xfId="45156"/>
    <cellStyle name="Normal 4 2 2 2 2 3 2 2 9" xfId="45157"/>
    <cellStyle name="Normal 5 2 2 2 2 3 2 2 9" xfId="45158"/>
    <cellStyle name="Normal 7 2 2 2 2 3 2 2 9" xfId="45159"/>
    <cellStyle name="Normal 2 4 2 2 2 3 2 2 9" xfId="45160"/>
    <cellStyle name="Normal 3 4 2 2 2 3 2 2 9" xfId="45161"/>
    <cellStyle name="Normal 4 3 2 2 2 3 2 2 9" xfId="45162"/>
    <cellStyle name="Normal 5 3 2 2 2 3 2 2 9" xfId="45163"/>
    <cellStyle name="Normal 7 3 2 2 2 3 2 2 9" xfId="45164"/>
    <cellStyle name="Normal 2 6 2 2 3 2 2 9" xfId="45165"/>
    <cellStyle name="Normal 3 6 2 2 3 2 2 9" xfId="45166"/>
    <cellStyle name="Normal 4 5 2 2 3 2 2 9" xfId="45167"/>
    <cellStyle name="Normal 5 5 2 2 3 2 2 9" xfId="45168"/>
    <cellStyle name="Normal 7 5 2 2 3 2 2 9" xfId="45169"/>
    <cellStyle name="Normal 2 3 3 2 2 3 2 2 9" xfId="45170"/>
    <cellStyle name="Normal 3 3 3 2 2 3 2 2 9" xfId="45171"/>
    <cellStyle name="Normal 4 2 3 2 2 3 2 2 9" xfId="45172"/>
    <cellStyle name="Normal 5 2 3 2 2 3 2 2 9" xfId="45173"/>
    <cellStyle name="Normal 7 2 3 2 2 3 2 2 9" xfId="45174"/>
    <cellStyle name="Normal 2 4 3 2 2 3 2 2 9" xfId="45175"/>
    <cellStyle name="Normal 3 4 3 2 2 3 2 2 9" xfId="45176"/>
    <cellStyle name="Normal 4 3 3 2 2 3 2 2 9" xfId="45177"/>
    <cellStyle name="Normal 5 3 3 2 2 3 2 2 9" xfId="45178"/>
    <cellStyle name="Normal 7 3 3 2 2 3 2 2 9" xfId="45179"/>
    <cellStyle name="Normal 2 12 2 9" xfId="45180"/>
    <cellStyle name="Normal 3 12 2 9" xfId="45181"/>
    <cellStyle name="Normal 4 11 2 9" xfId="45182"/>
    <cellStyle name="Normal 5 11 2 9" xfId="45183"/>
    <cellStyle name="Normal 7 11 2 9" xfId="45184"/>
    <cellStyle name="Normal 2 3 9 2 9" xfId="45185"/>
    <cellStyle name="Normal 3 3 9 2 9" xfId="45186"/>
    <cellStyle name="Normal 4 2 9 2 9" xfId="45187"/>
    <cellStyle name="Normal 5 2 9 2 9" xfId="45188"/>
    <cellStyle name="Normal 7 2 9 2 9" xfId="45189"/>
    <cellStyle name="Normal 2 4 9 2 9" xfId="45190"/>
    <cellStyle name="Normal 3 4 9 2 9" xfId="45191"/>
    <cellStyle name="Normal 4 3 9 2 9" xfId="45192"/>
    <cellStyle name="Normal 5 3 9 2 9" xfId="45193"/>
    <cellStyle name="Normal 7 3 9 2 9" xfId="45194"/>
    <cellStyle name="Normal 2 5 7 2 9" xfId="45195"/>
    <cellStyle name="Normal 3 5 7 2 9" xfId="45196"/>
    <cellStyle name="Normal 4 4 7 2 9" xfId="45197"/>
    <cellStyle name="Normal 5 4 7 2 9" xfId="45198"/>
    <cellStyle name="Normal 7 4 7 2 9" xfId="45199"/>
    <cellStyle name="Normal 2 3 2 7 2 9" xfId="45200"/>
    <cellStyle name="Normal 3 3 2 7 2 9" xfId="45201"/>
    <cellStyle name="Normal 4 2 2 7 2 9" xfId="45202"/>
    <cellStyle name="Normal 5 2 2 7 2 9" xfId="45203"/>
    <cellStyle name="Normal 7 2 2 7 2 9" xfId="45204"/>
    <cellStyle name="Normal 2 4 2 7 2 9" xfId="45205"/>
    <cellStyle name="Normal 3 4 2 7 2 9" xfId="45206"/>
    <cellStyle name="Normal 4 3 2 7 2 9" xfId="45207"/>
    <cellStyle name="Normal 5 3 2 7 2 9" xfId="45208"/>
    <cellStyle name="Normal 7 3 2 7 2 9" xfId="45209"/>
    <cellStyle name="Normal 2 6 7 2 9" xfId="45210"/>
    <cellStyle name="Normal 3 6 7 2 9" xfId="45211"/>
    <cellStyle name="Normal 4 5 7 2 9" xfId="45212"/>
    <cellStyle name="Normal 5 5 7 2 9" xfId="45213"/>
    <cellStyle name="Normal 7 5 7 2 9" xfId="45214"/>
    <cellStyle name="Normal 2 3 3 7 2 9" xfId="45215"/>
    <cellStyle name="Normal 3 3 3 7 2 9" xfId="45216"/>
    <cellStyle name="Normal 4 2 3 7 2 9" xfId="45217"/>
    <cellStyle name="Normal 5 2 3 7 2 9" xfId="45218"/>
    <cellStyle name="Normal 7 2 3 7 2 9" xfId="45219"/>
    <cellStyle name="Normal 2 4 3 7 2 9" xfId="45220"/>
    <cellStyle name="Normal 3 4 3 7 2 9" xfId="45221"/>
    <cellStyle name="Normal 4 3 3 7 2 9" xfId="45222"/>
    <cellStyle name="Normal 5 3 3 7 2 9" xfId="45223"/>
    <cellStyle name="Normal 7 3 3 7 2 9" xfId="45224"/>
    <cellStyle name="Normal 2 7 6 2 9" xfId="45225"/>
    <cellStyle name="Normal 3 7 6 2 9" xfId="45226"/>
    <cellStyle name="Normal 4 6 6 2 9" xfId="45227"/>
    <cellStyle name="Normal 5 6 6 2 9" xfId="45228"/>
    <cellStyle name="Normal 7 6 6 2 9" xfId="45229"/>
    <cellStyle name="Normal 2 3 4 6 2 9" xfId="45230"/>
    <cellStyle name="Normal 3 3 4 6 2 9" xfId="45231"/>
    <cellStyle name="Normal 4 2 4 6 2 9" xfId="45232"/>
    <cellStyle name="Normal 5 2 4 6 2 9" xfId="45233"/>
    <cellStyle name="Normal 7 2 4 6 2 9" xfId="45234"/>
    <cellStyle name="Normal 2 4 4 6 2 9" xfId="45235"/>
    <cellStyle name="Normal 3 4 4 6 2 9" xfId="45236"/>
    <cellStyle name="Normal 4 3 4 6 2 9" xfId="45237"/>
    <cellStyle name="Normal 5 3 4 6 2 9" xfId="45238"/>
    <cellStyle name="Normal 7 3 4 6 2 9" xfId="45239"/>
    <cellStyle name="Normal 2 5 2 6 2 9" xfId="45240"/>
    <cellStyle name="Normal 3 5 2 6 2 9" xfId="45241"/>
    <cellStyle name="Normal 4 4 2 6 2 9" xfId="45242"/>
    <cellStyle name="Normal 5 4 2 6 2 9" xfId="45243"/>
    <cellStyle name="Normal 7 4 2 6 2 9" xfId="45244"/>
    <cellStyle name="Normal 2 3 2 2 6 2 9" xfId="45245"/>
    <cellStyle name="Normal 3 3 2 2 6 2 9" xfId="45246"/>
    <cellStyle name="Normal 4 2 2 2 6 2 9" xfId="45247"/>
    <cellStyle name="Normal 5 2 2 2 6 2 9" xfId="45248"/>
    <cellStyle name="Normal 7 2 2 2 6 2 9" xfId="45249"/>
    <cellStyle name="Normal 2 4 2 2 6 2 9" xfId="45250"/>
    <cellStyle name="Normal 3 4 2 2 6 2 9" xfId="45251"/>
    <cellStyle name="Normal 4 3 2 2 6 2 9" xfId="45252"/>
    <cellStyle name="Normal 5 3 2 2 6 2 9" xfId="45253"/>
    <cellStyle name="Normal 7 3 2 2 6 2 9" xfId="45254"/>
    <cellStyle name="Normal 2 6 2 6 2 9" xfId="45255"/>
    <cellStyle name="Normal 3 6 2 6 2 9" xfId="45256"/>
    <cellStyle name="Normal 4 5 2 6 2 9" xfId="45257"/>
    <cellStyle name="Normal 5 5 2 6 2 9" xfId="45258"/>
    <cellStyle name="Normal 7 5 2 6 2 9" xfId="45259"/>
    <cellStyle name="Normal 2 3 3 2 6 2 9" xfId="45260"/>
    <cellStyle name="Normal 3 3 3 2 6 2 9" xfId="45261"/>
    <cellStyle name="Normal 4 2 3 2 6 2 9" xfId="45262"/>
    <cellStyle name="Normal 5 2 3 2 6 2 9" xfId="45263"/>
    <cellStyle name="Normal 7 2 3 2 6 2 9" xfId="45264"/>
    <cellStyle name="Normal 2 4 3 2 6 2 9" xfId="45265"/>
    <cellStyle name="Normal 3 4 3 2 6 2 9" xfId="45266"/>
    <cellStyle name="Normal 4 3 3 2 6 2 9" xfId="45267"/>
    <cellStyle name="Normal 5 3 3 2 6 2 9" xfId="45268"/>
    <cellStyle name="Normal 7 3 3 2 6 2 9" xfId="45269"/>
    <cellStyle name="Normal 2 8 5 2 9" xfId="45270"/>
    <cellStyle name="Normal 3 8 5 2 9" xfId="45271"/>
    <cellStyle name="Normal 4 7 5 2 9" xfId="45272"/>
    <cellStyle name="Normal 5 7 5 2 9" xfId="45273"/>
    <cellStyle name="Normal 7 7 5 2 9" xfId="45274"/>
    <cellStyle name="Normal 2 3 5 5 2 9" xfId="45275"/>
    <cellStyle name="Normal 3 3 5 5 2 9" xfId="45276"/>
    <cellStyle name="Normal 4 2 5 5 2 9" xfId="45277"/>
    <cellStyle name="Normal 5 2 5 5 2 9" xfId="45278"/>
    <cellStyle name="Normal 7 2 5 5 2 9" xfId="45279"/>
    <cellStyle name="Normal 2 4 5 5 2 9" xfId="45280"/>
    <cellStyle name="Normal 3 4 5 5 2 9" xfId="45281"/>
    <cellStyle name="Normal 4 3 5 5 2 9" xfId="45282"/>
    <cellStyle name="Normal 5 3 5 5 2 9" xfId="45283"/>
    <cellStyle name="Normal 7 3 5 5 2 9" xfId="45284"/>
    <cellStyle name="Normal 2 5 3 5 2 9" xfId="45285"/>
    <cellStyle name="Normal 3 5 3 5 2 9" xfId="45286"/>
    <cellStyle name="Normal 4 4 3 5 2 9" xfId="45287"/>
    <cellStyle name="Normal 5 4 3 5 2 9" xfId="45288"/>
    <cellStyle name="Normal 7 4 3 5 2 9" xfId="45289"/>
    <cellStyle name="Normal 2 3 2 3 5 2 9" xfId="45290"/>
    <cellStyle name="Normal 3 3 2 3 5 2 9" xfId="45291"/>
    <cellStyle name="Normal 4 2 2 3 5 2 9" xfId="45292"/>
    <cellStyle name="Normal 5 2 2 3 5 2 9" xfId="45293"/>
    <cellStyle name="Normal 7 2 2 3 5 2 9" xfId="45294"/>
    <cellStyle name="Normal 2 4 2 3 5 2 9" xfId="45295"/>
    <cellStyle name="Normal 3 4 2 3 5 2 9" xfId="45296"/>
    <cellStyle name="Normal 4 3 2 3 5 2 9" xfId="45297"/>
    <cellStyle name="Normal 5 3 2 3 5 2 9" xfId="45298"/>
    <cellStyle name="Normal 7 3 2 3 5 2 9" xfId="45299"/>
    <cellStyle name="Normal 2 6 3 5 2 9" xfId="45300"/>
    <cellStyle name="Normal 3 6 3 5 2 9" xfId="45301"/>
    <cellStyle name="Normal 4 5 3 5 2 9" xfId="45302"/>
    <cellStyle name="Normal 5 5 3 5 2 9" xfId="45303"/>
    <cellStyle name="Normal 7 5 3 5 2 9" xfId="45304"/>
    <cellStyle name="Normal 2 3 3 3 5 2 9" xfId="45305"/>
    <cellStyle name="Normal 3 3 3 3 5 2 9" xfId="45306"/>
    <cellStyle name="Normal 4 2 3 3 5 2 9" xfId="45307"/>
    <cellStyle name="Normal 5 2 3 3 5 2 9" xfId="45308"/>
    <cellStyle name="Normal 7 2 3 3 5 2 9" xfId="45309"/>
    <cellStyle name="Normal 2 4 3 3 5 2 9" xfId="45310"/>
    <cellStyle name="Normal 3 4 3 3 5 2 9" xfId="45311"/>
    <cellStyle name="Normal 4 3 3 3 5 2 9" xfId="45312"/>
    <cellStyle name="Normal 5 3 3 3 5 2 9" xfId="45313"/>
    <cellStyle name="Normal 7 3 3 3 5 2 9" xfId="45314"/>
    <cellStyle name="Normal 2 7 2 5 2 9" xfId="45315"/>
    <cellStyle name="Normal 3 7 2 5 2 9" xfId="45316"/>
    <cellStyle name="Normal 4 6 2 5 2 9" xfId="45317"/>
    <cellStyle name="Normal 5 6 2 5 2 9" xfId="45318"/>
    <cellStyle name="Normal 7 6 2 5 2 9" xfId="45319"/>
    <cellStyle name="Normal 2 3 4 2 5 2 9" xfId="45320"/>
    <cellStyle name="Normal 3 3 4 2 5 2 9" xfId="45321"/>
    <cellStyle name="Normal 4 2 4 2 5 2 9" xfId="45322"/>
    <cellStyle name="Normal 5 2 4 2 5 2 9" xfId="45323"/>
    <cellStyle name="Normal 7 2 4 2 5 2 9" xfId="45324"/>
    <cellStyle name="Normal 2 4 4 2 5 2 9" xfId="45325"/>
    <cellStyle name="Normal 3 4 4 2 5 2 9" xfId="45326"/>
    <cellStyle name="Normal 4 3 4 2 5 2 9" xfId="45327"/>
    <cellStyle name="Normal 5 3 4 2 5 2 9" xfId="45328"/>
    <cellStyle name="Normal 7 3 4 2 5 2 9" xfId="45329"/>
    <cellStyle name="Normal 2 5 2 2 5 2 9" xfId="45330"/>
    <cellStyle name="Normal 3 5 2 2 5 2 9" xfId="45331"/>
    <cellStyle name="Normal 4 4 2 2 5 2 9" xfId="45332"/>
    <cellStyle name="Normal 5 4 2 2 5 2 9" xfId="45333"/>
    <cellStyle name="Normal 7 4 2 2 5 2 9" xfId="45334"/>
    <cellStyle name="Normal 2 3 2 2 2 5 2 9" xfId="45335"/>
    <cellStyle name="Normal 3 3 2 2 2 5 2 9" xfId="45336"/>
    <cellStyle name="Normal 4 2 2 2 2 5 2 9" xfId="45337"/>
    <cellStyle name="Normal 5 2 2 2 2 5 2 9" xfId="45338"/>
    <cellStyle name="Normal 7 2 2 2 2 5 2 9" xfId="45339"/>
    <cellStyle name="Normal 2 4 2 2 2 5 2 9" xfId="45340"/>
    <cellStyle name="Normal 3 4 2 2 2 5 2 9" xfId="45341"/>
    <cellStyle name="Normal 4 3 2 2 2 5 2 9" xfId="45342"/>
    <cellStyle name="Normal 5 3 2 2 2 5 2 9" xfId="45343"/>
    <cellStyle name="Normal 7 3 2 2 2 5 2 9" xfId="45344"/>
    <cellStyle name="Normal 2 6 2 2 5 2 9" xfId="45345"/>
    <cellStyle name="Normal 3 6 2 2 5 2 9" xfId="45346"/>
    <cellStyle name="Normal 4 5 2 2 5 2 9" xfId="45347"/>
    <cellStyle name="Normal 5 5 2 2 5 2 9" xfId="45348"/>
    <cellStyle name="Normal 7 5 2 2 5 2 9" xfId="45349"/>
    <cellStyle name="Normal 2 3 3 2 2 5 2 9" xfId="45350"/>
    <cellStyle name="Normal 3 3 3 2 2 5 2 9" xfId="45351"/>
    <cellStyle name="Normal 4 2 3 2 2 5 2 9" xfId="45352"/>
    <cellStyle name="Normal 5 2 3 2 2 5 2 9" xfId="45353"/>
    <cellStyle name="Normal 7 2 3 2 2 5 2 9" xfId="45354"/>
    <cellStyle name="Normal 2 4 3 2 2 5 2 9" xfId="45355"/>
    <cellStyle name="Normal 3 4 3 2 2 5 2 9" xfId="45356"/>
    <cellStyle name="Normal 4 3 3 2 2 5 2 9" xfId="45357"/>
    <cellStyle name="Normal 5 3 3 2 2 5 2 9" xfId="45358"/>
    <cellStyle name="Normal 7 3 3 2 2 5 2 9" xfId="45359"/>
    <cellStyle name="Normal 2 9 3 2 9" xfId="45360"/>
    <cellStyle name="Normal 3 9 3 2 9" xfId="45361"/>
    <cellStyle name="Normal 4 8 3 2 9" xfId="45362"/>
    <cellStyle name="Normal 5 8 3 2 9" xfId="45363"/>
    <cellStyle name="Normal 7 8 3 2 9" xfId="45364"/>
    <cellStyle name="Normal 2 3 6 3 2 9" xfId="45365"/>
    <cellStyle name="Normal 3 3 6 3 2 9" xfId="45366"/>
    <cellStyle name="Normal 4 2 6 3 2 9" xfId="45367"/>
    <cellStyle name="Normal 5 2 6 3 2 9" xfId="45368"/>
    <cellStyle name="Normal 7 2 6 3 2 9" xfId="45369"/>
    <cellStyle name="Normal 2 4 6 3 2 9" xfId="45370"/>
    <cellStyle name="Normal 3 4 6 3 2 9" xfId="45371"/>
    <cellStyle name="Normal 4 3 6 3 2 9" xfId="45372"/>
    <cellStyle name="Normal 5 3 6 3 2 9" xfId="45373"/>
    <cellStyle name="Normal 7 3 6 3 2 9" xfId="45374"/>
    <cellStyle name="Normal 2 5 4 3 2 9" xfId="45375"/>
    <cellStyle name="Normal 3 5 4 3 2 9" xfId="45376"/>
    <cellStyle name="Normal 4 4 4 3 2 9" xfId="45377"/>
    <cellStyle name="Normal 5 4 4 3 2 9" xfId="45378"/>
    <cellStyle name="Normal 7 4 4 3 2 9" xfId="45379"/>
    <cellStyle name="Normal 2 3 2 4 3 2 9" xfId="45380"/>
    <cellStyle name="Normal 3 3 2 4 3 2 9" xfId="45381"/>
    <cellStyle name="Normal 4 2 2 4 3 2 9" xfId="45382"/>
    <cellStyle name="Normal 5 2 2 4 3 2 9" xfId="45383"/>
    <cellStyle name="Normal 7 2 2 4 3 2 9" xfId="45384"/>
    <cellStyle name="Normal 2 4 2 4 3 2 9" xfId="45385"/>
    <cellStyle name="Normal 3 4 2 4 3 2 9" xfId="45386"/>
    <cellStyle name="Normal 4 3 2 4 3 2 9" xfId="45387"/>
    <cellStyle name="Normal 5 3 2 4 3 2 9" xfId="45388"/>
    <cellStyle name="Normal 7 3 2 4 3 2 9" xfId="45389"/>
    <cellStyle name="Normal 2 6 4 3 2 9" xfId="45390"/>
    <cellStyle name="Normal 3 6 4 3 2 9" xfId="45391"/>
    <cellStyle name="Normal 4 5 4 3 2 9" xfId="45392"/>
    <cellStyle name="Normal 5 5 4 3 2 9" xfId="45393"/>
    <cellStyle name="Normal 7 5 4 3 2 9" xfId="45394"/>
    <cellStyle name="Normal 2 3 3 4 3 2 9" xfId="45395"/>
    <cellStyle name="Normal 3 3 3 4 3 2 9" xfId="45396"/>
    <cellStyle name="Normal 4 2 3 4 3 2 9" xfId="45397"/>
    <cellStyle name="Normal 5 2 3 4 3 2 9" xfId="45398"/>
    <cellStyle name="Normal 7 2 3 4 3 2 9" xfId="45399"/>
    <cellStyle name="Normal 2 4 3 4 3 2 9" xfId="45400"/>
    <cellStyle name="Normal 3 4 3 4 3 2 9" xfId="45401"/>
    <cellStyle name="Normal 4 3 3 4 3 2 9" xfId="45402"/>
    <cellStyle name="Normal 5 3 3 4 3 2 9" xfId="45403"/>
    <cellStyle name="Normal 7 3 3 4 3 2 9" xfId="45404"/>
    <cellStyle name="Normal 2 7 3 3 2 9" xfId="45405"/>
    <cellStyle name="Normal 3 7 3 3 2 9" xfId="45406"/>
    <cellStyle name="Normal 4 6 3 3 2 9" xfId="45407"/>
    <cellStyle name="Normal 5 6 3 3 2 9" xfId="45408"/>
    <cellStyle name="Normal 7 6 3 3 2 9" xfId="45409"/>
    <cellStyle name="Normal 2 3 4 3 3 2 9" xfId="45410"/>
    <cellStyle name="Normal 3 3 4 3 3 2 9" xfId="45411"/>
    <cellStyle name="Normal 4 2 4 3 3 2 9" xfId="45412"/>
    <cellStyle name="Normal 5 2 4 3 3 2 9" xfId="45413"/>
    <cellStyle name="Normal 7 2 4 3 3 2 9" xfId="45414"/>
    <cellStyle name="Normal 2 4 4 3 3 2 9" xfId="45415"/>
    <cellStyle name="Normal 3 4 4 3 3 2 9" xfId="45416"/>
    <cellStyle name="Normal 4 3 4 3 3 2 9" xfId="45417"/>
    <cellStyle name="Normal 5 3 4 3 3 2 9" xfId="45418"/>
    <cellStyle name="Normal 7 3 4 3 3 2 9" xfId="45419"/>
    <cellStyle name="Normal 2 5 2 3 3 2 9" xfId="45420"/>
    <cellStyle name="Normal 3 5 2 3 3 2 9" xfId="45421"/>
    <cellStyle name="Normal 4 4 2 3 3 2 9" xfId="45422"/>
    <cellStyle name="Normal 5 4 2 3 3 2 9" xfId="45423"/>
    <cellStyle name="Normal 7 4 2 3 3 2 9" xfId="45424"/>
    <cellStyle name="Normal 2 3 2 2 3 3 2 9" xfId="45425"/>
    <cellStyle name="Normal 3 3 2 2 3 3 2 9" xfId="45426"/>
    <cellStyle name="Normal 4 2 2 2 3 3 2 9" xfId="45427"/>
    <cellStyle name="Normal 5 2 2 2 3 3 2 9" xfId="45428"/>
    <cellStyle name="Normal 7 2 2 2 3 3 2 9" xfId="45429"/>
    <cellStyle name="Normal 2 4 2 2 3 3 2 9" xfId="45430"/>
    <cellStyle name="Normal 3 4 2 2 3 3 2 9" xfId="45431"/>
    <cellStyle name="Normal 4 3 2 2 3 3 2 9" xfId="45432"/>
    <cellStyle name="Normal 5 3 2 2 3 3 2 9" xfId="45433"/>
    <cellStyle name="Normal 7 3 2 2 3 3 2 9" xfId="45434"/>
    <cellStyle name="Normal 2 6 2 3 3 2 9" xfId="45435"/>
    <cellStyle name="Normal 3 6 2 3 3 2 9" xfId="45436"/>
    <cellStyle name="Normal 4 5 2 3 3 2 9" xfId="45437"/>
    <cellStyle name="Normal 5 5 2 3 3 2 9" xfId="45438"/>
    <cellStyle name="Normal 7 5 2 3 3 2 9" xfId="45439"/>
    <cellStyle name="Normal 2 3 3 2 3 3 2 9" xfId="45440"/>
    <cellStyle name="Normal 3 3 3 2 3 3 2 9" xfId="45441"/>
    <cellStyle name="Normal 4 2 3 2 3 3 2 9" xfId="45442"/>
    <cellStyle name="Normal 5 2 3 2 3 3 2 9" xfId="45443"/>
    <cellStyle name="Normal 7 2 3 2 3 3 2 9" xfId="45444"/>
    <cellStyle name="Normal 2 4 3 2 3 3 2 9" xfId="45445"/>
    <cellStyle name="Normal 3 4 3 2 3 3 2 9" xfId="45446"/>
    <cellStyle name="Normal 4 3 3 2 3 3 2 9" xfId="45447"/>
    <cellStyle name="Normal 5 3 3 2 3 3 2 9" xfId="45448"/>
    <cellStyle name="Normal 7 3 3 2 3 3 2 9" xfId="45449"/>
    <cellStyle name="Normal 2 8 2 3 2 9" xfId="45450"/>
    <cellStyle name="Normal 3 8 2 3 2 9" xfId="45451"/>
    <cellStyle name="Normal 4 7 2 3 2 9" xfId="45452"/>
    <cellStyle name="Normal 5 7 2 3 2 9" xfId="45453"/>
    <cellStyle name="Normal 7 7 2 3 2 9" xfId="45454"/>
    <cellStyle name="Normal 2 3 5 2 3 2 9" xfId="45455"/>
    <cellStyle name="Normal 3 3 5 2 3 2 9" xfId="45456"/>
    <cellStyle name="Normal 4 2 5 2 3 2 9" xfId="45457"/>
    <cellStyle name="Normal 5 2 5 2 3 2 9" xfId="45458"/>
    <cellStyle name="Normal 7 2 5 2 3 2 9" xfId="45459"/>
    <cellStyle name="Normal 2 4 5 2 3 2 9" xfId="45460"/>
    <cellStyle name="Normal 3 4 5 2 3 2 9" xfId="45461"/>
    <cellStyle name="Normal 4 3 5 2 3 2 9" xfId="45462"/>
    <cellStyle name="Normal 5 3 5 2 3 2 9" xfId="45463"/>
    <cellStyle name="Normal 7 3 5 2 3 2 9" xfId="45464"/>
    <cellStyle name="Normal 2 5 3 2 3 2 9" xfId="45465"/>
    <cellStyle name="Normal 3 5 3 2 3 2 9" xfId="45466"/>
    <cellStyle name="Normal 4 4 3 2 3 2 9" xfId="45467"/>
    <cellStyle name="Normal 5 4 3 2 3 2 9" xfId="45468"/>
    <cellStyle name="Normal 7 4 3 2 3 2 9" xfId="45469"/>
    <cellStyle name="Normal 2 3 2 3 2 3 2 9" xfId="45470"/>
    <cellStyle name="Normal 3 3 2 3 2 3 2 9" xfId="45471"/>
    <cellStyle name="Normal 4 2 2 3 2 3 2 9" xfId="45472"/>
    <cellStyle name="Normal 5 2 2 3 2 3 2 9" xfId="45473"/>
    <cellStyle name="Normal 7 2 2 3 2 3 2 9" xfId="45474"/>
    <cellStyle name="Normal 2 4 2 3 2 3 2 9" xfId="45475"/>
    <cellStyle name="Normal 3 4 2 3 2 3 2 9" xfId="45476"/>
    <cellStyle name="Normal 4 3 2 3 2 3 2 9" xfId="45477"/>
    <cellStyle name="Normal 5 3 2 3 2 3 2 9" xfId="45478"/>
    <cellStyle name="Normal 7 3 2 3 2 3 2 9" xfId="45479"/>
    <cellStyle name="Normal 2 6 3 2 3 2 9" xfId="45480"/>
    <cellStyle name="Normal 3 6 3 2 3 2 9" xfId="45481"/>
    <cellStyle name="Normal 4 5 3 2 3 2 9" xfId="45482"/>
    <cellStyle name="Normal 5 5 3 2 3 2 9" xfId="45483"/>
    <cellStyle name="Normal 7 5 3 2 3 2 9" xfId="45484"/>
    <cellStyle name="Normal 2 3 3 3 2 3 2 9" xfId="45485"/>
    <cellStyle name="Normal 3 3 3 3 2 3 2 9" xfId="45486"/>
    <cellStyle name="Normal 4 2 3 3 2 3 2 9" xfId="45487"/>
    <cellStyle name="Normal 5 2 3 3 2 3 2 9" xfId="45488"/>
    <cellStyle name="Normal 7 2 3 3 2 3 2 9" xfId="45489"/>
    <cellStyle name="Normal 2 4 3 3 2 3 2 9" xfId="45490"/>
    <cellStyle name="Normal 3 4 3 3 2 3 2 9" xfId="45491"/>
    <cellStyle name="Normal 4 3 3 3 2 3 2 9" xfId="45492"/>
    <cellStyle name="Normal 5 3 3 3 2 3 2 9" xfId="45493"/>
    <cellStyle name="Normal 7 3 3 3 2 3 2 9" xfId="45494"/>
    <cellStyle name="Normal 2 7 2 2 3 2 9" xfId="45495"/>
    <cellStyle name="Normal 3 7 2 2 3 2 9" xfId="45496"/>
    <cellStyle name="Normal 4 6 2 2 3 2 9" xfId="45497"/>
    <cellStyle name="Normal 5 6 2 2 3 2 9" xfId="45498"/>
    <cellStyle name="Normal 7 6 2 2 3 2 9" xfId="45499"/>
    <cellStyle name="Normal 2 3 4 2 2 3 2 9" xfId="45500"/>
    <cellStyle name="Normal 3 3 4 2 2 3 2 9" xfId="45501"/>
    <cellStyle name="Normal 4 2 4 2 2 3 2 9" xfId="45502"/>
    <cellStyle name="Normal 5 2 4 2 2 3 2 9" xfId="45503"/>
    <cellStyle name="Normal 7 2 4 2 2 3 2 9" xfId="45504"/>
    <cellStyle name="Normal 2 4 4 2 2 3 2 9" xfId="45505"/>
    <cellStyle name="Normal 3 4 4 2 2 3 2 9" xfId="45506"/>
    <cellStyle name="Normal 4 3 4 2 2 3 2 9" xfId="45507"/>
    <cellStyle name="Normal 5 3 4 2 2 3 2 9" xfId="45508"/>
    <cellStyle name="Normal 7 3 4 2 2 3 2 9" xfId="45509"/>
    <cellStyle name="Normal 2 5 2 2 2 3 2 9" xfId="45510"/>
    <cellStyle name="Normal 3 5 2 2 2 3 2 9" xfId="45511"/>
    <cellStyle name="Normal 4 4 2 2 2 3 2 9" xfId="45512"/>
    <cellStyle name="Normal 5 4 2 2 2 3 2 9" xfId="45513"/>
    <cellStyle name="Normal 7 4 2 2 2 3 2 9" xfId="45514"/>
    <cellStyle name="Normal 2 3 2 2 2 2 3 2 9" xfId="45515"/>
    <cellStyle name="Normal 3 3 2 2 2 2 3 2 9" xfId="45516"/>
    <cellStyle name="Normal 4 2 2 2 2 2 3 2 9" xfId="45517"/>
    <cellStyle name="Normal 5 2 2 2 2 2 3 2 9" xfId="45518"/>
    <cellStyle name="Normal 7 2 2 2 2 2 3 2 9" xfId="45519"/>
    <cellStyle name="Normal 2 4 2 2 2 2 3 2 9" xfId="45520"/>
    <cellStyle name="Normal 3 4 2 2 2 2 3 2 9" xfId="45521"/>
    <cellStyle name="Normal 4 3 2 2 2 2 3 2 9" xfId="45522"/>
    <cellStyle name="Normal 5 3 2 2 2 2 3 2 9" xfId="45523"/>
    <cellStyle name="Normal 7 3 2 2 2 2 3 2 9" xfId="45524"/>
    <cellStyle name="Normal 2 6 2 2 2 3 2 9" xfId="45525"/>
    <cellStyle name="Normal 3 6 2 2 2 3 2 9" xfId="45526"/>
    <cellStyle name="Normal 4 5 2 2 2 3 2 9" xfId="45527"/>
    <cellStyle name="Normal 5 5 2 2 2 3 2 9" xfId="45528"/>
    <cellStyle name="Normal 7 5 2 2 2 3 2 9" xfId="45529"/>
    <cellStyle name="Normal 2 3 3 2 2 2 3 2 9" xfId="45530"/>
    <cellStyle name="Normal 3 3 3 2 2 2 3 2 9" xfId="45531"/>
    <cellStyle name="Normal 4 2 3 2 2 2 3 2 9" xfId="45532"/>
    <cellStyle name="Normal 5 2 3 2 2 2 3 2 9" xfId="45533"/>
    <cellStyle name="Normal 7 2 3 2 2 2 3 2 9" xfId="45534"/>
    <cellStyle name="Normal 2 4 3 2 2 2 3 2 9" xfId="45535"/>
    <cellStyle name="Normal 3 4 3 2 2 2 3 2 9" xfId="45536"/>
    <cellStyle name="Normal 4 3 3 2 2 2 3 2 9" xfId="45537"/>
    <cellStyle name="Normal 5 3 3 2 2 2 3 2 9" xfId="45538"/>
    <cellStyle name="Normal 7 3 3 2 2 2 3 2 9" xfId="45539"/>
    <cellStyle name="Normal 28 3 2 9" xfId="45540"/>
    <cellStyle name="Normal 2 3 7 3 2 9" xfId="45541"/>
    <cellStyle name="Normal 3 10 3 2 9" xfId="45542"/>
    <cellStyle name="Normal 4 9 3 2 9" xfId="45543"/>
    <cellStyle name="Normal 5 9 3 2 9" xfId="45544"/>
    <cellStyle name="Millares 4 3 2 9" xfId="45545"/>
    <cellStyle name="Normal 7 2 7 3 2 9" xfId="45546"/>
    <cellStyle name="Normal 3 3 7 3 2 9" xfId="45547"/>
    <cellStyle name="Normal 4 2 7 3 2 9" xfId="45548"/>
    <cellStyle name="Normal 5 2 7 3 2 9" xfId="45549"/>
    <cellStyle name="Normal 2 4 5 3 3 2 9" xfId="45550"/>
    <cellStyle name="Normal 3 4 7 3 2 9" xfId="45551"/>
    <cellStyle name="Normal 4 3 7 3 2 9" xfId="45552"/>
    <cellStyle name="Normal 5 3 7 3 2 9" xfId="45553"/>
    <cellStyle name="Normal 7 3 7 3 2 9" xfId="45554"/>
    <cellStyle name="Normal 2 5 5 3 2 9" xfId="45555"/>
    <cellStyle name="Normal 3 5 5 3 2 9" xfId="45556"/>
    <cellStyle name="Normal 4 4 5 3 2 9" xfId="45557"/>
    <cellStyle name="Normal 5 4 5 3 2 9" xfId="45558"/>
    <cellStyle name="Normal 7 4 5 3 2 9" xfId="45559"/>
    <cellStyle name="Normal 2 3 2 5 3 2 9" xfId="45560"/>
    <cellStyle name="Normal 3 3 2 5 3 2 9" xfId="45561"/>
    <cellStyle name="Normal 4 2 2 5 3 2 9" xfId="45562"/>
    <cellStyle name="Normal 5 2 2 5 3 2 9" xfId="45563"/>
    <cellStyle name="Normal 7 2 2 5 3 2 9" xfId="45564"/>
    <cellStyle name="Normal 2 4 2 5 3 2 9" xfId="45565"/>
    <cellStyle name="Normal 3 4 2 5 3 2 9" xfId="45566"/>
    <cellStyle name="Normal 4 3 2 5 3 2 9" xfId="45567"/>
    <cellStyle name="Normal 5 3 2 5 3 2 9" xfId="45568"/>
    <cellStyle name="Normal 7 3 2 5 3 2 9" xfId="45569"/>
    <cellStyle name="Normal 2 6 5 3 2 9" xfId="45570"/>
    <cellStyle name="Normal 3 6 5 3 2 9" xfId="45571"/>
    <cellStyle name="Normal 4 5 5 3 2 9" xfId="45572"/>
    <cellStyle name="Normal 5 5 5 3 2 9" xfId="45573"/>
    <cellStyle name="Normal 7 5 5 3 2 9" xfId="45574"/>
    <cellStyle name="Normal 2 3 3 5 3 2 9" xfId="45575"/>
    <cellStyle name="Normal 3 3 3 5 3 2 9" xfId="45576"/>
    <cellStyle name="Normal 4 2 3 5 3 2 9" xfId="45577"/>
    <cellStyle name="Normal 5 2 3 5 3 2 9" xfId="45578"/>
    <cellStyle name="Normal 7 2 3 5 3 2 9" xfId="45579"/>
    <cellStyle name="Normal 2 4 3 5 3 2 9" xfId="45580"/>
    <cellStyle name="Normal 3 4 3 5 3 2 9" xfId="45581"/>
    <cellStyle name="Normal 4 3 3 5 3 2 9" xfId="45582"/>
    <cellStyle name="Normal 5 3 3 5 3 2 9" xfId="45583"/>
    <cellStyle name="Normal 7 3 3 5 3 2 9" xfId="45584"/>
    <cellStyle name="Normal 2 7 4 3 2 9" xfId="45585"/>
    <cellStyle name="Normal 3 7 4 3 2 9" xfId="45586"/>
    <cellStyle name="Normal 4 6 4 3 2 9" xfId="45587"/>
    <cellStyle name="Normal 5 6 4 3 2 9" xfId="45588"/>
    <cellStyle name="Normal 7 6 4 3 2 9" xfId="45589"/>
    <cellStyle name="Normal 2 3 4 4 3 2 9" xfId="45590"/>
    <cellStyle name="Normal 3 3 4 4 3 2 9" xfId="45591"/>
    <cellStyle name="Normal 4 2 4 4 3 2 9" xfId="45592"/>
    <cellStyle name="Normal 5 2 4 4 3 2 9" xfId="45593"/>
    <cellStyle name="Normal 7 2 4 4 3 2 9" xfId="45594"/>
    <cellStyle name="Normal 2 4 4 4 3 2 9" xfId="45595"/>
    <cellStyle name="Normal 3 4 4 4 3 2 9" xfId="45596"/>
    <cellStyle name="Normal 4 3 4 4 3 2 9" xfId="45597"/>
    <cellStyle name="Normal 5 3 4 4 3 2 9" xfId="45598"/>
    <cellStyle name="Normal 7 3 4 4 3 2 9" xfId="45599"/>
    <cellStyle name="Normal 2 5 2 4 3 2 9" xfId="45600"/>
    <cellStyle name="Normal 3 5 2 4 3 2 9" xfId="45601"/>
    <cellStyle name="Normal 4 4 2 4 3 2 9" xfId="45602"/>
    <cellStyle name="Normal 5 4 2 4 3 2 9" xfId="45603"/>
    <cellStyle name="Normal 7 4 2 4 3 2 9" xfId="45604"/>
    <cellStyle name="Normal 2 3 2 2 4 3 2 9" xfId="45605"/>
    <cellStyle name="Normal 3 3 2 2 4 3 2 9" xfId="45606"/>
    <cellStyle name="Normal 4 2 2 2 4 3 2 9" xfId="45607"/>
    <cellStyle name="Normal 5 2 2 2 4 3 2 9" xfId="45608"/>
    <cellStyle name="Normal 7 2 2 2 4 3 2 9" xfId="45609"/>
    <cellStyle name="Normal 2 4 2 2 4 3 2 9" xfId="45610"/>
    <cellStyle name="Normal 3 4 2 2 4 3 2 9" xfId="45611"/>
    <cellStyle name="Normal 4 3 2 2 4 3 2 9" xfId="45612"/>
    <cellStyle name="Normal 5 3 2 2 4 3 2 9" xfId="45613"/>
    <cellStyle name="Normal 7 3 2 2 4 3 2 9" xfId="45614"/>
    <cellStyle name="Normal 2 6 2 4 3 2 9" xfId="45615"/>
    <cellStyle name="Normal 3 6 2 4 3 2 9" xfId="45616"/>
    <cellStyle name="Normal 4 5 2 4 3 2 9" xfId="45617"/>
    <cellStyle name="Normal 5 5 2 4 3 2 9" xfId="45618"/>
    <cellStyle name="Normal 7 5 2 4 3 2 9" xfId="45619"/>
    <cellStyle name="Normal 2 3 3 2 4 3 2 9" xfId="45620"/>
    <cellStyle name="Normal 3 3 3 2 4 3 2 9" xfId="45621"/>
    <cellStyle name="Normal 4 2 3 2 4 3 2 9" xfId="45622"/>
    <cellStyle name="Normal 5 2 3 2 4 3 2 9" xfId="45623"/>
    <cellStyle name="Normal 7 2 3 2 4 3 2 9" xfId="45624"/>
    <cellStyle name="Normal 2 4 3 2 4 3 2 9" xfId="45625"/>
    <cellStyle name="Normal 3 4 3 2 4 3 2 9" xfId="45626"/>
    <cellStyle name="Normal 4 3 3 2 4 3 2 9" xfId="45627"/>
    <cellStyle name="Normal 5 3 3 2 4 3 2 9" xfId="45628"/>
    <cellStyle name="Normal 7 3 3 2 4 3 2 9" xfId="45629"/>
    <cellStyle name="Normal 2 8 3 3 2 9" xfId="45630"/>
    <cellStyle name="Normal 3 8 3 3 2 9" xfId="45631"/>
    <cellStyle name="Normal 4 7 3 3 2 9" xfId="45632"/>
    <cellStyle name="Normal 5 7 3 3 2 9" xfId="45633"/>
    <cellStyle name="Normal 7 7 3 3 2 9" xfId="45634"/>
    <cellStyle name="Normal 2 3 5 3 3 2 9" xfId="45635"/>
    <cellStyle name="Normal 3 3 5 3 3 2 9" xfId="45636"/>
    <cellStyle name="Normal 4 2 5 3 3 2 9" xfId="45637"/>
    <cellStyle name="Normal 5 2 5 3 3 2 9" xfId="45638"/>
    <cellStyle name="Normal 7 2 5 3 3 2 9" xfId="45639"/>
    <cellStyle name="Normal 3 4 5 3 3 2 9" xfId="45640"/>
    <cellStyle name="Normal 4 3 5 3 3 2 9" xfId="45641"/>
    <cellStyle name="Normal 5 3 5 3 3 2 9" xfId="45642"/>
    <cellStyle name="Normal 7 3 5 3 3 2 9" xfId="45643"/>
    <cellStyle name="Normal 2 5 3 3 3 2 9" xfId="45644"/>
    <cellStyle name="Normal 3 5 3 3 3 2 9" xfId="45645"/>
    <cellStyle name="Normal 4 4 3 3 3 2 9" xfId="45646"/>
    <cellStyle name="Normal 5 4 3 3 3 2 9" xfId="45647"/>
    <cellStyle name="Normal 7 4 3 3 3 2 9" xfId="45648"/>
    <cellStyle name="Normal 2 3 2 3 3 3 2 9" xfId="45649"/>
    <cellStyle name="Normal 3 3 2 3 3 3 2 9" xfId="45650"/>
    <cellStyle name="Normal 4 2 2 3 3 3 2 9" xfId="45651"/>
    <cellStyle name="Normal 5 2 2 3 3 3 2 9" xfId="45652"/>
    <cellStyle name="Normal 7 2 2 3 3 3 2 9" xfId="45653"/>
    <cellStyle name="Normal 2 4 2 3 3 3 2 9" xfId="45654"/>
    <cellStyle name="Normal 3 4 2 3 3 3 2 9" xfId="45655"/>
    <cellStyle name="Normal 4 3 2 3 3 3 2 9" xfId="45656"/>
    <cellStyle name="Normal 5 3 2 3 3 3 2 9" xfId="45657"/>
    <cellStyle name="Normal 7 3 2 3 3 3 2 9" xfId="45658"/>
    <cellStyle name="Normal 2 6 3 3 3 2 9" xfId="45659"/>
    <cellStyle name="Normal 3 6 3 3 3 2 9" xfId="45660"/>
    <cellStyle name="Normal 4 5 3 3 3 2 9" xfId="45661"/>
    <cellStyle name="Normal 5 5 3 3 3 2 9" xfId="45662"/>
    <cellStyle name="Normal 7 5 3 3 3 2 9" xfId="45663"/>
    <cellStyle name="Normal 2 3 3 3 3 3 2 9" xfId="45664"/>
    <cellStyle name="Normal 3 3 3 3 3 3 2 9" xfId="45665"/>
    <cellStyle name="Normal 4 2 3 3 3 3 2 9" xfId="45666"/>
    <cellStyle name="Normal 5 2 3 3 3 3 2 9" xfId="45667"/>
    <cellStyle name="Normal 7 2 3 3 3 3 2 9" xfId="45668"/>
    <cellStyle name="Normal 2 4 3 3 3 3 2 9" xfId="45669"/>
    <cellStyle name="Normal 3 4 3 3 3 3 2 9" xfId="45670"/>
    <cellStyle name="Normal 4 3 3 3 3 3 2 9" xfId="45671"/>
    <cellStyle name="Normal 5 3 3 3 3 3 2 9" xfId="45672"/>
    <cellStyle name="Normal 7 3 3 3 3 3 2 9" xfId="45673"/>
    <cellStyle name="Normal 2 7 2 3 3 2 9" xfId="45674"/>
    <cellStyle name="Normal 3 7 2 3 3 2 9" xfId="45675"/>
    <cellStyle name="Normal 4 6 2 3 3 2 9" xfId="45676"/>
    <cellStyle name="Normal 5 6 2 3 3 2 9" xfId="45677"/>
    <cellStyle name="Normal 7 6 2 3 3 2 9" xfId="45678"/>
    <cellStyle name="Normal 2 3 4 2 3 3 2 9" xfId="45679"/>
    <cellStyle name="Normal 3 3 4 2 3 3 2 9" xfId="45680"/>
    <cellStyle name="Normal 4 2 4 2 3 3 2 9" xfId="45681"/>
    <cellStyle name="Normal 5 2 4 2 3 3 2 9" xfId="45682"/>
    <cellStyle name="Normal 7 2 4 2 3 3 2 9" xfId="45683"/>
    <cellStyle name="Normal 2 4 4 2 3 3 2 9" xfId="45684"/>
    <cellStyle name="Normal 3 4 4 2 3 3 2 9" xfId="45685"/>
    <cellStyle name="Normal 4 3 4 2 3 3 2 9" xfId="45686"/>
    <cellStyle name="Normal 5 3 4 2 3 3 2 9" xfId="45687"/>
    <cellStyle name="Normal 7 3 4 2 3 3 2 9" xfId="45688"/>
    <cellStyle name="Normal 2 5 2 2 3 3 2 9" xfId="45689"/>
    <cellStyle name="Normal 3 5 2 2 3 3 2 9" xfId="45690"/>
    <cellStyle name="Normal 4 4 2 2 3 3 2 9" xfId="45691"/>
    <cellStyle name="Normal 5 4 2 2 3 3 2 9" xfId="45692"/>
    <cellStyle name="Normal 7 4 2 2 3 3 2 9" xfId="45693"/>
    <cellStyle name="Normal 2 3 2 2 2 3 3 2 9" xfId="45694"/>
    <cellStyle name="Normal 3 3 2 2 2 3 3 2 9" xfId="45695"/>
    <cellStyle name="Normal 4 2 2 2 2 3 3 2 9" xfId="45696"/>
    <cellStyle name="Normal 5 2 2 2 2 3 3 2 9" xfId="45697"/>
    <cellStyle name="Normal 7 2 2 2 2 3 3 2 9" xfId="45698"/>
    <cellStyle name="Normal 2 4 2 2 2 3 3 2 9" xfId="45699"/>
    <cellStyle name="Normal 3 4 2 2 2 3 3 2 9" xfId="45700"/>
    <cellStyle name="Normal 4 3 2 2 2 3 3 2 9" xfId="45701"/>
    <cellStyle name="Normal 5 3 2 2 2 3 3 2 9" xfId="45702"/>
    <cellStyle name="Normal 7 3 2 2 2 3 3 2 9" xfId="45703"/>
    <cellStyle name="Normal 2 6 2 2 3 3 2 9" xfId="45704"/>
    <cellStyle name="Normal 3 6 2 2 3 3 2 9" xfId="45705"/>
    <cellStyle name="Normal 4 5 2 2 3 3 2 9" xfId="45706"/>
    <cellStyle name="Normal 5 5 2 2 3 3 2 9" xfId="45707"/>
    <cellStyle name="Normal 7 5 2 2 3 3 2 9" xfId="45708"/>
    <cellStyle name="Normal 2 3 3 2 2 3 3 2 9" xfId="45709"/>
    <cellStyle name="Normal 3 3 3 2 2 3 3 2 9" xfId="45710"/>
    <cellStyle name="Normal 4 2 3 2 2 3 3 2 9" xfId="45711"/>
    <cellStyle name="Normal 5 2 3 2 2 3 3 2 9" xfId="45712"/>
    <cellStyle name="Normal 7 2 3 2 2 3 3 2 9" xfId="45713"/>
    <cellStyle name="Normal 2 4 3 2 2 3 3 2 9" xfId="45714"/>
    <cellStyle name="Normal 3 4 3 2 2 3 3 2 9" xfId="45715"/>
    <cellStyle name="Normal 4 3 3 2 2 3 3 2 9" xfId="45716"/>
    <cellStyle name="Normal 5 3 3 2 2 3 3 2 9" xfId="45717"/>
    <cellStyle name="Normal 7 3 3 2 2 3 3 2 9" xfId="45718"/>
    <cellStyle name="Normal 7 2 11 8" xfId="45719"/>
    <cellStyle name="Normal 28 5 8" xfId="45720"/>
    <cellStyle name="Normal 7 2 15 6" xfId="45721"/>
    <cellStyle name="Normal 7 14 7" xfId="45722"/>
    <cellStyle name="Normal 28 8 6" xfId="45723"/>
    <cellStyle name="Normal 7 17 6" xfId="45724"/>
    <cellStyle name="Normal 7 15 6" xfId="45725"/>
    <cellStyle name="Normal 7 2 13 6" xfId="45726"/>
    <cellStyle name="Normal 7 2 12 7" xfId="45727"/>
    <cellStyle name="Normal 28 9 6" xfId="45728"/>
    <cellStyle name="Normal 28 7 6" xfId="45729"/>
    <cellStyle name="Normal 28 6 7" xfId="45730"/>
    <cellStyle name="Normal 7 16 6" xfId="45731"/>
    <cellStyle name="Normal 7 2 14 6" xfId="45732"/>
    <cellStyle name="Normal 48" xfId="45733"/>
    <cellStyle name="Normal 2 23" xfId="45734"/>
    <cellStyle name="Normal 3 23" xfId="45735"/>
    <cellStyle name="Normal 4 22" xfId="45736"/>
    <cellStyle name="Normal 5 22" xfId="45737"/>
    <cellStyle name="Normal 7 3 20" xfId="45738"/>
    <cellStyle name="Normal 7 4 18" xfId="45739"/>
    <cellStyle name="Normal 2 3 20" xfId="45740"/>
    <cellStyle name="Normal 3 3 20" xfId="45741"/>
    <cellStyle name="Normal 4 2 20" xfId="45742"/>
    <cellStyle name="Normal 5 2 20" xfId="45743"/>
    <cellStyle name="Normal 7 2 2 18" xfId="45744"/>
    <cellStyle name="Normal 2 4 20" xfId="45745"/>
    <cellStyle name="Normal 3 4 20" xfId="45746"/>
    <cellStyle name="Normal 4 3 20" xfId="45747"/>
    <cellStyle name="Normal 5 3 20" xfId="45748"/>
    <cellStyle name="Normal 2 5 18" xfId="45749"/>
    <cellStyle name="Normal 3 5 18" xfId="45750"/>
    <cellStyle name="Normal 4 4 18" xfId="45751"/>
    <cellStyle name="Normal 5 4 18" xfId="45752"/>
    <cellStyle name="Normal 2 3 2 18" xfId="45753"/>
    <cellStyle name="Normal 3 3 2 18" xfId="45754"/>
    <cellStyle name="Normal 4 2 2 18" xfId="45755"/>
    <cellStyle name="Normal 5 2 2 18" xfId="45756"/>
    <cellStyle name="Normal 2 4 2 18" xfId="45757"/>
    <cellStyle name="Normal 3 4 2 18" xfId="45758"/>
    <cellStyle name="Normal 4 3 2 18" xfId="45759"/>
    <cellStyle name="Normal 5 3 2 18" xfId="45760"/>
    <cellStyle name="Normal 7 3 2 18" xfId="45761"/>
    <cellStyle name="Normal 2 6 18" xfId="45762"/>
    <cellStyle name="Normal 3 6 18" xfId="45763"/>
    <cellStyle name="Normal 4 5 18" xfId="45764"/>
    <cellStyle name="Normal 5 5 18" xfId="45765"/>
    <cellStyle name="Normal 7 5 18" xfId="45766"/>
    <cellStyle name="Normal 2 3 3 18" xfId="45767"/>
    <cellStyle name="Normal 3 3 3 18" xfId="45768"/>
    <cellStyle name="Normal 4 2 3 18" xfId="45769"/>
    <cellStyle name="Normal 5 2 3 18" xfId="45770"/>
    <cellStyle name="Normal 7 2 3 18" xfId="45771"/>
    <cellStyle name="Normal 2 4 3 18" xfId="45772"/>
    <cellStyle name="Normal 3 4 3 18" xfId="45773"/>
    <cellStyle name="Normal 4 3 3 18" xfId="45774"/>
    <cellStyle name="Normal 5 3 3 18" xfId="45775"/>
    <cellStyle name="Normal 7 3 3 18" xfId="45776"/>
    <cellStyle name="Normal 2 7 17" xfId="45777"/>
    <cellStyle name="Normal 3 7 17" xfId="45778"/>
    <cellStyle name="Normal 4 6 17" xfId="45779"/>
    <cellStyle name="Normal 5 6 17" xfId="45780"/>
    <cellStyle name="Normal 7 6 17" xfId="45781"/>
    <cellStyle name="Normal 2 3 4 17" xfId="45782"/>
    <cellStyle name="Normal 3 3 4 17" xfId="45783"/>
    <cellStyle name="Normal 4 2 4 17" xfId="45784"/>
    <cellStyle name="Normal 5 2 4 17" xfId="45785"/>
    <cellStyle name="Normal 7 2 4 17" xfId="45786"/>
    <cellStyle name="Normal 2 4 4 17" xfId="45787"/>
    <cellStyle name="Normal 3 4 4 17" xfId="45788"/>
    <cellStyle name="Normal 4 3 4 17" xfId="45789"/>
    <cellStyle name="Normal 5 3 4 17" xfId="45790"/>
    <cellStyle name="Normal 7 3 4 17" xfId="45791"/>
    <cellStyle name="Normal 2 5 2 17" xfId="45792"/>
    <cellStyle name="Normal 3 5 2 17" xfId="45793"/>
    <cellStyle name="Normal 4 4 2 17" xfId="45794"/>
    <cellStyle name="Normal 5 4 2 17" xfId="45795"/>
    <cellStyle name="Normal 7 4 2 17" xfId="45796"/>
    <cellStyle name="Normal 2 3 2 2 17" xfId="45797"/>
    <cellStyle name="Normal 3 3 2 2 17" xfId="45798"/>
    <cellStyle name="Normal 4 2 2 2 17" xfId="45799"/>
    <cellStyle name="Normal 5 2 2 2 17" xfId="45800"/>
    <cellStyle name="Normal 7 2 2 2 17" xfId="45801"/>
    <cellStyle name="Normal 2 4 2 2 17" xfId="45802"/>
    <cellStyle name="Normal 3 4 2 2 17" xfId="45803"/>
    <cellStyle name="Normal 4 3 2 2 17" xfId="45804"/>
    <cellStyle name="Normal 5 3 2 2 17" xfId="45805"/>
    <cellStyle name="Normal 7 3 2 2 17" xfId="45806"/>
    <cellStyle name="Normal 2 6 2 17" xfId="45807"/>
    <cellStyle name="Normal 3 6 2 17" xfId="45808"/>
    <cellStyle name="Normal 4 5 2 17" xfId="45809"/>
    <cellStyle name="Normal 5 5 2 17" xfId="45810"/>
    <cellStyle name="Normal 7 5 2 17" xfId="45811"/>
    <cellStyle name="Normal 2 3 3 2 17" xfId="45812"/>
    <cellStyle name="Normal 3 3 3 2 17" xfId="45813"/>
    <cellStyle name="Normal 4 2 3 2 17" xfId="45814"/>
    <cellStyle name="Normal 5 2 3 2 17" xfId="45815"/>
    <cellStyle name="Normal 7 2 3 2 17" xfId="45816"/>
    <cellStyle name="Normal 2 4 3 2 17" xfId="45817"/>
    <cellStyle name="Normal 3 4 3 2 17" xfId="45818"/>
    <cellStyle name="Normal 4 3 3 2 17" xfId="45819"/>
    <cellStyle name="Normal 5 3 3 2 17" xfId="45820"/>
    <cellStyle name="Normal 7 3 3 2 17" xfId="45821"/>
    <cellStyle name="Normal 2 8 15" xfId="45822"/>
    <cellStyle name="Normal 3 8 15" xfId="45823"/>
    <cellStyle name="Normal 4 7 15" xfId="45824"/>
    <cellStyle name="Normal 5 7 15" xfId="45825"/>
    <cellStyle name="Normal 7 7 15" xfId="45826"/>
    <cellStyle name="Normal 2 3 5 15" xfId="45827"/>
    <cellStyle name="Normal 3 3 5 15" xfId="45828"/>
    <cellStyle name="Normal 4 2 5 15" xfId="45829"/>
    <cellStyle name="Normal 5 2 5 15" xfId="45830"/>
    <cellStyle name="Normal 7 2 5 16" xfId="45831"/>
    <cellStyle name="Normal 2 4 5 15" xfId="45832"/>
    <cellStyle name="Normal 3 4 5 15" xfId="45833"/>
    <cellStyle name="Normal 4 3 5 15" xfId="45834"/>
    <cellStyle name="Normal 5 3 5 15" xfId="45835"/>
    <cellStyle name="Normal 7 3 5 15" xfId="45836"/>
    <cellStyle name="Normal 2 5 3 15" xfId="45837"/>
    <cellStyle name="Normal 3 5 3 15" xfId="45838"/>
    <cellStyle name="Normal 4 4 3 15" xfId="45839"/>
    <cellStyle name="Normal 5 4 3 15" xfId="45840"/>
    <cellStyle name="Normal 7 4 3 15" xfId="45841"/>
    <cellStyle name="Normal 2 3 2 3 15" xfId="45842"/>
    <cellStyle name="Normal 3 3 2 3 15" xfId="45843"/>
    <cellStyle name="Normal 4 2 2 3 15" xfId="45844"/>
    <cellStyle name="Normal 5 2 2 3 15" xfId="45845"/>
    <cellStyle name="Normal 7 2 2 3 15" xfId="45846"/>
    <cellStyle name="Normal 2 4 2 3 15" xfId="45847"/>
    <cellStyle name="Normal 3 4 2 3 15" xfId="45848"/>
    <cellStyle name="Normal 4 3 2 3 15" xfId="45849"/>
    <cellStyle name="Normal 5 3 2 3 15" xfId="45850"/>
    <cellStyle name="Normal 7 3 2 3 15" xfId="45851"/>
    <cellStyle name="Normal 2 6 3 15" xfId="45852"/>
    <cellStyle name="Normal 3 6 3 15" xfId="45853"/>
    <cellStyle name="Normal 4 5 3 15" xfId="45854"/>
    <cellStyle name="Normal 5 5 3 15" xfId="45855"/>
    <cellStyle name="Normal 7 5 3 15" xfId="45856"/>
    <cellStyle name="Normal 2 3 3 3 15" xfId="45857"/>
    <cellStyle name="Normal 3 3 3 3 15" xfId="45858"/>
    <cellStyle name="Normal 4 2 3 3 15" xfId="45859"/>
    <cellStyle name="Normal 5 2 3 3 15" xfId="45860"/>
    <cellStyle name="Normal 7 2 3 3 15" xfId="45861"/>
    <cellStyle name="Normal 2 4 3 3 15" xfId="45862"/>
    <cellStyle name="Normal 3 4 3 3 15" xfId="45863"/>
    <cellStyle name="Normal 4 3 3 3 15" xfId="45864"/>
    <cellStyle name="Normal 5 3 3 3 15" xfId="45865"/>
    <cellStyle name="Normal 7 3 3 3 15" xfId="45866"/>
    <cellStyle name="Normal 2 7 2 15" xfId="45867"/>
    <cellStyle name="Normal 3 7 2 15" xfId="45868"/>
    <cellStyle name="Normal 4 6 2 15" xfId="45869"/>
    <cellStyle name="Normal 5 6 2 15" xfId="45870"/>
    <cellStyle name="Normal 7 6 2 15" xfId="45871"/>
    <cellStyle name="Normal 2 3 4 2 15" xfId="45872"/>
    <cellStyle name="Normal 3 3 4 2 15" xfId="45873"/>
    <cellStyle name="Normal 4 2 4 2 15" xfId="45874"/>
    <cellStyle name="Normal 5 2 4 2 15" xfId="45875"/>
    <cellStyle name="Normal 7 2 4 2 15" xfId="45876"/>
    <cellStyle name="Normal 2 4 4 2 15" xfId="45877"/>
    <cellStyle name="Normal 3 4 4 2 15" xfId="45878"/>
    <cellStyle name="Normal 4 3 4 2 15" xfId="45879"/>
    <cellStyle name="Normal 5 3 4 2 15" xfId="45880"/>
    <cellStyle name="Normal 7 3 4 2 15" xfId="45881"/>
    <cellStyle name="Normal 2 5 2 2 15" xfId="45882"/>
    <cellStyle name="Normal 3 5 2 2 15" xfId="45883"/>
    <cellStyle name="Normal 4 4 2 2 15" xfId="45884"/>
    <cellStyle name="Normal 5 4 2 2 15" xfId="45885"/>
    <cellStyle name="Normal 7 4 2 2 15" xfId="45886"/>
    <cellStyle name="Normal 2 3 2 2 2 15" xfId="45887"/>
    <cellStyle name="Normal 3 3 2 2 2 15" xfId="45888"/>
    <cellStyle name="Normal 4 2 2 2 2 15" xfId="45889"/>
    <cellStyle name="Normal 5 2 2 2 2 15" xfId="45890"/>
    <cellStyle name="Normal 7 2 2 2 2 15" xfId="45891"/>
    <cellStyle name="Normal 2 4 2 2 2 15" xfId="45892"/>
    <cellStyle name="Normal 3 4 2 2 2 15" xfId="45893"/>
    <cellStyle name="Normal 4 3 2 2 2 15" xfId="45894"/>
    <cellStyle name="Normal 5 3 2 2 2 15" xfId="45895"/>
    <cellStyle name="Normal 7 3 2 2 2 15" xfId="45896"/>
    <cellStyle name="Normal 2 6 2 2 15" xfId="45897"/>
    <cellStyle name="Normal 3 6 2 2 15" xfId="45898"/>
    <cellStyle name="Normal 4 5 2 2 15" xfId="45899"/>
    <cellStyle name="Normal 5 5 2 2 15" xfId="45900"/>
    <cellStyle name="Normal 7 5 2 2 15" xfId="45901"/>
    <cellStyle name="Normal 2 3 3 2 2 15" xfId="45902"/>
    <cellStyle name="Normal 3 3 3 2 2 15" xfId="45903"/>
    <cellStyle name="Normal 4 2 3 2 2 15" xfId="45904"/>
    <cellStyle name="Normal 5 2 3 2 2 15" xfId="45905"/>
    <cellStyle name="Normal 7 2 3 2 2 15" xfId="45906"/>
    <cellStyle name="Normal 2 4 3 2 2 15" xfId="45907"/>
    <cellStyle name="Normal 3 4 3 2 2 15" xfId="45908"/>
    <cellStyle name="Normal 4 3 3 2 2 15" xfId="45909"/>
    <cellStyle name="Normal 5 3 3 2 2 15" xfId="45910"/>
    <cellStyle name="Normal 7 3 3 2 2 15" xfId="45911"/>
    <cellStyle name="Normal 2 9 13" xfId="45912"/>
    <cellStyle name="Normal 3 9 13" xfId="45913"/>
    <cellStyle name="Normal 4 8 13" xfId="45914"/>
    <cellStyle name="Normal 5 8 13" xfId="45915"/>
    <cellStyle name="Normal 7 8 13" xfId="45916"/>
    <cellStyle name="Normal 2 3 6 13" xfId="45917"/>
    <cellStyle name="Normal 3 3 6 13" xfId="45918"/>
    <cellStyle name="Normal 4 2 6 13" xfId="45919"/>
    <cellStyle name="Normal 5 2 6 13" xfId="45920"/>
    <cellStyle name="Normal 7 2 6 13" xfId="45921"/>
    <cellStyle name="Normal 2 4 6 13" xfId="45922"/>
    <cellStyle name="Normal 3 4 6 13" xfId="45923"/>
    <cellStyle name="Normal 4 3 6 13" xfId="45924"/>
    <cellStyle name="Normal 5 3 6 13" xfId="45925"/>
    <cellStyle name="Normal 7 3 6 13" xfId="45926"/>
    <cellStyle name="Normal 2 5 4 13" xfId="45927"/>
    <cellStyle name="Normal 3 5 4 13" xfId="45928"/>
    <cellStyle name="Normal 4 4 4 13" xfId="45929"/>
    <cellStyle name="Normal 5 4 4 13" xfId="45930"/>
    <cellStyle name="Normal 7 4 4 13" xfId="45931"/>
    <cellStyle name="Normal 2 3 2 4 13" xfId="45932"/>
    <cellStyle name="Normal 3 3 2 4 13" xfId="45933"/>
    <cellStyle name="Normal 4 2 2 4 13" xfId="45934"/>
    <cellStyle name="Normal 5 2 2 4 13" xfId="45935"/>
    <cellStyle name="Normal 7 2 2 4 13" xfId="45936"/>
    <cellStyle name="Normal 2 4 2 4 13" xfId="45937"/>
    <cellStyle name="Normal 3 4 2 4 13" xfId="45938"/>
    <cellStyle name="Normal 4 3 2 4 13" xfId="45939"/>
    <cellStyle name="Normal 5 3 2 4 13" xfId="45940"/>
    <cellStyle name="Normal 7 3 2 4 13" xfId="45941"/>
    <cellStyle name="Normal 2 6 4 13" xfId="45942"/>
    <cellStyle name="Normal 3 6 4 13" xfId="45943"/>
    <cellStyle name="Normal 4 5 4 13" xfId="45944"/>
    <cellStyle name="Normal 5 5 4 13" xfId="45945"/>
    <cellStyle name="Normal 7 5 4 13" xfId="45946"/>
    <cellStyle name="Normal 2 3 3 4 13" xfId="45947"/>
    <cellStyle name="Normal 3 3 3 4 13" xfId="45948"/>
    <cellStyle name="Normal 4 2 3 4 13" xfId="45949"/>
    <cellStyle name="Normal 5 2 3 4 13" xfId="45950"/>
    <cellStyle name="Normal 7 2 3 4 13" xfId="45951"/>
    <cellStyle name="Normal 2 4 3 4 13" xfId="45952"/>
    <cellStyle name="Normal 3 4 3 4 13" xfId="45953"/>
    <cellStyle name="Normal 4 3 3 4 13" xfId="45954"/>
    <cellStyle name="Normal 5 3 3 4 13" xfId="45955"/>
    <cellStyle name="Normal 7 3 3 4 13" xfId="45956"/>
    <cellStyle name="Normal 2 7 3 13" xfId="45957"/>
    <cellStyle name="Normal 3 7 3 13" xfId="45958"/>
    <cellStyle name="Normal 4 6 3 13" xfId="45959"/>
    <cellStyle name="Normal 5 6 3 13" xfId="45960"/>
    <cellStyle name="Normal 7 6 3 13" xfId="45961"/>
    <cellStyle name="Normal 2 3 4 3 13" xfId="45962"/>
    <cellStyle name="Normal 3 3 4 3 13" xfId="45963"/>
    <cellStyle name="Normal 4 2 4 3 13" xfId="45964"/>
    <cellStyle name="Normal 5 2 4 3 13" xfId="45965"/>
    <cellStyle name="Normal 7 2 4 3 13" xfId="45966"/>
    <cellStyle name="Normal 2 4 4 3 13" xfId="45967"/>
    <cellStyle name="Normal 3 4 4 3 13" xfId="45968"/>
    <cellStyle name="Normal 4 3 4 3 13" xfId="45969"/>
    <cellStyle name="Normal 5 3 4 3 13" xfId="45970"/>
    <cellStyle name="Normal 7 3 4 3 13" xfId="45971"/>
    <cellStyle name="Normal 2 5 2 3 13" xfId="45972"/>
    <cellStyle name="Normal 3 5 2 3 13" xfId="45973"/>
    <cellStyle name="Normal 4 4 2 3 13" xfId="45974"/>
    <cellStyle name="Normal 5 4 2 3 13" xfId="45975"/>
    <cellStyle name="Normal 7 4 2 3 13" xfId="45976"/>
    <cellStyle name="Normal 2 3 2 2 3 13" xfId="45977"/>
    <cellStyle name="Normal 3 3 2 2 3 13" xfId="45978"/>
    <cellStyle name="Normal 4 2 2 2 3 13" xfId="45979"/>
    <cellStyle name="Normal 5 2 2 2 3 13" xfId="45980"/>
    <cellStyle name="Normal 7 2 2 2 3 13" xfId="45981"/>
    <cellStyle name="Normal 2 4 2 2 3 13" xfId="45982"/>
    <cellStyle name="Normal 3 4 2 2 3 13" xfId="45983"/>
    <cellStyle name="Normal 4 3 2 2 3 13" xfId="45984"/>
    <cellStyle name="Normal 5 3 2 2 3 13" xfId="45985"/>
    <cellStyle name="Normal 7 3 2 2 3 13" xfId="45986"/>
    <cellStyle name="Normal 2 6 2 3 13" xfId="45987"/>
    <cellStyle name="Normal 3 6 2 3 13" xfId="45988"/>
    <cellStyle name="Normal 4 5 2 3 13" xfId="45989"/>
    <cellStyle name="Normal 5 5 2 3 13" xfId="45990"/>
    <cellStyle name="Normal 7 5 2 3 13" xfId="45991"/>
    <cellStyle name="Normal 2 3 3 2 3 13" xfId="45992"/>
    <cellStyle name="Normal 3 3 3 2 3 13" xfId="45993"/>
    <cellStyle name="Normal 4 2 3 2 3 13" xfId="45994"/>
    <cellStyle name="Normal 5 2 3 2 3 13" xfId="45995"/>
    <cellStyle name="Normal 7 2 3 2 3 13" xfId="45996"/>
    <cellStyle name="Normal 2 4 3 2 3 13" xfId="45997"/>
    <cellStyle name="Normal 3 4 3 2 3 13" xfId="45998"/>
    <cellStyle name="Normal 4 3 3 2 3 13" xfId="45999"/>
    <cellStyle name="Normal 5 3 3 2 3 13" xfId="46000"/>
    <cellStyle name="Normal 7 3 3 2 3 13" xfId="46001"/>
    <cellStyle name="Normal 2 8 2 13" xfId="46002"/>
    <cellStyle name="Normal 3 8 2 13" xfId="46003"/>
    <cellStyle name="Normal 4 7 2 13" xfId="46004"/>
    <cellStyle name="Normal 5 7 2 13" xfId="46005"/>
    <cellStyle name="Normal 7 7 2 13" xfId="46006"/>
    <cellStyle name="Normal 2 3 5 2 13" xfId="46007"/>
    <cellStyle name="Normal 3 3 5 2 13" xfId="46008"/>
    <cellStyle name="Normal 4 2 5 2 13" xfId="46009"/>
    <cellStyle name="Normal 5 2 5 2 13" xfId="46010"/>
    <cellStyle name="Normal 7 2 5 2 13" xfId="46011"/>
    <cellStyle name="Normal 2 4 5 2 13" xfId="46012"/>
    <cellStyle name="Normal 3 4 5 2 13" xfId="46013"/>
    <cellStyle name="Normal 4 3 5 2 13" xfId="46014"/>
    <cellStyle name="Normal 5 3 5 2 13" xfId="46015"/>
    <cellStyle name="Normal 7 3 5 2 13" xfId="46016"/>
    <cellStyle name="Normal 2 5 3 2 13" xfId="46017"/>
    <cellStyle name="Normal 3 5 3 2 13" xfId="46018"/>
    <cellStyle name="Normal 4 4 3 2 13" xfId="46019"/>
    <cellStyle name="Normal 5 4 3 2 13" xfId="46020"/>
    <cellStyle name="Normal 7 4 3 2 13" xfId="46021"/>
    <cellStyle name="Normal 2 3 2 3 2 13" xfId="46022"/>
    <cellStyle name="Normal 3 3 2 3 2 13" xfId="46023"/>
    <cellStyle name="Normal 4 2 2 3 2 13" xfId="46024"/>
    <cellStyle name="Normal 5 2 2 3 2 13" xfId="46025"/>
    <cellStyle name="Normal 7 2 2 3 2 13" xfId="46026"/>
    <cellStyle name="Normal 2 4 2 3 2 13" xfId="46027"/>
    <cellStyle name="Normal 3 4 2 3 2 13" xfId="46028"/>
    <cellStyle name="Normal 4 3 2 3 2 13" xfId="46029"/>
    <cellStyle name="Normal 5 3 2 3 2 13" xfId="46030"/>
    <cellStyle name="Normal 7 3 2 3 2 13" xfId="46031"/>
    <cellStyle name="Normal 2 6 3 2 13" xfId="46032"/>
    <cellStyle name="Normal 3 6 3 2 13" xfId="46033"/>
    <cellStyle name="Normal 4 5 3 2 13" xfId="46034"/>
    <cellStyle name="Normal 5 5 3 2 13" xfId="46035"/>
    <cellStyle name="Normal 7 5 3 2 13" xfId="46036"/>
    <cellStyle name="Normal 2 3 3 3 2 13" xfId="46037"/>
    <cellStyle name="Normal 3 3 3 3 2 13" xfId="46038"/>
    <cellStyle name="Normal 4 2 3 3 2 13" xfId="46039"/>
    <cellStyle name="Normal 5 2 3 3 2 13" xfId="46040"/>
    <cellStyle name="Normal 7 2 3 3 2 13" xfId="46041"/>
    <cellStyle name="Normal 2 4 3 3 2 13" xfId="46042"/>
    <cellStyle name="Normal 3 4 3 3 2 13" xfId="46043"/>
    <cellStyle name="Normal 4 3 3 3 2 13" xfId="46044"/>
    <cellStyle name="Normal 5 3 3 3 2 13" xfId="46045"/>
    <cellStyle name="Normal 7 3 3 3 2 13" xfId="46046"/>
    <cellStyle name="Normal 2 7 2 2 13" xfId="46047"/>
    <cellStyle name="Normal 3 7 2 2 13" xfId="46048"/>
    <cellStyle name="Normal 4 6 2 2 13" xfId="46049"/>
    <cellStyle name="Normal 5 6 2 2 13" xfId="46050"/>
    <cellStyle name="Normal 7 6 2 2 13" xfId="46051"/>
    <cellStyle name="Normal 2 3 4 2 2 13" xfId="46052"/>
    <cellStyle name="Normal 3 3 4 2 2 13" xfId="46053"/>
    <cellStyle name="Normal 4 2 4 2 2 13" xfId="46054"/>
    <cellStyle name="Normal 5 2 4 2 2 13" xfId="46055"/>
    <cellStyle name="Normal 7 2 4 2 2 13" xfId="46056"/>
    <cellStyle name="Normal 2 4 4 2 2 13" xfId="46057"/>
    <cellStyle name="Normal 3 4 4 2 2 13" xfId="46058"/>
    <cellStyle name="Normal 4 3 4 2 2 13" xfId="46059"/>
    <cellStyle name="Normal 5 3 4 2 2 13" xfId="46060"/>
    <cellStyle name="Normal 7 3 4 2 2 13" xfId="46061"/>
    <cellStyle name="Normal 2 5 2 2 2 13" xfId="46062"/>
    <cellStyle name="Normal 3 5 2 2 2 13" xfId="46063"/>
    <cellStyle name="Normal 4 4 2 2 2 13" xfId="46064"/>
    <cellStyle name="Normal 5 4 2 2 2 13" xfId="46065"/>
    <cellStyle name="Normal 7 4 2 2 2 13" xfId="46066"/>
    <cellStyle name="Normal 2 3 2 2 2 2 13" xfId="46067"/>
    <cellStyle name="Normal 3 3 2 2 2 2 13" xfId="46068"/>
    <cellStyle name="Normal 4 2 2 2 2 2 13" xfId="46069"/>
    <cellStyle name="Normal 5 2 2 2 2 2 13" xfId="46070"/>
    <cellStyle name="Normal 7 2 2 2 2 2 13" xfId="46071"/>
    <cellStyle name="Normal 2 4 2 2 2 2 13" xfId="46072"/>
    <cellStyle name="Normal 3 4 2 2 2 2 13" xfId="46073"/>
    <cellStyle name="Normal 4 3 2 2 2 2 13" xfId="46074"/>
    <cellStyle name="Normal 5 3 2 2 2 2 13" xfId="46075"/>
    <cellStyle name="Normal 7 3 2 2 2 2 13" xfId="46076"/>
    <cellStyle name="Normal 2 6 2 2 2 13" xfId="46077"/>
    <cellStyle name="Normal 3 6 2 2 2 13" xfId="46078"/>
    <cellStyle name="Normal 4 5 2 2 2 13" xfId="46079"/>
    <cellStyle name="Normal 5 5 2 2 2 13" xfId="46080"/>
    <cellStyle name="Normal 7 5 2 2 2 13" xfId="46081"/>
    <cellStyle name="Normal 2 3 3 2 2 2 13" xfId="46082"/>
    <cellStyle name="Normal 3 3 3 2 2 2 13" xfId="46083"/>
    <cellStyle name="Normal 4 2 3 2 2 2 13" xfId="46084"/>
    <cellStyle name="Normal 5 2 3 2 2 2 13" xfId="46085"/>
    <cellStyle name="Normal 7 2 3 2 2 2 13" xfId="46086"/>
    <cellStyle name="Normal 2 4 3 2 2 2 13" xfId="46087"/>
    <cellStyle name="Normal 3 4 3 2 2 2 13" xfId="46088"/>
    <cellStyle name="Normal 4 3 3 2 2 2 13" xfId="46089"/>
    <cellStyle name="Normal 5 3 3 2 2 2 13" xfId="46090"/>
    <cellStyle name="Normal 7 3 3 2 2 2 13" xfId="46091"/>
    <cellStyle name="Normal 28 2 11" xfId="46092"/>
    <cellStyle name="Normal 2 3 7 13" xfId="46093"/>
    <cellStyle name="Normal 3 10 13" xfId="46094"/>
    <cellStyle name="Normal 4 9 13" xfId="46095"/>
    <cellStyle name="Normal 5 9 13" xfId="46096"/>
    <cellStyle name="Millares 4 13" xfId="46097"/>
    <cellStyle name="Normal 7 13 9" xfId="46098"/>
    <cellStyle name="Normal 7 2 7 13" xfId="46099"/>
    <cellStyle name="Normal 3 3 7 13" xfId="46100"/>
    <cellStyle name="Normal 4 2 7 13" xfId="46101"/>
    <cellStyle name="Normal 5 2 7 13" xfId="46102"/>
    <cellStyle name="Normal 2 4 5 3 13" xfId="46103"/>
    <cellStyle name="Normal 3 4 7 13" xfId="46104"/>
    <cellStyle name="Normal 4 3 7 13" xfId="46105"/>
    <cellStyle name="Normal 5 3 7 13" xfId="46106"/>
    <cellStyle name="Normal 7 3 7 13" xfId="46107"/>
    <cellStyle name="Normal 2 5 5 13" xfId="46108"/>
    <cellStyle name="Normal 3 5 5 13" xfId="46109"/>
    <cellStyle name="Normal 4 4 5 13" xfId="46110"/>
    <cellStyle name="Normal 5 4 5 13" xfId="46111"/>
    <cellStyle name="Normal 7 4 5 13" xfId="46112"/>
    <cellStyle name="Normal 2 3 2 5 13" xfId="46113"/>
    <cellStyle name="Normal 3 3 2 5 13" xfId="46114"/>
    <cellStyle name="Normal 4 2 2 5 13" xfId="46115"/>
    <cellStyle name="Normal 5 2 2 5 13" xfId="46116"/>
    <cellStyle name="Normal 7 2 2 5 13" xfId="46117"/>
    <cellStyle name="Normal 2 4 2 5 13" xfId="46118"/>
    <cellStyle name="Normal 3 4 2 5 13" xfId="46119"/>
    <cellStyle name="Normal 4 3 2 5 13" xfId="46120"/>
    <cellStyle name="Normal 5 3 2 5 13" xfId="46121"/>
    <cellStyle name="Normal 7 3 2 5 13" xfId="46122"/>
    <cellStyle name="Normal 2 6 5 13" xfId="46123"/>
    <cellStyle name="Normal 3 6 5 13" xfId="46124"/>
    <cellStyle name="Normal 4 5 5 13" xfId="46125"/>
    <cellStyle name="Normal 5 5 5 13" xfId="46126"/>
    <cellStyle name="Normal 7 5 5 13" xfId="46127"/>
    <cellStyle name="Normal 2 3 3 5 13" xfId="46128"/>
    <cellStyle name="Normal 3 3 3 5 13" xfId="46129"/>
    <cellStyle name="Normal 4 2 3 5 13" xfId="46130"/>
    <cellStyle name="Normal 5 2 3 5 13" xfId="46131"/>
    <cellStyle name="Normal 7 2 3 5 13" xfId="46132"/>
    <cellStyle name="Normal 2 4 3 5 13" xfId="46133"/>
    <cellStyle name="Normal 3 4 3 5 13" xfId="46134"/>
    <cellStyle name="Normal 4 3 3 5 13" xfId="46135"/>
    <cellStyle name="Normal 5 3 3 5 13" xfId="46136"/>
    <cellStyle name="Normal 7 3 3 5 13" xfId="46137"/>
    <cellStyle name="Normal 2 7 4 13" xfId="46138"/>
    <cellStyle name="Normal 3 7 4 13" xfId="46139"/>
    <cellStyle name="Normal 4 6 4 13" xfId="46140"/>
    <cellStyle name="Normal 5 6 4 13" xfId="46141"/>
    <cellStyle name="Normal 7 6 4 13" xfId="46142"/>
    <cellStyle name="Normal 2 3 4 4 13" xfId="46143"/>
    <cellStyle name="Normal 3 3 4 4 13" xfId="46144"/>
    <cellStyle name="Normal 4 2 4 4 13" xfId="46145"/>
    <cellStyle name="Normal 5 2 4 4 13" xfId="46146"/>
    <cellStyle name="Normal 7 2 4 4 13" xfId="46147"/>
    <cellStyle name="Normal 2 4 4 4 13" xfId="46148"/>
    <cellStyle name="Normal 3 4 4 4 13" xfId="46149"/>
    <cellStyle name="Normal 4 3 4 4 13" xfId="46150"/>
    <cellStyle name="Normal 5 3 4 4 13" xfId="46151"/>
    <cellStyle name="Normal 7 3 4 4 13" xfId="46152"/>
    <cellStyle name="Normal 2 5 2 4 13" xfId="46153"/>
    <cellStyle name="Normal 3 5 2 4 13" xfId="46154"/>
    <cellStyle name="Normal 4 4 2 4 13" xfId="46155"/>
    <cellStyle name="Normal 5 4 2 4 13" xfId="46156"/>
    <cellStyle name="Normal 7 4 2 4 13" xfId="46157"/>
    <cellStyle name="Normal 2 3 2 2 4 13" xfId="46158"/>
    <cellStyle name="Normal 3 3 2 2 4 13" xfId="46159"/>
    <cellStyle name="Normal 4 2 2 2 4 13" xfId="46160"/>
    <cellStyle name="Normal 5 2 2 2 4 13" xfId="46161"/>
    <cellStyle name="Normal 7 2 2 2 4 13" xfId="46162"/>
    <cellStyle name="Normal 2 4 2 2 4 13" xfId="46163"/>
    <cellStyle name="Normal 3 4 2 2 4 13" xfId="46164"/>
    <cellStyle name="Normal 4 3 2 2 4 13" xfId="46165"/>
    <cellStyle name="Normal 5 3 2 2 4 13" xfId="46166"/>
    <cellStyle name="Normal 7 3 2 2 4 13" xfId="46167"/>
    <cellStyle name="Normal 2 6 2 4 13" xfId="46168"/>
    <cellStyle name="Normal 3 6 2 4 13" xfId="46169"/>
    <cellStyle name="Normal 4 5 2 4 13" xfId="46170"/>
    <cellStyle name="Normal 5 5 2 4 13" xfId="46171"/>
    <cellStyle name="Normal 7 5 2 4 13" xfId="46172"/>
    <cellStyle name="Normal 2 3 3 2 4 13" xfId="46173"/>
    <cellStyle name="Normal 3 3 3 2 4 13" xfId="46174"/>
    <cellStyle name="Normal 4 2 3 2 4 13" xfId="46175"/>
    <cellStyle name="Normal 5 2 3 2 4 13" xfId="46176"/>
    <cellStyle name="Normal 7 2 3 2 4 13" xfId="46177"/>
    <cellStyle name="Normal 2 4 3 2 4 13" xfId="46178"/>
    <cellStyle name="Normal 3 4 3 2 4 13" xfId="46179"/>
    <cellStyle name="Normal 4 3 3 2 4 13" xfId="46180"/>
    <cellStyle name="Normal 5 3 3 2 4 13" xfId="46181"/>
    <cellStyle name="Normal 7 3 3 2 4 13" xfId="46182"/>
    <cellStyle name="Normal 2 8 3 13" xfId="46183"/>
    <cellStyle name="Normal 3 8 3 13" xfId="46184"/>
    <cellStyle name="Normal 4 7 3 13" xfId="46185"/>
    <cellStyle name="Normal 5 7 3 13" xfId="46186"/>
    <cellStyle name="Normal 7 7 3 13" xfId="46187"/>
    <cellStyle name="Normal 2 3 5 3 13" xfId="46188"/>
    <cellStyle name="Normal 3 3 5 3 13" xfId="46189"/>
    <cellStyle name="Normal 4 2 5 3 13" xfId="46190"/>
    <cellStyle name="Normal 5 2 5 3 13" xfId="46191"/>
    <cellStyle name="Normal 7 2 5 3 13" xfId="46192"/>
    <cellStyle name="Normal 3 4 5 3 13" xfId="46193"/>
    <cellStyle name="Normal 4 3 5 3 13" xfId="46194"/>
    <cellStyle name="Normal 5 3 5 3 13" xfId="46195"/>
    <cellStyle name="Normal 7 3 5 3 13" xfId="46196"/>
    <cellStyle name="Normal 2 5 3 3 13" xfId="46197"/>
    <cellStyle name="Normal 3 5 3 3 13" xfId="46198"/>
    <cellStyle name="Normal 4 4 3 3 13" xfId="46199"/>
    <cellStyle name="Normal 5 4 3 3 13" xfId="46200"/>
    <cellStyle name="Normal 7 4 3 3 13" xfId="46201"/>
    <cellStyle name="Normal 2 3 2 3 3 13" xfId="46202"/>
    <cellStyle name="Normal 3 3 2 3 3 13" xfId="46203"/>
    <cellStyle name="Normal 4 2 2 3 3 13" xfId="46204"/>
    <cellStyle name="Normal 5 2 2 3 3 13" xfId="46205"/>
    <cellStyle name="Normal 7 2 2 3 3 13" xfId="46206"/>
    <cellStyle name="Normal 2 4 2 3 3 13" xfId="46207"/>
    <cellStyle name="Normal 3 4 2 3 3 13" xfId="46208"/>
    <cellStyle name="Normal 4 3 2 3 3 13" xfId="46209"/>
    <cellStyle name="Normal 5 3 2 3 3 13" xfId="46210"/>
    <cellStyle name="Normal 7 3 2 3 3 13" xfId="46211"/>
    <cellStyle name="Normal 2 6 3 3 13" xfId="46212"/>
    <cellStyle name="Normal 3 6 3 3 13" xfId="46213"/>
    <cellStyle name="Normal 4 5 3 3 13" xfId="46214"/>
    <cellStyle name="Normal 5 5 3 3 13" xfId="46215"/>
    <cellStyle name="Normal 7 5 3 3 13" xfId="46216"/>
    <cellStyle name="Normal 2 3 3 3 3 13" xfId="46217"/>
    <cellStyle name="Normal 3 3 3 3 3 13" xfId="46218"/>
    <cellStyle name="Normal 4 2 3 3 3 13" xfId="46219"/>
    <cellStyle name="Normal 5 2 3 3 3 13" xfId="46220"/>
    <cellStyle name="Normal 7 2 3 3 3 13" xfId="46221"/>
    <cellStyle name="Normal 2 4 3 3 3 13" xfId="46222"/>
    <cellStyle name="Normal 3 4 3 3 3 13" xfId="46223"/>
    <cellStyle name="Normal 4 3 3 3 3 13" xfId="46224"/>
    <cellStyle name="Normal 5 3 3 3 3 13" xfId="46225"/>
    <cellStyle name="Normal 7 3 3 3 3 13" xfId="46226"/>
    <cellStyle name="Normal 2 7 2 3 13" xfId="46227"/>
    <cellStyle name="Normal 3 7 2 3 13" xfId="46228"/>
    <cellStyle name="Normal 4 6 2 3 13" xfId="46229"/>
    <cellStyle name="Normal 5 6 2 3 13" xfId="46230"/>
    <cellStyle name="Normal 7 6 2 3 13" xfId="46231"/>
    <cellStyle name="Normal 2 3 4 2 3 13" xfId="46232"/>
    <cellStyle name="Normal 3 3 4 2 3 13" xfId="46233"/>
    <cellStyle name="Normal 4 2 4 2 3 13" xfId="46234"/>
    <cellStyle name="Normal 5 2 4 2 3 13" xfId="46235"/>
    <cellStyle name="Normal 7 2 4 2 3 13" xfId="46236"/>
    <cellStyle name="Normal 2 4 4 2 3 13" xfId="46237"/>
    <cellStyle name="Normal 3 4 4 2 3 13" xfId="46238"/>
    <cellStyle name="Normal 4 3 4 2 3 13" xfId="46239"/>
    <cellStyle name="Normal 5 3 4 2 3 13" xfId="46240"/>
    <cellStyle name="Normal 7 3 4 2 3 13" xfId="46241"/>
    <cellStyle name="Normal 2 5 2 2 3 13" xfId="46242"/>
    <cellStyle name="Normal 3 5 2 2 3 13" xfId="46243"/>
    <cellStyle name="Normal 4 4 2 2 3 13" xfId="46244"/>
    <cellStyle name="Normal 5 4 2 2 3 13" xfId="46245"/>
    <cellStyle name="Normal 7 4 2 2 3 13" xfId="46246"/>
    <cellStyle name="Normal 2 3 2 2 2 3 13" xfId="46247"/>
    <cellStyle name="Normal 3 3 2 2 2 3 13" xfId="46248"/>
    <cellStyle name="Normal 4 2 2 2 2 3 13" xfId="46249"/>
    <cellStyle name="Normal 5 2 2 2 2 3 13" xfId="46250"/>
    <cellStyle name="Normal 7 2 2 2 2 3 13" xfId="46251"/>
    <cellStyle name="Normal 2 4 2 2 2 3 13" xfId="46252"/>
    <cellStyle name="Normal 3 4 2 2 2 3 13" xfId="46253"/>
    <cellStyle name="Normal 4 3 2 2 2 3 13" xfId="46254"/>
    <cellStyle name="Normal 5 3 2 2 2 3 13" xfId="46255"/>
    <cellStyle name="Normal 7 3 2 2 2 3 13" xfId="46256"/>
    <cellStyle name="Normal 2 6 2 2 3 13" xfId="46257"/>
    <cellStyle name="Normal 3 6 2 2 3 13" xfId="46258"/>
    <cellStyle name="Normal 4 5 2 2 3 13" xfId="46259"/>
    <cellStyle name="Normal 5 5 2 2 3 13" xfId="46260"/>
    <cellStyle name="Normal 7 5 2 2 3 13" xfId="46261"/>
    <cellStyle name="Normal 2 3 3 2 2 3 13" xfId="46262"/>
    <cellStyle name="Normal 3 3 3 2 2 3 13" xfId="46263"/>
    <cellStyle name="Normal 4 2 3 2 2 3 13" xfId="46264"/>
    <cellStyle name="Normal 5 2 3 2 2 3 13" xfId="46265"/>
    <cellStyle name="Normal 7 2 3 2 2 3 13" xfId="46266"/>
    <cellStyle name="Normal 2 4 3 2 2 3 13" xfId="46267"/>
    <cellStyle name="Normal 3 4 3 2 2 3 13" xfId="46268"/>
    <cellStyle name="Normal 4 3 3 2 2 3 13" xfId="46269"/>
    <cellStyle name="Normal 5 3 3 2 2 3 13" xfId="46270"/>
    <cellStyle name="Normal 7 3 3 2 2 3 13" xfId="46271"/>
    <cellStyle name="Normal 2 11 11" xfId="46272"/>
    <cellStyle name="Normal 3 11 11" xfId="46273"/>
    <cellStyle name="Normal 4 10 11" xfId="46274"/>
    <cellStyle name="Normal 5 10 11" xfId="46275"/>
    <cellStyle name="Normal 7 10 11" xfId="46276"/>
    <cellStyle name="Normal 2 3 8 11" xfId="46277"/>
    <cellStyle name="Normal 3 3 8 11" xfId="46278"/>
    <cellStyle name="Normal 4 2 8 11" xfId="46279"/>
    <cellStyle name="Normal 5 2 8 11" xfId="46280"/>
    <cellStyle name="Normal 7 2 8 11" xfId="46281"/>
    <cellStyle name="Normal 2 4 8 11" xfId="46282"/>
    <cellStyle name="Normal 3 4 8 11" xfId="46283"/>
    <cellStyle name="Normal 4 3 8 11" xfId="46284"/>
    <cellStyle name="Normal 5 3 8 11" xfId="46285"/>
    <cellStyle name="Normal 7 3 8 11" xfId="46286"/>
    <cellStyle name="Normal 2 5 6 11" xfId="46287"/>
    <cellStyle name="Normal 3 5 6 11" xfId="46288"/>
    <cellStyle name="Normal 4 4 6 11" xfId="46289"/>
    <cellStyle name="Normal 5 4 6 11" xfId="46290"/>
    <cellStyle name="Normal 7 4 6 11" xfId="46291"/>
    <cellStyle name="Normal 2 3 2 6 11" xfId="46292"/>
    <cellStyle name="Normal 3 3 2 6 11" xfId="46293"/>
    <cellStyle name="Normal 4 2 2 6 11" xfId="46294"/>
    <cellStyle name="Normal 5 2 2 6 11" xfId="46295"/>
    <cellStyle name="Normal 7 2 2 6 11" xfId="46296"/>
    <cellStyle name="Normal 2 4 2 6 11" xfId="46297"/>
    <cellStyle name="Normal 3 4 2 6 11" xfId="46298"/>
    <cellStyle name="Normal 4 3 2 6 11" xfId="46299"/>
    <cellStyle name="Normal 5 3 2 6 11" xfId="46300"/>
    <cellStyle name="Normal 7 3 2 6 11" xfId="46301"/>
    <cellStyle name="Normal 2 6 6 11" xfId="46302"/>
    <cellStyle name="Normal 3 6 6 11" xfId="46303"/>
    <cellStyle name="Normal 4 5 6 11" xfId="46304"/>
    <cellStyle name="Normal 5 5 6 11" xfId="46305"/>
    <cellStyle name="Normal 7 5 6 11" xfId="46306"/>
    <cellStyle name="Normal 2 3 3 6 11" xfId="46307"/>
    <cellStyle name="Normal 3 3 3 6 11" xfId="46308"/>
    <cellStyle name="Normal 4 2 3 6 11" xfId="46309"/>
    <cellStyle name="Normal 5 2 3 6 11" xfId="46310"/>
    <cellStyle name="Normal 7 2 3 6 11" xfId="46311"/>
    <cellStyle name="Normal 2 4 3 6 11" xfId="46312"/>
    <cellStyle name="Normal 3 4 3 6 11" xfId="46313"/>
    <cellStyle name="Normal 4 3 3 6 11" xfId="46314"/>
    <cellStyle name="Normal 5 3 3 6 11" xfId="46315"/>
    <cellStyle name="Normal 7 3 3 6 11" xfId="46316"/>
    <cellStyle name="Normal 2 7 5 11" xfId="46317"/>
    <cellStyle name="Normal 3 7 5 11" xfId="46318"/>
    <cellStyle name="Normal 4 6 5 11" xfId="46319"/>
    <cellStyle name="Normal 5 6 5 11" xfId="46320"/>
    <cellStyle name="Normal 7 6 5 11" xfId="46321"/>
    <cellStyle name="Normal 2 3 4 5 11" xfId="46322"/>
    <cellStyle name="Normal 3 3 4 5 11" xfId="46323"/>
    <cellStyle name="Normal 4 2 4 5 11" xfId="46324"/>
    <cellStyle name="Normal 5 2 4 5 11" xfId="46325"/>
    <cellStyle name="Normal 7 2 4 5 11" xfId="46326"/>
    <cellStyle name="Normal 2 4 4 5 11" xfId="46327"/>
    <cellStyle name="Normal 3 4 4 5 11" xfId="46328"/>
    <cellStyle name="Normal 4 3 4 5 11" xfId="46329"/>
    <cellStyle name="Normal 5 3 4 5 11" xfId="46330"/>
    <cellStyle name="Normal 7 3 4 5 11" xfId="46331"/>
    <cellStyle name="Normal 2 5 2 5 11" xfId="46332"/>
    <cellStyle name="Normal 3 5 2 5 11" xfId="46333"/>
    <cellStyle name="Normal 4 4 2 5 11" xfId="46334"/>
    <cellStyle name="Normal 5 4 2 5 11" xfId="46335"/>
    <cellStyle name="Normal 7 4 2 5 11" xfId="46336"/>
    <cellStyle name="Normal 2 3 2 2 5 11" xfId="46337"/>
    <cellStyle name="Normal 3 3 2 2 5 11" xfId="46338"/>
    <cellStyle name="Normal 4 2 2 2 5 11" xfId="46339"/>
    <cellStyle name="Normal 5 2 2 2 5 11" xfId="46340"/>
    <cellStyle name="Normal 7 2 2 2 5 11" xfId="46341"/>
    <cellStyle name="Normal 2 4 2 2 5 11" xfId="46342"/>
    <cellStyle name="Normal 3 4 2 2 5 11" xfId="46343"/>
    <cellStyle name="Normal 4 3 2 2 5 11" xfId="46344"/>
    <cellStyle name="Normal 5 3 2 2 5 11" xfId="46345"/>
    <cellStyle name="Normal 7 3 2 2 5 11" xfId="46346"/>
    <cellStyle name="Normal 2 6 2 5 11" xfId="46347"/>
    <cellStyle name="Normal 3 6 2 5 11" xfId="46348"/>
    <cellStyle name="Normal 4 5 2 5 11" xfId="46349"/>
    <cellStyle name="Normal 5 5 2 5 11" xfId="46350"/>
    <cellStyle name="Normal 7 5 2 5 11" xfId="46351"/>
    <cellStyle name="Normal 2 3 3 2 5 11" xfId="46352"/>
    <cellStyle name="Normal 3 3 3 2 5 11" xfId="46353"/>
    <cellStyle name="Normal 4 2 3 2 5 11" xfId="46354"/>
    <cellStyle name="Normal 5 2 3 2 5 11" xfId="46355"/>
    <cellStyle name="Normal 7 2 3 2 5 11" xfId="46356"/>
    <cellStyle name="Normal 2 4 3 2 5 11" xfId="46357"/>
    <cellStyle name="Normal 3 4 3 2 5 11" xfId="46358"/>
    <cellStyle name="Normal 4 3 3 2 5 11" xfId="46359"/>
    <cellStyle name="Normal 5 3 3 2 5 11" xfId="46360"/>
    <cellStyle name="Normal 7 3 3 2 5 11" xfId="46361"/>
    <cellStyle name="Normal 2 8 4 11" xfId="46362"/>
    <cellStyle name="Normal 3 8 4 11" xfId="46363"/>
    <cellStyle name="Normal 4 7 4 11" xfId="46364"/>
    <cellStyle name="Normal 5 7 4 11" xfId="46365"/>
    <cellStyle name="Normal 7 7 4 11" xfId="46366"/>
    <cellStyle name="Normal 2 3 5 4 11" xfId="46367"/>
    <cellStyle name="Normal 3 3 5 4 11" xfId="46368"/>
    <cellStyle name="Normal 4 2 5 4 11" xfId="46369"/>
    <cellStyle name="Normal 5 2 5 4 11" xfId="46370"/>
    <cellStyle name="Normal 7 2 5 4 11" xfId="46371"/>
    <cellStyle name="Normal 2 4 5 4 11" xfId="46372"/>
    <cellStyle name="Normal 3 4 5 4 11" xfId="46373"/>
    <cellStyle name="Normal 4 3 5 4 11" xfId="46374"/>
    <cellStyle name="Normal 5 3 5 4 11" xfId="46375"/>
    <cellStyle name="Normal 7 3 5 4 11" xfId="46376"/>
    <cellStyle name="Normal 2 5 3 4 11" xfId="46377"/>
    <cellStyle name="Normal 3 5 3 4 11" xfId="46378"/>
    <cellStyle name="Normal 4 4 3 4 11" xfId="46379"/>
    <cellStyle name="Normal 5 4 3 4 11" xfId="46380"/>
    <cellStyle name="Normal 7 4 3 4 11" xfId="46381"/>
    <cellStyle name="Normal 2 3 2 3 4 11" xfId="46382"/>
    <cellStyle name="Normal 3 3 2 3 4 11" xfId="46383"/>
    <cellStyle name="Normal 4 2 2 3 4 11" xfId="46384"/>
    <cellStyle name="Normal 5 2 2 3 4 11" xfId="46385"/>
    <cellStyle name="Normal 7 2 2 3 4 11" xfId="46386"/>
    <cellStyle name="Normal 2 4 2 3 4 11" xfId="46387"/>
    <cellStyle name="Normal 3 4 2 3 4 11" xfId="46388"/>
    <cellStyle name="Normal 4 3 2 3 4 11" xfId="46389"/>
    <cellStyle name="Normal 5 3 2 3 4 11" xfId="46390"/>
    <cellStyle name="Normal 7 3 2 3 4 11" xfId="46391"/>
    <cellStyle name="Normal 2 6 3 4 11" xfId="46392"/>
    <cellStyle name="Normal 3 6 3 4 11" xfId="46393"/>
    <cellStyle name="Normal 4 5 3 4 11" xfId="46394"/>
    <cellStyle name="Normal 5 5 3 4 11" xfId="46395"/>
    <cellStyle name="Normal 7 5 3 4 11" xfId="46396"/>
    <cellStyle name="Normal 2 3 3 3 4 11" xfId="46397"/>
    <cellStyle name="Normal 3 3 3 3 4 11" xfId="46398"/>
    <cellStyle name="Normal 4 2 3 3 4 11" xfId="46399"/>
    <cellStyle name="Normal 5 2 3 3 4 11" xfId="46400"/>
    <cellStyle name="Normal 7 2 3 3 4 11" xfId="46401"/>
    <cellStyle name="Normal 2 4 3 3 4 11" xfId="46402"/>
    <cellStyle name="Normal 3 4 3 3 4 11" xfId="46403"/>
    <cellStyle name="Normal 4 3 3 3 4 11" xfId="46404"/>
    <cellStyle name="Normal 5 3 3 3 4 11" xfId="46405"/>
    <cellStyle name="Normal 7 3 3 3 4 11" xfId="46406"/>
    <cellStyle name="Normal 2 7 2 4 11" xfId="46407"/>
    <cellStyle name="Normal 3 7 2 4 11" xfId="46408"/>
    <cellStyle name="Normal 4 6 2 4 11" xfId="46409"/>
    <cellStyle name="Normal 5 6 2 4 11" xfId="46410"/>
    <cellStyle name="Normal 7 6 2 4 11" xfId="46411"/>
    <cellStyle name="Normal 2 3 4 2 4 11" xfId="46412"/>
    <cellStyle name="Normal 3 3 4 2 4 11" xfId="46413"/>
    <cellStyle name="Normal 4 2 4 2 4 11" xfId="46414"/>
    <cellStyle name="Normal 5 2 4 2 4 11" xfId="46415"/>
    <cellStyle name="Normal 7 2 4 2 4 11" xfId="46416"/>
    <cellStyle name="Normal 2 4 4 2 4 11" xfId="46417"/>
    <cellStyle name="Normal 3 4 4 2 4 11" xfId="46418"/>
    <cellStyle name="Normal 4 3 4 2 4 11" xfId="46419"/>
    <cellStyle name="Normal 5 3 4 2 4 11" xfId="46420"/>
    <cellStyle name="Normal 7 3 4 2 4 11" xfId="46421"/>
    <cellStyle name="Normal 2 5 2 2 4 11" xfId="46422"/>
    <cellStyle name="Normal 3 5 2 2 4 11" xfId="46423"/>
    <cellStyle name="Normal 4 4 2 2 4 11" xfId="46424"/>
    <cellStyle name="Normal 5 4 2 2 4 11" xfId="46425"/>
    <cellStyle name="Normal 7 4 2 2 4 11" xfId="46426"/>
    <cellStyle name="Normal 2 3 2 2 2 4 11" xfId="46427"/>
    <cellStyle name="Normal 3 3 2 2 2 4 11" xfId="46428"/>
    <cellStyle name="Normal 4 2 2 2 2 4 11" xfId="46429"/>
    <cellStyle name="Normal 5 2 2 2 2 4 11" xfId="46430"/>
    <cellStyle name="Normal 7 2 2 2 2 4 11" xfId="46431"/>
    <cellStyle name="Normal 2 4 2 2 2 4 11" xfId="46432"/>
    <cellStyle name="Normal 3 4 2 2 2 4 11" xfId="46433"/>
    <cellStyle name="Normal 4 3 2 2 2 4 11" xfId="46434"/>
    <cellStyle name="Normal 5 3 2 2 2 4 11" xfId="46435"/>
    <cellStyle name="Normal 7 3 2 2 2 4 11" xfId="46436"/>
    <cellStyle name="Normal 2 6 2 2 4 11" xfId="46437"/>
    <cellStyle name="Normal 3 6 2 2 4 11" xfId="46438"/>
    <cellStyle name="Normal 4 5 2 2 4 11" xfId="46439"/>
    <cellStyle name="Normal 5 5 2 2 4 11" xfId="46440"/>
    <cellStyle name="Normal 7 5 2 2 4 11" xfId="46441"/>
    <cellStyle name="Normal 2 3 3 2 2 4 11" xfId="46442"/>
    <cellStyle name="Normal 3 3 3 2 2 4 11" xfId="46443"/>
    <cellStyle name="Normal 4 2 3 2 2 4 11" xfId="46444"/>
    <cellStyle name="Normal 5 2 3 2 2 4 11" xfId="46445"/>
    <cellStyle name="Normal 7 2 3 2 2 4 11" xfId="46446"/>
    <cellStyle name="Normal 2 4 3 2 2 4 11" xfId="46447"/>
    <cellStyle name="Normal 3 4 3 2 2 4 11" xfId="46448"/>
    <cellStyle name="Normal 4 3 3 2 2 4 11" xfId="46449"/>
    <cellStyle name="Normal 5 3 3 2 2 4 11" xfId="46450"/>
    <cellStyle name="Normal 7 3 3 2 2 4 11" xfId="46451"/>
    <cellStyle name="Normal 2 9 2 11" xfId="46452"/>
    <cellStyle name="Normal 3 9 2 11" xfId="46453"/>
    <cellStyle name="Normal 4 8 2 11" xfId="46454"/>
    <cellStyle name="Normal 5 8 2 11" xfId="46455"/>
    <cellStyle name="Normal 7 8 2 11" xfId="46456"/>
    <cellStyle name="Normal 2 3 6 2 11" xfId="46457"/>
    <cellStyle name="Normal 3 3 6 2 11" xfId="46458"/>
    <cellStyle name="Normal 4 2 6 2 11" xfId="46459"/>
    <cellStyle name="Normal 5 2 6 2 11" xfId="46460"/>
    <cellStyle name="Normal 7 2 6 2 11" xfId="46461"/>
    <cellStyle name="Normal 2 4 6 2 11" xfId="46462"/>
    <cellStyle name="Normal 3 4 6 2 11" xfId="46463"/>
    <cellStyle name="Normal 4 3 6 2 11" xfId="46464"/>
    <cellStyle name="Normal 5 3 6 2 11" xfId="46465"/>
    <cellStyle name="Normal 7 3 6 2 11" xfId="46466"/>
    <cellStyle name="Normal 2 5 4 2 11" xfId="46467"/>
    <cellStyle name="Normal 3 5 4 2 11" xfId="46468"/>
    <cellStyle name="Normal 4 4 4 2 11" xfId="46469"/>
    <cellStyle name="Normal 5 4 4 2 11" xfId="46470"/>
    <cellStyle name="Normal 7 4 4 2 11" xfId="46471"/>
    <cellStyle name="Normal 2 3 2 4 2 11" xfId="46472"/>
    <cellStyle name="Normal 3 3 2 4 2 11" xfId="46473"/>
    <cellStyle name="Normal 4 2 2 4 2 11" xfId="46474"/>
    <cellStyle name="Normal 5 2 2 4 2 11" xfId="46475"/>
    <cellStyle name="Normal 7 2 2 4 2 11" xfId="46476"/>
    <cellStyle name="Normal 2 4 2 4 2 11" xfId="46477"/>
    <cellStyle name="Normal 3 4 2 4 2 11" xfId="46478"/>
    <cellStyle name="Normal 4 3 2 4 2 11" xfId="46479"/>
    <cellStyle name="Normal 5 3 2 4 2 11" xfId="46480"/>
    <cellStyle name="Normal 7 3 2 4 2 11" xfId="46481"/>
    <cellStyle name="Normal 2 6 4 2 11" xfId="46482"/>
    <cellStyle name="Normal 3 6 4 2 11" xfId="46483"/>
    <cellStyle name="Normal 4 5 4 2 11" xfId="46484"/>
    <cellStyle name="Normal 5 5 4 2 11" xfId="46485"/>
    <cellStyle name="Normal 7 5 4 2 11" xfId="46486"/>
    <cellStyle name="Normal 2 3 3 4 2 11" xfId="46487"/>
    <cellStyle name="Normal 3 3 3 4 2 11" xfId="46488"/>
    <cellStyle name="Normal 4 2 3 4 2 11" xfId="46489"/>
    <cellStyle name="Normal 5 2 3 4 2 11" xfId="46490"/>
    <cellStyle name="Normal 7 2 3 4 2 11" xfId="46491"/>
    <cellStyle name="Normal 2 4 3 4 2 11" xfId="46492"/>
    <cellStyle name="Normal 3 4 3 4 2 11" xfId="46493"/>
    <cellStyle name="Normal 4 3 3 4 2 11" xfId="46494"/>
    <cellStyle name="Normal 5 3 3 4 2 11" xfId="46495"/>
    <cellStyle name="Normal 7 3 3 4 2 11" xfId="46496"/>
    <cellStyle name="Normal 2 7 3 2 11" xfId="46497"/>
    <cellStyle name="Normal 3 7 3 2 11" xfId="46498"/>
    <cellStyle name="Normal 4 6 3 2 11" xfId="46499"/>
    <cellStyle name="Normal 5 6 3 2 11" xfId="46500"/>
    <cellStyle name="Normal 7 6 3 2 11" xfId="46501"/>
    <cellStyle name="Normal 2 3 4 3 2 11" xfId="46502"/>
    <cellStyle name="Normal 3 3 4 3 2 11" xfId="46503"/>
    <cellStyle name="Normal 4 2 4 3 2 11" xfId="46504"/>
    <cellStyle name="Normal 5 2 4 3 2 11" xfId="46505"/>
    <cellStyle name="Normal 7 2 4 3 2 11" xfId="46506"/>
    <cellStyle name="Normal 2 4 4 3 2 11" xfId="46507"/>
    <cellStyle name="Normal 3 4 4 3 2 11" xfId="46508"/>
    <cellStyle name="Normal 4 3 4 3 2 11" xfId="46509"/>
    <cellStyle name="Normal 5 3 4 3 2 11" xfId="46510"/>
    <cellStyle name="Normal 7 3 4 3 2 11" xfId="46511"/>
    <cellStyle name="Normal 2 5 2 3 2 11" xfId="46512"/>
    <cellStyle name="Normal 3 5 2 3 2 11" xfId="46513"/>
    <cellStyle name="Normal 4 4 2 3 2 11" xfId="46514"/>
    <cellStyle name="Normal 5 4 2 3 2 11" xfId="46515"/>
    <cellStyle name="Normal 7 4 2 3 2 11" xfId="46516"/>
    <cellStyle name="Normal 2 3 2 2 3 2 11" xfId="46517"/>
    <cellStyle name="Normal 3 3 2 2 3 2 11" xfId="46518"/>
    <cellStyle name="Normal 4 2 2 2 3 2 11" xfId="46519"/>
    <cellStyle name="Normal 5 2 2 2 3 2 11" xfId="46520"/>
    <cellStyle name="Normal 7 2 2 2 3 2 11" xfId="46521"/>
    <cellStyle name="Normal 2 4 2 2 3 2 11" xfId="46522"/>
    <cellStyle name="Normal 3 4 2 2 3 2 11" xfId="46523"/>
    <cellStyle name="Normal 4 3 2 2 3 2 11" xfId="46524"/>
    <cellStyle name="Normal 5 3 2 2 3 2 11" xfId="46525"/>
    <cellStyle name="Normal 7 3 2 2 3 2 11" xfId="46526"/>
    <cellStyle name="Normal 2 6 2 3 2 11" xfId="46527"/>
    <cellStyle name="Normal 3 6 2 3 2 11" xfId="46528"/>
    <cellStyle name="Normal 4 5 2 3 2 11" xfId="46529"/>
    <cellStyle name="Normal 5 5 2 3 2 11" xfId="46530"/>
    <cellStyle name="Normal 7 5 2 3 2 11" xfId="46531"/>
    <cellStyle name="Normal 2 3 3 2 3 2 11" xfId="46532"/>
    <cellStyle name="Normal 3 3 3 2 3 2 11" xfId="46533"/>
    <cellStyle name="Normal 4 2 3 2 3 2 11" xfId="46534"/>
    <cellStyle name="Normal 5 2 3 2 3 2 11" xfId="46535"/>
    <cellStyle name="Normal 7 2 3 2 3 2 11" xfId="46536"/>
    <cellStyle name="Normal 2 4 3 2 3 2 11" xfId="46537"/>
    <cellStyle name="Normal 3 4 3 2 3 2 11" xfId="46538"/>
    <cellStyle name="Normal 4 3 3 2 3 2 11" xfId="46539"/>
    <cellStyle name="Normal 5 3 3 2 3 2 11" xfId="46540"/>
    <cellStyle name="Normal 7 3 3 2 3 2 11" xfId="46541"/>
    <cellStyle name="Normal 2 8 2 2 11" xfId="46542"/>
    <cellStyle name="Normal 3 8 2 2 11" xfId="46543"/>
    <cellStyle name="Normal 4 7 2 2 11" xfId="46544"/>
    <cellStyle name="Normal 5 7 2 2 11" xfId="46545"/>
    <cellStyle name="Normal 7 7 2 2 11" xfId="46546"/>
    <cellStyle name="Normal 2 3 5 2 2 11" xfId="46547"/>
    <cellStyle name="Normal 3 3 5 2 2 11" xfId="46548"/>
    <cellStyle name="Normal 4 2 5 2 2 11" xfId="46549"/>
    <cellStyle name="Normal 5 2 5 2 2 11" xfId="46550"/>
    <cellStyle name="Normal 7 2 5 2 2 11" xfId="46551"/>
    <cellStyle name="Normal 2 4 5 2 2 11" xfId="46552"/>
    <cellStyle name="Normal 3 4 5 2 2 11" xfId="46553"/>
    <cellStyle name="Normal 4 3 5 2 2 11" xfId="46554"/>
    <cellStyle name="Normal 5 3 5 2 2 11" xfId="46555"/>
    <cellStyle name="Normal 7 3 5 2 2 11" xfId="46556"/>
    <cellStyle name="Normal 2 5 3 2 2 11" xfId="46557"/>
    <cellStyle name="Normal 3 5 3 2 2 11" xfId="46558"/>
    <cellStyle name="Normal 4 4 3 2 2 11" xfId="46559"/>
    <cellStyle name="Normal 5 4 3 2 2 11" xfId="46560"/>
    <cellStyle name="Normal 7 4 3 2 2 11" xfId="46561"/>
    <cellStyle name="Normal 2 3 2 3 2 2 11" xfId="46562"/>
    <cellStyle name="Normal 3 3 2 3 2 2 11" xfId="46563"/>
    <cellStyle name="Normal 4 2 2 3 2 2 11" xfId="46564"/>
    <cellStyle name="Normal 5 2 2 3 2 2 11" xfId="46565"/>
    <cellStyle name="Normal 7 2 2 3 2 2 11" xfId="46566"/>
    <cellStyle name="Normal 2 4 2 3 2 2 11" xfId="46567"/>
    <cellStyle name="Normal 3 4 2 3 2 2 11" xfId="46568"/>
    <cellStyle name="Normal 4 3 2 3 2 2 11" xfId="46569"/>
    <cellStyle name="Normal 5 3 2 3 2 2 11" xfId="46570"/>
    <cellStyle name="Normal 7 3 2 3 2 2 11" xfId="46571"/>
    <cellStyle name="Normal 2 6 3 2 2 11" xfId="46572"/>
    <cellStyle name="Normal 3 6 3 2 2 11" xfId="46573"/>
    <cellStyle name="Normal 4 5 3 2 2 11" xfId="46574"/>
    <cellStyle name="Normal 5 5 3 2 2 11" xfId="46575"/>
    <cellStyle name="Normal 7 5 3 2 2 11" xfId="46576"/>
    <cellStyle name="Normal 2 3 3 3 2 2 11" xfId="46577"/>
    <cellStyle name="Normal 3 3 3 3 2 2 11" xfId="46578"/>
    <cellStyle name="Normal 4 2 3 3 2 2 11" xfId="46579"/>
    <cellStyle name="Normal 5 2 3 3 2 2 11" xfId="46580"/>
    <cellStyle name="Normal 7 2 3 3 2 2 11" xfId="46581"/>
    <cellStyle name="Normal 2 4 3 3 2 2 11" xfId="46582"/>
    <cellStyle name="Normal 3 4 3 3 2 2 11" xfId="46583"/>
    <cellStyle name="Normal 4 3 3 3 2 2 11" xfId="46584"/>
    <cellStyle name="Normal 5 3 3 3 2 2 11" xfId="46585"/>
    <cellStyle name="Normal 7 3 3 3 2 2 11" xfId="46586"/>
    <cellStyle name="Normal 2 7 2 2 2 11" xfId="46587"/>
    <cellStyle name="Normal 3 7 2 2 2 11" xfId="46588"/>
    <cellStyle name="Normal 4 6 2 2 2 11" xfId="46589"/>
    <cellStyle name="Normal 5 6 2 2 2 11" xfId="46590"/>
    <cellStyle name="Normal 7 6 2 2 2 11" xfId="46591"/>
    <cellStyle name="Normal 2 3 4 2 2 2 11" xfId="46592"/>
    <cellStyle name="Normal 3 3 4 2 2 2 11" xfId="46593"/>
    <cellStyle name="Normal 4 2 4 2 2 2 11" xfId="46594"/>
    <cellStyle name="Normal 5 2 4 2 2 2 11" xfId="46595"/>
    <cellStyle name="Normal 7 2 4 2 2 2 11" xfId="46596"/>
    <cellStyle name="Normal 2 4 4 2 2 2 11" xfId="46597"/>
    <cellStyle name="Normal 3 4 4 2 2 2 11" xfId="46598"/>
    <cellStyle name="Normal 4 3 4 2 2 2 11" xfId="46599"/>
    <cellStyle name="Normal 5 3 4 2 2 2 11" xfId="46600"/>
    <cellStyle name="Normal 7 3 4 2 2 2 11" xfId="46601"/>
    <cellStyle name="Normal 2 5 2 2 2 2 11" xfId="46602"/>
    <cellStyle name="Normal 3 5 2 2 2 2 11" xfId="46603"/>
    <cellStyle name="Normal 4 4 2 2 2 2 11" xfId="46604"/>
    <cellStyle name="Normal 5 4 2 2 2 2 11" xfId="46605"/>
    <cellStyle name="Normal 7 4 2 2 2 2 11" xfId="46606"/>
    <cellStyle name="Normal 2 3 2 2 2 2 2 11" xfId="46607"/>
    <cellStyle name="Normal 3 3 2 2 2 2 2 11" xfId="46608"/>
    <cellStyle name="Normal 4 2 2 2 2 2 2 11" xfId="46609"/>
    <cellStyle name="Normal 5 2 2 2 2 2 2 11" xfId="46610"/>
    <cellStyle name="Normal 7 2 2 2 2 2 2 11" xfId="46611"/>
    <cellStyle name="Normal 2 4 2 2 2 2 2 11" xfId="46612"/>
    <cellStyle name="Normal 3 4 2 2 2 2 2 11" xfId="46613"/>
    <cellStyle name="Normal 4 3 2 2 2 2 2 11" xfId="46614"/>
    <cellStyle name="Normal 5 3 2 2 2 2 2 11" xfId="46615"/>
    <cellStyle name="Normal 7 3 2 2 2 2 2 11" xfId="46616"/>
    <cellStyle name="Normal 2 6 2 2 2 2 11" xfId="46617"/>
    <cellStyle name="Normal 3 6 2 2 2 2 11" xfId="46618"/>
    <cellStyle name="Normal 4 5 2 2 2 2 11" xfId="46619"/>
    <cellStyle name="Normal 5 5 2 2 2 2 11" xfId="46620"/>
    <cellStyle name="Normal 7 5 2 2 2 2 11" xfId="46621"/>
    <cellStyle name="Normal 2 3 3 2 2 2 2 11" xfId="46622"/>
    <cellStyle name="Normal 3 3 3 2 2 2 2 11" xfId="46623"/>
    <cellStyle name="Normal 4 2 3 2 2 2 2 11" xfId="46624"/>
    <cellStyle name="Normal 5 2 3 2 2 2 2 11" xfId="46625"/>
    <cellStyle name="Normal 7 2 3 2 2 2 2 11" xfId="46626"/>
    <cellStyle name="Normal 2 4 3 2 2 2 2 11" xfId="46627"/>
    <cellStyle name="Normal 3 4 3 2 2 2 2 11" xfId="46628"/>
    <cellStyle name="Normal 4 3 3 2 2 2 2 11" xfId="46629"/>
    <cellStyle name="Normal 5 3 3 2 2 2 2 11" xfId="46630"/>
    <cellStyle name="Normal 7 3 3 2 2 2 2 11" xfId="46631"/>
    <cellStyle name="Normal 2 3 7 2 11" xfId="46632"/>
    <cellStyle name="Normal 3 10 2 11" xfId="46633"/>
    <cellStyle name="Normal 4 9 2 11" xfId="46634"/>
    <cellStyle name="Normal 5 9 2 11" xfId="46635"/>
    <cellStyle name="Millares 4 2 11" xfId="46636"/>
    <cellStyle name="Normal 7 2 7 2 11" xfId="46637"/>
    <cellStyle name="Normal 3 3 7 2 11" xfId="46638"/>
    <cellStyle name="Normal 4 2 7 2 11" xfId="46639"/>
    <cellStyle name="Normal 5 2 7 2 11" xfId="46640"/>
    <cellStyle name="Normal 2 4 5 3 2 11" xfId="46641"/>
    <cellStyle name="Normal 3 4 7 2 11" xfId="46642"/>
    <cellStyle name="Normal 4 3 7 2 11" xfId="46643"/>
    <cellStyle name="Normal 5 3 7 2 11" xfId="46644"/>
    <cellStyle name="Normal 7 3 7 2 11" xfId="46645"/>
    <cellStyle name="Normal 2 5 5 2 11" xfId="46646"/>
    <cellStyle name="Normal 3 5 5 2 11" xfId="46647"/>
    <cellStyle name="Normal 4 4 5 2 11" xfId="46648"/>
    <cellStyle name="Normal 5 4 5 2 11" xfId="46649"/>
    <cellStyle name="Normal 7 4 5 2 11" xfId="46650"/>
    <cellStyle name="Normal 2 3 2 5 2 11" xfId="46651"/>
    <cellStyle name="Normal 3 3 2 5 2 11" xfId="46652"/>
    <cellStyle name="Normal 4 2 2 5 2 11" xfId="46653"/>
    <cellStyle name="Normal 5 2 2 5 2 11" xfId="46654"/>
    <cellStyle name="Normal 7 2 2 5 2 11" xfId="46655"/>
    <cellStyle name="Normal 2 4 2 5 2 11" xfId="46656"/>
    <cellStyle name="Normal 3 4 2 5 2 11" xfId="46657"/>
    <cellStyle name="Normal 4 3 2 5 2 11" xfId="46658"/>
    <cellStyle name="Normal 5 3 2 5 2 11" xfId="46659"/>
    <cellStyle name="Normal 7 3 2 5 2 11" xfId="46660"/>
    <cellStyle name="Normal 2 6 5 2 11" xfId="46661"/>
    <cellStyle name="Normal 3 6 5 2 11" xfId="46662"/>
    <cellStyle name="Normal 4 5 5 2 11" xfId="46663"/>
    <cellStyle name="Normal 5 5 5 2 11" xfId="46664"/>
    <cellStyle name="Normal 7 5 5 2 11" xfId="46665"/>
    <cellStyle name="Normal 2 3 3 5 2 11" xfId="46666"/>
    <cellStyle name="Normal 3 3 3 5 2 11" xfId="46667"/>
    <cellStyle name="Normal 4 2 3 5 2 11" xfId="46668"/>
    <cellStyle name="Normal 5 2 3 5 2 11" xfId="46669"/>
    <cellStyle name="Normal 7 2 3 5 2 11" xfId="46670"/>
    <cellStyle name="Normal 2 4 3 5 2 11" xfId="46671"/>
    <cellStyle name="Normal 3 4 3 5 2 11" xfId="46672"/>
    <cellStyle name="Normal 4 3 3 5 2 11" xfId="46673"/>
    <cellStyle name="Normal 5 3 3 5 2 11" xfId="46674"/>
    <cellStyle name="Normal 7 3 3 5 2 11" xfId="46675"/>
    <cellStyle name="Normal 2 7 4 2 11" xfId="46676"/>
    <cellStyle name="Normal 3 7 4 2 11" xfId="46677"/>
    <cellStyle name="Normal 4 6 4 2 11" xfId="46678"/>
    <cellStyle name="Normal 5 6 4 2 11" xfId="46679"/>
    <cellStyle name="Normal 7 6 4 2 11" xfId="46680"/>
    <cellStyle name="Normal 2 3 4 4 2 11" xfId="46681"/>
    <cellStyle name="Normal 3 3 4 4 2 11" xfId="46682"/>
    <cellStyle name="Normal 4 2 4 4 2 11" xfId="46683"/>
    <cellStyle name="Normal 5 2 4 4 2 11" xfId="46684"/>
    <cellStyle name="Normal 7 2 4 4 2 11" xfId="46685"/>
    <cellStyle name="Normal 2 4 4 4 2 11" xfId="46686"/>
    <cellStyle name="Normal 3 4 4 4 2 11" xfId="46687"/>
    <cellStyle name="Normal 4 3 4 4 2 11" xfId="46688"/>
    <cellStyle name="Normal 5 3 4 4 2 11" xfId="46689"/>
    <cellStyle name="Normal 7 3 4 4 2 11" xfId="46690"/>
    <cellStyle name="Normal 2 5 2 4 2 11" xfId="46691"/>
    <cellStyle name="Normal 3 5 2 4 2 11" xfId="46692"/>
    <cellStyle name="Normal 4 4 2 4 2 11" xfId="46693"/>
    <cellStyle name="Normal 5 4 2 4 2 11" xfId="46694"/>
    <cellStyle name="Normal 7 4 2 4 2 11" xfId="46695"/>
    <cellStyle name="Normal 2 3 2 2 4 2 11" xfId="46696"/>
    <cellStyle name="Normal 3 3 2 2 4 2 11" xfId="46697"/>
    <cellStyle name="Normal 4 2 2 2 4 2 11" xfId="46698"/>
    <cellStyle name="Normal 5 2 2 2 4 2 11" xfId="46699"/>
    <cellStyle name="Normal 7 2 2 2 4 2 11" xfId="46700"/>
    <cellStyle name="Normal 2 4 2 2 4 2 11" xfId="46701"/>
    <cellStyle name="Normal 3 4 2 2 4 2 11" xfId="46702"/>
    <cellStyle name="Normal 4 3 2 2 4 2 11" xfId="46703"/>
    <cellStyle name="Normal 5 3 2 2 4 2 11" xfId="46704"/>
    <cellStyle name="Normal 7 3 2 2 4 2 11" xfId="46705"/>
    <cellStyle name="Normal 2 6 2 4 2 11" xfId="46706"/>
    <cellStyle name="Normal 3 6 2 4 2 11" xfId="46707"/>
    <cellStyle name="Normal 4 5 2 4 2 11" xfId="46708"/>
    <cellStyle name="Normal 5 5 2 4 2 11" xfId="46709"/>
    <cellStyle name="Normal 7 5 2 4 2 11" xfId="46710"/>
    <cellStyle name="Normal 2 3 3 2 4 2 11" xfId="46711"/>
    <cellStyle name="Normal 3 3 3 2 4 2 11" xfId="46712"/>
    <cellStyle name="Normal 4 2 3 2 4 2 11" xfId="46713"/>
    <cellStyle name="Normal 5 2 3 2 4 2 11" xfId="46714"/>
    <cellStyle name="Normal 7 2 3 2 4 2 11" xfId="46715"/>
    <cellStyle name="Normal 2 4 3 2 4 2 11" xfId="46716"/>
    <cellStyle name="Normal 3 4 3 2 4 2 11" xfId="46717"/>
    <cellStyle name="Normal 4 3 3 2 4 2 11" xfId="46718"/>
    <cellStyle name="Normal 5 3 3 2 4 2 11" xfId="46719"/>
    <cellStyle name="Normal 7 3 3 2 4 2 11" xfId="46720"/>
    <cellStyle name="Normal 2 8 3 2 11" xfId="46721"/>
    <cellStyle name="Normal 3 8 3 2 11" xfId="46722"/>
    <cellStyle name="Normal 4 7 3 2 11" xfId="46723"/>
    <cellStyle name="Normal 5 7 3 2 11" xfId="46724"/>
    <cellStyle name="Normal 7 7 3 2 11" xfId="46725"/>
    <cellStyle name="Normal 2 3 5 3 2 11" xfId="46726"/>
    <cellStyle name="Normal 3 3 5 3 2 11" xfId="46727"/>
    <cellStyle name="Normal 4 2 5 3 2 11" xfId="46728"/>
    <cellStyle name="Normal 5 2 5 3 2 11" xfId="46729"/>
    <cellStyle name="Normal 7 2 5 3 2 11" xfId="46730"/>
    <cellStyle name="Normal 3 4 5 3 2 11" xfId="46731"/>
    <cellStyle name="Normal 4 3 5 3 2 11" xfId="46732"/>
    <cellStyle name="Normal 5 3 5 3 2 11" xfId="46733"/>
    <cellStyle name="Normal 7 3 5 3 2 11" xfId="46734"/>
    <cellStyle name="Normal 2 5 3 3 2 11" xfId="46735"/>
    <cellStyle name="Normal 3 5 3 3 2 11" xfId="46736"/>
    <cellStyle name="Normal 4 4 3 3 2 11" xfId="46737"/>
    <cellStyle name="Normal 5 4 3 3 2 11" xfId="46738"/>
    <cellStyle name="Normal 7 4 3 3 2 11" xfId="46739"/>
    <cellStyle name="Normal 2 3 2 3 3 2 11" xfId="46740"/>
    <cellStyle name="Normal 3 3 2 3 3 2 11" xfId="46741"/>
    <cellStyle name="Normal 4 2 2 3 3 2 11" xfId="46742"/>
    <cellStyle name="Normal 5 2 2 3 3 2 11" xfId="46743"/>
    <cellStyle name="Normal 7 2 2 3 3 2 11" xfId="46744"/>
    <cellStyle name="Normal 2 4 2 3 3 2 11" xfId="46745"/>
    <cellStyle name="Normal 3 4 2 3 3 2 11" xfId="46746"/>
    <cellStyle name="Normal 4 3 2 3 3 2 11" xfId="46747"/>
    <cellStyle name="Normal 5 3 2 3 3 2 11" xfId="46748"/>
    <cellStyle name="Normal 7 3 2 3 3 2 11" xfId="46749"/>
    <cellStyle name="Normal 2 6 3 3 2 11" xfId="46750"/>
    <cellStyle name="Normal 3 6 3 3 2 11" xfId="46751"/>
    <cellStyle name="Normal 4 5 3 3 2 11" xfId="46752"/>
    <cellStyle name="Normal 5 5 3 3 2 11" xfId="46753"/>
    <cellStyle name="Normal 7 5 3 3 2 11" xfId="46754"/>
    <cellStyle name="Normal 2 3 3 3 3 2 11" xfId="46755"/>
    <cellStyle name="Normal 3 3 3 3 3 2 11" xfId="46756"/>
    <cellStyle name="Normal 4 2 3 3 3 2 11" xfId="46757"/>
    <cellStyle name="Normal 5 2 3 3 3 2 11" xfId="46758"/>
    <cellStyle name="Normal 7 2 3 3 3 2 11" xfId="46759"/>
    <cellStyle name="Normal 2 4 3 3 3 2 11" xfId="46760"/>
    <cellStyle name="Normal 3 4 3 3 3 2 11" xfId="46761"/>
    <cellStyle name="Normal 4 3 3 3 3 2 11" xfId="46762"/>
    <cellStyle name="Normal 5 3 3 3 3 2 11" xfId="46763"/>
    <cellStyle name="Normal 7 3 3 3 3 2 11" xfId="46764"/>
    <cellStyle name="Normal 2 7 2 3 2 11" xfId="46765"/>
    <cellStyle name="Normal 3 7 2 3 2 11" xfId="46766"/>
    <cellStyle name="Normal 4 6 2 3 2 11" xfId="46767"/>
    <cellStyle name="Normal 5 6 2 3 2 11" xfId="46768"/>
    <cellStyle name="Normal 7 6 2 3 2 11" xfId="46769"/>
    <cellStyle name="Normal 2 3 4 2 3 2 11" xfId="46770"/>
    <cellStyle name="Normal 3 3 4 2 3 2 11" xfId="46771"/>
    <cellStyle name="Normal 4 2 4 2 3 2 11" xfId="46772"/>
    <cellStyle name="Normal 5 2 4 2 3 2 11" xfId="46773"/>
    <cellStyle name="Normal 7 2 4 2 3 2 11" xfId="46774"/>
    <cellStyle name="Normal 2 4 4 2 3 2 11" xfId="46775"/>
    <cellStyle name="Normal 3 4 4 2 3 2 11" xfId="46776"/>
    <cellStyle name="Normal 4 3 4 2 3 2 11" xfId="46777"/>
    <cellStyle name="Normal 5 3 4 2 3 2 11" xfId="46778"/>
    <cellStyle name="Normal 7 3 4 2 3 2 11" xfId="46779"/>
    <cellStyle name="Normal 2 5 2 2 3 2 11" xfId="46780"/>
    <cellStyle name="Normal 3 5 2 2 3 2 11" xfId="46781"/>
    <cellStyle name="Normal 4 4 2 2 3 2 11" xfId="46782"/>
    <cellStyle name="Normal 5 4 2 2 3 2 11" xfId="46783"/>
    <cellStyle name="Normal 7 4 2 2 3 2 11" xfId="46784"/>
    <cellStyle name="Normal 2 3 2 2 2 3 2 11" xfId="46785"/>
    <cellStyle name="Normal 3 3 2 2 2 3 2 11" xfId="46786"/>
    <cellStyle name="Normal 4 2 2 2 2 3 2 11" xfId="46787"/>
    <cellStyle name="Normal 5 2 2 2 2 3 2 11" xfId="46788"/>
    <cellStyle name="Normal 7 2 2 2 2 3 2 11" xfId="46789"/>
    <cellStyle name="Normal 2 4 2 2 2 3 2 11" xfId="46790"/>
    <cellStyle name="Normal 3 4 2 2 2 3 2 11" xfId="46791"/>
    <cellStyle name="Normal 4 3 2 2 2 3 2 11" xfId="46792"/>
    <cellStyle name="Normal 5 3 2 2 2 3 2 11" xfId="46793"/>
    <cellStyle name="Normal 7 3 2 2 2 3 2 11" xfId="46794"/>
    <cellStyle name="Normal 2 6 2 2 3 2 11" xfId="46795"/>
    <cellStyle name="Normal 3 6 2 2 3 2 11" xfId="46796"/>
    <cellStyle name="Normal 4 5 2 2 3 2 11" xfId="46797"/>
    <cellStyle name="Normal 5 5 2 2 3 2 11" xfId="46798"/>
    <cellStyle name="Normal 7 5 2 2 3 2 11" xfId="46799"/>
    <cellStyle name="Normal 2 3 3 2 2 3 2 11" xfId="46800"/>
    <cellStyle name="Normal 3 3 3 2 2 3 2 11" xfId="46801"/>
    <cellStyle name="Normal 4 2 3 2 2 3 2 11" xfId="46802"/>
    <cellStyle name="Normal 5 2 3 2 2 3 2 11" xfId="46803"/>
    <cellStyle name="Normal 7 2 3 2 2 3 2 11" xfId="46804"/>
    <cellStyle name="Normal 2 4 3 2 2 3 2 11" xfId="46805"/>
    <cellStyle name="Normal 3 4 3 2 2 3 2 11" xfId="46806"/>
    <cellStyle name="Normal 4 3 3 2 2 3 2 11" xfId="46807"/>
    <cellStyle name="Normal 5 3 3 2 2 3 2 11" xfId="46808"/>
    <cellStyle name="Normal 7 3 3 2 2 3 2 11" xfId="46809"/>
    <cellStyle name="Normal 2 12 11" xfId="46810"/>
    <cellStyle name="Normal 3 12 11" xfId="46811"/>
    <cellStyle name="Normal 4 11 11" xfId="46812"/>
    <cellStyle name="Normal 5 11 11" xfId="46813"/>
    <cellStyle name="Normal 7 11 11" xfId="46814"/>
    <cellStyle name="Normal 2 3 9 11" xfId="46815"/>
    <cellStyle name="Normal 3 3 9 11" xfId="46816"/>
    <cellStyle name="Normal 4 2 9 11" xfId="46817"/>
    <cellStyle name="Normal 5 2 9 11" xfId="46818"/>
    <cellStyle name="Normal 7 2 9 11" xfId="46819"/>
    <cellStyle name="Normal 2 4 9 11" xfId="46820"/>
    <cellStyle name="Normal 3 4 9 11" xfId="46821"/>
    <cellStyle name="Normal 4 3 9 11" xfId="46822"/>
    <cellStyle name="Normal 5 3 9 11" xfId="46823"/>
    <cellStyle name="Normal 7 3 9 11" xfId="46824"/>
    <cellStyle name="Normal 2 5 7 11" xfId="46825"/>
    <cellStyle name="Normal 3 5 7 11" xfId="46826"/>
    <cellStyle name="Normal 4 4 7 11" xfId="46827"/>
    <cellStyle name="Normal 5 4 7 11" xfId="46828"/>
    <cellStyle name="Normal 7 4 7 11" xfId="46829"/>
    <cellStyle name="Normal 2 3 2 7 11" xfId="46830"/>
    <cellStyle name="Normal 3 3 2 7 11" xfId="46831"/>
    <cellStyle name="Normal 4 2 2 7 11" xfId="46832"/>
    <cellStyle name="Normal 5 2 2 7 11" xfId="46833"/>
    <cellStyle name="Normal 7 2 2 7 11" xfId="46834"/>
    <cellStyle name="Normal 2 4 2 7 11" xfId="46835"/>
    <cellStyle name="Normal 3 4 2 7 11" xfId="46836"/>
    <cellStyle name="Normal 4 3 2 7 11" xfId="46837"/>
    <cellStyle name="Normal 5 3 2 7 11" xfId="46838"/>
    <cellStyle name="Normal 7 3 2 7 11" xfId="46839"/>
    <cellStyle name="Normal 2 6 7 11" xfId="46840"/>
    <cellStyle name="Normal 3 6 7 11" xfId="46841"/>
    <cellStyle name="Normal 4 5 7 11" xfId="46842"/>
    <cellStyle name="Normal 5 5 7 11" xfId="46843"/>
    <cellStyle name="Normal 7 5 7 11" xfId="46844"/>
    <cellStyle name="Normal 2 3 3 7 11" xfId="46845"/>
    <cellStyle name="Normal 3 3 3 7 11" xfId="46846"/>
    <cellStyle name="Normal 4 2 3 7 11" xfId="46847"/>
    <cellStyle name="Normal 5 2 3 7 11" xfId="46848"/>
    <cellStyle name="Normal 7 2 3 7 11" xfId="46849"/>
    <cellStyle name="Normal 2 4 3 7 11" xfId="46850"/>
    <cellStyle name="Normal 3 4 3 7 11" xfId="46851"/>
    <cellStyle name="Normal 4 3 3 7 11" xfId="46852"/>
    <cellStyle name="Normal 5 3 3 7 11" xfId="46853"/>
    <cellStyle name="Normal 7 3 3 7 11" xfId="46854"/>
    <cellStyle name="Normal 2 7 6 11" xfId="46855"/>
    <cellStyle name="Normal 3 7 6 11" xfId="46856"/>
    <cellStyle name="Normal 4 6 6 11" xfId="46857"/>
    <cellStyle name="Normal 5 6 6 11" xfId="46858"/>
    <cellStyle name="Normal 7 6 6 11" xfId="46859"/>
    <cellStyle name="Normal 2 3 4 6 11" xfId="46860"/>
    <cellStyle name="Normal 3 3 4 6 11" xfId="46861"/>
    <cellStyle name="Normal 4 2 4 6 11" xfId="46862"/>
    <cellStyle name="Normal 5 2 4 6 11" xfId="46863"/>
    <cellStyle name="Normal 7 2 4 6 11" xfId="46864"/>
    <cellStyle name="Normal 2 4 4 6 11" xfId="46865"/>
    <cellStyle name="Normal 3 4 4 6 11" xfId="46866"/>
    <cellStyle name="Normal 4 3 4 6 11" xfId="46867"/>
    <cellStyle name="Normal 5 3 4 6 11" xfId="46868"/>
    <cellStyle name="Normal 7 3 4 6 11" xfId="46869"/>
    <cellStyle name="Normal 2 5 2 6 11" xfId="46870"/>
    <cellStyle name="Normal 3 5 2 6 11" xfId="46871"/>
    <cellStyle name="Normal 4 4 2 6 11" xfId="46872"/>
    <cellStyle name="Normal 5 4 2 6 11" xfId="46873"/>
    <cellStyle name="Normal 7 4 2 6 11" xfId="46874"/>
    <cellStyle name="Normal 2 3 2 2 6 11" xfId="46875"/>
    <cellStyle name="Normal 3 3 2 2 6 11" xfId="46876"/>
    <cellStyle name="Normal 4 2 2 2 6 11" xfId="46877"/>
    <cellStyle name="Normal 5 2 2 2 6 11" xfId="46878"/>
    <cellStyle name="Normal 7 2 2 2 6 11" xfId="46879"/>
    <cellStyle name="Normal 2 4 2 2 6 11" xfId="46880"/>
    <cellStyle name="Normal 3 4 2 2 6 11" xfId="46881"/>
    <cellStyle name="Normal 4 3 2 2 6 11" xfId="46882"/>
    <cellStyle name="Normal 5 3 2 2 6 11" xfId="46883"/>
    <cellStyle name="Normal 7 3 2 2 6 11" xfId="46884"/>
    <cellStyle name="Normal 2 6 2 6 11" xfId="46885"/>
    <cellStyle name="Normal 3 6 2 6 11" xfId="46886"/>
    <cellStyle name="Normal 4 5 2 6 11" xfId="46887"/>
    <cellStyle name="Normal 5 5 2 6 11" xfId="46888"/>
    <cellStyle name="Normal 7 5 2 6 11" xfId="46889"/>
    <cellStyle name="Normal 2 3 3 2 6 11" xfId="46890"/>
    <cellStyle name="Normal 3 3 3 2 6 11" xfId="46891"/>
    <cellStyle name="Normal 4 2 3 2 6 11" xfId="46892"/>
    <cellStyle name="Normal 5 2 3 2 6 11" xfId="46893"/>
    <cellStyle name="Normal 7 2 3 2 6 11" xfId="46894"/>
    <cellStyle name="Normal 2 4 3 2 6 11" xfId="46895"/>
    <cellStyle name="Normal 3 4 3 2 6 11" xfId="46896"/>
    <cellStyle name="Normal 4 3 3 2 6 11" xfId="46897"/>
    <cellStyle name="Normal 5 3 3 2 6 11" xfId="46898"/>
    <cellStyle name="Normal 7 3 3 2 6 11" xfId="46899"/>
    <cellStyle name="Normal 2 8 5 11" xfId="46900"/>
    <cellStyle name="Normal 3 8 5 11" xfId="46901"/>
    <cellStyle name="Normal 4 7 5 11" xfId="46902"/>
    <cellStyle name="Normal 5 7 5 11" xfId="46903"/>
    <cellStyle name="Normal 7 7 5 11" xfId="46904"/>
    <cellStyle name="Normal 2 3 5 5 11" xfId="46905"/>
    <cellStyle name="Normal 3 3 5 5 11" xfId="46906"/>
    <cellStyle name="Normal 4 2 5 5 11" xfId="46907"/>
    <cellStyle name="Normal 5 2 5 5 11" xfId="46908"/>
    <cellStyle name="Normal 7 2 5 5 11" xfId="46909"/>
    <cellStyle name="Normal 2 4 5 5 11" xfId="46910"/>
    <cellStyle name="Normal 3 4 5 5 11" xfId="46911"/>
    <cellStyle name="Normal 4 3 5 5 11" xfId="46912"/>
    <cellStyle name="Normal 5 3 5 5 11" xfId="46913"/>
    <cellStyle name="Normal 7 3 5 5 11" xfId="46914"/>
    <cellStyle name="Normal 2 5 3 5 11" xfId="46915"/>
    <cellStyle name="Normal 3 5 3 5 11" xfId="46916"/>
    <cellStyle name="Normal 4 4 3 5 11" xfId="46917"/>
    <cellStyle name="Normal 5 4 3 5 11" xfId="46918"/>
    <cellStyle name="Normal 7 4 3 5 11" xfId="46919"/>
    <cellStyle name="Normal 2 3 2 3 5 11" xfId="46920"/>
    <cellStyle name="Normal 3 3 2 3 5 11" xfId="46921"/>
    <cellStyle name="Normal 4 2 2 3 5 11" xfId="46922"/>
    <cellStyle name="Normal 5 2 2 3 5 11" xfId="46923"/>
    <cellStyle name="Normal 7 2 2 3 5 11" xfId="46924"/>
    <cellStyle name="Normal 2 4 2 3 5 11" xfId="46925"/>
    <cellStyle name="Normal 3 4 2 3 5 11" xfId="46926"/>
    <cellStyle name="Normal 4 3 2 3 5 11" xfId="46927"/>
    <cellStyle name="Normal 5 3 2 3 5 11" xfId="46928"/>
    <cellStyle name="Normal 7 3 2 3 5 11" xfId="46929"/>
    <cellStyle name="Normal 2 6 3 5 11" xfId="46930"/>
    <cellStyle name="Normal 3 6 3 5 11" xfId="46931"/>
    <cellStyle name="Normal 4 5 3 5 11" xfId="46932"/>
    <cellStyle name="Normal 5 5 3 5 11" xfId="46933"/>
    <cellStyle name="Normal 7 5 3 5 11" xfId="46934"/>
    <cellStyle name="Normal 2 3 3 3 5 11" xfId="46935"/>
    <cellStyle name="Normal 3 3 3 3 5 11" xfId="46936"/>
    <cellStyle name="Normal 4 2 3 3 5 11" xfId="46937"/>
    <cellStyle name="Normal 5 2 3 3 5 11" xfId="46938"/>
    <cellStyle name="Normal 7 2 3 3 5 11" xfId="46939"/>
    <cellStyle name="Normal 2 4 3 3 5 11" xfId="46940"/>
    <cellStyle name="Normal 3 4 3 3 5 11" xfId="46941"/>
    <cellStyle name="Normal 4 3 3 3 5 11" xfId="46942"/>
    <cellStyle name="Normal 5 3 3 3 5 11" xfId="46943"/>
    <cellStyle name="Normal 7 3 3 3 5 11" xfId="46944"/>
    <cellStyle name="Normal 2 7 2 5 11" xfId="46945"/>
    <cellStyle name="Normal 3 7 2 5 11" xfId="46946"/>
    <cellStyle name="Normal 4 6 2 5 11" xfId="46947"/>
    <cellStyle name="Normal 5 6 2 5 11" xfId="46948"/>
    <cellStyle name="Normal 7 6 2 5 11" xfId="46949"/>
    <cellStyle name="Normal 2 3 4 2 5 11" xfId="46950"/>
    <cellStyle name="Normal 3 3 4 2 5 11" xfId="46951"/>
    <cellStyle name="Normal 4 2 4 2 5 11" xfId="46952"/>
    <cellStyle name="Normal 5 2 4 2 5 11" xfId="46953"/>
    <cellStyle name="Normal 7 2 4 2 5 11" xfId="46954"/>
    <cellStyle name="Normal 2 4 4 2 5 11" xfId="46955"/>
    <cellStyle name="Normal 3 4 4 2 5 11" xfId="46956"/>
    <cellStyle name="Normal 4 3 4 2 5 11" xfId="46957"/>
    <cellStyle name="Normal 5 3 4 2 5 11" xfId="46958"/>
    <cellStyle name="Normal 7 3 4 2 5 11" xfId="46959"/>
    <cellStyle name="Normal 2 5 2 2 5 11" xfId="46960"/>
    <cellStyle name="Normal 3 5 2 2 5 11" xfId="46961"/>
    <cellStyle name="Normal 4 4 2 2 5 11" xfId="46962"/>
    <cellStyle name="Normal 5 4 2 2 5 11" xfId="46963"/>
    <cellStyle name="Normal 7 4 2 2 5 11" xfId="46964"/>
    <cellStyle name="Normal 2 3 2 2 2 5 11" xfId="46965"/>
    <cellStyle name="Normal 3 3 2 2 2 5 11" xfId="46966"/>
    <cellStyle name="Normal 4 2 2 2 2 5 11" xfId="46967"/>
    <cellStyle name="Normal 5 2 2 2 2 5 11" xfId="46968"/>
    <cellStyle name="Normal 7 2 2 2 2 5 11" xfId="46969"/>
    <cellStyle name="Normal 2 4 2 2 2 5 11" xfId="46970"/>
    <cellStyle name="Normal 3 4 2 2 2 5 11" xfId="46971"/>
    <cellStyle name="Normal 4 3 2 2 2 5 11" xfId="46972"/>
    <cellStyle name="Normal 5 3 2 2 2 5 11" xfId="46973"/>
    <cellStyle name="Normal 7 3 2 2 2 5 11" xfId="46974"/>
    <cellStyle name="Normal 2 6 2 2 5 11" xfId="46975"/>
    <cellStyle name="Normal 3 6 2 2 5 11" xfId="46976"/>
    <cellStyle name="Normal 4 5 2 2 5 11" xfId="46977"/>
    <cellStyle name="Normal 5 5 2 2 5 11" xfId="46978"/>
    <cellStyle name="Normal 7 5 2 2 5 11" xfId="46979"/>
    <cellStyle name="Normal 2 3 3 2 2 5 11" xfId="46980"/>
    <cellStyle name="Normal 3 3 3 2 2 5 11" xfId="46981"/>
    <cellStyle name="Normal 4 2 3 2 2 5 11" xfId="46982"/>
    <cellStyle name="Normal 5 2 3 2 2 5 11" xfId="46983"/>
    <cellStyle name="Normal 7 2 3 2 2 5 11" xfId="46984"/>
    <cellStyle name="Normal 2 4 3 2 2 5 11" xfId="46985"/>
    <cellStyle name="Normal 3 4 3 2 2 5 11" xfId="46986"/>
    <cellStyle name="Normal 4 3 3 2 2 5 11" xfId="46987"/>
    <cellStyle name="Normal 5 3 3 2 2 5 11" xfId="46988"/>
    <cellStyle name="Normal 7 3 3 2 2 5 11" xfId="46989"/>
    <cellStyle name="Normal 2 9 3 11" xfId="46990"/>
    <cellStyle name="Normal 3 9 3 11" xfId="46991"/>
    <cellStyle name="Normal 4 8 3 11" xfId="46992"/>
    <cellStyle name="Normal 5 8 3 11" xfId="46993"/>
    <cellStyle name="Normal 7 8 3 11" xfId="46994"/>
    <cellStyle name="Normal 2 3 6 3 11" xfId="46995"/>
    <cellStyle name="Normal 3 3 6 3 11" xfId="46996"/>
    <cellStyle name="Normal 4 2 6 3 11" xfId="46997"/>
    <cellStyle name="Normal 5 2 6 3 11" xfId="46998"/>
    <cellStyle name="Normal 7 2 6 3 11" xfId="46999"/>
    <cellStyle name="Normal 2 4 6 3 11" xfId="47000"/>
    <cellStyle name="Normal 3 4 6 3 11" xfId="47001"/>
    <cellStyle name="Normal 4 3 6 3 11" xfId="47002"/>
    <cellStyle name="Normal 5 3 6 3 11" xfId="47003"/>
    <cellStyle name="Normal 7 3 6 3 11" xfId="47004"/>
    <cellStyle name="Normal 2 5 4 3 11" xfId="47005"/>
    <cellStyle name="Normal 3 5 4 3 11" xfId="47006"/>
    <cellStyle name="Normal 4 4 4 3 11" xfId="47007"/>
    <cellStyle name="Normal 5 4 4 3 11" xfId="47008"/>
    <cellStyle name="Normal 7 4 4 3 11" xfId="47009"/>
    <cellStyle name="Normal 2 3 2 4 3 11" xfId="47010"/>
    <cellStyle name="Normal 3 3 2 4 3 11" xfId="47011"/>
    <cellStyle name="Normal 4 2 2 4 3 11" xfId="47012"/>
    <cellStyle name="Normal 5 2 2 4 3 11" xfId="47013"/>
    <cellStyle name="Normal 7 2 2 4 3 11" xfId="47014"/>
    <cellStyle name="Normal 2 4 2 4 3 11" xfId="47015"/>
    <cellStyle name="Normal 3 4 2 4 3 11" xfId="47016"/>
    <cellStyle name="Normal 4 3 2 4 3 11" xfId="47017"/>
    <cellStyle name="Normal 5 3 2 4 3 11" xfId="47018"/>
    <cellStyle name="Normal 7 3 2 4 3 11" xfId="47019"/>
    <cellStyle name="Normal 2 6 4 3 11" xfId="47020"/>
    <cellStyle name="Normal 3 6 4 3 11" xfId="47021"/>
    <cellStyle name="Normal 4 5 4 3 11" xfId="47022"/>
    <cellStyle name="Normal 5 5 4 3 11" xfId="47023"/>
    <cellStyle name="Normal 7 5 4 3 11" xfId="47024"/>
    <cellStyle name="Normal 2 3 3 4 3 11" xfId="47025"/>
    <cellStyle name="Normal 3 3 3 4 3 11" xfId="47026"/>
    <cellStyle name="Normal 4 2 3 4 3 11" xfId="47027"/>
    <cellStyle name="Normal 5 2 3 4 3 11" xfId="47028"/>
    <cellStyle name="Normal 7 2 3 4 3 11" xfId="47029"/>
    <cellStyle name="Normal 2 4 3 4 3 11" xfId="47030"/>
    <cellStyle name="Normal 3 4 3 4 3 11" xfId="47031"/>
    <cellStyle name="Normal 4 3 3 4 3 11" xfId="47032"/>
    <cellStyle name="Normal 5 3 3 4 3 11" xfId="47033"/>
    <cellStyle name="Normal 7 3 3 4 3 11" xfId="47034"/>
    <cellStyle name="Normal 2 7 3 3 11" xfId="47035"/>
    <cellStyle name="Normal 3 7 3 3 11" xfId="47036"/>
    <cellStyle name="Normal 4 6 3 3 11" xfId="47037"/>
    <cellStyle name="Normal 5 6 3 3 11" xfId="47038"/>
    <cellStyle name="Normal 7 6 3 3 11" xfId="47039"/>
    <cellStyle name="Normal 2 3 4 3 3 11" xfId="47040"/>
    <cellStyle name="Normal 3 3 4 3 3 11" xfId="47041"/>
    <cellStyle name="Normal 4 2 4 3 3 11" xfId="47042"/>
    <cellStyle name="Normal 5 2 4 3 3 11" xfId="47043"/>
    <cellStyle name="Normal 7 2 4 3 3 11" xfId="47044"/>
    <cellStyle name="Normal 2 4 4 3 3 11" xfId="47045"/>
    <cellStyle name="Normal 3 4 4 3 3 11" xfId="47046"/>
    <cellStyle name="Normal 4 3 4 3 3 11" xfId="47047"/>
    <cellStyle name="Normal 5 3 4 3 3 11" xfId="47048"/>
    <cellStyle name="Normal 7 3 4 3 3 11" xfId="47049"/>
    <cellStyle name="Normal 2 5 2 3 3 11" xfId="47050"/>
    <cellStyle name="Normal 3 5 2 3 3 11" xfId="47051"/>
    <cellStyle name="Normal 4 4 2 3 3 11" xfId="47052"/>
    <cellStyle name="Normal 5 4 2 3 3 11" xfId="47053"/>
    <cellStyle name="Normal 7 4 2 3 3 11" xfId="47054"/>
    <cellStyle name="Normal 2 3 2 2 3 3 11" xfId="47055"/>
    <cellStyle name="Normal 3 3 2 2 3 3 11" xfId="47056"/>
    <cellStyle name="Normal 4 2 2 2 3 3 11" xfId="47057"/>
    <cellStyle name="Normal 5 2 2 2 3 3 11" xfId="47058"/>
    <cellStyle name="Normal 7 2 2 2 3 3 11" xfId="47059"/>
    <cellStyle name="Normal 2 4 2 2 3 3 11" xfId="47060"/>
    <cellStyle name="Normal 3 4 2 2 3 3 11" xfId="47061"/>
    <cellStyle name="Normal 4 3 2 2 3 3 11" xfId="47062"/>
    <cellStyle name="Normal 5 3 2 2 3 3 11" xfId="47063"/>
    <cellStyle name="Normal 7 3 2 2 3 3 11" xfId="47064"/>
    <cellStyle name="Normal 2 6 2 3 3 11" xfId="47065"/>
    <cellStyle name="Normal 3 6 2 3 3 11" xfId="47066"/>
    <cellStyle name="Normal 4 5 2 3 3 11" xfId="47067"/>
    <cellStyle name="Normal 5 5 2 3 3 11" xfId="47068"/>
    <cellStyle name="Normal 7 5 2 3 3 11" xfId="47069"/>
    <cellStyle name="Normal 2 3 3 2 3 3 11" xfId="47070"/>
    <cellStyle name="Normal 3 3 3 2 3 3 11" xfId="47071"/>
    <cellStyle name="Normal 4 2 3 2 3 3 11" xfId="47072"/>
    <cellStyle name="Normal 5 2 3 2 3 3 11" xfId="47073"/>
    <cellStyle name="Normal 7 2 3 2 3 3 11" xfId="47074"/>
    <cellStyle name="Normal 2 4 3 2 3 3 11" xfId="47075"/>
    <cellStyle name="Normal 3 4 3 2 3 3 11" xfId="47076"/>
    <cellStyle name="Normal 4 3 3 2 3 3 11" xfId="47077"/>
    <cellStyle name="Normal 5 3 3 2 3 3 11" xfId="47078"/>
    <cellStyle name="Normal 7 3 3 2 3 3 11" xfId="47079"/>
    <cellStyle name="Normal 2 8 2 3 11" xfId="47080"/>
    <cellStyle name="Normal 3 8 2 3 11" xfId="47081"/>
    <cellStyle name="Normal 4 7 2 3 11" xfId="47082"/>
    <cellStyle name="Normal 5 7 2 3 11" xfId="47083"/>
    <cellStyle name="Normal 7 7 2 3 11" xfId="47084"/>
    <cellStyle name="Normal 2 3 5 2 3 11" xfId="47085"/>
    <cellStyle name="Normal 3 3 5 2 3 11" xfId="47086"/>
    <cellStyle name="Normal 4 2 5 2 3 11" xfId="47087"/>
    <cellStyle name="Normal 5 2 5 2 3 11" xfId="47088"/>
    <cellStyle name="Normal 7 2 5 2 3 11" xfId="47089"/>
    <cellStyle name="Normal 2 4 5 2 3 11" xfId="47090"/>
    <cellStyle name="Normal 3 4 5 2 3 11" xfId="47091"/>
    <cellStyle name="Normal 4 3 5 2 3 11" xfId="47092"/>
    <cellStyle name="Normal 5 3 5 2 3 11" xfId="47093"/>
    <cellStyle name="Normal 7 3 5 2 3 11" xfId="47094"/>
    <cellStyle name="Normal 2 5 3 2 3 11" xfId="47095"/>
    <cellStyle name="Normal 3 5 3 2 3 11" xfId="47096"/>
    <cellStyle name="Normal 4 4 3 2 3 11" xfId="47097"/>
    <cellStyle name="Normal 5 4 3 2 3 11" xfId="47098"/>
    <cellStyle name="Normal 7 4 3 2 3 11" xfId="47099"/>
    <cellStyle name="Normal 2 3 2 3 2 3 11" xfId="47100"/>
    <cellStyle name="Normal 3 3 2 3 2 3 11" xfId="47101"/>
    <cellStyle name="Normal 4 2 2 3 2 3 11" xfId="47102"/>
    <cellStyle name="Normal 5 2 2 3 2 3 11" xfId="47103"/>
    <cellStyle name="Normal 7 2 2 3 2 3 11" xfId="47104"/>
    <cellStyle name="Normal 2 4 2 3 2 3 11" xfId="47105"/>
    <cellStyle name="Normal 3 4 2 3 2 3 11" xfId="47106"/>
    <cellStyle name="Normal 4 3 2 3 2 3 11" xfId="47107"/>
    <cellStyle name="Normal 5 3 2 3 2 3 11" xfId="47108"/>
    <cellStyle name="Normal 7 3 2 3 2 3 11" xfId="47109"/>
    <cellStyle name="Normal 2 6 3 2 3 11" xfId="47110"/>
    <cellStyle name="Normal 3 6 3 2 3 11" xfId="47111"/>
    <cellStyle name="Normal 4 5 3 2 3 11" xfId="47112"/>
    <cellStyle name="Normal 5 5 3 2 3 11" xfId="47113"/>
    <cellStyle name="Normal 7 5 3 2 3 11" xfId="47114"/>
    <cellStyle name="Normal 2 3 3 3 2 3 11" xfId="47115"/>
    <cellStyle name="Normal 3 3 3 3 2 3 11" xfId="47116"/>
    <cellStyle name="Normal 4 2 3 3 2 3 11" xfId="47117"/>
    <cellStyle name="Normal 5 2 3 3 2 3 11" xfId="47118"/>
    <cellStyle name="Normal 7 2 3 3 2 3 11" xfId="47119"/>
    <cellStyle name="Normal 2 4 3 3 2 3 11" xfId="47120"/>
    <cellStyle name="Normal 3 4 3 3 2 3 11" xfId="47121"/>
    <cellStyle name="Normal 4 3 3 3 2 3 11" xfId="47122"/>
    <cellStyle name="Normal 5 3 3 3 2 3 11" xfId="47123"/>
    <cellStyle name="Normal 7 3 3 3 2 3 11" xfId="47124"/>
    <cellStyle name="Normal 2 7 2 2 3 11" xfId="47125"/>
    <cellStyle name="Normal 3 7 2 2 3 11" xfId="47126"/>
    <cellStyle name="Normal 4 6 2 2 3 11" xfId="47127"/>
    <cellStyle name="Normal 5 6 2 2 3 11" xfId="47128"/>
    <cellStyle name="Normal 7 6 2 2 3 11" xfId="47129"/>
    <cellStyle name="Normal 2 3 4 2 2 3 11" xfId="47130"/>
    <cellStyle name="Normal 3 3 4 2 2 3 11" xfId="47131"/>
    <cellStyle name="Normal 4 2 4 2 2 3 11" xfId="47132"/>
    <cellStyle name="Normal 5 2 4 2 2 3 11" xfId="47133"/>
    <cellStyle name="Normal 7 2 4 2 2 3 11" xfId="47134"/>
    <cellStyle name="Normal 2 4 4 2 2 3 11" xfId="47135"/>
    <cellStyle name="Normal 3 4 4 2 2 3 11" xfId="47136"/>
    <cellStyle name="Normal 4 3 4 2 2 3 11" xfId="47137"/>
    <cellStyle name="Normal 5 3 4 2 2 3 11" xfId="47138"/>
    <cellStyle name="Normal 7 3 4 2 2 3 11" xfId="47139"/>
    <cellStyle name="Normal 2 5 2 2 2 3 11" xfId="47140"/>
    <cellStyle name="Normal 3 5 2 2 2 3 11" xfId="47141"/>
    <cellStyle name="Normal 4 4 2 2 2 3 11" xfId="47142"/>
    <cellStyle name="Normal 5 4 2 2 2 3 11" xfId="47143"/>
    <cellStyle name="Normal 7 4 2 2 2 3 11" xfId="47144"/>
    <cellStyle name="Normal 2 3 2 2 2 2 3 11" xfId="47145"/>
    <cellStyle name="Normal 3 3 2 2 2 2 3 11" xfId="47146"/>
    <cellStyle name="Normal 4 2 2 2 2 2 3 11" xfId="47147"/>
    <cellStyle name="Normal 5 2 2 2 2 2 3 11" xfId="47148"/>
    <cellStyle name="Normal 7 2 2 2 2 2 3 11" xfId="47149"/>
    <cellStyle name="Normal 2 4 2 2 2 2 3 11" xfId="47150"/>
    <cellStyle name="Normal 3 4 2 2 2 2 3 11" xfId="47151"/>
    <cellStyle name="Normal 4 3 2 2 2 2 3 11" xfId="47152"/>
    <cellStyle name="Normal 5 3 2 2 2 2 3 11" xfId="47153"/>
    <cellStyle name="Normal 7 3 2 2 2 2 3 11" xfId="47154"/>
    <cellStyle name="Normal 2 6 2 2 2 3 11" xfId="47155"/>
    <cellStyle name="Normal 3 6 2 2 2 3 11" xfId="47156"/>
    <cellStyle name="Normal 4 5 2 2 2 3 11" xfId="47157"/>
    <cellStyle name="Normal 5 5 2 2 2 3 11" xfId="47158"/>
    <cellStyle name="Normal 7 5 2 2 2 3 11" xfId="47159"/>
    <cellStyle name="Normal 2 3 3 2 2 2 3 11" xfId="47160"/>
    <cellStyle name="Normal 3 3 3 2 2 2 3 11" xfId="47161"/>
    <cellStyle name="Normal 4 2 3 2 2 2 3 11" xfId="47162"/>
    <cellStyle name="Normal 5 2 3 2 2 2 3 11" xfId="47163"/>
    <cellStyle name="Normal 7 2 3 2 2 2 3 11" xfId="47164"/>
    <cellStyle name="Normal 2 4 3 2 2 2 3 11" xfId="47165"/>
    <cellStyle name="Normal 3 4 3 2 2 2 3 11" xfId="47166"/>
    <cellStyle name="Normal 4 3 3 2 2 2 3 11" xfId="47167"/>
    <cellStyle name="Normal 5 3 3 2 2 2 3 11" xfId="47168"/>
    <cellStyle name="Normal 7 3 3 2 2 2 3 11" xfId="47169"/>
    <cellStyle name="Normal 28 3 11" xfId="47170"/>
    <cellStyle name="Normal 2 3 7 3 11" xfId="47171"/>
    <cellStyle name="Normal 3 10 3 11" xfId="47172"/>
    <cellStyle name="Normal 4 9 3 11" xfId="47173"/>
    <cellStyle name="Normal 5 9 3 11" xfId="47174"/>
    <cellStyle name="Millares 4 3 11" xfId="47175"/>
    <cellStyle name="Normal 7 2 7 3 11" xfId="47176"/>
    <cellStyle name="Normal 3 3 7 3 11" xfId="47177"/>
    <cellStyle name="Normal 4 2 7 3 11" xfId="47178"/>
    <cellStyle name="Normal 5 2 7 3 11" xfId="47179"/>
    <cellStyle name="Normal 2 4 5 3 3 11" xfId="47180"/>
    <cellStyle name="Normal 3 4 7 3 11" xfId="47181"/>
    <cellStyle name="Normal 4 3 7 3 11" xfId="47182"/>
    <cellStyle name="Normal 5 3 7 3 11" xfId="47183"/>
    <cellStyle name="Normal 7 3 7 3 11" xfId="47184"/>
    <cellStyle name="Normal 2 5 5 3 11" xfId="47185"/>
    <cellStyle name="Normal 3 5 5 3 11" xfId="47186"/>
    <cellStyle name="Normal 4 4 5 3 11" xfId="47187"/>
    <cellStyle name="Normal 5 4 5 3 11" xfId="47188"/>
    <cellStyle name="Normal 7 4 5 3 11" xfId="47189"/>
    <cellStyle name="Normal 2 3 2 5 3 11" xfId="47190"/>
    <cellStyle name="Normal 3 3 2 5 3 11" xfId="47191"/>
    <cellStyle name="Normal 4 2 2 5 3 11" xfId="47192"/>
    <cellStyle name="Normal 5 2 2 5 3 11" xfId="47193"/>
    <cellStyle name="Normal 7 2 2 5 3 11" xfId="47194"/>
    <cellStyle name="Normal 2 4 2 5 3 11" xfId="47195"/>
    <cellStyle name="Normal 3 4 2 5 3 11" xfId="47196"/>
    <cellStyle name="Normal 4 3 2 5 3 11" xfId="47197"/>
    <cellStyle name="Normal 5 3 2 5 3 11" xfId="47198"/>
    <cellStyle name="Normal 7 3 2 5 3 11" xfId="47199"/>
    <cellStyle name="Normal 2 6 5 3 11" xfId="47200"/>
    <cellStyle name="Normal 3 6 5 3 11" xfId="47201"/>
    <cellStyle name="Normal 4 5 5 3 11" xfId="47202"/>
    <cellStyle name="Normal 5 5 5 3 11" xfId="47203"/>
    <cellStyle name="Normal 7 5 5 3 11" xfId="47204"/>
    <cellStyle name="Normal 2 3 3 5 3 11" xfId="47205"/>
    <cellStyle name="Normal 3 3 3 5 3 11" xfId="47206"/>
    <cellStyle name="Normal 4 2 3 5 3 11" xfId="47207"/>
    <cellStyle name="Normal 5 2 3 5 3 11" xfId="47208"/>
    <cellStyle name="Normal 7 2 3 5 3 11" xfId="47209"/>
    <cellStyle name="Normal 2 4 3 5 3 11" xfId="47210"/>
    <cellStyle name="Normal 3 4 3 5 3 11" xfId="47211"/>
    <cellStyle name="Normal 4 3 3 5 3 11" xfId="47212"/>
    <cellStyle name="Normal 5 3 3 5 3 11" xfId="47213"/>
    <cellStyle name="Normal 7 3 3 5 3 11" xfId="47214"/>
    <cellStyle name="Normal 2 7 4 3 11" xfId="47215"/>
    <cellStyle name="Normal 3 7 4 3 11" xfId="47216"/>
    <cellStyle name="Normal 4 6 4 3 11" xfId="47217"/>
    <cellStyle name="Normal 5 6 4 3 11" xfId="47218"/>
    <cellStyle name="Normal 7 6 4 3 11" xfId="47219"/>
    <cellStyle name="Normal 2 3 4 4 3 11" xfId="47220"/>
    <cellStyle name="Normal 3 3 4 4 3 11" xfId="47221"/>
    <cellStyle name="Normal 4 2 4 4 3 11" xfId="47222"/>
    <cellStyle name="Normal 5 2 4 4 3 11" xfId="47223"/>
    <cellStyle name="Normal 7 2 4 4 3 11" xfId="47224"/>
    <cellStyle name="Normal 2 4 4 4 3 11" xfId="47225"/>
    <cellStyle name="Normal 3 4 4 4 3 11" xfId="47226"/>
    <cellStyle name="Normal 4 3 4 4 3 11" xfId="47227"/>
    <cellStyle name="Normal 5 3 4 4 3 11" xfId="47228"/>
    <cellStyle name="Normal 7 3 4 4 3 11" xfId="47229"/>
    <cellStyle name="Normal 2 5 2 4 3 11" xfId="47230"/>
    <cellStyle name="Normal 3 5 2 4 3 11" xfId="47231"/>
    <cellStyle name="Normal 4 4 2 4 3 11" xfId="47232"/>
    <cellStyle name="Normal 5 4 2 4 3 11" xfId="47233"/>
    <cellStyle name="Normal 7 4 2 4 3 11" xfId="47234"/>
    <cellStyle name="Normal 2 3 2 2 4 3 11" xfId="47235"/>
    <cellStyle name="Normal 3 3 2 2 4 3 11" xfId="47236"/>
    <cellStyle name="Normal 4 2 2 2 4 3 11" xfId="47237"/>
    <cellStyle name="Normal 5 2 2 2 4 3 11" xfId="47238"/>
    <cellStyle name="Normal 7 2 2 2 4 3 11" xfId="47239"/>
    <cellStyle name="Normal 2 4 2 2 4 3 11" xfId="47240"/>
    <cellStyle name="Normal 3 4 2 2 4 3 11" xfId="47241"/>
    <cellStyle name="Normal 4 3 2 2 4 3 11" xfId="47242"/>
    <cellStyle name="Normal 5 3 2 2 4 3 11" xfId="47243"/>
    <cellStyle name="Normal 7 3 2 2 4 3 11" xfId="47244"/>
    <cellStyle name="Normal 2 6 2 4 3 11" xfId="47245"/>
    <cellStyle name="Normal 3 6 2 4 3 11" xfId="47246"/>
    <cellStyle name="Normal 4 5 2 4 3 11" xfId="47247"/>
    <cellStyle name="Normal 5 5 2 4 3 11" xfId="47248"/>
    <cellStyle name="Normal 7 5 2 4 3 11" xfId="47249"/>
    <cellStyle name="Normal 2 3 3 2 4 3 11" xfId="47250"/>
    <cellStyle name="Normal 3 3 3 2 4 3 11" xfId="47251"/>
    <cellStyle name="Normal 4 2 3 2 4 3 11" xfId="47252"/>
    <cellStyle name="Normal 5 2 3 2 4 3 11" xfId="47253"/>
    <cellStyle name="Normal 7 2 3 2 4 3 11" xfId="47254"/>
    <cellStyle name="Normal 2 4 3 2 4 3 11" xfId="47255"/>
    <cellStyle name="Normal 3 4 3 2 4 3 11" xfId="47256"/>
    <cellStyle name="Normal 4 3 3 2 4 3 11" xfId="47257"/>
    <cellStyle name="Normal 5 3 3 2 4 3 11" xfId="47258"/>
    <cellStyle name="Normal 7 3 3 2 4 3 11" xfId="47259"/>
    <cellStyle name="Normal 2 8 3 3 11" xfId="47260"/>
    <cellStyle name="Normal 3 8 3 3 11" xfId="47261"/>
    <cellStyle name="Normal 4 7 3 3 11" xfId="47262"/>
    <cellStyle name="Normal 5 7 3 3 11" xfId="47263"/>
    <cellStyle name="Normal 7 7 3 3 11" xfId="47264"/>
    <cellStyle name="Normal 2 3 5 3 3 11" xfId="47265"/>
    <cellStyle name="Normal 3 3 5 3 3 11" xfId="47266"/>
    <cellStyle name="Normal 4 2 5 3 3 11" xfId="47267"/>
    <cellStyle name="Normal 5 2 5 3 3 11" xfId="47268"/>
    <cellStyle name="Normal 7 2 5 3 3 11" xfId="47269"/>
    <cellStyle name="Normal 3 4 5 3 3 11" xfId="47270"/>
    <cellStyle name="Normal 4 3 5 3 3 11" xfId="47271"/>
    <cellStyle name="Normal 5 3 5 3 3 11" xfId="47272"/>
    <cellStyle name="Normal 7 3 5 3 3 11" xfId="47273"/>
    <cellStyle name="Normal 2 5 3 3 3 11" xfId="47274"/>
    <cellStyle name="Normal 3 5 3 3 3 11" xfId="47275"/>
    <cellStyle name="Normal 4 4 3 3 3 11" xfId="47276"/>
    <cellStyle name="Normal 5 4 3 3 3 11" xfId="47277"/>
    <cellStyle name="Normal 7 4 3 3 3 11" xfId="47278"/>
    <cellStyle name="Normal 2 3 2 3 3 3 11" xfId="47279"/>
    <cellStyle name="Normal 3 3 2 3 3 3 11" xfId="47280"/>
    <cellStyle name="Normal 4 2 2 3 3 3 11" xfId="47281"/>
    <cellStyle name="Normal 5 2 2 3 3 3 11" xfId="47282"/>
    <cellStyle name="Normal 7 2 2 3 3 3 11" xfId="47283"/>
    <cellStyle name="Normal 2 4 2 3 3 3 11" xfId="47284"/>
    <cellStyle name="Normal 3 4 2 3 3 3 11" xfId="47285"/>
    <cellStyle name="Normal 4 3 2 3 3 3 11" xfId="47286"/>
    <cellStyle name="Normal 5 3 2 3 3 3 11" xfId="47287"/>
    <cellStyle name="Normal 7 3 2 3 3 3 11" xfId="47288"/>
    <cellStyle name="Normal 2 6 3 3 3 11" xfId="47289"/>
    <cellStyle name="Normal 3 6 3 3 3 11" xfId="47290"/>
    <cellStyle name="Normal 4 5 3 3 3 11" xfId="47291"/>
    <cellStyle name="Normal 5 5 3 3 3 11" xfId="47292"/>
    <cellStyle name="Normal 7 5 3 3 3 11" xfId="47293"/>
    <cellStyle name="Normal 2 3 3 3 3 3 11" xfId="47294"/>
    <cellStyle name="Normal 3 3 3 3 3 3 11" xfId="47295"/>
    <cellStyle name="Normal 4 2 3 3 3 3 11" xfId="47296"/>
    <cellStyle name="Normal 5 2 3 3 3 3 11" xfId="47297"/>
    <cellStyle name="Normal 7 2 3 3 3 3 11" xfId="47298"/>
    <cellStyle name="Normal 2 4 3 3 3 3 11" xfId="47299"/>
    <cellStyle name="Normal 3 4 3 3 3 3 11" xfId="47300"/>
    <cellStyle name="Normal 4 3 3 3 3 3 11" xfId="47301"/>
    <cellStyle name="Normal 5 3 3 3 3 3 11" xfId="47302"/>
    <cellStyle name="Normal 7 3 3 3 3 3 11" xfId="47303"/>
    <cellStyle name="Normal 2 7 2 3 3 11" xfId="47304"/>
    <cellStyle name="Normal 3 7 2 3 3 11" xfId="47305"/>
    <cellStyle name="Normal 4 6 2 3 3 11" xfId="47306"/>
    <cellStyle name="Normal 5 6 2 3 3 11" xfId="47307"/>
    <cellStyle name="Normal 7 6 2 3 3 11" xfId="47308"/>
    <cellStyle name="Normal 2 3 4 2 3 3 11" xfId="47309"/>
    <cellStyle name="Normal 3 3 4 2 3 3 11" xfId="47310"/>
    <cellStyle name="Normal 4 2 4 2 3 3 11" xfId="47311"/>
    <cellStyle name="Normal 5 2 4 2 3 3 11" xfId="47312"/>
    <cellStyle name="Normal 7 2 4 2 3 3 11" xfId="47313"/>
    <cellStyle name="Normal 2 4 4 2 3 3 11" xfId="47314"/>
    <cellStyle name="Normal 3 4 4 2 3 3 11" xfId="47315"/>
    <cellStyle name="Normal 4 3 4 2 3 3 11" xfId="47316"/>
    <cellStyle name="Normal 5 3 4 2 3 3 11" xfId="47317"/>
    <cellStyle name="Normal 7 3 4 2 3 3 11" xfId="47318"/>
    <cellStyle name="Normal 2 5 2 2 3 3 11" xfId="47319"/>
    <cellStyle name="Normal 3 5 2 2 3 3 11" xfId="47320"/>
    <cellStyle name="Normal 4 4 2 2 3 3 11" xfId="47321"/>
    <cellStyle name="Normal 5 4 2 2 3 3 11" xfId="47322"/>
    <cellStyle name="Normal 7 4 2 2 3 3 11" xfId="47323"/>
    <cellStyle name="Normal 2 3 2 2 2 3 3 11" xfId="47324"/>
    <cellStyle name="Normal 3 3 2 2 2 3 3 11" xfId="47325"/>
    <cellStyle name="Normal 4 2 2 2 2 3 3 11" xfId="47326"/>
    <cellStyle name="Normal 5 2 2 2 2 3 3 11" xfId="47327"/>
    <cellStyle name="Normal 7 2 2 2 2 3 3 11" xfId="47328"/>
    <cellStyle name="Normal 2 4 2 2 2 3 3 11" xfId="47329"/>
    <cellStyle name="Normal 3 4 2 2 2 3 3 11" xfId="47330"/>
    <cellStyle name="Normal 4 3 2 2 2 3 3 11" xfId="47331"/>
    <cellStyle name="Normal 5 3 2 2 2 3 3 11" xfId="47332"/>
    <cellStyle name="Normal 7 3 2 2 2 3 3 11" xfId="47333"/>
    <cellStyle name="Normal 2 6 2 2 3 3 11" xfId="47334"/>
    <cellStyle name="Normal 3 6 2 2 3 3 11" xfId="47335"/>
    <cellStyle name="Normal 4 5 2 2 3 3 11" xfId="47336"/>
    <cellStyle name="Normal 5 5 2 2 3 3 11" xfId="47337"/>
    <cellStyle name="Normal 7 5 2 2 3 3 11" xfId="47338"/>
    <cellStyle name="Normal 2 3 3 2 2 3 3 11" xfId="47339"/>
    <cellStyle name="Normal 3 3 3 2 2 3 3 11" xfId="47340"/>
    <cellStyle name="Normal 4 2 3 2 2 3 3 11" xfId="47341"/>
    <cellStyle name="Normal 5 2 3 2 2 3 3 11" xfId="47342"/>
    <cellStyle name="Normal 7 2 3 2 2 3 3 11" xfId="47343"/>
    <cellStyle name="Normal 2 4 3 2 2 3 3 11" xfId="47344"/>
    <cellStyle name="Normal 3 4 3 2 2 3 3 11" xfId="47345"/>
    <cellStyle name="Normal 4 3 3 2 2 3 3 11" xfId="47346"/>
    <cellStyle name="Normal 5 3 3 2 2 3 3 11" xfId="47347"/>
    <cellStyle name="Normal 7 3 3 2 2 3 3 11" xfId="47348"/>
    <cellStyle name="Normal 2 13 10" xfId="47349"/>
    <cellStyle name="Normal 3 13 10" xfId="47350"/>
    <cellStyle name="Normal 4 12 10" xfId="47351"/>
    <cellStyle name="Normal 5 12 10" xfId="47352"/>
    <cellStyle name="Normal 7 12 10" xfId="47353"/>
    <cellStyle name="Normal 2 3 10 10" xfId="47354"/>
    <cellStyle name="Normal 3 3 10 10" xfId="47355"/>
    <cellStyle name="Normal 4 2 10 10" xfId="47356"/>
    <cellStyle name="Normal 5 2 10 10" xfId="47357"/>
    <cellStyle name="Normal 7 2 10 10" xfId="47358"/>
    <cellStyle name="Normal 2 4 10 10" xfId="47359"/>
    <cellStyle name="Normal 3 4 10 10" xfId="47360"/>
    <cellStyle name="Normal 4 3 10 10" xfId="47361"/>
    <cellStyle name="Normal 5 3 10 10" xfId="47362"/>
    <cellStyle name="Normal 7 3 10 10" xfId="47363"/>
    <cellStyle name="Normal 2 5 8 10" xfId="47364"/>
    <cellStyle name="Normal 3 5 8 10" xfId="47365"/>
    <cellStyle name="Normal 4 4 8 10" xfId="47366"/>
    <cellStyle name="Normal 5 4 8 10" xfId="47367"/>
    <cellStyle name="Normal 7 4 8 10" xfId="47368"/>
    <cellStyle name="Normal 2 3 2 8 10" xfId="47369"/>
    <cellStyle name="Normal 3 3 2 8 10" xfId="47370"/>
    <cellStyle name="Normal 4 2 2 8 10" xfId="47371"/>
    <cellStyle name="Normal 5 2 2 8 10" xfId="47372"/>
    <cellStyle name="Normal 7 2 2 8 10" xfId="47373"/>
    <cellStyle name="Normal 2 4 2 8 10" xfId="47374"/>
    <cellStyle name="Normal 3 4 2 8 10" xfId="47375"/>
    <cellStyle name="Normal 4 3 2 8 10" xfId="47376"/>
    <cellStyle name="Normal 5 3 2 8 10" xfId="47377"/>
    <cellStyle name="Normal 7 3 2 8 10" xfId="47378"/>
    <cellStyle name="Normal 2 6 8 10" xfId="47379"/>
    <cellStyle name="Normal 3 6 8 10" xfId="47380"/>
    <cellStyle name="Normal 4 5 8 10" xfId="47381"/>
    <cellStyle name="Normal 5 5 8 10" xfId="47382"/>
    <cellStyle name="Normal 7 5 8 10" xfId="47383"/>
    <cellStyle name="Normal 2 3 3 8 10" xfId="47384"/>
    <cellStyle name="Normal 3 3 3 8 10" xfId="47385"/>
    <cellStyle name="Normal 4 2 3 8 10" xfId="47386"/>
    <cellStyle name="Normal 5 2 3 8 10" xfId="47387"/>
    <cellStyle name="Normal 7 2 3 8 10" xfId="47388"/>
    <cellStyle name="Normal 2 4 3 8 10" xfId="47389"/>
    <cellStyle name="Normal 3 4 3 8 10" xfId="47390"/>
    <cellStyle name="Normal 4 3 3 8 10" xfId="47391"/>
    <cellStyle name="Normal 5 3 3 8 10" xfId="47392"/>
    <cellStyle name="Normal 7 3 3 8 10" xfId="47393"/>
    <cellStyle name="Normal 2 7 7 10" xfId="47394"/>
    <cellStyle name="Normal 3 7 7 10" xfId="47395"/>
    <cellStyle name="Normal 4 6 7 10" xfId="47396"/>
    <cellStyle name="Normal 5 6 7 10" xfId="47397"/>
    <cellStyle name="Normal 7 6 7 10" xfId="47398"/>
    <cellStyle name="Normal 2 3 4 7 10" xfId="47399"/>
    <cellStyle name="Normal 3 3 4 7 10" xfId="47400"/>
    <cellStyle name="Normal 4 2 4 7 10" xfId="47401"/>
    <cellStyle name="Normal 5 2 4 7 10" xfId="47402"/>
    <cellStyle name="Normal 7 2 4 7 10" xfId="47403"/>
    <cellStyle name="Normal 2 4 4 7 10" xfId="47404"/>
    <cellStyle name="Normal 3 4 4 7 10" xfId="47405"/>
    <cellStyle name="Normal 4 3 4 7 10" xfId="47406"/>
    <cellStyle name="Normal 5 3 4 7 10" xfId="47407"/>
    <cellStyle name="Normal 7 3 4 7 10" xfId="47408"/>
    <cellStyle name="Normal 2 5 2 7 10" xfId="47409"/>
    <cellStyle name="Normal 3 5 2 7 10" xfId="47410"/>
    <cellStyle name="Normal 4 4 2 7 10" xfId="47411"/>
    <cellStyle name="Normal 5 4 2 7 10" xfId="47412"/>
    <cellStyle name="Normal 7 4 2 7 10" xfId="47413"/>
    <cellStyle name="Normal 2 3 2 2 7 10" xfId="47414"/>
    <cellStyle name="Normal 3 3 2 2 7 10" xfId="47415"/>
    <cellStyle name="Normal 4 2 2 2 7 10" xfId="47416"/>
    <cellStyle name="Normal 5 2 2 2 7 10" xfId="47417"/>
    <cellStyle name="Normal 7 2 2 2 7 10" xfId="47418"/>
    <cellStyle name="Normal 2 4 2 2 7 10" xfId="47419"/>
    <cellStyle name="Normal 3 4 2 2 7 10" xfId="47420"/>
    <cellStyle name="Normal 4 3 2 2 7 10" xfId="47421"/>
    <cellStyle name="Normal 5 3 2 2 7 10" xfId="47422"/>
    <cellStyle name="Normal 7 3 2 2 7 10" xfId="47423"/>
    <cellStyle name="Normal 2 6 2 7 10" xfId="47424"/>
    <cellStyle name="Normal 3 6 2 7 10" xfId="47425"/>
    <cellStyle name="Normal 4 5 2 7 10" xfId="47426"/>
    <cellStyle name="Normal 5 5 2 7 10" xfId="47427"/>
    <cellStyle name="Normal 7 5 2 7 10" xfId="47428"/>
    <cellStyle name="Normal 2 3 3 2 7 10" xfId="47429"/>
    <cellStyle name="Normal 3 3 3 2 7 10" xfId="47430"/>
    <cellStyle name="Normal 4 2 3 2 7 10" xfId="47431"/>
    <cellStyle name="Normal 5 2 3 2 7 10" xfId="47432"/>
    <cellStyle name="Normal 7 2 3 2 7 10" xfId="47433"/>
    <cellStyle name="Normal 2 4 3 2 7 10" xfId="47434"/>
    <cellStyle name="Normal 3 4 3 2 7 10" xfId="47435"/>
    <cellStyle name="Normal 4 3 3 2 7 10" xfId="47436"/>
    <cellStyle name="Normal 5 3 3 2 7 10" xfId="47437"/>
    <cellStyle name="Normal 7 3 3 2 7 10" xfId="47438"/>
    <cellStyle name="Normal 2 8 6 10" xfId="47439"/>
    <cellStyle name="Normal 3 8 6 10" xfId="47440"/>
    <cellStyle name="Normal 4 7 6 10" xfId="47441"/>
    <cellStyle name="Normal 5 7 6 10" xfId="47442"/>
    <cellStyle name="Normal 7 7 6 10" xfId="47443"/>
    <cellStyle name="Normal 2 3 5 6 10" xfId="47444"/>
    <cellStyle name="Normal 3 3 5 6 10" xfId="47445"/>
    <cellStyle name="Normal 4 2 5 6 10" xfId="47446"/>
    <cellStyle name="Normal 5 2 5 6 10" xfId="47447"/>
    <cellStyle name="Normal 7 2 5 6 10" xfId="47448"/>
    <cellStyle name="Normal 2 4 5 6 10" xfId="47449"/>
    <cellStyle name="Normal 3 4 5 6 10" xfId="47450"/>
    <cellStyle name="Normal 4 3 5 6 10" xfId="47451"/>
    <cellStyle name="Normal 5 3 5 6 10" xfId="47452"/>
    <cellStyle name="Normal 7 3 5 6 10" xfId="47453"/>
    <cellStyle name="Normal 2 5 3 6 10" xfId="47454"/>
    <cellStyle name="Normal 3 5 3 6 10" xfId="47455"/>
    <cellStyle name="Normal 4 4 3 6 10" xfId="47456"/>
    <cellStyle name="Normal 5 4 3 6 10" xfId="47457"/>
    <cellStyle name="Normal 7 4 3 6 10" xfId="47458"/>
    <cellStyle name="Normal 2 3 2 3 6 10" xfId="47459"/>
    <cellStyle name="Normal 3 3 2 3 6 10" xfId="47460"/>
    <cellStyle name="Normal 4 2 2 3 6 10" xfId="47461"/>
    <cellStyle name="Normal 5 2 2 3 6 10" xfId="47462"/>
    <cellStyle name="Normal 7 2 2 3 6 10" xfId="47463"/>
    <cellStyle name="Normal 2 4 2 3 6 10" xfId="47464"/>
    <cellStyle name="Normal 3 4 2 3 6 10" xfId="47465"/>
    <cellStyle name="Normal 4 3 2 3 6 10" xfId="47466"/>
    <cellStyle name="Normal 5 3 2 3 6 10" xfId="47467"/>
    <cellStyle name="Normal 7 3 2 3 6 10" xfId="47468"/>
    <cellStyle name="Normal 2 6 3 6 10" xfId="47469"/>
    <cellStyle name="Normal 3 6 3 6 10" xfId="47470"/>
    <cellStyle name="Normal 4 5 3 6 10" xfId="47471"/>
    <cellStyle name="Normal 5 5 3 6 10" xfId="47472"/>
    <cellStyle name="Normal 7 5 3 6 10" xfId="47473"/>
    <cellStyle name="Normal 2 3 3 3 6 10" xfId="47474"/>
    <cellStyle name="Normal 3 3 3 3 6 10" xfId="47475"/>
    <cellStyle name="Normal 4 2 3 3 6 10" xfId="47476"/>
    <cellStyle name="Normal 5 2 3 3 6 10" xfId="47477"/>
    <cellStyle name="Normal 7 2 3 3 6 10" xfId="47478"/>
    <cellStyle name="Normal 2 4 3 3 6 10" xfId="47479"/>
    <cellStyle name="Normal 3 4 3 3 6 10" xfId="47480"/>
    <cellStyle name="Normal 4 3 3 3 6 10" xfId="47481"/>
    <cellStyle name="Normal 5 3 3 3 6 10" xfId="47482"/>
    <cellStyle name="Normal 7 3 3 3 6 10" xfId="47483"/>
    <cellStyle name="Normal 2 7 2 6 10" xfId="47484"/>
    <cellStyle name="Normal 3 7 2 6 10" xfId="47485"/>
    <cellStyle name="Normal 4 6 2 6 10" xfId="47486"/>
    <cellStyle name="Normal 5 6 2 6 10" xfId="47487"/>
    <cellStyle name="Normal 7 6 2 6 10" xfId="47488"/>
    <cellStyle name="Normal 2 3 4 2 6 10" xfId="47489"/>
    <cellStyle name="Normal 3 3 4 2 6 10" xfId="47490"/>
    <cellStyle name="Normal 4 2 4 2 6 10" xfId="47491"/>
    <cellStyle name="Normal 5 2 4 2 6 10" xfId="47492"/>
    <cellStyle name="Normal 7 2 4 2 6 10" xfId="47493"/>
    <cellStyle name="Normal 2 4 4 2 6 10" xfId="47494"/>
    <cellStyle name="Normal 3 4 4 2 6 10" xfId="47495"/>
    <cellStyle name="Normal 4 3 4 2 6 10" xfId="47496"/>
    <cellStyle name="Normal 5 3 4 2 6 10" xfId="47497"/>
    <cellStyle name="Normal 7 3 4 2 6 10" xfId="47498"/>
    <cellStyle name="Normal 2 5 2 2 6 10" xfId="47499"/>
    <cellStyle name="Normal 3 5 2 2 6 10" xfId="47500"/>
    <cellStyle name="Normal 4 4 2 2 6 10" xfId="47501"/>
    <cellStyle name="Normal 5 4 2 2 6 10" xfId="47502"/>
    <cellStyle name="Normal 7 4 2 2 6 10" xfId="47503"/>
    <cellStyle name="Normal 2 3 2 2 2 6 10" xfId="47504"/>
    <cellStyle name="Normal 3 3 2 2 2 6 10" xfId="47505"/>
    <cellStyle name="Normal 4 2 2 2 2 6 10" xfId="47506"/>
    <cellStyle name="Normal 5 2 2 2 2 6 10" xfId="47507"/>
    <cellStyle name="Normal 7 2 2 2 2 6 10" xfId="47508"/>
    <cellStyle name="Normal 2 4 2 2 2 6 10" xfId="47509"/>
    <cellStyle name="Normal 3 4 2 2 2 6 10" xfId="47510"/>
    <cellStyle name="Normal 4 3 2 2 2 6 10" xfId="47511"/>
    <cellStyle name="Normal 5 3 2 2 2 6 10" xfId="47512"/>
    <cellStyle name="Normal 7 3 2 2 2 6 10" xfId="47513"/>
    <cellStyle name="Normal 2 6 2 2 6 10" xfId="47514"/>
    <cellStyle name="Normal 3 6 2 2 6 10" xfId="47515"/>
    <cellStyle name="Normal 4 5 2 2 6 10" xfId="47516"/>
    <cellStyle name="Normal 5 5 2 2 6 10" xfId="47517"/>
    <cellStyle name="Normal 7 5 2 2 6 10" xfId="47518"/>
    <cellStyle name="Normal 2 3 3 2 2 6 10" xfId="47519"/>
    <cellStyle name="Normal 3 3 3 2 2 6 10" xfId="47520"/>
    <cellStyle name="Normal 4 2 3 2 2 6 10" xfId="47521"/>
    <cellStyle name="Normal 5 2 3 2 2 6 10" xfId="47522"/>
    <cellStyle name="Normal 7 2 3 2 2 6 10" xfId="47523"/>
    <cellStyle name="Normal 2 4 3 2 2 6 10" xfId="47524"/>
    <cellStyle name="Normal 3 4 3 2 2 6 10" xfId="47525"/>
    <cellStyle name="Normal 4 3 3 2 2 6 10" xfId="47526"/>
    <cellStyle name="Normal 5 3 3 2 2 6 10" xfId="47527"/>
    <cellStyle name="Normal 7 3 3 2 2 6 10" xfId="47528"/>
    <cellStyle name="Normal 2 9 4 10" xfId="47529"/>
    <cellStyle name="Normal 3 9 4 10" xfId="47530"/>
    <cellStyle name="Normal 4 8 4 10" xfId="47531"/>
    <cellStyle name="Normal 5 8 4 10" xfId="47532"/>
    <cellStyle name="Normal 7 8 4 10" xfId="47533"/>
    <cellStyle name="Normal 2 3 6 4 10" xfId="47534"/>
    <cellStyle name="Normal 3 3 6 4 10" xfId="47535"/>
    <cellStyle name="Normal 4 2 6 4 10" xfId="47536"/>
    <cellStyle name="Normal 5 2 6 4 10" xfId="47537"/>
    <cellStyle name="Normal 7 2 6 4 10" xfId="47538"/>
    <cellStyle name="Normal 2 4 6 4 10" xfId="47539"/>
    <cellStyle name="Normal 3 4 6 4 10" xfId="47540"/>
    <cellStyle name="Normal 4 3 6 4 10" xfId="47541"/>
    <cellStyle name="Normal 5 3 6 4 10" xfId="47542"/>
    <cellStyle name="Normal 7 3 6 4 10" xfId="47543"/>
    <cellStyle name="Normal 2 5 4 4 10" xfId="47544"/>
    <cellStyle name="Normal 3 5 4 4 10" xfId="47545"/>
    <cellStyle name="Normal 4 4 4 4 10" xfId="47546"/>
    <cellStyle name="Normal 5 4 4 4 10" xfId="47547"/>
    <cellStyle name="Normal 7 4 4 4 10" xfId="47548"/>
    <cellStyle name="Normal 2 3 2 4 4 10" xfId="47549"/>
    <cellStyle name="Normal 3 3 2 4 4 10" xfId="47550"/>
    <cellStyle name="Normal 4 2 2 4 4 10" xfId="47551"/>
    <cellStyle name="Normal 5 2 2 4 4 10" xfId="47552"/>
    <cellStyle name="Normal 7 2 2 4 4 10" xfId="47553"/>
    <cellStyle name="Normal 2 4 2 4 4 10" xfId="47554"/>
    <cellStyle name="Normal 3 4 2 4 4 10" xfId="47555"/>
    <cellStyle name="Normal 4 3 2 4 4 10" xfId="47556"/>
    <cellStyle name="Normal 5 3 2 4 4 10" xfId="47557"/>
    <cellStyle name="Normal 7 3 2 4 4 10" xfId="47558"/>
    <cellStyle name="Normal 2 6 4 4 10" xfId="47559"/>
    <cellStyle name="Normal 3 6 4 4 10" xfId="47560"/>
    <cellStyle name="Normal 4 5 4 4 10" xfId="47561"/>
    <cellStyle name="Normal 5 5 4 4 10" xfId="47562"/>
    <cellStyle name="Normal 7 5 4 4 10" xfId="47563"/>
    <cellStyle name="Normal 2 3 3 4 4 10" xfId="47564"/>
    <cellStyle name="Normal 3 3 3 4 4 10" xfId="47565"/>
    <cellStyle name="Normal 4 2 3 4 4 10" xfId="47566"/>
    <cellStyle name="Normal 5 2 3 4 4 10" xfId="47567"/>
    <cellStyle name="Normal 7 2 3 4 4 10" xfId="47568"/>
    <cellStyle name="Normal 2 4 3 4 4 10" xfId="47569"/>
    <cellStyle name="Normal 3 4 3 4 4 10" xfId="47570"/>
    <cellStyle name="Normal 4 3 3 4 4 10" xfId="47571"/>
    <cellStyle name="Normal 5 3 3 4 4 10" xfId="47572"/>
    <cellStyle name="Normal 7 3 3 4 4 10" xfId="47573"/>
    <cellStyle name="Normal 2 7 3 4 10" xfId="47574"/>
    <cellStyle name="Normal 3 7 3 4 10" xfId="47575"/>
    <cellStyle name="Normal 4 6 3 4 10" xfId="47576"/>
    <cellStyle name="Normal 5 6 3 4 10" xfId="47577"/>
    <cellStyle name="Normal 7 6 3 4 10" xfId="47578"/>
    <cellStyle name="Normal 2 3 4 3 4 10" xfId="47579"/>
    <cellStyle name="Normal 3 3 4 3 4 10" xfId="47580"/>
    <cellStyle name="Normal 4 2 4 3 4 10" xfId="47581"/>
    <cellStyle name="Normal 5 2 4 3 4 10" xfId="47582"/>
    <cellStyle name="Normal 7 2 4 3 4 10" xfId="47583"/>
    <cellStyle name="Normal 2 4 4 3 4 10" xfId="47584"/>
    <cellStyle name="Normal 3 4 4 3 4 10" xfId="47585"/>
    <cellStyle name="Normal 4 3 4 3 4 10" xfId="47586"/>
    <cellStyle name="Normal 5 3 4 3 4 10" xfId="47587"/>
    <cellStyle name="Normal 7 3 4 3 4 10" xfId="47588"/>
    <cellStyle name="Normal 2 5 2 3 4 10" xfId="47589"/>
    <cellStyle name="Normal 3 5 2 3 4 10" xfId="47590"/>
    <cellStyle name="Normal 4 4 2 3 4 10" xfId="47591"/>
    <cellStyle name="Normal 5 4 2 3 4 10" xfId="47592"/>
    <cellStyle name="Normal 7 4 2 3 4 10" xfId="47593"/>
    <cellStyle name="Normal 2 3 2 2 3 4 10" xfId="47594"/>
    <cellStyle name="Normal 3 3 2 2 3 4 10" xfId="47595"/>
    <cellStyle name="Normal 4 2 2 2 3 4 10" xfId="47596"/>
    <cellStyle name="Normal 5 2 2 2 3 4 10" xfId="47597"/>
    <cellStyle name="Normal 7 2 2 2 3 4 10" xfId="47598"/>
    <cellStyle name="Normal 2 4 2 2 3 4 10" xfId="47599"/>
    <cellStyle name="Normal 3 4 2 2 3 4 10" xfId="47600"/>
    <cellStyle name="Normal 4 3 2 2 3 4 10" xfId="47601"/>
    <cellStyle name="Normal 5 3 2 2 3 4 10" xfId="47602"/>
    <cellStyle name="Normal 7 3 2 2 3 4 10" xfId="47603"/>
    <cellStyle name="Normal 2 6 2 3 4 10" xfId="47604"/>
    <cellStyle name="Normal 3 6 2 3 4 10" xfId="47605"/>
    <cellStyle name="Normal 4 5 2 3 4 10" xfId="47606"/>
    <cellStyle name="Normal 5 5 2 3 4 10" xfId="47607"/>
    <cellStyle name="Normal 7 5 2 3 4 10" xfId="47608"/>
    <cellStyle name="Normal 2 3 3 2 3 4 10" xfId="47609"/>
    <cellStyle name="Normal 3 3 3 2 3 4 10" xfId="47610"/>
    <cellStyle name="Normal 4 2 3 2 3 4 10" xfId="47611"/>
    <cellStyle name="Normal 5 2 3 2 3 4 10" xfId="47612"/>
    <cellStyle name="Normal 7 2 3 2 3 4 10" xfId="47613"/>
    <cellStyle name="Normal 2 4 3 2 3 4 10" xfId="47614"/>
    <cellStyle name="Normal 3 4 3 2 3 4 10" xfId="47615"/>
    <cellStyle name="Normal 4 3 3 2 3 4 10" xfId="47616"/>
    <cellStyle name="Normal 5 3 3 2 3 4 10" xfId="47617"/>
    <cellStyle name="Normal 7 3 3 2 3 4 10" xfId="47618"/>
    <cellStyle name="Normal 2 8 2 4 10" xfId="47619"/>
    <cellStyle name="Normal 3 8 2 4 10" xfId="47620"/>
    <cellStyle name="Normal 4 7 2 4 10" xfId="47621"/>
    <cellStyle name="Normal 5 7 2 4 10" xfId="47622"/>
    <cellStyle name="Normal 7 7 2 4 10" xfId="47623"/>
    <cellStyle name="Normal 2 3 5 2 4 10" xfId="47624"/>
    <cellStyle name="Normal 3 3 5 2 4 10" xfId="47625"/>
    <cellStyle name="Normal 4 2 5 2 4 10" xfId="47626"/>
    <cellStyle name="Normal 5 2 5 2 4 10" xfId="47627"/>
    <cellStyle name="Normal 7 2 5 2 4 10" xfId="47628"/>
    <cellStyle name="Normal 2 4 5 2 4 10" xfId="47629"/>
    <cellStyle name="Normal 3 4 5 2 4 10" xfId="47630"/>
    <cellStyle name="Normal 4 3 5 2 4 10" xfId="47631"/>
    <cellStyle name="Normal 5 3 5 2 4 10" xfId="47632"/>
    <cellStyle name="Normal 7 3 5 2 4 10" xfId="47633"/>
    <cellStyle name="Normal 2 5 3 2 4 10" xfId="47634"/>
    <cellStyle name="Normal 3 5 3 2 4 10" xfId="47635"/>
    <cellStyle name="Normal 4 4 3 2 4 10" xfId="47636"/>
    <cellStyle name="Normal 5 4 3 2 4 10" xfId="47637"/>
    <cellStyle name="Normal 7 4 3 2 4 10" xfId="47638"/>
    <cellStyle name="Normal 2 3 2 3 2 4 10" xfId="47639"/>
    <cellStyle name="Normal 3 3 2 3 2 4 10" xfId="47640"/>
    <cellStyle name="Normal 4 2 2 3 2 4 10" xfId="47641"/>
    <cellStyle name="Normal 5 2 2 3 2 4 10" xfId="47642"/>
    <cellStyle name="Normal 7 2 2 3 2 4 10" xfId="47643"/>
    <cellStyle name="Normal 2 4 2 3 2 4 10" xfId="47644"/>
    <cellStyle name="Normal 3 4 2 3 2 4 10" xfId="47645"/>
    <cellStyle name="Normal 4 3 2 3 2 4 10" xfId="47646"/>
    <cellStyle name="Normal 5 3 2 3 2 4 10" xfId="47647"/>
    <cellStyle name="Normal 7 3 2 3 2 4 10" xfId="47648"/>
    <cellStyle name="Normal 2 6 3 2 4 10" xfId="47649"/>
    <cellStyle name="Normal 3 6 3 2 4 10" xfId="47650"/>
    <cellStyle name="Normal 4 5 3 2 4 10" xfId="47651"/>
    <cellStyle name="Normal 5 5 3 2 4 10" xfId="47652"/>
    <cellStyle name="Normal 7 5 3 2 4 10" xfId="47653"/>
    <cellStyle name="Normal 2 3 3 3 2 4 10" xfId="47654"/>
    <cellStyle name="Normal 3 3 3 3 2 4 10" xfId="47655"/>
    <cellStyle name="Normal 4 2 3 3 2 4 10" xfId="47656"/>
    <cellStyle name="Normal 5 2 3 3 2 4 10" xfId="47657"/>
    <cellStyle name="Normal 7 2 3 3 2 4 10" xfId="47658"/>
    <cellStyle name="Normal 2 4 3 3 2 4 10" xfId="47659"/>
    <cellStyle name="Normal 3 4 3 3 2 4 10" xfId="47660"/>
    <cellStyle name="Normal 4 3 3 3 2 4 10" xfId="47661"/>
    <cellStyle name="Normal 5 3 3 3 2 4 10" xfId="47662"/>
    <cellStyle name="Normal 7 3 3 3 2 4 10" xfId="47663"/>
    <cellStyle name="Normal 2 7 2 2 4 10" xfId="47664"/>
    <cellStyle name="Normal 3 7 2 2 4 10" xfId="47665"/>
    <cellStyle name="Normal 4 6 2 2 4 10" xfId="47666"/>
    <cellStyle name="Normal 5 6 2 2 4 10" xfId="47667"/>
    <cellStyle name="Normal 7 6 2 2 4 10" xfId="47668"/>
    <cellStyle name="Normal 2 3 4 2 2 4 10" xfId="47669"/>
    <cellStyle name="Normal 3 3 4 2 2 4 10" xfId="47670"/>
    <cellStyle name="Normal 4 2 4 2 2 4 10" xfId="47671"/>
    <cellStyle name="Normal 5 2 4 2 2 4 10" xfId="47672"/>
    <cellStyle name="Normal 7 2 4 2 2 4 10" xfId="47673"/>
    <cellStyle name="Normal 2 4 4 2 2 4 10" xfId="47674"/>
    <cellStyle name="Normal 3 4 4 2 2 4 10" xfId="47675"/>
    <cellStyle name="Normal 4 3 4 2 2 4 10" xfId="47676"/>
    <cellStyle name="Normal 5 3 4 2 2 4 10" xfId="47677"/>
    <cellStyle name="Normal 7 3 4 2 2 4 10" xfId="47678"/>
    <cellStyle name="Normal 2 5 2 2 2 4 10" xfId="47679"/>
    <cellStyle name="Normal 3 5 2 2 2 4 10" xfId="47680"/>
    <cellStyle name="Normal 4 4 2 2 2 4 10" xfId="47681"/>
    <cellStyle name="Normal 5 4 2 2 2 4 10" xfId="47682"/>
    <cellStyle name="Normal 7 4 2 2 2 4 10" xfId="47683"/>
    <cellStyle name="Normal 2 3 2 2 2 2 4 10" xfId="47684"/>
    <cellStyle name="Normal 3 3 2 2 2 2 4 10" xfId="47685"/>
    <cellStyle name="Normal 4 2 2 2 2 2 4 10" xfId="47686"/>
    <cellStyle name="Normal 5 2 2 2 2 2 4 10" xfId="47687"/>
    <cellStyle name="Normal 7 2 2 2 2 2 4 10" xfId="47688"/>
    <cellStyle name="Normal 2 4 2 2 2 2 4 10" xfId="47689"/>
    <cellStyle name="Normal 3 4 2 2 2 2 4 10" xfId="47690"/>
    <cellStyle name="Normal 4 3 2 2 2 2 4 10" xfId="47691"/>
    <cellStyle name="Normal 5 3 2 2 2 2 4 10" xfId="47692"/>
    <cellStyle name="Normal 7 3 2 2 2 2 4 10" xfId="47693"/>
    <cellStyle name="Normal 2 6 2 2 2 4 10" xfId="47694"/>
    <cellStyle name="Normal 3 6 2 2 2 4 10" xfId="47695"/>
    <cellStyle name="Normal 4 5 2 2 2 4 10" xfId="47696"/>
    <cellStyle name="Normal 5 5 2 2 2 4 10" xfId="47697"/>
    <cellStyle name="Normal 7 5 2 2 2 4 10" xfId="47698"/>
    <cellStyle name="Normal 2 3 3 2 2 2 4 10" xfId="47699"/>
    <cellStyle name="Normal 3 3 3 2 2 2 4 10" xfId="47700"/>
    <cellStyle name="Normal 4 2 3 2 2 2 4 10" xfId="47701"/>
    <cellStyle name="Normal 5 2 3 2 2 2 4 10" xfId="47702"/>
    <cellStyle name="Normal 7 2 3 2 2 2 4 10" xfId="47703"/>
    <cellStyle name="Normal 2 4 3 2 2 2 4 10" xfId="47704"/>
    <cellStyle name="Normal 3 4 3 2 2 2 4 10" xfId="47705"/>
    <cellStyle name="Normal 4 3 3 2 2 2 4 10" xfId="47706"/>
    <cellStyle name="Normal 5 3 3 2 2 2 4 10" xfId="47707"/>
    <cellStyle name="Normal 7 3 3 2 2 2 4 10" xfId="47708"/>
    <cellStyle name="Normal 28 4 10" xfId="47709"/>
    <cellStyle name="Normal 2 3 7 4 10" xfId="47710"/>
    <cellStyle name="Normal 3 10 4 10" xfId="47711"/>
    <cellStyle name="Normal 4 9 4 10" xfId="47712"/>
    <cellStyle name="Normal 5 9 4 10" xfId="47713"/>
    <cellStyle name="Millares 4 4 10" xfId="47714"/>
    <cellStyle name="Normal 7 2 7 4 10" xfId="47715"/>
    <cellStyle name="Normal 3 3 7 4 10" xfId="47716"/>
    <cellStyle name="Normal 4 2 7 4 10" xfId="47717"/>
    <cellStyle name="Normal 5 2 7 4 10" xfId="47718"/>
    <cellStyle name="Normal 2 4 5 3 4 10" xfId="47719"/>
    <cellStyle name="Normal 3 4 7 4 10" xfId="47720"/>
    <cellStyle name="Normal 4 3 7 4 10" xfId="47721"/>
    <cellStyle name="Normal 5 3 7 4 10" xfId="47722"/>
    <cellStyle name="Normal 7 3 7 4 10" xfId="47723"/>
    <cellStyle name="Normal 2 5 5 4 10" xfId="47724"/>
    <cellStyle name="Normal 3 5 5 4 10" xfId="47725"/>
    <cellStyle name="Normal 4 4 5 4 10" xfId="47726"/>
    <cellStyle name="Normal 5 4 5 4 10" xfId="47727"/>
    <cellStyle name="Normal 7 4 5 4 10" xfId="47728"/>
    <cellStyle name="Normal 2 3 2 5 4 10" xfId="47729"/>
    <cellStyle name="Normal 3 3 2 5 4 10" xfId="47730"/>
    <cellStyle name="Normal 4 2 2 5 4 10" xfId="47731"/>
    <cellStyle name="Normal 5 2 2 5 4 10" xfId="47732"/>
    <cellStyle name="Normal 7 2 2 5 4 10" xfId="47733"/>
    <cellStyle name="Normal 2 4 2 5 4 10" xfId="47734"/>
    <cellStyle name="Normal 3 4 2 5 4 10" xfId="47735"/>
    <cellStyle name="Normal 4 3 2 5 4 10" xfId="47736"/>
    <cellStyle name="Normal 5 3 2 5 4 10" xfId="47737"/>
    <cellStyle name="Normal 7 3 2 5 4 10" xfId="47738"/>
    <cellStyle name="Normal 2 6 5 4 10" xfId="47739"/>
    <cellStyle name="Normal 3 6 5 4 10" xfId="47740"/>
    <cellStyle name="Normal 4 5 5 4 10" xfId="47741"/>
    <cellStyle name="Normal 5 5 5 4 10" xfId="47742"/>
    <cellStyle name="Normal 7 5 5 4 10" xfId="47743"/>
    <cellStyle name="Normal 2 3 3 5 4 10" xfId="47744"/>
    <cellStyle name="Normal 3 3 3 5 4 10" xfId="47745"/>
    <cellStyle name="Normal 4 2 3 5 4 10" xfId="47746"/>
    <cellStyle name="Normal 5 2 3 5 4 10" xfId="47747"/>
    <cellStyle name="Normal 7 2 3 5 4 10" xfId="47748"/>
    <cellStyle name="Normal 2 4 3 5 4 10" xfId="47749"/>
    <cellStyle name="Normal 3 4 3 5 4 10" xfId="47750"/>
    <cellStyle name="Normal 4 3 3 5 4 10" xfId="47751"/>
    <cellStyle name="Normal 5 3 3 5 4 10" xfId="47752"/>
    <cellStyle name="Normal 7 3 3 5 4 10" xfId="47753"/>
    <cellStyle name="Normal 2 7 4 4 10" xfId="47754"/>
    <cellStyle name="Normal 3 7 4 4 10" xfId="47755"/>
    <cellStyle name="Normal 4 6 4 4 10" xfId="47756"/>
    <cellStyle name="Normal 5 6 4 4 10" xfId="47757"/>
    <cellStyle name="Normal 7 6 4 4 10" xfId="47758"/>
    <cellStyle name="Normal 2 3 4 4 4 10" xfId="47759"/>
    <cellStyle name="Normal 3 3 4 4 4 10" xfId="47760"/>
    <cellStyle name="Normal 4 2 4 4 4 10" xfId="47761"/>
    <cellStyle name="Normal 5 2 4 4 4 10" xfId="47762"/>
    <cellStyle name="Normal 7 2 4 4 4 10" xfId="47763"/>
    <cellStyle name="Normal 2 4 4 4 4 10" xfId="47764"/>
    <cellStyle name="Normal 3 4 4 4 4 10" xfId="47765"/>
    <cellStyle name="Normal 4 3 4 4 4 10" xfId="47766"/>
    <cellStyle name="Normal 5 3 4 4 4 10" xfId="47767"/>
    <cellStyle name="Normal 7 3 4 4 4 10" xfId="47768"/>
    <cellStyle name="Normal 2 5 2 4 4 10" xfId="47769"/>
    <cellStyle name="Normal 3 5 2 4 4 10" xfId="47770"/>
    <cellStyle name="Normal 4 4 2 4 4 10" xfId="47771"/>
    <cellStyle name="Normal 5 4 2 4 4 10" xfId="47772"/>
    <cellStyle name="Normal 7 4 2 4 4 10" xfId="47773"/>
    <cellStyle name="Normal 2 3 2 2 4 4 10" xfId="47774"/>
    <cellStyle name="Normal 3 3 2 2 4 4 10" xfId="47775"/>
    <cellStyle name="Normal 4 2 2 2 4 4 10" xfId="47776"/>
    <cellStyle name="Normal 5 2 2 2 4 4 10" xfId="47777"/>
    <cellStyle name="Normal 7 2 2 2 4 4 10" xfId="47778"/>
    <cellStyle name="Normal 2 4 2 2 4 4 10" xfId="47779"/>
    <cellStyle name="Normal 3 4 2 2 4 4 10" xfId="47780"/>
    <cellStyle name="Normal 4 3 2 2 4 4 10" xfId="47781"/>
    <cellStyle name="Normal 5 3 2 2 4 4 10" xfId="47782"/>
    <cellStyle name="Normal 7 3 2 2 4 4 10" xfId="47783"/>
    <cellStyle name="Normal 2 6 2 4 4 10" xfId="47784"/>
    <cellStyle name="Normal 3 6 2 4 4 10" xfId="47785"/>
    <cellStyle name="Normal 4 5 2 4 4 10" xfId="47786"/>
    <cellStyle name="Normal 5 5 2 4 4 10" xfId="47787"/>
    <cellStyle name="Normal 7 5 2 4 4 10" xfId="47788"/>
    <cellStyle name="Normal 2 3 3 2 4 4 10" xfId="47789"/>
    <cellStyle name="Normal 3 3 3 2 4 4 10" xfId="47790"/>
    <cellStyle name="Normal 4 2 3 2 4 4 10" xfId="47791"/>
    <cellStyle name="Normal 5 2 3 2 4 4 10" xfId="47792"/>
    <cellStyle name="Normal 7 2 3 2 4 4 10" xfId="47793"/>
    <cellStyle name="Normal 2 4 3 2 4 4 10" xfId="47794"/>
    <cellStyle name="Normal 3 4 3 2 4 4 10" xfId="47795"/>
    <cellStyle name="Normal 4 3 3 2 4 4 10" xfId="47796"/>
    <cellStyle name="Normal 5 3 3 2 4 4 10" xfId="47797"/>
    <cellStyle name="Normal 7 3 3 2 4 4 10" xfId="47798"/>
    <cellStyle name="Normal 2 8 3 4 10" xfId="47799"/>
    <cellStyle name="Normal 3 8 3 4 10" xfId="47800"/>
    <cellStyle name="Normal 4 7 3 4 10" xfId="47801"/>
    <cellStyle name="Normal 5 7 3 4 10" xfId="47802"/>
    <cellStyle name="Normal 7 7 3 4 10" xfId="47803"/>
    <cellStyle name="Normal 2 3 5 3 4 10" xfId="47804"/>
    <cellStyle name="Normal 3 3 5 3 4 10" xfId="47805"/>
    <cellStyle name="Normal 4 2 5 3 4 10" xfId="47806"/>
    <cellStyle name="Normal 5 2 5 3 4 10" xfId="47807"/>
    <cellStyle name="Normal 7 2 5 3 4 10" xfId="47808"/>
    <cellStyle name="Normal 3 4 5 3 4 10" xfId="47809"/>
    <cellStyle name="Normal 4 3 5 3 4 10" xfId="47810"/>
    <cellStyle name="Normal 5 3 5 3 4 10" xfId="47811"/>
    <cellStyle name="Normal 7 3 5 3 4 10" xfId="47812"/>
    <cellStyle name="Normal 2 5 3 3 4 10" xfId="47813"/>
    <cellStyle name="Normal 3 5 3 3 4 10" xfId="47814"/>
    <cellStyle name="Normal 4 4 3 3 4 10" xfId="47815"/>
    <cellStyle name="Normal 5 4 3 3 4 10" xfId="47816"/>
    <cellStyle name="Normal 7 4 3 3 4 10" xfId="47817"/>
    <cellStyle name="Normal 2 3 2 3 3 4 10" xfId="47818"/>
    <cellStyle name="Normal 3 3 2 3 3 4 10" xfId="47819"/>
    <cellStyle name="Normal 4 2 2 3 3 4 10" xfId="47820"/>
    <cellStyle name="Normal 5 2 2 3 3 4 10" xfId="47821"/>
    <cellStyle name="Normal 7 2 2 3 3 4 10" xfId="47822"/>
    <cellStyle name="Normal 2 4 2 3 3 4 10" xfId="47823"/>
    <cellStyle name="Normal 3 4 2 3 3 4 10" xfId="47824"/>
    <cellStyle name="Normal 4 3 2 3 3 4 10" xfId="47825"/>
    <cellStyle name="Normal 5 3 2 3 3 4 10" xfId="47826"/>
    <cellStyle name="Normal 7 3 2 3 3 4 10" xfId="47827"/>
    <cellStyle name="Normal 2 6 3 3 4 10" xfId="47828"/>
    <cellStyle name="Normal 3 6 3 3 4 10" xfId="47829"/>
    <cellStyle name="Normal 4 5 3 3 4 10" xfId="47830"/>
    <cellStyle name="Normal 5 5 3 3 4 10" xfId="47831"/>
    <cellStyle name="Normal 7 5 3 3 4 10" xfId="47832"/>
    <cellStyle name="Normal 2 3 3 3 3 4 10" xfId="47833"/>
    <cellStyle name="Normal 3 3 3 3 3 4 10" xfId="47834"/>
    <cellStyle name="Normal 4 2 3 3 3 4 10" xfId="47835"/>
    <cellStyle name="Normal 5 2 3 3 3 4 10" xfId="47836"/>
    <cellStyle name="Normal 7 2 3 3 3 4 10" xfId="47837"/>
    <cellStyle name="Normal 2 4 3 3 3 4 10" xfId="47838"/>
    <cellStyle name="Normal 3 4 3 3 3 4 10" xfId="47839"/>
    <cellStyle name="Normal 4 3 3 3 3 4 10" xfId="47840"/>
    <cellStyle name="Normal 5 3 3 3 3 4 10" xfId="47841"/>
    <cellStyle name="Normal 7 3 3 3 3 4 10" xfId="47842"/>
    <cellStyle name="Normal 2 7 2 3 4 10" xfId="47843"/>
    <cellStyle name="Normal 3 7 2 3 4 10" xfId="47844"/>
    <cellStyle name="Normal 4 6 2 3 4 10" xfId="47845"/>
    <cellStyle name="Normal 5 6 2 3 4 10" xfId="47846"/>
    <cellStyle name="Normal 7 6 2 3 4 10" xfId="47847"/>
    <cellStyle name="Normal 2 3 4 2 3 4 10" xfId="47848"/>
    <cellStyle name="Normal 3 3 4 2 3 4 10" xfId="47849"/>
    <cellStyle name="Normal 4 2 4 2 3 4 10" xfId="47850"/>
    <cellStyle name="Normal 5 2 4 2 3 4 10" xfId="47851"/>
    <cellStyle name="Normal 7 2 4 2 3 4 10" xfId="47852"/>
    <cellStyle name="Normal 2 4 4 2 3 4 10" xfId="47853"/>
    <cellStyle name="Normal 3 4 4 2 3 4 10" xfId="47854"/>
    <cellStyle name="Normal 4 3 4 2 3 4 10" xfId="47855"/>
    <cellStyle name="Normal 5 3 4 2 3 4 10" xfId="47856"/>
    <cellStyle name="Normal 7 3 4 2 3 4 10" xfId="47857"/>
    <cellStyle name="Normal 2 5 2 2 3 4 10" xfId="47858"/>
    <cellStyle name="Normal 3 5 2 2 3 4 10" xfId="47859"/>
    <cellStyle name="Normal 4 4 2 2 3 4 10" xfId="47860"/>
    <cellStyle name="Normal 5 4 2 2 3 4 10" xfId="47861"/>
    <cellStyle name="Normal 7 4 2 2 3 4 10" xfId="47862"/>
    <cellStyle name="Normal 2 3 2 2 2 3 4 10" xfId="47863"/>
    <cellStyle name="Normal 3 3 2 2 2 3 4 10" xfId="47864"/>
    <cellStyle name="Normal 4 2 2 2 2 3 4 10" xfId="47865"/>
    <cellStyle name="Normal 5 2 2 2 2 3 4 10" xfId="47866"/>
    <cellStyle name="Normal 7 2 2 2 2 3 4 10" xfId="47867"/>
    <cellStyle name="Normal 2 4 2 2 2 3 4 10" xfId="47868"/>
    <cellStyle name="Normal 3 4 2 2 2 3 4 10" xfId="47869"/>
    <cellStyle name="Normal 4 3 2 2 2 3 4 10" xfId="47870"/>
    <cellStyle name="Normal 5 3 2 2 2 3 4 10" xfId="47871"/>
    <cellStyle name="Normal 7 3 2 2 2 3 4 10" xfId="47872"/>
    <cellStyle name="Normal 2 6 2 2 3 4 10" xfId="47873"/>
    <cellStyle name="Normal 3 6 2 2 3 4 10" xfId="47874"/>
    <cellStyle name="Normal 4 5 2 2 3 4 10" xfId="47875"/>
    <cellStyle name="Normal 5 5 2 2 3 4 10" xfId="47876"/>
    <cellStyle name="Normal 7 5 2 2 3 4 10" xfId="47877"/>
    <cellStyle name="Normal 2 3 3 2 2 3 4 10" xfId="47878"/>
    <cellStyle name="Normal 3 3 3 2 2 3 4 10" xfId="47879"/>
    <cellStyle name="Normal 4 2 3 2 2 3 4 10" xfId="47880"/>
    <cellStyle name="Normal 5 2 3 2 2 3 4 10" xfId="47881"/>
    <cellStyle name="Normal 7 2 3 2 2 3 4 10" xfId="47882"/>
    <cellStyle name="Normal 2 4 3 2 2 3 4 10" xfId="47883"/>
    <cellStyle name="Normal 3 4 3 2 2 3 4 10" xfId="47884"/>
    <cellStyle name="Normal 4 3 3 2 2 3 4 10" xfId="47885"/>
    <cellStyle name="Normal 5 3 3 2 2 3 4 10" xfId="47886"/>
    <cellStyle name="Normal 7 3 3 2 2 3 4 10" xfId="47887"/>
    <cellStyle name="Normal 2 11 2 10" xfId="47888"/>
    <cellStyle name="Normal 3 11 2 10" xfId="47889"/>
    <cellStyle name="Normal 4 10 2 10" xfId="47890"/>
    <cellStyle name="Normal 5 10 2 10" xfId="47891"/>
    <cellStyle name="Normal 7 10 2 10" xfId="47892"/>
    <cellStyle name="Normal 2 3 8 2 10" xfId="47893"/>
    <cellStyle name="Normal 3 3 8 2 10" xfId="47894"/>
    <cellStyle name="Normal 4 2 8 2 10" xfId="47895"/>
    <cellStyle name="Normal 5 2 8 2 10" xfId="47896"/>
    <cellStyle name="Normal 7 2 8 2 10" xfId="47897"/>
    <cellStyle name="Normal 2 4 8 2 10" xfId="47898"/>
    <cellStyle name="Normal 3 4 8 2 10" xfId="47899"/>
    <cellStyle name="Normal 4 3 8 2 10" xfId="47900"/>
    <cellStyle name="Normal 5 3 8 2 10" xfId="47901"/>
    <cellStyle name="Normal 7 3 8 2 10" xfId="47902"/>
    <cellStyle name="Normal 2 5 6 2 10" xfId="47903"/>
    <cellStyle name="Normal 3 5 6 2 10" xfId="47904"/>
    <cellStyle name="Normal 4 4 6 2 10" xfId="47905"/>
    <cellStyle name="Normal 5 4 6 2 10" xfId="47906"/>
    <cellStyle name="Normal 7 4 6 2 10" xfId="47907"/>
    <cellStyle name="Normal 2 3 2 6 2 10" xfId="47908"/>
    <cellStyle name="Normal 3 3 2 6 2 10" xfId="47909"/>
    <cellStyle name="Normal 4 2 2 6 2 10" xfId="47910"/>
    <cellStyle name="Normal 5 2 2 6 2 10" xfId="47911"/>
    <cellStyle name="Normal 7 2 2 6 2 10" xfId="47912"/>
    <cellStyle name="Normal 2 4 2 6 2 10" xfId="47913"/>
    <cellStyle name="Normal 3 4 2 6 2 10" xfId="47914"/>
    <cellStyle name="Normal 4 3 2 6 2 10" xfId="47915"/>
    <cellStyle name="Normal 5 3 2 6 2 10" xfId="47916"/>
    <cellStyle name="Normal 7 3 2 6 2 10" xfId="47917"/>
    <cellStyle name="Normal 2 6 6 2 10" xfId="47918"/>
    <cellStyle name="Normal 3 6 6 2 10" xfId="47919"/>
    <cellStyle name="Normal 4 5 6 2 10" xfId="47920"/>
    <cellStyle name="Normal 5 5 6 2 10" xfId="47921"/>
    <cellStyle name="Normal 7 5 6 2 10" xfId="47922"/>
    <cellStyle name="Normal 2 3 3 6 2 10" xfId="47923"/>
    <cellStyle name="Normal 3 3 3 6 2 10" xfId="47924"/>
    <cellStyle name="Normal 4 2 3 6 2 10" xfId="47925"/>
    <cellStyle name="Normal 5 2 3 6 2 10" xfId="47926"/>
    <cellStyle name="Normal 7 2 3 6 2 10" xfId="47927"/>
    <cellStyle name="Normal 2 4 3 6 2 10" xfId="47928"/>
    <cellStyle name="Normal 3 4 3 6 2 10" xfId="47929"/>
    <cellStyle name="Normal 4 3 3 6 2 10" xfId="47930"/>
    <cellStyle name="Normal 5 3 3 6 2 10" xfId="47931"/>
    <cellStyle name="Normal 7 3 3 6 2 10" xfId="47932"/>
    <cellStyle name="Normal 2 7 5 2 10" xfId="47933"/>
    <cellStyle name="Normal 3 7 5 2 10" xfId="47934"/>
    <cellStyle name="Normal 4 6 5 2 10" xfId="47935"/>
    <cellStyle name="Normal 5 6 5 2 10" xfId="47936"/>
    <cellStyle name="Normal 7 6 5 2 10" xfId="47937"/>
    <cellStyle name="Normal 2 3 4 5 2 10" xfId="47938"/>
    <cellStyle name="Normal 3 3 4 5 2 10" xfId="47939"/>
    <cellStyle name="Normal 4 2 4 5 2 10" xfId="47940"/>
    <cellStyle name="Normal 5 2 4 5 2 10" xfId="47941"/>
    <cellStyle name="Normal 7 2 4 5 2 10" xfId="47942"/>
    <cellStyle name="Normal 2 4 4 5 2 10" xfId="47943"/>
    <cellStyle name="Normal 3 4 4 5 2 10" xfId="47944"/>
    <cellStyle name="Normal 4 3 4 5 2 10" xfId="47945"/>
    <cellStyle name="Normal 5 3 4 5 2 10" xfId="47946"/>
    <cellStyle name="Normal 7 3 4 5 2 10" xfId="47947"/>
    <cellStyle name="Normal 2 5 2 5 2 10" xfId="47948"/>
    <cellStyle name="Normal 3 5 2 5 2 10" xfId="47949"/>
    <cellStyle name="Normal 4 4 2 5 2 10" xfId="47950"/>
    <cellStyle name="Normal 5 4 2 5 2 10" xfId="47951"/>
    <cellStyle name="Normal 7 4 2 5 2 10" xfId="47952"/>
    <cellStyle name="Normal 2 3 2 2 5 2 10" xfId="47953"/>
    <cellStyle name="Normal 3 3 2 2 5 2 10" xfId="47954"/>
    <cellStyle name="Normal 4 2 2 2 5 2 10" xfId="47955"/>
    <cellStyle name="Normal 5 2 2 2 5 2 10" xfId="47956"/>
    <cellStyle name="Normal 7 2 2 2 5 2 10" xfId="47957"/>
    <cellStyle name="Normal 2 4 2 2 5 2 10" xfId="47958"/>
    <cellStyle name="Normal 3 4 2 2 5 2 10" xfId="47959"/>
    <cellStyle name="Normal 4 3 2 2 5 2 10" xfId="47960"/>
    <cellStyle name="Normal 5 3 2 2 5 2 10" xfId="47961"/>
    <cellStyle name="Normal 7 3 2 2 5 2 10" xfId="47962"/>
    <cellStyle name="Normal 2 6 2 5 2 10" xfId="47963"/>
    <cellStyle name="Normal 3 6 2 5 2 10" xfId="47964"/>
    <cellStyle name="Normal 4 5 2 5 2 10" xfId="47965"/>
    <cellStyle name="Normal 5 5 2 5 2 10" xfId="47966"/>
    <cellStyle name="Normal 7 5 2 5 2 10" xfId="47967"/>
    <cellStyle name="Normal 2 3 3 2 5 2 10" xfId="47968"/>
    <cellStyle name="Normal 3 3 3 2 5 2 10" xfId="47969"/>
    <cellStyle name="Normal 4 2 3 2 5 2 10" xfId="47970"/>
    <cellStyle name="Normal 5 2 3 2 5 2 10" xfId="47971"/>
    <cellStyle name="Normal 7 2 3 2 5 2 10" xfId="47972"/>
    <cellStyle name="Normal 2 4 3 2 5 2 10" xfId="47973"/>
    <cellStyle name="Normal 3 4 3 2 5 2 10" xfId="47974"/>
    <cellStyle name="Normal 4 3 3 2 5 2 10" xfId="47975"/>
    <cellStyle name="Normal 5 3 3 2 5 2 10" xfId="47976"/>
    <cellStyle name="Normal 7 3 3 2 5 2 10" xfId="47977"/>
    <cellStyle name="Normal 2 8 4 2 10" xfId="47978"/>
    <cellStyle name="Normal 3 8 4 2 10" xfId="47979"/>
    <cellStyle name="Normal 4 7 4 2 10" xfId="47980"/>
    <cellStyle name="Normal 5 7 4 2 10" xfId="47981"/>
    <cellStyle name="Normal 7 7 4 2 10" xfId="47982"/>
    <cellStyle name="Normal 2 3 5 4 2 10" xfId="47983"/>
    <cellStyle name="Normal 3 3 5 4 2 10" xfId="47984"/>
    <cellStyle name="Normal 4 2 5 4 2 10" xfId="47985"/>
    <cellStyle name="Normal 5 2 5 4 2 10" xfId="47986"/>
    <cellStyle name="Normal 7 2 5 4 2 10" xfId="47987"/>
    <cellStyle name="Normal 2 4 5 4 2 10" xfId="47988"/>
    <cellStyle name="Normal 3 4 5 4 2 10" xfId="47989"/>
    <cellStyle name="Normal 4 3 5 4 2 10" xfId="47990"/>
    <cellStyle name="Normal 5 3 5 4 2 10" xfId="47991"/>
    <cellStyle name="Normal 7 3 5 4 2 10" xfId="47992"/>
    <cellStyle name="Normal 2 5 3 4 2 10" xfId="47993"/>
    <cellStyle name="Normal 3 5 3 4 2 10" xfId="47994"/>
    <cellStyle name="Normal 4 4 3 4 2 10" xfId="47995"/>
    <cellStyle name="Normal 5 4 3 4 2 10" xfId="47996"/>
    <cellStyle name="Normal 7 4 3 4 2 10" xfId="47997"/>
    <cellStyle name="Normal 2 3 2 3 4 2 10" xfId="47998"/>
    <cellStyle name="Normal 3 3 2 3 4 2 10" xfId="47999"/>
    <cellStyle name="Normal 4 2 2 3 4 2 10" xfId="48000"/>
    <cellStyle name="Normal 5 2 2 3 4 2 10" xfId="48001"/>
    <cellStyle name="Normal 7 2 2 3 4 2 10" xfId="48002"/>
    <cellStyle name="Normal 2 4 2 3 4 2 10" xfId="48003"/>
    <cellStyle name="Normal 3 4 2 3 4 2 10" xfId="48004"/>
    <cellStyle name="Normal 4 3 2 3 4 2 10" xfId="48005"/>
    <cellStyle name="Normal 5 3 2 3 4 2 10" xfId="48006"/>
    <cellStyle name="Normal 7 3 2 3 4 2 10" xfId="48007"/>
    <cellStyle name="Normal 2 6 3 4 2 10" xfId="48008"/>
    <cellStyle name="Normal 3 6 3 4 2 10" xfId="48009"/>
    <cellStyle name="Normal 4 5 3 4 2 10" xfId="48010"/>
    <cellStyle name="Normal 5 5 3 4 2 10" xfId="48011"/>
    <cellStyle name="Normal 7 5 3 4 2 10" xfId="48012"/>
    <cellStyle name="Normal 2 3 3 3 4 2 10" xfId="48013"/>
    <cellStyle name="Normal 3 3 3 3 4 2 10" xfId="48014"/>
    <cellStyle name="Normal 4 2 3 3 4 2 10" xfId="48015"/>
    <cellStyle name="Normal 5 2 3 3 4 2 10" xfId="48016"/>
    <cellStyle name="Normal 7 2 3 3 4 2 10" xfId="48017"/>
    <cellStyle name="Normal 2 4 3 3 4 2 10" xfId="48018"/>
    <cellStyle name="Normal 3 4 3 3 4 2 10" xfId="48019"/>
    <cellStyle name="Normal 4 3 3 3 4 2 10" xfId="48020"/>
    <cellStyle name="Normal 5 3 3 3 4 2 10" xfId="48021"/>
    <cellStyle name="Normal 7 3 3 3 4 2 10" xfId="48022"/>
    <cellStyle name="Normal 2 7 2 4 2 10" xfId="48023"/>
    <cellStyle name="Normal 3 7 2 4 2 10" xfId="48024"/>
    <cellStyle name="Normal 4 6 2 4 2 10" xfId="48025"/>
    <cellStyle name="Normal 5 6 2 4 2 10" xfId="48026"/>
    <cellStyle name="Normal 7 6 2 4 2 10" xfId="48027"/>
    <cellStyle name="Normal 2 3 4 2 4 2 10" xfId="48028"/>
    <cellStyle name="Normal 3 3 4 2 4 2 10" xfId="48029"/>
    <cellStyle name="Normal 4 2 4 2 4 2 10" xfId="48030"/>
    <cellStyle name="Normal 5 2 4 2 4 2 10" xfId="48031"/>
    <cellStyle name="Normal 7 2 4 2 4 2 10" xfId="48032"/>
    <cellStyle name="Normal 2 4 4 2 4 2 10" xfId="48033"/>
    <cellStyle name="Normal 3 4 4 2 4 2 10" xfId="48034"/>
    <cellStyle name="Normal 4 3 4 2 4 2 10" xfId="48035"/>
    <cellStyle name="Normal 5 3 4 2 4 2 10" xfId="48036"/>
    <cellStyle name="Normal 7 3 4 2 4 2 10" xfId="48037"/>
    <cellStyle name="Normal 2 5 2 2 4 2 10" xfId="48038"/>
    <cellStyle name="Normal 3 5 2 2 4 2 10" xfId="48039"/>
    <cellStyle name="Normal 4 4 2 2 4 2 10" xfId="48040"/>
    <cellStyle name="Normal 5 4 2 2 4 2 10" xfId="48041"/>
    <cellStyle name="Normal 7 4 2 2 4 2 10" xfId="48042"/>
    <cellStyle name="Normal 2 3 2 2 2 4 2 10" xfId="48043"/>
    <cellStyle name="Normal 3 3 2 2 2 4 2 10" xfId="48044"/>
    <cellStyle name="Normal 4 2 2 2 2 4 2 10" xfId="48045"/>
    <cellStyle name="Normal 5 2 2 2 2 4 2 10" xfId="48046"/>
    <cellStyle name="Normal 7 2 2 2 2 4 2 10" xfId="48047"/>
    <cellStyle name="Normal 2 4 2 2 2 4 2 10" xfId="48048"/>
    <cellStyle name="Normal 3 4 2 2 2 4 2 10" xfId="48049"/>
    <cellStyle name="Normal 4 3 2 2 2 4 2 10" xfId="48050"/>
    <cellStyle name="Normal 5 3 2 2 2 4 2 10" xfId="48051"/>
    <cellStyle name="Normal 7 3 2 2 2 4 2 10" xfId="48052"/>
    <cellStyle name="Normal 2 6 2 2 4 2 10" xfId="48053"/>
    <cellStyle name="Normal 3 6 2 2 4 2 10" xfId="48054"/>
    <cellStyle name="Normal 4 5 2 2 4 2 10" xfId="48055"/>
    <cellStyle name="Normal 5 5 2 2 4 2 10" xfId="48056"/>
    <cellStyle name="Normal 7 5 2 2 4 2 10" xfId="48057"/>
    <cellStyle name="Normal 2 3 3 2 2 4 2 10" xfId="48058"/>
    <cellStyle name="Normal 3 3 3 2 2 4 2 10" xfId="48059"/>
    <cellStyle name="Normal 4 2 3 2 2 4 2 10" xfId="48060"/>
    <cellStyle name="Normal 5 2 3 2 2 4 2 10" xfId="48061"/>
    <cellStyle name="Normal 7 2 3 2 2 4 2 10" xfId="48062"/>
    <cellStyle name="Normal 2 4 3 2 2 4 2 10" xfId="48063"/>
    <cellStyle name="Normal 3 4 3 2 2 4 2 10" xfId="48064"/>
    <cellStyle name="Normal 4 3 3 2 2 4 2 10" xfId="48065"/>
    <cellStyle name="Normal 5 3 3 2 2 4 2 10" xfId="48066"/>
    <cellStyle name="Normal 7 3 3 2 2 4 2 10" xfId="48067"/>
    <cellStyle name="Normal 2 9 2 2 10" xfId="48068"/>
    <cellStyle name="Normal 3 9 2 2 10" xfId="48069"/>
    <cellStyle name="Normal 4 8 2 2 10" xfId="48070"/>
    <cellStyle name="Normal 5 8 2 2 10" xfId="48071"/>
    <cellStyle name="Normal 7 8 2 2 10" xfId="48072"/>
    <cellStyle name="Normal 2 3 6 2 2 10" xfId="48073"/>
    <cellStyle name="Normal 3 3 6 2 2 10" xfId="48074"/>
    <cellStyle name="Normal 4 2 6 2 2 10" xfId="48075"/>
    <cellStyle name="Normal 5 2 6 2 2 10" xfId="48076"/>
    <cellStyle name="Normal 7 2 6 2 2 10" xfId="48077"/>
    <cellStyle name="Normal 2 4 6 2 2 10" xfId="48078"/>
    <cellStyle name="Normal 3 4 6 2 2 10" xfId="48079"/>
    <cellStyle name="Normal 4 3 6 2 2 10" xfId="48080"/>
    <cellStyle name="Normal 5 3 6 2 2 10" xfId="48081"/>
    <cellStyle name="Normal 7 3 6 2 2 10" xfId="48082"/>
    <cellStyle name="Normal 2 5 4 2 2 10" xfId="48083"/>
    <cellStyle name="Normal 3 5 4 2 2 10" xfId="48084"/>
    <cellStyle name="Normal 4 4 4 2 2 10" xfId="48085"/>
    <cellStyle name="Normal 5 4 4 2 2 10" xfId="48086"/>
    <cellStyle name="Normal 7 4 4 2 2 10" xfId="48087"/>
    <cellStyle name="Normal 2 3 2 4 2 2 10" xfId="48088"/>
    <cellStyle name="Normal 3 3 2 4 2 2 10" xfId="48089"/>
    <cellStyle name="Normal 4 2 2 4 2 2 10" xfId="48090"/>
    <cellStyle name="Normal 5 2 2 4 2 2 10" xfId="48091"/>
    <cellStyle name="Normal 7 2 2 4 2 2 10" xfId="48092"/>
    <cellStyle name="Normal 2 4 2 4 2 2 10" xfId="48093"/>
    <cellStyle name="Normal 3 4 2 4 2 2 10" xfId="48094"/>
    <cellStyle name="Normal 4 3 2 4 2 2 10" xfId="48095"/>
    <cellStyle name="Normal 5 3 2 4 2 2 10" xfId="48096"/>
    <cellStyle name="Normal 7 3 2 4 2 2 10" xfId="48097"/>
    <cellStyle name="Normal 2 6 4 2 2 10" xfId="48098"/>
    <cellStyle name="Normal 3 6 4 2 2 10" xfId="48099"/>
    <cellStyle name="Normal 4 5 4 2 2 10" xfId="48100"/>
    <cellStyle name="Normal 5 5 4 2 2 10" xfId="48101"/>
    <cellStyle name="Normal 7 5 4 2 2 10" xfId="48102"/>
    <cellStyle name="Normal 2 3 3 4 2 2 10" xfId="48103"/>
    <cellStyle name="Normal 3 3 3 4 2 2 10" xfId="48104"/>
    <cellStyle name="Normal 4 2 3 4 2 2 10" xfId="48105"/>
    <cellStyle name="Normal 5 2 3 4 2 2 10" xfId="48106"/>
    <cellStyle name="Normal 7 2 3 4 2 2 10" xfId="48107"/>
    <cellStyle name="Normal 2 4 3 4 2 2 10" xfId="48108"/>
    <cellStyle name="Normal 3 4 3 4 2 2 10" xfId="48109"/>
    <cellStyle name="Normal 4 3 3 4 2 2 10" xfId="48110"/>
    <cellStyle name="Normal 5 3 3 4 2 2 10" xfId="48111"/>
    <cellStyle name="Normal 7 3 3 4 2 2 10" xfId="48112"/>
    <cellStyle name="Normal 2 7 3 2 2 10" xfId="48113"/>
    <cellStyle name="Normal 3 7 3 2 2 10" xfId="48114"/>
    <cellStyle name="Normal 4 6 3 2 2 10" xfId="48115"/>
    <cellStyle name="Normal 5 6 3 2 2 10" xfId="48116"/>
    <cellStyle name="Normal 7 6 3 2 2 10" xfId="48117"/>
    <cellStyle name="Normal 2 3 4 3 2 2 10" xfId="48118"/>
    <cellStyle name="Normal 3 3 4 3 2 2 10" xfId="48119"/>
    <cellStyle name="Normal 4 2 4 3 2 2 10" xfId="48120"/>
    <cellStyle name="Normal 5 2 4 3 2 2 10" xfId="48121"/>
    <cellStyle name="Normal 7 2 4 3 2 2 10" xfId="48122"/>
    <cellStyle name="Normal 2 4 4 3 2 2 10" xfId="48123"/>
    <cellStyle name="Normal 3 4 4 3 2 2 10" xfId="48124"/>
    <cellStyle name="Normal 4 3 4 3 2 2 10" xfId="48125"/>
    <cellStyle name="Normal 5 3 4 3 2 2 10" xfId="48126"/>
    <cellStyle name="Normal 7 3 4 3 2 2 10" xfId="48127"/>
    <cellStyle name="Normal 2 5 2 3 2 2 10" xfId="48128"/>
    <cellStyle name="Normal 3 5 2 3 2 2 10" xfId="48129"/>
    <cellStyle name="Normal 4 4 2 3 2 2 10" xfId="48130"/>
    <cellStyle name="Normal 5 4 2 3 2 2 10" xfId="48131"/>
    <cellStyle name="Normal 7 4 2 3 2 2 10" xfId="48132"/>
    <cellStyle name="Normal 2 3 2 2 3 2 2 10" xfId="48133"/>
    <cellStyle name="Normal 3 3 2 2 3 2 2 10" xfId="48134"/>
    <cellStyle name="Normal 4 2 2 2 3 2 2 10" xfId="48135"/>
    <cellStyle name="Normal 5 2 2 2 3 2 2 10" xfId="48136"/>
    <cellStyle name="Normal 7 2 2 2 3 2 2 10" xfId="48137"/>
    <cellStyle name="Normal 2 4 2 2 3 2 2 10" xfId="48138"/>
    <cellStyle name="Normal 3 4 2 2 3 2 2 10" xfId="48139"/>
    <cellStyle name="Normal 4 3 2 2 3 2 2 10" xfId="48140"/>
    <cellStyle name="Normal 5 3 2 2 3 2 2 10" xfId="48141"/>
    <cellStyle name="Normal 7 3 2 2 3 2 2 10" xfId="48142"/>
    <cellStyle name="Normal 2 6 2 3 2 2 10" xfId="48143"/>
    <cellStyle name="Normal 3 6 2 3 2 2 10" xfId="48144"/>
    <cellStyle name="Normal 4 5 2 3 2 2 10" xfId="48145"/>
    <cellStyle name="Normal 5 5 2 3 2 2 10" xfId="48146"/>
    <cellStyle name="Normal 7 5 2 3 2 2 10" xfId="48147"/>
    <cellStyle name="Normal 2 3 3 2 3 2 2 10" xfId="48148"/>
    <cellStyle name="Normal 3 3 3 2 3 2 2 10" xfId="48149"/>
    <cellStyle name="Normal 4 2 3 2 3 2 2 10" xfId="48150"/>
    <cellStyle name="Normal 5 2 3 2 3 2 2 10" xfId="48151"/>
    <cellStyle name="Normal 7 2 3 2 3 2 2 10" xfId="48152"/>
    <cellStyle name="Normal 2 4 3 2 3 2 2 10" xfId="48153"/>
    <cellStyle name="Normal 3 4 3 2 3 2 2 10" xfId="48154"/>
    <cellStyle name="Normal 4 3 3 2 3 2 2 10" xfId="48155"/>
    <cellStyle name="Normal 5 3 3 2 3 2 2 10" xfId="48156"/>
    <cellStyle name="Normal 7 3 3 2 3 2 2 10" xfId="48157"/>
    <cellStyle name="Normal 2 8 2 2 2 10" xfId="48158"/>
    <cellStyle name="Normal 3 8 2 2 2 10" xfId="48159"/>
    <cellStyle name="Normal 4 7 2 2 2 10" xfId="48160"/>
    <cellStyle name="Normal 5 7 2 2 2 10" xfId="48161"/>
    <cellStyle name="Normal 7 7 2 2 2 10" xfId="48162"/>
    <cellStyle name="Normal 2 3 5 2 2 2 10" xfId="48163"/>
    <cellStyle name="Normal 3 3 5 2 2 2 10" xfId="48164"/>
    <cellStyle name="Normal 4 2 5 2 2 2 10" xfId="48165"/>
    <cellStyle name="Normal 5 2 5 2 2 2 10" xfId="48166"/>
    <cellStyle name="Normal 7 2 5 2 2 2 10" xfId="48167"/>
    <cellStyle name="Normal 2 4 5 2 2 2 10" xfId="48168"/>
    <cellStyle name="Normal 3 4 5 2 2 2 10" xfId="48169"/>
    <cellStyle name="Normal 4 3 5 2 2 2 10" xfId="48170"/>
    <cellStyle name="Normal 5 3 5 2 2 2 10" xfId="48171"/>
    <cellStyle name="Normal 7 3 5 2 2 2 10" xfId="48172"/>
    <cellStyle name="Normal 2 5 3 2 2 2 10" xfId="48173"/>
    <cellStyle name="Normal 3 5 3 2 2 2 10" xfId="48174"/>
    <cellStyle name="Normal 4 4 3 2 2 2 10" xfId="48175"/>
    <cellStyle name="Normal 5 4 3 2 2 2 10" xfId="48176"/>
    <cellStyle name="Normal 7 4 3 2 2 2 10" xfId="48177"/>
    <cellStyle name="Normal 2 3 2 3 2 2 2 10" xfId="48178"/>
    <cellStyle name="Normal 3 3 2 3 2 2 2 10" xfId="48179"/>
    <cellStyle name="Normal 4 2 2 3 2 2 2 10" xfId="48180"/>
    <cellStyle name="Normal 5 2 2 3 2 2 2 10" xfId="48181"/>
    <cellStyle name="Normal 7 2 2 3 2 2 2 10" xfId="48182"/>
    <cellStyle name="Normal 2 4 2 3 2 2 2 10" xfId="48183"/>
    <cellStyle name="Normal 3 4 2 3 2 2 2 10" xfId="48184"/>
    <cellStyle name="Normal 4 3 2 3 2 2 2 10" xfId="48185"/>
    <cellStyle name="Normal 5 3 2 3 2 2 2 10" xfId="48186"/>
    <cellStyle name="Normal 7 3 2 3 2 2 2 10" xfId="48187"/>
    <cellStyle name="Normal 2 6 3 2 2 2 10" xfId="48188"/>
    <cellStyle name="Normal 3 6 3 2 2 2 10" xfId="48189"/>
    <cellStyle name="Normal 4 5 3 2 2 2 10" xfId="48190"/>
    <cellStyle name="Normal 5 5 3 2 2 2 10" xfId="48191"/>
    <cellStyle name="Normal 7 5 3 2 2 2 10" xfId="48192"/>
    <cellStyle name="Normal 2 3 3 3 2 2 2 10" xfId="48193"/>
    <cellStyle name="Normal 3 3 3 3 2 2 2 10" xfId="48194"/>
    <cellStyle name="Normal 4 2 3 3 2 2 2 10" xfId="48195"/>
    <cellStyle name="Normal 5 2 3 3 2 2 2 10" xfId="48196"/>
    <cellStyle name="Normal 7 2 3 3 2 2 2 10" xfId="48197"/>
    <cellStyle name="Normal 2 4 3 3 2 2 2 10" xfId="48198"/>
    <cellStyle name="Normal 3 4 3 3 2 2 2 10" xfId="48199"/>
    <cellStyle name="Normal 4 3 3 3 2 2 2 10" xfId="48200"/>
    <cellStyle name="Normal 5 3 3 3 2 2 2 10" xfId="48201"/>
    <cellStyle name="Normal 7 3 3 3 2 2 2 10" xfId="48202"/>
    <cellStyle name="Normal 2 7 2 2 2 2 10" xfId="48203"/>
    <cellStyle name="Normal 3 7 2 2 2 2 10" xfId="48204"/>
    <cellStyle name="Normal 4 6 2 2 2 2 10" xfId="48205"/>
    <cellStyle name="Normal 5 6 2 2 2 2 10" xfId="48206"/>
    <cellStyle name="Normal 7 6 2 2 2 2 10" xfId="48207"/>
    <cellStyle name="Normal 2 3 4 2 2 2 2 10" xfId="48208"/>
    <cellStyle name="Normal 3 3 4 2 2 2 2 10" xfId="48209"/>
    <cellStyle name="Normal 4 2 4 2 2 2 2 10" xfId="48210"/>
    <cellStyle name="Normal 5 2 4 2 2 2 2 10" xfId="48211"/>
    <cellStyle name="Normal 7 2 4 2 2 2 2 10" xfId="48212"/>
    <cellStyle name="Normal 2 4 4 2 2 2 2 10" xfId="48213"/>
    <cellStyle name="Normal 3 4 4 2 2 2 2 10" xfId="48214"/>
    <cellStyle name="Normal 4 3 4 2 2 2 2 10" xfId="48215"/>
    <cellStyle name="Normal 5 3 4 2 2 2 2 10" xfId="48216"/>
    <cellStyle name="Normal 7 3 4 2 2 2 2 10" xfId="48217"/>
    <cellStyle name="Normal 2 5 2 2 2 2 2 10" xfId="48218"/>
    <cellStyle name="Normal 3 5 2 2 2 2 2 10" xfId="48219"/>
    <cellStyle name="Normal 4 4 2 2 2 2 2 10" xfId="48220"/>
    <cellStyle name="Normal 5 4 2 2 2 2 2 10" xfId="48221"/>
    <cellStyle name="Normal 7 4 2 2 2 2 2 10" xfId="48222"/>
    <cellStyle name="Normal 2 3 2 2 2 2 2 2 10" xfId="48223"/>
    <cellStyle name="Normal 3 3 2 2 2 2 2 2 10" xfId="48224"/>
    <cellStyle name="Normal 4 2 2 2 2 2 2 2 10" xfId="48225"/>
    <cellStyle name="Normal 5 2 2 2 2 2 2 2 10" xfId="48226"/>
    <cellStyle name="Normal 7 2 2 2 2 2 2 2 10" xfId="48227"/>
    <cellStyle name="Normal 2 4 2 2 2 2 2 2 10" xfId="48228"/>
    <cellStyle name="Normal 3 4 2 2 2 2 2 2 10" xfId="48229"/>
    <cellStyle name="Normal 4 3 2 2 2 2 2 2 10" xfId="48230"/>
    <cellStyle name="Normal 5 3 2 2 2 2 2 2 10" xfId="48231"/>
    <cellStyle name="Normal 7 3 2 2 2 2 2 2 10" xfId="48232"/>
    <cellStyle name="Normal 2 6 2 2 2 2 2 10" xfId="48233"/>
    <cellStyle name="Normal 3 6 2 2 2 2 2 10" xfId="48234"/>
    <cellStyle name="Normal 4 5 2 2 2 2 2 10" xfId="48235"/>
    <cellStyle name="Normal 5 5 2 2 2 2 2 10" xfId="48236"/>
    <cellStyle name="Normal 7 5 2 2 2 2 2 10" xfId="48237"/>
    <cellStyle name="Normal 2 3 3 2 2 2 2 2 10" xfId="48238"/>
    <cellStyle name="Normal 3 3 3 2 2 2 2 2 10" xfId="48239"/>
    <cellStyle name="Normal 4 2 3 2 2 2 2 2 10" xfId="48240"/>
    <cellStyle name="Normal 5 2 3 2 2 2 2 2 10" xfId="48241"/>
    <cellStyle name="Normal 7 2 3 2 2 2 2 2 10" xfId="48242"/>
    <cellStyle name="Normal 2 4 3 2 2 2 2 2 10" xfId="48243"/>
    <cellStyle name="Normal 3 4 3 2 2 2 2 2 10" xfId="48244"/>
    <cellStyle name="Normal 4 3 3 2 2 2 2 2 10" xfId="48245"/>
    <cellStyle name="Normal 5 3 3 2 2 2 2 2 10" xfId="48246"/>
    <cellStyle name="Normal 7 3 3 2 2 2 2 2 10" xfId="48247"/>
    <cellStyle name="Normal 28 2 2 10" xfId="48248"/>
    <cellStyle name="Normal 2 3 7 2 2 10" xfId="48249"/>
    <cellStyle name="Normal 3 10 2 2 10" xfId="48250"/>
    <cellStyle name="Normal 4 9 2 2 10" xfId="48251"/>
    <cellStyle name="Normal 5 9 2 2 10" xfId="48252"/>
    <cellStyle name="Millares 4 2 2 10" xfId="48253"/>
    <cellStyle name="Normal 7 2 7 2 2 10" xfId="48254"/>
    <cellStyle name="Normal 3 3 7 2 2 10" xfId="48255"/>
    <cellStyle name="Normal 4 2 7 2 2 10" xfId="48256"/>
    <cellStyle name="Normal 5 2 7 2 2 10" xfId="48257"/>
    <cellStyle name="Normal 2 4 5 3 2 2 10" xfId="48258"/>
    <cellStyle name="Normal 3 4 7 2 2 10" xfId="48259"/>
    <cellStyle name="Normal 4 3 7 2 2 10" xfId="48260"/>
    <cellStyle name="Normal 5 3 7 2 2 10" xfId="48261"/>
    <cellStyle name="Normal 7 3 7 2 2 10" xfId="48262"/>
    <cellStyle name="Normal 2 5 5 2 2 10" xfId="48263"/>
    <cellStyle name="Normal 3 5 5 2 2 10" xfId="48264"/>
    <cellStyle name="Normal 4 4 5 2 2 10" xfId="48265"/>
    <cellStyle name="Normal 5 4 5 2 2 10" xfId="48266"/>
    <cellStyle name="Normal 7 4 5 2 2 10" xfId="48267"/>
    <cellStyle name="Normal 2 3 2 5 2 2 10" xfId="48268"/>
    <cellStyle name="Normal 3 3 2 5 2 2 10" xfId="48269"/>
    <cellStyle name="Normal 4 2 2 5 2 2 10" xfId="48270"/>
    <cellStyle name="Normal 5 2 2 5 2 2 10" xfId="48271"/>
    <cellStyle name="Normal 7 2 2 5 2 2 10" xfId="48272"/>
    <cellStyle name="Normal 2 4 2 5 2 2 10" xfId="48273"/>
    <cellStyle name="Normal 3 4 2 5 2 2 10" xfId="48274"/>
    <cellStyle name="Normal 4 3 2 5 2 2 10" xfId="48275"/>
    <cellStyle name="Normal 5 3 2 5 2 2 10" xfId="48276"/>
    <cellStyle name="Normal 7 3 2 5 2 2 10" xfId="48277"/>
    <cellStyle name="Normal 2 6 5 2 2 10" xfId="48278"/>
    <cellStyle name="Normal 3 6 5 2 2 10" xfId="48279"/>
    <cellStyle name="Normal 4 5 5 2 2 10" xfId="48280"/>
    <cellStyle name="Normal 5 5 5 2 2 10" xfId="48281"/>
    <cellStyle name="Normal 7 5 5 2 2 10" xfId="48282"/>
    <cellStyle name="Normal 2 3 3 5 2 2 10" xfId="48283"/>
    <cellStyle name="Normal 3 3 3 5 2 2 10" xfId="48284"/>
    <cellStyle name="Normal 4 2 3 5 2 2 10" xfId="48285"/>
    <cellStyle name="Normal 5 2 3 5 2 2 10" xfId="48286"/>
    <cellStyle name="Normal 7 2 3 5 2 2 10" xfId="48287"/>
    <cellStyle name="Normal 2 4 3 5 2 2 10" xfId="48288"/>
    <cellStyle name="Normal 3 4 3 5 2 2 10" xfId="48289"/>
    <cellStyle name="Normal 4 3 3 5 2 2 10" xfId="48290"/>
    <cellStyle name="Normal 5 3 3 5 2 2 10" xfId="48291"/>
    <cellStyle name="Normal 7 3 3 5 2 2 10" xfId="48292"/>
    <cellStyle name="Normal 2 7 4 2 2 10" xfId="48293"/>
    <cellStyle name="Normal 3 7 4 2 2 10" xfId="48294"/>
    <cellStyle name="Normal 4 6 4 2 2 10" xfId="48295"/>
    <cellStyle name="Normal 5 6 4 2 2 10" xfId="48296"/>
    <cellStyle name="Normal 7 6 4 2 2 10" xfId="48297"/>
    <cellStyle name="Normal 2 3 4 4 2 2 10" xfId="48298"/>
    <cellStyle name="Normal 3 3 4 4 2 2 10" xfId="48299"/>
    <cellStyle name="Normal 4 2 4 4 2 2 10" xfId="48300"/>
    <cellStyle name="Normal 5 2 4 4 2 2 10" xfId="48301"/>
    <cellStyle name="Normal 7 2 4 4 2 2 10" xfId="48302"/>
    <cellStyle name="Normal 2 4 4 4 2 2 10" xfId="48303"/>
    <cellStyle name="Normal 3 4 4 4 2 2 10" xfId="48304"/>
    <cellStyle name="Normal 4 3 4 4 2 2 10" xfId="48305"/>
    <cellStyle name="Normal 5 3 4 4 2 2 10" xfId="48306"/>
    <cellStyle name="Normal 7 3 4 4 2 2 10" xfId="48307"/>
    <cellStyle name="Normal 2 5 2 4 2 2 10" xfId="48308"/>
    <cellStyle name="Normal 3 5 2 4 2 2 10" xfId="48309"/>
    <cellStyle name="Normal 4 4 2 4 2 2 10" xfId="48310"/>
    <cellStyle name="Normal 5 4 2 4 2 2 10" xfId="48311"/>
    <cellStyle name="Normal 7 4 2 4 2 2 10" xfId="48312"/>
    <cellStyle name="Normal 2 3 2 2 4 2 2 10" xfId="48313"/>
    <cellStyle name="Normal 3 3 2 2 4 2 2 10" xfId="48314"/>
    <cellStyle name="Normal 4 2 2 2 4 2 2 10" xfId="48315"/>
    <cellStyle name="Normal 5 2 2 2 4 2 2 10" xfId="48316"/>
    <cellStyle name="Normal 7 2 2 2 4 2 2 10" xfId="48317"/>
    <cellStyle name="Normal 2 4 2 2 4 2 2 10" xfId="48318"/>
    <cellStyle name="Normal 3 4 2 2 4 2 2 10" xfId="48319"/>
    <cellStyle name="Normal 4 3 2 2 4 2 2 10" xfId="48320"/>
    <cellStyle name="Normal 5 3 2 2 4 2 2 10" xfId="48321"/>
    <cellStyle name="Normal 7 3 2 2 4 2 2 10" xfId="48322"/>
    <cellStyle name="Normal 2 6 2 4 2 2 10" xfId="48323"/>
    <cellStyle name="Normal 3 6 2 4 2 2 10" xfId="48324"/>
    <cellStyle name="Normal 4 5 2 4 2 2 10" xfId="48325"/>
    <cellStyle name="Normal 5 5 2 4 2 2 10" xfId="48326"/>
    <cellStyle name="Normal 7 5 2 4 2 2 10" xfId="48327"/>
    <cellStyle name="Normal 2 3 3 2 4 2 2 10" xfId="48328"/>
    <cellStyle name="Normal 3 3 3 2 4 2 2 10" xfId="48329"/>
    <cellStyle name="Normal 4 2 3 2 4 2 2 10" xfId="48330"/>
    <cellStyle name="Normal 5 2 3 2 4 2 2 10" xfId="48331"/>
    <cellStyle name="Normal 7 2 3 2 4 2 2 10" xfId="48332"/>
    <cellStyle name="Normal 2 4 3 2 4 2 2 10" xfId="48333"/>
    <cellStyle name="Normal 3 4 3 2 4 2 2 10" xfId="48334"/>
    <cellStyle name="Normal 4 3 3 2 4 2 2 10" xfId="48335"/>
    <cellStyle name="Normal 5 3 3 2 4 2 2 10" xfId="48336"/>
    <cellStyle name="Normal 7 3 3 2 4 2 2 10" xfId="48337"/>
    <cellStyle name="Normal 2 8 3 2 2 10" xfId="48338"/>
    <cellStyle name="Normal 3 8 3 2 2 10" xfId="48339"/>
    <cellStyle name="Normal 4 7 3 2 2 10" xfId="48340"/>
    <cellStyle name="Normal 5 7 3 2 2 10" xfId="48341"/>
    <cellStyle name="Normal 7 7 3 2 2 10" xfId="48342"/>
    <cellStyle name="Normal 2 3 5 3 2 2 10" xfId="48343"/>
    <cellStyle name="Normal 3 3 5 3 2 2 10" xfId="48344"/>
    <cellStyle name="Normal 4 2 5 3 2 2 10" xfId="48345"/>
    <cellStyle name="Normal 5 2 5 3 2 2 10" xfId="48346"/>
    <cellStyle name="Normal 7 2 5 3 2 2 10" xfId="48347"/>
    <cellStyle name="Normal 3 4 5 3 2 2 10" xfId="48348"/>
    <cellStyle name="Normal 4 3 5 3 2 2 10" xfId="48349"/>
    <cellStyle name="Normal 5 3 5 3 2 2 10" xfId="48350"/>
    <cellStyle name="Normal 7 3 5 3 2 2 10" xfId="48351"/>
    <cellStyle name="Normal 2 5 3 3 2 2 10" xfId="48352"/>
    <cellStyle name="Normal 3 5 3 3 2 2 10" xfId="48353"/>
    <cellStyle name="Normal 4 4 3 3 2 2 10" xfId="48354"/>
    <cellStyle name="Normal 5 4 3 3 2 2 10" xfId="48355"/>
    <cellStyle name="Normal 7 4 3 3 2 2 10" xfId="48356"/>
    <cellStyle name="Normal 2 3 2 3 3 2 2 10" xfId="48357"/>
    <cellStyle name="Normal 3 3 2 3 3 2 2 10" xfId="48358"/>
    <cellStyle name="Normal 4 2 2 3 3 2 2 10" xfId="48359"/>
    <cellStyle name="Normal 5 2 2 3 3 2 2 10" xfId="48360"/>
    <cellStyle name="Normal 7 2 2 3 3 2 2 10" xfId="48361"/>
    <cellStyle name="Normal 2 4 2 3 3 2 2 10" xfId="48362"/>
    <cellStyle name="Normal 3 4 2 3 3 2 2 10" xfId="48363"/>
    <cellStyle name="Normal 4 3 2 3 3 2 2 10" xfId="48364"/>
    <cellStyle name="Normal 5 3 2 3 3 2 2 10" xfId="48365"/>
    <cellStyle name="Normal 7 3 2 3 3 2 2 10" xfId="48366"/>
    <cellStyle name="Normal 2 6 3 3 2 2 10" xfId="48367"/>
    <cellStyle name="Normal 3 6 3 3 2 2 10" xfId="48368"/>
    <cellStyle name="Normal 4 5 3 3 2 2 10" xfId="48369"/>
    <cellStyle name="Normal 5 5 3 3 2 2 10" xfId="48370"/>
    <cellStyle name="Normal 7 5 3 3 2 2 10" xfId="48371"/>
    <cellStyle name="Normal 2 3 3 3 3 2 2 10" xfId="48372"/>
    <cellStyle name="Normal 3 3 3 3 3 2 2 10" xfId="48373"/>
    <cellStyle name="Normal 4 2 3 3 3 2 2 10" xfId="48374"/>
    <cellStyle name="Normal 5 2 3 3 3 2 2 10" xfId="48375"/>
    <cellStyle name="Normal 7 2 3 3 3 2 2 10" xfId="48376"/>
    <cellStyle name="Normal 2 4 3 3 3 2 2 10" xfId="48377"/>
    <cellStyle name="Normal 3 4 3 3 3 2 2 10" xfId="48378"/>
    <cellStyle name="Normal 4 3 3 3 3 2 2 10" xfId="48379"/>
    <cellStyle name="Normal 5 3 3 3 3 2 2 10" xfId="48380"/>
    <cellStyle name="Normal 7 3 3 3 3 2 2 10" xfId="48381"/>
    <cellStyle name="Normal 2 7 2 3 2 2 10" xfId="48382"/>
    <cellStyle name="Normal 3 7 2 3 2 2 10" xfId="48383"/>
    <cellStyle name="Normal 4 6 2 3 2 2 10" xfId="48384"/>
    <cellStyle name="Normal 5 6 2 3 2 2 10" xfId="48385"/>
    <cellStyle name="Normal 7 6 2 3 2 2 10" xfId="48386"/>
    <cellStyle name="Normal 2 3 4 2 3 2 2 10" xfId="48387"/>
    <cellStyle name="Normal 3 3 4 2 3 2 2 10" xfId="48388"/>
    <cellStyle name="Normal 4 2 4 2 3 2 2 10" xfId="48389"/>
    <cellStyle name="Normal 5 2 4 2 3 2 2 10" xfId="48390"/>
    <cellStyle name="Normal 7 2 4 2 3 2 2 10" xfId="48391"/>
    <cellStyle name="Normal 2 4 4 2 3 2 2 10" xfId="48392"/>
    <cellStyle name="Normal 3 4 4 2 3 2 2 10" xfId="48393"/>
    <cellStyle name="Normal 4 3 4 2 3 2 2 10" xfId="48394"/>
    <cellStyle name="Normal 5 3 4 2 3 2 2 10" xfId="48395"/>
    <cellStyle name="Normal 7 3 4 2 3 2 2 10" xfId="48396"/>
    <cellStyle name="Normal 2 5 2 2 3 2 2 10" xfId="48397"/>
    <cellStyle name="Normal 3 5 2 2 3 2 2 10" xfId="48398"/>
    <cellStyle name="Normal 4 4 2 2 3 2 2 10" xfId="48399"/>
    <cellStyle name="Normal 5 4 2 2 3 2 2 10" xfId="48400"/>
    <cellStyle name="Normal 7 4 2 2 3 2 2 10" xfId="48401"/>
    <cellStyle name="Normal 2 3 2 2 2 3 2 2 10" xfId="48402"/>
    <cellStyle name="Normal 3 3 2 2 2 3 2 2 10" xfId="48403"/>
    <cellStyle name="Normal 4 2 2 2 2 3 2 2 10" xfId="48404"/>
    <cellStyle name="Normal 5 2 2 2 2 3 2 2 10" xfId="48405"/>
    <cellStyle name="Normal 7 2 2 2 2 3 2 2 10" xfId="48406"/>
    <cellStyle name="Normal 2 4 2 2 2 3 2 2 10" xfId="48407"/>
    <cellStyle name="Normal 3 4 2 2 2 3 2 2 10" xfId="48408"/>
    <cellStyle name="Normal 4 3 2 2 2 3 2 2 10" xfId="48409"/>
    <cellStyle name="Normal 5 3 2 2 2 3 2 2 10" xfId="48410"/>
    <cellStyle name="Normal 7 3 2 2 2 3 2 2 10" xfId="48411"/>
    <cellStyle name="Normal 2 6 2 2 3 2 2 10" xfId="48412"/>
    <cellStyle name="Normal 3 6 2 2 3 2 2 10" xfId="48413"/>
    <cellStyle name="Normal 4 5 2 2 3 2 2 10" xfId="48414"/>
    <cellStyle name="Normal 5 5 2 2 3 2 2 10" xfId="48415"/>
    <cellStyle name="Normal 7 5 2 2 3 2 2 10" xfId="48416"/>
    <cellStyle name="Normal 2 3 3 2 2 3 2 2 10" xfId="48417"/>
    <cellStyle name="Normal 3 3 3 2 2 3 2 2 10" xfId="48418"/>
    <cellStyle name="Normal 4 2 3 2 2 3 2 2 10" xfId="48419"/>
    <cellStyle name="Normal 5 2 3 2 2 3 2 2 10" xfId="48420"/>
    <cellStyle name="Normal 7 2 3 2 2 3 2 2 10" xfId="48421"/>
    <cellStyle name="Normal 2 4 3 2 2 3 2 2 10" xfId="48422"/>
    <cellStyle name="Normal 3 4 3 2 2 3 2 2 10" xfId="48423"/>
    <cellStyle name="Normal 4 3 3 2 2 3 2 2 10" xfId="48424"/>
    <cellStyle name="Normal 5 3 3 2 2 3 2 2 10" xfId="48425"/>
    <cellStyle name="Normal 7 3 3 2 2 3 2 2 10" xfId="48426"/>
    <cellStyle name="Normal 2 12 2 10" xfId="48427"/>
    <cellStyle name="Normal 3 12 2 10" xfId="48428"/>
    <cellStyle name="Normal 4 11 2 10" xfId="48429"/>
    <cellStyle name="Normal 5 11 2 10" xfId="48430"/>
    <cellStyle name="Normal 7 11 2 10" xfId="48431"/>
    <cellStyle name="Normal 2 3 9 2 10" xfId="48432"/>
    <cellStyle name="Normal 3 3 9 2 10" xfId="48433"/>
    <cellStyle name="Normal 4 2 9 2 10" xfId="48434"/>
    <cellStyle name="Normal 5 2 9 2 10" xfId="48435"/>
    <cellStyle name="Normal 7 2 9 2 10" xfId="48436"/>
    <cellStyle name="Normal 2 4 9 2 10" xfId="48437"/>
    <cellStyle name="Normal 3 4 9 2 10" xfId="48438"/>
    <cellStyle name="Normal 4 3 9 2 10" xfId="48439"/>
    <cellStyle name="Normal 5 3 9 2 10" xfId="48440"/>
    <cellStyle name="Normal 7 3 9 2 10" xfId="48441"/>
    <cellStyle name="Normal 2 5 7 2 10" xfId="48442"/>
    <cellStyle name="Normal 3 5 7 2 10" xfId="48443"/>
    <cellStyle name="Normal 4 4 7 2 10" xfId="48444"/>
    <cellStyle name="Normal 5 4 7 2 10" xfId="48445"/>
    <cellStyle name="Normal 7 4 7 2 10" xfId="48446"/>
    <cellStyle name="Normal 2 3 2 7 2 10" xfId="48447"/>
    <cellStyle name="Normal 3 3 2 7 2 10" xfId="48448"/>
    <cellStyle name="Normal 4 2 2 7 2 10" xfId="48449"/>
    <cellStyle name="Normal 5 2 2 7 2 10" xfId="48450"/>
    <cellStyle name="Normal 7 2 2 7 2 10" xfId="48451"/>
    <cellStyle name="Normal 2 4 2 7 2 10" xfId="48452"/>
    <cellStyle name="Normal 3 4 2 7 2 10" xfId="48453"/>
    <cellStyle name="Normal 4 3 2 7 2 10" xfId="48454"/>
    <cellStyle name="Normal 5 3 2 7 2 10" xfId="48455"/>
    <cellStyle name="Normal 7 3 2 7 2 10" xfId="48456"/>
    <cellStyle name="Normal 2 6 7 2 10" xfId="48457"/>
    <cellStyle name="Normal 3 6 7 2 10" xfId="48458"/>
    <cellStyle name="Normal 4 5 7 2 10" xfId="48459"/>
    <cellStyle name="Normal 5 5 7 2 10" xfId="48460"/>
    <cellStyle name="Normal 7 5 7 2 10" xfId="48461"/>
    <cellStyle name="Normal 2 3 3 7 2 10" xfId="48462"/>
    <cellStyle name="Normal 3 3 3 7 2 10" xfId="48463"/>
    <cellStyle name="Normal 4 2 3 7 2 10" xfId="48464"/>
    <cellStyle name="Normal 5 2 3 7 2 10" xfId="48465"/>
    <cellStyle name="Normal 7 2 3 7 2 10" xfId="48466"/>
    <cellStyle name="Normal 2 4 3 7 2 10" xfId="48467"/>
    <cellStyle name="Normal 3 4 3 7 2 10" xfId="48468"/>
    <cellStyle name="Normal 4 3 3 7 2 10" xfId="48469"/>
    <cellStyle name="Normal 5 3 3 7 2 10" xfId="48470"/>
    <cellStyle name="Normal 7 3 3 7 2 10" xfId="48471"/>
    <cellStyle name="Normal 2 7 6 2 10" xfId="48472"/>
    <cellStyle name="Normal 3 7 6 2 10" xfId="48473"/>
    <cellStyle name="Normal 4 6 6 2 10" xfId="48474"/>
    <cellStyle name="Normal 5 6 6 2 10" xfId="48475"/>
    <cellStyle name="Normal 7 6 6 2 10" xfId="48476"/>
    <cellStyle name="Normal 2 3 4 6 2 10" xfId="48477"/>
    <cellStyle name="Normal 3 3 4 6 2 10" xfId="48478"/>
    <cellStyle name="Normal 4 2 4 6 2 10" xfId="48479"/>
    <cellStyle name="Normal 5 2 4 6 2 10" xfId="48480"/>
    <cellStyle name="Normal 7 2 4 6 2 10" xfId="48481"/>
    <cellStyle name="Normal 2 4 4 6 2 10" xfId="48482"/>
    <cellStyle name="Normal 3 4 4 6 2 10" xfId="48483"/>
    <cellStyle name="Normal 4 3 4 6 2 10" xfId="48484"/>
    <cellStyle name="Normal 5 3 4 6 2 10" xfId="48485"/>
    <cellStyle name="Normal 7 3 4 6 2 10" xfId="48486"/>
    <cellStyle name="Normal 2 5 2 6 2 10" xfId="48487"/>
    <cellStyle name="Normal 3 5 2 6 2 10" xfId="48488"/>
    <cellStyle name="Normal 4 4 2 6 2 10" xfId="48489"/>
    <cellStyle name="Normal 5 4 2 6 2 10" xfId="48490"/>
    <cellStyle name="Normal 7 4 2 6 2 10" xfId="48491"/>
    <cellStyle name="Normal 2 3 2 2 6 2 10" xfId="48492"/>
    <cellStyle name="Normal 3 3 2 2 6 2 10" xfId="48493"/>
    <cellStyle name="Normal 4 2 2 2 6 2 10" xfId="48494"/>
    <cellStyle name="Normal 5 2 2 2 6 2 10" xfId="48495"/>
    <cellStyle name="Normal 7 2 2 2 6 2 10" xfId="48496"/>
    <cellStyle name="Normal 2 4 2 2 6 2 10" xfId="48497"/>
    <cellStyle name="Normal 3 4 2 2 6 2 10" xfId="48498"/>
    <cellStyle name="Normal 4 3 2 2 6 2 10" xfId="48499"/>
    <cellStyle name="Normal 5 3 2 2 6 2 10" xfId="48500"/>
    <cellStyle name="Normal 7 3 2 2 6 2 10" xfId="48501"/>
    <cellStyle name="Normal 2 6 2 6 2 10" xfId="48502"/>
    <cellStyle name="Normal 3 6 2 6 2 10" xfId="48503"/>
    <cellStyle name="Normal 4 5 2 6 2 10" xfId="48504"/>
    <cellStyle name="Normal 5 5 2 6 2 10" xfId="48505"/>
    <cellStyle name="Normal 7 5 2 6 2 10" xfId="48506"/>
    <cellStyle name="Normal 2 3 3 2 6 2 10" xfId="48507"/>
    <cellStyle name="Normal 3 3 3 2 6 2 10" xfId="48508"/>
    <cellStyle name="Normal 4 2 3 2 6 2 10" xfId="48509"/>
    <cellStyle name="Normal 5 2 3 2 6 2 10" xfId="48510"/>
    <cellStyle name="Normal 7 2 3 2 6 2 10" xfId="48511"/>
    <cellStyle name="Normal 2 4 3 2 6 2 10" xfId="48512"/>
    <cellStyle name="Normal 3 4 3 2 6 2 10" xfId="48513"/>
    <cellStyle name="Normal 4 3 3 2 6 2 10" xfId="48514"/>
    <cellStyle name="Normal 5 3 3 2 6 2 10" xfId="48515"/>
    <cellStyle name="Normal 7 3 3 2 6 2 10" xfId="48516"/>
    <cellStyle name="Normal 2 8 5 2 10" xfId="48517"/>
    <cellStyle name="Normal 3 8 5 2 10" xfId="48518"/>
    <cellStyle name="Normal 4 7 5 2 10" xfId="48519"/>
    <cellStyle name="Normal 5 7 5 2 10" xfId="48520"/>
    <cellStyle name="Normal 7 7 5 2 10" xfId="48521"/>
    <cellStyle name="Normal 2 3 5 5 2 10" xfId="48522"/>
    <cellStyle name="Normal 3 3 5 5 2 10" xfId="48523"/>
    <cellStyle name="Normal 4 2 5 5 2 10" xfId="48524"/>
    <cellStyle name="Normal 5 2 5 5 2 10" xfId="48525"/>
    <cellStyle name="Normal 7 2 5 5 2 10" xfId="48526"/>
    <cellStyle name="Normal 2 4 5 5 2 10" xfId="48527"/>
    <cellStyle name="Normal 3 4 5 5 2 10" xfId="48528"/>
    <cellStyle name="Normal 4 3 5 5 2 10" xfId="48529"/>
    <cellStyle name="Normal 5 3 5 5 2 10" xfId="48530"/>
    <cellStyle name="Normal 7 3 5 5 2 10" xfId="48531"/>
    <cellStyle name="Normal 2 5 3 5 2 10" xfId="48532"/>
    <cellStyle name="Normal 3 5 3 5 2 10" xfId="48533"/>
    <cellStyle name="Normal 4 4 3 5 2 10" xfId="48534"/>
    <cellStyle name="Normal 5 4 3 5 2 10" xfId="48535"/>
    <cellStyle name="Normal 7 4 3 5 2 10" xfId="48536"/>
    <cellStyle name="Normal 2 3 2 3 5 2 10" xfId="48537"/>
    <cellStyle name="Normal 3 3 2 3 5 2 10" xfId="48538"/>
    <cellStyle name="Normal 4 2 2 3 5 2 10" xfId="48539"/>
    <cellStyle name="Normal 5 2 2 3 5 2 10" xfId="48540"/>
    <cellStyle name="Normal 7 2 2 3 5 2 10" xfId="48541"/>
    <cellStyle name="Normal 2 4 2 3 5 2 10" xfId="48542"/>
    <cellStyle name="Normal 3 4 2 3 5 2 10" xfId="48543"/>
    <cellStyle name="Normal 4 3 2 3 5 2 10" xfId="48544"/>
    <cellStyle name="Normal 5 3 2 3 5 2 10" xfId="48545"/>
    <cellStyle name="Normal 7 3 2 3 5 2 10" xfId="48546"/>
    <cellStyle name="Normal 2 6 3 5 2 10" xfId="48547"/>
    <cellStyle name="Normal 3 6 3 5 2 10" xfId="48548"/>
    <cellStyle name="Normal 4 5 3 5 2 10" xfId="48549"/>
    <cellStyle name="Normal 5 5 3 5 2 10" xfId="48550"/>
    <cellStyle name="Normal 7 5 3 5 2 10" xfId="48551"/>
    <cellStyle name="Normal 2 3 3 3 5 2 10" xfId="48552"/>
    <cellStyle name="Normal 3 3 3 3 5 2 10" xfId="48553"/>
    <cellStyle name="Normal 4 2 3 3 5 2 10" xfId="48554"/>
    <cellStyle name="Normal 5 2 3 3 5 2 10" xfId="48555"/>
    <cellStyle name="Normal 7 2 3 3 5 2 10" xfId="48556"/>
    <cellStyle name="Normal 2 4 3 3 5 2 10" xfId="48557"/>
    <cellStyle name="Normal 3 4 3 3 5 2 10" xfId="48558"/>
    <cellStyle name="Normal 4 3 3 3 5 2 10" xfId="48559"/>
    <cellStyle name="Normal 5 3 3 3 5 2 10" xfId="48560"/>
    <cellStyle name="Normal 7 3 3 3 5 2 10" xfId="48561"/>
    <cellStyle name="Normal 2 7 2 5 2 10" xfId="48562"/>
    <cellStyle name="Normal 3 7 2 5 2 10" xfId="48563"/>
    <cellStyle name="Normal 4 6 2 5 2 10" xfId="48564"/>
    <cellStyle name="Normal 5 6 2 5 2 10" xfId="48565"/>
    <cellStyle name="Normal 7 6 2 5 2 10" xfId="48566"/>
    <cellStyle name="Normal 2 3 4 2 5 2 10" xfId="48567"/>
    <cellStyle name="Normal 3 3 4 2 5 2 10" xfId="48568"/>
    <cellStyle name="Normal 4 2 4 2 5 2 10" xfId="48569"/>
    <cellStyle name="Normal 5 2 4 2 5 2 10" xfId="48570"/>
    <cellStyle name="Normal 7 2 4 2 5 2 10" xfId="48571"/>
    <cellStyle name="Normal 2 4 4 2 5 2 10" xfId="48572"/>
    <cellStyle name="Normal 3 4 4 2 5 2 10" xfId="48573"/>
    <cellStyle name="Normal 4 3 4 2 5 2 10" xfId="48574"/>
    <cellStyle name="Normal 5 3 4 2 5 2 10" xfId="48575"/>
    <cellStyle name="Normal 7 3 4 2 5 2 10" xfId="48576"/>
    <cellStyle name="Normal 2 5 2 2 5 2 10" xfId="48577"/>
    <cellStyle name="Normal 3 5 2 2 5 2 10" xfId="48578"/>
    <cellStyle name="Normal 4 4 2 2 5 2 10" xfId="48579"/>
    <cellStyle name="Normal 5 4 2 2 5 2 10" xfId="48580"/>
    <cellStyle name="Normal 7 4 2 2 5 2 10" xfId="48581"/>
    <cellStyle name="Normal 2 3 2 2 2 5 2 10" xfId="48582"/>
    <cellStyle name="Normal 3 3 2 2 2 5 2 10" xfId="48583"/>
    <cellStyle name="Normal 4 2 2 2 2 5 2 10" xfId="48584"/>
    <cellStyle name="Normal 5 2 2 2 2 5 2 10" xfId="48585"/>
    <cellStyle name="Normal 7 2 2 2 2 5 2 10" xfId="48586"/>
    <cellStyle name="Normal 2 4 2 2 2 5 2 10" xfId="48587"/>
    <cellStyle name="Normal 3 4 2 2 2 5 2 10" xfId="48588"/>
    <cellStyle name="Normal 4 3 2 2 2 5 2 10" xfId="48589"/>
    <cellStyle name="Normal 5 3 2 2 2 5 2 10" xfId="48590"/>
    <cellStyle name="Normal 7 3 2 2 2 5 2 10" xfId="48591"/>
    <cellStyle name="Normal 2 6 2 2 5 2 10" xfId="48592"/>
    <cellStyle name="Normal 3 6 2 2 5 2 10" xfId="48593"/>
    <cellStyle name="Normal 4 5 2 2 5 2 10" xfId="48594"/>
    <cellStyle name="Normal 5 5 2 2 5 2 10" xfId="48595"/>
    <cellStyle name="Normal 7 5 2 2 5 2 10" xfId="48596"/>
    <cellStyle name="Normal 2 3 3 2 2 5 2 10" xfId="48597"/>
    <cellStyle name="Normal 3 3 3 2 2 5 2 10" xfId="48598"/>
    <cellStyle name="Normal 4 2 3 2 2 5 2 10" xfId="48599"/>
    <cellStyle name="Normal 5 2 3 2 2 5 2 10" xfId="48600"/>
    <cellStyle name="Normal 7 2 3 2 2 5 2 10" xfId="48601"/>
    <cellStyle name="Normal 2 4 3 2 2 5 2 10" xfId="48602"/>
    <cellStyle name="Normal 3 4 3 2 2 5 2 10" xfId="48603"/>
    <cellStyle name="Normal 4 3 3 2 2 5 2 10" xfId="48604"/>
    <cellStyle name="Normal 5 3 3 2 2 5 2 10" xfId="48605"/>
    <cellStyle name="Normal 7 3 3 2 2 5 2 10" xfId="48606"/>
    <cellStyle name="Normal 2 9 3 2 10" xfId="48607"/>
    <cellStyle name="Normal 3 9 3 2 10" xfId="48608"/>
    <cellStyle name="Normal 4 8 3 2 10" xfId="48609"/>
    <cellStyle name="Normal 5 8 3 2 10" xfId="48610"/>
    <cellStyle name="Normal 7 8 3 2 10" xfId="48611"/>
    <cellStyle name="Normal 2 3 6 3 2 10" xfId="48612"/>
    <cellStyle name="Normal 3 3 6 3 2 10" xfId="48613"/>
    <cellStyle name="Normal 4 2 6 3 2 10" xfId="48614"/>
    <cellStyle name="Normal 5 2 6 3 2 10" xfId="48615"/>
    <cellStyle name="Normal 7 2 6 3 2 10" xfId="48616"/>
    <cellStyle name="Normal 2 4 6 3 2 10" xfId="48617"/>
    <cellStyle name="Normal 3 4 6 3 2 10" xfId="48618"/>
    <cellStyle name="Normal 4 3 6 3 2 10" xfId="48619"/>
    <cellStyle name="Normal 5 3 6 3 2 10" xfId="48620"/>
    <cellStyle name="Normal 7 3 6 3 2 10" xfId="48621"/>
    <cellStyle name="Normal 2 5 4 3 2 10" xfId="48622"/>
    <cellStyle name="Normal 3 5 4 3 2 10" xfId="48623"/>
    <cellStyle name="Normal 4 4 4 3 2 10" xfId="48624"/>
    <cellStyle name="Normal 5 4 4 3 2 10" xfId="48625"/>
    <cellStyle name="Normal 7 4 4 3 2 10" xfId="48626"/>
    <cellStyle name="Normal 2 3 2 4 3 2 10" xfId="48627"/>
    <cellStyle name="Normal 3 3 2 4 3 2 10" xfId="48628"/>
    <cellStyle name="Normal 4 2 2 4 3 2 10" xfId="48629"/>
    <cellStyle name="Normal 5 2 2 4 3 2 10" xfId="48630"/>
    <cellStyle name="Normal 7 2 2 4 3 2 10" xfId="48631"/>
    <cellStyle name="Normal 2 4 2 4 3 2 10" xfId="48632"/>
    <cellStyle name="Normal 3 4 2 4 3 2 10" xfId="48633"/>
    <cellStyle name="Normal 4 3 2 4 3 2 10" xfId="48634"/>
    <cellStyle name="Normal 5 3 2 4 3 2 10" xfId="48635"/>
    <cellStyle name="Normal 7 3 2 4 3 2 10" xfId="48636"/>
    <cellStyle name="Normal 2 6 4 3 2 10" xfId="48637"/>
    <cellStyle name="Normal 3 6 4 3 2 10" xfId="48638"/>
    <cellStyle name="Normal 4 5 4 3 2 10" xfId="48639"/>
    <cellStyle name="Normal 5 5 4 3 2 10" xfId="48640"/>
    <cellStyle name="Normal 7 5 4 3 2 10" xfId="48641"/>
    <cellStyle name="Normal 2 3 3 4 3 2 10" xfId="48642"/>
    <cellStyle name="Normal 3 3 3 4 3 2 10" xfId="48643"/>
    <cellStyle name="Normal 4 2 3 4 3 2 10" xfId="48644"/>
    <cellStyle name="Normal 5 2 3 4 3 2 10" xfId="48645"/>
    <cellStyle name="Normal 7 2 3 4 3 2 10" xfId="48646"/>
    <cellStyle name="Normal 2 4 3 4 3 2 10" xfId="48647"/>
    <cellStyle name="Normal 3 4 3 4 3 2 10" xfId="48648"/>
    <cellStyle name="Normal 4 3 3 4 3 2 10" xfId="48649"/>
    <cellStyle name="Normal 5 3 3 4 3 2 10" xfId="48650"/>
    <cellStyle name="Normal 7 3 3 4 3 2 10" xfId="48651"/>
    <cellStyle name="Normal 2 7 3 3 2 10" xfId="48652"/>
    <cellStyle name="Normal 3 7 3 3 2 10" xfId="48653"/>
    <cellStyle name="Normal 4 6 3 3 2 10" xfId="48654"/>
    <cellStyle name="Normal 5 6 3 3 2 10" xfId="48655"/>
    <cellStyle name="Normal 7 6 3 3 2 10" xfId="48656"/>
    <cellStyle name="Normal 2 3 4 3 3 2 10" xfId="48657"/>
    <cellStyle name="Normal 3 3 4 3 3 2 10" xfId="48658"/>
    <cellStyle name="Normal 4 2 4 3 3 2 10" xfId="48659"/>
    <cellStyle name="Normal 5 2 4 3 3 2 10" xfId="48660"/>
    <cellStyle name="Normal 7 2 4 3 3 2 10" xfId="48661"/>
    <cellStyle name="Normal 2 4 4 3 3 2 10" xfId="48662"/>
    <cellStyle name="Normal 3 4 4 3 3 2 10" xfId="48663"/>
    <cellStyle name="Normal 4 3 4 3 3 2 10" xfId="48664"/>
    <cellStyle name="Normal 5 3 4 3 3 2 10" xfId="48665"/>
    <cellStyle name="Normal 7 3 4 3 3 2 10" xfId="48666"/>
    <cellStyle name="Normal 2 5 2 3 3 2 10" xfId="48667"/>
    <cellStyle name="Normal 3 5 2 3 3 2 10" xfId="48668"/>
    <cellStyle name="Normal 4 4 2 3 3 2 10" xfId="48669"/>
    <cellStyle name="Normal 5 4 2 3 3 2 10" xfId="48670"/>
    <cellStyle name="Normal 7 4 2 3 3 2 10" xfId="48671"/>
    <cellStyle name="Normal 2 3 2 2 3 3 2 10" xfId="48672"/>
    <cellStyle name="Normal 3 3 2 2 3 3 2 10" xfId="48673"/>
    <cellStyle name="Normal 4 2 2 2 3 3 2 10" xfId="48674"/>
    <cellStyle name="Normal 5 2 2 2 3 3 2 10" xfId="48675"/>
    <cellStyle name="Normal 7 2 2 2 3 3 2 10" xfId="48676"/>
    <cellStyle name="Normal 2 4 2 2 3 3 2 10" xfId="48677"/>
    <cellStyle name="Normal 3 4 2 2 3 3 2 10" xfId="48678"/>
    <cellStyle name="Normal 4 3 2 2 3 3 2 10" xfId="48679"/>
    <cellStyle name="Normal 5 3 2 2 3 3 2 10" xfId="48680"/>
    <cellStyle name="Normal 7 3 2 2 3 3 2 10" xfId="48681"/>
    <cellStyle name="Normal 2 6 2 3 3 2 10" xfId="48682"/>
    <cellStyle name="Normal 3 6 2 3 3 2 10" xfId="48683"/>
    <cellStyle name="Normal 4 5 2 3 3 2 10" xfId="48684"/>
    <cellStyle name="Normal 5 5 2 3 3 2 10" xfId="48685"/>
    <cellStyle name="Normal 7 5 2 3 3 2 10" xfId="48686"/>
    <cellStyle name="Normal 2 3 3 2 3 3 2 10" xfId="48687"/>
    <cellStyle name="Normal 3 3 3 2 3 3 2 10" xfId="48688"/>
    <cellStyle name="Normal 4 2 3 2 3 3 2 10" xfId="48689"/>
    <cellStyle name="Normal 5 2 3 2 3 3 2 10" xfId="48690"/>
    <cellStyle name="Normal 7 2 3 2 3 3 2 10" xfId="48691"/>
    <cellStyle name="Normal 2 4 3 2 3 3 2 10" xfId="48692"/>
    <cellStyle name="Normal 3 4 3 2 3 3 2 10" xfId="48693"/>
    <cellStyle name="Normal 4 3 3 2 3 3 2 10" xfId="48694"/>
    <cellStyle name="Normal 5 3 3 2 3 3 2 10" xfId="48695"/>
    <cellStyle name="Normal 7 3 3 2 3 3 2 10" xfId="48696"/>
    <cellStyle name="Normal 2 8 2 3 2 10" xfId="48697"/>
    <cellStyle name="Normal 3 8 2 3 2 10" xfId="48698"/>
    <cellStyle name="Normal 4 7 2 3 2 10" xfId="48699"/>
    <cellStyle name="Normal 5 7 2 3 2 10" xfId="48700"/>
    <cellStyle name="Normal 7 7 2 3 2 10" xfId="48701"/>
    <cellStyle name="Normal 2 3 5 2 3 2 10" xfId="48702"/>
    <cellStyle name="Normal 3 3 5 2 3 2 10" xfId="48703"/>
    <cellStyle name="Normal 4 2 5 2 3 2 10" xfId="48704"/>
    <cellStyle name="Normal 5 2 5 2 3 2 10" xfId="48705"/>
    <cellStyle name="Normal 7 2 5 2 3 2 10" xfId="48706"/>
    <cellStyle name="Normal 2 4 5 2 3 2 10" xfId="48707"/>
    <cellStyle name="Normal 3 4 5 2 3 2 10" xfId="48708"/>
    <cellStyle name="Normal 4 3 5 2 3 2 10" xfId="48709"/>
    <cellStyle name="Normal 5 3 5 2 3 2 10" xfId="48710"/>
    <cellStyle name="Normal 7 3 5 2 3 2 10" xfId="48711"/>
    <cellStyle name="Normal 2 5 3 2 3 2 10" xfId="48712"/>
    <cellStyle name="Normal 3 5 3 2 3 2 10" xfId="48713"/>
    <cellStyle name="Normal 4 4 3 2 3 2 10" xfId="48714"/>
    <cellStyle name="Normal 5 4 3 2 3 2 10" xfId="48715"/>
    <cellStyle name="Normal 7 4 3 2 3 2 10" xfId="48716"/>
    <cellStyle name="Normal 2 3 2 3 2 3 2 10" xfId="48717"/>
    <cellStyle name="Normal 3 3 2 3 2 3 2 10" xfId="48718"/>
    <cellStyle name="Normal 4 2 2 3 2 3 2 10" xfId="48719"/>
    <cellStyle name="Normal 5 2 2 3 2 3 2 10" xfId="48720"/>
    <cellStyle name="Normal 7 2 2 3 2 3 2 10" xfId="48721"/>
    <cellStyle name="Normal 2 4 2 3 2 3 2 10" xfId="48722"/>
    <cellStyle name="Normal 3 4 2 3 2 3 2 10" xfId="48723"/>
    <cellStyle name="Normal 4 3 2 3 2 3 2 10" xfId="48724"/>
    <cellStyle name="Normal 5 3 2 3 2 3 2 10" xfId="48725"/>
    <cellStyle name="Normal 7 3 2 3 2 3 2 10" xfId="48726"/>
    <cellStyle name="Normal 2 6 3 2 3 2 10" xfId="48727"/>
    <cellStyle name="Normal 3 6 3 2 3 2 10" xfId="48728"/>
    <cellStyle name="Normal 4 5 3 2 3 2 10" xfId="48729"/>
    <cellStyle name="Normal 5 5 3 2 3 2 10" xfId="48730"/>
    <cellStyle name="Normal 7 5 3 2 3 2 10" xfId="48731"/>
    <cellStyle name="Normal 2 3 3 3 2 3 2 10" xfId="48732"/>
    <cellStyle name="Normal 3 3 3 3 2 3 2 10" xfId="48733"/>
    <cellStyle name="Normal 4 2 3 3 2 3 2 10" xfId="48734"/>
    <cellStyle name="Normal 5 2 3 3 2 3 2 10" xfId="48735"/>
    <cellStyle name="Normal 7 2 3 3 2 3 2 10" xfId="48736"/>
    <cellStyle name="Normal 2 4 3 3 2 3 2 10" xfId="48737"/>
    <cellStyle name="Normal 3 4 3 3 2 3 2 10" xfId="48738"/>
    <cellStyle name="Normal 4 3 3 3 2 3 2 10" xfId="48739"/>
    <cellStyle name="Normal 5 3 3 3 2 3 2 10" xfId="48740"/>
    <cellStyle name="Normal 7 3 3 3 2 3 2 10" xfId="48741"/>
    <cellStyle name="Normal 2 7 2 2 3 2 10" xfId="48742"/>
    <cellStyle name="Normal 3 7 2 2 3 2 10" xfId="48743"/>
    <cellStyle name="Normal 4 6 2 2 3 2 10" xfId="48744"/>
    <cellStyle name="Normal 5 6 2 2 3 2 10" xfId="48745"/>
    <cellStyle name="Normal 7 6 2 2 3 2 10" xfId="48746"/>
    <cellStyle name="Normal 2 3 4 2 2 3 2 10" xfId="48747"/>
    <cellStyle name="Normal 3 3 4 2 2 3 2 10" xfId="48748"/>
    <cellStyle name="Normal 4 2 4 2 2 3 2 10" xfId="48749"/>
    <cellStyle name="Normal 5 2 4 2 2 3 2 10" xfId="48750"/>
    <cellStyle name="Normal 7 2 4 2 2 3 2 10" xfId="48751"/>
    <cellStyle name="Normal 2 4 4 2 2 3 2 10" xfId="48752"/>
    <cellStyle name="Normal 3 4 4 2 2 3 2 10" xfId="48753"/>
    <cellStyle name="Normal 4 3 4 2 2 3 2 10" xfId="48754"/>
    <cellStyle name="Normal 5 3 4 2 2 3 2 10" xfId="48755"/>
    <cellStyle name="Normal 7 3 4 2 2 3 2 10" xfId="48756"/>
    <cellStyle name="Normal 2 5 2 2 2 3 2 10" xfId="48757"/>
    <cellStyle name="Normal 3 5 2 2 2 3 2 10" xfId="48758"/>
    <cellStyle name="Normal 4 4 2 2 2 3 2 10" xfId="48759"/>
    <cellStyle name="Normal 5 4 2 2 2 3 2 10" xfId="48760"/>
    <cellStyle name="Normal 7 4 2 2 2 3 2 10" xfId="48761"/>
    <cellStyle name="Normal 2 3 2 2 2 2 3 2 10" xfId="48762"/>
    <cellStyle name="Normal 3 3 2 2 2 2 3 2 10" xfId="48763"/>
    <cellStyle name="Normal 4 2 2 2 2 2 3 2 10" xfId="48764"/>
    <cellStyle name="Normal 5 2 2 2 2 2 3 2 10" xfId="48765"/>
    <cellStyle name="Normal 7 2 2 2 2 2 3 2 10" xfId="48766"/>
    <cellStyle name="Normal 2 4 2 2 2 2 3 2 10" xfId="48767"/>
    <cellStyle name="Normal 3 4 2 2 2 2 3 2 10" xfId="48768"/>
    <cellStyle name="Normal 4 3 2 2 2 2 3 2 10" xfId="48769"/>
    <cellStyle name="Normal 5 3 2 2 2 2 3 2 10" xfId="48770"/>
    <cellStyle name="Normal 7 3 2 2 2 2 3 2 10" xfId="48771"/>
    <cellStyle name="Normal 2 6 2 2 2 3 2 10" xfId="48772"/>
    <cellStyle name="Normal 3 6 2 2 2 3 2 10" xfId="48773"/>
    <cellStyle name="Normal 4 5 2 2 2 3 2 10" xfId="48774"/>
    <cellStyle name="Normal 5 5 2 2 2 3 2 10" xfId="48775"/>
    <cellStyle name="Normal 7 5 2 2 2 3 2 10" xfId="48776"/>
    <cellStyle name="Normal 2 3 3 2 2 2 3 2 10" xfId="48777"/>
    <cellStyle name="Normal 3 3 3 2 2 2 3 2 10" xfId="48778"/>
    <cellStyle name="Normal 4 2 3 2 2 2 3 2 10" xfId="48779"/>
    <cellStyle name="Normal 5 2 3 2 2 2 3 2 10" xfId="48780"/>
    <cellStyle name="Normal 7 2 3 2 2 2 3 2 10" xfId="48781"/>
    <cellStyle name="Normal 2 4 3 2 2 2 3 2 10" xfId="48782"/>
    <cellStyle name="Normal 3 4 3 2 2 2 3 2 10" xfId="48783"/>
    <cellStyle name="Normal 4 3 3 2 2 2 3 2 10" xfId="48784"/>
    <cellStyle name="Normal 5 3 3 2 2 2 3 2 10" xfId="48785"/>
    <cellStyle name="Normal 7 3 3 2 2 2 3 2 10" xfId="48786"/>
    <cellStyle name="Normal 28 3 2 10" xfId="48787"/>
    <cellStyle name="Normal 2 3 7 3 2 10" xfId="48788"/>
    <cellStyle name="Normal 3 10 3 2 10" xfId="48789"/>
    <cellStyle name="Normal 4 9 3 2 10" xfId="48790"/>
    <cellStyle name="Normal 5 9 3 2 10" xfId="48791"/>
    <cellStyle name="Millares 4 3 2 10" xfId="48792"/>
    <cellStyle name="Normal 7 2 7 3 2 10" xfId="48793"/>
    <cellStyle name="Normal 3 3 7 3 2 10" xfId="48794"/>
    <cellStyle name="Normal 4 2 7 3 2 10" xfId="48795"/>
    <cellStyle name="Normal 5 2 7 3 2 10" xfId="48796"/>
    <cellStyle name="Normal 2 4 5 3 3 2 10" xfId="48797"/>
    <cellStyle name="Normal 3 4 7 3 2 10" xfId="48798"/>
    <cellStyle name="Normal 4 3 7 3 2 10" xfId="48799"/>
    <cellStyle name="Normal 5 3 7 3 2 10" xfId="48800"/>
    <cellStyle name="Normal 7 3 7 3 2 10" xfId="48801"/>
    <cellStyle name="Normal 2 5 5 3 2 10" xfId="48802"/>
    <cellStyle name="Normal 3 5 5 3 2 10" xfId="48803"/>
    <cellStyle name="Normal 4 4 5 3 2 10" xfId="48804"/>
    <cellStyle name="Normal 5 4 5 3 2 10" xfId="48805"/>
    <cellStyle name="Normal 7 4 5 3 2 10" xfId="48806"/>
    <cellStyle name="Normal 2 3 2 5 3 2 10" xfId="48807"/>
    <cellStyle name="Normal 3 3 2 5 3 2 10" xfId="48808"/>
    <cellStyle name="Normal 4 2 2 5 3 2 10" xfId="48809"/>
    <cellStyle name="Normal 5 2 2 5 3 2 10" xfId="48810"/>
    <cellStyle name="Normal 7 2 2 5 3 2 10" xfId="48811"/>
    <cellStyle name="Normal 2 4 2 5 3 2 10" xfId="48812"/>
    <cellStyle name="Normal 3 4 2 5 3 2 10" xfId="48813"/>
    <cellStyle name="Normal 4 3 2 5 3 2 10" xfId="48814"/>
    <cellStyle name="Normal 5 3 2 5 3 2 10" xfId="48815"/>
    <cellStyle name="Normal 7 3 2 5 3 2 10" xfId="48816"/>
    <cellStyle name="Normal 2 6 5 3 2 10" xfId="48817"/>
    <cellStyle name="Normal 3 6 5 3 2 10" xfId="48818"/>
    <cellStyle name="Normal 4 5 5 3 2 10" xfId="48819"/>
    <cellStyle name="Normal 5 5 5 3 2 10" xfId="48820"/>
    <cellStyle name="Normal 7 5 5 3 2 10" xfId="48821"/>
    <cellStyle name="Normal 2 3 3 5 3 2 10" xfId="48822"/>
    <cellStyle name="Normal 3 3 3 5 3 2 10" xfId="48823"/>
    <cellStyle name="Normal 4 2 3 5 3 2 10" xfId="48824"/>
    <cellStyle name="Normal 5 2 3 5 3 2 10" xfId="48825"/>
    <cellStyle name="Normal 7 2 3 5 3 2 10" xfId="48826"/>
    <cellStyle name="Normal 2 4 3 5 3 2 10" xfId="48827"/>
    <cellStyle name="Normal 3 4 3 5 3 2 10" xfId="48828"/>
    <cellStyle name="Normal 4 3 3 5 3 2 10" xfId="48829"/>
    <cellStyle name="Normal 5 3 3 5 3 2 10" xfId="48830"/>
    <cellStyle name="Normal 7 3 3 5 3 2 10" xfId="48831"/>
    <cellStyle name="Normal 2 7 4 3 2 10" xfId="48832"/>
    <cellStyle name="Normal 3 7 4 3 2 10" xfId="48833"/>
    <cellStyle name="Normal 4 6 4 3 2 10" xfId="48834"/>
    <cellStyle name="Normal 5 6 4 3 2 10" xfId="48835"/>
    <cellStyle name="Normal 7 6 4 3 2 10" xfId="48836"/>
    <cellStyle name="Normal 2 3 4 4 3 2 10" xfId="48837"/>
    <cellStyle name="Normal 3 3 4 4 3 2 10" xfId="48838"/>
    <cellStyle name="Normal 4 2 4 4 3 2 10" xfId="48839"/>
    <cellStyle name="Normal 5 2 4 4 3 2 10" xfId="48840"/>
    <cellStyle name="Normal 7 2 4 4 3 2 10" xfId="48841"/>
    <cellStyle name="Normal 2 4 4 4 3 2 10" xfId="48842"/>
    <cellStyle name="Normal 3 4 4 4 3 2 10" xfId="48843"/>
    <cellStyle name="Normal 4 3 4 4 3 2 10" xfId="48844"/>
    <cellStyle name="Normal 5 3 4 4 3 2 10" xfId="48845"/>
    <cellStyle name="Normal 7 3 4 4 3 2 10" xfId="48846"/>
    <cellStyle name="Normal 2 5 2 4 3 2 10" xfId="48847"/>
    <cellStyle name="Normal 3 5 2 4 3 2 10" xfId="48848"/>
    <cellStyle name="Normal 4 4 2 4 3 2 10" xfId="48849"/>
    <cellStyle name="Normal 5 4 2 4 3 2 10" xfId="48850"/>
    <cellStyle name="Normal 7 4 2 4 3 2 10" xfId="48851"/>
    <cellStyle name="Normal 2 3 2 2 4 3 2 10" xfId="48852"/>
    <cellStyle name="Normal 3 3 2 2 4 3 2 10" xfId="48853"/>
    <cellStyle name="Normal 4 2 2 2 4 3 2 10" xfId="48854"/>
    <cellStyle name="Normal 5 2 2 2 4 3 2 10" xfId="48855"/>
    <cellStyle name="Normal 7 2 2 2 4 3 2 10" xfId="48856"/>
    <cellStyle name="Normal 2 4 2 2 4 3 2 10" xfId="48857"/>
    <cellStyle name="Normal 3 4 2 2 4 3 2 10" xfId="48858"/>
    <cellStyle name="Normal 4 3 2 2 4 3 2 10" xfId="48859"/>
    <cellStyle name="Normal 5 3 2 2 4 3 2 10" xfId="48860"/>
    <cellStyle name="Normal 7 3 2 2 4 3 2 10" xfId="48861"/>
    <cellStyle name="Normal 2 6 2 4 3 2 10" xfId="48862"/>
    <cellStyle name="Normal 3 6 2 4 3 2 10" xfId="48863"/>
    <cellStyle name="Normal 4 5 2 4 3 2 10" xfId="48864"/>
    <cellStyle name="Normal 5 5 2 4 3 2 10" xfId="48865"/>
    <cellStyle name="Normal 7 5 2 4 3 2 10" xfId="48866"/>
    <cellStyle name="Normal 2 3 3 2 4 3 2 10" xfId="48867"/>
    <cellStyle name="Normal 3 3 3 2 4 3 2 10" xfId="48868"/>
    <cellStyle name="Normal 4 2 3 2 4 3 2 10" xfId="48869"/>
    <cellStyle name="Normal 5 2 3 2 4 3 2 10" xfId="48870"/>
    <cellStyle name="Normal 7 2 3 2 4 3 2 10" xfId="48871"/>
    <cellStyle name="Normal 2 4 3 2 4 3 2 10" xfId="48872"/>
    <cellStyle name="Normal 3 4 3 2 4 3 2 10" xfId="48873"/>
    <cellStyle name="Normal 4 3 3 2 4 3 2 10" xfId="48874"/>
    <cellStyle name="Normal 5 3 3 2 4 3 2 10" xfId="48875"/>
    <cellStyle name="Normal 7 3 3 2 4 3 2 10" xfId="48876"/>
    <cellStyle name="Normal 2 8 3 3 2 10" xfId="48877"/>
    <cellStyle name="Normal 3 8 3 3 2 10" xfId="48878"/>
    <cellStyle name="Normal 4 7 3 3 2 10" xfId="48879"/>
    <cellStyle name="Normal 5 7 3 3 2 10" xfId="48880"/>
    <cellStyle name="Normal 7 7 3 3 2 10" xfId="48881"/>
    <cellStyle name="Normal 2 3 5 3 3 2 10" xfId="48882"/>
    <cellStyle name="Normal 3 3 5 3 3 2 10" xfId="48883"/>
    <cellStyle name="Normal 4 2 5 3 3 2 10" xfId="48884"/>
    <cellStyle name="Normal 5 2 5 3 3 2 10" xfId="48885"/>
    <cellStyle name="Normal 7 2 5 3 3 2 10" xfId="48886"/>
    <cellStyle name="Normal 3 4 5 3 3 2 10" xfId="48887"/>
    <cellStyle name="Normal 4 3 5 3 3 2 10" xfId="48888"/>
    <cellStyle name="Normal 5 3 5 3 3 2 10" xfId="48889"/>
    <cellStyle name="Normal 7 3 5 3 3 2 10" xfId="48890"/>
    <cellStyle name="Normal 2 5 3 3 3 2 10" xfId="48891"/>
    <cellStyle name="Normal 3 5 3 3 3 2 10" xfId="48892"/>
    <cellStyle name="Normal 4 4 3 3 3 2 10" xfId="48893"/>
    <cellStyle name="Normal 5 4 3 3 3 2 10" xfId="48894"/>
    <cellStyle name="Normal 7 4 3 3 3 2 10" xfId="48895"/>
    <cellStyle name="Normal 2 3 2 3 3 3 2 10" xfId="48896"/>
    <cellStyle name="Normal 3 3 2 3 3 3 2 10" xfId="48897"/>
    <cellStyle name="Normal 4 2 2 3 3 3 2 10" xfId="48898"/>
    <cellStyle name="Normal 5 2 2 3 3 3 2 10" xfId="48899"/>
    <cellStyle name="Normal 7 2 2 3 3 3 2 10" xfId="48900"/>
    <cellStyle name="Normal 2 4 2 3 3 3 2 10" xfId="48901"/>
    <cellStyle name="Normal 3 4 2 3 3 3 2 10" xfId="48902"/>
    <cellStyle name="Normal 4 3 2 3 3 3 2 10" xfId="48903"/>
    <cellStyle name="Normal 5 3 2 3 3 3 2 10" xfId="48904"/>
    <cellStyle name="Normal 7 3 2 3 3 3 2 10" xfId="48905"/>
    <cellStyle name="Normal 2 6 3 3 3 2 10" xfId="48906"/>
    <cellStyle name="Normal 3 6 3 3 3 2 10" xfId="48907"/>
    <cellStyle name="Normal 4 5 3 3 3 2 10" xfId="48908"/>
    <cellStyle name="Normal 5 5 3 3 3 2 10" xfId="48909"/>
    <cellStyle name="Normal 7 5 3 3 3 2 10" xfId="48910"/>
    <cellStyle name="Normal 2 3 3 3 3 3 2 10" xfId="48911"/>
    <cellStyle name="Normal 3 3 3 3 3 3 2 10" xfId="48912"/>
    <cellStyle name="Normal 4 2 3 3 3 3 2 10" xfId="48913"/>
    <cellStyle name="Normal 5 2 3 3 3 3 2 10" xfId="48914"/>
    <cellStyle name="Normal 7 2 3 3 3 3 2 10" xfId="48915"/>
    <cellStyle name="Normal 2 4 3 3 3 3 2 10" xfId="48916"/>
    <cellStyle name="Normal 3 4 3 3 3 3 2 10" xfId="48917"/>
    <cellStyle name="Normal 4 3 3 3 3 3 2 10" xfId="48918"/>
    <cellStyle name="Normal 5 3 3 3 3 3 2 10" xfId="48919"/>
    <cellStyle name="Normal 7 3 3 3 3 3 2 10" xfId="48920"/>
    <cellStyle name="Normal 2 7 2 3 3 2 10" xfId="48921"/>
    <cellStyle name="Normal 3 7 2 3 3 2 10" xfId="48922"/>
    <cellStyle name="Normal 4 6 2 3 3 2 10" xfId="48923"/>
    <cellStyle name="Normal 5 6 2 3 3 2 10" xfId="48924"/>
    <cellStyle name="Normal 7 6 2 3 3 2 10" xfId="48925"/>
    <cellStyle name="Normal 2 3 4 2 3 3 2 10" xfId="48926"/>
    <cellStyle name="Normal 3 3 4 2 3 3 2 10" xfId="48927"/>
    <cellStyle name="Normal 4 2 4 2 3 3 2 10" xfId="48928"/>
    <cellStyle name="Normal 5 2 4 2 3 3 2 10" xfId="48929"/>
    <cellStyle name="Normal 7 2 4 2 3 3 2 10" xfId="48930"/>
    <cellStyle name="Normal 2 4 4 2 3 3 2 10" xfId="48931"/>
    <cellStyle name="Normal 3 4 4 2 3 3 2 10" xfId="48932"/>
    <cellStyle name="Normal 4 3 4 2 3 3 2 10" xfId="48933"/>
    <cellStyle name="Normal 5 3 4 2 3 3 2 10" xfId="48934"/>
    <cellStyle name="Normal 7 3 4 2 3 3 2 10" xfId="48935"/>
    <cellStyle name="Normal 2 5 2 2 3 3 2 10" xfId="48936"/>
    <cellStyle name="Normal 3 5 2 2 3 3 2 10" xfId="48937"/>
    <cellStyle name="Normal 4 4 2 2 3 3 2 10" xfId="48938"/>
    <cellStyle name="Normal 5 4 2 2 3 3 2 10" xfId="48939"/>
    <cellStyle name="Normal 7 4 2 2 3 3 2 10" xfId="48940"/>
    <cellStyle name="Normal 2 3 2 2 2 3 3 2 10" xfId="48941"/>
    <cellStyle name="Normal 3 3 2 2 2 3 3 2 10" xfId="48942"/>
    <cellStyle name="Normal 4 2 2 2 2 3 3 2 10" xfId="48943"/>
    <cellStyle name="Normal 5 2 2 2 2 3 3 2 10" xfId="48944"/>
    <cellStyle name="Normal 7 2 2 2 2 3 3 2 10" xfId="48945"/>
    <cellStyle name="Normal 2 4 2 2 2 3 3 2 10" xfId="48946"/>
    <cellStyle name="Normal 3 4 2 2 2 3 3 2 10" xfId="48947"/>
    <cellStyle name="Normal 4 3 2 2 2 3 3 2 10" xfId="48948"/>
    <cellStyle name="Normal 5 3 2 2 2 3 3 2 10" xfId="48949"/>
    <cellStyle name="Normal 7 3 2 2 2 3 3 2 10" xfId="48950"/>
    <cellStyle name="Normal 2 6 2 2 3 3 2 10" xfId="48951"/>
    <cellStyle name="Normal 3 6 2 2 3 3 2 10" xfId="48952"/>
    <cellStyle name="Normal 4 5 2 2 3 3 2 10" xfId="48953"/>
    <cellStyle name="Normal 5 5 2 2 3 3 2 10" xfId="48954"/>
    <cellStyle name="Normal 7 5 2 2 3 3 2 10" xfId="48955"/>
    <cellStyle name="Normal 2 3 3 2 2 3 3 2 10" xfId="48956"/>
    <cellStyle name="Normal 3 3 3 2 2 3 3 2 10" xfId="48957"/>
    <cellStyle name="Normal 4 2 3 2 2 3 3 2 10" xfId="48958"/>
    <cellStyle name="Normal 5 2 3 2 2 3 3 2 10" xfId="48959"/>
    <cellStyle name="Normal 7 2 3 2 2 3 3 2 10" xfId="48960"/>
    <cellStyle name="Normal 2 4 3 2 2 3 3 2 10" xfId="48961"/>
    <cellStyle name="Normal 3 4 3 2 2 3 3 2 10" xfId="48962"/>
    <cellStyle name="Normal 4 3 3 2 2 3 3 2 10" xfId="48963"/>
    <cellStyle name="Normal 5 3 3 2 2 3 3 2 10" xfId="48964"/>
    <cellStyle name="Normal 7 3 3 2 2 3 3 2 10" xfId="48965"/>
    <cellStyle name="Normal 7 2 11 9" xfId="48966"/>
    <cellStyle name="Normal 28 5 9" xfId="48967"/>
    <cellStyle name="Normal 7 2 15 7" xfId="48968"/>
    <cellStyle name="Normal 7 14 8" xfId="48969"/>
    <cellStyle name="Normal 28 8 7" xfId="48970"/>
    <cellStyle name="Normal 7 17 7" xfId="48971"/>
    <cellStyle name="Normal 7 15 7" xfId="48972"/>
    <cellStyle name="Normal 7 2 13 7" xfId="48973"/>
    <cellStyle name="Normal 7 2 12 8" xfId="48974"/>
    <cellStyle name="Normal 28 9 7" xfId="48975"/>
    <cellStyle name="Normal 28 7 7" xfId="48976"/>
    <cellStyle name="Normal 28 6 8" xfId="48977"/>
    <cellStyle name="Normal 7 16 7" xfId="48978"/>
    <cellStyle name="Normal 7 2 14 7" xfId="48979"/>
    <cellStyle name="Normal 49" xfId="48980"/>
    <cellStyle name="Normal 2 24" xfId="48981"/>
    <cellStyle name="Normal 3 24" xfId="48982"/>
    <cellStyle name="Normal 4 23" xfId="48983"/>
    <cellStyle name="Normal 5 23" xfId="48984"/>
    <cellStyle name="Normal 7 3 21" xfId="48985"/>
    <cellStyle name="Normal 7 4 19" xfId="48986"/>
    <cellStyle name="Normal 2 3 21" xfId="48987"/>
    <cellStyle name="Normal 3 3 21" xfId="48988"/>
    <cellStyle name="Normal 4 2 21" xfId="48989"/>
    <cellStyle name="Normal 5 2 21" xfId="48990"/>
    <cellStyle name="Normal 7 2 2 19" xfId="48991"/>
    <cellStyle name="Normal 2 4 21" xfId="48992"/>
    <cellStyle name="Normal 3 4 21" xfId="48993"/>
    <cellStyle name="Normal 4 3 21" xfId="48994"/>
    <cellStyle name="Normal 5 3 21" xfId="48995"/>
    <cellStyle name="Normal 2 5 19" xfId="48996"/>
    <cellStyle name="Normal 3 5 19" xfId="48997"/>
    <cellStyle name="Normal 4 4 19" xfId="48998"/>
    <cellStyle name="Normal 5 4 19" xfId="48999"/>
    <cellStyle name="Normal 2 3 2 19" xfId="49000"/>
    <cellStyle name="Normal 3 3 2 19" xfId="49001"/>
    <cellStyle name="Normal 4 2 2 19" xfId="49002"/>
    <cellStyle name="Normal 5 2 2 19" xfId="49003"/>
    <cellStyle name="Normal 2 4 2 19" xfId="49004"/>
    <cellStyle name="Normal 3 4 2 19" xfId="49005"/>
    <cellStyle name="Normal 4 3 2 19" xfId="49006"/>
    <cellStyle name="Normal 5 3 2 19" xfId="49007"/>
    <cellStyle name="Normal 7 3 2 19" xfId="49008"/>
    <cellStyle name="Normal 2 6 19" xfId="49009"/>
    <cellStyle name="Normal 3 6 19" xfId="49010"/>
    <cellStyle name="Normal 4 5 19" xfId="49011"/>
    <cellStyle name="Normal 5 5 19" xfId="49012"/>
    <cellStyle name="Normal 7 5 19" xfId="49013"/>
    <cellStyle name="Normal 2 3 3 19" xfId="49014"/>
    <cellStyle name="Normal 3 3 3 19" xfId="49015"/>
    <cellStyle name="Normal 4 2 3 19" xfId="49016"/>
    <cellStyle name="Normal 5 2 3 19" xfId="49017"/>
    <cellStyle name="Normal 7 2 3 19" xfId="49018"/>
    <cellStyle name="Normal 2 4 3 19" xfId="49019"/>
    <cellStyle name="Normal 3 4 3 19" xfId="49020"/>
    <cellStyle name="Normal 4 3 3 19" xfId="49021"/>
    <cellStyle name="Normal 5 3 3 19" xfId="49022"/>
    <cellStyle name="Normal 7 3 3 19" xfId="49023"/>
    <cellStyle name="Normal 2 7 18" xfId="49024"/>
    <cellStyle name="Normal 3 7 18" xfId="49025"/>
    <cellStyle name="Normal 4 6 18" xfId="49026"/>
    <cellStyle name="Normal 5 6 18" xfId="49027"/>
    <cellStyle name="Normal 7 6 18" xfId="49028"/>
    <cellStyle name="Normal 2 3 4 18" xfId="49029"/>
    <cellStyle name="Normal 3 3 4 18" xfId="49030"/>
    <cellStyle name="Normal 4 2 4 18" xfId="49031"/>
    <cellStyle name="Normal 5 2 4 18" xfId="49032"/>
    <cellStyle name="Normal 7 2 4 18" xfId="49033"/>
    <cellStyle name="Normal 2 4 4 18" xfId="49034"/>
    <cellStyle name="Normal 3 4 4 18" xfId="49035"/>
    <cellStyle name="Normal 4 3 4 18" xfId="49036"/>
    <cellStyle name="Normal 5 3 4 18" xfId="49037"/>
    <cellStyle name="Normal 7 3 4 18" xfId="49038"/>
    <cellStyle name="Normal 2 5 2 18" xfId="49039"/>
    <cellStyle name="Normal 3 5 2 18" xfId="49040"/>
    <cellStyle name="Normal 4 4 2 18" xfId="49041"/>
    <cellStyle name="Normal 5 4 2 18" xfId="49042"/>
    <cellStyle name="Normal 7 4 2 18" xfId="49043"/>
    <cellStyle name="Normal 2 3 2 2 18" xfId="49044"/>
    <cellStyle name="Normal 3 3 2 2 18" xfId="49045"/>
    <cellStyle name="Normal 4 2 2 2 18" xfId="49046"/>
    <cellStyle name="Normal 5 2 2 2 18" xfId="49047"/>
    <cellStyle name="Normal 7 2 2 2 18" xfId="49048"/>
    <cellStyle name="Normal 2 4 2 2 18" xfId="49049"/>
    <cellStyle name="Normal 3 4 2 2 18" xfId="49050"/>
    <cellStyle name="Normal 4 3 2 2 18" xfId="49051"/>
    <cellStyle name="Normal 5 3 2 2 18" xfId="49052"/>
    <cellStyle name="Normal 7 3 2 2 18" xfId="49053"/>
    <cellStyle name="Normal 2 6 2 18" xfId="49054"/>
    <cellStyle name="Normal 3 6 2 18" xfId="49055"/>
    <cellStyle name="Normal 4 5 2 18" xfId="49056"/>
    <cellStyle name="Normal 5 5 2 18" xfId="49057"/>
    <cellStyle name="Normal 7 5 2 18" xfId="49058"/>
    <cellStyle name="Normal 2 3 3 2 18" xfId="49059"/>
    <cellStyle name="Normal 3 3 3 2 18" xfId="49060"/>
    <cellStyle name="Normal 4 2 3 2 18" xfId="49061"/>
    <cellStyle name="Normal 5 2 3 2 18" xfId="49062"/>
    <cellStyle name="Normal 7 2 3 2 18" xfId="49063"/>
    <cellStyle name="Normal 2 4 3 2 18" xfId="49064"/>
    <cellStyle name="Normal 3 4 3 2 18" xfId="49065"/>
    <cellStyle name="Normal 4 3 3 2 18" xfId="49066"/>
    <cellStyle name="Normal 5 3 3 2 18" xfId="49067"/>
    <cellStyle name="Normal 7 3 3 2 18" xfId="49068"/>
    <cellStyle name="Normal 2 8 16" xfId="49069"/>
    <cellStyle name="Normal 3 8 16" xfId="49070"/>
    <cellStyle name="Normal 4 7 16" xfId="49071"/>
    <cellStyle name="Normal 5 7 16" xfId="49072"/>
    <cellStyle name="Normal 7 7 16" xfId="49073"/>
    <cellStyle name="Normal 2 3 5 16" xfId="49074"/>
    <cellStyle name="Normal 3 3 5 16" xfId="49075"/>
    <cellStyle name="Normal 4 2 5 16" xfId="49076"/>
    <cellStyle name="Normal 5 2 5 16" xfId="49077"/>
    <cellStyle name="Normal 7 2 5 17" xfId="49078"/>
    <cellStyle name="Normal 2 4 5 16" xfId="49079"/>
    <cellStyle name="Normal 3 4 5 16" xfId="49080"/>
    <cellStyle name="Normal 4 3 5 16" xfId="49081"/>
    <cellStyle name="Normal 5 3 5 16" xfId="49082"/>
    <cellStyle name="Normal 7 3 5 16" xfId="49083"/>
    <cellStyle name="Normal 2 5 3 16" xfId="49084"/>
    <cellStyle name="Normal 3 5 3 16" xfId="49085"/>
    <cellStyle name="Normal 4 4 3 16" xfId="49086"/>
    <cellStyle name="Normal 5 4 3 16" xfId="49087"/>
    <cellStyle name="Normal 7 4 3 16" xfId="49088"/>
    <cellStyle name="Normal 2 3 2 3 16" xfId="49089"/>
    <cellStyle name="Normal 3 3 2 3 16" xfId="49090"/>
    <cellStyle name="Normal 4 2 2 3 16" xfId="49091"/>
    <cellStyle name="Normal 5 2 2 3 16" xfId="49092"/>
    <cellStyle name="Normal 7 2 2 3 16" xfId="49093"/>
    <cellStyle name="Normal 2 4 2 3 16" xfId="49094"/>
    <cellStyle name="Normal 3 4 2 3 16" xfId="49095"/>
    <cellStyle name="Normal 4 3 2 3 16" xfId="49096"/>
    <cellStyle name="Normal 5 3 2 3 16" xfId="49097"/>
    <cellStyle name="Normal 7 3 2 3 16" xfId="49098"/>
    <cellStyle name="Normal 2 6 3 16" xfId="49099"/>
    <cellStyle name="Normal 3 6 3 16" xfId="49100"/>
    <cellStyle name="Normal 4 5 3 16" xfId="49101"/>
    <cellStyle name="Normal 5 5 3 16" xfId="49102"/>
    <cellStyle name="Normal 7 5 3 16" xfId="49103"/>
    <cellStyle name="Normal 2 3 3 3 16" xfId="49104"/>
    <cellStyle name="Normal 3 3 3 3 16" xfId="49105"/>
    <cellStyle name="Normal 4 2 3 3 16" xfId="49106"/>
    <cellStyle name="Normal 5 2 3 3 16" xfId="49107"/>
    <cellStyle name="Normal 7 2 3 3 16" xfId="49108"/>
    <cellStyle name="Normal 2 4 3 3 16" xfId="49109"/>
    <cellStyle name="Normal 3 4 3 3 16" xfId="49110"/>
    <cellStyle name="Normal 4 3 3 3 16" xfId="49111"/>
    <cellStyle name="Normal 5 3 3 3 16" xfId="49112"/>
    <cellStyle name="Normal 7 3 3 3 16" xfId="49113"/>
    <cellStyle name="Normal 2 7 2 16" xfId="49114"/>
    <cellStyle name="Normal 3 7 2 16" xfId="49115"/>
    <cellStyle name="Normal 4 6 2 16" xfId="49116"/>
    <cellStyle name="Normal 5 6 2 16" xfId="49117"/>
    <cellStyle name="Normal 7 6 2 16" xfId="49118"/>
    <cellStyle name="Normal 2 3 4 2 16" xfId="49119"/>
    <cellStyle name="Normal 3 3 4 2 16" xfId="49120"/>
    <cellStyle name="Normal 4 2 4 2 16" xfId="49121"/>
    <cellStyle name="Normal 5 2 4 2 16" xfId="49122"/>
    <cellStyle name="Normal 7 2 4 2 16" xfId="49123"/>
    <cellStyle name="Normal 2 4 4 2 16" xfId="49124"/>
    <cellStyle name="Normal 3 4 4 2 16" xfId="49125"/>
    <cellStyle name="Normal 4 3 4 2 16" xfId="49126"/>
    <cellStyle name="Normal 5 3 4 2 16" xfId="49127"/>
    <cellStyle name="Normal 7 3 4 2 16" xfId="49128"/>
    <cellStyle name="Normal 2 5 2 2 16" xfId="49129"/>
    <cellStyle name="Normal 3 5 2 2 16" xfId="49130"/>
    <cellStyle name="Normal 4 4 2 2 16" xfId="49131"/>
    <cellStyle name="Normal 5 4 2 2 16" xfId="49132"/>
    <cellStyle name="Normal 7 4 2 2 16" xfId="49133"/>
    <cellStyle name="Normal 2 3 2 2 2 16" xfId="49134"/>
    <cellStyle name="Normal 3 3 2 2 2 16" xfId="49135"/>
    <cellStyle name="Normal 4 2 2 2 2 16" xfId="49136"/>
    <cellStyle name="Normal 5 2 2 2 2 16" xfId="49137"/>
    <cellStyle name="Normal 7 2 2 2 2 16" xfId="49138"/>
    <cellStyle name="Normal 2 4 2 2 2 16" xfId="49139"/>
    <cellStyle name="Normal 3 4 2 2 2 16" xfId="49140"/>
    <cellStyle name="Normal 4 3 2 2 2 16" xfId="49141"/>
    <cellStyle name="Normal 5 3 2 2 2 16" xfId="49142"/>
    <cellStyle name="Normal 7 3 2 2 2 16" xfId="49143"/>
    <cellStyle name="Normal 2 6 2 2 16" xfId="49144"/>
    <cellStyle name="Normal 3 6 2 2 16" xfId="49145"/>
    <cellStyle name="Normal 4 5 2 2 16" xfId="49146"/>
    <cellStyle name="Normal 5 5 2 2 16" xfId="49147"/>
    <cellStyle name="Normal 7 5 2 2 16" xfId="49148"/>
    <cellStyle name="Normal 2 3 3 2 2 16" xfId="49149"/>
    <cellStyle name="Normal 3 3 3 2 2 16" xfId="49150"/>
    <cellStyle name="Normal 4 2 3 2 2 16" xfId="49151"/>
    <cellStyle name="Normal 5 2 3 2 2 16" xfId="49152"/>
    <cellStyle name="Normal 7 2 3 2 2 16" xfId="49153"/>
    <cellStyle name="Normal 2 4 3 2 2 16" xfId="49154"/>
    <cellStyle name="Normal 3 4 3 2 2 16" xfId="49155"/>
    <cellStyle name="Normal 4 3 3 2 2 16" xfId="49156"/>
    <cellStyle name="Normal 5 3 3 2 2 16" xfId="49157"/>
    <cellStyle name="Normal 7 3 3 2 2 16" xfId="49158"/>
    <cellStyle name="Normal 2 9 14" xfId="49159"/>
    <cellStyle name="Normal 3 9 14" xfId="49160"/>
    <cellStyle name="Normal 4 8 14" xfId="49161"/>
    <cellStyle name="Normal 5 8 14" xfId="49162"/>
    <cellStyle name="Normal 7 8 14" xfId="49163"/>
    <cellStyle name="Normal 2 3 6 14" xfId="49164"/>
    <cellStyle name="Normal 3 3 6 14" xfId="49165"/>
    <cellStyle name="Normal 4 2 6 14" xfId="49166"/>
    <cellStyle name="Normal 5 2 6 14" xfId="49167"/>
    <cellStyle name="Normal 7 2 6 14" xfId="49168"/>
    <cellStyle name="Normal 2 4 6 14" xfId="49169"/>
    <cellStyle name="Normal 3 4 6 14" xfId="49170"/>
    <cellStyle name="Normal 4 3 6 14" xfId="49171"/>
    <cellStyle name="Normal 5 3 6 14" xfId="49172"/>
    <cellStyle name="Normal 7 3 6 14" xfId="49173"/>
    <cellStyle name="Normal 2 5 4 14" xfId="49174"/>
    <cellStyle name="Normal 3 5 4 14" xfId="49175"/>
    <cellStyle name="Normal 4 4 4 14" xfId="49176"/>
    <cellStyle name="Normal 5 4 4 14" xfId="49177"/>
    <cellStyle name="Normal 7 4 4 14" xfId="49178"/>
    <cellStyle name="Normal 2 3 2 4 14" xfId="49179"/>
    <cellStyle name="Normal 3 3 2 4 14" xfId="49180"/>
    <cellStyle name="Normal 4 2 2 4 14" xfId="49181"/>
    <cellStyle name="Normal 5 2 2 4 14" xfId="49182"/>
    <cellStyle name="Normal 7 2 2 4 14" xfId="49183"/>
    <cellStyle name="Normal 2 4 2 4 14" xfId="49184"/>
    <cellStyle name="Normal 3 4 2 4 14" xfId="49185"/>
    <cellStyle name="Normal 4 3 2 4 14" xfId="49186"/>
    <cellStyle name="Normal 5 3 2 4 14" xfId="49187"/>
    <cellStyle name="Normal 7 3 2 4 14" xfId="49188"/>
    <cellStyle name="Normal 2 6 4 14" xfId="49189"/>
    <cellStyle name="Normal 3 6 4 14" xfId="49190"/>
    <cellStyle name="Normal 4 5 4 14" xfId="49191"/>
    <cellStyle name="Normal 5 5 4 14" xfId="49192"/>
    <cellStyle name="Normal 7 5 4 14" xfId="49193"/>
    <cellStyle name="Normal 2 3 3 4 14" xfId="49194"/>
    <cellStyle name="Normal 3 3 3 4 14" xfId="49195"/>
    <cellStyle name="Normal 4 2 3 4 14" xfId="49196"/>
    <cellStyle name="Normal 5 2 3 4 14" xfId="49197"/>
    <cellStyle name="Normal 7 2 3 4 14" xfId="49198"/>
    <cellStyle name="Normal 2 4 3 4 14" xfId="49199"/>
    <cellStyle name="Normal 3 4 3 4 14" xfId="49200"/>
    <cellStyle name="Normal 4 3 3 4 14" xfId="49201"/>
    <cellStyle name="Normal 5 3 3 4 14" xfId="49202"/>
    <cellStyle name="Normal 7 3 3 4 14" xfId="49203"/>
    <cellStyle name="Normal 2 7 3 14" xfId="49204"/>
    <cellStyle name="Normal 3 7 3 14" xfId="49205"/>
    <cellStyle name="Normal 4 6 3 14" xfId="49206"/>
    <cellStyle name="Normal 5 6 3 14" xfId="49207"/>
    <cellStyle name="Normal 7 6 3 14" xfId="49208"/>
    <cellStyle name="Normal 2 3 4 3 14" xfId="49209"/>
    <cellStyle name="Normal 3 3 4 3 14" xfId="49210"/>
    <cellStyle name="Normal 4 2 4 3 14" xfId="49211"/>
    <cellStyle name="Normal 5 2 4 3 14" xfId="49212"/>
    <cellStyle name="Normal 7 2 4 3 14" xfId="49213"/>
    <cellStyle name="Normal 2 4 4 3 14" xfId="49214"/>
    <cellStyle name="Normal 3 4 4 3 14" xfId="49215"/>
    <cellStyle name="Normal 4 3 4 3 14" xfId="49216"/>
    <cellStyle name="Normal 5 3 4 3 14" xfId="49217"/>
    <cellStyle name="Normal 7 3 4 3 14" xfId="49218"/>
    <cellStyle name="Normal 2 5 2 3 14" xfId="49219"/>
    <cellStyle name="Normal 3 5 2 3 14" xfId="49220"/>
    <cellStyle name="Normal 4 4 2 3 14" xfId="49221"/>
    <cellStyle name="Normal 5 4 2 3 14" xfId="49222"/>
    <cellStyle name="Normal 7 4 2 3 14" xfId="49223"/>
    <cellStyle name="Normal 2 3 2 2 3 14" xfId="49224"/>
    <cellStyle name="Normal 3 3 2 2 3 14" xfId="49225"/>
    <cellStyle name="Normal 4 2 2 2 3 14" xfId="49226"/>
    <cellStyle name="Normal 5 2 2 2 3 14" xfId="49227"/>
    <cellStyle name="Normal 7 2 2 2 3 14" xfId="49228"/>
    <cellStyle name="Normal 2 4 2 2 3 14" xfId="49229"/>
    <cellStyle name="Normal 3 4 2 2 3 14" xfId="49230"/>
    <cellStyle name="Normal 4 3 2 2 3 14" xfId="49231"/>
    <cellStyle name="Normal 5 3 2 2 3 14" xfId="49232"/>
    <cellStyle name="Normal 7 3 2 2 3 14" xfId="49233"/>
    <cellStyle name="Normal 2 6 2 3 14" xfId="49234"/>
    <cellStyle name="Normal 3 6 2 3 14" xfId="49235"/>
    <cellStyle name="Normal 4 5 2 3 14" xfId="49236"/>
    <cellStyle name="Normal 5 5 2 3 14" xfId="49237"/>
    <cellStyle name="Normal 7 5 2 3 14" xfId="49238"/>
    <cellStyle name="Normal 2 3 3 2 3 14" xfId="49239"/>
    <cellStyle name="Normal 3 3 3 2 3 14" xfId="49240"/>
    <cellStyle name="Normal 4 2 3 2 3 14" xfId="49241"/>
    <cellStyle name="Normal 5 2 3 2 3 14" xfId="49242"/>
    <cellStyle name="Normal 7 2 3 2 3 14" xfId="49243"/>
    <cellStyle name="Normal 2 4 3 2 3 14" xfId="49244"/>
    <cellStyle name="Normal 3 4 3 2 3 14" xfId="49245"/>
    <cellStyle name="Normal 4 3 3 2 3 14" xfId="49246"/>
    <cellStyle name="Normal 5 3 3 2 3 14" xfId="49247"/>
    <cellStyle name="Normal 7 3 3 2 3 14" xfId="49248"/>
    <cellStyle name="Normal 2 8 2 14" xfId="49249"/>
    <cellStyle name="Normal 3 8 2 14" xfId="49250"/>
    <cellStyle name="Normal 4 7 2 14" xfId="49251"/>
    <cellStyle name="Normal 5 7 2 14" xfId="49252"/>
    <cellStyle name="Normal 7 7 2 14" xfId="49253"/>
    <cellStyle name="Normal 2 3 5 2 14" xfId="49254"/>
    <cellStyle name="Normal 3 3 5 2 14" xfId="49255"/>
    <cellStyle name="Normal 4 2 5 2 14" xfId="49256"/>
    <cellStyle name="Normal 5 2 5 2 14" xfId="49257"/>
    <cellStyle name="Normal 7 2 5 2 14" xfId="49258"/>
    <cellStyle name="Normal 2 4 5 2 14" xfId="49259"/>
    <cellStyle name="Normal 3 4 5 2 14" xfId="49260"/>
    <cellStyle name="Normal 4 3 5 2 14" xfId="49261"/>
    <cellStyle name="Normal 5 3 5 2 14" xfId="49262"/>
    <cellStyle name="Normal 7 3 5 2 14" xfId="49263"/>
    <cellStyle name="Normal 2 5 3 2 14" xfId="49264"/>
    <cellStyle name="Normal 3 5 3 2 14" xfId="49265"/>
    <cellStyle name="Normal 4 4 3 2 14" xfId="49266"/>
    <cellStyle name="Normal 5 4 3 2 14" xfId="49267"/>
    <cellStyle name="Normal 7 4 3 2 14" xfId="49268"/>
    <cellStyle name="Normal 2 3 2 3 2 14" xfId="49269"/>
    <cellStyle name="Normal 3 3 2 3 2 14" xfId="49270"/>
    <cellStyle name="Normal 4 2 2 3 2 14" xfId="49271"/>
    <cellStyle name="Normal 5 2 2 3 2 14" xfId="49272"/>
    <cellStyle name="Normal 7 2 2 3 2 14" xfId="49273"/>
    <cellStyle name="Normal 2 4 2 3 2 14" xfId="49274"/>
    <cellStyle name="Normal 3 4 2 3 2 14" xfId="49275"/>
    <cellStyle name="Normal 4 3 2 3 2 14" xfId="49276"/>
    <cellStyle name="Normal 5 3 2 3 2 14" xfId="49277"/>
    <cellStyle name="Normal 7 3 2 3 2 14" xfId="49278"/>
    <cellStyle name="Normal 2 6 3 2 14" xfId="49279"/>
    <cellStyle name="Normal 3 6 3 2 14" xfId="49280"/>
    <cellStyle name="Normal 4 5 3 2 14" xfId="49281"/>
    <cellStyle name="Normal 5 5 3 2 14" xfId="49282"/>
    <cellStyle name="Normal 7 5 3 2 14" xfId="49283"/>
    <cellStyle name="Normal 2 3 3 3 2 14" xfId="49284"/>
    <cellStyle name="Normal 3 3 3 3 2 14" xfId="49285"/>
    <cellStyle name="Normal 4 2 3 3 2 14" xfId="49286"/>
    <cellStyle name="Normal 5 2 3 3 2 14" xfId="49287"/>
    <cellStyle name="Normal 7 2 3 3 2 14" xfId="49288"/>
    <cellStyle name="Normal 2 4 3 3 2 14" xfId="49289"/>
    <cellStyle name="Normal 3 4 3 3 2 14" xfId="49290"/>
    <cellStyle name="Normal 4 3 3 3 2 14" xfId="49291"/>
    <cellStyle name="Normal 5 3 3 3 2 14" xfId="49292"/>
    <cellStyle name="Normal 7 3 3 3 2 14" xfId="49293"/>
    <cellStyle name="Normal 2 7 2 2 14" xfId="49294"/>
    <cellStyle name="Normal 3 7 2 2 14" xfId="49295"/>
    <cellStyle name="Normal 4 6 2 2 14" xfId="49296"/>
    <cellStyle name="Normal 5 6 2 2 14" xfId="49297"/>
    <cellStyle name="Normal 7 6 2 2 14" xfId="49298"/>
    <cellStyle name="Normal 2 3 4 2 2 14" xfId="49299"/>
    <cellStyle name="Normal 3 3 4 2 2 14" xfId="49300"/>
    <cellStyle name="Normal 4 2 4 2 2 14" xfId="49301"/>
    <cellStyle name="Normal 5 2 4 2 2 14" xfId="49302"/>
    <cellStyle name="Normal 7 2 4 2 2 14" xfId="49303"/>
    <cellStyle name="Normal 2 4 4 2 2 14" xfId="49304"/>
    <cellStyle name="Normal 3 4 4 2 2 14" xfId="49305"/>
    <cellStyle name="Normal 4 3 4 2 2 14" xfId="49306"/>
    <cellStyle name="Normal 5 3 4 2 2 14" xfId="49307"/>
    <cellStyle name="Normal 7 3 4 2 2 14" xfId="49308"/>
    <cellStyle name="Normal 2 5 2 2 2 14" xfId="49309"/>
    <cellStyle name="Normal 3 5 2 2 2 14" xfId="49310"/>
    <cellStyle name="Normal 4 4 2 2 2 14" xfId="49311"/>
    <cellStyle name="Normal 5 4 2 2 2 14" xfId="49312"/>
    <cellStyle name="Normal 7 4 2 2 2 14" xfId="49313"/>
    <cellStyle name="Normal 2 3 2 2 2 2 14" xfId="49314"/>
    <cellStyle name="Normal 3 3 2 2 2 2 14" xfId="49315"/>
    <cellStyle name="Normal 4 2 2 2 2 2 14" xfId="49316"/>
    <cellStyle name="Normal 5 2 2 2 2 2 14" xfId="49317"/>
    <cellStyle name="Normal 7 2 2 2 2 2 14" xfId="49318"/>
    <cellStyle name="Normal 2 4 2 2 2 2 14" xfId="49319"/>
    <cellStyle name="Normal 3 4 2 2 2 2 14" xfId="49320"/>
    <cellStyle name="Normal 4 3 2 2 2 2 14" xfId="49321"/>
    <cellStyle name="Normal 5 3 2 2 2 2 14" xfId="49322"/>
    <cellStyle name="Normal 7 3 2 2 2 2 14" xfId="49323"/>
    <cellStyle name="Normal 2 6 2 2 2 14" xfId="49324"/>
    <cellStyle name="Normal 3 6 2 2 2 14" xfId="49325"/>
    <cellStyle name="Normal 4 5 2 2 2 14" xfId="49326"/>
    <cellStyle name="Normal 5 5 2 2 2 14" xfId="49327"/>
    <cellStyle name="Normal 7 5 2 2 2 14" xfId="49328"/>
    <cellStyle name="Normal 2 3 3 2 2 2 14" xfId="49329"/>
    <cellStyle name="Normal 3 3 3 2 2 2 14" xfId="49330"/>
    <cellStyle name="Normal 4 2 3 2 2 2 14" xfId="49331"/>
    <cellStyle name="Normal 5 2 3 2 2 2 14" xfId="49332"/>
    <cellStyle name="Normal 7 2 3 2 2 2 14" xfId="49333"/>
    <cellStyle name="Normal 2 4 3 2 2 2 14" xfId="49334"/>
    <cellStyle name="Normal 3 4 3 2 2 2 14" xfId="49335"/>
    <cellStyle name="Normal 4 3 3 2 2 2 14" xfId="49336"/>
    <cellStyle name="Normal 5 3 3 2 2 2 14" xfId="49337"/>
    <cellStyle name="Normal 7 3 3 2 2 2 14" xfId="49338"/>
    <cellStyle name="Normal 28 2 12" xfId="49339"/>
    <cellStyle name="Normal 2 3 7 14" xfId="49340"/>
    <cellStyle name="Normal 3 10 14" xfId="49341"/>
    <cellStyle name="Normal 4 9 14" xfId="49342"/>
    <cellStyle name="Normal 5 9 14" xfId="49343"/>
    <cellStyle name="Millares 4 14" xfId="49344"/>
    <cellStyle name="Normal 7 13 10" xfId="49345"/>
    <cellStyle name="Normal 7 2 7 14" xfId="49346"/>
    <cellStyle name="Normal 3 3 7 14" xfId="49347"/>
    <cellStyle name="Normal 4 2 7 14" xfId="49348"/>
    <cellStyle name="Normal 5 2 7 14" xfId="49349"/>
    <cellStyle name="Normal 2 4 5 3 14" xfId="49350"/>
    <cellStyle name="Normal 3 4 7 14" xfId="49351"/>
    <cellStyle name="Normal 4 3 7 14" xfId="49352"/>
    <cellStyle name="Normal 5 3 7 14" xfId="49353"/>
    <cellStyle name="Normal 7 3 7 14" xfId="49354"/>
    <cellStyle name="Normal 2 5 5 14" xfId="49355"/>
    <cellStyle name="Normal 3 5 5 14" xfId="49356"/>
    <cellStyle name="Normal 4 4 5 14" xfId="49357"/>
    <cellStyle name="Normal 5 4 5 14" xfId="49358"/>
    <cellStyle name="Normal 7 4 5 14" xfId="49359"/>
    <cellStyle name="Normal 2 3 2 5 14" xfId="49360"/>
    <cellStyle name="Normal 3 3 2 5 14" xfId="49361"/>
    <cellStyle name="Normal 4 2 2 5 14" xfId="49362"/>
    <cellStyle name="Normal 5 2 2 5 14" xfId="49363"/>
    <cellStyle name="Normal 7 2 2 5 14" xfId="49364"/>
    <cellStyle name="Normal 2 4 2 5 14" xfId="49365"/>
    <cellStyle name="Normal 3 4 2 5 14" xfId="49366"/>
    <cellStyle name="Normal 4 3 2 5 14" xfId="49367"/>
    <cellStyle name="Normal 5 3 2 5 14" xfId="49368"/>
    <cellStyle name="Normal 7 3 2 5 14" xfId="49369"/>
    <cellStyle name="Normal 2 6 5 14" xfId="49370"/>
    <cellStyle name="Normal 3 6 5 14" xfId="49371"/>
    <cellStyle name="Normal 4 5 5 14" xfId="49372"/>
    <cellStyle name="Normal 5 5 5 14" xfId="49373"/>
    <cellStyle name="Normal 7 5 5 14" xfId="49374"/>
    <cellStyle name="Normal 2 3 3 5 14" xfId="49375"/>
    <cellStyle name="Normal 3 3 3 5 14" xfId="49376"/>
    <cellStyle name="Normal 4 2 3 5 14" xfId="49377"/>
    <cellStyle name="Normal 5 2 3 5 14" xfId="49378"/>
    <cellStyle name="Normal 7 2 3 5 14" xfId="49379"/>
    <cellStyle name="Normal 2 4 3 5 14" xfId="49380"/>
    <cellStyle name="Normal 3 4 3 5 14" xfId="49381"/>
    <cellStyle name="Normal 4 3 3 5 14" xfId="49382"/>
    <cellStyle name="Normal 5 3 3 5 14" xfId="49383"/>
    <cellStyle name="Normal 7 3 3 5 14" xfId="49384"/>
    <cellStyle name="Normal 2 7 4 14" xfId="49385"/>
    <cellStyle name="Normal 3 7 4 14" xfId="49386"/>
    <cellStyle name="Normal 4 6 4 14" xfId="49387"/>
    <cellStyle name="Normal 5 6 4 14" xfId="49388"/>
    <cellStyle name="Normal 7 6 4 14" xfId="49389"/>
    <cellStyle name="Normal 2 3 4 4 14" xfId="49390"/>
    <cellStyle name="Normal 3 3 4 4 14" xfId="49391"/>
    <cellStyle name="Normal 4 2 4 4 14" xfId="49392"/>
    <cellStyle name="Normal 5 2 4 4 14" xfId="49393"/>
    <cellStyle name="Normal 7 2 4 4 14" xfId="49394"/>
    <cellStyle name="Normal 2 4 4 4 14" xfId="49395"/>
    <cellStyle name="Normal 3 4 4 4 14" xfId="49396"/>
    <cellStyle name="Normal 4 3 4 4 14" xfId="49397"/>
    <cellStyle name="Normal 5 3 4 4 14" xfId="49398"/>
    <cellStyle name="Normal 7 3 4 4 14" xfId="49399"/>
    <cellStyle name="Normal 2 5 2 4 14" xfId="49400"/>
    <cellStyle name="Normal 3 5 2 4 14" xfId="49401"/>
    <cellStyle name="Normal 4 4 2 4 14" xfId="49402"/>
    <cellStyle name="Normal 5 4 2 4 14" xfId="49403"/>
    <cellStyle name="Normal 7 4 2 4 14" xfId="49404"/>
    <cellStyle name="Normal 2 3 2 2 4 14" xfId="49405"/>
    <cellStyle name="Normal 3 3 2 2 4 14" xfId="49406"/>
    <cellStyle name="Normal 4 2 2 2 4 14" xfId="49407"/>
    <cellStyle name="Normal 5 2 2 2 4 14" xfId="49408"/>
    <cellStyle name="Normal 7 2 2 2 4 14" xfId="49409"/>
    <cellStyle name="Normal 2 4 2 2 4 14" xfId="49410"/>
    <cellStyle name="Normal 3 4 2 2 4 14" xfId="49411"/>
    <cellStyle name="Normal 4 3 2 2 4 14" xfId="49412"/>
    <cellStyle name="Normal 5 3 2 2 4 14" xfId="49413"/>
    <cellStyle name="Normal 7 3 2 2 4 14" xfId="49414"/>
    <cellStyle name="Normal 2 6 2 4 14" xfId="49415"/>
    <cellStyle name="Normal 3 6 2 4 14" xfId="49416"/>
    <cellStyle name="Normal 4 5 2 4 14" xfId="49417"/>
    <cellStyle name="Normal 5 5 2 4 14" xfId="49418"/>
    <cellStyle name="Normal 7 5 2 4 14" xfId="49419"/>
    <cellStyle name="Normal 2 3 3 2 4 14" xfId="49420"/>
    <cellStyle name="Normal 3 3 3 2 4 14" xfId="49421"/>
    <cellStyle name="Normal 4 2 3 2 4 14" xfId="49422"/>
    <cellStyle name="Normal 5 2 3 2 4 14" xfId="49423"/>
    <cellStyle name="Normal 7 2 3 2 4 14" xfId="49424"/>
    <cellStyle name="Normal 2 4 3 2 4 14" xfId="49425"/>
    <cellStyle name="Normal 3 4 3 2 4 14" xfId="49426"/>
    <cellStyle name="Normal 4 3 3 2 4 14" xfId="49427"/>
    <cellStyle name="Normal 5 3 3 2 4 14" xfId="49428"/>
    <cellStyle name="Normal 7 3 3 2 4 14" xfId="49429"/>
    <cellStyle name="Normal 2 8 3 14" xfId="49430"/>
    <cellStyle name="Normal 3 8 3 14" xfId="49431"/>
    <cellStyle name="Normal 4 7 3 14" xfId="49432"/>
    <cellStyle name="Normal 5 7 3 14" xfId="49433"/>
    <cellStyle name="Normal 7 7 3 14" xfId="49434"/>
    <cellStyle name="Normal 2 3 5 3 14" xfId="49435"/>
    <cellStyle name="Normal 3 3 5 3 14" xfId="49436"/>
    <cellStyle name="Normal 4 2 5 3 14" xfId="49437"/>
    <cellStyle name="Normal 5 2 5 3 14" xfId="49438"/>
    <cellStyle name="Normal 7 2 5 3 14" xfId="49439"/>
    <cellStyle name="Normal 3 4 5 3 14" xfId="49440"/>
    <cellStyle name="Normal 4 3 5 3 14" xfId="49441"/>
    <cellStyle name="Normal 5 3 5 3 14" xfId="49442"/>
    <cellStyle name="Normal 7 3 5 3 14" xfId="49443"/>
    <cellStyle name="Normal 2 5 3 3 14" xfId="49444"/>
    <cellStyle name="Normal 3 5 3 3 14" xfId="49445"/>
    <cellStyle name="Normal 4 4 3 3 14" xfId="49446"/>
    <cellStyle name="Normal 5 4 3 3 14" xfId="49447"/>
    <cellStyle name="Normal 7 4 3 3 14" xfId="49448"/>
    <cellStyle name="Normal 2 3 2 3 3 14" xfId="49449"/>
    <cellStyle name="Normal 3 3 2 3 3 14" xfId="49450"/>
    <cellStyle name="Normal 4 2 2 3 3 14" xfId="49451"/>
    <cellStyle name="Normal 5 2 2 3 3 14" xfId="49452"/>
    <cellStyle name="Normal 7 2 2 3 3 14" xfId="49453"/>
    <cellStyle name="Normal 2 4 2 3 3 14" xfId="49454"/>
    <cellStyle name="Normal 3 4 2 3 3 14" xfId="49455"/>
    <cellStyle name="Normal 4 3 2 3 3 14" xfId="49456"/>
    <cellStyle name="Normal 5 3 2 3 3 14" xfId="49457"/>
    <cellStyle name="Normal 7 3 2 3 3 14" xfId="49458"/>
    <cellStyle name="Normal 2 6 3 3 14" xfId="49459"/>
    <cellStyle name="Normal 3 6 3 3 14" xfId="49460"/>
    <cellStyle name="Normal 4 5 3 3 14" xfId="49461"/>
    <cellStyle name="Normal 5 5 3 3 14" xfId="49462"/>
    <cellStyle name="Normal 7 5 3 3 14" xfId="49463"/>
    <cellStyle name="Normal 2 3 3 3 3 14" xfId="49464"/>
    <cellStyle name="Normal 3 3 3 3 3 14" xfId="49465"/>
    <cellStyle name="Normal 4 2 3 3 3 14" xfId="49466"/>
    <cellStyle name="Normal 5 2 3 3 3 14" xfId="49467"/>
    <cellStyle name="Normal 7 2 3 3 3 14" xfId="49468"/>
    <cellStyle name="Normal 2 4 3 3 3 14" xfId="49469"/>
    <cellStyle name="Normal 3 4 3 3 3 14" xfId="49470"/>
    <cellStyle name="Normal 4 3 3 3 3 14" xfId="49471"/>
    <cellStyle name="Normal 5 3 3 3 3 14" xfId="49472"/>
    <cellStyle name="Normal 7 3 3 3 3 14" xfId="49473"/>
    <cellStyle name="Normal 2 7 2 3 14" xfId="49474"/>
    <cellStyle name="Normal 3 7 2 3 14" xfId="49475"/>
    <cellStyle name="Normal 4 6 2 3 14" xfId="49476"/>
    <cellStyle name="Normal 5 6 2 3 14" xfId="49477"/>
    <cellStyle name="Normal 7 6 2 3 14" xfId="49478"/>
    <cellStyle name="Normal 2 3 4 2 3 14" xfId="49479"/>
    <cellStyle name="Normal 3 3 4 2 3 14" xfId="49480"/>
    <cellStyle name="Normal 4 2 4 2 3 14" xfId="49481"/>
    <cellStyle name="Normal 5 2 4 2 3 14" xfId="49482"/>
    <cellStyle name="Normal 7 2 4 2 3 14" xfId="49483"/>
    <cellStyle name="Normal 2 4 4 2 3 14" xfId="49484"/>
    <cellStyle name="Normal 3 4 4 2 3 14" xfId="49485"/>
    <cellStyle name="Normal 4 3 4 2 3 14" xfId="49486"/>
    <cellStyle name="Normal 5 3 4 2 3 14" xfId="49487"/>
    <cellStyle name="Normal 7 3 4 2 3 14" xfId="49488"/>
    <cellStyle name="Normal 2 5 2 2 3 14" xfId="49489"/>
    <cellStyle name="Normal 3 5 2 2 3 14" xfId="49490"/>
    <cellStyle name="Normal 4 4 2 2 3 14" xfId="49491"/>
    <cellStyle name="Normal 5 4 2 2 3 14" xfId="49492"/>
    <cellStyle name="Normal 7 4 2 2 3 14" xfId="49493"/>
    <cellStyle name="Normal 2 3 2 2 2 3 14" xfId="49494"/>
    <cellStyle name="Normal 3 3 2 2 2 3 14" xfId="49495"/>
    <cellStyle name="Normal 4 2 2 2 2 3 14" xfId="49496"/>
    <cellStyle name="Normal 5 2 2 2 2 3 14" xfId="49497"/>
    <cellStyle name="Normal 7 2 2 2 2 3 14" xfId="49498"/>
    <cellStyle name="Normal 2 4 2 2 2 3 14" xfId="49499"/>
    <cellStyle name="Normal 3 4 2 2 2 3 14" xfId="49500"/>
    <cellStyle name="Normal 4 3 2 2 2 3 14" xfId="49501"/>
    <cellStyle name="Normal 5 3 2 2 2 3 14" xfId="49502"/>
    <cellStyle name="Normal 7 3 2 2 2 3 14" xfId="49503"/>
    <cellStyle name="Normal 2 6 2 2 3 14" xfId="49504"/>
    <cellStyle name="Normal 3 6 2 2 3 14" xfId="49505"/>
    <cellStyle name="Normal 4 5 2 2 3 14" xfId="49506"/>
    <cellStyle name="Normal 5 5 2 2 3 14" xfId="49507"/>
    <cellStyle name="Normal 7 5 2 2 3 14" xfId="49508"/>
    <cellStyle name="Normal 2 3 3 2 2 3 14" xfId="49509"/>
    <cellStyle name="Normal 3 3 3 2 2 3 14" xfId="49510"/>
    <cellStyle name="Normal 4 2 3 2 2 3 14" xfId="49511"/>
    <cellStyle name="Normal 5 2 3 2 2 3 14" xfId="49512"/>
    <cellStyle name="Normal 7 2 3 2 2 3 14" xfId="49513"/>
    <cellStyle name="Normal 2 4 3 2 2 3 14" xfId="49514"/>
    <cellStyle name="Normal 3 4 3 2 2 3 14" xfId="49515"/>
    <cellStyle name="Normal 4 3 3 2 2 3 14" xfId="49516"/>
    <cellStyle name="Normal 5 3 3 2 2 3 14" xfId="49517"/>
    <cellStyle name="Normal 7 3 3 2 2 3 14" xfId="49518"/>
    <cellStyle name="Normal 2 11 12" xfId="49519"/>
    <cellStyle name="Normal 3 11 12" xfId="49520"/>
    <cellStyle name="Normal 4 10 12" xfId="49521"/>
    <cellStyle name="Normal 5 10 12" xfId="49522"/>
    <cellStyle name="Normal 7 10 12" xfId="49523"/>
    <cellStyle name="Normal 2 3 8 12" xfId="49524"/>
    <cellStyle name="Normal 3 3 8 12" xfId="49525"/>
    <cellStyle name="Normal 4 2 8 12" xfId="49526"/>
    <cellStyle name="Normal 5 2 8 12" xfId="49527"/>
    <cellStyle name="Normal 7 2 8 12" xfId="49528"/>
    <cellStyle name="Normal 2 4 8 12" xfId="49529"/>
    <cellStyle name="Normal 3 4 8 12" xfId="49530"/>
    <cellStyle name="Normal 4 3 8 12" xfId="49531"/>
    <cellStyle name="Normal 5 3 8 12" xfId="49532"/>
    <cellStyle name="Normal 7 3 8 12" xfId="49533"/>
    <cellStyle name="Normal 2 5 6 12" xfId="49534"/>
    <cellStyle name="Normal 3 5 6 12" xfId="49535"/>
    <cellStyle name="Normal 4 4 6 12" xfId="49536"/>
    <cellStyle name="Normal 5 4 6 12" xfId="49537"/>
    <cellStyle name="Normal 7 4 6 12" xfId="49538"/>
    <cellStyle name="Normal 2 3 2 6 12" xfId="49539"/>
    <cellStyle name="Normal 3 3 2 6 12" xfId="49540"/>
    <cellStyle name="Normal 4 2 2 6 12" xfId="49541"/>
    <cellStyle name="Normal 5 2 2 6 12" xfId="49542"/>
    <cellStyle name="Normal 7 2 2 6 12" xfId="49543"/>
    <cellStyle name="Normal 2 4 2 6 12" xfId="49544"/>
    <cellStyle name="Normal 3 4 2 6 12" xfId="49545"/>
    <cellStyle name="Normal 4 3 2 6 12" xfId="49546"/>
    <cellStyle name="Normal 5 3 2 6 12" xfId="49547"/>
    <cellStyle name="Normal 7 3 2 6 12" xfId="49548"/>
    <cellStyle name="Normal 2 6 6 12" xfId="49549"/>
    <cellStyle name="Normal 3 6 6 12" xfId="49550"/>
    <cellStyle name="Normal 4 5 6 12" xfId="49551"/>
    <cellStyle name="Normal 5 5 6 12" xfId="49552"/>
    <cellStyle name="Normal 7 5 6 12" xfId="49553"/>
    <cellStyle name="Normal 2 3 3 6 12" xfId="49554"/>
    <cellStyle name="Normal 3 3 3 6 12" xfId="49555"/>
    <cellStyle name="Normal 4 2 3 6 12" xfId="49556"/>
    <cellStyle name="Normal 5 2 3 6 12" xfId="49557"/>
    <cellStyle name="Normal 7 2 3 6 12" xfId="49558"/>
    <cellStyle name="Normal 2 4 3 6 12" xfId="49559"/>
    <cellStyle name="Normal 3 4 3 6 12" xfId="49560"/>
    <cellStyle name="Normal 4 3 3 6 12" xfId="49561"/>
    <cellStyle name="Normal 5 3 3 6 12" xfId="49562"/>
    <cellStyle name="Normal 7 3 3 6 12" xfId="49563"/>
    <cellStyle name="Normal 2 7 5 12" xfId="49564"/>
    <cellStyle name="Normal 3 7 5 12" xfId="49565"/>
    <cellStyle name="Normal 4 6 5 12" xfId="49566"/>
    <cellStyle name="Normal 5 6 5 12" xfId="49567"/>
    <cellStyle name="Normal 7 6 5 12" xfId="49568"/>
    <cellStyle name="Normal 2 3 4 5 12" xfId="49569"/>
    <cellStyle name="Normal 3 3 4 5 12" xfId="49570"/>
    <cellStyle name="Normal 4 2 4 5 12" xfId="49571"/>
    <cellStyle name="Normal 5 2 4 5 12" xfId="49572"/>
    <cellStyle name="Normal 7 2 4 5 12" xfId="49573"/>
    <cellStyle name="Normal 2 4 4 5 12" xfId="49574"/>
    <cellStyle name="Normal 3 4 4 5 12" xfId="49575"/>
    <cellStyle name="Normal 4 3 4 5 12" xfId="49576"/>
    <cellStyle name="Normal 5 3 4 5 12" xfId="49577"/>
    <cellStyle name="Normal 7 3 4 5 12" xfId="49578"/>
    <cellStyle name="Normal 2 5 2 5 12" xfId="49579"/>
    <cellStyle name="Normal 3 5 2 5 12" xfId="49580"/>
    <cellStyle name="Normal 4 4 2 5 12" xfId="49581"/>
    <cellStyle name="Normal 5 4 2 5 12" xfId="49582"/>
    <cellStyle name="Normal 7 4 2 5 12" xfId="49583"/>
    <cellStyle name="Normal 2 3 2 2 5 12" xfId="49584"/>
    <cellStyle name="Normal 3 3 2 2 5 12" xfId="49585"/>
    <cellStyle name="Normal 4 2 2 2 5 12" xfId="49586"/>
    <cellStyle name="Normal 5 2 2 2 5 12" xfId="49587"/>
    <cellStyle name="Normal 7 2 2 2 5 12" xfId="49588"/>
    <cellStyle name="Normal 2 4 2 2 5 12" xfId="49589"/>
    <cellStyle name="Normal 3 4 2 2 5 12" xfId="49590"/>
    <cellStyle name="Normal 4 3 2 2 5 12" xfId="49591"/>
    <cellStyle name="Normal 5 3 2 2 5 12" xfId="49592"/>
    <cellStyle name="Normal 7 3 2 2 5 12" xfId="49593"/>
    <cellStyle name="Normal 2 6 2 5 12" xfId="49594"/>
    <cellStyle name="Normal 3 6 2 5 12" xfId="49595"/>
    <cellStyle name="Normal 4 5 2 5 12" xfId="49596"/>
    <cellStyle name="Normal 5 5 2 5 12" xfId="49597"/>
    <cellStyle name="Normal 7 5 2 5 12" xfId="49598"/>
    <cellStyle name="Normal 2 3 3 2 5 12" xfId="49599"/>
    <cellStyle name="Normal 3 3 3 2 5 12" xfId="49600"/>
    <cellStyle name="Normal 4 2 3 2 5 12" xfId="49601"/>
    <cellStyle name="Normal 5 2 3 2 5 12" xfId="49602"/>
    <cellStyle name="Normal 7 2 3 2 5 12" xfId="49603"/>
    <cellStyle name="Normal 2 4 3 2 5 12" xfId="49604"/>
    <cellStyle name="Normal 3 4 3 2 5 12" xfId="49605"/>
    <cellStyle name="Normal 4 3 3 2 5 12" xfId="49606"/>
    <cellStyle name="Normal 5 3 3 2 5 12" xfId="49607"/>
    <cellStyle name="Normal 7 3 3 2 5 12" xfId="49608"/>
    <cellStyle name="Normal 2 8 4 12" xfId="49609"/>
    <cellStyle name="Normal 3 8 4 12" xfId="49610"/>
    <cellStyle name="Normal 4 7 4 12" xfId="49611"/>
    <cellStyle name="Normal 5 7 4 12" xfId="49612"/>
    <cellStyle name="Normal 7 7 4 12" xfId="49613"/>
    <cellStyle name="Normal 2 3 5 4 12" xfId="49614"/>
    <cellStyle name="Normal 3 3 5 4 12" xfId="49615"/>
    <cellStyle name="Normal 4 2 5 4 12" xfId="49616"/>
    <cellStyle name="Normal 5 2 5 4 12" xfId="49617"/>
    <cellStyle name="Normal 7 2 5 4 12" xfId="49618"/>
    <cellStyle name="Normal 2 4 5 4 12" xfId="49619"/>
    <cellStyle name="Normal 3 4 5 4 12" xfId="49620"/>
    <cellStyle name="Normal 4 3 5 4 12" xfId="49621"/>
    <cellStyle name="Normal 5 3 5 4 12" xfId="49622"/>
    <cellStyle name="Normal 7 3 5 4 12" xfId="49623"/>
    <cellStyle name="Normal 2 5 3 4 12" xfId="49624"/>
    <cellStyle name="Normal 3 5 3 4 12" xfId="49625"/>
    <cellStyle name="Normal 4 4 3 4 12" xfId="49626"/>
    <cellStyle name="Normal 5 4 3 4 12" xfId="49627"/>
    <cellStyle name="Normal 7 4 3 4 12" xfId="49628"/>
    <cellStyle name="Normal 2 3 2 3 4 12" xfId="49629"/>
    <cellStyle name="Normal 3 3 2 3 4 12" xfId="49630"/>
    <cellStyle name="Normal 4 2 2 3 4 12" xfId="49631"/>
    <cellStyle name="Normal 5 2 2 3 4 12" xfId="49632"/>
    <cellStyle name="Normal 7 2 2 3 4 12" xfId="49633"/>
    <cellStyle name="Normal 2 4 2 3 4 12" xfId="49634"/>
    <cellStyle name="Normal 3 4 2 3 4 12" xfId="49635"/>
    <cellStyle name="Normal 4 3 2 3 4 12" xfId="49636"/>
    <cellStyle name="Normal 5 3 2 3 4 12" xfId="49637"/>
    <cellStyle name="Normal 7 3 2 3 4 12" xfId="49638"/>
    <cellStyle name="Normal 2 6 3 4 12" xfId="49639"/>
    <cellStyle name="Normal 3 6 3 4 12" xfId="49640"/>
    <cellStyle name="Normal 4 5 3 4 12" xfId="49641"/>
    <cellStyle name="Normal 5 5 3 4 12" xfId="49642"/>
    <cellStyle name="Normal 7 5 3 4 12" xfId="49643"/>
    <cellStyle name="Normal 2 3 3 3 4 12" xfId="49644"/>
    <cellStyle name="Normal 3 3 3 3 4 12" xfId="49645"/>
    <cellStyle name="Normal 4 2 3 3 4 12" xfId="49646"/>
    <cellStyle name="Normal 5 2 3 3 4 12" xfId="49647"/>
    <cellStyle name="Normal 7 2 3 3 4 12" xfId="49648"/>
    <cellStyle name="Normal 2 4 3 3 4 12" xfId="49649"/>
    <cellStyle name="Normal 3 4 3 3 4 12" xfId="49650"/>
    <cellStyle name="Normal 4 3 3 3 4 12" xfId="49651"/>
    <cellStyle name="Normal 5 3 3 3 4 12" xfId="49652"/>
    <cellStyle name="Normal 7 3 3 3 4 12" xfId="49653"/>
    <cellStyle name="Normal 2 7 2 4 12" xfId="49654"/>
    <cellStyle name="Normal 3 7 2 4 12" xfId="49655"/>
    <cellStyle name="Normal 4 6 2 4 12" xfId="49656"/>
    <cellStyle name="Normal 5 6 2 4 12" xfId="49657"/>
    <cellStyle name="Normal 7 6 2 4 12" xfId="49658"/>
    <cellStyle name="Normal 2 3 4 2 4 12" xfId="49659"/>
    <cellStyle name="Normal 3 3 4 2 4 12" xfId="49660"/>
    <cellStyle name="Normal 4 2 4 2 4 12" xfId="49661"/>
    <cellStyle name="Normal 5 2 4 2 4 12" xfId="49662"/>
    <cellStyle name="Normal 7 2 4 2 4 12" xfId="49663"/>
    <cellStyle name="Normal 2 4 4 2 4 12" xfId="49664"/>
    <cellStyle name="Normal 3 4 4 2 4 12" xfId="49665"/>
    <cellStyle name="Normal 4 3 4 2 4 12" xfId="49666"/>
    <cellStyle name="Normal 5 3 4 2 4 12" xfId="49667"/>
    <cellStyle name="Normal 7 3 4 2 4 12" xfId="49668"/>
    <cellStyle name="Normal 2 5 2 2 4 12" xfId="49669"/>
    <cellStyle name="Normal 3 5 2 2 4 12" xfId="49670"/>
    <cellStyle name="Normal 4 4 2 2 4 12" xfId="49671"/>
    <cellStyle name="Normal 5 4 2 2 4 12" xfId="49672"/>
    <cellStyle name="Normal 7 4 2 2 4 12" xfId="49673"/>
    <cellStyle name="Normal 2 3 2 2 2 4 12" xfId="49674"/>
    <cellStyle name="Normal 3 3 2 2 2 4 12" xfId="49675"/>
    <cellStyle name="Normal 4 2 2 2 2 4 12" xfId="49676"/>
    <cellStyle name="Normal 5 2 2 2 2 4 12" xfId="49677"/>
    <cellStyle name="Normal 7 2 2 2 2 4 12" xfId="49678"/>
    <cellStyle name="Normal 2 4 2 2 2 4 12" xfId="49679"/>
    <cellStyle name="Normal 3 4 2 2 2 4 12" xfId="49680"/>
    <cellStyle name="Normal 4 3 2 2 2 4 12" xfId="49681"/>
    <cellStyle name="Normal 5 3 2 2 2 4 12" xfId="49682"/>
    <cellStyle name="Normal 7 3 2 2 2 4 12" xfId="49683"/>
    <cellStyle name="Normal 2 6 2 2 4 12" xfId="49684"/>
    <cellStyle name="Normal 3 6 2 2 4 12" xfId="49685"/>
    <cellStyle name="Normal 4 5 2 2 4 12" xfId="49686"/>
    <cellStyle name="Normal 5 5 2 2 4 12" xfId="49687"/>
    <cellStyle name="Normal 7 5 2 2 4 12" xfId="49688"/>
    <cellStyle name="Normal 2 3 3 2 2 4 12" xfId="49689"/>
    <cellStyle name="Normal 3 3 3 2 2 4 12" xfId="49690"/>
    <cellStyle name="Normal 4 2 3 2 2 4 12" xfId="49691"/>
    <cellStyle name="Normal 5 2 3 2 2 4 12" xfId="49692"/>
    <cellStyle name="Normal 7 2 3 2 2 4 12" xfId="49693"/>
    <cellStyle name="Normal 2 4 3 2 2 4 12" xfId="49694"/>
    <cellStyle name="Normal 3 4 3 2 2 4 12" xfId="49695"/>
    <cellStyle name="Normal 4 3 3 2 2 4 12" xfId="49696"/>
    <cellStyle name="Normal 5 3 3 2 2 4 12" xfId="49697"/>
    <cellStyle name="Normal 7 3 3 2 2 4 12" xfId="49698"/>
    <cellStyle name="Normal 2 9 2 12" xfId="49699"/>
    <cellStyle name="Normal 3 9 2 12" xfId="49700"/>
    <cellStyle name="Normal 4 8 2 12" xfId="49701"/>
    <cellStyle name="Normal 5 8 2 12" xfId="49702"/>
    <cellStyle name="Normal 7 8 2 12" xfId="49703"/>
    <cellStyle name="Normal 2 3 6 2 12" xfId="49704"/>
    <cellStyle name="Normal 3 3 6 2 12" xfId="49705"/>
    <cellStyle name="Normal 4 2 6 2 12" xfId="49706"/>
    <cellStyle name="Normal 5 2 6 2 12" xfId="49707"/>
    <cellStyle name="Normal 7 2 6 2 12" xfId="49708"/>
    <cellStyle name="Normal 2 4 6 2 12" xfId="49709"/>
    <cellStyle name="Normal 3 4 6 2 12" xfId="49710"/>
    <cellStyle name="Normal 4 3 6 2 12" xfId="49711"/>
    <cellStyle name="Normal 5 3 6 2 12" xfId="49712"/>
    <cellStyle name="Normal 7 3 6 2 12" xfId="49713"/>
    <cellStyle name="Normal 2 5 4 2 12" xfId="49714"/>
    <cellStyle name="Normal 3 5 4 2 12" xfId="49715"/>
    <cellStyle name="Normal 4 4 4 2 12" xfId="49716"/>
    <cellStyle name="Normal 5 4 4 2 12" xfId="49717"/>
    <cellStyle name="Normal 7 4 4 2 12" xfId="49718"/>
    <cellStyle name="Normal 2 3 2 4 2 12" xfId="49719"/>
    <cellStyle name="Normal 3 3 2 4 2 12" xfId="49720"/>
    <cellStyle name="Normal 4 2 2 4 2 12" xfId="49721"/>
    <cellStyle name="Normal 5 2 2 4 2 12" xfId="49722"/>
    <cellStyle name="Normal 7 2 2 4 2 12" xfId="49723"/>
    <cellStyle name="Normal 2 4 2 4 2 12" xfId="49724"/>
    <cellStyle name="Normal 3 4 2 4 2 12" xfId="49725"/>
    <cellStyle name="Normal 4 3 2 4 2 12" xfId="49726"/>
    <cellStyle name="Normal 5 3 2 4 2 12" xfId="49727"/>
    <cellStyle name="Normal 7 3 2 4 2 12" xfId="49728"/>
    <cellStyle name="Normal 2 6 4 2 12" xfId="49729"/>
    <cellStyle name="Normal 3 6 4 2 12" xfId="49730"/>
    <cellStyle name="Normal 4 5 4 2 12" xfId="49731"/>
    <cellStyle name="Normal 5 5 4 2 12" xfId="49732"/>
    <cellStyle name="Normal 7 5 4 2 12" xfId="49733"/>
    <cellStyle name="Normal 2 3 3 4 2 12" xfId="49734"/>
    <cellStyle name="Normal 3 3 3 4 2 12" xfId="49735"/>
    <cellStyle name="Normal 4 2 3 4 2 12" xfId="49736"/>
    <cellStyle name="Normal 5 2 3 4 2 12" xfId="49737"/>
    <cellStyle name="Normal 7 2 3 4 2 12" xfId="49738"/>
    <cellStyle name="Normal 2 4 3 4 2 12" xfId="49739"/>
    <cellStyle name="Normal 3 4 3 4 2 12" xfId="49740"/>
    <cellStyle name="Normal 4 3 3 4 2 12" xfId="49741"/>
    <cellStyle name="Normal 5 3 3 4 2 12" xfId="49742"/>
    <cellStyle name="Normal 7 3 3 4 2 12" xfId="49743"/>
    <cellStyle name="Normal 2 7 3 2 12" xfId="49744"/>
    <cellStyle name="Normal 3 7 3 2 12" xfId="49745"/>
    <cellStyle name="Normal 4 6 3 2 12" xfId="49746"/>
    <cellStyle name="Normal 5 6 3 2 12" xfId="49747"/>
    <cellStyle name="Normal 7 6 3 2 12" xfId="49748"/>
    <cellStyle name="Normal 2 3 4 3 2 12" xfId="49749"/>
    <cellStyle name="Normal 3 3 4 3 2 12" xfId="49750"/>
    <cellStyle name="Normal 4 2 4 3 2 12" xfId="49751"/>
    <cellStyle name="Normal 5 2 4 3 2 12" xfId="49752"/>
    <cellStyle name="Normal 7 2 4 3 2 12" xfId="49753"/>
    <cellStyle name="Normal 2 4 4 3 2 12" xfId="49754"/>
    <cellStyle name="Normal 3 4 4 3 2 12" xfId="49755"/>
    <cellStyle name="Normal 4 3 4 3 2 12" xfId="49756"/>
    <cellStyle name="Normal 5 3 4 3 2 12" xfId="49757"/>
    <cellStyle name="Normal 7 3 4 3 2 12" xfId="49758"/>
    <cellStyle name="Normal 2 5 2 3 2 12" xfId="49759"/>
    <cellStyle name="Normal 3 5 2 3 2 12" xfId="49760"/>
    <cellStyle name="Normal 4 4 2 3 2 12" xfId="49761"/>
    <cellStyle name="Normal 5 4 2 3 2 12" xfId="49762"/>
    <cellStyle name="Normal 7 4 2 3 2 12" xfId="49763"/>
    <cellStyle name="Normal 2 3 2 2 3 2 12" xfId="49764"/>
    <cellStyle name="Normal 3 3 2 2 3 2 12" xfId="49765"/>
    <cellStyle name="Normal 4 2 2 2 3 2 12" xfId="49766"/>
    <cellStyle name="Normal 5 2 2 2 3 2 12" xfId="49767"/>
    <cellStyle name="Normal 7 2 2 2 3 2 12" xfId="49768"/>
    <cellStyle name="Normal 2 4 2 2 3 2 12" xfId="49769"/>
    <cellStyle name="Normal 3 4 2 2 3 2 12" xfId="49770"/>
    <cellStyle name="Normal 4 3 2 2 3 2 12" xfId="49771"/>
    <cellStyle name="Normal 5 3 2 2 3 2 12" xfId="49772"/>
    <cellStyle name="Normal 7 3 2 2 3 2 12" xfId="49773"/>
    <cellStyle name="Normal 2 6 2 3 2 12" xfId="49774"/>
    <cellStyle name="Normal 3 6 2 3 2 12" xfId="49775"/>
    <cellStyle name="Normal 4 5 2 3 2 12" xfId="49776"/>
    <cellStyle name="Normal 5 5 2 3 2 12" xfId="49777"/>
    <cellStyle name="Normal 7 5 2 3 2 12" xfId="49778"/>
    <cellStyle name="Normal 2 3 3 2 3 2 12" xfId="49779"/>
    <cellStyle name="Normal 3 3 3 2 3 2 12" xfId="49780"/>
    <cellStyle name="Normal 4 2 3 2 3 2 12" xfId="49781"/>
    <cellStyle name="Normal 5 2 3 2 3 2 12" xfId="49782"/>
    <cellStyle name="Normal 7 2 3 2 3 2 12" xfId="49783"/>
    <cellStyle name="Normal 2 4 3 2 3 2 12" xfId="49784"/>
    <cellStyle name="Normal 3 4 3 2 3 2 12" xfId="49785"/>
    <cellStyle name="Normal 4 3 3 2 3 2 12" xfId="49786"/>
    <cellStyle name="Normal 5 3 3 2 3 2 12" xfId="49787"/>
    <cellStyle name="Normal 7 3 3 2 3 2 12" xfId="49788"/>
    <cellStyle name="Normal 2 8 2 2 12" xfId="49789"/>
    <cellStyle name="Normal 3 8 2 2 12" xfId="49790"/>
    <cellStyle name="Normal 4 7 2 2 12" xfId="49791"/>
    <cellStyle name="Normal 5 7 2 2 12" xfId="49792"/>
    <cellStyle name="Normal 7 7 2 2 12" xfId="49793"/>
    <cellStyle name="Normal 2 3 5 2 2 12" xfId="49794"/>
    <cellStyle name="Normal 3 3 5 2 2 12" xfId="49795"/>
    <cellStyle name="Normal 4 2 5 2 2 12" xfId="49796"/>
    <cellStyle name="Normal 5 2 5 2 2 12" xfId="49797"/>
    <cellStyle name="Normal 7 2 5 2 2 12" xfId="49798"/>
    <cellStyle name="Normal 2 4 5 2 2 12" xfId="49799"/>
    <cellStyle name="Normal 3 4 5 2 2 12" xfId="49800"/>
    <cellStyle name="Normal 4 3 5 2 2 12" xfId="49801"/>
    <cellStyle name="Normal 5 3 5 2 2 12" xfId="49802"/>
    <cellStyle name="Normal 7 3 5 2 2 12" xfId="49803"/>
    <cellStyle name="Normal 2 5 3 2 2 12" xfId="49804"/>
    <cellStyle name="Normal 3 5 3 2 2 12" xfId="49805"/>
    <cellStyle name="Normal 4 4 3 2 2 12" xfId="49806"/>
    <cellStyle name="Normal 5 4 3 2 2 12" xfId="49807"/>
    <cellStyle name="Normal 7 4 3 2 2 12" xfId="49808"/>
    <cellStyle name="Normal 2 3 2 3 2 2 12" xfId="49809"/>
    <cellStyle name="Normal 3 3 2 3 2 2 12" xfId="49810"/>
    <cellStyle name="Normal 4 2 2 3 2 2 12" xfId="49811"/>
    <cellStyle name="Normal 5 2 2 3 2 2 12" xfId="49812"/>
    <cellStyle name="Normal 7 2 2 3 2 2 12" xfId="49813"/>
    <cellStyle name="Normal 2 4 2 3 2 2 12" xfId="49814"/>
    <cellStyle name="Normal 3 4 2 3 2 2 12" xfId="49815"/>
    <cellStyle name="Normal 4 3 2 3 2 2 12" xfId="49816"/>
    <cellStyle name="Normal 5 3 2 3 2 2 12" xfId="49817"/>
    <cellStyle name="Normal 7 3 2 3 2 2 12" xfId="49818"/>
    <cellStyle name="Normal 2 6 3 2 2 12" xfId="49819"/>
    <cellStyle name="Normal 3 6 3 2 2 12" xfId="49820"/>
    <cellStyle name="Normal 4 5 3 2 2 12" xfId="49821"/>
    <cellStyle name="Normal 5 5 3 2 2 12" xfId="49822"/>
    <cellStyle name="Normal 7 5 3 2 2 12" xfId="49823"/>
    <cellStyle name="Normal 2 3 3 3 2 2 12" xfId="49824"/>
    <cellStyle name="Normal 3 3 3 3 2 2 12" xfId="49825"/>
    <cellStyle name="Normal 4 2 3 3 2 2 12" xfId="49826"/>
    <cellStyle name="Normal 5 2 3 3 2 2 12" xfId="49827"/>
    <cellStyle name="Normal 7 2 3 3 2 2 12" xfId="49828"/>
    <cellStyle name="Normal 2 4 3 3 2 2 12" xfId="49829"/>
    <cellStyle name="Normal 3 4 3 3 2 2 12" xfId="49830"/>
    <cellStyle name="Normal 4 3 3 3 2 2 12" xfId="49831"/>
    <cellStyle name="Normal 5 3 3 3 2 2 12" xfId="49832"/>
    <cellStyle name="Normal 7 3 3 3 2 2 12" xfId="49833"/>
    <cellStyle name="Normal 2 7 2 2 2 12" xfId="49834"/>
    <cellStyle name="Normal 3 7 2 2 2 12" xfId="49835"/>
    <cellStyle name="Normal 4 6 2 2 2 12" xfId="49836"/>
    <cellStyle name="Normal 5 6 2 2 2 12" xfId="49837"/>
    <cellStyle name="Normal 7 6 2 2 2 12" xfId="49838"/>
    <cellStyle name="Normal 2 3 4 2 2 2 12" xfId="49839"/>
    <cellStyle name="Normal 3 3 4 2 2 2 12" xfId="49840"/>
    <cellStyle name="Normal 4 2 4 2 2 2 12" xfId="49841"/>
    <cellStyle name="Normal 5 2 4 2 2 2 12" xfId="49842"/>
    <cellStyle name="Normal 7 2 4 2 2 2 12" xfId="49843"/>
    <cellStyle name="Normal 2 4 4 2 2 2 12" xfId="49844"/>
    <cellStyle name="Normal 3 4 4 2 2 2 12" xfId="49845"/>
    <cellStyle name="Normal 4 3 4 2 2 2 12" xfId="49846"/>
    <cellStyle name="Normal 5 3 4 2 2 2 12" xfId="49847"/>
    <cellStyle name="Normal 7 3 4 2 2 2 12" xfId="49848"/>
    <cellStyle name="Normal 2 5 2 2 2 2 12" xfId="49849"/>
    <cellStyle name="Normal 3 5 2 2 2 2 12" xfId="49850"/>
    <cellStyle name="Normal 4 4 2 2 2 2 12" xfId="49851"/>
    <cellStyle name="Normal 5 4 2 2 2 2 12" xfId="49852"/>
    <cellStyle name="Normal 7 4 2 2 2 2 12" xfId="49853"/>
    <cellStyle name="Normal 2 3 2 2 2 2 2 12" xfId="49854"/>
    <cellStyle name="Normal 3 3 2 2 2 2 2 12" xfId="49855"/>
    <cellStyle name="Normal 4 2 2 2 2 2 2 12" xfId="49856"/>
    <cellStyle name="Normal 5 2 2 2 2 2 2 12" xfId="49857"/>
    <cellStyle name="Normal 7 2 2 2 2 2 2 12" xfId="49858"/>
    <cellStyle name="Normal 2 4 2 2 2 2 2 12" xfId="49859"/>
    <cellStyle name="Normal 3 4 2 2 2 2 2 12" xfId="49860"/>
    <cellStyle name="Normal 4 3 2 2 2 2 2 12" xfId="49861"/>
    <cellStyle name="Normal 5 3 2 2 2 2 2 12" xfId="49862"/>
    <cellStyle name="Normal 7 3 2 2 2 2 2 12" xfId="49863"/>
    <cellStyle name="Normal 2 6 2 2 2 2 12" xfId="49864"/>
    <cellStyle name="Normal 3 6 2 2 2 2 12" xfId="49865"/>
    <cellStyle name="Normal 4 5 2 2 2 2 12" xfId="49866"/>
    <cellStyle name="Normal 5 5 2 2 2 2 12" xfId="49867"/>
    <cellStyle name="Normal 7 5 2 2 2 2 12" xfId="49868"/>
    <cellStyle name="Normal 2 3 3 2 2 2 2 12" xfId="49869"/>
    <cellStyle name="Normal 3 3 3 2 2 2 2 12" xfId="49870"/>
    <cellStyle name="Normal 4 2 3 2 2 2 2 12" xfId="49871"/>
    <cellStyle name="Normal 5 2 3 2 2 2 2 12" xfId="49872"/>
    <cellStyle name="Normal 7 2 3 2 2 2 2 12" xfId="49873"/>
    <cellStyle name="Normal 2 4 3 2 2 2 2 12" xfId="49874"/>
    <cellStyle name="Normal 3 4 3 2 2 2 2 12" xfId="49875"/>
    <cellStyle name="Normal 4 3 3 2 2 2 2 12" xfId="49876"/>
    <cellStyle name="Normal 5 3 3 2 2 2 2 12" xfId="49877"/>
    <cellStyle name="Normal 7 3 3 2 2 2 2 12" xfId="49878"/>
    <cellStyle name="Normal 2 3 7 2 12" xfId="49879"/>
    <cellStyle name="Normal 3 10 2 12" xfId="49880"/>
    <cellStyle name="Normal 4 9 2 12" xfId="49881"/>
    <cellStyle name="Normal 5 9 2 12" xfId="49882"/>
    <cellStyle name="Millares 4 2 12" xfId="49883"/>
    <cellStyle name="Normal 7 2 7 2 12" xfId="49884"/>
    <cellStyle name="Normal 3 3 7 2 12" xfId="49885"/>
    <cellStyle name="Normal 4 2 7 2 12" xfId="49886"/>
    <cellStyle name="Normal 5 2 7 2 12" xfId="49887"/>
    <cellStyle name="Normal 2 4 5 3 2 12" xfId="49888"/>
    <cellStyle name="Normal 3 4 7 2 12" xfId="49889"/>
    <cellStyle name="Normal 4 3 7 2 12" xfId="49890"/>
    <cellStyle name="Normal 5 3 7 2 12" xfId="49891"/>
    <cellStyle name="Normal 7 3 7 2 12" xfId="49892"/>
    <cellStyle name="Normal 2 5 5 2 12" xfId="49893"/>
    <cellStyle name="Normal 3 5 5 2 12" xfId="49894"/>
    <cellStyle name="Normal 4 4 5 2 12" xfId="49895"/>
    <cellStyle name="Normal 5 4 5 2 12" xfId="49896"/>
    <cellStyle name="Normal 7 4 5 2 12" xfId="49897"/>
    <cellStyle name="Normal 2 3 2 5 2 12" xfId="49898"/>
    <cellStyle name="Normal 3 3 2 5 2 12" xfId="49899"/>
    <cellStyle name="Normal 4 2 2 5 2 12" xfId="49900"/>
    <cellStyle name="Normal 5 2 2 5 2 12" xfId="49901"/>
    <cellStyle name="Normal 7 2 2 5 2 12" xfId="49902"/>
    <cellStyle name="Normal 2 4 2 5 2 12" xfId="49903"/>
    <cellStyle name="Normal 3 4 2 5 2 12" xfId="49904"/>
    <cellStyle name="Normal 4 3 2 5 2 12" xfId="49905"/>
    <cellStyle name="Normal 5 3 2 5 2 12" xfId="49906"/>
    <cellStyle name="Normal 7 3 2 5 2 12" xfId="49907"/>
    <cellStyle name="Normal 2 6 5 2 12" xfId="49908"/>
    <cellStyle name="Normal 3 6 5 2 12" xfId="49909"/>
    <cellStyle name="Normal 4 5 5 2 12" xfId="49910"/>
    <cellStyle name="Normal 5 5 5 2 12" xfId="49911"/>
    <cellStyle name="Normal 7 5 5 2 12" xfId="49912"/>
    <cellStyle name="Normal 2 3 3 5 2 12" xfId="49913"/>
    <cellStyle name="Normal 3 3 3 5 2 12" xfId="49914"/>
    <cellStyle name="Normal 4 2 3 5 2 12" xfId="49915"/>
    <cellStyle name="Normal 5 2 3 5 2 12" xfId="49916"/>
    <cellStyle name="Normal 7 2 3 5 2 12" xfId="49917"/>
    <cellStyle name="Normal 2 4 3 5 2 12" xfId="49918"/>
    <cellStyle name="Normal 3 4 3 5 2 12" xfId="49919"/>
    <cellStyle name="Normal 4 3 3 5 2 12" xfId="49920"/>
    <cellStyle name="Normal 5 3 3 5 2 12" xfId="49921"/>
    <cellStyle name="Normal 7 3 3 5 2 12" xfId="49922"/>
    <cellStyle name="Normal 2 7 4 2 12" xfId="49923"/>
    <cellStyle name="Normal 3 7 4 2 12" xfId="49924"/>
    <cellStyle name="Normal 4 6 4 2 12" xfId="49925"/>
    <cellStyle name="Normal 5 6 4 2 12" xfId="49926"/>
    <cellStyle name="Normal 7 6 4 2 12" xfId="49927"/>
    <cellStyle name="Normal 2 3 4 4 2 12" xfId="49928"/>
    <cellStyle name="Normal 3 3 4 4 2 12" xfId="49929"/>
    <cellStyle name="Normal 4 2 4 4 2 12" xfId="49930"/>
    <cellStyle name="Normal 5 2 4 4 2 12" xfId="49931"/>
    <cellStyle name="Normal 7 2 4 4 2 12" xfId="49932"/>
    <cellStyle name="Normal 2 4 4 4 2 12" xfId="49933"/>
    <cellStyle name="Normal 3 4 4 4 2 12" xfId="49934"/>
    <cellStyle name="Normal 4 3 4 4 2 12" xfId="49935"/>
    <cellStyle name="Normal 5 3 4 4 2 12" xfId="49936"/>
    <cellStyle name="Normal 7 3 4 4 2 12" xfId="49937"/>
    <cellStyle name="Normal 2 5 2 4 2 12" xfId="49938"/>
    <cellStyle name="Normal 3 5 2 4 2 12" xfId="49939"/>
    <cellStyle name="Normal 4 4 2 4 2 12" xfId="49940"/>
    <cellStyle name="Normal 5 4 2 4 2 12" xfId="49941"/>
    <cellStyle name="Normal 7 4 2 4 2 12" xfId="49942"/>
    <cellStyle name="Normal 2 3 2 2 4 2 12" xfId="49943"/>
    <cellStyle name="Normal 3 3 2 2 4 2 12" xfId="49944"/>
    <cellStyle name="Normal 4 2 2 2 4 2 12" xfId="49945"/>
    <cellStyle name="Normal 5 2 2 2 4 2 12" xfId="49946"/>
    <cellStyle name="Normal 7 2 2 2 4 2 12" xfId="49947"/>
    <cellStyle name="Normal 2 4 2 2 4 2 12" xfId="49948"/>
    <cellStyle name="Normal 3 4 2 2 4 2 12" xfId="49949"/>
    <cellStyle name="Normal 4 3 2 2 4 2 12" xfId="49950"/>
    <cellStyle name="Normal 5 3 2 2 4 2 12" xfId="49951"/>
    <cellStyle name="Normal 7 3 2 2 4 2 12" xfId="49952"/>
    <cellStyle name="Normal 2 6 2 4 2 12" xfId="49953"/>
    <cellStyle name="Normal 3 6 2 4 2 12" xfId="49954"/>
    <cellStyle name="Normal 4 5 2 4 2 12" xfId="49955"/>
    <cellStyle name="Normal 5 5 2 4 2 12" xfId="49956"/>
    <cellStyle name="Normal 7 5 2 4 2 12" xfId="49957"/>
    <cellStyle name="Normal 2 3 3 2 4 2 12" xfId="49958"/>
    <cellStyle name="Normal 3 3 3 2 4 2 12" xfId="49959"/>
    <cellStyle name="Normal 4 2 3 2 4 2 12" xfId="49960"/>
    <cellStyle name="Normal 5 2 3 2 4 2 12" xfId="49961"/>
    <cellStyle name="Normal 7 2 3 2 4 2 12" xfId="49962"/>
    <cellStyle name="Normal 2 4 3 2 4 2 12" xfId="49963"/>
    <cellStyle name="Normal 3 4 3 2 4 2 12" xfId="49964"/>
    <cellStyle name="Normal 4 3 3 2 4 2 12" xfId="49965"/>
    <cellStyle name="Normal 5 3 3 2 4 2 12" xfId="49966"/>
    <cellStyle name="Normal 7 3 3 2 4 2 12" xfId="49967"/>
    <cellStyle name="Normal 2 8 3 2 12" xfId="49968"/>
    <cellStyle name="Normal 3 8 3 2 12" xfId="49969"/>
    <cellStyle name="Normal 4 7 3 2 12" xfId="49970"/>
    <cellStyle name="Normal 5 7 3 2 12" xfId="49971"/>
    <cellStyle name="Normal 7 7 3 2 12" xfId="49972"/>
    <cellStyle name="Normal 2 3 5 3 2 12" xfId="49973"/>
    <cellStyle name="Normal 3 3 5 3 2 12" xfId="49974"/>
    <cellStyle name="Normal 4 2 5 3 2 12" xfId="49975"/>
    <cellStyle name="Normal 5 2 5 3 2 12" xfId="49976"/>
    <cellStyle name="Normal 7 2 5 3 2 12" xfId="49977"/>
    <cellStyle name="Normal 3 4 5 3 2 12" xfId="49978"/>
    <cellStyle name="Normal 4 3 5 3 2 12" xfId="49979"/>
    <cellStyle name="Normal 5 3 5 3 2 12" xfId="49980"/>
    <cellStyle name="Normal 7 3 5 3 2 12" xfId="49981"/>
    <cellStyle name="Normal 2 5 3 3 2 12" xfId="49982"/>
    <cellStyle name="Normal 3 5 3 3 2 12" xfId="49983"/>
    <cellStyle name="Normal 4 4 3 3 2 12" xfId="49984"/>
    <cellStyle name="Normal 5 4 3 3 2 12" xfId="49985"/>
    <cellStyle name="Normal 7 4 3 3 2 12" xfId="49986"/>
    <cellStyle name="Normal 2 3 2 3 3 2 12" xfId="49987"/>
    <cellStyle name="Normal 3 3 2 3 3 2 12" xfId="49988"/>
    <cellStyle name="Normal 4 2 2 3 3 2 12" xfId="49989"/>
    <cellStyle name="Normal 5 2 2 3 3 2 12" xfId="49990"/>
    <cellStyle name="Normal 7 2 2 3 3 2 12" xfId="49991"/>
    <cellStyle name="Normal 2 4 2 3 3 2 12" xfId="49992"/>
    <cellStyle name="Normal 3 4 2 3 3 2 12" xfId="49993"/>
    <cellStyle name="Normal 4 3 2 3 3 2 12" xfId="49994"/>
    <cellStyle name="Normal 5 3 2 3 3 2 12" xfId="49995"/>
    <cellStyle name="Normal 7 3 2 3 3 2 12" xfId="49996"/>
    <cellStyle name="Normal 2 6 3 3 2 12" xfId="49997"/>
    <cellStyle name="Normal 3 6 3 3 2 12" xfId="49998"/>
    <cellStyle name="Normal 4 5 3 3 2 12" xfId="49999"/>
    <cellStyle name="Normal 5 5 3 3 2 12" xfId="50000"/>
    <cellStyle name="Normal 7 5 3 3 2 12" xfId="50001"/>
    <cellStyle name="Normal 2 3 3 3 3 2 12" xfId="50002"/>
    <cellStyle name="Normal 3 3 3 3 3 2 12" xfId="50003"/>
    <cellStyle name="Normal 4 2 3 3 3 2 12" xfId="50004"/>
    <cellStyle name="Normal 5 2 3 3 3 2 12" xfId="50005"/>
    <cellStyle name="Normal 7 2 3 3 3 2 12" xfId="50006"/>
    <cellStyle name="Normal 2 4 3 3 3 2 12" xfId="50007"/>
    <cellStyle name="Normal 3 4 3 3 3 2 12" xfId="50008"/>
    <cellStyle name="Normal 4 3 3 3 3 2 12" xfId="50009"/>
    <cellStyle name="Normal 5 3 3 3 3 2 12" xfId="50010"/>
    <cellStyle name="Normal 7 3 3 3 3 2 12" xfId="50011"/>
    <cellStyle name="Normal 2 7 2 3 2 12" xfId="50012"/>
    <cellStyle name="Normal 3 7 2 3 2 12" xfId="50013"/>
    <cellStyle name="Normal 4 6 2 3 2 12" xfId="50014"/>
    <cellStyle name="Normal 5 6 2 3 2 12" xfId="50015"/>
    <cellStyle name="Normal 7 6 2 3 2 12" xfId="50016"/>
    <cellStyle name="Normal 2 3 4 2 3 2 12" xfId="50017"/>
    <cellStyle name="Normal 3 3 4 2 3 2 12" xfId="50018"/>
    <cellStyle name="Normal 4 2 4 2 3 2 12" xfId="50019"/>
    <cellStyle name="Normal 5 2 4 2 3 2 12" xfId="50020"/>
    <cellStyle name="Normal 7 2 4 2 3 2 12" xfId="50021"/>
    <cellStyle name="Normal 2 4 4 2 3 2 12" xfId="50022"/>
    <cellStyle name="Normal 3 4 4 2 3 2 12" xfId="50023"/>
    <cellStyle name="Normal 4 3 4 2 3 2 12" xfId="50024"/>
    <cellStyle name="Normal 5 3 4 2 3 2 12" xfId="50025"/>
    <cellStyle name="Normal 7 3 4 2 3 2 12" xfId="50026"/>
    <cellStyle name="Normal 2 5 2 2 3 2 12" xfId="50027"/>
    <cellStyle name="Normal 3 5 2 2 3 2 12" xfId="50028"/>
    <cellStyle name="Normal 4 4 2 2 3 2 12" xfId="50029"/>
    <cellStyle name="Normal 5 4 2 2 3 2 12" xfId="50030"/>
    <cellStyle name="Normal 7 4 2 2 3 2 12" xfId="50031"/>
    <cellStyle name="Normal 2 3 2 2 2 3 2 12" xfId="50032"/>
    <cellStyle name="Normal 3 3 2 2 2 3 2 12" xfId="50033"/>
    <cellStyle name="Normal 4 2 2 2 2 3 2 12" xfId="50034"/>
    <cellStyle name="Normal 5 2 2 2 2 3 2 12" xfId="50035"/>
    <cellStyle name="Normal 7 2 2 2 2 3 2 12" xfId="50036"/>
    <cellStyle name="Normal 2 4 2 2 2 3 2 12" xfId="50037"/>
    <cellStyle name="Normal 3 4 2 2 2 3 2 12" xfId="50038"/>
    <cellStyle name="Normal 4 3 2 2 2 3 2 12" xfId="50039"/>
    <cellStyle name="Normal 5 3 2 2 2 3 2 12" xfId="50040"/>
    <cellStyle name="Normal 7 3 2 2 2 3 2 12" xfId="50041"/>
    <cellStyle name="Normal 2 6 2 2 3 2 12" xfId="50042"/>
    <cellStyle name="Normal 3 6 2 2 3 2 12" xfId="50043"/>
    <cellStyle name="Normal 4 5 2 2 3 2 12" xfId="50044"/>
    <cellStyle name="Normal 5 5 2 2 3 2 12" xfId="50045"/>
    <cellStyle name="Normal 7 5 2 2 3 2 12" xfId="50046"/>
    <cellStyle name="Normal 2 3 3 2 2 3 2 12" xfId="50047"/>
    <cellStyle name="Normal 3 3 3 2 2 3 2 12" xfId="50048"/>
    <cellStyle name="Normal 4 2 3 2 2 3 2 12" xfId="50049"/>
    <cellStyle name="Normal 5 2 3 2 2 3 2 12" xfId="50050"/>
    <cellStyle name="Normal 7 2 3 2 2 3 2 12" xfId="50051"/>
    <cellStyle name="Normal 2 4 3 2 2 3 2 12" xfId="50052"/>
    <cellStyle name="Normal 3 4 3 2 2 3 2 12" xfId="50053"/>
    <cellStyle name="Normal 4 3 3 2 2 3 2 12" xfId="50054"/>
    <cellStyle name="Normal 5 3 3 2 2 3 2 12" xfId="50055"/>
    <cellStyle name="Normal 7 3 3 2 2 3 2 12" xfId="50056"/>
    <cellStyle name="Normal 2 12 12" xfId="50057"/>
    <cellStyle name="Normal 3 12 12" xfId="50058"/>
    <cellStyle name="Normal 4 11 12" xfId="50059"/>
    <cellStyle name="Normal 5 11 12" xfId="50060"/>
    <cellStyle name="Normal 7 11 12" xfId="50061"/>
    <cellStyle name="Normal 2 3 9 12" xfId="50062"/>
    <cellStyle name="Normal 3 3 9 12" xfId="50063"/>
    <cellStyle name="Normal 4 2 9 12" xfId="50064"/>
    <cellStyle name="Normal 5 2 9 12" xfId="50065"/>
    <cellStyle name="Normal 7 2 9 12" xfId="50066"/>
    <cellStyle name="Normal 2 4 9 12" xfId="50067"/>
    <cellStyle name="Normal 3 4 9 12" xfId="50068"/>
    <cellStyle name="Normal 4 3 9 12" xfId="50069"/>
    <cellStyle name="Normal 5 3 9 12" xfId="50070"/>
    <cellStyle name="Normal 7 3 9 12" xfId="50071"/>
    <cellStyle name="Normal 2 5 7 12" xfId="50072"/>
    <cellStyle name="Normal 3 5 7 12" xfId="50073"/>
    <cellStyle name="Normal 4 4 7 12" xfId="50074"/>
    <cellStyle name="Normal 5 4 7 12" xfId="50075"/>
    <cellStyle name="Normal 7 4 7 12" xfId="50076"/>
    <cellStyle name="Normal 2 3 2 7 12" xfId="50077"/>
    <cellStyle name="Normal 3 3 2 7 12" xfId="50078"/>
    <cellStyle name="Normal 4 2 2 7 12" xfId="50079"/>
    <cellStyle name="Normal 5 2 2 7 12" xfId="50080"/>
    <cellStyle name="Normal 7 2 2 7 12" xfId="50081"/>
    <cellStyle name="Normal 2 4 2 7 12" xfId="50082"/>
    <cellStyle name="Normal 3 4 2 7 12" xfId="50083"/>
    <cellStyle name="Normal 4 3 2 7 12" xfId="50084"/>
    <cellStyle name="Normal 5 3 2 7 12" xfId="50085"/>
    <cellStyle name="Normal 7 3 2 7 12" xfId="50086"/>
    <cellStyle name="Normal 2 6 7 12" xfId="50087"/>
    <cellStyle name="Normal 3 6 7 12" xfId="50088"/>
    <cellStyle name="Normal 4 5 7 12" xfId="50089"/>
    <cellStyle name="Normal 5 5 7 12" xfId="50090"/>
    <cellStyle name="Normal 7 5 7 12" xfId="50091"/>
    <cellStyle name="Normal 2 3 3 7 12" xfId="50092"/>
    <cellStyle name="Normal 3 3 3 7 12" xfId="50093"/>
    <cellStyle name="Normal 4 2 3 7 12" xfId="50094"/>
    <cellStyle name="Normal 5 2 3 7 12" xfId="50095"/>
    <cellStyle name="Normal 7 2 3 7 12" xfId="50096"/>
    <cellStyle name="Normal 2 4 3 7 12" xfId="50097"/>
    <cellStyle name="Normal 3 4 3 7 12" xfId="50098"/>
    <cellStyle name="Normal 4 3 3 7 12" xfId="50099"/>
    <cellStyle name="Normal 5 3 3 7 12" xfId="50100"/>
    <cellStyle name="Normal 7 3 3 7 12" xfId="50101"/>
    <cellStyle name="Normal 2 7 6 12" xfId="50102"/>
    <cellStyle name="Normal 3 7 6 12" xfId="50103"/>
    <cellStyle name="Normal 4 6 6 12" xfId="50104"/>
    <cellStyle name="Normal 5 6 6 12" xfId="50105"/>
    <cellStyle name="Normal 7 6 6 12" xfId="50106"/>
    <cellStyle name="Normal 2 3 4 6 12" xfId="50107"/>
    <cellStyle name="Normal 3 3 4 6 12" xfId="50108"/>
    <cellStyle name="Normal 4 2 4 6 12" xfId="50109"/>
    <cellStyle name="Normal 5 2 4 6 12" xfId="50110"/>
    <cellStyle name="Normal 7 2 4 6 12" xfId="50111"/>
    <cellStyle name="Normal 2 4 4 6 12" xfId="50112"/>
    <cellStyle name="Normal 3 4 4 6 12" xfId="50113"/>
    <cellStyle name="Normal 4 3 4 6 12" xfId="50114"/>
    <cellStyle name="Normal 5 3 4 6 12" xfId="50115"/>
    <cellStyle name="Normal 7 3 4 6 12" xfId="50116"/>
    <cellStyle name="Normal 2 5 2 6 12" xfId="50117"/>
    <cellStyle name="Normal 3 5 2 6 12" xfId="50118"/>
    <cellStyle name="Normal 4 4 2 6 12" xfId="50119"/>
    <cellStyle name="Normal 5 4 2 6 12" xfId="50120"/>
    <cellStyle name="Normal 7 4 2 6 12" xfId="50121"/>
    <cellStyle name="Normal 2 3 2 2 6 12" xfId="50122"/>
    <cellStyle name="Normal 3 3 2 2 6 12" xfId="50123"/>
    <cellStyle name="Normal 4 2 2 2 6 12" xfId="50124"/>
    <cellStyle name="Normal 5 2 2 2 6 12" xfId="50125"/>
    <cellStyle name="Normal 7 2 2 2 6 12" xfId="50126"/>
    <cellStyle name="Normal 2 4 2 2 6 12" xfId="50127"/>
    <cellStyle name="Normal 3 4 2 2 6 12" xfId="50128"/>
    <cellStyle name="Normal 4 3 2 2 6 12" xfId="50129"/>
    <cellStyle name="Normal 5 3 2 2 6 12" xfId="50130"/>
    <cellStyle name="Normal 7 3 2 2 6 12" xfId="50131"/>
    <cellStyle name="Normal 2 6 2 6 12" xfId="50132"/>
    <cellStyle name="Normal 3 6 2 6 12" xfId="50133"/>
    <cellStyle name="Normal 4 5 2 6 12" xfId="50134"/>
    <cellStyle name="Normal 5 5 2 6 12" xfId="50135"/>
    <cellStyle name="Normal 7 5 2 6 12" xfId="50136"/>
    <cellStyle name="Normal 2 3 3 2 6 12" xfId="50137"/>
    <cellStyle name="Normal 3 3 3 2 6 12" xfId="50138"/>
    <cellStyle name="Normal 4 2 3 2 6 12" xfId="50139"/>
    <cellStyle name="Normal 5 2 3 2 6 12" xfId="50140"/>
    <cellStyle name="Normal 7 2 3 2 6 12" xfId="50141"/>
    <cellStyle name="Normal 2 4 3 2 6 12" xfId="50142"/>
    <cellStyle name="Normal 3 4 3 2 6 12" xfId="50143"/>
    <cellStyle name="Normal 4 3 3 2 6 12" xfId="50144"/>
    <cellStyle name="Normal 5 3 3 2 6 12" xfId="50145"/>
    <cellStyle name="Normal 7 3 3 2 6 12" xfId="50146"/>
    <cellStyle name="Normal 2 8 5 12" xfId="50147"/>
    <cellStyle name="Normal 3 8 5 12" xfId="50148"/>
    <cellStyle name="Normal 4 7 5 12" xfId="50149"/>
    <cellStyle name="Normal 5 7 5 12" xfId="50150"/>
    <cellStyle name="Normal 7 7 5 12" xfId="50151"/>
    <cellStyle name="Normal 2 3 5 5 12" xfId="50152"/>
    <cellStyle name="Normal 3 3 5 5 12" xfId="50153"/>
    <cellStyle name="Normal 4 2 5 5 12" xfId="50154"/>
    <cellStyle name="Normal 5 2 5 5 12" xfId="50155"/>
    <cellStyle name="Normal 7 2 5 5 12" xfId="50156"/>
    <cellStyle name="Normal 2 4 5 5 12" xfId="50157"/>
    <cellStyle name="Normal 3 4 5 5 12" xfId="50158"/>
    <cellStyle name="Normal 4 3 5 5 12" xfId="50159"/>
    <cellStyle name="Normal 5 3 5 5 12" xfId="50160"/>
    <cellStyle name="Normal 7 3 5 5 12" xfId="50161"/>
    <cellStyle name="Normal 2 5 3 5 12" xfId="50162"/>
    <cellStyle name="Normal 3 5 3 5 12" xfId="50163"/>
    <cellStyle name="Normal 4 4 3 5 12" xfId="50164"/>
    <cellStyle name="Normal 5 4 3 5 12" xfId="50165"/>
    <cellStyle name="Normal 7 4 3 5 12" xfId="50166"/>
    <cellStyle name="Normal 2 3 2 3 5 12" xfId="50167"/>
    <cellStyle name="Normal 3 3 2 3 5 12" xfId="50168"/>
    <cellStyle name="Normal 4 2 2 3 5 12" xfId="50169"/>
    <cellStyle name="Normal 5 2 2 3 5 12" xfId="50170"/>
    <cellStyle name="Normal 7 2 2 3 5 12" xfId="50171"/>
    <cellStyle name="Normal 2 4 2 3 5 12" xfId="50172"/>
    <cellStyle name="Normal 3 4 2 3 5 12" xfId="50173"/>
    <cellStyle name="Normal 4 3 2 3 5 12" xfId="50174"/>
    <cellStyle name="Normal 5 3 2 3 5 12" xfId="50175"/>
    <cellStyle name="Normal 7 3 2 3 5 12" xfId="50176"/>
    <cellStyle name="Normal 2 6 3 5 12" xfId="50177"/>
    <cellStyle name="Normal 3 6 3 5 12" xfId="50178"/>
    <cellStyle name="Normal 4 5 3 5 12" xfId="50179"/>
    <cellStyle name="Normal 5 5 3 5 12" xfId="50180"/>
    <cellStyle name="Normal 7 5 3 5 12" xfId="50181"/>
    <cellStyle name="Normal 2 3 3 3 5 12" xfId="50182"/>
    <cellStyle name="Normal 3 3 3 3 5 12" xfId="50183"/>
    <cellStyle name="Normal 4 2 3 3 5 12" xfId="50184"/>
    <cellStyle name="Normal 5 2 3 3 5 12" xfId="50185"/>
    <cellStyle name="Normal 7 2 3 3 5 12" xfId="50186"/>
    <cellStyle name="Normal 2 4 3 3 5 12" xfId="50187"/>
    <cellStyle name="Normal 3 4 3 3 5 12" xfId="50188"/>
    <cellStyle name="Normal 4 3 3 3 5 12" xfId="50189"/>
    <cellStyle name="Normal 5 3 3 3 5 12" xfId="50190"/>
    <cellStyle name="Normal 7 3 3 3 5 12" xfId="50191"/>
    <cellStyle name="Normal 2 7 2 5 12" xfId="50192"/>
    <cellStyle name="Normal 3 7 2 5 12" xfId="50193"/>
    <cellStyle name="Normal 4 6 2 5 12" xfId="50194"/>
    <cellStyle name="Normal 5 6 2 5 12" xfId="50195"/>
    <cellStyle name="Normal 7 6 2 5 12" xfId="50196"/>
    <cellStyle name="Normal 2 3 4 2 5 12" xfId="50197"/>
    <cellStyle name="Normal 3 3 4 2 5 12" xfId="50198"/>
    <cellStyle name="Normal 4 2 4 2 5 12" xfId="50199"/>
    <cellStyle name="Normal 5 2 4 2 5 12" xfId="50200"/>
    <cellStyle name="Normal 7 2 4 2 5 12" xfId="50201"/>
    <cellStyle name="Normal 2 4 4 2 5 12" xfId="50202"/>
    <cellStyle name="Normal 3 4 4 2 5 12" xfId="50203"/>
    <cellStyle name="Normal 4 3 4 2 5 12" xfId="50204"/>
    <cellStyle name="Normal 5 3 4 2 5 12" xfId="50205"/>
    <cellStyle name="Normal 7 3 4 2 5 12" xfId="50206"/>
    <cellStyle name="Normal 2 5 2 2 5 12" xfId="50207"/>
    <cellStyle name="Normal 3 5 2 2 5 12" xfId="50208"/>
    <cellStyle name="Normal 4 4 2 2 5 12" xfId="50209"/>
    <cellStyle name="Normal 5 4 2 2 5 12" xfId="50210"/>
    <cellStyle name="Normal 7 4 2 2 5 12" xfId="50211"/>
    <cellStyle name="Normal 2 3 2 2 2 5 12" xfId="50212"/>
    <cellStyle name="Normal 3 3 2 2 2 5 12" xfId="50213"/>
    <cellStyle name="Normal 4 2 2 2 2 5 12" xfId="50214"/>
    <cellStyle name="Normal 5 2 2 2 2 5 12" xfId="50215"/>
    <cellStyle name="Normal 7 2 2 2 2 5 12" xfId="50216"/>
    <cellStyle name="Normal 2 4 2 2 2 5 12" xfId="50217"/>
    <cellStyle name="Normal 3 4 2 2 2 5 12" xfId="50218"/>
    <cellStyle name="Normal 4 3 2 2 2 5 12" xfId="50219"/>
    <cellStyle name="Normal 5 3 2 2 2 5 12" xfId="50220"/>
    <cellStyle name="Normal 7 3 2 2 2 5 12" xfId="50221"/>
    <cellStyle name="Normal 2 6 2 2 5 12" xfId="50222"/>
    <cellStyle name="Normal 3 6 2 2 5 12" xfId="50223"/>
    <cellStyle name="Normal 4 5 2 2 5 12" xfId="50224"/>
    <cellStyle name="Normal 5 5 2 2 5 12" xfId="50225"/>
    <cellStyle name="Normal 7 5 2 2 5 12" xfId="50226"/>
    <cellStyle name="Normal 2 3 3 2 2 5 12" xfId="50227"/>
    <cellStyle name="Normal 3 3 3 2 2 5 12" xfId="50228"/>
    <cellStyle name="Normal 4 2 3 2 2 5 12" xfId="50229"/>
    <cellStyle name="Normal 5 2 3 2 2 5 12" xfId="50230"/>
    <cellStyle name="Normal 7 2 3 2 2 5 12" xfId="50231"/>
    <cellStyle name="Normal 2 4 3 2 2 5 12" xfId="50232"/>
    <cellStyle name="Normal 3 4 3 2 2 5 12" xfId="50233"/>
    <cellStyle name="Normal 4 3 3 2 2 5 12" xfId="50234"/>
    <cellStyle name="Normal 5 3 3 2 2 5 12" xfId="50235"/>
    <cellStyle name="Normal 7 3 3 2 2 5 12" xfId="50236"/>
    <cellStyle name="Normal 2 9 3 12" xfId="50237"/>
    <cellStyle name="Normal 3 9 3 12" xfId="50238"/>
    <cellStyle name="Normal 4 8 3 12" xfId="50239"/>
    <cellStyle name="Normal 5 8 3 12" xfId="50240"/>
    <cellStyle name="Normal 7 8 3 12" xfId="50241"/>
    <cellStyle name="Normal 2 3 6 3 12" xfId="50242"/>
    <cellStyle name="Normal 3 3 6 3 12" xfId="50243"/>
    <cellStyle name="Normal 4 2 6 3 12" xfId="50244"/>
    <cellStyle name="Normal 5 2 6 3 12" xfId="50245"/>
    <cellStyle name="Normal 7 2 6 3 12" xfId="50246"/>
    <cellStyle name="Normal 2 4 6 3 12" xfId="50247"/>
    <cellStyle name="Normal 3 4 6 3 12" xfId="50248"/>
    <cellStyle name="Normal 4 3 6 3 12" xfId="50249"/>
    <cellStyle name="Normal 5 3 6 3 12" xfId="50250"/>
    <cellStyle name="Normal 7 3 6 3 12" xfId="50251"/>
    <cellStyle name="Normal 2 5 4 3 12" xfId="50252"/>
    <cellStyle name="Normal 3 5 4 3 12" xfId="50253"/>
    <cellStyle name="Normal 4 4 4 3 12" xfId="50254"/>
    <cellStyle name="Normal 5 4 4 3 12" xfId="50255"/>
    <cellStyle name="Normal 7 4 4 3 12" xfId="50256"/>
    <cellStyle name="Normal 2 3 2 4 3 12" xfId="50257"/>
    <cellStyle name="Normal 3 3 2 4 3 12" xfId="50258"/>
    <cellStyle name="Normal 4 2 2 4 3 12" xfId="50259"/>
    <cellStyle name="Normal 5 2 2 4 3 12" xfId="50260"/>
    <cellStyle name="Normal 7 2 2 4 3 12" xfId="50261"/>
    <cellStyle name="Normal 2 4 2 4 3 12" xfId="50262"/>
    <cellStyle name="Normal 3 4 2 4 3 12" xfId="50263"/>
    <cellStyle name="Normal 4 3 2 4 3 12" xfId="50264"/>
    <cellStyle name="Normal 5 3 2 4 3 12" xfId="50265"/>
    <cellStyle name="Normal 7 3 2 4 3 12" xfId="50266"/>
    <cellStyle name="Normal 2 6 4 3 12" xfId="50267"/>
    <cellStyle name="Normal 3 6 4 3 12" xfId="50268"/>
    <cellStyle name="Normal 4 5 4 3 12" xfId="50269"/>
    <cellStyle name="Normal 5 5 4 3 12" xfId="50270"/>
    <cellStyle name="Normal 7 5 4 3 12" xfId="50271"/>
    <cellStyle name="Normal 2 3 3 4 3 12" xfId="50272"/>
    <cellStyle name="Normal 3 3 3 4 3 12" xfId="50273"/>
    <cellStyle name="Normal 4 2 3 4 3 12" xfId="50274"/>
    <cellStyle name="Normal 5 2 3 4 3 12" xfId="50275"/>
    <cellStyle name="Normal 7 2 3 4 3 12" xfId="50276"/>
    <cellStyle name="Normal 2 4 3 4 3 12" xfId="50277"/>
    <cellStyle name="Normal 3 4 3 4 3 12" xfId="50278"/>
    <cellStyle name="Normal 4 3 3 4 3 12" xfId="50279"/>
    <cellStyle name="Normal 5 3 3 4 3 12" xfId="50280"/>
    <cellStyle name="Normal 7 3 3 4 3 12" xfId="50281"/>
    <cellStyle name="Normal 2 7 3 3 12" xfId="50282"/>
    <cellStyle name="Normal 3 7 3 3 12" xfId="50283"/>
    <cellStyle name="Normal 4 6 3 3 12" xfId="50284"/>
    <cellStyle name="Normal 5 6 3 3 12" xfId="50285"/>
    <cellStyle name="Normal 7 6 3 3 12" xfId="50286"/>
    <cellStyle name="Normal 2 3 4 3 3 12" xfId="50287"/>
    <cellStyle name="Normal 3 3 4 3 3 12" xfId="50288"/>
    <cellStyle name="Normal 4 2 4 3 3 12" xfId="50289"/>
    <cellStyle name="Normal 5 2 4 3 3 12" xfId="50290"/>
    <cellStyle name="Normal 7 2 4 3 3 12" xfId="50291"/>
    <cellStyle name="Normal 2 4 4 3 3 12" xfId="50292"/>
    <cellStyle name="Normal 3 4 4 3 3 12" xfId="50293"/>
    <cellStyle name="Normal 4 3 4 3 3 12" xfId="50294"/>
    <cellStyle name="Normal 5 3 4 3 3 12" xfId="50295"/>
    <cellStyle name="Normal 7 3 4 3 3 12" xfId="50296"/>
    <cellStyle name="Normal 2 5 2 3 3 12" xfId="50297"/>
    <cellStyle name="Normal 3 5 2 3 3 12" xfId="50298"/>
    <cellStyle name="Normal 4 4 2 3 3 12" xfId="50299"/>
    <cellStyle name="Normal 5 4 2 3 3 12" xfId="50300"/>
    <cellStyle name="Normal 7 4 2 3 3 12" xfId="50301"/>
    <cellStyle name="Normal 2 3 2 2 3 3 12" xfId="50302"/>
    <cellStyle name="Normal 3 3 2 2 3 3 12" xfId="50303"/>
    <cellStyle name="Normal 4 2 2 2 3 3 12" xfId="50304"/>
    <cellStyle name="Normal 5 2 2 2 3 3 12" xfId="50305"/>
    <cellStyle name="Normal 7 2 2 2 3 3 12" xfId="50306"/>
    <cellStyle name="Normal 2 4 2 2 3 3 12" xfId="50307"/>
    <cellStyle name="Normal 3 4 2 2 3 3 12" xfId="50308"/>
    <cellStyle name="Normal 4 3 2 2 3 3 12" xfId="50309"/>
    <cellStyle name="Normal 5 3 2 2 3 3 12" xfId="50310"/>
    <cellStyle name="Normal 7 3 2 2 3 3 12" xfId="50311"/>
    <cellStyle name="Normal 2 6 2 3 3 12" xfId="50312"/>
    <cellStyle name="Normal 3 6 2 3 3 12" xfId="50313"/>
    <cellStyle name="Normal 4 5 2 3 3 12" xfId="50314"/>
    <cellStyle name="Normal 5 5 2 3 3 12" xfId="50315"/>
    <cellStyle name="Normal 7 5 2 3 3 12" xfId="50316"/>
    <cellStyle name="Normal 2 3 3 2 3 3 12" xfId="50317"/>
    <cellStyle name="Normal 3 3 3 2 3 3 12" xfId="50318"/>
    <cellStyle name="Normal 4 2 3 2 3 3 12" xfId="50319"/>
    <cellStyle name="Normal 5 2 3 2 3 3 12" xfId="50320"/>
    <cellStyle name="Normal 7 2 3 2 3 3 12" xfId="50321"/>
    <cellStyle name="Normal 2 4 3 2 3 3 12" xfId="50322"/>
    <cellStyle name="Normal 3 4 3 2 3 3 12" xfId="50323"/>
    <cellStyle name="Normal 4 3 3 2 3 3 12" xfId="50324"/>
    <cellStyle name="Normal 5 3 3 2 3 3 12" xfId="50325"/>
    <cellStyle name="Normal 7 3 3 2 3 3 12" xfId="50326"/>
    <cellStyle name="Normal 2 8 2 3 12" xfId="50327"/>
    <cellStyle name="Normal 3 8 2 3 12" xfId="50328"/>
    <cellStyle name="Normal 4 7 2 3 12" xfId="50329"/>
    <cellStyle name="Normal 5 7 2 3 12" xfId="50330"/>
    <cellStyle name="Normal 7 7 2 3 12" xfId="50331"/>
    <cellStyle name="Normal 2 3 5 2 3 12" xfId="50332"/>
    <cellStyle name="Normal 3 3 5 2 3 12" xfId="50333"/>
    <cellStyle name="Normal 4 2 5 2 3 12" xfId="50334"/>
    <cellStyle name="Normal 5 2 5 2 3 12" xfId="50335"/>
    <cellStyle name="Normal 7 2 5 2 3 12" xfId="50336"/>
    <cellStyle name="Normal 2 4 5 2 3 12" xfId="50337"/>
    <cellStyle name="Normal 3 4 5 2 3 12" xfId="50338"/>
    <cellStyle name="Normal 4 3 5 2 3 12" xfId="50339"/>
    <cellStyle name="Normal 5 3 5 2 3 12" xfId="50340"/>
    <cellStyle name="Normal 7 3 5 2 3 12" xfId="50341"/>
    <cellStyle name="Normal 2 5 3 2 3 12" xfId="50342"/>
    <cellStyle name="Normal 3 5 3 2 3 12" xfId="50343"/>
    <cellStyle name="Normal 4 4 3 2 3 12" xfId="50344"/>
    <cellStyle name="Normal 5 4 3 2 3 12" xfId="50345"/>
    <cellStyle name="Normal 7 4 3 2 3 12" xfId="50346"/>
    <cellStyle name="Normal 2 3 2 3 2 3 12" xfId="50347"/>
    <cellStyle name="Normal 3 3 2 3 2 3 12" xfId="50348"/>
    <cellStyle name="Normal 4 2 2 3 2 3 12" xfId="50349"/>
    <cellStyle name="Normal 5 2 2 3 2 3 12" xfId="50350"/>
    <cellStyle name="Normal 7 2 2 3 2 3 12" xfId="50351"/>
    <cellStyle name="Normal 2 4 2 3 2 3 12" xfId="50352"/>
    <cellStyle name="Normal 3 4 2 3 2 3 12" xfId="50353"/>
    <cellStyle name="Normal 4 3 2 3 2 3 12" xfId="50354"/>
    <cellStyle name="Normal 5 3 2 3 2 3 12" xfId="50355"/>
    <cellStyle name="Normal 7 3 2 3 2 3 12" xfId="50356"/>
    <cellStyle name="Normal 2 6 3 2 3 12" xfId="50357"/>
    <cellStyle name="Normal 3 6 3 2 3 12" xfId="50358"/>
    <cellStyle name="Normal 4 5 3 2 3 12" xfId="50359"/>
    <cellStyle name="Normal 5 5 3 2 3 12" xfId="50360"/>
    <cellStyle name="Normal 7 5 3 2 3 12" xfId="50361"/>
    <cellStyle name="Normal 2 3 3 3 2 3 12" xfId="50362"/>
    <cellStyle name="Normal 3 3 3 3 2 3 12" xfId="50363"/>
    <cellStyle name="Normal 4 2 3 3 2 3 12" xfId="50364"/>
    <cellStyle name="Normal 5 2 3 3 2 3 12" xfId="50365"/>
    <cellStyle name="Normal 7 2 3 3 2 3 12" xfId="50366"/>
    <cellStyle name="Normal 2 4 3 3 2 3 12" xfId="50367"/>
    <cellStyle name="Normal 3 4 3 3 2 3 12" xfId="50368"/>
    <cellStyle name="Normal 4 3 3 3 2 3 12" xfId="50369"/>
    <cellStyle name="Normal 5 3 3 3 2 3 12" xfId="50370"/>
    <cellStyle name="Normal 7 3 3 3 2 3 12" xfId="50371"/>
    <cellStyle name="Normal 2 7 2 2 3 12" xfId="50372"/>
    <cellStyle name="Normal 3 7 2 2 3 12" xfId="50373"/>
    <cellStyle name="Normal 4 6 2 2 3 12" xfId="50374"/>
    <cellStyle name="Normal 5 6 2 2 3 12" xfId="50375"/>
    <cellStyle name="Normal 7 6 2 2 3 12" xfId="50376"/>
    <cellStyle name="Normal 2 3 4 2 2 3 12" xfId="50377"/>
    <cellStyle name="Normal 3 3 4 2 2 3 12" xfId="50378"/>
    <cellStyle name="Normal 4 2 4 2 2 3 12" xfId="50379"/>
    <cellStyle name="Normal 5 2 4 2 2 3 12" xfId="50380"/>
    <cellStyle name="Normal 7 2 4 2 2 3 12" xfId="50381"/>
    <cellStyle name="Normal 2 4 4 2 2 3 12" xfId="50382"/>
    <cellStyle name="Normal 3 4 4 2 2 3 12" xfId="50383"/>
    <cellStyle name="Normal 4 3 4 2 2 3 12" xfId="50384"/>
    <cellStyle name="Normal 5 3 4 2 2 3 12" xfId="50385"/>
    <cellStyle name="Normal 7 3 4 2 2 3 12" xfId="50386"/>
    <cellStyle name="Normal 2 5 2 2 2 3 12" xfId="50387"/>
    <cellStyle name="Normal 3 5 2 2 2 3 12" xfId="50388"/>
    <cellStyle name="Normal 4 4 2 2 2 3 12" xfId="50389"/>
    <cellStyle name="Normal 5 4 2 2 2 3 12" xfId="50390"/>
    <cellStyle name="Normal 7 4 2 2 2 3 12" xfId="50391"/>
    <cellStyle name="Normal 2 3 2 2 2 2 3 12" xfId="50392"/>
    <cellStyle name="Normal 3 3 2 2 2 2 3 12" xfId="50393"/>
    <cellStyle name="Normal 4 2 2 2 2 2 3 12" xfId="50394"/>
    <cellStyle name="Normal 5 2 2 2 2 2 3 12" xfId="50395"/>
    <cellStyle name="Normal 7 2 2 2 2 2 3 12" xfId="50396"/>
    <cellStyle name="Normal 2 4 2 2 2 2 3 12" xfId="50397"/>
    <cellStyle name="Normal 3 4 2 2 2 2 3 12" xfId="50398"/>
    <cellStyle name="Normal 4 3 2 2 2 2 3 12" xfId="50399"/>
    <cellStyle name="Normal 5 3 2 2 2 2 3 12" xfId="50400"/>
    <cellStyle name="Normal 7 3 2 2 2 2 3 12" xfId="50401"/>
    <cellStyle name="Normal 2 6 2 2 2 3 12" xfId="50402"/>
    <cellStyle name="Normal 3 6 2 2 2 3 12" xfId="50403"/>
    <cellStyle name="Normal 4 5 2 2 2 3 12" xfId="50404"/>
    <cellStyle name="Normal 5 5 2 2 2 3 12" xfId="50405"/>
    <cellStyle name="Normal 7 5 2 2 2 3 12" xfId="50406"/>
    <cellStyle name="Normal 2 3 3 2 2 2 3 12" xfId="50407"/>
    <cellStyle name="Normal 3 3 3 2 2 2 3 12" xfId="50408"/>
    <cellStyle name="Normal 4 2 3 2 2 2 3 12" xfId="50409"/>
    <cellStyle name="Normal 5 2 3 2 2 2 3 12" xfId="50410"/>
    <cellStyle name="Normal 7 2 3 2 2 2 3 12" xfId="50411"/>
    <cellStyle name="Normal 2 4 3 2 2 2 3 12" xfId="50412"/>
    <cellStyle name="Normal 3 4 3 2 2 2 3 12" xfId="50413"/>
    <cellStyle name="Normal 4 3 3 2 2 2 3 12" xfId="50414"/>
    <cellStyle name="Normal 5 3 3 2 2 2 3 12" xfId="50415"/>
    <cellStyle name="Normal 7 3 3 2 2 2 3 12" xfId="50416"/>
    <cellStyle name="Normal 28 3 12" xfId="50417"/>
    <cellStyle name="Normal 2 3 7 3 12" xfId="50418"/>
    <cellStyle name="Normal 3 10 3 12" xfId="50419"/>
    <cellStyle name="Normal 4 9 3 12" xfId="50420"/>
    <cellStyle name="Normal 5 9 3 12" xfId="50421"/>
    <cellStyle name="Millares 4 3 12" xfId="50422"/>
    <cellStyle name="Normal 7 2 7 3 12" xfId="50423"/>
    <cellStyle name="Normal 3 3 7 3 12" xfId="50424"/>
    <cellStyle name="Normal 4 2 7 3 12" xfId="50425"/>
    <cellStyle name="Normal 5 2 7 3 12" xfId="50426"/>
    <cellStyle name="Normal 2 4 5 3 3 12" xfId="50427"/>
    <cellStyle name="Normal 3 4 7 3 12" xfId="50428"/>
    <cellStyle name="Normal 4 3 7 3 12" xfId="50429"/>
    <cellStyle name="Normal 5 3 7 3 12" xfId="50430"/>
    <cellStyle name="Normal 7 3 7 3 12" xfId="50431"/>
    <cellStyle name="Normal 2 5 5 3 12" xfId="50432"/>
    <cellStyle name="Normal 3 5 5 3 12" xfId="50433"/>
    <cellStyle name="Normal 4 4 5 3 12" xfId="50434"/>
    <cellStyle name="Normal 5 4 5 3 12" xfId="50435"/>
    <cellStyle name="Normal 7 4 5 3 12" xfId="50436"/>
    <cellStyle name="Normal 2 3 2 5 3 12" xfId="50437"/>
    <cellStyle name="Normal 3 3 2 5 3 12" xfId="50438"/>
    <cellStyle name="Normal 4 2 2 5 3 12" xfId="50439"/>
    <cellStyle name="Normal 5 2 2 5 3 12" xfId="50440"/>
    <cellStyle name="Normal 7 2 2 5 3 12" xfId="50441"/>
    <cellStyle name="Normal 2 4 2 5 3 12" xfId="50442"/>
    <cellStyle name="Normal 3 4 2 5 3 12" xfId="50443"/>
    <cellStyle name="Normal 4 3 2 5 3 12" xfId="50444"/>
    <cellStyle name="Normal 5 3 2 5 3 12" xfId="50445"/>
    <cellStyle name="Normal 7 3 2 5 3 12" xfId="50446"/>
    <cellStyle name="Normal 2 6 5 3 12" xfId="50447"/>
    <cellStyle name="Normal 3 6 5 3 12" xfId="50448"/>
    <cellStyle name="Normal 4 5 5 3 12" xfId="50449"/>
    <cellStyle name="Normal 5 5 5 3 12" xfId="50450"/>
    <cellStyle name="Normal 7 5 5 3 12" xfId="50451"/>
    <cellStyle name="Normal 2 3 3 5 3 12" xfId="50452"/>
    <cellStyle name="Normal 3 3 3 5 3 12" xfId="50453"/>
    <cellStyle name="Normal 4 2 3 5 3 12" xfId="50454"/>
    <cellStyle name="Normal 5 2 3 5 3 12" xfId="50455"/>
    <cellStyle name="Normal 7 2 3 5 3 12" xfId="50456"/>
    <cellStyle name="Normal 2 4 3 5 3 12" xfId="50457"/>
    <cellStyle name="Normal 3 4 3 5 3 12" xfId="50458"/>
    <cellStyle name="Normal 4 3 3 5 3 12" xfId="50459"/>
    <cellStyle name="Normal 5 3 3 5 3 12" xfId="50460"/>
    <cellStyle name="Normal 7 3 3 5 3 12" xfId="50461"/>
    <cellStyle name="Normal 2 7 4 3 12" xfId="50462"/>
    <cellStyle name="Normal 3 7 4 3 12" xfId="50463"/>
    <cellStyle name="Normal 4 6 4 3 12" xfId="50464"/>
    <cellStyle name="Normal 5 6 4 3 12" xfId="50465"/>
    <cellStyle name="Normal 7 6 4 3 12" xfId="50466"/>
    <cellStyle name="Normal 2 3 4 4 3 12" xfId="50467"/>
    <cellStyle name="Normal 3 3 4 4 3 12" xfId="50468"/>
    <cellStyle name="Normal 4 2 4 4 3 12" xfId="50469"/>
    <cellStyle name="Normal 5 2 4 4 3 12" xfId="50470"/>
    <cellStyle name="Normal 7 2 4 4 3 12" xfId="50471"/>
    <cellStyle name="Normal 2 4 4 4 3 12" xfId="50472"/>
    <cellStyle name="Normal 3 4 4 4 3 12" xfId="50473"/>
    <cellStyle name="Normal 4 3 4 4 3 12" xfId="50474"/>
    <cellStyle name="Normal 5 3 4 4 3 12" xfId="50475"/>
    <cellStyle name="Normal 7 3 4 4 3 12" xfId="50476"/>
    <cellStyle name="Normal 2 5 2 4 3 12" xfId="50477"/>
    <cellStyle name="Normal 3 5 2 4 3 12" xfId="50478"/>
    <cellStyle name="Normal 4 4 2 4 3 12" xfId="50479"/>
    <cellStyle name="Normal 5 4 2 4 3 12" xfId="50480"/>
    <cellStyle name="Normal 7 4 2 4 3 12" xfId="50481"/>
    <cellStyle name="Normal 2 3 2 2 4 3 12" xfId="50482"/>
    <cellStyle name="Normal 3 3 2 2 4 3 12" xfId="50483"/>
    <cellStyle name="Normal 4 2 2 2 4 3 12" xfId="50484"/>
    <cellStyle name="Normal 5 2 2 2 4 3 12" xfId="50485"/>
    <cellStyle name="Normal 7 2 2 2 4 3 12" xfId="50486"/>
    <cellStyle name="Normal 2 4 2 2 4 3 12" xfId="50487"/>
    <cellStyle name="Normal 3 4 2 2 4 3 12" xfId="50488"/>
    <cellStyle name="Normal 4 3 2 2 4 3 12" xfId="50489"/>
    <cellStyle name="Normal 5 3 2 2 4 3 12" xfId="50490"/>
    <cellStyle name="Normal 7 3 2 2 4 3 12" xfId="50491"/>
    <cellStyle name="Normal 2 6 2 4 3 12" xfId="50492"/>
    <cellStyle name="Normal 3 6 2 4 3 12" xfId="50493"/>
    <cellStyle name="Normal 4 5 2 4 3 12" xfId="50494"/>
    <cellStyle name="Normal 5 5 2 4 3 12" xfId="50495"/>
    <cellStyle name="Normal 7 5 2 4 3 12" xfId="50496"/>
    <cellStyle name="Normal 2 3 3 2 4 3 12" xfId="50497"/>
    <cellStyle name="Normal 3 3 3 2 4 3 12" xfId="50498"/>
    <cellStyle name="Normal 4 2 3 2 4 3 12" xfId="50499"/>
    <cellStyle name="Normal 5 2 3 2 4 3 12" xfId="50500"/>
    <cellStyle name="Normal 7 2 3 2 4 3 12" xfId="50501"/>
    <cellStyle name="Normal 2 4 3 2 4 3 12" xfId="50502"/>
    <cellStyle name="Normal 3 4 3 2 4 3 12" xfId="50503"/>
    <cellStyle name="Normal 4 3 3 2 4 3 12" xfId="50504"/>
    <cellStyle name="Normal 5 3 3 2 4 3 12" xfId="50505"/>
    <cellStyle name="Normal 7 3 3 2 4 3 12" xfId="50506"/>
    <cellStyle name="Normal 2 8 3 3 12" xfId="50507"/>
    <cellStyle name="Normal 3 8 3 3 12" xfId="50508"/>
    <cellStyle name="Normal 4 7 3 3 12" xfId="50509"/>
    <cellStyle name="Normal 5 7 3 3 12" xfId="50510"/>
    <cellStyle name="Normal 7 7 3 3 12" xfId="50511"/>
    <cellStyle name="Normal 2 3 5 3 3 12" xfId="50512"/>
    <cellStyle name="Normal 3 3 5 3 3 12" xfId="50513"/>
    <cellStyle name="Normal 4 2 5 3 3 12" xfId="50514"/>
    <cellStyle name="Normal 5 2 5 3 3 12" xfId="50515"/>
    <cellStyle name="Normal 7 2 5 3 3 12" xfId="50516"/>
    <cellStyle name="Normal 3 4 5 3 3 12" xfId="50517"/>
    <cellStyle name="Normal 4 3 5 3 3 12" xfId="50518"/>
    <cellStyle name="Normal 5 3 5 3 3 12" xfId="50519"/>
    <cellStyle name="Normal 7 3 5 3 3 12" xfId="50520"/>
    <cellStyle name="Normal 2 5 3 3 3 12" xfId="50521"/>
    <cellStyle name="Normal 3 5 3 3 3 12" xfId="50522"/>
    <cellStyle name="Normal 4 4 3 3 3 12" xfId="50523"/>
    <cellStyle name="Normal 5 4 3 3 3 12" xfId="50524"/>
    <cellStyle name="Normal 7 4 3 3 3 12" xfId="50525"/>
    <cellStyle name="Normal 2 3 2 3 3 3 12" xfId="50526"/>
    <cellStyle name="Normal 3 3 2 3 3 3 12" xfId="50527"/>
    <cellStyle name="Normal 4 2 2 3 3 3 12" xfId="50528"/>
    <cellStyle name="Normal 5 2 2 3 3 3 12" xfId="50529"/>
    <cellStyle name="Normal 7 2 2 3 3 3 12" xfId="50530"/>
    <cellStyle name="Normal 2 4 2 3 3 3 12" xfId="50531"/>
    <cellStyle name="Normal 3 4 2 3 3 3 12" xfId="50532"/>
    <cellStyle name="Normal 4 3 2 3 3 3 12" xfId="50533"/>
    <cellStyle name="Normal 5 3 2 3 3 3 12" xfId="50534"/>
    <cellStyle name="Normal 7 3 2 3 3 3 12" xfId="50535"/>
    <cellStyle name="Normal 2 6 3 3 3 12" xfId="50536"/>
    <cellStyle name="Normal 3 6 3 3 3 12" xfId="50537"/>
    <cellStyle name="Normal 4 5 3 3 3 12" xfId="50538"/>
    <cellStyle name="Normal 5 5 3 3 3 12" xfId="50539"/>
    <cellStyle name="Normal 7 5 3 3 3 12" xfId="50540"/>
    <cellStyle name="Normal 2 3 3 3 3 3 12" xfId="50541"/>
    <cellStyle name="Normal 3 3 3 3 3 3 12" xfId="50542"/>
    <cellStyle name="Normal 4 2 3 3 3 3 12" xfId="50543"/>
    <cellStyle name="Normal 5 2 3 3 3 3 12" xfId="50544"/>
    <cellStyle name="Normal 7 2 3 3 3 3 12" xfId="50545"/>
    <cellStyle name="Normal 2 4 3 3 3 3 12" xfId="50546"/>
    <cellStyle name="Normal 3 4 3 3 3 3 12" xfId="50547"/>
    <cellStyle name="Normal 4 3 3 3 3 3 12" xfId="50548"/>
    <cellStyle name="Normal 5 3 3 3 3 3 12" xfId="50549"/>
    <cellStyle name="Normal 7 3 3 3 3 3 12" xfId="50550"/>
    <cellStyle name="Normal 2 7 2 3 3 12" xfId="50551"/>
    <cellStyle name="Normal 3 7 2 3 3 12" xfId="50552"/>
    <cellStyle name="Normal 4 6 2 3 3 12" xfId="50553"/>
    <cellStyle name="Normal 5 6 2 3 3 12" xfId="50554"/>
    <cellStyle name="Normal 7 6 2 3 3 12" xfId="50555"/>
    <cellStyle name="Normal 2 3 4 2 3 3 12" xfId="50556"/>
    <cellStyle name="Normal 3 3 4 2 3 3 12" xfId="50557"/>
    <cellStyle name="Normal 4 2 4 2 3 3 12" xfId="50558"/>
    <cellStyle name="Normal 5 2 4 2 3 3 12" xfId="50559"/>
    <cellStyle name="Normal 7 2 4 2 3 3 12" xfId="50560"/>
    <cellStyle name="Normal 2 4 4 2 3 3 12" xfId="50561"/>
    <cellStyle name="Normal 3 4 4 2 3 3 12" xfId="50562"/>
    <cellStyle name="Normal 4 3 4 2 3 3 12" xfId="50563"/>
    <cellStyle name="Normal 5 3 4 2 3 3 12" xfId="50564"/>
    <cellStyle name="Normal 7 3 4 2 3 3 12" xfId="50565"/>
    <cellStyle name="Normal 2 5 2 2 3 3 12" xfId="50566"/>
    <cellStyle name="Normal 3 5 2 2 3 3 12" xfId="50567"/>
    <cellStyle name="Normal 4 4 2 2 3 3 12" xfId="50568"/>
    <cellStyle name="Normal 5 4 2 2 3 3 12" xfId="50569"/>
    <cellStyle name="Normal 7 4 2 2 3 3 12" xfId="50570"/>
    <cellStyle name="Normal 2 3 2 2 2 3 3 12" xfId="50571"/>
    <cellStyle name="Normal 3 3 2 2 2 3 3 12" xfId="50572"/>
    <cellStyle name="Normal 4 2 2 2 2 3 3 12" xfId="50573"/>
    <cellStyle name="Normal 5 2 2 2 2 3 3 12" xfId="50574"/>
    <cellStyle name="Normal 7 2 2 2 2 3 3 12" xfId="50575"/>
    <cellStyle name="Normal 2 4 2 2 2 3 3 12" xfId="50576"/>
    <cellStyle name="Normal 3 4 2 2 2 3 3 12" xfId="50577"/>
    <cellStyle name="Normal 4 3 2 2 2 3 3 12" xfId="50578"/>
    <cellStyle name="Normal 5 3 2 2 2 3 3 12" xfId="50579"/>
    <cellStyle name="Normal 7 3 2 2 2 3 3 12" xfId="50580"/>
    <cellStyle name="Normal 2 6 2 2 3 3 12" xfId="50581"/>
    <cellStyle name="Normal 3 6 2 2 3 3 12" xfId="50582"/>
    <cellStyle name="Normal 4 5 2 2 3 3 12" xfId="50583"/>
    <cellStyle name="Normal 5 5 2 2 3 3 12" xfId="50584"/>
    <cellStyle name="Normal 7 5 2 2 3 3 12" xfId="50585"/>
    <cellStyle name="Normal 2 3 3 2 2 3 3 12" xfId="50586"/>
    <cellStyle name="Normal 3 3 3 2 2 3 3 12" xfId="50587"/>
    <cellStyle name="Normal 4 2 3 2 2 3 3 12" xfId="50588"/>
    <cellStyle name="Normal 5 2 3 2 2 3 3 12" xfId="50589"/>
    <cellStyle name="Normal 7 2 3 2 2 3 3 12" xfId="50590"/>
    <cellStyle name="Normal 2 4 3 2 2 3 3 12" xfId="50591"/>
    <cellStyle name="Normal 3 4 3 2 2 3 3 12" xfId="50592"/>
    <cellStyle name="Normal 4 3 3 2 2 3 3 12" xfId="50593"/>
    <cellStyle name="Normal 5 3 3 2 2 3 3 12" xfId="50594"/>
    <cellStyle name="Normal 7 3 3 2 2 3 3 12" xfId="50595"/>
    <cellStyle name="Normal 2 13 11" xfId="50596"/>
    <cellStyle name="Normal 3 13 11" xfId="50597"/>
    <cellStyle name="Normal 4 12 11" xfId="50598"/>
    <cellStyle name="Normal 5 12 11" xfId="50599"/>
    <cellStyle name="Normal 7 12 11" xfId="50600"/>
    <cellStyle name="Normal 2 3 10 11" xfId="50601"/>
    <cellStyle name="Normal 3 3 10 11" xfId="50602"/>
    <cellStyle name="Normal 4 2 10 11" xfId="50603"/>
    <cellStyle name="Normal 5 2 10 11" xfId="50604"/>
    <cellStyle name="Normal 7 2 10 11" xfId="50605"/>
    <cellStyle name="Normal 2 4 10 11" xfId="50606"/>
    <cellStyle name="Normal 3 4 10 11" xfId="50607"/>
    <cellStyle name="Normal 4 3 10 11" xfId="50608"/>
    <cellStyle name="Normal 5 3 10 11" xfId="50609"/>
    <cellStyle name="Normal 7 3 10 11" xfId="50610"/>
    <cellStyle name="Normal 2 5 8 11" xfId="50611"/>
    <cellStyle name="Normal 3 5 8 11" xfId="50612"/>
    <cellStyle name="Normal 4 4 8 11" xfId="50613"/>
    <cellStyle name="Normal 5 4 8 11" xfId="50614"/>
    <cellStyle name="Normal 7 4 8 11" xfId="50615"/>
    <cellStyle name="Normal 2 3 2 8 11" xfId="50616"/>
    <cellStyle name="Normal 3 3 2 8 11" xfId="50617"/>
    <cellStyle name="Normal 4 2 2 8 11" xfId="50618"/>
    <cellStyle name="Normal 5 2 2 8 11" xfId="50619"/>
    <cellStyle name="Normal 7 2 2 8 11" xfId="50620"/>
    <cellStyle name="Normal 2 4 2 8 11" xfId="50621"/>
    <cellStyle name="Normal 3 4 2 8 11" xfId="50622"/>
    <cellStyle name="Normal 4 3 2 8 11" xfId="50623"/>
    <cellStyle name="Normal 5 3 2 8 11" xfId="50624"/>
    <cellStyle name="Normal 7 3 2 8 11" xfId="50625"/>
    <cellStyle name="Normal 2 6 8 11" xfId="50626"/>
    <cellStyle name="Normal 3 6 8 11" xfId="50627"/>
    <cellStyle name="Normal 4 5 8 11" xfId="50628"/>
    <cellStyle name="Normal 5 5 8 11" xfId="50629"/>
    <cellStyle name="Normal 7 5 8 11" xfId="50630"/>
    <cellStyle name="Normal 2 3 3 8 11" xfId="50631"/>
    <cellStyle name="Normal 3 3 3 8 11" xfId="50632"/>
    <cellStyle name="Normal 4 2 3 8 11" xfId="50633"/>
    <cellStyle name="Normal 5 2 3 8 11" xfId="50634"/>
    <cellStyle name="Normal 7 2 3 8 11" xfId="50635"/>
    <cellStyle name="Normal 2 4 3 8 11" xfId="50636"/>
    <cellStyle name="Normal 3 4 3 8 11" xfId="50637"/>
    <cellStyle name="Normal 4 3 3 8 11" xfId="50638"/>
    <cellStyle name="Normal 5 3 3 8 11" xfId="50639"/>
    <cellStyle name="Normal 7 3 3 8 11" xfId="50640"/>
    <cellStyle name="Normal 2 7 7 11" xfId="50641"/>
    <cellStyle name="Normal 3 7 7 11" xfId="50642"/>
    <cellStyle name="Normal 4 6 7 11" xfId="50643"/>
    <cellStyle name="Normal 5 6 7 11" xfId="50644"/>
    <cellStyle name="Normal 7 6 7 11" xfId="50645"/>
    <cellStyle name="Normal 2 3 4 7 11" xfId="50646"/>
    <cellStyle name="Normal 3 3 4 7 11" xfId="50647"/>
    <cellStyle name="Normal 4 2 4 7 11" xfId="50648"/>
    <cellStyle name="Normal 5 2 4 7 11" xfId="50649"/>
    <cellStyle name="Normal 7 2 4 7 11" xfId="50650"/>
    <cellStyle name="Normal 2 4 4 7 11" xfId="50651"/>
    <cellStyle name="Normal 3 4 4 7 11" xfId="50652"/>
    <cellStyle name="Normal 4 3 4 7 11" xfId="50653"/>
    <cellStyle name="Normal 5 3 4 7 11" xfId="50654"/>
    <cellStyle name="Normal 7 3 4 7 11" xfId="50655"/>
    <cellStyle name="Normal 2 5 2 7 11" xfId="50656"/>
    <cellStyle name="Normal 3 5 2 7 11" xfId="50657"/>
    <cellStyle name="Normal 4 4 2 7 11" xfId="50658"/>
    <cellStyle name="Normal 5 4 2 7 11" xfId="50659"/>
    <cellStyle name="Normal 7 4 2 7 11" xfId="50660"/>
    <cellStyle name="Normal 2 3 2 2 7 11" xfId="50661"/>
    <cellStyle name="Normal 3 3 2 2 7 11" xfId="50662"/>
    <cellStyle name="Normal 4 2 2 2 7 11" xfId="50663"/>
    <cellStyle name="Normal 5 2 2 2 7 11" xfId="50664"/>
    <cellStyle name="Normal 7 2 2 2 7 11" xfId="50665"/>
    <cellStyle name="Normal 2 4 2 2 7 11" xfId="50666"/>
    <cellStyle name="Normal 3 4 2 2 7 11" xfId="50667"/>
    <cellStyle name="Normal 4 3 2 2 7 11" xfId="50668"/>
    <cellStyle name="Normal 5 3 2 2 7 11" xfId="50669"/>
    <cellStyle name="Normal 7 3 2 2 7 11" xfId="50670"/>
    <cellStyle name="Normal 2 6 2 7 11" xfId="50671"/>
    <cellStyle name="Normal 3 6 2 7 11" xfId="50672"/>
    <cellStyle name="Normal 4 5 2 7 11" xfId="50673"/>
    <cellStyle name="Normal 5 5 2 7 11" xfId="50674"/>
    <cellStyle name="Normal 7 5 2 7 11" xfId="50675"/>
    <cellStyle name="Normal 2 3 3 2 7 11" xfId="50676"/>
    <cellStyle name="Normal 3 3 3 2 7 11" xfId="50677"/>
    <cellStyle name="Normal 4 2 3 2 7 11" xfId="50678"/>
    <cellStyle name="Normal 5 2 3 2 7 11" xfId="50679"/>
    <cellStyle name="Normal 7 2 3 2 7 11" xfId="50680"/>
    <cellStyle name="Normal 2 4 3 2 7 11" xfId="50681"/>
    <cellStyle name="Normal 3 4 3 2 7 11" xfId="50682"/>
    <cellStyle name="Normal 4 3 3 2 7 11" xfId="50683"/>
    <cellStyle name="Normal 5 3 3 2 7 11" xfId="50684"/>
    <cellStyle name="Normal 7 3 3 2 7 11" xfId="50685"/>
    <cellStyle name="Normal 2 8 6 11" xfId="50686"/>
    <cellStyle name="Normal 3 8 6 11" xfId="50687"/>
    <cellStyle name="Normal 4 7 6 11" xfId="50688"/>
    <cellStyle name="Normal 5 7 6 11" xfId="50689"/>
    <cellStyle name="Normal 7 7 6 11" xfId="50690"/>
    <cellStyle name="Normal 2 3 5 6 11" xfId="50691"/>
    <cellStyle name="Normal 3 3 5 6 11" xfId="50692"/>
    <cellStyle name="Normal 4 2 5 6 11" xfId="50693"/>
    <cellStyle name="Normal 5 2 5 6 11" xfId="50694"/>
    <cellStyle name="Normal 7 2 5 6 11" xfId="50695"/>
    <cellStyle name="Normal 2 4 5 6 11" xfId="50696"/>
    <cellStyle name="Normal 3 4 5 6 11" xfId="50697"/>
    <cellStyle name="Normal 4 3 5 6 11" xfId="50698"/>
    <cellStyle name="Normal 5 3 5 6 11" xfId="50699"/>
    <cellStyle name="Normal 7 3 5 6 11" xfId="50700"/>
    <cellStyle name="Normal 2 5 3 6 11" xfId="50701"/>
    <cellStyle name="Normal 3 5 3 6 11" xfId="50702"/>
    <cellStyle name="Normal 4 4 3 6 11" xfId="50703"/>
    <cellStyle name="Normal 5 4 3 6 11" xfId="50704"/>
    <cellStyle name="Normal 7 4 3 6 11" xfId="50705"/>
    <cellStyle name="Normal 2 3 2 3 6 11" xfId="50706"/>
    <cellStyle name="Normal 3 3 2 3 6 11" xfId="50707"/>
    <cellStyle name="Normal 4 2 2 3 6 11" xfId="50708"/>
    <cellStyle name="Normal 5 2 2 3 6 11" xfId="50709"/>
    <cellStyle name="Normal 7 2 2 3 6 11" xfId="50710"/>
    <cellStyle name="Normal 2 4 2 3 6 11" xfId="50711"/>
    <cellStyle name="Normal 3 4 2 3 6 11" xfId="50712"/>
    <cellStyle name="Normal 4 3 2 3 6 11" xfId="50713"/>
    <cellStyle name="Normal 5 3 2 3 6 11" xfId="50714"/>
    <cellStyle name="Normal 7 3 2 3 6 11" xfId="50715"/>
    <cellStyle name="Normal 2 6 3 6 11" xfId="50716"/>
    <cellStyle name="Normal 3 6 3 6 11" xfId="50717"/>
    <cellStyle name="Normal 4 5 3 6 11" xfId="50718"/>
    <cellStyle name="Normal 5 5 3 6 11" xfId="50719"/>
    <cellStyle name="Normal 7 5 3 6 11" xfId="50720"/>
    <cellStyle name="Normal 2 3 3 3 6 11" xfId="50721"/>
    <cellStyle name="Normal 3 3 3 3 6 11" xfId="50722"/>
    <cellStyle name="Normal 4 2 3 3 6 11" xfId="50723"/>
    <cellStyle name="Normal 5 2 3 3 6 11" xfId="50724"/>
    <cellStyle name="Normal 7 2 3 3 6 11" xfId="50725"/>
    <cellStyle name="Normal 2 4 3 3 6 11" xfId="50726"/>
    <cellStyle name="Normal 3 4 3 3 6 11" xfId="50727"/>
    <cellStyle name="Normal 4 3 3 3 6 11" xfId="50728"/>
    <cellStyle name="Normal 5 3 3 3 6 11" xfId="50729"/>
    <cellStyle name="Normal 7 3 3 3 6 11" xfId="50730"/>
    <cellStyle name="Normal 2 7 2 6 11" xfId="50731"/>
    <cellStyle name="Normal 3 7 2 6 11" xfId="50732"/>
    <cellStyle name="Normal 4 6 2 6 11" xfId="50733"/>
    <cellStyle name="Normal 5 6 2 6 11" xfId="50734"/>
    <cellStyle name="Normal 7 6 2 6 11" xfId="50735"/>
    <cellStyle name="Normal 2 3 4 2 6 11" xfId="50736"/>
    <cellStyle name="Normal 3 3 4 2 6 11" xfId="50737"/>
    <cellStyle name="Normal 4 2 4 2 6 11" xfId="50738"/>
    <cellStyle name="Normal 5 2 4 2 6 11" xfId="50739"/>
    <cellStyle name="Normal 7 2 4 2 6 11" xfId="50740"/>
    <cellStyle name="Normal 2 4 4 2 6 11" xfId="50741"/>
    <cellStyle name="Normal 3 4 4 2 6 11" xfId="50742"/>
    <cellStyle name="Normal 4 3 4 2 6 11" xfId="50743"/>
    <cellStyle name="Normal 5 3 4 2 6 11" xfId="50744"/>
    <cellStyle name="Normal 7 3 4 2 6 11" xfId="50745"/>
    <cellStyle name="Normal 2 5 2 2 6 11" xfId="50746"/>
    <cellStyle name="Normal 3 5 2 2 6 11" xfId="50747"/>
    <cellStyle name="Normal 4 4 2 2 6 11" xfId="50748"/>
    <cellStyle name="Normal 5 4 2 2 6 11" xfId="50749"/>
    <cellStyle name="Normal 7 4 2 2 6 11" xfId="50750"/>
    <cellStyle name="Normal 2 3 2 2 2 6 11" xfId="50751"/>
    <cellStyle name="Normal 3 3 2 2 2 6 11" xfId="50752"/>
    <cellStyle name="Normal 4 2 2 2 2 6 11" xfId="50753"/>
    <cellStyle name="Normal 5 2 2 2 2 6 11" xfId="50754"/>
    <cellStyle name="Normal 7 2 2 2 2 6 11" xfId="50755"/>
    <cellStyle name="Normal 2 4 2 2 2 6 11" xfId="50756"/>
    <cellStyle name="Normal 3 4 2 2 2 6 11" xfId="50757"/>
    <cellStyle name="Normal 4 3 2 2 2 6 11" xfId="50758"/>
    <cellStyle name="Normal 5 3 2 2 2 6 11" xfId="50759"/>
    <cellStyle name="Normal 7 3 2 2 2 6 11" xfId="50760"/>
    <cellStyle name="Normal 2 6 2 2 6 11" xfId="50761"/>
    <cellStyle name="Normal 3 6 2 2 6 11" xfId="50762"/>
    <cellStyle name="Normal 4 5 2 2 6 11" xfId="50763"/>
    <cellStyle name="Normal 5 5 2 2 6 11" xfId="50764"/>
    <cellStyle name="Normal 7 5 2 2 6 11" xfId="50765"/>
    <cellStyle name="Normal 2 3 3 2 2 6 11" xfId="50766"/>
    <cellStyle name="Normal 3 3 3 2 2 6 11" xfId="50767"/>
    <cellStyle name="Normal 4 2 3 2 2 6 11" xfId="50768"/>
    <cellStyle name="Normal 5 2 3 2 2 6 11" xfId="50769"/>
    <cellStyle name="Normal 7 2 3 2 2 6 11" xfId="50770"/>
    <cellStyle name="Normal 2 4 3 2 2 6 11" xfId="50771"/>
    <cellStyle name="Normal 3 4 3 2 2 6 11" xfId="50772"/>
    <cellStyle name="Normal 4 3 3 2 2 6 11" xfId="50773"/>
    <cellStyle name="Normal 5 3 3 2 2 6 11" xfId="50774"/>
    <cellStyle name="Normal 7 3 3 2 2 6 11" xfId="50775"/>
    <cellStyle name="Normal 2 9 4 11" xfId="50776"/>
    <cellStyle name="Normal 3 9 4 11" xfId="50777"/>
    <cellStyle name="Normal 4 8 4 11" xfId="50778"/>
    <cellStyle name="Normal 5 8 4 11" xfId="50779"/>
    <cellStyle name="Normal 7 8 4 11" xfId="50780"/>
    <cellStyle name="Normal 2 3 6 4 11" xfId="50781"/>
    <cellStyle name="Normal 3 3 6 4 11" xfId="50782"/>
    <cellStyle name="Normal 4 2 6 4 11" xfId="50783"/>
    <cellStyle name="Normal 5 2 6 4 11" xfId="50784"/>
    <cellStyle name="Normal 7 2 6 4 11" xfId="50785"/>
    <cellStyle name="Normal 2 4 6 4 11" xfId="50786"/>
    <cellStyle name="Normal 3 4 6 4 11" xfId="50787"/>
    <cellStyle name="Normal 4 3 6 4 11" xfId="50788"/>
    <cellStyle name="Normal 5 3 6 4 11" xfId="50789"/>
    <cellStyle name="Normal 7 3 6 4 11" xfId="50790"/>
    <cellStyle name="Normal 2 5 4 4 11" xfId="50791"/>
    <cellStyle name="Normal 3 5 4 4 11" xfId="50792"/>
    <cellStyle name="Normal 4 4 4 4 11" xfId="50793"/>
    <cellStyle name="Normal 5 4 4 4 11" xfId="50794"/>
    <cellStyle name="Normal 7 4 4 4 11" xfId="50795"/>
    <cellStyle name="Normal 2 3 2 4 4 11" xfId="50796"/>
    <cellStyle name="Normal 3 3 2 4 4 11" xfId="50797"/>
    <cellStyle name="Normal 4 2 2 4 4 11" xfId="50798"/>
    <cellStyle name="Normal 5 2 2 4 4 11" xfId="50799"/>
    <cellStyle name="Normal 7 2 2 4 4 11" xfId="50800"/>
    <cellStyle name="Normal 2 4 2 4 4 11" xfId="50801"/>
    <cellStyle name="Normal 3 4 2 4 4 11" xfId="50802"/>
    <cellStyle name="Normal 4 3 2 4 4 11" xfId="50803"/>
    <cellStyle name="Normal 5 3 2 4 4 11" xfId="50804"/>
    <cellStyle name="Normal 7 3 2 4 4 11" xfId="50805"/>
    <cellStyle name="Normal 2 6 4 4 11" xfId="50806"/>
    <cellStyle name="Normal 3 6 4 4 11" xfId="50807"/>
    <cellStyle name="Normal 4 5 4 4 11" xfId="50808"/>
    <cellStyle name="Normal 5 5 4 4 11" xfId="50809"/>
    <cellStyle name="Normal 7 5 4 4 11" xfId="50810"/>
    <cellStyle name="Normal 2 3 3 4 4 11" xfId="50811"/>
    <cellStyle name="Normal 3 3 3 4 4 11" xfId="50812"/>
    <cellStyle name="Normal 4 2 3 4 4 11" xfId="50813"/>
    <cellStyle name="Normal 5 2 3 4 4 11" xfId="50814"/>
    <cellStyle name="Normal 7 2 3 4 4 11" xfId="50815"/>
    <cellStyle name="Normal 2 4 3 4 4 11" xfId="50816"/>
    <cellStyle name="Normal 3 4 3 4 4 11" xfId="50817"/>
    <cellStyle name="Normal 4 3 3 4 4 11" xfId="50818"/>
    <cellStyle name="Normal 5 3 3 4 4 11" xfId="50819"/>
    <cellStyle name="Normal 7 3 3 4 4 11" xfId="50820"/>
    <cellStyle name="Normal 2 7 3 4 11" xfId="50821"/>
    <cellStyle name="Normal 3 7 3 4 11" xfId="50822"/>
    <cellStyle name="Normal 4 6 3 4 11" xfId="50823"/>
    <cellStyle name="Normal 5 6 3 4 11" xfId="50824"/>
    <cellStyle name="Normal 7 6 3 4 11" xfId="50825"/>
    <cellStyle name="Normal 2 3 4 3 4 11" xfId="50826"/>
    <cellStyle name="Normal 3 3 4 3 4 11" xfId="50827"/>
    <cellStyle name="Normal 4 2 4 3 4 11" xfId="50828"/>
    <cellStyle name="Normal 5 2 4 3 4 11" xfId="50829"/>
    <cellStyle name="Normal 7 2 4 3 4 11" xfId="50830"/>
    <cellStyle name="Normal 2 4 4 3 4 11" xfId="50831"/>
    <cellStyle name="Normal 3 4 4 3 4 11" xfId="50832"/>
    <cellStyle name="Normal 4 3 4 3 4 11" xfId="50833"/>
    <cellStyle name="Normal 5 3 4 3 4 11" xfId="50834"/>
    <cellStyle name="Normal 7 3 4 3 4 11" xfId="50835"/>
    <cellStyle name="Normal 2 5 2 3 4 11" xfId="50836"/>
    <cellStyle name="Normal 3 5 2 3 4 11" xfId="50837"/>
    <cellStyle name="Normal 4 4 2 3 4 11" xfId="50838"/>
    <cellStyle name="Normal 5 4 2 3 4 11" xfId="50839"/>
    <cellStyle name="Normal 7 4 2 3 4 11" xfId="50840"/>
    <cellStyle name="Normal 2 3 2 2 3 4 11" xfId="50841"/>
    <cellStyle name="Normal 3 3 2 2 3 4 11" xfId="50842"/>
    <cellStyle name="Normal 4 2 2 2 3 4 11" xfId="50843"/>
    <cellStyle name="Normal 5 2 2 2 3 4 11" xfId="50844"/>
    <cellStyle name="Normal 7 2 2 2 3 4 11" xfId="50845"/>
    <cellStyle name="Normal 2 4 2 2 3 4 11" xfId="50846"/>
    <cellStyle name="Normal 3 4 2 2 3 4 11" xfId="50847"/>
    <cellStyle name="Normal 4 3 2 2 3 4 11" xfId="50848"/>
    <cellStyle name="Normal 5 3 2 2 3 4 11" xfId="50849"/>
    <cellStyle name="Normal 7 3 2 2 3 4 11" xfId="50850"/>
    <cellStyle name="Normal 2 6 2 3 4 11" xfId="50851"/>
    <cellStyle name="Normal 3 6 2 3 4 11" xfId="50852"/>
    <cellStyle name="Normal 4 5 2 3 4 11" xfId="50853"/>
    <cellStyle name="Normal 5 5 2 3 4 11" xfId="50854"/>
    <cellStyle name="Normal 7 5 2 3 4 11" xfId="50855"/>
    <cellStyle name="Normal 2 3 3 2 3 4 11" xfId="50856"/>
    <cellStyle name="Normal 3 3 3 2 3 4 11" xfId="50857"/>
    <cellStyle name="Normal 4 2 3 2 3 4 11" xfId="50858"/>
    <cellStyle name="Normal 5 2 3 2 3 4 11" xfId="50859"/>
    <cellStyle name="Normal 7 2 3 2 3 4 11" xfId="50860"/>
    <cellStyle name="Normal 2 4 3 2 3 4 11" xfId="50861"/>
    <cellStyle name="Normal 3 4 3 2 3 4 11" xfId="50862"/>
    <cellStyle name="Normal 4 3 3 2 3 4 11" xfId="50863"/>
    <cellStyle name="Normal 5 3 3 2 3 4 11" xfId="50864"/>
    <cellStyle name="Normal 7 3 3 2 3 4 11" xfId="50865"/>
    <cellStyle name="Normal 2 8 2 4 11" xfId="50866"/>
    <cellStyle name="Normal 3 8 2 4 11" xfId="50867"/>
    <cellStyle name="Normal 4 7 2 4 11" xfId="50868"/>
    <cellStyle name="Normal 5 7 2 4 11" xfId="50869"/>
    <cellStyle name="Normal 7 7 2 4 11" xfId="50870"/>
    <cellStyle name="Normal 2 3 5 2 4 11" xfId="50871"/>
    <cellStyle name="Normal 3 3 5 2 4 11" xfId="50872"/>
    <cellStyle name="Normal 4 2 5 2 4 11" xfId="50873"/>
    <cellStyle name="Normal 5 2 5 2 4 11" xfId="50874"/>
    <cellStyle name="Normal 7 2 5 2 4 11" xfId="50875"/>
    <cellStyle name="Normal 2 4 5 2 4 11" xfId="50876"/>
    <cellStyle name="Normal 3 4 5 2 4 11" xfId="50877"/>
    <cellStyle name="Normal 4 3 5 2 4 11" xfId="50878"/>
    <cellStyle name="Normal 5 3 5 2 4 11" xfId="50879"/>
    <cellStyle name="Normal 7 3 5 2 4 11" xfId="50880"/>
    <cellStyle name="Normal 2 5 3 2 4 11" xfId="50881"/>
    <cellStyle name="Normal 3 5 3 2 4 11" xfId="50882"/>
    <cellStyle name="Normal 4 4 3 2 4 11" xfId="50883"/>
    <cellStyle name="Normal 5 4 3 2 4 11" xfId="50884"/>
    <cellStyle name="Normal 7 4 3 2 4 11" xfId="50885"/>
    <cellStyle name="Normal 2 3 2 3 2 4 11" xfId="50886"/>
    <cellStyle name="Normal 3 3 2 3 2 4 11" xfId="50887"/>
    <cellStyle name="Normal 4 2 2 3 2 4 11" xfId="50888"/>
    <cellStyle name="Normal 5 2 2 3 2 4 11" xfId="50889"/>
    <cellStyle name="Normal 7 2 2 3 2 4 11" xfId="50890"/>
    <cellStyle name="Normal 2 4 2 3 2 4 11" xfId="50891"/>
    <cellStyle name="Normal 3 4 2 3 2 4 11" xfId="50892"/>
    <cellStyle name="Normal 4 3 2 3 2 4 11" xfId="50893"/>
    <cellStyle name="Normal 5 3 2 3 2 4 11" xfId="50894"/>
    <cellStyle name="Normal 7 3 2 3 2 4 11" xfId="50895"/>
    <cellStyle name="Normal 2 6 3 2 4 11" xfId="50896"/>
    <cellStyle name="Normal 3 6 3 2 4 11" xfId="50897"/>
    <cellStyle name="Normal 4 5 3 2 4 11" xfId="50898"/>
    <cellStyle name="Normal 5 5 3 2 4 11" xfId="50899"/>
    <cellStyle name="Normal 7 5 3 2 4 11" xfId="50900"/>
    <cellStyle name="Normal 2 3 3 3 2 4 11" xfId="50901"/>
    <cellStyle name="Normal 3 3 3 3 2 4 11" xfId="50902"/>
    <cellStyle name="Normal 4 2 3 3 2 4 11" xfId="50903"/>
    <cellStyle name="Normal 5 2 3 3 2 4 11" xfId="50904"/>
    <cellStyle name="Normal 7 2 3 3 2 4 11" xfId="50905"/>
    <cellStyle name="Normal 2 4 3 3 2 4 11" xfId="50906"/>
    <cellStyle name="Normal 3 4 3 3 2 4 11" xfId="50907"/>
    <cellStyle name="Normal 4 3 3 3 2 4 11" xfId="50908"/>
    <cellStyle name="Normal 5 3 3 3 2 4 11" xfId="50909"/>
    <cellStyle name="Normal 7 3 3 3 2 4 11" xfId="50910"/>
    <cellStyle name="Normal 2 7 2 2 4 11" xfId="50911"/>
    <cellStyle name="Normal 3 7 2 2 4 11" xfId="50912"/>
    <cellStyle name="Normal 4 6 2 2 4 11" xfId="50913"/>
    <cellStyle name="Normal 5 6 2 2 4 11" xfId="50914"/>
    <cellStyle name="Normal 7 6 2 2 4 11" xfId="50915"/>
    <cellStyle name="Normal 2 3 4 2 2 4 11" xfId="50916"/>
    <cellStyle name="Normal 3 3 4 2 2 4 11" xfId="50917"/>
    <cellStyle name="Normal 4 2 4 2 2 4 11" xfId="50918"/>
    <cellStyle name="Normal 5 2 4 2 2 4 11" xfId="50919"/>
    <cellStyle name="Normal 7 2 4 2 2 4 11" xfId="50920"/>
    <cellStyle name="Normal 2 4 4 2 2 4 11" xfId="50921"/>
    <cellStyle name="Normal 3 4 4 2 2 4 11" xfId="50922"/>
    <cellStyle name="Normal 4 3 4 2 2 4 11" xfId="50923"/>
    <cellStyle name="Normal 5 3 4 2 2 4 11" xfId="50924"/>
    <cellStyle name="Normal 7 3 4 2 2 4 11" xfId="50925"/>
    <cellStyle name="Normal 2 5 2 2 2 4 11" xfId="50926"/>
    <cellStyle name="Normal 3 5 2 2 2 4 11" xfId="50927"/>
    <cellStyle name="Normal 4 4 2 2 2 4 11" xfId="50928"/>
    <cellStyle name="Normal 5 4 2 2 2 4 11" xfId="50929"/>
    <cellStyle name="Normal 7 4 2 2 2 4 11" xfId="50930"/>
    <cellStyle name="Normal 2 3 2 2 2 2 4 11" xfId="50931"/>
    <cellStyle name="Normal 3 3 2 2 2 2 4 11" xfId="50932"/>
    <cellStyle name="Normal 4 2 2 2 2 2 4 11" xfId="50933"/>
    <cellStyle name="Normal 5 2 2 2 2 2 4 11" xfId="50934"/>
    <cellStyle name="Normal 7 2 2 2 2 2 4 11" xfId="50935"/>
    <cellStyle name="Normal 2 4 2 2 2 2 4 11" xfId="50936"/>
    <cellStyle name="Normal 3 4 2 2 2 2 4 11" xfId="50937"/>
    <cellStyle name="Normal 4 3 2 2 2 2 4 11" xfId="50938"/>
    <cellStyle name="Normal 5 3 2 2 2 2 4 11" xfId="50939"/>
    <cellStyle name="Normal 7 3 2 2 2 2 4 11" xfId="50940"/>
    <cellStyle name="Normal 2 6 2 2 2 4 11" xfId="50941"/>
    <cellStyle name="Normal 3 6 2 2 2 4 11" xfId="50942"/>
    <cellStyle name="Normal 4 5 2 2 2 4 11" xfId="50943"/>
    <cellStyle name="Normal 5 5 2 2 2 4 11" xfId="50944"/>
    <cellStyle name="Normal 7 5 2 2 2 4 11" xfId="50945"/>
    <cellStyle name="Normal 2 3 3 2 2 2 4 11" xfId="50946"/>
    <cellStyle name="Normal 3 3 3 2 2 2 4 11" xfId="50947"/>
    <cellStyle name="Normal 4 2 3 2 2 2 4 11" xfId="50948"/>
    <cellStyle name="Normal 5 2 3 2 2 2 4 11" xfId="50949"/>
    <cellStyle name="Normal 7 2 3 2 2 2 4 11" xfId="50950"/>
    <cellStyle name="Normal 2 4 3 2 2 2 4 11" xfId="50951"/>
    <cellStyle name="Normal 3 4 3 2 2 2 4 11" xfId="50952"/>
    <cellStyle name="Normal 4 3 3 2 2 2 4 11" xfId="50953"/>
    <cellStyle name="Normal 5 3 3 2 2 2 4 11" xfId="50954"/>
    <cellStyle name="Normal 7 3 3 2 2 2 4 11" xfId="50955"/>
    <cellStyle name="Normal 28 4 11" xfId="50956"/>
    <cellStyle name="Normal 2 3 7 4 11" xfId="50957"/>
    <cellStyle name="Normal 3 10 4 11" xfId="50958"/>
    <cellStyle name="Normal 4 9 4 11" xfId="50959"/>
    <cellStyle name="Normal 5 9 4 11" xfId="50960"/>
    <cellStyle name="Millares 4 4 11" xfId="50961"/>
    <cellStyle name="Normal 7 2 7 4 11" xfId="50962"/>
    <cellStyle name="Normal 3 3 7 4 11" xfId="50963"/>
    <cellStyle name="Normal 4 2 7 4 11" xfId="50964"/>
    <cellStyle name="Normal 5 2 7 4 11" xfId="50965"/>
    <cellStyle name="Normal 2 4 5 3 4 11" xfId="50966"/>
    <cellStyle name="Normal 3 4 7 4 11" xfId="50967"/>
    <cellStyle name="Normal 4 3 7 4 11" xfId="50968"/>
    <cellStyle name="Normal 5 3 7 4 11" xfId="50969"/>
    <cellStyle name="Normal 7 3 7 4 11" xfId="50970"/>
    <cellStyle name="Normal 2 5 5 4 11" xfId="50971"/>
    <cellStyle name="Normal 3 5 5 4 11" xfId="50972"/>
    <cellStyle name="Normal 4 4 5 4 11" xfId="50973"/>
    <cellStyle name="Normal 5 4 5 4 11" xfId="50974"/>
    <cellStyle name="Normal 7 4 5 4 11" xfId="50975"/>
    <cellStyle name="Normal 2 3 2 5 4 11" xfId="50976"/>
    <cellStyle name="Normal 3 3 2 5 4 11" xfId="50977"/>
    <cellStyle name="Normal 4 2 2 5 4 11" xfId="50978"/>
    <cellStyle name="Normal 5 2 2 5 4 11" xfId="50979"/>
    <cellStyle name="Normal 7 2 2 5 4 11" xfId="50980"/>
    <cellStyle name="Normal 2 4 2 5 4 11" xfId="50981"/>
    <cellStyle name="Normal 3 4 2 5 4 11" xfId="50982"/>
    <cellStyle name="Normal 4 3 2 5 4 11" xfId="50983"/>
    <cellStyle name="Normal 5 3 2 5 4 11" xfId="50984"/>
    <cellStyle name="Normal 7 3 2 5 4 11" xfId="50985"/>
    <cellStyle name="Normal 2 6 5 4 11" xfId="50986"/>
    <cellStyle name="Normal 3 6 5 4 11" xfId="50987"/>
    <cellStyle name="Normal 4 5 5 4 11" xfId="50988"/>
    <cellStyle name="Normal 5 5 5 4 11" xfId="50989"/>
    <cellStyle name="Normal 7 5 5 4 11" xfId="50990"/>
    <cellStyle name="Normal 2 3 3 5 4 11" xfId="50991"/>
    <cellStyle name="Normal 3 3 3 5 4 11" xfId="50992"/>
    <cellStyle name="Normal 4 2 3 5 4 11" xfId="50993"/>
    <cellStyle name="Normal 5 2 3 5 4 11" xfId="50994"/>
    <cellStyle name="Normal 7 2 3 5 4 11" xfId="50995"/>
    <cellStyle name="Normal 2 4 3 5 4 11" xfId="50996"/>
    <cellStyle name="Normal 3 4 3 5 4 11" xfId="50997"/>
    <cellStyle name="Normal 4 3 3 5 4 11" xfId="50998"/>
    <cellStyle name="Normal 5 3 3 5 4 11" xfId="50999"/>
    <cellStyle name="Normal 7 3 3 5 4 11" xfId="51000"/>
    <cellStyle name="Normal 2 7 4 4 11" xfId="51001"/>
    <cellStyle name="Normal 3 7 4 4 11" xfId="51002"/>
    <cellStyle name="Normal 4 6 4 4 11" xfId="51003"/>
    <cellStyle name="Normal 5 6 4 4 11" xfId="51004"/>
    <cellStyle name="Normal 7 6 4 4 11" xfId="51005"/>
    <cellStyle name="Normal 2 3 4 4 4 11" xfId="51006"/>
    <cellStyle name="Normal 3 3 4 4 4 11" xfId="51007"/>
    <cellStyle name="Normal 4 2 4 4 4 11" xfId="51008"/>
    <cellStyle name="Normal 5 2 4 4 4 11" xfId="51009"/>
    <cellStyle name="Normal 7 2 4 4 4 11" xfId="51010"/>
    <cellStyle name="Normal 2 4 4 4 4 11" xfId="51011"/>
    <cellStyle name="Normal 3 4 4 4 4 11" xfId="51012"/>
    <cellStyle name="Normal 4 3 4 4 4 11" xfId="51013"/>
    <cellStyle name="Normal 5 3 4 4 4 11" xfId="51014"/>
    <cellStyle name="Normal 7 3 4 4 4 11" xfId="51015"/>
    <cellStyle name="Normal 2 5 2 4 4 11" xfId="51016"/>
    <cellStyle name="Normal 3 5 2 4 4 11" xfId="51017"/>
    <cellStyle name="Normal 4 4 2 4 4 11" xfId="51018"/>
    <cellStyle name="Normal 5 4 2 4 4 11" xfId="51019"/>
    <cellStyle name="Normal 7 4 2 4 4 11" xfId="51020"/>
    <cellStyle name="Normal 2 3 2 2 4 4 11" xfId="51021"/>
    <cellStyle name="Normal 3 3 2 2 4 4 11" xfId="51022"/>
    <cellStyle name="Normal 4 2 2 2 4 4 11" xfId="51023"/>
    <cellStyle name="Normal 5 2 2 2 4 4 11" xfId="51024"/>
    <cellStyle name="Normal 7 2 2 2 4 4 11" xfId="51025"/>
    <cellStyle name="Normal 2 4 2 2 4 4 11" xfId="51026"/>
    <cellStyle name="Normal 3 4 2 2 4 4 11" xfId="51027"/>
    <cellStyle name="Normal 4 3 2 2 4 4 11" xfId="51028"/>
    <cellStyle name="Normal 5 3 2 2 4 4 11" xfId="51029"/>
    <cellStyle name="Normal 7 3 2 2 4 4 11" xfId="51030"/>
    <cellStyle name="Normal 2 6 2 4 4 11" xfId="51031"/>
    <cellStyle name="Normal 3 6 2 4 4 11" xfId="51032"/>
    <cellStyle name="Normal 4 5 2 4 4 11" xfId="51033"/>
    <cellStyle name="Normal 5 5 2 4 4 11" xfId="51034"/>
    <cellStyle name="Normal 7 5 2 4 4 11" xfId="51035"/>
    <cellStyle name="Normal 2 3 3 2 4 4 11" xfId="51036"/>
    <cellStyle name="Normal 3 3 3 2 4 4 11" xfId="51037"/>
    <cellStyle name="Normal 4 2 3 2 4 4 11" xfId="51038"/>
    <cellStyle name="Normal 5 2 3 2 4 4 11" xfId="51039"/>
    <cellStyle name="Normal 7 2 3 2 4 4 11" xfId="51040"/>
    <cellStyle name="Normal 2 4 3 2 4 4 11" xfId="51041"/>
    <cellStyle name="Normal 3 4 3 2 4 4 11" xfId="51042"/>
    <cellStyle name="Normal 4 3 3 2 4 4 11" xfId="51043"/>
    <cellStyle name="Normal 5 3 3 2 4 4 11" xfId="51044"/>
    <cellStyle name="Normal 7 3 3 2 4 4 11" xfId="51045"/>
    <cellStyle name="Normal 2 8 3 4 11" xfId="51046"/>
    <cellStyle name="Normal 3 8 3 4 11" xfId="51047"/>
    <cellStyle name="Normal 4 7 3 4 11" xfId="51048"/>
    <cellStyle name="Normal 5 7 3 4 11" xfId="51049"/>
    <cellStyle name="Normal 7 7 3 4 11" xfId="51050"/>
    <cellStyle name="Normal 2 3 5 3 4 11" xfId="51051"/>
    <cellStyle name="Normal 3 3 5 3 4 11" xfId="51052"/>
    <cellStyle name="Normal 4 2 5 3 4 11" xfId="51053"/>
    <cellStyle name="Normal 5 2 5 3 4 11" xfId="51054"/>
    <cellStyle name="Normal 7 2 5 3 4 11" xfId="51055"/>
    <cellStyle name="Normal 3 4 5 3 4 11" xfId="51056"/>
    <cellStyle name="Normal 4 3 5 3 4 11" xfId="51057"/>
    <cellStyle name="Normal 5 3 5 3 4 11" xfId="51058"/>
    <cellStyle name="Normal 7 3 5 3 4 11" xfId="51059"/>
    <cellStyle name="Normal 2 5 3 3 4 11" xfId="51060"/>
    <cellStyle name="Normal 3 5 3 3 4 11" xfId="51061"/>
    <cellStyle name="Normal 4 4 3 3 4 11" xfId="51062"/>
    <cellStyle name="Normal 5 4 3 3 4 11" xfId="51063"/>
    <cellStyle name="Normal 7 4 3 3 4 11" xfId="51064"/>
    <cellStyle name="Normal 2 3 2 3 3 4 11" xfId="51065"/>
    <cellStyle name="Normal 3 3 2 3 3 4 11" xfId="51066"/>
    <cellStyle name="Normal 4 2 2 3 3 4 11" xfId="51067"/>
    <cellStyle name="Normal 5 2 2 3 3 4 11" xfId="51068"/>
    <cellStyle name="Normal 7 2 2 3 3 4 11" xfId="51069"/>
    <cellStyle name="Normal 2 4 2 3 3 4 11" xfId="51070"/>
    <cellStyle name="Normal 3 4 2 3 3 4 11" xfId="51071"/>
    <cellStyle name="Normal 4 3 2 3 3 4 11" xfId="51072"/>
    <cellStyle name="Normal 5 3 2 3 3 4 11" xfId="51073"/>
    <cellStyle name="Normal 7 3 2 3 3 4 11" xfId="51074"/>
    <cellStyle name="Normal 2 6 3 3 4 11" xfId="51075"/>
    <cellStyle name="Normal 3 6 3 3 4 11" xfId="51076"/>
    <cellStyle name="Normal 4 5 3 3 4 11" xfId="51077"/>
    <cellStyle name="Normal 5 5 3 3 4 11" xfId="51078"/>
    <cellStyle name="Normal 7 5 3 3 4 11" xfId="51079"/>
    <cellStyle name="Normal 2 3 3 3 3 4 11" xfId="51080"/>
    <cellStyle name="Normal 3 3 3 3 3 4 11" xfId="51081"/>
    <cellStyle name="Normal 4 2 3 3 3 4 11" xfId="51082"/>
    <cellStyle name="Normal 5 2 3 3 3 4 11" xfId="51083"/>
    <cellStyle name="Normal 7 2 3 3 3 4 11" xfId="51084"/>
    <cellStyle name="Normal 2 4 3 3 3 4 11" xfId="51085"/>
    <cellStyle name="Normal 3 4 3 3 3 4 11" xfId="51086"/>
    <cellStyle name="Normal 4 3 3 3 3 4 11" xfId="51087"/>
    <cellStyle name="Normal 5 3 3 3 3 4 11" xfId="51088"/>
    <cellStyle name="Normal 7 3 3 3 3 4 11" xfId="51089"/>
    <cellStyle name="Normal 2 7 2 3 4 11" xfId="51090"/>
    <cellStyle name="Normal 3 7 2 3 4 11" xfId="51091"/>
    <cellStyle name="Normal 4 6 2 3 4 11" xfId="51092"/>
    <cellStyle name="Normal 5 6 2 3 4 11" xfId="51093"/>
    <cellStyle name="Normal 7 6 2 3 4 11" xfId="51094"/>
    <cellStyle name="Normal 2 3 4 2 3 4 11" xfId="51095"/>
    <cellStyle name="Normal 3 3 4 2 3 4 11" xfId="51096"/>
    <cellStyle name="Normal 4 2 4 2 3 4 11" xfId="51097"/>
    <cellStyle name="Normal 5 2 4 2 3 4 11" xfId="51098"/>
    <cellStyle name="Normal 7 2 4 2 3 4 11" xfId="51099"/>
    <cellStyle name="Normal 2 4 4 2 3 4 11" xfId="51100"/>
    <cellStyle name="Normal 3 4 4 2 3 4 11" xfId="51101"/>
    <cellStyle name="Normal 4 3 4 2 3 4 11" xfId="51102"/>
    <cellStyle name="Normal 5 3 4 2 3 4 11" xfId="51103"/>
    <cellStyle name="Normal 7 3 4 2 3 4 11" xfId="51104"/>
    <cellStyle name="Normal 2 5 2 2 3 4 11" xfId="51105"/>
    <cellStyle name="Normal 3 5 2 2 3 4 11" xfId="51106"/>
    <cellStyle name="Normal 4 4 2 2 3 4 11" xfId="51107"/>
    <cellStyle name="Normal 5 4 2 2 3 4 11" xfId="51108"/>
    <cellStyle name="Normal 7 4 2 2 3 4 11" xfId="51109"/>
    <cellStyle name="Normal 2 3 2 2 2 3 4 11" xfId="51110"/>
    <cellStyle name="Normal 3 3 2 2 2 3 4 11" xfId="51111"/>
    <cellStyle name="Normal 4 2 2 2 2 3 4 11" xfId="51112"/>
    <cellStyle name="Normal 5 2 2 2 2 3 4 11" xfId="51113"/>
    <cellStyle name="Normal 7 2 2 2 2 3 4 11" xfId="51114"/>
    <cellStyle name="Normal 2 4 2 2 2 3 4 11" xfId="51115"/>
    <cellStyle name="Normal 3 4 2 2 2 3 4 11" xfId="51116"/>
    <cellStyle name="Normal 4 3 2 2 2 3 4 11" xfId="51117"/>
    <cellStyle name="Normal 5 3 2 2 2 3 4 11" xfId="51118"/>
    <cellStyle name="Normal 7 3 2 2 2 3 4 11" xfId="51119"/>
    <cellStyle name="Normal 2 6 2 2 3 4 11" xfId="51120"/>
    <cellStyle name="Normal 3 6 2 2 3 4 11" xfId="51121"/>
    <cellStyle name="Normal 4 5 2 2 3 4 11" xfId="51122"/>
    <cellStyle name="Normal 5 5 2 2 3 4 11" xfId="51123"/>
    <cellStyle name="Normal 7 5 2 2 3 4 11" xfId="51124"/>
    <cellStyle name="Normal 2 3 3 2 2 3 4 11" xfId="51125"/>
    <cellStyle name="Normal 3 3 3 2 2 3 4 11" xfId="51126"/>
    <cellStyle name="Normal 4 2 3 2 2 3 4 11" xfId="51127"/>
    <cellStyle name="Normal 5 2 3 2 2 3 4 11" xfId="51128"/>
    <cellStyle name="Normal 7 2 3 2 2 3 4 11" xfId="51129"/>
    <cellStyle name="Normal 2 4 3 2 2 3 4 11" xfId="51130"/>
    <cellStyle name="Normal 3 4 3 2 2 3 4 11" xfId="51131"/>
    <cellStyle name="Normal 4 3 3 2 2 3 4 11" xfId="51132"/>
    <cellStyle name="Normal 5 3 3 2 2 3 4 11" xfId="51133"/>
    <cellStyle name="Normal 7 3 3 2 2 3 4 11" xfId="51134"/>
    <cellStyle name="Normal 2 11 2 11" xfId="51135"/>
    <cellStyle name="Normal 3 11 2 11" xfId="51136"/>
    <cellStyle name="Normal 4 10 2 11" xfId="51137"/>
    <cellStyle name="Normal 5 10 2 11" xfId="51138"/>
    <cellStyle name="Normal 7 10 2 11" xfId="51139"/>
    <cellStyle name="Normal 2 3 8 2 11" xfId="51140"/>
    <cellStyle name="Normal 3 3 8 2 11" xfId="51141"/>
    <cellStyle name="Normal 4 2 8 2 11" xfId="51142"/>
    <cellStyle name="Normal 5 2 8 2 11" xfId="51143"/>
    <cellStyle name="Normal 7 2 8 2 11" xfId="51144"/>
    <cellStyle name="Normal 2 4 8 2 11" xfId="51145"/>
    <cellStyle name="Normal 3 4 8 2 11" xfId="51146"/>
    <cellStyle name="Normal 4 3 8 2 11" xfId="51147"/>
    <cellStyle name="Normal 5 3 8 2 11" xfId="51148"/>
    <cellStyle name="Normal 7 3 8 2 11" xfId="51149"/>
    <cellStyle name="Normal 2 5 6 2 11" xfId="51150"/>
    <cellStyle name="Normal 3 5 6 2 11" xfId="51151"/>
    <cellStyle name="Normal 4 4 6 2 11" xfId="51152"/>
    <cellStyle name="Normal 5 4 6 2 11" xfId="51153"/>
    <cellStyle name="Normal 7 4 6 2 11" xfId="51154"/>
    <cellStyle name="Normal 2 3 2 6 2 11" xfId="51155"/>
    <cellStyle name="Normal 3 3 2 6 2 11" xfId="51156"/>
    <cellStyle name="Normal 4 2 2 6 2 11" xfId="51157"/>
    <cellStyle name="Normal 5 2 2 6 2 11" xfId="51158"/>
    <cellStyle name="Normal 7 2 2 6 2 11" xfId="51159"/>
    <cellStyle name="Normal 2 4 2 6 2 11" xfId="51160"/>
    <cellStyle name="Normal 3 4 2 6 2 11" xfId="51161"/>
    <cellStyle name="Normal 4 3 2 6 2 11" xfId="51162"/>
    <cellStyle name="Normal 5 3 2 6 2 11" xfId="51163"/>
    <cellStyle name="Normal 7 3 2 6 2 11" xfId="51164"/>
    <cellStyle name="Normal 2 6 6 2 11" xfId="51165"/>
    <cellStyle name="Normal 3 6 6 2 11" xfId="51166"/>
    <cellStyle name="Normal 4 5 6 2 11" xfId="51167"/>
    <cellStyle name="Normal 5 5 6 2 11" xfId="51168"/>
    <cellStyle name="Normal 7 5 6 2 11" xfId="51169"/>
    <cellStyle name="Normal 2 3 3 6 2 11" xfId="51170"/>
    <cellStyle name="Normal 3 3 3 6 2 11" xfId="51171"/>
    <cellStyle name="Normal 4 2 3 6 2 11" xfId="51172"/>
    <cellStyle name="Normal 5 2 3 6 2 11" xfId="51173"/>
    <cellStyle name="Normal 7 2 3 6 2 11" xfId="51174"/>
    <cellStyle name="Normal 2 4 3 6 2 11" xfId="51175"/>
    <cellStyle name="Normal 3 4 3 6 2 11" xfId="51176"/>
    <cellStyle name="Normal 4 3 3 6 2 11" xfId="51177"/>
    <cellStyle name="Normal 5 3 3 6 2 11" xfId="51178"/>
    <cellStyle name="Normal 7 3 3 6 2 11" xfId="51179"/>
    <cellStyle name="Normal 2 7 5 2 11" xfId="51180"/>
    <cellStyle name="Normal 3 7 5 2 11" xfId="51181"/>
    <cellStyle name="Normal 4 6 5 2 11" xfId="51182"/>
    <cellStyle name="Normal 5 6 5 2 11" xfId="51183"/>
    <cellStyle name="Normal 7 6 5 2 11" xfId="51184"/>
    <cellStyle name="Normal 2 3 4 5 2 11" xfId="51185"/>
    <cellStyle name="Normal 3 3 4 5 2 11" xfId="51186"/>
    <cellStyle name="Normal 4 2 4 5 2 11" xfId="51187"/>
    <cellStyle name="Normal 5 2 4 5 2 11" xfId="51188"/>
    <cellStyle name="Normal 7 2 4 5 2 11" xfId="51189"/>
    <cellStyle name="Normal 2 4 4 5 2 11" xfId="51190"/>
    <cellStyle name="Normal 3 4 4 5 2 11" xfId="51191"/>
    <cellStyle name="Normal 4 3 4 5 2 11" xfId="51192"/>
    <cellStyle name="Normal 5 3 4 5 2 11" xfId="51193"/>
    <cellStyle name="Normal 7 3 4 5 2 11" xfId="51194"/>
    <cellStyle name="Normal 2 5 2 5 2 11" xfId="51195"/>
    <cellStyle name="Normal 3 5 2 5 2 11" xfId="51196"/>
    <cellStyle name="Normal 4 4 2 5 2 11" xfId="51197"/>
    <cellStyle name="Normal 5 4 2 5 2 11" xfId="51198"/>
    <cellStyle name="Normal 7 4 2 5 2 11" xfId="51199"/>
    <cellStyle name="Normal 2 3 2 2 5 2 11" xfId="51200"/>
    <cellStyle name="Normal 3 3 2 2 5 2 11" xfId="51201"/>
    <cellStyle name="Normal 4 2 2 2 5 2 11" xfId="51202"/>
    <cellStyle name="Normal 5 2 2 2 5 2 11" xfId="51203"/>
    <cellStyle name="Normal 7 2 2 2 5 2 11" xfId="51204"/>
    <cellStyle name="Normal 2 4 2 2 5 2 11" xfId="51205"/>
    <cellStyle name="Normal 3 4 2 2 5 2 11" xfId="51206"/>
    <cellStyle name="Normal 4 3 2 2 5 2 11" xfId="51207"/>
    <cellStyle name="Normal 5 3 2 2 5 2 11" xfId="51208"/>
    <cellStyle name="Normal 7 3 2 2 5 2 11" xfId="51209"/>
    <cellStyle name="Normal 2 6 2 5 2 11" xfId="51210"/>
    <cellStyle name="Normal 3 6 2 5 2 11" xfId="51211"/>
    <cellStyle name="Normal 4 5 2 5 2 11" xfId="51212"/>
    <cellStyle name="Normal 5 5 2 5 2 11" xfId="51213"/>
    <cellStyle name="Normal 7 5 2 5 2 11" xfId="51214"/>
    <cellStyle name="Normal 2 3 3 2 5 2 11" xfId="51215"/>
    <cellStyle name="Normal 3 3 3 2 5 2 11" xfId="51216"/>
    <cellStyle name="Normal 4 2 3 2 5 2 11" xfId="51217"/>
    <cellStyle name="Normal 5 2 3 2 5 2 11" xfId="51218"/>
    <cellStyle name="Normal 7 2 3 2 5 2 11" xfId="51219"/>
    <cellStyle name="Normal 2 4 3 2 5 2 11" xfId="51220"/>
    <cellStyle name="Normal 3 4 3 2 5 2 11" xfId="51221"/>
    <cellStyle name="Normal 4 3 3 2 5 2 11" xfId="51222"/>
    <cellStyle name="Normal 5 3 3 2 5 2 11" xfId="51223"/>
    <cellStyle name="Normal 7 3 3 2 5 2 11" xfId="51224"/>
    <cellStyle name="Normal 2 8 4 2 11" xfId="51225"/>
    <cellStyle name="Normal 3 8 4 2 11" xfId="51226"/>
    <cellStyle name="Normal 4 7 4 2 11" xfId="51227"/>
    <cellStyle name="Normal 5 7 4 2 11" xfId="51228"/>
    <cellStyle name="Normal 7 7 4 2 11" xfId="51229"/>
    <cellStyle name="Normal 2 3 5 4 2 11" xfId="51230"/>
    <cellStyle name="Normal 3 3 5 4 2 11" xfId="51231"/>
    <cellStyle name="Normal 4 2 5 4 2 11" xfId="51232"/>
    <cellStyle name="Normal 5 2 5 4 2 11" xfId="51233"/>
    <cellStyle name="Normal 7 2 5 4 2 11" xfId="51234"/>
    <cellStyle name="Normal 2 4 5 4 2 11" xfId="51235"/>
    <cellStyle name="Normal 3 4 5 4 2 11" xfId="51236"/>
    <cellStyle name="Normal 4 3 5 4 2 11" xfId="51237"/>
    <cellStyle name="Normal 5 3 5 4 2 11" xfId="51238"/>
    <cellStyle name="Normal 7 3 5 4 2 11" xfId="51239"/>
    <cellStyle name="Normal 2 5 3 4 2 11" xfId="51240"/>
    <cellStyle name="Normal 3 5 3 4 2 11" xfId="51241"/>
    <cellStyle name="Normal 4 4 3 4 2 11" xfId="51242"/>
    <cellStyle name="Normal 5 4 3 4 2 11" xfId="51243"/>
    <cellStyle name="Normal 7 4 3 4 2 11" xfId="51244"/>
    <cellStyle name="Normal 2 3 2 3 4 2 11" xfId="51245"/>
    <cellStyle name="Normal 3 3 2 3 4 2 11" xfId="51246"/>
    <cellStyle name="Normal 4 2 2 3 4 2 11" xfId="51247"/>
    <cellStyle name="Normal 5 2 2 3 4 2 11" xfId="51248"/>
    <cellStyle name="Normal 7 2 2 3 4 2 11" xfId="51249"/>
    <cellStyle name="Normal 2 4 2 3 4 2 11" xfId="51250"/>
    <cellStyle name="Normal 3 4 2 3 4 2 11" xfId="51251"/>
    <cellStyle name="Normal 4 3 2 3 4 2 11" xfId="51252"/>
    <cellStyle name="Normal 5 3 2 3 4 2 11" xfId="51253"/>
    <cellStyle name="Normal 7 3 2 3 4 2 11" xfId="51254"/>
    <cellStyle name="Normal 2 6 3 4 2 11" xfId="51255"/>
    <cellStyle name="Normal 3 6 3 4 2 11" xfId="51256"/>
    <cellStyle name="Normal 4 5 3 4 2 11" xfId="51257"/>
    <cellStyle name="Normal 5 5 3 4 2 11" xfId="51258"/>
    <cellStyle name="Normal 7 5 3 4 2 11" xfId="51259"/>
    <cellStyle name="Normal 2 3 3 3 4 2 11" xfId="51260"/>
    <cellStyle name="Normal 3 3 3 3 4 2 11" xfId="51261"/>
    <cellStyle name="Normal 4 2 3 3 4 2 11" xfId="51262"/>
    <cellStyle name="Normal 5 2 3 3 4 2 11" xfId="51263"/>
    <cellStyle name="Normal 7 2 3 3 4 2 11" xfId="51264"/>
    <cellStyle name="Normal 2 4 3 3 4 2 11" xfId="51265"/>
    <cellStyle name="Normal 3 4 3 3 4 2 11" xfId="51266"/>
    <cellStyle name="Normal 4 3 3 3 4 2 11" xfId="51267"/>
    <cellStyle name="Normal 5 3 3 3 4 2 11" xfId="51268"/>
    <cellStyle name="Normal 7 3 3 3 4 2 11" xfId="51269"/>
    <cellStyle name="Normal 2 7 2 4 2 11" xfId="51270"/>
    <cellStyle name="Normal 3 7 2 4 2 11" xfId="51271"/>
    <cellStyle name="Normal 4 6 2 4 2 11" xfId="51272"/>
    <cellStyle name="Normal 5 6 2 4 2 11" xfId="51273"/>
    <cellStyle name="Normal 7 6 2 4 2 11" xfId="51274"/>
    <cellStyle name="Normal 2 3 4 2 4 2 11" xfId="51275"/>
    <cellStyle name="Normal 3 3 4 2 4 2 11" xfId="51276"/>
    <cellStyle name="Normal 4 2 4 2 4 2 11" xfId="51277"/>
    <cellStyle name="Normal 5 2 4 2 4 2 11" xfId="51278"/>
    <cellStyle name="Normal 7 2 4 2 4 2 11" xfId="51279"/>
    <cellStyle name="Normal 2 4 4 2 4 2 11" xfId="51280"/>
    <cellStyle name="Normal 3 4 4 2 4 2 11" xfId="51281"/>
    <cellStyle name="Normal 4 3 4 2 4 2 11" xfId="51282"/>
    <cellStyle name="Normal 5 3 4 2 4 2 11" xfId="51283"/>
    <cellStyle name="Normal 7 3 4 2 4 2 11" xfId="51284"/>
    <cellStyle name="Normal 2 5 2 2 4 2 11" xfId="51285"/>
    <cellStyle name="Normal 3 5 2 2 4 2 11" xfId="51286"/>
    <cellStyle name="Normal 4 4 2 2 4 2 11" xfId="51287"/>
    <cellStyle name="Normal 5 4 2 2 4 2 11" xfId="51288"/>
    <cellStyle name="Normal 7 4 2 2 4 2 11" xfId="51289"/>
    <cellStyle name="Normal 2 3 2 2 2 4 2 11" xfId="51290"/>
    <cellStyle name="Normal 3 3 2 2 2 4 2 11" xfId="51291"/>
    <cellStyle name="Normal 4 2 2 2 2 4 2 11" xfId="51292"/>
    <cellStyle name="Normal 5 2 2 2 2 4 2 11" xfId="51293"/>
    <cellStyle name="Normal 7 2 2 2 2 4 2 11" xfId="51294"/>
    <cellStyle name="Normal 2 4 2 2 2 4 2 11" xfId="51295"/>
    <cellStyle name="Normal 3 4 2 2 2 4 2 11" xfId="51296"/>
    <cellStyle name="Normal 4 3 2 2 2 4 2 11" xfId="51297"/>
    <cellStyle name="Normal 5 3 2 2 2 4 2 11" xfId="51298"/>
    <cellStyle name="Normal 7 3 2 2 2 4 2 11" xfId="51299"/>
    <cellStyle name="Normal 2 6 2 2 4 2 11" xfId="51300"/>
    <cellStyle name="Normal 3 6 2 2 4 2 11" xfId="51301"/>
    <cellStyle name="Normal 4 5 2 2 4 2 11" xfId="51302"/>
    <cellStyle name="Normal 5 5 2 2 4 2 11" xfId="51303"/>
    <cellStyle name="Normal 7 5 2 2 4 2 11" xfId="51304"/>
    <cellStyle name="Normal 2 3 3 2 2 4 2 11" xfId="51305"/>
    <cellStyle name="Normal 3 3 3 2 2 4 2 11" xfId="51306"/>
    <cellStyle name="Normal 4 2 3 2 2 4 2 11" xfId="51307"/>
    <cellStyle name="Normal 5 2 3 2 2 4 2 11" xfId="51308"/>
    <cellStyle name="Normal 7 2 3 2 2 4 2 11" xfId="51309"/>
    <cellStyle name="Normal 2 4 3 2 2 4 2 11" xfId="51310"/>
    <cellStyle name="Normal 3 4 3 2 2 4 2 11" xfId="51311"/>
    <cellStyle name="Normal 4 3 3 2 2 4 2 11" xfId="51312"/>
    <cellStyle name="Normal 5 3 3 2 2 4 2 11" xfId="51313"/>
    <cellStyle name="Normal 7 3 3 2 2 4 2 11" xfId="51314"/>
    <cellStyle name="Normal 2 9 2 2 11" xfId="51315"/>
    <cellStyle name="Normal 3 9 2 2 11" xfId="51316"/>
    <cellStyle name="Normal 4 8 2 2 11" xfId="51317"/>
    <cellStyle name="Normal 5 8 2 2 11" xfId="51318"/>
    <cellStyle name="Normal 7 8 2 2 11" xfId="51319"/>
    <cellStyle name="Normal 2 3 6 2 2 11" xfId="51320"/>
    <cellStyle name="Normal 3 3 6 2 2 11" xfId="51321"/>
    <cellStyle name="Normal 4 2 6 2 2 11" xfId="51322"/>
    <cellStyle name="Normal 5 2 6 2 2 11" xfId="51323"/>
    <cellStyle name="Normal 7 2 6 2 2 11" xfId="51324"/>
    <cellStyle name="Normal 2 4 6 2 2 11" xfId="51325"/>
    <cellStyle name="Normal 3 4 6 2 2 11" xfId="51326"/>
    <cellStyle name="Normal 4 3 6 2 2 11" xfId="51327"/>
    <cellStyle name="Normal 5 3 6 2 2 11" xfId="51328"/>
    <cellStyle name="Normal 7 3 6 2 2 11" xfId="51329"/>
    <cellStyle name="Normal 2 5 4 2 2 11" xfId="51330"/>
    <cellStyle name="Normal 3 5 4 2 2 11" xfId="51331"/>
    <cellStyle name="Normal 4 4 4 2 2 11" xfId="51332"/>
    <cellStyle name="Normal 5 4 4 2 2 11" xfId="51333"/>
    <cellStyle name="Normal 7 4 4 2 2 11" xfId="51334"/>
    <cellStyle name="Normal 2 3 2 4 2 2 11" xfId="51335"/>
    <cellStyle name="Normal 3 3 2 4 2 2 11" xfId="51336"/>
    <cellStyle name="Normal 4 2 2 4 2 2 11" xfId="51337"/>
    <cellStyle name="Normal 5 2 2 4 2 2 11" xfId="51338"/>
    <cellStyle name="Normal 7 2 2 4 2 2 11" xfId="51339"/>
    <cellStyle name="Normal 2 4 2 4 2 2 11" xfId="51340"/>
    <cellStyle name="Normal 3 4 2 4 2 2 11" xfId="51341"/>
    <cellStyle name="Normal 4 3 2 4 2 2 11" xfId="51342"/>
    <cellStyle name="Normal 5 3 2 4 2 2 11" xfId="51343"/>
    <cellStyle name="Normal 7 3 2 4 2 2 11" xfId="51344"/>
    <cellStyle name="Normal 2 6 4 2 2 11" xfId="51345"/>
    <cellStyle name="Normal 3 6 4 2 2 11" xfId="51346"/>
    <cellStyle name="Normal 4 5 4 2 2 11" xfId="51347"/>
    <cellStyle name="Normal 5 5 4 2 2 11" xfId="51348"/>
    <cellStyle name="Normal 7 5 4 2 2 11" xfId="51349"/>
    <cellStyle name="Normal 2 3 3 4 2 2 11" xfId="51350"/>
    <cellStyle name="Normal 3 3 3 4 2 2 11" xfId="51351"/>
    <cellStyle name="Normal 4 2 3 4 2 2 11" xfId="51352"/>
    <cellStyle name="Normal 5 2 3 4 2 2 11" xfId="51353"/>
    <cellStyle name="Normal 7 2 3 4 2 2 11" xfId="51354"/>
    <cellStyle name="Normal 2 4 3 4 2 2 11" xfId="51355"/>
    <cellStyle name="Normal 3 4 3 4 2 2 11" xfId="51356"/>
    <cellStyle name="Normal 4 3 3 4 2 2 11" xfId="51357"/>
    <cellStyle name="Normal 5 3 3 4 2 2 11" xfId="51358"/>
    <cellStyle name="Normal 7 3 3 4 2 2 11" xfId="51359"/>
    <cellStyle name="Normal 2 7 3 2 2 11" xfId="51360"/>
    <cellStyle name="Normal 3 7 3 2 2 11" xfId="51361"/>
    <cellStyle name="Normal 4 6 3 2 2 11" xfId="51362"/>
    <cellStyle name="Normal 5 6 3 2 2 11" xfId="51363"/>
    <cellStyle name="Normal 7 6 3 2 2 11" xfId="51364"/>
    <cellStyle name="Normal 2 3 4 3 2 2 11" xfId="51365"/>
    <cellStyle name="Normal 3 3 4 3 2 2 11" xfId="51366"/>
    <cellStyle name="Normal 4 2 4 3 2 2 11" xfId="51367"/>
    <cellStyle name="Normal 5 2 4 3 2 2 11" xfId="51368"/>
    <cellStyle name="Normal 7 2 4 3 2 2 11" xfId="51369"/>
    <cellStyle name="Normal 2 4 4 3 2 2 11" xfId="51370"/>
    <cellStyle name="Normal 3 4 4 3 2 2 11" xfId="51371"/>
    <cellStyle name="Normal 4 3 4 3 2 2 11" xfId="51372"/>
    <cellStyle name="Normal 5 3 4 3 2 2 11" xfId="51373"/>
    <cellStyle name="Normal 7 3 4 3 2 2 11" xfId="51374"/>
    <cellStyle name="Normal 2 5 2 3 2 2 11" xfId="51375"/>
    <cellStyle name="Normal 3 5 2 3 2 2 11" xfId="51376"/>
    <cellStyle name="Normal 4 4 2 3 2 2 11" xfId="51377"/>
    <cellStyle name="Normal 5 4 2 3 2 2 11" xfId="51378"/>
    <cellStyle name="Normal 7 4 2 3 2 2 11" xfId="51379"/>
    <cellStyle name="Normal 2 3 2 2 3 2 2 11" xfId="51380"/>
    <cellStyle name="Normal 3 3 2 2 3 2 2 11" xfId="51381"/>
    <cellStyle name="Normal 4 2 2 2 3 2 2 11" xfId="51382"/>
    <cellStyle name="Normal 5 2 2 2 3 2 2 11" xfId="51383"/>
    <cellStyle name="Normal 7 2 2 2 3 2 2 11" xfId="51384"/>
    <cellStyle name="Normal 2 4 2 2 3 2 2 11" xfId="51385"/>
    <cellStyle name="Normal 3 4 2 2 3 2 2 11" xfId="51386"/>
    <cellStyle name="Normal 4 3 2 2 3 2 2 11" xfId="51387"/>
    <cellStyle name="Normal 5 3 2 2 3 2 2 11" xfId="51388"/>
    <cellStyle name="Normal 7 3 2 2 3 2 2 11" xfId="51389"/>
    <cellStyle name="Normal 2 6 2 3 2 2 11" xfId="51390"/>
    <cellStyle name="Normal 3 6 2 3 2 2 11" xfId="51391"/>
    <cellStyle name="Normal 4 5 2 3 2 2 11" xfId="51392"/>
    <cellStyle name="Normal 5 5 2 3 2 2 11" xfId="51393"/>
    <cellStyle name="Normal 7 5 2 3 2 2 11" xfId="51394"/>
    <cellStyle name="Normal 2 3 3 2 3 2 2 11" xfId="51395"/>
    <cellStyle name="Normal 3 3 3 2 3 2 2 11" xfId="51396"/>
    <cellStyle name="Normal 4 2 3 2 3 2 2 11" xfId="51397"/>
    <cellStyle name="Normal 5 2 3 2 3 2 2 11" xfId="51398"/>
    <cellStyle name="Normal 7 2 3 2 3 2 2 11" xfId="51399"/>
    <cellStyle name="Normal 2 4 3 2 3 2 2 11" xfId="51400"/>
    <cellStyle name="Normal 3 4 3 2 3 2 2 11" xfId="51401"/>
    <cellStyle name="Normal 4 3 3 2 3 2 2 11" xfId="51402"/>
    <cellStyle name="Normal 5 3 3 2 3 2 2 11" xfId="51403"/>
    <cellStyle name="Normal 7 3 3 2 3 2 2 11" xfId="51404"/>
    <cellStyle name="Normal 2 8 2 2 2 11" xfId="51405"/>
    <cellStyle name="Normal 3 8 2 2 2 11" xfId="51406"/>
    <cellStyle name="Normal 4 7 2 2 2 11" xfId="51407"/>
    <cellStyle name="Normal 5 7 2 2 2 11" xfId="51408"/>
    <cellStyle name="Normal 7 7 2 2 2 11" xfId="51409"/>
    <cellStyle name="Normal 2 3 5 2 2 2 11" xfId="51410"/>
    <cellStyle name="Normal 3 3 5 2 2 2 11" xfId="51411"/>
    <cellStyle name="Normal 4 2 5 2 2 2 11" xfId="51412"/>
    <cellStyle name="Normal 5 2 5 2 2 2 11" xfId="51413"/>
    <cellStyle name="Normal 7 2 5 2 2 2 11" xfId="51414"/>
    <cellStyle name="Normal 2 4 5 2 2 2 11" xfId="51415"/>
    <cellStyle name="Normal 3 4 5 2 2 2 11" xfId="51416"/>
    <cellStyle name="Normal 4 3 5 2 2 2 11" xfId="51417"/>
    <cellStyle name="Normal 5 3 5 2 2 2 11" xfId="51418"/>
    <cellStyle name="Normal 7 3 5 2 2 2 11" xfId="51419"/>
    <cellStyle name="Normal 2 5 3 2 2 2 11" xfId="51420"/>
    <cellStyle name="Normal 3 5 3 2 2 2 11" xfId="51421"/>
    <cellStyle name="Normal 4 4 3 2 2 2 11" xfId="51422"/>
    <cellStyle name="Normal 5 4 3 2 2 2 11" xfId="51423"/>
    <cellStyle name="Normal 7 4 3 2 2 2 11" xfId="51424"/>
    <cellStyle name="Normal 2 3 2 3 2 2 2 11" xfId="51425"/>
    <cellStyle name="Normal 3 3 2 3 2 2 2 11" xfId="51426"/>
    <cellStyle name="Normal 4 2 2 3 2 2 2 11" xfId="51427"/>
    <cellStyle name="Normal 5 2 2 3 2 2 2 11" xfId="51428"/>
    <cellStyle name="Normal 7 2 2 3 2 2 2 11" xfId="51429"/>
    <cellStyle name="Normal 2 4 2 3 2 2 2 11" xfId="51430"/>
    <cellStyle name="Normal 3 4 2 3 2 2 2 11" xfId="51431"/>
    <cellStyle name="Normal 4 3 2 3 2 2 2 11" xfId="51432"/>
    <cellStyle name="Normal 5 3 2 3 2 2 2 11" xfId="51433"/>
    <cellStyle name="Normal 7 3 2 3 2 2 2 11" xfId="51434"/>
    <cellStyle name="Normal 2 6 3 2 2 2 11" xfId="51435"/>
    <cellStyle name="Normal 3 6 3 2 2 2 11" xfId="51436"/>
    <cellStyle name="Normal 4 5 3 2 2 2 11" xfId="51437"/>
    <cellStyle name="Normal 5 5 3 2 2 2 11" xfId="51438"/>
    <cellStyle name="Normal 7 5 3 2 2 2 11" xfId="51439"/>
    <cellStyle name="Normal 2 3 3 3 2 2 2 11" xfId="51440"/>
    <cellStyle name="Normal 3 3 3 3 2 2 2 11" xfId="51441"/>
    <cellStyle name="Normal 4 2 3 3 2 2 2 11" xfId="51442"/>
    <cellStyle name="Normal 5 2 3 3 2 2 2 11" xfId="51443"/>
    <cellStyle name="Normal 7 2 3 3 2 2 2 11" xfId="51444"/>
    <cellStyle name="Normal 2 4 3 3 2 2 2 11" xfId="51445"/>
    <cellStyle name="Normal 3 4 3 3 2 2 2 11" xfId="51446"/>
    <cellStyle name="Normal 4 3 3 3 2 2 2 11" xfId="51447"/>
    <cellStyle name="Normal 5 3 3 3 2 2 2 11" xfId="51448"/>
    <cellStyle name="Normal 7 3 3 3 2 2 2 11" xfId="51449"/>
    <cellStyle name="Normal 2 7 2 2 2 2 11" xfId="51450"/>
    <cellStyle name="Normal 3 7 2 2 2 2 11" xfId="51451"/>
    <cellStyle name="Normal 4 6 2 2 2 2 11" xfId="51452"/>
    <cellStyle name="Normal 5 6 2 2 2 2 11" xfId="51453"/>
    <cellStyle name="Normal 7 6 2 2 2 2 11" xfId="51454"/>
    <cellStyle name="Normal 2 3 4 2 2 2 2 11" xfId="51455"/>
    <cellStyle name="Normal 3 3 4 2 2 2 2 11" xfId="51456"/>
    <cellStyle name="Normal 4 2 4 2 2 2 2 11" xfId="51457"/>
    <cellStyle name="Normal 5 2 4 2 2 2 2 11" xfId="51458"/>
    <cellStyle name="Normal 7 2 4 2 2 2 2 11" xfId="51459"/>
    <cellStyle name="Normal 2 4 4 2 2 2 2 11" xfId="51460"/>
    <cellStyle name="Normal 3 4 4 2 2 2 2 11" xfId="51461"/>
    <cellStyle name="Normal 4 3 4 2 2 2 2 11" xfId="51462"/>
    <cellStyle name="Normal 5 3 4 2 2 2 2 11" xfId="51463"/>
    <cellStyle name="Normal 7 3 4 2 2 2 2 11" xfId="51464"/>
    <cellStyle name="Normal 2 5 2 2 2 2 2 11" xfId="51465"/>
    <cellStyle name="Normal 3 5 2 2 2 2 2 11" xfId="51466"/>
    <cellStyle name="Normal 4 4 2 2 2 2 2 11" xfId="51467"/>
    <cellStyle name="Normal 5 4 2 2 2 2 2 11" xfId="51468"/>
    <cellStyle name="Normal 7 4 2 2 2 2 2 11" xfId="51469"/>
    <cellStyle name="Normal 2 3 2 2 2 2 2 2 11" xfId="51470"/>
    <cellStyle name="Normal 3 3 2 2 2 2 2 2 11" xfId="51471"/>
    <cellStyle name="Normal 4 2 2 2 2 2 2 2 11" xfId="51472"/>
    <cellStyle name="Normal 5 2 2 2 2 2 2 2 11" xfId="51473"/>
    <cellStyle name="Normal 7 2 2 2 2 2 2 2 11" xfId="51474"/>
    <cellStyle name="Normal 2 4 2 2 2 2 2 2 11" xfId="51475"/>
    <cellStyle name="Normal 3 4 2 2 2 2 2 2 11" xfId="51476"/>
    <cellStyle name="Normal 4 3 2 2 2 2 2 2 11" xfId="51477"/>
    <cellStyle name="Normal 5 3 2 2 2 2 2 2 11" xfId="51478"/>
    <cellStyle name="Normal 7 3 2 2 2 2 2 2 11" xfId="51479"/>
    <cellStyle name="Normal 2 6 2 2 2 2 2 11" xfId="51480"/>
    <cellStyle name="Normal 3 6 2 2 2 2 2 11" xfId="51481"/>
    <cellStyle name="Normal 4 5 2 2 2 2 2 11" xfId="51482"/>
    <cellStyle name="Normal 5 5 2 2 2 2 2 11" xfId="51483"/>
    <cellStyle name="Normal 7 5 2 2 2 2 2 11" xfId="51484"/>
    <cellStyle name="Normal 2 3 3 2 2 2 2 2 11" xfId="51485"/>
    <cellStyle name="Normal 3 3 3 2 2 2 2 2 11" xfId="51486"/>
    <cellStyle name="Normal 4 2 3 2 2 2 2 2 11" xfId="51487"/>
    <cellStyle name="Normal 5 2 3 2 2 2 2 2 11" xfId="51488"/>
    <cellStyle name="Normal 7 2 3 2 2 2 2 2 11" xfId="51489"/>
    <cellStyle name="Normal 2 4 3 2 2 2 2 2 11" xfId="51490"/>
    <cellStyle name="Normal 3 4 3 2 2 2 2 2 11" xfId="51491"/>
    <cellStyle name="Normal 4 3 3 2 2 2 2 2 11" xfId="51492"/>
    <cellStyle name="Normal 5 3 3 2 2 2 2 2 11" xfId="51493"/>
    <cellStyle name="Normal 7 3 3 2 2 2 2 2 11" xfId="51494"/>
    <cellStyle name="Normal 28 2 2 11" xfId="51495"/>
    <cellStyle name="Normal 2 3 7 2 2 11" xfId="51496"/>
    <cellStyle name="Normal 3 10 2 2 11" xfId="51497"/>
    <cellStyle name="Normal 4 9 2 2 11" xfId="51498"/>
    <cellStyle name="Normal 5 9 2 2 11" xfId="51499"/>
    <cellStyle name="Millares 4 2 2 11" xfId="51500"/>
    <cellStyle name="Normal 7 2 7 2 2 11" xfId="51501"/>
    <cellStyle name="Normal 3 3 7 2 2 11" xfId="51502"/>
    <cellStyle name="Normal 4 2 7 2 2 11" xfId="51503"/>
    <cellStyle name="Normal 5 2 7 2 2 11" xfId="51504"/>
    <cellStyle name="Normal 2 4 5 3 2 2 11" xfId="51505"/>
    <cellStyle name="Normal 3 4 7 2 2 11" xfId="51506"/>
    <cellStyle name="Normal 4 3 7 2 2 11" xfId="51507"/>
    <cellStyle name="Normal 5 3 7 2 2 11" xfId="51508"/>
    <cellStyle name="Normal 7 3 7 2 2 11" xfId="51509"/>
    <cellStyle name="Normal 2 5 5 2 2 11" xfId="51510"/>
    <cellStyle name="Normal 3 5 5 2 2 11" xfId="51511"/>
    <cellStyle name="Normal 4 4 5 2 2 11" xfId="51512"/>
    <cellStyle name="Normal 5 4 5 2 2 11" xfId="51513"/>
    <cellStyle name="Normal 7 4 5 2 2 11" xfId="51514"/>
    <cellStyle name="Normal 2 3 2 5 2 2 11" xfId="51515"/>
    <cellStyle name="Normal 3 3 2 5 2 2 11" xfId="51516"/>
    <cellStyle name="Normal 4 2 2 5 2 2 11" xfId="51517"/>
    <cellStyle name="Normal 5 2 2 5 2 2 11" xfId="51518"/>
    <cellStyle name="Normal 7 2 2 5 2 2 11" xfId="51519"/>
    <cellStyle name="Normal 2 4 2 5 2 2 11" xfId="51520"/>
    <cellStyle name="Normal 3 4 2 5 2 2 11" xfId="51521"/>
    <cellStyle name="Normal 4 3 2 5 2 2 11" xfId="51522"/>
    <cellStyle name="Normal 5 3 2 5 2 2 11" xfId="51523"/>
    <cellStyle name="Normal 7 3 2 5 2 2 11" xfId="51524"/>
    <cellStyle name="Normal 2 6 5 2 2 11" xfId="51525"/>
    <cellStyle name="Normal 3 6 5 2 2 11" xfId="51526"/>
    <cellStyle name="Normal 4 5 5 2 2 11" xfId="51527"/>
    <cellStyle name="Normal 5 5 5 2 2 11" xfId="51528"/>
    <cellStyle name="Normal 7 5 5 2 2 11" xfId="51529"/>
    <cellStyle name="Normal 2 3 3 5 2 2 11" xfId="51530"/>
    <cellStyle name="Normal 3 3 3 5 2 2 11" xfId="51531"/>
    <cellStyle name="Normal 4 2 3 5 2 2 11" xfId="51532"/>
    <cellStyle name="Normal 5 2 3 5 2 2 11" xfId="51533"/>
    <cellStyle name="Normal 7 2 3 5 2 2 11" xfId="51534"/>
    <cellStyle name="Normal 2 4 3 5 2 2 11" xfId="51535"/>
    <cellStyle name="Normal 3 4 3 5 2 2 11" xfId="51536"/>
    <cellStyle name="Normal 4 3 3 5 2 2 11" xfId="51537"/>
    <cellStyle name="Normal 5 3 3 5 2 2 11" xfId="51538"/>
    <cellStyle name="Normal 7 3 3 5 2 2 11" xfId="51539"/>
    <cellStyle name="Normal 2 7 4 2 2 11" xfId="51540"/>
    <cellStyle name="Normal 3 7 4 2 2 11" xfId="51541"/>
    <cellStyle name="Normal 4 6 4 2 2 11" xfId="51542"/>
    <cellStyle name="Normal 5 6 4 2 2 11" xfId="51543"/>
    <cellStyle name="Normal 7 6 4 2 2 11" xfId="51544"/>
    <cellStyle name="Normal 2 3 4 4 2 2 11" xfId="51545"/>
    <cellStyle name="Normal 3 3 4 4 2 2 11" xfId="51546"/>
    <cellStyle name="Normal 4 2 4 4 2 2 11" xfId="51547"/>
    <cellStyle name="Normal 5 2 4 4 2 2 11" xfId="51548"/>
    <cellStyle name="Normal 7 2 4 4 2 2 11" xfId="51549"/>
    <cellStyle name="Normal 2 4 4 4 2 2 11" xfId="51550"/>
    <cellStyle name="Normal 3 4 4 4 2 2 11" xfId="51551"/>
    <cellStyle name="Normal 4 3 4 4 2 2 11" xfId="51552"/>
    <cellStyle name="Normal 5 3 4 4 2 2 11" xfId="51553"/>
    <cellStyle name="Normal 7 3 4 4 2 2 11" xfId="51554"/>
    <cellStyle name="Normal 2 5 2 4 2 2 11" xfId="51555"/>
    <cellStyle name="Normal 3 5 2 4 2 2 11" xfId="51556"/>
    <cellStyle name="Normal 4 4 2 4 2 2 11" xfId="51557"/>
    <cellStyle name="Normal 5 4 2 4 2 2 11" xfId="51558"/>
    <cellStyle name="Normal 7 4 2 4 2 2 11" xfId="51559"/>
    <cellStyle name="Normal 2 3 2 2 4 2 2 11" xfId="51560"/>
    <cellStyle name="Normal 3 3 2 2 4 2 2 11" xfId="51561"/>
    <cellStyle name="Normal 4 2 2 2 4 2 2 11" xfId="51562"/>
    <cellStyle name="Normal 5 2 2 2 4 2 2 11" xfId="51563"/>
    <cellStyle name="Normal 7 2 2 2 4 2 2 11" xfId="51564"/>
    <cellStyle name="Normal 2 4 2 2 4 2 2 11" xfId="51565"/>
    <cellStyle name="Normal 3 4 2 2 4 2 2 11" xfId="51566"/>
    <cellStyle name="Normal 4 3 2 2 4 2 2 11" xfId="51567"/>
    <cellStyle name="Normal 5 3 2 2 4 2 2 11" xfId="51568"/>
    <cellStyle name="Normal 7 3 2 2 4 2 2 11" xfId="51569"/>
    <cellStyle name="Normal 2 6 2 4 2 2 11" xfId="51570"/>
    <cellStyle name="Normal 3 6 2 4 2 2 11" xfId="51571"/>
    <cellStyle name="Normal 4 5 2 4 2 2 11" xfId="51572"/>
    <cellStyle name="Normal 5 5 2 4 2 2 11" xfId="51573"/>
    <cellStyle name="Normal 7 5 2 4 2 2 11" xfId="51574"/>
    <cellStyle name="Normal 2 3 3 2 4 2 2 11" xfId="51575"/>
    <cellStyle name="Normal 3 3 3 2 4 2 2 11" xfId="51576"/>
    <cellStyle name="Normal 4 2 3 2 4 2 2 11" xfId="51577"/>
    <cellStyle name="Normal 5 2 3 2 4 2 2 11" xfId="51578"/>
    <cellStyle name="Normal 7 2 3 2 4 2 2 11" xfId="51579"/>
    <cellStyle name="Normal 2 4 3 2 4 2 2 11" xfId="51580"/>
    <cellStyle name="Normal 3 4 3 2 4 2 2 11" xfId="51581"/>
    <cellStyle name="Normal 4 3 3 2 4 2 2 11" xfId="51582"/>
    <cellStyle name="Normal 5 3 3 2 4 2 2 11" xfId="51583"/>
    <cellStyle name="Normal 7 3 3 2 4 2 2 11" xfId="51584"/>
    <cellStyle name="Normal 2 8 3 2 2 11" xfId="51585"/>
    <cellStyle name="Normal 3 8 3 2 2 11" xfId="51586"/>
    <cellStyle name="Normal 4 7 3 2 2 11" xfId="51587"/>
    <cellStyle name="Normal 5 7 3 2 2 11" xfId="51588"/>
    <cellStyle name="Normal 7 7 3 2 2 11" xfId="51589"/>
    <cellStyle name="Normal 2 3 5 3 2 2 11" xfId="51590"/>
    <cellStyle name="Normal 3 3 5 3 2 2 11" xfId="51591"/>
    <cellStyle name="Normal 4 2 5 3 2 2 11" xfId="51592"/>
    <cellStyle name="Normal 5 2 5 3 2 2 11" xfId="51593"/>
    <cellStyle name="Normal 7 2 5 3 2 2 11" xfId="51594"/>
    <cellStyle name="Normal 3 4 5 3 2 2 11" xfId="51595"/>
    <cellStyle name="Normal 4 3 5 3 2 2 11" xfId="51596"/>
    <cellStyle name="Normal 5 3 5 3 2 2 11" xfId="51597"/>
    <cellStyle name="Normal 7 3 5 3 2 2 11" xfId="51598"/>
    <cellStyle name="Normal 2 5 3 3 2 2 11" xfId="51599"/>
    <cellStyle name="Normal 3 5 3 3 2 2 11" xfId="51600"/>
    <cellStyle name="Normal 4 4 3 3 2 2 11" xfId="51601"/>
    <cellStyle name="Normal 5 4 3 3 2 2 11" xfId="51602"/>
    <cellStyle name="Normal 7 4 3 3 2 2 11" xfId="51603"/>
    <cellStyle name="Normal 2 3 2 3 3 2 2 11" xfId="51604"/>
    <cellStyle name="Normal 3 3 2 3 3 2 2 11" xfId="51605"/>
    <cellStyle name="Normal 4 2 2 3 3 2 2 11" xfId="51606"/>
    <cellStyle name="Normal 5 2 2 3 3 2 2 11" xfId="51607"/>
    <cellStyle name="Normal 7 2 2 3 3 2 2 11" xfId="51608"/>
    <cellStyle name="Normal 2 4 2 3 3 2 2 11" xfId="51609"/>
    <cellStyle name="Normal 3 4 2 3 3 2 2 11" xfId="51610"/>
    <cellStyle name="Normal 4 3 2 3 3 2 2 11" xfId="51611"/>
    <cellStyle name="Normal 5 3 2 3 3 2 2 11" xfId="51612"/>
    <cellStyle name="Normal 7 3 2 3 3 2 2 11" xfId="51613"/>
    <cellStyle name="Normal 2 6 3 3 2 2 11" xfId="51614"/>
    <cellStyle name="Normal 3 6 3 3 2 2 11" xfId="51615"/>
    <cellStyle name="Normal 4 5 3 3 2 2 11" xfId="51616"/>
    <cellStyle name="Normal 5 5 3 3 2 2 11" xfId="51617"/>
    <cellStyle name="Normal 7 5 3 3 2 2 11" xfId="51618"/>
    <cellStyle name="Normal 2 3 3 3 3 2 2 11" xfId="51619"/>
    <cellStyle name="Normal 3 3 3 3 3 2 2 11" xfId="51620"/>
    <cellStyle name="Normal 4 2 3 3 3 2 2 11" xfId="51621"/>
    <cellStyle name="Normal 5 2 3 3 3 2 2 11" xfId="51622"/>
    <cellStyle name="Normal 7 2 3 3 3 2 2 11" xfId="51623"/>
    <cellStyle name="Normal 2 4 3 3 3 2 2 11" xfId="51624"/>
    <cellStyle name="Normal 3 4 3 3 3 2 2 11" xfId="51625"/>
    <cellStyle name="Normal 4 3 3 3 3 2 2 11" xfId="51626"/>
    <cellStyle name="Normal 5 3 3 3 3 2 2 11" xfId="51627"/>
    <cellStyle name="Normal 7 3 3 3 3 2 2 11" xfId="51628"/>
    <cellStyle name="Normal 2 7 2 3 2 2 11" xfId="51629"/>
    <cellStyle name="Normal 3 7 2 3 2 2 11" xfId="51630"/>
    <cellStyle name="Normal 4 6 2 3 2 2 11" xfId="51631"/>
    <cellStyle name="Normal 5 6 2 3 2 2 11" xfId="51632"/>
    <cellStyle name="Normal 7 6 2 3 2 2 11" xfId="51633"/>
    <cellStyle name="Normal 2 3 4 2 3 2 2 11" xfId="51634"/>
    <cellStyle name="Normal 3 3 4 2 3 2 2 11" xfId="51635"/>
    <cellStyle name="Normal 4 2 4 2 3 2 2 11" xfId="51636"/>
    <cellStyle name="Normal 5 2 4 2 3 2 2 11" xfId="51637"/>
    <cellStyle name="Normal 7 2 4 2 3 2 2 11" xfId="51638"/>
    <cellStyle name="Normal 2 4 4 2 3 2 2 11" xfId="51639"/>
    <cellStyle name="Normal 3 4 4 2 3 2 2 11" xfId="51640"/>
    <cellStyle name="Normal 4 3 4 2 3 2 2 11" xfId="51641"/>
    <cellStyle name="Normal 5 3 4 2 3 2 2 11" xfId="51642"/>
    <cellStyle name="Normal 7 3 4 2 3 2 2 11" xfId="51643"/>
    <cellStyle name="Normal 2 5 2 2 3 2 2 11" xfId="51644"/>
    <cellStyle name="Normal 3 5 2 2 3 2 2 11" xfId="51645"/>
    <cellStyle name="Normal 4 4 2 2 3 2 2 11" xfId="51646"/>
    <cellStyle name="Normal 5 4 2 2 3 2 2 11" xfId="51647"/>
    <cellStyle name="Normal 7 4 2 2 3 2 2 11" xfId="51648"/>
    <cellStyle name="Normal 2 3 2 2 2 3 2 2 11" xfId="51649"/>
    <cellStyle name="Normal 3 3 2 2 2 3 2 2 11" xfId="51650"/>
    <cellStyle name="Normal 4 2 2 2 2 3 2 2 11" xfId="51651"/>
    <cellStyle name="Normal 5 2 2 2 2 3 2 2 11" xfId="51652"/>
    <cellStyle name="Normal 7 2 2 2 2 3 2 2 11" xfId="51653"/>
    <cellStyle name="Normal 2 4 2 2 2 3 2 2 11" xfId="51654"/>
    <cellStyle name="Normal 3 4 2 2 2 3 2 2 11" xfId="51655"/>
    <cellStyle name="Normal 4 3 2 2 2 3 2 2 11" xfId="51656"/>
    <cellStyle name="Normal 5 3 2 2 2 3 2 2 11" xfId="51657"/>
    <cellStyle name="Normal 7 3 2 2 2 3 2 2 11" xfId="51658"/>
    <cellStyle name="Normal 2 6 2 2 3 2 2 11" xfId="51659"/>
    <cellStyle name="Normal 3 6 2 2 3 2 2 11" xfId="51660"/>
    <cellStyle name="Normal 4 5 2 2 3 2 2 11" xfId="51661"/>
    <cellStyle name="Normal 5 5 2 2 3 2 2 11" xfId="51662"/>
    <cellStyle name="Normal 7 5 2 2 3 2 2 11" xfId="51663"/>
    <cellStyle name="Normal 2 3 3 2 2 3 2 2 11" xfId="51664"/>
    <cellStyle name="Normal 3 3 3 2 2 3 2 2 11" xfId="51665"/>
    <cellStyle name="Normal 4 2 3 2 2 3 2 2 11" xfId="51666"/>
    <cellStyle name="Normal 5 2 3 2 2 3 2 2 11" xfId="51667"/>
    <cellStyle name="Normal 7 2 3 2 2 3 2 2 11" xfId="51668"/>
    <cellStyle name="Normal 2 4 3 2 2 3 2 2 11" xfId="51669"/>
    <cellStyle name="Normal 3 4 3 2 2 3 2 2 11" xfId="51670"/>
    <cellStyle name="Normal 4 3 3 2 2 3 2 2 11" xfId="51671"/>
    <cellStyle name="Normal 5 3 3 2 2 3 2 2 11" xfId="51672"/>
    <cellStyle name="Normal 7 3 3 2 2 3 2 2 11" xfId="51673"/>
    <cellStyle name="Normal 2 12 2 11" xfId="51674"/>
    <cellStyle name="Normal 3 12 2 11" xfId="51675"/>
    <cellStyle name="Normal 4 11 2 11" xfId="51676"/>
    <cellStyle name="Normal 5 11 2 11" xfId="51677"/>
    <cellStyle name="Normal 7 11 2 11" xfId="51678"/>
    <cellStyle name="Normal 2 3 9 2 11" xfId="51679"/>
    <cellStyle name="Normal 3 3 9 2 11" xfId="51680"/>
    <cellStyle name="Normal 4 2 9 2 11" xfId="51681"/>
    <cellStyle name="Normal 5 2 9 2 11" xfId="51682"/>
    <cellStyle name="Normal 7 2 9 2 11" xfId="51683"/>
    <cellStyle name="Normal 2 4 9 2 11" xfId="51684"/>
    <cellStyle name="Normal 3 4 9 2 11" xfId="51685"/>
    <cellStyle name="Normal 4 3 9 2 11" xfId="51686"/>
    <cellStyle name="Normal 5 3 9 2 11" xfId="51687"/>
    <cellStyle name="Normal 7 3 9 2 11" xfId="51688"/>
    <cellStyle name="Normal 2 5 7 2 11" xfId="51689"/>
    <cellStyle name="Normal 3 5 7 2 11" xfId="51690"/>
    <cellStyle name="Normal 4 4 7 2 11" xfId="51691"/>
    <cellStyle name="Normal 5 4 7 2 11" xfId="51692"/>
    <cellStyle name="Normal 7 4 7 2 11" xfId="51693"/>
    <cellStyle name="Normal 2 3 2 7 2 11" xfId="51694"/>
    <cellStyle name="Normal 3 3 2 7 2 11" xfId="51695"/>
    <cellStyle name="Normal 4 2 2 7 2 11" xfId="51696"/>
    <cellStyle name="Normal 5 2 2 7 2 11" xfId="51697"/>
    <cellStyle name="Normal 7 2 2 7 2 11" xfId="51698"/>
    <cellStyle name="Normal 2 4 2 7 2 11" xfId="51699"/>
    <cellStyle name="Normal 3 4 2 7 2 11" xfId="51700"/>
    <cellStyle name="Normal 4 3 2 7 2 11" xfId="51701"/>
    <cellStyle name="Normal 5 3 2 7 2 11" xfId="51702"/>
    <cellStyle name="Normal 7 3 2 7 2 11" xfId="51703"/>
    <cellStyle name="Normal 2 6 7 2 11" xfId="51704"/>
    <cellStyle name="Normal 3 6 7 2 11" xfId="51705"/>
    <cellStyle name="Normal 4 5 7 2 11" xfId="51706"/>
    <cellStyle name="Normal 5 5 7 2 11" xfId="51707"/>
    <cellStyle name="Normal 7 5 7 2 11" xfId="51708"/>
    <cellStyle name="Normal 2 3 3 7 2 11" xfId="51709"/>
    <cellStyle name="Normal 3 3 3 7 2 11" xfId="51710"/>
    <cellStyle name="Normal 4 2 3 7 2 11" xfId="51711"/>
    <cellStyle name="Normal 5 2 3 7 2 11" xfId="51712"/>
    <cellStyle name="Normal 7 2 3 7 2 11" xfId="51713"/>
    <cellStyle name="Normal 2 4 3 7 2 11" xfId="51714"/>
    <cellStyle name="Normal 3 4 3 7 2 11" xfId="51715"/>
    <cellStyle name="Normal 4 3 3 7 2 11" xfId="51716"/>
    <cellStyle name="Normal 5 3 3 7 2 11" xfId="51717"/>
    <cellStyle name="Normal 7 3 3 7 2 11" xfId="51718"/>
    <cellStyle name="Normal 2 7 6 2 11" xfId="51719"/>
    <cellStyle name="Normal 3 7 6 2 11" xfId="51720"/>
    <cellStyle name="Normal 4 6 6 2 11" xfId="51721"/>
    <cellStyle name="Normal 5 6 6 2 11" xfId="51722"/>
    <cellStyle name="Normal 7 6 6 2 11" xfId="51723"/>
    <cellStyle name="Normal 2 3 4 6 2 11" xfId="51724"/>
    <cellStyle name="Normal 3 3 4 6 2 11" xfId="51725"/>
    <cellStyle name="Normal 4 2 4 6 2 11" xfId="51726"/>
    <cellStyle name="Normal 5 2 4 6 2 11" xfId="51727"/>
    <cellStyle name="Normal 7 2 4 6 2 11" xfId="51728"/>
    <cellStyle name="Normal 2 4 4 6 2 11" xfId="51729"/>
    <cellStyle name="Normal 3 4 4 6 2 11" xfId="51730"/>
    <cellStyle name="Normal 4 3 4 6 2 11" xfId="51731"/>
    <cellStyle name="Normal 5 3 4 6 2 11" xfId="51732"/>
    <cellStyle name="Normal 7 3 4 6 2 11" xfId="51733"/>
    <cellStyle name="Normal 2 5 2 6 2 11" xfId="51734"/>
    <cellStyle name="Normal 3 5 2 6 2 11" xfId="51735"/>
    <cellStyle name="Normal 4 4 2 6 2 11" xfId="51736"/>
    <cellStyle name="Normal 5 4 2 6 2 11" xfId="51737"/>
    <cellStyle name="Normal 7 4 2 6 2 11" xfId="51738"/>
    <cellStyle name="Normal 2 3 2 2 6 2 11" xfId="51739"/>
    <cellStyle name="Normal 3 3 2 2 6 2 11" xfId="51740"/>
    <cellStyle name="Normal 4 2 2 2 6 2 11" xfId="51741"/>
    <cellStyle name="Normal 5 2 2 2 6 2 11" xfId="51742"/>
    <cellStyle name="Normal 7 2 2 2 6 2 11" xfId="51743"/>
    <cellStyle name="Normal 2 4 2 2 6 2 11" xfId="51744"/>
    <cellStyle name="Normal 3 4 2 2 6 2 11" xfId="51745"/>
    <cellStyle name="Normal 4 3 2 2 6 2 11" xfId="51746"/>
    <cellStyle name="Normal 5 3 2 2 6 2 11" xfId="51747"/>
    <cellStyle name="Normal 7 3 2 2 6 2 11" xfId="51748"/>
    <cellStyle name="Normal 2 6 2 6 2 11" xfId="51749"/>
    <cellStyle name="Normal 3 6 2 6 2 11" xfId="51750"/>
    <cellStyle name="Normal 4 5 2 6 2 11" xfId="51751"/>
    <cellStyle name="Normal 5 5 2 6 2 11" xfId="51752"/>
    <cellStyle name="Normal 7 5 2 6 2 11" xfId="51753"/>
    <cellStyle name="Normal 2 3 3 2 6 2 11" xfId="51754"/>
    <cellStyle name="Normal 3 3 3 2 6 2 11" xfId="51755"/>
    <cellStyle name="Normal 4 2 3 2 6 2 11" xfId="51756"/>
    <cellStyle name="Normal 5 2 3 2 6 2 11" xfId="51757"/>
    <cellStyle name="Normal 7 2 3 2 6 2 11" xfId="51758"/>
    <cellStyle name="Normal 2 4 3 2 6 2 11" xfId="51759"/>
    <cellStyle name="Normal 3 4 3 2 6 2 11" xfId="51760"/>
    <cellStyle name="Normal 4 3 3 2 6 2 11" xfId="51761"/>
    <cellStyle name="Normal 5 3 3 2 6 2 11" xfId="51762"/>
    <cellStyle name="Normal 7 3 3 2 6 2 11" xfId="51763"/>
    <cellStyle name="Normal 2 8 5 2 11" xfId="51764"/>
    <cellStyle name="Normal 3 8 5 2 11" xfId="51765"/>
    <cellStyle name="Normal 4 7 5 2 11" xfId="51766"/>
    <cellStyle name="Normal 5 7 5 2 11" xfId="51767"/>
    <cellStyle name="Normal 7 7 5 2 11" xfId="51768"/>
    <cellStyle name="Normal 2 3 5 5 2 11" xfId="51769"/>
    <cellStyle name="Normal 3 3 5 5 2 11" xfId="51770"/>
    <cellStyle name="Normal 4 2 5 5 2 11" xfId="51771"/>
    <cellStyle name="Normal 5 2 5 5 2 11" xfId="51772"/>
    <cellStyle name="Normal 7 2 5 5 2 11" xfId="51773"/>
    <cellStyle name="Normal 2 4 5 5 2 11" xfId="51774"/>
    <cellStyle name="Normal 3 4 5 5 2 11" xfId="51775"/>
    <cellStyle name="Normal 4 3 5 5 2 11" xfId="51776"/>
    <cellStyle name="Normal 5 3 5 5 2 11" xfId="51777"/>
    <cellStyle name="Normal 7 3 5 5 2 11" xfId="51778"/>
    <cellStyle name="Normal 2 5 3 5 2 11" xfId="51779"/>
    <cellStyle name="Normal 3 5 3 5 2 11" xfId="51780"/>
    <cellStyle name="Normal 4 4 3 5 2 11" xfId="51781"/>
    <cellStyle name="Normal 5 4 3 5 2 11" xfId="51782"/>
    <cellStyle name="Normal 7 4 3 5 2 11" xfId="51783"/>
    <cellStyle name="Normal 2 3 2 3 5 2 11" xfId="51784"/>
    <cellStyle name="Normal 3 3 2 3 5 2 11" xfId="51785"/>
    <cellStyle name="Normal 4 2 2 3 5 2 11" xfId="51786"/>
    <cellStyle name="Normal 5 2 2 3 5 2 11" xfId="51787"/>
    <cellStyle name="Normal 7 2 2 3 5 2 11" xfId="51788"/>
    <cellStyle name="Normal 2 4 2 3 5 2 11" xfId="51789"/>
    <cellStyle name="Normal 3 4 2 3 5 2 11" xfId="51790"/>
    <cellStyle name="Normal 4 3 2 3 5 2 11" xfId="51791"/>
    <cellStyle name="Normal 5 3 2 3 5 2 11" xfId="51792"/>
    <cellStyle name="Normal 7 3 2 3 5 2 11" xfId="51793"/>
    <cellStyle name="Normal 2 6 3 5 2 11" xfId="51794"/>
    <cellStyle name="Normal 3 6 3 5 2 11" xfId="51795"/>
    <cellStyle name="Normal 4 5 3 5 2 11" xfId="51796"/>
    <cellStyle name="Normal 5 5 3 5 2 11" xfId="51797"/>
    <cellStyle name="Normal 7 5 3 5 2 11" xfId="51798"/>
    <cellStyle name="Normal 2 3 3 3 5 2 11" xfId="51799"/>
    <cellStyle name="Normal 3 3 3 3 5 2 11" xfId="51800"/>
    <cellStyle name="Normal 4 2 3 3 5 2 11" xfId="51801"/>
    <cellStyle name="Normal 5 2 3 3 5 2 11" xfId="51802"/>
    <cellStyle name="Normal 7 2 3 3 5 2 11" xfId="51803"/>
    <cellStyle name="Normal 2 4 3 3 5 2 11" xfId="51804"/>
    <cellStyle name="Normal 3 4 3 3 5 2 11" xfId="51805"/>
    <cellStyle name="Normal 4 3 3 3 5 2 11" xfId="51806"/>
    <cellStyle name="Normal 5 3 3 3 5 2 11" xfId="51807"/>
    <cellStyle name="Normal 7 3 3 3 5 2 11" xfId="51808"/>
    <cellStyle name="Normal 2 7 2 5 2 11" xfId="51809"/>
    <cellStyle name="Normal 3 7 2 5 2 11" xfId="51810"/>
    <cellStyle name="Normal 4 6 2 5 2 11" xfId="51811"/>
    <cellStyle name="Normal 5 6 2 5 2 11" xfId="51812"/>
    <cellStyle name="Normal 7 6 2 5 2 11" xfId="51813"/>
    <cellStyle name="Normal 2 3 4 2 5 2 11" xfId="51814"/>
    <cellStyle name="Normal 3 3 4 2 5 2 11" xfId="51815"/>
    <cellStyle name="Normal 4 2 4 2 5 2 11" xfId="51816"/>
    <cellStyle name="Normal 5 2 4 2 5 2 11" xfId="51817"/>
    <cellStyle name="Normal 7 2 4 2 5 2 11" xfId="51818"/>
    <cellStyle name="Normal 2 4 4 2 5 2 11" xfId="51819"/>
    <cellStyle name="Normal 3 4 4 2 5 2 11" xfId="51820"/>
    <cellStyle name="Normal 4 3 4 2 5 2 11" xfId="51821"/>
    <cellStyle name="Normal 5 3 4 2 5 2 11" xfId="51822"/>
    <cellStyle name="Normal 7 3 4 2 5 2 11" xfId="51823"/>
    <cellStyle name="Normal 2 5 2 2 5 2 11" xfId="51824"/>
    <cellStyle name="Normal 3 5 2 2 5 2 11" xfId="51825"/>
    <cellStyle name="Normal 4 4 2 2 5 2 11" xfId="51826"/>
    <cellStyle name="Normal 5 4 2 2 5 2 11" xfId="51827"/>
    <cellStyle name="Normal 7 4 2 2 5 2 11" xfId="51828"/>
    <cellStyle name="Normal 2 3 2 2 2 5 2 11" xfId="51829"/>
    <cellStyle name="Normal 3 3 2 2 2 5 2 11" xfId="51830"/>
    <cellStyle name="Normal 4 2 2 2 2 5 2 11" xfId="51831"/>
    <cellStyle name="Normal 5 2 2 2 2 5 2 11" xfId="51832"/>
    <cellStyle name="Normal 7 2 2 2 2 5 2 11" xfId="51833"/>
    <cellStyle name="Normal 2 4 2 2 2 5 2 11" xfId="51834"/>
    <cellStyle name="Normal 3 4 2 2 2 5 2 11" xfId="51835"/>
    <cellStyle name="Normal 4 3 2 2 2 5 2 11" xfId="51836"/>
    <cellStyle name="Normal 5 3 2 2 2 5 2 11" xfId="51837"/>
    <cellStyle name="Normal 7 3 2 2 2 5 2 11" xfId="51838"/>
    <cellStyle name="Normal 2 6 2 2 5 2 11" xfId="51839"/>
    <cellStyle name="Normal 3 6 2 2 5 2 11" xfId="51840"/>
    <cellStyle name="Normal 4 5 2 2 5 2 11" xfId="51841"/>
    <cellStyle name="Normal 5 5 2 2 5 2 11" xfId="51842"/>
    <cellStyle name="Normal 7 5 2 2 5 2 11" xfId="51843"/>
    <cellStyle name="Normal 2 3 3 2 2 5 2 11" xfId="51844"/>
    <cellStyle name="Normal 3 3 3 2 2 5 2 11" xfId="51845"/>
    <cellStyle name="Normal 4 2 3 2 2 5 2 11" xfId="51846"/>
    <cellStyle name="Normal 5 2 3 2 2 5 2 11" xfId="51847"/>
    <cellStyle name="Normal 7 2 3 2 2 5 2 11" xfId="51848"/>
    <cellStyle name="Normal 2 4 3 2 2 5 2 11" xfId="51849"/>
    <cellStyle name="Normal 3 4 3 2 2 5 2 11" xfId="51850"/>
    <cellStyle name="Normal 4 3 3 2 2 5 2 11" xfId="51851"/>
    <cellStyle name="Normal 5 3 3 2 2 5 2 11" xfId="51852"/>
    <cellStyle name="Normal 7 3 3 2 2 5 2 11" xfId="51853"/>
    <cellStyle name="Normal 2 9 3 2 11" xfId="51854"/>
    <cellStyle name="Normal 3 9 3 2 11" xfId="51855"/>
    <cellStyle name="Normal 4 8 3 2 11" xfId="51856"/>
    <cellStyle name="Normal 5 8 3 2 11" xfId="51857"/>
    <cellStyle name="Normal 7 8 3 2 11" xfId="51858"/>
    <cellStyle name="Normal 2 3 6 3 2 11" xfId="51859"/>
    <cellStyle name="Normal 3 3 6 3 2 11" xfId="51860"/>
    <cellStyle name="Normal 4 2 6 3 2 11" xfId="51861"/>
    <cellStyle name="Normal 5 2 6 3 2 11" xfId="51862"/>
    <cellStyle name="Normal 7 2 6 3 2 11" xfId="51863"/>
    <cellStyle name="Normal 2 4 6 3 2 11" xfId="51864"/>
    <cellStyle name="Normal 3 4 6 3 2 11" xfId="51865"/>
    <cellStyle name="Normal 4 3 6 3 2 11" xfId="51866"/>
    <cellStyle name="Normal 5 3 6 3 2 11" xfId="51867"/>
    <cellStyle name="Normal 7 3 6 3 2 11" xfId="51868"/>
    <cellStyle name="Normal 2 5 4 3 2 11" xfId="51869"/>
    <cellStyle name="Normal 3 5 4 3 2 11" xfId="51870"/>
    <cellStyle name="Normal 4 4 4 3 2 11" xfId="51871"/>
    <cellStyle name="Normal 5 4 4 3 2 11" xfId="51872"/>
    <cellStyle name="Normal 7 4 4 3 2 11" xfId="51873"/>
    <cellStyle name="Normal 2 3 2 4 3 2 11" xfId="51874"/>
    <cellStyle name="Normal 3 3 2 4 3 2 11" xfId="51875"/>
    <cellStyle name="Normal 4 2 2 4 3 2 11" xfId="51876"/>
    <cellStyle name="Normal 5 2 2 4 3 2 11" xfId="51877"/>
    <cellStyle name="Normal 7 2 2 4 3 2 11" xfId="51878"/>
    <cellStyle name="Normal 2 4 2 4 3 2 11" xfId="51879"/>
    <cellStyle name="Normal 3 4 2 4 3 2 11" xfId="51880"/>
    <cellStyle name="Normal 4 3 2 4 3 2 11" xfId="51881"/>
    <cellStyle name="Normal 5 3 2 4 3 2 11" xfId="51882"/>
    <cellStyle name="Normal 7 3 2 4 3 2 11" xfId="51883"/>
    <cellStyle name="Normal 2 6 4 3 2 11" xfId="51884"/>
    <cellStyle name="Normal 3 6 4 3 2 11" xfId="51885"/>
    <cellStyle name="Normal 4 5 4 3 2 11" xfId="51886"/>
    <cellStyle name="Normal 5 5 4 3 2 11" xfId="51887"/>
    <cellStyle name="Normal 7 5 4 3 2 11" xfId="51888"/>
    <cellStyle name="Normal 2 3 3 4 3 2 11" xfId="51889"/>
    <cellStyle name="Normal 3 3 3 4 3 2 11" xfId="51890"/>
    <cellStyle name="Normal 4 2 3 4 3 2 11" xfId="51891"/>
    <cellStyle name="Normal 5 2 3 4 3 2 11" xfId="51892"/>
    <cellStyle name="Normal 7 2 3 4 3 2 11" xfId="51893"/>
    <cellStyle name="Normal 2 4 3 4 3 2 11" xfId="51894"/>
    <cellStyle name="Normal 3 4 3 4 3 2 11" xfId="51895"/>
    <cellStyle name="Normal 4 3 3 4 3 2 11" xfId="51896"/>
    <cellStyle name="Normal 5 3 3 4 3 2 11" xfId="51897"/>
    <cellStyle name="Normal 7 3 3 4 3 2 11" xfId="51898"/>
    <cellStyle name="Normal 2 7 3 3 2 11" xfId="51899"/>
    <cellStyle name="Normal 3 7 3 3 2 11" xfId="51900"/>
    <cellStyle name="Normal 4 6 3 3 2 11" xfId="51901"/>
    <cellStyle name="Normal 5 6 3 3 2 11" xfId="51902"/>
    <cellStyle name="Normal 7 6 3 3 2 11" xfId="51903"/>
    <cellStyle name="Normal 2 3 4 3 3 2 11" xfId="51904"/>
    <cellStyle name="Normal 3 3 4 3 3 2 11" xfId="51905"/>
    <cellStyle name="Normal 4 2 4 3 3 2 11" xfId="51906"/>
    <cellStyle name="Normal 5 2 4 3 3 2 11" xfId="51907"/>
    <cellStyle name="Normal 7 2 4 3 3 2 11" xfId="51908"/>
    <cellStyle name="Normal 2 4 4 3 3 2 11" xfId="51909"/>
    <cellStyle name="Normal 3 4 4 3 3 2 11" xfId="51910"/>
    <cellStyle name="Normal 4 3 4 3 3 2 11" xfId="51911"/>
    <cellStyle name="Normal 5 3 4 3 3 2 11" xfId="51912"/>
    <cellStyle name="Normal 7 3 4 3 3 2 11" xfId="51913"/>
    <cellStyle name="Normal 2 5 2 3 3 2 11" xfId="51914"/>
    <cellStyle name="Normal 3 5 2 3 3 2 11" xfId="51915"/>
    <cellStyle name="Normal 4 4 2 3 3 2 11" xfId="51916"/>
    <cellStyle name="Normal 5 4 2 3 3 2 11" xfId="51917"/>
    <cellStyle name="Normal 7 4 2 3 3 2 11" xfId="51918"/>
    <cellStyle name="Normal 2 3 2 2 3 3 2 11" xfId="51919"/>
    <cellStyle name="Normal 3 3 2 2 3 3 2 11" xfId="51920"/>
    <cellStyle name="Normal 4 2 2 2 3 3 2 11" xfId="51921"/>
    <cellStyle name="Normal 5 2 2 2 3 3 2 11" xfId="51922"/>
    <cellStyle name="Normal 7 2 2 2 3 3 2 11" xfId="51923"/>
    <cellStyle name="Normal 2 4 2 2 3 3 2 11" xfId="51924"/>
    <cellStyle name="Normal 3 4 2 2 3 3 2 11" xfId="51925"/>
    <cellStyle name="Normal 4 3 2 2 3 3 2 11" xfId="51926"/>
    <cellStyle name="Normal 5 3 2 2 3 3 2 11" xfId="51927"/>
    <cellStyle name="Normal 7 3 2 2 3 3 2 11" xfId="51928"/>
    <cellStyle name="Normal 2 6 2 3 3 2 11" xfId="51929"/>
    <cellStyle name="Normal 3 6 2 3 3 2 11" xfId="51930"/>
    <cellStyle name="Normal 4 5 2 3 3 2 11" xfId="51931"/>
    <cellStyle name="Normal 5 5 2 3 3 2 11" xfId="51932"/>
    <cellStyle name="Normal 7 5 2 3 3 2 11" xfId="51933"/>
    <cellStyle name="Normal 2 3 3 2 3 3 2 11" xfId="51934"/>
    <cellStyle name="Normal 3 3 3 2 3 3 2 11" xfId="51935"/>
    <cellStyle name="Normal 4 2 3 2 3 3 2 11" xfId="51936"/>
    <cellStyle name="Normal 5 2 3 2 3 3 2 11" xfId="51937"/>
    <cellStyle name="Normal 7 2 3 2 3 3 2 11" xfId="51938"/>
    <cellStyle name="Normal 2 4 3 2 3 3 2 11" xfId="51939"/>
    <cellStyle name="Normal 3 4 3 2 3 3 2 11" xfId="51940"/>
    <cellStyle name="Normal 4 3 3 2 3 3 2 11" xfId="51941"/>
    <cellStyle name="Normal 5 3 3 2 3 3 2 11" xfId="51942"/>
    <cellStyle name="Normal 7 3 3 2 3 3 2 11" xfId="51943"/>
    <cellStyle name="Normal 2 8 2 3 2 11" xfId="51944"/>
    <cellStyle name="Normal 3 8 2 3 2 11" xfId="51945"/>
    <cellStyle name="Normal 4 7 2 3 2 11" xfId="51946"/>
    <cellStyle name="Normal 5 7 2 3 2 11" xfId="51947"/>
    <cellStyle name="Normal 7 7 2 3 2 11" xfId="51948"/>
    <cellStyle name="Normal 2 3 5 2 3 2 11" xfId="51949"/>
    <cellStyle name="Normal 3 3 5 2 3 2 11" xfId="51950"/>
    <cellStyle name="Normal 4 2 5 2 3 2 11" xfId="51951"/>
    <cellStyle name="Normal 5 2 5 2 3 2 11" xfId="51952"/>
    <cellStyle name="Normal 7 2 5 2 3 2 11" xfId="51953"/>
    <cellStyle name="Normal 2 4 5 2 3 2 11" xfId="51954"/>
    <cellStyle name="Normal 3 4 5 2 3 2 11" xfId="51955"/>
    <cellStyle name="Normal 4 3 5 2 3 2 11" xfId="51956"/>
    <cellStyle name="Normal 5 3 5 2 3 2 11" xfId="51957"/>
    <cellStyle name="Normal 7 3 5 2 3 2 11" xfId="51958"/>
    <cellStyle name="Normal 2 5 3 2 3 2 11" xfId="51959"/>
    <cellStyle name="Normal 3 5 3 2 3 2 11" xfId="51960"/>
    <cellStyle name="Normal 4 4 3 2 3 2 11" xfId="51961"/>
    <cellStyle name="Normal 5 4 3 2 3 2 11" xfId="51962"/>
    <cellStyle name="Normal 7 4 3 2 3 2 11" xfId="51963"/>
    <cellStyle name="Normal 2 3 2 3 2 3 2 11" xfId="51964"/>
    <cellStyle name="Normal 3 3 2 3 2 3 2 11" xfId="51965"/>
    <cellStyle name="Normal 4 2 2 3 2 3 2 11" xfId="51966"/>
    <cellStyle name="Normal 5 2 2 3 2 3 2 11" xfId="51967"/>
    <cellStyle name="Normal 7 2 2 3 2 3 2 11" xfId="51968"/>
    <cellStyle name="Normal 2 4 2 3 2 3 2 11" xfId="51969"/>
    <cellStyle name="Normal 3 4 2 3 2 3 2 11" xfId="51970"/>
    <cellStyle name="Normal 4 3 2 3 2 3 2 11" xfId="51971"/>
    <cellStyle name="Normal 5 3 2 3 2 3 2 11" xfId="51972"/>
    <cellStyle name="Normal 7 3 2 3 2 3 2 11" xfId="51973"/>
    <cellStyle name="Normal 2 6 3 2 3 2 11" xfId="51974"/>
    <cellStyle name="Normal 3 6 3 2 3 2 11" xfId="51975"/>
    <cellStyle name="Normal 4 5 3 2 3 2 11" xfId="51976"/>
    <cellStyle name="Normal 5 5 3 2 3 2 11" xfId="51977"/>
    <cellStyle name="Normal 7 5 3 2 3 2 11" xfId="51978"/>
    <cellStyle name="Normal 2 3 3 3 2 3 2 11" xfId="51979"/>
    <cellStyle name="Normal 3 3 3 3 2 3 2 11" xfId="51980"/>
    <cellStyle name="Normal 4 2 3 3 2 3 2 11" xfId="51981"/>
    <cellStyle name="Normal 5 2 3 3 2 3 2 11" xfId="51982"/>
    <cellStyle name="Normal 7 2 3 3 2 3 2 11" xfId="51983"/>
    <cellStyle name="Normal 2 4 3 3 2 3 2 11" xfId="51984"/>
    <cellStyle name="Normal 3 4 3 3 2 3 2 11" xfId="51985"/>
    <cellStyle name="Normal 4 3 3 3 2 3 2 11" xfId="51986"/>
    <cellStyle name="Normal 5 3 3 3 2 3 2 11" xfId="51987"/>
    <cellStyle name="Normal 7 3 3 3 2 3 2 11" xfId="51988"/>
    <cellStyle name="Normal 2 7 2 2 3 2 11" xfId="51989"/>
    <cellStyle name="Normal 3 7 2 2 3 2 11" xfId="51990"/>
    <cellStyle name="Normal 4 6 2 2 3 2 11" xfId="51991"/>
    <cellStyle name="Normal 5 6 2 2 3 2 11" xfId="51992"/>
    <cellStyle name="Normal 7 6 2 2 3 2 11" xfId="51993"/>
    <cellStyle name="Normal 2 3 4 2 2 3 2 11" xfId="51994"/>
    <cellStyle name="Normal 3 3 4 2 2 3 2 11" xfId="51995"/>
    <cellStyle name="Normal 4 2 4 2 2 3 2 11" xfId="51996"/>
    <cellStyle name="Normal 5 2 4 2 2 3 2 11" xfId="51997"/>
    <cellStyle name="Normal 7 2 4 2 2 3 2 11" xfId="51998"/>
    <cellStyle name="Normal 2 4 4 2 2 3 2 11" xfId="51999"/>
    <cellStyle name="Normal 3 4 4 2 2 3 2 11" xfId="52000"/>
    <cellStyle name="Normal 4 3 4 2 2 3 2 11" xfId="52001"/>
    <cellStyle name="Normal 5 3 4 2 2 3 2 11" xfId="52002"/>
    <cellStyle name="Normal 7 3 4 2 2 3 2 11" xfId="52003"/>
    <cellStyle name="Normal 2 5 2 2 2 3 2 11" xfId="52004"/>
    <cellStyle name="Normal 3 5 2 2 2 3 2 11" xfId="52005"/>
    <cellStyle name="Normal 4 4 2 2 2 3 2 11" xfId="52006"/>
    <cellStyle name="Normal 5 4 2 2 2 3 2 11" xfId="52007"/>
    <cellStyle name="Normal 7 4 2 2 2 3 2 11" xfId="52008"/>
    <cellStyle name="Normal 2 3 2 2 2 2 3 2 11" xfId="52009"/>
    <cellStyle name="Normal 3 3 2 2 2 2 3 2 11" xfId="52010"/>
    <cellStyle name="Normal 4 2 2 2 2 2 3 2 11" xfId="52011"/>
    <cellStyle name="Normal 5 2 2 2 2 2 3 2 11" xfId="52012"/>
    <cellStyle name="Normal 7 2 2 2 2 2 3 2 11" xfId="52013"/>
    <cellStyle name="Normal 2 4 2 2 2 2 3 2 11" xfId="52014"/>
    <cellStyle name="Normal 3 4 2 2 2 2 3 2 11" xfId="52015"/>
    <cellStyle name="Normal 4 3 2 2 2 2 3 2 11" xfId="52016"/>
    <cellStyle name="Normal 5 3 2 2 2 2 3 2 11" xfId="52017"/>
    <cellStyle name="Normal 7 3 2 2 2 2 3 2 11" xfId="52018"/>
    <cellStyle name="Normal 2 6 2 2 2 3 2 11" xfId="52019"/>
    <cellStyle name="Normal 3 6 2 2 2 3 2 11" xfId="52020"/>
    <cellStyle name="Normal 4 5 2 2 2 3 2 11" xfId="52021"/>
    <cellStyle name="Normal 5 5 2 2 2 3 2 11" xfId="52022"/>
    <cellStyle name="Normal 7 5 2 2 2 3 2 11" xfId="52023"/>
    <cellStyle name="Normal 2 3 3 2 2 2 3 2 11" xfId="52024"/>
    <cellStyle name="Normal 3 3 3 2 2 2 3 2 11" xfId="52025"/>
    <cellStyle name="Normal 4 2 3 2 2 2 3 2 11" xfId="52026"/>
    <cellStyle name="Normal 5 2 3 2 2 2 3 2 11" xfId="52027"/>
    <cellStyle name="Normal 7 2 3 2 2 2 3 2 11" xfId="52028"/>
    <cellStyle name="Normal 2 4 3 2 2 2 3 2 11" xfId="52029"/>
    <cellStyle name="Normal 3 4 3 2 2 2 3 2 11" xfId="52030"/>
    <cellStyle name="Normal 4 3 3 2 2 2 3 2 11" xfId="52031"/>
    <cellStyle name="Normal 5 3 3 2 2 2 3 2 11" xfId="52032"/>
    <cellStyle name="Normal 7 3 3 2 2 2 3 2 11" xfId="52033"/>
    <cellStyle name="Normal 28 3 2 11" xfId="52034"/>
    <cellStyle name="Normal 2 3 7 3 2 11" xfId="52035"/>
    <cellStyle name="Normal 3 10 3 2 11" xfId="52036"/>
    <cellStyle name="Normal 4 9 3 2 11" xfId="52037"/>
    <cellStyle name="Normal 5 9 3 2 11" xfId="52038"/>
    <cellStyle name="Millares 4 3 2 11" xfId="52039"/>
    <cellStyle name="Normal 7 2 7 3 2 11" xfId="52040"/>
    <cellStyle name="Normal 3 3 7 3 2 11" xfId="52041"/>
    <cellStyle name="Normal 4 2 7 3 2 11" xfId="52042"/>
    <cellStyle name="Normal 5 2 7 3 2 11" xfId="52043"/>
    <cellStyle name="Normal 2 4 5 3 3 2 11" xfId="52044"/>
    <cellStyle name="Normal 3 4 7 3 2 11" xfId="52045"/>
    <cellStyle name="Normal 4 3 7 3 2 11" xfId="52046"/>
    <cellStyle name="Normal 5 3 7 3 2 11" xfId="52047"/>
    <cellStyle name="Normal 7 3 7 3 2 11" xfId="52048"/>
    <cellStyle name="Normal 2 5 5 3 2 11" xfId="52049"/>
    <cellStyle name="Normal 3 5 5 3 2 11" xfId="52050"/>
    <cellStyle name="Normal 4 4 5 3 2 11" xfId="52051"/>
    <cellStyle name="Normal 5 4 5 3 2 11" xfId="52052"/>
    <cellStyle name="Normal 7 4 5 3 2 11" xfId="52053"/>
    <cellStyle name="Normal 2 3 2 5 3 2 11" xfId="52054"/>
    <cellStyle name="Normal 3 3 2 5 3 2 11" xfId="52055"/>
    <cellStyle name="Normal 4 2 2 5 3 2 11" xfId="52056"/>
    <cellStyle name="Normal 5 2 2 5 3 2 11" xfId="52057"/>
    <cellStyle name="Normal 7 2 2 5 3 2 11" xfId="52058"/>
    <cellStyle name="Normal 2 4 2 5 3 2 11" xfId="52059"/>
    <cellStyle name="Normal 3 4 2 5 3 2 11" xfId="52060"/>
    <cellStyle name="Normal 4 3 2 5 3 2 11" xfId="52061"/>
    <cellStyle name="Normal 5 3 2 5 3 2 11" xfId="52062"/>
    <cellStyle name="Normal 7 3 2 5 3 2 11" xfId="52063"/>
    <cellStyle name="Normal 2 6 5 3 2 11" xfId="52064"/>
    <cellStyle name="Normal 3 6 5 3 2 11" xfId="52065"/>
    <cellStyle name="Normal 4 5 5 3 2 11" xfId="52066"/>
    <cellStyle name="Normal 5 5 5 3 2 11" xfId="52067"/>
    <cellStyle name="Normal 7 5 5 3 2 11" xfId="52068"/>
    <cellStyle name="Normal 2 3 3 5 3 2 11" xfId="52069"/>
    <cellStyle name="Normal 3 3 3 5 3 2 11" xfId="52070"/>
    <cellStyle name="Normal 4 2 3 5 3 2 11" xfId="52071"/>
    <cellStyle name="Normal 5 2 3 5 3 2 11" xfId="52072"/>
    <cellStyle name="Normal 7 2 3 5 3 2 11" xfId="52073"/>
    <cellStyle name="Normal 2 4 3 5 3 2 11" xfId="52074"/>
    <cellStyle name="Normal 3 4 3 5 3 2 11" xfId="52075"/>
    <cellStyle name="Normal 4 3 3 5 3 2 11" xfId="52076"/>
    <cellStyle name="Normal 5 3 3 5 3 2 11" xfId="52077"/>
    <cellStyle name="Normal 7 3 3 5 3 2 11" xfId="52078"/>
    <cellStyle name="Normal 2 7 4 3 2 11" xfId="52079"/>
    <cellStyle name="Normal 3 7 4 3 2 11" xfId="52080"/>
    <cellStyle name="Normal 4 6 4 3 2 11" xfId="52081"/>
    <cellStyle name="Normal 5 6 4 3 2 11" xfId="52082"/>
    <cellStyle name="Normal 7 6 4 3 2 11" xfId="52083"/>
    <cellStyle name="Normal 2 3 4 4 3 2 11" xfId="52084"/>
    <cellStyle name="Normal 3 3 4 4 3 2 11" xfId="52085"/>
    <cellStyle name="Normal 4 2 4 4 3 2 11" xfId="52086"/>
    <cellStyle name="Normal 5 2 4 4 3 2 11" xfId="52087"/>
    <cellStyle name="Normal 7 2 4 4 3 2 11" xfId="52088"/>
    <cellStyle name="Normal 2 4 4 4 3 2 11" xfId="52089"/>
    <cellStyle name="Normal 3 4 4 4 3 2 11" xfId="52090"/>
    <cellStyle name="Normal 4 3 4 4 3 2 11" xfId="52091"/>
    <cellStyle name="Normal 5 3 4 4 3 2 11" xfId="52092"/>
    <cellStyle name="Normal 7 3 4 4 3 2 11" xfId="52093"/>
    <cellStyle name="Normal 2 5 2 4 3 2 11" xfId="52094"/>
    <cellStyle name="Normal 3 5 2 4 3 2 11" xfId="52095"/>
    <cellStyle name="Normal 4 4 2 4 3 2 11" xfId="52096"/>
    <cellStyle name="Normal 5 4 2 4 3 2 11" xfId="52097"/>
    <cellStyle name="Normal 7 4 2 4 3 2 11" xfId="52098"/>
    <cellStyle name="Normal 2 3 2 2 4 3 2 11" xfId="52099"/>
    <cellStyle name="Normal 3 3 2 2 4 3 2 11" xfId="52100"/>
    <cellStyle name="Normal 4 2 2 2 4 3 2 11" xfId="52101"/>
    <cellStyle name="Normal 5 2 2 2 4 3 2 11" xfId="52102"/>
    <cellStyle name="Normal 7 2 2 2 4 3 2 11" xfId="52103"/>
    <cellStyle name="Normal 2 4 2 2 4 3 2 11" xfId="52104"/>
    <cellStyle name="Normal 3 4 2 2 4 3 2 11" xfId="52105"/>
    <cellStyle name="Normal 4 3 2 2 4 3 2 11" xfId="52106"/>
    <cellStyle name="Normal 5 3 2 2 4 3 2 11" xfId="52107"/>
    <cellStyle name="Normal 7 3 2 2 4 3 2 11" xfId="52108"/>
    <cellStyle name="Normal 2 6 2 4 3 2 11" xfId="52109"/>
    <cellStyle name="Normal 3 6 2 4 3 2 11" xfId="52110"/>
    <cellStyle name="Normal 4 5 2 4 3 2 11" xfId="52111"/>
    <cellStyle name="Normal 5 5 2 4 3 2 11" xfId="52112"/>
    <cellStyle name="Normal 7 5 2 4 3 2 11" xfId="52113"/>
    <cellStyle name="Normal 2 3 3 2 4 3 2 11" xfId="52114"/>
    <cellStyle name="Normal 3 3 3 2 4 3 2 11" xfId="52115"/>
    <cellStyle name="Normal 4 2 3 2 4 3 2 11" xfId="52116"/>
    <cellStyle name="Normal 5 2 3 2 4 3 2 11" xfId="52117"/>
    <cellStyle name="Normal 7 2 3 2 4 3 2 11" xfId="52118"/>
    <cellStyle name="Normal 2 4 3 2 4 3 2 11" xfId="52119"/>
    <cellStyle name="Normal 3 4 3 2 4 3 2 11" xfId="52120"/>
    <cellStyle name="Normal 4 3 3 2 4 3 2 11" xfId="52121"/>
    <cellStyle name="Normal 5 3 3 2 4 3 2 11" xfId="52122"/>
    <cellStyle name="Normal 7 3 3 2 4 3 2 11" xfId="52123"/>
    <cellStyle name="Normal 2 8 3 3 2 11" xfId="52124"/>
    <cellStyle name="Normal 3 8 3 3 2 11" xfId="52125"/>
    <cellStyle name="Normal 4 7 3 3 2 11" xfId="52126"/>
    <cellStyle name="Normal 5 7 3 3 2 11" xfId="52127"/>
    <cellStyle name="Normal 7 7 3 3 2 11" xfId="52128"/>
    <cellStyle name="Normal 2 3 5 3 3 2 11" xfId="52129"/>
    <cellStyle name="Normal 3 3 5 3 3 2 11" xfId="52130"/>
    <cellStyle name="Normal 4 2 5 3 3 2 11" xfId="52131"/>
    <cellStyle name="Normal 5 2 5 3 3 2 11" xfId="52132"/>
    <cellStyle name="Normal 7 2 5 3 3 2 11" xfId="52133"/>
    <cellStyle name="Normal 3 4 5 3 3 2 11" xfId="52134"/>
    <cellStyle name="Normal 4 3 5 3 3 2 11" xfId="52135"/>
    <cellStyle name="Normal 5 3 5 3 3 2 11" xfId="52136"/>
    <cellStyle name="Normal 7 3 5 3 3 2 11" xfId="52137"/>
    <cellStyle name="Normal 2 5 3 3 3 2 11" xfId="52138"/>
    <cellStyle name="Normal 3 5 3 3 3 2 11" xfId="52139"/>
    <cellStyle name="Normal 4 4 3 3 3 2 11" xfId="52140"/>
    <cellStyle name="Normal 5 4 3 3 3 2 11" xfId="52141"/>
    <cellStyle name="Normal 7 4 3 3 3 2 11" xfId="52142"/>
    <cellStyle name="Normal 2 3 2 3 3 3 2 11" xfId="52143"/>
    <cellStyle name="Normal 3 3 2 3 3 3 2 11" xfId="52144"/>
    <cellStyle name="Normal 4 2 2 3 3 3 2 11" xfId="52145"/>
    <cellStyle name="Normal 5 2 2 3 3 3 2 11" xfId="52146"/>
    <cellStyle name="Normal 7 2 2 3 3 3 2 11" xfId="52147"/>
    <cellStyle name="Normal 2 4 2 3 3 3 2 11" xfId="52148"/>
    <cellStyle name="Normal 3 4 2 3 3 3 2 11" xfId="52149"/>
    <cellStyle name="Normal 4 3 2 3 3 3 2 11" xfId="52150"/>
    <cellStyle name="Normal 5 3 2 3 3 3 2 11" xfId="52151"/>
    <cellStyle name="Normal 7 3 2 3 3 3 2 11" xfId="52152"/>
    <cellStyle name="Normal 2 6 3 3 3 2 11" xfId="52153"/>
    <cellStyle name="Normal 3 6 3 3 3 2 11" xfId="52154"/>
    <cellStyle name="Normal 4 5 3 3 3 2 11" xfId="52155"/>
    <cellStyle name="Normal 5 5 3 3 3 2 11" xfId="52156"/>
    <cellStyle name="Normal 7 5 3 3 3 2 11" xfId="52157"/>
    <cellStyle name="Normal 2 3 3 3 3 3 2 11" xfId="52158"/>
    <cellStyle name="Normal 3 3 3 3 3 3 2 11" xfId="52159"/>
    <cellStyle name="Normal 4 2 3 3 3 3 2 11" xfId="52160"/>
    <cellStyle name="Normal 5 2 3 3 3 3 2 11" xfId="52161"/>
    <cellStyle name="Normal 7 2 3 3 3 3 2 11" xfId="52162"/>
    <cellStyle name="Normal 2 4 3 3 3 3 2 11" xfId="52163"/>
    <cellStyle name="Normal 3 4 3 3 3 3 2 11" xfId="52164"/>
    <cellStyle name="Normal 4 3 3 3 3 3 2 11" xfId="52165"/>
    <cellStyle name="Normal 5 3 3 3 3 3 2 11" xfId="52166"/>
    <cellStyle name="Normal 7 3 3 3 3 3 2 11" xfId="52167"/>
    <cellStyle name="Normal 2 7 2 3 3 2 11" xfId="52168"/>
    <cellStyle name="Normal 3 7 2 3 3 2 11" xfId="52169"/>
    <cellStyle name="Normal 4 6 2 3 3 2 11" xfId="52170"/>
    <cellStyle name="Normal 5 6 2 3 3 2 11" xfId="52171"/>
    <cellStyle name="Normal 7 6 2 3 3 2 11" xfId="52172"/>
    <cellStyle name="Normal 2 3 4 2 3 3 2 11" xfId="52173"/>
    <cellStyle name="Normal 3 3 4 2 3 3 2 11" xfId="52174"/>
    <cellStyle name="Normal 4 2 4 2 3 3 2 11" xfId="52175"/>
    <cellStyle name="Normal 5 2 4 2 3 3 2 11" xfId="52176"/>
    <cellStyle name="Normal 7 2 4 2 3 3 2 11" xfId="52177"/>
    <cellStyle name="Normal 2 4 4 2 3 3 2 11" xfId="52178"/>
    <cellStyle name="Normal 3 4 4 2 3 3 2 11" xfId="52179"/>
    <cellStyle name="Normal 4 3 4 2 3 3 2 11" xfId="52180"/>
    <cellStyle name="Normal 5 3 4 2 3 3 2 11" xfId="52181"/>
    <cellStyle name="Normal 7 3 4 2 3 3 2 11" xfId="52182"/>
    <cellStyle name="Normal 2 5 2 2 3 3 2 11" xfId="52183"/>
    <cellStyle name="Normal 3 5 2 2 3 3 2 11" xfId="52184"/>
    <cellStyle name="Normal 4 4 2 2 3 3 2 11" xfId="52185"/>
    <cellStyle name="Normal 5 4 2 2 3 3 2 11" xfId="52186"/>
    <cellStyle name="Normal 7 4 2 2 3 3 2 11" xfId="52187"/>
    <cellStyle name="Normal 2 3 2 2 2 3 3 2 11" xfId="52188"/>
    <cellStyle name="Normal 3 3 2 2 2 3 3 2 11" xfId="52189"/>
    <cellStyle name="Normal 4 2 2 2 2 3 3 2 11" xfId="52190"/>
    <cellStyle name="Normal 5 2 2 2 2 3 3 2 11" xfId="52191"/>
    <cellStyle name="Normal 7 2 2 2 2 3 3 2 11" xfId="52192"/>
    <cellStyle name="Normal 2 4 2 2 2 3 3 2 11" xfId="52193"/>
    <cellStyle name="Normal 3 4 2 2 2 3 3 2 11" xfId="52194"/>
    <cellStyle name="Normal 4 3 2 2 2 3 3 2 11" xfId="52195"/>
    <cellStyle name="Normal 5 3 2 2 2 3 3 2 11" xfId="52196"/>
    <cellStyle name="Normal 7 3 2 2 2 3 3 2 11" xfId="52197"/>
    <cellStyle name="Normal 2 6 2 2 3 3 2 11" xfId="52198"/>
    <cellStyle name="Normal 3 6 2 2 3 3 2 11" xfId="52199"/>
    <cellStyle name="Normal 4 5 2 2 3 3 2 11" xfId="52200"/>
    <cellStyle name="Normal 5 5 2 2 3 3 2 11" xfId="52201"/>
    <cellStyle name="Normal 7 5 2 2 3 3 2 11" xfId="52202"/>
    <cellStyle name="Normal 2 3 3 2 2 3 3 2 11" xfId="52203"/>
    <cellStyle name="Normal 3 3 3 2 2 3 3 2 11" xfId="52204"/>
    <cellStyle name="Normal 4 2 3 2 2 3 3 2 11" xfId="52205"/>
    <cellStyle name="Normal 5 2 3 2 2 3 3 2 11" xfId="52206"/>
    <cellStyle name="Normal 7 2 3 2 2 3 3 2 11" xfId="52207"/>
    <cellStyle name="Normal 2 4 3 2 2 3 3 2 11" xfId="52208"/>
    <cellStyle name="Normal 3 4 3 2 2 3 3 2 11" xfId="52209"/>
    <cellStyle name="Normal 4 3 3 2 2 3 3 2 11" xfId="52210"/>
    <cellStyle name="Normal 5 3 3 2 2 3 3 2 11" xfId="52211"/>
    <cellStyle name="Normal 7 3 3 2 2 3 3 2 11" xfId="52212"/>
    <cellStyle name="Normal 7 2 11 10" xfId="52213"/>
    <cellStyle name="Normal 28 5 10" xfId="52214"/>
    <cellStyle name="Normal 7 2 15 8" xfId="52215"/>
    <cellStyle name="Normal 7 14 9" xfId="52216"/>
    <cellStyle name="Normal 28 8 8" xfId="52217"/>
    <cellStyle name="Normal 7 17 8" xfId="52218"/>
    <cellStyle name="Normal 7 15 8" xfId="52219"/>
    <cellStyle name="Normal 7 2 13 8" xfId="52220"/>
    <cellStyle name="Normal 7 2 12 9" xfId="52221"/>
    <cellStyle name="Normal 28 9 8" xfId="52222"/>
    <cellStyle name="Normal 28 7 8" xfId="52223"/>
    <cellStyle name="Normal 28 6 9" xfId="52224"/>
    <cellStyle name="Normal 7 16 8" xfId="52225"/>
    <cellStyle name="Normal 7 2 14 8" xfId="52226"/>
    <cellStyle name="Normal 50" xfId="52227"/>
    <cellStyle name="Normal 51" xfId="52228"/>
    <cellStyle name="Normal 2 25" xfId="52229"/>
    <cellStyle name="Normal 2 3 22" xfId="52230"/>
    <cellStyle name="Normal 2 3 2 20" xfId="52231"/>
    <cellStyle name="Normal 2 3 2 2 19" xfId="52232"/>
    <cellStyle name="Normal 2 3 3 20" xfId="52233"/>
    <cellStyle name="Normal 2 3 3 2 19" xfId="52234"/>
    <cellStyle name="Normal 2 3 4 19" xfId="52235"/>
    <cellStyle name="Normal 2 4 22" xfId="52236"/>
    <cellStyle name="Normal 2 4 2 20" xfId="52237"/>
    <cellStyle name="Normal 2 4 2 2 19" xfId="52238"/>
    <cellStyle name="Normal 2 4 3 20" xfId="52239"/>
    <cellStyle name="Normal 2 4 3 2 19" xfId="52240"/>
    <cellStyle name="Normal 2 4 4 19" xfId="52241"/>
    <cellStyle name="Normal 2 5 20" xfId="52242"/>
    <cellStyle name="Normal 2 5 2 19" xfId="52243"/>
    <cellStyle name="Normal 2 6 20" xfId="52244"/>
    <cellStyle name="Normal 2 6 2 19" xfId="52245"/>
    <cellStyle name="Normal 2 7 19" xfId="52246"/>
    <cellStyle name="Normal 3 25" xfId="52247"/>
    <cellStyle name="Normal 3 3 22" xfId="52248"/>
    <cellStyle name="Normal 3 3 2 20" xfId="52249"/>
    <cellStyle name="Normal 3 3 2 2 19" xfId="52250"/>
    <cellStyle name="Normal 3 3 3 20" xfId="52251"/>
    <cellStyle name="Normal 3 3 3 2 19" xfId="52252"/>
    <cellStyle name="Normal 3 3 4 19" xfId="52253"/>
    <cellStyle name="Normal 3 4 22" xfId="52254"/>
    <cellStyle name="Normal 3 4 2 20" xfId="52255"/>
    <cellStyle name="Normal 3 4 2 2 19" xfId="52256"/>
    <cellStyle name="Normal 3 4 3 20" xfId="52257"/>
    <cellStyle name="Normal 3 4 3 2 19" xfId="52258"/>
    <cellStyle name="Normal 3 4 4 19" xfId="52259"/>
    <cellStyle name="Normal 3 5 20" xfId="52260"/>
    <cellStyle name="Normal 3 5 2 19" xfId="52261"/>
    <cellStyle name="Normal 3 6 20" xfId="52262"/>
    <cellStyle name="Normal 3 6 2 19" xfId="52263"/>
    <cellStyle name="Normal 3 7 19" xfId="52264"/>
    <cellStyle name="Normal 4 24" xfId="52265"/>
    <cellStyle name="Normal 4 2 22" xfId="52266"/>
    <cellStyle name="Normal 4 2 2 20" xfId="52267"/>
    <cellStyle name="Normal 4 2 2 2 19" xfId="52268"/>
    <cellStyle name="Normal 4 2 3 20" xfId="52269"/>
    <cellStyle name="Normal 4 2 3 2 19" xfId="52270"/>
    <cellStyle name="Normal 4 2 4 19" xfId="52271"/>
    <cellStyle name="Normal 4 3 22" xfId="52272"/>
    <cellStyle name="Normal 4 3 2 20" xfId="52273"/>
    <cellStyle name="Normal 4 3 2 2 19" xfId="52274"/>
    <cellStyle name="Normal 4 3 3 20" xfId="52275"/>
    <cellStyle name="Normal 4 3 3 2 19" xfId="52276"/>
    <cellStyle name="Normal 4 3 4 19" xfId="52277"/>
    <cellStyle name="Normal 4 4 20" xfId="52278"/>
    <cellStyle name="Normal 4 4 2 19" xfId="52279"/>
    <cellStyle name="Normal 4 5 20" xfId="52280"/>
    <cellStyle name="Normal 4 5 2 19" xfId="52281"/>
    <cellStyle name="Normal 4 6 19" xfId="52282"/>
    <cellStyle name="Normal 5 24" xfId="52283"/>
    <cellStyle name="Normal 5 2 22" xfId="52284"/>
    <cellStyle name="Normal 5 2 2 20" xfId="52285"/>
    <cellStyle name="Normal 5 2 2 2 19" xfId="52286"/>
    <cellStyle name="Normal 5 2 3 20" xfId="52287"/>
    <cellStyle name="Normal 5 2 3 2 19" xfId="52288"/>
    <cellStyle name="Normal 5 2 4 19" xfId="52289"/>
    <cellStyle name="Normal 5 3 22" xfId="52290"/>
    <cellStyle name="Normal 5 3 2 20" xfId="52291"/>
    <cellStyle name="Normal 5 3 2 2 19" xfId="52292"/>
    <cellStyle name="Normal 5 3 3 20" xfId="52293"/>
    <cellStyle name="Normal 5 3 3 2 19" xfId="52294"/>
    <cellStyle name="Normal 5 3 4 19" xfId="52295"/>
    <cellStyle name="Normal 5 4 20" xfId="52296"/>
    <cellStyle name="Normal 5 4 2 19" xfId="52297"/>
    <cellStyle name="Normal 5 5 20" xfId="52298"/>
    <cellStyle name="Normal 5 5 2 19" xfId="52299"/>
    <cellStyle name="Normal 5 6 19" xfId="52300"/>
    <cellStyle name="Normal 7 2 2 20" xfId="52301"/>
    <cellStyle name="Normal 7 2 2 2 19" xfId="52302"/>
    <cellStyle name="Normal 7 2 3 20" xfId="52303"/>
    <cellStyle name="Normal 7 2 3 2 19" xfId="52304"/>
    <cellStyle name="Normal 7 2 4 19" xfId="52305"/>
    <cellStyle name="Normal 7 2 5 18" xfId="52306"/>
    <cellStyle name="Normal 7 3 22" xfId="52307"/>
    <cellStyle name="Normal 7 3 2 20" xfId="52308"/>
    <cellStyle name="Normal 7 3 2 2 19" xfId="52309"/>
    <cellStyle name="Normal 7 3 3 20" xfId="52310"/>
    <cellStyle name="Normal 7 3 3 2 19" xfId="52311"/>
    <cellStyle name="Normal 7 3 4 19" xfId="52312"/>
    <cellStyle name="Normal 7 4 20" xfId="52313"/>
    <cellStyle name="Normal 7 4 2 19" xfId="52314"/>
    <cellStyle name="Normal 7 5 20" xfId="52315"/>
    <cellStyle name="Normal 7 5 2 19" xfId="52316"/>
    <cellStyle name="Normal 7 6 19" xfId="52317"/>
    <cellStyle name="Normal 52" xfId="52318"/>
    <cellStyle name="Normal 53" xfId="52319"/>
    <cellStyle name="Normal 12 2" xfId="52320"/>
    <cellStyle name="Normal 2 3 23" xfId="52321"/>
    <cellStyle name="Normal 2 3 2 21" xfId="52322"/>
    <cellStyle name="Normal 2 3 2 2 20" xfId="52323"/>
    <cellStyle name="Normal 2 3 2 2 2 17" xfId="52324"/>
    <cellStyle name="Normal 2 3 2 3 17" xfId="52325"/>
    <cellStyle name="Normal 2 3 3 21" xfId="52326"/>
    <cellStyle name="Normal 2 3 3 2 20" xfId="52327"/>
    <cellStyle name="Normal 2 3 3 2 2 17" xfId="52328"/>
    <cellStyle name="Normal 2 3 3 3 17" xfId="52329"/>
    <cellStyle name="Normal 2 3 4 20" xfId="52330"/>
    <cellStyle name="Normal 2 3 4 2 17" xfId="52331"/>
    <cellStyle name="Normal 2 3 5 17" xfId="52332"/>
    <cellStyle name="Normal 2 4 2 21" xfId="52333"/>
    <cellStyle name="Normal 2 4 2 2 20" xfId="52334"/>
    <cellStyle name="Normal 2 4 2 2 2 17" xfId="52335"/>
    <cellStyle name="Normal 2 4 2 3 17" xfId="52336"/>
    <cellStyle name="Normal 2 4 3 21" xfId="52337"/>
    <cellStyle name="Normal 2 4 3 2 20" xfId="52338"/>
    <cellStyle name="Normal 2 4 3 2 2 17" xfId="52339"/>
    <cellStyle name="Normal 2 4 3 3 17" xfId="52340"/>
    <cellStyle name="Normal 2 4 4 20" xfId="52341"/>
    <cellStyle name="Normal 2 4 4 2 17" xfId="52342"/>
    <cellStyle name="Normal 2 4 5 17" xfId="52343"/>
    <cellStyle name="Normal 2 5 21" xfId="52344"/>
    <cellStyle name="Normal 2 5 2 20" xfId="52345"/>
    <cellStyle name="Normal 2 5 2 2 17" xfId="52346"/>
    <cellStyle name="Normal 2 5 3 17" xfId="52347"/>
    <cellStyle name="Normal 2 6 21" xfId="52348"/>
    <cellStyle name="Normal 2 6 2 20" xfId="52349"/>
    <cellStyle name="Normal 2 6 2 2 17" xfId="52350"/>
    <cellStyle name="Normal 2 6 3 17" xfId="52351"/>
    <cellStyle name="Normal 2 7 20" xfId="52352"/>
    <cellStyle name="Normal 2 7 2 17" xfId="52353"/>
    <cellStyle name="Normal 2 8 17" xfId="52354"/>
    <cellStyle name="Normal 3 26" xfId="52355"/>
    <cellStyle name="Normal 3 3 23" xfId="52356"/>
    <cellStyle name="Normal 3 3 2 21" xfId="52357"/>
    <cellStyle name="Normal 3 3 2 2 20" xfId="52358"/>
    <cellStyle name="Normal 3 3 2 2 2 17" xfId="52359"/>
    <cellStyle name="Normal 3 3 2 3 17" xfId="52360"/>
    <cellStyle name="Normal 3 3 3 21" xfId="52361"/>
    <cellStyle name="Normal 3 3 3 2 20" xfId="52362"/>
    <cellStyle name="Normal 3 3 3 2 2 17" xfId="52363"/>
    <cellStyle name="Normal 3 3 3 3 17" xfId="52364"/>
    <cellStyle name="Normal 3 3 4 20" xfId="52365"/>
    <cellStyle name="Normal 3 3 4 2 17" xfId="52366"/>
    <cellStyle name="Normal 3 3 5 17" xfId="52367"/>
    <cellStyle name="Normal 3 4 23" xfId="52368"/>
    <cellStyle name="Normal 3 4 2 21" xfId="52369"/>
    <cellStyle name="Normal 3 4 2 2 20" xfId="52370"/>
    <cellStyle name="Normal 3 4 2 2 2 17" xfId="52371"/>
    <cellStyle name="Normal 3 4 2 3 17" xfId="52372"/>
    <cellStyle name="Normal 3 4 3 21" xfId="52373"/>
    <cellStyle name="Normal 3 4 3 2 20" xfId="52374"/>
    <cellStyle name="Normal 3 4 3 2 2 17" xfId="52375"/>
    <cellStyle name="Normal 3 4 3 3 17" xfId="52376"/>
    <cellStyle name="Normal 3 4 4 20" xfId="52377"/>
    <cellStyle name="Normal 3 4 4 2 17" xfId="52378"/>
    <cellStyle name="Normal 3 4 5 17" xfId="52379"/>
    <cellStyle name="Normal 3 5 21" xfId="52380"/>
    <cellStyle name="Normal 3 5 2 20" xfId="52381"/>
    <cellStyle name="Normal 3 5 2 2 17" xfId="52382"/>
    <cellStyle name="Normal 3 5 3 17" xfId="52383"/>
    <cellStyle name="Normal 3 6 21" xfId="52384"/>
    <cellStyle name="Normal 3 6 2 20" xfId="52385"/>
    <cellStyle name="Normal 3 6 2 2 17" xfId="52386"/>
    <cellStyle name="Normal 3 6 3 17" xfId="52387"/>
    <cellStyle name="Normal 3 7 20" xfId="52388"/>
    <cellStyle name="Normal 3 7 2 17" xfId="52389"/>
    <cellStyle name="Normal 3 8 17" xfId="52390"/>
    <cellStyle name="Normal 4 25" xfId="52391"/>
    <cellStyle name="Normal 4 2 23" xfId="52392"/>
    <cellStyle name="Normal 4 2 2 21" xfId="52393"/>
    <cellStyle name="Normal 4 2 2 2 20" xfId="52394"/>
    <cellStyle name="Normal 4 2 2 2 2 17" xfId="52395"/>
    <cellStyle name="Normal 4 2 2 3 17" xfId="52396"/>
    <cellStyle name="Normal 4 2 3 21" xfId="52397"/>
    <cellStyle name="Normal 4 2 3 2 20" xfId="52398"/>
    <cellStyle name="Normal 4 2 3 2 2 17" xfId="52399"/>
    <cellStyle name="Normal 4 2 3 3 17" xfId="52400"/>
    <cellStyle name="Normal 4 2 4 20" xfId="52401"/>
    <cellStyle name="Normal 4 2 4 2 17" xfId="52402"/>
    <cellStyle name="Normal 4 2 5 17" xfId="52403"/>
    <cellStyle name="Normal 4 3 23" xfId="52404"/>
    <cellStyle name="Normal 4 3 2 21" xfId="52405"/>
    <cellStyle name="Normal 4 3 2 2 20" xfId="52406"/>
    <cellStyle name="Normal 4 3 2 2 2 17" xfId="52407"/>
    <cellStyle name="Normal 4 3 2 3 17" xfId="52408"/>
    <cellStyle name="Normal 4 3 3 21" xfId="52409"/>
    <cellStyle name="Normal 4 3 3 2 20" xfId="52410"/>
    <cellStyle name="Normal 4 3 3 2 2 17" xfId="52411"/>
    <cellStyle name="Normal 4 3 3 3 17" xfId="52412"/>
    <cellStyle name="Normal 4 3 4 20" xfId="52413"/>
    <cellStyle name="Normal 4 3 4 2 17" xfId="52414"/>
    <cellStyle name="Normal 4 3 5 17" xfId="52415"/>
    <cellStyle name="Normal 4 4 21" xfId="52416"/>
    <cellStyle name="Normal 4 4 2 20" xfId="52417"/>
    <cellStyle name="Normal 4 4 2 2 17" xfId="52418"/>
    <cellStyle name="Normal 4 4 3 17" xfId="52419"/>
    <cellStyle name="Normal 4 5 21" xfId="52420"/>
    <cellStyle name="Normal 4 5 2 20" xfId="52421"/>
    <cellStyle name="Normal 4 5 2 2 17" xfId="52422"/>
    <cellStyle name="Normal 4 5 3 17" xfId="52423"/>
    <cellStyle name="Normal 4 6 20" xfId="52424"/>
    <cellStyle name="Normal 4 6 2 17" xfId="52425"/>
    <cellStyle name="Normal 4 7 17" xfId="52426"/>
    <cellStyle name="Normal 5 25" xfId="52427"/>
    <cellStyle name="Normal 5 2 23" xfId="52428"/>
    <cellStyle name="Normal 5 2 2 21" xfId="52429"/>
    <cellStyle name="Normal 5 2 2 2 20" xfId="52430"/>
    <cellStyle name="Normal 5 2 2 2 2 17" xfId="52431"/>
    <cellStyle name="Normal 5 2 2 3 17" xfId="52432"/>
    <cellStyle name="Normal 5 2 3 21" xfId="52433"/>
    <cellStyle name="Normal 5 2 3 2 20" xfId="52434"/>
    <cellStyle name="Normal 5 2 3 2 2 17" xfId="52435"/>
    <cellStyle name="Normal 5 2 3 3 17" xfId="52436"/>
    <cellStyle name="Normal 5 2 4 20" xfId="52437"/>
    <cellStyle name="Normal 5 2 4 2 17" xfId="52438"/>
    <cellStyle name="Normal 5 2 5 17" xfId="52439"/>
    <cellStyle name="Normal 5 3 23" xfId="52440"/>
    <cellStyle name="Normal 5 3 2 21" xfId="52441"/>
    <cellStyle name="Normal 5 3 2 2 20" xfId="52442"/>
    <cellStyle name="Normal 5 3 2 2 2 17" xfId="52443"/>
    <cellStyle name="Normal 5 3 2 3 17" xfId="52444"/>
    <cellStyle name="Normal 5 3 3 21" xfId="52445"/>
    <cellStyle name="Normal 5 3 3 2 20" xfId="52446"/>
    <cellStyle name="Normal 5 3 3 2 2 17" xfId="52447"/>
    <cellStyle name="Normal 5 3 3 3 17" xfId="52448"/>
    <cellStyle name="Normal 5 3 4 20" xfId="52449"/>
    <cellStyle name="Normal 5 3 4 2 17" xfId="52450"/>
    <cellStyle name="Normal 5 3 5 17" xfId="52451"/>
    <cellStyle name="Normal 5 4 21" xfId="52452"/>
    <cellStyle name="Normal 5 4 2 20" xfId="52453"/>
    <cellStyle name="Normal 5 4 2 2 17" xfId="52454"/>
    <cellStyle name="Normal 5 4 3 17" xfId="52455"/>
    <cellStyle name="Normal 5 5 21" xfId="52456"/>
    <cellStyle name="Normal 5 5 2 20" xfId="52457"/>
    <cellStyle name="Normal 5 5 2 2 17" xfId="52458"/>
    <cellStyle name="Normal 5 5 3 17" xfId="52459"/>
    <cellStyle name="Normal 5 6 20" xfId="52460"/>
    <cellStyle name="Normal 5 6 2 17" xfId="52461"/>
    <cellStyle name="Normal 5 7 17" xfId="52462"/>
    <cellStyle name="Normal 7 2 18" xfId="52463"/>
    <cellStyle name="Normal 7 2 2 21" xfId="52464"/>
    <cellStyle name="Normal 7 2 2 2 20" xfId="52465"/>
    <cellStyle name="Normal 7 2 2 2 2 17" xfId="52466"/>
    <cellStyle name="Normal 7 2 2 3 17" xfId="52467"/>
    <cellStyle name="Normal 7 2 3 21" xfId="52468"/>
    <cellStyle name="Normal 7 2 3 2 20" xfId="52469"/>
    <cellStyle name="Normal 7 2 3 2 2 17" xfId="52470"/>
    <cellStyle name="Normal 7 2 3 3 17" xfId="52471"/>
    <cellStyle name="Normal 7 2 4 20" xfId="52472"/>
    <cellStyle name="Normal 7 2 4 2 17" xfId="52473"/>
    <cellStyle name="Normal 7 2 5 19" xfId="52474"/>
    <cellStyle name="Normal 7 3 23" xfId="52475"/>
    <cellStyle name="Normal 7 3 2 21" xfId="52476"/>
    <cellStyle name="Normal 7 3 2 2 20" xfId="52477"/>
    <cellStyle name="Normal 7 3 2 2 2 17" xfId="52478"/>
    <cellStyle name="Normal 7 3 2 3 17" xfId="52479"/>
    <cellStyle name="Normal 7 3 3 21" xfId="52480"/>
    <cellStyle name="Normal 7 3 3 2 20" xfId="52481"/>
    <cellStyle name="Normal 7 3 3 2 2 17" xfId="52482"/>
    <cellStyle name="Normal 7 3 3 3 17" xfId="52483"/>
    <cellStyle name="Normal 7 3 4 20" xfId="52484"/>
    <cellStyle name="Normal 7 3 4 2 17" xfId="52485"/>
    <cellStyle name="Normal 7 3 5 17" xfId="52486"/>
    <cellStyle name="Normal 7 4 21" xfId="52487"/>
    <cellStyle name="Normal 7 4 2 20" xfId="52488"/>
    <cellStyle name="Normal 7 4 2 2 17" xfId="52489"/>
    <cellStyle name="Normal 7 4 3 17" xfId="52490"/>
    <cellStyle name="Normal 7 5 21" xfId="52491"/>
    <cellStyle name="Normal 7 5 2 20" xfId="52492"/>
    <cellStyle name="Normal 7 5 2 2 17" xfId="52493"/>
    <cellStyle name="Normal 7 5 3 17" xfId="52494"/>
    <cellStyle name="Normal 7 6 20" xfId="52495"/>
    <cellStyle name="Normal 7 6 2 17" xfId="52496"/>
    <cellStyle name="Normal 7 7 17" xfId="52497"/>
    <cellStyle name="Normal 7 8 15" xfId="52498"/>
    <cellStyle name="Millares [0] 69" xfId="52499"/>
    <cellStyle name="Normal 54 3" xfId="52500"/>
    <cellStyle name="Normal 55" xfId="52501"/>
    <cellStyle name="Título 4" xfId="52502"/>
    <cellStyle name="Título 1 2" xfId="52503"/>
    <cellStyle name="Título 2 2" xfId="52504"/>
    <cellStyle name="Título 3 2" xfId="52505"/>
    <cellStyle name="Encabezado 4 2" xfId="52506"/>
    <cellStyle name="Buena 2" xfId="52507"/>
    <cellStyle name="Incorrecto 2" xfId="52508"/>
    <cellStyle name="Neutral 2" xfId="52509"/>
    <cellStyle name="Entrada 2" xfId="52510"/>
    <cellStyle name="Salida 2" xfId="52511"/>
    <cellStyle name="Cálculo 2" xfId="52512"/>
    <cellStyle name="Celda vinculada 2" xfId="52513"/>
    <cellStyle name="Celda de comprobación 2" xfId="52514"/>
    <cellStyle name="Texto de advertencia 2" xfId="52515"/>
    <cellStyle name="Notas 3" xfId="52516"/>
    <cellStyle name="Texto explicativo 2" xfId="52517"/>
    <cellStyle name="Total 2" xfId="52518"/>
    <cellStyle name="Énfasis1 2" xfId="52519"/>
    <cellStyle name="20% - Énfasis1 2" xfId="52520"/>
    <cellStyle name="40% - Énfasis1 2" xfId="52521"/>
    <cellStyle name="60% - Énfasis1 2" xfId="52522"/>
    <cellStyle name="Énfasis2 2" xfId="52523"/>
    <cellStyle name="20% - Énfasis2 2" xfId="52524"/>
    <cellStyle name="40% - Énfasis2 2" xfId="52525"/>
    <cellStyle name="60% - Énfasis2 2" xfId="52526"/>
    <cellStyle name="Énfasis3 2" xfId="52527"/>
    <cellStyle name="20% - Énfasis3 2" xfId="52528"/>
    <cellStyle name="40% - Énfasis3 2" xfId="52529"/>
    <cellStyle name="60% - Énfasis3 2" xfId="52530"/>
    <cellStyle name="Énfasis4 2" xfId="52531"/>
    <cellStyle name="20% - Énfasis4 2" xfId="52532"/>
    <cellStyle name="40% - Énfasis4 2" xfId="52533"/>
    <cellStyle name="60% - Énfasis4 2" xfId="52534"/>
    <cellStyle name="Énfasis5 2" xfId="52535"/>
    <cellStyle name="20% - Énfasis5 2" xfId="52536"/>
    <cellStyle name="40% - Énfasis5 2" xfId="52537"/>
    <cellStyle name="60% - Énfasis5 2" xfId="52538"/>
    <cellStyle name="Énfasis6 2" xfId="52539"/>
    <cellStyle name="20% - Énfasis6 2" xfId="52540"/>
    <cellStyle name="40% - Énfasis6 2" xfId="52541"/>
    <cellStyle name="60% - Énfasis6 2" xfId="52542"/>
    <cellStyle name="Normal 56" xfId="52543"/>
    <cellStyle name="Notas 4" xfId="52544"/>
    <cellStyle name="20% - Énfasis1 3" xfId="52545"/>
    <cellStyle name="40% - Énfasis1 3" xfId="52546"/>
    <cellStyle name="20% - Énfasis2 3" xfId="52547"/>
    <cellStyle name="40% - Énfasis2 3" xfId="52548"/>
    <cellStyle name="20% - Énfasis3 3" xfId="52549"/>
    <cellStyle name="40% - Énfasis3 3" xfId="52550"/>
    <cellStyle name="20% - Énfasis4 3" xfId="52551"/>
    <cellStyle name="40% - Énfasis4 3" xfId="52552"/>
    <cellStyle name="20% - Énfasis5 3" xfId="52553"/>
    <cellStyle name="40% - Énfasis5 3" xfId="52554"/>
    <cellStyle name="20% - Énfasis6 3" xfId="52555"/>
    <cellStyle name="40% - Énfasis6 3" xfId="52556"/>
    <cellStyle name="Normal 57" xfId="52557"/>
    <cellStyle name="Normal 58" xfId="52558"/>
    <cellStyle name="EstiloDetalle 5" xfId="52559"/>
    <cellStyle name="Normal 59" xfId="52560"/>
    <cellStyle name="Normal 60" xfId="52561"/>
    <cellStyle name="Normal 61" xfId="52562"/>
    <cellStyle name="Normal 62" xfId="52563"/>
    <cellStyle name="Normal 63" xfId="52564"/>
    <cellStyle name="EstiloDetalle 2" xfId="52565"/>
    <cellStyle name="EstiloTotal 3" xfId="52566"/>
    <cellStyle name="Normal 64" xfId="52567"/>
    <cellStyle name="Normal 65" xfId="52568"/>
    <cellStyle name="Normal 66" xfId="52569"/>
    <cellStyle name="Normal 67" xfId="52570"/>
    <cellStyle name="Normal 68" xfId="52571"/>
    <cellStyle name="Normal 69" xfId="52572"/>
    <cellStyle name="Millares [0] 2 4" xfId="52573"/>
    <cellStyle name="Normal 70" xfId="52574"/>
    <cellStyle name="Normal 71" xfId="52575"/>
    <cellStyle name="Normal 72" xfId="52576"/>
    <cellStyle name="Millares [0] 3" xfId="52577"/>
    <cellStyle name="Normal 73" xfId="52578"/>
    <cellStyle name="Normal 74" xfId="52579"/>
    <cellStyle name="Normal 75" xfId="52580"/>
    <cellStyle name="Normal 76" xfId="52581"/>
    <cellStyle name="Normal 77" xfId="52582"/>
    <cellStyle name="EstiloDetalle 3" xfId="52583"/>
    <cellStyle name="EstiloTotal 2" xfId="52584"/>
    <cellStyle name="Millares [0] 4" xfId="52585"/>
    <cellStyle name="Normal 78" xfId="52586"/>
    <cellStyle name="Normal 79" xfId="52587"/>
    <cellStyle name="Normal 80" xfId="52588"/>
    <cellStyle name="Normal 81" xfId="52589"/>
    <cellStyle name="Normal 82" xfId="52590"/>
    <cellStyle name="Normal 83" xfId="52591"/>
    <cellStyle name="Normal 84" xfId="52592"/>
    <cellStyle name="Normal 85" xfId="52593"/>
    <cellStyle name="Normal 86" xfId="52594"/>
    <cellStyle name="Normal 87" xfId="52595"/>
    <cellStyle name="Millares [0] 5" xfId="52596"/>
    <cellStyle name="Normal 88" xfId="52597"/>
    <cellStyle name="Normal 89" xfId="52598"/>
    <cellStyle name="Normal 90" xfId="52599"/>
    <cellStyle name="Normal 91" xfId="52600"/>
    <cellStyle name="Normal 92" xfId="52601"/>
    <cellStyle name="Normal 93" xfId="52602"/>
    <cellStyle name="Millares [0] 6" xfId="52603"/>
    <cellStyle name="Normal 94" xfId="52604"/>
    <cellStyle name="Normal 95" xfId="52605"/>
    <cellStyle name="Normal 96" xfId="52606"/>
    <cellStyle name="Normal 97" xfId="52607"/>
    <cellStyle name="Millares [0] 7" xfId="52608"/>
    <cellStyle name="Normal 98" xfId="52609"/>
    <cellStyle name="Normal 99" xfId="52610"/>
    <cellStyle name="Normal 100" xfId="52611"/>
    <cellStyle name="Millares [0] 8" xfId="52612"/>
    <cellStyle name="Normal 101" xfId="52613"/>
    <cellStyle name="Normal 102" xfId="52614"/>
    <cellStyle name="Millares [0] 9" xfId="52615"/>
    <cellStyle name="Normal 103" xfId="52616"/>
    <cellStyle name="Millares [0] 10" xfId="52617"/>
    <cellStyle name="Normal 104" xfId="52618"/>
    <cellStyle name="Millares [0] 11" xfId="52619"/>
    <cellStyle name="Normal 105" xfId="52620"/>
    <cellStyle name="Millares [0] 12" xfId="52621"/>
    <cellStyle name="Normal 106" xfId="52622"/>
    <cellStyle name="Millares [0] 13" xfId="52623"/>
    <cellStyle name="Normal 107" xfId="52624"/>
    <cellStyle name="Millares [0] 14" xfId="52625"/>
    <cellStyle name="Normal 108" xfId="52626"/>
    <cellStyle name="Millares [0] 15" xfId="52627"/>
    <cellStyle name="Normal 109" xfId="52628"/>
    <cellStyle name="Millares [0] 16" xfId="52629"/>
    <cellStyle name="Normal 110" xfId="52630"/>
    <cellStyle name="Millares [0] 17" xfId="52631"/>
    <cellStyle name="Normal 111" xfId="52632"/>
    <cellStyle name="Millares [0] 18" xfId="52633"/>
    <cellStyle name="Normal 112" xfId="52634"/>
    <cellStyle name="Millares [0] 19" xfId="52635"/>
    <cellStyle name="Normal 113" xfId="52636"/>
    <cellStyle name="Millares [0] 20" xfId="52637"/>
    <cellStyle name="Normal 114" xfId="52638"/>
    <cellStyle name="Millares [0] 21" xfId="52639"/>
    <cellStyle name="Normal 115" xfId="52640"/>
    <cellStyle name="Normal 116" xfId="52641"/>
    <cellStyle name="Millares [0] 22" xfId="52642"/>
    <cellStyle name="Normal 117" xfId="52643"/>
    <cellStyle name="Millares [0] 23" xfId="52644"/>
    <cellStyle name="Normal 118" xfId="52645"/>
    <cellStyle name="Millares [0] 24" xfId="52646"/>
    <cellStyle name="Normal 119" xfId="52647"/>
    <cellStyle name="Millares [0] 25" xfId="52648"/>
    <cellStyle name="Normal 120" xfId="52649"/>
    <cellStyle name="Millares [0] 26" xfId="52650"/>
    <cellStyle name="Normal 121" xfId="52651"/>
    <cellStyle name="Millares [0] 27" xfId="52652"/>
    <cellStyle name="Normal 122" xfId="52653"/>
    <cellStyle name="Millares [0] 28" xfId="52654"/>
    <cellStyle name="Normal 123" xfId="52655"/>
    <cellStyle name="Millares [0] 29" xfId="52656"/>
    <cellStyle name="Normal 124" xfId="52657"/>
    <cellStyle name="Millares [0] 30" xfId="52658"/>
    <cellStyle name="Normal 125" xfId="52659"/>
    <cellStyle name="Millares [0] 31" xfId="52660"/>
    <cellStyle name="Normal 126" xfId="52661"/>
    <cellStyle name="Millares [0] 32" xfId="52662"/>
    <cellStyle name="Normal 127" xfId="52663"/>
    <cellStyle name="Millares [0] 33" xfId="52664"/>
    <cellStyle name="Normal 128" xfId="52665"/>
    <cellStyle name="Millares [0] 34" xfId="52666"/>
    <cellStyle name="Normal 129" xfId="52667"/>
    <cellStyle name="Millares [0] 35" xfId="52668"/>
    <cellStyle name="Normal 130" xfId="52669"/>
    <cellStyle name="Millares [0] 36" xfId="52670"/>
    <cellStyle name="Normal 131" xfId="52671"/>
    <cellStyle name="Millares [0] 37" xfId="52672"/>
    <cellStyle name="Normal 132" xfId="52673"/>
    <cellStyle name="Normal 133" xfId="52674"/>
    <cellStyle name="Normal 134" xfId="52675"/>
    <cellStyle name="Millares [0] 38" xfId="52676"/>
    <cellStyle name="Normal 135" xfId="52677"/>
    <cellStyle name="Millares [0] 39" xfId="52678"/>
    <cellStyle name="Normal 136" xfId="52679"/>
    <cellStyle name="Millares [0] 40" xfId="52680"/>
    <cellStyle name="Normal 137" xfId="52681"/>
    <cellStyle name="Millares 23" xfId="52682"/>
    <cellStyle name="Porcentaje 2 2" xfId="52683"/>
    <cellStyle name="Millares [0] 41" xfId="52684"/>
    <cellStyle name="Millares 24" xfId="52685"/>
    <cellStyle name="Millares 26" xfId="52686"/>
    <cellStyle name="Millares 25" xfId="52687"/>
    <cellStyle name="Millares 27" xfId="52688"/>
    <cellStyle name="Millares 29" xfId="52689"/>
    <cellStyle name="Millares 28" xfId="52690"/>
    <cellStyle name="Millares 30" xfId="52691"/>
    <cellStyle name="Normal 138" xfId="52692"/>
    <cellStyle name="Millares [0] 42" xfId="52693"/>
    <cellStyle name="Normal 139" xfId="52694"/>
    <cellStyle name="Millares [0] 43" xfId="52695"/>
    <cellStyle name="Normal 140" xfId="52696"/>
    <cellStyle name="Millares [0] 44" xfId="52697"/>
    <cellStyle name="Normal 141" xfId="52698"/>
    <cellStyle name="Millares [0] 45" xfId="52699"/>
    <cellStyle name="Normal 142" xfId="52700"/>
    <cellStyle name="Millares [0] 46" xfId="52701"/>
    <cellStyle name="Normal 143" xfId="52702"/>
    <cellStyle name="Millares [0] 47" xfId="52703"/>
    <cellStyle name="Normal 144" xfId="52704"/>
    <cellStyle name="Millares [0] 48" xfId="52705"/>
    <cellStyle name="Normal 145" xfId="52706"/>
    <cellStyle name="Millares [0] 49" xfId="52707"/>
    <cellStyle name="Normal 146" xfId="52708"/>
    <cellStyle name="Millares [0] 50" xfId="52709"/>
    <cellStyle name="Normal 147" xfId="52710"/>
    <cellStyle name="Millares [0] 51" xfId="52711"/>
    <cellStyle name="Normal 148" xfId="52712"/>
    <cellStyle name="Normal 149" xfId="52713"/>
    <cellStyle name="Millares [0] 52" xfId="52714"/>
    <cellStyle name="Normal 150" xfId="52715"/>
    <cellStyle name="Millares [0] 53" xfId="52716"/>
    <cellStyle name="Normal 151" xfId="52717"/>
    <cellStyle name="Millares [0] 54" xfId="52718"/>
    <cellStyle name="Normal 152" xfId="52719"/>
    <cellStyle name="Millares [0] 55" xfId="52720"/>
    <cellStyle name="Normal 153" xfId="52721"/>
    <cellStyle name="Millares [0] 56" xfId="52722"/>
    <cellStyle name="Normal 154" xfId="52723"/>
    <cellStyle name="Millares [0] 57" xfId="52724"/>
    <cellStyle name="Normal 155" xfId="52725"/>
    <cellStyle name="Normal 156" xfId="52726"/>
    <cellStyle name="Millares [0] 58" xfId="52727"/>
    <cellStyle name="Normal 157" xfId="52728"/>
    <cellStyle name="Millares [0] 59" xfId="52729"/>
    <cellStyle name="Normal 158" xfId="52730"/>
    <cellStyle name="Millares [0] 60" xfId="52731"/>
    <cellStyle name="Normal 159" xfId="52732"/>
    <cellStyle name="Millares [0] 61" xfId="52733"/>
    <cellStyle name="Normal 160" xfId="52734"/>
    <cellStyle name="Millares [0] 62" xfId="52735"/>
    <cellStyle name="Normal 161" xfId="52736"/>
    <cellStyle name="Normal 162" xfId="52737"/>
    <cellStyle name="Millares [0] 63" xfId="52738"/>
    <cellStyle name="Normal 163" xfId="52739"/>
    <cellStyle name="Millares 31" xfId="52740"/>
    <cellStyle name="Porcentaje 3" xfId="52741"/>
    <cellStyle name="Millares [0] 64" xfId="52742"/>
    <cellStyle name="Normal 164" xfId="52743"/>
    <cellStyle name="Normal 165" xfId="52744"/>
    <cellStyle name="Normal 166" xfId="52745"/>
    <cellStyle name="Normal 167" xfId="52746"/>
    <cellStyle name="Normal 168" xfId="52747"/>
    <cellStyle name="Normal 169" xfId="52748"/>
    <cellStyle name="Normal 170" xfId="52749"/>
    <cellStyle name="Normal 171" xfId="52750"/>
    <cellStyle name="Normal 172" xfId="52751"/>
    <cellStyle name="Millares [0] 65" xfId="52752"/>
    <cellStyle name="Normal 173" xfId="52753"/>
    <cellStyle name="Normal 174" xfId="52754"/>
    <cellStyle name="Millares [0] 66" xfId="52755"/>
    <cellStyle name="Normal 175" xfId="52756"/>
    <cellStyle name="Millares 32" xfId="52757"/>
    <cellStyle name="Título 5" xfId="52758"/>
    <cellStyle name="Título 1 3" xfId="52759"/>
    <cellStyle name="Título 2 3" xfId="52760"/>
    <cellStyle name="Título 3 3" xfId="52761"/>
    <cellStyle name="Encabezado 4 3" xfId="52762"/>
    <cellStyle name="Buena 3" xfId="52763"/>
    <cellStyle name="Incorrecto 3" xfId="52764"/>
    <cellStyle name="Neutral 3" xfId="52765"/>
    <cellStyle name="Entrada 3" xfId="52766"/>
    <cellStyle name="Salida 3" xfId="52767"/>
    <cellStyle name="Cálculo 3" xfId="52768"/>
    <cellStyle name="Celda vinculada 3" xfId="52769"/>
    <cellStyle name="Celda de comprobación 3" xfId="52770"/>
    <cellStyle name="Texto de advertencia 3" xfId="52771"/>
    <cellStyle name="Notas 5" xfId="52772"/>
    <cellStyle name="Texto explicativo 3" xfId="52773"/>
    <cellStyle name="Total 3" xfId="52774"/>
    <cellStyle name="Énfasis1 3" xfId="52775"/>
    <cellStyle name="20% - Énfasis1 4" xfId="52776"/>
    <cellStyle name="40% - Énfasis1 4" xfId="52777"/>
    <cellStyle name="60% - Énfasis1 3" xfId="52778"/>
    <cellStyle name="Énfasis2 3" xfId="52779"/>
    <cellStyle name="20% - Énfasis2 4" xfId="52780"/>
    <cellStyle name="40% - Énfasis2 4" xfId="52781"/>
    <cellStyle name="60% - Énfasis2 3" xfId="52782"/>
    <cellStyle name="Énfasis3 3" xfId="52783"/>
    <cellStyle name="20% - Énfasis3 4" xfId="52784"/>
    <cellStyle name="40% - Énfasis3 4" xfId="52785"/>
    <cellStyle name="60% - Énfasis3 3" xfId="52786"/>
    <cellStyle name="Énfasis4 3" xfId="52787"/>
    <cellStyle name="20% - Énfasis4 4" xfId="52788"/>
    <cellStyle name="40% - Énfasis4 4" xfId="52789"/>
    <cellStyle name="60% - Énfasis4 3" xfId="52790"/>
    <cellStyle name="Énfasis5 3" xfId="52791"/>
    <cellStyle name="20% - Énfasis5 4" xfId="52792"/>
    <cellStyle name="40% - Énfasis5 4" xfId="52793"/>
    <cellStyle name="60% - Énfasis5 3" xfId="52794"/>
    <cellStyle name="Énfasis6 3" xfId="52795"/>
    <cellStyle name="20% - Énfasis6 4" xfId="52796"/>
    <cellStyle name="40% - Énfasis6 4" xfId="52797"/>
    <cellStyle name="60% - Énfasis6 3" xfId="52798"/>
    <cellStyle name="Millares 33" xfId="52799"/>
    <cellStyle name="Normal 176" xfId="52800"/>
    <cellStyle name="Millares 34" xfId="52801"/>
    <cellStyle name="Normal 177" xfId="52802"/>
    <cellStyle name="Normal 178" xfId="52803"/>
    <cellStyle name="Millares [0] 67" xfId="52804"/>
    <cellStyle name="Normal 179" xfId="52805"/>
    <cellStyle name="Normal 180" xfId="52806"/>
    <cellStyle name="Normal 181" xfId="52807"/>
    <cellStyle name="Normal 182" xfId="52808"/>
    <cellStyle name="Normal 183" xfId="52809"/>
    <cellStyle name="Normal 184" xfId="52810"/>
    <cellStyle name="Normal 185" xfId="52811"/>
    <cellStyle name="Normal 186" xfId="52812"/>
    <cellStyle name="Normal 187" xfId="52813"/>
    <cellStyle name="Normal 188" xfId="52814"/>
    <cellStyle name="Normal 189" xfId="52815"/>
    <cellStyle name="Normal 190" xfId="52816"/>
    <cellStyle name="Normal 191" xfId="52817"/>
    <cellStyle name="EstiloDetalle 4" xfId="52818"/>
    <cellStyle name="Normal 192" xfId="52819"/>
    <cellStyle name="Millares 35" xfId="52820"/>
    <cellStyle name="Moneda 3" xfId="52821"/>
    <cellStyle name="Moneda [0] 2" xfId="52822"/>
    <cellStyle name="Millares [0] 68" xfId="52823"/>
    <cellStyle name="Normal 193" xfId="52824"/>
    <cellStyle name="Millares 37" xfId="52825"/>
    <cellStyle name="Millares [0] 70" xfId="52826"/>
    <cellStyle name="Millares 3 8" xfId="52827"/>
    <cellStyle name="Millares [0] 2 2" xfId="52828"/>
    <cellStyle name="Millares 2 9" xfId="52829"/>
    <cellStyle name="Millares 4 15" xfId="52830"/>
    <cellStyle name="Millares 5 3" xfId="52831"/>
    <cellStyle name="Normal 2 26" xfId="52832"/>
    <cellStyle name="Millares 2 10" xfId="52833"/>
    <cellStyle name="Millares 3 9" xfId="52834"/>
    <cellStyle name="Millares [0] 4 2" xfId="52835"/>
    <cellStyle name="Millares [0] 2 3" xfId="52836"/>
    <cellStyle name="Millares [0] 7 3" xfId="52837"/>
    <cellStyle name="Millares [0] 3 3" xfId="52838"/>
    <cellStyle name="Normal 3 27" xfId="52839"/>
    <cellStyle name="Normal 54 2" xfId="52840"/>
    <cellStyle name="Millares [0] 5 2" xfId="52841"/>
    <cellStyle name="Millares [0] 2 2 2" xfId="52842"/>
    <cellStyle name="Millares [0] 7 2" xfId="52843"/>
    <cellStyle name="Millares [0] 3 2" xfId="52844"/>
    <cellStyle name="Millares [0] 72" xfId="52845"/>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externalLink" Target="/xl/externalLinks/externalLink1.xml" Id="rId5"/><Relationship Type="http://schemas.openxmlformats.org/officeDocument/2006/relationships/externalLink" Target="/xl/externalLinks/externalLink2.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1600">
                <a:solidFill>
                  <a:schemeClr val="bg1">
                    <a:lumMod val="50000"/>
                  </a:schemeClr>
                </a:solidFill>
              </a:defRPr>
            </a:pPr>
            <a:r>
              <a:rPr lang="es-CL" sz="1400" b="0">
                <a:solidFill>
                  <a:schemeClr val="bg1">
                    <a:lumMod val="50000"/>
                  </a:schemeClr>
                </a:solidFill>
              </a:rPr>
              <a:t>ICP Normalizada</a:t>
            </a:r>
            <a:endParaRPr lang="es-CL" sz="1400" b="0" baseline="0">
              <a:solidFill>
                <a:schemeClr val="bg1">
                  <a:lumMod val="50000"/>
                </a:schemeClr>
              </a:solidFill>
            </a:endParaRPr>
          </a:p>
          <a:p xmlns:a="http://schemas.openxmlformats.org/drawingml/2006/main">
            <a:pPr>
              <a:defRPr sz="1600">
                <a:solidFill>
                  <a:schemeClr val="bg1">
                    <a:lumMod val="50000"/>
                  </a:schemeClr>
                </a:solidFill>
              </a:defRPr>
            </a:pPr>
            <a:r>
              <a:rPr lang="es-CL" sz="800" b="0" baseline="0">
                <a:solidFill>
                  <a:schemeClr val="bg1">
                    <a:lumMod val="50000"/>
                  </a:schemeClr>
                </a:solidFill>
              </a:rPr>
              <a:t>(Base 100 Dic 2005)</a:t>
            </a:r>
            <a:endParaRPr lang="es-CL" sz="1600" b="0">
              <a:solidFill>
                <a:schemeClr val="bg1">
                  <a:lumMod val="50000"/>
                </a:schemeClr>
              </a:solidFill>
            </a:endParaRPr>
          </a:p>
        </rich>
      </tx>
      <overlay val="0"/>
    </title>
    <plotArea>
      <layout/>
      <lineChart>
        <grouping val="standard"/>
        <varyColors val="0"/>
        <ser>
          <idx val="0"/>
          <order val="0"/>
          <tx>
            <strRef>
              <f>'Datos ICP (2)'!$D$2</f>
              <strCache>
                <ptCount val="1"/>
                <pt idx="0">
                  <v>ICP Norm.</v>
                </pt>
              </strCache>
            </strRef>
          </tx>
          <spPr>
            <a:ln xmlns:a="http://schemas.openxmlformats.org/drawingml/2006/main" w="12700">
              <a:solidFill>
                <a:srgbClr val="C0504D"/>
              </a:solidFill>
              <a:prstDash val="solid"/>
            </a:ln>
          </spPr>
          <marker>
            <symbol val="none"/>
            <spPr>
              <a:ln xmlns:a="http://schemas.openxmlformats.org/drawingml/2006/main">
                <a:prstDash val="solid"/>
              </a:ln>
            </spPr>
          </marker>
          <cat>
            <numRef>
              <f>'Datos ICP (2)'!$A$3:$A$155</f>
              <numCache>
                <formatCode>dd\-mm\-yyyy</formatCode>
                <ptCount val="153"/>
                <pt idx="0">
                  <formatCode>m/d/yyyy</formatCode>
                  <v>38717</v>
                </pt>
                <pt idx="1">
                  <v>38748</v>
                </pt>
                <pt idx="2">
                  <formatCode>m/d/yyyy</formatCode>
                  <v>38776</v>
                </pt>
                <pt idx="3">
                  <formatCode>m/d/yyyy</formatCode>
                  <v>38807</v>
                </pt>
                <pt idx="4">
                  <formatCode>m/d/yyyy</formatCode>
                  <v>38835</v>
                </pt>
                <pt idx="5">
                  <formatCode>m/d/yyyy</formatCode>
                  <v>38868</v>
                </pt>
                <pt idx="6">
                  <formatCode>m/d/yyyy</formatCode>
                  <v>38898</v>
                </pt>
                <pt idx="7">
                  <formatCode>m/d/yyyy</formatCode>
                  <v>38929</v>
                </pt>
                <pt idx="8">
                  <formatCode>m/d/yyyy</formatCode>
                  <v>38960</v>
                </pt>
                <pt idx="9">
                  <formatCode>m/d/yyyy</formatCode>
                  <v>38989</v>
                </pt>
                <pt idx="10">
                  <formatCode>m/d/yyyy</formatCode>
                  <v>39021</v>
                </pt>
                <pt idx="11">
                  <formatCode>m/d/yyyy</formatCode>
                  <v>39051</v>
                </pt>
                <pt idx="12">
                  <formatCode>m/d/yyyy</formatCode>
                  <v>39080</v>
                </pt>
                <pt idx="13">
                  <formatCode>m/d/yyyy</formatCode>
                  <v>39113</v>
                </pt>
                <pt idx="14">
                  <formatCode>m/d/yyyy</formatCode>
                  <v>39141</v>
                </pt>
                <pt idx="15">
                  <formatCode>m/d/yyyy</formatCode>
                  <v>39171</v>
                </pt>
                <pt idx="16">
                  <formatCode>m/d/yyyy</formatCode>
                  <v>39202</v>
                </pt>
                <pt idx="17">
                  <formatCode>m/d/yyyy</formatCode>
                  <v>39233</v>
                </pt>
                <pt idx="18">
                  <formatCode>m/d/yyyy</formatCode>
                  <v>39262</v>
                </pt>
                <pt idx="19">
                  <formatCode>m/d/yyyy</formatCode>
                  <v>39294</v>
                </pt>
                <pt idx="21">
                  <formatCode>m/d/yyyy</formatCode>
                  <v>39325</v>
                </pt>
                <pt idx="22">
                  <formatCode>m/d/yyyy</formatCode>
                  <v>39353</v>
                </pt>
                <pt idx="23">
                  <formatCode>m/d/yyyy</formatCode>
                  <v>39386</v>
                </pt>
                <pt idx="24">
                  <formatCode>m/d/yyyy</formatCode>
                  <v>39416</v>
                </pt>
                <pt idx="25">
                  <formatCode>m/d/yyyy</formatCode>
                  <v>39447</v>
                </pt>
                <pt idx="26">
                  <formatCode>m/d/yyyy</formatCode>
                  <v>39478</v>
                </pt>
                <pt idx="27">
                  <formatCode>m/d/yyyy</formatCode>
                  <v>39507</v>
                </pt>
                <pt idx="28">
                  <formatCode>m/d/yyyy</formatCode>
                  <v>39538</v>
                </pt>
                <pt idx="29">
                  <formatCode>m/d/yyyy</formatCode>
                  <v>39568</v>
                </pt>
                <pt idx="30">
                  <formatCode>m/d/yyyy</formatCode>
                  <v>39598</v>
                </pt>
                <pt idx="31">
                  <formatCode>m/d/yyyy</formatCode>
                  <v>39629</v>
                </pt>
                <pt idx="32">
                  <formatCode>m/d/yyyy</formatCode>
                  <v>39660</v>
                </pt>
                <pt idx="33">
                  <formatCode>m/d/yyyy</formatCode>
                  <v>39689</v>
                </pt>
                <pt idx="35">
                  <formatCode>m/d/yyyy</formatCode>
                  <v>39721</v>
                </pt>
                <pt idx="36">
                  <formatCode>m/d/yyyy</formatCode>
                  <v>39752</v>
                </pt>
                <pt idx="37">
                  <formatCode>m/d/yyyy</formatCode>
                  <v>39780</v>
                </pt>
                <pt idx="38">
                  <formatCode>m/d/yyyy</formatCode>
                  <v>39813</v>
                </pt>
                <pt idx="39">
                  <formatCode>m/d/yyyy</formatCode>
                  <v>39843</v>
                </pt>
                <pt idx="40">
                  <formatCode>m/d/yyyy</formatCode>
                  <v>39871</v>
                </pt>
                <pt idx="41">
                  <formatCode>m/d/yyyy</formatCode>
                  <v>39903</v>
                </pt>
                <pt idx="42">
                  <formatCode>m/d/yyyy</formatCode>
                  <v>39933</v>
                </pt>
                <pt idx="43">
                  <formatCode>m/d/yyyy</formatCode>
                  <v>39962</v>
                </pt>
                <pt idx="44">
                  <formatCode>m/d/yyyy</formatCode>
                  <v>39994</v>
                </pt>
                <pt idx="45">
                  <formatCode>m/d/yyyy</formatCode>
                  <v>40025</v>
                </pt>
                <pt idx="46">
                  <formatCode>m/d/yyyy</formatCode>
                  <v>40056</v>
                </pt>
                <pt idx="47">
                  <formatCode>m/d/yyyy</formatCode>
                  <v>40086</v>
                </pt>
                <pt idx="48">
                  <formatCode>m/d/yyyy</formatCode>
                  <v>40116</v>
                </pt>
                <pt idx="49">
                  <formatCode>m/d/yyyy</formatCode>
                  <v>40147</v>
                </pt>
                <pt idx="50">
                  <formatCode>m/d/yyyy</formatCode>
                  <v>40178</v>
                </pt>
                <pt idx="51">
                  <formatCode>m/d/yyyy</formatCode>
                  <v>40207</v>
                </pt>
                <pt idx="52">
                  <formatCode>m/d/yyyy</formatCode>
                  <v>40235</v>
                </pt>
                <pt idx="53">
                  <formatCode>m/d/yyyy</formatCode>
                  <v>40268</v>
                </pt>
                <pt idx="54">
                  <formatCode>m/d/yyyy</formatCode>
                  <v>40298</v>
                </pt>
                <pt idx="55">
                  <formatCode>m/d/yyyy</formatCode>
                  <v>40329</v>
                </pt>
                <pt idx="56">
                  <formatCode>m/d/yyyy</formatCode>
                  <v>40359</v>
                </pt>
                <pt idx="57">
                  <formatCode>m/d/yyyy</formatCode>
                  <v>40389</v>
                </pt>
                <pt idx="58">
                  <formatCode>m/d/yyyy</formatCode>
                  <v>40421</v>
                </pt>
                <pt idx="59">
                  <formatCode>m/d/yyyy</formatCode>
                  <v>40451</v>
                </pt>
                <pt idx="60">
                  <formatCode>m/d/yyyy</formatCode>
                  <v>40480</v>
                </pt>
                <pt idx="61">
                  <formatCode>m/d/yyyy</formatCode>
                  <v>40512</v>
                </pt>
                <pt idx="62">
                  <formatCode>m/d/yyyy</formatCode>
                  <v>40543</v>
                </pt>
                <pt idx="63">
                  <formatCode>m/d/yyyy</formatCode>
                  <v>40574</v>
                </pt>
                <pt idx="64">
                  <formatCode>m/d/yyyy</formatCode>
                  <v>40602</v>
                </pt>
                <pt idx="65">
                  <formatCode>m/d/yyyy</formatCode>
                  <v>40633</v>
                </pt>
                <pt idx="66">
                  <formatCode>m/d/yyyy</formatCode>
                  <v>40662</v>
                </pt>
                <pt idx="67">
                  <formatCode>m/d/yyyy</formatCode>
                  <v>40694</v>
                </pt>
                <pt idx="68">
                  <formatCode>m/d/yyyy</formatCode>
                  <v>40724</v>
                </pt>
                <pt idx="69">
                  <formatCode>m/d/yyyy</formatCode>
                  <v>40753</v>
                </pt>
                <pt idx="70">
                  <formatCode>m/d/yyyy</formatCode>
                  <v>40786</v>
                </pt>
                <pt idx="71">
                  <formatCode>m/d/yyyy</formatCode>
                  <v>40816</v>
                </pt>
                <pt idx="72">
                  <formatCode>m/d/yyyy</formatCode>
                  <v>40847</v>
                </pt>
                <pt idx="73">
                  <formatCode>m/d/yyyy</formatCode>
                  <v>40877</v>
                </pt>
                <pt idx="74">
                  <formatCode>m/d/yyyy</formatCode>
                  <v>40907</v>
                </pt>
                <pt idx="75">
                  <formatCode>m/d/yyyy</formatCode>
                  <v>40939</v>
                </pt>
                <pt idx="76">
                  <formatCode>m/d/yyyy</formatCode>
                  <v>40968</v>
                </pt>
                <pt idx="77">
                  <formatCode>m/d/yyyy</formatCode>
                  <v>40998</v>
                </pt>
                <pt idx="78">
                  <formatCode>m/d/yyyy</formatCode>
                  <v>41029</v>
                </pt>
                <pt idx="79">
                  <formatCode>m/d/yyyy</formatCode>
                  <v>41060</v>
                </pt>
                <pt idx="80">
                  <formatCode>m/d/yyyy</formatCode>
                  <v>41089</v>
                </pt>
                <pt idx="81">
                  <formatCode>m/d/yyyy</formatCode>
                  <v>41121</v>
                </pt>
                <pt idx="82">
                  <formatCode>m/d/yyyy</formatCode>
                  <v>41152</v>
                </pt>
                <pt idx="83">
                  <formatCode>m/d/yyyy</formatCode>
                  <v>41180</v>
                </pt>
                <pt idx="84">
                  <formatCode>m/d/yyyy</formatCode>
                  <v>41213</v>
                </pt>
                <pt idx="85">
                  <formatCode>m/d/yyyy</formatCode>
                  <v>41243</v>
                </pt>
                <pt idx="86">
                  <formatCode>m/d/yyyy</formatCode>
                  <v>41274</v>
                </pt>
                <pt idx="87">
                  <formatCode>m/d/yyyy</formatCode>
                  <v>41305</v>
                </pt>
                <pt idx="88">
                  <formatCode>m/d/yyyy</formatCode>
                  <v>41333</v>
                </pt>
                <pt idx="89">
                  <formatCode>m/d/yyyy</formatCode>
                  <v>41362</v>
                </pt>
                <pt idx="90">
                  <formatCode>m/d/yyyy</formatCode>
                  <v>41394</v>
                </pt>
                <pt idx="91">
                  <formatCode>m/d/yyyy</formatCode>
                  <v>41425</v>
                </pt>
                <pt idx="92">
                  <formatCode>m/d/yyyy</formatCode>
                  <v>41453</v>
                </pt>
                <pt idx="93">
                  <formatCode>m/d/yyyy</formatCode>
                  <v>41486</v>
                </pt>
                <pt idx="94">
                  <formatCode>m/d/yyyy</formatCode>
                  <v>41516</v>
                </pt>
                <pt idx="95">
                  <formatCode>m/d/yyyy</formatCode>
                  <v>41547</v>
                </pt>
                <pt idx="96">
                  <formatCode>m/d/yyyy</formatCode>
                  <v>41578</v>
                </pt>
                <pt idx="97">
                  <formatCode>m/d/yyyy</formatCode>
                  <v>41607</v>
                </pt>
                <pt idx="98">
                  <formatCode>m/d/yyyy</formatCode>
                  <v>41639</v>
                </pt>
                <pt idx="99">
                  <formatCode>m/d/yyyy</formatCode>
                  <v>41670</v>
                </pt>
                <pt idx="100">
                  <formatCode>m/d/yyyy</formatCode>
                  <v>41698</v>
                </pt>
                <pt idx="101">
                  <formatCode>m/d/yyyy</formatCode>
                  <v>41729</v>
                </pt>
                <pt idx="102">
                  <formatCode>m/d/yyyy</formatCode>
                  <v>41759</v>
                </pt>
                <pt idx="103">
                  <formatCode>m/d/yyyy</formatCode>
                  <v>41789</v>
                </pt>
                <pt idx="104">
                  <formatCode>m/d/yyyy</formatCode>
                  <v>41820</v>
                </pt>
                <pt idx="105">
                  <formatCode>m/d/yyyy</formatCode>
                  <v>41851</v>
                </pt>
                <pt idx="106">
                  <formatCode>m/d/yyyy</formatCode>
                  <v>41880</v>
                </pt>
                <pt idx="107">
                  <formatCode>m/d/yyyy</formatCode>
                  <v>41912</v>
                </pt>
                <pt idx="108">
                  <formatCode>m/d/yyyy</formatCode>
                  <v>41943</v>
                </pt>
                <pt idx="109">
                  <formatCode>m/d/yyyy</formatCode>
                  <v>41971</v>
                </pt>
                <pt idx="110">
                  <formatCode>m/d/yyyy</formatCode>
                  <v>42004</v>
                </pt>
                <pt idx="111">
                  <formatCode>m/d/yyyy</formatCode>
                  <v>42034</v>
                </pt>
                <pt idx="112">
                  <formatCode>m/d/yyyy</formatCode>
                  <v>42062</v>
                </pt>
                <pt idx="113">
                  <formatCode>m/d/yyyy</formatCode>
                  <v>42094</v>
                </pt>
                <pt idx="114">
                  <formatCode>m/d/yyyy</formatCode>
                  <v>42124</v>
                </pt>
                <pt idx="115">
                  <formatCode>m/d/yyyy</formatCode>
                  <v>42153</v>
                </pt>
                <pt idx="116">
                  <formatCode>m/d/yyyy</formatCode>
                  <v>42185</v>
                </pt>
                <pt idx="117">
                  <formatCode>m/d/yyyy</formatCode>
                  <v>42216</v>
                </pt>
                <pt idx="118">
                  <formatCode>m/d/yyyy</formatCode>
                  <v>42247</v>
                </pt>
                <pt idx="119">
                  <formatCode>m/d/yyyy</formatCode>
                  <v>42277</v>
                </pt>
                <pt idx="120">
                  <formatCode>m/d/yyyy</formatCode>
                  <v>42307</v>
                </pt>
                <pt idx="121">
                  <formatCode>m/d/yyyy</formatCode>
                  <v>42338</v>
                </pt>
                <pt idx="122">
                  <formatCode>m/d/yyyy</formatCode>
                  <v>42369</v>
                </pt>
                <pt idx="123">
                  <formatCode>m/d/yyyy</formatCode>
                  <v>42398</v>
                </pt>
                <pt idx="124">
                  <formatCode>m/d/yyyy</formatCode>
                  <v>42429</v>
                </pt>
                <pt idx="125">
                  <formatCode>m/d/yyyy</formatCode>
                  <v>42460</v>
                </pt>
                <pt idx="126">
                  <formatCode>m/d/yyyy</formatCode>
                  <v>42489</v>
                </pt>
                <pt idx="127">
                  <formatCode>m/d/yyyy</formatCode>
                  <v>42521</v>
                </pt>
                <pt idx="128">
                  <formatCode>m/d/yyyy</formatCode>
                  <v>42551</v>
                </pt>
                <pt idx="129">
                  <formatCode>m/d/yyyy</formatCode>
                  <v>42582</v>
                </pt>
                <pt idx="130">
                  <formatCode>m/d/yyyy</formatCode>
                  <v>42613</v>
                </pt>
                <pt idx="131">
                  <formatCode>m/d/yyyy</formatCode>
                  <v>42643</v>
                </pt>
                <pt idx="132">
                  <formatCode>m/d/yyyy</formatCode>
                  <v>42674</v>
                </pt>
                <pt idx="133">
                  <formatCode>m/d/yyyy</formatCode>
                  <v>42704</v>
                </pt>
                <pt idx="134">
                  <formatCode>m/d/yyyy</formatCode>
                  <v>42735</v>
                </pt>
                <pt idx="135">
                  <formatCode>m/d/yyyy</formatCode>
                  <v>42766</v>
                </pt>
                <pt idx="136">
                  <formatCode>m/d/yyyy</formatCode>
                  <v>42794</v>
                </pt>
                <pt idx="137">
                  <formatCode>m/d/yyyy</formatCode>
                  <v>42825</v>
                </pt>
                <pt idx="138">
                  <formatCode>m/d/yyyy</formatCode>
                  <v>42855</v>
                </pt>
                <pt idx="139">
                  <formatCode>m/d/yyyy</formatCode>
                  <v>42886</v>
                </pt>
                <pt idx="140">
                  <formatCode>m/d/yyyy</formatCode>
                  <v>42916</v>
                </pt>
                <pt idx="141">
                  <formatCode>m/d/yyyy</formatCode>
                  <v>42947</v>
                </pt>
                <pt idx="142">
                  <formatCode>m/d/yyyy</formatCode>
                  <v>42978</v>
                </pt>
                <pt idx="143">
                  <formatCode>m/d/yyyy</formatCode>
                  <v>43008</v>
                </pt>
                <pt idx="144">
                  <formatCode>m/d/yyyy</formatCode>
                  <v>43039</v>
                </pt>
                <pt idx="145">
                  <formatCode>m/d/yyyy</formatCode>
                  <v>43069</v>
                </pt>
                <pt idx="146">
                  <formatCode>m/d/yyyy</formatCode>
                  <v>43100</v>
                </pt>
                <pt idx="147">
                  <formatCode>m/d/yyyy</formatCode>
                  <v>43131</v>
                </pt>
                <pt idx="148">
                  <formatCode>m/d/yyyy</formatCode>
                  <v>43159</v>
                </pt>
                <pt idx="149">
                  <formatCode>m/d/yyyy</formatCode>
                  <v>43190</v>
                </pt>
                <pt idx="150">
                  <formatCode>m/d/yyyy</formatCode>
                  <v>43220</v>
                </pt>
                <pt idx="151">
                  <formatCode>m/d/yyyy</formatCode>
                  <v>43251</v>
                </pt>
                <pt idx="152">
                  <formatCode>m/d/yyyy</formatCode>
                  <v>43281</v>
                </pt>
              </numCache>
            </numRef>
          </cat>
          <val>
            <numRef>
              <f>'Datos ICP (2)'!$D$3:$D$155</f>
              <numCache>
                <formatCode>0.00</formatCode>
                <ptCount val="153"/>
              </numCache>
            </numRef>
          </val>
          <smooth val="0"/>
        </ser>
        <ser>
          <idx val="1"/>
          <order val="1"/>
          <tx>
            <strRef>
              <f>'Datos ICP (2)'!$J$2</f>
              <strCache>
                <ptCount val="1"/>
                <pt idx="0">
                  <v>Fondo Liquidez Presente</v>
                </pt>
              </strCache>
            </strRef>
          </tx>
          <spPr>
            <a:ln xmlns:a="http://schemas.openxmlformats.org/drawingml/2006/main">
              <a:solidFill>
                <a:srgbClr val="C0504D"/>
              </a:solidFill>
              <a:prstDash val="solid"/>
            </a:ln>
          </spPr>
          <marker>
            <symbol val="none"/>
            <spPr>
              <a:ln xmlns:a="http://schemas.openxmlformats.org/drawingml/2006/main">
                <a:prstDash val="solid"/>
              </a:ln>
            </spPr>
          </marker>
          <cat>
            <numRef>
              <f>'Datos ICP (2)'!$A$3:$A$155</f>
              <numCache>
                <formatCode>dd\-mm\-yyyy</formatCode>
                <ptCount val="153"/>
                <pt idx="0">
                  <formatCode>m/d/yyyy</formatCode>
                  <v>38717</v>
                </pt>
                <pt idx="1">
                  <v>38748</v>
                </pt>
                <pt idx="2">
                  <formatCode>m/d/yyyy</formatCode>
                  <v>38776</v>
                </pt>
                <pt idx="3">
                  <formatCode>m/d/yyyy</formatCode>
                  <v>38807</v>
                </pt>
                <pt idx="4">
                  <formatCode>m/d/yyyy</formatCode>
                  <v>38835</v>
                </pt>
                <pt idx="5">
                  <formatCode>m/d/yyyy</formatCode>
                  <v>38868</v>
                </pt>
                <pt idx="6">
                  <formatCode>m/d/yyyy</formatCode>
                  <v>38898</v>
                </pt>
                <pt idx="7">
                  <formatCode>m/d/yyyy</formatCode>
                  <v>38929</v>
                </pt>
                <pt idx="8">
                  <formatCode>m/d/yyyy</formatCode>
                  <v>38960</v>
                </pt>
                <pt idx="9">
                  <formatCode>m/d/yyyy</formatCode>
                  <v>38989</v>
                </pt>
                <pt idx="10">
                  <formatCode>m/d/yyyy</formatCode>
                  <v>39021</v>
                </pt>
                <pt idx="11">
                  <formatCode>m/d/yyyy</formatCode>
                  <v>39051</v>
                </pt>
                <pt idx="12">
                  <formatCode>m/d/yyyy</formatCode>
                  <v>39080</v>
                </pt>
                <pt idx="13">
                  <formatCode>m/d/yyyy</formatCode>
                  <v>39113</v>
                </pt>
                <pt idx="14">
                  <formatCode>m/d/yyyy</formatCode>
                  <v>39141</v>
                </pt>
                <pt idx="15">
                  <formatCode>m/d/yyyy</formatCode>
                  <v>39171</v>
                </pt>
                <pt idx="16">
                  <formatCode>m/d/yyyy</formatCode>
                  <v>39202</v>
                </pt>
                <pt idx="17">
                  <formatCode>m/d/yyyy</formatCode>
                  <v>39233</v>
                </pt>
                <pt idx="18">
                  <formatCode>m/d/yyyy</formatCode>
                  <v>39262</v>
                </pt>
                <pt idx="19">
                  <formatCode>m/d/yyyy</formatCode>
                  <v>39294</v>
                </pt>
                <pt idx="21">
                  <formatCode>m/d/yyyy</formatCode>
                  <v>39325</v>
                </pt>
                <pt idx="22">
                  <formatCode>m/d/yyyy</formatCode>
                  <v>39353</v>
                </pt>
                <pt idx="23">
                  <formatCode>m/d/yyyy</formatCode>
                  <v>39386</v>
                </pt>
                <pt idx="24">
                  <formatCode>m/d/yyyy</formatCode>
                  <v>39416</v>
                </pt>
                <pt idx="25">
                  <formatCode>m/d/yyyy</formatCode>
                  <v>39447</v>
                </pt>
                <pt idx="26">
                  <formatCode>m/d/yyyy</formatCode>
                  <v>39478</v>
                </pt>
                <pt idx="27">
                  <formatCode>m/d/yyyy</formatCode>
                  <v>39507</v>
                </pt>
                <pt idx="28">
                  <formatCode>m/d/yyyy</formatCode>
                  <v>39538</v>
                </pt>
                <pt idx="29">
                  <formatCode>m/d/yyyy</formatCode>
                  <v>39568</v>
                </pt>
                <pt idx="30">
                  <formatCode>m/d/yyyy</formatCode>
                  <v>39598</v>
                </pt>
                <pt idx="31">
                  <formatCode>m/d/yyyy</formatCode>
                  <v>39629</v>
                </pt>
                <pt idx="32">
                  <formatCode>m/d/yyyy</formatCode>
                  <v>39660</v>
                </pt>
                <pt idx="33">
                  <formatCode>m/d/yyyy</formatCode>
                  <v>39689</v>
                </pt>
                <pt idx="35">
                  <formatCode>m/d/yyyy</formatCode>
                  <v>39721</v>
                </pt>
                <pt idx="36">
                  <formatCode>m/d/yyyy</formatCode>
                  <v>39752</v>
                </pt>
                <pt idx="37">
                  <formatCode>m/d/yyyy</formatCode>
                  <v>39780</v>
                </pt>
                <pt idx="38">
                  <formatCode>m/d/yyyy</formatCode>
                  <v>39813</v>
                </pt>
                <pt idx="39">
                  <formatCode>m/d/yyyy</formatCode>
                  <v>39843</v>
                </pt>
                <pt idx="40">
                  <formatCode>m/d/yyyy</formatCode>
                  <v>39871</v>
                </pt>
                <pt idx="41">
                  <formatCode>m/d/yyyy</formatCode>
                  <v>39903</v>
                </pt>
                <pt idx="42">
                  <formatCode>m/d/yyyy</formatCode>
                  <v>39933</v>
                </pt>
                <pt idx="43">
                  <formatCode>m/d/yyyy</formatCode>
                  <v>39962</v>
                </pt>
                <pt idx="44">
                  <formatCode>m/d/yyyy</formatCode>
                  <v>39994</v>
                </pt>
                <pt idx="45">
                  <formatCode>m/d/yyyy</formatCode>
                  <v>40025</v>
                </pt>
                <pt idx="46">
                  <formatCode>m/d/yyyy</formatCode>
                  <v>40056</v>
                </pt>
                <pt idx="47">
                  <formatCode>m/d/yyyy</formatCode>
                  <v>40086</v>
                </pt>
                <pt idx="48">
                  <formatCode>m/d/yyyy</formatCode>
                  <v>40116</v>
                </pt>
                <pt idx="49">
                  <formatCode>m/d/yyyy</formatCode>
                  <v>40147</v>
                </pt>
                <pt idx="50">
                  <formatCode>m/d/yyyy</formatCode>
                  <v>40178</v>
                </pt>
                <pt idx="51">
                  <formatCode>m/d/yyyy</formatCode>
                  <v>40207</v>
                </pt>
                <pt idx="52">
                  <formatCode>m/d/yyyy</formatCode>
                  <v>40235</v>
                </pt>
                <pt idx="53">
                  <formatCode>m/d/yyyy</formatCode>
                  <v>40268</v>
                </pt>
                <pt idx="54">
                  <formatCode>m/d/yyyy</formatCode>
                  <v>40298</v>
                </pt>
                <pt idx="55">
                  <formatCode>m/d/yyyy</formatCode>
                  <v>40329</v>
                </pt>
                <pt idx="56">
                  <formatCode>m/d/yyyy</formatCode>
                  <v>40359</v>
                </pt>
                <pt idx="57">
                  <formatCode>m/d/yyyy</formatCode>
                  <v>40389</v>
                </pt>
                <pt idx="58">
                  <formatCode>m/d/yyyy</formatCode>
                  <v>40421</v>
                </pt>
                <pt idx="59">
                  <formatCode>m/d/yyyy</formatCode>
                  <v>40451</v>
                </pt>
                <pt idx="60">
                  <formatCode>m/d/yyyy</formatCode>
                  <v>40480</v>
                </pt>
                <pt idx="61">
                  <formatCode>m/d/yyyy</formatCode>
                  <v>40512</v>
                </pt>
                <pt idx="62">
                  <formatCode>m/d/yyyy</formatCode>
                  <v>40543</v>
                </pt>
                <pt idx="63">
                  <formatCode>m/d/yyyy</formatCode>
                  <v>40574</v>
                </pt>
                <pt idx="64">
                  <formatCode>m/d/yyyy</formatCode>
                  <v>40602</v>
                </pt>
                <pt idx="65">
                  <formatCode>m/d/yyyy</formatCode>
                  <v>40633</v>
                </pt>
                <pt idx="66">
                  <formatCode>m/d/yyyy</formatCode>
                  <v>40662</v>
                </pt>
                <pt idx="67">
                  <formatCode>m/d/yyyy</formatCode>
                  <v>40694</v>
                </pt>
                <pt idx="68">
                  <formatCode>m/d/yyyy</formatCode>
                  <v>40724</v>
                </pt>
                <pt idx="69">
                  <formatCode>m/d/yyyy</formatCode>
                  <v>40753</v>
                </pt>
                <pt idx="70">
                  <formatCode>m/d/yyyy</formatCode>
                  <v>40786</v>
                </pt>
                <pt idx="71">
                  <formatCode>m/d/yyyy</formatCode>
                  <v>40816</v>
                </pt>
                <pt idx="72">
                  <formatCode>m/d/yyyy</formatCode>
                  <v>40847</v>
                </pt>
                <pt idx="73">
                  <formatCode>m/d/yyyy</formatCode>
                  <v>40877</v>
                </pt>
                <pt idx="74">
                  <formatCode>m/d/yyyy</formatCode>
                  <v>40907</v>
                </pt>
                <pt idx="75">
                  <formatCode>m/d/yyyy</formatCode>
                  <v>40939</v>
                </pt>
                <pt idx="76">
                  <formatCode>m/d/yyyy</formatCode>
                  <v>40968</v>
                </pt>
                <pt idx="77">
                  <formatCode>m/d/yyyy</formatCode>
                  <v>40998</v>
                </pt>
                <pt idx="78">
                  <formatCode>m/d/yyyy</formatCode>
                  <v>41029</v>
                </pt>
                <pt idx="79">
                  <formatCode>m/d/yyyy</formatCode>
                  <v>41060</v>
                </pt>
                <pt idx="80">
                  <formatCode>m/d/yyyy</formatCode>
                  <v>41089</v>
                </pt>
                <pt idx="81">
                  <formatCode>m/d/yyyy</formatCode>
                  <v>41121</v>
                </pt>
                <pt idx="82">
                  <formatCode>m/d/yyyy</formatCode>
                  <v>41152</v>
                </pt>
                <pt idx="83">
                  <formatCode>m/d/yyyy</formatCode>
                  <v>41180</v>
                </pt>
                <pt idx="84">
                  <formatCode>m/d/yyyy</formatCode>
                  <v>41213</v>
                </pt>
                <pt idx="85">
                  <formatCode>m/d/yyyy</formatCode>
                  <v>41243</v>
                </pt>
                <pt idx="86">
                  <formatCode>m/d/yyyy</formatCode>
                  <v>41274</v>
                </pt>
                <pt idx="87">
                  <formatCode>m/d/yyyy</formatCode>
                  <v>41305</v>
                </pt>
                <pt idx="88">
                  <formatCode>m/d/yyyy</formatCode>
                  <v>41333</v>
                </pt>
                <pt idx="89">
                  <formatCode>m/d/yyyy</formatCode>
                  <v>41362</v>
                </pt>
                <pt idx="90">
                  <formatCode>m/d/yyyy</formatCode>
                  <v>41394</v>
                </pt>
                <pt idx="91">
                  <formatCode>m/d/yyyy</formatCode>
                  <v>41425</v>
                </pt>
                <pt idx="92">
                  <formatCode>m/d/yyyy</formatCode>
                  <v>41453</v>
                </pt>
                <pt idx="93">
                  <formatCode>m/d/yyyy</formatCode>
                  <v>41486</v>
                </pt>
                <pt idx="94">
                  <formatCode>m/d/yyyy</formatCode>
                  <v>41516</v>
                </pt>
                <pt idx="95">
                  <formatCode>m/d/yyyy</formatCode>
                  <v>41547</v>
                </pt>
                <pt idx="96">
                  <formatCode>m/d/yyyy</formatCode>
                  <v>41578</v>
                </pt>
                <pt idx="97">
                  <formatCode>m/d/yyyy</formatCode>
                  <v>41607</v>
                </pt>
                <pt idx="98">
                  <formatCode>m/d/yyyy</formatCode>
                  <v>41639</v>
                </pt>
                <pt idx="99">
                  <formatCode>m/d/yyyy</formatCode>
                  <v>41670</v>
                </pt>
                <pt idx="100">
                  <formatCode>m/d/yyyy</formatCode>
                  <v>41698</v>
                </pt>
                <pt idx="101">
                  <formatCode>m/d/yyyy</formatCode>
                  <v>41729</v>
                </pt>
                <pt idx="102">
                  <formatCode>m/d/yyyy</formatCode>
                  <v>41759</v>
                </pt>
                <pt idx="103">
                  <formatCode>m/d/yyyy</formatCode>
                  <v>41789</v>
                </pt>
                <pt idx="104">
                  <formatCode>m/d/yyyy</formatCode>
                  <v>41820</v>
                </pt>
                <pt idx="105">
                  <formatCode>m/d/yyyy</formatCode>
                  <v>41851</v>
                </pt>
                <pt idx="106">
                  <formatCode>m/d/yyyy</formatCode>
                  <v>41880</v>
                </pt>
                <pt idx="107">
                  <formatCode>m/d/yyyy</formatCode>
                  <v>41912</v>
                </pt>
                <pt idx="108">
                  <formatCode>m/d/yyyy</formatCode>
                  <v>41943</v>
                </pt>
                <pt idx="109">
                  <formatCode>m/d/yyyy</formatCode>
                  <v>41971</v>
                </pt>
                <pt idx="110">
                  <formatCode>m/d/yyyy</formatCode>
                  <v>42004</v>
                </pt>
                <pt idx="111">
                  <formatCode>m/d/yyyy</formatCode>
                  <v>42034</v>
                </pt>
                <pt idx="112">
                  <formatCode>m/d/yyyy</formatCode>
                  <v>42062</v>
                </pt>
                <pt idx="113">
                  <formatCode>m/d/yyyy</formatCode>
                  <v>42094</v>
                </pt>
                <pt idx="114">
                  <formatCode>m/d/yyyy</formatCode>
                  <v>42124</v>
                </pt>
                <pt idx="115">
                  <formatCode>m/d/yyyy</formatCode>
                  <v>42153</v>
                </pt>
                <pt idx="116">
                  <formatCode>m/d/yyyy</formatCode>
                  <v>42185</v>
                </pt>
                <pt idx="117">
                  <formatCode>m/d/yyyy</formatCode>
                  <v>42216</v>
                </pt>
                <pt idx="118">
                  <formatCode>m/d/yyyy</formatCode>
                  <v>42247</v>
                </pt>
                <pt idx="119">
                  <formatCode>m/d/yyyy</formatCode>
                  <v>42277</v>
                </pt>
                <pt idx="120">
                  <formatCode>m/d/yyyy</formatCode>
                  <v>42307</v>
                </pt>
                <pt idx="121">
                  <formatCode>m/d/yyyy</formatCode>
                  <v>42338</v>
                </pt>
                <pt idx="122">
                  <formatCode>m/d/yyyy</formatCode>
                  <v>42369</v>
                </pt>
                <pt idx="123">
                  <formatCode>m/d/yyyy</formatCode>
                  <v>42398</v>
                </pt>
                <pt idx="124">
                  <formatCode>m/d/yyyy</formatCode>
                  <v>42429</v>
                </pt>
                <pt idx="125">
                  <formatCode>m/d/yyyy</formatCode>
                  <v>42460</v>
                </pt>
                <pt idx="126">
                  <formatCode>m/d/yyyy</formatCode>
                  <v>42489</v>
                </pt>
                <pt idx="127">
                  <formatCode>m/d/yyyy</formatCode>
                  <v>42521</v>
                </pt>
                <pt idx="128">
                  <formatCode>m/d/yyyy</formatCode>
                  <v>42551</v>
                </pt>
                <pt idx="129">
                  <formatCode>m/d/yyyy</formatCode>
                  <v>42582</v>
                </pt>
                <pt idx="130">
                  <formatCode>m/d/yyyy</formatCode>
                  <v>42613</v>
                </pt>
                <pt idx="131">
                  <formatCode>m/d/yyyy</formatCode>
                  <v>42643</v>
                </pt>
                <pt idx="132">
                  <formatCode>m/d/yyyy</formatCode>
                  <v>42674</v>
                </pt>
                <pt idx="133">
                  <formatCode>m/d/yyyy</formatCode>
                  <v>42704</v>
                </pt>
                <pt idx="134">
                  <formatCode>m/d/yyyy</formatCode>
                  <v>42735</v>
                </pt>
                <pt idx="135">
                  <formatCode>m/d/yyyy</formatCode>
                  <v>42766</v>
                </pt>
                <pt idx="136">
                  <formatCode>m/d/yyyy</formatCode>
                  <v>42794</v>
                </pt>
                <pt idx="137">
                  <formatCode>m/d/yyyy</formatCode>
                  <v>42825</v>
                </pt>
                <pt idx="138">
                  <formatCode>m/d/yyyy</formatCode>
                  <v>42855</v>
                </pt>
                <pt idx="139">
                  <formatCode>m/d/yyyy</formatCode>
                  <v>42886</v>
                </pt>
                <pt idx="140">
                  <formatCode>m/d/yyyy</formatCode>
                  <v>42916</v>
                </pt>
                <pt idx="141">
                  <formatCode>m/d/yyyy</formatCode>
                  <v>42947</v>
                </pt>
                <pt idx="142">
                  <formatCode>m/d/yyyy</formatCode>
                  <v>42978</v>
                </pt>
                <pt idx="143">
                  <formatCode>m/d/yyyy</formatCode>
                  <v>43008</v>
                </pt>
                <pt idx="144">
                  <formatCode>m/d/yyyy</formatCode>
                  <v>43039</v>
                </pt>
                <pt idx="145">
                  <formatCode>m/d/yyyy</formatCode>
                  <v>43069</v>
                </pt>
                <pt idx="146">
                  <formatCode>m/d/yyyy</formatCode>
                  <v>43100</v>
                </pt>
                <pt idx="147">
                  <formatCode>m/d/yyyy</formatCode>
                  <v>43131</v>
                </pt>
                <pt idx="148">
                  <formatCode>m/d/yyyy</formatCode>
                  <v>43159</v>
                </pt>
                <pt idx="149">
                  <formatCode>m/d/yyyy</formatCode>
                  <v>43190</v>
                </pt>
                <pt idx="150">
                  <formatCode>m/d/yyyy</formatCode>
                  <v>43220</v>
                </pt>
                <pt idx="151">
                  <formatCode>m/d/yyyy</formatCode>
                  <v>43251</v>
                </pt>
                <pt idx="152">
                  <formatCode>m/d/yyyy</formatCode>
                  <v>43281</v>
                </pt>
              </numCache>
            </numRef>
          </cat>
          <val>
            <numRef>
              <f>'Datos ICP (2)'!$J$3:$J$155</f>
              <numCache>
                <formatCode>General</formatCode>
                <ptCount val="153"/>
              </numCache>
            </numRef>
          </val>
          <smooth val="0"/>
        </ser>
        <dLbls>
          <showLegendKey val="0"/>
          <showVal val="0"/>
          <showCatName val="0"/>
          <showSerName val="0"/>
          <showPercent val="0"/>
          <showBubbleSize val="0"/>
        </dLbls>
        <smooth val="0"/>
        <axId val="226663040"/>
        <axId val="232120704"/>
      </lineChart>
      <dateAx>
        <axId val="226663040"/>
        <scaling>
          <orientation val="minMax"/>
          <max val="43373"/>
          <min val="38687"/>
        </scaling>
        <delete val="0"/>
        <axPos val="b"/>
        <numFmt formatCode="mmm/\y\y\y\y" sourceLinked="0"/>
        <majorTickMark val="out"/>
        <minorTickMark val="none"/>
        <tickLblPos val="nextTo"/>
        <txPr>
          <a:bodyPr xmlns:a="http://schemas.openxmlformats.org/drawingml/2006/main"/>
          <a:lstStyle xmlns:a="http://schemas.openxmlformats.org/drawingml/2006/main"/>
          <a:p xmlns:a="http://schemas.openxmlformats.org/drawingml/2006/main">
            <a:pPr>
              <a:defRPr sz="700" b="1">
                <a:solidFill>
                  <a:schemeClr val="bg1">
                    <a:lumMod val="50000"/>
                  </a:schemeClr>
                </a:solidFill>
              </a:defRPr>
            </a:pPr>
            <a:r>
              <a:t>None</a:t>
            </a:r>
            <a:endParaRPr lang="es-CL"/>
          </a:p>
        </txPr>
        <crossAx val="232120704"/>
        <crosses val="autoZero"/>
        <lblOffset val="100"/>
        <baseTimeUnit val="months"/>
        <majorUnit val="6"/>
        <majorTimeUnit val="months"/>
        <minorUnit val="6"/>
        <minorTimeUnit val="months"/>
      </dateAx>
      <valAx>
        <axId val="232120704"/>
        <scaling>
          <orientation val="minMax"/>
          <min val="100"/>
        </scaling>
        <delete val="0"/>
        <axPos val="l"/>
        <majorGridlines>
          <spPr>
            <a:ln xmlns:a="http://schemas.openxmlformats.org/drawingml/2006/main">
              <a:solidFill>
                <a:schemeClr val="bg1">
                  <a:lumMod val="85000"/>
                </a:schemeClr>
              </a:solidFill>
              <a:prstDash val="solid"/>
            </a:ln>
          </spPr>
        </majorGridlines>
        <numFmt formatCode="0.00" sourceLinked="1"/>
        <majorTickMark val="out"/>
        <minorTickMark val="none"/>
        <tickLblPos val="nextTo"/>
        <txPr>
          <a:bodyPr xmlns:a="http://schemas.openxmlformats.org/drawingml/2006/main"/>
          <a:lstStyle xmlns:a="http://schemas.openxmlformats.org/drawingml/2006/main"/>
          <a:p xmlns:a="http://schemas.openxmlformats.org/drawingml/2006/main">
            <a:pPr>
              <a:defRPr sz="700" b="1">
                <a:solidFill>
                  <a:schemeClr val="bg1">
                    <a:lumMod val="50000"/>
                  </a:schemeClr>
                </a:solidFill>
              </a:defRPr>
            </a:pPr>
            <a:r>
              <a:t>None</a:t>
            </a:r>
            <a:endParaRPr lang="es-CL"/>
          </a:p>
        </txPr>
        <crossAx val="226663040"/>
        <crossesAt val="38687"/>
        <crossBetween val="between"/>
      </valAx>
    </plotArea>
    <legend>
      <legendPos val="b"/>
      <overlay val="0"/>
    </legend>
    <plotVisOnly val="1"/>
    <dispBlanksAs val="gap"/>
  </chart>
  <spPr>
    <a:solidFill xmlns:a="http://schemas.openxmlformats.org/drawingml/2006/main">
      <a:schemeClr val="bg1">
        <a:lumMod val="95000"/>
      </a:schemeClr>
    </a:solidFill>
    <a:ln xmlns:a="http://schemas.openxmlformats.org/drawingml/2006/main">
      <a:noFill/>
      <a:prstDash val="solid"/>
    </a:ln>
  </spPr>
</chartSpace>
</file>

<file path=xl/charts/chart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800" b="0" i="0" strike="noStrike" kern="1200" spc="0" baseline="0">
                <a:solidFill>
                  <a:schemeClr val="tx1"/>
                </a:solidFill>
                <a:latin typeface="Be Vietnam Pro Medium" pitchFamily="2" charset="0"/>
                <a:ea typeface="+mn-ea"/>
                <a:cs typeface="+mn-cs"/>
              </a:defRPr>
            </a:pPr>
            <a:r>
              <a:rPr lang="en-US" sz="1800">
                <a:solidFill>
                  <a:schemeClr val="tx1"/>
                </a:solidFill>
                <a:latin typeface="Be Vietnam Pro Medium" pitchFamily="2" charset="0"/>
              </a:rPr>
              <a:t>FIP Liquidez Presente</a:t>
            </a:r>
          </a:p>
        </rich>
      </tx>
      <layout>
        <manualLayout>
          <xMode val="edge"/>
          <yMode val="edge"/>
          <wMode val="factor"/>
          <hMode val="factor"/>
          <x val="0.3195661373943554"/>
          <y val="0.03634040859737909"/>
        </manualLayou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800" b="0" i="0" strike="noStrike" kern="1200" spc="0" baseline="0">
              <a:solidFill>
                <a:schemeClr val="tx1"/>
              </a:solidFill>
              <a:latin typeface="Be Vietnam Pro Medium" pitchFamily="2" charset="0"/>
              <a:ea typeface="+mn-ea"/>
              <a:cs typeface="+mn-cs"/>
            </a:defRPr>
          </a:pPr>
          <a:r>
            <a:t>None</a:t>
          </a:r>
          <a:endParaRPr lang="es-CL"/>
        </a:p>
      </txPr>
    </title>
    <plotArea>
      <layout>
        <manualLayout>
          <layoutTarget val="inner"/>
          <xMode val="edge"/>
          <yMode val="edge"/>
          <wMode val="factor"/>
          <hMode val="factor"/>
          <x val="0.1309436127465851"/>
          <y val="0.1632873821315852"/>
          <w val="0.8642550352850304"/>
          <h val="0.6922717972015905"/>
        </manualLayout>
      </layout>
      <lineChart>
        <grouping val="standard"/>
        <varyColors val="0"/>
        <ser>
          <idx val="0"/>
          <order val="0"/>
          <tx>
            <v>FIP Liquidez Presente</v>
          </tx>
          <spPr>
            <a:ln xmlns:a="http://schemas.openxmlformats.org/drawingml/2006/main" w="28575" cap="rnd">
              <a:solidFill>
                <a:schemeClr val="tx1"/>
              </a:solidFill>
              <a:prstDash val="solid"/>
              <a:round/>
            </a:ln>
          </spPr>
          <marker>
            <symbol val="circle"/>
            <size val="5"/>
            <spPr>
              <a:solidFill xmlns:a="http://schemas.openxmlformats.org/drawingml/2006/main">
                <a:schemeClr val="tx1"/>
              </a:solidFill>
              <a:ln xmlns:a="http://schemas.openxmlformats.org/drawingml/2006/main" w="9525">
                <a:solidFill>
                  <a:schemeClr val="tx1"/>
                </a:solidFill>
                <a:prstDash val="solid"/>
              </a:ln>
            </spPr>
          </marker>
          <cat>
            <numRef>
              <f>'Datos ICP (2)'!$F$231:$F$244</f>
              <numCache>
                <formatCode>m/d/yyyy</formatCode>
                <ptCount val="14"/>
                <pt idx="0">
                  <v>45625</v>
                </pt>
                <pt idx="1">
                  <v>45626</v>
                </pt>
                <pt idx="2">
                  <v>45657</v>
                </pt>
                <pt idx="3">
                  <v>45688</v>
                </pt>
                <pt idx="4">
                  <v>45716</v>
                </pt>
                <pt idx="5">
                  <v>45747</v>
                </pt>
                <pt idx="6">
                  <v>45777</v>
                </pt>
                <pt idx="7">
                  <v>45808</v>
                </pt>
                <pt idx="8">
                  <v>45838</v>
                </pt>
                <pt idx="9">
                  <v>45869</v>
                </pt>
                <pt idx="10">
                  <v>45900</v>
                </pt>
                <pt idx="11">
                  <v>45930</v>
                </pt>
                <pt idx="12">
                  <v>45961</v>
                </pt>
                <pt idx="13">
                  <v>45991</v>
                </pt>
              </numCache>
            </numRef>
          </cat>
          <val>
            <numRef>
              <f>'Datos ICP (2)'!$J$231:$J$244</f>
              <numCache>
                <formatCode>#,##0.00</formatCode>
                <ptCount val="14"/>
                <pt idx="0">
                  <v>100</v>
                </pt>
                <pt idx="1">
                  <v>100.5044507424555</v>
                </pt>
                <pt idx="2">
                  <v>101.0796124634576</v>
                </pt>
                <pt idx="3">
                  <v>101.6475155157338</v>
                </pt>
                <pt idx="4">
                  <v>102.2707790852137</v>
                </pt>
                <pt idx="5">
                  <v>102.9516346061918</v>
                </pt>
                <pt idx="6">
                  <v>103.6358838234255</v>
                </pt>
                <pt idx="7">
                  <v>104.3398133435331</v>
                </pt>
                <pt idx="8">
                  <v>105.0286792165505</v>
                </pt>
                <pt idx="9">
                  <v>105.6921715122038</v>
                </pt>
                <pt idx="10">
                  <v>106.3707488695186</v>
                </pt>
                <pt idx="11">
                  <v>107.0285093674458</v>
                </pt>
                <pt idx="12">
                  <v>107.8330410476196</v>
                </pt>
                <pt idx="13">
                  <v>108.4561351703385</v>
                </pt>
              </numCache>
            </numRef>
          </val>
          <smooth val="0"/>
        </ser>
        <ser>
          <idx val="1"/>
          <order val="1"/>
          <tx>
            <v>Competencia Relevante</v>
          </tx>
          <spPr>
            <a:ln xmlns:a="http://schemas.openxmlformats.org/drawingml/2006/main" w="28575" cap="rnd">
              <a:solidFill>
                <a:srgbClr val="A6A6A6"/>
              </a:solidFill>
              <a:prstDash val="solid"/>
              <a:round/>
            </a:ln>
          </spPr>
          <marker>
            <symbol val="circle"/>
            <size val="5"/>
            <spPr>
              <a:solidFill xmlns:a="http://schemas.openxmlformats.org/drawingml/2006/main">
                <a:srgbClr val="A6A6A6"/>
              </a:solidFill>
              <a:ln xmlns:a="http://schemas.openxmlformats.org/drawingml/2006/main" w="9525">
                <a:solidFill>
                  <a:srgbClr val="A6A6A6"/>
                </a:solidFill>
                <a:prstDash val="solid"/>
              </a:ln>
            </spPr>
          </marker>
          <cat>
            <numRef>
              <f>'Datos ICP (2)'!$F$231:$F$244</f>
              <numCache>
                <formatCode>m/d/yyyy</formatCode>
                <ptCount val="14"/>
                <pt idx="0">
                  <v>45625</v>
                </pt>
                <pt idx="1">
                  <v>45626</v>
                </pt>
                <pt idx="2">
                  <v>45657</v>
                </pt>
                <pt idx="3">
                  <v>45688</v>
                </pt>
                <pt idx="4">
                  <v>45716</v>
                </pt>
                <pt idx="5">
                  <v>45747</v>
                </pt>
                <pt idx="6">
                  <v>45777</v>
                </pt>
                <pt idx="7">
                  <v>45808</v>
                </pt>
                <pt idx="8">
                  <v>45838</v>
                </pt>
                <pt idx="9">
                  <v>45869</v>
                </pt>
                <pt idx="10">
                  <v>45900</v>
                </pt>
                <pt idx="11">
                  <v>45930</v>
                </pt>
                <pt idx="12">
                  <v>45961</v>
                </pt>
                <pt idx="13">
                  <v>45991</v>
                </pt>
              </numCache>
            </numRef>
          </cat>
          <val>
            <numRef>
              <f>'Datos ICP (2)'!$M$231:$M$244</f>
              <numCache>
                <formatCode>0.00</formatCode>
                <ptCount val="14"/>
                <pt idx="0">
                  <v>100</v>
                </pt>
                <pt idx="1">
                  <v>100.3450401362407</v>
                </pt>
                <pt idx="2">
                  <v>100.6586853170004</v>
                </pt>
                <pt idx="3">
                  <v>100.9528889314578</v>
                </pt>
                <pt idx="4">
                  <v>101.2516522687571</v>
                </pt>
                <pt idx="5">
                  <v>101.5517648041674</v>
                </pt>
                <pt idx="6">
                  <v>101.8539777467307</v>
                </pt>
                <pt idx="7">
                  <v>102.1585305885753</v>
                </pt>
                <pt idx="8">
                  <v>102.464705063723</v>
                </pt>
                <pt idx="9">
                  <v>102.7572797609684</v>
                </pt>
                <pt idx="10">
                  <v>103.0556612641992</v>
                </pt>
                <pt idx="11">
                  <v>103.3402613206916</v>
                </pt>
                <pt idx="12">
                  <v>103.6268000028487</v>
                </pt>
                <pt idx="13">
                  <v>103.9164385423465</v>
                </pt>
              </numCache>
            </numRef>
          </val>
          <smooth val="0"/>
        </ser>
        <ser>
          <idx val="2"/>
          <order val="2"/>
          <tx>
            <v>ICP Nom</v>
          </tx>
          <spPr>
            <a:ln xmlns:a="http://schemas.openxmlformats.org/drawingml/2006/main" w="28575" cap="rnd">
              <a:solidFill>
                <a:srgbClr val="BFBFBF"/>
              </a:solidFill>
              <a:prstDash val="solid"/>
              <a:round/>
            </a:ln>
          </spPr>
          <marker>
            <symbol val="circle"/>
            <size val="5"/>
            <spPr>
              <a:solidFill xmlns:a="http://schemas.openxmlformats.org/drawingml/2006/main">
                <a:srgbClr val="BFBFBF"/>
              </a:solidFill>
              <a:ln xmlns:a="http://schemas.openxmlformats.org/drawingml/2006/main" w="9525">
                <a:solidFill>
                  <a:srgbClr val="BFBFBF"/>
                </a:solidFill>
                <a:prstDash val="solid"/>
              </a:ln>
            </spPr>
          </marker>
          <cat>
            <numRef>
              <f>'Datos ICP (2)'!$F$231:$F$244</f>
              <numCache>
                <formatCode>m/d/yyyy</formatCode>
                <ptCount val="14"/>
                <pt idx="0">
                  <v>45625</v>
                </pt>
                <pt idx="1">
                  <v>45626</v>
                </pt>
                <pt idx="2">
                  <v>45657</v>
                </pt>
                <pt idx="3">
                  <v>45688</v>
                </pt>
                <pt idx="4">
                  <v>45716</v>
                </pt>
                <pt idx="5">
                  <v>45747</v>
                </pt>
                <pt idx="6">
                  <v>45777</v>
                </pt>
                <pt idx="7">
                  <v>45808</v>
                </pt>
                <pt idx="8">
                  <v>45838</v>
                </pt>
                <pt idx="9">
                  <v>45869</v>
                </pt>
                <pt idx="10">
                  <v>45900</v>
                </pt>
                <pt idx="11">
                  <v>45930</v>
                </pt>
                <pt idx="12">
                  <v>45961</v>
                </pt>
                <pt idx="13">
                  <v>45991</v>
                </pt>
              </numCache>
            </numRef>
          </cat>
          <val>
            <numRef>
              <f>'Datos ICP (2)'!$D$231:$D$2231</f>
              <numCache>
                <formatCode>0.00</formatCode>
                <ptCount val="2001"/>
                <pt idx="0">
                  <v>100</v>
                </pt>
                <pt idx="1">
                  <v>100.4384325547572</v>
                </pt>
                <pt idx="2">
                  <v>100.8706026879396</v>
                </pt>
                <pt idx="3">
                  <v>101.3054295166369</v>
                </pt>
                <pt idx="4">
                  <v>101.7283358758056</v>
                </pt>
                <pt idx="5">
                  <v>102.1530157862384</v>
                </pt>
                <pt idx="6">
                  <v>102.5795778140027</v>
                </pt>
                <pt idx="7">
                  <v>102.9939556571048</v>
                </pt>
                <pt idx="8">
                  <v>103.4383298904497</v>
                </pt>
                <pt idx="9">
                  <v>103.8693936562391</v>
                </pt>
                <pt idx="10">
                  <v>104.2547097056334</v>
                </pt>
                <pt idx="11">
                  <v>104.6957122116084</v>
                </pt>
                <pt idx="12">
                  <v>105.0975603814955</v>
                </pt>
                <pt idx="13">
                  <v>105.5003404392653</v>
                </pt>
                <pt idx="14">
                  <v>105.9229675237909</v>
                </pt>
                <pt idx="15">
                  <v>106.3209314191389</v>
                </pt>
                <pt idx="16">
                  <v>106.7345879573087</v>
                </pt>
                <pt idx="17">
                  <v>107.1355582748548</v>
                </pt>
                <pt idx="18">
                  <v>107.5380035662975</v>
                </pt>
              </numCache>
            </numRef>
          </val>
          <smooth val="0"/>
        </ser>
        <dLbls>
          <showLegendKey val="0"/>
          <showVal val="0"/>
          <showCatName val="0"/>
          <showSerName val="0"/>
          <showPercent val="0"/>
          <showBubbleSize val="0"/>
        </dLbls>
        <marker val="1"/>
        <smooth val="0"/>
        <axId val="635557360"/>
        <axId val="348382864"/>
      </lineChart>
      <dateAx>
        <axId val="635557360"/>
        <scaling>
          <orientation val="minMax"/>
        </scaling>
        <delete val="1"/>
        <axPos val="b"/>
        <numFmt formatCode="m/d/yyyy" sourceLinked="1"/>
        <majorTickMark val="out"/>
        <minorTickMark val="none"/>
        <tickLblPos val="nextTo"/>
        <crossAx val="348382864"/>
        <crosses val="autoZero"/>
        <lblOffset val="100"/>
        <baseTimeUnit val="days"/>
      </dateAx>
      <valAx>
        <axId val="348382864"/>
        <scaling>
          <orientation val="minMax"/>
          <min val="100"/>
        </scaling>
        <delete val="0"/>
        <axPos val="l"/>
        <majorGridlines>
          <spPr>
            <a:ln xmlns:a="http://schemas.openxmlformats.org/drawingml/2006/main" w="9525" cap="flat" cmpd="sng" algn="ctr">
              <a:solidFill>
                <a:schemeClr val="tx1">
                  <a:lumMod val="15000"/>
                  <a:lumOff val="85000"/>
                </a:schemeClr>
              </a:solidFill>
              <a:prstDash val="solid"/>
              <a:round/>
            </a:ln>
          </spPr>
        </majorGridlines>
        <title>
          <tx>
            <rich>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US"/>
                  <a:t>Indice</a:t>
                </a:r>
              </a:p>
            </rich>
          </tx>
          <overlay val="0"/>
          <spPr>
            <a:noFill xmlns:a="http://schemas.openxmlformats.org/drawingml/2006/main"/>
            <a:ln xmlns:a="http://schemas.openxmlformats.org/drawingml/2006/main">
              <a:noFill/>
              <a:prstDash val="solid"/>
            </a:ln>
          </spPr>
          <txPr>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None</a:t>
              </a:r>
              <a:endParaRPr lang="es-CL"/>
            </a:p>
          </txPr>
        </title>
        <numFmt formatCode="#,##0" sourceLinked="0"/>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1050" b="0" i="0" strike="noStrike" kern="1200" baseline="0">
                <a:solidFill>
                  <a:schemeClr val="tx1"/>
                </a:solidFill>
                <a:latin typeface="Be Vietnam Pro Medium" pitchFamily="2" charset="0"/>
                <a:ea typeface="+mn-ea"/>
                <a:cs typeface="+mn-cs"/>
              </a:defRPr>
            </a:pPr>
            <a:r>
              <a:t>None</a:t>
            </a:r>
            <a:endParaRPr lang="es-CL"/>
          </a:p>
        </txPr>
        <crossAx val="635557360"/>
        <crosses val="autoZero"/>
        <crossBetween val="between"/>
        <majorUnit val="5"/>
        <minorUnit val="5"/>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baseline="0">
              <a:solidFill>
                <a:schemeClr val="tx1"/>
              </a:solidFill>
              <a:latin typeface="Be Vietnam Pro Medium" pitchFamily="2" charset="0"/>
              <a:ea typeface="+mn-ea"/>
              <a:cs typeface="+mn-cs"/>
            </a:defRPr>
          </a:pPr>
          <a:r>
            <a:t>None</a:t>
          </a:r>
          <a:endParaRPr lang="es-CL"/>
        </a:p>
      </txPr>
    </legend>
    <plotVisOnly val="1"/>
    <dispBlanksAs val="gap"/>
  </chart>
  <spPr>
    <a:noFill xmlns:a="http://schemas.openxmlformats.org/drawingml/2006/main"/>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2"/>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3"/>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composición!$K$3:$K$6</f>
              <strCache>
                <ptCount val="4"/>
                <pt idx="0">
                  <v>Menos de 1 mes</v>
                </pt>
                <pt idx="1">
                  <v>1-3 meses</v>
                </pt>
                <pt idx="2">
                  <v>3-4 meses</v>
                </pt>
                <pt idx="3">
                  <v>Más de 4 meses</v>
                </pt>
              </strCache>
            </strRef>
          </cat>
          <val>
            <numRef>
              <f>composición!$L$3:$L$6</f>
              <numCache>
                <formatCode>0.00%</formatCode>
                <ptCount val="4"/>
                <pt idx="0">
                  <v>0.5169</v>
                </pt>
                <pt idx="1">
                  <v>0.4386</v>
                </pt>
                <pt idx="2">
                  <v>0.0444</v>
                </pt>
                <pt idx="3">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doughnutChart>
        <varyColors val="1"/>
        <ser>
          <idx val="0"/>
          <order val="0"/>
          <spPr>
            <a:ln xmlns:a="http://schemas.openxmlformats.org/drawingml/2006/main">
              <a:prstDash val="solid"/>
            </a:ln>
          </spPr>
          <explosion val="2"/>
          <dPt>
            <idx val="0"/>
            <bubble3D val="0"/>
            <spPr>
              <a:solidFill xmlns:a="http://schemas.openxmlformats.org/drawingml/2006/main">
                <a:schemeClr val="accent3">
                  <a:shade val="55000"/>
                </a:schemeClr>
              </a:solidFill>
              <a:ln xmlns:a="http://schemas.openxmlformats.org/drawingml/2006/main" w="19050">
                <a:solidFill>
                  <a:schemeClr val="lt1"/>
                </a:solidFill>
                <a:prstDash val="solid"/>
              </a:ln>
            </spPr>
          </dPt>
          <dPt>
            <idx val="1"/>
            <bubble3D val="0"/>
            <spPr>
              <a:solidFill xmlns:a="http://schemas.openxmlformats.org/drawingml/2006/main">
                <a:schemeClr val="accent3">
                  <a:shade val="68000"/>
                </a:schemeClr>
              </a:solidFill>
              <a:ln xmlns:a="http://schemas.openxmlformats.org/drawingml/2006/main" w="19050">
                <a:solidFill>
                  <a:schemeClr val="lt1"/>
                </a:solidFill>
                <a:prstDash val="solid"/>
              </a:ln>
            </spPr>
          </dPt>
          <dPt>
            <idx val="2"/>
            <bubble3D val="0"/>
            <spPr>
              <a:solidFill xmlns:a="http://schemas.openxmlformats.org/drawingml/2006/main">
                <a:schemeClr val="accent3">
                  <a:shade val="80000"/>
                </a:schemeClr>
              </a:solidFill>
              <a:ln xmlns:a="http://schemas.openxmlformats.org/drawingml/2006/main" w="19050">
                <a:solidFill>
                  <a:schemeClr val="lt1"/>
                </a:solidFill>
                <a:prstDash val="solid"/>
              </a:ln>
            </spPr>
          </dPt>
          <dPt>
            <idx val="3"/>
            <bubble3D val="0"/>
            <spPr>
              <a:solidFill xmlns:a="http://schemas.openxmlformats.org/drawingml/2006/main">
                <a:schemeClr val="accent3">
                  <a:shade val="93000"/>
                </a:schemeClr>
              </a:solidFill>
              <a:ln xmlns:a="http://schemas.openxmlformats.org/drawingml/2006/main" w="19050">
                <a:solidFill>
                  <a:schemeClr val="lt1"/>
                </a:solidFill>
                <a:prstDash val="solid"/>
              </a:ln>
            </spPr>
          </dPt>
          <dPt>
            <idx val="4"/>
            <bubble3D val="0"/>
            <spPr>
              <a:solidFill xmlns:a="http://schemas.openxmlformats.org/drawingml/2006/main">
                <a:schemeClr val="accent3">
                  <a:tint val="94000"/>
                </a:schemeClr>
              </a:solidFill>
              <a:ln xmlns:a="http://schemas.openxmlformats.org/drawingml/2006/main" w="19050">
                <a:solidFill>
                  <a:schemeClr val="lt1"/>
                </a:solidFill>
                <a:prstDash val="solid"/>
              </a:ln>
            </spPr>
          </dPt>
          <dPt>
            <idx val="5"/>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6"/>
            <bubble3D val="0"/>
            <spPr>
              <a:solidFill xmlns:a="http://schemas.openxmlformats.org/drawingml/2006/main">
                <a:schemeClr val="bg1">
                  <a:lumMod val="75000"/>
                </a:schemeClr>
              </a:solidFill>
              <a:ln xmlns:a="http://schemas.openxmlformats.org/drawingml/2006/main" w="19050">
                <a:solidFill>
                  <a:schemeClr val="lt1"/>
                </a:solidFill>
                <a:prstDash val="solid"/>
              </a:ln>
            </spPr>
          </dPt>
          <dPt>
            <idx val="7"/>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8"/>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composición!$O$3:$O$11</f>
              <strCache>
                <ptCount val="9"/>
                <pt idx="0">
                  <v>Depósitos</v>
                </pt>
                <pt idx="1">
                  <v>Factoring</v>
                </pt>
                <pt idx="2">
                  <v>Financiamiento Inmobiliario</v>
                </pt>
                <pt idx="3">
                  <v>Financiamiento Mesa Moneda Extranjera</v>
                </pt>
                <pt idx="4">
                  <v>Garantías</v>
                </pt>
                <pt idx="5">
                  <v>Nota Estructurada</v>
                </pt>
                <pt idx="6">
                  <v>Financiamiento Mesa Renta Fija</v>
                </pt>
                <pt idx="7">
                  <v>Simultánea</v>
                </pt>
                <pt idx="8">
                  <v>Efectos de Comercio</v>
                </pt>
              </strCache>
            </strRef>
          </cat>
          <val>
            <numRef>
              <f>composición!$P$3:$P$11</f>
              <numCache>
                <formatCode>0.00%</formatCode>
                <ptCount val="9"/>
                <pt idx="0">
                  <v>0</v>
                </pt>
                <pt idx="1">
                  <v>0</v>
                </pt>
                <pt idx="2">
                  <v>0.3425</v>
                </pt>
                <pt idx="3">
                  <v>0.6575</v>
                </pt>
                <pt idx="4">
                  <v>0</v>
                </pt>
                <pt idx="5">
                  <v>0</v>
                </pt>
                <pt idx="6">
                  <v>0</v>
                </pt>
                <pt idx="7">
                  <v>0</v>
                </pt>
                <pt idx="8">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2"/>
            <bubble3D val="0"/>
            <spPr>
              <a:solidFill xmlns:a="http://schemas.openxmlformats.org/drawingml/2006/main">
                <a:schemeClr val="bg1">
                  <a:lumMod val="75000"/>
                </a:schemeClr>
              </a:solidFill>
              <a:ln xmlns:a="http://schemas.openxmlformats.org/drawingml/2006/main" w="19050">
                <a:solidFill>
                  <a:schemeClr val="lt1"/>
                </a:solidFill>
                <a:prstDash val="solid"/>
              </a:ln>
            </spPr>
          </dPt>
          <dPt>
            <idx val="3"/>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4"/>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composición!$S$3:$S$4</f>
              <strCache>
                <ptCount val="2"/>
                <pt idx="0">
                  <v>Pesos</v>
                </pt>
                <pt idx="1">
                  <v>UF</v>
                </pt>
              </strCache>
            </strRef>
          </cat>
          <val>
            <numRef>
              <f>composición!$T$3:$T$4</f>
              <numCache>
                <formatCode>0.00%</formatCode>
                <ptCount val="2"/>
                <pt idx="0">
                  <v>1</v>
                </pt>
                <pt idx="1">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 Type="http://schemas.openxmlformats.org/officeDocument/2006/relationships/chart" Target="/xl/charts/chart5.xml" Id="rId3"/></Relationships>
</file>

<file path=xl/drawings/drawing1.xml><?xml version="1.0" encoding="utf-8"?>
<wsDr xmlns="http://schemas.openxmlformats.org/drawingml/2006/spreadsheetDrawing">
  <twoCellAnchor>
    <from>
      <col>45</col>
      <colOff>361950</colOff>
      <row>0</row>
      <rowOff>142875</rowOff>
    </from>
    <to>
      <col>51</col>
      <colOff>257176</colOff>
      <row>15</row>
      <rowOff>28575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3</col>
      <colOff>696082</colOff>
      <row>253</row>
      <rowOff>180520</rowOff>
    </from>
    <to>
      <col>12</col>
      <colOff>214086</colOff>
      <row>279</row>
      <rowOff>166913</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2.xml><?xml version="1.0" encoding="utf-8"?>
<wsDr xmlns="http://schemas.openxmlformats.org/drawingml/2006/spreadsheetDrawing">
  <twoCellAnchor>
    <from>
      <col>3</col>
      <colOff>106680</colOff>
      <row>33</row>
      <rowOff>34290</rowOff>
    </from>
    <to>
      <col>8</col>
      <colOff>716280</colOff>
      <row>48</row>
      <rowOff>34290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3</col>
      <colOff>76200</colOff>
      <row>18</row>
      <rowOff>34290</rowOff>
    </from>
    <to>
      <col>8</col>
      <colOff>685800</colOff>
      <row>33</row>
      <rowOff>34290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3</col>
      <colOff>175260</colOff>
      <row>1</row>
      <rowOff>167640</rowOff>
    </from>
    <to>
      <col>8</col>
      <colOff>784860</colOff>
      <row>18</row>
      <rowOff>167640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wsDr>
</file>

<file path=xl/externalLinks/_rels/externalLink1.xml.rels><Relationships xmlns="http://schemas.openxmlformats.org/package/2006/relationships"><Relationship Type="http://schemas.openxmlformats.org/officeDocument/2006/relationships/externalLinkPath" Target="file:///C:\Users\NCABEZAS\Desktop\fondos%20fin\Copia%20de%20Factsheet%20Vantrust%20Alto%20Patrimonio%20Noviembre%202018%20(00000002).xlsx" TargetMode="External" Id="rId1"/></Relationships>
</file>

<file path=xl/externalLinks/_rels/externalLink2.xml.rels><Relationships xmlns="http://schemas.openxmlformats.org/package/2006/relationships"><Relationship Type="http://schemas.openxmlformats.org/officeDocument/2006/relationships/externalLinkPath" Target="file:///C:\Users\Jorge%20Valenzuela\Downloads\ICP%20hist&#243;rico%20(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Datos ICP (2)"/>
      <sheetName val="Factsheet"/>
      <sheetName val="Graficos"/>
      <sheetName val="Datos ICP"/>
      <sheetName val="Cuota Liquidez "/>
      <sheetName val="Hoja1"/>
      <sheetName val="Hoja2"/>
    </sheetNames>
    <sheetDataSet>
      <sheetData sheetId="0">
        <row r="2">
          <cell r="D2" t="str">
            <v>ICP Norm.</v>
          </cell>
        </row>
      </sheetData>
      <sheetData sheetId="1"/>
      <sheetData sheetId="2"/>
      <sheetData sheetId="3"/>
      <sheetData sheetId="4">
        <row r="2">
          <cell r="B2">
            <v>999.94839999999999</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imple"/>
    </sheetNames>
    <sheetDataSet>
      <sheetData sheetId="0">
        <row r="3790">
          <cell r="A3790">
            <v>43041</v>
          </cell>
          <cell r="B3790">
            <v>17821.62</v>
          </cell>
        </row>
        <row r="3791">
          <cell r="A3791">
            <v>43042</v>
          </cell>
          <cell r="B3791">
            <v>17822.86</v>
          </cell>
        </row>
        <row r="3792">
          <cell r="A3792">
            <v>43045</v>
          </cell>
          <cell r="B3792">
            <v>17826.57</v>
          </cell>
        </row>
        <row r="3793">
          <cell r="A3793">
            <v>43046</v>
          </cell>
          <cell r="B3793">
            <v>17827.810000000001</v>
          </cell>
        </row>
        <row r="3794">
          <cell r="A3794">
            <v>43047</v>
          </cell>
          <cell r="B3794">
            <v>17829.05</v>
          </cell>
        </row>
        <row r="3795">
          <cell r="A3795">
            <v>43048</v>
          </cell>
          <cell r="B3795">
            <v>17830.29</v>
          </cell>
        </row>
        <row r="3796">
          <cell r="A3796">
            <v>43049</v>
          </cell>
          <cell r="B3796">
            <v>17831.53</v>
          </cell>
        </row>
        <row r="3797">
          <cell r="A3797">
            <v>43052</v>
          </cell>
          <cell r="B3797">
            <v>17835.240000000002</v>
          </cell>
        </row>
        <row r="3798">
          <cell r="A3798">
            <v>43053</v>
          </cell>
          <cell r="B3798">
            <v>17836.48</v>
          </cell>
        </row>
        <row r="3799">
          <cell r="A3799">
            <v>43054</v>
          </cell>
          <cell r="B3799">
            <v>17837.72</v>
          </cell>
        </row>
        <row r="3800">
          <cell r="A3800">
            <v>43055</v>
          </cell>
          <cell r="B3800">
            <v>17838.96</v>
          </cell>
        </row>
        <row r="3801">
          <cell r="A3801">
            <v>43056</v>
          </cell>
          <cell r="B3801">
            <v>17840.2</v>
          </cell>
        </row>
        <row r="3802">
          <cell r="A3802">
            <v>43059</v>
          </cell>
          <cell r="B3802">
            <v>17843.919999999998</v>
          </cell>
        </row>
        <row r="3803">
          <cell r="A3803">
            <v>43060</v>
          </cell>
          <cell r="B3803">
            <v>17845.16</v>
          </cell>
        </row>
        <row r="3804">
          <cell r="A3804">
            <v>43061</v>
          </cell>
          <cell r="B3804">
            <v>17846.400000000001</v>
          </cell>
        </row>
        <row r="3805">
          <cell r="A3805">
            <v>43062</v>
          </cell>
          <cell r="B3805">
            <v>17847.64</v>
          </cell>
        </row>
        <row r="3806">
          <cell r="A3806">
            <v>43063</v>
          </cell>
          <cell r="B3806">
            <v>17848.88</v>
          </cell>
        </row>
        <row r="3807">
          <cell r="A3807">
            <v>43066</v>
          </cell>
          <cell r="B3807">
            <v>17852.599999999999</v>
          </cell>
        </row>
        <row r="3808">
          <cell r="A3808">
            <v>43067</v>
          </cell>
          <cell r="B3808">
            <v>17853.84</v>
          </cell>
        </row>
        <row r="3809">
          <cell r="A3809">
            <v>43068</v>
          </cell>
          <cell r="B3809">
            <v>17855.080000000002</v>
          </cell>
        </row>
        <row r="3810">
          <cell r="A3810">
            <v>43069</v>
          </cell>
          <cell r="B3810">
            <v>17856.32</v>
          </cell>
        </row>
        <row r="3811">
          <cell r="A3811">
            <v>43070</v>
          </cell>
          <cell r="B3811">
            <v>17857.560000000001</v>
          </cell>
        </row>
        <row r="3812">
          <cell r="A3812">
            <v>43073</v>
          </cell>
          <cell r="B3812">
            <v>17861.28</v>
          </cell>
        </row>
        <row r="3813">
          <cell r="A3813">
            <v>43074</v>
          </cell>
          <cell r="B3813">
            <v>17862.52</v>
          </cell>
        </row>
        <row r="3814">
          <cell r="A3814">
            <v>43075</v>
          </cell>
          <cell r="B3814">
            <v>17863.759999999998</v>
          </cell>
        </row>
        <row r="3815">
          <cell r="A3815">
            <v>43076</v>
          </cell>
          <cell r="B3815">
            <v>17865</v>
          </cell>
        </row>
        <row r="3816">
          <cell r="A3816">
            <v>43080</v>
          </cell>
          <cell r="B3816">
            <v>17869.96</v>
          </cell>
        </row>
        <row r="3817">
          <cell r="A3817">
            <v>43081</v>
          </cell>
          <cell r="B3817">
            <v>17871.2</v>
          </cell>
        </row>
        <row r="3818">
          <cell r="A3818">
            <v>43082</v>
          </cell>
          <cell r="B3818">
            <v>17872.439999999999</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2:A4"/>
  <sheetViews>
    <sheetView showGridLines="0" workbookViewId="0">
      <selection activeCell="A2" sqref="A2"/>
    </sheetView>
  </sheetViews>
  <sheetFormatPr baseColWidth="8" defaultColWidth="11.42578125" defaultRowHeight="15"/>
  <cols>
    <col width="68.7109375" customWidth="1" min="1" max="1"/>
  </cols>
  <sheetData>
    <row r="2" ht="204" customHeight="1">
      <c r="A2" s="96" t="inlineStr">
        <is>
          <t>El IPC de abril registró una variación mensual de 1,2%, llevando la inflación anual a 4,0%, por encima de las expectativas del mercado. El alza estuvo impulsada principalmente por los combustibles y su traspaso al componente de transporte. El componente volátil de energía acumuló un avance mensual de 12,9%, reflejando especialmente los incrementos en los precios de la gasolina y el diésel asociados al shock energético observado a fines de marzo.
La inflación subyacente continuó mostrando una dinámica relativamente contenida, con un aumento de 0,5% mensual y 3,5% anual. Tanto los servicios como los bienes subyacentes mantuvieron variaciones acotadas, sin señales relevantes de efectos de segunda vuelta asociados a una aceleración de la demanda. Si bien el traspaso del shock en combustibles sigue siendo limitado fuera de los componentes más volátiles, su impacto continuará siendo monitoreado en los próximos meses.
Por su parte, el Banco Central mantuvo la tasa de política monetaria en 4,5%, manteniendo una postura cautelosa ante la incertidumbre asociada a la evolución del conflicto en Medio Oriente, la trayectoria del precio del petróleo y sus potenciales efectos sobre la convergencia inflacionaria.</t>
        </is>
      </c>
    </row>
    <row r="3">
      <c r="A3" s="96" t="n"/>
    </row>
    <row r="4">
      <c r="A4" s="82"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K251"/>
  <sheetViews>
    <sheetView showGridLines="0" topLeftCell="AL1" zoomScale="84" zoomScaleNormal="80" workbookViewId="0">
      <selection activeCell="AW19" sqref="AW19"/>
    </sheetView>
  </sheetViews>
  <sheetFormatPr baseColWidth="8" defaultColWidth="12.28515625" defaultRowHeight="15"/>
  <cols>
    <col width="18.28515625" customWidth="1" style="9" min="1" max="2"/>
    <col width="12.28515625" bestFit="1" customWidth="1" style="9" min="3" max="4"/>
    <col width="12.28515625" customWidth="1" style="9" min="5" max="5"/>
    <col width="16.140625" customWidth="1" style="9" min="6" max="6"/>
    <col width="15.42578125" bestFit="1" customWidth="1" style="106" min="7" max="7"/>
    <col width="14.5703125" customWidth="1" style="106" min="8" max="8"/>
    <col width="12.28515625" bestFit="1" customWidth="1" style="107" min="9" max="9"/>
    <col width="12.28515625" bestFit="1" customWidth="1" style="9" min="10" max="10"/>
    <col width="15.140625" customWidth="1" style="9" min="11" max="11"/>
    <col width="12.28515625" bestFit="1" customWidth="1" style="9" min="12" max="12"/>
    <col width="11.85546875" bestFit="1" customWidth="1" style="9" min="13" max="15"/>
    <col width="13.85546875" customWidth="1" style="9" min="16" max="16"/>
    <col width="14.42578125" customWidth="1" style="9" min="17" max="17"/>
    <col width="15.42578125" customWidth="1" style="9" min="18" max="18"/>
    <col width="13.85546875" customWidth="1" style="9" min="19" max="19"/>
    <col width="15.140625" customWidth="1" style="9" min="20" max="20"/>
    <col width="13.85546875" customWidth="1" style="9" min="21" max="21"/>
    <col width="14.5703125" customWidth="1" style="9" min="22" max="22"/>
    <col width="14.42578125" customWidth="1" style="9" min="23" max="23"/>
    <col width="14.7109375" customWidth="1" style="9" min="24" max="24"/>
    <col width="15.85546875" customWidth="1" style="9" min="25" max="25"/>
    <col width="16" customWidth="1" style="9" min="26" max="26"/>
    <col width="15" customWidth="1" style="9" min="27" max="27"/>
    <col width="5.5703125" bestFit="1" customWidth="1" style="9" min="28" max="28"/>
    <col width="8.42578125" customWidth="1" style="9" min="29" max="29"/>
    <col width="14.140625" customWidth="1" style="9" min="30" max="30"/>
    <col width="8.85546875" customWidth="1" style="9" min="31" max="31"/>
    <col width="8.28515625" customWidth="1" style="9" min="32" max="32"/>
    <col width="7.42578125" customWidth="1" style="9" min="33" max="33"/>
    <col width="7.85546875" customWidth="1" style="9" min="34" max="35"/>
    <col width="8.42578125" customWidth="1" style="9" min="36" max="36"/>
    <col width="10.5703125" bestFit="1" customWidth="1" style="9" min="37" max="37"/>
    <col width="8.140625" bestFit="1" customWidth="1" style="9" min="38" max="38"/>
    <col width="7.5703125" customWidth="1" style="9" min="39" max="40"/>
    <col width="7.42578125" customWidth="1" style="9" min="41" max="41"/>
    <col width="7.7109375" customWidth="1" style="9" min="42" max="42"/>
    <col width="9.28515625" customWidth="1" style="9" min="43" max="43"/>
    <col width="3.85546875" customWidth="1" style="9" min="44" max="44"/>
    <col width="11.7109375" customWidth="1" style="9" min="45" max="45"/>
    <col width="12.28515625" customWidth="1" style="9" min="46" max="46"/>
    <col width="12.7109375" customWidth="1" style="9" min="47" max="47"/>
    <col width="11.7109375" customWidth="1" style="9" min="48" max="48"/>
    <col width="14.28515625" bestFit="1" customWidth="1" style="9" min="49" max="49"/>
    <col width="14.140625" bestFit="1" customWidth="1" style="9" min="50" max="51"/>
    <col width="13.5703125" customWidth="1" style="9" min="52" max="52"/>
    <col width="14" customWidth="1" style="9" min="53" max="53"/>
    <col width="14.140625" bestFit="1" customWidth="1" style="9" min="54" max="54"/>
    <col width="12.28515625" customWidth="1" style="9" min="55" max="16384"/>
  </cols>
  <sheetData>
    <row r="1" ht="15.75" customHeight="1">
      <c r="A1" s="9" t="inlineStr">
        <is>
          <t>CLICP Index</t>
        </is>
      </c>
      <c r="F1" s="9" t="inlineStr">
        <is>
          <t>Cuota Liquidez</t>
        </is>
      </c>
      <c r="AC1" s="12" t="n"/>
      <c r="AD1" s="13" t="inlineStr">
        <is>
          <t>ICP</t>
        </is>
      </c>
      <c r="AE1" s="14" t="inlineStr">
        <is>
          <t>Ene</t>
        </is>
      </c>
      <c r="AF1" s="14" t="inlineStr">
        <is>
          <t>Feb</t>
        </is>
      </c>
      <c r="AG1" s="14" t="inlineStr">
        <is>
          <t>Mar</t>
        </is>
      </c>
      <c r="AH1" s="14" t="inlineStr">
        <is>
          <t>Abr</t>
        </is>
      </c>
      <c r="AI1" s="14" t="inlineStr">
        <is>
          <t>May</t>
        </is>
      </c>
      <c r="AJ1" s="14" t="inlineStr">
        <is>
          <t>Jun</t>
        </is>
      </c>
      <c r="AK1" s="14" t="inlineStr">
        <is>
          <t>Jul</t>
        </is>
      </c>
      <c r="AL1" s="14" t="inlineStr">
        <is>
          <t>Ago</t>
        </is>
      </c>
      <c r="AM1" s="14" t="inlineStr">
        <is>
          <t>Sep</t>
        </is>
      </c>
      <c r="AN1" s="14" t="inlineStr">
        <is>
          <t>Oct</t>
        </is>
      </c>
      <c r="AO1" s="14" t="inlineStr">
        <is>
          <t>Nov</t>
        </is>
      </c>
      <c r="AP1" s="14" t="inlineStr">
        <is>
          <t>Dic</t>
        </is>
      </c>
      <c r="AQ1" s="14" t="inlineStr">
        <is>
          <t>Total Año</t>
        </is>
      </c>
      <c r="AR1" s="15" t="n"/>
      <c r="AS1" s="15" t="n"/>
    </row>
    <row r="2">
      <c r="A2" s="16" t="inlineStr">
        <is>
          <t>Fecha</t>
        </is>
      </c>
      <c r="B2" s="16" t="inlineStr">
        <is>
          <t>ICP</t>
        </is>
      </c>
      <c r="C2" s="16" t="n"/>
      <c r="D2" s="16" t="inlineStr">
        <is>
          <t>ICP Norm.</t>
        </is>
      </c>
      <c r="E2" s="16" t="n"/>
      <c r="F2" s="16" t="n"/>
      <c r="G2" s="108" t="n"/>
      <c r="H2" s="108" t="n"/>
      <c r="J2" s="9" t="inlineStr">
        <is>
          <t>Fondo Liquidez Presente</t>
        </is>
      </c>
      <c r="K2" s="18" t="inlineStr">
        <is>
          <t>8730-0</t>
        </is>
      </c>
      <c r="L2" s="67" t="n"/>
      <c r="M2" s="9" t="inlineStr">
        <is>
          <t>Competencia Relevante (*)</t>
        </is>
      </c>
      <c r="P2" s="9" t="inlineStr">
        <is>
          <t>Ene</t>
        </is>
      </c>
      <c r="Q2" s="9" t="inlineStr">
        <is>
          <t>Feb</t>
        </is>
      </c>
      <c r="R2" s="9" t="inlineStr">
        <is>
          <t>Mar</t>
        </is>
      </c>
      <c r="S2" s="9" t="inlineStr">
        <is>
          <t>Abr</t>
        </is>
      </c>
      <c r="T2" s="9" t="inlineStr">
        <is>
          <t>May</t>
        </is>
      </c>
      <c r="U2" s="9" t="inlineStr">
        <is>
          <t>Jun</t>
        </is>
      </c>
      <c r="V2" s="9" t="inlineStr">
        <is>
          <t>Jul</t>
        </is>
      </c>
      <c r="W2" s="9" t="inlineStr">
        <is>
          <t>Ago</t>
        </is>
      </c>
      <c r="X2" s="9" t="inlineStr">
        <is>
          <t>Sep</t>
        </is>
      </c>
      <c r="Y2" s="9" t="inlineStr">
        <is>
          <t>Oct</t>
        </is>
      </c>
      <c r="Z2" s="9" t="inlineStr">
        <is>
          <t>Nov</t>
        </is>
      </c>
      <c r="AA2" s="9" t="inlineStr">
        <is>
          <t>Dic</t>
        </is>
      </c>
      <c r="AC2" s="12" t="n"/>
      <c r="AD2" s="20" t="n">
        <v>2006</v>
      </c>
      <c r="AE2" s="21">
        <f>P3/N3-1</f>
        <v/>
      </c>
      <c r="AF2" s="21">
        <f>Q3/P3-1</f>
        <v/>
      </c>
      <c r="AG2" s="21">
        <f>R3/Q3-1</f>
        <v/>
      </c>
      <c r="AH2" s="21">
        <f>S3/R3-1</f>
        <v/>
      </c>
      <c r="AI2" s="21">
        <f>T3/S3-1</f>
        <v/>
      </c>
      <c r="AJ2" s="21">
        <f>U3/T3-1</f>
        <v/>
      </c>
      <c r="AK2" s="21">
        <f>V3/U3-1</f>
        <v/>
      </c>
      <c r="AL2" s="21">
        <f>W3/V3-1</f>
        <v/>
      </c>
      <c r="AM2" s="21">
        <f>X3/W3-1</f>
        <v/>
      </c>
      <c r="AN2" s="21">
        <f>Y3/X3-1</f>
        <v/>
      </c>
      <c r="AO2" s="21">
        <f>Z3/Y3-1</f>
        <v/>
      </c>
      <c r="AP2" s="21">
        <f>AA3/Z3-1</f>
        <v/>
      </c>
      <c r="AQ2" s="22">
        <f>AA3/N3-1</f>
        <v/>
      </c>
      <c r="AR2" s="15" t="n"/>
      <c r="AS2" s="15" t="n"/>
    </row>
    <row r="3">
      <c r="A3" s="23" t="n">
        <v>38717</v>
      </c>
      <c r="B3" s="24" t="n">
        <v>10953.14</v>
      </c>
      <c r="D3" s="25" t="n"/>
      <c r="E3" s="25" t="n"/>
      <c r="F3" s="25" t="n"/>
      <c r="K3" s="18" t="inlineStr">
        <is>
          <t>SERIE E</t>
        </is>
      </c>
      <c r="L3" s="67" t="n"/>
      <c r="N3" s="24">
        <f>B3</f>
        <v/>
      </c>
      <c r="O3" s="9" t="n">
        <v>2006</v>
      </c>
      <c r="P3" s="109" t="n">
        <v>10996.85</v>
      </c>
      <c r="Q3" s="109" t="n">
        <v>11035.11</v>
      </c>
      <c r="R3" s="109" t="n">
        <v>11078.66</v>
      </c>
      <c r="S3" s="109" t="n">
        <v>11118.82</v>
      </c>
      <c r="T3" s="109" t="n">
        <v>11169.1</v>
      </c>
      <c r="U3" s="109" t="n">
        <v>11215.04</v>
      </c>
      <c r="V3" s="109" t="n">
        <v>11263.22</v>
      </c>
      <c r="W3" s="109" t="n">
        <v>11313.29</v>
      </c>
      <c r="X3" s="109" t="n">
        <v>11360.92</v>
      </c>
      <c r="Y3" s="109" t="n">
        <v>11413.02</v>
      </c>
      <c r="Z3" s="109" t="n">
        <v>11463.01</v>
      </c>
      <c r="AA3" s="109" t="n">
        <v>11512.49</v>
      </c>
      <c r="AC3" s="12" t="n"/>
      <c r="AD3" s="27" t="n">
        <v>2007</v>
      </c>
      <c r="AE3" s="28">
        <f>P4/AA3-1</f>
        <v/>
      </c>
      <c r="AF3" s="28">
        <f>Q4/P4-1</f>
        <v/>
      </c>
      <c r="AG3" s="28">
        <f>R4/Q4-1</f>
        <v/>
      </c>
      <c r="AH3" s="28">
        <f>S4/R4-1</f>
        <v/>
      </c>
      <c r="AI3" s="28">
        <f>T4/S4-1</f>
        <v/>
      </c>
      <c r="AJ3" s="28">
        <f>U4/T4-1</f>
        <v/>
      </c>
      <c r="AK3" s="28">
        <f>V4/U4-1</f>
        <v/>
      </c>
      <c r="AL3" s="28">
        <f>W4/V4-1</f>
        <v/>
      </c>
      <c r="AM3" s="28">
        <f>X4/W4-1</f>
        <v/>
      </c>
      <c r="AN3" s="28">
        <f>Y4/X4-1</f>
        <v/>
      </c>
      <c r="AO3" s="28">
        <f>Z4/Y4-1</f>
        <v/>
      </c>
      <c r="AP3" s="28">
        <f>AA4/Z4-1</f>
        <v/>
      </c>
      <c r="AQ3" s="29">
        <f>AA4/AA3-1</f>
        <v/>
      </c>
      <c r="AR3" s="15" t="n"/>
      <c r="AS3" s="15" t="n"/>
    </row>
    <row r="4">
      <c r="A4" s="110" t="n">
        <v>38748</v>
      </c>
      <c r="B4" s="109" t="n">
        <v>10996.85</v>
      </c>
      <c r="C4" s="31">
        <f>(B4/B3-1)/(A4-A3)*30</f>
        <v/>
      </c>
      <c r="D4" s="25" t="n"/>
      <c r="E4" s="25" t="n"/>
      <c r="F4" s="25" t="n"/>
      <c r="K4" s="18" t="inlineStr">
        <is>
          <t>BCI EFICIENTE</t>
        </is>
      </c>
      <c r="L4" s="67" t="n"/>
      <c r="O4" s="9" t="n">
        <v>2007</v>
      </c>
      <c r="P4" s="109" t="n">
        <v>11567.23</v>
      </c>
      <c r="Q4" s="109" t="n">
        <v>11612.68</v>
      </c>
      <c r="R4" s="109" t="n">
        <v>11661.5</v>
      </c>
      <c r="S4" s="109" t="n">
        <v>11712.58</v>
      </c>
      <c r="T4" s="109" t="n">
        <v>11763.78</v>
      </c>
      <c r="U4" s="109" t="n">
        <v>11812.23</v>
      </c>
      <c r="V4" s="109" t="n">
        <v>11866.53</v>
      </c>
      <c r="W4" s="109" t="n">
        <v>11922.48</v>
      </c>
      <c r="X4" s="109" t="n">
        <v>11975.61</v>
      </c>
      <c r="Y4" s="109" t="n">
        <v>12038.9</v>
      </c>
      <c r="Z4" s="109" t="n">
        <v>12096.85</v>
      </c>
      <c r="AA4" s="109" t="n">
        <v>12152.6</v>
      </c>
      <c r="AC4" s="12" t="n"/>
      <c r="AD4" s="20" t="n">
        <v>2008</v>
      </c>
      <c r="AE4" s="21">
        <f>P5/AA4-1</f>
        <v/>
      </c>
      <c r="AF4" s="21">
        <f>Q5/P5-1</f>
        <v/>
      </c>
      <c r="AG4" s="21">
        <f>R5/Q5-1</f>
        <v/>
      </c>
      <c r="AH4" s="21">
        <f>S5/R5-1</f>
        <v/>
      </c>
      <c r="AI4" s="21">
        <f>T5/S5-1</f>
        <v/>
      </c>
      <c r="AJ4" s="21">
        <f>U5/T5-1</f>
        <v/>
      </c>
      <c r="AK4" s="21">
        <f>V5/U5-1</f>
        <v/>
      </c>
      <c r="AL4" s="21">
        <f>W5/V5-1</f>
        <v/>
      </c>
      <c r="AM4" s="21">
        <f>X5/W5-1</f>
        <v/>
      </c>
      <c r="AN4" s="21">
        <f>Y5/X5-1</f>
        <v/>
      </c>
      <c r="AO4" s="21">
        <f>Z5/Y5-1</f>
        <v/>
      </c>
      <c r="AP4" s="21">
        <f>AA5/Z5-1</f>
        <v/>
      </c>
      <c r="AQ4" s="22">
        <f>AA5/AA4-1</f>
        <v/>
      </c>
      <c r="AR4" s="15" t="n"/>
      <c r="AS4" s="15" t="n"/>
    </row>
    <row r="5">
      <c r="A5" s="23" t="n">
        <v>38776</v>
      </c>
      <c r="B5" s="109" t="n">
        <v>11035.11</v>
      </c>
      <c r="C5" s="31">
        <f>(B5/B4-1)/(A5-A4)*30</f>
        <v/>
      </c>
      <c r="D5" s="25" t="n"/>
      <c r="E5" s="25" t="n"/>
      <c r="F5" s="25" t="n"/>
      <c r="O5" s="9" t="n">
        <v>2008</v>
      </c>
      <c r="P5" s="109" t="n">
        <v>12223.14</v>
      </c>
      <c r="Q5" s="109" t="n">
        <v>12284.88</v>
      </c>
      <c r="R5" s="109" t="n">
        <v>12351.45</v>
      </c>
      <c r="S5" s="109" t="n">
        <v>12416.18</v>
      </c>
      <c r="T5" s="109" t="n">
        <v>12481.48</v>
      </c>
      <c r="U5" s="109" t="n">
        <v>12552.23</v>
      </c>
      <c r="V5" s="109" t="n">
        <v>12628.9</v>
      </c>
      <c r="W5" s="109" t="n">
        <v>12704.63</v>
      </c>
      <c r="X5" s="109" t="n">
        <v>12796.95</v>
      </c>
      <c r="Y5" s="109" t="n">
        <v>12885.37</v>
      </c>
      <c r="Z5" s="109" t="n">
        <v>12970.93</v>
      </c>
      <c r="AA5" s="109" t="n">
        <v>13066.33</v>
      </c>
      <c r="AC5" s="12" t="n"/>
      <c r="AD5" s="27" t="n">
        <v>2009</v>
      </c>
      <c r="AE5" s="28">
        <f>P6/AA5-1</f>
        <v/>
      </c>
      <c r="AF5" s="28">
        <f>Q6/P6-1</f>
        <v/>
      </c>
      <c r="AG5" s="28">
        <f>R6/Q6-1</f>
        <v/>
      </c>
      <c r="AH5" s="28">
        <f>S6/R6-1</f>
        <v/>
      </c>
      <c r="AI5" s="28">
        <f>T6/S6-1</f>
        <v/>
      </c>
      <c r="AJ5" s="28">
        <f>U6/T6-1</f>
        <v/>
      </c>
      <c r="AK5" s="28">
        <f>V6/U6-1</f>
        <v/>
      </c>
      <c r="AL5" s="28">
        <f>W6/V6-1</f>
        <v/>
      </c>
      <c r="AM5" s="28">
        <f>X6/W6-1</f>
        <v/>
      </c>
      <c r="AN5" s="28">
        <f>Y6/X6-1</f>
        <v/>
      </c>
      <c r="AO5" s="28">
        <f>Z6/Y6-1</f>
        <v/>
      </c>
      <c r="AP5" s="28">
        <f>AA6/Z6-1</f>
        <v/>
      </c>
      <c r="AQ5" s="29">
        <f>AA6/AA5-1</f>
        <v/>
      </c>
      <c r="AR5" s="15" t="n"/>
      <c r="AS5" s="15" t="n"/>
    </row>
    <row r="6">
      <c r="A6" s="23" t="n">
        <v>38807</v>
      </c>
      <c r="B6" s="109" t="n">
        <v>11078.66</v>
      </c>
      <c r="C6" s="31">
        <f>(B6/B5-1)/(A6-A5)*30</f>
        <v/>
      </c>
      <c r="D6" s="25" t="n"/>
      <c r="E6" s="25" t="n"/>
      <c r="F6" s="25" t="n"/>
      <c r="O6" s="9" t="n">
        <v>2009</v>
      </c>
      <c r="P6" s="109" t="n">
        <v>13151.16</v>
      </c>
      <c r="Q6" s="109" t="n">
        <v>13212.09</v>
      </c>
      <c r="R6" s="109" t="n">
        <v>13251.18</v>
      </c>
      <c r="S6" s="109" t="n">
        <v>13272.62</v>
      </c>
      <c r="T6" s="109" t="n">
        <v>13286.96</v>
      </c>
      <c r="U6" s="109" t="n">
        <v>13299.08</v>
      </c>
      <c r="V6" s="109" t="n">
        <v>13305.34</v>
      </c>
      <c r="W6" s="109" t="n">
        <v>13310.07</v>
      </c>
      <c r="X6" s="109" t="n">
        <v>13315.05</v>
      </c>
      <c r="Y6" s="109" t="n">
        <v>13319.74</v>
      </c>
      <c r="Z6" s="109" t="n">
        <v>13324.51</v>
      </c>
      <c r="AA6" s="109" t="n">
        <v>13329.5</v>
      </c>
      <c r="AC6" s="12" t="n"/>
      <c r="AD6" s="20" t="n">
        <v>2010</v>
      </c>
      <c r="AE6" s="21">
        <f>P7/AA6-1</f>
        <v/>
      </c>
      <c r="AF6" s="21">
        <f>Q7/P7-1</f>
        <v/>
      </c>
      <c r="AG6" s="21">
        <f>R7/Q7-1</f>
        <v/>
      </c>
      <c r="AH6" s="21">
        <f>S7/R7-1</f>
        <v/>
      </c>
      <c r="AI6" s="21">
        <f>T7/S7-1</f>
        <v/>
      </c>
      <c r="AJ6" s="21">
        <f>U7/T7-1</f>
        <v/>
      </c>
      <c r="AK6" s="21">
        <f>V7/U7-1</f>
        <v/>
      </c>
      <c r="AL6" s="21">
        <f>W7/V7-1</f>
        <v/>
      </c>
      <c r="AM6" s="21">
        <f>X7/W7-1</f>
        <v/>
      </c>
      <c r="AN6" s="21">
        <f>Y7/X7-1</f>
        <v/>
      </c>
      <c r="AO6" s="21">
        <f>Z7/Y7-1</f>
        <v/>
      </c>
      <c r="AP6" s="21">
        <f>AA7/Z7-1</f>
        <v/>
      </c>
      <c r="AQ6" s="22">
        <f>AA7/AA6-1</f>
        <v/>
      </c>
      <c r="AR6" s="15" t="n"/>
      <c r="AS6" s="15" t="n"/>
    </row>
    <row r="7">
      <c r="A7" s="23" t="n">
        <v>38835</v>
      </c>
      <c r="B7" s="109" t="n">
        <v>11118.82</v>
      </c>
      <c r="C7" s="31">
        <f>(B7/B6-1)/(A7-A6)*30</f>
        <v/>
      </c>
      <c r="D7" s="25" t="n"/>
      <c r="E7" s="25" t="n"/>
      <c r="F7" s="25" t="n"/>
      <c r="O7" s="9" t="n">
        <v>2010</v>
      </c>
      <c r="P7" s="109" t="n">
        <v>13334.25</v>
      </c>
      <c r="Q7" s="109" t="n">
        <v>13338.53</v>
      </c>
      <c r="R7" s="109" t="n">
        <v>13343.79</v>
      </c>
      <c r="S7" s="109" t="n">
        <v>13348.63</v>
      </c>
      <c r="T7" s="109" t="n">
        <v>13353.5</v>
      </c>
      <c r="U7" s="109" t="n">
        <v>13360.9</v>
      </c>
      <c r="V7" s="109" t="n">
        <v>13373.99</v>
      </c>
      <c r="W7" s="109" t="n">
        <v>13395.21</v>
      </c>
      <c r="X7" s="109" t="n">
        <v>13419.79</v>
      </c>
      <c r="Y7" s="109" t="n">
        <v>13448.69</v>
      </c>
      <c r="Z7" s="109" t="n">
        <v>13483.02</v>
      </c>
      <c r="AA7" s="109" t="n">
        <v>13522.93</v>
      </c>
      <c r="AC7" s="12" t="n"/>
      <c r="AD7" s="27" t="n">
        <v>2011</v>
      </c>
      <c r="AE7" s="28">
        <f>P8/AA7-1</f>
        <v/>
      </c>
      <c r="AF7" s="28">
        <f>Q8/P8-1</f>
        <v/>
      </c>
      <c r="AG7" s="28">
        <f>R8/Q8-1</f>
        <v/>
      </c>
      <c r="AH7" s="28">
        <f>S8/R8-1</f>
        <v/>
      </c>
      <c r="AI7" s="28">
        <f>T8/S8-1</f>
        <v/>
      </c>
      <c r="AJ7" s="28">
        <f>U8/T8-1</f>
        <v/>
      </c>
      <c r="AK7" s="28">
        <f>V8/U8-1</f>
        <v/>
      </c>
      <c r="AL7" s="28">
        <f>W8/V8-1</f>
        <v/>
      </c>
      <c r="AM7" s="28">
        <f>X8/W8-1</f>
        <v/>
      </c>
      <c r="AN7" s="28">
        <f>Y8/X8-1</f>
        <v/>
      </c>
      <c r="AO7" s="28">
        <f>Z8/Y8-1</f>
        <v/>
      </c>
      <c r="AP7" s="28">
        <f>AA8/Z8-1</f>
        <v/>
      </c>
      <c r="AQ7" s="29">
        <f>AA8/AA7-1</f>
        <v/>
      </c>
      <c r="AR7" s="15" t="n"/>
      <c r="AS7" s="15" t="n"/>
    </row>
    <row r="8">
      <c r="A8" s="23" t="n">
        <v>38868</v>
      </c>
      <c r="B8" s="109" t="n">
        <v>11169.1</v>
      </c>
      <c r="C8" s="31">
        <f>(B8/B7-1)/(A8-A7)*30</f>
        <v/>
      </c>
      <c r="D8" s="25" t="n"/>
      <c r="E8" s="25" t="n"/>
      <c r="F8" s="25" t="n"/>
      <c r="O8" s="9" t="n">
        <v>2011</v>
      </c>
      <c r="P8" s="109" t="n">
        <v>13557.12</v>
      </c>
      <c r="Q8" s="109" t="n">
        <v>13592.3</v>
      </c>
      <c r="R8" s="109" t="n">
        <v>13635.91</v>
      </c>
      <c r="S8" s="109" t="n">
        <v>13682.94</v>
      </c>
      <c r="T8" s="109" t="n">
        <v>13741.06</v>
      </c>
      <c r="U8" s="109" t="n">
        <v>13799.74</v>
      </c>
      <c r="V8" s="109" t="n">
        <v>13858.14</v>
      </c>
      <c r="W8" s="109" t="n">
        <v>13925.03</v>
      </c>
      <c r="X8" s="109" t="n">
        <v>13985.97</v>
      </c>
      <c r="Y8" s="109" t="n">
        <v>14043.21</v>
      </c>
      <c r="Z8" s="109" t="n">
        <v>14110.87</v>
      </c>
      <c r="AA8" s="109" t="n">
        <v>14172.63</v>
      </c>
      <c r="AC8" s="12" t="n"/>
      <c r="AD8" s="20" t="n">
        <v>2012</v>
      </c>
      <c r="AE8" s="21">
        <f>P9/AA8-1</f>
        <v/>
      </c>
      <c r="AF8" s="21">
        <f>Q9/P9-1</f>
        <v/>
      </c>
      <c r="AG8" s="21">
        <f>R9/Q9-1</f>
        <v/>
      </c>
      <c r="AH8" s="21">
        <f>S9/R9-1</f>
        <v/>
      </c>
      <c r="AI8" s="21">
        <f>T9/S9-1</f>
        <v/>
      </c>
      <c r="AJ8" s="21">
        <f>U9/T9-1</f>
        <v/>
      </c>
      <c r="AK8" s="21">
        <f>V9/U9-1</f>
        <v/>
      </c>
      <c r="AL8" s="21">
        <f>W9/V9-1</f>
        <v/>
      </c>
      <c r="AM8" s="21">
        <f>X9/W9-1</f>
        <v/>
      </c>
      <c r="AN8" s="21">
        <f>Y9/X9-1</f>
        <v/>
      </c>
      <c r="AO8" s="21">
        <f>Z9/Y9-1</f>
        <v/>
      </c>
      <c r="AP8" s="21">
        <f>AA9/Z9-1</f>
        <v/>
      </c>
      <c r="AQ8" s="22">
        <f>AA9/AA8-1</f>
        <v/>
      </c>
      <c r="AR8" s="15" t="n"/>
      <c r="AS8" s="15" t="n"/>
    </row>
    <row r="9">
      <c r="A9" s="23" t="n">
        <v>38898</v>
      </c>
      <c r="B9" s="109" t="n">
        <v>11215.04</v>
      </c>
      <c r="C9" s="31">
        <f>(B9/B8-1)/(A9-A8)*30</f>
        <v/>
      </c>
      <c r="D9" s="25" t="n"/>
      <c r="E9" s="25" t="n"/>
      <c r="F9" s="25" t="n"/>
      <c r="O9" s="9" t="n">
        <v>2012</v>
      </c>
      <c r="P9" s="109" t="n">
        <v>14236.38</v>
      </c>
      <c r="Q9" s="109" t="n">
        <v>14293.67</v>
      </c>
      <c r="R9" s="109" t="n">
        <v>14353.34</v>
      </c>
      <c r="S9" s="109" t="n">
        <v>14415.21</v>
      </c>
      <c r="T9" s="109" t="n">
        <v>14477.55</v>
      </c>
      <c r="U9" s="109" t="n">
        <v>14536.13</v>
      </c>
      <c r="V9" s="109" t="n">
        <v>14600.61</v>
      </c>
      <c r="W9" s="109" t="n">
        <v>14663.33</v>
      </c>
      <c r="X9" s="109" t="n">
        <v>14720.68</v>
      </c>
      <c r="Y9" s="109" t="n">
        <v>14788.56</v>
      </c>
      <c r="Z9" s="109" t="n">
        <v>14850.38</v>
      </c>
      <c r="AA9" s="109" t="n">
        <v>14908.2</v>
      </c>
      <c r="AC9" s="12" t="n"/>
      <c r="AD9" s="27" t="n">
        <v>2013</v>
      </c>
      <c r="AE9" s="28">
        <f>P10/AA9-1</f>
        <v/>
      </c>
      <c r="AF9" s="28">
        <f>Q10/P10-1</f>
        <v/>
      </c>
      <c r="AG9" s="28">
        <f>R10/Q10-1</f>
        <v/>
      </c>
      <c r="AH9" s="28">
        <f>S10/R10-1</f>
        <v/>
      </c>
      <c r="AI9" s="28">
        <f>T10/S10-1</f>
        <v/>
      </c>
      <c r="AJ9" s="28">
        <f>U10/T10-1</f>
        <v/>
      </c>
      <c r="AK9" s="28">
        <f>V10/U10-1</f>
        <v/>
      </c>
      <c r="AL9" s="28">
        <f>W10/V10-1</f>
        <v/>
      </c>
      <c r="AM9" s="28">
        <f>X10/W10-1</f>
        <v/>
      </c>
      <c r="AN9" s="28">
        <f>Y10/X10-1</f>
        <v/>
      </c>
      <c r="AO9" s="28">
        <f>Z10/Y10-1</f>
        <v/>
      </c>
      <c r="AP9" s="28">
        <f>AA10/Z10-1</f>
        <v/>
      </c>
      <c r="AQ9" s="29">
        <f>AA10/AA9-1</f>
        <v/>
      </c>
      <c r="AR9" s="15" t="n"/>
      <c r="AS9" s="15" t="n"/>
    </row>
    <row r="10">
      <c r="A10" s="23" t="n">
        <v>38929</v>
      </c>
      <c r="B10" s="109" t="n">
        <v>11263.22</v>
      </c>
      <c r="C10" s="31">
        <f>(B10/B9-1)/(A10-A9)*30</f>
        <v/>
      </c>
      <c r="D10" s="25" t="n"/>
      <c r="E10" s="25" t="n"/>
      <c r="F10" s="25" t="n"/>
      <c r="O10" s="9" t="n">
        <v>2013</v>
      </c>
      <c r="P10" s="109" t="n">
        <v>14978.58</v>
      </c>
      <c r="Q10" s="109" t="n">
        <v>15036.94</v>
      </c>
      <c r="R10" s="109" t="n">
        <v>15095.51</v>
      </c>
      <c r="S10" s="109" t="n">
        <v>15164.77</v>
      </c>
      <c r="T10" s="109" t="n">
        <v>15230.38</v>
      </c>
      <c r="U10" s="109" t="n">
        <v>15289.74</v>
      </c>
      <c r="V10" s="109" t="n">
        <v>15360.27</v>
      </c>
      <c r="W10" s="109" t="n">
        <v>15424.43</v>
      </c>
      <c r="X10" s="109" t="n">
        <v>15490.99</v>
      </c>
      <c r="Y10" s="109" t="n">
        <v>15554.36</v>
      </c>
      <c r="Z10" s="109" t="n">
        <v>15615.06</v>
      </c>
      <c r="AA10" s="109" t="n">
        <v>15675.68</v>
      </c>
      <c r="AC10" s="12" t="n"/>
      <c r="AD10" s="20" t="n">
        <v>2014</v>
      </c>
      <c r="AE10" s="21">
        <f>P11/AA10-1</f>
        <v/>
      </c>
      <c r="AF10" s="21">
        <f>Q11/P11-1</f>
        <v/>
      </c>
      <c r="AG10" s="21">
        <f>R11/Q11-1</f>
        <v/>
      </c>
      <c r="AH10" s="21">
        <f>S11/R11-1</f>
        <v/>
      </c>
      <c r="AI10" s="21">
        <f>T11/S11-1</f>
        <v/>
      </c>
      <c r="AJ10" s="21">
        <f>U11/T11-1</f>
        <v/>
      </c>
      <c r="AK10" s="21">
        <f>V11/U11-1</f>
        <v/>
      </c>
      <c r="AL10" s="21">
        <f>W11/V11-1</f>
        <v/>
      </c>
      <c r="AM10" s="21">
        <f>X11/W11-1</f>
        <v/>
      </c>
      <c r="AN10" s="21">
        <f>Y11/X11-1</f>
        <v/>
      </c>
      <c r="AO10" s="21">
        <f>Z11/Y11-1</f>
        <v/>
      </c>
      <c r="AP10" s="21">
        <f>AA11/Z11-1</f>
        <v/>
      </c>
      <c r="AQ10" s="22">
        <f>AA11/AA10-1</f>
        <v/>
      </c>
      <c r="AR10" s="15" t="n"/>
      <c r="AS10" s="15" t="n"/>
    </row>
    <row r="11">
      <c r="A11" s="23" t="n">
        <v>38960</v>
      </c>
      <c r="B11" s="109" t="n">
        <v>11313.29</v>
      </c>
      <c r="C11" s="31">
        <f>(B11/B10-1)/(A11-A10)*30</f>
        <v/>
      </c>
      <c r="D11" s="25" t="n"/>
      <c r="E11" s="25" t="n"/>
      <c r="F11" s="25" t="n"/>
      <c r="O11" s="9" t="n">
        <v>2014</v>
      </c>
      <c r="P11" s="109" t="n">
        <v>15738.45</v>
      </c>
      <c r="Q11" s="109" t="n">
        <v>15792.47</v>
      </c>
      <c r="R11" s="109" t="n">
        <v>15848.53</v>
      </c>
      <c r="S11" s="109" t="n">
        <v>15901.43</v>
      </c>
      <c r="T11" s="109" t="n">
        <v>15954.5</v>
      </c>
      <c r="U11" s="109" t="n">
        <v>16009.53</v>
      </c>
      <c r="V11" s="109" t="n">
        <v>16063.18</v>
      </c>
      <c r="W11" s="109" t="n">
        <v>16110.55</v>
      </c>
      <c r="X11" s="109" t="n">
        <v>16158.37</v>
      </c>
      <c r="Y11" s="109" t="n">
        <v>16200.86</v>
      </c>
      <c r="Z11" s="109" t="n">
        <v>16240.11</v>
      </c>
      <c r="AA11" s="109" t="n">
        <v>16283.49</v>
      </c>
      <c r="AC11" s="12" t="n"/>
      <c r="AD11" s="27" t="n">
        <v>2015</v>
      </c>
      <c r="AE11" s="28">
        <f>P12/AA11-1</f>
        <v/>
      </c>
      <c r="AF11" s="28">
        <f>Q12/P12-1</f>
        <v/>
      </c>
      <c r="AG11" s="28">
        <f>R12/Q12-1</f>
        <v/>
      </c>
      <c r="AH11" s="28">
        <f>S12/R12-1</f>
        <v/>
      </c>
      <c r="AI11" s="28">
        <f>T12/S12-1</f>
        <v/>
      </c>
      <c r="AJ11" s="28">
        <f>U12/T12-1</f>
        <v/>
      </c>
      <c r="AK11" s="28">
        <f>V12/U12-1</f>
        <v/>
      </c>
      <c r="AL11" s="28">
        <f>W12/V12-1</f>
        <v/>
      </c>
      <c r="AM11" s="28">
        <f>X12/W12-1</f>
        <v/>
      </c>
      <c r="AN11" s="28">
        <f>Y12/X12-1</f>
        <v/>
      </c>
      <c r="AO11" s="28">
        <f>Z12/Y12-1</f>
        <v/>
      </c>
      <c r="AP11" s="28">
        <f>AA12/Z12-1</f>
        <v/>
      </c>
      <c r="AQ11" s="29">
        <f>AA12/AA11-1</f>
        <v/>
      </c>
      <c r="AR11" s="15" t="n"/>
      <c r="AS11" s="15" t="n"/>
    </row>
    <row r="12">
      <c r="A12" s="23" t="n">
        <v>38989</v>
      </c>
      <c r="B12" s="109" t="n">
        <v>11360.92</v>
      </c>
      <c r="C12" s="31">
        <f>(B12/B11-1)/(A12-A11)*30</f>
        <v/>
      </c>
      <c r="D12" s="25" t="n"/>
      <c r="E12" s="25" t="n"/>
      <c r="F12" s="25" t="n"/>
      <c r="O12" s="9" t="n">
        <v>2015</v>
      </c>
      <c r="P12" s="109" t="n">
        <v>16325.65</v>
      </c>
      <c r="Q12" s="109" t="n">
        <v>16363.77</v>
      </c>
      <c r="R12" s="109" t="n">
        <v>16407.49</v>
      </c>
      <c r="S12" s="109" t="n">
        <v>16448.59</v>
      </c>
      <c r="T12" s="109" t="n">
        <v>16488.37</v>
      </c>
      <c r="U12" s="109" t="n">
        <v>16532.38</v>
      </c>
      <c r="V12" s="109" t="n">
        <v>16575.11</v>
      </c>
      <c r="W12" s="109" t="n">
        <v>16617.94</v>
      </c>
      <c r="X12" s="109" t="n">
        <v>16659.58</v>
      </c>
      <c r="Y12" s="109" t="n">
        <v>16702.94</v>
      </c>
      <c r="Z12" s="109" t="n">
        <v>16749.75</v>
      </c>
      <c r="AA12" s="109" t="n">
        <v>16796.52</v>
      </c>
      <c r="AC12" s="12" t="n"/>
      <c r="AD12" s="20" t="n">
        <v>2016</v>
      </c>
      <c r="AE12" s="21">
        <f>P13/AA12-1</f>
        <v/>
      </c>
      <c r="AF12" s="21">
        <f>Q13/P13-1</f>
        <v/>
      </c>
      <c r="AG12" s="21">
        <f>R13/Q13-1</f>
        <v/>
      </c>
      <c r="AH12" s="21">
        <f>S13/R13-1</f>
        <v/>
      </c>
      <c r="AI12" s="21">
        <f>T13/S13-1</f>
        <v/>
      </c>
      <c r="AJ12" s="21">
        <f>U13/T13-1</f>
        <v/>
      </c>
      <c r="AK12" s="21">
        <f>V13/U13-1</f>
        <v/>
      </c>
      <c r="AL12" s="21">
        <f>W13/V13-1</f>
        <v/>
      </c>
      <c r="AM12" s="21">
        <f>X13/W13-1</f>
        <v/>
      </c>
      <c r="AN12" s="21">
        <f>Y13/X13-1</f>
        <v/>
      </c>
      <c r="AO12" s="21">
        <f>Z13/Y13-1</f>
        <v/>
      </c>
      <c r="AP12" s="21">
        <f>AA13/Z13-1</f>
        <v/>
      </c>
      <c r="AQ12" s="22">
        <f>AA13/AA12-1</f>
        <v/>
      </c>
      <c r="AR12" s="32" t="n"/>
      <c r="AS12" s="15" t="n"/>
    </row>
    <row r="13">
      <c r="A13" s="23" t="n">
        <v>39021</v>
      </c>
      <c r="B13" s="109" t="n">
        <v>11413.02</v>
      </c>
      <c r="C13" s="31">
        <f>(B13/B12-1)/(A13-A12)*30</f>
        <v/>
      </c>
      <c r="D13" s="25" t="n"/>
      <c r="E13" s="25" t="n"/>
      <c r="F13" s="25" t="n"/>
      <c r="O13" s="9" t="n">
        <v>2016</v>
      </c>
      <c r="P13" s="109" t="n">
        <v>16845.59</v>
      </c>
      <c r="Q13" s="109" t="n">
        <v>16896.43</v>
      </c>
      <c r="R13" s="109" t="n">
        <v>16947.43</v>
      </c>
      <c r="S13" s="109" t="n">
        <v>16995.27</v>
      </c>
      <c r="T13" s="109" t="n">
        <v>17048.23</v>
      </c>
      <c r="U13" s="109" t="n">
        <v>17098.02</v>
      </c>
      <c r="V13" s="109" t="n">
        <v>17149.62</v>
      </c>
      <c r="W13" s="109" t="n">
        <v>17201.38</v>
      </c>
      <c r="X13" s="109" t="n">
        <v>17251.69</v>
      </c>
      <c r="Y13" s="109">
        <f>+B135</f>
        <v/>
      </c>
      <c r="Z13" s="109">
        <f>+B136</f>
        <v/>
      </c>
      <c r="AA13" s="109">
        <f>+B137</f>
        <v/>
      </c>
      <c r="AC13" s="12" t="n"/>
      <c r="AD13" s="27" t="n">
        <v>2017</v>
      </c>
      <c r="AE13" s="28">
        <f>P14/AA13-1</f>
        <v/>
      </c>
      <c r="AF13" s="28">
        <f>+Q14/P14-1</f>
        <v/>
      </c>
      <c r="AG13" s="28">
        <f>+R14/Q14-1</f>
        <v/>
      </c>
      <c r="AH13" s="28">
        <f>+S14/R14-1</f>
        <v/>
      </c>
      <c r="AI13" s="28">
        <f>+T14/S14-1</f>
        <v/>
      </c>
      <c r="AJ13" s="28">
        <f>+U14/T14-1</f>
        <v/>
      </c>
      <c r="AK13" s="28">
        <f>+V14/U14-1</f>
        <v/>
      </c>
      <c r="AL13" s="28">
        <f>+W14/V14-1</f>
        <v/>
      </c>
      <c r="AM13" s="28">
        <f>+X14/W14-1</f>
        <v/>
      </c>
      <c r="AN13" s="28">
        <f>+Y14/X14-1</f>
        <v/>
      </c>
      <c r="AO13" s="28">
        <f>+Z14/Y14-1</f>
        <v/>
      </c>
      <c r="AP13" s="28">
        <f>+AA14/Z14-1</f>
        <v/>
      </c>
      <c r="AQ13" s="29">
        <f>AA14/AA13-1</f>
        <v/>
      </c>
      <c r="AR13" s="32" t="n"/>
      <c r="AS13" s="15" t="n"/>
    </row>
    <row r="14">
      <c r="A14" s="23" t="n">
        <v>39051</v>
      </c>
      <c r="B14" s="109" t="n">
        <v>11463.01</v>
      </c>
      <c r="C14" s="31">
        <f>(B14/B13-1)/(A14-A13)*30</f>
        <v/>
      </c>
      <c r="D14" s="25" t="n"/>
      <c r="E14" s="25" t="n"/>
      <c r="F14" s="25" t="n"/>
      <c r="O14" s="9" t="n">
        <v>2017</v>
      </c>
      <c r="P14" s="109">
        <f>+B138</f>
        <v/>
      </c>
      <c r="Q14" s="109">
        <f>+B139</f>
        <v/>
      </c>
      <c r="R14" s="109">
        <f>+B140</f>
        <v/>
      </c>
      <c r="S14" s="109">
        <f>+B141</f>
        <v/>
      </c>
      <c r="T14" s="109">
        <f>+B142</f>
        <v/>
      </c>
      <c r="U14" s="109">
        <f>+$B143</f>
        <v/>
      </c>
      <c r="V14" s="109">
        <f>+$B144</f>
        <v/>
      </c>
      <c r="W14" s="109">
        <f>+$B145</f>
        <v/>
      </c>
      <c r="X14" s="109">
        <f>+$B146</f>
        <v/>
      </c>
      <c r="Y14" s="109">
        <f>+$B147</f>
        <v/>
      </c>
      <c r="Z14" s="109">
        <f>+$B148</f>
        <v/>
      </c>
      <c r="AA14" s="109">
        <f>+$B149</f>
        <v/>
      </c>
      <c r="AC14" s="12" t="n"/>
      <c r="AD14" s="20" t="n">
        <v>2018</v>
      </c>
      <c r="AE14" s="21">
        <f>P15/AA14-1</f>
        <v/>
      </c>
      <c r="AF14" s="21">
        <f>+Q15/P15-1</f>
        <v/>
      </c>
      <c r="AG14" s="21">
        <f>+R15/Q15-1</f>
        <v/>
      </c>
      <c r="AH14" s="21">
        <f>+S15/R15-1</f>
        <v/>
      </c>
      <c r="AI14" s="21">
        <f>+T15/S15-1</f>
        <v/>
      </c>
      <c r="AJ14" s="21">
        <f>+U15/T15-1</f>
        <v/>
      </c>
      <c r="AK14" s="33">
        <f>+V15/U15-1</f>
        <v/>
      </c>
      <c r="AL14" s="33">
        <f>+W15/V15-1</f>
        <v/>
      </c>
      <c r="AM14" s="33">
        <f>+X15/W15-1</f>
        <v/>
      </c>
      <c r="AN14" s="66">
        <f>+Y15/X15-1</f>
        <v/>
      </c>
      <c r="AO14" s="66">
        <f>+Z15/Y15-1</f>
        <v/>
      </c>
      <c r="AP14" s="66">
        <f>+AA15/Z15-1</f>
        <v/>
      </c>
      <c r="AQ14" s="22">
        <f>+AA15/AA14-1</f>
        <v/>
      </c>
      <c r="AR14" s="32" t="n"/>
      <c r="AS14" s="15" t="n"/>
    </row>
    <row r="15">
      <c r="A15" s="23" t="n">
        <v>39080</v>
      </c>
      <c r="B15" s="109" t="n">
        <v>11512.49</v>
      </c>
      <c r="C15" s="31">
        <f>(B15/B14-1)/(A15-A14)*30</f>
        <v/>
      </c>
      <c r="D15" s="25" t="n"/>
      <c r="E15" s="25" t="n"/>
      <c r="F15" s="25" t="n"/>
      <c r="O15" s="9" t="n">
        <v>2018</v>
      </c>
      <c r="P15" s="9">
        <f>+B150</f>
        <v/>
      </c>
      <c r="Q15" s="9">
        <f>+B151</f>
        <v/>
      </c>
      <c r="R15" s="9">
        <f>+B152</f>
        <v/>
      </c>
      <c r="S15" s="9">
        <f>+B153</f>
        <v/>
      </c>
      <c r="T15" s="24">
        <f>+B154</f>
        <v/>
      </c>
      <c r="U15" s="25">
        <f>+B155</f>
        <v/>
      </c>
      <c r="V15" s="24">
        <f>+B156</f>
        <v/>
      </c>
      <c r="W15" s="24">
        <f>+B157</f>
        <v/>
      </c>
      <c r="X15" s="24">
        <f>+B158</f>
        <v/>
      </c>
      <c r="Y15" s="34">
        <f>+B159</f>
        <v/>
      </c>
      <c r="Z15" s="64">
        <f>+B160</f>
        <v/>
      </c>
      <c r="AA15" s="9">
        <f>+B161</f>
        <v/>
      </c>
      <c r="AC15" s="12" t="n"/>
      <c r="AD15" s="27" t="n">
        <v>2019</v>
      </c>
      <c r="AE15" s="28" t="n"/>
      <c r="AF15" s="28" t="n"/>
      <c r="AG15" s="28" t="n"/>
      <c r="AH15" s="28" t="n"/>
      <c r="AI15" s="28" t="n"/>
      <c r="AJ15" s="28" t="n"/>
      <c r="AK15" s="28" t="n"/>
      <c r="AL15" s="28" t="n"/>
      <c r="AM15" s="28" t="n"/>
      <c r="AN15" s="28" t="n"/>
      <c r="AO15" s="28" t="n"/>
      <c r="AP15" s="28" t="n"/>
      <c r="AQ15" s="29" t="n"/>
      <c r="AR15" s="32" t="inlineStr">
        <is>
          <t>(*)</t>
        </is>
      </c>
      <c r="AS15" s="15" t="n"/>
    </row>
    <row r="16">
      <c r="A16" s="23" t="n">
        <v>39113</v>
      </c>
      <c r="B16" s="109" t="n">
        <v>11567.23</v>
      </c>
      <c r="C16" s="31">
        <f>(B16/B15-1)/(A16-A15)*30</f>
        <v/>
      </c>
      <c r="D16" s="25" t="n"/>
      <c r="E16" s="25" t="n"/>
      <c r="F16" s="25" t="n"/>
      <c r="O16" s="9" t="n">
        <v>2019</v>
      </c>
      <c r="P16" s="9">
        <f>+B162</f>
        <v/>
      </c>
      <c r="Q16" s="9">
        <f>+B163</f>
        <v/>
      </c>
      <c r="R16" s="9">
        <f>+B164</f>
        <v/>
      </c>
      <c r="S16" s="9">
        <f>+B165</f>
        <v/>
      </c>
      <c r="T16" s="9">
        <f>+B166</f>
        <v/>
      </c>
      <c r="U16" s="25">
        <f>+B167</f>
        <v/>
      </c>
      <c r="V16" s="25">
        <f>+B168</f>
        <v/>
      </c>
      <c r="W16" s="25">
        <f>+B169</f>
        <v/>
      </c>
      <c r="X16" s="9">
        <f>+B170</f>
        <v/>
      </c>
      <c r="Y16" s="25">
        <f>+B171</f>
        <v/>
      </c>
      <c r="Z16" s="9">
        <f>+B172</f>
        <v/>
      </c>
      <c r="AA16" s="25">
        <f>+B173</f>
        <v/>
      </c>
      <c r="AD16" s="27" t="n">
        <v>2020</v>
      </c>
      <c r="AE16" s="28" t="n"/>
      <c r="AF16" s="28" t="n"/>
      <c r="AG16" s="28" t="n"/>
      <c r="AH16" s="28" t="n"/>
      <c r="AI16" s="28" t="n"/>
      <c r="AJ16" s="28" t="n"/>
      <c r="AK16" s="28" t="n"/>
      <c r="AL16" s="28" t="n"/>
      <c r="AM16" s="28" t="n"/>
      <c r="AN16" s="28" t="n"/>
      <c r="AO16" s="28" t="n"/>
      <c r="AP16" s="28" t="n"/>
      <c r="AQ16" s="29" t="n"/>
      <c r="AR16" s="32" t="n"/>
      <c r="AS16" s="15" t="n"/>
    </row>
    <row r="17">
      <c r="A17" s="23" t="n">
        <v>39141</v>
      </c>
      <c r="B17" s="109" t="n">
        <v>11612.68</v>
      </c>
      <c r="C17" s="31">
        <f>(B17/B16-1)/(A17-A16)*30</f>
        <v/>
      </c>
      <c r="D17" s="25" t="n"/>
      <c r="E17" s="25" t="n"/>
      <c r="F17" s="25" t="n"/>
      <c r="O17" s="9" t="n">
        <v>2020</v>
      </c>
      <c r="P17" s="9">
        <f>+B174</f>
        <v/>
      </c>
      <c r="Q17" s="25">
        <f>+B175</f>
        <v/>
      </c>
      <c r="R17" s="25">
        <f>+B176</f>
        <v/>
      </c>
      <c r="S17" s="25">
        <f>+B177</f>
        <v/>
      </c>
      <c r="T17" s="9">
        <f>+B178</f>
        <v/>
      </c>
      <c r="U17" s="25">
        <f>+B179</f>
        <v/>
      </c>
      <c r="V17" s="25">
        <f>+B180</f>
        <v/>
      </c>
      <c r="W17" s="25">
        <f>+B181</f>
        <v/>
      </c>
      <c r="X17" s="25">
        <f>+B182</f>
        <v/>
      </c>
      <c r="Y17" s="25">
        <f>+B183</f>
        <v/>
      </c>
      <c r="Z17" s="25">
        <f>+B184</f>
        <v/>
      </c>
      <c r="AA17" s="25">
        <f>+B185</f>
        <v/>
      </c>
      <c r="AD17" s="27" t="n">
        <v>2021</v>
      </c>
      <c r="AE17" s="28" t="n"/>
      <c r="AF17" s="28" t="n"/>
      <c r="AG17" s="28" t="n"/>
      <c r="AH17" s="28" t="n"/>
      <c r="AI17" s="28" t="n"/>
      <c r="AJ17" s="28" t="n"/>
      <c r="AK17" s="28" t="n"/>
      <c r="AL17" s="28" t="n"/>
      <c r="AM17" s="28" t="n"/>
      <c r="AN17" s="28" t="n"/>
      <c r="AO17" s="28" t="n"/>
      <c r="AP17" s="28" t="n"/>
      <c r="AQ17" s="29" t="n"/>
      <c r="AR17" s="32" t="n"/>
      <c r="AS17" s="15" t="n"/>
    </row>
    <row r="18">
      <c r="A18" s="23" t="n">
        <v>39171</v>
      </c>
      <c r="B18" s="109" t="n">
        <v>11661.5</v>
      </c>
      <c r="C18" s="31">
        <f>(B18/B17-1)/(A18-A17)*30</f>
        <v/>
      </c>
      <c r="D18" s="25" t="n"/>
      <c r="E18" s="25" t="n"/>
      <c r="F18" s="25" t="n"/>
      <c r="O18" s="9" t="n">
        <v>2021</v>
      </c>
      <c r="Q18" s="9">
        <f>+B187</f>
        <v/>
      </c>
      <c r="R18" s="9">
        <f>+B188</f>
        <v/>
      </c>
      <c r="S18" s="9">
        <f>+B189</f>
        <v/>
      </c>
      <c r="T18" s="9">
        <f>+B190</f>
        <v/>
      </c>
      <c r="U18" s="9">
        <f>+B191</f>
        <v/>
      </c>
      <c r="V18" s="9">
        <f>+B192</f>
        <v/>
      </c>
      <c r="W18" s="9">
        <f>+B193</f>
        <v/>
      </c>
      <c r="X18" s="9">
        <f>+B194</f>
        <v/>
      </c>
      <c r="Y18" s="9">
        <f>+B195</f>
        <v/>
      </c>
      <c r="Z18" s="9">
        <f>+B196</f>
        <v/>
      </c>
      <c r="AA18" s="9">
        <f>+B197</f>
        <v/>
      </c>
      <c r="AD18" s="27" t="n">
        <v>2022</v>
      </c>
      <c r="AE18" s="28" t="n"/>
      <c r="AF18" s="28" t="n"/>
      <c r="AG18" s="28" t="n"/>
      <c r="AH18" s="28" t="n"/>
      <c r="AI18" s="28" t="n"/>
      <c r="AJ18" s="28" t="n"/>
      <c r="AK18" s="28" t="n"/>
      <c r="AL18" s="28" t="n"/>
      <c r="AM18" s="28" t="n"/>
      <c r="AN18" s="28" t="n"/>
      <c r="AO18" s="28" t="n"/>
      <c r="AP18" s="28" t="n"/>
      <c r="AQ18" s="29" t="n"/>
      <c r="AR18" s="32" t="n"/>
      <c r="AS18" s="15" t="n"/>
      <c r="AV18" s="34" t="n"/>
      <c r="AW18" s="34" t="n"/>
      <c r="AX18" s="34" t="n">
        <v>-1</v>
      </c>
      <c r="AY18" s="34" t="n">
        <v>-3</v>
      </c>
      <c r="AZ18" s="34" t="n">
        <v>-6</v>
      </c>
      <c r="BA18" s="34" t="n">
        <v>-12</v>
      </c>
      <c r="BB18" s="34" t="n"/>
    </row>
    <row r="19">
      <c r="A19" s="23" t="n">
        <v>39202</v>
      </c>
      <c r="B19" s="109" t="n">
        <v>11712.58</v>
      </c>
      <c r="C19" s="31">
        <f>(B19/B18-1)/(A19-A18)*30</f>
        <v/>
      </c>
      <c r="D19" s="25" t="n"/>
      <c r="E19" s="25" t="n"/>
      <c r="F19" s="25" t="n"/>
      <c r="O19" s="9" t="n">
        <v>2022</v>
      </c>
      <c r="P19" s="9">
        <f>+B198</f>
        <v/>
      </c>
      <c r="Q19" s="25">
        <f>+B199</f>
        <v/>
      </c>
      <c r="R19" s="9">
        <f>+B200</f>
        <v/>
      </c>
      <c r="S19" s="9">
        <f>+B201</f>
        <v/>
      </c>
      <c r="T19" s="9">
        <f>+B202</f>
        <v/>
      </c>
      <c r="U19" s="9">
        <f>+B203</f>
        <v/>
      </c>
      <c r="V19" s="9">
        <f>+B204</f>
        <v/>
      </c>
      <c r="W19" s="9">
        <f>+B205</f>
        <v/>
      </c>
      <c r="X19" s="9">
        <f>+B206</f>
        <v/>
      </c>
      <c r="Y19" s="9">
        <f>+B207</f>
        <v/>
      </c>
      <c r="Z19" s="9">
        <f>+B208</f>
        <v/>
      </c>
      <c r="AA19" s="9">
        <f>+B209</f>
        <v/>
      </c>
      <c r="AD19" s="27" t="n">
        <v>2023</v>
      </c>
      <c r="AE19" s="28" t="n"/>
      <c r="AF19" s="28" t="n"/>
      <c r="AG19" s="28" t="n"/>
      <c r="AH19" s="28" t="n"/>
      <c r="AI19" s="28" t="n"/>
      <c r="AJ19" s="28" t="n"/>
      <c r="AK19" s="28" t="n"/>
      <c r="AL19" s="28" t="n"/>
      <c r="AM19" s="28" t="n"/>
      <c r="AN19" s="28" t="n"/>
      <c r="AO19" s="28" t="n"/>
      <c r="AP19" s="28" t="n"/>
      <c r="AQ19" s="29" t="n"/>
      <c r="AR19" s="32" t="n"/>
      <c r="AS19" s="15" t="n"/>
      <c r="AV19" s="36" t="inlineStr">
        <is>
          <t>Ingresar mes actual==&gt;</t>
        </is>
      </c>
      <c r="AW19" s="79" t="n">
        <v>46203</v>
      </c>
      <c r="AX19" s="37">
        <f>EOMONTH($AW19,AX18)+6</f>
        <v/>
      </c>
      <c r="AY19" s="37">
        <f>EOMONTH($AW19,AY18)</f>
        <v/>
      </c>
      <c r="AZ19" s="37">
        <f>EOMONTH($AW19,AZ18)</f>
        <v/>
      </c>
      <c r="BA19" s="37">
        <f>EOMONTH($AW19,BA18)</f>
        <v/>
      </c>
      <c r="BB19" s="37" t="n">
        <v>43100</v>
      </c>
    </row>
    <row r="20">
      <c r="A20" s="23" t="n">
        <v>39233</v>
      </c>
      <c r="B20" s="109" t="n">
        <v>11763.78</v>
      </c>
      <c r="C20" s="31">
        <f>(B20/B19-1)/(A20-A19)*30</f>
        <v/>
      </c>
      <c r="D20" s="25" t="n"/>
      <c r="E20" s="25" t="n"/>
      <c r="F20" s="25" t="n"/>
      <c r="O20" s="9" t="n">
        <v>2023</v>
      </c>
      <c r="P20" s="9">
        <f>+B210</f>
        <v/>
      </c>
      <c r="Q20" s="25">
        <f>+B211</f>
        <v/>
      </c>
      <c r="R20" s="9">
        <f>+B212</f>
        <v/>
      </c>
      <c r="S20" s="9">
        <f>+B213</f>
        <v/>
      </c>
      <c r="T20" s="9">
        <f>+B214</f>
        <v/>
      </c>
      <c r="U20" s="9">
        <f>+B215</f>
        <v/>
      </c>
      <c r="V20" s="9">
        <f>+B216</f>
        <v/>
      </c>
      <c r="W20" s="9">
        <f>+B217</f>
        <v/>
      </c>
      <c r="X20" s="9">
        <f>+B218</f>
        <v/>
      </c>
      <c r="Y20" s="25">
        <f>+B219</f>
        <v/>
      </c>
      <c r="Z20" s="9">
        <f>+B220</f>
        <v/>
      </c>
      <c r="AA20" s="9">
        <f>+B221</f>
        <v/>
      </c>
      <c r="AD20" s="27" t="n">
        <v>2024</v>
      </c>
      <c r="AE20" s="28" t="n"/>
      <c r="AF20" s="28" t="n"/>
      <c r="AG20" s="28" t="n"/>
      <c r="AH20" s="28" t="n"/>
      <c r="AI20" s="28" t="n"/>
      <c r="AJ20" s="28" t="n"/>
      <c r="AK20" s="28" t="n"/>
      <c r="AL20" s="28" t="n"/>
      <c r="AM20" s="28" t="n"/>
      <c r="AN20" s="28" t="n"/>
      <c r="AO20" s="28">
        <f>+Z21/Y21-1</f>
        <v/>
      </c>
      <c r="AP20" s="28">
        <f>+AA21/Z21-1</f>
        <v/>
      </c>
      <c r="AQ20" s="29">
        <f>+(AA21/Y21-1)/COUNTA(AE20:AP20)*12</f>
        <v/>
      </c>
      <c r="AR20" s="15" t="n"/>
      <c r="AS20" s="15" t="n"/>
      <c r="AV20" s="34" t="inlineStr">
        <is>
          <t>ICP</t>
        </is>
      </c>
      <c r="AW20" s="39">
        <f>LOOKUP(AW19,$A$3:$A$2973,$B$3:$B$2973)</f>
        <v/>
      </c>
      <c r="AX20" s="39">
        <f>LOOKUP(AX19,$A$3:$A$2973,$B$3:$B$2973)</f>
        <v/>
      </c>
      <c r="AY20" s="39">
        <f>LOOKUP(AY19,$A$3:$A$2973,$B$3:$B$2973)</f>
        <v/>
      </c>
      <c r="AZ20" s="39">
        <f>LOOKUP(AZ19,$A$3:$A$2973,$B$3:$B$2973)</f>
        <v/>
      </c>
      <c r="BA20" s="39">
        <f>LOOKUP(BA19,$A$3:$A$2973,$B$3:$B$2973)</f>
        <v/>
      </c>
      <c r="BB20" s="39">
        <f>LOOKUP(BB19,$A$3:$A$2973,$B$3:$B$2973)</f>
        <v/>
      </c>
    </row>
    <row r="21">
      <c r="A21" s="23" t="n">
        <v>39262</v>
      </c>
      <c r="B21" s="109" t="n">
        <v>11812.23</v>
      </c>
      <c r="C21" s="31">
        <f>(B21/B20-1)/(A21-A20)*30</f>
        <v/>
      </c>
      <c r="D21" s="25" t="n"/>
      <c r="E21" s="25" t="n"/>
      <c r="F21" s="25" t="n"/>
      <c r="O21" s="9" t="n">
        <v>2024</v>
      </c>
      <c r="P21" s="9">
        <f>+B222</f>
        <v/>
      </c>
      <c r="Q21" s="25">
        <f>+B223</f>
        <v/>
      </c>
      <c r="R21" s="9">
        <f>+B224</f>
        <v/>
      </c>
      <c r="S21" s="9">
        <f>+B225</f>
        <v/>
      </c>
      <c r="T21" s="9">
        <f>+B226</f>
        <v/>
      </c>
      <c r="U21" s="25">
        <f>+B227</f>
        <v/>
      </c>
      <c r="V21" s="9">
        <f>+B228</f>
        <v/>
      </c>
      <c r="W21" s="9">
        <f>+B229</f>
        <v/>
      </c>
      <c r="X21" s="9">
        <f>+B230</f>
        <v/>
      </c>
      <c r="Y21" s="25">
        <f>+B231</f>
        <v/>
      </c>
      <c r="Z21" s="9">
        <f>+B232</f>
        <v/>
      </c>
      <c r="AA21" s="9">
        <f>+B233</f>
        <v/>
      </c>
      <c r="AD21" s="27" t="n">
        <v>2025</v>
      </c>
      <c r="AE21" s="28">
        <f>+P22/AA21-1</f>
        <v/>
      </c>
      <c r="AF21" s="28">
        <f>+Q22/P22-1</f>
        <v/>
      </c>
      <c r="AG21" s="28">
        <f>+R22/Q22-1</f>
        <v/>
      </c>
      <c r="AH21" s="28">
        <f>+S22/R22-1</f>
        <v/>
      </c>
      <c r="AI21" s="28">
        <f>+T22/S22-1</f>
        <v/>
      </c>
      <c r="AJ21" s="28">
        <f>+U22/T22-1</f>
        <v/>
      </c>
      <c r="AK21" s="28">
        <f>+V22/U22-1</f>
        <v/>
      </c>
      <c r="AL21" s="28">
        <f>+W22/V22-1</f>
        <v/>
      </c>
      <c r="AM21" s="28">
        <f>+X22/W22-1</f>
        <v/>
      </c>
      <c r="AN21" s="28">
        <f>+Y22/X22-1</f>
        <v/>
      </c>
      <c r="AO21" s="28">
        <f>+Z22/Y22-1</f>
        <v/>
      </c>
      <c r="AP21" s="28">
        <f>+AA22/Z22-1</f>
        <v/>
      </c>
      <c r="AQ21" s="29">
        <f>+(AA22/P22-1)/COUNTA(AE21:AP21)*12</f>
        <v/>
      </c>
      <c r="AV21" s="34" t="inlineStr">
        <is>
          <t>Competencia</t>
        </is>
      </c>
      <c r="AW21" s="39">
        <f>LOOKUP(AW19,$F$2:$F$2974,$K$2:$K$2974)</f>
        <v/>
      </c>
      <c r="AX21" s="39">
        <f>LOOKUP(AX19,$F$2:$F$2974,$K$2:$K$2974)</f>
        <v/>
      </c>
      <c r="AY21" s="39">
        <f>LOOKUP(AY19,$F$2:$F$2974,$K$2:$K$2974)</f>
        <v/>
      </c>
      <c r="AZ21" s="39">
        <f>LOOKUP(AZ19,$F$2:$F$2974,$K$2:$K$2974)</f>
        <v/>
      </c>
      <c r="BA21" s="39">
        <f>LOOKUP(BA19,$F$2:$F$2974,$K$2:$K$2974)</f>
        <v/>
      </c>
      <c r="BB21" s="39">
        <f>LOOKUP(BB19,$F$2:$F$2974,$K$2:$K$2974)</f>
        <v/>
      </c>
    </row>
    <row r="22">
      <c r="A22" s="23" t="n">
        <v>39294</v>
      </c>
      <c r="B22" s="109" t="n">
        <v>11866.53</v>
      </c>
      <c r="C22" s="31">
        <f>(B22/B21-1)/(A22-A21)*30</f>
        <v/>
      </c>
      <c r="D22" s="25" t="n"/>
      <c r="E22" s="25" t="n"/>
      <c r="F22" s="25" t="n"/>
      <c r="O22" s="9" t="n">
        <v>2025</v>
      </c>
      <c r="P22" s="9">
        <f>+B234</f>
        <v/>
      </c>
      <c r="Q22" s="25">
        <f>+B235</f>
        <v/>
      </c>
      <c r="R22" s="9">
        <f>+B236</f>
        <v/>
      </c>
      <c r="S22" s="9">
        <f>+B237</f>
        <v/>
      </c>
      <c r="T22" s="9">
        <f>+B238</f>
        <v/>
      </c>
      <c r="U22" s="25">
        <f>+B239</f>
        <v/>
      </c>
      <c r="V22" s="9">
        <f>+B240</f>
        <v/>
      </c>
      <c r="W22" s="9">
        <f>+B241</f>
        <v/>
      </c>
      <c r="X22" s="9">
        <f>+B242</f>
        <v/>
      </c>
      <c r="Y22" s="25">
        <f>+B243</f>
        <v/>
      </c>
      <c r="Z22" s="9">
        <f>+B244</f>
        <v/>
      </c>
      <c r="AA22" s="9">
        <f>+B245</f>
        <v/>
      </c>
      <c r="AD22" s="27" t="n">
        <v>2026</v>
      </c>
      <c r="AE22" s="28">
        <f>+P23/AA22-1</f>
        <v/>
      </c>
      <c r="AF22" s="28">
        <f>+Q23/P23-1</f>
        <v/>
      </c>
      <c r="AG22" s="28">
        <f>+R23/Q23-1</f>
        <v/>
      </c>
      <c r="AH22" s="28">
        <f>+S23/R23-1</f>
        <v/>
      </c>
      <c r="AI22" s="15">
        <f>+T23/S23-1</f>
        <v/>
      </c>
      <c r="AJ22" s="15">
        <f>+U23/T23-1</f>
        <v/>
      </c>
      <c r="AK22" s="15" t="n"/>
      <c r="AL22" s="15" t="n"/>
      <c r="AM22" s="15" t="n"/>
      <c r="AN22" s="15" t="n"/>
      <c r="AO22" s="15" t="n"/>
      <c r="AP22" s="15" t="n"/>
      <c r="AQ22" s="29">
        <f>+(U23/P23-1)/COUNTA(AE22:AJ22)*12</f>
        <v/>
      </c>
      <c r="AV22" s="34" t="inlineStr">
        <is>
          <t>FIP Liquidez Presente</t>
        </is>
      </c>
      <c r="AW22" s="39">
        <f>LOOKUP(AW19,$F$2:$F$2972,$H$2:$H$2972)</f>
        <v/>
      </c>
      <c r="AX22" s="39">
        <f>LOOKUP(AX19,$F$2:$F$2972,$H$2:$H$2972)</f>
        <v/>
      </c>
      <c r="AY22" s="39">
        <f>LOOKUP(AY19,$F$2:$F$2972,$H$2:$H$2972)</f>
        <v/>
      </c>
      <c r="AZ22" s="39">
        <f>LOOKUP(AZ19,$F$2:$F$2972,$H$2:$H$2972)</f>
        <v/>
      </c>
      <c r="BA22" s="39">
        <f>LOOKUP(BA19,$F$2:$F$2972,$H$2:$H$2972)</f>
        <v/>
      </c>
      <c r="BB22" s="39">
        <f>LOOKUP(BB19,$F$2:$F$2972,$H$2:$H$2972)</f>
        <v/>
      </c>
    </row>
    <row r="23">
      <c r="A23" s="23" t="n"/>
      <c r="B23" s="109" t="n"/>
      <c r="C23" s="31" t="n"/>
      <c r="D23" s="25" t="n"/>
      <c r="E23" s="25" t="n"/>
      <c r="F23" s="25" t="n"/>
      <c r="O23" s="9" t="n">
        <v>2026</v>
      </c>
      <c r="P23" s="9">
        <f>+B246</f>
        <v/>
      </c>
      <c r="Q23" s="25">
        <f>+B247</f>
        <v/>
      </c>
      <c r="R23" s="25">
        <f>+B248</f>
        <v/>
      </c>
      <c r="S23" s="9">
        <f>+B249</f>
        <v/>
      </c>
      <c r="T23">
        <f>+B250</f>
        <v/>
      </c>
      <c r="U23" s="25">
        <f>+B251</f>
        <v/>
      </c>
      <c r="Y23" s="25" t="n"/>
      <c r="AD23" s="32" t="n"/>
      <c r="AE23" s="15" t="n"/>
      <c r="AF23" s="15" t="n"/>
      <c r="AG23" s="15" t="n"/>
      <c r="AH23" s="15" t="n"/>
      <c r="AI23" s="15" t="n"/>
      <c r="AJ23" s="15" t="n"/>
      <c r="AK23" s="15" t="n"/>
      <c r="AL23" s="15" t="n"/>
      <c r="AM23" s="15" t="n"/>
      <c r="AN23" s="15" t="n"/>
      <c r="AO23" s="15" t="n"/>
      <c r="AP23" s="15" t="n"/>
      <c r="AQ23" s="15" t="n"/>
      <c r="AV23" s="34" t="n"/>
      <c r="AW23" s="39" t="n"/>
      <c r="AX23" s="39" t="n"/>
      <c r="AY23" s="39" t="n"/>
      <c r="AZ23" s="39" t="n"/>
      <c r="BA23" s="39" t="n"/>
      <c r="BB23" s="39" t="n"/>
    </row>
    <row r="24">
      <c r="A24" s="23" t="n">
        <v>39325</v>
      </c>
      <c r="B24" s="109" t="n">
        <v>11922.48</v>
      </c>
      <c r="C24" s="31">
        <f>(B24/B22-1)/(A24-A22)*30</f>
        <v/>
      </c>
      <c r="D24" s="25" t="n"/>
      <c r="E24" s="25" t="n"/>
      <c r="F24" s="25" t="n"/>
      <c r="P24" s="16" t="n">
        <v>31</v>
      </c>
      <c r="Q24" s="16" t="n">
        <v>28</v>
      </c>
      <c r="R24" s="16" t="n">
        <v>31</v>
      </c>
      <c r="S24" s="16" t="n">
        <v>30</v>
      </c>
      <c r="T24" s="16" t="n">
        <v>31</v>
      </c>
      <c r="U24" s="16" t="n">
        <v>30</v>
      </c>
      <c r="V24" s="16" t="n">
        <v>31</v>
      </c>
      <c r="W24" s="16" t="n">
        <v>31</v>
      </c>
      <c r="X24" s="16" t="n">
        <v>30</v>
      </c>
      <c r="Y24" s="16" t="n">
        <v>31</v>
      </c>
      <c r="Z24" s="16" t="n">
        <v>30</v>
      </c>
      <c r="AA24" s="16" t="n">
        <v>31</v>
      </c>
      <c r="AD24" s="32" t="inlineStr">
        <is>
          <t>(*) Acum a Mar</t>
        </is>
      </c>
      <c r="AV24" s="34" t="n"/>
      <c r="AW24" s="34" t="n"/>
      <c r="AX24" s="34" t="n"/>
      <c r="AY24" s="34" t="n"/>
      <c r="AZ24" s="34" t="n"/>
      <c r="BA24" s="34" t="n"/>
      <c r="BB24" s="34" t="n"/>
    </row>
    <row r="25">
      <c r="A25" s="23" t="n">
        <v>39353</v>
      </c>
      <c r="B25" s="109" t="n">
        <v>11975.61</v>
      </c>
      <c r="C25" s="31">
        <f>(B25/B24-1)/(A25-A24)*30</f>
        <v/>
      </c>
      <c r="D25" s="25" t="n"/>
      <c r="E25" s="25" t="n"/>
      <c r="F25" s="25" t="n"/>
      <c r="P25" s="16" t="n">
        <v>1</v>
      </c>
      <c r="Q25" s="16" t="n">
        <v>2</v>
      </c>
      <c r="R25" s="16" t="n">
        <v>3</v>
      </c>
      <c r="S25" s="16" t="n">
        <v>4</v>
      </c>
      <c r="T25" s="16" t="n">
        <v>5</v>
      </c>
      <c r="U25" s="16" t="n">
        <v>6</v>
      </c>
      <c r="V25" s="16" t="n">
        <v>7</v>
      </c>
      <c r="W25" s="16" t="n">
        <v>8</v>
      </c>
      <c r="X25" s="16" t="n">
        <v>9</v>
      </c>
      <c r="Y25" s="16" t="n">
        <v>10</v>
      </c>
      <c r="Z25" s="16" t="n">
        <v>11</v>
      </c>
      <c r="AA25" s="16" t="n">
        <v>12</v>
      </c>
      <c r="AR25" s="15" t="n"/>
      <c r="AS25" s="15" t="n"/>
    </row>
    <row r="26">
      <c r="A26" s="23" t="n">
        <v>39386</v>
      </c>
      <c r="B26" s="109" t="n">
        <v>12038.9</v>
      </c>
      <c r="C26" s="31">
        <f>(B26/B25-1)/(A26-A25)*30</f>
        <v/>
      </c>
      <c r="D26" s="25" t="n"/>
      <c r="E26" s="25" t="n"/>
      <c r="F26" s="25" t="n"/>
      <c r="O26" s="38" t="inlineStr">
        <is>
          <t>FONDO LIQUIDEZ Presente</t>
        </is>
      </c>
      <c r="P26" s="9" t="inlineStr">
        <is>
          <t>Ene</t>
        </is>
      </c>
      <c r="Q26" s="9" t="inlineStr">
        <is>
          <t>Feb</t>
        </is>
      </c>
      <c r="R26" s="9" t="inlineStr">
        <is>
          <t>Mar</t>
        </is>
      </c>
      <c r="S26" s="9" t="inlineStr">
        <is>
          <t>Abr</t>
        </is>
      </c>
      <c r="T26" s="9" t="inlineStr">
        <is>
          <t>May</t>
        </is>
      </c>
      <c r="U26" s="9" t="inlineStr">
        <is>
          <t>Jun</t>
        </is>
      </c>
      <c r="V26" s="9" t="inlineStr">
        <is>
          <t>Jul</t>
        </is>
      </c>
      <c r="W26" s="9" t="inlineStr">
        <is>
          <t>Ago</t>
        </is>
      </c>
      <c r="X26" s="9" t="inlineStr">
        <is>
          <t>Sep</t>
        </is>
      </c>
      <c r="Y26" s="9" t="inlineStr">
        <is>
          <t>Oct</t>
        </is>
      </c>
      <c r="Z26" s="9" t="inlineStr">
        <is>
          <t>Nov</t>
        </is>
      </c>
      <c r="AA26" s="9" t="inlineStr">
        <is>
          <t>Dic</t>
        </is>
      </c>
      <c r="AR26" s="32" t="n"/>
      <c r="AS26" s="15" t="n"/>
    </row>
    <row r="27" ht="15.75" customHeight="1">
      <c r="A27" s="23" t="n">
        <v>39416</v>
      </c>
      <c r="B27" s="109" t="n">
        <v>12096.85</v>
      </c>
      <c r="C27" s="31">
        <f>(B27/B26-1)/(A27-A26)*30</f>
        <v/>
      </c>
      <c r="D27" s="25" t="n"/>
      <c r="E27" s="25" t="n"/>
      <c r="F27" s="25" t="n"/>
      <c r="O27" s="9" t="n">
        <v>2016</v>
      </c>
      <c r="P27" s="109" t="n"/>
      <c r="Q27" s="109" t="n"/>
      <c r="R27" s="109" t="n"/>
      <c r="S27" s="109" t="n"/>
      <c r="T27" s="109">
        <f>'[1]Cuota Liquidez '!B2</f>
        <v/>
      </c>
      <c r="U27" s="111">
        <f>LOOKUP(DATE($O27,U$25,U$24),$A$2:$A$2943,$H$2:$H$2943)</f>
        <v/>
      </c>
      <c r="V27" s="111">
        <f>LOOKUP(DATE($O27,V$25,V$24),$A$2:$A$2943,$H$2:$H$2943)</f>
        <v/>
      </c>
      <c r="W27" s="111">
        <f>LOOKUP(DATE($O27,W$25,W$24),$A$2:$A$2943,$H$2:$H$2943)</f>
        <v/>
      </c>
      <c r="X27" s="111">
        <f>LOOKUP(DATE($O27,X$25,X$24),$A$2:$A$2943,$H$2:$H$2943)</f>
        <v/>
      </c>
      <c r="Y27" s="111">
        <f>LOOKUP(DATE($O27,Y$25,Y$24),$A$2:$A$2943,$H$2:$H$2943)</f>
        <v/>
      </c>
      <c r="Z27" s="111">
        <f>LOOKUP(DATE($O27,Z$25,Z$24),$A$2:$A$2943,$H$2:$H$2943)</f>
        <v/>
      </c>
      <c r="AA27" s="111">
        <f>LOOKUP(DATE($O27,AA$25,AA$24),$A$2:$A$2943,$H$2:$H$2943)</f>
        <v/>
      </c>
      <c r="AD27" s="35" t="inlineStr">
        <is>
          <t>Presente</t>
        </is>
      </c>
      <c r="AE27" s="14" t="inlineStr">
        <is>
          <t>Ene</t>
        </is>
      </c>
      <c r="AF27" s="14" t="inlineStr">
        <is>
          <t>Feb</t>
        </is>
      </c>
      <c r="AG27" s="14" t="inlineStr">
        <is>
          <t>Mar</t>
        </is>
      </c>
      <c r="AH27" s="14" t="inlineStr">
        <is>
          <t>Abr</t>
        </is>
      </c>
      <c r="AI27" s="14" t="inlineStr">
        <is>
          <t>May</t>
        </is>
      </c>
      <c r="AJ27" s="14" t="inlineStr">
        <is>
          <t>Jun</t>
        </is>
      </c>
      <c r="AK27" s="14" t="inlineStr">
        <is>
          <t>Jul</t>
        </is>
      </c>
      <c r="AL27" s="14" t="inlineStr">
        <is>
          <t>Ago</t>
        </is>
      </c>
      <c r="AM27" s="14" t="inlineStr">
        <is>
          <t>Sep</t>
        </is>
      </c>
      <c r="AN27" s="14" t="inlineStr">
        <is>
          <t>Oct</t>
        </is>
      </c>
      <c r="AO27" s="14" t="inlineStr">
        <is>
          <t>Nov</t>
        </is>
      </c>
      <c r="AP27" s="14" t="inlineStr">
        <is>
          <t>Dic</t>
        </is>
      </c>
      <c r="AQ27" s="14" t="inlineStr">
        <is>
          <t>Total Año</t>
        </is>
      </c>
      <c r="AR27" s="32" t="n"/>
      <c r="AS27" s="32" t="n"/>
      <c r="AV27" s="41" t="n"/>
      <c r="AW27" s="41" t="n"/>
      <c r="AX27" s="41" t="n"/>
      <c r="AY27" s="41" t="n"/>
      <c r="AZ27" s="41" t="n"/>
      <c r="BA27" s="41" t="n"/>
      <c r="BB27" s="41" t="n"/>
      <c r="BC27" s="41" t="n"/>
    </row>
    <row r="28">
      <c r="A28" s="23" t="n">
        <v>39447</v>
      </c>
      <c r="B28" s="109" t="n">
        <v>12152.6</v>
      </c>
      <c r="C28" s="31">
        <f>(B28/B27-1)/(A28-A27)*30</f>
        <v/>
      </c>
      <c r="D28" s="25" t="n"/>
      <c r="E28" s="25" t="n"/>
      <c r="F28" s="25" t="n"/>
      <c r="O28" s="9" t="n">
        <v>2017</v>
      </c>
      <c r="P28" s="111">
        <f>LOOKUP(DATE($O28,P$25,P$24),$A$2:$A$2943,$H$2:$H$2943)</f>
        <v/>
      </c>
      <c r="Q28" s="111">
        <f>LOOKUP(DATE($O28,Q$25,Q$24),$A$2:$A$2943,$H$2:$H$2943)</f>
        <v/>
      </c>
      <c r="R28" s="111">
        <f>LOOKUP(DATE($O28,R$25,R$24),$A$2:$A$2943,$H$2:$H$2943)</f>
        <v/>
      </c>
      <c r="S28" s="111">
        <f>LOOKUP(DATE($O28,S$25,S$24),$A$2:$A$2943,$H$2:$H$2943)</f>
        <v/>
      </c>
      <c r="T28" s="111">
        <f>LOOKUP(DATE($O28,T$25,T$24),$A$2:$A$2943,$H$2:$H$2943)</f>
        <v/>
      </c>
      <c r="U28" s="111">
        <f>LOOKUP(DATE($O28,U$25,U$24),$A$2:$A$2943,$H$2:$H$2943)</f>
        <v/>
      </c>
      <c r="V28" s="111">
        <f>LOOKUP(DATE($O28,V$25,V$24),$A$2:$A$2943,$H$2:$H$2943)</f>
        <v/>
      </c>
      <c r="W28" s="111">
        <f>LOOKUP(DATE($O28,W$25,W$24),$A$2:$A$2943,$H$2:$H$2943)</f>
        <v/>
      </c>
      <c r="X28" s="111">
        <f>LOOKUP(DATE($O28,X$25,X$24),$A$2:$A$2943,$H$2:$H$2943)</f>
        <v/>
      </c>
      <c r="Y28" s="111">
        <f>LOOKUP(DATE($O28,Y$25,Y$24),$A$2:$A$2943,$H$2:$H$2943)</f>
        <v/>
      </c>
      <c r="Z28" s="111">
        <f>LOOKUP(DATE($O28,Z$25,Z$24),$A$2:$A$2943,$H$2:$H$2943)</f>
        <v/>
      </c>
      <c r="AA28" s="111">
        <f>LOOKUP(DATE($O28,AA$25,AA$24),$A$2:$A$2943,$H$2:$H$2943)</f>
        <v/>
      </c>
      <c r="AD28" s="20" t="n">
        <v>2016</v>
      </c>
      <c r="AE28" s="21" t="n"/>
      <c r="AF28" s="21" t="n"/>
      <c r="AG28" s="21" t="n"/>
      <c r="AH28" s="21" t="n"/>
      <c r="AI28" s="21" t="n"/>
      <c r="AJ28" s="21" t="n"/>
      <c r="AK28" s="21" t="n"/>
      <c r="AL28" s="21" t="n"/>
      <c r="AM28" s="21" t="n"/>
      <c r="AN28" s="21" t="n"/>
      <c r="AO28" s="21" t="n"/>
      <c r="AP28" s="21" t="n"/>
      <c r="AQ28" s="22" t="n"/>
      <c r="AR28" s="15" t="n"/>
      <c r="AS28" s="15" t="n"/>
      <c r="AV28" s="42" t="n"/>
      <c r="AW28" s="43" t="inlineStr">
        <is>
          <t>Rentabilidad</t>
        </is>
      </c>
      <c r="AX28" s="43" t="inlineStr">
        <is>
          <t>Mensual</t>
        </is>
      </c>
      <c r="AY28" s="43" t="inlineStr">
        <is>
          <t>Trimestral</t>
        </is>
      </c>
      <c r="AZ28" s="43" t="inlineStr">
        <is>
          <t>Semestral</t>
        </is>
      </c>
      <c r="BA28" s="43" t="inlineStr">
        <is>
          <t>Anual</t>
        </is>
      </c>
      <c r="BB28" s="43" t="inlineStr">
        <is>
          <t>Acum. 2026</t>
        </is>
      </c>
      <c r="BC28" s="44" t="n"/>
      <c r="BD28" s="45" t="n"/>
    </row>
    <row r="29">
      <c r="A29" s="23" t="n">
        <v>39478</v>
      </c>
      <c r="B29" s="109" t="n">
        <v>12223.14</v>
      </c>
      <c r="C29" s="31">
        <f>(B29/B28-1)/(A29-A28)*30</f>
        <v/>
      </c>
      <c r="D29" s="25" t="n"/>
      <c r="E29" s="25" t="n"/>
      <c r="F29" s="25" t="n"/>
      <c r="O29" s="9" t="n">
        <v>2018</v>
      </c>
      <c r="P29" s="111">
        <f>LOOKUP(DATE($O29,P$25,P$24),$A$2:$A$2943,$H$2:$H$2943)</f>
        <v/>
      </c>
      <c r="Q29" s="111">
        <f>LOOKUP(DATE($O29,Q$25,Q$24),$A$2:$A$2943,$H$2:$H$2943)</f>
        <v/>
      </c>
      <c r="R29" s="111">
        <f>LOOKUP(DATE($O29,R$25,R$24),$A$2:$A$2943,$H$2:$H$2943)</f>
        <v/>
      </c>
      <c r="S29" s="111">
        <f>LOOKUP(DATE($O29,S$25,S$24),$A$2:$A$2943,$H$2:$H$2943)</f>
        <v/>
      </c>
      <c r="T29" s="111">
        <f>LOOKUP(DATE($O29,T$25,T$24),$A$2:$A$2943,$H$2:$H$2943)</f>
        <v/>
      </c>
      <c r="U29" s="111">
        <f>LOOKUP(DATE($O29,U$25,U$24),$A$2:$A$2943,$H$2:$H$2943)</f>
        <v/>
      </c>
      <c r="V29" s="111">
        <f>LOOKUP(DATE($O29,V$25,V$24),$A$2:$A$2943,$H$2:$H$2943)</f>
        <v/>
      </c>
      <c r="W29" s="111">
        <f>LOOKUP(DATE($O29,W$25,W$24),$A$2:$A$2943,$H$2:$H$2943)</f>
        <v/>
      </c>
      <c r="X29" s="111">
        <f>LOOKUP(DATE($O29,X$25,X$24),$A$2:$A$2943,$H$2:$H$2943)</f>
        <v/>
      </c>
      <c r="Y29" s="112">
        <f>LOOKUP(DATE($O29,Y$25,Y$24),$A$2:$A$2943,$H$2:$H$2943)</f>
        <v/>
      </c>
      <c r="Z29" s="112">
        <f>LOOKUP(DATE($O29,Z$25,Z$24),$A$2:$A$2943,$H$2:$H$2943)</f>
        <v/>
      </c>
      <c r="AA29" s="112">
        <f>LOOKUP(DATE($O29,AA$25,AA$24),$A$2:$A$2943,$H$2:$H$2943)</f>
        <v/>
      </c>
      <c r="AD29" s="27" t="n">
        <v>2017</v>
      </c>
      <c r="AE29" s="28" t="n"/>
      <c r="AF29" s="28" t="n"/>
      <c r="AG29" s="28" t="n"/>
      <c r="AH29" s="28" t="n"/>
      <c r="AI29" s="28" t="n"/>
      <c r="AJ29" s="28" t="n"/>
      <c r="AK29" s="28" t="n"/>
      <c r="AL29" s="28" t="n"/>
      <c r="AM29" s="68" t="n"/>
      <c r="AN29" s="69" t="n"/>
      <c r="AO29" s="69" t="n"/>
      <c r="AP29" s="69" t="n"/>
      <c r="AQ29" s="29" t="n"/>
      <c r="AR29" s="32" t="inlineStr">
        <is>
          <t>(*)</t>
        </is>
      </c>
      <c r="AS29" s="15" t="n"/>
      <c r="AV29" s="105" t="n"/>
      <c r="AW29" s="43" t="inlineStr">
        <is>
          <t>ICP (Bechmark)</t>
        </is>
      </c>
      <c r="AX29" s="46">
        <f>$AW20/AX20-1</f>
        <v/>
      </c>
      <c r="AY29" s="46">
        <f>$AW20/AY20-1</f>
        <v/>
      </c>
      <c r="AZ29" s="46">
        <f>$AW20/AZ20-1</f>
        <v/>
      </c>
      <c r="BA29" s="46">
        <f>$AW20/BA20-1</f>
        <v/>
      </c>
      <c r="BB29" s="46">
        <f>+AQ86</f>
        <v/>
      </c>
      <c r="BC29" s="47" t="n"/>
      <c r="BD29" s="33" t="n"/>
    </row>
    <row r="30">
      <c r="A30" s="23" t="n">
        <v>39507</v>
      </c>
      <c r="B30" s="109" t="n">
        <v>12284.88</v>
      </c>
      <c r="C30" s="31">
        <f>(B30/B29-1)/(A30-A29)*30</f>
        <v/>
      </c>
      <c r="D30" s="25" t="n"/>
      <c r="E30" s="25" t="n"/>
      <c r="F30" s="25" t="n"/>
      <c r="O30" s="9" t="n">
        <v>2019</v>
      </c>
      <c r="P30" s="111">
        <f>LOOKUP(DATE($O30,P$25,P$24),$A$2:$A$2943,$H$2:$H$2943)</f>
        <v/>
      </c>
      <c r="Q30" s="111">
        <f>LOOKUP(DATE($O30,Q$25,Q$24),$A$2:$A$2943,$H$2:$H$2943)</f>
        <v/>
      </c>
      <c r="R30" s="111">
        <f>LOOKUP(DATE($O30,R$25,R$24),$A$2:$A$2943,$H$2:$H$2943)</f>
        <v/>
      </c>
      <c r="S30" s="111">
        <f>LOOKUP(DATE($O30,S$25,S$24),$A$2:$A$2943,$H$2:$H$2943)</f>
        <v/>
      </c>
      <c r="T30" s="111">
        <f>LOOKUP(DATE($O30,T$25,T$24),$A$2:$A$2943,$H$2:$H$2943)</f>
        <v/>
      </c>
      <c r="U30" s="111">
        <f>LOOKUP(DATE($O30,U$25,U$24),$A$2:$A$2943,$H$2:$H$2943)</f>
        <v/>
      </c>
      <c r="V30" s="111">
        <f>LOOKUP(DATE($O30,V$25,V$24),$A$2:$A$2943,$H$2:$H$2943)</f>
        <v/>
      </c>
      <c r="W30" s="111">
        <f>LOOKUP(DATE($O30,W$25,W$24),$A$2:$A$2943,$H$2:$H$2943)</f>
        <v/>
      </c>
      <c r="X30" s="111">
        <f>LOOKUP(DATE($O30,X$25,X$24),$A$2:$A$2943,$H$2:$H$2943)</f>
        <v/>
      </c>
      <c r="Y30" s="111">
        <f>LOOKUP(DATE($O30,Y$25,Y$24),$A$2:$A$2943,$H$2:$H$2943)</f>
        <v/>
      </c>
      <c r="Z30" s="111">
        <f>LOOKUP(DATE($O30,Z$25,Z$24),$A$2:$A$2943,$H$2:$H$2943)</f>
        <v/>
      </c>
      <c r="AA30" s="111">
        <f>LOOKUP(DATE($O30,AA$25,AA$24),$A$2:$A$2943,$H$2:$H$2943)</f>
        <v/>
      </c>
      <c r="AD30" s="20" t="n">
        <v>2018</v>
      </c>
      <c r="AE30" s="70" t="n"/>
      <c r="AF30" s="66" t="n"/>
      <c r="AG30" s="66" t="n"/>
      <c r="AH30" s="66" t="n"/>
      <c r="AI30" s="70" t="n"/>
      <c r="AJ30" s="66" t="n"/>
      <c r="AK30" s="66" t="n"/>
      <c r="AL30" s="66" t="n"/>
      <c r="AM30" s="70" t="n"/>
      <c r="AN30" s="66" t="n"/>
      <c r="AO30" s="66" t="n"/>
      <c r="AP30" s="66" t="n"/>
      <c r="AQ30" s="22" t="n"/>
      <c r="AR30" s="32" t="n"/>
      <c r="AS30" s="15" t="n"/>
      <c r="AW30" s="43" t="inlineStr">
        <is>
          <t>Competencia</t>
        </is>
      </c>
      <c r="AX30" s="46">
        <f>$AW21/AX21-1</f>
        <v/>
      </c>
      <c r="AY30" s="46">
        <f>$AW21/AY21-1</f>
        <v/>
      </c>
      <c r="AZ30" s="46">
        <f>$AW21/AZ21-1</f>
        <v/>
      </c>
      <c r="BA30" s="46">
        <f>$AW21/BA21-1</f>
        <v/>
      </c>
      <c r="BB30" s="46">
        <f>+AQ87</f>
        <v/>
      </c>
      <c r="BC30" s="47" t="n"/>
      <c r="BD30" s="33" t="n"/>
    </row>
    <row r="31">
      <c r="A31" s="23" t="n">
        <v>39538</v>
      </c>
      <c r="B31" s="109" t="n">
        <v>12351.45</v>
      </c>
      <c r="C31" s="31">
        <f>(B31/B30-1)/(A31-A30)*30</f>
        <v/>
      </c>
      <c r="D31" s="25" t="n"/>
      <c r="E31" s="25" t="n"/>
      <c r="F31" s="25" t="n"/>
      <c r="O31" s="9" t="n">
        <v>2020</v>
      </c>
      <c r="P31" s="111">
        <f>LOOKUP(DATE($O31,P$25,P$24),$A$2:$A$2943,$H$2:$H$2943)</f>
        <v/>
      </c>
      <c r="Q31" s="111">
        <f>LOOKUP(DATE($O31,Q$25,Q$24)+1,$A$2:$A$2943,$H$2:$H$2943)</f>
        <v/>
      </c>
      <c r="R31" s="111">
        <f>LOOKUP(DATE($O31,R$25,R$24)+1,$A$2:$A$2943,$H$2:$H$2943)</f>
        <v/>
      </c>
      <c r="S31" s="111">
        <f>LOOKUP(DATE($O31,S$25,S$24)+1,$A$2:$A$2943,$H$2:$H$2943)</f>
        <v/>
      </c>
      <c r="T31" s="111">
        <f>LOOKUP(DATE($O31,T$25,T$24)+1,$A$2:$A$2943,$H$2:$H$2943)</f>
        <v/>
      </c>
      <c r="U31" s="111">
        <f>LOOKUP(DATE($O31,U$25,U$24)+1,$A$2:$A$2943,$H$2:$H$2943)</f>
        <v/>
      </c>
      <c r="V31" s="111">
        <f>LOOKUP(DATE($O31,V$25,V$24)+1,$A$2:$A$2943,$H$2:$H$2943)</f>
        <v/>
      </c>
      <c r="W31" s="111">
        <f>LOOKUP(DATE($O31,W$25,W$24)+1,$A$2:$A$2943,$H$2:$H$2943)</f>
        <v/>
      </c>
      <c r="X31" s="111">
        <f>LOOKUP(DATE($O31,X$25,X$24)+1,$A$2:$A$2943,$H$2:$H$2943)</f>
        <v/>
      </c>
      <c r="Y31" s="111">
        <f>+G183</f>
        <v/>
      </c>
      <c r="Z31" s="111">
        <f>+G184</f>
        <v/>
      </c>
      <c r="AA31" s="111">
        <f>+G185</f>
        <v/>
      </c>
      <c r="AD31" s="27" t="n">
        <v>2019</v>
      </c>
      <c r="AE31" s="68" t="n"/>
      <c r="AF31" s="69" t="n"/>
      <c r="AG31" s="69" t="n"/>
      <c r="AH31" s="69" t="n"/>
      <c r="AI31" s="68" t="n"/>
      <c r="AJ31" s="68" t="n"/>
      <c r="AK31" s="68" t="n"/>
      <c r="AL31" s="68" t="n"/>
      <c r="AM31" s="68" t="n"/>
      <c r="AN31" s="68" t="n"/>
      <c r="AO31" s="69" t="n"/>
      <c r="AP31" s="69" t="n"/>
      <c r="AQ31" s="29" t="n"/>
      <c r="AR31" s="15" t="n"/>
      <c r="AS31" s="15" t="n"/>
      <c r="AV31" s="48" t="n"/>
      <c r="AW31" s="43" t="inlineStr">
        <is>
          <t>FIP LIQUIDEZ Presente</t>
        </is>
      </c>
      <c r="AX31" s="46">
        <f>$AW22/AX22-1</f>
        <v/>
      </c>
      <c r="AY31" s="46">
        <f>$AW22/AY22-1</f>
        <v/>
      </c>
      <c r="AZ31" s="46">
        <f>$AW22/AZ22-1</f>
        <v/>
      </c>
      <c r="BA31" s="46">
        <f>$AW22/BA22-1</f>
        <v/>
      </c>
      <c r="BB31" s="46">
        <f>+AQ88</f>
        <v/>
      </c>
      <c r="BC31" s="48" t="n"/>
      <c r="BD31" s="33" t="n"/>
    </row>
    <row r="32">
      <c r="A32" s="23" t="n">
        <v>39568</v>
      </c>
      <c r="B32" s="109" t="n">
        <v>12416.18</v>
      </c>
      <c r="C32" s="31">
        <f>(B32/B31-1)/(A32-A31)*30</f>
        <v/>
      </c>
      <c r="D32" s="25" t="n"/>
      <c r="E32" s="25" t="n"/>
      <c r="F32" s="25" t="n"/>
      <c r="O32" s="9" t="n">
        <v>2021</v>
      </c>
      <c r="P32" s="109" t="n"/>
      <c r="Q32" s="109" t="n"/>
      <c r="R32" s="109" t="n"/>
      <c r="S32" s="109" t="n"/>
      <c r="T32" s="109">
        <f>+G190</f>
        <v/>
      </c>
      <c r="U32" s="109">
        <f>+G191</f>
        <v/>
      </c>
      <c r="V32" s="109">
        <f>+G192</f>
        <v/>
      </c>
      <c r="W32" s="109">
        <f>+G193</f>
        <v/>
      </c>
      <c r="X32" s="109">
        <f>+G194</f>
        <v/>
      </c>
      <c r="Y32" s="109">
        <f>+G195</f>
        <v/>
      </c>
      <c r="Z32" s="109">
        <f>+G196</f>
        <v/>
      </c>
      <c r="AA32" s="109">
        <f>+G197+S156</f>
        <v/>
      </c>
      <c r="AD32" s="27" t="n">
        <v>2020</v>
      </c>
      <c r="AE32" s="68" t="n"/>
      <c r="AF32" s="68" t="n"/>
      <c r="AG32" s="68" t="n"/>
      <c r="AH32" s="68" t="n"/>
      <c r="AI32" s="68" t="n"/>
      <c r="AJ32" s="68" t="n"/>
      <c r="AK32" s="68" t="n"/>
      <c r="AL32" s="68" t="n"/>
      <c r="AM32" s="68" t="n"/>
      <c r="AN32" s="68" t="n"/>
      <c r="AO32" s="68" t="n"/>
      <c r="AP32" s="68" t="n"/>
      <c r="AQ32" s="29" t="n"/>
      <c r="AR32" s="15" t="n"/>
      <c r="AS32" s="15" t="n"/>
      <c r="AV32" s="48" t="n"/>
      <c r="AW32" s="49" t="n"/>
      <c r="AX32" s="15" t="n"/>
      <c r="AY32" s="15" t="n"/>
      <c r="AZ32" s="15" t="n"/>
      <c r="BA32" s="15" t="n"/>
      <c r="BB32" s="15" t="n"/>
      <c r="BC32" s="48" t="n"/>
      <c r="BD32" s="33" t="n"/>
    </row>
    <row r="33">
      <c r="A33" s="23" t="n">
        <v>39598</v>
      </c>
      <c r="B33" s="109" t="n">
        <v>12481.48</v>
      </c>
      <c r="C33" s="31">
        <f>(B33/B32-1)/(A33-A32)*30</f>
        <v/>
      </c>
      <c r="D33" s="25" t="n"/>
      <c r="E33" s="25" t="n"/>
      <c r="F33" s="25" t="n"/>
      <c r="O33" s="9" t="n">
        <v>2022</v>
      </c>
      <c r="P33" s="109" t="n"/>
      <c r="Q33" s="109" t="n"/>
      <c r="R33" s="109" t="n"/>
      <c r="S33" s="109" t="n"/>
      <c r="T33" s="109">
        <f>+G202+S156</f>
        <v/>
      </c>
      <c r="U33" s="109">
        <f>+G203+S156</f>
        <v/>
      </c>
      <c r="V33" s="109">
        <f>+G204+S156</f>
        <v/>
      </c>
      <c r="W33" s="109">
        <f>+G205+S156</f>
        <v/>
      </c>
      <c r="X33" s="109">
        <f>+G206+S156</f>
        <v/>
      </c>
      <c r="Y33" s="109">
        <f>+G207+S156</f>
        <v/>
      </c>
      <c r="Z33" s="109">
        <f>+G208+S156</f>
        <v/>
      </c>
      <c r="AA33" s="109">
        <f>+G209+S156</f>
        <v/>
      </c>
      <c r="AD33" s="27" t="n">
        <v>2021</v>
      </c>
      <c r="AE33" s="68" t="n"/>
      <c r="AF33" s="28" t="n"/>
      <c r="AG33" s="28" t="n"/>
      <c r="AH33" s="28" t="n"/>
      <c r="AI33" s="28" t="n"/>
      <c r="AJ33" s="28" t="n"/>
      <c r="AK33" s="28" t="n"/>
      <c r="AL33" s="28" t="n"/>
      <c r="AM33" s="28" t="n"/>
      <c r="AN33" s="28" t="n"/>
      <c r="AO33" s="28" t="n"/>
      <c r="AP33" s="28" t="n"/>
      <c r="AQ33" s="29" t="n"/>
      <c r="AR33" s="15" t="n"/>
      <c r="AS33" s="15" t="n"/>
      <c r="AY33" s="113" t="n"/>
      <c r="BD33" s="33" t="n"/>
    </row>
    <row r="34">
      <c r="A34" s="23" t="n">
        <v>39629</v>
      </c>
      <c r="B34" s="109" t="n">
        <v>12552.23</v>
      </c>
      <c r="C34" s="31">
        <f>(B34/B33-1)/(A34-A33)*30</f>
        <v/>
      </c>
      <c r="D34" s="25" t="n"/>
      <c r="E34" s="25" t="n"/>
      <c r="F34" s="25" t="n"/>
      <c r="O34" s="9" t="n">
        <v>2023</v>
      </c>
      <c r="P34" s="109" t="n"/>
      <c r="Q34" s="109" t="n"/>
      <c r="R34" s="109" t="n"/>
      <c r="S34" s="109" t="n"/>
      <c r="T34" s="109" t="n"/>
      <c r="U34" s="109" t="n"/>
      <c r="V34" s="109" t="n"/>
      <c r="W34" s="109">
        <f>+G217</f>
        <v/>
      </c>
      <c r="X34" s="109">
        <f>+G218</f>
        <v/>
      </c>
      <c r="Y34" s="109">
        <f>+G219</f>
        <v/>
      </c>
      <c r="Z34" s="109">
        <f>+G220</f>
        <v/>
      </c>
      <c r="AA34" s="109">
        <f>+G221</f>
        <v/>
      </c>
      <c r="AD34" s="27" t="n">
        <v>2022</v>
      </c>
      <c r="AE34" s="28" t="n"/>
      <c r="AF34" s="28" t="n"/>
      <c r="AG34" s="28" t="n"/>
      <c r="AH34" s="28" t="n"/>
      <c r="AI34" s="28" t="n"/>
      <c r="AJ34" s="28" t="n"/>
      <c r="AK34" s="28" t="n"/>
      <c r="AL34" s="28" t="n"/>
      <c r="AM34" s="28" t="n"/>
      <c r="AN34" s="28" t="n"/>
      <c r="AO34" s="28" t="n"/>
      <c r="AP34" s="28" t="n"/>
      <c r="AQ34" s="29" t="n"/>
      <c r="AR34" s="32" t="n"/>
      <c r="AS34" s="15" t="n"/>
    </row>
    <row r="35">
      <c r="A35" s="23" t="n">
        <v>39660</v>
      </c>
      <c r="B35" s="109" t="n">
        <v>12628.9</v>
      </c>
      <c r="C35" s="31">
        <f>(B35/B34-1)/(A35-A34)*30</f>
        <v/>
      </c>
      <c r="D35" s="25" t="n"/>
      <c r="E35" s="25" t="n"/>
      <c r="F35" s="25" t="n"/>
      <c r="O35" s="9" t="n">
        <v>2024</v>
      </c>
      <c r="P35" s="109">
        <f>+G222</f>
        <v/>
      </c>
      <c r="Q35" s="109">
        <f>+G223</f>
        <v/>
      </c>
      <c r="R35" s="109">
        <f>+G224</f>
        <v/>
      </c>
      <c r="S35" s="109">
        <f>+G225</f>
        <v/>
      </c>
      <c r="T35" s="109">
        <f>+G226</f>
        <v/>
      </c>
      <c r="U35" s="109">
        <f>+G227</f>
        <v/>
      </c>
      <c r="V35" s="109">
        <f>+G228</f>
        <v/>
      </c>
      <c r="W35" s="109">
        <f>+G229</f>
        <v/>
      </c>
      <c r="X35" s="109">
        <f>+G230</f>
        <v/>
      </c>
      <c r="Y35" s="109">
        <f>+G231</f>
        <v/>
      </c>
      <c r="Z35" s="109">
        <f>+G232</f>
        <v/>
      </c>
      <c r="AA35" s="109">
        <f>+G233</f>
        <v/>
      </c>
      <c r="AD35" s="27" t="n">
        <v>2023</v>
      </c>
      <c r="AE35" s="28" t="n"/>
      <c r="AF35" s="28" t="n"/>
      <c r="AG35" s="28" t="n"/>
      <c r="AH35" s="28" t="n"/>
      <c r="AI35" s="28" t="n"/>
      <c r="AJ35" s="28" t="n"/>
      <c r="AK35" s="28" t="n"/>
      <c r="AL35" s="28" t="n"/>
      <c r="AM35" s="28" t="n"/>
      <c r="AN35" s="28" t="n"/>
      <c r="AO35" s="28" t="n"/>
      <c r="AP35" s="28" t="n"/>
      <c r="AQ35" s="29" t="n"/>
      <c r="AR35" s="32" t="n"/>
      <c r="AS35" s="15" t="n"/>
    </row>
    <row r="36">
      <c r="A36" s="23" t="n">
        <v>39689</v>
      </c>
      <c r="B36" s="109" t="n">
        <v>12704.63</v>
      </c>
      <c r="C36" s="31">
        <f>(B36/B35-1)/(A36-A35)*30</f>
        <v/>
      </c>
      <c r="D36" s="25" t="n"/>
      <c r="E36" s="25" t="n"/>
      <c r="F36" s="25" t="n"/>
      <c r="O36" s="9" t="n">
        <v>2025</v>
      </c>
      <c r="P36" s="109">
        <f>+G234</f>
        <v/>
      </c>
      <c r="Q36" s="109">
        <f>+G235</f>
        <v/>
      </c>
      <c r="R36" s="109">
        <f>+G236</f>
        <v/>
      </c>
      <c r="S36" s="109">
        <f>+G237</f>
        <v/>
      </c>
      <c r="T36" s="109">
        <f>+G238</f>
        <v/>
      </c>
      <c r="U36" s="109">
        <f>+G239</f>
        <v/>
      </c>
      <c r="V36" s="109">
        <f>+G240</f>
        <v/>
      </c>
      <c r="W36" s="109">
        <f>+G241</f>
        <v/>
      </c>
      <c r="X36" s="109">
        <f>+G242</f>
        <v/>
      </c>
      <c r="Y36" s="109">
        <f>+G243</f>
        <v/>
      </c>
      <c r="Z36" s="109">
        <f>+G244</f>
        <v/>
      </c>
      <c r="AA36" s="109">
        <f>+G245</f>
        <v/>
      </c>
      <c r="AD36" s="27" t="n">
        <v>2024</v>
      </c>
      <c r="AE36" s="28" t="n"/>
      <c r="AF36" s="28" t="n"/>
      <c r="AG36" s="28" t="n"/>
      <c r="AH36" s="28" t="n"/>
      <c r="AI36" s="28" t="n"/>
      <c r="AJ36" s="28" t="n"/>
      <c r="AK36" s="28" t="n"/>
      <c r="AL36" s="28" t="n"/>
      <c r="AM36" s="28" t="n"/>
      <c r="AN36" s="28" t="n"/>
      <c r="AO36" s="28">
        <f>+(Z35/Y35-1)</f>
        <v/>
      </c>
      <c r="AP36" s="28">
        <f>+(AA35/Z35-1)</f>
        <v/>
      </c>
      <c r="AQ36" s="29">
        <f>+(AA35/Y35-1)/COUNTA(AE36:AP36)*12</f>
        <v/>
      </c>
      <c r="AR36" s="15" t="n"/>
      <c r="AS36" s="15" t="n"/>
    </row>
    <row r="37">
      <c r="A37" s="23" t="n"/>
      <c r="B37" s="109" t="n"/>
      <c r="C37" s="31" t="n"/>
      <c r="D37" s="25" t="n"/>
      <c r="E37" s="25" t="n"/>
      <c r="F37" s="25" t="n"/>
      <c r="O37" s="9" t="n">
        <v>2026</v>
      </c>
      <c r="P37" s="109">
        <f>+G246</f>
        <v/>
      </c>
      <c r="Q37" s="109">
        <f>+G247</f>
        <v/>
      </c>
      <c r="R37" s="109">
        <f>+G248</f>
        <v/>
      </c>
      <c r="S37" s="109">
        <f>+G249</f>
        <v/>
      </c>
      <c r="T37" s="109">
        <f>+G250</f>
        <v/>
      </c>
      <c r="U37" s="109">
        <f>+G251</f>
        <v/>
      </c>
      <c r="V37" s="109" t="n"/>
      <c r="W37" s="109" t="n"/>
      <c r="X37" s="109" t="n"/>
      <c r="Y37" s="109" t="n"/>
      <c r="Z37" s="109" t="n"/>
      <c r="AA37" s="109" t="n"/>
      <c r="AD37" s="27" t="n">
        <v>2025</v>
      </c>
      <c r="AE37" s="28">
        <f>+(P36/AA35-1)</f>
        <v/>
      </c>
      <c r="AF37" s="28">
        <f>+(Q36/P36-1)</f>
        <v/>
      </c>
      <c r="AG37" s="28">
        <f>+(R36/Q36-1)</f>
        <v/>
      </c>
      <c r="AH37" s="28">
        <f>+(S36/R36-1)</f>
        <v/>
      </c>
      <c r="AI37" s="28">
        <f>+(T36/S36-1)</f>
        <v/>
      </c>
      <c r="AJ37" s="28">
        <f>+(U36/T36-1)</f>
        <v/>
      </c>
      <c r="AK37" s="28">
        <f>+(V36/U36-1)</f>
        <v/>
      </c>
      <c r="AL37" s="28">
        <f>+(W36/V36-1)</f>
        <v/>
      </c>
      <c r="AM37" s="28">
        <f>+(X36/W36-1)</f>
        <v/>
      </c>
      <c r="AN37" s="28">
        <f>+(Y36/X36-1)</f>
        <v/>
      </c>
      <c r="AO37" s="28">
        <f>+(Z36/Y36-1)</f>
        <v/>
      </c>
      <c r="AP37" s="28">
        <f>+(AA36/Z36-1)</f>
        <v/>
      </c>
      <c r="AQ37" s="29">
        <f>+(Z36/P36-1)/COUNTA(AE37:AP37)*12</f>
        <v/>
      </c>
      <c r="AR37" s="15" t="n"/>
      <c r="AS37" s="15" t="n"/>
    </row>
    <row r="38">
      <c r="A38" s="23" t="n">
        <v>39721</v>
      </c>
      <c r="B38" s="109" t="n">
        <v>12796.95</v>
      </c>
      <c r="C38" s="31">
        <f>(B38/B36-1)/(A38-A36)*30</f>
        <v/>
      </c>
      <c r="D38" s="25" t="n"/>
      <c r="E38" s="25" t="n"/>
      <c r="F38" s="25" t="n"/>
      <c r="P38" s="16" t="n">
        <v>31</v>
      </c>
      <c r="Q38" s="16" t="n">
        <v>28</v>
      </c>
      <c r="R38" s="16" t="n">
        <v>31</v>
      </c>
      <c r="S38" s="16" t="n">
        <v>30</v>
      </c>
      <c r="T38" s="16" t="n">
        <v>31</v>
      </c>
      <c r="U38" s="16" t="n">
        <v>30</v>
      </c>
      <c r="V38" s="16" t="n">
        <v>31</v>
      </c>
      <c r="W38" s="16" t="n">
        <v>31</v>
      </c>
      <c r="X38" s="16" t="n">
        <v>30</v>
      </c>
      <c r="Y38" s="16" t="n">
        <v>31</v>
      </c>
      <c r="Z38" s="16" t="n">
        <v>30</v>
      </c>
      <c r="AA38" s="16" t="n">
        <v>31</v>
      </c>
      <c r="AD38" s="27" t="n">
        <v>2026</v>
      </c>
      <c r="AE38" s="28">
        <f>+(P37/AA36-1)</f>
        <v/>
      </c>
      <c r="AF38" s="28">
        <f>+(Q37/P37-1)</f>
        <v/>
      </c>
      <c r="AG38" s="28">
        <f>+(R37/Q37-1)</f>
        <v/>
      </c>
      <c r="AH38" s="28">
        <f>+(S37/R37-1)</f>
        <v/>
      </c>
      <c r="AI38">
        <f>+T37/S37-1</f>
        <v/>
      </c>
      <c r="AJ38">
        <f>+U37/T37-1</f>
        <v/>
      </c>
      <c r="AQ38" s="29">
        <f>+(U37/P37-1)/COUNTA(AE38:AJ38)*12</f>
        <v/>
      </c>
      <c r="AR38" s="32" t="inlineStr">
        <is>
          <t>(*)</t>
        </is>
      </c>
      <c r="AS38" s="15" t="n"/>
    </row>
    <row r="39">
      <c r="A39" s="23" t="n">
        <v>39752</v>
      </c>
      <c r="B39" s="109" t="n">
        <v>12885.37</v>
      </c>
      <c r="C39" s="31">
        <f>(B39/B38-1)/(A39-A38)*30</f>
        <v/>
      </c>
      <c r="D39" s="25" t="n"/>
      <c r="E39" s="25" t="n"/>
      <c r="F39" s="25" t="n"/>
      <c r="P39" s="16" t="n">
        <v>1</v>
      </c>
      <c r="Q39" s="16" t="n">
        <v>2</v>
      </c>
      <c r="R39" s="16" t="n">
        <v>3</v>
      </c>
      <c r="S39" s="16" t="n">
        <v>4</v>
      </c>
      <c r="T39" s="16" t="n">
        <v>5</v>
      </c>
      <c r="U39" s="16" t="n">
        <v>6</v>
      </c>
      <c r="V39" s="16" t="n">
        <v>7</v>
      </c>
      <c r="W39" s="16" t="n">
        <v>8</v>
      </c>
      <c r="X39" s="16" t="n">
        <v>9</v>
      </c>
      <c r="Y39" s="16" t="n">
        <v>10</v>
      </c>
      <c r="Z39" s="16" t="n">
        <v>11</v>
      </c>
      <c r="AA39" s="16" t="n">
        <v>12</v>
      </c>
      <c r="AD39" s="32" t="inlineStr">
        <is>
          <t>(*) Acum a Mar</t>
        </is>
      </c>
      <c r="AE39" s="28" t="n"/>
      <c r="AF39" s="28" t="n"/>
      <c r="AG39" s="28" t="n"/>
      <c r="AH39" s="28" t="n"/>
      <c r="AI39" s="28" t="n"/>
      <c r="AJ39" s="28" t="n"/>
      <c r="AK39" s="28" t="n"/>
      <c r="AL39" s="28" t="n"/>
      <c r="AM39" s="28" t="n"/>
      <c r="AN39" s="28" t="n"/>
      <c r="AO39" s="28" t="n"/>
      <c r="AP39" s="28" t="n"/>
      <c r="AQ39" s="29" t="n"/>
      <c r="AR39" s="15" t="n"/>
      <c r="AS39" s="15" t="n"/>
    </row>
    <row r="40" ht="15.75" customHeight="1">
      <c r="A40" s="23" t="n">
        <v>39780</v>
      </c>
      <c r="B40" s="109" t="n">
        <v>12970.93</v>
      </c>
      <c r="C40" s="31">
        <f>(B40/B39-1)/(A40-A39)*30</f>
        <v/>
      </c>
      <c r="D40" s="25" t="n"/>
      <c r="E40" s="25" t="n"/>
      <c r="F40" s="25" t="n"/>
      <c r="O40" s="38" t="inlineStr">
        <is>
          <t>Competencia</t>
        </is>
      </c>
      <c r="P40" s="9" t="inlineStr">
        <is>
          <t>Ene</t>
        </is>
      </c>
      <c r="Q40" s="9" t="inlineStr">
        <is>
          <t>Feb</t>
        </is>
      </c>
      <c r="R40" s="9" t="inlineStr">
        <is>
          <t>Mar</t>
        </is>
      </c>
      <c r="S40" s="9" t="inlineStr">
        <is>
          <t>Abr</t>
        </is>
      </c>
      <c r="T40" s="9" t="inlineStr">
        <is>
          <t>May</t>
        </is>
      </c>
      <c r="U40" s="9" t="inlineStr">
        <is>
          <t>Jun</t>
        </is>
      </c>
      <c r="V40" s="9" t="inlineStr">
        <is>
          <t>Jul</t>
        </is>
      </c>
      <c r="W40" s="9" t="inlineStr">
        <is>
          <t>Ago</t>
        </is>
      </c>
      <c r="X40" s="9" t="inlineStr">
        <is>
          <t>Sep</t>
        </is>
      </c>
      <c r="Y40" s="9" t="inlineStr">
        <is>
          <t>Oct</t>
        </is>
      </c>
      <c r="Z40" s="9" t="inlineStr">
        <is>
          <t>Nov</t>
        </is>
      </c>
      <c r="AA40" s="9" t="inlineStr">
        <is>
          <t>Dic</t>
        </is>
      </c>
      <c r="AD40" s="35" t="inlineStr">
        <is>
          <t>Competencia</t>
        </is>
      </c>
      <c r="AE40" s="14" t="inlineStr">
        <is>
          <t>Ene</t>
        </is>
      </c>
      <c r="AF40" s="14" t="inlineStr">
        <is>
          <t>Feb</t>
        </is>
      </c>
      <c r="AG40" s="14" t="inlineStr">
        <is>
          <t>Mar</t>
        </is>
      </c>
      <c r="AH40" s="14" t="inlineStr">
        <is>
          <t>Abr</t>
        </is>
      </c>
      <c r="AI40" s="14" t="inlineStr">
        <is>
          <t>May</t>
        </is>
      </c>
      <c r="AJ40" s="14" t="inlineStr">
        <is>
          <t>Jun</t>
        </is>
      </c>
      <c r="AK40" s="14" t="inlineStr">
        <is>
          <t>Jul</t>
        </is>
      </c>
      <c r="AL40" s="14" t="inlineStr">
        <is>
          <t>Ago</t>
        </is>
      </c>
      <c r="AM40" s="14" t="inlineStr">
        <is>
          <t>Sep</t>
        </is>
      </c>
      <c r="AN40" s="14" t="inlineStr">
        <is>
          <t>Oct</t>
        </is>
      </c>
      <c r="AO40" s="14" t="inlineStr">
        <is>
          <t>Nov</t>
        </is>
      </c>
      <c r="AP40" s="14" t="inlineStr">
        <is>
          <t>Dic</t>
        </is>
      </c>
      <c r="AQ40" s="14" t="inlineStr">
        <is>
          <t>Total Año</t>
        </is>
      </c>
      <c r="AR40" s="15" t="n"/>
      <c r="AS40" s="15" t="n"/>
      <c r="BE40" s="45" t="n"/>
      <c r="BF40" s="45" t="n"/>
      <c r="BG40" s="45" t="n"/>
      <c r="BH40" s="45" t="n"/>
      <c r="BI40" s="45" t="n"/>
      <c r="BJ40" s="45" t="n"/>
    </row>
    <row r="41" ht="15" customHeight="1">
      <c r="A41" s="23" t="n">
        <v>39813</v>
      </c>
      <c r="B41" s="109" t="n">
        <v>13066.33</v>
      </c>
      <c r="C41" s="31">
        <f>(B41/B40-1)/(A41-A40)*30</f>
        <v/>
      </c>
      <c r="D41" s="25" t="n"/>
      <c r="E41" s="25" t="n"/>
      <c r="F41" s="25" t="n"/>
      <c r="O41" s="9" t="n">
        <v>2016</v>
      </c>
      <c r="P41" s="109">
        <f>+K126</f>
        <v/>
      </c>
      <c r="Q41" s="109">
        <f>+K127</f>
        <v/>
      </c>
      <c r="R41" s="109">
        <f>+K128</f>
        <v/>
      </c>
      <c r="S41" s="109">
        <f>+K129</f>
        <v/>
      </c>
      <c r="T41" s="109">
        <f>+K130</f>
        <v/>
      </c>
      <c r="U41" s="111">
        <f>+K131</f>
        <v/>
      </c>
      <c r="V41" s="111">
        <f>+K132</f>
        <v/>
      </c>
      <c r="W41" s="111">
        <f>+K133</f>
        <v/>
      </c>
      <c r="X41" s="111">
        <f>+K134</f>
        <v/>
      </c>
      <c r="Y41" s="111">
        <f>+K135</f>
        <v/>
      </c>
      <c r="Z41" s="111">
        <f>+K136</f>
        <v/>
      </c>
      <c r="AA41" s="111">
        <f>+K137</f>
        <v/>
      </c>
      <c r="AD41" s="20" t="n">
        <v>2016</v>
      </c>
      <c r="AE41" s="21" t="n"/>
      <c r="AF41" s="21">
        <f>+Q41/P41-1</f>
        <v/>
      </c>
      <c r="AG41" s="21">
        <f>+R41/Q41-1</f>
        <v/>
      </c>
      <c r="AH41" s="21">
        <f>+S41/R41-1</f>
        <v/>
      </c>
      <c r="AI41" s="21">
        <f>+T41/S41-1</f>
        <v/>
      </c>
      <c r="AJ41" s="21">
        <f>+U41/T41-1</f>
        <v/>
      </c>
      <c r="AK41" s="21">
        <f>+V41/U41-1</f>
        <v/>
      </c>
      <c r="AL41" s="21">
        <f>+W41/V41-1</f>
        <v/>
      </c>
      <c r="AM41" s="21">
        <f>+X41/W41-1</f>
        <v/>
      </c>
      <c r="AN41" s="21">
        <f>+Y41/X41-1</f>
        <v/>
      </c>
      <c r="AO41" s="21">
        <f>+Z41/Y41-1</f>
        <v/>
      </c>
      <c r="AP41" s="21">
        <f>+AA41/Z41-1</f>
        <v/>
      </c>
      <c r="AQ41" s="22">
        <f>+AA41/P41-1</f>
        <v/>
      </c>
      <c r="AR41" s="15" t="n"/>
      <c r="AS41" s="15" t="n"/>
      <c r="BE41" s="33" t="n"/>
      <c r="BF41" s="33" t="n"/>
      <c r="BG41" s="33" t="n"/>
      <c r="BH41" s="33" t="n"/>
      <c r="BI41" s="33" t="n"/>
      <c r="BJ41" s="57" t="n"/>
    </row>
    <row r="42" ht="15" customHeight="1">
      <c r="A42" s="23" t="n">
        <v>39843</v>
      </c>
      <c r="B42" s="109" t="n">
        <v>13151.16</v>
      </c>
      <c r="C42" s="31">
        <f>(B42/B41-1)/(A42-A41)*30</f>
        <v/>
      </c>
      <c r="D42" s="25" t="n"/>
      <c r="E42" s="25" t="n"/>
      <c r="F42" s="25" t="n"/>
      <c r="O42" s="9" t="n">
        <v>2017</v>
      </c>
      <c r="P42" s="111">
        <f>+K138</f>
        <v/>
      </c>
      <c r="Q42" s="111">
        <f>+K139</f>
        <v/>
      </c>
      <c r="R42" s="111">
        <f>+K140</f>
        <v/>
      </c>
      <c r="S42" s="111">
        <f>+K141</f>
        <v/>
      </c>
      <c r="T42" s="111">
        <f>+K142</f>
        <v/>
      </c>
      <c r="U42" s="106">
        <f>+$K143</f>
        <v/>
      </c>
      <c r="V42" s="106">
        <f>+$K144</f>
        <v/>
      </c>
      <c r="W42" s="106">
        <f>+$K145</f>
        <v/>
      </c>
      <c r="X42" s="106">
        <f>+$K146</f>
        <v/>
      </c>
      <c r="Y42" s="106">
        <f>+$K147</f>
        <v/>
      </c>
      <c r="Z42" s="106">
        <f>+$K148</f>
        <v/>
      </c>
      <c r="AA42" s="106">
        <f>+K149</f>
        <v/>
      </c>
      <c r="AD42" s="27" t="n">
        <v>2017</v>
      </c>
      <c r="AE42" s="28">
        <f>+P42/AA41-1</f>
        <v/>
      </c>
      <c r="AF42" s="28">
        <f>+Q42/P42-1</f>
        <v/>
      </c>
      <c r="AG42" s="28">
        <f>+R42/Q42-1</f>
        <v/>
      </c>
      <c r="AH42" s="28">
        <f>+S42/R42-1</f>
        <v/>
      </c>
      <c r="AI42" s="28">
        <f>+T42/S42-1</f>
        <v/>
      </c>
      <c r="AJ42" s="28">
        <f>+U42/T42-1</f>
        <v/>
      </c>
      <c r="AK42" s="28">
        <f>+V42/U42-1</f>
        <v/>
      </c>
      <c r="AL42" s="28">
        <f>+W42/V42-1</f>
        <v/>
      </c>
      <c r="AM42" s="28">
        <f>+X42/W42-1</f>
        <v/>
      </c>
      <c r="AN42" s="28">
        <f>+Y42/X42-1</f>
        <v/>
      </c>
      <c r="AO42" s="28">
        <f>+Z42/Y42-1</f>
        <v/>
      </c>
      <c r="AP42" s="28">
        <f>+AA42/Z42-1</f>
        <v/>
      </c>
      <c r="AQ42" s="29">
        <f>+AA35/Y35-1</f>
        <v/>
      </c>
      <c r="AR42" s="15" t="n"/>
      <c r="AS42" s="15" t="n"/>
      <c r="BE42" s="33" t="n"/>
      <c r="BF42" s="33" t="n"/>
      <c r="BG42" s="33" t="n"/>
      <c r="BH42" s="33" t="n"/>
      <c r="BI42" s="33" t="n"/>
      <c r="BJ42" s="57" t="n"/>
    </row>
    <row r="43" ht="15" customHeight="1">
      <c r="A43" s="23" t="n">
        <v>39871</v>
      </c>
      <c r="B43" s="109" t="n">
        <v>13212.09</v>
      </c>
      <c r="C43" s="31">
        <f>(B43/B42-1)/(A43-A42)*30</f>
        <v/>
      </c>
      <c r="D43" s="25" t="n"/>
      <c r="E43" s="25" t="n"/>
      <c r="F43" s="25" t="n"/>
      <c r="O43" s="9" t="n">
        <v>2018</v>
      </c>
      <c r="P43" s="111">
        <f>+K150</f>
        <v/>
      </c>
      <c r="Q43" s="111">
        <f>+K151</f>
        <v/>
      </c>
      <c r="R43" s="111">
        <f>+K152</f>
        <v/>
      </c>
      <c r="S43" s="111">
        <f>+K153</f>
        <v/>
      </c>
      <c r="T43" s="109">
        <f>+K154</f>
        <v/>
      </c>
      <c r="U43" s="109">
        <f>+K155</f>
        <v/>
      </c>
      <c r="V43" s="109">
        <f>+K156</f>
        <v/>
      </c>
      <c r="W43" s="109">
        <f>+K157</f>
        <v/>
      </c>
      <c r="X43" s="109">
        <f>+K158</f>
        <v/>
      </c>
      <c r="Y43" s="109">
        <f>+K159</f>
        <v/>
      </c>
      <c r="Z43" s="109">
        <f>+K160</f>
        <v/>
      </c>
      <c r="AA43" s="109">
        <f>+K161</f>
        <v/>
      </c>
      <c r="AD43" s="20" t="n">
        <v>2018</v>
      </c>
      <c r="AE43" s="21" t="n"/>
      <c r="AF43" s="21" t="n"/>
      <c r="AG43" s="21" t="n"/>
      <c r="AH43" s="21" t="n"/>
      <c r="AI43" s="21" t="n"/>
      <c r="AJ43" s="21" t="n"/>
      <c r="AK43" s="33" t="n"/>
      <c r="AL43" s="33" t="n"/>
      <c r="AM43" s="33" t="n"/>
      <c r="AN43" s="66" t="n"/>
      <c r="AO43" s="66" t="n"/>
      <c r="AP43" s="66" t="n"/>
      <c r="AQ43" s="22" t="n"/>
      <c r="AR43" s="15" t="n"/>
      <c r="AS43" s="15" t="n"/>
      <c r="BE43" s="33" t="n"/>
      <c r="BF43" s="33" t="n"/>
      <c r="BG43" s="33" t="n"/>
      <c r="BH43" s="33" t="n"/>
      <c r="BI43" s="33" t="n"/>
      <c r="BJ43" s="57" t="n"/>
    </row>
    <row r="44">
      <c r="A44" s="23" t="n">
        <v>39903</v>
      </c>
      <c r="B44" s="109" t="n">
        <v>13251.18</v>
      </c>
      <c r="C44" s="31">
        <f>(B44/B43-1)/(A44-A43)*30</f>
        <v/>
      </c>
      <c r="D44" s="25" t="n"/>
      <c r="E44" s="25" t="n"/>
      <c r="F44" s="25" t="n"/>
      <c r="O44" s="9" t="n">
        <v>2019</v>
      </c>
      <c r="P44" s="9">
        <f>+K162</f>
        <v/>
      </c>
      <c r="Q44" s="9">
        <f>+K163</f>
        <v/>
      </c>
      <c r="R44" s="24">
        <f>+K164</f>
        <v/>
      </c>
      <c r="S44" s="24">
        <f>+K165</f>
        <v/>
      </c>
      <c r="T44" s="24">
        <f>+K166</f>
        <v/>
      </c>
      <c r="U44" s="9">
        <f>+K167</f>
        <v/>
      </c>
      <c r="V44" s="9">
        <f>+K168</f>
        <v/>
      </c>
      <c r="W44" s="9">
        <f>+K169</f>
        <v/>
      </c>
      <c r="X44" s="114">
        <f>+K170</f>
        <v/>
      </c>
      <c r="Y44" s="114">
        <f>+K171</f>
        <v/>
      </c>
      <c r="Z44" s="9">
        <f>+K172</f>
        <v/>
      </c>
      <c r="AA44" s="9">
        <f>+K173</f>
        <v/>
      </c>
      <c r="AD44" s="27" t="n">
        <v>2019</v>
      </c>
      <c r="AE44" s="28" t="n"/>
      <c r="AF44" s="28" t="n"/>
      <c r="AG44" s="28" t="n"/>
      <c r="AH44" s="28" t="n"/>
      <c r="AI44" s="28" t="n"/>
      <c r="AJ44" s="28" t="n"/>
      <c r="AK44" s="28" t="n"/>
      <c r="AL44" s="28" t="n"/>
      <c r="AM44" s="28" t="n"/>
      <c r="AN44" s="28" t="n"/>
      <c r="AO44" s="28" t="n"/>
      <c r="AP44" s="28" t="n"/>
      <c r="AQ44" s="29" t="n"/>
      <c r="AR44" s="15" t="n"/>
      <c r="AS44" s="15" t="n"/>
      <c r="BE44" s="33" t="n"/>
      <c r="BF44" s="33" t="n"/>
      <c r="BG44" s="33" t="n"/>
      <c r="BH44" s="33" t="n"/>
      <c r="BI44" s="33" t="n"/>
      <c r="BJ44" s="57" t="n"/>
    </row>
    <row r="45">
      <c r="A45" s="23" t="n">
        <v>39933</v>
      </c>
      <c r="B45" s="109" t="n">
        <v>13272.62</v>
      </c>
      <c r="C45" s="31">
        <f>(B45/B44-1)/(A45-A44)*30</f>
        <v/>
      </c>
      <c r="D45" s="25" t="n"/>
      <c r="E45" s="25" t="n"/>
      <c r="F45" s="25" t="n"/>
      <c r="O45" s="9" t="n">
        <v>2020</v>
      </c>
      <c r="P45" s="9">
        <f>+K174</f>
        <v/>
      </c>
      <c r="Q45" s="9">
        <f>+K175</f>
        <v/>
      </c>
      <c r="R45" s="9">
        <f>+K176</f>
        <v/>
      </c>
      <c r="S45" s="9">
        <f>+K177</f>
        <v/>
      </c>
      <c r="T45" s="9">
        <f>+K178</f>
        <v/>
      </c>
      <c r="U45" s="9">
        <f>+K179</f>
        <v/>
      </c>
      <c r="V45" s="9">
        <f>+K180</f>
        <v/>
      </c>
      <c r="W45" s="9">
        <f>+K181</f>
        <v/>
      </c>
      <c r="X45" s="9">
        <f>+K182</f>
        <v/>
      </c>
      <c r="Y45" s="9">
        <f>+K183</f>
        <v/>
      </c>
      <c r="Z45" s="9">
        <f>+K184</f>
        <v/>
      </c>
      <c r="AA45" s="9">
        <f>+K185</f>
        <v/>
      </c>
      <c r="AD45" s="27" t="n">
        <v>2020</v>
      </c>
      <c r="AE45" s="28" t="n"/>
      <c r="AF45" s="28" t="n"/>
      <c r="AG45" s="28" t="n"/>
      <c r="AH45" s="28" t="n"/>
      <c r="AI45" s="28" t="n"/>
      <c r="AJ45" s="28" t="n"/>
      <c r="AK45" s="28" t="n"/>
      <c r="AL45" s="28" t="n"/>
      <c r="AM45" s="28" t="n"/>
      <c r="AN45" s="28" t="n"/>
      <c r="AO45" s="28" t="n"/>
      <c r="AP45" s="28" t="n"/>
      <c r="AQ45" s="29" t="n"/>
      <c r="AR45" s="15" t="n"/>
      <c r="AS45" s="15" t="n"/>
      <c r="BE45" s="33" t="n"/>
      <c r="BF45" s="33" t="n"/>
      <c r="BG45" s="33" t="n"/>
      <c r="BH45" s="33" t="n"/>
      <c r="BI45" s="33" t="n"/>
      <c r="BJ45" s="57" t="n"/>
    </row>
    <row r="46">
      <c r="A46" s="23" t="n">
        <v>39962</v>
      </c>
      <c r="B46" s="109" t="n">
        <v>13286.96</v>
      </c>
      <c r="C46" s="31">
        <f>(B46/B45-1)/(A46-A45)*30</f>
        <v/>
      </c>
      <c r="D46" s="25" t="n"/>
      <c r="E46" s="25" t="n"/>
      <c r="F46" s="25" t="n"/>
      <c r="O46" s="9" t="n">
        <v>2021</v>
      </c>
      <c r="Q46" s="9">
        <f>+K187</f>
        <v/>
      </c>
      <c r="R46" s="9">
        <f>+K188</f>
        <v/>
      </c>
      <c r="S46" s="9">
        <f>+K189</f>
        <v/>
      </c>
      <c r="T46" s="9">
        <f>+K190</f>
        <v/>
      </c>
      <c r="U46" s="9">
        <f>+K191</f>
        <v/>
      </c>
      <c r="V46" s="9">
        <f>+K192</f>
        <v/>
      </c>
      <c r="W46" s="9">
        <f>+K193</f>
        <v/>
      </c>
      <c r="X46" s="24">
        <f>+K194</f>
        <v/>
      </c>
      <c r="Y46" s="9">
        <f>+K195</f>
        <v/>
      </c>
      <c r="Z46" s="24">
        <f>+K196</f>
        <v/>
      </c>
      <c r="AA46" s="9">
        <f>+K197</f>
        <v/>
      </c>
      <c r="AD46" s="27" t="n">
        <v>2021</v>
      </c>
      <c r="AE46" s="28" t="n"/>
      <c r="AF46" s="28" t="n"/>
      <c r="AG46" s="28" t="n"/>
      <c r="AH46" s="28" t="n"/>
      <c r="AI46" s="28" t="n"/>
      <c r="AJ46" s="28" t="n"/>
      <c r="AK46" s="28" t="n"/>
      <c r="AL46" s="28" t="n"/>
      <c r="AM46" s="28" t="n"/>
      <c r="AN46" s="28" t="n"/>
      <c r="AO46" s="28" t="n"/>
      <c r="AP46" s="28" t="n"/>
      <c r="AQ46" s="29" t="n"/>
      <c r="AR46" s="15" t="n"/>
      <c r="AS46" s="15" t="n"/>
      <c r="BD46" s="33" t="n"/>
      <c r="BE46" s="33" t="n"/>
      <c r="BF46" s="33" t="n"/>
      <c r="BG46" s="33" t="n"/>
      <c r="BH46" s="33" t="n"/>
      <c r="BI46" s="33" t="n"/>
      <c r="BJ46" s="57" t="n"/>
    </row>
    <row r="47" ht="15.75" customHeight="1">
      <c r="A47" s="23" t="n">
        <v>39994</v>
      </c>
      <c r="B47" s="109" t="n">
        <v>13299.08</v>
      </c>
      <c r="C47" s="31">
        <f>(B47/B46-1)/(A47-A46)*30</f>
        <v/>
      </c>
      <c r="D47" s="25" t="n"/>
      <c r="E47" s="25" t="n"/>
      <c r="F47" s="25" t="n"/>
      <c r="O47" s="9" t="n">
        <v>2022</v>
      </c>
      <c r="P47" s="9">
        <f>+K198</f>
        <v/>
      </c>
      <c r="Q47" s="9">
        <f>+K199</f>
        <v/>
      </c>
      <c r="R47" s="9">
        <f>+K200</f>
        <v/>
      </c>
      <c r="S47" s="9">
        <f>+K201</f>
        <v/>
      </c>
      <c r="T47" s="9">
        <f>+K202</f>
        <v/>
      </c>
      <c r="U47" s="24">
        <f>+K203</f>
        <v/>
      </c>
      <c r="V47" s="9">
        <f>+K204</f>
        <v/>
      </c>
      <c r="W47" s="24">
        <f>+K205</f>
        <v/>
      </c>
      <c r="X47" s="24">
        <f>+K206</f>
        <v/>
      </c>
      <c r="Y47" s="24">
        <f>+K207</f>
        <v/>
      </c>
      <c r="Z47" s="24">
        <f>+K208</f>
        <v/>
      </c>
      <c r="AA47" s="9">
        <f>+K209</f>
        <v/>
      </c>
      <c r="AD47" s="27" t="n">
        <v>2022</v>
      </c>
      <c r="AE47" s="28" t="n"/>
      <c r="AF47" s="28" t="n"/>
      <c r="AG47" s="28" t="n"/>
      <c r="AH47" s="28" t="n"/>
      <c r="AI47" s="28" t="n"/>
      <c r="AJ47" s="28" t="n"/>
      <c r="AK47" s="28" t="n"/>
      <c r="AL47" s="28" t="n"/>
      <c r="AM47" s="28" t="n"/>
      <c r="AN47" s="28" t="n"/>
      <c r="AO47" s="28" t="n"/>
      <c r="AP47" s="28" t="n"/>
      <c r="AQ47" s="29" t="n"/>
      <c r="AR47" s="15" t="n"/>
      <c r="AS47" s="15" t="n"/>
      <c r="BD47" s="33" t="n"/>
      <c r="BE47" s="33" t="n"/>
      <c r="BF47" s="33" t="n"/>
      <c r="BG47" s="33" t="n"/>
      <c r="BH47" s="33" t="n"/>
      <c r="BI47" s="33" t="n"/>
      <c r="BJ47" s="57" t="n"/>
    </row>
    <row r="48">
      <c r="A48" s="23" t="n">
        <v>40025</v>
      </c>
      <c r="B48" s="109" t="n">
        <v>13305.34</v>
      </c>
      <c r="C48" s="31">
        <f>(B48/B47-1)/(A48-A47)*30</f>
        <v/>
      </c>
      <c r="D48" s="25" t="n"/>
      <c r="E48" s="25" t="n"/>
      <c r="F48" s="25" t="n"/>
      <c r="O48" s="9" t="n">
        <v>2023</v>
      </c>
      <c r="P48" s="9">
        <f>+K210</f>
        <v/>
      </c>
      <c r="Q48" s="9">
        <f>+K211</f>
        <v/>
      </c>
      <c r="R48" s="9">
        <f>+K212</f>
        <v/>
      </c>
      <c r="S48" s="9">
        <f>+K213</f>
        <v/>
      </c>
      <c r="T48" s="24">
        <f>+K214</f>
        <v/>
      </c>
      <c r="U48" s="9">
        <f>+K215</f>
        <v/>
      </c>
      <c r="V48" s="9">
        <f>+K216</f>
        <v/>
      </c>
      <c r="W48" s="24">
        <f>+K217</f>
        <v/>
      </c>
      <c r="X48" s="24">
        <f>+K218</f>
        <v/>
      </c>
      <c r="Y48" s="9">
        <f>+K219</f>
        <v/>
      </c>
      <c r="Z48" s="24">
        <f>+K220</f>
        <v/>
      </c>
      <c r="AA48" s="9">
        <f>+K221</f>
        <v/>
      </c>
      <c r="AD48" s="27" t="n">
        <v>2023</v>
      </c>
      <c r="AE48" s="28" t="n"/>
      <c r="AF48" s="28" t="n"/>
      <c r="AG48" s="28" t="n"/>
      <c r="AH48" s="28" t="n"/>
      <c r="AI48" s="28" t="n"/>
      <c r="AJ48" s="28" t="n"/>
      <c r="AK48" s="28" t="n"/>
      <c r="AL48" s="28" t="n"/>
      <c r="AM48" s="28" t="n"/>
      <c r="AN48" s="28" t="n"/>
      <c r="AO48" s="28" t="n"/>
      <c r="AP48" s="28" t="n"/>
      <c r="AQ48" s="29" t="n"/>
      <c r="AR48" s="15" t="n"/>
      <c r="AS48" s="15" t="n"/>
      <c r="BD48" s="33" t="n"/>
      <c r="BE48" s="33" t="n"/>
      <c r="BF48" s="33" t="n"/>
      <c r="BG48" s="33" t="n"/>
      <c r="BH48" s="33" t="n"/>
      <c r="BI48" s="33" t="n"/>
      <c r="BJ48" s="57" t="n"/>
    </row>
    <row r="49">
      <c r="A49" s="23" t="n">
        <v>40056</v>
      </c>
      <c r="B49" s="109" t="n">
        <v>13310.07</v>
      </c>
      <c r="C49" s="31">
        <f>(B49/B48-1)/(A49-A48)*30</f>
        <v/>
      </c>
      <c r="D49" s="25" t="n"/>
      <c r="E49" s="25" t="n"/>
      <c r="F49" s="25" t="n"/>
      <c r="O49" s="9" t="n">
        <v>2024</v>
      </c>
      <c r="P49" s="9">
        <f>+K222</f>
        <v/>
      </c>
      <c r="Q49" s="9">
        <f>+K223</f>
        <v/>
      </c>
      <c r="R49" s="9">
        <f>+K224</f>
        <v/>
      </c>
      <c r="S49" s="9">
        <f>+K225</f>
        <v/>
      </c>
      <c r="T49" s="9">
        <f>+K226</f>
        <v/>
      </c>
      <c r="U49" s="9">
        <f>+K227</f>
        <v/>
      </c>
      <c r="V49" s="9">
        <f>+K228</f>
        <v/>
      </c>
      <c r="W49" s="9">
        <f>+K229</f>
        <v/>
      </c>
      <c r="X49" s="9">
        <f>+K230</f>
        <v/>
      </c>
      <c r="Y49" s="9">
        <f>+K231</f>
        <v/>
      </c>
      <c r="Z49" s="9">
        <f>+K232</f>
        <v/>
      </c>
      <c r="AA49" s="9">
        <f>+K233</f>
        <v/>
      </c>
      <c r="AD49" s="27" t="n">
        <v>2024</v>
      </c>
      <c r="AE49" s="28" t="n"/>
      <c r="AF49" s="28" t="n"/>
      <c r="AG49" s="28" t="n"/>
      <c r="AH49" s="28" t="n"/>
      <c r="AI49" s="28" t="n"/>
      <c r="AJ49" s="28" t="n"/>
      <c r="AK49" s="28" t="n"/>
      <c r="AL49" s="28" t="n"/>
      <c r="AM49" s="28" t="n"/>
      <c r="AN49" s="28" t="n"/>
      <c r="AO49" s="28">
        <f>+(Z49/Y49-1)</f>
        <v/>
      </c>
      <c r="AP49" s="28">
        <f>+(AA49/Z49-1)</f>
        <v/>
      </c>
      <c r="AQ49" s="29">
        <f>+(AA49/Y49-1)/COUNTA(AE49:AP49)*12</f>
        <v/>
      </c>
      <c r="AR49" s="15" t="n"/>
      <c r="AS49" s="15" t="n"/>
      <c r="BD49" s="33" t="n"/>
      <c r="BE49" s="33" t="n"/>
      <c r="BF49" s="33" t="n"/>
      <c r="BG49" s="33" t="n"/>
      <c r="BH49" s="33" t="n"/>
      <c r="BI49" s="33" t="n"/>
      <c r="BJ49" s="57" t="n"/>
    </row>
    <row r="50">
      <c r="A50" s="23" t="n">
        <v>40086</v>
      </c>
      <c r="B50" s="109" t="n">
        <v>13315.05</v>
      </c>
      <c r="C50" s="31">
        <f>(B50/B49-1)/(A50-A49)*30</f>
        <v/>
      </c>
      <c r="D50" s="25" t="n"/>
      <c r="E50" s="25" t="n"/>
      <c r="F50" s="25" t="n"/>
      <c r="O50" s="9" t="n">
        <v>2025</v>
      </c>
      <c r="P50" s="9">
        <f>+K234</f>
        <v/>
      </c>
      <c r="Q50" s="9">
        <f>+K235</f>
        <v/>
      </c>
      <c r="R50" s="9">
        <f>+K236</f>
        <v/>
      </c>
      <c r="S50" s="9">
        <f>+K237</f>
        <v/>
      </c>
      <c r="T50" s="9">
        <f>+K238</f>
        <v/>
      </c>
      <c r="U50" s="9">
        <f>+K239</f>
        <v/>
      </c>
      <c r="V50" s="9">
        <f>+K240</f>
        <v/>
      </c>
      <c r="W50" s="9">
        <f>+K241</f>
        <v/>
      </c>
      <c r="X50" s="9">
        <f>+K242</f>
        <v/>
      </c>
      <c r="Y50" s="9">
        <f>+K243</f>
        <v/>
      </c>
      <c r="Z50" s="9">
        <f>+K244</f>
        <v/>
      </c>
      <c r="AA50" s="9">
        <f>+K245</f>
        <v/>
      </c>
      <c r="AD50" s="27" t="n">
        <v>2025</v>
      </c>
      <c r="AE50" s="28">
        <f>+(P50/AA49-1)</f>
        <v/>
      </c>
      <c r="AF50" s="28">
        <f>+(Q50/P50-1)</f>
        <v/>
      </c>
      <c r="AG50" s="28">
        <f>+(R50/Q50-1)</f>
        <v/>
      </c>
      <c r="AH50" s="28">
        <f>+(S50/R50-1)</f>
        <v/>
      </c>
      <c r="AI50" s="28">
        <f>+(T50/S50-1)</f>
        <v/>
      </c>
      <c r="AJ50" s="28">
        <f>+(U50/T50-1)</f>
        <v/>
      </c>
      <c r="AK50" s="28">
        <f>+(V50/U50-1)</f>
        <v/>
      </c>
      <c r="AL50" s="28">
        <f>+(W50/V50-1)</f>
        <v/>
      </c>
      <c r="AM50" s="28">
        <f>+(X50/W50-1)</f>
        <v/>
      </c>
      <c r="AN50" s="28">
        <f>+(Y50/X50-1)</f>
        <v/>
      </c>
      <c r="AO50" s="28">
        <f>+(Z50/Y50-1)</f>
        <v/>
      </c>
      <c r="AP50" s="28">
        <f>+(AA50/Z50-1)</f>
        <v/>
      </c>
      <c r="AQ50" s="29">
        <f>+(AA50/P50-1)/COUNTA(AE50:AP50)*12</f>
        <v/>
      </c>
      <c r="AR50" s="15" t="n"/>
      <c r="AS50" s="15" t="n"/>
      <c r="BD50" s="33" t="n"/>
      <c r="BE50" s="33" t="n"/>
      <c r="BF50" s="33" t="n"/>
      <c r="BG50" s="33" t="n"/>
      <c r="BH50" s="33" t="n"/>
      <c r="BI50" s="33" t="n"/>
      <c r="BJ50" s="57" t="n"/>
    </row>
    <row r="51">
      <c r="A51" s="23" t="n">
        <v>40116</v>
      </c>
      <c r="B51" s="109" t="n">
        <v>13319.74</v>
      </c>
      <c r="C51" s="31">
        <f>(B51/B50-1)/(A51-A50)*30</f>
        <v/>
      </c>
      <c r="D51" s="25" t="n"/>
      <c r="E51" s="25" t="n"/>
      <c r="F51" s="25" t="n"/>
      <c r="O51" s="9" t="n">
        <v>2026</v>
      </c>
      <c r="P51" s="9">
        <f>+K246</f>
        <v/>
      </c>
      <c r="Q51" s="9">
        <f>+K247</f>
        <v/>
      </c>
      <c r="R51" s="9">
        <f>+K248</f>
        <v/>
      </c>
      <c r="S51" s="9">
        <f>+K249</f>
        <v/>
      </c>
      <c r="T51">
        <f>+K250</f>
        <v/>
      </c>
      <c r="U51">
        <f>+K251</f>
        <v/>
      </c>
      <c r="AD51" s="27" t="n">
        <v>2026</v>
      </c>
      <c r="AE51" s="28">
        <f>+(P51/AA50-1)</f>
        <v/>
      </c>
      <c r="AF51" s="28">
        <f>+(Q51/P51-1)</f>
        <v/>
      </c>
      <c r="AG51" s="28">
        <f>+(R51/Q51-1)</f>
        <v/>
      </c>
      <c r="AH51" s="28">
        <f>+(S51/R51-1)</f>
        <v/>
      </c>
      <c r="AI51" s="15">
        <f>+T51/S51-1</f>
        <v/>
      </c>
      <c r="AJ51" s="15">
        <f>+U51/T51-1</f>
        <v/>
      </c>
      <c r="AK51" s="15" t="n"/>
      <c r="AL51" s="15" t="n"/>
      <c r="AM51" s="15" t="n"/>
      <c r="AN51" s="15" t="n"/>
      <c r="AO51" s="15" t="n"/>
      <c r="AP51" s="15" t="n"/>
      <c r="AQ51" s="29">
        <f>+(U51/P51-1)/COUNTA(AE51:AJ51)*12</f>
        <v/>
      </c>
      <c r="AR51" s="15" t="n"/>
      <c r="AS51" s="15" t="n"/>
      <c r="BD51" s="33" t="n"/>
      <c r="BE51" s="33" t="n"/>
      <c r="BF51" s="33" t="n"/>
      <c r="BG51" s="33" t="n"/>
      <c r="BH51" s="33" t="n"/>
      <c r="BI51" s="33" t="n"/>
      <c r="BJ51" s="57" t="n"/>
      <c r="BK51" s="59" t="n"/>
    </row>
    <row r="52">
      <c r="A52" s="23" t="n">
        <v>40147</v>
      </c>
      <c r="B52" s="109" t="n">
        <v>13324.51</v>
      </c>
      <c r="C52" s="31">
        <f>(B52/B51-1)/(A52-A51)*30</f>
        <v/>
      </c>
      <c r="D52" s="25" t="n"/>
      <c r="E52" s="25" t="n"/>
      <c r="F52" s="25" t="n"/>
      <c r="AD52" s="32" t="n"/>
      <c r="AE52" s="15" t="n"/>
      <c r="AF52" s="15" t="n"/>
      <c r="AG52" s="15" t="n"/>
      <c r="AH52" s="15" t="n"/>
      <c r="AI52" s="15" t="n"/>
      <c r="AJ52" s="15" t="n"/>
      <c r="AK52" s="15" t="n"/>
      <c r="AL52" s="15" t="n"/>
      <c r="AM52" s="15" t="n"/>
      <c r="AN52" s="15" t="n"/>
      <c r="AO52" s="15" t="n"/>
      <c r="AP52" s="15" t="n"/>
      <c r="AQ52" s="15" t="n"/>
      <c r="AR52" s="15" t="n"/>
      <c r="AS52" s="15" t="n"/>
      <c r="BD52" s="33" t="n"/>
      <c r="BE52" s="33" t="n"/>
      <c r="BF52" s="33" t="n"/>
      <c r="BG52" s="33" t="n"/>
      <c r="BH52" s="33" t="n"/>
      <c r="BI52" s="33" t="n"/>
      <c r="BJ52" s="57" t="n"/>
      <c r="BK52" s="59" t="n"/>
    </row>
    <row r="53">
      <c r="A53" s="23" t="n">
        <v>40178</v>
      </c>
      <c r="B53" s="109" t="n">
        <v>13329.5</v>
      </c>
      <c r="C53" s="31">
        <f>(B53/B52-1)/(A53-A52)*30</f>
        <v/>
      </c>
      <c r="D53" s="25" t="n"/>
      <c r="E53" s="25" t="n"/>
      <c r="F53" s="25" t="n"/>
      <c r="AD53" s="32" t="inlineStr">
        <is>
          <t>(*) Acum a Mar</t>
        </is>
      </c>
      <c r="AE53" s="15" t="n"/>
      <c r="AF53" s="15" t="n"/>
      <c r="AG53" s="15" t="n"/>
      <c r="AH53" s="15" t="n"/>
      <c r="AI53" s="15" t="n"/>
      <c r="AJ53" s="15" t="n"/>
      <c r="AK53" s="15" t="n"/>
      <c r="AL53" s="15" t="n"/>
      <c r="AM53" s="15" t="n"/>
      <c r="AN53" s="15" t="n"/>
      <c r="AO53" s="15" t="n"/>
      <c r="AP53" s="15" t="n"/>
      <c r="AQ53" s="15" t="n"/>
      <c r="AR53" s="15" t="n"/>
      <c r="AS53" s="15" t="n"/>
    </row>
    <row r="54">
      <c r="A54" s="23" t="n">
        <v>40207</v>
      </c>
      <c r="B54" s="109" t="n">
        <v>13334.25</v>
      </c>
      <c r="C54" s="31">
        <f>(B54/B53-1)/(A54-A53)*30</f>
        <v/>
      </c>
      <c r="D54" s="25" t="n"/>
      <c r="E54" s="25" t="n"/>
      <c r="F54" s="25" t="n"/>
      <c r="AC54" s="50" t="inlineStr">
        <is>
          <t>Año</t>
        </is>
      </c>
      <c r="AD54" s="51" t="inlineStr">
        <is>
          <t>Fondo</t>
        </is>
      </c>
      <c r="AE54" s="51" t="inlineStr">
        <is>
          <t>Ene</t>
        </is>
      </c>
      <c r="AF54" s="51" t="inlineStr">
        <is>
          <t>Feb</t>
        </is>
      </c>
      <c r="AG54" s="51" t="inlineStr">
        <is>
          <t>Mar</t>
        </is>
      </c>
      <c r="AH54" s="51" t="inlineStr">
        <is>
          <t>Abr</t>
        </is>
      </c>
      <c r="AI54" s="51" t="inlineStr">
        <is>
          <t>May</t>
        </is>
      </c>
      <c r="AJ54" s="51" t="inlineStr">
        <is>
          <t>Jun</t>
        </is>
      </c>
      <c r="AK54" s="51" t="inlineStr">
        <is>
          <t>Jul</t>
        </is>
      </c>
      <c r="AL54" s="51" t="inlineStr">
        <is>
          <t>Ago</t>
        </is>
      </c>
      <c r="AM54" s="51" t="inlineStr">
        <is>
          <t>Sep</t>
        </is>
      </c>
      <c r="AN54" s="51" t="inlineStr">
        <is>
          <t>Oct</t>
        </is>
      </c>
      <c r="AO54" s="51" t="inlineStr">
        <is>
          <t>Nov</t>
        </is>
      </c>
      <c r="AP54" s="51" t="inlineStr">
        <is>
          <t>Dic</t>
        </is>
      </c>
      <c r="AQ54" s="51" t="inlineStr">
        <is>
          <t>Total Año</t>
        </is>
      </c>
      <c r="AR54" s="58" t="n"/>
      <c r="AS54" s="15" t="n"/>
    </row>
    <row r="55">
      <c r="A55" s="23" t="n">
        <v>40235</v>
      </c>
      <c r="B55" s="109" t="n">
        <v>13338.53</v>
      </c>
      <c r="C55" s="31">
        <f>(B55/B54-1)/(A55-A54)*30</f>
        <v/>
      </c>
      <c r="D55" s="25" t="n"/>
      <c r="E55" s="25" t="n"/>
      <c r="F55" s="25" t="n"/>
      <c r="AC55" s="52" t="n">
        <v>2013</v>
      </c>
      <c r="AD55" s="52" t="inlineStr">
        <is>
          <t>ICP</t>
        </is>
      </c>
      <c r="AE55" s="53" t="n"/>
      <c r="AF55" s="53" t="n"/>
      <c r="AG55" s="53" t="n"/>
      <c r="AH55" s="53" t="n"/>
      <c r="AI55" s="53" t="n"/>
      <c r="AJ55" s="53" t="n"/>
      <c r="AK55" s="53" t="n"/>
      <c r="AL55" s="53" t="n"/>
      <c r="AM55" s="53" t="n"/>
      <c r="AN55" s="53" t="n"/>
      <c r="AO55" s="53" t="n"/>
      <c r="AP55" s="53" t="n"/>
      <c r="AQ55" s="54" t="n"/>
      <c r="AR55" s="15" t="n"/>
      <c r="AS55" s="15" t="n"/>
    </row>
    <row r="56">
      <c r="A56" s="23" t="n">
        <v>40268</v>
      </c>
      <c r="B56" s="109" t="n">
        <v>13343.79</v>
      </c>
      <c r="C56" s="31">
        <f>(B56/B55-1)/(A56-A55)*30</f>
        <v/>
      </c>
      <c r="D56" s="25" t="n"/>
      <c r="E56" s="25" t="n"/>
      <c r="F56" s="25" t="n"/>
      <c r="AC56" s="55" t="n">
        <v>2014</v>
      </c>
      <c r="AD56" s="55" t="inlineStr">
        <is>
          <t>ICP</t>
        </is>
      </c>
      <c r="AE56" s="56" t="n"/>
      <c r="AF56" s="56" t="n"/>
      <c r="AG56" s="56" t="n"/>
      <c r="AH56" s="56" t="n"/>
      <c r="AI56" s="56" t="n"/>
      <c r="AJ56" s="56" t="n"/>
      <c r="AK56" s="56" t="n"/>
      <c r="AL56" s="56" t="n"/>
      <c r="AM56" s="56" t="n"/>
      <c r="AN56" s="56" t="n"/>
      <c r="AO56" s="56" t="n"/>
      <c r="AP56" s="56" t="n"/>
      <c r="AQ56" s="54" t="n"/>
      <c r="AR56" s="15" t="n"/>
      <c r="AS56" s="48" t="n"/>
    </row>
    <row r="57">
      <c r="A57" s="23" t="n">
        <v>40298</v>
      </c>
      <c r="B57" s="109" t="n">
        <v>13348.63</v>
      </c>
      <c r="C57" s="31">
        <f>(B57/B56-1)/(A57-A56)*30</f>
        <v/>
      </c>
      <c r="D57" s="25" t="n"/>
      <c r="E57" s="25" t="n"/>
      <c r="F57" s="25" t="n"/>
      <c r="AC57" s="52" t="n">
        <v>2015</v>
      </c>
      <c r="AD57" s="52" t="inlineStr">
        <is>
          <t>ICP</t>
        </is>
      </c>
      <c r="AE57" s="53" t="n"/>
      <c r="AF57" s="53" t="n"/>
      <c r="AG57" s="53" t="n"/>
      <c r="AH57" s="53" t="n"/>
      <c r="AI57" s="53" t="n"/>
      <c r="AJ57" s="53" t="n"/>
      <c r="AK57" s="53" t="n"/>
      <c r="AL57" s="53" t="n"/>
      <c r="AM57" s="53" t="n"/>
      <c r="AN57" s="53" t="n"/>
      <c r="AO57" s="53" t="n"/>
      <c r="AP57" s="53" t="n"/>
      <c r="AQ57" s="54" t="n"/>
      <c r="AR57" s="15" t="n"/>
      <c r="AS57" s="48" t="n"/>
    </row>
    <row r="58">
      <c r="A58" s="23" t="n">
        <v>40329</v>
      </c>
      <c r="B58" s="109" t="n">
        <v>13353.5</v>
      </c>
      <c r="C58" s="31">
        <f>(B58/B57-1)/(A58-A57)*30</f>
        <v/>
      </c>
      <c r="D58" s="25" t="n"/>
      <c r="E58" s="25" t="n"/>
      <c r="F58" s="25" t="n"/>
      <c r="AC58" s="55" t="n">
        <v>2016</v>
      </c>
      <c r="AD58" s="55" t="inlineStr">
        <is>
          <t>ICP</t>
        </is>
      </c>
      <c r="AE58" s="56" t="n"/>
      <c r="AF58" s="56" t="n"/>
      <c r="AG58" s="56" t="n"/>
      <c r="AH58" s="56" t="n"/>
      <c r="AI58" s="56" t="n"/>
      <c r="AJ58" s="56" t="n"/>
      <c r="AK58" s="56" t="n"/>
      <c r="AL58" s="56" t="n"/>
      <c r="AM58" s="56" t="n"/>
      <c r="AN58" s="56" t="n"/>
      <c r="AO58" s="56" t="n"/>
      <c r="AP58" s="56" t="n"/>
      <c r="AQ58" s="54" t="n"/>
      <c r="AR58" s="58" t="n"/>
      <c r="AS58" s="48" t="n"/>
    </row>
    <row r="59">
      <c r="A59" s="23" t="n">
        <v>40359</v>
      </c>
      <c r="B59" s="109" t="n">
        <v>13360.9</v>
      </c>
      <c r="C59" s="31">
        <f>(B59/B58-1)/(A59-A58)*30</f>
        <v/>
      </c>
      <c r="D59" s="25" t="n"/>
      <c r="E59" s="25" t="n"/>
      <c r="F59" s="25" t="n"/>
      <c r="AC59" s="76" t="n">
        <v>2017</v>
      </c>
      <c r="AD59" s="52" t="inlineStr">
        <is>
          <t>ICP</t>
        </is>
      </c>
      <c r="AE59" s="53" t="n"/>
      <c r="AF59" s="53" t="n"/>
      <c r="AG59" s="53" t="n"/>
      <c r="AH59" s="53" t="n"/>
      <c r="AI59" s="53" t="n"/>
      <c r="AJ59" s="53" t="n"/>
      <c r="AK59" s="53" t="n"/>
      <c r="AL59" s="53" t="n"/>
      <c r="AM59" s="53" t="n"/>
      <c r="AN59" s="53" t="n"/>
      <c r="AO59" s="53" t="n"/>
      <c r="AP59" s="53" t="n"/>
      <c r="AQ59" s="54" t="n"/>
      <c r="AR59" s="58" t="n"/>
      <c r="AS59" s="48" t="n"/>
    </row>
    <row r="60">
      <c r="A60" s="23" t="n">
        <v>40389</v>
      </c>
      <c r="B60" s="109" t="n">
        <v>13373.99</v>
      </c>
      <c r="C60" s="31">
        <f>(B60/B59-1)/(A60-A59)*30</f>
        <v/>
      </c>
      <c r="D60" s="25" t="n"/>
      <c r="E60" s="25" t="n"/>
      <c r="F60" s="25" t="n"/>
      <c r="AC60" s="76" t="n"/>
      <c r="AD60" s="52" t="inlineStr">
        <is>
          <t>Competencia</t>
        </is>
      </c>
      <c r="AE60" s="53" t="n"/>
      <c r="AF60" s="53" t="n"/>
      <c r="AG60" s="53" t="n"/>
      <c r="AH60" s="53" t="n"/>
      <c r="AI60" s="53" t="n"/>
      <c r="AJ60" s="53" t="n"/>
      <c r="AK60" s="53" t="n"/>
      <c r="AL60" s="53" t="n"/>
      <c r="AM60" s="53" t="n"/>
      <c r="AN60" s="53" t="n"/>
      <c r="AO60" s="53" t="n"/>
      <c r="AP60" s="53" t="n"/>
      <c r="AQ60" s="54" t="n"/>
      <c r="AR60" s="58" t="inlineStr">
        <is>
          <t>(*)</t>
        </is>
      </c>
      <c r="AS60" s="15" t="n"/>
    </row>
    <row r="61">
      <c r="A61" s="23" t="n">
        <v>40421</v>
      </c>
      <c r="B61" s="109" t="n">
        <v>13395.21</v>
      </c>
      <c r="C61" s="31">
        <f>(B61/B60-1)/(A61-A60)*30</f>
        <v/>
      </c>
      <c r="D61" s="25" t="n"/>
      <c r="E61" s="25" t="n"/>
      <c r="F61" s="25" t="n"/>
      <c r="AC61" s="76" t="n"/>
      <c r="AD61" s="52" t="inlineStr">
        <is>
          <t>FIP Liquidez Presente</t>
        </is>
      </c>
      <c r="AE61" s="53" t="n"/>
      <c r="AF61" s="53" t="n"/>
      <c r="AG61" s="53" t="n"/>
      <c r="AH61" s="53" t="n"/>
      <c r="AI61" s="53" t="n"/>
      <c r="AJ61" s="53" t="n"/>
      <c r="AK61" s="53" t="n"/>
      <c r="AL61" s="53" t="n"/>
      <c r="AM61" s="53" t="n"/>
      <c r="AN61" s="53" t="n"/>
      <c r="AO61" s="53" t="n"/>
      <c r="AP61" s="53" t="n"/>
      <c r="AQ61" s="54" t="n"/>
      <c r="AR61" s="58" t="n"/>
      <c r="AS61" s="15" t="n"/>
    </row>
    <row r="62">
      <c r="A62" s="23" t="n">
        <v>40451</v>
      </c>
      <c r="B62" s="109" t="n">
        <v>13419.79</v>
      </c>
      <c r="C62" s="31">
        <f>(B62/B61-1)/(A62-A61)*30</f>
        <v/>
      </c>
      <c r="D62" s="25" t="n"/>
      <c r="E62" s="25" t="n"/>
      <c r="F62" s="25" t="n"/>
      <c r="AC62" s="104" t="n">
        <v>2018</v>
      </c>
      <c r="AD62" s="55" t="inlineStr">
        <is>
          <t>ICP</t>
        </is>
      </c>
      <c r="AE62" s="56" t="n"/>
      <c r="AF62" s="56" t="n"/>
      <c r="AG62" s="56" t="n"/>
      <c r="AH62" s="56" t="n"/>
      <c r="AI62" s="56" t="n"/>
      <c r="AJ62" s="56" t="n"/>
      <c r="AK62" s="56" t="n"/>
      <c r="AL62" s="56" t="n"/>
      <c r="AM62" s="56" t="n"/>
      <c r="AN62" s="56" t="n"/>
      <c r="AO62" s="56" t="n"/>
      <c r="AP62" s="56" t="n"/>
      <c r="AQ62" s="54" t="n"/>
      <c r="AR62" s="15" t="n"/>
    </row>
    <row r="63">
      <c r="A63" s="23" t="n">
        <v>40480</v>
      </c>
      <c r="B63" s="109" t="n">
        <v>13448.69</v>
      </c>
      <c r="C63" s="31">
        <f>(B63/B62-1)/(A63-A62)*30</f>
        <v/>
      </c>
      <c r="D63" s="25" t="n"/>
      <c r="E63" s="25" t="n"/>
      <c r="F63" s="25" t="n"/>
      <c r="AC63" s="104" t="n"/>
      <c r="AD63" s="55" t="inlineStr">
        <is>
          <t>Competencia</t>
        </is>
      </c>
      <c r="AE63" s="56" t="n"/>
      <c r="AF63" s="56" t="n"/>
      <c r="AG63" s="56" t="n"/>
      <c r="AH63" s="56" t="n"/>
      <c r="AI63" s="56" t="n"/>
      <c r="AJ63" s="56" t="n"/>
      <c r="AK63" s="56" t="n"/>
      <c r="AL63" s="56" t="n"/>
      <c r="AM63" s="56" t="n"/>
      <c r="AN63" s="56" t="n"/>
      <c r="AO63" s="56" t="n"/>
      <c r="AP63" s="56" t="n"/>
      <c r="AQ63" s="54" t="n"/>
      <c r="AR63" s="15" t="n"/>
    </row>
    <row r="64">
      <c r="A64" s="23" t="n">
        <v>40512</v>
      </c>
      <c r="B64" s="109" t="n">
        <v>13483.02</v>
      </c>
      <c r="C64" s="31">
        <f>(B64/B63-1)/(A64-A63)*30</f>
        <v/>
      </c>
      <c r="D64" s="25" t="n"/>
      <c r="E64" s="25" t="n"/>
      <c r="F64" s="25" t="n"/>
      <c r="AC64" s="104" t="n"/>
      <c r="AD64" s="52" t="inlineStr">
        <is>
          <t>FIP Liquidez Presente</t>
        </is>
      </c>
      <c r="AE64" s="56" t="n"/>
      <c r="AF64" s="56" t="n"/>
      <c r="AG64" s="56" t="n"/>
      <c r="AH64" s="56" t="n"/>
      <c r="AI64" s="56" t="n"/>
      <c r="AJ64" s="56" t="n"/>
      <c r="AK64" s="56" t="n"/>
      <c r="AL64" s="56" t="n"/>
      <c r="AM64" s="56" t="n"/>
      <c r="AN64" s="56" t="n"/>
      <c r="AO64" s="56" t="n"/>
      <c r="AP64" s="56" t="n"/>
      <c r="AQ64" s="54" t="n"/>
    </row>
    <row r="65">
      <c r="A65" s="23" t="n">
        <v>40543</v>
      </c>
      <c r="B65" s="109" t="n">
        <v>13522.93</v>
      </c>
      <c r="C65" s="31">
        <f>(B65/B64-1)/(A65-A64)*30</f>
        <v/>
      </c>
      <c r="D65" s="25" t="n"/>
      <c r="E65" s="25" t="n"/>
      <c r="F65" s="25" t="n"/>
      <c r="AC65" s="76" t="n">
        <v>2019</v>
      </c>
      <c r="AD65" s="52" t="inlineStr">
        <is>
          <t>ICP</t>
        </is>
      </c>
      <c r="AE65" s="53" t="n"/>
      <c r="AF65" s="53" t="n"/>
      <c r="AG65" s="53" t="n"/>
      <c r="AH65" s="53" t="n"/>
      <c r="AI65" s="53" t="n"/>
      <c r="AJ65" s="53" t="n"/>
      <c r="AK65" s="53" t="n"/>
      <c r="AL65" s="53" t="n"/>
      <c r="AM65" s="53" t="n"/>
      <c r="AN65" s="53" t="n"/>
      <c r="AO65" s="53" t="n"/>
      <c r="AP65" s="53" t="n"/>
      <c r="AQ65" s="54" t="n"/>
    </row>
    <row r="66">
      <c r="A66" s="23" t="n">
        <v>40574</v>
      </c>
      <c r="B66" s="109" t="n">
        <v>13557.12</v>
      </c>
      <c r="C66" s="31">
        <f>(B66/B65-1)/(A66-A65)*30</f>
        <v/>
      </c>
      <c r="D66" s="25" t="n"/>
      <c r="E66" s="25" t="n"/>
      <c r="F66" s="25" t="n"/>
      <c r="AC66" s="76" t="n"/>
      <c r="AD66" s="52" t="inlineStr">
        <is>
          <t>Competencia</t>
        </is>
      </c>
      <c r="AE66" s="53" t="n"/>
      <c r="AF66" s="53" t="n"/>
      <c r="AG66" s="53" t="n"/>
      <c r="AH66" s="53" t="n"/>
      <c r="AI66" s="53" t="n"/>
      <c r="AJ66" s="53" t="n"/>
      <c r="AK66" s="53" t="n"/>
      <c r="AL66" s="53" t="n"/>
      <c r="AM66" s="53" t="n"/>
      <c r="AN66" s="53" t="n"/>
      <c r="AO66" s="53" t="n"/>
      <c r="AP66" s="53" t="n"/>
      <c r="AQ66" s="54" t="n"/>
    </row>
    <row r="67" customFormat="1" s="106">
      <c r="A67" s="23" t="n">
        <v>40602</v>
      </c>
      <c r="B67" s="109" t="n">
        <v>13592.3</v>
      </c>
      <c r="C67" s="31">
        <f>(B67/B66-1)/(A67-A66)*30</f>
        <v/>
      </c>
      <c r="D67" s="25" t="n"/>
      <c r="E67" s="25" t="n"/>
      <c r="F67" s="25" t="n"/>
      <c r="I67" s="107" t="n"/>
      <c r="N67" s="9" t="n"/>
      <c r="O67" s="9" t="n"/>
      <c r="P67" s="9" t="n"/>
      <c r="Q67" s="9" t="n"/>
      <c r="R67" s="9" t="n"/>
      <c r="S67" s="9" t="n"/>
      <c r="T67" s="9" t="n"/>
      <c r="U67" s="9" t="n"/>
      <c r="V67" s="9" t="n"/>
      <c r="W67" s="9" t="n"/>
      <c r="X67" s="9" t="n"/>
      <c r="Y67" s="9" t="n"/>
      <c r="Z67" s="9" t="n"/>
      <c r="AA67" s="9" t="n"/>
      <c r="AB67" s="9" t="n"/>
      <c r="AC67" s="76" t="n"/>
      <c r="AD67" s="52" t="inlineStr">
        <is>
          <t>FIP Liquidez Presente</t>
        </is>
      </c>
      <c r="AE67" s="53" t="n"/>
      <c r="AF67" s="53" t="n"/>
      <c r="AG67" s="53" t="n"/>
      <c r="AH67" s="53" t="n"/>
      <c r="AI67" s="53" t="n"/>
      <c r="AJ67" s="53" t="n"/>
      <c r="AK67" s="53" t="n"/>
      <c r="AL67" s="53" t="n"/>
      <c r="AM67" s="53" t="n"/>
      <c r="AN67" s="53" t="n"/>
      <c r="AO67" s="53" t="n"/>
      <c r="AP67" s="53" t="n"/>
      <c r="AQ67" s="54" t="n"/>
      <c r="AR67" s="9" t="n"/>
      <c r="AS67" s="9" t="n"/>
      <c r="AT67" s="9" t="n"/>
    </row>
    <row r="68" customFormat="1" s="106">
      <c r="A68" s="23" t="n">
        <v>40633</v>
      </c>
      <c r="B68" s="109" t="n">
        <v>13635.91</v>
      </c>
      <c r="C68" s="31">
        <f>(B68/B67-1)/(A68-A67)*30</f>
        <v/>
      </c>
      <c r="D68" s="25" t="n"/>
      <c r="E68" s="25" t="n"/>
      <c r="F68" s="25" t="n"/>
      <c r="I68" s="107" t="n"/>
      <c r="O68" s="9" t="n"/>
      <c r="P68" s="9" t="n"/>
      <c r="Q68" s="9" t="n"/>
      <c r="R68" s="9" t="n"/>
      <c r="S68" s="9" t="n"/>
      <c r="T68" s="9" t="n"/>
      <c r="U68" s="9" t="n"/>
      <c r="V68" s="9" t="n"/>
      <c r="W68" s="9" t="n"/>
      <c r="X68" s="9" t="n"/>
      <c r="Y68" s="9" t="n"/>
      <c r="Z68" s="9" t="n"/>
      <c r="AA68" s="9" t="n"/>
      <c r="AB68" s="9" t="n"/>
      <c r="AC68" s="76" t="n">
        <v>2020</v>
      </c>
      <c r="AD68" s="52" t="inlineStr">
        <is>
          <t>ICP</t>
        </is>
      </c>
      <c r="AE68" s="53" t="n"/>
      <c r="AF68" s="53" t="n"/>
      <c r="AG68" s="53" t="n"/>
      <c r="AH68" s="53" t="n"/>
      <c r="AI68" s="53" t="n"/>
      <c r="AJ68" s="53" t="n"/>
      <c r="AK68" s="53" t="n"/>
      <c r="AL68" s="53" t="n"/>
      <c r="AM68" s="53" t="n"/>
      <c r="AN68" s="53" t="n"/>
      <c r="AO68" s="53" t="n"/>
      <c r="AP68" s="53" t="n"/>
      <c r="AQ68" s="54" t="n"/>
      <c r="AR68" s="9" t="n"/>
      <c r="AS68" s="9" t="n"/>
    </row>
    <row r="69" customFormat="1" s="106">
      <c r="A69" s="23" t="n">
        <v>40662</v>
      </c>
      <c r="B69" s="109" t="n">
        <v>13682.94</v>
      </c>
      <c r="C69" s="31">
        <f>(B69/B68-1)/(A69-A68)*30</f>
        <v/>
      </c>
      <c r="D69" s="25" t="n"/>
      <c r="E69" s="25" t="n"/>
      <c r="F69" s="25" t="n"/>
      <c r="I69" s="107" t="n"/>
      <c r="O69" s="9" t="n"/>
      <c r="P69" s="9" t="n"/>
      <c r="Q69" s="9" t="n"/>
      <c r="R69" s="9" t="n"/>
      <c r="S69" s="9" t="n"/>
      <c r="T69" s="9" t="n"/>
      <c r="U69" s="9" t="n"/>
      <c r="V69" s="9" t="n"/>
      <c r="W69" s="9" t="n"/>
      <c r="X69" s="9" t="n"/>
      <c r="Y69" s="9" t="n"/>
      <c r="Z69" s="9" t="n"/>
      <c r="AA69" s="9" t="n"/>
      <c r="AB69" s="9" t="n"/>
      <c r="AC69" s="76" t="n"/>
      <c r="AD69" s="52" t="inlineStr">
        <is>
          <t>Competencia</t>
        </is>
      </c>
      <c r="AE69" s="53" t="n"/>
      <c r="AF69" s="53" t="n"/>
      <c r="AG69" s="53" t="n"/>
      <c r="AH69" s="53" t="n"/>
      <c r="AI69" s="53" t="n"/>
      <c r="AJ69" s="53" t="n"/>
      <c r="AK69" s="53" t="n"/>
      <c r="AL69" s="53" t="n"/>
      <c r="AM69" s="53" t="n"/>
      <c r="AN69" s="53" t="n"/>
      <c r="AO69" s="53" t="n"/>
      <c r="AP69" s="53" t="n"/>
      <c r="AQ69" s="54" t="n"/>
      <c r="AR69" s="9" t="n"/>
      <c r="AS69" s="9" t="n"/>
    </row>
    <row r="70" customFormat="1" s="106">
      <c r="A70" s="23" t="n">
        <v>40694</v>
      </c>
      <c r="B70" s="109" t="n">
        <v>13741.06</v>
      </c>
      <c r="C70" s="31">
        <f>(B70/B69-1)/(A70-A69)*30</f>
        <v/>
      </c>
      <c r="D70" s="25" t="n"/>
      <c r="E70" s="25" t="n"/>
      <c r="F70" s="25" t="n"/>
      <c r="I70" s="107" t="n"/>
      <c r="O70" s="9" t="n"/>
      <c r="P70" s="9" t="n"/>
      <c r="Q70" s="9" t="n"/>
      <c r="R70" s="9" t="n"/>
      <c r="S70" s="9" t="n"/>
      <c r="T70" s="9" t="n"/>
      <c r="U70" s="9" t="n"/>
      <c r="V70" s="9" t="n"/>
      <c r="W70" s="9" t="n"/>
      <c r="X70" s="9" t="n"/>
      <c r="Y70" s="9" t="n"/>
      <c r="Z70" s="9" t="n"/>
      <c r="AA70" s="9" t="n"/>
      <c r="AB70" s="9" t="n"/>
      <c r="AC70" s="76" t="n"/>
      <c r="AD70" s="52" t="inlineStr">
        <is>
          <t>FIP Liquidez Presente</t>
        </is>
      </c>
      <c r="AE70" s="53" t="n"/>
      <c r="AF70" s="53" t="n"/>
      <c r="AG70" s="53" t="n"/>
      <c r="AH70" s="53" t="n"/>
      <c r="AI70" s="53" t="n"/>
      <c r="AJ70" s="53" t="n"/>
      <c r="AK70" s="53" t="n"/>
      <c r="AL70" s="53" t="n"/>
      <c r="AM70" s="53" t="n"/>
      <c r="AN70" s="53" t="n"/>
      <c r="AO70" s="53" t="n"/>
      <c r="AP70" s="53" t="n"/>
      <c r="AQ70" s="54" t="n"/>
      <c r="AR70" s="9" t="n"/>
      <c r="AS70" s="9" t="n"/>
    </row>
    <row r="71" customFormat="1" s="106">
      <c r="A71" s="23" t="n">
        <v>40724</v>
      </c>
      <c r="B71" s="109" t="n">
        <v>13799.74</v>
      </c>
      <c r="C71" s="31">
        <f>(B71/B70-1)/(A71-A70)*30</f>
        <v/>
      </c>
      <c r="D71" s="25" t="n"/>
      <c r="E71" s="25" t="n"/>
      <c r="F71" s="25" t="n"/>
      <c r="I71" s="107" t="n"/>
      <c r="O71" s="9" t="n"/>
      <c r="P71" s="9" t="n"/>
      <c r="Q71" s="9" t="n"/>
      <c r="R71" s="9" t="n"/>
      <c r="S71" s="9" t="n"/>
      <c r="T71" s="9" t="n"/>
      <c r="U71" s="9" t="n"/>
      <c r="V71" s="9" t="n"/>
      <c r="W71" s="9" t="n"/>
      <c r="X71" s="9" t="n"/>
      <c r="Y71" s="9" t="n"/>
      <c r="Z71" s="9" t="n"/>
      <c r="AA71" s="9" t="n"/>
      <c r="AC71" s="104" t="n">
        <v>2021</v>
      </c>
      <c r="AD71" s="55" t="inlineStr">
        <is>
          <t>ICP</t>
        </is>
      </c>
      <c r="AE71" s="78" t="n"/>
      <c r="AF71" s="78" t="n"/>
      <c r="AG71" s="78" t="n"/>
      <c r="AH71" s="78" t="n"/>
      <c r="AI71" s="78" t="n"/>
      <c r="AJ71" s="78" t="n"/>
      <c r="AK71" s="78" t="n"/>
      <c r="AL71" s="78" t="n"/>
      <c r="AM71" s="78" t="n"/>
      <c r="AN71" s="78" t="n"/>
      <c r="AO71" s="78" t="n"/>
      <c r="AP71" s="78" t="n"/>
      <c r="AQ71" s="78" t="n"/>
      <c r="AR71" s="9" t="n"/>
      <c r="AS71" s="9" t="n"/>
    </row>
    <row r="72" customFormat="1" s="106">
      <c r="A72" s="23" t="n">
        <v>40753</v>
      </c>
      <c r="B72" s="109" t="n">
        <v>13858.14</v>
      </c>
      <c r="C72" s="31">
        <f>(B72/B71-1)/(A72-A71)*30</f>
        <v/>
      </c>
      <c r="D72" s="25" t="n"/>
      <c r="E72" s="25" t="n"/>
      <c r="F72" s="25" t="n"/>
      <c r="I72" s="107" t="n"/>
      <c r="O72" s="9" t="n"/>
      <c r="P72" s="9" t="n"/>
      <c r="Q72" s="9" t="n"/>
      <c r="R72" s="9" t="n"/>
      <c r="S72" s="9" t="n"/>
      <c r="T72" s="9" t="n"/>
      <c r="U72" s="9" t="n"/>
      <c r="V72" s="9" t="n"/>
      <c r="W72" s="9" t="n"/>
      <c r="X72" s="9" t="n"/>
      <c r="Y72" s="9" t="n"/>
      <c r="Z72" s="9" t="n"/>
      <c r="AA72" s="9" t="n"/>
      <c r="AC72" s="104" t="n"/>
      <c r="AD72" s="55" t="inlineStr">
        <is>
          <t>Competencia</t>
        </is>
      </c>
      <c r="AE72" s="78" t="n"/>
      <c r="AF72" s="78" t="n"/>
      <c r="AG72" s="78" t="n"/>
      <c r="AH72" s="78" t="n"/>
      <c r="AI72" s="78" t="n"/>
      <c r="AJ72" s="78" t="n"/>
      <c r="AK72" s="78" t="n"/>
      <c r="AL72" s="78" t="n"/>
      <c r="AM72" s="78" t="n"/>
      <c r="AN72" s="78" t="n"/>
      <c r="AO72" s="78" t="n"/>
      <c r="AP72" s="78" t="n"/>
      <c r="AQ72" s="78" t="n"/>
      <c r="AR72" s="9" t="n"/>
      <c r="AS72" s="9" t="n"/>
    </row>
    <row r="73" customFormat="1" s="106">
      <c r="A73" s="23" t="n">
        <v>40786</v>
      </c>
      <c r="B73" s="109" t="n">
        <v>13925.03</v>
      </c>
      <c r="C73" s="31">
        <f>(B73/B72-1)/(A73-A72)*30</f>
        <v/>
      </c>
      <c r="D73" s="25" t="n"/>
      <c r="E73" s="25" t="n"/>
      <c r="F73" s="25" t="n"/>
      <c r="I73" s="107" t="n"/>
      <c r="O73" s="9" t="n"/>
      <c r="P73" s="9" t="n"/>
      <c r="Q73" s="9" t="n"/>
      <c r="R73" s="9" t="n"/>
      <c r="S73" s="9" t="n"/>
      <c r="T73" s="9" t="n"/>
      <c r="U73" s="9" t="n"/>
      <c r="V73" s="9" t="n"/>
      <c r="W73" s="9" t="n"/>
      <c r="X73" s="9" t="n"/>
      <c r="Y73" s="9" t="n"/>
      <c r="Z73" s="9" t="n"/>
      <c r="AA73" s="9" t="n"/>
      <c r="AC73" s="104" t="n"/>
      <c r="AD73" s="52" t="inlineStr">
        <is>
          <t>FIP Liquidez Presente</t>
        </is>
      </c>
      <c r="AE73" s="78" t="n"/>
      <c r="AF73" s="78" t="n"/>
      <c r="AG73" s="78" t="n"/>
      <c r="AH73" s="78" t="n"/>
      <c r="AI73" s="78" t="n"/>
      <c r="AJ73" s="78" t="n"/>
      <c r="AK73" s="78" t="n"/>
      <c r="AL73" s="78" t="n"/>
      <c r="AM73" s="78" t="n"/>
      <c r="AN73" s="78" t="n"/>
      <c r="AO73" s="78" t="n"/>
      <c r="AP73" s="78" t="n"/>
      <c r="AQ73" s="78" t="n"/>
      <c r="AR73" s="9" t="n"/>
      <c r="AS73" s="9" t="n"/>
    </row>
    <row r="74" customFormat="1" s="106">
      <c r="A74" s="23" t="n">
        <v>40816</v>
      </c>
      <c r="B74" s="109" t="n">
        <v>13985.97</v>
      </c>
      <c r="C74" s="31">
        <f>(B74/B73-1)/(A74-A73)*30</f>
        <v/>
      </c>
      <c r="D74" s="25" t="n"/>
      <c r="E74" s="25" t="n"/>
      <c r="F74" s="25" t="n"/>
      <c r="I74" s="107" t="n"/>
      <c r="O74" s="9" t="n"/>
      <c r="P74" s="9" t="n"/>
      <c r="Q74" s="9" t="n"/>
      <c r="R74" s="9" t="n"/>
      <c r="S74" s="9" t="n"/>
      <c r="T74" s="9" t="n"/>
      <c r="U74" s="9" t="n"/>
      <c r="V74" s="9" t="n"/>
      <c r="W74" s="9" t="n"/>
      <c r="X74" s="9" t="n"/>
      <c r="Y74" s="9" t="n"/>
      <c r="Z74" s="9" t="n"/>
      <c r="AA74" s="9" t="n"/>
      <c r="AC74" s="104" t="n">
        <v>2022</v>
      </c>
      <c r="AD74" s="55" t="inlineStr">
        <is>
          <t>ICP</t>
        </is>
      </c>
      <c r="AE74" s="78" t="n"/>
      <c r="AF74" s="78" t="n"/>
      <c r="AG74" s="78" t="n"/>
      <c r="AH74" s="78" t="n"/>
      <c r="AI74" s="78" t="n"/>
      <c r="AJ74" s="78" t="n"/>
      <c r="AK74" s="78" t="n"/>
      <c r="AL74" s="78" t="n"/>
      <c r="AM74" s="78" t="n"/>
      <c r="AN74" s="78" t="n"/>
      <c r="AO74" s="78" t="n"/>
      <c r="AP74" s="78" t="n"/>
      <c r="AQ74" s="78" t="n"/>
      <c r="AR74" s="9" t="n"/>
      <c r="AS74" s="9" t="n"/>
    </row>
    <row r="75" customFormat="1" s="106">
      <c r="A75" s="23" t="n">
        <v>40847</v>
      </c>
      <c r="B75" s="109" t="n">
        <v>14043.21</v>
      </c>
      <c r="C75" s="31">
        <f>(B75/B74-1)/(A75-A74)*30</f>
        <v/>
      </c>
      <c r="D75" s="25" t="n"/>
      <c r="E75" s="25" t="n"/>
      <c r="F75" s="25" t="n"/>
      <c r="I75" s="107" t="n"/>
      <c r="O75" s="9" t="n"/>
      <c r="P75" s="9" t="n"/>
      <c r="Q75" s="9" t="n"/>
      <c r="R75" s="9" t="n"/>
      <c r="S75" s="9" t="n"/>
      <c r="T75" s="9" t="n"/>
      <c r="U75" s="9" t="n"/>
      <c r="V75" s="9" t="n"/>
      <c r="W75" s="9" t="n"/>
      <c r="X75" s="9" t="n"/>
      <c r="Y75" s="9" t="n"/>
      <c r="Z75" s="9" t="n"/>
      <c r="AA75" s="9" t="n"/>
      <c r="AD75" s="55" t="inlineStr">
        <is>
          <t>Competencia</t>
        </is>
      </c>
      <c r="AE75" s="78" t="n"/>
      <c r="AF75" s="78" t="n"/>
      <c r="AG75" s="78" t="n"/>
      <c r="AH75" s="78" t="n"/>
      <c r="AI75" s="78" t="n"/>
      <c r="AJ75" s="78" t="n"/>
      <c r="AK75" s="78" t="n"/>
      <c r="AL75" s="78" t="n"/>
      <c r="AM75" s="78" t="n"/>
      <c r="AN75" s="78" t="n"/>
      <c r="AO75" s="78" t="n"/>
      <c r="AP75" s="78" t="n"/>
      <c r="AQ75" s="78" t="n"/>
      <c r="AR75" s="9" t="n"/>
      <c r="AS75" s="9" t="n"/>
    </row>
    <row r="76" customFormat="1" s="106">
      <c r="A76" s="23" t="n">
        <v>40877</v>
      </c>
      <c r="B76" s="109" t="n">
        <v>14110.87</v>
      </c>
      <c r="C76" s="31">
        <f>(B76/B75-1)/(A76-A75)*30</f>
        <v/>
      </c>
      <c r="D76" s="25" t="n"/>
      <c r="E76" s="25" t="n"/>
      <c r="F76" s="25" t="n"/>
      <c r="I76" s="107" t="n"/>
      <c r="O76" s="9" t="n"/>
      <c r="P76" s="9" t="n"/>
      <c r="Q76" s="9" t="n"/>
      <c r="R76" s="9" t="n"/>
      <c r="S76" s="9" t="n"/>
      <c r="T76" s="9" t="n"/>
      <c r="U76" s="9" t="n"/>
      <c r="V76" s="9" t="n"/>
      <c r="W76" s="9" t="n"/>
      <c r="X76" s="9" t="n"/>
      <c r="Y76" s="9" t="n"/>
      <c r="Z76" s="9" t="n"/>
      <c r="AA76" s="9" t="n"/>
      <c r="AD76" s="52" t="inlineStr">
        <is>
          <t>FIP Liquidez Presente</t>
        </is>
      </c>
      <c r="AE76" s="78" t="n"/>
      <c r="AF76" s="78" t="n"/>
      <c r="AG76" s="78" t="n"/>
      <c r="AH76" s="78" t="n"/>
      <c r="AI76" s="78" t="n"/>
      <c r="AJ76" s="78" t="n"/>
      <c r="AK76" s="78" t="n"/>
      <c r="AL76" s="78" t="n"/>
      <c r="AM76" s="78" t="n"/>
      <c r="AN76" s="78" t="n"/>
      <c r="AO76" s="78" t="n"/>
      <c r="AP76" s="78" t="n"/>
      <c r="AQ76" s="78" t="n"/>
      <c r="AR76" s="9" t="n"/>
      <c r="AS76" s="9" t="n"/>
    </row>
    <row r="77" customFormat="1" s="106">
      <c r="A77" s="23" t="n">
        <v>40907</v>
      </c>
      <c r="B77" s="109" t="n">
        <v>14172.63</v>
      </c>
      <c r="C77" s="31">
        <f>(B77/B76-1)/(A77-A76)*30</f>
        <v/>
      </c>
      <c r="D77" s="25" t="n"/>
      <c r="E77" s="25" t="n"/>
      <c r="F77" s="25" t="n"/>
      <c r="I77" s="107" t="n"/>
      <c r="O77" s="9" t="n"/>
      <c r="P77" s="9" t="n"/>
      <c r="Q77" s="9" t="n"/>
      <c r="R77" s="9" t="n"/>
      <c r="S77" s="9" t="n"/>
      <c r="T77" s="9" t="n"/>
      <c r="U77" s="9" t="n"/>
      <c r="V77" s="9" t="n"/>
      <c r="W77" s="9" t="n"/>
      <c r="X77" s="9" t="n"/>
      <c r="Y77" s="9" t="n"/>
      <c r="Z77" s="9" t="n"/>
      <c r="AA77" s="9" t="n"/>
      <c r="AC77" s="104" t="n">
        <v>2023</v>
      </c>
      <c r="AD77" s="55" t="inlineStr">
        <is>
          <t>ICP</t>
        </is>
      </c>
      <c r="AE77" s="78" t="n"/>
      <c r="AF77" s="78" t="n"/>
      <c r="AG77" s="78" t="n"/>
      <c r="AH77" s="78" t="n"/>
      <c r="AI77" s="78" t="n"/>
      <c r="AJ77" s="78" t="n"/>
      <c r="AK77" s="78" t="n"/>
      <c r="AL77" s="78" t="n"/>
      <c r="AM77" s="78" t="n"/>
      <c r="AN77" s="78" t="n"/>
      <c r="AO77" s="78" t="n"/>
      <c r="AP77" s="78" t="n"/>
      <c r="AQ77" s="78" t="n"/>
    </row>
    <row r="78" customFormat="1" s="106">
      <c r="A78" s="23" t="n">
        <v>40939</v>
      </c>
      <c r="B78" s="109" t="n">
        <v>14236.38</v>
      </c>
      <c r="C78" s="31">
        <f>(B78/B77-1)/(A78-A77)*30</f>
        <v/>
      </c>
      <c r="D78" s="25" t="n"/>
      <c r="E78" s="25" t="n"/>
      <c r="F78" s="25" t="n"/>
      <c r="I78" s="107" t="n"/>
      <c r="AD78" s="55" t="inlineStr">
        <is>
          <t>Competencia</t>
        </is>
      </c>
      <c r="AE78" s="78" t="n"/>
      <c r="AF78" s="78" t="n"/>
      <c r="AG78" s="78" t="n"/>
      <c r="AH78" s="78" t="n"/>
      <c r="AI78" s="78" t="n"/>
      <c r="AJ78" s="78" t="n"/>
      <c r="AK78" s="78" t="n"/>
      <c r="AL78" s="78" t="n"/>
      <c r="AM78" s="78" t="n"/>
      <c r="AN78" s="78" t="n"/>
      <c r="AO78" s="78" t="n"/>
      <c r="AP78" s="78" t="n"/>
      <c r="AQ78" s="78" t="n"/>
    </row>
    <row r="79" customFormat="1" s="106">
      <c r="A79" s="23" t="n">
        <v>40968</v>
      </c>
      <c r="B79" s="109" t="n">
        <v>14293.67</v>
      </c>
      <c r="C79" s="31">
        <f>(B79/B78-1)/(A79-A78)*30</f>
        <v/>
      </c>
      <c r="D79" s="25" t="n"/>
      <c r="E79" s="25" t="n"/>
      <c r="F79" s="25" t="n"/>
      <c r="I79" s="107" t="n"/>
      <c r="AD79" s="52" t="inlineStr">
        <is>
          <t>FIP Liquidez Presente</t>
        </is>
      </c>
      <c r="AE79" s="78" t="n"/>
      <c r="AF79" s="78" t="n"/>
      <c r="AG79" s="78" t="n"/>
      <c r="AH79" s="78" t="n"/>
      <c r="AI79" s="78" t="n"/>
      <c r="AJ79" s="78" t="n"/>
      <c r="AK79" s="78" t="n"/>
      <c r="AL79" s="78" t="n"/>
      <c r="AM79" s="78" t="n"/>
      <c r="AN79" s="78" t="n"/>
      <c r="AO79" s="78" t="n"/>
      <c r="AP79" s="78" t="n"/>
      <c r="AQ79" s="78" t="n"/>
    </row>
    <row r="80" customFormat="1" s="106">
      <c r="A80" s="23" t="n">
        <v>40998</v>
      </c>
      <c r="B80" s="109" t="n">
        <v>14353.34</v>
      </c>
      <c r="C80" s="31">
        <f>(B80/B79-1)/(A80-A79)*30</f>
        <v/>
      </c>
      <c r="D80" s="25" t="n"/>
      <c r="E80" s="25" t="n"/>
      <c r="F80" s="25" t="n"/>
      <c r="I80" s="107" t="n"/>
      <c r="AC80" s="104" t="n">
        <v>2024</v>
      </c>
      <c r="AD80" s="55" t="inlineStr">
        <is>
          <t>ICP</t>
        </is>
      </c>
      <c r="AE80" s="78" t="n"/>
      <c r="AF80" s="78" t="n"/>
      <c r="AG80" s="78" t="n"/>
      <c r="AH80" s="78" t="n"/>
      <c r="AI80" s="78" t="n"/>
      <c r="AJ80" s="78" t="n"/>
      <c r="AK80" s="78" t="n"/>
      <c r="AL80" s="78" t="n"/>
      <c r="AM80" s="78" t="n"/>
      <c r="AN80" s="78" t="n"/>
      <c r="AO80" s="78">
        <f>+AO20</f>
        <v/>
      </c>
      <c r="AP80" s="78">
        <f>+AP20</f>
        <v/>
      </c>
      <c r="AQ80" s="78">
        <f>+AQ20</f>
        <v/>
      </c>
    </row>
    <row r="81" customFormat="1" s="106">
      <c r="A81" s="23" t="n">
        <v>41029</v>
      </c>
      <c r="B81" s="109" t="n">
        <v>14415.21</v>
      </c>
      <c r="C81" s="31">
        <f>(B81/B80-1)/(A81-A80)*30</f>
        <v/>
      </c>
      <c r="D81" s="25" t="n"/>
      <c r="E81" s="25" t="n"/>
      <c r="F81" s="25" t="n"/>
      <c r="I81" s="107" t="n"/>
      <c r="AD81" s="55" t="inlineStr">
        <is>
          <t>Competencia</t>
        </is>
      </c>
      <c r="AE81" s="78" t="n"/>
      <c r="AF81" s="78" t="n"/>
      <c r="AG81" s="78" t="n"/>
      <c r="AH81" s="78" t="n"/>
      <c r="AI81" s="78" t="n"/>
      <c r="AJ81" s="78" t="n"/>
      <c r="AK81" s="78" t="n"/>
      <c r="AL81" s="78" t="n"/>
      <c r="AM81" s="78" t="n"/>
      <c r="AN81" s="78" t="n"/>
      <c r="AO81" s="78">
        <f>+AO49</f>
        <v/>
      </c>
      <c r="AP81" s="78">
        <f>+AP49</f>
        <v/>
      </c>
      <c r="AQ81" s="78">
        <f>+AQ49</f>
        <v/>
      </c>
    </row>
    <row r="82" customFormat="1" s="106">
      <c r="A82" s="23" t="n">
        <v>41060</v>
      </c>
      <c r="B82" s="109" t="n">
        <v>14477.55</v>
      </c>
      <c r="C82" s="31">
        <f>(B82/B81-1)/(A82-A81)*30</f>
        <v/>
      </c>
      <c r="D82" s="25" t="n"/>
      <c r="E82" s="25" t="n"/>
      <c r="F82" s="25" t="n"/>
      <c r="I82" s="107" t="n"/>
      <c r="AD82" s="52" t="inlineStr">
        <is>
          <t>FIP Liquidez Presente</t>
        </is>
      </c>
      <c r="AE82" s="78" t="n"/>
      <c r="AF82" s="78" t="n"/>
      <c r="AG82" s="78" t="n"/>
      <c r="AH82" s="78" t="n"/>
      <c r="AI82" s="78" t="n"/>
      <c r="AJ82" s="78" t="n"/>
      <c r="AK82" s="78" t="n"/>
      <c r="AL82" s="78" t="n"/>
      <c r="AM82" s="78" t="n"/>
      <c r="AN82" s="78" t="n"/>
      <c r="AO82" s="78">
        <f>+AO36</f>
        <v/>
      </c>
      <c r="AP82" s="78">
        <f>+AP36</f>
        <v/>
      </c>
      <c r="AQ82" s="78">
        <f>+AQ36</f>
        <v/>
      </c>
    </row>
    <row r="83" customFormat="1" s="106">
      <c r="A83" s="23" t="n">
        <v>41089</v>
      </c>
      <c r="B83" s="109" t="n">
        <v>14536.13</v>
      </c>
      <c r="C83" s="31">
        <f>(B83/B82-1)/(A83-A82)*30</f>
        <v/>
      </c>
      <c r="D83" s="25" t="n"/>
      <c r="E83" s="25" t="n"/>
      <c r="F83" s="25" t="n"/>
      <c r="I83" s="107" t="n"/>
      <c r="AC83" s="104" t="n">
        <v>2025</v>
      </c>
      <c r="AD83" s="55" t="inlineStr">
        <is>
          <t>ICP</t>
        </is>
      </c>
      <c r="AE83" s="78">
        <f>+AE21</f>
        <v/>
      </c>
      <c r="AF83" s="78">
        <f>+AF21</f>
        <v/>
      </c>
      <c r="AG83" s="78">
        <f>+AG21</f>
        <v/>
      </c>
      <c r="AH83" s="78">
        <f>+AH21</f>
        <v/>
      </c>
      <c r="AI83" s="78">
        <f>+AI21</f>
        <v/>
      </c>
      <c r="AJ83" s="78">
        <f>+AJ21</f>
        <v/>
      </c>
      <c r="AK83" s="78">
        <f>+AK21</f>
        <v/>
      </c>
      <c r="AL83" s="78">
        <f>+AL21</f>
        <v/>
      </c>
      <c r="AM83" s="78">
        <f>+AM21</f>
        <v/>
      </c>
      <c r="AN83" s="78">
        <f>+AN21</f>
        <v/>
      </c>
      <c r="AO83" s="78">
        <f>+AO21</f>
        <v/>
      </c>
      <c r="AP83" s="78">
        <f>+AP21</f>
        <v/>
      </c>
      <c r="AQ83" s="78">
        <f>+AQ21</f>
        <v/>
      </c>
    </row>
    <row r="84" customFormat="1" s="106">
      <c r="A84" s="23" t="n">
        <v>41121</v>
      </c>
      <c r="B84" s="109" t="n">
        <v>14600.61</v>
      </c>
      <c r="C84" s="31">
        <f>(B84/B83-1)/(A84-A83)*30</f>
        <v/>
      </c>
      <c r="D84" s="25" t="n"/>
      <c r="E84" s="25" t="n"/>
      <c r="F84" s="25" t="n"/>
      <c r="I84" s="107" t="n"/>
      <c r="AD84" s="55" t="inlineStr">
        <is>
          <t>Competencia</t>
        </is>
      </c>
      <c r="AE84" s="78">
        <f>+AE50</f>
        <v/>
      </c>
      <c r="AF84" s="78">
        <f>+AF50</f>
        <v/>
      </c>
      <c r="AG84" s="78">
        <f>+AG50</f>
        <v/>
      </c>
      <c r="AH84" s="78">
        <f>+AH50</f>
        <v/>
      </c>
      <c r="AI84" s="78">
        <f>+AI50</f>
        <v/>
      </c>
      <c r="AJ84" s="78">
        <f>+AJ50</f>
        <v/>
      </c>
      <c r="AK84" s="78">
        <f>+AK50</f>
        <v/>
      </c>
      <c r="AL84" s="78">
        <f>+AL50</f>
        <v/>
      </c>
      <c r="AM84" s="78">
        <f>+AM50</f>
        <v/>
      </c>
      <c r="AN84" s="78">
        <f>+AN50</f>
        <v/>
      </c>
      <c r="AO84" s="78">
        <f>+AO50</f>
        <v/>
      </c>
      <c r="AP84" s="78">
        <f>+AP50</f>
        <v/>
      </c>
      <c r="AQ84" s="78">
        <f>+AQ50</f>
        <v/>
      </c>
    </row>
    <row r="85" customFormat="1" s="106">
      <c r="A85" s="23" t="n">
        <v>41152</v>
      </c>
      <c r="B85" s="109" t="n">
        <v>14663.33</v>
      </c>
      <c r="C85" s="31">
        <f>(B85/B84-1)/(A85-A84)*30</f>
        <v/>
      </c>
      <c r="D85" s="25" t="n"/>
      <c r="E85" s="25" t="n"/>
      <c r="F85" s="25" t="n"/>
      <c r="I85" s="107" t="n"/>
      <c r="AD85" s="52" t="inlineStr">
        <is>
          <t>FIP Liquidez Presente</t>
        </is>
      </c>
      <c r="AE85" s="78">
        <f>+AE37</f>
        <v/>
      </c>
      <c r="AF85" s="78">
        <f>+AF37</f>
        <v/>
      </c>
      <c r="AG85" s="78">
        <f>+AG37</f>
        <v/>
      </c>
      <c r="AH85" s="78">
        <f>+AH37</f>
        <v/>
      </c>
      <c r="AI85" s="78">
        <f>+AI37</f>
        <v/>
      </c>
      <c r="AJ85" s="78">
        <f>+AJ37</f>
        <v/>
      </c>
      <c r="AK85" s="78">
        <f>+AK37</f>
        <v/>
      </c>
      <c r="AL85" s="78">
        <f>+AL37</f>
        <v/>
      </c>
      <c r="AM85" s="78">
        <f>+AM37</f>
        <v/>
      </c>
      <c r="AN85" s="78">
        <f>+AN37</f>
        <v/>
      </c>
      <c r="AO85" s="78">
        <f>+AO37</f>
        <v/>
      </c>
      <c r="AP85" s="78">
        <f>+AP37</f>
        <v/>
      </c>
      <c r="AQ85" s="78">
        <f>+AQ37</f>
        <v/>
      </c>
    </row>
    <row r="86" customFormat="1" s="106">
      <c r="A86" s="23" t="n">
        <v>41180</v>
      </c>
      <c r="B86" s="109" t="n">
        <v>14720.68</v>
      </c>
      <c r="C86" s="31">
        <f>(B86/B85-1)/(A86-A85)*30</f>
        <v/>
      </c>
      <c r="D86" s="25" t="n"/>
      <c r="E86" s="25" t="n"/>
      <c r="F86" s="25" t="n"/>
      <c r="I86" s="107" t="n"/>
      <c r="AC86" s="104" t="n">
        <v>2026</v>
      </c>
      <c r="AD86" s="55" t="inlineStr">
        <is>
          <t>ICP</t>
        </is>
      </c>
      <c r="AE86" s="78">
        <f>+AE22</f>
        <v/>
      </c>
      <c r="AF86" s="78">
        <f>+AF22</f>
        <v/>
      </c>
      <c r="AG86" s="78">
        <f>+AG22</f>
        <v/>
      </c>
      <c r="AH86" s="78">
        <f>+AH22</f>
        <v/>
      </c>
      <c r="AI86" s="78" t="n"/>
      <c r="AJ86" s="78" t="n"/>
      <c r="AK86" s="78" t="n"/>
      <c r="AL86" s="78" t="n"/>
      <c r="AM86" s="78" t="n"/>
      <c r="AN86" s="78" t="n"/>
      <c r="AO86" s="78" t="n"/>
      <c r="AP86" s="78" t="n"/>
      <c r="AQ86" s="78">
        <f>+AQ22</f>
        <v/>
      </c>
    </row>
    <row r="87" customFormat="1" s="106">
      <c r="A87" s="23" t="n">
        <v>41213</v>
      </c>
      <c r="B87" s="109" t="n">
        <v>14788.56</v>
      </c>
      <c r="C87" s="31">
        <f>(B87/B86-1)/(A87-A86)*30</f>
        <v/>
      </c>
      <c r="D87" s="25" t="n"/>
      <c r="E87" s="25" t="n"/>
      <c r="F87" s="25" t="n"/>
      <c r="I87" s="107" t="n"/>
      <c r="AD87" s="55" t="inlineStr">
        <is>
          <t>Competencia</t>
        </is>
      </c>
      <c r="AE87" s="78">
        <f>+AE51</f>
        <v/>
      </c>
      <c r="AF87" s="78">
        <f>+AF51</f>
        <v/>
      </c>
      <c r="AG87" s="78">
        <f>+AG51</f>
        <v/>
      </c>
      <c r="AH87" s="78">
        <f>+AH51</f>
        <v/>
      </c>
      <c r="AI87" s="78" t="n"/>
      <c r="AJ87" s="78" t="n"/>
      <c r="AK87" s="78" t="n"/>
      <c r="AL87" s="78" t="n"/>
      <c r="AM87" s="78" t="n"/>
      <c r="AN87" s="78" t="n"/>
      <c r="AO87" s="78" t="n"/>
      <c r="AP87" s="78" t="n"/>
      <c r="AQ87" s="78">
        <f>+AQ51</f>
        <v/>
      </c>
    </row>
    <row r="88" customFormat="1" s="106">
      <c r="A88" s="23" t="n">
        <v>41243</v>
      </c>
      <c r="B88" s="109" t="n">
        <v>14850.38</v>
      </c>
      <c r="C88" s="31">
        <f>(B88/B87-1)/(A88-A87)*30</f>
        <v/>
      </c>
      <c r="D88" s="25" t="n"/>
      <c r="E88" s="25" t="n"/>
      <c r="F88" s="25" t="n"/>
      <c r="I88" s="107" t="n"/>
      <c r="AD88" s="52" t="inlineStr">
        <is>
          <t>FIP Liquidez Presente</t>
        </is>
      </c>
      <c r="AE88" s="78">
        <f>+AE38</f>
        <v/>
      </c>
      <c r="AF88" s="78">
        <f>+AF38</f>
        <v/>
      </c>
      <c r="AG88" s="78">
        <f>+AG38</f>
        <v/>
      </c>
      <c r="AH88" s="78">
        <f>+AH38</f>
        <v/>
      </c>
      <c r="AI88" s="78" t="n"/>
      <c r="AJ88" s="78" t="n"/>
      <c r="AK88" s="78" t="n"/>
      <c r="AL88" s="78" t="n"/>
      <c r="AM88" s="78" t="n"/>
      <c r="AN88" s="78" t="n"/>
      <c r="AO88" s="78" t="n"/>
      <c r="AP88" s="78" t="n"/>
      <c r="AQ88" s="78">
        <f>+AQ38</f>
        <v/>
      </c>
    </row>
    <row r="89" customFormat="1" s="106">
      <c r="A89" s="23" t="n">
        <v>41274</v>
      </c>
      <c r="B89" s="109" t="n">
        <v>14908.2</v>
      </c>
      <c r="C89" s="31">
        <f>(B89/B88-1)/(A89-A88)*30</f>
        <v/>
      </c>
      <c r="D89" s="25" t="n"/>
      <c r="E89" s="25" t="n"/>
      <c r="F89" s="25" t="n"/>
      <c r="I89" s="107" t="n"/>
      <c r="AC89" s="9" t="n"/>
      <c r="AF89" s="9" t="n"/>
      <c r="AG89" s="9" t="n"/>
      <c r="AH89" s="9" t="n"/>
      <c r="AI89" s="9" t="n"/>
      <c r="AJ89" s="9" t="n"/>
      <c r="AK89" s="9" t="n"/>
      <c r="AL89" s="9" t="n"/>
      <c r="AM89" s="9" t="n"/>
      <c r="AN89" s="9" t="n"/>
      <c r="AO89" s="9" t="n"/>
      <c r="AP89" s="9" t="n"/>
      <c r="AQ89" s="9" t="n"/>
    </row>
    <row r="90" customFormat="1" s="106">
      <c r="A90" s="23" t="n">
        <v>41305</v>
      </c>
      <c r="B90" s="109" t="n">
        <v>14978.58</v>
      </c>
      <c r="C90" s="31">
        <f>(B90/B89-1)/(A90-A89)*30</f>
        <v/>
      </c>
      <c r="D90" s="25" t="n"/>
      <c r="E90" s="25" t="n"/>
      <c r="F90" s="25" t="n"/>
      <c r="I90" s="107" t="n"/>
      <c r="AC90" s="9" t="n"/>
      <c r="AF90" s="9" t="n"/>
      <c r="AG90" s="9" t="n"/>
      <c r="AH90" s="9" t="n"/>
      <c r="AI90" s="9" t="n"/>
      <c r="AJ90" s="9" t="n"/>
      <c r="AK90" s="9" t="n"/>
      <c r="AL90" s="9" t="n"/>
      <c r="AM90" s="9" t="n"/>
      <c r="AN90" s="9" t="n"/>
      <c r="AO90" s="9" t="n"/>
      <c r="AP90" s="9" t="n"/>
      <c r="AQ90" s="9" t="n"/>
    </row>
    <row r="91" customFormat="1" s="106">
      <c r="A91" s="23" t="n">
        <v>41333</v>
      </c>
      <c r="B91" s="109" t="n">
        <v>15036.94</v>
      </c>
      <c r="C91" s="31">
        <f>(B91/B90-1)/(A91-A90)*30</f>
        <v/>
      </c>
      <c r="D91" s="25" t="n"/>
      <c r="E91" s="25" t="n"/>
      <c r="F91" s="25" t="n"/>
      <c r="I91" s="107" t="n"/>
      <c r="AC91" s="9" t="n"/>
      <c r="AF91" s="9" t="n"/>
      <c r="AG91" s="9" t="n"/>
      <c r="AH91" s="9" t="n"/>
      <c r="AI91" s="9" t="n"/>
      <c r="AJ91" s="9" t="n"/>
      <c r="AK91" s="9" t="n"/>
      <c r="AL91" s="9" t="n"/>
      <c r="AM91" s="9" t="n"/>
      <c r="AN91" s="9" t="n"/>
      <c r="AO91" s="9" t="n"/>
      <c r="AP91" s="9" t="n"/>
      <c r="AQ91" s="9" t="n"/>
    </row>
    <row r="92" customFormat="1" s="106">
      <c r="A92" s="23" t="n">
        <v>41362</v>
      </c>
      <c r="B92" s="109" t="n">
        <v>15095.51</v>
      </c>
      <c r="C92" s="31">
        <f>(B92/B91-1)/(A92-A91)*30</f>
        <v/>
      </c>
      <c r="D92" s="25" t="n"/>
      <c r="E92" s="25" t="n"/>
      <c r="F92" s="25" t="n"/>
      <c r="I92" s="107" t="n"/>
      <c r="AC92" s="9" t="n"/>
      <c r="AF92" s="9" t="n"/>
      <c r="AG92" s="9" t="n"/>
      <c r="AH92" s="9" t="n"/>
      <c r="AI92" s="9" t="n"/>
      <c r="AJ92" s="9" t="n"/>
      <c r="AK92" s="9" t="n"/>
      <c r="AL92" s="9" t="n"/>
      <c r="AM92" s="9" t="n"/>
      <c r="AN92" s="9" t="n"/>
      <c r="AO92" s="9" t="n"/>
      <c r="AP92" s="9" t="n"/>
      <c r="AQ92" s="9" t="n"/>
    </row>
    <row r="93" customFormat="1" s="106">
      <c r="A93" s="23" t="n">
        <v>41394</v>
      </c>
      <c r="B93" s="109" t="n">
        <v>15164.77</v>
      </c>
      <c r="C93" s="31">
        <f>(B93/B92-1)/(A93-A92)*30</f>
        <v/>
      </c>
      <c r="D93" s="25" t="n"/>
      <c r="E93" s="25" t="n"/>
      <c r="F93" s="25" t="n"/>
      <c r="I93" s="107" t="n"/>
      <c r="AC93" s="9" t="n"/>
      <c r="AF93" s="9" t="n"/>
      <c r="AG93" s="9" t="n"/>
      <c r="AH93" s="9" t="n"/>
      <c r="AI93" s="9" t="n"/>
      <c r="AJ93" s="9" t="n"/>
      <c r="AK93" s="9" t="n"/>
      <c r="AL93" s="9" t="n"/>
      <c r="AM93" s="9" t="n"/>
      <c r="AN93" s="9" t="n"/>
      <c r="AO93" s="9" t="n"/>
      <c r="AP93" s="9" t="n"/>
      <c r="AQ93" s="9" t="n"/>
    </row>
    <row r="94" customFormat="1" s="106">
      <c r="A94" s="23" t="n">
        <v>41425</v>
      </c>
      <c r="B94" s="109" t="n">
        <v>15230.38</v>
      </c>
      <c r="C94" s="31">
        <f>(B94/B93-1)/(A94-A93)*30</f>
        <v/>
      </c>
      <c r="D94" s="25" t="n"/>
      <c r="E94" s="25" t="n"/>
      <c r="F94" s="25" t="n"/>
      <c r="I94" s="107" t="n"/>
      <c r="AC94" s="9" t="n"/>
      <c r="AD94" s="23" t="n">
        <v>43008</v>
      </c>
      <c r="AE94" s="67" t="n">
        <v>0.003112100000000062</v>
      </c>
      <c r="AF94" s="9" t="n"/>
      <c r="AG94" s="9" t="n"/>
      <c r="AH94" s="9" t="n"/>
      <c r="AI94" s="9" t="n"/>
      <c r="AJ94" s="9" t="n"/>
      <c r="AK94" s="9" t="n"/>
      <c r="AL94" s="9" t="n"/>
      <c r="AM94" s="9" t="n"/>
      <c r="AN94" s="9" t="n"/>
      <c r="AO94" s="9" t="n"/>
      <c r="AP94" s="9" t="n"/>
      <c r="AQ94" s="9" t="n"/>
    </row>
    <row r="95" customFormat="1" s="106">
      <c r="A95" s="23" t="n">
        <v>41453</v>
      </c>
      <c r="B95" s="109" t="n">
        <v>15289.74</v>
      </c>
      <c r="C95" s="31">
        <f>(B95/B94-1)/(A95-A94)*30</f>
        <v/>
      </c>
      <c r="D95" s="25" t="n"/>
      <c r="E95" s="25" t="n"/>
      <c r="F95" s="25" t="n"/>
      <c r="I95" s="107" t="n"/>
      <c r="AC95" s="9" t="n"/>
      <c r="AD95" s="23" t="n">
        <v>43039</v>
      </c>
      <c r="AE95" s="67" t="n">
        <v>0.002663549477348879</v>
      </c>
      <c r="AF95" s="9" t="n"/>
      <c r="AG95" s="9" t="n"/>
      <c r="AH95" s="9" t="n"/>
      <c r="AI95" s="9" t="n"/>
      <c r="AJ95" s="9" t="n"/>
      <c r="AK95" s="9" t="n"/>
      <c r="AL95" s="9" t="n"/>
      <c r="AM95" s="9" t="n"/>
      <c r="AN95" s="9" t="n"/>
      <c r="AO95" s="9" t="n"/>
      <c r="AP95" s="9" t="n"/>
      <c r="AQ95" s="9" t="n"/>
    </row>
    <row r="96" customFormat="1" s="106">
      <c r="A96" s="23" t="n">
        <v>41486</v>
      </c>
      <c r="B96" s="109" t="n">
        <v>15360.27</v>
      </c>
      <c r="C96" s="31">
        <f>(B96/B95-1)/(A96-A95)*30</f>
        <v/>
      </c>
      <c r="D96" s="25" t="n"/>
      <c r="E96" s="25" t="n"/>
      <c r="F96" s="25" t="n"/>
      <c r="I96" s="107" t="n"/>
      <c r="AC96" s="9" t="n"/>
      <c r="AD96" s="23" t="n">
        <v>43069</v>
      </c>
      <c r="AE96" s="67" t="n">
        <v>0.002704019294682336</v>
      </c>
      <c r="AF96" s="9" t="n"/>
      <c r="AG96" s="9" t="n"/>
      <c r="AH96" s="9" t="n"/>
      <c r="AI96" s="9" t="n"/>
      <c r="AJ96" s="9" t="n"/>
      <c r="AK96" s="9" t="n"/>
      <c r="AL96" s="9" t="n"/>
      <c r="AM96" s="9" t="n"/>
      <c r="AN96" s="9" t="n"/>
      <c r="AO96" s="9" t="n"/>
      <c r="AP96" s="9" t="n"/>
      <c r="AQ96" s="9" t="n"/>
    </row>
    <row r="97" customFormat="1" s="106">
      <c r="A97" s="23" t="n">
        <v>41516</v>
      </c>
      <c r="B97" s="109" t="n">
        <v>15424.43</v>
      </c>
      <c r="C97" s="31">
        <f>(B97/B96-1)/(A97-A96)*30</f>
        <v/>
      </c>
      <c r="D97" s="25" t="n"/>
      <c r="E97" s="25" t="n"/>
      <c r="F97" s="25" t="n"/>
      <c r="I97" s="107" t="n"/>
      <c r="AD97" s="23" t="n">
        <v>43100</v>
      </c>
      <c r="AE97" s="67" t="n">
        <v>0.003009654469144453</v>
      </c>
      <c r="AF97" s="9" t="n"/>
      <c r="AG97" s="9" t="n"/>
      <c r="AH97" s="9" t="n"/>
      <c r="AI97" s="9" t="n"/>
      <c r="AJ97" s="9" t="n"/>
      <c r="AK97" s="9" t="n"/>
      <c r="AL97" s="9" t="n"/>
      <c r="AM97" s="9" t="n"/>
      <c r="AN97" s="9" t="n"/>
      <c r="AO97" s="9" t="n"/>
      <c r="AP97" s="9" t="n"/>
      <c r="AQ97" s="9" t="n"/>
    </row>
    <row r="98" customFormat="1" s="106">
      <c r="A98" s="23" t="n">
        <v>41547</v>
      </c>
      <c r="B98" s="109" t="n">
        <v>15490.99</v>
      </c>
      <c r="C98" s="31">
        <f>(B98/B97-1)/(A98-A97)*30</f>
        <v/>
      </c>
      <c r="D98" s="25" t="n"/>
      <c r="E98" s="25" t="n"/>
      <c r="F98" s="25" t="n"/>
      <c r="I98" s="107" t="n"/>
      <c r="AD98" s="23" t="n">
        <v>43131</v>
      </c>
      <c r="AE98" s="67" t="n">
        <v>0.004737272399342256</v>
      </c>
    </row>
    <row r="99" customFormat="1" s="106">
      <c r="A99" s="23" t="n">
        <v>41578</v>
      </c>
      <c r="B99" s="109" t="n">
        <v>15554.36</v>
      </c>
      <c r="C99" s="31">
        <f>(B99/B98-1)/(A99-A98)*30</f>
        <v/>
      </c>
      <c r="D99" s="25" t="n"/>
      <c r="E99" s="25" t="n"/>
      <c r="F99" s="25" t="n"/>
      <c r="I99" s="107" t="n"/>
      <c r="AD99" s="23" t="n">
        <v>43159</v>
      </c>
      <c r="AE99" s="67" t="n">
        <v>0.003781523019540458</v>
      </c>
    </row>
    <row r="100" customFormat="1" s="106">
      <c r="A100" s="23" t="n">
        <v>41607</v>
      </c>
      <c r="B100" s="109" t="n">
        <v>15615.06</v>
      </c>
      <c r="C100" s="31">
        <f>(B100/B99-1)/(A100-A99)*30</f>
        <v/>
      </c>
      <c r="D100" s="25" t="n"/>
      <c r="E100" s="25" t="n"/>
      <c r="F100" s="25" t="n"/>
      <c r="I100" s="107" t="n"/>
      <c r="AD100" s="23" t="n">
        <v>43190</v>
      </c>
      <c r="AE100" s="67" t="n">
        <v>0.003005275119085731</v>
      </c>
    </row>
    <row r="101" customFormat="1" s="106">
      <c r="A101" s="23" t="n">
        <v>41639</v>
      </c>
      <c r="B101" s="109" t="n">
        <v>15675.68</v>
      </c>
      <c r="C101" s="31">
        <f>(B101/B100-1)/(A101-A100)*30</f>
        <v/>
      </c>
      <c r="D101" s="25" t="n"/>
      <c r="E101" s="25" t="n"/>
      <c r="F101" s="25" t="n"/>
      <c r="I101" s="107" t="n"/>
      <c r="AD101" s="23" t="n">
        <v>43220</v>
      </c>
      <c r="AE101" s="67" t="n">
        <v>0.00316130254575997</v>
      </c>
    </row>
    <row r="102" customFormat="1" s="106">
      <c r="A102" s="23" t="n">
        <v>41670</v>
      </c>
      <c r="B102" s="109" t="n">
        <v>15738.45</v>
      </c>
      <c r="C102" s="31">
        <f>(B102/B101-1)/(A102-A101)*30</f>
        <v/>
      </c>
      <c r="D102" s="25" t="n"/>
      <c r="E102" s="25" t="n"/>
      <c r="F102" s="25" t="n"/>
      <c r="I102" s="107" t="n"/>
      <c r="AD102" s="23" t="n">
        <v>43251</v>
      </c>
      <c r="AE102" s="67" t="n">
        <v>0.003100678663890142</v>
      </c>
    </row>
    <row r="103" customFormat="1" s="106">
      <c r="A103" s="23" t="n">
        <v>41698</v>
      </c>
      <c r="B103" s="109" t="n">
        <v>15792.47</v>
      </c>
      <c r="C103" s="31">
        <f>(B103/B102-1)/(A103-A102)*30</f>
        <v/>
      </c>
      <c r="D103" s="25" t="n"/>
      <c r="E103" s="25" t="n"/>
      <c r="F103" s="25" t="n"/>
      <c r="I103" s="107" t="n"/>
      <c r="AD103" s="23" t="n">
        <v>43281</v>
      </c>
      <c r="AE103" s="67" t="n">
        <v>0.00287709140845549</v>
      </c>
    </row>
    <row r="104" customFormat="1" s="106">
      <c r="A104" s="23" t="n">
        <v>41729</v>
      </c>
      <c r="B104" s="109" t="n">
        <v>15848.53</v>
      </c>
      <c r="C104" s="31">
        <f>(B104/B103-1)/(A104-A103)*30</f>
        <v/>
      </c>
      <c r="D104" s="25" t="n"/>
      <c r="E104" s="25" t="n"/>
      <c r="F104" s="25" t="n"/>
      <c r="I104" s="107" t="n"/>
      <c r="AD104" s="23" t="n">
        <v>43312</v>
      </c>
      <c r="AE104" s="67" t="n">
        <v>0.002790254057869121</v>
      </c>
    </row>
    <row r="105" customFormat="1" s="106">
      <c r="A105" s="23" t="n">
        <v>41759</v>
      </c>
      <c r="B105" s="109" t="n">
        <v>15901.43</v>
      </c>
      <c r="C105" s="31">
        <f>(B105/B104-1)/(A105-A104)*30</f>
        <v/>
      </c>
      <c r="D105" s="25" t="n"/>
      <c r="E105" s="25" t="n"/>
      <c r="F105" s="25" t="n"/>
      <c r="I105" s="107" t="n"/>
      <c r="AD105" s="23" t="n">
        <v>43343</v>
      </c>
      <c r="AE105" s="67" t="n">
        <v>0.002697220022070491</v>
      </c>
    </row>
    <row r="106" customFormat="1" s="106">
      <c r="A106" s="23" t="n">
        <v>41789</v>
      </c>
      <c r="B106" s="109" t="n">
        <v>15954.5</v>
      </c>
      <c r="C106" s="31">
        <f>(B106/B105-1)/(A106-A105)*30</f>
        <v/>
      </c>
      <c r="D106" s="25" t="n"/>
      <c r="E106" s="25" t="n"/>
      <c r="F106" s="25" t="n"/>
      <c r="I106" s="107" t="n"/>
      <c r="AD106" s="23" t="n">
        <v>43373</v>
      </c>
      <c r="AE106" s="67" t="n">
        <v>0.002946786774067123</v>
      </c>
    </row>
    <row r="107" customFormat="1" s="106">
      <c r="A107" s="23" t="n">
        <v>41820</v>
      </c>
      <c r="B107" s="109" t="n">
        <v>16009.53</v>
      </c>
      <c r="C107" s="31">
        <f>(B107/B106-1)/(A107-A106)*30</f>
        <v/>
      </c>
      <c r="D107" s="25" t="n"/>
      <c r="E107" s="25" t="n"/>
      <c r="F107" s="25" t="n"/>
      <c r="I107" s="107" t="n"/>
      <c r="AD107" s="23" t="n">
        <v>43404</v>
      </c>
      <c r="AE107" s="67" t="n">
        <v>0.002734115798128082</v>
      </c>
    </row>
    <row r="108" customFormat="1" s="106">
      <c r="A108" s="23" t="n">
        <v>41851</v>
      </c>
      <c r="B108" s="109" t="n">
        <v>16063.18</v>
      </c>
      <c r="C108" s="31">
        <f>(B108/B107-1)/(A108-A107)*30</f>
        <v/>
      </c>
      <c r="D108" s="25" t="n"/>
      <c r="E108" s="25" t="n"/>
      <c r="F108" s="25" t="n"/>
      <c r="I108" s="107" t="n"/>
      <c r="AD108" s="23" t="n">
        <v>43434</v>
      </c>
      <c r="AE108" s="67" t="n">
        <v>0.002844092886551852</v>
      </c>
    </row>
    <row r="109" customFormat="1" s="106">
      <c r="A109" s="23" t="n">
        <v>41880</v>
      </c>
      <c r="B109" s="109" t="n">
        <v>16110.55</v>
      </c>
      <c r="C109" s="31">
        <f>(B109/B108-1)/(A109-A108)*30</f>
        <v/>
      </c>
      <c r="D109" s="25" t="n"/>
      <c r="E109" s="25" t="n"/>
      <c r="F109" s="25" t="n"/>
      <c r="I109" s="107" t="n"/>
      <c r="AD109" s="23" t="n">
        <v>43465</v>
      </c>
      <c r="AE109" s="67" t="n">
        <v>0.002626598915806536</v>
      </c>
    </row>
    <row r="110" customFormat="1" s="106">
      <c r="A110" s="23" t="n">
        <v>41912</v>
      </c>
      <c r="B110" s="109" t="n">
        <v>16158.37</v>
      </c>
      <c r="C110" s="31">
        <f>(B110/B109-1)/(A110-A109)*30</f>
        <v/>
      </c>
      <c r="D110" s="25" t="n"/>
      <c r="E110" s="25" t="n"/>
      <c r="F110" s="25" t="n"/>
      <c r="I110" s="107" t="n"/>
      <c r="AD110" s="23" t="n">
        <v>43496</v>
      </c>
      <c r="AE110" s="67" t="n">
        <v>0.002814303282289405</v>
      </c>
    </row>
    <row r="111" customFormat="1" s="106">
      <c r="A111" s="23" t="n">
        <v>41943</v>
      </c>
      <c r="B111" s="109" t="n">
        <v>16200.86</v>
      </c>
      <c r="C111" s="31">
        <f>(B111/B110-1)/(A111-A110)*30</f>
        <v/>
      </c>
      <c r="D111" s="25" t="n"/>
      <c r="E111" s="25" t="n"/>
      <c r="F111" s="25" t="n"/>
      <c r="I111" s="107" t="n"/>
      <c r="AD111" s="23" t="n">
        <v>43524</v>
      </c>
      <c r="AE111" s="67" t="n">
        <v>0.002823606386871957</v>
      </c>
    </row>
    <row r="112" customFormat="1" s="106">
      <c r="A112" s="23" t="n">
        <v>41971</v>
      </c>
      <c r="B112" s="109" t="n">
        <v>16240.11</v>
      </c>
      <c r="C112" s="31">
        <f>(B112/B111-1)/(A112-A111)*30</f>
        <v/>
      </c>
      <c r="D112" s="25" t="n"/>
      <c r="E112" s="25" t="n"/>
      <c r="F112" s="25" t="n"/>
      <c r="I112" s="107" t="n"/>
      <c r="AD112" s="23" t="n">
        <v>43555</v>
      </c>
      <c r="AE112" s="67" t="n">
        <v>0.002865362794038821</v>
      </c>
    </row>
    <row r="113" customFormat="1" s="106">
      <c r="A113" s="23" t="n">
        <v>42004</v>
      </c>
      <c r="B113" s="109" t="n">
        <v>16283.49</v>
      </c>
      <c r="C113" s="31">
        <f>(B113/B112-1)/(A113-A112)*30</f>
        <v/>
      </c>
      <c r="D113" s="25" t="n"/>
      <c r="E113" s="25" t="n"/>
      <c r="F113" s="25" t="n"/>
      <c r="I113" s="107" t="n"/>
      <c r="AD113" s="23" t="n">
        <v>43585</v>
      </c>
      <c r="AE113" s="67" t="n">
        <v>0.002932409051613627</v>
      </c>
    </row>
    <row r="114" customFormat="1" s="106">
      <c r="A114" s="23" t="n">
        <v>42034</v>
      </c>
      <c r="B114" s="109" t="n">
        <v>16325.65</v>
      </c>
      <c r="C114" s="31">
        <f>(B114/B113-1)/(A114-A113)*30</f>
        <v/>
      </c>
      <c r="D114" s="25" t="n"/>
      <c r="E114" s="25" t="n"/>
      <c r="F114" s="25" t="n"/>
      <c r="I114" s="107" t="n"/>
    </row>
    <row r="115">
      <c r="A115" s="23" t="n">
        <v>42062</v>
      </c>
      <c r="B115" s="109" t="n">
        <v>16363.77</v>
      </c>
      <c r="C115" s="31">
        <f>(B115/B114-1)/(A115-A114)*30</f>
        <v/>
      </c>
      <c r="D115" s="25" t="n"/>
      <c r="E115" s="25" t="n"/>
      <c r="F115" s="25" t="n"/>
      <c r="N115" s="106" t="n"/>
      <c r="O115" s="106" t="n"/>
      <c r="P115" s="106" t="n"/>
      <c r="Q115" s="106" t="n"/>
      <c r="R115" s="106" t="n"/>
      <c r="S115" s="106" t="n"/>
      <c r="T115" s="106" t="n"/>
      <c r="U115" s="106" t="n"/>
      <c r="V115" s="106" t="n"/>
      <c r="W115" s="106" t="n"/>
      <c r="X115" s="106" t="n"/>
      <c r="Y115" s="106" t="n"/>
      <c r="Z115" s="106" t="n"/>
      <c r="AA115" s="106" t="n"/>
      <c r="AB115" s="106" t="n"/>
      <c r="AC115" s="106" t="n"/>
      <c r="AD115" s="106" t="n"/>
      <c r="AE115" s="106" t="n"/>
      <c r="AF115" s="106" t="n"/>
      <c r="AG115" s="106" t="n"/>
      <c r="AH115" s="106" t="n"/>
      <c r="AI115" s="106" t="n"/>
      <c r="AJ115" s="106" t="n"/>
      <c r="AK115" s="106" t="n"/>
      <c r="AL115" s="106" t="n"/>
      <c r="AM115" s="106" t="n"/>
      <c r="AN115" s="106" t="n"/>
      <c r="AO115" s="106" t="n"/>
      <c r="AP115" s="106" t="n"/>
      <c r="AQ115" s="106" t="n"/>
      <c r="AR115" s="106" t="n"/>
      <c r="AS115" s="106" t="n"/>
      <c r="AT115" s="106" t="n"/>
    </row>
    <row r="116">
      <c r="A116" s="23" t="n">
        <v>42094</v>
      </c>
      <c r="B116" s="109" t="n">
        <v>16407.49</v>
      </c>
      <c r="C116" s="31">
        <f>(B116/B115-1)/(A116-A115)*30</f>
        <v/>
      </c>
      <c r="D116" s="25" t="n"/>
      <c r="E116" s="25" t="n"/>
      <c r="F116" s="25" t="n"/>
      <c r="O116" s="106" t="n"/>
      <c r="P116" s="106" t="n"/>
      <c r="Q116" s="106" t="n"/>
      <c r="R116" s="106" t="n"/>
      <c r="S116" s="106" t="n"/>
      <c r="T116" s="106" t="n"/>
      <c r="U116" s="106" t="n"/>
      <c r="V116" s="106" t="n"/>
      <c r="W116" s="106" t="n"/>
      <c r="X116" s="106" t="n"/>
      <c r="Y116" s="106" t="n"/>
      <c r="Z116" s="106" t="n"/>
      <c r="AA116" s="106" t="n"/>
      <c r="AB116" s="106" t="n"/>
      <c r="AC116" s="106" t="n"/>
      <c r="AD116" s="106" t="n"/>
      <c r="AE116" s="106" t="n"/>
      <c r="AF116" s="106" t="n"/>
      <c r="AG116" s="106" t="n"/>
      <c r="AH116" s="106" t="n"/>
      <c r="AI116" s="106" t="n"/>
      <c r="AJ116" s="106" t="n"/>
      <c r="AK116" s="106" t="n"/>
      <c r="AL116" s="106" t="n"/>
      <c r="AM116" s="106" t="n"/>
      <c r="AN116" s="106" t="n"/>
      <c r="AO116" s="106" t="n"/>
      <c r="AP116" s="106" t="n"/>
      <c r="AQ116" s="106" t="n"/>
      <c r="AR116" s="106" t="n"/>
      <c r="AS116" s="106" t="n"/>
    </row>
    <row r="117">
      <c r="A117" s="23" t="n">
        <v>42124</v>
      </c>
      <c r="B117" s="109" t="n">
        <v>16448.59</v>
      </c>
      <c r="C117" s="31">
        <f>(B117/B116-1)/(A117-A116)*30</f>
        <v/>
      </c>
      <c r="D117" s="25" t="n"/>
      <c r="E117" s="25" t="n"/>
      <c r="F117" s="25" t="n"/>
      <c r="O117" s="106" t="n"/>
      <c r="P117" s="106" t="n"/>
      <c r="Q117" s="106" t="n"/>
      <c r="R117" s="106" t="n"/>
      <c r="S117" s="106" t="n"/>
      <c r="T117" s="106" t="n"/>
      <c r="U117" s="106" t="n"/>
      <c r="V117" s="106" t="n"/>
      <c r="W117" s="106" t="n"/>
      <c r="X117" s="106" t="n"/>
      <c r="Y117" s="106" t="n"/>
      <c r="Z117" s="106" t="n"/>
      <c r="AA117" s="106" t="n"/>
      <c r="AB117" s="106" t="n"/>
      <c r="AC117" s="106" t="n"/>
      <c r="AD117" s="106" t="n"/>
      <c r="AE117" s="106" t="n"/>
      <c r="AF117" s="106" t="n"/>
      <c r="AG117" s="106" t="n"/>
      <c r="AH117" s="106" t="n"/>
      <c r="AI117" s="106" t="n"/>
      <c r="AJ117" s="106" t="n"/>
      <c r="AK117" s="106" t="n"/>
      <c r="AL117" s="106" t="n"/>
      <c r="AM117" s="106" t="n"/>
      <c r="AN117" s="106" t="n"/>
      <c r="AO117" s="106" t="n"/>
      <c r="AP117" s="106" t="n"/>
      <c r="AQ117" s="106" t="n"/>
      <c r="AR117" s="106" t="n"/>
      <c r="AS117" s="106" t="n"/>
    </row>
    <row r="118">
      <c r="A118" s="23" t="n">
        <v>42153</v>
      </c>
      <c r="B118" s="109" t="n">
        <v>16488.37</v>
      </c>
      <c r="C118" s="31">
        <f>(B118/B117-1)/(A118-A117)*30</f>
        <v/>
      </c>
      <c r="D118" s="25" t="n"/>
      <c r="E118" s="25" t="n"/>
      <c r="F118" s="25" t="n"/>
      <c r="O118" s="106" t="n"/>
      <c r="P118" s="106" t="n"/>
      <c r="Q118" s="106" t="n"/>
      <c r="R118" s="106" t="n"/>
      <c r="S118" s="106" t="n"/>
      <c r="T118" s="106" t="n"/>
      <c r="U118" s="106" t="n"/>
      <c r="V118" s="106" t="n"/>
      <c r="W118" s="106" t="n"/>
      <c r="X118" s="106" t="n"/>
      <c r="Y118" s="106" t="n"/>
      <c r="Z118" s="106" t="n"/>
      <c r="AA118" s="106" t="n"/>
      <c r="AB118" s="106" t="n"/>
      <c r="AC118" s="106" t="n"/>
      <c r="AD118" s="106" t="n"/>
      <c r="AE118" s="106" t="n"/>
      <c r="AF118" s="106" t="n"/>
      <c r="AG118" s="106" t="n"/>
      <c r="AH118" s="106" t="n"/>
      <c r="AI118" s="106" t="n"/>
      <c r="AJ118" s="106" t="n"/>
      <c r="AK118" s="106" t="n"/>
      <c r="AL118" s="106" t="n"/>
      <c r="AM118" s="106" t="n"/>
      <c r="AN118" s="106" t="n"/>
      <c r="AO118" s="106" t="n"/>
      <c r="AP118" s="106" t="n"/>
      <c r="AQ118" s="106" t="n"/>
      <c r="AR118" s="106" t="n"/>
      <c r="AS118" s="106" t="n"/>
    </row>
    <row r="119">
      <c r="A119" s="23" t="n">
        <v>42185</v>
      </c>
      <c r="B119" s="109" t="n">
        <v>16532.38</v>
      </c>
      <c r="C119" s="31">
        <f>(B119/B118-1)/(A119-A118)*30</f>
        <v/>
      </c>
      <c r="D119" s="25" t="n"/>
      <c r="E119" s="25" t="n"/>
      <c r="F119" s="25" t="n"/>
      <c r="O119" s="106" t="n"/>
      <c r="P119" s="106" t="n"/>
      <c r="Q119" s="106" t="n"/>
      <c r="R119" s="106" t="n"/>
      <c r="S119" s="106" t="n"/>
      <c r="T119" s="106" t="n"/>
      <c r="U119" s="106" t="n"/>
      <c r="V119" s="106" t="n"/>
      <c r="W119" s="106" t="n"/>
      <c r="X119" s="106" t="n"/>
      <c r="Y119" s="106" t="n"/>
      <c r="Z119" s="106" t="n"/>
      <c r="AA119" s="106" t="n"/>
      <c r="AC119" s="106" t="n"/>
      <c r="AD119" s="106" t="n"/>
      <c r="AE119" s="106" t="n"/>
      <c r="AF119" s="106" t="n"/>
      <c r="AG119" s="106" t="n"/>
      <c r="AH119" s="106" t="n"/>
      <c r="AI119" s="106" t="n"/>
      <c r="AJ119" s="106" t="n"/>
      <c r="AK119" s="106" t="n"/>
      <c r="AL119" s="106" t="n"/>
      <c r="AM119" s="106" t="n"/>
      <c r="AN119" s="106" t="n"/>
      <c r="AO119" s="106" t="n"/>
      <c r="AP119" s="106" t="n"/>
      <c r="AQ119" s="106" t="n"/>
      <c r="AR119" s="106" t="n"/>
      <c r="AS119" s="106" t="n"/>
    </row>
    <row r="120">
      <c r="A120" s="23" t="n">
        <v>42216</v>
      </c>
      <c r="B120" s="109" t="n">
        <v>16575.11</v>
      </c>
      <c r="C120" s="31">
        <f>(B120/B119-1)/(A120-A119)*30</f>
        <v/>
      </c>
      <c r="D120" s="25" t="n"/>
      <c r="E120" s="25" t="n"/>
      <c r="F120" s="25" t="n"/>
      <c r="O120" s="106" t="n"/>
      <c r="P120" s="106" t="n"/>
      <c r="Q120" s="106" t="n"/>
      <c r="R120" s="106" t="n"/>
      <c r="S120" s="106" t="n"/>
      <c r="T120" s="106" t="n"/>
      <c r="U120" s="106" t="n"/>
      <c r="V120" s="106" t="n"/>
      <c r="W120" s="106" t="n"/>
      <c r="X120" s="106" t="n"/>
      <c r="Y120" s="106" t="n"/>
      <c r="Z120" s="106" t="n"/>
      <c r="AA120" s="106" t="n"/>
      <c r="AC120" s="106" t="n"/>
      <c r="AD120" s="106" t="n"/>
      <c r="AE120" s="106" t="n"/>
      <c r="AF120" s="106" t="n"/>
      <c r="AG120" s="106" t="n"/>
      <c r="AH120" s="106" t="n"/>
      <c r="AI120" s="106" t="n"/>
      <c r="AJ120" s="106" t="n"/>
      <c r="AK120" s="106" t="n"/>
      <c r="AL120" s="106" t="n"/>
      <c r="AM120" s="106" t="n"/>
      <c r="AN120" s="106" t="n"/>
      <c r="AO120" s="106" t="n"/>
      <c r="AP120" s="106" t="n"/>
      <c r="AQ120" s="106" t="n"/>
      <c r="AR120" s="106" t="n"/>
      <c r="AS120" s="106" t="n"/>
    </row>
    <row r="121">
      <c r="A121" s="23" t="n">
        <v>42247</v>
      </c>
      <c r="B121" s="109" t="n">
        <v>16617.94</v>
      </c>
      <c r="C121" s="31">
        <f>(B121/B120-1)/(A121-A120)*30</f>
        <v/>
      </c>
      <c r="D121" s="25" t="n"/>
      <c r="E121" s="25" t="n"/>
      <c r="F121" s="25" t="n"/>
      <c r="O121" s="106" t="n"/>
      <c r="P121" s="106" t="n"/>
      <c r="Q121" s="106" t="n"/>
      <c r="R121" s="106" t="n"/>
      <c r="S121" s="106" t="n"/>
      <c r="T121" s="106" t="n"/>
      <c r="U121" s="106" t="n"/>
      <c r="V121" s="106" t="n"/>
      <c r="W121" s="106" t="n"/>
      <c r="X121" s="106" t="n"/>
      <c r="Y121" s="106" t="n"/>
      <c r="Z121" s="106" t="n"/>
      <c r="AA121" s="106" t="n"/>
      <c r="AC121" s="106" t="n"/>
      <c r="AD121" s="106" t="n"/>
      <c r="AE121" s="106" t="n"/>
      <c r="AF121" s="106" t="n"/>
      <c r="AG121" s="106" t="n"/>
      <c r="AH121" s="106" t="n"/>
      <c r="AI121" s="106" t="n"/>
      <c r="AJ121" s="106" t="n"/>
      <c r="AK121" s="106" t="n"/>
      <c r="AL121" s="106" t="n"/>
      <c r="AM121" s="106" t="n"/>
      <c r="AN121" s="106" t="n"/>
      <c r="AO121" s="106" t="n"/>
      <c r="AP121" s="106" t="n"/>
      <c r="AQ121" s="106" t="n"/>
      <c r="AR121" s="106" t="n"/>
      <c r="AS121" s="106" t="n"/>
    </row>
    <row r="122">
      <c r="A122" s="23" t="n">
        <v>42277</v>
      </c>
      <c r="B122" s="109" t="n">
        <v>16659.58</v>
      </c>
      <c r="C122" s="31">
        <f>(B122/B121-1)/(A122-A121)*30</f>
        <v/>
      </c>
      <c r="D122" s="25" t="n"/>
      <c r="E122" s="25" t="n"/>
      <c r="F122" s="25" t="n"/>
      <c r="O122" s="106" t="n"/>
      <c r="P122" s="106" t="n"/>
      <c r="Q122" s="106" t="n"/>
      <c r="R122" s="106" t="n"/>
      <c r="S122" s="106" t="n"/>
      <c r="T122" s="106" t="n"/>
      <c r="U122" s="106" t="n"/>
      <c r="V122" s="106" t="n"/>
      <c r="W122" s="106" t="n"/>
      <c r="X122" s="106" t="n"/>
      <c r="Y122" s="106" t="n"/>
      <c r="Z122" s="106" t="n"/>
      <c r="AA122" s="106" t="n"/>
      <c r="AC122" s="106" t="n"/>
      <c r="AD122" s="106" t="n"/>
      <c r="AE122" s="106" t="n"/>
      <c r="AF122" s="106" t="n"/>
      <c r="AG122" s="106" t="n"/>
      <c r="AH122" s="106" t="n"/>
      <c r="AI122" s="106" t="n"/>
      <c r="AJ122" s="106" t="n"/>
      <c r="AK122" s="106" t="n"/>
      <c r="AL122" s="106" t="n"/>
      <c r="AM122" s="106" t="n"/>
      <c r="AN122" s="106" t="n"/>
      <c r="AO122" s="106" t="n"/>
      <c r="AP122" s="106" t="n"/>
      <c r="AQ122" s="106" t="n"/>
      <c r="AR122" s="106" t="n"/>
      <c r="AS122" s="106" t="n"/>
    </row>
    <row r="123">
      <c r="A123" s="23" t="n">
        <v>42307</v>
      </c>
      <c r="B123" s="109" t="n">
        <v>16702.94</v>
      </c>
      <c r="C123" s="31">
        <f>(B123/B122-1)/(A123-A122)*30</f>
        <v/>
      </c>
      <c r="D123" s="25" t="n"/>
      <c r="E123" s="25" t="n"/>
      <c r="F123" s="25" t="n"/>
      <c r="O123" s="106" t="n"/>
      <c r="P123" s="106" t="n"/>
      <c r="Q123" s="106" t="n"/>
      <c r="R123" s="106" t="n"/>
      <c r="S123" s="106" t="n"/>
      <c r="T123" s="106" t="n"/>
      <c r="U123" s="106" t="n"/>
      <c r="V123" s="106" t="n"/>
      <c r="W123" s="106" t="n"/>
      <c r="X123" s="106" t="n"/>
      <c r="Y123" s="106" t="n"/>
      <c r="Z123" s="106" t="n"/>
      <c r="AA123" s="106" t="n"/>
      <c r="AC123" s="106" t="n"/>
      <c r="AD123" s="106" t="n"/>
      <c r="AE123" s="106" t="n"/>
      <c r="AF123" s="106" t="n"/>
      <c r="AG123" s="106" t="n"/>
      <c r="AH123" s="106" t="n"/>
      <c r="AI123" s="106" t="n"/>
      <c r="AJ123" s="106" t="n"/>
      <c r="AK123" s="106" t="n"/>
      <c r="AL123" s="106" t="n"/>
      <c r="AM123" s="106" t="n"/>
      <c r="AN123" s="106" t="n"/>
      <c r="AO123" s="106" t="n"/>
      <c r="AP123" s="106" t="n"/>
      <c r="AQ123" s="106" t="n"/>
      <c r="AR123" s="106" t="n"/>
      <c r="AS123" s="106" t="n"/>
    </row>
    <row r="124">
      <c r="A124" s="23" t="n">
        <v>42338</v>
      </c>
      <c r="B124" s="109" t="n">
        <v>16749.75</v>
      </c>
      <c r="C124" s="31">
        <f>(B124/B123-1)/(A124-A123)*30</f>
        <v/>
      </c>
      <c r="D124" s="25" t="n"/>
      <c r="E124" s="25" t="n"/>
      <c r="F124" s="23" t="n"/>
      <c r="O124" s="106" t="n"/>
      <c r="P124" s="106" t="n"/>
      <c r="Q124" s="106" t="n"/>
      <c r="R124" s="106" t="n"/>
      <c r="S124" s="106" t="n"/>
      <c r="T124" s="106" t="n"/>
      <c r="U124" s="106" t="n"/>
      <c r="V124" s="106" t="n"/>
      <c r="W124" s="106" t="n"/>
      <c r="X124" s="106" t="n"/>
      <c r="Y124" s="106" t="n"/>
      <c r="Z124" s="106" t="n"/>
      <c r="AA124" s="106" t="n"/>
      <c r="AC124" s="106" t="n"/>
      <c r="AD124" s="106" t="n"/>
      <c r="AE124" s="106" t="n"/>
      <c r="AF124" s="106" t="n"/>
      <c r="AG124" s="106" t="n"/>
      <c r="AH124" s="106" t="n"/>
      <c r="AI124" s="106" t="n"/>
      <c r="AJ124" s="106" t="n"/>
      <c r="AK124" s="106" t="n"/>
      <c r="AL124" s="106" t="n"/>
      <c r="AM124" s="106" t="n"/>
      <c r="AN124" s="106" t="n"/>
      <c r="AO124" s="106" t="n"/>
      <c r="AP124" s="106" t="n"/>
      <c r="AQ124" s="106" t="n"/>
      <c r="AR124" s="106" t="n"/>
      <c r="AS124" s="106" t="n"/>
    </row>
    <row r="125">
      <c r="A125" s="23" t="n">
        <v>42369</v>
      </c>
      <c r="B125" s="109" t="n">
        <v>16796.52</v>
      </c>
      <c r="C125" s="31">
        <f>(B125/B124-1)/(A125-A124)*30</f>
        <v/>
      </c>
      <c r="D125" s="25" t="n"/>
      <c r="E125" s="25" t="n"/>
      <c r="F125" s="23" t="n">
        <v>42369</v>
      </c>
      <c r="K125" s="106" t="n">
        <v>997.096492585025</v>
      </c>
      <c r="O125" s="106" t="n"/>
      <c r="P125" s="106" t="n"/>
      <c r="Q125" s="106" t="n"/>
      <c r="R125" s="106" t="n"/>
      <c r="S125" s="106" t="n"/>
      <c r="T125" s="106" t="n"/>
      <c r="U125" s="106" t="n"/>
      <c r="V125" s="106" t="n"/>
      <c r="W125" s="106" t="n"/>
      <c r="X125" s="106" t="n"/>
      <c r="Y125" s="106" t="n"/>
      <c r="Z125" s="106" t="n"/>
      <c r="AA125" s="106" t="n"/>
      <c r="AC125" s="106" t="n"/>
      <c r="AD125" s="106" t="n"/>
      <c r="AE125" s="106" t="n"/>
      <c r="AF125" s="106" t="n"/>
      <c r="AG125" s="106" t="n"/>
      <c r="AH125" s="106" t="n"/>
      <c r="AI125" s="106" t="n"/>
      <c r="AJ125" s="106" t="n"/>
      <c r="AK125" s="106" t="n"/>
      <c r="AL125" s="106" t="n"/>
      <c r="AM125" s="106" t="n"/>
      <c r="AN125" s="106" t="n"/>
      <c r="AO125" s="106" t="n"/>
      <c r="AP125" s="106" t="n"/>
      <c r="AQ125" s="106" t="n"/>
    </row>
    <row r="126">
      <c r="A126" s="23" t="n">
        <v>42398</v>
      </c>
      <c r="B126" s="109" t="n">
        <v>16845.59</v>
      </c>
      <c r="C126" s="31">
        <f>(B126/B125-1)/(A126-A125)*30</f>
        <v/>
      </c>
      <c r="D126" s="25" t="n"/>
      <c r="E126" s="25" t="n"/>
      <c r="F126" s="23" t="n">
        <v>42400</v>
      </c>
      <c r="K126" s="106" t="n">
        <v>999.91</v>
      </c>
      <c r="AC126" s="106" t="n"/>
      <c r="AD126" s="106" t="n"/>
      <c r="AE126" s="106" t="n"/>
      <c r="AF126" s="106" t="n"/>
      <c r="AG126" s="106" t="n"/>
      <c r="AH126" s="106" t="n"/>
      <c r="AI126" s="106" t="n"/>
      <c r="AJ126" s="106" t="n"/>
      <c r="AK126" s="106" t="n"/>
      <c r="AL126" s="106" t="n"/>
      <c r="AM126" s="106" t="n"/>
      <c r="AN126" s="106" t="n"/>
      <c r="AO126" s="106" t="n"/>
      <c r="AP126" s="106" t="n"/>
      <c r="AQ126" s="106" t="n"/>
    </row>
    <row r="127">
      <c r="A127" s="23" t="n">
        <v>42429</v>
      </c>
      <c r="B127" s="109" t="n">
        <v>16896.43</v>
      </c>
      <c r="C127" s="31">
        <f>(B127/B126-1)/(A127-A126)*30</f>
        <v/>
      </c>
      <c r="D127" s="25" t="n"/>
      <c r="E127" s="25" t="n"/>
      <c r="F127" s="23" t="n">
        <v>42428</v>
      </c>
      <c r="K127" s="106" t="n">
        <v>1003.0557</v>
      </c>
      <c r="AC127" s="106" t="n"/>
      <c r="AD127" s="106" t="n"/>
      <c r="AE127" s="106" t="n"/>
      <c r="AF127" s="106" t="n"/>
      <c r="AG127" s="106" t="n"/>
      <c r="AH127" s="106" t="n"/>
      <c r="AI127" s="106" t="n"/>
      <c r="AJ127" s="106" t="n"/>
      <c r="AK127" s="106" t="n"/>
      <c r="AL127" s="106" t="n"/>
      <c r="AM127" s="106" t="n"/>
      <c r="AN127" s="106" t="n"/>
      <c r="AO127" s="106" t="n"/>
      <c r="AP127" s="106" t="n"/>
      <c r="AQ127" s="106" t="n"/>
    </row>
    <row r="128">
      <c r="A128" s="23" t="n">
        <v>42460</v>
      </c>
      <c r="B128" s="109" t="n">
        <v>16947.43</v>
      </c>
      <c r="C128" s="31">
        <f>(B128/B127-1)/(A128-A127)*30</f>
        <v/>
      </c>
      <c r="D128" s="25" t="n"/>
      <c r="E128" s="25" t="n"/>
      <c r="F128" s="23" t="n">
        <v>42460</v>
      </c>
      <c r="K128" s="106" t="n">
        <v>1006.748</v>
      </c>
      <c r="AC128" s="106" t="n"/>
      <c r="AD128" s="106" t="n"/>
      <c r="AE128" s="106" t="n"/>
      <c r="AF128" s="106" t="n"/>
      <c r="AG128" s="106" t="n"/>
      <c r="AH128" s="106" t="n"/>
      <c r="AI128" s="106" t="n"/>
      <c r="AJ128" s="106" t="n"/>
      <c r="AK128" s="106" t="n"/>
      <c r="AL128" s="106" t="n"/>
      <c r="AM128" s="106" t="n"/>
      <c r="AN128" s="106" t="n"/>
      <c r="AO128" s="106" t="n"/>
      <c r="AP128" s="106" t="n"/>
      <c r="AQ128" s="106" t="n"/>
    </row>
    <row r="129">
      <c r="A129" s="23" t="n">
        <v>42489</v>
      </c>
      <c r="B129" s="109" t="n">
        <v>16995.27</v>
      </c>
      <c r="C129" s="31">
        <f>(B129/B128-1)/(A129-A128)*30</f>
        <v/>
      </c>
      <c r="D129" s="25" t="n"/>
      <c r="F129" s="23" t="n">
        <v>42490</v>
      </c>
      <c r="K129" s="106" t="n">
        <v>1010.1901</v>
      </c>
      <c r="AC129" s="106" t="n"/>
      <c r="AD129" s="106" t="n"/>
      <c r="AE129" s="106" t="n"/>
      <c r="AF129" s="106" t="n"/>
      <c r="AG129" s="106" t="n"/>
      <c r="AH129" s="106" t="n"/>
      <c r="AI129" s="106" t="n"/>
      <c r="AJ129" s="106" t="n"/>
      <c r="AK129" s="106" t="n"/>
      <c r="AL129" s="106" t="n"/>
      <c r="AM129" s="106" t="n"/>
      <c r="AN129" s="106" t="n"/>
      <c r="AO129" s="106" t="n"/>
      <c r="AP129" s="106" t="n"/>
      <c r="AQ129" s="106" t="n"/>
    </row>
    <row r="130">
      <c r="A130" s="23" t="n">
        <v>42521</v>
      </c>
      <c r="B130" s="109" t="n">
        <v>17048.23</v>
      </c>
      <c r="C130" s="31">
        <f>(B130/B129-1)/(A130-A129)*30</f>
        <v/>
      </c>
      <c r="D130" s="25" t="n"/>
      <c r="F130" s="23">
        <f>+A130</f>
        <v/>
      </c>
      <c r="G130" s="115" t="n"/>
      <c r="H130" s="115" t="n"/>
      <c r="J130" s="24" t="n"/>
      <c r="K130" s="106" t="n">
        <v>1013.6123</v>
      </c>
      <c r="L130" s="31">
        <f>+(K130/K129-1)/(F130-F129)*30</f>
        <v/>
      </c>
      <c r="AC130" s="106" t="n"/>
      <c r="AD130" s="106" t="n"/>
      <c r="AE130" s="106" t="n"/>
      <c r="AF130" s="106" t="n"/>
      <c r="AG130" s="106" t="n"/>
      <c r="AH130" s="106" t="n"/>
      <c r="AI130" s="106" t="n"/>
      <c r="AJ130" s="106" t="n"/>
      <c r="AK130" s="106" t="n"/>
      <c r="AL130" s="106" t="n"/>
      <c r="AM130" s="106" t="n"/>
      <c r="AN130" s="106" t="n"/>
      <c r="AO130" s="106" t="n"/>
      <c r="AP130" s="106" t="n"/>
      <c r="AQ130" s="106" t="n"/>
    </row>
    <row r="131">
      <c r="A131" s="23" t="n">
        <v>42551</v>
      </c>
      <c r="B131" s="109" t="n">
        <v>17098.02</v>
      </c>
      <c r="C131" s="31">
        <f>(B131/B130-1)/(A131-A130)*30</f>
        <v/>
      </c>
      <c r="D131" s="25" t="n"/>
      <c r="F131" s="23">
        <f>+A131</f>
        <v/>
      </c>
      <c r="H131" s="115" t="n"/>
      <c r="I131" s="31" t="n"/>
      <c r="J131" s="24" t="n"/>
      <c r="K131" s="106" t="n">
        <v>1016.7787</v>
      </c>
      <c r="L131" s="31">
        <f>+(K131/K130-1)/(F131-F130)*30</f>
        <v/>
      </c>
      <c r="M131" s="25" t="n"/>
      <c r="AC131" s="106" t="n"/>
      <c r="AD131" s="106" t="n"/>
      <c r="AE131" s="106" t="n"/>
      <c r="AF131" s="106" t="n"/>
      <c r="AG131" s="106" t="n"/>
      <c r="AH131" s="106" t="n"/>
      <c r="AI131" s="106" t="n"/>
      <c r="AJ131" s="106" t="n"/>
      <c r="AK131" s="106" t="n"/>
      <c r="AL131" s="106" t="n"/>
      <c r="AM131" s="106" t="n"/>
      <c r="AN131" s="106" t="n"/>
      <c r="AO131" s="106" t="n"/>
      <c r="AP131" s="106" t="n"/>
      <c r="AQ131" s="106" t="n"/>
    </row>
    <row r="132">
      <c r="A132" s="23" t="n">
        <v>42582</v>
      </c>
      <c r="B132" s="116" t="n">
        <v>17149.23</v>
      </c>
      <c r="C132" s="31">
        <f>(B132/B131-1)/(A132-A131)*30</f>
        <v/>
      </c>
      <c r="D132" s="25" t="n"/>
      <c r="F132" s="23">
        <f>+A132</f>
        <v/>
      </c>
      <c r="H132" s="115" t="n"/>
      <c r="I132" s="31" t="n"/>
      <c r="J132" s="24" t="n"/>
      <c r="K132" s="106" t="n">
        <v>1020.0427</v>
      </c>
      <c r="L132" s="31">
        <f>+(K132/K131-1)/(F132-F131)*30</f>
        <v/>
      </c>
      <c r="M132" s="25" t="n"/>
      <c r="AC132" s="106" t="n"/>
      <c r="AD132" s="106" t="n"/>
      <c r="AE132" s="106" t="n"/>
      <c r="AF132" s="106" t="n"/>
      <c r="AG132" s="106" t="n"/>
      <c r="AH132" s="106" t="n"/>
      <c r="AI132" s="106" t="n"/>
      <c r="AJ132" s="106" t="n"/>
      <c r="AK132" s="106" t="n"/>
      <c r="AL132" s="106" t="n"/>
      <c r="AM132" s="106" t="n"/>
      <c r="AN132" s="106" t="n"/>
      <c r="AO132" s="106" t="n"/>
      <c r="AP132" s="106" t="n"/>
      <c r="AQ132" s="106" t="n"/>
    </row>
    <row r="133">
      <c r="A133" s="23" t="n">
        <v>42613</v>
      </c>
      <c r="B133" s="109" t="n">
        <v>17201.38</v>
      </c>
      <c r="C133" s="31">
        <f>(B133/B132-1)/(A133-A132)*30</f>
        <v/>
      </c>
      <c r="D133" s="25" t="n"/>
      <c r="F133" s="23">
        <f>+A133</f>
        <v/>
      </c>
      <c r="H133" s="115" t="n"/>
      <c r="I133" s="31" t="n"/>
      <c r="J133" s="24" t="n"/>
      <c r="K133" s="106" t="n">
        <v>1023.2554</v>
      </c>
      <c r="L133" s="31">
        <f>+(K133/K132-1)/(F133-F132)*30</f>
        <v/>
      </c>
      <c r="M133" s="25" t="n"/>
      <c r="AC133" s="106" t="n"/>
      <c r="AD133" s="106" t="n"/>
      <c r="AE133" s="106" t="n"/>
      <c r="AF133" s="106" t="n"/>
      <c r="AG133" s="106" t="n"/>
      <c r="AH133" s="106" t="n"/>
      <c r="AI133" s="106" t="n"/>
      <c r="AJ133" s="106" t="n"/>
      <c r="AK133" s="106" t="n"/>
      <c r="AL133" s="106" t="n"/>
      <c r="AM133" s="106" t="n"/>
      <c r="AN133" s="106" t="n"/>
      <c r="AO133" s="106" t="n"/>
      <c r="AP133" s="106" t="n"/>
      <c r="AQ133" s="106" t="n"/>
    </row>
    <row r="134">
      <c r="A134" s="23">
        <f>+A133+30</f>
        <v/>
      </c>
      <c r="B134" s="109" t="n">
        <v>17251.61</v>
      </c>
      <c r="C134" s="31">
        <f>(B134/B133-1)/(A134-A133)*30</f>
        <v/>
      </c>
      <c r="D134" s="25" t="n"/>
      <c r="F134" s="23">
        <f>+A134</f>
        <v/>
      </c>
      <c r="H134" s="115" t="n"/>
      <c r="I134" s="31" t="n"/>
      <c r="J134" s="24" t="n"/>
      <c r="K134" s="106" t="n">
        <v>1026.3402</v>
      </c>
      <c r="L134" s="31">
        <f>+(K134/K133-1)/(F134-F133)*30</f>
        <v/>
      </c>
      <c r="M134" s="25" t="n"/>
      <c r="AC134" s="106" t="n"/>
      <c r="AD134" s="106" t="n"/>
      <c r="AE134" s="106" t="n"/>
      <c r="AF134" s="106" t="n"/>
      <c r="AG134" s="106" t="n"/>
      <c r="AH134" s="106" t="n"/>
      <c r="AI134" s="106" t="n"/>
      <c r="AJ134" s="106" t="n"/>
      <c r="AK134" s="106" t="n"/>
      <c r="AL134" s="106" t="n"/>
      <c r="AM134" s="106" t="n"/>
      <c r="AN134" s="106" t="n"/>
      <c r="AO134" s="106" t="n"/>
      <c r="AP134" s="106" t="n"/>
      <c r="AQ134" s="106" t="n"/>
    </row>
    <row r="135">
      <c r="A135" s="23" t="n">
        <v>42674</v>
      </c>
      <c r="B135" s="109" t="n">
        <v>17303.68</v>
      </c>
      <c r="C135" s="31">
        <f>(B135/B134-1)/(A135-A134)*30</f>
        <v/>
      </c>
      <c r="D135" s="25" t="n"/>
      <c r="F135" s="23">
        <f>+A135</f>
        <v/>
      </c>
      <c r="H135" s="115" t="n"/>
      <c r="I135" s="31" t="n"/>
      <c r="J135" s="24" t="n"/>
      <c r="K135" s="106" t="n">
        <v>1029.5221</v>
      </c>
      <c r="L135" s="31">
        <f>+(K135/K134-1)/(F135-F134)*30</f>
        <v/>
      </c>
      <c r="M135" s="25" t="n"/>
      <c r="AC135" s="106" t="n"/>
      <c r="AD135" s="106" t="n"/>
      <c r="AE135" s="106" t="n"/>
      <c r="AF135" s="106" t="n"/>
      <c r="AG135" s="106" t="n"/>
      <c r="AH135" s="106" t="n"/>
      <c r="AI135" s="106" t="n"/>
      <c r="AJ135" s="106" t="n"/>
      <c r="AK135" s="106" t="n"/>
      <c r="AL135" s="106" t="n"/>
      <c r="AM135" s="106" t="n"/>
      <c r="AN135" s="106" t="n"/>
      <c r="AO135" s="106" t="n"/>
      <c r="AP135" s="106" t="n"/>
      <c r="AQ135" s="106" t="n"/>
    </row>
    <row r="136">
      <c r="A136" s="23" t="n">
        <v>42704</v>
      </c>
      <c r="B136" s="109" t="n">
        <v>17354.21</v>
      </c>
      <c r="C136" s="31">
        <f>(B136/B135-1)/(A136-A135)*30</f>
        <v/>
      </c>
      <c r="D136" s="25" t="n"/>
      <c r="F136" s="23">
        <f>+A136</f>
        <v/>
      </c>
      <c r="H136" s="115" t="n"/>
      <c r="I136" s="31" t="n"/>
      <c r="J136" s="24" t="n"/>
      <c r="K136" s="106" t="n">
        <v>1032.6171</v>
      </c>
      <c r="L136" s="31">
        <f>+(K136/K135-1)/(F136-F135)*30</f>
        <v/>
      </c>
      <c r="M136" s="25" t="n"/>
      <c r="AC136" s="106" t="n"/>
      <c r="AD136" s="106" t="n"/>
      <c r="AE136" s="106" t="n"/>
      <c r="AF136" s="106" t="n"/>
      <c r="AG136" s="106" t="n"/>
      <c r="AH136" s="106" t="n"/>
      <c r="AI136" s="106" t="n"/>
      <c r="AJ136" s="106" t="n"/>
      <c r="AK136" s="106" t="n"/>
      <c r="AL136" s="106" t="n"/>
      <c r="AM136" s="106" t="n"/>
      <c r="AN136" s="106" t="n"/>
      <c r="AO136" s="106" t="n"/>
      <c r="AP136" s="106" t="n"/>
      <c r="AQ136" s="106" t="n"/>
    </row>
    <row r="137">
      <c r="A137" s="23" t="n">
        <v>42735</v>
      </c>
      <c r="B137" s="109" t="n">
        <v>17406.97</v>
      </c>
      <c r="C137" s="31">
        <f>(B137/B136-1)/(A137-A136)*30</f>
        <v/>
      </c>
      <c r="D137" s="25" t="n"/>
      <c r="F137" s="23">
        <f>+A137</f>
        <v/>
      </c>
      <c r="H137" s="115" t="n"/>
      <c r="I137" s="31" t="n"/>
      <c r="J137" s="24" t="n"/>
      <c r="K137" s="106" t="n">
        <v>1035.8294</v>
      </c>
      <c r="L137" s="31">
        <f>+(K137/K136-1)/(F137-F136)*30</f>
        <v/>
      </c>
      <c r="M137" s="25" t="n"/>
      <c r="AC137" s="106" t="n"/>
      <c r="AD137" s="106" t="n"/>
      <c r="AE137" s="106" t="n"/>
      <c r="AF137" s="106" t="n"/>
      <c r="AG137" s="106" t="n"/>
      <c r="AH137" s="106" t="n"/>
      <c r="AI137" s="106" t="n"/>
      <c r="AJ137" s="106" t="n"/>
      <c r="AK137" s="106" t="n"/>
      <c r="AL137" s="106" t="n"/>
      <c r="AM137" s="106" t="n"/>
      <c r="AN137" s="106" t="n"/>
      <c r="AO137" s="106" t="n"/>
      <c r="AP137" s="106" t="n"/>
      <c r="AQ137" s="106" t="n"/>
    </row>
    <row r="138">
      <c r="A138" s="23" t="n">
        <v>42766</v>
      </c>
      <c r="B138" s="109" t="n">
        <v>17457.39</v>
      </c>
      <c r="C138" s="31">
        <f>(B138/B137-1)/(A138-A137)*30</f>
        <v/>
      </c>
      <c r="D138" s="25" t="n"/>
      <c r="F138" s="23">
        <f>+A138</f>
        <v/>
      </c>
      <c r="I138" s="31" t="n"/>
      <c r="J138" s="24" t="n"/>
      <c r="K138" s="106" t="n">
        <v>1039.2621</v>
      </c>
      <c r="L138" s="31">
        <f>+(K138/K137-1)/(F138-F137)*30</f>
        <v/>
      </c>
      <c r="M138" s="25" t="n"/>
      <c r="AC138" s="106" t="n"/>
      <c r="AD138" s="106" t="n"/>
      <c r="AE138" s="106" t="n"/>
      <c r="AF138" s="106" t="n"/>
      <c r="AG138" s="106" t="n"/>
      <c r="AH138" s="106" t="n"/>
      <c r="AI138" s="106" t="n"/>
      <c r="AJ138" s="106" t="n"/>
      <c r="AK138" s="106" t="n"/>
      <c r="AL138" s="106" t="n"/>
      <c r="AM138" s="106" t="n"/>
      <c r="AN138" s="106" t="n"/>
      <c r="AO138" s="106" t="n"/>
      <c r="AP138" s="106" t="n"/>
      <c r="AQ138" s="106" t="n"/>
    </row>
    <row r="139">
      <c r="A139" s="23" t="n">
        <v>42794</v>
      </c>
      <c r="B139" s="109" t="n">
        <v>17501.06</v>
      </c>
      <c r="C139" s="31">
        <f>(B139/B138-1)/(A139-A138)*30</f>
        <v/>
      </c>
      <c r="D139" s="25" t="n"/>
      <c r="F139" s="23">
        <f>+A139</f>
        <v/>
      </c>
      <c r="I139" s="31" t="n"/>
      <c r="J139" s="24" t="n"/>
      <c r="K139" s="106" t="n">
        <v>1042.1611</v>
      </c>
      <c r="L139" s="31">
        <f>+(K139/K138-1)/(F139-F138)*30</f>
        <v/>
      </c>
      <c r="M139" s="25" t="n"/>
      <c r="AC139" s="106" t="n"/>
      <c r="AD139" s="106" t="n"/>
      <c r="AE139" s="106" t="n"/>
      <c r="AF139" s="106" t="n"/>
      <c r="AG139" s="106" t="n"/>
      <c r="AH139" s="106" t="n"/>
      <c r="AI139" s="106" t="n"/>
      <c r="AJ139" s="106" t="n"/>
      <c r="AK139" s="106" t="n"/>
      <c r="AL139" s="106" t="n"/>
      <c r="AM139" s="106" t="n"/>
      <c r="AN139" s="106" t="n"/>
      <c r="AO139" s="106" t="n"/>
      <c r="AP139" s="106" t="n"/>
      <c r="AQ139" s="106" t="n"/>
    </row>
    <row r="140">
      <c r="A140" s="23" t="n">
        <v>42825</v>
      </c>
      <c r="B140" s="109" t="n">
        <v>17548.35</v>
      </c>
      <c r="C140" s="31">
        <f>(B140/B139-1)/(A140-A139)*30</f>
        <v/>
      </c>
      <c r="D140" s="25" t="n"/>
      <c r="F140" s="23">
        <f>+A140</f>
        <v/>
      </c>
      <c r="I140" s="31" t="n"/>
      <c r="J140" s="24" t="n"/>
      <c r="K140" s="106" t="n">
        <v>1045.2075</v>
      </c>
      <c r="L140" s="31">
        <f>+(K140/K139-1)/(F140-F139)*30</f>
        <v/>
      </c>
      <c r="M140" s="25" t="n"/>
      <c r="AC140" s="106" t="n"/>
      <c r="AD140" s="106" t="n"/>
      <c r="AE140" s="106" t="n"/>
      <c r="AF140" s="106" t="n"/>
      <c r="AG140" s="106" t="n"/>
      <c r="AH140" s="106" t="n"/>
      <c r="AI140" s="106" t="n"/>
      <c r="AJ140" s="106" t="n"/>
      <c r="AK140" s="106" t="n"/>
      <c r="AL140" s="106" t="n"/>
      <c r="AM140" s="106" t="n"/>
      <c r="AN140" s="106" t="n"/>
      <c r="AO140" s="106" t="n"/>
      <c r="AP140" s="106" t="n"/>
      <c r="AQ140" s="106" t="n"/>
    </row>
    <row r="141">
      <c r="A141" s="23" t="n">
        <v>42855</v>
      </c>
      <c r="B141" s="109" t="n">
        <v>17587.92</v>
      </c>
      <c r="C141" s="31">
        <f>(B141/B140-1)/(A141-A140)*30</f>
        <v/>
      </c>
      <c r="D141" s="25" t="n"/>
      <c r="F141" s="23">
        <f>+A141</f>
        <v/>
      </c>
      <c r="I141" s="31" t="n"/>
      <c r="J141" s="24" t="n"/>
      <c r="K141" s="106" t="n">
        <v>1047.9294</v>
      </c>
      <c r="L141" s="31">
        <f>+(K141/K140-1)/(F141-F140)*30</f>
        <v/>
      </c>
      <c r="M141" s="25" t="n"/>
      <c r="AC141" s="106" t="n"/>
      <c r="AD141" s="106" t="n"/>
      <c r="AE141" s="106" t="n"/>
      <c r="AF141" s="106" t="n"/>
      <c r="AG141" s="106" t="n"/>
      <c r="AH141" s="106" t="n"/>
      <c r="AI141" s="106" t="n"/>
      <c r="AJ141" s="106" t="n"/>
      <c r="AK141" s="106" t="n"/>
      <c r="AL141" s="106" t="n"/>
      <c r="AM141" s="106" t="n"/>
      <c r="AN141" s="106" t="n"/>
      <c r="AO141" s="106" t="n"/>
      <c r="AP141" s="106" t="n"/>
      <c r="AQ141" s="106" t="n"/>
    </row>
    <row r="142">
      <c r="A142" s="23" t="n">
        <v>42886</v>
      </c>
      <c r="B142" s="109" t="n">
        <v>17630.79</v>
      </c>
      <c r="C142" s="31">
        <f>(B142/B141-1)/(A142-A141)*30</f>
        <v/>
      </c>
      <c r="D142" s="25" t="n"/>
      <c r="F142" s="23">
        <f>+A142</f>
        <v/>
      </c>
      <c r="I142" s="31" t="n"/>
      <c r="J142" s="24" t="n"/>
      <c r="K142" s="106" t="n">
        <v>1050.5427</v>
      </c>
      <c r="L142" s="31">
        <f>+(K142/K141-1)/(F142-F141)*30</f>
        <v/>
      </c>
      <c r="M142" s="25" t="n"/>
      <c r="AC142" s="106" t="n"/>
      <c r="AD142" s="106" t="n"/>
      <c r="AE142" s="106" t="n"/>
      <c r="AF142" s="106" t="n"/>
      <c r="AG142" s="106" t="n"/>
      <c r="AH142" s="106" t="n"/>
      <c r="AI142" s="106" t="n"/>
      <c r="AJ142" s="106" t="n"/>
      <c r="AK142" s="106" t="n"/>
      <c r="AL142" s="106" t="n"/>
      <c r="AM142" s="106" t="n"/>
      <c r="AN142" s="106" t="n"/>
      <c r="AO142" s="106" t="n"/>
      <c r="AP142" s="106" t="n"/>
      <c r="AQ142" s="106" t="n"/>
    </row>
    <row r="143">
      <c r="A143" s="23" t="n">
        <v>42916</v>
      </c>
      <c r="B143" s="109" t="n">
        <v>17667.59</v>
      </c>
      <c r="C143" s="31">
        <f>(B143/B142-1)/(A143-A142)*30</f>
        <v/>
      </c>
      <c r="D143" s="25" t="n"/>
      <c r="F143" s="23">
        <f>+A143</f>
        <v/>
      </c>
      <c r="I143" s="31" t="n"/>
      <c r="J143" s="24" t="n"/>
      <c r="K143" s="106" t="n">
        <v>1052.9694</v>
      </c>
      <c r="L143" s="31">
        <f>+(K143/K142-1)/(F143-F142)*30</f>
        <v/>
      </c>
      <c r="M143" s="25" t="n"/>
      <c r="AC143" s="106" t="n"/>
      <c r="AD143" s="106" t="n"/>
      <c r="AE143" s="106" t="n"/>
      <c r="AF143" s="106" t="n"/>
      <c r="AG143" s="106" t="n"/>
      <c r="AH143" s="106" t="n"/>
      <c r="AI143" s="106" t="n"/>
      <c r="AJ143" s="106" t="n"/>
      <c r="AK143" s="106" t="n"/>
      <c r="AL143" s="106" t="n"/>
      <c r="AM143" s="106" t="n"/>
      <c r="AN143" s="106" t="n"/>
      <c r="AO143" s="106" t="n"/>
      <c r="AP143" s="106" t="n"/>
      <c r="AQ143" s="106" t="n"/>
    </row>
    <row r="144">
      <c r="A144" s="23" t="n">
        <v>42947</v>
      </c>
      <c r="B144" s="109" t="n">
        <v>17705.69</v>
      </c>
      <c r="C144" s="31">
        <f>(B144/B143-1)/(A144-A143)*30</f>
        <v/>
      </c>
      <c r="D144" s="25" t="n"/>
      <c r="F144" s="23">
        <f>+A144</f>
        <v/>
      </c>
      <c r="I144" s="31" t="n"/>
      <c r="J144" s="24" t="n"/>
      <c r="K144" s="106" t="n">
        <v>1055.2846</v>
      </c>
      <c r="L144" s="31">
        <f>+(K144/K143-1)/(F144-F143)*30</f>
        <v/>
      </c>
      <c r="M144" s="25" t="n"/>
      <c r="AC144" s="106" t="n"/>
      <c r="AD144" s="106" t="n"/>
      <c r="AE144" s="106" t="n"/>
      <c r="AF144" s="106" t="n"/>
      <c r="AG144" s="106" t="n"/>
      <c r="AH144" s="106" t="n"/>
      <c r="AI144" s="106" t="n"/>
      <c r="AJ144" s="106" t="n"/>
      <c r="AK144" s="106" t="n"/>
      <c r="AL144" s="106" t="n"/>
      <c r="AM144" s="106" t="n"/>
      <c r="AN144" s="106" t="n"/>
      <c r="AO144" s="106" t="n"/>
      <c r="AP144" s="106" t="n"/>
      <c r="AQ144" s="106" t="n"/>
    </row>
    <row r="145">
      <c r="A145" s="23" t="n">
        <v>42978</v>
      </c>
      <c r="B145" s="109" t="n">
        <v>17743.83</v>
      </c>
      <c r="C145" s="31">
        <f>(B145/B144-1)/(A145-A144)*30</f>
        <v/>
      </c>
      <c r="D145" s="25" t="n"/>
      <c r="F145" s="23">
        <f>+A145</f>
        <v/>
      </c>
      <c r="I145" s="31" t="n"/>
      <c r="J145" s="24" t="n"/>
      <c r="K145" s="106" t="n">
        <v>1057.4719</v>
      </c>
      <c r="L145" s="31">
        <f>+(K145/K144-1)/(F145-F144)*30</f>
        <v/>
      </c>
      <c r="M145" s="25" t="n"/>
      <c r="AD145" s="106" t="n"/>
      <c r="AE145" s="106" t="n"/>
      <c r="AF145" s="106" t="n"/>
      <c r="AG145" s="106" t="n"/>
      <c r="AH145" s="106" t="n"/>
      <c r="AI145" s="106" t="n"/>
      <c r="AJ145" s="106" t="n"/>
      <c r="AK145" s="106" t="n"/>
      <c r="AL145" s="106" t="n"/>
      <c r="AM145" s="106" t="n"/>
      <c r="AN145" s="106" t="n"/>
      <c r="AO145" s="106" t="n"/>
      <c r="AP145" s="106" t="n"/>
      <c r="AQ145" s="106" t="n"/>
    </row>
    <row r="146">
      <c r="A146" s="23" t="n">
        <v>43008</v>
      </c>
      <c r="B146" s="109" t="n">
        <v>17780.7817</v>
      </c>
      <c r="C146" s="31">
        <f>(B146/B145-1)/(A146-A145)*30</f>
        <v/>
      </c>
      <c r="D146" s="25" t="n"/>
      <c r="F146" s="23" t="n">
        <v>43008</v>
      </c>
      <c r="I146" s="31" t="n"/>
      <c r="J146" s="24" t="n"/>
      <c r="K146" s="106" t="n">
        <v>1059.5996</v>
      </c>
      <c r="L146" s="31">
        <f>+(K146/K145-1)/(F146-F145)*30</f>
        <v/>
      </c>
      <c r="M146" s="25" t="n"/>
    </row>
    <row r="147">
      <c r="A147" s="23" t="n">
        <v>43039</v>
      </c>
      <c r="B147" s="9" t="n">
        <v>17819.15</v>
      </c>
      <c r="C147" s="31">
        <f>(B147/B146-1)/(A147-A146)*30</f>
        <v/>
      </c>
      <c r="D147" s="25" t="n"/>
      <c r="F147" s="23" t="n">
        <v>43039</v>
      </c>
      <c r="I147" s="31" t="n"/>
      <c r="J147" s="24" t="n"/>
      <c r="K147" s="106" t="n">
        <v>1061.7911</v>
      </c>
      <c r="L147" s="31">
        <f>+(K147/K146-1)/(F147-F146)*30</f>
        <v/>
      </c>
      <c r="M147" s="25" t="n"/>
      <c r="S147" s="9" t="inlineStr">
        <is>
          <t>DIVIDENDO 2023</t>
        </is>
      </c>
    </row>
    <row r="148">
      <c r="A148" s="23" t="n">
        <v>43069</v>
      </c>
      <c r="B148" s="9">
        <f>+VLOOKUP(A148,[2]Simple!$A$3790:$B$3818,2)</f>
        <v/>
      </c>
      <c r="C148" s="31">
        <f>(B148/B147-1)/(A148-A147)*30</f>
        <v/>
      </c>
      <c r="D148" s="25" t="n"/>
      <c r="F148" s="23" t="n">
        <v>43069</v>
      </c>
      <c r="I148" s="31" t="n"/>
      <c r="J148" s="24" t="n"/>
      <c r="K148" s="106" t="n"/>
      <c r="L148" s="31" t="n"/>
      <c r="M148" s="25" t="n"/>
      <c r="S148" s="9" t="n">
        <v>2.08</v>
      </c>
    </row>
    <row r="149">
      <c r="A149" s="23" t="n">
        <v>43100</v>
      </c>
      <c r="B149" s="9">
        <f>+VLOOKUP(A149,[2]Simple!$A$3790:$B$3818,2)</f>
        <v/>
      </c>
      <c r="C149" s="31">
        <f>(B149/B148-1)/(A149-A148)*30</f>
        <v/>
      </c>
      <c r="D149" s="25" t="n"/>
      <c r="F149" s="23" t="n">
        <v>43100</v>
      </c>
      <c r="I149" s="31" t="n"/>
      <c r="J149" s="24" t="n"/>
      <c r="K149" s="106" t="n"/>
      <c r="L149" s="31" t="n"/>
      <c r="M149" s="25" t="n"/>
      <c r="Q149" s="106">
        <f>+G137+S148</f>
        <v/>
      </c>
      <c r="S149" s="9" t="inlineStr">
        <is>
          <t>Dividendo 2017</t>
        </is>
      </c>
    </row>
    <row r="150">
      <c r="A150" s="23" t="n">
        <v>43131</v>
      </c>
      <c r="B150" s="9" t="n">
        <v>17933.28</v>
      </c>
      <c r="C150" s="31">
        <f>(B150/B149-1)/(A150-A149)*30</f>
        <v/>
      </c>
      <c r="D150" s="25" t="n"/>
      <c r="F150" s="23" t="n">
        <v>43131</v>
      </c>
      <c r="I150" s="31" t="n"/>
      <c r="J150" s="24" t="n"/>
      <c r="K150" s="106" t="n"/>
      <c r="L150" s="31" t="n"/>
      <c r="M150" s="25" t="n"/>
    </row>
    <row r="151">
      <c r="A151" s="23" t="n">
        <v>43159</v>
      </c>
      <c r="B151" s="9" t="n">
        <v>17968.11</v>
      </c>
      <c r="C151" s="31">
        <f>(B151/B150-1)/(A151-A150)*30</f>
        <v/>
      </c>
      <c r="D151" s="25" t="n"/>
      <c r="F151" s="23" t="n">
        <v>43159</v>
      </c>
      <c r="I151" s="31" t="n"/>
      <c r="J151" s="24" t="n"/>
      <c r="K151" s="106" t="n"/>
      <c r="L151" s="31" t="n"/>
      <c r="M151" s="25" t="n"/>
      <c r="S151" s="9" t="inlineStr">
        <is>
          <t>Dividendo 2018</t>
        </is>
      </c>
    </row>
    <row r="152">
      <c r="A152" s="23" t="n">
        <v>43190</v>
      </c>
      <c r="B152" s="9" t="n">
        <v>18006.83</v>
      </c>
      <c r="C152" s="31">
        <f>(B152/B151-1)/(A152-A151)*30</f>
        <v/>
      </c>
      <c r="D152" s="25" t="n"/>
      <c r="F152" s="23" t="n">
        <v>43190</v>
      </c>
      <c r="I152" s="31" t="n"/>
      <c r="J152" s="24" t="n"/>
      <c r="K152" s="106" t="n"/>
      <c r="L152" s="31" t="n"/>
      <c r="M152" s="25" t="n"/>
    </row>
    <row r="153">
      <c r="A153" s="23" t="n">
        <v>43220</v>
      </c>
      <c r="C153" s="31" t="n"/>
      <c r="D153" s="25" t="n"/>
      <c r="F153" s="23" t="n">
        <v>43220</v>
      </c>
      <c r="I153" s="31" t="n"/>
      <c r="J153" s="24" t="n"/>
      <c r="K153" s="106" t="n"/>
      <c r="L153" s="31" t="n"/>
      <c r="M153" s="25" t="n"/>
      <c r="S153" s="9" t="inlineStr">
        <is>
          <t>Dividendo 2018</t>
        </is>
      </c>
    </row>
    <row r="154">
      <c r="A154" s="23" t="n">
        <v>43251</v>
      </c>
      <c r="B154" s="24" t="n"/>
      <c r="C154" s="31" t="n"/>
      <c r="D154" s="25" t="n"/>
      <c r="F154" s="23" t="n">
        <v>43251</v>
      </c>
      <c r="I154" s="31" t="n"/>
      <c r="J154" s="24" t="n"/>
      <c r="K154" s="106" t="n"/>
      <c r="L154" s="31" t="n"/>
      <c r="M154" s="25" t="n"/>
    </row>
    <row r="155">
      <c r="A155" s="23" t="n">
        <v>43281</v>
      </c>
      <c r="B155" s="25" t="n"/>
      <c r="C155" s="31" t="n"/>
      <c r="D155" s="25" t="n"/>
      <c r="F155" s="23" t="n">
        <v>43281</v>
      </c>
      <c r="I155" s="31" t="n"/>
      <c r="J155" s="24" t="n"/>
      <c r="L155" s="31" t="n"/>
      <c r="M155" s="25" t="n"/>
      <c r="S155" s="9" t="inlineStr">
        <is>
          <t>Dividendo 2021</t>
        </is>
      </c>
    </row>
    <row r="156">
      <c r="A156" s="23" t="n">
        <v>43312</v>
      </c>
      <c r="B156" s="24" t="n"/>
      <c r="C156" s="31" t="n"/>
      <c r="D156" s="25" t="n"/>
      <c r="F156" s="23" t="n">
        <v>43312</v>
      </c>
      <c r="I156" s="31" t="n"/>
      <c r="J156" s="24" t="n"/>
      <c r="L156" s="31" t="n"/>
      <c r="M156" s="25" t="n"/>
      <c r="S156" s="9" t="n">
        <v>0</v>
      </c>
    </row>
    <row r="157">
      <c r="A157" s="23" t="n">
        <v>43343</v>
      </c>
      <c r="B157" s="24" t="n"/>
      <c r="C157" s="31" t="n"/>
      <c r="D157" s="25" t="n"/>
      <c r="F157" s="23" t="n">
        <v>43343</v>
      </c>
      <c r="I157" s="31" t="n"/>
      <c r="J157" s="24" t="n"/>
      <c r="L157" s="31" t="n"/>
      <c r="M157" s="25" t="n"/>
      <c r="S157" s="9" t="inlineStr">
        <is>
          <t>Dividendo 2022</t>
        </is>
      </c>
      <c r="AR157" s="62" t="n"/>
    </row>
    <row r="158">
      <c r="A158" s="23" t="n">
        <v>43373</v>
      </c>
      <c r="B158" s="117" t="n"/>
      <c r="C158" s="31" t="n"/>
      <c r="D158" s="25" t="n"/>
      <c r="F158" s="23" t="n">
        <v>43373</v>
      </c>
      <c r="I158" s="31" t="n"/>
      <c r="J158" s="24" t="n"/>
      <c r="L158" s="31" t="n"/>
      <c r="M158" s="25" t="n"/>
      <c r="S158" s="9" t="n">
        <v>0</v>
      </c>
    </row>
    <row r="159">
      <c r="A159" s="23" t="n">
        <v>43404</v>
      </c>
      <c r="C159" s="31" t="n"/>
      <c r="D159" s="25" t="n"/>
      <c r="F159" s="23" t="n">
        <v>43404</v>
      </c>
      <c r="I159" s="31" t="n"/>
      <c r="J159" s="24" t="n"/>
      <c r="L159" s="31" t="n"/>
      <c r="M159" s="25" t="n"/>
    </row>
    <row r="160">
      <c r="A160" s="23" t="n">
        <v>43434</v>
      </c>
      <c r="B160" s="25" t="n"/>
      <c r="C160" s="31" t="n"/>
      <c r="D160" s="25" t="n"/>
      <c r="F160" s="23" t="n">
        <v>43434</v>
      </c>
      <c r="I160" s="31" t="n"/>
      <c r="J160" s="24" t="n"/>
      <c r="K160" s="24" t="n"/>
      <c r="L160" s="31" t="n"/>
      <c r="M160" s="25" t="n"/>
    </row>
    <row r="161">
      <c r="A161" s="23" t="n">
        <v>43465</v>
      </c>
      <c r="C161" s="31" t="n"/>
      <c r="D161" s="25" t="n"/>
      <c r="F161" s="23" t="n">
        <v>43465</v>
      </c>
      <c r="I161" s="31" t="n"/>
      <c r="J161" s="24" t="n"/>
      <c r="K161" s="24" t="n"/>
      <c r="L161" s="31" t="n"/>
      <c r="M161" s="25" t="n"/>
    </row>
    <row r="162">
      <c r="A162" s="23" t="n">
        <v>43496</v>
      </c>
      <c r="C162" s="31" t="n"/>
      <c r="D162" s="25" t="n"/>
      <c r="F162" s="23" t="n">
        <v>43496</v>
      </c>
      <c r="I162" s="31" t="n"/>
      <c r="J162" s="24" t="n"/>
      <c r="L162" s="31" t="n"/>
      <c r="M162" s="25" t="n"/>
    </row>
    <row r="163">
      <c r="A163" s="23" t="n">
        <v>43524</v>
      </c>
      <c r="C163" s="31" t="n"/>
      <c r="D163" s="25" t="n"/>
      <c r="F163" s="23" t="n">
        <v>43524</v>
      </c>
      <c r="I163" s="31" t="n"/>
      <c r="J163" s="24" t="n"/>
      <c r="L163" s="31" t="n"/>
      <c r="M163" s="25" t="n"/>
    </row>
    <row r="164">
      <c r="A164" s="23" t="n">
        <v>43555</v>
      </c>
      <c r="C164" s="31" t="n"/>
      <c r="D164" s="25" t="n"/>
      <c r="F164" s="23" t="n">
        <v>43555</v>
      </c>
      <c r="I164" s="31" t="n"/>
      <c r="J164" s="24" t="n"/>
      <c r="K164" s="24" t="n"/>
      <c r="L164" s="31" t="n"/>
      <c r="M164" s="25" t="n"/>
    </row>
    <row r="165">
      <c r="A165" s="23" t="n">
        <v>43585</v>
      </c>
      <c r="C165" s="31" t="n"/>
      <c r="D165" s="25" t="n"/>
      <c r="F165" s="23" t="n">
        <v>43585</v>
      </c>
      <c r="I165" s="31" t="n"/>
      <c r="J165" s="24" t="n"/>
      <c r="K165" s="24" t="n"/>
      <c r="L165" s="31" t="n"/>
      <c r="M165" s="25" t="n"/>
    </row>
    <row r="166">
      <c r="A166" s="23" t="n">
        <v>43616</v>
      </c>
      <c r="C166" s="31" t="n"/>
      <c r="D166" s="25" t="n"/>
      <c r="F166" s="23" t="n">
        <v>43616</v>
      </c>
      <c r="I166" s="31" t="n"/>
      <c r="J166" s="24" t="n"/>
      <c r="K166" s="24" t="n"/>
      <c r="L166" s="31" t="n"/>
      <c r="M166" s="25" t="n"/>
    </row>
    <row r="167">
      <c r="A167" s="23" t="n">
        <v>43646</v>
      </c>
      <c r="B167" s="25" t="n"/>
      <c r="C167" s="31" t="n"/>
      <c r="D167" s="25" t="n"/>
      <c r="F167" s="23" t="n">
        <v>43646</v>
      </c>
      <c r="I167" s="31" t="n"/>
      <c r="J167" s="24" t="n"/>
      <c r="L167" s="31" t="n"/>
      <c r="M167" s="25" t="n"/>
    </row>
    <row r="168">
      <c r="A168" s="23" t="n">
        <v>43677</v>
      </c>
      <c r="C168" s="31" t="n"/>
      <c r="D168" s="25" t="n"/>
      <c r="F168" s="23" t="n">
        <v>43677</v>
      </c>
      <c r="I168" s="31" t="n"/>
      <c r="J168" s="24" t="n"/>
      <c r="L168" s="31" t="n"/>
      <c r="M168" s="25" t="n"/>
    </row>
    <row r="169">
      <c r="A169" s="23" t="n">
        <v>43708</v>
      </c>
      <c r="B169" s="25" t="n"/>
      <c r="C169" s="31" t="n"/>
      <c r="D169" s="25" t="n"/>
      <c r="F169" s="23" t="n">
        <v>43708</v>
      </c>
      <c r="I169" s="31" t="n"/>
      <c r="J169" s="24" t="n"/>
      <c r="L169" s="31" t="n"/>
      <c r="M169" s="25" t="n"/>
    </row>
    <row r="170">
      <c r="A170" s="23" t="n">
        <v>43738</v>
      </c>
      <c r="C170" s="31" t="n"/>
      <c r="D170" s="25" t="n"/>
      <c r="F170" s="23" t="n">
        <v>43738</v>
      </c>
      <c r="I170" s="31" t="n"/>
      <c r="J170" s="24" t="n"/>
      <c r="L170" s="31" t="n"/>
      <c r="M170" s="25" t="n"/>
    </row>
    <row r="171">
      <c r="A171" s="23" t="n">
        <v>43769</v>
      </c>
      <c r="B171" s="25" t="n"/>
      <c r="C171" s="31" t="n"/>
      <c r="D171" s="25" t="n"/>
      <c r="F171" s="23" t="n">
        <v>43769</v>
      </c>
      <c r="I171" s="31" t="n"/>
      <c r="J171" s="24" t="n"/>
      <c r="L171" s="31" t="n"/>
      <c r="M171" s="25" t="n"/>
    </row>
    <row r="172">
      <c r="A172" s="23" t="n">
        <v>43799</v>
      </c>
      <c r="C172" s="31" t="n"/>
      <c r="D172" s="25" t="n"/>
      <c r="F172" s="23" t="n">
        <v>43799</v>
      </c>
      <c r="I172" s="31" t="n"/>
      <c r="J172" s="24" t="n"/>
      <c r="L172" s="31" t="n"/>
      <c r="M172" s="25" t="n"/>
    </row>
    <row r="173">
      <c r="A173" s="23" t="n">
        <v>43830</v>
      </c>
      <c r="B173" s="25" t="n"/>
      <c r="C173" s="31" t="n"/>
      <c r="D173" s="25" t="n"/>
      <c r="F173" s="23" t="n">
        <v>43830</v>
      </c>
      <c r="I173" s="31" t="n"/>
      <c r="J173" s="24" t="n"/>
      <c r="L173" s="31" t="n"/>
      <c r="M173" s="25" t="n"/>
    </row>
    <row r="174">
      <c r="A174" s="23" t="n">
        <v>43861</v>
      </c>
      <c r="C174" s="31" t="n"/>
      <c r="D174" s="25" t="n"/>
      <c r="F174" s="23" t="n">
        <v>43861</v>
      </c>
      <c r="I174" s="31" t="n"/>
      <c r="J174" s="24" t="n"/>
      <c r="L174" s="31" t="n"/>
      <c r="M174" s="25" t="n"/>
    </row>
    <row r="175">
      <c r="A175" s="23" t="n">
        <v>43890</v>
      </c>
      <c r="B175" s="25" t="n"/>
      <c r="C175" s="31" t="n"/>
      <c r="D175" s="25" t="n"/>
      <c r="F175" s="23" t="n">
        <v>43890</v>
      </c>
      <c r="I175" s="31" t="n"/>
      <c r="J175" s="24" t="n"/>
      <c r="L175" s="31" t="n"/>
      <c r="M175" s="25" t="n"/>
    </row>
    <row r="176">
      <c r="A176" s="23" t="n">
        <v>43921</v>
      </c>
      <c r="C176" s="31" t="n"/>
      <c r="D176" s="25" t="n"/>
      <c r="F176" s="23" t="n">
        <v>43921</v>
      </c>
      <c r="I176" s="31" t="n"/>
      <c r="J176" s="24" t="n"/>
      <c r="L176" s="31" t="n"/>
      <c r="M176" s="25" t="n"/>
    </row>
    <row r="177">
      <c r="A177" s="23" t="n">
        <v>43951</v>
      </c>
      <c r="B177" s="25" t="n"/>
      <c r="C177" s="31" t="n"/>
      <c r="D177" s="25" t="n"/>
      <c r="F177" s="23" t="n">
        <v>43951</v>
      </c>
      <c r="I177" s="31" t="n"/>
      <c r="J177" s="24" t="n"/>
      <c r="L177" s="31" t="n"/>
      <c r="M177" s="25" t="n"/>
    </row>
    <row r="178">
      <c r="A178" s="23" t="n">
        <v>43982</v>
      </c>
      <c r="B178" s="25" t="n"/>
      <c r="C178" s="31" t="n"/>
      <c r="D178" s="25" t="n"/>
      <c r="F178" s="23" t="n">
        <v>43982</v>
      </c>
      <c r="I178" s="31" t="n"/>
      <c r="J178" s="24" t="n"/>
      <c r="L178" s="31" t="n"/>
      <c r="M178" s="25" t="n"/>
      <c r="AD178" s="62" t="n"/>
      <c r="AE178" s="62" t="n"/>
      <c r="AF178" s="62" t="n"/>
      <c r="AG178" s="62" t="n"/>
      <c r="AH178" s="62" t="n"/>
      <c r="AI178" s="62" t="n"/>
      <c r="AJ178" s="62" t="n"/>
      <c r="AK178" s="62" t="n"/>
      <c r="AL178" s="62" t="n"/>
      <c r="AM178" s="62" t="n"/>
      <c r="AN178" s="62" t="n"/>
      <c r="AO178" s="62" t="n"/>
      <c r="AP178" s="62" t="n"/>
      <c r="AQ178" s="62" t="n"/>
    </row>
    <row r="179">
      <c r="A179" s="23" t="n">
        <v>44012</v>
      </c>
      <c r="B179" s="25" t="n"/>
      <c r="C179" s="31" t="n"/>
      <c r="D179" s="25" t="n"/>
      <c r="F179" s="23" t="n">
        <v>44012</v>
      </c>
      <c r="I179" s="31" t="n"/>
      <c r="J179" s="24" t="n"/>
      <c r="L179" s="31" t="n"/>
      <c r="M179" s="25" t="n"/>
    </row>
    <row r="180">
      <c r="A180" s="23" t="n">
        <v>44043</v>
      </c>
      <c r="C180" s="31" t="n"/>
      <c r="D180" s="25" t="n"/>
      <c r="F180" s="23" t="n">
        <v>44043</v>
      </c>
      <c r="I180" s="31" t="n"/>
      <c r="J180" s="24" t="n"/>
      <c r="L180" s="31" t="n"/>
      <c r="M180" s="25" t="n"/>
    </row>
    <row r="181">
      <c r="A181" s="23" t="n">
        <v>44074</v>
      </c>
      <c r="C181" s="31" t="n"/>
      <c r="D181" s="25" t="n"/>
      <c r="F181" s="23" t="n">
        <v>44074</v>
      </c>
      <c r="I181" s="31" t="n"/>
      <c r="J181" s="24" t="n"/>
      <c r="L181" s="31" t="n"/>
      <c r="M181" s="25" t="n"/>
    </row>
    <row r="182">
      <c r="A182" s="23" t="n">
        <v>44104</v>
      </c>
      <c r="C182" s="31" t="n"/>
      <c r="D182" s="25" t="n"/>
      <c r="F182" s="23" t="n">
        <v>44104</v>
      </c>
      <c r="I182" s="31" t="n"/>
      <c r="J182" s="24" t="n"/>
      <c r="L182" s="31" t="n"/>
      <c r="M182" s="25" t="n"/>
    </row>
    <row r="183">
      <c r="A183" s="23" t="n">
        <v>44135</v>
      </c>
      <c r="C183" s="31" t="n"/>
      <c r="D183" s="25" t="n"/>
      <c r="F183" s="23" t="n">
        <v>44135</v>
      </c>
      <c r="I183" s="31" t="n"/>
      <c r="J183" s="24" t="n"/>
      <c r="L183" s="31" t="n"/>
      <c r="M183" s="25" t="n"/>
    </row>
    <row r="184">
      <c r="A184" s="23" t="n">
        <v>44165</v>
      </c>
      <c r="C184" s="31" t="n"/>
      <c r="D184" s="25" t="n"/>
      <c r="F184" s="23" t="n">
        <v>44165</v>
      </c>
      <c r="I184" s="31" t="n"/>
      <c r="J184" s="24" t="n"/>
      <c r="L184" s="31" t="n"/>
      <c r="M184" s="25" t="n"/>
    </row>
    <row r="185">
      <c r="A185" s="23" t="n">
        <v>44196</v>
      </c>
      <c r="C185" s="31" t="n"/>
      <c r="D185" s="25" t="n"/>
      <c r="F185" s="23" t="n">
        <v>44196</v>
      </c>
      <c r="I185" s="31" t="n"/>
      <c r="J185" s="24" t="n"/>
      <c r="L185" s="31" t="n"/>
      <c r="M185" s="25" t="n"/>
    </row>
    <row r="186">
      <c r="A186" s="23" t="n">
        <v>44246</v>
      </c>
      <c r="C186" s="31" t="n"/>
      <c r="D186" s="25" t="n"/>
      <c r="F186" s="23" t="n">
        <v>44246</v>
      </c>
      <c r="I186" s="31" t="n"/>
      <c r="J186" s="24" t="n"/>
      <c r="L186" s="31" t="n"/>
      <c r="M186" s="25" t="n"/>
    </row>
    <row r="187">
      <c r="A187" s="23" t="n">
        <v>44255</v>
      </c>
      <c r="C187" s="31" t="n"/>
      <c r="D187" s="25" t="n"/>
      <c r="F187" s="23" t="n">
        <v>44255</v>
      </c>
      <c r="I187" s="31" t="n"/>
      <c r="J187" s="24" t="n"/>
      <c r="L187" s="31" t="n"/>
      <c r="M187" s="25" t="n"/>
      <c r="Q187" s="23" t="n"/>
    </row>
    <row r="188">
      <c r="A188" s="23" t="n">
        <v>44286</v>
      </c>
      <c r="B188" s="25" t="n"/>
      <c r="C188" s="31" t="n"/>
      <c r="D188" s="25" t="n"/>
      <c r="F188" s="23" t="n">
        <v>44286</v>
      </c>
      <c r="I188" s="31" t="n"/>
      <c r="J188" s="24" t="n"/>
      <c r="L188" s="31" t="n"/>
      <c r="M188" s="25" t="n"/>
      <c r="Q188" s="23" t="n"/>
      <c r="R188" s="118" t="n"/>
    </row>
    <row r="189">
      <c r="A189" s="23" t="n">
        <v>44316</v>
      </c>
      <c r="C189" s="31" t="n"/>
      <c r="D189" s="25" t="n"/>
      <c r="F189" s="23" t="n">
        <v>44316</v>
      </c>
      <c r="I189" s="31" t="n"/>
      <c r="J189" s="24" t="n"/>
      <c r="L189" s="31" t="n"/>
      <c r="M189" s="25" t="n"/>
      <c r="Q189" s="119" t="n"/>
    </row>
    <row r="190">
      <c r="A190" s="23" t="n">
        <v>44347</v>
      </c>
      <c r="C190" s="31" t="n"/>
      <c r="D190" s="25" t="n"/>
      <c r="F190" s="23" t="n">
        <v>44347</v>
      </c>
      <c r="I190" s="31" t="n"/>
      <c r="J190" s="24" t="n"/>
      <c r="L190" s="31" t="n"/>
      <c r="M190" s="25" t="n"/>
      <c r="Q190" s="119" t="n"/>
    </row>
    <row r="191">
      <c r="A191" s="23" t="n">
        <v>44377</v>
      </c>
      <c r="C191" s="31" t="n"/>
      <c r="D191" s="25" t="n"/>
      <c r="F191" s="23" t="n">
        <v>44377</v>
      </c>
      <c r="I191" s="31" t="n"/>
      <c r="J191" s="24" t="n"/>
      <c r="L191" s="31" t="n"/>
      <c r="M191" s="25" t="n"/>
    </row>
    <row r="192">
      <c r="A192" s="23" t="n">
        <v>44408</v>
      </c>
      <c r="C192" s="31" t="n"/>
      <c r="D192" s="25" t="n"/>
      <c r="F192" s="23" t="n">
        <v>44408</v>
      </c>
      <c r="I192" s="31" t="n"/>
      <c r="J192" s="24" t="n"/>
      <c r="L192" s="31" t="n"/>
      <c r="M192" s="25" t="n"/>
    </row>
    <row r="193">
      <c r="A193" s="23" t="n">
        <v>44439</v>
      </c>
      <c r="C193" s="31" t="n"/>
      <c r="D193" s="25" t="n"/>
      <c r="F193" s="23" t="n">
        <v>44439</v>
      </c>
      <c r="I193" s="31" t="n"/>
      <c r="J193" s="24" t="n"/>
      <c r="L193" s="31" t="n"/>
      <c r="M193" s="25" t="n"/>
    </row>
    <row r="194">
      <c r="A194" s="23" t="n">
        <v>44469</v>
      </c>
      <c r="C194" s="31" t="n"/>
      <c r="D194" s="25" t="n"/>
      <c r="F194" s="23" t="n">
        <v>44469</v>
      </c>
      <c r="I194" s="31" t="n"/>
      <c r="J194" s="24" t="n"/>
      <c r="K194" s="24" t="n"/>
      <c r="L194" s="31" t="n"/>
      <c r="M194" s="25" t="n"/>
    </row>
    <row r="195">
      <c r="A195" s="23" t="n">
        <v>44500</v>
      </c>
      <c r="C195" s="31" t="n"/>
      <c r="D195" s="25" t="n"/>
      <c r="F195" s="23" t="n">
        <v>44500</v>
      </c>
      <c r="I195" s="31" t="n"/>
      <c r="J195" s="24" t="n"/>
      <c r="L195" s="31" t="n"/>
      <c r="M195" s="25" t="n"/>
    </row>
    <row r="196">
      <c r="A196" s="23" t="n">
        <v>44530</v>
      </c>
      <c r="C196" s="31" t="n"/>
      <c r="D196" s="25" t="n"/>
      <c r="F196" s="23" t="n">
        <v>44530</v>
      </c>
      <c r="I196" s="31" t="n"/>
      <c r="J196" s="24" t="n"/>
      <c r="K196" s="24" t="n"/>
      <c r="L196" s="31" t="n"/>
      <c r="M196" s="25" t="n"/>
    </row>
    <row r="197">
      <c r="A197" s="23" t="n">
        <v>44561</v>
      </c>
      <c r="C197" s="31" t="n"/>
      <c r="D197" s="25" t="n"/>
      <c r="F197" s="23" t="n">
        <v>44561</v>
      </c>
      <c r="I197" s="31" t="n"/>
      <c r="J197" s="24" t="n"/>
      <c r="L197" s="31" t="n"/>
      <c r="M197" s="25" t="n"/>
    </row>
    <row r="198">
      <c r="A198" s="23" t="n">
        <v>44592</v>
      </c>
      <c r="C198" s="31" t="n"/>
      <c r="D198" s="25" t="n"/>
      <c r="F198" s="23" t="n">
        <v>44592</v>
      </c>
      <c r="I198" s="31" t="n"/>
      <c r="J198" s="24" t="n"/>
      <c r="L198" s="31" t="n"/>
      <c r="M198" s="25" t="n"/>
    </row>
    <row r="199">
      <c r="A199" s="23" t="n">
        <v>44620</v>
      </c>
      <c r="B199" s="25" t="n"/>
      <c r="C199" s="31" t="n"/>
      <c r="D199" s="25" t="n"/>
      <c r="F199" s="23" t="n">
        <v>44620</v>
      </c>
      <c r="I199" s="31" t="n"/>
      <c r="J199" s="24" t="n"/>
      <c r="L199" s="31" t="n"/>
      <c r="M199" s="25" t="n"/>
    </row>
    <row r="200">
      <c r="A200" s="23" t="n">
        <v>44651</v>
      </c>
      <c r="C200" s="31" t="n"/>
      <c r="D200" s="25" t="n"/>
      <c r="F200" s="23" t="n">
        <v>44651</v>
      </c>
      <c r="I200" s="31" t="n"/>
      <c r="J200" s="24" t="n"/>
      <c r="L200" s="31" t="n"/>
      <c r="M200" s="25" t="n"/>
    </row>
    <row r="201">
      <c r="A201" s="23" t="n">
        <v>44681</v>
      </c>
      <c r="C201" s="31" t="n"/>
      <c r="D201" s="25" t="n"/>
      <c r="F201" s="23" t="n">
        <v>44681</v>
      </c>
      <c r="I201" s="31" t="n"/>
      <c r="J201" s="24" t="n"/>
      <c r="L201" s="31" t="n"/>
      <c r="M201" s="25" t="n"/>
    </row>
    <row r="202">
      <c r="A202" s="23" t="n">
        <v>44712</v>
      </c>
      <c r="C202" s="31" t="n"/>
      <c r="D202" s="25" t="n"/>
      <c r="F202" s="23" t="n">
        <v>44735</v>
      </c>
      <c r="I202" s="31" t="n"/>
      <c r="J202" s="24" t="n"/>
      <c r="L202" s="31" t="n"/>
      <c r="M202" s="25" t="n"/>
    </row>
    <row r="203">
      <c r="A203" s="23" t="n">
        <v>44742</v>
      </c>
      <c r="C203" s="31" t="n"/>
      <c r="D203" s="25" t="n"/>
      <c r="F203" s="23" t="n">
        <v>44742</v>
      </c>
      <c r="I203" s="31" t="n"/>
      <c r="J203" s="24" t="n"/>
      <c r="K203" s="24" t="n"/>
      <c r="L203" s="81" t="n"/>
      <c r="M203" s="25" t="n"/>
    </row>
    <row r="204">
      <c r="A204" s="23" t="n">
        <v>44773</v>
      </c>
      <c r="C204" s="31" t="n"/>
      <c r="D204" s="25" t="n"/>
      <c r="F204" s="23" t="n">
        <v>44773</v>
      </c>
      <c r="I204" s="31" t="n"/>
      <c r="J204" s="24" t="n"/>
      <c r="L204" s="81" t="n"/>
      <c r="M204" s="25" t="n"/>
    </row>
    <row r="205">
      <c r="A205" s="23" t="n">
        <v>44804</v>
      </c>
      <c r="C205" s="31" t="n"/>
      <c r="D205" s="25" t="n"/>
      <c r="F205" s="23" t="n">
        <v>44804</v>
      </c>
      <c r="I205" s="31" t="n"/>
      <c r="J205" s="24" t="n"/>
      <c r="K205" s="24" t="n"/>
      <c r="L205" s="81" t="n"/>
      <c r="M205" s="25" t="n"/>
    </row>
    <row r="206">
      <c r="A206" s="23" t="n">
        <v>44834</v>
      </c>
      <c r="C206" s="31" t="n"/>
      <c r="D206" s="25" t="n"/>
      <c r="F206" s="23" t="n">
        <v>44834</v>
      </c>
      <c r="I206" s="31" t="n"/>
      <c r="J206" s="24" t="n"/>
      <c r="K206" s="24" t="n"/>
      <c r="L206" s="81" t="n"/>
      <c r="M206" s="25" t="n"/>
    </row>
    <row r="207">
      <c r="A207" s="23" t="n">
        <v>44862</v>
      </c>
      <c r="C207" s="31" t="n"/>
      <c r="D207" s="25" t="n"/>
      <c r="F207" s="23" t="n">
        <v>44862</v>
      </c>
      <c r="I207" s="31" t="n"/>
      <c r="J207" s="24" t="n"/>
      <c r="K207" s="24" t="n"/>
      <c r="L207" s="81" t="n"/>
      <c r="M207" s="25" t="n"/>
    </row>
    <row r="208">
      <c r="A208" s="23" t="n">
        <v>44895</v>
      </c>
      <c r="C208" s="31" t="n"/>
      <c r="D208" s="25" t="n"/>
      <c r="F208" s="23" t="n">
        <v>44895</v>
      </c>
      <c r="I208" s="31" t="n"/>
      <c r="J208" s="24" t="n"/>
      <c r="L208" s="81" t="n"/>
      <c r="M208" s="25" t="n"/>
    </row>
    <row r="209">
      <c r="A209" s="23" t="n">
        <v>44925</v>
      </c>
      <c r="C209" s="31" t="n"/>
      <c r="D209" s="25" t="n"/>
      <c r="F209" s="23" t="n">
        <v>44925</v>
      </c>
      <c r="I209" s="31" t="n"/>
      <c r="J209" s="24" t="n"/>
      <c r="L209" s="81" t="n"/>
      <c r="M209" s="25" t="n"/>
    </row>
    <row r="210">
      <c r="A210" s="23" t="n">
        <v>44957</v>
      </c>
      <c r="C210" s="31" t="n"/>
      <c r="D210" s="25" t="n"/>
      <c r="F210" s="23" t="n">
        <v>44957</v>
      </c>
      <c r="I210" s="31" t="n"/>
      <c r="J210" s="24" t="n"/>
      <c r="L210" s="81" t="n"/>
      <c r="M210" s="25" t="n"/>
    </row>
    <row r="211">
      <c r="A211" s="23" t="n">
        <v>44985</v>
      </c>
      <c r="C211" s="31" t="n"/>
      <c r="D211" s="25" t="n"/>
      <c r="F211" s="23" t="n">
        <v>45014</v>
      </c>
      <c r="I211" s="31" t="n"/>
      <c r="J211" s="24" t="n"/>
      <c r="L211" s="81" t="n"/>
      <c r="M211" s="25" t="n"/>
    </row>
    <row r="212">
      <c r="A212" s="23" t="n">
        <v>45016</v>
      </c>
      <c r="C212" s="31" t="n"/>
      <c r="D212" s="25" t="n"/>
      <c r="F212" s="23" t="n">
        <v>45016</v>
      </c>
      <c r="I212" s="31" t="n"/>
      <c r="J212" s="24" t="n"/>
      <c r="L212" s="81" t="n"/>
      <c r="M212" s="25" t="n"/>
    </row>
    <row r="213">
      <c r="A213" s="23" t="n">
        <v>45044</v>
      </c>
      <c r="C213" s="31" t="n"/>
      <c r="D213" s="25" t="n"/>
      <c r="F213" s="23" t="n">
        <v>45044</v>
      </c>
      <c r="I213" s="31" t="n"/>
      <c r="J213" s="24" t="n"/>
      <c r="L213" s="81" t="n"/>
      <c r="M213" s="25" t="n"/>
    </row>
    <row r="214">
      <c r="A214" s="23" t="n">
        <v>45077</v>
      </c>
      <c r="C214" s="31" t="n"/>
      <c r="D214" s="25" t="n"/>
      <c r="F214" s="23" t="n">
        <v>45077</v>
      </c>
      <c r="I214" s="31" t="n"/>
      <c r="J214" s="24" t="n"/>
      <c r="K214" s="24" t="n"/>
      <c r="L214" s="81" t="n"/>
      <c r="M214" s="25" t="n"/>
    </row>
    <row r="215">
      <c r="A215" s="23" t="n">
        <v>45107</v>
      </c>
      <c r="C215" s="31" t="n"/>
      <c r="D215" s="25" t="n"/>
      <c r="F215" s="23" t="n">
        <v>45107</v>
      </c>
      <c r="I215" s="31" t="n"/>
      <c r="J215" s="24" t="n"/>
      <c r="L215" s="81" t="n"/>
      <c r="M215" s="25" t="n"/>
    </row>
    <row r="216">
      <c r="A216" s="23" t="n">
        <v>45138</v>
      </c>
      <c r="C216" s="31" t="n"/>
      <c r="D216" s="25" t="n"/>
      <c r="F216" s="23" t="n">
        <v>45138</v>
      </c>
      <c r="I216" s="31" t="n"/>
      <c r="J216" s="24" t="n"/>
      <c r="L216" s="81" t="n"/>
      <c r="M216" s="25" t="n"/>
    </row>
    <row r="217">
      <c r="A217" s="23" t="n">
        <v>45169</v>
      </c>
      <c r="C217" s="31" t="n"/>
      <c r="D217" s="25" t="n"/>
      <c r="F217" s="23" t="n">
        <v>45175</v>
      </c>
      <c r="I217" s="31" t="n"/>
      <c r="J217" s="24" t="n"/>
      <c r="K217" s="24" t="n"/>
      <c r="L217" s="81" t="n"/>
      <c r="M217" s="25" t="n"/>
    </row>
    <row r="218">
      <c r="A218" s="23" t="n">
        <v>45199</v>
      </c>
      <c r="C218" s="31" t="n"/>
      <c r="D218" s="25" t="n"/>
      <c r="F218" s="23" t="n">
        <v>45199</v>
      </c>
      <c r="I218" s="31" t="n"/>
      <c r="J218" s="24" t="n"/>
      <c r="K218" s="24" t="n"/>
      <c r="L218" s="81" t="n"/>
      <c r="M218" s="25" t="n"/>
    </row>
    <row r="219">
      <c r="A219" s="23" t="n">
        <v>45230</v>
      </c>
      <c r="B219" s="25" t="n"/>
      <c r="C219" s="31" t="n"/>
      <c r="D219" s="25" t="n"/>
      <c r="F219" s="23" t="n">
        <v>45230</v>
      </c>
      <c r="I219" s="31" t="n"/>
      <c r="J219" s="24" t="n"/>
      <c r="L219" s="81" t="n"/>
      <c r="M219" s="25" t="n"/>
    </row>
    <row r="220">
      <c r="A220" s="23" t="n">
        <v>45260</v>
      </c>
      <c r="C220" s="31" t="n"/>
      <c r="D220" s="25" t="n"/>
      <c r="F220" s="23" t="n">
        <v>45260</v>
      </c>
      <c r="I220" s="31" t="n"/>
      <c r="J220" s="24" t="n"/>
      <c r="K220" s="24" t="n"/>
      <c r="L220" s="31" t="n"/>
      <c r="M220" s="25" t="n"/>
    </row>
    <row r="221">
      <c r="A221" s="23" t="n">
        <v>45291</v>
      </c>
      <c r="C221" s="31" t="n"/>
      <c r="D221" s="25" t="n"/>
      <c r="F221" s="23" t="n">
        <v>45291</v>
      </c>
      <c r="I221" s="31" t="n"/>
      <c r="J221" s="24" t="n"/>
      <c r="L221" s="31" t="n"/>
      <c r="M221" s="25" t="n"/>
    </row>
    <row r="222">
      <c r="A222" s="23" t="n">
        <v>45322</v>
      </c>
      <c r="C222" s="31" t="n"/>
      <c r="D222" s="25" t="n"/>
      <c r="F222" s="23" t="n">
        <v>45322</v>
      </c>
      <c r="I222" s="31" t="n"/>
      <c r="J222" s="24" t="n"/>
      <c r="L222" s="31" t="n"/>
      <c r="M222" s="25" t="n"/>
    </row>
    <row r="223">
      <c r="A223" s="23" t="n">
        <v>45351</v>
      </c>
      <c r="C223" s="31" t="n"/>
      <c r="D223" s="25" t="n"/>
      <c r="F223" s="23" t="n">
        <v>45351</v>
      </c>
      <c r="I223" s="31" t="n"/>
      <c r="J223" s="24" t="n"/>
      <c r="L223" s="31" t="n"/>
      <c r="M223" s="25" t="n"/>
    </row>
    <row r="224">
      <c r="A224" s="23" t="n">
        <v>45379</v>
      </c>
      <c r="C224" s="31" t="n"/>
      <c r="D224" s="25" t="n"/>
      <c r="F224" s="23" t="n">
        <v>45379</v>
      </c>
      <c r="I224" s="31" t="n"/>
      <c r="J224" s="24" t="n"/>
      <c r="L224" s="31" t="n"/>
      <c r="M224" s="25" t="n"/>
    </row>
    <row r="225">
      <c r="A225" s="23" t="n">
        <v>45412</v>
      </c>
      <c r="C225" s="31" t="n"/>
      <c r="D225" s="25" t="n"/>
      <c r="F225" s="23" t="n">
        <v>45412</v>
      </c>
      <c r="I225" s="31" t="n"/>
      <c r="J225" s="24" t="n"/>
      <c r="L225" s="31" t="n"/>
      <c r="M225" s="25" t="n"/>
    </row>
    <row r="226">
      <c r="A226" s="23" t="n">
        <v>45443</v>
      </c>
      <c r="C226" s="31" t="n"/>
      <c r="D226" s="25" t="n"/>
      <c r="F226" s="23" t="n">
        <v>45443</v>
      </c>
      <c r="I226" s="31" t="n"/>
      <c r="J226" s="24" t="n"/>
      <c r="L226" s="31" t="n"/>
      <c r="M226" s="25" t="n"/>
    </row>
    <row r="227">
      <c r="A227" s="23" t="n">
        <v>45473</v>
      </c>
      <c r="B227" s="25" t="n"/>
      <c r="C227" s="31" t="n"/>
      <c r="D227" s="25" t="n"/>
      <c r="F227" s="23" t="n">
        <v>45473</v>
      </c>
      <c r="I227" s="31" t="n"/>
      <c r="J227" s="24" t="n"/>
      <c r="L227" s="31" t="n"/>
      <c r="M227" s="25" t="n"/>
    </row>
    <row r="228">
      <c r="A228" s="23" t="n">
        <v>45504</v>
      </c>
      <c r="C228" s="31" t="n"/>
      <c r="D228" s="25" t="n"/>
      <c r="F228" s="23" t="n">
        <v>45504</v>
      </c>
      <c r="I228" s="31" t="n"/>
      <c r="J228" s="24" t="n"/>
      <c r="L228" s="31" t="n"/>
      <c r="M228" s="25" t="n"/>
    </row>
    <row r="229">
      <c r="A229" s="23" t="n">
        <v>45535</v>
      </c>
      <c r="C229" s="31" t="n"/>
      <c r="D229" s="25" t="n"/>
      <c r="F229" s="23" t="n">
        <v>45535</v>
      </c>
      <c r="I229" s="31" t="n"/>
      <c r="J229" s="24" t="n"/>
      <c r="L229" s="31" t="n"/>
      <c r="M229" s="25" t="n"/>
    </row>
    <row r="230">
      <c r="A230" s="23" t="n">
        <v>45565</v>
      </c>
      <c r="C230" s="31" t="n"/>
      <c r="D230" s="25" t="n"/>
      <c r="F230" s="23" t="n">
        <v>45565</v>
      </c>
      <c r="I230" s="31" t="n"/>
      <c r="J230" s="24" t="n"/>
      <c r="L230" s="31" t="n"/>
      <c r="M230" s="25" t="n"/>
    </row>
    <row r="231">
      <c r="A231" s="23" t="n">
        <v>45596</v>
      </c>
      <c r="B231" s="9" t="n">
        <v>24560.22</v>
      </c>
      <c r="C231" s="31" t="n">
        <v>0.004364942435243679</v>
      </c>
      <c r="D231" s="25" t="n">
        <v>100</v>
      </c>
      <c r="F231" s="23" t="n">
        <v>45625</v>
      </c>
      <c r="G231" s="106" t="n">
        <v>1000</v>
      </c>
      <c r="H231" s="106">
        <f>+G231+$S$148+$S$150+$S$152+$S$154+$S$156+$S$158</f>
        <v/>
      </c>
      <c r="I231" s="31" t="n">
        <v>0.0021</v>
      </c>
      <c r="J231" s="24" t="n">
        <v>100</v>
      </c>
      <c r="K231" s="9" t="n">
        <v>6030.3854</v>
      </c>
      <c r="L231" s="31" t="n">
        <v>0.001705406497839568</v>
      </c>
      <c r="M231" s="25" t="n">
        <v>100</v>
      </c>
    </row>
    <row r="232">
      <c r="A232" s="23" t="n">
        <v>45626</v>
      </c>
      <c r="B232" s="9" t="n">
        <v>24667.9</v>
      </c>
      <c r="C232" s="31">
        <f>(B232/B231-1)/(A232-A231)*30</f>
        <v/>
      </c>
      <c r="D232" s="25">
        <f>+D231*(1+C232)</f>
        <v/>
      </c>
      <c r="F232" s="23" t="n">
        <v>45626</v>
      </c>
      <c r="G232" s="106" t="n">
        <v>1000.337</v>
      </c>
      <c r="H232" s="106">
        <f>+G232+$S$148+$S$150+$S$152+$S$154+$S$156+$S$158</f>
        <v/>
      </c>
      <c r="I232" s="31">
        <f>+(H232/H231-1)/(F232-F231)*30/2</f>
        <v/>
      </c>
      <c r="J232" s="24">
        <f>+J231*(1+I232)</f>
        <v/>
      </c>
      <c r="K232" s="9" t="n">
        <v>6049.8055</v>
      </c>
      <c r="L232" s="31">
        <f>+(K232/K231-1)/(F232-F231)*30/28</f>
        <v/>
      </c>
      <c r="M232" s="25">
        <f>+M231*(1+L232)</f>
        <v/>
      </c>
    </row>
    <row r="233">
      <c r="A233" s="23" t="n">
        <v>45657</v>
      </c>
      <c r="B233" s="9" t="n">
        <v>24777.58</v>
      </c>
      <c r="C233" s="31">
        <f>(B233/B232-1)/(A233-A232)*30</f>
        <v/>
      </c>
      <c r="D233" s="25">
        <f>+D232*(1+C233)</f>
        <v/>
      </c>
      <c r="F233" s="23" t="n">
        <v>45657</v>
      </c>
      <c r="G233" s="106" t="n">
        <v>1006.2648</v>
      </c>
      <c r="H233" s="106">
        <f>+G233+$S$148+$S$150+$S$152+$S$154+$S$156+$S$158</f>
        <v/>
      </c>
      <c r="I233" s="31">
        <f>+(H233/H232-1)/(F233-F232)*30</f>
        <v/>
      </c>
      <c r="J233" s="24">
        <f>+J232*(1+I233)</f>
        <v/>
      </c>
      <c r="K233" s="9" t="n">
        <v>6069.3455</v>
      </c>
      <c r="L233" s="31">
        <f>+(K233/K232-1)/(F233-F232)*30</f>
        <v/>
      </c>
      <c r="M233" s="25">
        <f>+M232*(1+L233)</f>
        <v/>
      </c>
    </row>
    <row r="234">
      <c r="A234" s="23" t="n">
        <v>45688</v>
      </c>
      <c r="B234" s="9" t="n">
        <v>24887.95</v>
      </c>
      <c r="C234" s="31">
        <f>(B234/B233-1)/(A234-A233)*30</f>
        <v/>
      </c>
      <c r="D234" s="25">
        <f>+D233*(1+C234)</f>
        <v/>
      </c>
      <c r="F234" s="23" t="n">
        <v>45688</v>
      </c>
      <c r="G234" s="106" t="n">
        <v>1012.1189</v>
      </c>
      <c r="H234" s="106">
        <f>+G234+$S$148+$S$150+$S$152+$S$154+$S$156+$S$158</f>
        <v/>
      </c>
      <c r="I234" s="31">
        <f>+(H234/H233-1)/(F234-F233)*30</f>
        <v/>
      </c>
      <c r="J234" s="24">
        <f>+J233*(1+I234)</f>
        <v/>
      </c>
      <c r="K234" s="9" t="n">
        <v>6087.6762</v>
      </c>
      <c r="L234" s="31">
        <f>+(K234/K233-1)/(F234-F233)*30</f>
        <v/>
      </c>
      <c r="M234" s="25">
        <f>+M233*(1+L234)</f>
        <v/>
      </c>
    </row>
    <row r="235">
      <c r="A235" s="23" t="n">
        <v>45716</v>
      </c>
      <c r="B235" s="9" t="n">
        <v>24984.92</v>
      </c>
      <c r="C235" s="31">
        <f>(B235/B234-1)/(A235-A234)*30</f>
        <v/>
      </c>
      <c r="D235" s="25">
        <f>+D234*(1+C235)</f>
        <v/>
      </c>
      <c r="F235" s="23" t="n">
        <v>45716</v>
      </c>
      <c r="G235" s="106" t="n">
        <v>1017.923</v>
      </c>
      <c r="H235" s="106">
        <f>+G235+$S$148+$S$150+$S$152+$S$154+$S$156+$S$158</f>
        <v/>
      </c>
      <c r="I235" s="31">
        <f>+(H235/H234-1)/(F235-F234)*30</f>
        <v/>
      </c>
      <c r="J235" s="24">
        <f>+J234*(1+I235)</f>
        <v/>
      </c>
      <c r="K235" s="9" t="n">
        <v>6104.4912</v>
      </c>
      <c r="L235" s="31">
        <f>+(K235/K234-1)/(F235-F234)*30</f>
        <v/>
      </c>
      <c r="M235" s="25">
        <f>+M234*(1+L235)</f>
        <v/>
      </c>
    </row>
    <row r="236">
      <c r="A236" s="23" t="n">
        <v>45747</v>
      </c>
      <c r="B236" s="9" t="n">
        <v>25092.7</v>
      </c>
      <c r="C236" s="31">
        <f>(B236/B235-1)/(A236-A235)*30</f>
        <v/>
      </c>
      <c r="D236" s="25">
        <f>+D235*(1+C236)</f>
        <v/>
      </c>
      <c r="F236" s="23" t="n">
        <v>45747</v>
      </c>
      <c r="G236" s="106" t="n">
        <v>1024.9399</v>
      </c>
      <c r="H236" s="106">
        <f>+G236+$S$148+$S$150+$S$152+$S$154+$S$156+$S$158</f>
        <v/>
      </c>
      <c r="I236" s="31">
        <f>+(H236/H235-1)/(F236-F235)*30</f>
        <v/>
      </c>
      <c r="J236" s="24">
        <f>+J235*(1+I236)</f>
        <v/>
      </c>
      <c r="K236" s="9" t="n">
        <v>6123.1882</v>
      </c>
      <c r="L236" s="31">
        <f>+(K236/K235-1)/(F236-F235)*30</f>
        <v/>
      </c>
      <c r="M236" s="25">
        <f>+M235*(1+L236)</f>
        <v/>
      </c>
    </row>
    <row r="237">
      <c r="A237" s="23" t="n">
        <v>45777</v>
      </c>
      <c r="B237" s="9" t="n">
        <v>25197.48</v>
      </c>
      <c r="C237" s="31">
        <f>(B237/B236-1)/(A237-A236)*30</f>
        <v/>
      </c>
      <c r="D237" s="25">
        <f>+D236*(1+C237)</f>
        <v/>
      </c>
      <c r="F237" s="23" t="n">
        <v>45777</v>
      </c>
      <c r="G237" s="106" t="n">
        <v>1031.7658</v>
      </c>
      <c r="H237" s="106">
        <f>+G237+$S$148+$S$150+$S$152+$S$154+$S$156+$S$158</f>
        <v/>
      </c>
      <c r="I237" s="31">
        <f>+(H237/H236-1)/(F237-F236)*30</f>
        <v/>
      </c>
      <c r="J237" s="24">
        <f>+J236*(1+I237)</f>
        <v/>
      </c>
      <c r="K237" s="9" t="n">
        <v>6141.4105</v>
      </c>
      <c r="L237" s="31">
        <f>+(K237/K236-1)/(F237-F236)*30</f>
        <v/>
      </c>
      <c r="M237" s="25">
        <f>+M236*(1+L237)</f>
        <v/>
      </c>
    </row>
    <row r="238">
      <c r="A238" s="23" t="n">
        <v>45808</v>
      </c>
      <c r="B238" s="9" t="n">
        <v>25302.66</v>
      </c>
      <c r="C238" s="31">
        <f>(B238/B237-1)/(A238-A237)*30</f>
        <v/>
      </c>
      <c r="D238" s="25">
        <f>+D237*(1+C238)</f>
        <v/>
      </c>
      <c r="F238" s="23" t="n">
        <v>45808</v>
      </c>
      <c r="G238" s="106" t="n">
        <v>1039.0221</v>
      </c>
      <c r="H238" s="106">
        <f>+G238+$S$148+$S$150+$S$152+$S$154+$S$156+$S$158</f>
        <v/>
      </c>
      <c r="I238" s="31">
        <f>+(H238/H237-1)/(F238-F237)*30</f>
        <v/>
      </c>
      <c r="J238" s="24">
        <f>+J237*(1+I238)</f>
        <v/>
      </c>
      <c r="K238" s="9" t="n">
        <v>6160.386</v>
      </c>
      <c r="L238" s="31">
        <f>+(K238/K237-1)/(F238-F237)*30</f>
        <v/>
      </c>
      <c r="M238" s="25">
        <f>+M237*(1+L238)</f>
        <v/>
      </c>
    </row>
    <row r="239">
      <c r="A239" s="23" t="n">
        <v>45838</v>
      </c>
      <c r="B239" s="9" t="n">
        <v>25411.83</v>
      </c>
      <c r="C239" s="31">
        <f>(B239/B238-1)/(A239-A238)*30</f>
        <v/>
      </c>
      <c r="D239" s="25">
        <f>+D238*(1+C239)</f>
        <v/>
      </c>
      <c r="F239" s="23" t="n">
        <v>45838</v>
      </c>
      <c r="G239" s="106" t="n">
        <v>1045.8956</v>
      </c>
      <c r="H239" s="106">
        <f>+G239+$S$148+$S$150+$S$152+$S$154+$S$156+$S$158</f>
        <v/>
      </c>
      <c r="I239" s="31">
        <f>+(H239/H238-1)/(F239-F238)*30</f>
        <v/>
      </c>
      <c r="J239" s="24">
        <f>+J238*(1+I239)</f>
        <v/>
      </c>
      <c r="K239" s="9" t="n">
        <v>6178.849</v>
      </c>
      <c r="L239" s="31">
        <f>+(K239/K238-1)/(F239-F238)*30</f>
        <v/>
      </c>
      <c r="M239" s="25">
        <f>+M238*(1+L239)</f>
        <v/>
      </c>
    </row>
    <row r="240">
      <c r="A240" s="23" t="n">
        <v>45869</v>
      </c>
      <c r="B240" s="9" t="n">
        <v>25521.26</v>
      </c>
      <c r="C240" s="31">
        <f>(B240/B239-1)/(A240-A239)*30</f>
        <v/>
      </c>
      <c r="D240" s="25">
        <f>+D239*(1+C240)</f>
        <v/>
      </c>
      <c r="F240" s="23" t="n">
        <v>45869</v>
      </c>
      <c r="G240" s="106" t="n">
        <v>1052.7366</v>
      </c>
      <c r="H240" s="106">
        <f>+G240+$S$148+$S$150+$S$152+$S$154+$S$156+$S$158</f>
        <v/>
      </c>
      <c r="I240" s="31">
        <f>+(H240/H239-1)/(F240-F239)*30</f>
        <v/>
      </c>
      <c r="J240" s="24">
        <f>+J239*(1+I240)</f>
        <v/>
      </c>
      <c r="K240" s="9" t="n">
        <v>6197.08</v>
      </c>
      <c r="L240" s="31">
        <f>+(K240/K239-1)/(F240-F239)*30</f>
        <v/>
      </c>
      <c r="M240" s="25">
        <f>+M239*(1+L240)</f>
        <v/>
      </c>
    </row>
    <row r="241">
      <c r="A241" s="23" t="n">
        <v>45900</v>
      </c>
      <c r="B241" s="9" t="n">
        <v>25619.09</v>
      </c>
      <c r="C241" s="31">
        <f>(B241/B240-1)/(A241-A240)*30</f>
        <v/>
      </c>
      <c r="D241" s="25">
        <f>+D240*(1+C241)</f>
        <v/>
      </c>
      <c r="F241" s="23" t="n">
        <v>45900</v>
      </c>
      <c r="G241" s="106" t="n">
        <v>1059.7346</v>
      </c>
      <c r="H241" s="106">
        <f>+G241+$S$148+$S$150+$S$152+$S$154+$S$156+$S$158</f>
        <v/>
      </c>
      <c r="I241" s="31">
        <f>+(H241/H240-1)/(F241-F240)*30</f>
        <v/>
      </c>
      <c r="J241" s="24">
        <f>+J240*(1+I241)</f>
        <v/>
      </c>
      <c r="K241" s="9" t="n">
        <v>6215.6746</v>
      </c>
      <c r="L241" s="31">
        <f>+(K241/K240-1)/(F241-F240)*30</f>
        <v/>
      </c>
      <c r="M241" s="25">
        <f>+M240*(1+L241)</f>
        <v/>
      </c>
    </row>
    <row r="242">
      <c r="A242" s="23" t="n">
        <v>45930</v>
      </c>
      <c r="B242" s="9" t="n">
        <v>25727.46</v>
      </c>
      <c r="C242" s="31">
        <f>(B242/B241-1)/(A242-A241)*30</f>
        <v/>
      </c>
      <c r="D242" s="25">
        <f>+D241*(1+C242)</f>
        <v/>
      </c>
      <c r="F242" s="23" t="n">
        <v>45930</v>
      </c>
      <c r="G242" s="106" t="n">
        <v>1066.3005</v>
      </c>
      <c r="H242" s="106">
        <f>+G242+$S$148+$S$150+$S$152+$S$154+$S$156+$S$158</f>
        <v/>
      </c>
      <c r="I242" s="31">
        <f>+(H242/H241-1)/(F242-F241)*30</f>
        <v/>
      </c>
      <c r="J242" s="24">
        <f>+J241*(1+I242)</f>
        <v/>
      </c>
      <c r="K242" s="9" t="n">
        <v>6232.8399</v>
      </c>
      <c r="L242" s="31">
        <f>+(K242/K241-1)/(F242-F241)*30</f>
        <v/>
      </c>
      <c r="M242" s="25">
        <f>+M241*(1+L242)</f>
        <v/>
      </c>
    </row>
    <row r="243">
      <c r="A243" s="23" t="n">
        <v>45961</v>
      </c>
      <c r="B243" s="9" t="n">
        <v>25829.5</v>
      </c>
      <c r="C243" s="31">
        <f>(B243/B242-1)/(A243-A242)*30</f>
        <v/>
      </c>
      <c r="D243" s="25">
        <f>+D242*(1+C243)</f>
        <v/>
      </c>
      <c r="F243" s="23" t="n">
        <v>45961</v>
      </c>
      <c r="G243" s="106" t="n">
        <v>1074.5992</v>
      </c>
      <c r="H243" s="106">
        <f>+G243+$S$148+$S$150+$S$152+$S$154+$S$156+$S$158</f>
        <v/>
      </c>
      <c r="I243" s="31">
        <f>+(H243/H242-1)/(F243-F242)*30</f>
        <v/>
      </c>
      <c r="J243" s="24">
        <f>+J242*(1+I243)</f>
        <v/>
      </c>
      <c r="K243" s="9" t="n">
        <v>6250.6982</v>
      </c>
      <c r="L243" s="31">
        <f>+(K243/K242-1)/(F243-F242)*30</f>
        <v/>
      </c>
      <c r="M243" s="25">
        <f>+M242*(1+L243)</f>
        <v/>
      </c>
    </row>
    <row r="244">
      <c r="A244" s="23" t="n">
        <v>45991</v>
      </c>
      <c r="B244" s="9" t="n">
        <v>25928.49</v>
      </c>
      <c r="C244" s="31">
        <f>(B244/B243-1)/(A244-A243)*30</f>
        <v/>
      </c>
      <c r="D244" s="25">
        <f>+D243*(1+C244)</f>
        <v/>
      </c>
      <c r="F244" s="23" t="n">
        <v>45991</v>
      </c>
      <c r="G244" s="106" t="n">
        <v>1080.8206</v>
      </c>
      <c r="H244" s="106">
        <f>+G244+$S$148+$S$150+$S$152+$S$154+$S$156+$S$158</f>
        <v/>
      </c>
      <c r="I244" s="31">
        <f>+(H244/H243-1)/(F244-F243)*30</f>
        <v/>
      </c>
      <c r="J244" s="24">
        <f>+J243*(1+I244)</f>
        <v/>
      </c>
      <c r="K244" s="9" t="n">
        <v>6268.169</v>
      </c>
      <c r="L244" s="31">
        <f>+(K244/K243-1)/(F244-F243)*30</f>
        <v/>
      </c>
      <c r="M244" s="25">
        <f>+M243*(1+L244)</f>
        <v/>
      </c>
    </row>
    <row r="245">
      <c r="A245" s="23" t="n">
        <v>46022</v>
      </c>
      <c r="B245" s="9" t="n">
        <v>26035.82</v>
      </c>
      <c r="C245" s="31">
        <f>(B245/B244-1)/(A245-A244)*30</f>
        <v/>
      </c>
      <c r="D245" s="25">
        <f>+D244*(1+C245)</f>
        <v/>
      </c>
      <c r="F245" s="23" t="n">
        <v>46022</v>
      </c>
      <c r="G245" s="120" t="n">
        <v>1088.1075</v>
      </c>
      <c r="H245" s="106">
        <f>+G245+$S$148+$S$150+$S$152+$S$154+$S$156+$S$158</f>
        <v/>
      </c>
      <c r="I245" s="31">
        <f>+(H245/H244-1)/(F245-F244)*30</f>
        <v/>
      </c>
      <c r="J245" s="24">
        <f>+J244*(1+I245)</f>
        <v/>
      </c>
      <c r="K245" s="9" t="n">
        <v>6285.9566</v>
      </c>
      <c r="L245" s="31">
        <f>+(K245/K244-1)/(F245-F244)*30</f>
        <v/>
      </c>
      <c r="M245" s="25">
        <f>+M244*(1+L245)</f>
        <v/>
      </c>
    </row>
    <row r="246">
      <c r="A246" s="23" t="n">
        <v>46053</v>
      </c>
      <c r="B246" s="9" t="n">
        <v>26136.9</v>
      </c>
      <c r="C246" s="31">
        <f>(B246/B245-1)/(A246-A245)*30</f>
        <v/>
      </c>
      <c r="D246" s="25">
        <f>+D245*(1+C246)</f>
        <v/>
      </c>
      <c r="F246" s="23" t="n">
        <v>46053</v>
      </c>
      <c r="G246" s="120" t="n">
        <v>1095.2842</v>
      </c>
      <c r="H246" s="106">
        <f>+G246+$S$148+$S$150+$S$152+$S$154+$S$156+$S$158</f>
        <v/>
      </c>
      <c r="I246" s="31">
        <f>+(H246/H245-1)/(F246-F245)*30</f>
        <v/>
      </c>
      <c r="J246" s="24">
        <f>+J245*(1+I246)</f>
        <v/>
      </c>
      <c r="K246" s="9" t="n">
        <v>6303.0823</v>
      </c>
      <c r="L246" s="31">
        <f>+(K246/K245-1)/(F246-F245)*30</f>
        <v/>
      </c>
      <c r="M246" s="25">
        <f>+M245*(1+L246)</f>
        <v/>
      </c>
    </row>
    <row r="247">
      <c r="A247" s="97" t="n">
        <v>46081</v>
      </c>
      <c r="B247" s="98" t="n">
        <v>26231.81</v>
      </c>
      <c r="C247" s="31">
        <f>(B247/B246-1)/(A247-A246)*30</f>
        <v/>
      </c>
      <c r="D247" s="25">
        <f>+D246*(1+C247)</f>
        <v/>
      </c>
      <c r="F247" s="97" t="n">
        <v>46081</v>
      </c>
      <c r="G247" s="120" t="n">
        <v>1101.8197</v>
      </c>
      <c r="H247" s="106">
        <f>+G247+$S$148+$S$150+$S$152+$S$154+$S$156+$S$158</f>
        <v/>
      </c>
      <c r="I247" s="31">
        <f>+(H247/H246-1)/(F247-F246)*30</f>
        <v/>
      </c>
      <c r="J247" s="24">
        <f>+J246*(1+I247)</f>
        <v/>
      </c>
      <c r="K247" s="99" t="n">
        <v>6318.4947</v>
      </c>
      <c r="L247" s="31">
        <f>+(K247/K246-1)/(F247-F246)*30</f>
        <v/>
      </c>
      <c r="M247" s="25">
        <f>+M246*(1+L247)</f>
        <v/>
      </c>
    </row>
    <row r="248">
      <c r="A248" s="97" t="n">
        <v>46112</v>
      </c>
      <c r="B248" s="98" t="n">
        <v>26333.64</v>
      </c>
      <c r="C248" s="31">
        <f>(B248/B247-1)/(A248-A247)*30</f>
        <v/>
      </c>
      <c r="D248" s="25">
        <f>+D247*(1+C248)</f>
        <v/>
      </c>
      <c r="F248" s="97" t="n">
        <v>46112</v>
      </c>
      <c r="G248" s="121" t="n">
        <v>1108.6473</v>
      </c>
      <c r="H248" s="106">
        <f>+G248+$S$148+$S$150+$S$152+$S$154+$S$156+$S$158</f>
        <v/>
      </c>
      <c r="I248" s="31">
        <f>+(H248/H247-1)/(F248-F247)*30</f>
        <v/>
      </c>
      <c r="J248" s="24">
        <f>+J247*(1+I248)</f>
        <v/>
      </c>
      <c r="K248" s="100" t="n">
        <v>6335.4774</v>
      </c>
      <c r="L248" s="31">
        <f>+(K248/K247-1)/(F248-F247)*30</f>
        <v/>
      </c>
      <c r="M248" s="25">
        <f>+M247*(1+L248)</f>
        <v/>
      </c>
    </row>
    <row r="249">
      <c r="A249" s="23" t="n">
        <v>46142</v>
      </c>
      <c r="B249" s="9" t="n">
        <v>26432.56</v>
      </c>
      <c r="C249" s="31">
        <f>(B249/B248-1)/(A249-A248)*30</f>
        <v/>
      </c>
      <c r="D249" s="25">
        <f>+D248*(1+C249)</f>
        <v/>
      </c>
      <c r="F249" s="23" t="n">
        <v>46142</v>
      </c>
      <c r="G249" s="122" t="n">
        <v>1115.4076</v>
      </c>
      <c r="H249" s="106">
        <f>+G249+$S$148+$S$150+$S$152+$S$154+$S$156+$S$158</f>
        <v/>
      </c>
      <c r="I249" s="31">
        <f>+(H249/H248-1)/(F249-F248)*30</f>
        <v/>
      </c>
      <c r="J249" s="24">
        <f>+J248*(1+I249)</f>
        <v/>
      </c>
      <c r="K249" s="9" t="n">
        <v>6351.9305</v>
      </c>
      <c r="L249" s="31">
        <f>+(K249/K248-1)/(F249-F248)*30</f>
        <v/>
      </c>
      <c r="M249" s="25">
        <f>+M248*(1+L249)</f>
        <v/>
      </c>
    </row>
    <row r="250">
      <c r="A250" s="125" t="n">
        <v>46173</v>
      </c>
      <c r="B250" t="n">
        <v>26535.18</v>
      </c>
      <c r="C250">
        <f>(B250/B249-1)/(A250-A249)*30</f>
        <v/>
      </c>
      <c r="D250">
        <f>+D249*(1+C250)</f>
        <v/>
      </c>
      <c r="F250" s="125" t="n">
        <v>46173</v>
      </c>
      <c r="G250" t="n">
        <v>1122.3441</v>
      </c>
      <c r="H250">
        <f>+G250+$S$148+$S$150+$S$152+$S$154+$S$156+$S$158</f>
        <v/>
      </c>
      <c r="I250">
        <f>+(H250/H249-1)/(F250-F249)*30</f>
        <v/>
      </c>
      <c r="J250">
        <f>+J249*(1+I250)</f>
        <v/>
      </c>
      <c r="K250" t="n">
        <v>6368.94</v>
      </c>
      <c r="L250">
        <f>+(K250/K249-1)/(F250-F249)*30</f>
        <v/>
      </c>
      <c r="M250">
        <f>+M249*(1+L250)</f>
        <v/>
      </c>
    </row>
    <row r="251">
      <c r="A251" s="125" t="n">
        <v>46203</v>
      </c>
      <c r="B251" t="n">
        <v>26634.69</v>
      </c>
      <c r="C251">
        <f>(B251/B250-1)/(A251-A250)*30</f>
        <v/>
      </c>
      <c r="D251">
        <f>+D250*(1+C251)</f>
        <v/>
      </c>
      <c r="F251" s="125" t="n">
        <v>46203</v>
      </c>
      <c r="G251" t="n">
        <v>1129.0862</v>
      </c>
      <c r="H251">
        <f>+G251+$S$148+$S$150+$S$152+$S$154+$S$156+$S$158</f>
        <v/>
      </c>
      <c r="I251">
        <f>+(H251/H250-1)/(F251-F250)*30</f>
        <v/>
      </c>
      <c r="J251">
        <f>+J250*(1+I251)</f>
        <v/>
      </c>
      <c r="K251" t="n">
        <v>6385.6713</v>
      </c>
      <c r="L251">
        <f>+(K251/K250-1)/(F251-F250)*30</f>
        <v/>
      </c>
      <c r="M251">
        <f>+M250*(1+L251)</f>
        <v/>
      </c>
    </row>
  </sheetData>
  <mergeCells count="6">
    <mergeCell ref="AC83:AC85"/>
    <mergeCell ref="AC74:AC76"/>
    <mergeCell ref="AV29:AV30"/>
    <mergeCell ref="AC77:AC79"/>
    <mergeCell ref="AC86:AC88"/>
    <mergeCell ref="AC80:AC82"/>
  </mergeCells>
  <pageMargins left="0.7" right="0.7" top="0.75" bottom="0.75" header="0.3" footer="0.3"/>
  <pageSetup orientation="portrait" paperSize="9"/>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B1:X41"/>
  <sheetViews>
    <sheetView showGridLines="0" tabSelected="1" topLeftCell="B1" zoomScale="60" zoomScaleNormal="60" workbookViewId="0">
      <selection activeCell="E39" sqref="E39:H41"/>
    </sheetView>
  </sheetViews>
  <sheetFormatPr baseColWidth="8" defaultColWidth="11.42578125" defaultRowHeight="15"/>
  <cols>
    <col width="5.85546875" bestFit="1" customWidth="1" style="7" min="3" max="3"/>
    <col width="22" customWidth="1" min="4" max="4"/>
    <col width="7.7109375" customWidth="1" min="5" max="16"/>
    <col width="10.140625" customWidth="1" min="17" max="17"/>
    <col width="25.140625" bestFit="1" customWidth="1" min="19" max="19"/>
    <col width="8.7109375" bestFit="1" customWidth="1" min="20" max="20"/>
    <col width="10.7109375" bestFit="1" customWidth="1" min="21" max="21"/>
    <col width="10.42578125" customWidth="1" min="22" max="22"/>
    <col width="6.7109375" bestFit="1" customWidth="1" min="23" max="23"/>
    <col width="13.28515625" customWidth="1" min="24" max="24"/>
  </cols>
  <sheetData>
    <row r="1" ht="25.5" customHeight="1">
      <c r="C1" s="83" t="n"/>
      <c r="D1" s="84" t="n"/>
      <c r="E1" s="84" t="n"/>
      <c r="F1" s="84" t="n"/>
      <c r="G1" s="84" t="n"/>
      <c r="H1" s="84" t="n"/>
      <c r="I1" s="84" t="n"/>
      <c r="J1" s="84" t="n"/>
      <c r="K1" s="84" t="n"/>
      <c r="L1" s="84" t="n"/>
      <c r="M1" s="84" t="n"/>
      <c r="N1" s="84" t="n"/>
      <c r="O1" s="84" t="n"/>
      <c r="P1" s="84" t="n"/>
      <c r="Q1" s="84" t="n"/>
      <c r="R1" s="84" t="n"/>
      <c r="S1" s="88" t="inlineStr">
        <is>
          <t>Rentabilidad</t>
        </is>
      </c>
      <c r="T1" s="89" t="inlineStr">
        <is>
          <t>Mensual</t>
        </is>
      </c>
      <c r="U1" s="89" t="inlineStr">
        <is>
          <t>Trimestral</t>
        </is>
      </c>
      <c r="V1" s="89" t="inlineStr">
        <is>
          <t>Semestral</t>
        </is>
      </c>
      <c r="W1" s="89" t="inlineStr">
        <is>
          <t>Anual</t>
        </is>
      </c>
      <c r="X1" s="90" t="inlineStr">
        <is>
          <t>Acum
2026 (*)</t>
        </is>
      </c>
    </row>
    <row r="2">
      <c r="C2" s="83" t="n"/>
      <c r="D2" s="84" t="n"/>
      <c r="E2" s="84" t="n"/>
      <c r="F2" s="84" t="n"/>
      <c r="G2" s="84" t="n"/>
      <c r="H2" s="84" t="n"/>
      <c r="I2" s="84" t="n"/>
      <c r="J2" s="84" t="n"/>
      <c r="K2" s="84" t="n"/>
      <c r="L2" s="84" t="n"/>
      <c r="M2" s="84" t="n"/>
      <c r="N2" s="84" t="n"/>
      <c r="O2" s="84" t="n"/>
      <c r="P2" s="84" t="n"/>
      <c r="Q2" s="84" t="n"/>
      <c r="R2" s="84" t="n"/>
      <c r="S2" s="83" t="inlineStr">
        <is>
          <t>ICP (Benchmark)</t>
        </is>
      </c>
      <c r="T2" s="87">
        <f>+'Datos ICP (2)'!AX29</f>
        <v/>
      </c>
      <c r="U2" s="87">
        <f>+'Datos ICP (2)'!AY29</f>
        <v/>
      </c>
      <c r="V2" s="87">
        <f>+'Datos ICP (2)'!AZ29</f>
        <v/>
      </c>
      <c r="W2" s="87">
        <f>+Q33</f>
        <v/>
      </c>
      <c r="X2" s="87">
        <f>+'Datos ICP (2)'!BB29</f>
        <v/>
      </c>
    </row>
    <row r="3">
      <c r="C3" s="83" t="n"/>
      <c r="D3" s="84" t="n"/>
      <c r="E3" s="84" t="n"/>
      <c r="F3" s="84" t="n"/>
      <c r="G3" s="84" t="n"/>
      <c r="H3" s="84" t="n"/>
      <c r="I3" s="84" t="n"/>
      <c r="J3" s="84" t="n"/>
      <c r="K3" s="84" t="n"/>
      <c r="L3" s="84" t="n"/>
      <c r="M3" s="84" t="n"/>
      <c r="N3" s="84" t="n"/>
      <c r="O3" s="84" t="n"/>
      <c r="P3" s="84" t="n"/>
      <c r="Q3" s="84" t="n"/>
      <c r="R3" s="84" t="n"/>
      <c r="S3" s="83" t="inlineStr">
        <is>
          <t>Competencia</t>
        </is>
      </c>
      <c r="T3" s="87">
        <f>+'Datos ICP (2)'!AX30</f>
        <v/>
      </c>
      <c r="U3" s="87">
        <f>+'Datos ICP (2)'!AY30</f>
        <v/>
      </c>
      <c r="V3" s="87">
        <f>+'Datos ICP (2)'!AZ30</f>
        <v/>
      </c>
      <c r="W3" s="87">
        <f>+Q34</f>
        <v/>
      </c>
      <c r="X3" s="87">
        <f>+'Datos ICP (2)'!BB30</f>
        <v/>
      </c>
    </row>
    <row r="4">
      <c r="C4" s="83" t="n"/>
      <c r="D4" s="84" t="n"/>
      <c r="E4" s="84" t="n"/>
      <c r="F4" s="84" t="n"/>
      <c r="G4" s="84" t="n"/>
      <c r="H4" s="84" t="n"/>
      <c r="I4" s="84" t="n"/>
      <c r="J4" s="84" t="n"/>
      <c r="K4" s="84" t="n"/>
      <c r="L4" s="84" t="n"/>
      <c r="M4" s="84" t="n"/>
      <c r="N4" s="84" t="n"/>
      <c r="O4" s="84" t="n"/>
      <c r="P4" s="84" t="n"/>
      <c r="Q4" s="84" t="n"/>
      <c r="R4" s="84" t="n"/>
      <c r="S4" s="84" t="inlineStr">
        <is>
          <t>FIP LIQUIDEZ Presente</t>
        </is>
      </c>
      <c r="T4" s="87">
        <f>+'Datos ICP (2)'!AX31</f>
        <v/>
      </c>
      <c r="U4" s="87">
        <f>+'Datos ICP (2)'!AY31</f>
        <v/>
      </c>
      <c r="V4" s="87">
        <f>+'Datos ICP (2)'!AZ31</f>
        <v/>
      </c>
      <c r="W4" s="87">
        <f>+Q35</f>
        <v/>
      </c>
      <c r="X4" s="87">
        <f>+'Datos ICP (2)'!BB31</f>
        <v/>
      </c>
    </row>
    <row r="5">
      <c r="B5" s="8" t="n"/>
      <c r="C5" s="83" t="n"/>
      <c r="D5" s="84" t="n"/>
      <c r="E5" s="84" t="n"/>
      <c r="F5" s="84" t="n"/>
      <c r="G5" s="84" t="n"/>
      <c r="H5" s="84" t="n"/>
      <c r="I5" s="84" t="n"/>
      <c r="J5" s="84" t="n"/>
      <c r="K5" s="84" t="n"/>
      <c r="L5" s="84" t="n"/>
      <c r="M5" s="84" t="n"/>
      <c r="N5" s="84" t="n"/>
      <c r="O5" s="84" t="n"/>
      <c r="P5" s="84" t="n"/>
      <c r="Q5" s="84" t="n"/>
      <c r="R5" s="84" t="n"/>
      <c r="S5" s="84" t="n"/>
      <c r="T5" s="84" t="n"/>
      <c r="U5" s="84" t="n"/>
      <c r="V5" s="84" t="n"/>
      <c r="W5" s="84" t="n"/>
      <c r="X5" s="84" t="n"/>
    </row>
    <row r="6" ht="25.5" customHeight="1">
      <c r="B6" s="8" t="n"/>
      <c r="C6" s="88" t="inlineStr">
        <is>
          <t>Año</t>
        </is>
      </c>
      <c r="D6" s="93" t="inlineStr">
        <is>
          <t>Fondo</t>
        </is>
      </c>
      <c r="E6" s="89" t="inlineStr">
        <is>
          <t>Ene</t>
        </is>
      </c>
      <c r="F6" s="89" t="inlineStr">
        <is>
          <t>Feb</t>
        </is>
      </c>
      <c r="G6" s="89" t="inlineStr">
        <is>
          <t>Mar</t>
        </is>
      </c>
      <c r="H6" s="89" t="inlineStr">
        <is>
          <t>Abr</t>
        </is>
      </c>
      <c r="I6" s="89" t="inlineStr">
        <is>
          <t>May</t>
        </is>
      </c>
      <c r="J6" s="89" t="inlineStr">
        <is>
          <t>Jun</t>
        </is>
      </c>
      <c r="K6" s="89" t="inlineStr">
        <is>
          <t>Jul</t>
        </is>
      </c>
      <c r="L6" s="89" t="inlineStr">
        <is>
          <t>Ago</t>
        </is>
      </c>
      <c r="M6" s="89" t="inlineStr">
        <is>
          <t>Sep</t>
        </is>
      </c>
      <c r="N6" s="89" t="inlineStr">
        <is>
          <t>Oct</t>
        </is>
      </c>
      <c r="O6" s="89" t="inlineStr">
        <is>
          <t>Nov</t>
        </is>
      </c>
      <c r="P6" s="89" t="inlineStr">
        <is>
          <t>Dic</t>
        </is>
      </c>
      <c r="Q6" s="90" t="inlineStr">
        <is>
          <t>Total
Año</t>
        </is>
      </c>
      <c r="R6" s="85" t="n"/>
      <c r="S6" s="84" t="n"/>
      <c r="T6" s="84" t="n"/>
      <c r="U6" s="84" t="n"/>
      <c r="V6" s="84" t="n"/>
      <c r="W6" s="84" t="n"/>
      <c r="X6" s="84" t="n"/>
    </row>
    <row r="7" ht="15" customHeight="1">
      <c r="B7" s="8" t="n"/>
      <c r="C7" s="83" t="n"/>
      <c r="D7" s="84" t="n"/>
      <c r="E7" s="91" t="n"/>
      <c r="F7" s="91" t="n"/>
      <c r="G7" s="91" t="n"/>
      <c r="H7" s="91" t="n"/>
      <c r="I7" s="91" t="n"/>
      <c r="J7" s="91" t="n"/>
      <c r="K7" s="91" t="n"/>
      <c r="L7" s="91" t="n"/>
      <c r="M7" s="91" t="n"/>
      <c r="N7" s="91" t="n"/>
      <c r="O7" s="91" t="n"/>
      <c r="P7" s="91" t="n"/>
      <c r="Q7" s="91" t="n"/>
      <c r="R7" s="85" t="n"/>
      <c r="S7" s="84" t="n"/>
      <c r="T7" s="84" t="n"/>
      <c r="U7" s="84" t="n"/>
      <c r="V7" s="84" t="n"/>
      <c r="W7" s="84" t="n"/>
      <c r="X7" s="84" t="n"/>
    </row>
    <row r="8" hidden="1" ht="15" customHeight="1">
      <c r="B8" s="8" t="n"/>
      <c r="C8" s="83" t="n">
        <v>2013</v>
      </c>
      <c r="D8" s="84" t="inlineStr">
        <is>
          <t>ICP</t>
        </is>
      </c>
      <c r="E8" s="87" t="n"/>
      <c r="F8" s="87" t="n"/>
      <c r="G8" s="87" t="n"/>
      <c r="H8" s="87" t="n"/>
      <c r="I8" s="87" t="n"/>
      <c r="J8" s="87" t="n"/>
      <c r="K8" s="87" t="n"/>
      <c r="L8" s="87" t="n"/>
      <c r="M8" s="87" t="n"/>
      <c r="N8" s="87" t="n"/>
      <c r="O8" s="87" t="n"/>
      <c r="P8" s="87" t="n"/>
      <c r="Q8" s="87" t="n"/>
      <c r="R8" s="84" t="n"/>
      <c r="S8" s="84" t="n"/>
      <c r="T8" s="84" t="n"/>
      <c r="U8" s="84" t="n"/>
      <c r="V8" s="84" t="n"/>
      <c r="W8" s="84" t="n"/>
      <c r="X8" s="84" t="n"/>
    </row>
    <row r="9" hidden="1" ht="15" customHeight="1">
      <c r="B9" s="8" t="n"/>
      <c r="C9" s="83" t="n">
        <v>2014</v>
      </c>
      <c r="D9" s="84" t="inlineStr">
        <is>
          <t>ICP</t>
        </is>
      </c>
      <c r="E9" s="87" t="n"/>
      <c r="F9" s="87" t="n"/>
      <c r="G9" s="87" t="n"/>
      <c r="H9" s="87" t="n"/>
      <c r="I9" s="87" t="n"/>
      <c r="J9" s="87" t="n"/>
      <c r="K9" s="87" t="n"/>
      <c r="L9" s="87" t="n"/>
      <c r="M9" s="87" t="n"/>
      <c r="N9" s="87" t="n"/>
      <c r="O9" s="87" t="n"/>
      <c r="P9" s="87" t="n"/>
      <c r="Q9" s="87" t="n"/>
      <c r="R9" s="84" t="n"/>
      <c r="S9" s="84" t="n"/>
      <c r="T9" s="84" t="n"/>
      <c r="U9" s="84" t="n"/>
      <c r="V9" s="84" t="n"/>
      <c r="W9" s="84" t="n"/>
      <c r="X9" s="84" t="n"/>
    </row>
    <row r="10" hidden="1" ht="15" customHeight="1">
      <c r="B10" s="8" t="n"/>
      <c r="C10" s="83" t="n">
        <v>2015</v>
      </c>
      <c r="D10" s="84" t="inlineStr">
        <is>
          <t>ICP</t>
        </is>
      </c>
      <c r="E10" s="87" t="n"/>
      <c r="F10" s="87" t="n"/>
      <c r="G10" s="87" t="n"/>
      <c r="H10" s="87" t="n"/>
      <c r="I10" s="87" t="n"/>
      <c r="J10" s="87" t="n"/>
      <c r="K10" s="87" t="n"/>
      <c r="L10" s="87" t="n"/>
      <c r="M10" s="87" t="n"/>
      <c r="N10" s="87" t="n"/>
      <c r="O10" s="87" t="n"/>
      <c r="P10" s="87" t="n"/>
      <c r="Q10" s="87" t="n"/>
      <c r="R10" s="84" t="n"/>
      <c r="S10" s="84" t="n"/>
      <c r="T10" s="84" t="n"/>
      <c r="U10" s="84" t="n"/>
      <c r="V10" s="84" t="n"/>
      <c r="W10" s="84" t="n"/>
      <c r="X10" s="84" t="n"/>
    </row>
    <row r="11" hidden="1" ht="15" customHeight="1">
      <c r="B11" s="8" t="n"/>
      <c r="C11" s="83" t="n">
        <v>2016</v>
      </c>
      <c r="D11" s="84" t="inlineStr">
        <is>
          <t>ICP</t>
        </is>
      </c>
      <c r="E11" s="87" t="n"/>
      <c r="F11" s="87" t="n"/>
      <c r="G11" s="87" t="n"/>
      <c r="H11" s="87" t="n"/>
      <c r="I11" s="87" t="n"/>
      <c r="J11" s="87" t="n"/>
      <c r="K11" s="87" t="n"/>
      <c r="L11" s="87" t="n"/>
      <c r="M11" s="87" t="n"/>
      <c r="N11" s="87" t="n"/>
      <c r="O11" s="87" t="n"/>
      <c r="P11" s="87" t="n"/>
      <c r="Q11" s="87" t="n"/>
      <c r="R11" s="84" t="n"/>
      <c r="S11" s="84" t="n"/>
      <c r="T11" s="84" t="n"/>
      <c r="U11" s="84" t="n"/>
      <c r="V11" s="84" t="n"/>
      <c r="W11" s="84" t="n"/>
      <c r="X11" s="84" t="n"/>
    </row>
    <row r="12" hidden="1" ht="15" customHeight="1">
      <c r="B12" s="8" t="n"/>
      <c r="C12" s="83" t="n">
        <v>2017</v>
      </c>
      <c r="D12" s="84" t="inlineStr">
        <is>
          <t>ICP</t>
        </is>
      </c>
      <c r="E12" s="87" t="n"/>
      <c r="F12" s="87" t="n"/>
      <c r="G12" s="87" t="n"/>
      <c r="H12" s="87" t="n"/>
      <c r="I12" s="87" t="n"/>
      <c r="J12" s="87" t="n"/>
      <c r="K12" s="87" t="n"/>
      <c r="L12" s="87" t="n"/>
      <c r="M12" s="87" t="n"/>
      <c r="N12" s="87" t="n"/>
      <c r="O12" s="87" t="n"/>
      <c r="P12" s="87" t="n"/>
      <c r="Q12" s="87" t="n"/>
      <c r="R12" s="84" t="n"/>
      <c r="S12" s="84" t="n"/>
      <c r="T12" s="123" t="n"/>
      <c r="U12" s="84" t="n"/>
      <c r="V12" s="84" t="n"/>
      <c r="W12" s="84" t="n"/>
      <c r="X12" s="84" t="n"/>
    </row>
    <row r="13" hidden="1" ht="15" customHeight="1">
      <c r="B13" s="8" t="n"/>
      <c r="C13" s="83" t="n"/>
      <c r="D13" s="84" t="inlineStr">
        <is>
          <t>Competencia</t>
        </is>
      </c>
      <c r="E13" s="87" t="n"/>
      <c r="F13" s="87" t="n"/>
      <c r="G13" s="87" t="n"/>
      <c r="H13" s="87" t="n"/>
      <c r="I13" s="87" t="n"/>
      <c r="J13" s="87" t="n"/>
      <c r="K13" s="87" t="n"/>
      <c r="L13" s="87" t="n"/>
      <c r="M13" s="87" t="n"/>
      <c r="N13" s="87" t="n"/>
      <c r="O13" s="87" t="n"/>
      <c r="P13" s="87" t="n"/>
      <c r="Q13" s="87" t="n"/>
      <c r="R13" s="84" t="n"/>
      <c r="S13" s="84" t="n"/>
      <c r="T13" s="84" t="n"/>
      <c r="U13" s="84" t="n"/>
      <c r="V13" s="84" t="n"/>
      <c r="W13" s="84" t="n"/>
      <c r="X13" s="84" t="n"/>
    </row>
    <row r="14" hidden="1" ht="15" customHeight="1">
      <c r="B14" s="8" t="n"/>
      <c r="C14" s="83" t="n"/>
      <c r="D14" s="84" t="inlineStr">
        <is>
          <t>FIP LIQUIDEZ Presente</t>
        </is>
      </c>
      <c r="E14" s="87" t="n"/>
      <c r="F14" s="87" t="n"/>
      <c r="G14" s="87" t="n"/>
      <c r="H14" s="87" t="n"/>
      <c r="I14" s="87" t="n"/>
      <c r="J14" s="87" t="n"/>
      <c r="K14" s="87" t="n"/>
      <c r="L14" s="87" t="n"/>
      <c r="M14" s="87" t="n"/>
      <c r="N14" s="87" t="n"/>
      <c r="O14" s="87" t="n"/>
      <c r="P14" s="87" t="n"/>
      <c r="Q14" s="87" t="n"/>
      <c r="R14" s="84" t="n"/>
      <c r="S14" s="84" t="n"/>
      <c r="T14" s="84" t="n"/>
      <c r="U14" s="84" t="n"/>
      <c r="V14" s="84" t="n"/>
      <c r="W14" s="84" t="n"/>
      <c r="X14" s="84" t="n"/>
    </row>
    <row r="15" hidden="1" ht="15" customHeight="1">
      <c r="B15" s="8" t="n"/>
      <c r="C15" s="83" t="n">
        <v>2018</v>
      </c>
      <c r="D15" s="84" t="inlineStr">
        <is>
          <t>ICP</t>
        </is>
      </c>
      <c r="E15" s="87" t="n"/>
      <c r="F15" s="87" t="n"/>
      <c r="G15" s="87" t="n"/>
      <c r="H15" s="87" t="n"/>
      <c r="I15" s="87" t="n"/>
      <c r="J15" s="87" t="n"/>
      <c r="K15" s="87" t="n"/>
      <c r="L15" s="87" t="n"/>
      <c r="M15" s="87" t="n"/>
      <c r="N15" s="87" t="n"/>
      <c r="O15" s="87" t="n"/>
      <c r="P15" s="87" t="n"/>
      <c r="Q15" s="87" t="n"/>
      <c r="R15" s="84" t="n"/>
      <c r="S15" s="84" t="n"/>
      <c r="T15" s="84" t="n"/>
      <c r="U15" s="84" t="n"/>
      <c r="V15" s="84" t="n"/>
      <c r="W15" s="84" t="n"/>
      <c r="X15" s="84" t="n"/>
    </row>
    <row r="16" hidden="1" ht="15" customHeight="1">
      <c r="B16" s="8" t="n"/>
      <c r="C16" s="83" t="n"/>
      <c r="D16" s="84" t="inlineStr">
        <is>
          <t>Competencia</t>
        </is>
      </c>
      <c r="E16" s="87" t="n"/>
      <c r="F16" s="87" t="n"/>
      <c r="G16" s="87" t="n"/>
      <c r="H16" s="87" t="n"/>
      <c r="I16" s="87" t="n"/>
      <c r="J16" s="87" t="n"/>
      <c r="K16" s="87" t="n"/>
      <c r="L16" s="87" t="n"/>
      <c r="M16" s="87" t="n"/>
      <c r="N16" s="87" t="n"/>
      <c r="O16" s="87" t="n"/>
      <c r="P16" s="87" t="n"/>
      <c r="Q16" s="87" t="n"/>
      <c r="R16" s="84" t="n"/>
      <c r="S16" s="84" t="n"/>
      <c r="T16" s="84" t="n"/>
      <c r="U16" s="84" t="n"/>
      <c r="V16" s="84" t="n"/>
      <c r="W16" s="84" t="n"/>
      <c r="X16" s="84" t="n"/>
    </row>
    <row r="17" hidden="1" ht="15" customHeight="1">
      <c r="B17" s="8" t="n"/>
      <c r="C17" s="83" t="n"/>
      <c r="D17" s="84" t="inlineStr">
        <is>
          <t>FIP LIQUIDEZ Presente</t>
        </is>
      </c>
      <c r="E17" s="87" t="n"/>
      <c r="F17" s="87" t="n"/>
      <c r="G17" s="87" t="n"/>
      <c r="H17" s="87" t="n"/>
      <c r="I17" s="87" t="n"/>
      <c r="J17" s="87" t="n"/>
      <c r="K17" s="87" t="n"/>
      <c r="L17" s="87" t="n"/>
      <c r="M17" s="87" t="n"/>
      <c r="N17" s="87" t="n"/>
      <c r="O17" s="87" t="n"/>
      <c r="P17" s="87" t="n"/>
      <c r="Q17" s="87" t="n"/>
      <c r="R17" s="84" t="n"/>
      <c r="S17" s="84" t="n"/>
      <c r="T17" s="84" t="n"/>
      <c r="U17" s="84" t="n"/>
      <c r="V17" s="84" t="n"/>
      <c r="W17" s="84" t="n"/>
      <c r="X17" s="84" t="n"/>
    </row>
    <row r="18" hidden="1" ht="15" customHeight="1">
      <c r="C18" s="83" t="n">
        <v>2019</v>
      </c>
      <c r="D18" s="84" t="inlineStr">
        <is>
          <t>ICP</t>
        </is>
      </c>
      <c r="E18" s="87" t="n"/>
      <c r="F18" s="87" t="n"/>
      <c r="G18" s="87" t="n"/>
      <c r="H18" s="87" t="n"/>
      <c r="I18" s="87" t="n"/>
      <c r="J18" s="87" t="n"/>
      <c r="K18" s="87" t="n"/>
      <c r="L18" s="87" t="n"/>
      <c r="M18" s="87" t="n"/>
      <c r="N18" s="87" t="n"/>
      <c r="O18" s="87" t="n"/>
      <c r="P18" s="87" t="n"/>
      <c r="Q18" s="87" t="n"/>
      <c r="R18" s="84" t="n"/>
      <c r="S18" s="84" t="n"/>
      <c r="T18" s="84" t="n"/>
      <c r="U18" s="84" t="n"/>
      <c r="V18" s="84" t="n"/>
      <c r="W18" s="84" t="n"/>
      <c r="X18" s="84" t="n"/>
    </row>
    <row r="19" hidden="1" ht="15" customHeight="1">
      <c r="C19" s="83" t="n"/>
      <c r="D19" s="84" t="inlineStr">
        <is>
          <t>Competencia</t>
        </is>
      </c>
      <c r="E19" s="87" t="n"/>
      <c r="F19" s="87" t="n"/>
      <c r="G19" s="87" t="n"/>
      <c r="H19" s="87" t="n"/>
      <c r="I19" s="87" t="n"/>
      <c r="J19" s="87" t="n"/>
      <c r="K19" s="87" t="n"/>
      <c r="L19" s="87" t="n"/>
      <c r="M19" s="87" t="n"/>
      <c r="N19" s="87" t="n"/>
      <c r="O19" s="87" t="n"/>
      <c r="P19" s="87" t="n"/>
      <c r="Q19" s="87" t="n"/>
      <c r="R19" s="84" t="n"/>
      <c r="S19" s="84" t="n"/>
      <c r="T19" s="84" t="n"/>
      <c r="U19" s="84" t="n"/>
      <c r="V19" s="84" t="n"/>
      <c r="W19" s="84" t="n"/>
      <c r="X19" s="84" t="n"/>
    </row>
    <row r="20" hidden="1" ht="15" customHeight="1">
      <c r="C20" s="83" t="n"/>
      <c r="D20" s="84" t="inlineStr">
        <is>
          <t>FIP LIQUIDEZ Presente</t>
        </is>
      </c>
      <c r="E20" s="87" t="n"/>
      <c r="F20" s="87" t="n"/>
      <c r="G20" s="87" t="n"/>
      <c r="H20" s="87" t="n"/>
      <c r="I20" s="87" t="n"/>
      <c r="J20" s="87" t="n"/>
      <c r="K20" s="87" t="n"/>
      <c r="L20" s="87" t="n"/>
      <c r="M20" s="87" t="n"/>
      <c r="N20" s="87" t="n"/>
      <c r="O20" s="87" t="n"/>
      <c r="P20" s="87" t="n"/>
      <c r="Q20" s="87" t="n"/>
      <c r="R20" s="84" t="n"/>
      <c r="S20" s="84" t="n"/>
      <c r="T20" s="84" t="n"/>
      <c r="U20" s="84" t="n"/>
      <c r="V20" s="84" t="n"/>
      <c r="W20" s="84" t="n"/>
      <c r="X20" s="84" t="n"/>
    </row>
    <row r="21" hidden="1" ht="15" customHeight="1">
      <c r="C21" s="83" t="n">
        <v>2020</v>
      </c>
      <c r="D21" s="84" t="inlineStr">
        <is>
          <t>ICP</t>
        </is>
      </c>
      <c r="E21" s="87" t="n"/>
      <c r="F21" s="87" t="n"/>
      <c r="G21" s="87" t="n"/>
      <c r="H21" s="87" t="n"/>
      <c r="I21" s="87" t="n"/>
      <c r="J21" s="87" t="n"/>
      <c r="K21" s="87" t="n"/>
      <c r="L21" s="87" t="n"/>
      <c r="M21" s="87" t="n"/>
      <c r="N21" s="87" t="n"/>
      <c r="O21" s="87" t="n"/>
      <c r="P21" s="87" t="n"/>
      <c r="Q21" s="87" t="n"/>
      <c r="R21" s="84" t="n"/>
      <c r="S21" s="84" t="n"/>
      <c r="T21" s="84" t="n"/>
      <c r="U21" s="84" t="n"/>
      <c r="V21" s="84" t="n"/>
      <c r="W21" s="84" t="n"/>
      <c r="X21" s="84" t="n"/>
    </row>
    <row r="22" hidden="1" ht="15" customHeight="1">
      <c r="C22" s="83" t="n"/>
      <c r="D22" s="84" t="inlineStr">
        <is>
          <t>Competencia</t>
        </is>
      </c>
      <c r="E22" s="87" t="n"/>
      <c r="F22" s="87" t="n"/>
      <c r="G22" s="87" t="n"/>
      <c r="H22" s="87" t="n"/>
      <c r="I22" s="87" t="n"/>
      <c r="J22" s="87" t="n"/>
      <c r="K22" s="87" t="n"/>
      <c r="L22" s="87" t="n"/>
      <c r="M22" s="87" t="n"/>
      <c r="N22" s="87" t="n"/>
      <c r="O22" s="87" t="n"/>
      <c r="P22" s="87" t="n"/>
      <c r="Q22" s="87" t="n"/>
      <c r="R22" s="84" t="n"/>
      <c r="S22" s="84" t="n"/>
      <c r="T22" s="84" t="n"/>
      <c r="U22" s="84" t="n"/>
      <c r="V22" s="84" t="n"/>
      <c r="W22" s="84" t="n"/>
      <c r="X22" s="84" t="n"/>
    </row>
    <row r="23" hidden="1" ht="15" customHeight="1">
      <c r="C23" s="83" t="n"/>
      <c r="D23" s="84" t="inlineStr">
        <is>
          <t>FIP LIQUIDEZ Presente</t>
        </is>
      </c>
      <c r="E23" s="87" t="n"/>
      <c r="F23" s="87" t="n"/>
      <c r="G23" s="87" t="n"/>
      <c r="H23" s="87" t="n"/>
      <c r="I23" s="87" t="n"/>
      <c r="J23" s="87" t="n"/>
      <c r="K23" s="87" t="n"/>
      <c r="L23" s="87" t="n"/>
      <c r="M23" s="87" t="n"/>
      <c r="N23" s="87" t="n"/>
      <c r="O23" s="87" t="n"/>
      <c r="P23" s="87" t="n"/>
      <c r="Q23" s="87" t="n"/>
      <c r="R23" s="84" t="n"/>
      <c r="S23" s="84" t="n"/>
      <c r="T23" s="84" t="n"/>
      <c r="U23" s="84" t="n"/>
      <c r="V23" s="84" t="n"/>
      <c r="W23" s="84" t="n"/>
      <c r="X23" s="84" t="n"/>
    </row>
    <row r="24" hidden="1" ht="15" customHeight="1">
      <c r="C24" s="83" t="n">
        <v>2021</v>
      </c>
      <c r="D24" s="84" t="inlineStr">
        <is>
          <t>ICP</t>
        </is>
      </c>
      <c r="E24" s="87" t="n"/>
      <c r="F24" s="87" t="n"/>
      <c r="G24" s="87" t="n"/>
      <c r="H24" s="87" t="n"/>
      <c r="I24" s="87" t="n"/>
      <c r="J24" s="87" t="n"/>
      <c r="K24" s="87" t="n"/>
      <c r="L24" s="87" t="n"/>
      <c r="M24" s="87" t="n"/>
      <c r="N24" s="87" t="n"/>
      <c r="O24" s="87" t="n"/>
      <c r="P24" s="87" t="n"/>
      <c r="Q24" s="87" t="n"/>
      <c r="R24" s="84" t="n"/>
      <c r="S24" s="84" t="n"/>
      <c r="T24" s="84" t="n"/>
      <c r="U24" s="84" t="n"/>
      <c r="V24" s="84" t="n"/>
      <c r="W24" s="84" t="n"/>
      <c r="X24" s="84" t="n"/>
    </row>
    <row r="25" hidden="1" ht="15" customHeight="1">
      <c r="C25" s="83" t="n"/>
      <c r="D25" s="84" t="inlineStr">
        <is>
          <t>Competencia</t>
        </is>
      </c>
      <c r="E25" s="92" t="n"/>
      <c r="F25" s="87" t="n"/>
      <c r="G25" s="87" t="n"/>
      <c r="H25" s="87" t="n"/>
      <c r="I25" s="87" t="n"/>
      <c r="J25" s="87" t="n"/>
      <c r="K25" s="87" t="n"/>
      <c r="L25" s="87" t="n"/>
      <c r="M25" s="87" t="n"/>
      <c r="N25" s="87" t="n"/>
      <c r="O25" s="87" t="n"/>
      <c r="P25" s="87" t="n"/>
      <c r="Q25" s="87" t="n"/>
      <c r="R25" s="84" t="n"/>
      <c r="S25" s="84" t="n"/>
      <c r="T25" s="84" t="n"/>
      <c r="U25" s="84" t="n"/>
      <c r="V25" s="84" t="n"/>
      <c r="W25" s="84" t="n"/>
      <c r="X25" s="84" t="n"/>
    </row>
    <row r="26" hidden="1" ht="15" customHeight="1">
      <c r="C26" s="83" t="n"/>
      <c r="D26" s="84" t="inlineStr">
        <is>
          <t>FIP LIQUIDEZ Presente</t>
        </is>
      </c>
      <c r="E26" s="92" t="n"/>
      <c r="F26" s="87" t="n"/>
      <c r="G26" s="87" t="n"/>
      <c r="H26" s="87" t="n"/>
      <c r="I26" s="87" t="n"/>
      <c r="J26" s="87" t="n"/>
      <c r="K26" s="87" t="n"/>
      <c r="L26" s="87" t="n"/>
      <c r="M26" s="87" t="n"/>
      <c r="N26" s="87" t="n"/>
      <c r="O26" s="87" t="n"/>
      <c r="P26" s="87" t="n"/>
      <c r="Q26" s="87" t="n"/>
      <c r="R26" s="84" t="n"/>
      <c r="S26" s="84" t="n"/>
      <c r="T26" s="84" t="n"/>
      <c r="U26" s="84" t="n"/>
      <c r="V26" s="84" t="n"/>
      <c r="W26" s="84" t="n"/>
      <c r="X26" s="84" t="n"/>
    </row>
    <row r="27" hidden="1" ht="15" customHeight="1">
      <c r="C27" s="83" t="n">
        <v>2022</v>
      </c>
      <c r="D27" s="84" t="inlineStr">
        <is>
          <t>ICP</t>
        </is>
      </c>
      <c r="E27" s="87" t="n"/>
      <c r="F27" s="87" t="n"/>
      <c r="G27" s="87" t="n"/>
      <c r="H27" s="87" t="n"/>
      <c r="I27" s="87" t="n"/>
      <c r="J27" s="87" t="n"/>
      <c r="K27" s="87" t="n"/>
      <c r="L27" s="87" t="n"/>
      <c r="M27" s="87" t="n"/>
      <c r="N27" s="87" t="n"/>
      <c r="O27" s="87" t="n"/>
      <c r="P27" s="87" t="n"/>
      <c r="Q27" s="87" t="n"/>
      <c r="R27" s="84" t="n"/>
      <c r="S27" s="84" t="n"/>
      <c r="T27" s="84" t="n"/>
      <c r="U27" s="84" t="n"/>
      <c r="V27" s="84" t="n"/>
      <c r="W27" s="84" t="n"/>
      <c r="X27" s="84" t="n"/>
    </row>
    <row r="28" hidden="1" ht="15" customHeight="1">
      <c r="C28" s="83" t="n"/>
      <c r="D28" s="84" t="inlineStr">
        <is>
          <t>Competencia</t>
        </is>
      </c>
      <c r="E28" s="92" t="n"/>
      <c r="F28" s="87" t="n"/>
      <c r="G28" s="87" t="n"/>
      <c r="H28" s="87" t="n"/>
      <c r="I28" s="87" t="n"/>
      <c r="J28" s="87" t="n"/>
      <c r="K28" s="87" t="n"/>
      <c r="L28" s="87" t="n"/>
      <c r="M28" s="87" t="n"/>
      <c r="N28" s="87" t="n"/>
      <c r="O28" s="87" t="n"/>
      <c r="P28" s="87" t="n"/>
      <c r="Q28" s="87" t="n"/>
      <c r="R28" s="84" t="n"/>
      <c r="S28" s="84" t="n"/>
      <c r="T28" s="84" t="n"/>
      <c r="U28" s="84" t="n"/>
      <c r="V28" s="84" t="n"/>
      <c r="W28" s="84" t="n"/>
      <c r="X28" s="84" t="n"/>
    </row>
    <row r="29" hidden="1" ht="15" customHeight="1">
      <c r="C29" s="83" t="n"/>
      <c r="D29" s="84" t="inlineStr">
        <is>
          <t>FIP LIQUIDEZ Presente</t>
        </is>
      </c>
      <c r="E29" s="92" t="n"/>
      <c r="F29" s="87" t="n"/>
      <c r="G29" s="87" t="n"/>
      <c r="H29" s="87" t="n"/>
      <c r="I29" s="87" t="n"/>
      <c r="J29" s="87" t="n"/>
      <c r="K29" s="87" t="n"/>
      <c r="L29" s="87" t="n"/>
      <c r="M29" s="87" t="n"/>
      <c r="N29" s="87" t="n"/>
      <c r="O29" s="87" t="n"/>
      <c r="P29" s="87" t="n"/>
      <c r="Q29" s="87" t="n"/>
      <c r="R29" s="84" t="n"/>
      <c r="S29" s="84" t="n"/>
      <c r="T29" s="84" t="n"/>
      <c r="U29" s="84" t="n"/>
      <c r="V29" s="84" t="n"/>
      <c r="W29" s="84" t="n"/>
      <c r="X29" s="84" t="n"/>
    </row>
    <row r="30" hidden="1" ht="15" customHeight="1">
      <c r="C30" s="83" t="n">
        <v>2023</v>
      </c>
      <c r="D30" s="84" t="inlineStr">
        <is>
          <t>ICP</t>
        </is>
      </c>
      <c r="E30" s="87" t="n"/>
      <c r="F30" s="87" t="n"/>
      <c r="G30" s="87" t="n"/>
      <c r="H30" s="87" t="n"/>
      <c r="I30" s="87" t="n"/>
      <c r="J30" s="87" t="n"/>
      <c r="K30" s="87" t="n"/>
      <c r="L30" s="87" t="n"/>
      <c r="M30" s="87" t="n"/>
      <c r="N30" s="87" t="n"/>
      <c r="O30" s="87" t="n"/>
      <c r="P30" s="87" t="n"/>
      <c r="Q30" s="87" t="n"/>
      <c r="R30" s="84" t="n"/>
      <c r="S30" s="84" t="n"/>
      <c r="T30" s="84" t="n"/>
      <c r="U30" s="84" t="n"/>
      <c r="V30" s="84" t="n"/>
      <c r="W30" s="84" t="n"/>
      <c r="X30" s="84" t="n"/>
    </row>
    <row r="31" hidden="1" ht="15" customHeight="1">
      <c r="C31" s="83" t="n"/>
      <c r="D31" s="84" t="inlineStr">
        <is>
          <t>Competencia</t>
        </is>
      </c>
      <c r="E31" s="92" t="n"/>
      <c r="F31" s="92" t="n"/>
      <c r="G31" s="92" t="n"/>
      <c r="H31" s="92" t="n"/>
      <c r="I31" s="92" t="n"/>
      <c r="J31" s="92" t="n"/>
      <c r="K31" s="92" t="n"/>
      <c r="L31" s="92" t="n"/>
      <c r="M31" s="92" t="n"/>
      <c r="N31" s="92" t="n"/>
      <c r="O31" s="92" t="n"/>
      <c r="P31" s="92" t="n"/>
      <c r="Q31" s="87" t="n"/>
      <c r="R31" s="84" t="n"/>
      <c r="S31" s="84" t="n"/>
      <c r="T31" s="84" t="n"/>
      <c r="U31" s="84" t="n"/>
      <c r="V31" s="84" t="n"/>
      <c r="W31" s="84" t="n"/>
      <c r="X31" s="84" t="n"/>
    </row>
    <row r="32" hidden="1" ht="15" customHeight="1">
      <c r="C32" s="83" t="n"/>
      <c r="D32" s="84" t="inlineStr">
        <is>
          <t>FIP LIQUIDEZ Presente</t>
        </is>
      </c>
      <c r="E32" s="92" t="n"/>
      <c r="F32" s="92" t="n"/>
      <c r="G32" s="92" t="n"/>
      <c r="H32" s="92" t="n"/>
      <c r="I32" s="92" t="n"/>
      <c r="J32" s="92" t="n"/>
      <c r="K32" s="92" t="n"/>
      <c r="L32" s="92" t="n"/>
      <c r="M32" s="92" t="n"/>
      <c r="N32" s="92" t="n"/>
      <c r="O32" s="92" t="n"/>
      <c r="P32" s="92" t="n"/>
      <c r="Q32" s="87" t="n"/>
      <c r="R32" s="84" t="n"/>
      <c r="S32" s="84" t="n"/>
      <c r="T32" s="84" t="n"/>
      <c r="U32" s="84" t="n"/>
      <c r="V32" s="84" t="n"/>
      <c r="W32" s="84" t="n"/>
      <c r="X32" s="84" t="n"/>
    </row>
    <row r="33" ht="15" customHeight="1">
      <c r="C33" s="83" t="n">
        <v>2024</v>
      </c>
      <c r="D33" s="84" t="inlineStr">
        <is>
          <t>ICP</t>
        </is>
      </c>
      <c r="E33" s="87" t="n"/>
      <c r="F33" s="87" t="n"/>
      <c r="G33" s="87" t="n"/>
      <c r="H33" s="87" t="n"/>
      <c r="I33" s="87" t="n"/>
      <c r="J33" s="87" t="n"/>
      <c r="K33" s="87" t="n"/>
      <c r="L33" s="87" t="n"/>
      <c r="M33" s="87" t="n"/>
      <c r="N33" s="87" t="n"/>
      <c r="O33" s="87">
        <f>+'Datos ICP (2)'!AO80</f>
        <v/>
      </c>
      <c r="P33" s="87">
        <f>+'Datos ICP (2)'!AP80</f>
        <v/>
      </c>
      <c r="Q33" s="87">
        <f>+'Datos ICP (2)'!$AQ$80</f>
        <v/>
      </c>
      <c r="R33" s="84" t="n"/>
      <c r="S33" s="84" t="n"/>
      <c r="T33" s="84" t="n"/>
      <c r="U33" s="84" t="n"/>
      <c r="V33" s="84" t="n"/>
      <c r="W33" s="84" t="n"/>
      <c r="X33" s="84" t="n"/>
    </row>
    <row r="34" ht="15" customHeight="1">
      <c r="C34" s="83" t="n"/>
      <c r="D34" s="84" t="inlineStr">
        <is>
          <t>Competencia</t>
        </is>
      </c>
      <c r="E34" s="92" t="n"/>
      <c r="F34" s="92" t="n"/>
      <c r="G34" s="92" t="n"/>
      <c r="H34" s="92" t="n"/>
      <c r="I34" s="92" t="n"/>
      <c r="J34" s="92" t="n"/>
      <c r="K34" s="92" t="n"/>
      <c r="L34" s="92" t="n"/>
      <c r="M34" s="92" t="n"/>
      <c r="N34" s="92" t="n"/>
      <c r="O34" s="92">
        <f>+'Datos ICP (2)'!AO81</f>
        <v/>
      </c>
      <c r="P34" s="92">
        <f>+'Datos ICP (2)'!AP81</f>
        <v/>
      </c>
      <c r="Q34" s="87">
        <f>+'Datos ICP (2)'!$AQ$81</f>
        <v/>
      </c>
      <c r="R34" s="84" t="n"/>
      <c r="S34" s="84" t="n"/>
      <c r="T34" s="84" t="n"/>
      <c r="U34" s="84" t="n"/>
      <c r="V34" s="84" t="n"/>
      <c r="W34" s="84" t="n"/>
      <c r="X34" s="84" t="n"/>
    </row>
    <row r="35" ht="15" customHeight="1">
      <c r="C35" s="83" t="n"/>
      <c r="D35" s="84" t="inlineStr">
        <is>
          <t>FIP LIQUIDEZ Presente</t>
        </is>
      </c>
      <c r="E35" s="92" t="n"/>
      <c r="F35" s="92" t="n"/>
      <c r="G35" s="92" t="n"/>
      <c r="H35" s="92" t="n"/>
      <c r="I35" s="92" t="n"/>
      <c r="J35" s="92" t="n"/>
      <c r="K35" s="92" t="n"/>
      <c r="L35" s="92" t="n"/>
      <c r="M35" s="92" t="n"/>
      <c r="N35" s="92" t="n"/>
      <c r="O35" s="92">
        <f>+'Datos ICP (2)'!AO82</f>
        <v/>
      </c>
      <c r="P35" s="92">
        <f>+'Datos ICP (2)'!AP82</f>
        <v/>
      </c>
      <c r="Q35" s="87">
        <f>+'Datos ICP (2)'!$AQ$82</f>
        <v/>
      </c>
      <c r="R35" s="84" t="n"/>
      <c r="S35" s="84" t="n"/>
      <c r="T35" s="84" t="n"/>
      <c r="U35" s="84" t="n"/>
      <c r="V35" s="84" t="n"/>
      <c r="W35" s="84" t="n"/>
      <c r="X35" s="84" t="n"/>
    </row>
    <row r="36" ht="15" customHeight="1">
      <c r="C36" s="83" t="n">
        <v>2025</v>
      </c>
      <c r="D36" s="84" t="inlineStr">
        <is>
          <t>ICP</t>
        </is>
      </c>
      <c r="E36" s="92">
        <f>+'Datos ICP (2)'!AE83</f>
        <v/>
      </c>
      <c r="F36" s="92">
        <f>+'Datos ICP (2)'!AF83</f>
        <v/>
      </c>
      <c r="G36" s="92">
        <f>+'Datos ICP (2)'!AG83</f>
        <v/>
      </c>
      <c r="H36" s="92">
        <f>+'Datos ICP (2)'!AH83</f>
        <v/>
      </c>
      <c r="I36" s="92">
        <f>+'Datos ICP (2)'!AI83</f>
        <v/>
      </c>
      <c r="J36" s="92">
        <f>+'Datos ICP (2)'!AJ83</f>
        <v/>
      </c>
      <c r="K36" s="92">
        <f>+'Datos ICP (2)'!AK83</f>
        <v/>
      </c>
      <c r="L36" s="92">
        <f>+'Datos ICP (2)'!AL83</f>
        <v/>
      </c>
      <c r="M36" s="92">
        <f>+'Datos ICP (2)'!AM83</f>
        <v/>
      </c>
      <c r="N36" s="92">
        <f>+'Datos ICP (2)'!AN83</f>
        <v/>
      </c>
      <c r="O36" s="92">
        <f>+'Datos ICP (2)'!AO83</f>
        <v/>
      </c>
      <c r="P36" s="92">
        <f>+'Datos ICP (2)'!AP83</f>
        <v/>
      </c>
      <c r="Q36" s="87">
        <f>+'Datos ICP (2)'!AQ83</f>
        <v/>
      </c>
      <c r="R36" s="84" t="n"/>
      <c r="S36" s="84" t="n"/>
      <c r="T36" s="84" t="n"/>
      <c r="U36" s="84" t="n"/>
      <c r="V36" s="84" t="n"/>
      <c r="W36" s="84" t="n"/>
      <c r="X36" s="84" t="n"/>
    </row>
    <row r="37" ht="15" customHeight="1">
      <c r="C37" s="83" t="n"/>
      <c r="D37" s="84" t="inlineStr">
        <is>
          <t>Competencia</t>
        </is>
      </c>
      <c r="E37" s="92">
        <f>+'Datos ICP (2)'!AE84</f>
        <v/>
      </c>
      <c r="F37" s="92">
        <f>+'Datos ICP (2)'!AF84</f>
        <v/>
      </c>
      <c r="G37" s="92">
        <f>+'Datos ICP (2)'!AG84</f>
        <v/>
      </c>
      <c r="H37" s="92">
        <f>+'Datos ICP (2)'!AH84</f>
        <v/>
      </c>
      <c r="I37" s="92">
        <f>+'Datos ICP (2)'!AI84</f>
        <v/>
      </c>
      <c r="J37" s="92">
        <f>+'Datos ICP (2)'!AJ84</f>
        <v/>
      </c>
      <c r="K37" s="92">
        <f>+'Datos ICP (2)'!AK84</f>
        <v/>
      </c>
      <c r="L37" s="92">
        <f>+'Datos ICP (2)'!AL84</f>
        <v/>
      </c>
      <c r="M37" s="92">
        <f>+'Datos ICP (2)'!AM84</f>
        <v/>
      </c>
      <c r="N37" s="92">
        <f>+'Datos ICP (2)'!AN84</f>
        <v/>
      </c>
      <c r="O37" s="92">
        <f>+'Datos ICP (2)'!AO84</f>
        <v/>
      </c>
      <c r="P37" s="92">
        <f>+'Datos ICP (2)'!AP84</f>
        <v/>
      </c>
      <c r="Q37" s="87">
        <f>+'Datos ICP (2)'!AQ84</f>
        <v/>
      </c>
      <c r="R37" s="84" t="n"/>
      <c r="S37" s="84" t="n"/>
      <c r="T37" s="84" t="n"/>
      <c r="U37" s="84" t="n"/>
      <c r="V37" s="84" t="n"/>
      <c r="W37" s="84" t="n"/>
      <c r="X37" s="84" t="n"/>
    </row>
    <row r="38" ht="15" customHeight="1">
      <c r="C38" s="83" t="n"/>
      <c r="D38" s="84" t="inlineStr">
        <is>
          <t>FIP LIQUIDEZ Presente</t>
        </is>
      </c>
      <c r="E38" s="92">
        <f>+'Datos ICP (2)'!AE85</f>
        <v/>
      </c>
      <c r="F38" s="92">
        <f>+'Datos ICP (2)'!AF85</f>
        <v/>
      </c>
      <c r="G38" s="92">
        <f>+'Datos ICP (2)'!AG85</f>
        <v/>
      </c>
      <c r="H38" s="92">
        <f>+'Datos ICP (2)'!AH85</f>
        <v/>
      </c>
      <c r="I38" s="92">
        <f>+'Datos ICP (2)'!AI85</f>
        <v/>
      </c>
      <c r="J38" s="92">
        <f>+'Datos ICP (2)'!AJ85</f>
        <v/>
      </c>
      <c r="K38" s="92">
        <f>+'Datos ICP (2)'!AK85</f>
        <v/>
      </c>
      <c r="L38" s="92">
        <f>+'Datos ICP (2)'!AL85</f>
        <v/>
      </c>
      <c r="M38" s="92">
        <f>+'Datos ICP (2)'!AM85</f>
        <v/>
      </c>
      <c r="N38" s="92">
        <f>+'Datos ICP (2)'!AN85</f>
        <v/>
      </c>
      <c r="O38" s="92">
        <f>+'Datos ICP (2)'!AO85</f>
        <v/>
      </c>
      <c r="P38" s="92">
        <f>+'Datos ICP (2)'!AP85</f>
        <v/>
      </c>
      <c r="Q38" s="87">
        <f>+'Datos ICP (2)'!AQ85</f>
        <v/>
      </c>
      <c r="R38" s="84" t="n"/>
      <c r="S38" s="84" t="n"/>
      <c r="T38" s="84" t="n"/>
      <c r="U38" s="84" t="n"/>
      <c r="V38" s="84" t="n"/>
      <c r="W38" s="84" t="n"/>
      <c r="X38" s="84" t="n"/>
    </row>
    <row r="39">
      <c r="C39" s="83" t="n">
        <v>2026</v>
      </c>
      <c r="D39" s="84" t="inlineStr">
        <is>
          <t>ICP</t>
        </is>
      </c>
      <c r="E39" s="92">
        <f>+'Datos ICP (2)'!AE86</f>
        <v/>
      </c>
      <c r="F39" s="92">
        <f>+'Datos ICP (2)'!AF86</f>
        <v/>
      </c>
      <c r="G39" s="92">
        <f>+'Datos ICP (2)'!AG86</f>
        <v/>
      </c>
      <c r="H39" s="92">
        <f>+'Datos ICP (2)'!AH86</f>
        <v/>
      </c>
      <c r="I39" s="92" t="n"/>
      <c r="J39" s="92" t="n"/>
      <c r="K39" s="92" t="n"/>
      <c r="L39" s="92" t="n"/>
      <c r="M39" s="92" t="n"/>
      <c r="N39" s="92" t="n"/>
      <c r="O39" s="92" t="n"/>
      <c r="P39" s="92" t="n"/>
      <c r="Q39" s="92">
        <f>+'Datos ICP (2)'!AQ86</f>
        <v/>
      </c>
    </row>
    <row r="40">
      <c r="C40" s="83" t="n"/>
      <c r="D40" s="84" t="inlineStr">
        <is>
          <t>Competencia</t>
        </is>
      </c>
      <c r="E40" s="92">
        <f>+'Datos ICP (2)'!AE87</f>
        <v/>
      </c>
      <c r="F40" s="92">
        <f>+'Datos ICP (2)'!AF87</f>
        <v/>
      </c>
      <c r="G40" s="92">
        <f>+'Datos ICP (2)'!AG87</f>
        <v/>
      </c>
      <c r="H40" s="92">
        <f>+'Datos ICP (2)'!AH87</f>
        <v/>
      </c>
      <c r="I40" s="92" t="n"/>
      <c r="J40" s="92" t="n"/>
      <c r="K40" s="92" t="n"/>
      <c r="L40" s="92" t="n"/>
      <c r="M40" s="92" t="n"/>
      <c r="N40" s="92" t="n"/>
      <c r="O40" s="92" t="n"/>
      <c r="P40" s="92" t="n"/>
      <c r="Q40" s="92">
        <f>+'Datos ICP (2)'!AQ87</f>
        <v/>
      </c>
    </row>
    <row r="41">
      <c r="C41" s="83" t="n"/>
      <c r="D41" s="84" t="inlineStr">
        <is>
          <t>FIP LIQUIDEZ Presente</t>
        </is>
      </c>
      <c r="E41" s="92">
        <f>+'Datos ICP (2)'!AE88</f>
        <v/>
      </c>
      <c r="F41" s="92">
        <f>+'Datos ICP (2)'!AF88</f>
        <v/>
      </c>
      <c r="G41" s="92">
        <f>+'Datos ICP (2)'!AG88</f>
        <v/>
      </c>
      <c r="H41" s="92">
        <f>+'Datos ICP (2)'!AH88</f>
        <v/>
      </c>
      <c r="I41" s="92" t="n"/>
      <c r="J41" s="92" t="n"/>
      <c r="K41" s="92" t="n"/>
      <c r="L41" s="92" t="n"/>
      <c r="M41" s="92" t="n"/>
      <c r="N41" s="92" t="n"/>
      <c r="O41" s="92" t="n"/>
      <c r="P41" s="92" t="n"/>
      <c r="Q41" s="92">
        <f>+'Datos ICP (2)'!AQ88</f>
        <v/>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T24"/>
  <sheetViews>
    <sheetView showGridLines="0" zoomScaleNormal="100" workbookViewId="0">
      <selection activeCell="P7" sqref="P7"/>
    </sheetView>
  </sheetViews>
  <sheetFormatPr baseColWidth="8" defaultColWidth="11.42578125" defaultRowHeight="15"/>
  <cols>
    <col width="14.28515625" bestFit="1" customWidth="1" min="1" max="1"/>
    <col width="15.28515625" bestFit="1" customWidth="1" min="2" max="2"/>
    <col width="11.5703125" customWidth="1" min="9" max="10"/>
    <col width="28.42578125" customWidth="1" min="11" max="11"/>
    <col width="11.5703125" customWidth="1" min="13" max="13"/>
    <col width="16.140625" bestFit="1" customWidth="1" min="14" max="14"/>
    <col width="42.140625" bestFit="1" customWidth="1" min="15" max="15"/>
    <col width="8" bestFit="1" customWidth="1" min="16" max="16"/>
    <col width="5" customWidth="1" min="17" max="17"/>
    <col width="28.7109375" customWidth="1" min="19" max="19"/>
  </cols>
  <sheetData>
    <row r="1">
      <c r="B1" s="3" t="n"/>
      <c r="C1" s="1" t="n"/>
      <c r="J1" s="2" t="inlineStr">
        <is>
          <t>Duración</t>
        </is>
      </c>
      <c r="K1" s="3" t="n"/>
      <c r="L1" s="4" t="n"/>
      <c r="N1" s="2" t="inlineStr">
        <is>
          <t>Instrumentos</t>
        </is>
      </c>
      <c r="O1" s="3" t="n"/>
      <c r="P1" s="4" t="n"/>
      <c r="R1" s="2" t="inlineStr">
        <is>
          <t>Moneda</t>
        </is>
      </c>
      <c r="S1" s="3" t="n"/>
      <c r="T1" s="4" t="n"/>
    </row>
    <row r="2">
      <c r="C2" s="1" t="n"/>
      <c r="O2" s="94" t="inlineStr">
        <is>
          <t>Bono</t>
        </is>
      </c>
      <c r="P2" s="95" t="n">
        <v>0</v>
      </c>
    </row>
    <row r="3">
      <c r="C3" s="1" t="n"/>
      <c r="K3" s="94" t="inlineStr">
        <is>
          <t>Menos de 1 mes</t>
        </is>
      </c>
      <c r="L3" s="95" t="n">
        <v>0.5169</v>
      </c>
      <c r="O3" s="94" t="inlineStr">
        <is>
          <t>Depósitos</t>
        </is>
      </c>
      <c r="P3" s="95" t="n">
        <v>0</v>
      </c>
      <c r="S3" s="94" t="inlineStr">
        <is>
          <t>Pesos</t>
        </is>
      </c>
      <c r="T3" s="95" t="n">
        <v>1</v>
      </c>
    </row>
    <row r="4">
      <c r="C4" s="1" t="n"/>
      <c r="K4" s="94" t="inlineStr">
        <is>
          <t>1-3 meses</t>
        </is>
      </c>
      <c r="L4" s="95" t="n">
        <v>0.4386</v>
      </c>
      <c r="O4" s="94" t="inlineStr">
        <is>
          <t>Factoring</t>
        </is>
      </c>
      <c r="P4" s="95" t="n">
        <v>0</v>
      </c>
      <c r="S4" s="94" t="inlineStr">
        <is>
          <t>UF</t>
        </is>
      </c>
      <c r="T4" s="95" t="n">
        <v>0</v>
      </c>
    </row>
    <row r="5">
      <c r="A5" s="3" t="n"/>
      <c r="B5" s="3" t="n"/>
      <c r="C5" s="1" t="n"/>
      <c r="K5" s="94" t="inlineStr">
        <is>
          <t>3-4 meses</t>
        </is>
      </c>
      <c r="L5" s="95" t="n">
        <v>0.0444</v>
      </c>
      <c r="O5" s="94" t="inlineStr">
        <is>
          <t>Financiamiento Inmobiliario</t>
        </is>
      </c>
      <c r="P5" s="95" t="n">
        <v>0.3425</v>
      </c>
    </row>
    <row r="6">
      <c r="A6" s="3" t="n"/>
      <c r="B6" s="3" t="n"/>
      <c r="C6" s="1" t="n"/>
      <c r="K6" s="94" t="inlineStr">
        <is>
          <t>Más de 4 meses</t>
        </is>
      </c>
      <c r="L6" s="95" t="n">
        <v>0</v>
      </c>
      <c r="O6" s="94" t="inlineStr">
        <is>
          <t>Financiamiento Mesa Moneda Extranjera</t>
        </is>
      </c>
      <c r="P6" s="95" t="n">
        <v>0.6575</v>
      </c>
      <c r="R6" s="74" t="n"/>
    </row>
    <row r="7">
      <c r="B7" s="3" t="n"/>
      <c r="C7" s="1" t="n"/>
      <c r="L7" s="74">
        <f>SUM(L3:L6)</f>
        <v/>
      </c>
      <c r="O7" s="94" t="inlineStr">
        <is>
          <t>Garantías</t>
        </is>
      </c>
      <c r="P7" s="95" t="n">
        <v>0</v>
      </c>
      <c r="Q7" s="74" t="n"/>
      <c r="R7" s="74" t="n"/>
    </row>
    <row r="8">
      <c r="C8" s="1" t="n"/>
      <c r="O8" s="94" t="inlineStr">
        <is>
          <t>Nota Estructurada</t>
        </is>
      </c>
      <c r="P8" s="95" t="n">
        <v>0</v>
      </c>
    </row>
    <row r="9">
      <c r="C9" s="1" t="n"/>
      <c r="O9" s="94" t="inlineStr">
        <is>
          <t>Financiamiento Mesa Renta Fija</t>
        </is>
      </c>
      <c r="P9" s="95" t="n">
        <v>0</v>
      </c>
    </row>
    <row r="10">
      <c r="C10" s="1" t="n"/>
      <c r="O10" s="94" t="inlineStr">
        <is>
          <t>Simultánea</t>
        </is>
      </c>
      <c r="P10" s="95" t="n">
        <v>0</v>
      </c>
    </row>
    <row r="11">
      <c r="C11" s="1" t="n"/>
      <c r="O11" s="94" t="inlineStr">
        <is>
          <t>Efectos de Comercio</t>
        </is>
      </c>
      <c r="P11" s="95" t="n">
        <v>0</v>
      </c>
    </row>
    <row r="12" hidden="1">
      <c r="C12" s="1" t="n"/>
      <c r="O12" s="94" t="n"/>
      <c r="P12" s="95" t="n"/>
    </row>
    <row r="13">
      <c r="C13" s="1" t="n"/>
      <c r="O13" s="94" t="inlineStr">
        <is>
          <t>Pagaré</t>
        </is>
      </c>
      <c r="P13" s="95" t="n">
        <v>0</v>
      </c>
    </row>
    <row r="14" hidden="1">
      <c r="A14" s="3" t="inlineStr">
        <is>
          <t>Facturas</t>
        </is>
      </c>
      <c r="B14" s="5" t="n">
        <v>0</v>
      </c>
      <c r="C14" s="1" t="n"/>
    </row>
    <row r="15">
      <c r="A15" s="3" t="n"/>
      <c r="B15" s="5" t="n"/>
      <c r="C15" s="1" t="n"/>
      <c r="P15" s="74">
        <f>SUM(P2:P14)</f>
        <v/>
      </c>
    </row>
    <row r="16">
      <c r="B16" s="3" t="n"/>
      <c r="C16" s="1" t="n"/>
    </row>
    <row r="17">
      <c r="C17" s="1" t="n"/>
    </row>
    <row r="18">
      <c r="C18" s="1" t="n"/>
    </row>
    <row r="19">
      <c r="C19" s="1" t="n"/>
    </row>
    <row r="20">
      <c r="C20" s="1" t="n"/>
    </row>
    <row r="21">
      <c r="C21" s="1" t="n"/>
      <c r="N21" s="6" t="n"/>
      <c r="O21" s="73" t="n"/>
    </row>
    <row r="22">
      <c r="A22" s="1" t="n"/>
      <c r="B22" s="1" t="n"/>
      <c r="C22" s="1" t="n"/>
    </row>
    <row r="23">
      <c r="A23" s="1" t="n"/>
      <c r="B23" s="1" t="n"/>
      <c r="C23" s="1" t="n"/>
    </row>
    <row r="24">
      <c r="A24" s="1" t="n"/>
      <c r="B24" s="1" t="n"/>
      <c r="C24" s="1" t="n"/>
    </row>
  </sheetData>
  <pageMargins left="0.7" right="0.7" top="0.75" bottom="0.75" header="0.3" footer="0.3"/>
  <pageSetup orientation="portrait"/>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NCABEZAS</dc:creator>
  <dcterms:created xmlns:dcterms="http://purl.org/dc/terms/" xmlns:xsi="http://www.w3.org/2001/XMLSchema-instance" xsi:type="dcterms:W3CDTF">2018-12-10T21:02:38Z</dcterms:created>
  <dcterms:modified xmlns:dcterms="http://purl.org/dc/terms/" xmlns:xsi="http://www.w3.org/2001/XMLSchema-instance" xsi:type="dcterms:W3CDTF">2026-07-02T16:09:46Z</dcterms:modified>
  <cp:lastModifiedBy>María Isabel Velasco Retamal</cp:lastModifiedBy>
</cp:coreProperties>
</file>