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Carpeta Renta Fija\Fondos\TEMPLATE FONDOS\EXCELS\"/>
    </mc:Choice>
  </mc:AlternateContent>
  <xr:revisionPtr revIDLastSave="0" documentId="13_ncr:1_{8D72B987-66FF-49DC-BE58-99603802F8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entario" sheetId="4" r:id="rId1"/>
    <sheet name="Datos ICP (2)" sheetId="3" r:id="rId2"/>
    <sheet name="rentabilidad" sheetId="2" r:id="rId3"/>
    <sheet name="composición" sheetId="1" r:id="rId4"/>
  </sheets>
  <externalReferences>
    <externalReference r:id="rId5"/>
  </externalReferences>
  <definedNames>
    <definedName name="_xlnm._FilterDatabase" localSheetId="3" hidden="1">composición!$K$1:$T$24</definedName>
    <definedName name="OLE_LINK1" localSheetId="1">'Datos ICP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2" l="1"/>
  <c r="Q36" i="2"/>
  <c r="E37" i="2"/>
  <c r="E36" i="2"/>
  <c r="AQ83" i="3"/>
  <c r="AQ82" i="3"/>
  <c r="AE83" i="3"/>
  <c r="AE82" i="3"/>
  <c r="AQ48" i="3"/>
  <c r="AQ21" i="3"/>
  <c r="AE21" i="3"/>
  <c r="AE48" i="3"/>
  <c r="P48" i="3"/>
  <c r="P22" i="3"/>
  <c r="H232" i="3"/>
  <c r="L232" i="3" l="1"/>
  <c r="M232" i="3" s="1"/>
  <c r="C232" i="3"/>
  <c r="D232" i="3" s="1"/>
  <c r="AI84" i="3"/>
  <c r="AH84" i="3"/>
  <c r="AG84" i="3"/>
  <c r="AF84" i="3"/>
  <c r="BB29" i="3"/>
  <c r="AP83" i="3"/>
  <c r="AO83" i="3"/>
  <c r="AN83" i="3"/>
  <c r="AM83" i="3"/>
  <c r="AL83" i="3"/>
  <c r="AK83" i="3"/>
  <c r="AJ83" i="3"/>
  <c r="AI83" i="3"/>
  <c r="AH83" i="3"/>
  <c r="AG83" i="3"/>
  <c r="AF83" i="3"/>
  <c r="BB28" i="3"/>
  <c r="AP82" i="3"/>
  <c r="AO82" i="3"/>
  <c r="AN82" i="3"/>
  <c r="AM82" i="3"/>
  <c r="AL82" i="3"/>
  <c r="AK82" i="3"/>
  <c r="AJ82" i="3"/>
  <c r="AI82" i="3"/>
  <c r="AH82" i="3"/>
  <c r="AG82" i="3"/>
  <c r="AF82" i="3"/>
  <c r="AA21" i="3"/>
  <c r="AP20" i="3" s="1"/>
  <c r="AP79" i="3" s="1"/>
  <c r="P33" i="2" s="1"/>
  <c r="H231" i="3"/>
  <c r="L231" i="3"/>
  <c r="AA47" i="3" s="1"/>
  <c r="AP47" i="3" s="1"/>
  <c r="AP80" i="3" s="1"/>
  <c r="P34" i="2" s="1"/>
  <c r="C231" i="3"/>
  <c r="Z21" i="3"/>
  <c r="H230" i="3"/>
  <c r="C230" i="3"/>
  <c r="L230" i="3"/>
  <c r="Z47" i="3" s="1"/>
  <c r="AO47" i="3" s="1"/>
  <c r="AO80" i="3" s="1"/>
  <c r="O34" i="2" s="1"/>
  <c r="Y21" i="3"/>
  <c r="L229" i="3"/>
  <c r="Y47" i="3" s="1"/>
  <c r="AN47" i="3" s="1"/>
  <c r="AN80" i="3" s="1"/>
  <c r="N34" i="2" s="1"/>
  <c r="H229" i="3"/>
  <c r="C229" i="3"/>
  <c r="X21" i="3"/>
  <c r="L228" i="3"/>
  <c r="X47" i="3" s="1"/>
  <c r="AM47" i="3" s="1"/>
  <c r="AM80" i="3" s="1"/>
  <c r="M34" i="2" s="1"/>
  <c r="H228" i="3"/>
  <c r="C228" i="3"/>
  <c r="W47" i="3"/>
  <c r="AL47" i="3" s="1"/>
  <c r="AL80" i="3" s="1"/>
  <c r="L34" i="2" s="1"/>
  <c r="W21" i="3"/>
  <c r="C227" i="3"/>
  <c r="H227" i="3"/>
  <c r="L227" i="3"/>
  <c r="V21" i="3"/>
  <c r="L226" i="3"/>
  <c r="V47" i="3" s="1"/>
  <c r="AK47" i="3" s="1"/>
  <c r="AK80" i="3" s="1"/>
  <c r="K34" i="2" s="1"/>
  <c r="H226" i="3"/>
  <c r="C226" i="3"/>
  <c r="U21" i="3"/>
  <c r="H225" i="3"/>
  <c r="L225" i="3"/>
  <c r="U47" i="3" s="1"/>
  <c r="AJ47" i="3" s="1"/>
  <c r="AJ80" i="3" s="1"/>
  <c r="J34" i="2" s="1"/>
  <c r="C225" i="3"/>
  <c r="T21" i="3"/>
  <c r="H224" i="3"/>
  <c r="L224" i="3"/>
  <c r="T47" i="3" s="1"/>
  <c r="AI47" i="3" s="1"/>
  <c r="AI80" i="3" s="1"/>
  <c r="I34" i="2" s="1"/>
  <c r="S21" i="3"/>
  <c r="H223" i="3"/>
  <c r="L223" i="3"/>
  <c r="C223" i="3"/>
  <c r="C224" i="3"/>
  <c r="L7" i="1"/>
  <c r="R21" i="3"/>
  <c r="H222" i="3"/>
  <c r="I232" i="3" l="1"/>
  <c r="P35" i="3" s="1"/>
  <c r="AE36" i="3" s="1"/>
  <c r="AE84" i="3" s="1"/>
  <c r="E38" i="2" s="1"/>
  <c r="AQ36" i="3"/>
  <c r="AQ84" i="3" s="1"/>
  <c r="Q38" i="2" s="1"/>
  <c r="AM20" i="3"/>
  <c r="AM79" i="3" s="1"/>
  <c r="M33" i="2" s="1"/>
  <c r="AJ20" i="3"/>
  <c r="AJ79" i="3" s="1"/>
  <c r="J33" i="2" s="1"/>
  <c r="AO20" i="3"/>
  <c r="AO79" i="3" s="1"/>
  <c r="O33" i="2" s="1"/>
  <c r="AH20" i="3"/>
  <c r="AH79" i="3" s="1"/>
  <c r="H33" i="2" s="1"/>
  <c r="AL20" i="3"/>
  <c r="AL79" i="3" s="1"/>
  <c r="L33" i="2" s="1"/>
  <c r="I229" i="3"/>
  <c r="Y34" i="3" s="1"/>
  <c r="AN35" i="3" s="1"/>
  <c r="AN81" i="3" s="1"/>
  <c r="N35" i="2" s="1"/>
  <c r="AN20" i="3"/>
  <c r="AN79" i="3" s="1"/>
  <c r="N33" i="2" s="1"/>
  <c r="AK20" i="3"/>
  <c r="AK79" i="3" s="1"/>
  <c r="K33" i="2" s="1"/>
  <c r="I224" i="3"/>
  <c r="T34" i="3" s="1"/>
  <c r="AI35" i="3" s="1"/>
  <c r="AI81" i="3" s="1"/>
  <c r="I35" i="2" s="1"/>
  <c r="I223" i="3"/>
  <c r="I225" i="3"/>
  <c r="U34" i="3" s="1"/>
  <c r="AJ35" i="3" s="1"/>
  <c r="AJ81" i="3" s="1"/>
  <c r="J35" i="2" s="1"/>
  <c r="S34" i="3"/>
  <c r="AH35" i="3" s="1"/>
  <c r="AH81" i="3" s="1"/>
  <c r="H35" i="2" s="1"/>
  <c r="I231" i="3"/>
  <c r="AI20" i="3"/>
  <c r="AI79" i="3" s="1"/>
  <c r="I33" i="2" s="1"/>
  <c r="I228" i="3"/>
  <c r="I227" i="3"/>
  <c r="I230" i="3"/>
  <c r="I226" i="3"/>
  <c r="S47" i="3"/>
  <c r="AH47" i="3" s="1"/>
  <c r="AH80" i="3" s="1"/>
  <c r="H34" i="2" s="1"/>
  <c r="L222" i="3"/>
  <c r="C222" i="3"/>
  <c r="R47" i="3" l="1"/>
  <c r="AG47" i="3" s="1"/>
  <c r="AG80" i="3" s="1"/>
  <c r="G34" i="2" s="1"/>
  <c r="Z34" i="3"/>
  <c r="AO35" i="3" s="1"/>
  <c r="AO81" i="3" s="1"/>
  <c r="O35" i="2" s="1"/>
  <c r="W34" i="3"/>
  <c r="AL35" i="3" s="1"/>
  <c r="AL81" i="3" s="1"/>
  <c r="L35" i="2" s="1"/>
  <c r="AA34" i="3"/>
  <c r="AP35" i="3" s="1"/>
  <c r="AP81" i="3" s="1"/>
  <c r="P35" i="2" s="1"/>
  <c r="V34" i="3"/>
  <c r="AK35" i="3" s="1"/>
  <c r="AK81" i="3" s="1"/>
  <c r="K35" i="2" s="1"/>
  <c r="X34" i="3"/>
  <c r="AM35" i="3" s="1"/>
  <c r="AM81" i="3" s="1"/>
  <c r="M35" i="2" s="1"/>
  <c r="Q21" i="3"/>
  <c r="AG20" i="3" s="1"/>
  <c r="AG79" i="3" s="1"/>
  <c r="G33" i="2" s="1"/>
  <c r="L221" i="3"/>
  <c r="Q47" i="3" s="1"/>
  <c r="AF47" i="3" s="1"/>
  <c r="AF80" i="3" s="1"/>
  <c r="F34" i="2" s="1"/>
  <c r="H221" i="3"/>
  <c r="P21" i="3"/>
  <c r="L220" i="3"/>
  <c r="P47" i="3" s="1"/>
  <c r="AE47" i="3" s="1"/>
  <c r="H220" i="3"/>
  <c r="C220" i="3"/>
  <c r="C221" i="3"/>
  <c r="AA20" i="3"/>
  <c r="L219" i="3"/>
  <c r="AA46" i="3" s="1"/>
  <c r="AP46" i="3" s="1"/>
  <c r="AP77" i="3" s="1"/>
  <c r="P31" i="2" s="1"/>
  <c r="Z20" i="3"/>
  <c r="H219" i="3"/>
  <c r="H218" i="3"/>
  <c r="L218" i="3"/>
  <c r="Z46" i="3" s="1"/>
  <c r="AO46" i="3" s="1"/>
  <c r="C219" i="3"/>
  <c r="C218" i="3"/>
  <c r="Y20" i="3"/>
  <c r="L217" i="3"/>
  <c r="H217" i="3"/>
  <c r="C217" i="3"/>
  <c r="D217" i="3"/>
  <c r="X20" i="3"/>
  <c r="L216" i="3"/>
  <c r="H216" i="3"/>
  <c r="C216" i="3"/>
  <c r="D216" i="3"/>
  <c r="W20" i="3"/>
  <c r="C215" i="3"/>
  <c r="D215" i="3"/>
  <c r="H215" i="3"/>
  <c r="L215" i="3"/>
  <c r="W46" i="3" s="1"/>
  <c r="AL46" i="3" s="1"/>
  <c r="AL77" i="3" s="1"/>
  <c r="L31" i="2" s="1"/>
  <c r="V20" i="3"/>
  <c r="H214" i="3"/>
  <c r="D214" i="3"/>
  <c r="C214" i="3"/>
  <c r="L214" i="3"/>
  <c r="V46" i="3" s="1"/>
  <c r="AK46" i="3" s="1"/>
  <c r="AK77" i="3" s="1"/>
  <c r="K31" i="2" s="1"/>
  <c r="U20" i="3"/>
  <c r="H213" i="3"/>
  <c r="D213" i="3"/>
  <c r="C213" i="3"/>
  <c r="L213" i="3"/>
  <c r="U46" i="3" s="1"/>
  <c r="AJ46" i="3" s="1"/>
  <c r="AJ77" i="3" s="1"/>
  <c r="J31" i="2" s="1"/>
  <c r="T20" i="3"/>
  <c r="L212" i="3"/>
  <c r="T46" i="3" s="1"/>
  <c r="AI46" i="3" s="1"/>
  <c r="AI77" i="3" s="1"/>
  <c r="I31" i="2" s="1"/>
  <c r="H212" i="3"/>
  <c r="D212" i="3"/>
  <c r="C212" i="3"/>
  <c r="S20" i="3"/>
  <c r="L211" i="3"/>
  <c r="S46" i="3" s="1"/>
  <c r="AH46" i="3" s="1"/>
  <c r="AH77" i="3" s="1"/>
  <c r="H31" i="2" s="1"/>
  <c r="H211" i="3"/>
  <c r="R20" i="3"/>
  <c r="L210" i="3"/>
  <c r="R46" i="3" s="1"/>
  <c r="AG46" i="3" s="1"/>
  <c r="AG77" i="3" s="1"/>
  <c r="G31" i="2" s="1"/>
  <c r="H210" i="3"/>
  <c r="D210" i="3"/>
  <c r="D211" i="3"/>
  <c r="C210" i="3"/>
  <c r="C211" i="3"/>
  <c r="L207" i="3"/>
  <c r="AA45" i="3" s="1"/>
  <c r="AP45" i="3" s="1"/>
  <c r="AP74" i="3" s="1"/>
  <c r="P28" i="2" s="1"/>
  <c r="L208" i="3"/>
  <c r="P46" i="3" s="1"/>
  <c r="AE46" i="3" s="1"/>
  <c r="L209" i="3"/>
  <c r="Q46" i="3" s="1"/>
  <c r="AF46" i="3" s="1"/>
  <c r="AF77" i="3" s="1"/>
  <c r="F31" i="2" s="1"/>
  <c r="H209" i="3"/>
  <c r="I210" i="3" s="1"/>
  <c r="R33" i="3" s="1"/>
  <c r="AG34" i="3" s="1"/>
  <c r="AG78" i="3" s="1"/>
  <c r="G32" i="2" s="1"/>
  <c r="H208" i="3"/>
  <c r="D208" i="3"/>
  <c r="D209" i="3"/>
  <c r="C208" i="3"/>
  <c r="C209" i="3"/>
  <c r="Q20" i="3"/>
  <c r="P20" i="3"/>
  <c r="AA19" i="3"/>
  <c r="H207" i="3"/>
  <c r="D207" i="3"/>
  <c r="C207" i="3"/>
  <c r="Z19" i="3"/>
  <c r="D206" i="3"/>
  <c r="C206" i="3"/>
  <c r="H206" i="3"/>
  <c r="L206" i="3"/>
  <c r="Z45" i="3" s="1"/>
  <c r="AO45" i="3" s="1"/>
  <c r="AO74" i="3" s="1"/>
  <c r="O28" i="2" s="1"/>
  <c r="Y19" i="3"/>
  <c r="X19" i="3"/>
  <c r="D204" i="3"/>
  <c r="D205" i="3"/>
  <c r="C204" i="3"/>
  <c r="C205" i="3"/>
  <c r="H205" i="3"/>
  <c r="L205" i="3"/>
  <c r="Y45" i="3" s="1"/>
  <c r="AN45" i="3" s="1"/>
  <c r="AN74" i="3" s="1"/>
  <c r="N28" i="2" s="1"/>
  <c r="W19" i="3"/>
  <c r="D202" i="3"/>
  <c r="D203" i="3"/>
  <c r="C202" i="3"/>
  <c r="C203" i="3"/>
  <c r="H204" i="3"/>
  <c r="L204" i="3"/>
  <c r="X45" i="3" s="1"/>
  <c r="AM45" i="3" s="1"/>
  <c r="AM74" i="3" s="1"/>
  <c r="M28" i="2" s="1"/>
  <c r="P15" i="1"/>
  <c r="H203" i="3"/>
  <c r="L203" i="3"/>
  <c r="W45" i="3" s="1"/>
  <c r="AL45" i="3" s="1"/>
  <c r="AL74" i="3" s="1"/>
  <c r="L28" i="2" s="1"/>
  <c r="V19" i="3"/>
  <c r="H202" i="3"/>
  <c r="L202" i="3"/>
  <c r="V45" i="3" s="1"/>
  <c r="AK45" i="3" s="1"/>
  <c r="AK74" i="3" s="1"/>
  <c r="K28" i="2" s="1"/>
  <c r="U19" i="3"/>
  <c r="T19" i="3"/>
  <c r="D200" i="3"/>
  <c r="D201" i="3"/>
  <c r="C200" i="3"/>
  <c r="C201" i="3"/>
  <c r="H201" i="3"/>
  <c r="L201" i="3"/>
  <c r="U45" i="3" s="1"/>
  <c r="AJ45" i="3" s="1"/>
  <c r="AJ74" i="3" s="1"/>
  <c r="J28" i="2" s="1"/>
  <c r="S19" i="3"/>
  <c r="S18" i="3"/>
  <c r="D199" i="3"/>
  <c r="C199" i="3"/>
  <c r="H200" i="3"/>
  <c r="L200" i="3"/>
  <c r="T45" i="3" s="1"/>
  <c r="AI45" i="3" s="1"/>
  <c r="AI74" i="3" s="1"/>
  <c r="I28" i="2" s="1"/>
  <c r="H199" i="3"/>
  <c r="L199" i="3"/>
  <c r="S45" i="3" s="1"/>
  <c r="AH45" i="3" s="1"/>
  <c r="AH74" i="3" s="1"/>
  <c r="H28" i="2" s="1"/>
  <c r="R19" i="3"/>
  <c r="H198" i="3"/>
  <c r="D198" i="3"/>
  <c r="C198" i="3"/>
  <c r="L198" i="3"/>
  <c r="R45" i="3" s="1"/>
  <c r="AG45" i="3" s="1"/>
  <c r="Q19" i="3"/>
  <c r="H197" i="3"/>
  <c r="C197" i="3"/>
  <c r="D197" i="3"/>
  <c r="L197" i="3"/>
  <c r="Q45" i="3" s="1"/>
  <c r="AF45" i="3" s="1"/>
  <c r="P19" i="3"/>
  <c r="D196" i="3"/>
  <c r="C196" i="3"/>
  <c r="H196" i="3"/>
  <c r="G195" i="3"/>
  <c r="H195" i="3" s="1"/>
  <c r="L196" i="3"/>
  <c r="P45" i="3" s="1"/>
  <c r="AE45" i="3" s="1"/>
  <c r="L195" i="3"/>
  <c r="AA44" i="3" s="1"/>
  <c r="AP44" i="3" s="1"/>
  <c r="AP71" i="3" s="1"/>
  <c r="P25" i="2" s="1"/>
  <c r="AA18" i="3"/>
  <c r="D195" i="3"/>
  <c r="C195" i="3"/>
  <c r="Z18" i="3"/>
  <c r="H194" i="3"/>
  <c r="L194" i="3"/>
  <c r="Z44" i="3" s="1"/>
  <c r="AO44" i="3" s="1"/>
  <c r="AO71" i="3" s="1"/>
  <c r="O25" i="2" s="1"/>
  <c r="C194" i="3"/>
  <c r="D194" i="3"/>
  <c r="Y18" i="3"/>
  <c r="L193" i="3"/>
  <c r="Y44" i="3" s="1"/>
  <c r="AN44" i="3" s="1"/>
  <c r="AN71" i="3" s="1"/>
  <c r="N25" i="2" s="1"/>
  <c r="H193" i="3"/>
  <c r="D193" i="3"/>
  <c r="C193" i="3"/>
  <c r="X18" i="3"/>
  <c r="L192" i="3"/>
  <c r="X44" i="3" s="1"/>
  <c r="AM44" i="3" s="1"/>
  <c r="AM71" i="3" s="1"/>
  <c r="M25" i="2" s="1"/>
  <c r="H192" i="3"/>
  <c r="D192" i="3"/>
  <c r="C192" i="3"/>
  <c r="W18" i="3"/>
  <c r="D191" i="3"/>
  <c r="C191" i="3"/>
  <c r="L191" i="3"/>
  <c r="W44" i="3" s="1"/>
  <c r="AL44" i="3" s="1"/>
  <c r="AL71" i="3" s="1"/>
  <c r="L25" i="2" s="1"/>
  <c r="H191" i="3"/>
  <c r="V18" i="3"/>
  <c r="D190" i="3"/>
  <c r="C190" i="3"/>
  <c r="L190" i="3"/>
  <c r="V44" i="3" s="1"/>
  <c r="AK44" i="3" s="1"/>
  <c r="AK71" i="3" s="1"/>
  <c r="K25" i="2" s="1"/>
  <c r="H190" i="3"/>
  <c r="U18" i="3"/>
  <c r="L189" i="3"/>
  <c r="U44" i="3" s="1"/>
  <c r="AJ44" i="3" s="1"/>
  <c r="AJ71" i="3" s="1"/>
  <c r="J25" i="2" s="1"/>
  <c r="H189" i="3"/>
  <c r="D189" i="3"/>
  <c r="C189" i="3"/>
  <c r="T18" i="3"/>
  <c r="D188" i="3"/>
  <c r="C188" i="3"/>
  <c r="L188" i="3"/>
  <c r="T44" i="3" s="1"/>
  <c r="AI44" i="3" s="1"/>
  <c r="AI71" i="3" s="1"/>
  <c r="I25" i="2" s="1"/>
  <c r="H188" i="3"/>
  <c r="D187" i="3"/>
  <c r="C187" i="3"/>
  <c r="L187" i="3"/>
  <c r="S44" i="3" s="1"/>
  <c r="AH44" i="3" s="1"/>
  <c r="AH71" i="3" s="1"/>
  <c r="H25" i="2" s="1"/>
  <c r="H187" i="3"/>
  <c r="L186" i="3"/>
  <c r="R44" i="3" s="1"/>
  <c r="AG44" i="3" s="1"/>
  <c r="AG71" i="3" s="1"/>
  <c r="G25" i="2" s="1"/>
  <c r="R18" i="3"/>
  <c r="D186" i="3"/>
  <c r="C186" i="3"/>
  <c r="H186" i="3"/>
  <c r="Y17" i="3"/>
  <c r="Z17" i="3"/>
  <c r="AA17" i="3"/>
  <c r="Q18" i="3"/>
  <c r="P18" i="3"/>
  <c r="D181" i="3"/>
  <c r="D182" i="3"/>
  <c r="D183" i="3"/>
  <c r="D184" i="3"/>
  <c r="D185" i="3"/>
  <c r="C181" i="3"/>
  <c r="C182" i="3"/>
  <c r="C183" i="3"/>
  <c r="C184" i="3"/>
  <c r="C185" i="3"/>
  <c r="H184" i="3"/>
  <c r="H185" i="3"/>
  <c r="H183" i="3"/>
  <c r="X17" i="3"/>
  <c r="L181" i="3"/>
  <c r="L182" i="3"/>
  <c r="L183" i="3"/>
  <c r="L184" i="3"/>
  <c r="L185" i="3"/>
  <c r="H182" i="3"/>
  <c r="H181" i="3"/>
  <c r="AE19" i="3" l="1"/>
  <c r="AE76" i="3" s="1"/>
  <c r="E30" i="2" s="1"/>
  <c r="AF20" i="3"/>
  <c r="AF79" i="3" s="1"/>
  <c r="F33" i="2" s="1"/>
  <c r="I211" i="3"/>
  <c r="S33" i="3" s="1"/>
  <c r="AH34" i="3" s="1"/>
  <c r="AH78" i="3" s="1"/>
  <c r="H32" i="2" s="1"/>
  <c r="AL19" i="3"/>
  <c r="AL76" i="3" s="1"/>
  <c r="L30" i="2" s="1"/>
  <c r="AQ47" i="3"/>
  <c r="AQ80" i="3" s="1"/>
  <c r="Q34" i="2" s="1"/>
  <c r="AE80" i="3"/>
  <c r="E34" i="2" s="1"/>
  <c r="I221" i="3"/>
  <c r="I222" i="3"/>
  <c r="I214" i="3"/>
  <c r="V33" i="3" s="1"/>
  <c r="AK34" i="3" s="1"/>
  <c r="AK78" i="3" s="1"/>
  <c r="K32" i="2" s="1"/>
  <c r="I220" i="3"/>
  <c r="AE20" i="3"/>
  <c r="AE79" i="3" s="1"/>
  <c r="E33" i="2" s="1"/>
  <c r="AM19" i="3"/>
  <c r="AM76" i="3" s="1"/>
  <c r="M30" i="2" s="1"/>
  <c r="AN19" i="3"/>
  <c r="AN76" i="3" s="1"/>
  <c r="N30" i="2" s="1"/>
  <c r="I219" i="3"/>
  <c r="AA33" i="3" s="1"/>
  <c r="AP34" i="3" s="1"/>
  <c r="AP78" i="3" s="1"/>
  <c r="P32" i="2" s="1"/>
  <c r="AJ19" i="3"/>
  <c r="AJ76" i="3" s="1"/>
  <c r="J30" i="2" s="1"/>
  <c r="I215" i="3"/>
  <c r="W33" i="3" s="1"/>
  <c r="AL34" i="3" s="1"/>
  <c r="AL78" i="3" s="1"/>
  <c r="L32" i="2" s="1"/>
  <c r="I212" i="3"/>
  <c r="T33" i="3" s="1"/>
  <c r="AI34" i="3" s="1"/>
  <c r="AI78" i="3" s="1"/>
  <c r="I32" i="2" s="1"/>
  <c r="AG19" i="3"/>
  <c r="AG76" i="3" s="1"/>
  <c r="G30" i="2" s="1"/>
  <c r="I217" i="3"/>
  <c r="Y33" i="3" s="1"/>
  <c r="AN34" i="3" s="1"/>
  <c r="AN78" i="3" s="1"/>
  <c r="N32" i="2" s="1"/>
  <c r="AI19" i="3"/>
  <c r="AI76" i="3" s="1"/>
  <c r="I30" i="2" s="1"/>
  <c r="I216" i="3"/>
  <c r="X33" i="3" s="1"/>
  <c r="AM34" i="3" s="1"/>
  <c r="AM78" i="3" s="1"/>
  <c r="M32" i="2" s="1"/>
  <c r="AO19" i="3"/>
  <c r="AO76" i="3" s="1"/>
  <c r="O30" i="2" s="1"/>
  <c r="I213" i="3"/>
  <c r="U33" i="3" s="1"/>
  <c r="AJ34" i="3" s="1"/>
  <c r="AJ78" i="3" s="1"/>
  <c r="J32" i="2" s="1"/>
  <c r="AH19" i="3"/>
  <c r="AH76" i="3" s="1"/>
  <c r="H30" i="2" s="1"/>
  <c r="AP19" i="3"/>
  <c r="AP76" i="3" s="1"/>
  <c r="P30" i="2" s="1"/>
  <c r="D218" i="3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X46" i="3"/>
  <c r="AM46" i="3" s="1"/>
  <c r="AM77" i="3" s="1"/>
  <c r="M31" i="2" s="1"/>
  <c r="AK19" i="3"/>
  <c r="AK76" i="3" s="1"/>
  <c r="K30" i="2" s="1"/>
  <c r="Y46" i="3"/>
  <c r="AN46" i="3" s="1"/>
  <c r="AN77" i="3" s="1"/>
  <c r="N31" i="2" s="1"/>
  <c r="I218" i="3"/>
  <c r="AO77" i="3"/>
  <c r="O31" i="2" s="1"/>
  <c r="AQ45" i="3"/>
  <c r="AQ74" i="3" s="1"/>
  <c r="Q28" i="2" s="1"/>
  <c r="AE77" i="3"/>
  <c r="E31" i="2" s="1"/>
  <c r="AF19" i="3"/>
  <c r="AF76" i="3" s="1"/>
  <c r="F30" i="2" s="1"/>
  <c r="I208" i="3"/>
  <c r="P33" i="3" s="1"/>
  <c r="AE34" i="3" s="1"/>
  <c r="AE78" i="3" s="1"/>
  <c r="E32" i="2" s="1"/>
  <c r="I209" i="3"/>
  <c r="Q33" i="3" s="1"/>
  <c r="AF34" i="3" s="1"/>
  <c r="AF78" i="3" s="1"/>
  <c r="F32" i="2" s="1"/>
  <c r="AN18" i="3"/>
  <c r="AN73" i="3" s="1"/>
  <c r="N27" i="2" s="1"/>
  <c r="I196" i="3"/>
  <c r="P32" i="3" s="1"/>
  <c r="AE33" i="3" s="1"/>
  <c r="AE75" i="3" s="1"/>
  <c r="E29" i="2" s="1"/>
  <c r="AM18" i="3"/>
  <c r="AM73" i="3" s="1"/>
  <c r="M27" i="2" s="1"/>
  <c r="AL18" i="3"/>
  <c r="AL73" i="3" s="1"/>
  <c r="L27" i="2" s="1"/>
  <c r="I207" i="3"/>
  <c r="AA32" i="3" s="1"/>
  <c r="AP33" i="3" s="1"/>
  <c r="AP75" i="3" s="1"/>
  <c r="P29" i="2" s="1"/>
  <c r="AH18" i="3"/>
  <c r="AH73" i="3" s="1"/>
  <c r="H27" i="2" s="1"/>
  <c r="AI18" i="3"/>
  <c r="AI73" i="3" s="1"/>
  <c r="I27" i="2" s="1"/>
  <c r="AJ18" i="3"/>
  <c r="AJ73" i="3" s="1"/>
  <c r="J27" i="2" s="1"/>
  <c r="AO18" i="3"/>
  <c r="AO73" i="3" s="1"/>
  <c r="O27" i="2" s="1"/>
  <c r="AF18" i="3"/>
  <c r="AF73" i="3" s="1"/>
  <c r="F27" i="2" s="1"/>
  <c r="I202" i="3"/>
  <c r="V32" i="3" s="1"/>
  <c r="AK33" i="3" s="1"/>
  <c r="AK75" i="3" s="1"/>
  <c r="K29" i="2" s="1"/>
  <c r="I204" i="3"/>
  <c r="X32" i="3" s="1"/>
  <c r="AM33" i="3" s="1"/>
  <c r="AM75" i="3" s="1"/>
  <c r="M29" i="2" s="1"/>
  <c r="I205" i="3"/>
  <c r="Y32" i="3" s="1"/>
  <c r="AN33" i="3" s="1"/>
  <c r="AN75" i="3" s="1"/>
  <c r="N29" i="2" s="1"/>
  <c r="AE18" i="3"/>
  <c r="AE73" i="3" s="1"/>
  <c r="E27" i="2" s="1"/>
  <c r="AK18" i="3"/>
  <c r="AK73" i="3" s="1"/>
  <c r="K27" i="2" s="1"/>
  <c r="I198" i="3"/>
  <c r="R32" i="3" s="1"/>
  <c r="AG33" i="3" s="1"/>
  <c r="AG75" i="3" s="1"/>
  <c r="G29" i="2" s="1"/>
  <c r="AG18" i="3"/>
  <c r="AG73" i="3" s="1"/>
  <c r="G27" i="2" s="1"/>
  <c r="I206" i="3"/>
  <c r="Z32" i="3" s="1"/>
  <c r="AO33" i="3" s="1"/>
  <c r="AO75" i="3" s="1"/>
  <c r="O29" i="2" s="1"/>
  <c r="AM17" i="3"/>
  <c r="AM70" i="3" s="1"/>
  <c r="M24" i="2" s="1"/>
  <c r="I197" i="3"/>
  <c r="Q32" i="3" s="1"/>
  <c r="AF33" i="3" s="1"/>
  <c r="AF75" i="3" s="1"/>
  <c r="F29" i="2" s="1"/>
  <c r="I199" i="3"/>
  <c r="I201" i="3"/>
  <c r="I203" i="3"/>
  <c r="AP18" i="3"/>
  <c r="AP73" i="3" s="1"/>
  <c r="P27" i="2" s="1"/>
  <c r="I183" i="3"/>
  <c r="AA30" i="3" s="1"/>
  <c r="I200" i="3"/>
  <c r="AG74" i="3"/>
  <c r="G28" i="2" s="1"/>
  <c r="AF74" i="3"/>
  <c r="F28" i="2" s="1"/>
  <c r="AE74" i="3"/>
  <c r="E28" i="2" s="1"/>
  <c r="I190" i="3"/>
  <c r="V31" i="3" s="1"/>
  <c r="AK32" i="3" s="1"/>
  <c r="AK72" i="3" s="1"/>
  <c r="K26" i="2" s="1"/>
  <c r="I187" i="3"/>
  <c r="S31" i="3" s="1"/>
  <c r="AH32" i="3" s="1"/>
  <c r="AH72" i="3" s="1"/>
  <c r="H26" i="2" s="1"/>
  <c r="AL17" i="3"/>
  <c r="AL70" i="3" s="1"/>
  <c r="L24" i="2" s="1"/>
  <c r="AG17" i="3"/>
  <c r="AG70" i="3" s="1"/>
  <c r="G24" i="2" s="1"/>
  <c r="I194" i="3"/>
  <c r="Z31" i="3" s="1"/>
  <c r="AO32" i="3" s="1"/>
  <c r="AO72" i="3" s="1"/>
  <c r="O26" i="2" s="1"/>
  <c r="AK17" i="3"/>
  <c r="AK70" i="3" s="1"/>
  <c r="K24" i="2" s="1"/>
  <c r="I191" i="3"/>
  <c r="W31" i="3" s="1"/>
  <c r="AL32" i="3" s="1"/>
  <c r="AL72" i="3" s="1"/>
  <c r="L26" i="2" s="1"/>
  <c r="AO17" i="3"/>
  <c r="AO70" i="3" s="1"/>
  <c r="O24" i="2" s="1"/>
  <c r="I188" i="3"/>
  <c r="T31" i="3" s="1"/>
  <c r="AI32" i="3" s="1"/>
  <c r="AI72" i="3" s="1"/>
  <c r="I26" i="2" s="1"/>
  <c r="AJ17" i="3"/>
  <c r="AJ70" i="3" s="1"/>
  <c r="J24" i="2" s="1"/>
  <c r="I192" i="3"/>
  <c r="X31" i="3" s="1"/>
  <c r="AM32" i="3" s="1"/>
  <c r="AM72" i="3" s="1"/>
  <c r="M26" i="2" s="1"/>
  <c r="AN17" i="3"/>
  <c r="AN70" i="3" s="1"/>
  <c r="N24" i="2" s="1"/>
  <c r="I195" i="3"/>
  <c r="AA31" i="3" s="1"/>
  <c r="AP17" i="3"/>
  <c r="AP70" i="3" s="1"/>
  <c r="P24" i="2" s="1"/>
  <c r="I189" i="3"/>
  <c r="U31" i="3" s="1"/>
  <c r="AJ32" i="3" s="1"/>
  <c r="AJ72" i="3" s="1"/>
  <c r="J26" i="2" s="1"/>
  <c r="AI17" i="3"/>
  <c r="AI70" i="3" s="1"/>
  <c r="I24" i="2" s="1"/>
  <c r="I193" i="3"/>
  <c r="Y31" i="3" s="1"/>
  <c r="I186" i="3"/>
  <c r="R31" i="3" s="1"/>
  <c r="AG32" i="3" s="1"/>
  <c r="AG72" i="3" s="1"/>
  <c r="G26" i="2" s="1"/>
  <c r="AH17" i="3"/>
  <c r="AH70" i="3" s="1"/>
  <c r="H24" i="2" s="1"/>
  <c r="I185" i="3"/>
  <c r="Q31" i="3" s="1"/>
  <c r="AN16" i="3"/>
  <c r="AN67" i="3" s="1"/>
  <c r="N21" i="2" s="1"/>
  <c r="AO16" i="3"/>
  <c r="AO67" i="3" s="1"/>
  <c r="O21" i="2" s="1"/>
  <c r="AP16" i="3"/>
  <c r="AP67" i="3" s="1"/>
  <c r="P21" i="2" s="1"/>
  <c r="AE17" i="3"/>
  <c r="AF17" i="3"/>
  <c r="AF70" i="3" s="1"/>
  <c r="F24" i="2" s="1"/>
  <c r="I184" i="3"/>
  <c r="P31" i="3" s="1"/>
  <c r="I182" i="3"/>
  <c r="Z30" i="3" s="1"/>
  <c r="C179" i="3"/>
  <c r="D179" i="3"/>
  <c r="H179" i="3"/>
  <c r="L179" i="3"/>
  <c r="C180" i="3"/>
  <c r="D180" i="3"/>
  <c r="H180" i="3"/>
  <c r="L180" i="3"/>
  <c r="W17" i="3"/>
  <c r="AQ20" i="3" l="1"/>
  <c r="AQ79" i="3" s="1"/>
  <c r="Q33" i="2" s="1"/>
  <c r="P34" i="3"/>
  <c r="AE35" i="3" s="1"/>
  <c r="R34" i="3"/>
  <c r="AG35" i="3" s="1"/>
  <c r="AG81" i="3" s="1"/>
  <c r="G35" i="2" s="1"/>
  <c r="Q34" i="3"/>
  <c r="AF35" i="3" s="1"/>
  <c r="AF81" i="3" s="1"/>
  <c r="F35" i="2" s="1"/>
  <c r="Z33" i="3"/>
  <c r="AO34" i="3" s="1"/>
  <c r="AO78" i="3" s="1"/>
  <c r="O32" i="2" s="1"/>
  <c r="AQ19" i="3"/>
  <c r="AQ76" i="3" s="1"/>
  <c r="AQ46" i="3"/>
  <c r="AQ77" i="3" s="1"/>
  <c r="Q31" i="2" s="1"/>
  <c r="W32" i="3"/>
  <c r="AL33" i="3" s="1"/>
  <c r="AL75" i="3" s="1"/>
  <c r="L29" i="2" s="1"/>
  <c r="U32" i="3"/>
  <c r="AJ33" i="3" s="1"/>
  <c r="AJ75" i="3" s="1"/>
  <c r="J29" i="2" s="1"/>
  <c r="S32" i="3"/>
  <c r="AH33" i="3" s="1"/>
  <c r="T32" i="3"/>
  <c r="AI33" i="3" s="1"/>
  <c r="AI75" i="3" s="1"/>
  <c r="I29" i="2" s="1"/>
  <c r="AQ18" i="3"/>
  <c r="AQ73" i="3" s="1"/>
  <c r="I180" i="3"/>
  <c r="X30" i="3" s="1"/>
  <c r="AQ17" i="3"/>
  <c r="AQ70" i="3" s="1"/>
  <c r="AP32" i="3"/>
  <c r="AP72" i="3" s="1"/>
  <c r="P26" i="2" s="1"/>
  <c r="AN32" i="3"/>
  <c r="AN72" i="3" s="1"/>
  <c r="N26" i="2" s="1"/>
  <c r="AE70" i="3"/>
  <c r="E24" i="2" s="1"/>
  <c r="AF32" i="3"/>
  <c r="AF72" i="3" s="1"/>
  <c r="F26" i="2" s="1"/>
  <c r="AO31" i="3"/>
  <c r="AO69" i="3" s="1"/>
  <c r="O23" i="2" s="1"/>
  <c r="AP31" i="3"/>
  <c r="AP69" i="3" s="1"/>
  <c r="P23" i="2" s="1"/>
  <c r="X43" i="3"/>
  <c r="AM43" i="3" s="1"/>
  <c r="AM68" i="3" s="1"/>
  <c r="Q44" i="3"/>
  <c r="AF44" i="3" s="1"/>
  <c r="AF71" i="3" s="1"/>
  <c r="F25" i="2" s="1"/>
  <c r="AA43" i="3"/>
  <c r="AP43" i="3" s="1"/>
  <c r="AP68" i="3" s="1"/>
  <c r="P22" i="2" s="1"/>
  <c r="Y43" i="3"/>
  <c r="AN43" i="3" s="1"/>
  <c r="AN68" i="3" s="1"/>
  <c r="N22" i="2" s="1"/>
  <c r="Z43" i="3"/>
  <c r="AO43" i="3" s="1"/>
  <c r="AO68" i="3" s="1"/>
  <c r="O22" i="2" s="1"/>
  <c r="P44" i="3"/>
  <c r="AE44" i="3" s="1"/>
  <c r="I181" i="3"/>
  <c r="Y30" i="3" s="1"/>
  <c r="AN31" i="3" s="1"/>
  <c r="AN69" i="3" s="1"/>
  <c r="N23" i="2" s="1"/>
  <c r="W43" i="3"/>
  <c r="AL43" i="3" s="1"/>
  <c r="AL68" i="3" s="1"/>
  <c r="AM16" i="3"/>
  <c r="AM67" i="3" s="1"/>
  <c r="V17" i="3"/>
  <c r="AL16" i="3" s="1"/>
  <c r="AL67" i="3" s="1"/>
  <c r="U17" i="3"/>
  <c r="T17" i="3"/>
  <c r="C176" i="3"/>
  <c r="D176" i="3"/>
  <c r="H176" i="3"/>
  <c r="L176" i="3"/>
  <c r="C177" i="3"/>
  <c r="D177" i="3"/>
  <c r="H177" i="3"/>
  <c r="L177" i="3"/>
  <c r="U43" i="3" s="1"/>
  <c r="AJ43" i="3" s="1"/>
  <c r="AJ68" i="3" s="1"/>
  <c r="C178" i="3"/>
  <c r="D178" i="3"/>
  <c r="H178" i="3"/>
  <c r="I179" i="3" s="1"/>
  <c r="W30" i="3" s="1"/>
  <c r="AL31" i="3" s="1"/>
  <c r="AL69" i="3" s="1"/>
  <c r="L178" i="3"/>
  <c r="V43" i="3" s="1"/>
  <c r="AK43" i="3" s="1"/>
  <c r="AK68" i="3" s="1"/>
  <c r="AE81" i="3" l="1"/>
  <c r="E35" i="2" s="1"/>
  <c r="AQ35" i="3"/>
  <c r="AQ81" i="3" s="1"/>
  <c r="Q35" i="2" s="1"/>
  <c r="AQ34" i="3"/>
  <c r="AQ78" i="3" s="1"/>
  <c r="Q30" i="2"/>
  <c r="X2" i="2"/>
  <c r="AH75" i="3"/>
  <c r="H29" i="2" s="1"/>
  <c r="AQ33" i="3"/>
  <c r="AQ75" i="3" s="1"/>
  <c r="Q27" i="2"/>
  <c r="AQ44" i="3"/>
  <c r="AQ71" i="3" s="1"/>
  <c r="AM31" i="3"/>
  <c r="AM69" i="3" s="1"/>
  <c r="AE71" i="3"/>
  <c r="E25" i="2" s="1"/>
  <c r="Q24" i="2"/>
  <c r="AE32" i="3"/>
  <c r="AQ32" i="3" s="1"/>
  <c r="AK16" i="3"/>
  <c r="AK67" i="3" s="1"/>
  <c r="T43" i="3"/>
  <c r="AI43" i="3" s="1"/>
  <c r="AI68" i="3" s="1"/>
  <c r="AJ16" i="3"/>
  <c r="AJ67" i="3" s="1"/>
  <c r="I178" i="3"/>
  <c r="V30" i="3" s="1"/>
  <c r="AK31" i="3" s="1"/>
  <c r="AK69" i="3" s="1"/>
  <c r="I177" i="3"/>
  <c r="Q32" i="2" l="1"/>
  <c r="Q29" i="2"/>
  <c r="AE72" i="3"/>
  <c r="E26" i="2" s="1"/>
  <c r="AQ72" i="3"/>
  <c r="Q25" i="2"/>
  <c r="X3" i="2"/>
  <c r="U30" i="3"/>
  <c r="AJ31" i="3" s="1"/>
  <c r="AJ69" i="3" s="1"/>
  <c r="S17" i="3"/>
  <c r="AI16" i="3" s="1"/>
  <c r="AI67" i="3" s="1"/>
  <c r="C175" i="3"/>
  <c r="D175" i="3"/>
  <c r="H175" i="3"/>
  <c r="L175" i="3"/>
  <c r="S43" i="3" s="1"/>
  <c r="AH43" i="3" s="1"/>
  <c r="Q26" i="2" l="1"/>
  <c r="I176" i="3"/>
  <c r="T30" i="3" s="1"/>
  <c r="AI31" i="3" s="1"/>
  <c r="AI69" i="3" s="1"/>
  <c r="AH68" i="3"/>
  <c r="R17" i="3"/>
  <c r="AH16" i="3" s="1"/>
  <c r="AH67" i="3" s="1"/>
  <c r="C174" i="3"/>
  <c r="D174" i="3"/>
  <c r="H174" i="3"/>
  <c r="L174" i="3"/>
  <c r="R43" i="3" l="1"/>
  <c r="AG43" i="3" s="1"/>
  <c r="AG68" i="3" s="1"/>
  <c r="I175" i="3"/>
  <c r="Q17" i="3"/>
  <c r="AG16" i="3" s="1"/>
  <c r="AG67" i="3" s="1"/>
  <c r="H173" i="3"/>
  <c r="I174" i="3" s="1"/>
  <c r="C173" i="3"/>
  <c r="D173" i="3"/>
  <c r="L173" i="3"/>
  <c r="R30" i="3" l="1"/>
  <c r="AG31" i="3" s="1"/>
  <c r="AG69" i="3" s="1"/>
  <c r="Q43" i="3"/>
  <c r="AF43" i="3" s="1"/>
  <c r="AF68" i="3" s="1"/>
  <c r="S30" i="3"/>
  <c r="AH31" i="3" s="1"/>
  <c r="AH69" i="3" s="1"/>
  <c r="P17" i="3"/>
  <c r="AF16" i="3" s="1"/>
  <c r="AF67" i="3" s="1"/>
  <c r="H172" i="3"/>
  <c r="I173" i="3" s="1"/>
  <c r="C172" i="3"/>
  <c r="D172" i="3"/>
  <c r="L172" i="3"/>
  <c r="P43" i="3" s="1"/>
  <c r="AE43" i="3" s="1"/>
  <c r="AQ43" i="3" l="1"/>
  <c r="AQ68" i="3" s="1"/>
  <c r="Q22" i="2" s="1"/>
  <c r="Q30" i="3"/>
  <c r="AF31" i="3" s="1"/>
  <c r="AF69" i="3" s="1"/>
  <c r="AE68" i="3"/>
  <c r="C171" i="3"/>
  <c r="D171" i="3"/>
  <c r="H171" i="3"/>
  <c r="L171" i="3"/>
  <c r="AA42" i="3" s="1"/>
  <c r="AP42" i="3" s="1"/>
  <c r="AP65" i="3" s="1"/>
  <c r="C170" i="3"/>
  <c r="AA16" i="3"/>
  <c r="AE16" i="3" l="1"/>
  <c r="AE67" i="3" s="1"/>
  <c r="I172" i="3"/>
  <c r="Z16" i="3"/>
  <c r="D170" i="3"/>
  <c r="H170" i="3"/>
  <c r="L170" i="3"/>
  <c r="Z42" i="3" s="1"/>
  <c r="AO42" i="3" s="1"/>
  <c r="AO65" i="3" s="1"/>
  <c r="AQ16" i="3" l="1"/>
  <c r="AQ67" i="3" s="1"/>
  <c r="Q21" i="2" s="1"/>
  <c r="AP15" i="3"/>
  <c r="AP64" i="3" s="1"/>
  <c r="P30" i="3"/>
  <c r="AE31" i="3" s="1"/>
  <c r="AQ31" i="3" s="1"/>
  <c r="I171" i="3"/>
  <c r="Y16" i="3"/>
  <c r="AO15" i="3" s="1"/>
  <c r="AO64" i="3" s="1"/>
  <c r="C169" i="3"/>
  <c r="D169" i="3"/>
  <c r="H169" i="3"/>
  <c r="I170" i="3" s="1"/>
  <c r="L169" i="3"/>
  <c r="Y42" i="3" s="1"/>
  <c r="AN42" i="3" s="1"/>
  <c r="AN65" i="3" s="1"/>
  <c r="AE69" i="3" l="1"/>
  <c r="AQ69" i="3"/>
  <c r="Q23" i="2" s="1"/>
  <c r="Z29" i="3"/>
  <c r="AO30" i="3" s="1"/>
  <c r="AO66" i="3" s="1"/>
  <c r="AA29" i="3"/>
  <c r="AP30" i="3" s="1"/>
  <c r="AP66" i="3" s="1"/>
  <c r="X16" i="3"/>
  <c r="AN15" i="3" s="1"/>
  <c r="AN64" i="3" s="1"/>
  <c r="C168" i="3"/>
  <c r="D168" i="3"/>
  <c r="H168" i="3"/>
  <c r="I169" i="3" s="1"/>
  <c r="L168" i="3"/>
  <c r="X42" i="3" s="1"/>
  <c r="AM42" i="3" s="1"/>
  <c r="AM65" i="3" s="1"/>
  <c r="Y29" i="3" l="1"/>
  <c r="AN30" i="3" s="1"/>
  <c r="AN66" i="3" s="1"/>
  <c r="W16" i="3"/>
  <c r="AM15" i="3" s="1"/>
  <c r="AM64" i="3" s="1"/>
  <c r="H167" i="3"/>
  <c r="I168" i="3" s="1"/>
  <c r="L167" i="3"/>
  <c r="D167" i="3"/>
  <c r="C167" i="3"/>
  <c r="W42" i="3" l="1"/>
  <c r="AL42" i="3" s="1"/>
  <c r="AL65" i="3" s="1"/>
  <c r="X29" i="3"/>
  <c r="AM30" i="3" s="1"/>
  <c r="AM66" i="3" s="1"/>
  <c r="V16" i="3"/>
  <c r="AL15" i="3" s="1"/>
  <c r="AL64" i="3" s="1"/>
  <c r="D166" i="3"/>
  <c r="L166" i="3"/>
  <c r="V42" i="3" s="1"/>
  <c r="AK42" i="3" s="1"/>
  <c r="AK65" i="3" s="1"/>
  <c r="H166" i="3"/>
  <c r="C166" i="3"/>
  <c r="I167" i="3" l="1"/>
  <c r="W29" i="3" l="1"/>
  <c r="AL30" i="3" s="1"/>
  <c r="AL66" i="3" s="1"/>
  <c r="L165" i="3"/>
  <c r="U42" i="3" s="1"/>
  <c r="AJ42" i="3" s="1"/>
  <c r="AJ65" i="3" s="1"/>
  <c r="H165" i="3"/>
  <c r="C165" i="3"/>
  <c r="D165" i="3"/>
  <c r="U16" i="3"/>
  <c r="I166" i="3" l="1"/>
  <c r="AK15" i="3"/>
  <c r="AK64" i="3" s="1"/>
  <c r="T16" i="3"/>
  <c r="L164" i="3"/>
  <c r="H164" i="3"/>
  <c r="I165" i="3" s="1"/>
  <c r="U29" i="3" s="1"/>
  <c r="AJ30" i="3" s="1"/>
  <c r="AJ66" i="3" s="1"/>
  <c r="D164" i="3"/>
  <c r="C164" i="3"/>
  <c r="V29" i="3" l="1"/>
  <c r="AK30" i="3" s="1"/>
  <c r="AK66" i="3" s="1"/>
  <c r="T42" i="3"/>
  <c r="AI42" i="3" s="1"/>
  <c r="AI65" i="3" s="1"/>
  <c r="AJ15" i="3"/>
  <c r="AJ64" i="3" s="1"/>
  <c r="C163" i="3"/>
  <c r="AW20" i="3"/>
  <c r="AW21" i="3"/>
  <c r="AQ39" i="3"/>
  <c r="BB30" i="3" s="1"/>
  <c r="X4" i="2" s="1"/>
  <c r="AQ41" i="3"/>
  <c r="AQ40" i="3"/>
  <c r="H135" i="3"/>
  <c r="H160" i="3"/>
  <c r="H161" i="3"/>
  <c r="H162" i="3"/>
  <c r="H163" i="3"/>
  <c r="I164" i="3" s="1"/>
  <c r="H159" i="3"/>
  <c r="H148" i="3"/>
  <c r="H149" i="3"/>
  <c r="H150" i="3"/>
  <c r="H151" i="3"/>
  <c r="H152" i="3"/>
  <c r="H153" i="3"/>
  <c r="H154" i="3"/>
  <c r="H155" i="3"/>
  <c r="H156" i="3"/>
  <c r="H157" i="3"/>
  <c r="H158" i="3"/>
  <c r="H147" i="3"/>
  <c r="H136" i="3"/>
  <c r="H137" i="3"/>
  <c r="H138" i="3"/>
  <c r="H139" i="3"/>
  <c r="H140" i="3"/>
  <c r="H141" i="3"/>
  <c r="H142" i="3"/>
  <c r="H143" i="3"/>
  <c r="H144" i="3"/>
  <c r="H145" i="3"/>
  <c r="H146" i="3"/>
  <c r="H128" i="3"/>
  <c r="H134" i="3"/>
  <c r="AQ28" i="3" l="1"/>
  <c r="AQ29" i="3"/>
  <c r="AQ27" i="3"/>
  <c r="T29" i="3"/>
  <c r="AI30" i="3" s="1"/>
  <c r="AI66" i="3" s="1"/>
  <c r="C57" i="3"/>
  <c r="L145" i="3"/>
  <c r="Y40" i="3" s="1"/>
  <c r="AN40" i="3" s="1"/>
  <c r="L146" i="3"/>
  <c r="Z40" i="3" s="1"/>
  <c r="AO40" i="3" s="1"/>
  <c r="L147" i="3"/>
  <c r="AA40" i="3" s="1"/>
  <c r="AP40" i="3" s="1"/>
  <c r="L148" i="3"/>
  <c r="P41" i="3" s="1"/>
  <c r="AE41" i="3" s="1"/>
  <c r="L149" i="3"/>
  <c r="Q41" i="3" s="1"/>
  <c r="AF41" i="3" s="1"/>
  <c r="L150" i="3"/>
  <c r="R41" i="3" s="1"/>
  <c r="AG41" i="3" s="1"/>
  <c r="L151" i="3"/>
  <c r="S41" i="3" s="1"/>
  <c r="AH41" i="3" s="1"/>
  <c r="L152" i="3"/>
  <c r="T41" i="3" s="1"/>
  <c r="AI41" i="3" s="1"/>
  <c r="L153" i="3"/>
  <c r="U41" i="3" s="1"/>
  <c r="AJ41" i="3" s="1"/>
  <c r="L154" i="3"/>
  <c r="V41" i="3" s="1"/>
  <c r="AK41" i="3" s="1"/>
  <c r="L155" i="3"/>
  <c r="W41" i="3" s="1"/>
  <c r="AL41" i="3" s="1"/>
  <c r="L156" i="3"/>
  <c r="X41" i="3" s="1"/>
  <c r="AM41" i="3" s="1"/>
  <c r="L157" i="3"/>
  <c r="Y41" i="3" s="1"/>
  <c r="AN41" i="3" s="1"/>
  <c r="L158" i="3"/>
  <c r="Z41" i="3" s="1"/>
  <c r="AO41" i="3" s="1"/>
  <c r="L159" i="3"/>
  <c r="AA41" i="3" s="1"/>
  <c r="AP41" i="3" s="1"/>
  <c r="L160" i="3"/>
  <c r="L161" i="3"/>
  <c r="Q42" i="3" s="1"/>
  <c r="AF42" i="3" s="1"/>
  <c r="L162" i="3"/>
  <c r="R42" i="3" s="1"/>
  <c r="AG42" i="3" s="1"/>
  <c r="L163" i="3"/>
  <c r="S42" i="3" s="1"/>
  <c r="AH42" i="3" s="1"/>
  <c r="AH65" i="3" s="1"/>
  <c r="D162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4" i="3"/>
  <c r="S16" i="3"/>
  <c r="P42" i="3" l="1"/>
  <c r="AE42" i="3" s="1"/>
  <c r="AQ42" i="3" s="1"/>
  <c r="AI15" i="3"/>
  <c r="AI64" i="3" s="1"/>
  <c r="D163" i="3"/>
  <c r="R16" i="3" l="1"/>
  <c r="AH15" i="3" l="1"/>
  <c r="AH64" i="3" s="1"/>
  <c r="I163" i="3"/>
  <c r="S29" i="3" s="1"/>
  <c r="AH30" i="3" s="1"/>
  <c r="AH66" i="3" s="1"/>
  <c r="AG65" i="3"/>
  <c r="Q16" i="3"/>
  <c r="I162" i="3"/>
  <c r="R29" i="3" s="1"/>
  <c r="AG30" i="3" s="1"/>
  <c r="D161" i="3"/>
  <c r="AG15" i="3" l="1"/>
  <c r="AG64" i="3" s="1"/>
  <c r="AG66" i="3"/>
  <c r="AF65" i="3"/>
  <c r="P16" i="3"/>
  <c r="D160" i="3"/>
  <c r="AF15" i="3" l="1"/>
  <c r="AF64" i="3" s="1"/>
  <c r="I161" i="3"/>
  <c r="Q29" i="3" s="1"/>
  <c r="AF30" i="3" s="1"/>
  <c r="AF66" i="3" s="1"/>
  <c r="AA15" i="3"/>
  <c r="D159" i="3"/>
  <c r="AQ15" i="3" l="1"/>
  <c r="AQ64" i="3" s="1"/>
  <c r="AQ65" i="3"/>
  <c r="AE65" i="3"/>
  <c r="I160" i="3"/>
  <c r="AE64" i="3"/>
  <c r="H129" i="3"/>
  <c r="H130" i="3"/>
  <c r="H131" i="3"/>
  <c r="H132" i="3"/>
  <c r="H133" i="3"/>
  <c r="P29" i="3" l="1"/>
  <c r="AE30" i="3" s="1"/>
  <c r="AQ30" i="3" s="1"/>
  <c r="I129" i="3"/>
  <c r="J129" i="3" s="1"/>
  <c r="AQ66" i="3" l="1"/>
  <c r="AE66" i="3"/>
  <c r="D158" i="3"/>
  <c r="D157" i="3"/>
  <c r="D156" i="3"/>
  <c r="D155" i="3"/>
  <c r="D154" i="3"/>
  <c r="D153" i="3"/>
  <c r="D152" i="3"/>
  <c r="D151" i="3"/>
  <c r="D150" i="3"/>
  <c r="D149" i="3"/>
  <c r="D148" i="3"/>
  <c r="I147" i="3"/>
  <c r="AA27" i="3" s="1"/>
  <c r="AP28" i="3" s="1"/>
  <c r="B147" i="3"/>
  <c r="B146" i="3"/>
  <c r="D145" i="3"/>
  <c r="D144" i="3"/>
  <c r="F143" i="3"/>
  <c r="D143" i="3"/>
  <c r="F142" i="3"/>
  <c r="D142" i="3"/>
  <c r="F141" i="3"/>
  <c r="D141" i="3"/>
  <c r="F140" i="3"/>
  <c r="D140" i="3"/>
  <c r="F139" i="3"/>
  <c r="D139" i="3"/>
  <c r="F138" i="3"/>
  <c r="D138" i="3"/>
  <c r="F137" i="3"/>
  <c r="D137" i="3"/>
  <c r="F136" i="3"/>
  <c r="D136" i="3"/>
  <c r="F135" i="3"/>
  <c r="D135" i="3"/>
  <c r="F134" i="3"/>
  <c r="D134" i="3"/>
  <c r="F133" i="3"/>
  <c r="D133" i="3"/>
  <c r="D132" i="3"/>
  <c r="A132" i="3"/>
  <c r="F131" i="3"/>
  <c r="D131" i="3"/>
  <c r="F130" i="3"/>
  <c r="D130" i="3"/>
  <c r="F129" i="3"/>
  <c r="D129" i="3"/>
  <c r="F128" i="3"/>
  <c r="L128" i="3" s="1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AG62" i="3"/>
  <c r="AF62" i="3"/>
  <c r="D30" i="3"/>
  <c r="AP59" i="3"/>
  <c r="D29" i="3"/>
  <c r="D28" i="3"/>
  <c r="D27" i="3"/>
  <c r="D26" i="3"/>
  <c r="D25" i="3"/>
  <c r="D24" i="3"/>
  <c r="D23" i="3"/>
  <c r="AW22" i="3"/>
  <c r="D22" i="3"/>
  <c r="D21" i="3"/>
  <c r="D20" i="3"/>
  <c r="BA19" i="3"/>
  <c r="AZ19" i="3"/>
  <c r="AY19" i="3"/>
  <c r="AY22" i="3" s="1"/>
  <c r="AX19" i="3"/>
  <c r="AX20" i="3" s="1"/>
  <c r="D19" i="3"/>
  <c r="D18" i="3"/>
  <c r="D17" i="3"/>
  <c r="D16" i="3"/>
  <c r="Z15" i="3"/>
  <c r="AP61" i="3" s="1"/>
  <c r="Y15" i="3"/>
  <c r="X15" i="3"/>
  <c r="W15" i="3"/>
  <c r="V15" i="3"/>
  <c r="U15" i="3"/>
  <c r="T15" i="3"/>
  <c r="AJ61" i="3" s="1"/>
  <c r="S15" i="3"/>
  <c r="R15" i="3"/>
  <c r="AH61" i="3" s="1"/>
  <c r="Q15" i="3"/>
  <c r="P15" i="3"/>
  <c r="AF61" i="3" s="1"/>
  <c r="D15" i="3"/>
  <c r="AN61" i="3"/>
  <c r="Y14" i="3"/>
  <c r="X14" i="3"/>
  <c r="W14" i="3"/>
  <c r="V14" i="3"/>
  <c r="U14" i="3"/>
  <c r="T14" i="3"/>
  <c r="S14" i="3"/>
  <c r="R14" i="3"/>
  <c r="Q14" i="3"/>
  <c r="P14" i="3"/>
  <c r="D14" i="3"/>
  <c r="AA13" i="3"/>
  <c r="AQ12" i="3" s="1"/>
  <c r="AQ57" i="3" s="1"/>
  <c r="Z13" i="3"/>
  <c r="Y13" i="3"/>
  <c r="D13" i="3"/>
  <c r="AM57" i="3"/>
  <c r="AL57" i="3"/>
  <c r="AK57" i="3"/>
  <c r="AJ57" i="3"/>
  <c r="AI57" i="3"/>
  <c r="AH57" i="3"/>
  <c r="AG57" i="3"/>
  <c r="AF57" i="3"/>
  <c r="AE57" i="3"/>
  <c r="D12" i="3"/>
  <c r="AQ11" i="3"/>
  <c r="AQ56" i="3" s="1"/>
  <c r="AP56" i="3"/>
  <c r="AO56" i="3"/>
  <c r="AN56" i="3"/>
  <c r="AM56" i="3"/>
  <c r="AL56" i="3"/>
  <c r="AK56" i="3"/>
  <c r="AJ56" i="3"/>
  <c r="AI56" i="3"/>
  <c r="AH56" i="3"/>
  <c r="AG56" i="3"/>
  <c r="AF56" i="3"/>
  <c r="AE56" i="3"/>
  <c r="D11" i="3"/>
  <c r="AQ10" i="3"/>
  <c r="AQ55" i="3" s="1"/>
  <c r="AP55" i="3"/>
  <c r="AO55" i="3"/>
  <c r="AN55" i="3"/>
  <c r="AM55" i="3"/>
  <c r="AL55" i="3"/>
  <c r="AK55" i="3"/>
  <c r="AJ55" i="3"/>
  <c r="AI55" i="3"/>
  <c r="AH55" i="3"/>
  <c r="AG55" i="3"/>
  <c r="AF55" i="3"/>
  <c r="AE55" i="3"/>
  <c r="D10" i="3"/>
  <c r="AQ9" i="3"/>
  <c r="AQ54" i="3" s="1"/>
  <c r="AP54" i="3"/>
  <c r="AO54" i="3"/>
  <c r="AN54" i="3"/>
  <c r="AM54" i="3"/>
  <c r="AL54" i="3"/>
  <c r="AK54" i="3"/>
  <c r="AJ54" i="3"/>
  <c r="AI54" i="3"/>
  <c r="AH54" i="3"/>
  <c r="AG54" i="3"/>
  <c r="AF54" i="3"/>
  <c r="AE54" i="3"/>
  <c r="D9" i="3"/>
  <c r="AQ8" i="3"/>
  <c r="D8" i="3"/>
  <c r="AQ7" i="3"/>
  <c r="D7" i="3"/>
  <c r="AQ6" i="3"/>
  <c r="D6" i="3"/>
  <c r="AQ5" i="3"/>
  <c r="D5" i="3"/>
  <c r="AQ4" i="3"/>
  <c r="D4" i="3"/>
  <c r="AQ3" i="3"/>
  <c r="N3" i="3"/>
  <c r="AQ2" i="3" s="1"/>
  <c r="D3" i="3"/>
  <c r="I135" i="3" l="1"/>
  <c r="AA26" i="3" s="1"/>
  <c r="I143" i="3"/>
  <c r="W27" i="3" s="1"/>
  <c r="AL28" i="3" s="1"/>
  <c r="AL60" i="3" s="1"/>
  <c r="AX28" i="3"/>
  <c r="T2" i="2" s="1"/>
  <c r="T39" i="3"/>
  <c r="U26" i="3"/>
  <c r="AK27" i="3" s="1"/>
  <c r="C132" i="3"/>
  <c r="C133" i="3"/>
  <c r="L130" i="3"/>
  <c r="V39" i="3" s="1"/>
  <c r="AK39" i="3" s="1"/>
  <c r="AK84" i="3" s="1"/>
  <c r="I130" i="3"/>
  <c r="J130" i="3" s="1"/>
  <c r="L134" i="3"/>
  <c r="Z39" i="3" s="1"/>
  <c r="AO39" i="3" s="1"/>
  <c r="AO84" i="3" s="1"/>
  <c r="I134" i="3"/>
  <c r="Z26" i="3" s="1"/>
  <c r="AP27" i="3" s="1"/>
  <c r="L136" i="3"/>
  <c r="P40" i="3" s="1"/>
  <c r="AE40" i="3" s="1"/>
  <c r="AE59" i="3" s="1"/>
  <c r="I136" i="3"/>
  <c r="P27" i="3" s="1"/>
  <c r="AE28" i="3" s="1"/>
  <c r="AE60" i="3" s="1"/>
  <c r="BB21" i="3"/>
  <c r="L138" i="3"/>
  <c r="R40" i="3" s="1"/>
  <c r="AG40" i="3" s="1"/>
  <c r="AG59" i="3" s="1"/>
  <c r="I138" i="3"/>
  <c r="R27" i="3" s="1"/>
  <c r="AG28" i="3" s="1"/>
  <c r="AG60" i="3" s="1"/>
  <c r="L140" i="3"/>
  <c r="T40" i="3" s="1"/>
  <c r="AI40" i="3" s="1"/>
  <c r="AI59" i="3" s="1"/>
  <c r="I140" i="3"/>
  <c r="T27" i="3" s="1"/>
  <c r="AI28" i="3" s="1"/>
  <c r="AI60" i="3" s="1"/>
  <c r="L142" i="3"/>
  <c r="V40" i="3" s="1"/>
  <c r="AK40" i="3" s="1"/>
  <c r="AK59" i="3" s="1"/>
  <c r="I142" i="3"/>
  <c r="V27" i="3" s="1"/>
  <c r="AK28" i="3" s="1"/>
  <c r="AK60" i="3" s="1"/>
  <c r="L129" i="3"/>
  <c r="M129" i="3" s="1"/>
  <c r="AE62" i="3"/>
  <c r="L131" i="3"/>
  <c r="W39" i="3" s="1"/>
  <c r="AL39" i="3" s="1"/>
  <c r="AL84" i="3" s="1"/>
  <c r="I131" i="3"/>
  <c r="W26" i="3" s="1"/>
  <c r="AM27" i="3" s="1"/>
  <c r="L135" i="3"/>
  <c r="AA39" i="3" s="1"/>
  <c r="AP39" i="3" s="1"/>
  <c r="AP84" i="3" s="1"/>
  <c r="L137" i="3"/>
  <c r="Q40" i="3" s="1"/>
  <c r="AF40" i="3" s="1"/>
  <c r="AF59" i="3" s="1"/>
  <c r="I137" i="3"/>
  <c r="Q27" i="3" s="1"/>
  <c r="AF28" i="3" s="1"/>
  <c r="L139" i="3"/>
  <c r="S40" i="3" s="1"/>
  <c r="AH40" i="3" s="1"/>
  <c r="AH59" i="3" s="1"/>
  <c r="I139" i="3"/>
  <c r="S27" i="3" s="1"/>
  <c r="AH28" i="3" s="1"/>
  <c r="AH60" i="3" s="1"/>
  <c r="L141" i="3"/>
  <c r="U40" i="3" s="1"/>
  <c r="AJ40" i="3" s="1"/>
  <c r="AJ59" i="3" s="1"/>
  <c r="I141" i="3"/>
  <c r="U27" i="3" s="1"/>
  <c r="AJ28" i="3" s="1"/>
  <c r="AJ60" i="3" s="1"/>
  <c r="L144" i="3"/>
  <c r="X40" i="3" s="1"/>
  <c r="AM40" i="3" s="1"/>
  <c r="AM59" i="3" s="1"/>
  <c r="L143" i="3"/>
  <c r="W40" i="3" s="1"/>
  <c r="AL40" i="3" s="1"/>
  <c r="AL59" i="3" s="1"/>
  <c r="D146" i="3"/>
  <c r="C146" i="3"/>
  <c r="D147" i="3"/>
  <c r="C147" i="3"/>
  <c r="C148" i="3"/>
  <c r="AQ63" i="3"/>
  <c r="I150" i="3"/>
  <c r="R28" i="3" s="1"/>
  <c r="AG29" i="3" s="1"/>
  <c r="I152" i="3"/>
  <c r="T28" i="3" s="1"/>
  <c r="AI29" i="3" s="1"/>
  <c r="AI63" i="3" s="1"/>
  <c r="I144" i="3"/>
  <c r="X27" i="3" s="1"/>
  <c r="AM28" i="3" s="1"/>
  <c r="I149" i="3"/>
  <c r="Q28" i="3" s="1"/>
  <c r="AF29" i="3" s="1"/>
  <c r="I151" i="3"/>
  <c r="S28" i="3" s="1"/>
  <c r="AH29" i="3" s="1"/>
  <c r="I153" i="3"/>
  <c r="U28" i="3" s="1"/>
  <c r="AJ29" i="3" s="1"/>
  <c r="I155" i="3"/>
  <c r="W28" i="3" s="1"/>
  <c r="AL29" i="3" s="1"/>
  <c r="AL63" i="3" s="1"/>
  <c r="I157" i="3"/>
  <c r="Y28" i="3" s="1"/>
  <c r="AN29" i="3" s="1"/>
  <c r="I145" i="3"/>
  <c r="Y27" i="3" s="1"/>
  <c r="AN28" i="3" s="1"/>
  <c r="I146" i="3"/>
  <c r="Z27" i="3" s="1"/>
  <c r="AO28" i="3" s="1"/>
  <c r="I148" i="3"/>
  <c r="P28" i="3" s="1"/>
  <c r="AE29" i="3" s="1"/>
  <c r="I154" i="3"/>
  <c r="V28" i="3" s="1"/>
  <c r="AK29" i="3" s="1"/>
  <c r="AK63" i="3" s="1"/>
  <c r="I156" i="3"/>
  <c r="X28" i="3" s="1"/>
  <c r="AM29" i="3" s="1"/>
  <c r="AM63" i="3" s="1"/>
  <c r="I158" i="3"/>
  <c r="Z28" i="3" s="1"/>
  <c r="AO29" i="3" s="1"/>
  <c r="I159" i="3"/>
  <c r="AA28" i="3" s="1"/>
  <c r="AP29" i="3" s="1"/>
  <c r="AP63" i="3" s="1"/>
  <c r="AI58" i="3"/>
  <c r="AO61" i="3"/>
  <c r="AG61" i="3"/>
  <c r="AA14" i="3"/>
  <c r="AQ14" i="3" s="1"/>
  <c r="AQ61" i="3" s="1"/>
  <c r="AO59" i="3"/>
  <c r="BB22" i="3"/>
  <c r="AE58" i="3"/>
  <c r="AZ22" i="3"/>
  <c r="AZ30" i="3" s="1"/>
  <c r="V4" i="2" s="1"/>
  <c r="AJ58" i="3"/>
  <c r="Z14" i="3"/>
  <c r="AH58" i="3"/>
  <c r="AM58" i="3"/>
  <c r="AI62" i="3"/>
  <c r="AL62" i="3"/>
  <c r="AG58" i="3"/>
  <c r="AK61" i="3"/>
  <c r="AN62" i="3"/>
  <c r="F132" i="3"/>
  <c r="AO57" i="3"/>
  <c r="AL58" i="3"/>
  <c r="AM61" i="3"/>
  <c r="AO62" i="3"/>
  <c r="AP62" i="3"/>
  <c r="BB20" i="3"/>
  <c r="AM62" i="3"/>
  <c r="AH62" i="3"/>
  <c r="AQ59" i="3"/>
  <c r="AK62" i="3"/>
  <c r="AN59" i="3"/>
  <c r="BA22" i="3"/>
  <c r="BA30" i="3" s="1"/>
  <c r="W4" i="2" s="1"/>
  <c r="AY30" i="3"/>
  <c r="U4" i="2" s="1"/>
  <c r="AK58" i="3"/>
  <c r="AZ20" i="3"/>
  <c r="AZ28" i="3" s="1"/>
  <c r="V2" i="2" s="1"/>
  <c r="AN57" i="3"/>
  <c r="AI61" i="3"/>
  <c r="BA20" i="3"/>
  <c r="AQ62" i="3"/>
  <c r="AP57" i="3"/>
  <c r="AF58" i="3"/>
  <c r="AN58" i="3"/>
  <c r="AX21" i="3"/>
  <c r="AX29" i="3" s="1"/>
  <c r="T3" i="2" s="1"/>
  <c r="AX22" i="3"/>
  <c r="AX30" i="3" s="1"/>
  <c r="T4" i="2" s="1"/>
  <c r="AJ62" i="3"/>
  <c r="AY20" i="3"/>
  <c r="AY28" i="3" s="1"/>
  <c r="U2" i="2" s="1"/>
  <c r="AL61" i="3"/>
  <c r="AY21" i="3"/>
  <c r="AY29" i="3" s="1"/>
  <c r="U3" i="2" s="1"/>
  <c r="AZ21" i="3"/>
  <c r="AZ29" i="3" s="1"/>
  <c r="V3" i="2" s="1"/>
  <c r="BA21" i="3"/>
  <c r="BA29" i="3" s="1"/>
  <c r="W3" i="2" s="1"/>
  <c r="BA28" i="3" l="1"/>
  <c r="W2" i="2" s="1"/>
  <c r="M130" i="3"/>
  <c r="M131" i="3" s="1"/>
  <c r="AQ13" i="3"/>
  <c r="V26" i="3"/>
  <c r="AL27" i="3" s="1"/>
  <c r="U39" i="3"/>
  <c r="AJ39" i="3" s="1"/>
  <c r="AJ84" i="3" s="1"/>
  <c r="AQ60" i="3"/>
  <c r="L132" i="3"/>
  <c r="X39" i="3" s="1"/>
  <c r="AM39" i="3" s="1"/>
  <c r="AM84" i="3" s="1"/>
  <c r="I132" i="3"/>
  <c r="X26" i="3" s="1"/>
  <c r="AN27" i="3" s="1"/>
  <c r="J131" i="3"/>
  <c r="I133" i="3"/>
  <c r="Y26" i="3" s="1"/>
  <c r="AO27" i="3" s="1"/>
  <c r="L133" i="3"/>
  <c r="Y39" i="3" s="1"/>
  <c r="AN39" i="3" s="1"/>
  <c r="AN84" i="3" s="1"/>
  <c r="AF63" i="3"/>
  <c r="AM60" i="3"/>
  <c r="AH63" i="3"/>
  <c r="AO63" i="3"/>
  <c r="AE63" i="3"/>
  <c r="AN63" i="3"/>
  <c r="AN60" i="3"/>
  <c r="AF60" i="3"/>
  <c r="AE61" i="3"/>
  <c r="AP58" i="3"/>
  <c r="AQ58" i="3"/>
  <c r="AO58" i="3"/>
  <c r="AJ63" i="3"/>
  <c r="AG63" i="3"/>
  <c r="AP60" i="3"/>
  <c r="AO60" i="3"/>
  <c r="J132" i="3" l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M132" i="3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</calcChain>
</file>

<file path=xl/sharedStrings.xml><?xml version="1.0" encoding="utf-8"?>
<sst xmlns="http://schemas.openxmlformats.org/spreadsheetml/2006/main" count="240" uniqueCount="71">
  <si>
    <t>Moneda</t>
  </si>
  <si>
    <t>Pesos</t>
  </si>
  <si>
    <t>UF</t>
  </si>
  <si>
    <t>Instrumentos</t>
  </si>
  <si>
    <t>Facturas</t>
  </si>
  <si>
    <t>Duración</t>
  </si>
  <si>
    <t>1-3 meses</t>
  </si>
  <si>
    <t>3-4 meses</t>
  </si>
  <si>
    <t>Año</t>
  </si>
  <si>
    <t>Fondo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</si>
  <si>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</si>
  <si>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</si>
  <si>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</si>
  <si>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</si>
  <si>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</si>
  <si>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</si>
  <si>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</si>
  <si>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</si>
  <si>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</si>
  <si>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</si>
  <si>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</si>
  <si>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</si>
  <si>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</si>
  <si>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ICP</t>
  </si>
  <si>
    <t>Competencia</t>
  </si>
  <si>
    <t>Rentabilidad</t>
  </si>
  <si>
    <t>Mensual</t>
  </si>
  <si>
    <t>Trimestral</t>
  </si>
  <si>
    <t>Semestral</t>
  </si>
  <si>
    <t>Anual</t>
  </si>
  <si>
    <t>ICP (Bechmark)</t>
  </si>
  <si>
    <t>Menos de 1 mes</t>
  </si>
  <si>
    <t>Más de 4 meses</t>
  </si>
  <si>
    <t>CLICP Index</t>
  </si>
  <si>
    <t>Cuota Liquidez</t>
  </si>
  <si>
    <t>Fecha</t>
  </si>
  <si>
    <t>ICP Norm.</t>
  </si>
  <si>
    <t>Competencia Relevante (*)</t>
  </si>
  <si>
    <t>(*)</t>
  </si>
  <si>
    <t>Ingresar mes actual==&gt;</t>
  </si>
  <si>
    <t>DIVIDENDO 2016</t>
  </si>
  <si>
    <t>Dividendo 2017</t>
  </si>
  <si>
    <t>Fondo Liquidez</t>
  </si>
  <si>
    <t>Sant. Money Market UNIV</t>
  </si>
  <si>
    <t>8057-8</t>
  </si>
  <si>
    <t>FONDO LIQUIDEZ</t>
  </si>
  <si>
    <t>FIP Liquidez</t>
  </si>
  <si>
    <t>Liquidez</t>
  </si>
  <si>
    <t>Dividendo 2018</t>
  </si>
  <si>
    <t>(*) Acum a Mar</t>
  </si>
  <si>
    <t>Dividendo 2019</t>
  </si>
  <si>
    <t>Dividendo 2020</t>
  </si>
  <si>
    <t>Dividendo 2021</t>
  </si>
  <si>
    <t>Bono</t>
  </si>
  <si>
    <t>Efectos de Comercio</t>
  </si>
  <si>
    <t>Dividendo 2022</t>
  </si>
  <si>
    <t>Total
Año</t>
  </si>
  <si>
    <t>Depósitos</t>
  </si>
  <si>
    <t>Factoring</t>
  </si>
  <si>
    <t>Financiamiento Inmobiliario</t>
  </si>
  <si>
    <t>Financiamiento Mesa Moneda Extranjera</t>
  </si>
  <si>
    <t>Garantías</t>
  </si>
  <si>
    <t>Nota Estructurada</t>
  </si>
  <si>
    <t>Financiamiento Mesa Renta Fija</t>
  </si>
  <si>
    <t>Simultánea</t>
  </si>
  <si>
    <t>Pagaré</t>
  </si>
  <si>
    <t>ICP (Benchmark)</t>
  </si>
  <si>
    <t>Dividendo 2023</t>
  </si>
  <si>
    <t>Acum
2025 (*)</t>
  </si>
  <si>
    <t>Acum. 2025</t>
  </si>
  <si>
    <t>La variación del IPC del mes de Enero fue de 1,10% que fue muy por sobre de las expectativas de mercado y la variación en 12 meses quedó, en 4,90%. Este IPC muestra que la situación todavía no está controlada, El BC tiene que evaluar muy bien las medidas a seguir, por lo pronto no deberían seguir bajando la TPM hasta que tenga datos más positivos de Inflación. Los depósitos a plazo (IIF) no reflejan movimientos de tasa por todo el año por parte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</si>
</sst>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#,##0.0000"/>
    <numFmt numFmtId="165" formatCode="0.0000"/>
    <numFmt numFmtId="166" formatCode="#,##0.00_ ;[Red]\-#,##0.00\ "/>
    <numFmt numFmtId="167" formatCode="dd\-mm\-yyyy"/>
    <numFmt numFmtId="168" formatCode="_ * #,##0.00_ ;_ * \-#,##0.00_ ;_ * &quot;-&quot;_ ;_ @_ "/>
    <numFmt numFmtId="169" formatCode="0.000%"/>
    <numFmt numFmtId="170" formatCode="_ * #,##0.000_ ;_ * \-#,##0.000_ ;_ * &quot;-&quot;_ ;_ @_ "/>
  </numFmts>
  <fonts count="2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cumin Pro Extra Light"/>
      <family val="2"/>
    </font>
    <font>
      <sz val="11"/>
      <name val="Acumin Pro Extra Light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ileron Light"/>
      <family val="3"/>
    </font>
    <font>
      <sz val="12"/>
      <color theme="1"/>
      <name val="Calibri"/>
      <family val="2"/>
      <scheme val="minor"/>
    </font>
    <font>
      <b/>
      <sz val="11"/>
      <color rgb="FF000000"/>
      <name val="Aileron Light"/>
      <family val="3"/>
    </font>
    <font>
      <b/>
      <sz val="8"/>
      <color rgb="FF000000"/>
      <name val="Aileron Light"/>
      <family val="3"/>
    </font>
    <font>
      <sz val="7"/>
      <color rgb="FF000000"/>
      <name val="Aileron Light"/>
      <family val="3"/>
    </font>
    <font>
      <b/>
      <sz val="7"/>
      <color rgb="FF000000"/>
      <name val="Aileron Light"/>
      <family val="3"/>
    </font>
    <font>
      <b/>
      <sz val="8"/>
      <color theme="1"/>
      <name val="Aileron Light"/>
      <family val="3"/>
    </font>
    <font>
      <b/>
      <sz val="9"/>
      <color rgb="FF000000"/>
      <name val="Aileron Light"/>
      <family val="3"/>
    </font>
    <font>
      <sz val="9"/>
      <color rgb="FF000000"/>
      <name val="Aileron Light"/>
      <family val="3"/>
    </font>
    <font>
      <sz val="6"/>
      <color rgb="FF000000"/>
      <name val="Aileron Light"/>
      <family val="3"/>
    </font>
    <font>
      <b/>
      <sz val="10"/>
      <color theme="1"/>
      <name val="Aileron Light"/>
      <family val="3"/>
    </font>
    <font>
      <b/>
      <sz val="10"/>
      <color rgb="FF000000"/>
      <name val="Aileron Light"/>
      <family val="3"/>
    </font>
    <font>
      <sz val="8"/>
      <color rgb="FF000000"/>
      <name val="Aileron Light"/>
      <family val="3"/>
    </font>
    <font>
      <sz val="8"/>
      <color theme="1"/>
      <name val="Aileron Light"/>
      <family val="3"/>
    </font>
    <font>
      <sz val="11"/>
      <color theme="1"/>
      <name val="Be Vietnam Pro Light"/>
    </font>
    <font>
      <sz val="10"/>
      <color theme="1"/>
      <name val="Be Vietnam Pro Light"/>
    </font>
    <font>
      <sz val="10"/>
      <color theme="1"/>
      <name val="Be Vietnam Pro Medium"/>
    </font>
    <font>
      <sz val="10"/>
      <color theme="0"/>
      <name val="Be Vietnam Pro Light"/>
    </font>
    <font>
      <sz val="9"/>
      <color theme="1"/>
      <name val="Be Vietnam Pro Light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6" fillId="0" borderId="0" xfId="1" applyFont="1"/>
    <xf numFmtId="164" fontId="6" fillId="0" borderId="0" xfId="1" applyNumberFormat="1" applyFont="1"/>
    <xf numFmtId="165" fontId="6" fillId="0" borderId="0" xfId="1" applyNumberFormat="1" applyFont="1"/>
    <xf numFmtId="0" fontId="6" fillId="4" borderId="0" xfId="1" applyFont="1" applyFill="1"/>
    <xf numFmtId="0" fontId="8" fillId="5" borderId="0" xfId="1" applyFont="1" applyFill="1"/>
    <xf numFmtId="0" fontId="9" fillId="5" borderId="0" xfId="1" applyFont="1" applyFill="1" applyAlignment="1">
      <alignment horizontal="center"/>
    </xf>
    <xf numFmtId="0" fontId="6" fillId="6" borderId="0" xfId="1" applyFont="1" applyFill="1"/>
    <xf numFmtId="0" fontId="6" fillId="0" borderId="0" xfId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6" fillId="0" borderId="1" xfId="2" applyFont="1" applyBorder="1"/>
    <xf numFmtId="10" fontId="6" fillId="0" borderId="0" xfId="3" applyNumberFormat="1" applyFont="1"/>
    <xf numFmtId="0" fontId="9" fillId="4" borderId="0" xfId="1" applyFont="1" applyFill="1" applyAlignment="1">
      <alignment horizontal="center"/>
    </xf>
    <xf numFmtId="10" fontId="10" fillId="4" borderId="0" xfId="4" applyNumberFormat="1" applyFont="1" applyFill="1" applyBorder="1" applyAlignment="1">
      <alignment horizontal="center"/>
    </xf>
    <xf numFmtId="10" fontId="11" fillId="4" borderId="0" xfId="4" applyNumberFormat="1" applyFont="1" applyFill="1" applyBorder="1" applyAlignment="1">
      <alignment horizontal="center"/>
    </xf>
    <xf numFmtId="14" fontId="6" fillId="0" borderId="0" xfId="1" applyNumberFormat="1" applyFont="1"/>
    <xf numFmtId="4" fontId="6" fillId="0" borderId="0" xfId="1" applyNumberFormat="1" applyFont="1"/>
    <xf numFmtId="2" fontId="6" fillId="0" borderId="0" xfId="1" applyNumberFormat="1" applyFont="1"/>
    <xf numFmtId="166" fontId="6" fillId="0" borderId="0" xfId="1" applyNumberFormat="1" applyFont="1"/>
    <xf numFmtId="0" fontId="9" fillId="6" borderId="0" xfId="1" applyFont="1" applyFill="1" applyAlignment="1">
      <alignment horizontal="center"/>
    </xf>
    <xf numFmtId="10" fontId="10" fillId="6" borderId="0" xfId="4" applyNumberFormat="1" applyFont="1" applyFill="1" applyBorder="1" applyAlignment="1">
      <alignment horizontal="center"/>
    </xf>
    <xf numFmtId="10" fontId="11" fillId="6" borderId="0" xfId="4" applyNumberFormat="1" applyFont="1" applyFill="1" applyBorder="1" applyAlignment="1">
      <alignment horizontal="center"/>
    </xf>
    <xf numFmtId="167" fontId="6" fillId="0" borderId="0" xfId="1" applyNumberFormat="1" applyFont="1"/>
    <xf numFmtId="10" fontId="6" fillId="0" borderId="0" xfId="4" applyNumberFormat="1" applyFont="1" applyFill="1" applyBorder="1"/>
    <xf numFmtId="0" fontId="10" fillId="6" borderId="0" xfId="1" applyFont="1" applyFill="1" applyAlignment="1">
      <alignment horizontal="left"/>
    </xf>
    <xf numFmtId="10" fontId="10" fillId="0" borderId="0" xfId="4" applyNumberFormat="1" applyFont="1" applyFill="1" applyBorder="1" applyAlignment="1">
      <alignment horizontal="center"/>
    </xf>
    <xf numFmtId="0" fontId="6" fillId="2" borderId="0" xfId="1" applyFont="1" applyFill="1"/>
    <xf numFmtId="0" fontId="8" fillId="5" borderId="0" xfId="1" applyFont="1" applyFill="1" applyAlignment="1">
      <alignment horizontal="right"/>
    </xf>
    <xf numFmtId="0" fontId="6" fillId="2" borderId="0" xfId="1" applyFont="1" applyFill="1" applyAlignment="1">
      <alignment horizontal="right"/>
    </xf>
    <xf numFmtId="14" fontId="6" fillId="2" borderId="0" xfId="1" applyNumberFormat="1" applyFont="1" applyFill="1"/>
    <xf numFmtId="0" fontId="6" fillId="0" borderId="0" xfId="1" applyFont="1" applyAlignment="1">
      <alignment horizontal="right"/>
    </xf>
    <xf numFmtId="4" fontId="6" fillId="2" borderId="0" xfId="1" applyNumberFormat="1" applyFont="1" applyFill="1"/>
    <xf numFmtId="0" fontId="6" fillId="3" borderId="0" xfId="1" applyFont="1" applyFill="1"/>
    <xf numFmtId="0" fontId="12" fillId="7" borderId="0" xfId="1" applyFont="1" applyFill="1" applyAlignment="1">
      <alignment horizontal="center"/>
    </xf>
    <xf numFmtId="0" fontId="13" fillId="8" borderId="0" xfId="1" applyFont="1" applyFill="1" applyAlignment="1">
      <alignment horizontal="center"/>
    </xf>
    <xf numFmtId="0" fontId="13" fillId="7" borderId="0" xfId="1" applyFont="1" applyFill="1" applyAlignment="1">
      <alignment horizontal="center"/>
    </xf>
    <xf numFmtId="0" fontId="9" fillId="0" borderId="0" xfId="1" applyFont="1" applyAlignment="1">
      <alignment horizontal="center"/>
    </xf>
    <xf numFmtId="10" fontId="14" fillId="8" borderId="0" xfId="4" applyNumberFormat="1" applyFont="1" applyFill="1" applyBorder="1" applyAlignment="1">
      <alignment horizontal="center"/>
    </xf>
    <xf numFmtId="10" fontId="14" fillId="7" borderId="0" xfId="4" applyNumberFormat="1" applyFont="1" applyFill="1" applyBorder="1" applyAlignment="1">
      <alignment horizontal="center"/>
    </xf>
    <xf numFmtId="0" fontId="6" fillId="7" borderId="0" xfId="1" applyFont="1" applyFill="1"/>
    <xf numFmtId="0" fontId="15" fillId="6" borderId="0" xfId="1" applyFont="1" applyFill="1" applyAlignment="1">
      <alignment horizontal="left"/>
    </xf>
    <xf numFmtId="0" fontId="16" fillId="9" borderId="0" xfId="1" applyFont="1" applyFill="1" applyAlignment="1">
      <alignment horizontal="center"/>
    </xf>
    <xf numFmtId="0" fontId="17" fillId="5" borderId="0" xfId="1" applyFont="1" applyFill="1" applyAlignment="1">
      <alignment horizontal="center"/>
    </xf>
    <xf numFmtId="0" fontId="17" fillId="10" borderId="0" xfId="1" applyFont="1" applyFill="1" applyAlignment="1">
      <alignment horizontal="center"/>
    </xf>
    <xf numFmtId="10" fontId="17" fillId="8" borderId="0" xfId="4" applyNumberFormat="1" applyFont="1" applyFill="1" applyBorder="1" applyAlignment="1">
      <alignment horizontal="center"/>
    </xf>
    <xf numFmtId="0" fontId="17" fillId="8" borderId="0" xfId="1" applyFont="1" applyFill="1" applyAlignment="1">
      <alignment horizontal="center"/>
    </xf>
    <xf numFmtId="10" fontId="11" fillId="0" borderId="0" xfId="4" applyNumberFormat="1" applyFont="1" applyFill="1" applyBorder="1" applyAlignment="1">
      <alignment horizontal="center"/>
    </xf>
    <xf numFmtId="0" fontId="18" fillId="7" borderId="0" xfId="1" applyFont="1" applyFill="1" applyAlignment="1">
      <alignment horizontal="left"/>
    </xf>
    <xf numFmtId="0" fontId="10" fillId="0" borderId="0" xfId="1" applyFont="1" applyAlignment="1">
      <alignment horizontal="left"/>
    </xf>
    <xf numFmtId="164" fontId="6" fillId="0" borderId="0" xfId="4" applyNumberFormat="1" applyFont="1" applyFill="1" applyBorder="1"/>
    <xf numFmtId="166" fontId="6" fillId="12" borderId="0" xfId="1" applyNumberFormat="1" applyFont="1" applyFill="1"/>
    <xf numFmtId="0" fontId="19" fillId="0" borderId="0" xfId="1" applyFont="1"/>
    <xf numFmtId="168" fontId="6" fillId="0" borderId="0" xfId="5" applyNumberFormat="1" applyFont="1" applyFill="1" applyBorder="1"/>
    <xf numFmtId="10" fontId="6" fillId="0" borderId="0" xfId="6" applyNumberFormat="1" applyFont="1" applyFill="1" applyBorder="1"/>
    <xf numFmtId="169" fontId="6" fillId="0" borderId="0" xfId="6" applyNumberFormat="1" applyFont="1" applyFill="1" applyBorder="1"/>
    <xf numFmtId="10" fontId="6" fillId="0" borderId="0" xfId="6" quotePrefix="1" applyNumberFormat="1" applyFont="1" applyFill="1" applyBorder="1"/>
    <xf numFmtId="10" fontId="14" fillId="10" borderId="0" xfId="6" applyNumberFormat="1" applyFont="1" applyFill="1" applyBorder="1" applyAlignment="1">
      <alignment horizontal="center"/>
    </xf>
    <xf numFmtId="10" fontId="14" fillId="8" borderId="0" xfId="6" applyNumberFormat="1" applyFont="1" applyFill="1" applyBorder="1" applyAlignment="1">
      <alignment horizontal="center"/>
    </xf>
    <xf numFmtId="169" fontId="0" fillId="0" borderId="0" xfId="6" applyNumberFormat="1" applyFont="1"/>
    <xf numFmtId="169" fontId="0" fillId="0" borderId="0" xfId="0" applyNumberFormat="1"/>
    <xf numFmtId="9" fontId="0" fillId="0" borderId="0" xfId="6" applyFont="1"/>
    <xf numFmtId="170" fontId="6" fillId="0" borderId="0" xfId="7" applyNumberFormat="1" applyFont="1" applyFill="1" applyBorder="1"/>
    <xf numFmtId="14" fontId="6" fillId="12" borderId="0" xfId="1" applyNumberFormat="1" applyFont="1" applyFill="1"/>
    <xf numFmtId="10" fontId="6" fillId="0" borderId="0" xfId="1" applyNumberFormat="1" applyFont="1"/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23" fillId="13" borderId="0" xfId="0" applyFont="1" applyFill="1"/>
    <xf numFmtId="10" fontId="23" fillId="13" borderId="0" xfId="0" applyNumberFormat="1" applyFont="1" applyFill="1"/>
    <xf numFmtId="0" fontId="24" fillId="0" borderId="0" xfId="0" applyFont="1" applyAlignment="1">
      <alignment vertical="center" wrapText="1"/>
    </xf>
    <xf numFmtId="10" fontId="0" fillId="0" borderId="0" xfId="0" applyNumberFormat="1"/>
    <xf numFmtId="0" fontId="16" fillId="11" borderId="0" xfId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</cellXfs>
  <cellStyles count="8">
    <cellStyle name="Millares [0]" xfId="7" builtinId="6"/>
    <cellStyle name="Millares [0] 2" xfId="5" xr:uid="{00000000-0005-0000-0000-000001000000}"/>
    <cellStyle name="Normal" xfId="0" builtinId="0"/>
    <cellStyle name="Normal 2" xfId="1" xr:uid="{00000000-0005-0000-0000-000003000000}"/>
    <cellStyle name="Normal 54" xfId="2" xr:uid="{00000000-0005-0000-0000-000004000000}"/>
    <cellStyle name="Porcentaje" xfId="6" builtinId="5"/>
    <cellStyle name="Porcentaje 2" xfId="4" xr:uid="{00000000-0005-0000-0000-000006000000}"/>
    <cellStyle name="Porcentaje 29" xfId="3" xr:uid="{00000000-0005-0000-0000-000007000000}"/>
  </cellStyles>
  <dxfs count="0"/>
  <tableStyles count="0" defaultTableStyle="TableStyleMedium2" defaultPivotStyle="PivotStyleLight16"/>
  <colors>
    <mruColors>
      <color rgb="FFFDD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1400" b="0">
                <a:solidFill>
                  <a:schemeClr val="bg1">
                    <a:lumMod val="50000"/>
                  </a:schemeClr>
                </a:solidFill>
              </a:rPr>
              <a:t>ICP Normalizada</a:t>
            </a:r>
            <a:endParaRPr lang="es-CL" sz="1400" b="0" baseline="0">
              <a:solidFill>
                <a:schemeClr val="bg1">
                  <a:lumMod val="50000"/>
                </a:schemeClr>
              </a:solidFill>
            </a:endParaRPr>
          </a:p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800" b="0" baseline="0">
                <a:solidFill>
                  <a:schemeClr val="bg1">
                    <a:lumMod val="50000"/>
                  </a:schemeClr>
                </a:solidFill>
              </a:rPr>
              <a:t>(Base 100 Dic 2005)</a:t>
            </a:r>
            <a:endParaRPr lang="es-CL" sz="1600" b="0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ICP Norm.</c:v>
                </c:pt>
              </c:strCache>
            </c:strRef>
          </c:tx>
          <c:spPr>
            <a:ln w="12700">
              <a:solidFill>
                <a:srgbClr val="C0504D">
                  <a:lumMod val="60000"/>
                  <a:lumOff val="4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(2)'!$D$3:$D$185</c:f>
              <c:numCache>
                <c:formatCode>0.00</c:formatCode>
                <c:ptCount val="183"/>
                <c:pt idx="0">
                  <c:v>100</c:v>
                </c:pt>
                <c:pt idx="1">
                  <c:v>100.39906364750199</c:v>
                </c:pt>
                <c:pt idx="2">
                  <c:v>100.74836987384441</c:v>
                </c:pt>
                <c:pt idx="3">
                  <c:v>101.14597275301878</c:v>
                </c:pt>
                <c:pt idx="4">
                  <c:v>101.51262560325168</c:v>
                </c:pt>
                <c:pt idx="5">
                  <c:v>101.97167205020661</c:v>
                </c:pt>
                <c:pt idx="6">
                  <c:v>102.39109515627483</c:v>
                </c:pt>
                <c:pt idx="7">
                  <c:v>102.83096901892974</c:v>
                </c:pt>
                <c:pt idx="8">
                  <c:v>103.28809820745468</c:v>
                </c:pt>
                <c:pt idx="9">
                  <c:v>103.72295067898338</c:v>
                </c:pt>
                <c:pt idx="10">
                  <c:v>104.19861336566501</c:v>
                </c:pt>
                <c:pt idx="11">
                  <c:v>104.65501217002613</c:v>
                </c:pt>
                <c:pt idx="12">
                  <c:v>105.10675477534296</c:v>
                </c:pt>
                <c:pt idx="13">
                  <c:v>105.60652013943034</c:v>
                </c:pt>
                <c:pt idx="14">
                  <c:v>106.02146964249522</c:v>
                </c:pt>
                <c:pt idx="15">
                  <c:v>106.46718657846061</c:v>
                </c:pt>
                <c:pt idx="16">
                  <c:v>106.93353686705365</c:v>
                </c:pt>
                <c:pt idx="17">
                  <c:v>107.40098273189243</c:v>
                </c:pt>
                <c:pt idx="18">
                  <c:v>107.84332164110018</c:v>
                </c:pt>
                <c:pt idx="19">
                  <c:v>108.33906989228662</c:v>
                </c:pt>
                <c:pt idx="20">
                  <c:v>108.84988231685159</c:v>
                </c:pt>
                <c:pt idx="21">
                  <c:v>109.33494869964231</c:v>
                </c:pt>
                <c:pt idx="22">
                  <c:v>109.91277387123692</c:v>
                </c:pt>
                <c:pt idx="23">
                  <c:v>110.4418458998972</c:v>
                </c:pt>
                <c:pt idx="24">
                  <c:v>110.9508323640527</c:v>
                </c:pt>
                <c:pt idx="25">
                  <c:v>111.59484860049264</c:v>
                </c:pt>
                <c:pt idx="26">
                  <c:v>112.15852257891343</c:v>
                </c:pt>
                <c:pt idx="27">
                  <c:v>112.76629350122431</c:v>
                </c:pt>
                <c:pt idx="28">
                  <c:v>113.35726558776753</c:v>
                </c:pt>
                <c:pt idx="29">
                  <c:v>113.9534416614779</c:v>
                </c:pt>
                <c:pt idx="30">
                  <c:v>114.59937515634786</c:v>
                </c:pt>
                <c:pt idx="31">
                  <c:v>115.2993570793398</c:v>
                </c:pt>
                <c:pt idx="32">
                  <c:v>115.99075698840697</c:v>
                </c:pt>
                <c:pt idx="33">
                  <c:v>116.83362031344437</c:v>
                </c:pt>
                <c:pt idx="34">
                  <c:v>117.640877410496</c:v>
                </c:pt>
                <c:pt idx="35">
                  <c:v>118.42202327369138</c:v>
                </c:pt>
                <c:pt idx="36">
                  <c:v>119.29300638903548</c:v>
                </c:pt>
                <c:pt idx="37">
                  <c:v>120.06748749673611</c:v>
                </c:pt>
                <c:pt idx="38">
                  <c:v>120.62376633549832</c:v>
                </c:pt>
                <c:pt idx="39">
                  <c:v>120.98065029754027</c:v>
                </c:pt>
                <c:pt idx="40">
                  <c:v>121.17639325344149</c:v>
                </c:pt>
                <c:pt idx="41">
                  <c:v>121.30731461480453</c:v>
                </c:pt>
                <c:pt idx="42">
                  <c:v>121.41796781562182</c:v>
                </c:pt>
                <c:pt idx="43">
                  <c:v>121.47512037644002</c:v>
                </c:pt>
                <c:pt idx="44">
                  <c:v>121.5183043401253</c:v>
                </c:pt>
                <c:pt idx="45">
                  <c:v>121.56377075432249</c:v>
                </c:pt>
                <c:pt idx="46">
                  <c:v>121.60658952592591</c:v>
                </c:pt>
                <c:pt idx="47">
                  <c:v>121.65013868169312</c:v>
                </c:pt>
                <c:pt idx="48">
                  <c:v>121.69569639391081</c:v>
                </c:pt>
                <c:pt idx="49">
                  <c:v>121.73906295363706</c:v>
                </c:pt>
                <c:pt idx="50">
                  <c:v>121.77813850640091</c:v>
                </c:pt>
                <c:pt idx="51">
                  <c:v>121.82616126517148</c:v>
                </c:pt>
                <c:pt idx="52">
                  <c:v>121.87034950708198</c:v>
                </c:pt>
                <c:pt idx="53">
                  <c:v>121.91481164305395</c:v>
                </c:pt>
                <c:pt idx="54">
                  <c:v>121.98237217820645</c:v>
                </c:pt>
                <c:pt idx="55">
                  <c:v>122.10188128700995</c:v>
                </c:pt>
                <c:pt idx="56">
                  <c:v>122.29561568646068</c:v>
                </c:pt>
                <c:pt idx="57">
                  <c:v>122.52002622079149</c:v>
                </c:pt>
                <c:pt idx="58">
                  <c:v>122.78387749996807</c:v>
                </c:pt>
                <c:pt idx="59">
                  <c:v>123.09730360426326</c:v>
                </c:pt>
                <c:pt idx="60">
                  <c:v>123.46167400398424</c:v>
                </c:pt>
                <c:pt idx="61">
                  <c:v>123.7738219359928</c:v>
                </c:pt>
                <c:pt idx="62">
                  <c:v>124.09500837202847</c:v>
                </c:pt>
                <c:pt idx="63">
                  <c:v>124.49315903932572</c:v>
                </c:pt>
                <c:pt idx="64">
                  <c:v>124.92253362962586</c:v>
                </c:pt>
                <c:pt idx="65">
                  <c:v>125.45315772463421</c:v>
                </c:pt>
                <c:pt idx="66">
                  <c:v>125.98889450878927</c:v>
                </c:pt>
                <c:pt idx="67">
                  <c:v>126.52207494837097</c:v>
                </c:pt>
                <c:pt idx="68">
                  <c:v>127.13276740733707</c:v>
                </c:pt>
                <c:pt idx="69">
                  <c:v>127.68913754411977</c:v>
                </c:pt>
                <c:pt idx="70">
                  <c:v>128.21172741332623</c:v>
                </c:pt>
                <c:pt idx="71">
                  <c:v>128.82944981986901</c:v>
                </c:pt>
                <c:pt idx="72">
                  <c:v>129.39330639433075</c:v>
                </c:pt>
                <c:pt idx="73">
                  <c:v>129.9753312748673</c:v>
                </c:pt>
                <c:pt idx="74">
                  <c:v>130.49837763417614</c:v>
                </c:pt>
                <c:pt idx="75">
                  <c:v>131.04315292235836</c:v>
                </c:pt>
                <c:pt idx="76">
                  <c:v>131.60801377504532</c:v>
                </c:pt>
                <c:pt idx="77">
                  <c:v>132.17716563469472</c:v>
                </c:pt>
                <c:pt idx="78">
                  <c:v>132.71198943864499</c:v>
                </c:pt>
                <c:pt idx="79">
                  <c:v>133.30067907467631</c:v>
                </c:pt>
                <c:pt idx="80">
                  <c:v>133.87330025910379</c:v>
                </c:pt>
                <c:pt idx="81">
                  <c:v>134.39689440653549</c:v>
                </c:pt>
                <c:pt idx="82">
                  <c:v>135.01662536952875</c:v>
                </c:pt>
                <c:pt idx="83">
                  <c:v>135.58102973211334</c:v>
                </c:pt>
                <c:pt idx="84">
                  <c:v>136.10891488650745</c:v>
                </c:pt>
                <c:pt idx="85">
                  <c:v>136.75147035461978</c:v>
                </c:pt>
                <c:pt idx="86">
                  <c:v>137.28428560211958</c:v>
                </c:pt>
                <c:pt idx="87">
                  <c:v>137.81901810804939</c:v>
                </c:pt>
                <c:pt idx="88">
                  <c:v>138.45134819786838</c:v>
                </c:pt>
                <c:pt idx="89">
                  <c:v>139.05035451021351</c:v>
                </c:pt>
                <c:pt idx="90">
                  <c:v>139.59229955976096</c:v>
                </c:pt>
                <c:pt idx="91">
                  <c:v>140.23622449818046</c:v>
                </c:pt>
                <c:pt idx="92">
                  <c:v>140.82199259755649</c:v>
                </c:pt>
                <c:pt idx="93">
                  <c:v>141.42967222184689</c:v>
                </c:pt>
                <c:pt idx="94">
                  <c:v>142.00822777760533</c:v>
                </c:pt>
                <c:pt idx="95">
                  <c:v>142.5624067618966</c:v>
                </c:pt>
                <c:pt idx="96">
                  <c:v>143.11585536202404</c:v>
                </c:pt>
                <c:pt idx="97">
                  <c:v>143.68893303655392</c:v>
                </c:pt>
                <c:pt idx="98">
                  <c:v>144.18212494316697</c:v>
                </c:pt>
                <c:pt idx="99">
                  <c:v>144.69394164595724</c:v>
                </c:pt>
                <c:pt idx="100">
                  <c:v>145.17690817427697</c:v>
                </c:pt>
                <c:pt idx="101">
                  <c:v>145.66142676894481</c:v>
                </c:pt>
                <c:pt idx="102">
                  <c:v>146.163839775626</c:v>
                </c:pt>
                <c:pt idx="103">
                  <c:v>146.65365365548143</c:v>
                </c:pt>
                <c:pt idx="104">
                  <c:v>147.08613237847777</c:v>
                </c:pt>
                <c:pt idx="105">
                  <c:v>147.52271951239555</c:v>
                </c:pt>
                <c:pt idx="106">
                  <c:v>147.91064480139943</c:v>
                </c:pt>
                <c:pt idx="107">
                  <c:v>148.26898953176899</c:v>
                </c:pt>
                <c:pt idx="108">
                  <c:v>148.66504034459524</c:v>
                </c:pt>
                <c:pt idx="109">
                  <c:v>149.04995279892341</c:v>
                </c:pt>
                <c:pt idx="110">
                  <c:v>149.39798085297915</c:v>
                </c:pt>
                <c:pt idx="111">
                  <c:v>149.79713579850164</c:v>
                </c:pt>
                <c:pt idx="112">
                  <c:v>150.17237066265929</c:v>
                </c:pt>
                <c:pt idx="113">
                  <c:v>150.53555418811408</c:v>
                </c:pt>
                <c:pt idx="114">
                  <c:v>150.93735677623039</c:v>
                </c:pt>
                <c:pt idx="115">
                  <c:v>151.3274732177257</c:v>
                </c:pt>
                <c:pt idx="116">
                  <c:v>151.71850263942576</c:v>
                </c:pt>
                <c:pt idx="117">
                  <c:v>152.09866759668921</c:v>
                </c:pt>
                <c:pt idx="118">
                  <c:v>152.4945358134745</c:v>
                </c:pt>
                <c:pt idx="119">
                  <c:v>152.92190184732414</c:v>
                </c:pt>
                <c:pt idx="120">
                  <c:v>153.34890268909191</c:v>
                </c:pt>
                <c:pt idx="121">
                  <c:v>153.79690207556919</c:v>
                </c:pt>
                <c:pt idx="122">
                  <c:v>154.26106121167084</c:v>
                </c:pt>
                <c:pt idx="123">
                  <c:v>154.72668111610005</c:v>
                </c:pt>
                <c:pt idx="124">
                  <c:v>155.16345084605877</c:v>
                </c:pt>
                <c:pt idx="125">
                  <c:v>155.64696516250137</c:v>
                </c:pt>
                <c:pt idx="126">
                  <c:v>156.10153800645296</c:v>
                </c:pt>
                <c:pt idx="127">
                  <c:v>156.56907516931219</c:v>
                </c:pt>
                <c:pt idx="128">
                  <c:v>157.0451943460962</c:v>
                </c:pt>
                <c:pt idx="129">
                  <c:v>157.50378430294876</c:v>
                </c:pt>
                <c:pt idx="130">
                  <c:v>157.97917309556894</c:v>
                </c:pt>
                <c:pt idx="131">
                  <c:v>158.44050199303578</c:v>
                </c:pt>
                <c:pt idx="132">
                  <c:v>158.92219034906887</c:v>
                </c:pt>
                <c:pt idx="133">
                  <c:v>159.38251496831046</c:v>
                </c:pt>
                <c:pt idx="134">
                  <c:v>159.78121342373058</c:v>
                </c:pt>
                <c:pt idx="135">
                  <c:v>160.21296176256305</c:v>
                </c:pt>
                <c:pt idx="136">
                  <c:v>160.57422802958786</c:v>
                </c:pt>
                <c:pt idx="137">
                  <c:v>160.96562264336987</c:v>
                </c:pt>
                <c:pt idx="138">
                  <c:v>161.30159935872271</c:v>
                </c:pt>
                <c:pt idx="139">
                  <c:v>161.64944481673749</c:v>
                </c:pt>
                <c:pt idx="140">
                  <c:v>161.9976554668342</c:v>
                </c:pt>
                <c:pt idx="141">
                  <c:v>162.33501717315767</c:v>
                </c:pt>
                <c:pt idx="142">
                  <c:v>162.68531215706184</c:v>
                </c:pt>
                <c:pt idx="143">
                  <c:v>163.0246668991723</c:v>
                </c:pt>
                <c:pt idx="144">
                  <c:v>163.1718393081801</c:v>
                </c:pt>
                <c:pt idx="145">
                  <c:v>163.72729646475804</c:v>
                </c:pt>
                <c:pt idx="146">
                  <c:v>164.04528747007708</c:v>
                </c:pt>
                <c:pt idx="147">
                  <c:v>164.3987934053614</c:v>
                </c:pt>
                <c:pt idx="148">
                  <c:v>164.74043059798379</c:v>
                </c:pt>
                <c:pt idx="149">
                  <c:v>165.09302355306332</c:v>
                </c:pt>
                <c:pt idx="150">
                  <c:v>165.43769640486653</c:v>
                </c:pt>
                <c:pt idx="151">
                  <c:v>165.79410105230099</c:v>
                </c:pt>
                <c:pt idx="152">
                  <c:v>166.14979814007674</c:v>
                </c:pt>
                <c:pt idx="153">
                  <c:v>166.49015716041248</c:v>
                </c:pt>
                <c:pt idx="154">
                  <c:v>166.86904394538919</c:v>
                </c:pt>
                <c:pt idx="155">
                  <c:v>167.25167394920547</c:v>
                </c:pt>
                <c:pt idx="156">
                  <c:v>167.64766998321946</c:v>
                </c:pt>
                <c:pt idx="157">
                  <c:v>168.05856585417516</c:v>
                </c:pt>
                <c:pt idx="158">
                  <c:v>168.43717874509045</c:v>
                </c:pt>
                <c:pt idx="159">
                  <c:v>168.8723051106806</c:v>
                </c:pt>
                <c:pt idx="160">
                  <c:v>169.29455845538357</c:v>
                </c:pt>
                <c:pt idx="161">
                  <c:v>169.73233246356753</c:v>
                </c:pt>
                <c:pt idx="162">
                  <c:v>170.10930199011426</c:v>
                </c:pt>
                <c:pt idx="163">
                  <c:v>170.47449407201955</c:v>
                </c:pt>
                <c:pt idx="164">
                  <c:v>170.84187730641625</c:v>
                </c:pt>
                <c:pt idx="165">
                  <c:v>171.13603952839097</c:v>
                </c:pt>
                <c:pt idx="166">
                  <c:v>171.42209448614736</c:v>
                </c:pt>
                <c:pt idx="167">
                  <c:v>171.66575064319457</c:v>
                </c:pt>
                <c:pt idx="168">
                  <c:v>171.92038082230303</c:v>
                </c:pt>
                <c:pt idx="169">
                  <c:v>172.20504805014821</c:v>
                </c:pt>
                <c:pt idx="170">
                  <c:v>172.4426666691013</c:v>
                </c:pt>
                <c:pt idx="171">
                  <c:v>172.6333270642026</c:v>
                </c:pt>
                <c:pt idx="172">
                  <c:v>172.71695605095891</c:v>
                </c:pt>
                <c:pt idx="173">
                  <c:v>172.78369490392711</c:v>
                </c:pt>
                <c:pt idx="174">
                  <c:v>172.85116414105912</c:v>
                </c:pt>
                <c:pt idx="175">
                  <c:v>172.92520683566542</c:v>
                </c:pt>
                <c:pt idx="176">
                  <c:v>172.99778876194407</c:v>
                </c:pt>
                <c:pt idx="177">
                  <c:v>173.06607968126036</c:v>
                </c:pt>
                <c:pt idx="178">
                  <c:v>173.13053608371663</c:v>
                </c:pt>
                <c:pt idx="179">
                  <c:v>173.18759734651434</c:v>
                </c:pt>
                <c:pt idx="180">
                  <c:v>173.25515788166683</c:v>
                </c:pt>
                <c:pt idx="181">
                  <c:v>173.30226766023259</c:v>
                </c:pt>
                <c:pt idx="182">
                  <c:v>173.34371696152886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63E-BC87-D81112F27929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Liquidez</c:v>
                </c:pt>
              </c:strCache>
            </c:strRef>
          </c:tx>
          <c:spPr>
            <a:ln>
              <a:solidFill>
                <a:srgbClr val="C0504D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(2)'!$J$3:$J$185</c:f>
              <c:numCache>
                <c:formatCode>General</c:formatCode>
                <c:ptCount val="183"/>
                <c:pt idx="125" formatCode="#,##0.00">
                  <c:v>155.65</c:v>
                </c:pt>
                <c:pt idx="126" formatCode="#,##0.00">
                  <c:v>155.92280031086958</c:v>
                </c:pt>
                <c:pt idx="127" formatCode="#,##0.00">
                  <c:v>156.49857383209343</c:v>
                </c:pt>
                <c:pt idx="128" formatCode="#,##0.00">
                  <c:v>156.92276091571634</c:v>
                </c:pt>
                <c:pt idx="129" formatCode="#,##0.00">
                  <c:v>157.37806394961027</c:v>
                </c:pt>
                <c:pt idx="130" formatCode="#,##0.00">
                  <c:v>157.78850289198689</c:v>
                </c:pt>
                <c:pt idx="131" formatCode="#,##0.00">
                  <c:v>158.13557792186762</c:v>
                </c:pt>
                <c:pt idx="132" formatCode="#,##0.00">
                  <c:v>158.10004970255139</c:v>
                </c:pt>
                <c:pt idx="133" formatCode="#,##0.00">
                  <c:v>158.55101018927499</c:v>
                </c:pt>
                <c:pt idx="134" formatCode="#,##0.00">
                  <c:v>158.85711919480693</c:v>
                </c:pt>
                <c:pt idx="135" formatCode="#,##0.00">
                  <c:v>159.22219330200377</c:v>
                </c:pt>
                <c:pt idx="136" formatCode="#,##0.00">
                  <c:v>159.517031671903</c:v>
                </c:pt>
                <c:pt idx="137" formatCode="#,##0.00">
                  <c:v>159.73652939340846</c:v>
                </c:pt>
                <c:pt idx="138" formatCode="#,##0.00">
                  <c:v>160.79203696789907</c:v>
                </c:pt>
                <c:pt idx="139" formatCode="#,##0.00">
                  <c:v>161.28927723437886</c:v>
                </c:pt>
                <c:pt idx="140" formatCode="#,##0.00">
                  <c:v>161.76333152237777</c:v>
                </c:pt>
                <c:pt idx="141" formatCode="#,##0.00">
                  <c:v>162.1570113635363</c:v>
                </c:pt>
                <c:pt idx="142" formatCode="#,##0.00">
                  <c:v>162.48741935664953</c:v>
                </c:pt>
                <c:pt idx="143" formatCode="#,##0.00">
                  <c:v>162.88480721757088</c:v>
                </c:pt>
                <c:pt idx="144" formatCode="#,##0.00">
                  <c:v>163.2717404225921</c:v>
                </c:pt>
                <c:pt idx="145" formatCode="#,##0.00">
                  <c:v>163.68461827436172</c:v>
                </c:pt>
                <c:pt idx="146" formatCode="#,##0.00">
                  <c:v>164.16751652845193</c:v>
                </c:pt>
                <c:pt idx="147" formatCode="#,##0.00">
                  <c:v>164.56476341150034</c:v>
                </c:pt>
                <c:pt idx="148" formatCode="#,##0.00">
                  <c:v>164.93199170346332</c:v>
                </c:pt>
                <c:pt idx="149" formatCode="#,##0.00">
                  <c:v>165.31765670286725</c:v>
                </c:pt>
                <c:pt idx="150" formatCode="#,##0.00">
                  <c:v>165.72134302459119</c:v>
                </c:pt>
                <c:pt idx="151" formatCode="#,##0.00">
                  <c:v>166.14334165143711</c:v>
                </c:pt>
                <c:pt idx="152" formatCode="#,##0.00">
                  <c:v>166.5228312297796</c:v>
                </c:pt>
                <c:pt idx="153" formatCode="#,##0.00">
                  <c:v>166.91596742432634</c:v>
                </c:pt>
                <c:pt idx="154" formatCode="#,##0.00">
                  <c:v>167.34702159156362</c:v>
                </c:pt>
                <c:pt idx="155" formatCode="#,##0.00">
                  <c:v>167.78560824702467</c:v>
                </c:pt>
                <c:pt idx="156" formatCode="#,##0.00">
                  <c:v>168.12464516005272</c:v>
                </c:pt>
                <c:pt idx="157" formatCode="#,##0.00">
                  <c:v>168.49880950131967</c:v>
                </c:pt>
                <c:pt idx="158" formatCode="#,##0.00">
                  <c:v>168.84680857632978</c:v>
                </c:pt>
                <c:pt idx="159" formatCode="#,##0.00">
                  <c:v>169.20865266261848</c:v>
                </c:pt>
                <c:pt idx="160" formatCode="#,##0.00">
                  <c:v>169.62734352954595</c:v>
                </c:pt>
                <c:pt idx="161" formatCode="#,##0.00">
                  <c:v>170.02144955805409</c:v>
                </c:pt>
                <c:pt idx="162" formatCode="#,##0.00">
                  <c:v>170.45073084862807</c:v>
                </c:pt>
                <c:pt idx="163" formatCode="#,##0.00">
                  <c:v>170.80084130862917</c:v>
                </c:pt>
                <c:pt idx="164" formatCode="#,##0.00">
                  <c:v>171.12413819854035</c:v>
                </c:pt>
                <c:pt idx="165" formatCode="#,##0.00">
                  <c:v>171.4309762516323</c:v>
                </c:pt>
                <c:pt idx="166" formatCode="#,##0.00">
                  <c:v>171.86360184876381</c:v>
                </c:pt>
                <c:pt idx="167" formatCode="#,##0.00">
                  <c:v>172.27979116744089</c:v>
                </c:pt>
                <c:pt idx="168" formatCode="#,##0.00">
                  <c:v>172.68995871626842</c:v>
                </c:pt>
                <c:pt idx="169" formatCode="#,##0.00">
                  <c:v>172.88199105570783</c:v>
                </c:pt>
                <c:pt idx="170" formatCode="#,##0.00">
                  <c:v>173.12629228864466</c:v>
                </c:pt>
                <c:pt idx="171" formatCode="#,##0.00">
                  <c:v>173.37542735394655</c:v>
                </c:pt>
                <c:pt idx="172" formatCode="#,##0.00">
                  <c:v>173.60530364184802</c:v>
                </c:pt>
                <c:pt idx="173" formatCode="#,##0.00">
                  <c:v>173.79670881001508</c:v>
                </c:pt>
                <c:pt idx="174" formatCode="#,##0.00">
                  <c:v>173.9932741951379</c:v>
                </c:pt>
                <c:pt idx="175" formatCode="#,##0.00">
                  <c:v>174.10146883690717</c:v>
                </c:pt>
                <c:pt idx="176" formatCode="#,##0.00">
                  <c:v>174.19771508728968</c:v>
                </c:pt>
                <c:pt idx="177" formatCode="#,##0.00">
                  <c:v>174.36094052608428</c:v>
                </c:pt>
                <c:pt idx="178" formatCode="#,##0.00">
                  <c:v>174.57647880802557</c:v>
                </c:pt>
                <c:pt idx="179" formatCode="#,##0.00">
                  <c:v>174.7612755452154</c:v>
                </c:pt>
                <c:pt idx="180" formatCode="#,##0.00">
                  <c:v>175.66193902178225</c:v>
                </c:pt>
                <c:pt idx="181" formatCode="#,##0.00">
                  <c:v>175.82983851954907</c:v>
                </c:pt>
                <c:pt idx="182" formatCode="#,##0.00">
                  <c:v>176.02941024786057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2-463E-BC87-D81112F2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63040"/>
        <c:axId val="232120704"/>
      </c:lineChart>
      <c:dateAx>
        <c:axId val="226663040"/>
        <c:scaling>
          <c:orientation val="minMax"/>
          <c:max val="43373"/>
          <c:min val="38687"/>
        </c:scaling>
        <c:delete val="0"/>
        <c:axPos val="b"/>
        <c:numFmt formatCode="mmm/yyyy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32120704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232120704"/>
        <c:scaling>
          <c:orientation val="minMax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26663040"/>
        <c:crossesAt val="38687"/>
        <c:crossBetween val="between"/>
      </c:val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FIP Liquidez</a:t>
            </a:r>
          </a:p>
        </c:rich>
      </c:tx>
      <c:layout>
        <c:manualLayout>
          <c:xMode val="edge"/>
          <c:yMode val="edge"/>
          <c:x val="0.41808433581770638"/>
          <c:y val="6.38842252845513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247189416029089E-2"/>
          <c:y val="0.2177822294407484"/>
          <c:w val="0.86940468507439261"/>
          <c:h val="0.71212701672941736"/>
        </c:manualLayout>
      </c:layout>
      <c:lineChart>
        <c:grouping val="standard"/>
        <c:varyColors val="0"/>
        <c:ser>
          <c:idx val="2"/>
          <c:order val="0"/>
          <c:tx>
            <c:v>ICP Nom</c:v>
          </c:tx>
          <c:spPr>
            <a:ln w="38100">
              <a:solidFill>
                <a:sysClr val="window" lastClr="FFFFFF">
                  <a:lumMod val="75000"/>
                </a:sysClr>
              </a:solidFill>
            </a:ln>
          </c:spPr>
          <c:marker>
            <c:symbol val="none"/>
          </c:marker>
          <c:cat>
            <c:numRef>
              <c:f>'Datos ICP (2)'!$A$143:$A$300</c:f>
              <c:numCache>
                <c:formatCode>m/d/yyyy</c:formatCode>
                <c:ptCount val="158"/>
                <c:pt idx="0">
                  <c:v>42978</c:v>
                </c:pt>
                <c:pt idx="1">
                  <c:v>43008</c:v>
                </c:pt>
                <c:pt idx="2">
                  <c:v>43039</c:v>
                </c:pt>
                <c:pt idx="3">
                  <c:v>43069</c:v>
                </c:pt>
                <c:pt idx="4">
                  <c:v>43100</c:v>
                </c:pt>
                <c:pt idx="5">
                  <c:v>43131</c:v>
                </c:pt>
                <c:pt idx="6">
                  <c:v>43159</c:v>
                </c:pt>
                <c:pt idx="7">
                  <c:v>43190</c:v>
                </c:pt>
                <c:pt idx="8">
                  <c:v>43220</c:v>
                </c:pt>
                <c:pt idx="9">
                  <c:v>43251</c:v>
                </c:pt>
                <c:pt idx="10">
                  <c:v>43281</c:v>
                </c:pt>
                <c:pt idx="11">
                  <c:v>43312</c:v>
                </c:pt>
                <c:pt idx="12">
                  <c:v>43343</c:v>
                </c:pt>
                <c:pt idx="13">
                  <c:v>43373</c:v>
                </c:pt>
                <c:pt idx="14">
                  <c:v>43404</c:v>
                </c:pt>
                <c:pt idx="15">
                  <c:v>43434</c:v>
                </c:pt>
                <c:pt idx="16">
                  <c:v>43465</c:v>
                </c:pt>
                <c:pt idx="17">
                  <c:v>43496</c:v>
                </c:pt>
                <c:pt idx="18">
                  <c:v>43524</c:v>
                </c:pt>
                <c:pt idx="19">
                  <c:v>43555</c:v>
                </c:pt>
                <c:pt idx="20">
                  <c:v>43585</c:v>
                </c:pt>
                <c:pt idx="21">
                  <c:v>43616</c:v>
                </c:pt>
                <c:pt idx="22">
                  <c:v>43646</c:v>
                </c:pt>
                <c:pt idx="23">
                  <c:v>43677</c:v>
                </c:pt>
                <c:pt idx="24">
                  <c:v>43708</c:v>
                </c:pt>
                <c:pt idx="25">
                  <c:v>43738</c:v>
                </c:pt>
                <c:pt idx="26">
                  <c:v>43769</c:v>
                </c:pt>
                <c:pt idx="27">
                  <c:v>43799</c:v>
                </c:pt>
                <c:pt idx="28">
                  <c:v>43830</c:v>
                </c:pt>
                <c:pt idx="29">
                  <c:v>43861</c:v>
                </c:pt>
                <c:pt idx="30">
                  <c:v>43890</c:v>
                </c:pt>
                <c:pt idx="31">
                  <c:v>43921</c:v>
                </c:pt>
                <c:pt idx="32">
                  <c:v>43951</c:v>
                </c:pt>
                <c:pt idx="33">
                  <c:v>43982</c:v>
                </c:pt>
                <c:pt idx="34">
                  <c:v>44012</c:v>
                </c:pt>
                <c:pt idx="35">
                  <c:v>44043</c:v>
                </c:pt>
                <c:pt idx="36">
                  <c:v>44074</c:v>
                </c:pt>
                <c:pt idx="37">
                  <c:v>44104</c:v>
                </c:pt>
                <c:pt idx="38">
                  <c:v>44135</c:v>
                </c:pt>
                <c:pt idx="39">
                  <c:v>44165</c:v>
                </c:pt>
                <c:pt idx="40">
                  <c:v>44196</c:v>
                </c:pt>
                <c:pt idx="41">
                  <c:v>44227</c:v>
                </c:pt>
                <c:pt idx="42">
                  <c:v>44255</c:v>
                </c:pt>
                <c:pt idx="43">
                  <c:v>44286</c:v>
                </c:pt>
                <c:pt idx="44">
                  <c:v>44316</c:v>
                </c:pt>
                <c:pt idx="45">
                  <c:v>44347</c:v>
                </c:pt>
                <c:pt idx="46">
                  <c:v>44377</c:v>
                </c:pt>
                <c:pt idx="47">
                  <c:v>44408</c:v>
                </c:pt>
                <c:pt idx="48">
                  <c:v>44439</c:v>
                </c:pt>
                <c:pt idx="49">
                  <c:v>44469</c:v>
                </c:pt>
                <c:pt idx="50">
                  <c:v>44500</c:v>
                </c:pt>
                <c:pt idx="51">
                  <c:v>44530</c:v>
                </c:pt>
                <c:pt idx="52">
                  <c:v>44561</c:v>
                </c:pt>
                <c:pt idx="53">
                  <c:v>44592</c:v>
                </c:pt>
                <c:pt idx="54">
                  <c:v>44620</c:v>
                </c:pt>
                <c:pt idx="55">
                  <c:v>44651</c:v>
                </c:pt>
                <c:pt idx="56">
                  <c:v>44681</c:v>
                </c:pt>
                <c:pt idx="57">
                  <c:v>44712</c:v>
                </c:pt>
                <c:pt idx="58">
                  <c:v>44742</c:v>
                </c:pt>
                <c:pt idx="59">
                  <c:v>44773</c:v>
                </c:pt>
                <c:pt idx="60">
                  <c:v>44804</c:v>
                </c:pt>
                <c:pt idx="61">
                  <c:v>44834</c:v>
                </c:pt>
                <c:pt idx="62">
                  <c:v>44862</c:v>
                </c:pt>
                <c:pt idx="63">
                  <c:v>44895</c:v>
                </c:pt>
                <c:pt idx="64">
                  <c:v>44925</c:v>
                </c:pt>
                <c:pt idx="65">
                  <c:v>44957</c:v>
                </c:pt>
                <c:pt idx="66">
                  <c:v>44985</c:v>
                </c:pt>
                <c:pt idx="67">
                  <c:v>45016</c:v>
                </c:pt>
                <c:pt idx="68">
                  <c:v>45044</c:v>
                </c:pt>
                <c:pt idx="69">
                  <c:v>45077</c:v>
                </c:pt>
                <c:pt idx="70">
                  <c:v>45107</c:v>
                </c:pt>
                <c:pt idx="71">
                  <c:v>45138</c:v>
                </c:pt>
                <c:pt idx="72">
                  <c:v>45169</c:v>
                </c:pt>
                <c:pt idx="73">
                  <c:v>45199</c:v>
                </c:pt>
                <c:pt idx="74">
                  <c:v>45230</c:v>
                </c:pt>
                <c:pt idx="75">
                  <c:v>45260</c:v>
                </c:pt>
                <c:pt idx="76">
                  <c:v>45291</c:v>
                </c:pt>
                <c:pt idx="77">
                  <c:v>45322</c:v>
                </c:pt>
                <c:pt idx="78">
                  <c:v>45351</c:v>
                </c:pt>
                <c:pt idx="79">
                  <c:v>45379</c:v>
                </c:pt>
                <c:pt idx="80">
                  <c:v>45412</c:v>
                </c:pt>
                <c:pt idx="81">
                  <c:v>45443</c:v>
                </c:pt>
                <c:pt idx="82">
                  <c:v>45473</c:v>
                </c:pt>
                <c:pt idx="83">
                  <c:v>45504</c:v>
                </c:pt>
                <c:pt idx="84">
                  <c:v>45535</c:v>
                </c:pt>
                <c:pt idx="85">
                  <c:v>45565</c:v>
                </c:pt>
                <c:pt idx="86">
                  <c:v>45596</c:v>
                </c:pt>
                <c:pt idx="87">
                  <c:v>45626</c:v>
                </c:pt>
                <c:pt idx="88">
                  <c:v>45657</c:v>
                </c:pt>
                <c:pt idx="89">
                  <c:v>45688</c:v>
                </c:pt>
                <c:pt idx="90">
                  <c:v>45716</c:v>
                </c:pt>
                <c:pt idx="91">
                  <c:v>45747</c:v>
                </c:pt>
                <c:pt idx="92">
                  <c:v>45777</c:v>
                </c:pt>
                <c:pt idx="93">
                  <c:v>45808</c:v>
                </c:pt>
                <c:pt idx="94">
                  <c:v>45838</c:v>
                </c:pt>
                <c:pt idx="95">
                  <c:v>45869</c:v>
                </c:pt>
                <c:pt idx="96">
                  <c:v>45900</c:v>
                </c:pt>
                <c:pt idx="97">
                  <c:v>45930</c:v>
                </c:pt>
                <c:pt idx="98">
                  <c:v>45961</c:v>
                </c:pt>
                <c:pt idx="99">
                  <c:v>45991</c:v>
                </c:pt>
                <c:pt idx="100">
                  <c:v>46022</c:v>
                </c:pt>
              </c:numCache>
            </c:numRef>
          </c:cat>
          <c:val>
            <c:numRef>
              <c:f>'Datos ICP (2)'!$D$128:$D$232</c:f>
              <c:numCache>
                <c:formatCode>0.00</c:formatCode>
                <c:ptCount val="105"/>
                <c:pt idx="0">
                  <c:v>155.64696516250137</c:v>
                </c:pt>
                <c:pt idx="1">
                  <c:v>156.10153800645296</c:v>
                </c:pt>
                <c:pt idx="2">
                  <c:v>156.56907516931219</c:v>
                </c:pt>
                <c:pt idx="3">
                  <c:v>157.0451943460962</c:v>
                </c:pt>
                <c:pt idx="4">
                  <c:v>157.50378430294876</c:v>
                </c:pt>
                <c:pt idx="5">
                  <c:v>157.97917309556894</c:v>
                </c:pt>
                <c:pt idx="6">
                  <c:v>158.44050199303578</c:v>
                </c:pt>
                <c:pt idx="7">
                  <c:v>158.92219034906887</c:v>
                </c:pt>
                <c:pt idx="8">
                  <c:v>159.38251496831046</c:v>
                </c:pt>
                <c:pt idx="9">
                  <c:v>159.78121342373058</c:v>
                </c:pt>
                <c:pt idx="10">
                  <c:v>160.21296176256305</c:v>
                </c:pt>
                <c:pt idx="11">
                  <c:v>160.57422802958786</c:v>
                </c:pt>
                <c:pt idx="12">
                  <c:v>160.96562264336987</c:v>
                </c:pt>
                <c:pt idx="13">
                  <c:v>161.30159935872271</c:v>
                </c:pt>
                <c:pt idx="14">
                  <c:v>161.64944481673749</c:v>
                </c:pt>
                <c:pt idx="15">
                  <c:v>161.9976554668342</c:v>
                </c:pt>
                <c:pt idx="16">
                  <c:v>162.33501717315767</c:v>
                </c:pt>
                <c:pt idx="17">
                  <c:v>162.68531215706184</c:v>
                </c:pt>
                <c:pt idx="18">
                  <c:v>163.0246668991723</c:v>
                </c:pt>
                <c:pt idx="19">
                  <c:v>163.1718393081801</c:v>
                </c:pt>
                <c:pt idx="20">
                  <c:v>163.72729646475804</c:v>
                </c:pt>
                <c:pt idx="21">
                  <c:v>164.04528747007708</c:v>
                </c:pt>
                <c:pt idx="22">
                  <c:v>164.3987934053614</c:v>
                </c:pt>
                <c:pt idx="23">
                  <c:v>164.74043059798379</c:v>
                </c:pt>
                <c:pt idx="24">
                  <c:v>165.09302355306332</c:v>
                </c:pt>
                <c:pt idx="25">
                  <c:v>165.43769640486653</c:v>
                </c:pt>
                <c:pt idx="26">
                  <c:v>165.79410105230099</c:v>
                </c:pt>
                <c:pt idx="27">
                  <c:v>166.14979814007674</c:v>
                </c:pt>
                <c:pt idx="28">
                  <c:v>166.49015716041248</c:v>
                </c:pt>
                <c:pt idx="29">
                  <c:v>166.86904394538919</c:v>
                </c:pt>
                <c:pt idx="30">
                  <c:v>167.25167394920547</c:v>
                </c:pt>
                <c:pt idx="31">
                  <c:v>167.64766998321946</c:v>
                </c:pt>
                <c:pt idx="32">
                  <c:v>168.05856585417516</c:v>
                </c:pt>
                <c:pt idx="33">
                  <c:v>168.43717874509045</c:v>
                </c:pt>
                <c:pt idx="34">
                  <c:v>168.8723051106806</c:v>
                </c:pt>
                <c:pt idx="35">
                  <c:v>169.29455845538357</c:v>
                </c:pt>
                <c:pt idx="36">
                  <c:v>169.73233246356753</c:v>
                </c:pt>
                <c:pt idx="37">
                  <c:v>170.10930199011426</c:v>
                </c:pt>
                <c:pt idx="38">
                  <c:v>170.47449407201955</c:v>
                </c:pt>
                <c:pt idx="39">
                  <c:v>170.84187730641625</c:v>
                </c:pt>
                <c:pt idx="40">
                  <c:v>171.13603952839097</c:v>
                </c:pt>
                <c:pt idx="41">
                  <c:v>171.42209448614736</c:v>
                </c:pt>
                <c:pt idx="42">
                  <c:v>171.66575064319457</c:v>
                </c:pt>
                <c:pt idx="43">
                  <c:v>171.92038082230303</c:v>
                </c:pt>
                <c:pt idx="44">
                  <c:v>172.20504805014821</c:v>
                </c:pt>
                <c:pt idx="45">
                  <c:v>172.4426666691013</c:v>
                </c:pt>
                <c:pt idx="46">
                  <c:v>172.6333270642026</c:v>
                </c:pt>
                <c:pt idx="47">
                  <c:v>172.71695605095891</c:v>
                </c:pt>
                <c:pt idx="48">
                  <c:v>172.78369490392711</c:v>
                </c:pt>
                <c:pt idx="49">
                  <c:v>172.85116414105912</c:v>
                </c:pt>
                <c:pt idx="50">
                  <c:v>172.92520683566542</c:v>
                </c:pt>
                <c:pt idx="51">
                  <c:v>172.99778876194407</c:v>
                </c:pt>
                <c:pt idx="52">
                  <c:v>173.06607968126036</c:v>
                </c:pt>
                <c:pt idx="53">
                  <c:v>173.13053608371663</c:v>
                </c:pt>
                <c:pt idx="54">
                  <c:v>173.18759734651434</c:v>
                </c:pt>
                <c:pt idx="55">
                  <c:v>173.25515788166683</c:v>
                </c:pt>
                <c:pt idx="56">
                  <c:v>173.30226766023259</c:v>
                </c:pt>
                <c:pt idx="57">
                  <c:v>173.34371696152886</c:v>
                </c:pt>
                <c:pt idx="58">
                  <c:v>173.3886355876032</c:v>
                </c:pt>
                <c:pt idx="59">
                  <c:v>173.43967118104945</c:v>
                </c:pt>
                <c:pt idx="60">
                  <c:v>173.48175956848905</c:v>
                </c:pt>
                <c:pt idx="61">
                  <c:v>173.52905194309579</c:v>
                </c:pt>
                <c:pt idx="62">
                  <c:v>173.61615025463018</c:v>
                </c:pt>
                <c:pt idx="63">
                  <c:v>173.72534268711988</c:v>
                </c:pt>
                <c:pt idx="64">
                  <c:v>173.94208418773064</c:v>
                </c:pt>
                <c:pt idx="65">
                  <c:v>174.30243747455069</c:v>
                </c:pt>
                <c:pt idx="66" formatCode="General">
                  <c:v>174.67566378225789</c:v>
                </c:pt>
                <c:pt idx="67" formatCode="General">
                  <c:v>175.23203391904059</c:v>
                </c:pt>
                <c:pt idx="68" formatCode="General">
                  <c:v>175.83405306606141</c:v>
                </c:pt>
                <c:pt idx="69" formatCode="General">
                  <c:v>176.58771822509348</c:v>
                </c:pt>
                <c:pt idx="70" formatCode="General">
                  <c:v>177.44089822644463</c:v>
                </c:pt>
                <c:pt idx="71" formatCode="General">
                  <c:v>178.40838334943223</c:v>
                </c:pt>
                <c:pt idx="72" formatCode="General">
                  <c:v>179.67742583405308</c:v>
                </c:pt>
                <c:pt idx="73" formatCode="General">
                  <c:v>180.99978636263211</c:v>
                </c:pt>
                <c:pt idx="74" formatCode="General">
                  <c:v>182.3734563787188</c:v>
                </c:pt>
                <c:pt idx="75" formatCode="General">
                  <c:v>184.0104298858592</c:v>
                </c:pt>
                <c:pt idx="76" formatCode="General">
                  <c:v>185.62969157702722</c:v>
                </c:pt>
                <c:pt idx="77" formatCode="General">
                  <c:v>187.22667655119903</c:v>
                </c:pt>
                <c:pt idx="78" formatCode="General">
                  <c:v>189.16657689027986</c:v>
                </c:pt>
                <c:pt idx="79" formatCode="General">
                  <c:v>190.94789256779336</c:v>
                </c:pt>
                <c:pt idx="80" formatCode="General">
                  <c:v>192.86633787206225</c:v>
                </c:pt>
                <c:pt idx="81" formatCode="General">
                  <c:v>194.56073783408229</c:v>
                </c:pt>
                <c:pt idx="82" formatCode="General">
                  <c:v>196.45416748074072</c:v>
                </c:pt>
                <c:pt idx="83" formatCode="General">
                  <c:v>198.18006525982503</c:v>
                </c:pt>
                <c:pt idx="84" formatCode="General">
                  <c:v>200.23354033637847</c:v>
                </c:pt>
                <c:pt idx="85" formatCode="General">
                  <c:v>202.11875316119398</c:v>
                </c:pt>
                <c:pt idx="86" formatCode="General">
                  <c:v>204.08567771433584</c:v>
                </c:pt>
                <c:pt idx="87" formatCode="General">
                  <c:v>205.89456539403312</c:v>
                </c:pt>
                <c:pt idx="88" formatCode="General">
                  <c:v>207.49958459400685</c:v>
                </c:pt>
                <c:pt idx="89" formatCode="General">
                  <c:v>209.25506293172555</c:v>
                </c:pt>
                <c:pt idx="90">
                  <c:v>210.83004508296253</c:v>
                </c:pt>
                <c:pt idx="91">
                  <c:v>212.27496878638485</c:v>
                </c:pt>
                <c:pt idx="92">
                  <c:v>213.78634437610208</c:v>
                </c:pt>
                <c:pt idx="93">
                  <c:v>215.13809459567329</c:v>
                </c:pt>
                <c:pt idx="94">
                  <c:v>216.43983797489616</c:v>
                </c:pt>
                <c:pt idx="95">
                  <c:v>217.63867540536361</c:v>
                </c:pt>
                <c:pt idx="96">
                  <c:v>218.80004858443328</c:v>
                </c:pt>
                <c:pt idx="97">
                  <c:v>219.80949334361151</c:v>
                </c:pt>
                <c:pt idx="98">
                  <c:v>220.93357435042637</c:v>
                </c:pt>
                <c:pt idx="99">
                  <c:v>221.96034931909196</c:v>
                </c:pt>
                <c:pt idx="100">
                  <c:v>223.02155140344379</c:v>
                </c:pt>
                <c:pt idx="101">
                  <c:v>223.99502763713855</c:v>
                </c:pt>
                <c:pt idx="102">
                  <c:v>224.97709475933723</c:v>
                </c:pt>
                <c:pt idx="103">
                  <c:v>225.94513436859845</c:v>
                </c:pt>
                <c:pt idx="104">
                  <c:v>226.91912484371275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A-4118-97AA-A61AA822C6B2}"/>
            </c:ext>
          </c:extLst>
        </c:ser>
        <c:ser>
          <c:idx val="0"/>
          <c:order val="1"/>
          <c:tx>
            <c:v>FIP Liquidez Sencillo</c:v>
          </c:tx>
          <c:spPr>
            <a:ln w="3810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'Datos ICP (2)'!$A$143:$A$300</c:f>
              <c:numCache>
                <c:formatCode>m/d/yyyy</c:formatCode>
                <c:ptCount val="158"/>
                <c:pt idx="0">
                  <c:v>42978</c:v>
                </c:pt>
                <c:pt idx="1">
                  <c:v>43008</c:v>
                </c:pt>
                <c:pt idx="2">
                  <c:v>43039</c:v>
                </c:pt>
                <c:pt idx="3">
                  <c:v>43069</c:v>
                </c:pt>
                <c:pt idx="4">
                  <c:v>43100</c:v>
                </c:pt>
                <c:pt idx="5">
                  <c:v>43131</c:v>
                </c:pt>
                <c:pt idx="6">
                  <c:v>43159</c:v>
                </c:pt>
                <c:pt idx="7">
                  <c:v>43190</c:v>
                </c:pt>
                <c:pt idx="8">
                  <c:v>43220</c:v>
                </c:pt>
                <c:pt idx="9">
                  <c:v>43251</c:v>
                </c:pt>
                <c:pt idx="10">
                  <c:v>43281</c:v>
                </c:pt>
                <c:pt idx="11">
                  <c:v>43312</c:v>
                </c:pt>
                <c:pt idx="12">
                  <c:v>43343</c:v>
                </c:pt>
                <c:pt idx="13">
                  <c:v>43373</c:v>
                </c:pt>
                <c:pt idx="14">
                  <c:v>43404</c:v>
                </c:pt>
                <c:pt idx="15">
                  <c:v>43434</c:v>
                </c:pt>
                <c:pt idx="16">
                  <c:v>43465</c:v>
                </c:pt>
                <c:pt idx="17">
                  <c:v>43496</c:v>
                </c:pt>
                <c:pt idx="18">
                  <c:v>43524</c:v>
                </c:pt>
                <c:pt idx="19">
                  <c:v>43555</c:v>
                </c:pt>
                <c:pt idx="20">
                  <c:v>43585</c:v>
                </c:pt>
                <c:pt idx="21">
                  <c:v>43616</c:v>
                </c:pt>
                <c:pt idx="22">
                  <c:v>43646</c:v>
                </c:pt>
                <c:pt idx="23">
                  <c:v>43677</c:v>
                </c:pt>
                <c:pt idx="24">
                  <c:v>43708</c:v>
                </c:pt>
                <c:pt idx="25">
                  <c:v>43738</c:v>
                </c:pt>
                <c:pt idx="26">
                  <c:v>43769</c:v>
                </c:pt>
                <c:pt idx="27">
                  <c:v>43799</c:v>
                </c:pt>
                <c:pt idx="28">
                  <c:v>43830</c:v>
                </c:pt>
                <c:pt idx="29">
                  <c:v>43861</c:v>
                </c:pt>
                <c:pt idx="30">
                  <c:v>43890</c:v>
                </c:pt>
                <c:pt idx="31">
                  <c:v>43921</c:v>
                </c:pt>
                <c:pt idx="32">
                  <c:v>43951</c:v>
                </c:pt>
                <c:pt idx="33">
                  <c:v>43982</c:v>
                </c:pt>
                <c:pt idx="34">
                  <c:v>44012</c:v>
                </c:pt>
                <c:pt idx="35">
                  <c:v>44043</c:v>
                </c:pt>
                <c:pt idx="36">
                  <c:v>44074</c:v>
                </c:pt>
                <c:pt idx="37">
                  <c:v>44104</c:v>
                </c:pt>
                <c:pt idx="38">
                  <c:v>44135</c:v>
                </c:pt>
                <c:pt idx="39">
                  <c:v>44165</c:v>
                </c:pt>
                <c:pt idx="40">
                  <c:v>44196</c:v>
                </c:pt>
                <c:pt idx="41">
                  <c:v>44227</c:v>
                </c:pt>
                <c:pt idx="42">
                  <c:v>44255</c:v>
                </c:pt>
                <c:pt idx="43">
                  <c:v>44286</c:v>
                </c:pt>
                <c:pt idx="44">
                  <c:v>44316</c:v>
                </c:pt>
                <c:pt idx="45">
                  <c:v>44347</c:v>
                </c:pt>
                <c:pt idx="46">
                  <c:v>44377</c:v>
                </c:pt>
                <c:pt idx="47">
                  <c:v>44408</c:v>
                </c:pt>
                <c:pt idx="48">
                  <c:v>44439</c:v>
                </c:pt>
                <c:pt idx="49">
                  <c:v>44469</c:v>
                </c:pt>
                <c:pt idx="50">
                  <c:v>44500</c:v>
                </c:pt>
                <c:pt idx="51">
                  <c:v>44530</c:v>
                </c:pt>
                <c:pt idx="52">
                  <c:v>44561</c:v>
                </c:pt>
                <c:pt idx="53">
                  <c:v>44592</c:v>
                </c:pt>
                <c:pt idx="54">
                  <c:v>44620</c:v>
                </c:pt>
                <c:pt idx="55">
                  <c:v>44651</c:v>
                </c:pt>
                <c:pt idx="56">
                  <c:v>44681</c:v>
                </c:pt>
                <c:pt idx="57">
                  <c:v>44712</c:v>
                </c:pt>
                <c:pt idx="58">
                  <c:v>44742</c:v>
                </c:pt>
                <c:pt idx="59">
                  <c:v>44773</c:v>
                </c:pt>
                <c:pt idx="60">
                  <c:v>44804</c:v>
                </c:pt>
                <c:pt idx="61">
                  <c:v>44834</c:v>
                </c:pt>
                <c:pt idx="62">
                  <c:v>44862</c:v>
                </c:pt>
                <c:pt idx="63">
                  <c:v>44895</c:v>
                </c:pt>
                <c:pt idx="64">
                  <c:v>44925</c:v>
                </c:pt>
                <c:pt idx="65">
                  <c:v>44957</c:v>
                </c:pt>
                <c:pt idx="66">
                  <c:v>44985</c:v>
                </c:pt>
                <c:pt idx="67">
                  <c:v>45016</c:v>
                </c:pt>
                <c:pt idx="68">
                  <c:v>45044</c:v>
                </c:pt>
                <c:pt idx="69">
                  <c:v>45077</c:v>
                </c:pt>
                <c:pt idx="70">
                  <c:v>45107</c:v>
                </c:pt>
                <c:pt idx="71">
                  <c:v>45138</c:v>
                </c:pt>
                <c:pt idx="72">
                  <c:v>45169</c:v>
                </c:pt>
                <c:pt idx="73">
                  <c:v>45199</c:v>
                </c:pt>
                <c:pt idx="74">
                  <c:v>45230</c:v>
                </c:pt>
                <c:pt idx="75">
                  <c:v>45260</c:v>
                </c:pt>
                <c:pt idx="76">
                  <c:v>45291</c:v>
                </c:pt>
                <c:pt idx="77">
                  <c:v>45322</c:v>
                </c:pt>
                <c:pt idx="78">
                  <c:v>45351</c:v>
                </c:pt>
                <c:pt idx="79">
                  <c:v>45379</c:v>
                </c:pt>
                <c:pt idx="80">
                  <c:v>45412</c:v>
                </c:pt>
                <c:pt idx="81">
                  <c:v>45443</c:v>
                </c:pt>
                <c:pt idx="82">
                  <c:v>45473</c:v>
                </c:pt>
                <c:pt idx="83">
                  <c:v>45504</c:v>
                </c:pt>
                <c:pt idx="84">
                  <c:v>45535</c:v>
                </c:pt>
                <c:pt idx="85">
                  <c:v>45565</c:v>
                </c:pt>
                <c:pt idx="86">
                  <c:v>45596</c:v>
                </c:pt>
                <c:pt idx="87">
                  <c:v>45626</c:v>
                </c:pt>
                <c:pt idx="88">
                  <c:v>45657</c:v>
                </c:pt>
                <c:pt idx="89">
                  <c:v>45688</c:v>
                </c:pt>
                <c:pt idx="90">
                  <c:v>45716</c:v>
                </c:pt>
                <c:pt idx="91">
                  <c:v>45747</c:v>
                </c:pt>
                <c:pt idx="92">
                  <c:v>45777</c:v>
                </c:pt>
                <c:pt idx="93">
                  <c:v>45808</c:v>
                </c:pt>
                <c:pt idx="94">
                  <c:v>45838</c:v>
                </c:pt>
                <c:pt idx="95">
                  <c:v>45869</c:v>
                </c:pt>
                <c:pt idx="96">
                  <c:v>45900</c:v>
                </c:pt>
                <c:pt idx="97">
                  <c:v>45930</c:v>
                </c:pt>
                <c:pt idx="98">
                  <c:v>45961</c:v>
                </c:pt>
                <c:pt idx="99">
                  <c:v>45991</c:v>
                </c:pt>
                <c:pt idx="100">
                  <c:v>46022</c:v>
                </c:pt>
              </c:numCache>
            </c:numRef>
          </c:cat>
          <c:val>
            <c:numRef>
              <c:f>'Datos ICP (2)'!$J$128:$J$232</c:f>
              <c:numCache>
                <c:formatCode>#,##0.00</c:formatCode>
                <c:ptCount val="105"/>
                <c:pt idx="0">
                  <c:v>155.65</c:v>
                </c:pt>
                <c:pt idx="1">
                  <c:v>155.92280031086958</c:v>
                </c:pt>
                <c:pt idx="2">
                  <c:v>156.49857383209343</c:v>
                </c:pt>
                <c:pt idx="3">
                  <c:v>156.92276091571634</c:v>
                </c:pt>
                <c:pt idx="4">
                  <c:v>157.37806394961027</c:v>
                </c:pt>
                <c:pt idx="5">
                  <c:v>157.78850289198689</c:v>
                </c:pt>
                <c:pt idx="6">
                  <c:v>158.13557792186762</c:v>
                </c:pt>
                <c:pt idx="7">
                  <c:v>158.10004970255139</c:v>
                </c:pt>
                <c:pt idx="8">
                  <c:v>158.55101018927499</c:v>
                </c:pt>
                <c:pt idx="9">
                  <c:v>158.85711919480693</c:v>
                </c:pt>
                <c:pt idx="10">
                  <c:v>159.22219330200377</c:v>
                </c:pt>
                <c:pt idx="11">
                  <c:v>159.517031671903</c:v>
                </c:pt>
                <c:pt idx="12">
                  <c:v>159.73652939340846</c:v>
                </c:pt>
                <c:pt idx="13">
                  <c:v>160.79203696789907</c:v>
                </c:pt>
                <c:pt idx="14">
                  <c:v>161.28927723437886</c:v>
                </c:pt>
                <c:pt idx="15">
                  <c:v>161.76333152237777</c:v>
                </c:pt>
                <c:pt idx="16">
                  <c:v>162.1570113635363</c:v>
                </c:pt>
                <c:pt idx="17">
                  <c:v>162.48741935664953</c:v>
                </c:pt>
                <c:pt idx="18">
                  <c:v>162.88480721757088</c:v>
                </c:pt>
                <c:pt idx="19">
                  <c:v>163.2717404225921</c:v>
                </c:pt>
                <c:pt idx="20">
                  <c:v>163.68461827436172</c:v>
                </c:pt>
                <c:pt idx="21">
                  <c:v>164.16751652845193</c:v>
                </c:pt>
                <c:pt idx="22">
                  <c:v>164.56476341150034</c:v>
                </c:pt>
                <c:pt idx="23">
                  <c:v>164.93199170346332</c:v>
                </c:pt>
                <c:pt idx="24">
                  <c:v>165.31765670286725</c:v>
                </c:pt>
                <c:pt idx="25">
                  <c:v>165.72134302459119</c:v>
                </c:pt>
                <c:pt idx="26">
                  <c:v>166.14334165143711</c:v>
                </c:pt>
                <c:pt idx="27">
                  <c:v>166.5228312297796</c:v>
                </c:pt>
                <c:pt idx="28">
                  <c:v>166.91596742432634</c:v>
                </c:pt>
                <c:pt idx="29">
                  <c:v>167.34702159156362</c:v>
                </c:pt>
                <c:pt idx="30">
                  <c:v>167.78560824702467</c:v>
                </c:pt>
                <c:pt idx="31">
                  <c:v>168.12464516005272</c:v>
                </c:pt>
                <c:pt idx="32">
                  <c:v>168.49880950131967</c:v>
                </c:pt>
                <c:pt idx="33">
                  <c:v>168.84680857632978</c:v>
                </c:pt>
                <c:pt idx="34">
                  <c:v>169.20865266261848</c:v>
                </c:pt>
                <c:pt idx="35">
                  <c:v>169.62734352954595</c:v>
                </c:pt>
                <c:pt idx="36">
                  <c:v>170.02144955805409</c:v>
                </c:pt>
                <c:pt idx="37">
                  <c:v>170.45073084862807</c:v>
                </c:pt>
                <c:pt idx="38">
                  <c:v>170.80084130862917</c:v>
                </c:pt>
                <c:pt idx="39">
                  <c:v>171.12413819854035</c:v>
                </c:pt>
                <c:pt idx="40">
                  <c:v>171.4309762516323</c:v>
                </c:pt>
                <c:pt idx="41">
                  <c:v>171.86360184876381</c:v>
                </c:pt>
                <c:pt idx="42">
                  <c:v>172.27979116744089</c:v>
                </c:pt>
                <c:pt idx="43">
                  <c:v>172.68995871626842</c:v>
                </c:pt>
                <c:pt idx="44">
                  <c:v>172.88199105570783</c:v>
                </c:pt>
                <c:pt idx="45">
                  <c:v>173.12629228864466</c:v>
                </c:pt>
                <c:pt idx="46">
                  <c:v>173.37542735394655</c:v>
                </c:pt>
                <c:pt idx="47">
                  <c:v>173.60530364184802</c:v>
                </c:pt>
                <c:pt idx="48">
                  <c:v>173.79670881001508</c:v>
                </c:pt>
                <c:pt idx="49">
                  <c:v>173.9932741951379</c:v>
                </c:pt>
                <c:pt idx="50">
                  <c:v>174.10146883690717</c:v>
                </c:pt>
                <c:pt idx="51">
                  <c:v>174.19771508728968</c:v>
                </c:pt>
                <c:pt idx="52">
                  <c:v>174.36094052608428</c:v>
                </c:pt>
                <c:pt idx="53">
                  <c:v>174.57647880802557</c:v>
                </c:pt>
                <c:pt idx="54">
                  <c:v>174.7612755452154</c:v>
                </c:pt>
                <c:pt idx="55">
                  <c:v>175.66193902178225</c:v>
                </c:pt>
                <c:pt idx="56">
                  <c:v>175.82983851954907</c:v>
                </c:pt>
                <c:pt idx="57">
                  <c:v>176.02941024786057</c:v>
                </c:pt>
                <c:pt idx="58">
                  <c:v>176.11360435366888</c:v>
                </c:pt>
                <c:pt idx="59">
                  <c:v>176.15319465846846</c:v>
                </c:pt>
                <c:pt idx="60">
                  <c:v>176.34023286276135</c:v>
                </c:pt>
                <c:pt idx="61">
                  <c:v>176.56380836771996</c:v>
                </c:pt>
                <c:pt idx="62">
                  <c:v>176.78861029290607</c:v>
                </c:pt>
                <c:pt idx="63">
                  <c:v>176.98153015139266</c:v>
                </c:pt>
                <c:pt idx="64">
                  <c:v>177.14249992548693</c:v>
                </c:pt>
                <c:pt idx="65">
                  <c:v>177.28237903786007</c:v>
                </c:pt>
                <c:pt idx="66">
                  <c:v>177.3608180726587</c:v>
                </c:pt>
                <c:pt idx="67">
                  <c:v>177.64607616856651</c:v>
                </c:pt>
                <c:pt idx="68">
                  <c:v>178.05740824941836</c:v>
                </c:pt>
                <c:pt idx="69">
                  <c:v>178.70190009292457</c:v>
                </c:pt>
                <c:pt idx="70">
                  <c:v>179.34593934156806</c:v>
                </c:pt>
                <c:pt idx="71">
                  <c:v>180.32325500324649</c:v>
                </c:pt>
                <c:pt idx="72">
                  <c:v>181.60123774702581</c:v>
                </c:pt>
                <c:pt idx="73">
                  <c:v>182.84638437499115</c:v>
                </c:pt>
                <c:pt idx="74">
                  <c:v>184.064296540584</c:v>
                </c:pt>
                <c:pt idx="75">
                  <c:v>185.43128173529001</c:v>
                </c:pt>
                <c:pt idx="76">
                  <c:v>186.91846818359278</c:v>
                </c:pt>
                <c:pt idx="77">
                  <c:v>188.51341311624091</c:v>
                </c:pt>
                <c:pt idx="78">
                  <c:v>190.21300412154667</c:v>
                </c:pt>
                <c:pt idx="79">
                  <c:v>192.03812782349434</c:v>
                </c:pt>
                <c:pt idx="80">
                  <c:v>194.09636334890729</c:v>
                </c:pt>
                <c:pt idx="81">
                  <c:v>195.90623566589474</c:v>
                </c:pt>
                <c:pt idx="82">
                  <c:v>197.74587885743148</c:v>
                </c:pt>
                <c:pt idx="83">
                  <c:v>199.61606571871496</c:v>
                </c:pt>
                <c:pt idx="84">
                  <c:v>201.49241239436438</c:v>
                </c:pt>
                <c:pt idx="85">
                  <c:v>203.40443179185877</c:v>
                </c:pt>
                <c:pt idx="86">
                  <c:v>205.34720012711486</c:v>
                </c:pt>
                <c:pt idx="87">
                  <c:v>207.13586989080812</c:v>
                </c:pt>
                <c:pt idx="88">
                  <c:v>208.93919208114735</c:v>
                </c:pt>
                <c:pt idx="89">
                  <c:v>210.61575437972724</c:v>
                </c:pt>
                <c:pt idx="90">
                  <c:v>212.19931916512226</c:v>
                </c:pt>
                <c:pt idx="91">
                  <c:v>213.9796493373982</c:v>
                </c:pt>
                <c:pt idx="92">
                  <c:v>215.59549438319431</c:v>
                </c:pt>
                <c:pt idx="93">
                  <c:v>216.90480485564197</c:v>
                </c:pt>
                <c:pt idx="94">
                  <c:v>218.31296712278345</c:v>
                </c:pt>
                <c:pt idx="95">
                  <c:v>219.49265588342234</c:v>
                </c:pt>
                <c:pt idx="96">
                  <c:v>220.76391320725432</c:v>
                </c:pt>
                <c:pt idx="97">
                  <c:v>221.93333164634859</c:v>
                </c:pt>
                <c:pt idx="98">
                  <c:v>222.91887259241159</c:v>
                </c:pt>
                <c:pt idx="99">
                  <c:v>223.82720722472899</c:v>
                </c:pt>
                <c:pt idx="100">
                  <c:v>224.79734829840643</c:v>
                </c:pt>
                <c:pt idx="101">
                  <c:v>225.61708893451663</c:v>
                </c:pt>
                <c:pt idx="102">
                  <c:v>226.48867314233422</c:v>
                </c:pt>
                <c:pt idx="103">
                  <c:v>227.27646995644511</c:v>
                </c:pt>
                <c:pt idx="104">
                  <c:v>227.91797744115112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A-4118-97AA-A61AA822C6B2}"/>
            </c:ext>
          </c:extLst>
        </c:ser>
        <c:ser>
          <c:idx val="1"/>
          <c:order val="2"/>
          <c:tx>
            <c:v>Competencia Relevante</c:v>
          </c:tx>
          <c:spPr>
            <a:ln w="38100">
              <a:solidFill>
                <a:sysClr val="window" lastClr="FFFFFF">
                  <a:lumMod val="65000"/>
                </a:sysClr>
              </a:solidFill>
            </a:ln>
          </c:spPr>
          <c:marker>
            <c:symbol val="none"/>
          </c:marker>
          <c:cat>
            <c:numRef>
              <c:f>'Datos ICP (2)'!$A$143:$A$300</c:f>
              <c:numCache>
                <c:formatCode>m/d/yyyy</c:formatCode>
                <c:ptCount val="158"/>
                <c:pt idx="0">
                  <c:v>42978</c:v>
                </c:pt>
                <c:pt idx="1">
                  <c:v>43008</c:v>
                </c:pt>
                <c:pt idx="2">
                  <c:v>43039</c:v>
                </c:pt>
                <c:pt idx="3">
                  <c:v>43069</c:v>
                </c:pt>
                <c:pt idx="4">
                  <c:v>43100</c:v>
                </c:pt>
                <c:pt idx="5">
                  <c:v>43131</c:v>
                </c:pt>
                <c:pt idx="6">
                  <c:v>43159</c:v>
                </c:pt>
                <c:pt idx="7">
                  <c:v>43190</c:v>
                </c:pt>
                <c:pt idx="8">
                  <c:v>43220</c:v>
                </c:pt>
                <c:pt idx="9">
                  <c:v>43251</c:v>
                </c:pt>
                <c:pt idx="10">
                  <c:v>43281</c:v>
                </c:pt>
                <c:pt idx="11">
                  <c:v>43312</c:v>
                </c:pt>
                <c:pt idx="12">
                  <c:v>43343</c:v>
                </c:pt>
                <c:pt idx="13">
                  <c:v>43373</c:v>
                </c:pt>
                <c:pt idx="14">
                  <c:v>43404</c:v>
                </c:pt>
                <c:pt idx="15">
                  <c:v>43434</c:v>
                </c:pt>
                <c:pt idx="16">
                  <c:v>43465</c:v>
                </c:pt>
                <c:pt idx="17">
                  <c:v>43496</c:v>
                </c:pt>
                <c:pt idx="18">
                  <c:v>43524</c:v>
                </c:pt>
                <c:pt idx="19">
                  <c:v>43555</c:v>
                </c:pt>
                <c:pt idx="20">
                  <c:v>43585</c:v>
                </c:pt>
                <c:pt idx="21">
                  <c:v>43616</c:v>
                </c:pt>
                <c:pt idx="22">
                  <c:v>43646</c:v>
                </c:pt>
                <c:pt idx="23">
                  <c:v>43677</c:v>
                </c:pt>
                <c:pt idx="24">
                  <c:v>43708</c:v>
                </c:pt>
                <c:pt idx="25">
                  <c:v>43738</c:v>
                </c:pt>
                <c:pt idx="26">
                  <c:v>43769</c:v>
                </c:pt>
                <c:pt idx="27">
                  <c:v>43799</c:v>
                </c:pt>
                <c:pt idx="28">
                  <c:v>43830</c:v>
                </c:pt>
                <c:pt idx="29">
                  <c:v>43861</c:v>
                </c:pt>
                <c:pt idx="30">
                  <c:v>43890</c:v>
                </c:pt>
                <c:pt idx="31">
                  <c:v>43921</c:v>
                </c:pt>
                <c:pt idx="32">
                  <c:v>43951</c:v>
                </c:pt>
                <c:pt idx="33">
                  <c:v>43982</c:v>
                </c:pt>
                <c:pt idx="34">
                  <c:v>44012</c:v>
                </c:pt>
                <c:pt idx="35">
                  <c:v>44043</c:v>
                </c:pt>
                <c:pt idx="36">
                  <c:v>44074</c:v>
                </c:pt>
                <c:pt idx="37">
                  <c:v>44104</c:v>
                </c:pt>
                <c:pt idx="38">
                  <c:v>44135</c:v>
                </c:pt>
                <c:pt idx="39">
                  <c:v>44165</c:v>
                </c:pt>
                <c:pt idx="40">
                  <c:v>44196</c:v>
                </c:pt>
                <c:pt idx="41">
                  <c:v>44227</c:v>
                </c:pt>
                <c:pt idx="42">
                  <c:v>44255</c:v>
                </c:pt>
                <c:pt idx="43">
                  <c:v>44286</c:v>
                </c:pt>
                <c:pt idx="44">
                  <c:v>44316</c:v>
                </c:pt>
                <c:pt idx="45">
                  <c:v>44347</c:v>
                </c:pt>
                <c:pt idx="46">
                  <c:v>44377</c:v>
                </c:pt>
                <c:pt idx="47">
                  <c:v>44408</c:v>
                </c:pt>
                <c:pt idx="48">
                  <c:v>44439</c:v>
                </c:pt>
                <c:pt idx="49">
                  <c:v>44469</c:v>
                </c:pt>
                <c:pt idx="50">
                  <c:v>44500</c:v>
                </c:pt>
                <c:pt idx="51">
                  <c:v>44530</c:v>
                </c:pt>
                <c:pt idx="52">
                  <c:v>44561</c:v>
                </c:pt>
                <c:pt idx="53">
                  <c:v>44592</c:v>
                </c:pt>
                <c:pt idx="54">
                  <c:v>44620</c:v>
                </c:pt>
                <c:pt idx="55">
                  <c:v>44651</c:v>
                </c:pt>
                <c:pt idx="56">
                  <c:v>44681</c:v>
                </c:pt>
                <c:pt idx="57">
                  <c:v>44712</c:v>
                </c:pt>
                <c:pt idx="58">
                  <c:v>44742</c:v>
                </c:pt>
                <c:pt idx="59">
                  <c:v>44773</c:v>
                </c:pt>
                <c:pt idx="60">
                  <c:v>44804</c:v>
                </c:pt>
                <c:pt idx="61">
                  <c:v>44834</c:v>
                </c:pt>
                <c:pt idx="62">
                  <c:v>44862</c:v>
                </c:pt>
                <c:pt idx="63">
                  <c:v>44895</c:v>
                </c:pt>
                <c:pt idx="64">
                  <c:v>44925</c:v>
                </c:pt>
                <c:pt idx="65">
                  <c:v>44957</c:v>
                </c:pt>
                <c:pt idx="66">
                  <c:v>44985</c:v>
                </c:pt>
                <c:pt idx="67">
                  <c:v>45016</c:v>
                </c:pt>
                <c:pt idx="68">
                  <c:v>45044</c:v>
                </c:pt>
                <c:pt idx="69">
                  <c:v>45077</c:v>
                </c:pt>
                <c:pt idx="70">
                  <c:v>45107</c:v>
                </c:pt>
                <c:pt idx="71">
                  <c:v>45138</c:v>
                </c:pt>
                <c:pt idx="72">
                  <c:v>45169</c:v>
                </c:pt>
                <c:pt idx="73">
                  <c:v>45199</c:v>
                </c:pt>
                <c:pt idx="74">
                  <c:v>45230</c:v>
                </c:pt>
                <c:pt idx="75">
                  <c:v>45260</c:v>
                </c:pt>
                <c:pt idx="76">
                  <c:v>45291</c:v>
                </c:pt>
                <c:pt idx="77">
                  <c:v>45322</c:v>
                </c:pt>
                <c:pt idx="78">
                  <c:v>45351</c:v>
                </c:pt>
                <c:pt idx="79">
                  <c:v>45379</c:v>
                </c:pt>
                <c:pt idx="80">
                  <c:v>45412</c:v>
                </c:pt>
                <c:pt idx="81">
                  <c:v>45443</c:v>
                </c:pt>
                <c:pt idx="82">
                  <c:v>45473</c:v>
                </c:pt>
                <c:pt idx="83">
                  <c:v>45504</c:v>
                </c:pt>
                <c:pt idx="84">
                  <c:v>45535</c:v>
                </c:pt>
                <c:pt idx="85">
                  <c:v>45565</c:v>
                </c:pt>
                <c:pt idx="86">
                  <c:v>45596</c:v>
                </c:pt>
                <c:pt idx="87">
                  <c:v>45626</c:v>
                </c:pt>
                <c:pt idx="88">
                  <c:v>45657</c:v>
                </c:pt>
                <c:pt idx="89">
                  <c:v>45688</c:v>
                </c:pt>
                <c:pt idx="90">
                  <c:v>45716</c:v>
                </c:pt>
                <c:pt idx="91">
                  <c:v>45747</c:v>
                </c:pt>
                <c:pt idx="92">
                  <c:v>45777</c:v>
                </c:pt>
                <c:pt idx="93">
                  <c:v>45808</c:v>
                </c:pt>
                <c:pt idx="94">
                  <c:v>45838</c:v>
                </c:pt>
                <c:pt idx="95">
                  <c:v>45869</c:v>
                </c:pt>
                <c:pt idx="96">
                  <c:v>45900</c:v>
                </c:pt>
                <c:pt idx="97">
                  <c:v>45930</c:v>
                </c:pt>
                <c:pt idx="98">
                  <c:v>45961</c:v>
                </c:pt>
                <c:pt idx="99">
                  <c:v>45991</c:v>
                </c:pt>
                <c:pt idx="100">
                  <c:v>46022</c:v>
                </c:pt>
              </c:numCache>
            </c:numRef>
          </c:cat>
          <c:val>
            <c:numRef>
              <c:f>'Datos ICP (2)'!$M$128:$M$232</c:f>
              <c:numCache>
                <c:formatCode>0.00</c:formatCode>
                <c:ptCount val="105"/>
                <c:pt idx="0" formatCode="General">
                  <c:v>155.65</c:v>
                </c:pt>
                <c:pt idx="1">
                  <c:v>155.97155680470212</c:v>
                </c:pt>
                <c:pt idx="2">
                  <c:v>156.28240788042598</c:v>
                </c:pt>
                <c:pt idx="3">
                  <c:v>156.585898080178</c:v>
                </c:pt>
                <c:pt idx="4">
                  <c:v>156.88561718779943</c:v>
                </c:pt>
                <c:pt idx="5">
                  <c:v>157.18641817247735</c:v>
                </c:pt>
                <c:pt idx="6">
                  <c:v>157.48804366133101</c:v>
                </c:pt>
                <c:pt idx="7">
                  <c:v>157.7937923128099</c:v>
                </c:pt>
                <c:pt idx="8">
                  <c:v>158.11989966409334</c:v>
                </c:pt>
                <c:pt idx="9">
                  <c:v>158.38865082194644</c:v>
                </c:pt>
                <c:pt idx="10">
                  <c:v>158.65195399129155</c:v>
                </c:pt>
                <c:pt idx="11">
                  <c:v>158.89489580666884</c:v>
                </c:pt>
                <c:pt idx="12">
                  <c:v>159.11331642481571</c:v>
                </c:pt>
                <c:pt idx="13">
                  <c:v>159.31597165605854</c:v>
                </c:pt>
                <c:pt idx="14">
                  <c:v>159.49508298599068</c:v>
                </c:pt>
                <c:pt idx="15">
                  <c:v>159.66834710141492</c:v>
                </c:pt>
                <c:pt idx="16">
                  <c:v>159.8389919326859</c:v>
                </c:pt>
                <c:pt idx="17">
                  <c:v>160.0077308906468</c:v>
                </c:pt>
                <c:pt idx="18">
                  <c:v>160.18266822818191</c:v>
                </c:pt>
                <c:pt idx="19">
                  <c:v>160.35880088169662</c:v>
                </c:pt>
                <c:pt idx="20">
                  <c:v>160.54346505625853</c:v>
                </c:pt>
                <c:pt idx="21">
                  <c:v>160.72228389312895</c:v>
                </c:pt>
                <c:pt idx="22">
                  <c:v>160.89419131755085</c:v>
                </c:pt>
                <c:pt idx="23">
                  <c:v>161.06040759884817</c:v>
                </c:pt>
                <c:pt idx="24">
                  <c:v>161.22490301837206</c:v>
                </c:pt>
                <c:pt idx="25">
                  <c:v>161.38874710747248</c:v>
                </c:pt>
                <c:pt idx="26">
                  <c:v>161.55265948932075</c:v>
                </c:pt>
                <c:pt idx="27">
                  <c:v>161.71719268596325</c:v>
                </c:pt>
                <c:pt idx="28">
                  <c:v>161.88041891392479</c:v>
                </c:pt>
                <c:pt idx="29">
                  <c:v>162.05449816880983</c:v>
                </c:pt>
                <c:pt idx="30">
                  <c:v>162.2206578810864</c:v>
                </c:pt>
                <c:pt idx="31">
                  <c:v>162.43921554214825</c:v>
                </c:pt>
                <c:pt idx="32">
                  <c:v>162.65380018288755</c:v>
                </c:pt>
                <c:pt idx="33">
                  <c:v>162.88079548935278</c:v>
                </c:pt>
                <c:pt idx="34">
                  <c:v>163.10918917928905</c:v>
                </c:pt>
                <c:pt idx="35">
                  <c:v>163.34026383357886</c:v>
                </c:pt>
                <c:pt idx="36">
                  <c:v>163.55640815589885</c:v>
                </c:pt>
                <c:pt idx="37">
                  <c:v>163.7525239400471</c:v>
                </c:pt>
                <c:pt idx="38">
                  <c:v>163.91688137189993</c:v>
                </c:pt>
                <c:pt idx="39">
                  <c:v>164.06948480037443</c:v>
                </c:pt>
                <c:pt idx="40">
                  <c:v>164.24476972648313</c:v>
                </c:pt>
                <c:pt idx="41">
                  <c:v>164.34812536201747</c:v>
                </c:pt>
                <c:pt idx="42">
                  <c:v>164.46180928563533</c:v>
                </c:pt>
                <c:pt idx="43">
                  <c:v>164.56055426421759</c:v>
                </c:pt>
                <c:pt idx="44">
                  <c:v>164.64185514915863</c:v>
                </c:pt>
                <c:pt idx="45">
                  <c:v>164.72300568481484</c:v>
                </c:pt>
                <c:pt idx="46">
                  <c:v>164.87421854124835</c:v>
                </c:pt>
                <c:pt idx="47">
                  <c:v>165.23695610561424</c:v>
                </c:pt>
                <c:pt idx="48">
                  <c:v>165.28821440538388</c:v>
                </c:pt>
                <c:pt idx="49">
                  <c:v>165.30476112795182</c:v>
                </c:pt>
                <c:pt idx="50">
                  <c:v>165.31921192508048</c:v>
                </c:pt>
                <c:pt idx="51">
                  <c:v>165.33539116129589</c:v>
                </c:pt>
                <c:pt idx="52">
                  <c:v>165.3471085949148</c:v>
                </c:pt>
                <c:pt idx="53">
                  <c:v>165.35788058501839</c:v>
                </c:pt>
                <c:pt idx="54">
                  <c:v>165.36795681465421</c:v>
                </c:pt>
                <c:pt idx="55">
                  <c:v>165.3776590856111</c:v>
                </c:pt>
                <c:pt idx="56">
                  <c:v>165.38595573402984</c:v>
                </c:pt>
                <c:pt idx="57">
                  <c:v>165.39527127803998</c:v>
                </c:pt>
                <c:pt idx="58">
                  <c:v>165.40392016067807</c:v>
                </c:pt>
                <c:pt idx="59">
                  <c:v>165.41487930643964</c:v>
                </c:pt>
                <c:pt idx="60">
                  <c:v>165.42449676889973</c:v>
                </c:pt>
                <c:pt idx="61">
                  <c:v>165.43441120443111</c:v>
                </c:pt>
                <c:pt idx="62">
                  <c:v>165.44431890003355</c:v>
                </c:pt>
                <c:pt idx="63">
                  <c:v>165.45425266585409</c:v>
                </c:pt>
                <c:pt idx="64">
                  <c:v>165.43476760906071</c:v>
                </c:pt>
                <c:pt idx="65">
                  <c:v>165.59843960758022</c:v>
                </c:pt>
                <c:pt idx="66">
                  <c:v>165.80696530665597</c:v>
                </c:pt>
                <c:pt idx="67">
                  <c:v>166.0994956816559</c:v>
                </c:pt>
                <c:pt idx="68">
                  <c:v>166.51286925357456</c:v>
                </c:pt>
                <c:pt idx="69">
                  <c:v>167.10167272111914</c:v>
                </c:pt>
                <c:pt idx="70">
                  <c:v>167.71498005801806</c:v>
                </c:pt>
                <c:pt idx="71">
                  <c:v>168.4817080844013</c:v>
                </c:pt>
                <c:pt idx="72">
                  <c:v>169.38018735114969</c:v>
                </c:pt>
                <c:pt idx="73">
                  <c:v>170.37675117343602</c:v>
                </c:pt>
                <c:pt idx="74">
                  <c:v>171.45043252397883</c:v>
                </c:pt>
                <c:pt idx="75">
                  <c:v>172.61692408516447</c:v>
                </c:pt>
                <c:pt idx="76">
                  <c:v>173.88319790476433</c:v>
                </c:pt>
                <c:pt idx="77">
                  <c:v>175.23245441429418</c:v>
                </c:pt>
                <c:pt idx="78">
                  <c:v>176.62504340787882</c:v>
                </c:pt>
                <c:pt idx="79">
                  <c:v>178.02535712290231</c:v>
                </c:pt>
                <c:pt idx="80">
                  <c:v>179.43420179176744</c:v>
                </c:pt>
                <c:pt idx="81">
                  <c:v>180.85450722776514</c:v>
                </c:pt>
                <c:pt idx="82">
                  <c:v>182.2914917280527</c:v>
                </c:pt>
                <c:pt idx="83">
                  <c:v>183.74816593195251</c:v>
                </c:pt>
                <c:pt idx="84">
                  <c:v>185.2223401197341</c:v>
                </c:pt>
                <c:pt idx="85">
                  <c:v>186.70465438405921</c:v>
                </c:pt>
                <c:pt idx="86">
                  <c:v>188.18705418401623</c:v>
                </c:pt>
                <c:pt idx="87">
                  <c:v>189.57046315780099</c:v>
                </c:pt>
                <c:pt idx="88">
                  <c:v>190.85666512300216</c:v>
                </c:pt>
                <c:pt idx="89">
                  <c:v>192.08973758708936</c:v>
                </c:pt>
                <c:pt idx="90">
                  <c:v>193.27484813769661</c:v>
                </c:pt>
                <c:pt idx="91">
                  <c:v>194.416083469868</c:v>
                </c:pt>
                <c:pt idx="92">
                  <c:v>195.52085532607359</c:v>
                </c:pt>
                <c:pt idx="93">
                  <c:v>196.54934439826911</c:v>
                </c:pt>
                <c:pt idx="94">
                  <c:v>197.48649508821987</c:v>
                </c:pt>
                <c:pt idx="95">
                  <c:v>198.33391395347374</c:v>
                </c:pt>
                <c:pt idx="96">
                  <c:v>199.13386440154227</c:v>
                </c:pt>
                <c:pt idx="97">
                  <c:v>199.86074146488662</c:v>
                </c:pt>
                <c:pt idx="98">
                  <c:v>200.56363094741178</c:v>
                </c:pt>
                <c:pt idx="99">
                  <c:v>201.26773922154356</c:v>
                </c:pt>
                <c:pt idx="100">
                  <c:v>201.94710746343361</c:v>
                </c:pt>
                <c:pt idx="101">
                  <c:v>202.61369180399112</c:v>
                </c:pt>
                <c:pt idx="102">
                  <c:v>203.26618379168443</c:v>
                </c:pt>
                <c:pt idx="103">
                  <c:v>203.90152619496729</c:v>
                </c:pt>
                <c:pt idx="104">
                  <c:v>204.4974863529111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7A-4118-97AA-A61AA822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479168"/>
        <c:axId val="231480704"/>
      </c:lineChart>
      <c:dateAx>
        <c:axId val="231479168"/>
        <c:scaling>
          <c:orientation val="minMax"/>
        </c:scaling>
        <c:delete val="1"/>
        <c:axPos val="b"/>
        <c:numFmt formatCode="mmm/yyyy" sourceLinked="0"/>
        <c:majorTickMark val="out"/>
        <c:minorTickMark val="none"/>
        <c:tickLblPos val="nextTo"/>
        <c:crossAx val="231480704"/>
        <c:crosses val="autoZero"/>
        <c:auto val="1"/>
        <c:lblOffset val="100"/>
        <c:baseTimeUnit val="months"/>
        <c:majorUnit val="2"/>
        <c:majorTimeUnit val="months"/>
        <c:minorUnit val="2"/>
        <c:minorTimeUnit val="months"/>
      </c:dateAx>
      <c:valAx>
        <c:axId val="2314807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CL"/>
          </a:p>
        </c:txPr>
        <c:crossAx val="23147916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4246950276189394"/>
          <c:y val="0.74003318132129015"/>
          <c:w val="0.21073052429285388"/>
          <c:h val="0.18820011074607115"/>
        </c:manualLayout>
      </c:layout>
      <c:overlay val="1"/>
      <c:txPr>
        <a:bodyPr/>
        <a:lstStyle/>
        <a:p>
          <a:pPr>
            <a:defRPr sz="1100"/>
          </a:pPr>
          <a:endParaRPr lang="es-CL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Be Vietnam Pro Medium" pitchFamily="2" charset="0"/>
        </a:defRPr>
      </a:pPr>
      <a:endParaRPr lang="es-CL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cat>
            <c:strRef>
              <c:f>composición!$K$3:$K$6</c:f>
              <c:strCache>
                <c:ptCount val="4"/>
                <c:pt idx="0">
                  <c:v>Menos de 1 mes</c:v>
                </c:pt>
                <c:pt idx="1">
                  <c:v>1-3 meses</c:v>
                </c:pt>
                <c:pt idx="2">
                  <c:v>3-4 meses</c:v>
                </c:pt>
                <c:pt idx="3">
                  <c:v>Más de 4 meses</c:v>
                </c:pt>
              </c:strCache>
            </c:strRef>
          </c:cat>
          <c:val>
            <c:numRef>
              <c:f>composición!$L$3:$L$6</c:f>
              <c:numCache>
                <c:formatCode>0.00%</c:formatCode>
                <c:ptCount val="4"/>
                <c:pt idx="0">
                  <c:v>0.41393182097238534</c:v>
                </c:pt>
                <c:pt idx="1">
                  <c:v>0.58606817902761466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87D-45E1-A7D9-C84D2AF7E522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B7-471B-BCF6-2CA337460F88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B7-471B-BCF6-2CA337460F88}"/>
              </c:ext>
            </c:extLst>
          </c:dPt>
          <c:cat>
            <c:strRef>
              <c:f>composición!$O$2:$O$8</c:f>
              <c:strCache>
                <c:ptCount val="7"/>
                <c:pt idx="0">
                  <c:v>Bono</c:v>
                </c:pt>
                <c:pt idx="1">
                  <c:v>Depósitos</c:v>
                </c:pt>
                <c:pt idx="2">
                  <c:v>Factoring</c:v>
                </c:pt>
                <c:pt idx="3">
                  <c:v>Financiamiento Inmobiliario</c:v>
                </c:pt>
                <c:pt idx="4">
                  <c:v>Financiamiento Mesa Moneda Extranjera</c:v>
                </c:pt>
                <c:pt idx="5">
                  <c:v>Garantías</c:v>
                </c:pt>
                <c:pt idx="6">
                  <c:v>Nota Estructurada</c:v>
                </c:pt>
              </c:strCache>
            </c:strRef>
          </c:cat>
          <c:val>
            <c:numRef>
              <c:f>composición!$P$2:$P$8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0.11016463813701328</c:v>
                </c:pt>
                <c:pt idx="4">
                  <c:v>0.88983536186298673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A4A-4078-93C9-F5DB9EA212B7}"/>
              </c:ext>
            </c:extLst>
          </c:dPt>
          <c:cat>
            <c:strRef>
              <c:f>composición!$S$3:$S$4</c:f>
              <c:strCache>
                <c:ptCount val="2"/>
                <c:pt idx="0">
                  <c:v>Pesos</c:v>
                </c:pt>
                <c:pt idx="1">
                  <c:v>UF</c:v>
                </c:pt>
              </c:strCache>
            </c:strRef>
          </c:cat>
          <c:val>
            <c:numRef>
              <c:f>composición!$T$3:$T$4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361950</xdr:colOff>
      <xdr:row>0</xdr:row>
      <xdr:rowOff>142875</xdr:rowOff>
    </xdr:from>
    <xdr:to>
      <xdr:col>51</xdr:col>
      <xdr:colOff>257176</xdr:colOff>
      <xdr:row>15</xdr:row>
      <xdr:rowOff>28575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86996</xdr:colOff>
      <xdr:row>247</xdr:row>
      <xdr:rowOff>118988</xdr:rowOff>
    </xdr:from>
    <xdr:to>
      <xdr:col>11</xdr:col>
      <xdr:colOff>550454</xdr:colOff>
      <xdr:row>276</xdr:row>
      <xdr:rowOff>25848</xdr:rowOff>
    </xdr:to>
    <xdr:graphicFrame macro="">
      <xdr:nvGraphicFramePr>
        <xdr:cNvPr id="3" name="34 Gráfic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33</xdr:row>
      <xdr:rowOff>34290</xdr:rowOff>
    </xdr:from>
    <xdr:to>
      <xdr:col>8</xdr:col>
      <xdr:colOff>716280</xdr:colOff>
      <xdr:row>48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18</xdr:row>
      <xdr:rowOff>34290</xdr:rowOff>
    </xdr:from>
    <xdr:to>
      <xdr:col>8</xdr:col>
      <xdr:colOff>685800</xdr:colOff>
      <xdr:row>33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</xdr:row>
      <xdr:rowOff>167640</xdr:rowOff>
    </xdr:from>
    <xdr:to>
      <xdr:col>8</xdr:col>
      <xdr:colOff>784860</xdr:colOff>
      <xdr:row>18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rge%20Valenzuela\Downloads\ICP%20hist&#243;ric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ple"/>
    </sheetNames>
    <sheetDataSet>
      <sheetData sheetId="0">
        <row r="3790">
          <cell r="A3790">
            <v>43041</v>
          </cell>
          <cell r="B3790">
            <v>17821.62</v>
          </cell>
        </row>
        <row r="3791">
          <cell r="A3791">
            <v>43042</v>
          </cell>
          <cell r="B3791">
            <v>17822.86</v>
          </cell>
        </row>
        <row r="3792">
          <cell r="A3792">
            <v>43045</v>
          </cell>
          <cell r="B3792">
            <v>17826.57</v>
          </cell>
        </row>
        <row r="3793">
          <cell r="A3793">
            <v>43046</v>
          </cell>
          <cell r="B3793">
            <v>17827.810000000001</v>
          </cell>
        </row>
        <row r="3794">
          <cell r="A3794">
            <v>43047</v>
          </cell>
          <cell r="B3794">
            <v>17829.05</v>
          </cell>
        </row>
        <row r="3795">
          <cell r="A3795">
            <v>43048</v>
          </cell>
          <cell r="B3795">
            <v>17830.29</v>
          </cell>
        </row>
        <row r="3796">
          <cell r="A3796">
            <v>43049</v>
          </cell>
          <cell r="B3796">
            <v>17831.53</v>
          </cell>
        </row>
        <row r="3797">
          <cell r="A3797">
            <v>43052</v>
          </cell>
          <cell r="B3797">
            <v>17835.240000000002</v>
          </cell>
        </row>
        <row r="3798">
          <cell r="A3798">
            <v>43053</v>
          </cell>
          <cell r="B3798">
            <v>17836.48</v>
          </cell>
        </row>
        <row r="3799">
          <cell r="A3799">
            <v>43054</v>
          </cell>
          <cell r="B3799">
            <v>17837.72</v>
          </cell>
        </row>
        <row r="3800">
          <cell r="A3800">
            <v>43055</v>
          </cell>
          <cell r="B3800">
            <v>17838.96</v>
          </cell>
        </row>
        <row r="3801">
          <cell r="A3801">
            <v>43056</v>
          </cell>
          <cell r="B3801">
            <v>17840.2</v>
          </cell>
        </row>
        <row r="3802">
          <cell r="A3802">
            <v>43059</v>
          </cell>
          <cell r="B3802">
            <v>17843.919999999998</v>
          </cell>
        </row>
        <row r="3803">
          <cell r="A3803">
            <v>43060</v>
          </cell>
          <cell r="B3803">
            <v>17845.16</v>
          </cell>
        </row>
        <row r="3804">
          <cell r="A3804">
            <v>43061</v>
          </cell>
          <cell r="B3804">
            <v>17846.400000000001</v>
          </cell>
        </row>
        <row r="3805">
          <cell r="A3805">
            <v>43062</v>
          </cell>
          <cell r="B3805">
            <v>17847.64</v>
          </cell>
        </row>
        <row r="3806">
          <cell r="A3806">
            <v>43063</v>
          </cell>
          <cell r="B3806">
            <v>17848.88</v>
          </cell>
        </row>
        <row r="3807">
          <cell r="A3807">
            <v>43066</v>
          </cell>
          <cell r="B3807">
            <v>17852.599999999999</v>
          </cell>
        </row>
        <row r="3808">
          <cell r="A3808">
            <v>43067</v>
          </cell>
          <cell r="B3808">
            <v>17853.84</v>
          </cell>
        </row>
        <row r="3809">
          <cell r="A3809">
            <v>43068</v>
          </cell>
          <cell r="B3809">
            <v>17855.080000000002</v>
          </cell>
        </row>
        <row r="3810">
          <cell r="A3810">
            <v>43069</v>
          </cell>
          <cell r="B3810">
            <v>17856.32</v>
          </cell>
        </row>
        <row r="3811">
          <cell r="A3811">
            <v>43070</v>
          </cell>
          <cell r="B3811">
            <v>17857.560000000001</v>
          </cell>
        </row>
        <row r="3812">
          <cell r="A3812">
            <v>43073</v>
          </cell>
          <cell r="B3812">
            <v>17861.28</v>
          </cell>
        </row>
        <row r="3813">
          <cell r="A3813">
            <v>43074</v>
          </cell>
          <cell r="B3813">
            <v>17862.52</v>
          </cell>
        </row>
        <row r="3814">
          <cell r="A3814">
            <v>43075</v>
          </cell>
          <cell r="B3814">
            <v>17863.759999999998</v>
          </cell>
        </row>
        <row r="3815">
          <cell r="A3815">
            <v>43076</v>
          </cell>
          <cell r="B3815">
            <v>17865</v>
          </cell>
        </row>
        <row r="3816">
          <cell r="A3816">
            <v>43080</v>
          </cell>
          <cell r="B3816">
            <v>17869.96</v>
          </cell>
        </row>
        <row r="3817">
          <cell r="A3817">
            <v>43081</v>
          </cell>
          <cell r="B3817">
            <v>17871.2</v>
          </cell>
        </row>
        <row r="3818">
          <cell r="A3818">
            <v>43082</v>
          </cell>
          <cell r="B3818">
            <v>17872.439999999999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46F2-6D63-493D-AC91-397FF9D6D5E4}">
  <dimension ref="A2:A4"/>
  <sheetViews>
    <sheetView showGridLines="0" workbookViewId="0">
      <selection activeCell="D9" sqref="D9"/>
    </sheetView>
  </sheetViews>
  <sheetFormatPr baseColWidth="10" defaultRowHeight="14.4"/>
  <cols>
    <col min="1" max="1" width="68.33203125" customWidth="1"/>
  </cols>
  <sheetData>
    <row r="2" spans="1:1" ht="68.400000000000006">
      <c r="A2" s="86" t="s">
        <v>70</v>
      </c>
    </row>
    <row r="3" spans="1:1" ht="16.8">
      <c r="A3" s="86"/>
    </row>
    <row r="4" spans="1:1" ht="18.600000000000001">
      <c r="A4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3"/>
  <sheetViews>
    <sheetView showGridLines="0" tabSelected="1" topLeftCell="U1" zoomScale="90" zoomScaleNormal="90" workbookViewId="0">
      <pane ySplit="2" topLeftCell="A17" activePane="bottomLeft" state="frozen"/>
      <selection pane="bottomLeft" activeCell="H232" sqref="H232"/>
    </sheetView>
  </sheetViews>
  <sheetFormatPr baseColWidth="10" defaultColWidth="12.33203125" defaultRowHeight="14.4"/>
  <cols>
    <col min="1" max="1" width="14.6640625" style="9" customWidth="1"/>
    <col min="2" max="2" width="16.88671875" style="9" bestFit="1" customWidth="1"/>
    <col min="3" max="4" width="12.33203125" style="9" bestFit="1" customWidth="1"/>
    <col min="5" max="5" width="12.33203125" style="9"/>
    <col min="6" max="6" width="16.109375" style="9" customWidth="1"/>
    <col min="7" max="7" width="14.44140625" style="10" customWidth="1"/>
    <col min="8" max="8" width="14.109375" style="10" bestFit="1" customWidth="1"/>
    <col min="9" max="9" width="12.33203125" style="11" bestFit="1" customWidth="1"/>
    <col min="10" max="10" width="12.33203125" style="9" bestFit="1" customWidth="1"/>
    <col min="11" max="11" width="12.88671875" style="9" bestFit="1" customWidth="1"/>
    <col min="12" max="12" width="12.33203125" style="9" bestFit="1" customWidth="1"/>
    <col min="13" max="15" width="11.88671875" style="9" bestFit="1" customWidth="1"/>
    <col min="16" max="16" width="15.44140625" style="9" bestFit="1" customWidth="1"/>
    <col min="17" max="18" width="11.88671875" style="9" bestFit="1" customWidth="1"/>
    <col min="19" max="19" width="17.109375" style="9" customWidth="1"/>
    <col min="20" max="24" width="11.88671875" style="9" bestFit="1" customWidth="1"/>
    <col min="25" max="25" width="12.33203125" style="9" bestFit="1" customWidth="1"/>
    <col min="26" max="26" width="11.5546875" style="9" bestFit="1" customWidth="1"/>
    <col min="27" max="27" width="10.88671875" style="9" bestFit="1" customWidth="1"/>
    <col min="28" max="28" width="5.5546875" style="9" bestFit="1" customWidth="1"/>
    <col min="29" max="29" width="6.109375" style="9" customWidth="1"/>
    <col min="30" max="30" width="10.5546875" style="9" bestFit="1" customWidth="1"/>
    <col min="31" max="31" width="7.6640625" style="9" bestFit="1" customWidth="1"/>
    <col min="32" max="32" width="7.33203125" style="9" bestFit="1" customWidth="1"/>
    <col min="33" max="33" width="8.33203125" style="9" customWidth="1"/>
    <col min="34" max="34" width="7.44140625" style="9" customWidth="1"/>
    <col min="35" max="35" width="7.88671875" style="9" customWidth="1"/>
    <col min="36" max="37" width="7.33203125" style="9" bestFit="1" customWidth="1"/>
    <col min="38" max="38" width="8.44140625" style="9" bestFit="1" customWidth="1"/>
    <col min="39" max="39" width="7.21875" style="9" customWidth="1"/>
    <col min="40" max="40" width="7.5546875" style="9" bestFit="1" customWidth="1"/>
    <col min="41" max="41" width="7.21875" style="9" customWidth="1"/>
    <col min="42" max="42" width="7.44140625" style="9" customWidth="1"/>
    <col min="43" max="43" width="8.33203125" style="9" bestFit="1" customWidth="1"/>
    <col min="44" max="44" width="3.88671875" style="9" customWidth="1"/>
    <col min="45" max="45" width="11.6640625" style="9" customWidth="1"/>
    <col min="46" max="46" width="12.33203125" style="9"/>
    <col min="47" max="47" width="12.6640625" style="9" customWidth="1"/>
    <col min="48" max="48" width="11.6640625" style="9" customWidth="1"/>
    <col min="49" max="49" width="14.33203125" style="9" bestFit="1" customWidth="1"/>
    <col min="50" max="50" width="14" style="9" customWidth="1"/>
    <col min="51" max="51" width="14.88671875" style="9" customWidth="1"/>
    <col min="52" max="52" width="14.5546875" style="9" customWidth="1"/>
    <col min="53" max="54" width="15.44140625" style="9" customWidth="1"/>
    <col min="55" max="16384" width="12.33203125" style="9"/>
  </cols>
  <sheetData>
    <row r="1" spans="1:45">
      <c r="A1" s="9" t="s">
        <v>33</v>
      </c>
      <c r="F1" s="9" t="s">
        <v>34</v>
      </c>
      <c r="AC1" s="12"/>
      <c r="AD1" s="13" t="s">
        <v>23</v>
      </c>
      <c r="AE1" s="14" t="s">
        <v>10</v>
      </c>
      <c r="AF1" s="14" t="s">
        <v>11</v>
      </c>
      <c r="AG1" s="14" t="s">
        <v>12</v>
      </c>
      <c r="AH1" s="14" t="s">
        <v>13</v>
      </c>
      <c r="AI1" s="14" t="s">
        <v>14</v>
      </c>
      <c r="AJ1" s="14" t="s">
        <v>15</v>
      </c>
      <c r="AK1" s="14" t="s">
        <v>16</v>
      </c>
      <c r="AL1" s="14" t="s">
        <v>17</v>
      </c>
      <c r="AM1" s="14" t="s">
        <v>18</v>
      </c>
      <c r="AN1" s="14" t="s">
        <v>19</v>
      </c>
      <c r="AO1" s="14" t="s">
        <v>20</v>
      </c>
      <c r="AP1" s="14" t="s">
        <v>21</v>
      </c>
      <c r="AQ1" s="14" t="s">
        <v>22</v>
      </c>
      <c r="AR1" s="15"/>
      <c r="AS1" s="15"/>
    </row>
    <row r="2" spans="1:45">
      <c r="A2" s="16" t="s">
        <v>35</v>
      </c>
      <c r="B2" s="16" t="s">
        <v>23</v>
      </c>
      <c r="C2" s="16"/>
      <c r="D2" s="16" t="s">
        <v>36</v>
      </c>
      <c r="E2" s="16"/>
      <c r="F2" s="16"/>
      <c r="G2" s="17"/>
      <c r="H2" s="17"/>
      <c r="J2" s="9" t="s">
        <v>42</v>
      </c>
      <c r="K2" s="18" t="s">
        <v>44</v>
      </c>
      <c r="L2" s="19"/>
      <c r="M2" s="9" t="s">
        <v>37</v>
      </c>
      <c r="P2" s="9" t="s">
        <v>10</v>
      </c>
      <c r="Q2" s="9" t="s">
        <v>11</v>
      </c>
      <c r="R2" s="9" t="s">
        <v>12</v>
      </c>
      <c r="S2" s="9" t="s">
        <v>13</v>
      </c>
      <c r="T2" s="9" t="s">
        <v>14</v>
      </c>
      <c r="U2" s="9" t="s">
        <v>15</v>
      </c>
      <c r="V2" s="9" t="s">
        <v>16</v>
      </c>
      <c r="W2" s="9" t="s">
        <v>17</v>
      </c>
      <c r="X2" s="9" t="s">
        <v>18</v>
      </c>
      <c r="Y2" s="9" t="s">
        <v>19</v>
      </c>
      <c r="Z2" s="9" t="s">
        <v>20</v>
      </c>
      <c r="AA2" s="9" t="s">
        <v>21</v>
      </c>
      <c r="AC2" s="12"/>
      <c r="AD2" s="20">
        <v>2006</v>
      </c>
      <c r="AE2" s="21">
        <v>3.8619062661483482E-3</v>
      </c>
      <c r="AF2" s="21">
        <v>3.7276908517308582E-3</v>
      </c>
      <c r="AG2" s="21">
        <v>3.8191881449593569E-3</v>
      </c>
      <c r="AH2" s="21">
        <v>3.8839147901074756E-3</v>
      </c>
      <c r="AI2" s="21">
        <v>4.1109659936119673E-3</v>
      </c>
      <c r="AJ2" s="21">
        <v>4.1131335559714266E-3</v>
      </c>
      <c r="AK2" s="21">
        <v>4.1574355911001525E-3</v>
      </c>
      <c r="AL2" s="21">
        <v>4.3020413975469376E-3</v>
      </c>
      <c r="AM2" s="21">
        <v>4.3552683430815734E-3</v>
      </c>
      <c r="AN2" s="21">
        <v>4.2992776993412002E-3</v>
      </c>
      <c r="AO2" s="21">
        <v>4.3800852009372448E-3</v>
      </c>
      <c r="AP2" s="21">
        <v>4.4653373674585772E-3</v>
      </c>
      <c r="AQ2" s="22">
        <f>AA3/N3-1</f>
        <v>5.1067547753429698E-2</v>
      </c>
      <c r="AR2" s="15"/>
      <c r="AS2" s="15"/>
    </row>
    <row r="3" spans="1:45">
      <c r="A3" s="23">
        <v>38717</v>
      </c>
      <c r="B3" s="24">
        <v>10953.14</v>
      </c>
      <c r="D3" s="25">
        <f t="shared" ref="D3:D66" si="0">B3/$B$3*100</f>
        <v>100</v>
      </c>
      <c r="E3" s="25"/>
      <c r="F3" s="25"/>
      <c r="K3" s="18"/>
      <c r="L3" s="19"/>
      <c r="N3" s="24">
        <f>B3</f>
        <v>10953.14</v>
      </c>
      <c r="O3" s="9">
        <v>2006</v>
      </c>
      <c r="P3" s="26">
        <v>10996.85</v>
      </c>
      <c r="Q3" s="26">
        <v>11035.11</v>
      </c>
      <c r="R3" s="26">
        <v>11078.66</v>
      </c>
      <c r="S3" s="26">
        <v>11118.82</v>
      </c>
      <c r="T3" s="26">
        <v>11169.1</v>
      </c>
      <c r="U3" s="26">
        <v>11215.04</v>
      </c>
      <c r="V3" s="26">
        <v>11263.22</v>
      </c>
      <c r="W3" s="26">
        <v>11313.29</v>
      </c>
      <c r="X3" s="26">
        <v>11360.92</v>
      </c>
      <c r="Y3" s="26">
        <v>11413.02</v>
      </c>
      <c r="Z3" s="26">
        <v>11463.01</v>
      </c>
      <c r="AA3" s="26">
        <v>11512.49</v>
      </c>
      <c r="AC3" s="12"/>
      <c r="AD3" s="27">
        <v>2007</v>
      </c>
      <c r="AE3" s="21">
        <v>4.3225780316538927E-3</v>
      </c>
      <c r="AF3" s="21">
        <v>4.2098608371605416E-3</v>
      </c>
      <c r="AG3" s="21">
        <v>4.2040252551520663E-3</v>
      </c>
      <c r="AH3" s="21">
        <v>4.2389279307565274E-3</v>
      </c>
      <c r="AI3" s="21">
        <v>4.2303563430751683E-3</v>
      </c>
      <c r="AJ3" s="21">
        <v>4.2605939294319117E-3</v>
      </c>
      <c r="AK3" s="21">
        <v>4.3096223151768004E-3</v>
      </c>
      <c r="AL3" s="21">
        <v>4.5628470404002561E-3</v>
      </c>
      <c r="AM3" s="21">
        <v>4.7745938764419994E-3</v>
      </c>
      <c r="AN3" s="21">
        <v>4.8044620387907326E-3</v>
      </c>
      <c r="AO3" s="21">
        <v>4.8135627009113779E-3</v>
      </c>
      <c r="AP3" s="21">
        <v>4.4599720508417809E-3</v>
      </c>
      <c r="AQ3" s="29">
        <f t="shared" ref="AQ3:AQ11" si="1">AA4/AA3-1</f>
        <v>5.5601351228101059E-2</v>
      </c>
      <c r="AR3" s="15"/>
      <c r="AS3" s="15"/>
    </row>
    <row r="4" spans="1:45">
      <c r="A4" s="30">
        <v>38748</v>
      </c>
      <c r="B4" s="26">
        <v>10996.85</v>
      </c>
      <c r="C4" s="31">
        <f>(B4/B3-1)/(A4-A3)*30</f>
        <v>3.8619062661483482E-3</v>
      </c>
      <c r="D4" s="25">
        <f t="shared" si="0"/>
        <v>100.39906364750199</v>
      </c>
      <c r="E4" s="25"/>
      <c r="F4" s="25"/>
      <c r="K4" s="18" t="s">
        <v>43</v>
      </c>
      <c r="L4" s="19"/>
      <c r="O4" s="9">
        <v>2007</v>
      </c>
      <c r="P4" s="26">
        <v>11567.23</v>
      </c>
      <c r="Q4" s="26">
        <v>11612.68</v>
      </c>
      <c r="R4" s="26">
        <v>11661.5</v>
      </c>
      <c r="S4" s="26">
        <v>11712.58</v>
      </c>
      <c r="T4" s="26">
        <v>11763.78</v>
      </c>
      <c r="U4" s="26">
        <v>11812.23</v>
      </c>
      <c r="V4" s="26">
        <v>11866.53</v>
      </c>
      <c r="W4" s="26">
        <v>11922.48</v>
      </c>
      <c r="X4" s="26">
        <v>11975.61</v>
      </c>
      <c r="Y4" s="26">
        <v>12038.9</v>
      </c>
      <c r="Z4" s="26">
        <v>12096.85</v>
      </c>
      <c r="AA4" s="26">
        <v>12152.6</v>
      </c>
      <c r="AC4" s="12"/>
      <c r="AD4" s="20">
        <v>2008</v>
      </c>
      <c r="AE4" s="21">
        <v>5.6172766427787044E-3</v>
      </c>
      <c r="AF4" s="21">
        <v>5.2252502644361907E-3</v>
      </c>
      <c r="AG4" s="21">
        <v>5.2440545324954563E-3</v>
      </c>
      <c r="AH4" s="21">
        <v>5.2406802440199129E-3</v>
      </c>
      <c r="AI4" s="21">
        <v>5.2592665376951508E-3</v>
      </c>
      <c r="AJ4" s="21">
        <v>5.4855467408899648E-3</v>
      </c>
      <c r="AK4" s="21">
        <v>5.9110432324413755E-3</v>
      </c>
      <c r="AL4" s="21">
        <v>6.203341487409488E-3</v>
      </c>
      <c r="AM4" s="21">
        <v>6.812477026092098E-3</v>
      </c>
      <c r="AN4" s="21">
        <v>6.6865731237118345E-3</v>
      </c>
      <c r="AO4" s="21">
        <v>7.1143807722579E-3</v>
      </c>
      <c r="AP4" s="21">
        <v>6.6862802225647385E-3</v>
      </c>
      <c r="AQ4" s="22">
        <f t="shared" si="1"/>
        <v>7.5188025607688891E-2</v>
      </c>
      <c r="AR4" s="15"/>
      <c r="AS4" s="15"/>
    </row>
    <row r="5" spans="1:45">
      <c r="A5" s="23">
        <v>38776</v>
      </c>
      <c r="B5" s="26">
        <v>11035.11</v>
      </c>
      <c r="C5" s="31">
        <f t="shared" ref="C5:C68" si="2">(B5/B4-1)/(A5-A4)*30</f>
        <v>3.7276908517308582E-3</v>
      </c>
      <c r="D5" s="25">
        <f t="shared" si="0"/>
        <v>100.74836987384441</v>
      </c>
      <c r="E5" s="25"/>
      <c r="F5" s="25"/>
      <c r="O5" s="9">
        <v>2008</v>
      </c>
      <c r="P5" s="26">
        <v>12223.14</v>
      </c>
      <c r="Q5" s="26">
        <v>12284.88</v>
      </c>
      <c r="R5" s="26">
        <v>12351.45</v>
      </c>
      <c r="S5" s="26">
        <v>12416.18</v>
      </c>
      <c r="T5" s="26">
        <v>12481.48</v>
      </c>
      <c r="U5" s="26">
        <v>12552.23</v>
      </c>
      <c r="V5" s="26">
        <v>12628.9</v>
      </c>
      <c r="W5" s="26">
        <v>12704.63</v>
      </c>
      <c r="X5" s="26">
        <v>12796.95</v>
      </c>
      <c r="Y5" s="26">
        <v>12885.37</v>
      </c>
      <c r="Z5" s="26">
        <v>12970.93</v>
      </c>
      <c r="AA5" s="26">
        <v>13066.33</v>
      </c>
      <c r="AC5" s="12"/>
      <c r="AD5" s="27">
        <v>2009</v>
      </c>
      <c r="AE5" s="21">
        <v>6.492259111778198E-3</v>
      </c>
      <c r="AF5" s="21">
        <v>4.9639836225202315E-3</v>
      </c>
      <c r="AG5" s="21">
        <v>2.773737917316707E-3</v>
      </c>
      <c r="AH5" s="21">
        <v>1.6179691167126364E-3</v>
      </c>
      <c r="AI5" s="21">
        <v>1.1176755424791784E-3</v>
      </c>
      <c r="AJ5" s="21">
        <v>8.5516175257552285E-4</v>
      </c>
      <c r="AK5" s="21">
        <v>4.5552508264703405E-4</v>
      </c>
      <c r="AL5" s="21">
        <v>3.4402873995243246E-4</v>
      </c>
      <c r="AM5" s="21">
        <v>3.7415280310315602E-4</v>
      </c>
      <c r="AN5" s="21">
        <v>3.522329995007123E-4</v>
      </c>
      <c r="AO5" s="21">
        <v>3.4656299839617581E-4</v>
      </c>
      <c r="AP5" s="21">
        <v>3.6241724896941336E-4</v>
      </c>
      <c r="AQ5" s="29">
        <f t="shared" si="1"/>
        <v>2.0141080165585912E-2</v>
      </c>
      <c r="AR5" s="15"/>
      <c r="AS5" s="15"/>
    </row>
    <row r="6" spans="1:45">
      <c r="A6" s="23">
        <v>38807</v>
      </c>
      <c r="B6" s="26">
        <v>11078.66</v>
      </c>
      <c r="C6" s="31">
        <f t="shared" si="2"/>
        <v>3.8191881449593569E-3</v>
      </c>
      <c r="D6" s="25">
        <f t="shared" si="0"/>
        <v>101.14597275301878</v>
      </c>
      <c r="E6" s="25"/>
      <c r="F6" s="25"/>
      <c r="O6" s="9">
        <v>2009</v>
      </c>
      <c r="P6" s="26">
        <v>13151.16</v>
      </c>
      <c r="Q6" s="26">
        <v>13212.09</v>
      </c>
      <c r="R6" s="26">
        <v>13251.18</v>
      </c>
      <c r="S6" s="26">
        <v>13272.62</v>
      </c>
      <c r="T6" s="26">
        <v>13286.96</v>
      </c>
      <c r="U6" s="26">
        <v>13299.08</v>
      </c>
      <c r="V6" s="26">
        <v>13305.34</v>
      </c>
      <c r="W6" s="26">
        <v>13310.07</v>
      </c>
      <c r="X6" s="26">
        <v>13315.05</v>
      </c>
      <c r="Y6" s="26">
        <v>13319.74</v>
      </c>
      <c r="Z6" s="26">
        <v>13324.51</v>
      </c>
      <c r="AA6" s="26">
        <v>13329.5</v>
      </c>
      <c r="AC6" s="12"/>
      <c r="AD6" s="20">
        <v>2010</v>
      </c>
      <c r="AE6" s="21">
        <v>3.6864046689279314E-4</v>
      </c>
      <c r="AF6" s="21">
        <v>3.4390492796473486E-4</v>
      </c>
      <c r="AG6" s="21">
        <v>3.58496639571185E-4</v>
      </c>
      <c r="AH6" s="21">
        <v>3.6271554033739939E-4</v>
      </c>
      <c r="AI6" s="21">
        <v>3.5306269076350988E-4</v>
      </c>
      <c r="AJ6" s="21">
        <v>5.5416183023182519E-4</v>
      </c>
      <c r="AK6" s="21">
        <v>9.7972441976224012E-4</v>
      </c>
      <c r="AL6" s="21">
        <v>1.4874955043334137E-3</v>
      </c>
      <c r="AM6" s="21">
        <v>1.8349842966256527E-3</v>
      </c>
      <c r="AN6" s="21">
        <v>2.2277957944302094E-3</v>
      </c>
      <c r="AO6" s="21">
        <v>2.3931234194557449E-3</v>
      </c>
      <c r="AP6" s="21">
        <v>2.864534847917051E-3</v>
      </c>
      <c r="AQ6" s="22">
        <f t="shared" si="1"/>
        <v>1.4511422033834709E-2</v>
      </c>
      <c r="AR6" s="15"/>
      <c r="AS6" s="15"/>
    </row>
    <row r="7" spans="1:45">
      <c r="A7" s="23">
        <v>38835</v>
      </c>
      <c r="B7" s="26">
        <v>11118.82</v>
      </c>
      <c r="C7" s="31">
        <f t="shared" si="2"/>
        <v>3.8839147901074756E-3</v>
      </c>
      <c r="D7" s="25">
        <f t="shared" si="0"/>
        <v>101.51262560325168</v>
      </c>
      <c r="E7" s="25"/>
      <c r="F7" s="25"/>
      <c r="O7" s="9">
        <v>2010</v>
      </c>
      <c r="P7" s="26">
        <v>13334.25</v>
      </c>
      <c r="Q7" s="26">
        <v>13338.53</v>
      </c>
      <c r="R7" s="26">
        <v>13343.79</v>
      </c>
      <c r="S7" s="26">
        <v>13348.63</v>
      </c>
      <c r="T7" s="26">
        <v>13353.5</v>
      </c>
      <c r="U7" s="26">
        <v>13360.9</v>
      </c>
      <c r="V7" s="26">
        <v>13373.99</v>
      </c>
      <c r="W7" s="26">
        <v>13395.21</v>
      </c>
      <c r="X7" s="26">
        <v>13419.79</v>
      </c>
      <c r="Y7" s="26">
        <v>13448.69</v>
      </c>
      <c r="Z7" s="26">
        <v>13483.02</v>
      </c>
      <c r="AA7" s="26">
        <v>13522.93</v>
      </c>
      <c r="AC7" s="12"/>
      <c r="AD7" s="27">
        <v>2011</v>
      </c>
      <c r="AE7" s="21">
        <v>2.4467402237675485E-3</v>
      </c>
      <c r="AF7" s="21">
        <v>2.780299734962648E-3</v>
      </c>
      <c r="AG7" s="21">
        <v>3.1049363100028021E-3</v>
      </c>
      <c r="AH7" s="21">
        <v>3.5679117959807392E-3</v>
      </c>
      <c r="AI7" s="21">
        <v>3.982148573332886E-3</v>
      </c>
      <c r="AJ7" s="21">
        <v>4.2704129084656373E-3</v>
      </c>
      <c r="AK7" s="21">
        <v>4.3778935765055932E-3</v>
      </c>
      <c r="AL7" s="21">
        <v>4.3879691581331795E-3</v>
      </c>
      <c r="AM7" s="21">
        <v>4.3762921875212246E-3</v>
      </c>
      <c r="AN7" s="21">
        <v>3.9606511659252518E-3</v>
      </c>
      <c r="AO7" s="21">
        <v>4.8179867708308954E-3</v>
      </c>
      <c r="AP7" s="21">
        <v>4.3767676975265957E-3</v>
      </c>
      <c r="AQ7" s="29">
        <f t="shared" si="1"/>
        <v>4.8044321755714048E-2</v>
      </c>
      <c r="AR7" s="15"/>
      <c r="AS7" s="15"/>
    </row>
    <row r="8" spans="1:45">
      <c r="A8" s="23">
        <v>38868</v>
      </c>
      <c r="B8" s="26">
        <v>11169.1</v>
      </c>
      <c r="C8" s="31">
        <f t="shared" si="2"/>
        <v>4.1109659936119673E-3</v>
      </c>
      <c r="D8" s="25">
        <f t="shared" si="0"/>
        <v>101.97167205020661</v>
      </c>
      <c r="E8" s="25"/>
      <c r="F8" s="25"/>
      <c r="O8" s="9">
        <v>2011</v>
      </c>
      <c r="P8" s="26">
        <v>13557.12</v>
      </c>
      <c r="Q8" s="26">
        <v>13592.3</v>
      </c>
      <c r="R8" s="26">
        <v>13635.91</v>
      </c>
      <c r="S8" s="26">
        <v>13682.94</v>
      </c>
      <c r="T8" s="26">
        <v>13741.06</v>
      </c>
      <c r="U8" s="26">
        <v>13799.74</v>
      </c>
      <c r="V8" s="26">
        <v>13858.14</v>
      </c>
      <c r="W8" s="26">
        <v>13925.03</v>
      </c>
      <c r="X8" s="26">
        <v>13985.97</v>
      </c>
      <c r="Y8" s="26">
        <v>14043.21</v>
      </c>
      <c r="Z8" s="26">
        <v>14110.87</v>
      </c>
      <c r="AA8" s="26">
        <v>14172.63</v>
      </c>
      <c r="AC8" s="12"/>
      <c r="AD8" s="20">
        <v>2012</v>
      </c>
      <c r="AE8" s="21">
        <v>4.2169749016237462E-3</v>
      </c>
      <c r="AF8" s="21">
        <v>4.1629625818769339E-3</v>
      </c>
      <c r="AG8" s="21">
        <v>4.1745751790827068E-3</v>
      </c>
      <c r="AH8" s="21">
        <v>4.1714467537442316E-3</v>
      </c>
      <c r="AI8" s="21">
        <v>4.1850956217817379E-3</v>
      </c>
      <c r="AJ8" s="21">
        <v>4.1857911041577357E-3</v>
      </c>
      <c r="AK8" s="21">
        <v>4.1586034247079878E-3</v>
      </c>
      <c r="AL8" s="21">
        <v>4.1571396122181033E-3</v>
      </c>
      <c r="AM8" s="21">
        <v>4.1904825555606961E-3</v>
      </c>
      <c r="AN8" s="21">
        <v>4.192000023714196E-3</v>
      </c>
      <c r="AO8" s="21">
        <v>4.1802582536771826E-3</v>
      </c>
      <c r="AP8" s="21">
        <v>3.767906188910832E-3</v>
      </c>
      <c r="AQ8" s="22">
        <f t="shared" si="1"/>
        <v>5.190074107628595E-2</v>
      </c>
      <c r="AR8" s="15"/>
      <c r="AS8" s="15"/>
    </row>
    <row r="9" spans="1:45">
      <c r="A9" s="23">
        <v>38898</v>
      </c>
      <c r="B9" s="26">
        <v>11215.04</v>
      </c>
      <c r="C9" s="31">
        <f t="shared" si="2"/>
        <v>4.1131335559714266E-3</v>
      </c>
      <c r="D9" s="25">
        <f t="shared" si="0"/>
        <v>102.39109515627483</v>
      </c>
      <c r="E9" s="25"/>
      <c r="F9" s="25"/>
      <c r="O9" s="9">
        <v>2012</v>
      </c>
      <c r="P9" s="26">
        <v>14236.38</v>
      </c>
      <c r="Q9" s="26">
        <v>14293.67</v>
      </c>
      <c r="R9" s="26">
        <v>14353.34</v>
      </c>
      <c r="S9" s="26">
        <v>14415.21</v>
      </c>
      <c r="T9" s="26">
        <v>14477.55</v>
      </c>
      <c r="U9" s="26">
        <v>14536.13</v>
      </c>
      <c r="V9" s="26">
        <v>14600.61</v>
      </c>
      <c r="W9" s="26">
        <v>14663.33</v>
      </c>
      <c r="X9" s="26">
        <v>14720.68</v>
      </c>
      <c r="Y9" s="26">
        <v>14788.56</v>
      </c>
      <c r="Z9" s="26">
        <v>14850.38</v>
      </c>
      <c r="AA9" s="26">
        <v>14908.2</v>
      </c>
      <c r="AC9" s="12"/>
      <c r="AD9" s="27">
        <v>2013</v>
      </c>
      <c r="AE9" s="21">
        <v>4.5686050240374559E-3</v>
      </c>
      <c r="AF9" s="21">
        <v>4.1745326612116105E-3</v>
      </c>
      <c r="AG9" s="21">
        <v>4.0293873070195892E-3</v>
      </c>
      <c r="AH9" s="21">
        <v>4.3013617956598471E-3</v>
      </c>
      <c r="AI9" s="21">
        <v>4.1869113997177049E-3</v>
      </c>
      <c r="AJ9" s="21">
        <v>4.1758642922896348E-3</v>
      </c>
      <c r="AK9" s="21">
        <v>4.1935429783752035E-3</v>
      </c>
      <c r="AL9" s="21">
        <v>4.1770099093310087E-3</v>
      </c>
      <c r="AM9" s="21">
        <v>4.1760313493467392E-3</v>
      </c>
      <c r="AN9" s="21">
        <v>3.958804856991985E-3</v>
      </c>
      <c r="AO9" s="21">
        <v>4.037009780426537E-3</v>
      </c>
      <c r="AP9" s="21">
        <v>3.6395153140621889E-3</v>
      </c>
      <c r="AQ9" s="29">
        <f t="shared" si="1"/>
        <v>5.1480393340577635E-2</v>
      </c>
      <c r="AR9" s="15"/>
      <c r="AS9" s="15"/>
    </row>
    <row r="10" spans="1:45">
      <c r="A10" s="23">
        <v>38929</v>
      </c>
      <c r="B10" s="26">
        <v>11263.22</v>
      </c>
      <c r="C10" s="31">
        <f t="shared" si="2"/>
        <v>4.1574355911001525E-3</v>
      </c>
      <c r="D10" s="25">
        <f t="shared" si="0"/>
        <v>102.83096901892974</v>
      </c>
      <c r="E10" s="25"/>
      <c r="F10" s="25"/>
      <c r="O10" s="9">
        <v>2013</v>
      </c>
      <c r="P10" s="26">
        <v>14978.58</v>
      </c>
      <c r="Q10" s="26">
        <v>15036.94</v>
      </c>
      <c r="R10" s="26">
        <v>15095.51</v>
      </c>
      <c r="S10" s="26">
        <v>15164.77</v>
      </c>
      <c r="T10" s="26">
        <v>15230.38</v>
      </c>
      <c r="U10" s="26">
        <v>15289.74</v>
      </c>
      <c r="V10" s="26">
        <v>15360.27</v>
      </c>
      <c r="W10" s="26">
        <v>15424.43</v>
      </c>
      <c r="X10" s="26">
        <v>15490.99</v>
      </c>
      <c r="Y10" s="26">
        <v>15554.36</v>
      </c>
      <c r="Z10" s="26">
        <v>15615.06</v>
      </c>
      <c r="AA10" s="26">
        <v>15675.68</v>
      </c>
      <c r="AC10" s="12"/>
      <c r="AD10" s="20">
        <v>2014</v>
      </c>
      <c r="AE10" s="21">
        <v>3.8751212891769038E-3</v>
      </c>
      <c r="AF10" s="21">
        <v>3.6775267849482279E-3</v>
      </c>
      <c r="AG10" s="21">
        <v>3.4352835815568226E-3</v>
      </c>
      <c r="AH10" s="21">
        <v>3.3378489992446081E-3</v>
      </c>
      <c r="AI10" s="21">
        <v>3.3374356897462043E-3</v>
      </c>
      <c r="AJ10" s="21">
        <v>3.3379196282979163E-3</v>
      </c>
      <c r="AK10" s="21">
        <v>3.2430280488378181E-3</v>
      </c>
      <c r="AL10" s="21">
        <v>3.0506691872881088E-3</v>
      </c>
      <c r="AM10" s="21">
        <v>2.7827262259823987E-3</v>
      </c>
      <c r="AN10" s="21">
        <v>2.5447712138483617E-3</v>
      </c>
      <c r="AO10" s="21">
        <v>2.5957616712057874E-3</v>
      </c>
      <c r="AP10" s="21">
        <v>2.4283310664990391E-3</v>
      </c>
      <c r="AQ10" s="22">
        <f t="shared" si="1"/>
        <v>3.8774075510599859E-2</v>
      </c>
      <c r="AR10" s="15"/>
      <c r="AS10" s="15"/>
    </row>
    <row r="11" spans="1:45">
      <c r="A11" s="23">
        <v>38960</v>
      </c>
      <c r="B11" s="26">
        <v>11313.29</v>
      </c>
      <c r="C11" s="31">
        <f t="shared" si="2"/>
        <v>4.3020413975469376E-3</v>
      </c>
      <c r="D11" s="25">
        <f t="shared" si="0"/>
        <v>103.28809820745468</v>
      </c>
      <c r="E11" s="25"/>
      <c r="F11" s="25"/>
      <c r="O11" s="9">
        <v>2014</v>
      </c>
      <c r="P11" s="26">
        <v>15738.45</v>
      </c>
      <c r="Q11" s="26">
        <v>15792.47</v>
      </c>
      <c r="R11" s="26">
        <v>15848.53</v>
      </c>
      <c r="S11" s="26">
        <v>15901.43</v>
      </c>
      <c r="T11" s="26">
        <v>15954.5</v>
      </c>
      <c r="U11" s="26">
        <v>16009.53</v>
      </c>
      <c r="V11" s="26">
        <v>16063.18</v>
      </c>
      <c r="W11" s="26">
        <v>16110.55</v>
      </c>
      <c r="X11" s="26">
        <v>16158.37</v>
      </c>
      <c r="Y11" s="26">
        <v>16200.86</v>
      </c>
      <c r="Z11" s="26">
        <v>16240.11</v>
      </c>
      <c r="AA11" s="26">
        <v>16283.49</v>
      </c>
      <c r="AC11" s="12"/>
      <c r="AD11" s="27">
        <v>2015</v>
      </c>
      <c r="AE11" s="21">
        <v>2.5891255498666776E-3</v>
      </c>
      <c r="AF11" s="21">
        <v>2.5017599386766604E-3</v>
      </c>
      <c r="AG11" s="21">
        <v>2.5047712110351505E-3</v>
      </c>
      <c r="AH11" s="21">
        <v>2.5049535303691695E-3</v>
      </c>
      <c r="AI11" s="21">
        <v>2.5018390109991843E-3</v>
      </c>
      <c r="AJ11" s="21">
        <v>2.5023319466994237E-3</v>
      </c>
      <c r="AK11" s="21">
        <v>2.5012498444402483E-3</v>
      </c>
      <c r="AL11" s="21">
        <v>2.5006402429167945E-3</v>
      </c>
      <c r="AM11" s="21">
        <v>2.5057257397729238E-3</v>
      </c>
      <c r="AN11" s="21">
        <v>2.6027066708762536E-3</v>
      </c>
      <c r="AO11" s="21">
        <v>2.712097391237853E-3</v>
      </c>
      <c r="AP11" s="21">
        <v>2.7022069178693799E-3</v>
      </c>
      <c r="AQ11" s="29">
        <f t="shared" si="1"/>
        <v>3.1506145181407819E-2</v>
      </c>
      <c r="AR11" s="15"/>
      <c r="AS11" s="15"/>
    </row>
    <row r="12" spans="1:45">
      <c r="A12" s="23">
        <v>38989</v>
      </c>
      <c r="B12" s="26">
        <v>11360.92</v>
      </c>
      <c r="C12" s="31">
        <f t="shared" si="2"/>
        <v>4.3552683430815734E-3</v>
      </c>
      <c r="D12" s="25">
        <f t="shared" si="0"/>
        <v>103.72295067898338</v>
      </c>
      <c r="E12" s="25"/>
      <c r="F12" s="25"/>
      <c r="O12" s="9">
        <v>2015</v>
      </c>
      <c r="P12" s="26">
        <v>16325.65</v>
      </c>
      <c r="Q12" s="26">
        <v>16363.77</v>
      </c>
      <c r="R12" s="26">
        <v>16407.490000000002</v>
      </c>
      <c r="S12" s="26">
        <v>16448.59</v>
      </c>
      <c r="T12" s="26">
        <v>16488.37</v>
      </c>
      <c r="U12" s="26">
        <v>16532.38</v>
      </c>
      <c r="V12" s="26">
        <v>16575.11</v>
      </c>
      <c r="W12" s="26">
        <v>16617.939999999999</v>
      </c>
      <c r="X12" s="26">
        <v>16659.580000000002</v>
      </c>
      <c r="Y12" s="26">
        <v>16702.939999999999</v>
      </c>
      <c r="Z12" s="26">
        <v>16749.75</v>
      </c>
      <c r="AA12" s="26">
        <v>16796.52</v>
      </c>
      <c r="AC12" s="12"/>
      <c r="AD12" s="20">
        <v>2016</v>
      </c>
      <c r="AE12" s="21">
        <v>3.0221777466712088E-3</v>
      </c>
      <c r="AF12" s="21">
        <v>2.9206457001506431E-3</v>
      </c>
      <c r="AG12" s="21">
        <v>2.9210217016066354E-3</v>
      </c>
      <c r="AH12" s="21">
        <v>2.920186433719699E-3</v>
      </c>
      <c r="AI12" s="21">
        <v>2.9214010721807099E-3</v>
      </c>
      <c r="AJ12" s="21">
        <v>2.9205377918999353E-3</v>
      </c>
      <c r="AK12" s="21">
        <v>2.8984680399326843E-3</v>
      </c>
      <c r="AL12" s="21">
        <v>2.9428576055883799E-3</v>
      </c>
      <c r="AM12" s="21">
        <v>2.9201145489490266E-3</v>
      </c>
      <c r="AN12" s="21">
        <v>2.920905502770276E-3</v>
      </c>
      <c r="AO12" s="21">
        <v>2.9201880756000165E-3</v>
      </c>
      <c r="AP12" s="21">
        <v>2.9421140182199269E-3</v>
      </c>
      <c r="AQ12" s="22">
        <f>AA13/AA12-1</f>
        <v>3.6343837890229658E-2</v>
      </c>
      <c r="AR12" s="32"/>
      <c r="AS12" s="15"/>
    </row>
    <row r="13" spans="1:45">
      <c r="A13" s="23">
        <v>39021</v>
      </c>
      <c r="B13" s="26">
        <v>11413.02</v>
      </c>
      <c r="C13" s="31">
        <f t="shared" si="2"/>
        <v>4.2992776993412002E-3</v>
      </c>
      <c r="D13" s="25">
        <f t="shared" si="0"/>
        <v>104.19861336566501</v>
      </c>
      <c r="E13" s="25"/>
      <c r="F13" s="25"/>
      <c r="O13" s="9">
        <v>2016</v>
      </c>
      <c r="P13" s="26">
        <v>16845.59</v>
      </c>
      <c r="Q13" s="26">
        <v>16896.43</v>
      </c>
      <c r="R13" s="26">
        <v>16947.43</v>
      </c>
      <c r="S13" s="26">
        <v>16995.27</v>
      </c>
      <c r="T13" s="26">
        <v>17048.23</v>
      </c>
      <c r="U13" s="26">
        <v>17098.02</v>
      </c>
      <c r="V13" s="26">
        <v>17149.62</v>
      </c>
      <c r="W13" s="26">
        <v>17201.38</v>
      </c>
      <c r="X13" s="26">
        <v>17251.689999999999</v>
      </c>
      <c r="Y13" s="26">
        <f>+B133</f>
        <v>17303.68</v>
      </c>
      <c r="Z13" s="26">
        <f>+B134</f>
        <v>17354.21</v>
      </c>
      <c r="AA13" s="26">
        <f>+B135</f>
        <v>17406.97</v>
      </c>
      <c r="AC13" s="12"/>
      <c r="AD13" s="27">
        <v>2017</v>
      </c>
      <c r="AE13" s="21">
        <v>2.8031040661927633E-3</v>
      </c>
      <c r="AF13" s="21">
        <v>2.6801993719728829E-3</v>
      </c>
      <c r="AG13" s="21">
        <v>2.6149568157032219E-3</v>
      </c>
      <c r="AH13" s="21">
        <v>2.254912855054636E-3</v>
      </c>
      <c r="AI13" s="21">
        <v>2.3588404299198615E-3</v>
      </c>
      <c r="AJ13" s="21">
        <v>2.0872575760926271E-3</v>
      </c>
      <c r="AK13" s="21">
        <v>2.0869268384615313E-3</v>
      </c>
      <c r="AL13" s="21">
        <v>2.0846223682533241E-3</v>
      </c>
      <c r="AM13" s="21">
        <v>2.0825098076344695E-3</v>
      </c>
      <c r="AN13" s="21">
        <v>2.0882441238917289E-3</v>
      </c>
      <c r="AO13" s="21">
        <v>2.0859580844203585E-3</v>
      </c>
      <c r="AP13" s="21">
        <v>8.7364025734307325E-4</v>
      </c>
      <c r="AQ13" s="29">
        <f>AA14/AA13-1</f>
        <v>2.6740437882066592E-2</v>
      </c>
      <c r="AR13" s="32"/>
      <c r="AS13" s="15"/>
    </row>
    <row r="14" spans="1:45">
      <c r="A14" s="23">
        <v>39051</v>
      </c>
      <c r="B14" s="26">
        <v>11463.01</v>
      </c>
      <c r="C14" s="31">
        <f t="shared" si="2"/>
        <v>4.3800852009372448E-3</v>
      </c>
      <c r="D14" s="25">
        <f t="shared" si="0"/>
        <v>104.65501217002613</v>
      </c>
      <c r="E14" s="25"/>
      <c r="F14" s="25"/>
      <c r="O14" s="9">
        <v>2017</v>
      </c>
      <c r="P14" s="26">
        <f>+B136</f>
        <v>17457.39</v>
      </c>
      <c r="Q14" s="26">
        <f>+B137</f>
        <v>17501.060000000001</v>
      </c>
      <c r="R14" s="26">
        <f>+B138</f>
        <v>17548.349999999999</v>
      </c>
      <c r="S14" s="26">
        <f>+B139</f>
        <v>17587.919999999998</v>
      </c>
      <c r="T14" s="26">
        <f>+B140</f>
        <v>17630.79</v>
      </c>
      <c r="U14" s="26">
        <f>+$B141</f>
        <v>17667.59</v>
      </c>
      <c r="V14" s="26">
        <f>+$B142</f>
        <v>17705.689999999999</v>
      </c>
      <c r="W14" s="26">
        <f>+$B143</f>
        <v>17743.830000000002</v>
      </c>
      <c r="X14" s="26">
        <f>+$B144</f>
        <v>17780.7817</v>
      </c>
      <c r="Y14" s="26">
        <f>+$B145</f>
        <v>17819.150000000001</v>
      </c>
      <c r="Z14" s="26">
        <f>+$B146</f>
        <v>17856.32</v>
      </c>
      <c r="AA14" s="26">
        <f>+$B147</f>
        <v>17872.439999999999</v>
      </c>
      <c r="AC14" s="12"/>
      <c r="AD14" s="20">
        <v>2018</v>
      </c>
      <c r="AE14" s="21">
        <v>3.2943134432030716E-3</v>
      </c>
      <c r="AF14" s="21">
        <v>2.0809275906504988E-3</v>
      </c>
      <c r="AG14" s="21">
        <v>2.0854150905095488E-3</v>
      </c>
      <c r="AH14" s="21">
        <v>2.0781003652501351E-3</v>
      </c>
      <c r="AI14" s="21">
        <v>2.0712522575549652E-3</v>
      </c>
      <c r="AJ14" s="21">
        <v>2.0877493450983664E-3</v>
      </c>
      <c r="AK14" s="21">
        <v>2.0848194263996837E-3</v>
      </c>
      <c r="AL14" s="21">
        <v>2.0762076936710386E-3</v>
      </c>
      <c r="AM14" s="21">
        <v>2.0485069747047113E-3</v>
      </c>
      <c r="AN14" s="21">
        <v>2.2023201664069722E-3</v>
      </c>
      <c r="AO14" s="21">
        <v>2.2929957214921082E-3</v>
      </c>
      <c r="AP14" s="21">
        <v>2.2912892848953219E-3</v>
      </c>
      <c r="AQ14" s="22">
        <f>+AA15/AA14-1</f>
        <v>2.7430166222407459E-2</v>
      </c>
      <c r="AR14" s="32"/>
      <c r="AS14" s="15"/>
    </row>
    <row r="15" spans="1:45">
      <c r="A15" s="23">
        <v>39080</v>
      </c>
      <c r="B15" s="26">
        <v>11512.49</v>
      </c>
      <c r="C15" s="31">
        <f t="shared" si="2"/>
        <v>4.4653373674585772E-3</v>
      </c>
      <c r="D15" s="25">
        <f t="shared" si="0"/>
        <v>105.10675477534296</v>
      </c>
      <c r="E15" s="25"/>
      <c r="F15" s="25"/>
      <c r="O15" s="9">
        <v>2018</v>
      </c>
      <c r="P15" s="9">
        <f>+B148</f>
        <v>17933.28</v>
      </c>
      <c r="Q15" s="9">
        <f>+B149</f>
        <v>17968.11</v>
      </c>
      <c r="R15" s="9">
        <f>+B150</f>
        <v>18006.830000000002</v>
      </c>
      <c r="S15" s="9">
        <f>+B151</f>
        <v>18044.25</v>
      </c>
      <c r="T15" s="24">
        <f>+B152</f>
        <v>18082.87</v>
      </c>
      <c r="U15" s="25">
        <f>+B153</f>
        <v>18120.622499999998</v>
      </c>
      <c r="V15" s="24">
        <f>+B154</f>
        <v>18159.66</v>
      </c>
      <c r="W15" s="24">
        <f>+B155</f>
        <v>18198.62</v>
      </c>
      <c r="X15" s="24">
        <f>+B156</f>
        <v>18235.900000000001</v>
      </c>
      <c r="Y15" s="9">
        <f>+B157</f>
        <v>18277.400000000001</v>
      </c>
      <c r="Z15" s="25">
        <f>+B158</f>
        <v>18319.310000000001</v>
      </c>
      <c r="AA15" s="9">
        <f>+B159</f>
        <v>18362.684000000001</v>
      </c>
      <c r="AC15" s="12"/>
      <c r="AD15" s="20">
        <v>2019</v>
      </c>
      <c r="AE15" s="21">
        <v>2.3718860243080522E-3</v>
      </c>
      <c r="AF15" s="21">
        <f t="shared" ref="AF15:AF20" si="3">+Q16/P16-1</f>
        <v>2.2528627981024396E-3</v>
      </c>
      <c r="AG15" s="21">
        <f t="shared" ref="AG15:AO16" si="4">+R16/Q16-1</f>
        <v>2.583315446340162E-3</v>
      </c>
      <c r="AH15" s="21">
        <f t="shared" si="4"/>
        <v>2.5004298036095385E-3</v>
      </c>
      <c r="AI15" s="21">
        <f t="shared" si="4"/>
        <v>2.5858717030136091E-3</v>
      </c>
      <c r="AJ15" s="21">
        <f t="shared" si="4"/>
        <v>2.2209647453448333E-3</v>
      </c>
      <c r="AK15" s="21">
        <f t="shared" si="4"/>
        <v>2.1468084204265825E-3</v>
      </c>
      <c r="AL15" s="21">
        <f t="shared" si="4"/>
        <v>2.1550627640607445E-3</v>
      </c>
      <c r="AM15" s="21">
        <f t="shared" si="4"/>
        <v>1.7218390866022837E-3</v>
      </c>
      <c r="AN15" s="21">
        <f t="shared" si="4"/>
        <v>1.6715062388068525E-3</v>
      </c>
      <c r="AO15" s="21">
        <f t="shared" si="4"/>
        <v>1.4213812856365138E-3</v>
      </c>
      <c r="AP15" s="21">
        <f>+AA16/Z16-1</f>
        <v>1.4832905116739514E-3</v>
      </c>
      <c r="AQ15" s="22">
        <f t="shared" ref="AQ15:AQ21" si="5">+(AA16/AA15-1)/COUNTA(AE15:AP15)*12</f>
        <v>2.5486252445448665E-2</v>
      </c>
      <c r="AR15" s="32" t="s">
        <v>38</v>
      </c>
      <c r="AS15" s="15"/>
    </row>
    <row r="16" spans="1:45">
      <c r="A16" s="23">
        <v>39113</v>
      </c>
      <c r="B16" s="26">
        <v>11567.23</v>
      </c>
      <c r="C16" s="31">
        <f t="shared" si="2"/>
        <v>4.3225780316538927E-3</v>
      </c>
      <c r="D16" s="25">
        <f t="shared" si="0"/>
        <v>105.60652013943034</v>
      </c>
      <c r="E16" s="25"/>
      <c r="F16" s="25"/>
      <c r="O16" s="9">
        <v>2019</v>
      </c>
      <c r="P16" s="9">
        <f>+B160</f>
        <v>18407.689999999999</v>
      </c>
      <c r="Q16" s="9">
        <f>+B161</f>
        <v>18449.16</v>
      </c>
      <c r="R16" s="9">
        <f>+B162</f>
        <v>18496.82</v>
      </c>
      <c r="S16" s="9">
        <f>+B163</f>
        <v>18543.07</v>
      </c>
      <c r="T16" s="9">
        <f>+B164</f>
        <v>18591.02</v>
      </c>
      <c r="U16" s="9">
        <f>+B165</f>
        <v>18632.310000000001</v>
      </c>
      <c r="V16" s="9">
        <f>+B166</f>
        <v>18672.310000000001</v>
      </c>
      <c r="W16" s="9">
        <f>+B167</f>
        <v>18712.55</v>
      </c>
      <c r="X16" s="9">
        <f>+B168</f>
        <v>18744.77</v>
      </c>
      <c r="Y16" s="9">
        <f>+B169</f>
        <v>18776.101999999999</v>
      </c>
      <c r="Z16" s="9">
        <f>+B170</f>
        <v>18802.79</v>
      </c>
      <c r="AA16" s="9">
        <f>+B171</f>
        <v>18830.68</v>
      </c>
      <c r="AC16" s="12"/>
      <c r="AD16" s="20">
        <v>2020</v>
      </c>
      <c r="AE16" s="21">
        <f>+P17/AA16-1</f>
        <v>1.6558084997462252E-3</v>
      </c>
      <c r="AF16" s="21">
        <f t="shared" si="3"/>
        <v>1.3798586141557934E-3</v>
      </c>
      <c r="AG16" s="21">
        <f t="shared" ref="AG16:AH18" si="6">+R17/Q17-1</f>
        <v>1.1056451328672612E-3</v>
      </c>
      <c r="AH16" s="21">
        <f t="shared" si="6"/>
        <v>4.8443129828124043E-4</v>
      </c>
      <c r="AI16" s="21">
        <f t="shared" si="4"/>
        <v>3.8640591227490084E-4</v>
      </c>
      <c r="AJ16" s="21">
        <f t="shared" si="4"/>
        <v>3.904838194919158E-4</v>
      </c>
      <c r="AK16" s="21">
        <f t="shared" si="4"/>
        <v>4.2836098312815096E-4</v>
      </c>
      <c r="AL16" s="21">
        <f t="shared" ref="AL16" si="7">+W17/V17-1</f>
        <v>4.1973016893726012E-4</v>
      </c>
      <c r="AM16" s="21">
        <f t="shared" ref="AM16" si="8">+X17/W17-1</f>
        <v>3.9475024394830527E-4</v>
      </c>
      <c r="AN16" s="21">
        <f t="shared" si="4"/>
        <v>3.7243810326681448E-4</v>
      </c>
      <c r="AO16" s="21">
        <f t="shared" si="4"/>
        <v>3.2958520252091006E-4</v>
      </c>
      <c r="AP16" s="21">
        <f t="shared" ref="AP16" si="9">+AA17/Z17-1</f>
        <v>3.9010030849562227E-4</v>
      </c>
      <c r="AQ16" s="22">
        <f t="shared" si="5"/>
        <v>7.7639256787327415E-3</v>
      </c>
      <c r="AR16" s="32"/>
      <c r="AS16" s="15"/>
    </row>
    <row r="17" spans="1:56">
      <c r="A17" s="23">
        <v>39141</v>
      </c>
      <c r="B17" s="26">
        <v>11612.68</v>
      </c>
      <c r="C17" s="31">
        <f t="shared" si="2"/>
        <v>4.2098608371605416E-3</v>
      </c>
      <c r="D17" s="25">
        <f t="shared" si="0"/>
        <v>106.02146964249522</v>
      </c>
      <c r="E17" s="25"/>
      <c r="F17" s="25"/>
      <c r="O17" s="9">
        <v>2020</v>
      </c>
      <c r="P17" s="9">
        <f>+B172</f>
        <v>18861.86</v>
      </c>
      <c r="Q17" s="9">
        <f>+B173</f>
        <v>18887.886699999999</v>
      </c>
      <c r="R17" s="9">
        <f>+B174</f>
        <v>18908.77</v>
      </c>
      <c r="S17" s="9">
        <f>+B175</f>
        <v>18917.93</v>
      </c>
      <c r="T17" s="9">
        <f>+B176</f>
        <v>18925.240000000002</v>
      </c>
      <c r="U17" s="9">
        <f>+B177</f>
        <v>18932.63</v>
      </c>
      <c r="V17" s="9">
        <f>+B178</f>
        <v>18940.740000000002</v>
      </c>
      <c r="W17" s="9">
        <f>+B179</f>
        <v>18948.689999999999</v>
      </c>
      <c r="X17" s="9">
        <f>+B180</f>
        <v>18956.169999999998</v>
      </c>
      <c r="Y17" s="9">
        <f>+B181</f>
        <v>18963.23</v>
      </c>
      <c r="Z17" s="25">
        <f>+B182</f>
        <v>18969.48</v>
      </c>
      <c r="AA17" s="9">
        <f>+B183</f>
        <v>18976.88</v>
      </c>
      <c r="AC17" s="12"/>
      <c r="AD17" s="20">
        <v>2021</v>
      </c>
      <c r="AE17" s="21">
        <f>+P18/AA17-1</f>
        <v>2.7190981868452369E-4</v>
      </c>
      <c r="AF17" s="21">
        <f t="shared" si="3"/>
        <v>2.391734502720233E-4</v>
      </c>
      <c r="AG17" s="21">
        <f t="shared" si="6"/>
        <v>2.591303963113134E-4</v>
      </c>
      <c r="AH17" s="21">
        <f t="shared" si="6"/>
        <v>2.943422057235523E-4</v>
      </c>
      <c r="AI17" s="21">
        <f t="shared" ref="AI17:AP18" si="10">+T18/S18-1</f>
        <v>2.4266874558165341E-4</v>
      </c>
      <c r="AJ17" s="21">
        <f t="shared" si="10"/>
        <v>2.7260718777788462E-4</v>
      </c>
      <c r="AK17" s="21">
        <f t="shared" si="10"/>
        <v>5.0192351401157076E-4</v>
      </c>
      <c r="AL17" s="21">
        <f t="shared" si="10"/>
        <v>6.2893015614950976E-4</v>
      </c>
      <c r="AM17" s="21">
        <f t="shared" si="10"/>
        <v>1.2476101486305069E-3</v>
      </c>
      <c r="AN17" s="21">
        <f t="shared" si="10"/>
        <v>2.0716854607256696E-3</v>
      </c>
      <c r="AO17" s="21">
        <f t="shared" si="10"/>
        <v>2.1412569618350918E-3</v>
      </c>
      <c r="AP17" s="21">
        <f t="shared" si="10"/>
        <v>3.1851611422883952E-3</v>
      </c>
      <c r="AQ17" s="22">
        <f t="shared" si="5"/>
        <v>1.1410200201508403E-2</v>
      </c>
      <c r="AR17" s="32"/>
      <c r="AS17" s="15"/>
    </row>
    <row r="18" spans="1:56">
      <c r="A18" s="23">
        <v>39171</v>
      </c>
      <c r="B18" s="26">
        <v>11661.5</v>
      </c>
      <c r="C18" s="31">
        <f t="shared" si="2"/>
        <v>4.2040252551520663E-3</v>
      </c>
      <c r="D18" s="25">
        <f t="shared" si="0"/>
        <v>106.46718657846061</v>
      </c>
      <c r="E18" s="25"/>
      <c r="F18" s="25"/>
      <c r="O18" s="9">
        <v>2021</v>
      </c>
      <c r="P18" s="9">
        <f>+B184</f>
        <v>18982.04</v>
      </c>
      <c r="Q18" s="9">
        <f>+B185</f>
        <v>18986.580000000002</v>
      </c>
      <c r="R18" s="25">
        <f>+B186</f>
        <v>18991.5</v>
      </c>
      <c r="S18" s="9">
        <f>+B187</f>
        <v>18997.09</v>
      </c>
      <c r="T18" s="9">
        <f>+B188</f>
        <v>19001.7</v>
      </c>
      <c r="U18" s="9">
        <f>+B189</f>
        <v>19006.88</v>
      </c>
      <c r="V18" s="9">
        <f>+B190</f>
        <v>19016.419999999998</v>
      </c>
      <c r="W18" s="9">
        <f>+B191</f>
        <v>19028.38</v>
      </c>
      <c r="X18" s="9">
        <f>+B192</f>
        <v>19052.12</v>
      </c>
      <c r="Y18" s="9">
        <f>+B193</f>
        <v>19091.59</v>
      </c>
      <c r="Z18" s="9">
        <f>+B194</f>
        <v>19132.47</v>
      </c>
      <c r="AA18" s="9">
        <f>+B195</f>
        <v>19193.41</v>
      </c>
      <c r="AC18" s="12"/>
      <c r="AD18" s="20">
        <v>2022</v>
      </c>
      <c r="AE18" s="21">
        <f>+P19/AA18-1</f>
        <v>3.4355541823989366E-3</v>
      </c>
      <c r="AF18" s="21">
        <f t="shared" si="3"/>
        <v>4.2862298052634973E-3</v>
      </c>
      <c r="AG18" s="21">
        <f t="shared" si="6"/>
        <v>4.8314798442756768E-3</v>
      </c>
      <c r="AH18" s="21">
        <f t="shared" si="6"/>
        <v>5.4524358964465058E-3</v>
      </c>
      <c r="AI18" s="21">
        <f t="shared" si="10"/>
        <v>7.1131325826505609E-3</v>
      </c>
      <c r="AJ18" s="21">
        <f t="shared" si="10"/>
        <v>7.3596364286758753E-3</v>
      </c>
      <c r="AK18" s="21">
        <f t="shared" ref="AK18" si="11">+V19/U19-1</f>
        <v>7.5893460632852072E-3</v>
      </c>
      <c r="AL18" s="21">
        <f t="shared" ref="AL18" si="12">+W19/V19-1</f>
        <v>8.9759416728991681E-3</v>
      </c>
      <c r="AM18" s="21">
        <f t="shared" si="10"/>
        <v>8.7998364667287721E-3</v>
      </c>
      <c r="AN18" s="21">
        <f t="shared" si="10"/>
        <v>8.6030686179809912E-3</v>
      </c>
      <c r="AO18" s="21">
        <f t="shared" si="10"/>
        <v>1.036123897948027E-2</v>
      </c>
      <c r="AP18" s="21">
        <f t="shared" si="10"/>
        <v>9.416651222412753E-3</v>
      </c>
      <c r="AQ18" s="22">
        <f t="shared" si="5"/>
        <v>8.9685991181348346E-2</v>
      </c>
      <c r="AR18" s="32"/>
      <c r="AS18" s="15"/>
      <c r="AV18" s="34"/>
      <c r="AW18" s="34"/>
      <c r="AX18" s="34">
        <v>-1</v>
      </c>
      <c r="AY18" s="34">
        <v>-3</v>
      </c>
      <c r="AZ18" s="34">
        <v>-6</v>
      </c>
      <c r="BA18" s="34">
        <v>-12</v>
      </c>
      <c r="BB18" s="34"/>
    </row>
    <row r="19" spans="1:56">
      <c r="A19" s="23">
        <v>39202</v>
      </c>
      <c r="B19" s="26">
        <v>11712.58</v>
      </c>
      <c r="C19" s="31">
        <f t="shared" si="2"/>
        <v>4.2389279307565274E-3</v>
      </c>
      <c r="D19" s="25">
        <f t="shared" si="0"/>
        <v>106.93353686705365</v>
      </c>
      <c r="E19" s="25"/>
      <c r="F19" s="25"/>
      <c r="O19" s="9">
        <v>2022</v>
      </c>
      <c r="P19" s="9">
        <f>+B196</f>
        <v>19259.349999999999</v>
      </c>
      <c r="Q19" s="25">
        <f>+B197</f>
        <v>19341.900000000001</v>
      </c>
      <c r="R19" s="25">
        <f>+B198</f>
        <v>19435.349999999999</v>
      </c>
      <c r="S19" s="9">
        <f>+B199</f>
        <v>19541.32</v>
      </c>
      <c r="T19" s="9">
        <f>+B200</f>
        <v>19680.32</v>
      </c>
      <c r="U19" s="9">
        <f>+B201</f>
        <v>19825.16</v>
      </c>
      <c r="V19" s="9">
        <f>+B202</f>
        <v>19975.62</v>
      </c>
      <c r="W19" s="9">
        <f>+B203</f>
        <v>20154.919999999998</v>
      </c>
      <c r="X19" s="9">
        <f>+B204</f>
        <v>20332.28</v>
      </c>
      <c r="Y19" s="9">
        <f>+B205</f>
        <v>20507.2</v>
      </c>
      <c r="Z19" s="9">
        <f>+B206</f>
        <v>20719.68</v>
      </c>
      <c r="AA19" s="9">
        <f>+B207</f>
        <v>20914.79</v>
      </c>
      <c r="AC19" s="12"/>
      <c r="AD19" s="20">
        <v>2023</v>
      </c>
      <c r="AE19" s="21">
        <f>+P20/AA19-1</f>
        <v>1.004695720110016E-2</v>
      </c>
      <c r="AF19" s="21">
        <f t="shared" si="3"/>
        <v>8.7853587137844968E-3</v>
      </c>
      <c r="AG19" s="21">
        <f t="shared" ref="AG19:AP19" si="13">+R20/Q20-1</f>
        <v>9.7318177744223355E-3</v>
      </c>
      <c r="AH19" s="21">
        <f t="shared" si="13"/>
        <v>8.7852439132070081E-3</v>
      </c>
      <c r="AI19" s="21">
        <f t="shared" si="13"/>
        <v>1.036166313630571E-2</v>
      </c>
      <c r="AJ19" s="21">
        <f t="shared" si="13"/>
        <v>9.4150701308506335E-3</v>
      </c>
      <c r="AK19" s="21">
        <f t="shared" si="13"/>
        <v>9.7315292241744178E-3</v>
      </c>
      <c r="AL19" s="21">
        <f t="shared" si="13"/>
        <v>8.8633739513521714E-3</v>
      </c>
      <c r="AM19" s="21">
        <f t="shared" si="13"/>
        <v>7.7953451413450559E-3</v>
      </c>
      <c r="AN19" s="21">
        <f t="shared" si="13"/>
        <v>8.4601535041790576E-3</v>
      </c>
      <c r="AO19" s="21">
        <f t="shared" si="13"/>
        <v>7.5266143106456074E-3</v>
      </c>
      <c r="AP19" s="21">
        <f t="shared" si="13"/>
        <v>7.0819499482732695E-3</v>
      </c>
      <c r="AQ19" s="22">
        <f t="shared" si="5"/>
        <v>0.11194279263621576</v>
      </c>
      <c r="AR19" s="32"/>
      <c r="AS19" s="15"/>
      <c r="AV19" s="36" t="s">
        <v>39</v>
      </c>
      <c r="AW19" s="70">
        <v>45688</v>
      </c>
      <c r="AX19" s="37">
        <f>EOMONTH($AW19,AX18)</f>
        <v>45657</v>
      </c>
      <c r="AY19" s="37">
        <f>EOMONTH($AW19,AY18)</f>
        <v>45596</v>
      </c>
      <c r="AZ19" s="37">
        <f>EOMONTH($AW19,AZ18)</f>
        <v>45504</v>
      </c>
      <c r="BA19" s="37">
        <f>EOMONTH($AW19,BA18)</f>
        <v>45322</v>
      </c>
      <c r="BB19" s="37">
        <v>43100</v>
      </c>
    </row>
    <row r="20" spans="1:56">
      <c r="A20" s="23">
        <v>39233</v>
      </c>
      <c r="B20" s="26">
        <v>11763.78</v>
      </c>
      <c r="C20" s="31">
        <f t="shared" si="2"/>
        <v>4.2303563430751683E-3</v>
      </c>
      <c r="D20" s="25">
        <f t="shared" si="0"/>
        <v>107.40098273189243</v>
      </c>
      <c r="E20" s="25"/>
      <c r="F20" s="25"/>
      <c r="O20" s="9">
        <v>2023</v>
      </c>
      <c r="P20" s="9">
        <f>+B208</f>
        <v>21124.92</v>
      </c>
      <c r="Q20" s="25">
        <f>+B209</f>
        <v>21310.51</v>
      </c>
      <c r="R20" s="25">
        <f>+B210</f>
        <v>21517.9</v>
      </c>
      <c r="S20" s="9">
        <f>+B211</f>
        <v>21706.94</v>
      </c>
      <c r="T20" s="9">
        <f>+B212</f>
        <v>21931.86</v>
      </c>
      <c r="U20" s="9">
        <f>+B213</f>
        <v>22138.35</v>
      </c>
      <c r="V20" s="9">
        <f>+B214</f>
        <v>22353.79</v>
      </c>
      <c r="W20" s="9">
        <f>+B215</f>
        <v>22551.919999999998</v>
      </c>
      <c r="X20" s="9">
        <f>+B216</f>
        <v>22727.72</v>
      </c>
      <c r="Y20" s="25">
        <f>+B217</f>
        <v>22920</v>
      </c>
      <c r="Z20" s="9">
        <f>+B218</f>
        <v>23092.51</v>
      </c>
      <c r="AA20" s="9">
        <f>+B219</f>
        <v>23256.05</v>
      </c>
      <c r="AC20" s="12"/>
      <c r="AD20" s="20">
        <v>2024</v>
      </c>
      <c r="AE20" s="21">
        <f>+P21/AA20-1</f>
        <v>7.3572253241631635E-3</v>
      </c>
      <c r="AF20" s="21">
        <f t="shared" si="3"/>
        <v>6.1121391206355735E-3</v>
      </c>
      <c r="AG20" s="21">
        <f t="shared" ref="AG20:AP20" si="14">+R21/Q21-1</f>
        <v>5.6473517140609442E-3</v>
      </c>
      <c r="AH20" s="21">
        <f t="shared" si="14"/>
        <v>6.0927839618283297E-3</v>
      </c>
      <c r="AI20" s="21">
        <f t="shared" si="14"/>
        <v>5.5141192903180869E-3</v>
      </c>
      <c r="AJ20" s="21">
        <f t="shared" si="14"/>
        <v>4.6135490632155385E-3</v>
      </c>
      <c r="AK20" s="21">
        <f t="shared" si="14"/>
        <v>5.2843503528434699E-3</v>
      </c>
      <c r="AL20" s="21">
        <f t="shared" si="14"/>
        <v>4.8023520375928275E-3</v>
      </c>
      <c r="AM20" s="21">
        <f t="shared" si="14"/>
        <v>4.7810434954138614E-3</v>
      </c>
      <c r="AN20" s="21">
        <f t="shared" si="14"/>
        <v>4.510440516418468E-3</v>
      </c>
      <c r="AO20" s="21">
        <f t="shared" si="14"/>
        <v>4.3843255475723986E-3</v>
      </c>
      <c r="AP20" s="21">
        <f t="shared" si="14"/>
        <v>4.4462641732778696E-3</v>
      </c>
      <c r="AQ20" s="22">
        <f t="shared" si="5"/>
        <v>6.5425125934971851E-2</v>
      </c>
      <c r="AR20" s="15"/>
      <c r="AV20" s="34" t="s">
        <v>23</v>
      </c>
      <c r="AW20" s="39">
        <f>LOOKUP(AW19,$A$3:$A$2971,$B$3:$B$2971)</f>
        <v>24887.95</v>
      </c>
      <c r="AX20" s="39">
        <f t="shared" ref="AX20:BB20" si="15">LOOKUP(AX19,$A$3:$A$2971,$B$3:$B$2971)</f>
        <v>24777.58</v>
      </c>
      <c r="AY20" s="39">
        <f t="shared" si="15"/>
        <v>24560.22</v>
      </c>
      <c r="AZ20" s="39">
        <f t="shared" si="15"/>
        <v>24217.3</v>
      </c>
      <c r="BA20" s="39">
        <f t="shared" si="15"/>
        <v>23427.15</v>
      </c>
      <c r="BB20" s="39">
        <f t="shared" si="15"/>
        <v>17872.439999999999</v>
      </c>
    </row>
    <row r="21" spans="1:56">
      <c r="A21" s="23">
        <v>39262</v>
      </c>
      <c r="B21" s="26">
        <v>11812.23</v>
      </c>
      <c r="C21" s="31">
        <f t="shared" si="2"/>
        <v>4.2605939294319117E-3</v>
      </c>
      <c r="D21" s="25">
        <f t="shared" si="0"/>
        <v>107.84332164110018</v>
      </c>
      <c r="E21" s="25"/>
      <c r="F21" s="25"/>
      <c r="O21" s="9">
        <v>2024</v>
      </c>
      <c r="P21" s="9">
        <f>+B220</f>
        <v>23427.15</v>
      </c>
      <c r="Q21" s="25">
        <f>+B221</f>
        <v>23570.34</v>
      </c>
      <c r="R21" s="25">
        <f>+B222</f>
        <v>23703.45</v>
      </c>
      <c r="S21" s="9">
        <f>+B223</f>
        <v>23847.87</v>
      </c>
      <c r="T21" s="9">
        <f>+B224</f>
        <v>23979.37</v>
      </c>
      <c r="U21" s="25">
        <f>+B225</f>
        <v>24090</v>
      </c>
      <c r="V21" s="9">
        <f>+B226</f>
        <v>24217.3</v>
      </c>
      <c r="W21" s="9">
        <f>+B227</f>
        <v>24333.599999999999</v>
      </c>
      <c r="X21" s="9">
        <f>+B228</f>
        <v>24449.94</v>
      </c>
      <c r="Y21" s="25">
        <f>+B229</f>
        <v>24560.22</v>
      </c>
      <c r="Z21" s="9">
        <f>+B230</f>
        <v>24667.9</v>
      </c>
      <c r="AA21" s="9">
        <f>+B231</f>
        <v>24777.58</v>
      </c>
      <c r="AC21" s="12"/>
      <c r="AD21" s="20">
        <v>2025</v>
      </c>
      <c r="AE21" s="21">
        <f>+P22/AA21-1</f>
        <v>4.4544301743754122E-3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2">
        <f>+(P22/AA21-1)/COUNTA(AE21:AP21)*12</f>
        <v>5.3453162092504947E-2</v>
      </c>
      <c r="AV21" s="34" t="s">
        <v>24</v>
      </c>
      <c r="AW21" s="39">
        <f>LOOKUP(AW19,$F$2:$F$2972,$K$2:$K$2972)</f>
        <v>6087.6761999999999</v>
      </c>
      <c r="AX21" s="39">
        <f t="shared" ref="AX21:BB21" si="16">LOOKUP(AX19,$F$2:$F$2972,$K$2:$K$2972)</f>
        <v>6069.3455000000004</v>
      </c>
      <c r="AY21" s="39">
        <f t="shared" si="16"/>
        <v>6030.3854000000001</v>
      </c>
      <c r="AZ21" s="39">
        <f t="shared" si="16"/>
        <v>5968.0190000000002</v>
      </c>
      <c r="BA21" s="39">
        <f t="shared" si="16"/>
        <v>5816.8769000000002</v>
      </c>
      <c r="BB21" s="39">
        <f t="shared" si="16"/>
        <v>4756.6531999999997</v>
      </c>
    </row>
    <row r="22" spans="1:56">
      <c r="A22" s="23">
        <v>39294</v>
      </c>
      <c r="B22" s="26">
        <v>11866.53</v>
      </c>
      <c r="C22" s="31">
        <f t="shared" si="2"/>
        <v>4.3096223151768004E-3</v>
      </c>
      <c r="D22" s="25">
        <f t="shared" si="0"/>
        <v>108.33906989228662</v>
      </c>
      <c r="E22" s="25"/>
      <c r="F22" s="25"/>
      <c r="O22" s="9">
        <v>2025</v>
      </c>
      <c r="P22" s="9">
        <f>+B232</f>
        <v>24887.95</v>
      </c>
      <c r="Q22" s="25"/>
      <c r="R22" s="25"/>
      <c r="U22" s="25"/>
      <c r="Y22" s="25"/>
      <c r="AD22" s="32" t="s">
        <v>49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V22" s="34" t="s">
        <v>46</v>
      </c>
      <c r="AW22" s="39">
        <f t="shared" ref="AW22:BB22" si="17">LOOKUP(AW19,$F$2:$F$2970,$H$2:$H$2970)</f>
        <v>1472.1525664673011</v>
      </c>
      <c r="AX22" s="39">
        <f t="shared" si="17"/>
        <v>1467.8712664673012</v>
      </c>
      <c r="AY22" s="39">
        <f t="shared" si="17"/>
        <v>1456.9857664673011</v>
      </c>
      <c r="AZ22" s="39">
        <f>LOOKUP(AZ19,$F$2:$F$2970,$H$2:$H$2970)</f>
        <v>1439.1922664673011</v>
      </c>
      <c r="BA22" s="39">
        <f t="shared" si="17"/>
        <v>1391.5702664673011</v>
      </c>
      <c r="BB22" s="39">
        <f t="shared" si="17"/>
        <v>1049.3022599999999</v>
      </c>
    </row>
    <row r="23" spans="1:56">
      <c r="A23" s="23">
        <v>39325</v>
      </c>
      <c r="B23" s="26">
        <v>11922.48</v>
      </c>
      <c r="C23" s="31">
        <f t="shared" si="2"/>
        <v>4.5628470404002561E-3</v>
      </c>
      <c r="D23" s="25">
        <f t="shared" si="0"/>
        <v>108.84988231685159</v>
      </c>
      <c r="E23" s="25"/>
      <c r="F23" s="25"/>
      <c r="P23" s="16">
        <v>31</v>
      </c>
      <c r="Q23" s="16">
        <v>28</v>
      </c>
      <c r="R23" s="16">
        <v>31</v>
      </c>
      <c r="S23" s="16">
        <v>30</v>
      </c>
      <c r="T23" s="16">
        <v>31</v>
      </c>
      <c r="U23" s="16">
        <v>30</v>
      </c>
      <c r="V23" s="16">
        <v>31</v>
      </c>
      <c r="W23" s="16">
        <v>31</v>
      </c>
      <c r="X23" s="16">
        <v>30</v>
      </c>
      <c r="Y23" s="16">
        <v>31</v>
      </c>
      <c r="Z23" s="16">
        <v>30</v>
      </c>
      <c r="AA23" s="16">
        <v>31</v>
      </c>
      <c r="AS23" s="15"/>
      <c r="AV23" s="34"/>
      <c r="AW23" s="34"/>
      <c r="AX23" s="34"/>
      <c r="AY23" s="34"/>
      <c r="AZ23" s="34"/>
      <c r="BA23" s="34"/>
      <c r="BB23" s="34"/>
    </row>
    <row r="24" spans="1:56">
      <c r="A24" s="23">
        <v>39353</v>
      </c>
      <c r="B24" s="26">
        <v>11975.61</v>
      </c>
      <c r="C24" s="31">
        <f t="shared" si="2"/>
        <v>4.7745938764419994E-3</v>
      </c>
      <c r="D24" s="25">
        <f t="shared" si="0"/>
        <v>109.33494869964231</v>
      </c>
      <c r="E24" s="25"/>
      <c r="F24" s="25"/>
      <c r="P24" s="16">
        <v>1</v>
      </c>
      <c r="Q24" s="16">
        <v>2</v>
      </c>
      <c r="R24" s="16">
        <v>3</v>
      </c>
      <c r="S24" s="16">
        <v>4</v>
      </c>
      <c r="T24" s="16">
        <v>5</v>
      </c>
      <c r="U24" s="16">
        <v>6</v>
      </c>
      <c r="V24" s="16">
        <v>7</v>
      </c>
      <c r="W24" s="16">
        <v>8</v>
      </c>
      <c r="X24" s="16">
        <v>9</v>
      </c>
      <c r="Y24" s="16">
        <v>10</v>
      </c>
      <c r="Z24" s="16">
        <v>11</v>
      </c>
      <c r="AA24" s="16">
        <v>12</v>
      </c>
      <c r="AR24" s="15"/>
      <c r="AS24" s="15"/>
    </row>
    <row r="25" spans="1:56">
      <c r="A25" s="23">
        <v>39386</v>
      </c>
      <c r="B25" s="26">
        <v>12038.9</v>
      </c>
      <c r="C25" s="31">
        <f t="shared" si="2"/>
        <v>4.8044620387907326E-3</v>
      </c>
      <c r="D25" s="25">
        <f t="shared" si="0"/>
        <v>109.91277387123692</v>
      </c>
      <c r="E25" s="25"/>
      <c r="F25" s="25"/>
      <c r="O25" s="38" t="s">
        <v>45</v>
      </c>
      <c r="P25" s="9" t="s">
        <v>10</v>
      </c>
      <c r="Q25" s="9" t="s">
        <v>11</v>
      </c>
      <c r="R25" s="9" t="s">
        <v>12</v>
      </c>
      <c r="S25" s="9" t="s">
        <v>13</v>
      </c>
      <c r="T25" s="9" t="s">
        <v>14</v>
      </c>
      <c r="U25" s="9" t="s">
        <v>15</v>
      </c>
      <c r="V25" s="9" t="s">
        <v>16</v>
      </c>
      <c r="W25" s="9" t="s">
        <v>17</v>
      </c>
      <c r="X25" s="9" t="s">
        <v>18</v>
      </c>
      <c r="Y25" s="9" t="s">
        <v>19</v>
      </c>
      <c r="Z25" s="9" t="s">
        <v>20</v>
      </c>
      <c r="AA25" s="9" t="s">
        <v>21</v>
      </c>
      <c r="AR25" s="32"/>
    </row>
    <row r="26" spans="1:56">
      <c r="A26" s="23">
        <v>39416</v>
      </c>
      <c r="B26" s="26">
        <v>12096.85</v>
      </c>
      <c r="C26" s="31">
        <f t="shared" si="2"/>
        <v>4.8135627009113779E-3</v>
      </c>
      <c r="D26" s="25">
        <f t="shared" si="0"/>
        <v>110.4418458998972</v>
      </c>
      <c r="E26" s="25"/>
      <c r="F26" s="25"/>
      <c r="O26" s="9">
        <v>2016</v>
      </c>
      <c r="P26" s="26"/>
      <c r="Q26" s="26"/>
      <c r="R26" s="26"/>
      <c r="S26" s="26"/>
      <c r="T26" s="63"/>
      <c r="U26" s="63">
        <f>LOOKUP(DATE($O26,U$24,U$23),$A$2:$A$2941,$I$2:$I$2941)</f>
        <v>1.7526521739131202E-3</v>
      </c>
      <c r="V26" s="63">
        <f>LOOKUP(DATE($O26,V$24,V$23),$A$2:$A$2941,$I$2:$I$2941)</f>
        <v>3.6926833027364141E-3</v>
      </c>
      <c r="W26" s="63">
        <f>LOOKUP(DATE($O26,W$24,W$23),$A$2:$A$2941,$I$2:$I$2941)</f>
        <v>2.7104852985946051E-3</v>
      </c>
      <c r="X26" s="63">
        <f>LOOKUP(DATE($O26,X$24,X$23),$A$2:$A$2941,$I$2:$I$2941)</f>
        <v>2.9014467451184967E-3</v>
      </c>
      <c r="Y26" s="63">
        <f>LOOKUP(DATE($O26,Y$24,Y$23),$A$2:$A$2941,$I$2:$I$2941)</f>
        <v>2.6079806300581495E-3</v>
      </c>
      <c r="Z26" s="63">
        <f>LOOKUP(DATE($O26,Z$24,Z$23),$A$2:$A$2941,$I$2:$I$2941)</f>
        <v>2.1996217944872942E-3</v>
      </c>
      <c r="AA26" s="63">
        <f>LOOKUP(DATE($O26,AA$24,AA$23),$A$2:$A$2941,$I$2:$I$2941)</f>
        <v>-2.2466936146266794E-4</v>
      </c>
      <c r="AD26" s="35" t="s">
        <v>47</v>
      </c>
      <c r="AE26" s="14" t="s">
        <v>10</v>
      </c>
      <c r="AF26" s="14" t="s">
        <v>11</v>
      </c>
      <c r="AG26" s="14" t="s">
        <v>12</v>
      </c>
      <c r="AH26" s="14" t="s">
        <v>13</v>
      </c>
      <c r="AI26" s="14" t="s">
        <v>14</v>
      </c>
      <c r="AJ26" s="14" t="s">
        <v>15</v>
      </c>
      <c r="AK26" s="14" t="s">
        <v>16</v>
      </c>
      <c r="AL26" s="14" t="s">
        <v>17</v>
      </c>
      <c r="AM26" s="14" t="s">
        <v>18</v>
      </c>
      <c r="AN26" s="14" t="s">
        <v>19</v>
      </c>
      <c r="AO26" s="14" t="s">
        <v>20</v>
      </c>
      <c r="AP26" s="14" t="s">
        <v>21</v>
      </c>
      <c r="AQ26" s="14" t="s">
        <v>22</v>
      </c>
      <c r="AR26" s="32"/>
      <c r="AS26" s="15"/>
      <c r="AV26" s="40"/>
      <c r="AW26" s="40"/>
      <c r="AX26" s="40"/>
      <c r="AY26" s="40"/>
      <c r="AZ26" s="40"/>
      <c r="BA26" s="40"/>
      <c r="BB26" s="40"/>
      <c r="BC26" s="40"/>
    </row>
    <row r="27" spans="1:56">
      <c r="A27" s="23">
        <v>39447</v>
      </c>
      <c r="B27" s="26">
        <v>12152.6</v>
      </c>
      <c r="C27" s="31">
        <f t="shared" si="2"/>
        <v>4.4599720508417809E-3</v>
      </c>
      <c r="D27" s="25">
        <f t="shared" si="0"/>
        <v>110.9508323640527</v>
      </c>
      <c r="E27" s="25"/>
      <c r="F27" s="25"/>
      <c r="O27" s="9">
        <v>2017</v>
      </c>
      <c r="P27" s="63">
        <f>LOOKUP(DATE($O27,P$24,P$23),$A$2:$A$2941,$I$2:$I$2941)</f>
        <v>2.8523740983765755E-3</v>
      </c>
      <c r="Q27" s="63">
        <f>LOOKUP(DATE($O27,Q$24,Q$23),$A$2:$A$2941,$I$2:$I$2941)</f>
        <v>1.9306657533529098E-3</v>
      </c>
      <c r="R27" s="63">
        <f>LOOKUP(DATE($O27,R$24,R$23),$A$2:$A$2941,$I$2:$I$2941)</f>
        <v>2.2981287149563324E-3</v>
      </c>
      <c r="S27" s="63">
        <f>LOOKUP(DATE($O27,S$24,S$23),$A$2:$A$2941,$I$2:$I$2941)</f>
        <v>1.8517416685750465E-3</v>
      </c>
      <c r="T27" s="63">
        <f>LOOKUP(DATE($O27,T$24,T$23),$A$2:$A$2941,$I$2:$I$2941)</f>
        <v>1.3760143302873804E-3</v>
      </c>
      <c r="U27" s="63">
        <f>LOOKUP(DATE($O27,U$24,U$23),$A$2:$A$2941,$I$2:$I$2941)</f>
        <v>6.6078033528012003E-3</v>
      </c>
      <c r="V27" s="63">
        <f>LOOKUP(DATE($O27,V$24,V$23),$A$2:$A$2941,$I$2:$I$2941)</f>
        <v>3.0924433563774404E-3</v>
      </c>
      <c r="W27" s="63">
        <f>LOOKUP(DATE($O27,W$24,W$23),$A$2:$A$2941,$I$2:$I$2941)</f>
        <v>2.9391556346925274E-3</v>
      </c>
      <c r="X27" s="63">
        <f>LOOKUP(DATE($O27,X$24,X$23),$A$2:$A$2941,$I$2:$I$2941)</f>
        <v>2.4336778765221556E-3</v>
      </c>
      <c r="Y27" s="63">
        <f>LOOKUP(DATE($O27,Y$24,Y$23),$A$2:$A$2941,$I$2:$I$2941)</f>
        <v>2.0375806777325309E-3</v>
      </c>
      <c r="Z27" s="63">
        <f>LOOKUP(DATE($O27,Z$24,Z$23),$A$2:$A$2941,$I$2:$I$2941)</f>
        <v>2.4456531003740345E-3</v>
      </c>
      <c r="AA27" s="63">
        <f>LOOKUP(DATE($O27,AA$24,AA$23),$A$2:$A$2941,$I$2:$I$2941)</f>
        <v>2.3755021209828373E-3</v>
      </c>
      <c r="AD27" s="20">
        <v>2016</v>
      </c>
      <c r="AE27" s="21"/>
      <c r="AF27" s="21"/>
      <c r="AG27" s="21"/>
      <c r="AH27" s="21"/>
      <c r="AI27" s="21"/>
      <c r="AJ27" s="28"/>
      <c r="AK27" s="28">
        <f>+U26</f>
        <v>1.7526521739131202E-3</v>
      </c>
      <c r="AL27" s="28">
        <f>+V26</f>
        <v>3.6926833027364141E-3</v>
      </c>
      <c r="AM27" s="28">
        <f>+W26</f>
        <v>2.7104852985946051E-3</v>
      </c>
      <c r="AN27" s="28">
        <f>+X26</f>
        <v>2.9014467451184967E-3</v>
      </c>
      <c r="AO27" s="28">
        <f>+Y26</f>
        <v>2.6079806300581495E-3</v>
      </c>
      <c r="AP27" s="28">
        <f>+Z26</f>
        <v>2.1996217944872942E-3</v>
      </c>
      <c r="AQ27" s="29">
        <f>+H135/H128-1</f>
        <v>1.5622559999999952E-2</v>
      </c>
      <c r="AR27" s="15"/>
      <c r="AS27" s="15"/>
      <c r="AV27" s="41"/>
      <c r="AW27" s="42" t="s">
        <v>25</v>
      </c>
      <c r="AX27" s="42" t="s">
        <v>26</v>
      </c>
      <c r="AY27" s="42" t="s">
        <v>27</v>
      </c>
      <c r="AZ27" s="42" t="s">
        <v>28</v>
      </c>
      <c r="BA27" s="42" t="s">
        <v>29</v>
      </c>
      <c r="BB27" s="42" t="s">
        <v>69</v>
      </c>
      <c r="BC27" s="43"/>
      <c r="BD27" s="44"/>
    </row>
    <row r="28" spans="1:56">
      <c r="A28" s="23">
        <v>39478</v>
      </c>
      <c r="B28" s="26">
        <v>12223.14</v>
      </c>
      <c r="C28" s="31">
        <f t="shared" si="2"/>
        <v>5.6172766427787044E-3</v>
      </c>
      <c r="D28" s="25">
        <f t="shared" si="0"/>
        <v>111.59484860049264</v>
      </c>
      <c r="E28" s="25"/>
      <c r="F28" s="25"/>
      <c r="O28" s="9">
        <v>2018</v>
      </c>
      <c r="P28" s="63">
        <f>LOOKUP(DATE($O28,P$24,P$23),$A$2:$A$2941,$I$2:$I$2941)</f>
        <v>2.5287771827567809E-3</v>
      </c>
      <c r="Q28" s="63">
        <f>LOOKUP(DATE($O28,Q$24,Q$23),$A$2:$A$2941,$I$2:$I$2941)</f>
        <v>2.9501749106369823E-3</v>
      </c>
      <c r="R28" s="63">
        <f>LOOKUP(DATE($O28,R$24,R$23),$A$2:$A$2941,$I$2:$I$2941)</f>
        <v>2.4197654411100928E-3</v>
      </c>
      <c r="S28" s="63">
        <f>LOOKUP(DATE($O28,S$24,S$23),$A$2:$A$2941,$I$2:$I$2941)</f>
        <v>2.2315122894487338E-3</v>
      </c>
      <c r="T28" s="63">
        <f>LOOKUP(DATE($O28,T$24,T$23),$A$2:$A$2941,$I$2:$I$2941)</f>
        <v>2.3383274246596515E-3</v>
      </c>
      <c r="U28" s="63">
        <f>LOOKUP(DATE($O28,U$24,U$23),$A$2:$A$2941,$I$2:$I$2941)</f>
        <v>2.4418826746952504E-3</v>
      </c>
      <c r="V28" s="63">
        <f>LOOKUP(DATE($O28,V$24,V$23),$A$2:$A$2941,$I$2:$I$2941)</f>
        <v>2.5464349922827405E-3</v>
      </c>
      <c r="W28" s="63">
        <f>LOOKUP(DATE($O28,W$24,W$23),$A$2:$A$2941,$I$2:$I$2941)</f>
        <v>2.2841094597619667E-3</v>
      </c>
      <c r="X28" s="63">
        <f>LOOKUP(DATE($O28,X$24,X$23),$A$2:$A$2941,$I$2:$I$2941)</f>
        <v>2.3608546146098863E-3</v>
      </c>
      <c r="Y28" s="63">
        <f>LOOKUP(DATE($O28,Y$24,Y$23),$A$2:$A$2941,$I$2:$I$2941)</f>
        <v>2.5824621448076609E-3</v>
      </c>
      <c r="Z28" s="63">
        <f>LOOKUP(DATE($O28,Z$24,Z$23),$A$2:$A$2941,$I$2:$I$2941)</f>
        <v>2.6208214002845232E-3</v>
      </c>
      <c r="AA28" s="63">
        <f>LOOKUP(DATE($O28,AA$24,AA$23),$A$2:$A$2941,$I$2:$I$2941)</f>
        <v>2.0206555053809399E-3</v>
      </c>
      <c r="AD28" s="27">
        <v>2017</v>
      </c>
      <c r="AE28" s="28">
        <f>+P27</f>
        <v>2.8523740983765755E-3</v>
      </c>
      <c r="AF28" s="28">
        <f>+Q27</f>
        <v>1.9306657533529098E-3</v>
      </c>
      <c r="AG28" s="28">
        <f>+R27</f>
        <v>2.2981287149563324E-3</v>
      </c>
      <c r="AH28" s="28">
        <f>+S27</f>
        <v>1.8517416685750465E-3</v>
      </c>
      <c r="AI28" s="28">
        <f>+T27</f>
        <v>1.3760143302873804E-3</v>
      </c>
      <c r="AJ28" s="28">
        <f>+U27</f>
        <v>6.6078033528012003E-3</v>
      </c>
      <c r="AK28" s="28">
        <f>+V27</f>
        <v>3.0924433563774404E-3</v>
      </c>
      <c r="AL28" s="28">
        <f>+W27</f>
        <v>2.9391556346925274E-3</v>
      </c>
      <c r="AM28" s="28">
        <f>+X27</f>
        <v>2.4336778765221556E-3</v>
      </c>
      <c r="AN28" s="28">
        <f>+Y27</f>
        <v>2.0375806777325309E-3</v>
      </c>
      <c r="AO28" s="28">
        <f>+Z27</f>
        <v>2.4456531003740345E-3</v>
      </c>
      <c r="AP28" s="28">
        <f>+AA27</f>
        <v>2.3755021209828373E-3</v>
      </c>
      <c r="AQ28" s="29">
        <f>+H147/H136-1</f>
        <v>3.0125384043129921E-2</v>
      </c>
      <c r="AR28" s="32" t="s">
        <v>38</v>
      </c>
      <c r="AV28" s="89"/>
      <c r="AW28" s="42" t="s">
        <v>30</v>
      </c>
      <c r="AX28" s="45">
        <f>($AW20/AX20-1)/(AW19-AX19)*30</f>
        <v>4.3107388784278181E-3</v>
      </c>
      <c r="AY28" s="45">
        <f>$AW20/AY20-1</f>
        <v>1.3343935844222887E-2</v>
      </c>
      <c r="AZ28" s="45">
        <f>$AW20/AZ20-1</f>
        <v>2.7693012846188525E-2</v>
      </c>
      <c r="BA28" s="45">
        <f>$AW20/BA20-1</f>
        <v>6.2355002635830603E-2</v>
      </c>
      <c r="BB28" s="45">
        <f>+AQ82</f>
        <v>5.3453162092504947E-2</v>
      </c>
      <c r="BC28" s="46"/>
      <c r="BD28" s="33"/>
    </row>
    <row r="29" spans="1:56">
      <c r="A29" s="23">
        <v>39507</v>
      </c>
      <c r="B29" s="26">
        <v>12284.88</v>
      </c>
      <c r="C29" s="31">
        <f t="shared" si="2"/>
        <v>5.2252502644361907E-3</v>
      </c>
      <c r="D29" s="25">
        <f t="shared" si="0"/>
        <v>112.15852257891343</v>
      </c>
      <c r="E29" s="25"/>
      <c r="F29" s="25"/>
      <c r="O29" s="9">
        <v>2019</v>
      </c>
      <c r="P29" s="63">
        <f>LOOKUP(DATE($O29,P$24,P$23),$A$2:$A$2941,$I$2:$I$2941)</f>
        <v>2.2255175076252116E-3</v>
      </c>
      <c r="Q29" s="63">
        <f>LOOKUP(DATE($O29,Q$24,Q$23),$A$2:$A$2941,$I$2:$I$2941)</f>
        <v>2.0652910014025611E-3</v>
      </c>
      <c r="R29" s="63">
        <f>LOOKUP(DATE($O29,R$24,R$23),$A$2:$A$2941,$I$2:$I$2941)</f>
        <v>2.1430318366078005E-3</v>
      </c>
      <c r="S29" s="63">
        <f>LOOKUP(DATE($O29,S$24,S$23),$A$2:$A$2941,$I$2:$I$2941)</f>
        <v>2.4744057726309165E-3</v>
      </c>
      <c r="T29" s="63">
        <f>LOOKUP(DATE($O29,T$24,T$23),$A$2:$A$2941,$I$2:$I$2941)</f>
        <v>2.3233637944668696E-3</v>
      </c>
      <c r="U29" s="63">
        <f>LOOKUP(DATE($O29,U$24,U$23),$A$2:$A$2941,$I$2:$I$2941)</f>
        <v>2.5248654901475209E-3</v>
      </c>
      <c r="V29" s="63">
        <f>LOOKUP(DATE($O29,V$24,V$23),$A$2:$A$2941,$I$2:$I$2941)</f>
        <v>2.0540273324613913E-3</v>
      </c>
      <c r="W29" s="63">
        <f>LOOKUP(DATE($O29,W$24,W$23),$A$2:$A$2941,$I$2:$I$2941)</f>
        <v>1.8928296104056463E-3</v>
      </c>
      <c r="X29" s="63">
        <f>LOOKUP(DATE($O29,X$24,X$23),$A$2:$A$2941,$I$2:$I$2941)</f>
        <v>1.7930728903712279E-3</v>
      </c>
      <c r="Y29" s="63">
        <f>LOOKUP(DATE($O29,Y$24,Y$23),$A$2:$A$2941,$I$2:$I$2941)</f>
        <v>2.5236139150049352E-3</v>
      </c>
      <c r="Z29" s="63">
        <f>LOOKUP(DATE($O29,Z$24,Z$23),$A$2:$A$2941,$I$2:$I$2941)</f>
        <v>2.4216257206299829E-3</v>
      </c>
      <c r="AA29" s="63">
        <f>LOOKUP(DATE($O29,AA$24,AA$23),$A$2:$A$2941,$I$2:$I$2941)</f>
        <v>2.3808221849356522E-3</v>
      </c>
      <c r="AD29" s="20">
        <v>2018</v>
      </c>
      <c r="AE29" s="21">
        <f>+P28</f>
        <v>2.5287771827567809E-3</v>
      </c>
      <c r="AF29" s="21">
        <f>+Q28</f>
        <v>2.9501749106369823E-3</v>
      </c>
      <c r="AG29" s="21">
        <f>+R28</f>
        <v>2.4197654411100928E-3</v>
      </c>
      <c r="AH29" s="21">
        <f>+S28</f>
        <v>2.2315122894487338E-3</v>
      </c>
      <c r="AI29" s="21">
        <f>+T28</f>
        <v>2.3383274246596515E-3</v>
      </c>
      <c r="AJ29" s="21">
        <f>+U28</f>
        <v>2.4418826746952504E-3</v>
      </c>
      <c r="AK29" s="21">
        <f>+V28</f>
        <v>2.5464349922827405E-3</v>
      </c>
      <c r="AL29" s="21">
        <f>+W28</f>
        <v>2.2841094597619667E-3</v>
      </c>
      <c r="AM29" s="21">
        <f>+X28</f>
        <v>2.3608546146098863E-3</v>
      </c>
      <c r="AN29" s="21">
        <f>+Y28</f>
        <v>2.5824621448076609E-3</v>
      </c>
      <c r="AO29" s="21">
        <f>+Z28</f>
        <v>2.6208214002845232E-3</v>
      </c>
      <c r="AP29" s="21">
        <f>+AA28</f>
        <v>2.0206555053809399E-3</v>
      </c>
      <c r="AQ29" s="22">
        <f>+H159/H148-1</f>
        <v>2.7408816420987581E-2</v>
      </c>
      <c r="AS29" s="15"/>
      <c r="AV29" s="89"/>
      <c r="AW29" s="42" t="s">
        <v>24</v>
      </c>
      <c r="AX29" s="45">
        <f>($AW21/AX21-1)/(AW19-AX19)*30</f>
        <v>2.9227841942386906E-3</v>
      </c>
      <c r="AY29" s="45">
        <f>($AW21)/AY21-1</f>
        <v>9.5003546539496053E-3</v>
      </c>
      <c r="AZ29" s="45">
        <f>($AW21)/AZ21-1</f>
        <v>2.0049735096352661E-2</v>
      </c>
      <c r="BA29" s="45">
        <f>($AW21)/BA21-1</f>
        <v>4.6554070965469485E-2</v>
      </c>
      <c r="BB29" s="45">
        <f>+AQ83</f>
        <v>3.6242524008559762E-2</v>
      </c>
      <c r="BC29" s="46"/>
      <c r="BD29" s="33"/>
    </row>
    <row r="30" spans="1:56">
      <c r="A30" s="23">
        <v>39538</v>
      </c>
      <c r="B30" s="26">
        <v>12351.45</v>
      </c>
      <c r="C30" s="31">
        <f t="shared" si="2"/>
        <v>5.2440545324954563E-3</v>
      </c>
      <c r="D30" s="25">
        <f t="shared" si="0"/>
        <v>112.76629350122431</v>
      </c>
      <c r="E30" s="25"/>
      <c r="F30" s="25"/>
      <c r="O30" s="9">
        <v>2020</v>
      </c>
      <c r="P30" s="63">
        <f>LOOKUP(DATE($O30,P$24,P$23),$A$2:$A$2941,$I$2:$I$2941)</f>
        <v>1.1120064007597377E-3</v>
      </c>
      <c r="Q30" s="63">
        <f>LOOKUP(DATE($O30,Q$24,Q$23)+1,$A$2:$A$2941,$I$2:$I$2941)</f>
        <v>1.4131097834135414E-3</v>
      </c>
      <c r="R30" s="63">
        <f>LOOKUP(DATE($O30,R$24,R$23),$A$2:$A$2941,$I$2:$I$2941)</f>
        <v>1.4390365669388644E-3</v>
      </c>
      <c r="S30" s="63">
        <f>LOOKUP(DATE($O30,S$24,S$23),$A$2:$A$2941,$I$2:$I$2941)</f>
        <v>1.3258873613744004E-3</v>
      </c>
      <c r="T30" s="63">
        <f>LOOKUP(DATE($O30,T$24,T$23),$A$2:$A$2941,$I$2:$I$2941)</f>
        <v>1.1025306494202409E-3</v>
      </c>
      <c r="U30" s="63">
        <f>LOOKUP(DATE($O30,U$24,U$23),$A$2:$A$2941,$I$2:$I$2941)</f>
        <v>1.1310075229198358E-3</v>
      </c>
      <c r="V30" s="63">
        <f>LOOKUP(DATE($O30,V$24,V$23),$A$2:$A$2941,$I$2:$I$2941)</f>
        <v>6.2183232236852207E-4</v>
      </c>
      <c r="W30" s="63">
        <f>LOOKUP(DATE($O30,W$24,W$23),$A$2:$A$2941,$I$2:$I$2941)</f>
        <v>5.5281699244399149E-4</v>
      </c>
      <c r="X30" s="63">
        <f>LOOKUP(DATE($O30,X$24,X$23),$A$2:$A$2941,$I$2:$I$2941)</f>
        <v>9.3701251312516831E-4</v>
      </c>
      <c r="Y30" s="63">
        <f>+I181</f>
        <v>1.2361615009129447E-3</v>
      </c>
      <c r="Z30" s="63">
        <f>+I182</f>
        <v>1.0585431579992477E-3</v>
      </c>
      <c r="AA30" s="63">
        <f>+I183</f>
        <v>5.1536787755581612E-3</v>
      </c>
      <c r="AD30" s="27">
        <v>2019</v>
      </c>
      <c r="AE30" s="28">
        <f>+P29</f>
        <v>2.2255175076252116E-3</v>
      </c>
      <c r="AF30" s="28">
        <f>+Q29</f>
        <v>2.0652910014025611E-3</v>
      </c>
      <c r="AG30" s="28">
        <f>+R29</f>
        <v>2.1430318366078005E-3</v>
      </c>
      <c r="AH30" s="28">
        <f>+S29</f>
        <v>2.4744057726309165E-3</v>
      </c>
      <c r="AI30" s="28">
        <f>+T29</f>
        <v>2.3233637944668696E-3</v>
      </c>
      <c r="AJ30" s="28">
        <f>+U29</f>
        <v>2.5248654901475209E-3</v>
      </c>
      <c r="AK30" s="28">
        <f>+V29</f>
        <v>2.0540273324613913E-3</v>
      </c>
      <c r="AL30" s="28">
        <f>+W29</f>
        <v>1.8928296104056463E-3</v>
      </c>
      <c r="AM30" s="28">
        <f>+X29</f>
        <v>1.7930728903712279E-3</v>
      </c>
      <c r="AN30" s="28">
        <f>+Y29</f>
        <v>2.5236139150049352E-3</v>
      </c>
      <c r="AO30" s="28">
        <f>+Z29</f>
        <v>2.4216257206299829E-3</v>
      </c>
      <c r="AP30" s="28">
        <f>+AA29</f>
        <v>2.3808221849356522E-3</v>
      </c>
      <c r="AQ30" s="29">
        <f>+(H171/H159-1)/COUNTA(AE30:AP30)*12</f>
        <v>2.7544237362348234E-2</v>
      </c>
      <c r="AS30" s="15"/>
      <c r="AV30" s="47"/>
      <c r="AW30" s="42" t="s">
        <v>46</v>
      </c>
      <c r="AX30" s="45">
        <f>($AW22/AX22-1)/(AW19-AX19)*30</f>
        <v>2.8225864508937557E-3</v>
      </c>
      <c r="AY30" s="45">
        <f>+AW22/AY22-1</f>
        <v>1.0409710478348932E-2</v>
      </c>
      <c r="AZ30" s="45">
        <f>+AW22/AZ22-1</f>
        <v>2.2901943519266998E-2</v>
      </c>
      <c r="BA30" s="45">
        <f>+AW22/BA22-1</f>
        <v>5.7907460328661342E-2</v>
      </c>
      <c r="BB30" s="45">
        <f>+AQ84</f>
        <v>3.5000071991082571E-2</v>
      </c>
      <c r="BC30" s="47"/>
      <c r="BD30" s="33"/>
    </row>
    <row r="31" spans="1:56">
      <c r="A31" s="23">
        <v>39568</v>
      </c>
      <c r="B31" s="26">
        <v>12416.18</v>
      </c>
      <c r="C31" s="31">
        <f t="shared" si="2"/>
        <v>5.2406802440199129E-3</v>
      </c>
      <c r="D31" s="25">
        <f t="shared" si="0"/>
        <v>113.35726558776753</v>
      </c>
      <c r="E31" s="25"/>
      <c r="F31" s="25"/>
      <c r="O31" s="9">
        <v>2021</v>
      </c>
      <c r="P31" s="63">
        <f>+I184</f>
        <v>9.5581034059982934E-4</v>
      </c>
      <c r="Q31" s="63">
        <f>+I185</f>
        <v>1.1350276494129627E-3</v>
      </c>
      <c r="R31" s="61">
        <f>+I186</f>
        <v>4.7829567621558304E-4</v>
      </c>
      <c r="S31" s="61">
        <f>+I187</f>
        <v>2.2479981001399807E-4</v>
      </c>
      <c r="T31" s="61">
        <f>+I188</f>
        <v>1.061792859649884E-3</v>
      </c>
      <c r="U31" s="61">
        <f>+I189</f>
        <v>1.2678644080763579E-3</v>
      </c>
      <c r="V31" s="61">
        <f>+I190</f>
        <v>1.2732050087973083E-3</v>
      </c>
      <c r="W31" s="61">
        <f>+I191</f>
        <v>1.0912459697882109E-3</v>
      </c>
      <c r="X31" s="61">
        <f>+I192</f>
        <v>9.0952866073967797E-4</v>
      </c>
      <c r="Y31" s="61">
        <f>+I193</f>
        <v>7.896417428452804E-4</v>
      </c>
      <c r="Z31" s="61">
        <f>+I194</f>
        <v>4.4245251685093301E-4</v>
      </c>
      <c r="AA31" s="61">
        <f>+I195</f>
        <v>1.6083490085784212E-3</v>
      </c>
      <c r="AD31" s="27">
        <v>2020</v>
      </c>
      <c r="AE31" s="28">
        <f>+P30</f>
        <v>1.1120064007597377E-3</v>
      </c>
      <c r="AF31" s="28">
        <f>+Q30</f>
        <v>1.4131097834135414E-3</v>
      </c>
      <c r="AG31" s="28">
        <f>+R30</f>
        <v>1.4390365669388644E-3</v>
      </c>
      <c r="AH31" s="28">
        <f>+S30</f>
        <v>1.3258873613744004E-3</v>
      </c>
      <c r="AI31" s="28">
        <f>+T30</f>
        <v>1.1025306494202409E-3</v>
      </c>
      <c r="AJ31" s="28">
        <f>+U30</f>
        <v>1.1310075229198358E-3</v>
      </c>
      <c r="AK31" s="28">
        <f>+V30</f>
        <v>6.2183232236852207E-4</v>
      </c>
      <c r="AL31" s="28">
        <f>+W30</f>
        <v>5.5281699244399149E-4</v>
      </c>
      <c r="AM31" s="28">
        <f>+X30</f>
        <v>9.3701251312516831E-4</v>
      </c>
      <c r="AN31" s="28">
        <f>+Y30</f>
        <v>1.2361615009129447E-3</v>
      </c>
      <c r="AO31" s="28">
        <f>+Z30</f>
        <v>1.0585431579992477E-3</v>
      </c>
      <c r="AP31" s="28">
        <f>+AA30</f>
        <v>5.1536787755581612E-3</v>
      </c>
      <c r="AQ31" s="29">
        <f>+(H183/H171-1)/COUNTA(AE31:AP31)*12</f>
        <v>1.7541353603931054E-2</v>
      </c>
      <c r="AS31" s="15"/>
      <c r="AV31" s="47"/>
      <c r="AW31" s="48"/>
      <c r="AX31" s="15"/>
      <c r="AY31" s="15"/>
      <c r="AZ31" s="15"/>
      <c r="BA31" s="15"/>
      <c r="BB31" s="15"/>
      <c r="BC31" s="47"/>
      <c r="BD31" s="33"/>
    </row>
    <row r="32" spans="1:56">
      <c r="A32" s="23">
        <v>39598</v>
      </c>
      <c r="B32" s="26">
        <v>12481.48</v>
      </c>
      <c r="C32" s="31">
        <f t="shared" si="2"/>
        <v>5.2592665376951508E-3</v>
      </c>
      <c r="D32" s="25">
        <f t="shared" si="0"/>
        <v>113.9534416614779</v>
      </c>
      <c r="E32" s="25"/>
      <c r="F32" s="25"/>
      <c r="O32" s="9">
        <v>2022</v>
      </c>
      <c r="P32" s="63">
        <f>+I196</f>
        <v>2.315458296199674E-3</v>
      </c>
      <c r="Q32" s="63">
        <f>+I197</f>
        <v>3.6195733153849513E-3</v>
      </c>
      <c r="R32" s="61">
        <f>+I198</f>
        <v>3.6039865737777063E-3</v>
      </c>
      <c r="S32" s="61">
        <f>+I199</f>
        <v>5.4493325316784524E-3</v>
      </c>
      <c r="T32" s="61">
        <f>+I200</f>
        <v>7.0871765472307717E-3</v>
      </c>
      <c r="U32" s="61">
        <f>+I201</f>
        <v>6.8564875626004884E-3</v>
      </c>
      <c r="V32" s="61">
        <f>+I202</f>
        <v>6.6608490496321594E-3</v>
      </c>
      <c r="W32" s="61">
        <f>+I203</f>
        <v>7.4266722031266922E-3</v>
      </c>
      <c r="X32" s="61">
        <f>+I204</f>
        <v>8.0201486738671335E-3</v>
      </c>
      <c r="Y32" s="61">
        <f>+I205</f>
        <v>8.5328375957028583E-3</v>
      </c>
      <c r="Z32" s="61">
        <f>+I206</f>
        <v>9.0157563709154908E-3</v>
      </c>
      <c r="AA32" s="61">
        <f>+I207</f>
        <v>9.5951573362533793E-3</v>
      </c>
      <c r="AD32" s="27">
        <v>2021</v>
      </c>
      <c r="AE32" s="28">
        <f>+P31</f>
        <v>9.5581034059982934E-4</v>
      </c>
      <c r="AF32" s="28">
        <f>+Q31</f>
        <v>1.1350276494129627E-3</v>
      </c>
      <c r="AG32" s="28">
        <f>+R31</f>
        <v>4.7829567621558304E-4</v>
      </c>
      <c r="AH32" s="28">
        <f>+S31</f>
        <v>2.2479981001399807E-4</v>
      </c>
      <c r="AI32" s="28">
        <f>+T31</f>
        <v>1.061792859649884E-3</v>
      </c>
      <c r="AJ32" s="28">
        <f>+U31</f>
        <v>1.2678644080763579E-3</v>
      </c>
      <c r="AK32" s="28">
        <f>+V31</f>
        <v>1.2732050087973083E-3</v>
      </c>
      <c r="AL32" s="28">
        <f>+W31</f>
        <v>1.0912459697882109E-3</v>
      </c>
      <c r="AM32" s="28">
        <f>+X31</f>
        <v>9.0952866073967797E-4</v>
      </c>
      <c r="AN32" s="28">
        <f>+Y31</f>
        <v>7.896417428452804E-4</v>
      </c>
      <c r="AO32" s="28">
        <f>+Z31</f>
        <v>4.4245251685093301E-4</v>
      </c>
      <c r="AP32" s="28">
        <f>+AA31</f>
        <v>1.6083490085784212E-3</v>
      </c>
      <c r="AQ32" s="29">
        <f>+(H195/H183-1)/COUNTA(AE32:AP32)*12</f>
        <v>1.1463170644584686E-2</v>
      </c>
      <c r="AS32" s="15"/>
      <c r="BD32" s="33"/>
    </row>
    <row r="33" spans="1:62">
      <c r="A33" s="23">
        <v>39629</v>
      </c>
      <c r="B33" s="26">
        <v>12552.23</v>
      </c>
      <c r="C33" s="31">
        <f t="shared" si="2"/>
        <v>5.4855467408899648E-3</v>
      </c>
      <c r="D33" s="25">
        <f t="shared" si="0"/>
        <v>114.59937515634786</v>
      </c>
      <c r="E33" s="25"/>
      <c r="F33" s="25"/>
      <c r="O33" s="9">
        <v>2023</v>
      </c>
      <c r="P33" s="63">
        <f>+I208</f>
        <v>1.071784831866672E-2</v>
      </c>
      <c r="Q33" s="63">
        <f>+I209</f>
        <v>9.3246070444608867E-3</v>
      </c>
      <c r="R33" s="61">
        <f>+I210</f>
        <v>9.3904269319642075E-3</v>
      </c>
      <c r="S33" s="61">
        <f>+I211</f>
        <v>9.4575263570060141E-3</v>
      </c>
      <c r="T33" s="61">
        <f>+I212</f>
        <v>9.3997778630374538E-3</v>
      </c>
      <c r="U33" s="61">
        <f>+I213</f>
        <v>9.4892873372927067E-3</v>
      </c>
      <c r="V33" s="61">
        <f>+I214</f>
        <v>9.5512586335587003E-3</v>
      </c>
      <c r="W33" s="61">
        <f>+I215</f>
        <v>8.7104657993194914E-3</v>
      </c>
      <c r="X33" s="61">
        <f>+I216</f>
        <v>8.7059869992089922E-3</v>
      </c>
      <c r="Y33" s="61">
        <f>+I217</f>
        <v>8.0241637860299243E-3</v>
      </c>
      <c r="Z33" s="61">
        <f>+I218</f>
        <v>7.5187385201012083E-3</v>
      </c>
      <c r="AA33" s="61">
        <f>+I219</f>
        <v>8.3898957794986493E-3</v>
      </c>
      <c r="AD33" s="27">
        <v>2022</v>
      </c>
      <c r="AE33" s="28">
        <f>+P32</f>
        <v>2.315458296199674E-3</v>
      </c>
      <c r="AF33" s="28">
        <f>+Q32</f>
        <v>3.6195733153849513E-3</v>
      </c>
      <c r="AG33" s="28">
        <f>+R32</f>
        <v>3.6039865737777063E-3</v>
      </c>
      <c r="AH33" s="28">
        <f>+S32</f>
        <v>5.4493325316784524E-3</v>
      </c>
      <c r="AI33" s="28">
        <f>+T32</f>
        <v>7.0871765472307717E-3</v>
      </c>
      <c r="AJ33" s="28">
        <f>+U32</f>
        <v>6.8564875626004884E-3</v>
      </c>
      <c r="AK33" s="28">
        <f>+V32</f>
        <v>6.6608490496321594E-3</v>
      </c>
      <c r="AL33" s="28">
        <f>+W32</f>
        <v>7.4266722031266922E-3</v>
      </c>
      <c r="AM33" s="28">
        <f>+X32</f>
        <v>8.0201486738671335E-3</v>
      </c>
      <c r="AN33" s="28">
        <f>+Y32</f>
        <v>8.5328375957028583E-3</v>
      </c>
      <c r="AO33" s="28">
        <f>+Z32</f>
        <v>9.0157563709154908E-3</v>
      </c>
      <c r="AP33" s="28">
        <f>+AA32</f>
        <v>9.5951573362533793E-3</v>
      </c>
      <c r="AQ33" s="29">
        <f>+(H207/H195-1)/COUNTA(AE33:AP33)*12</f>
        <v>8.2081644858020608E-2</v>
      </c>
      <c r="AR33" s="15"/>
      <c r="AS33" s="15"/>
    </row>
    <row r="34" spans="1:62">
      <c r="A34" s="23">
        <v>39660</v>
      </c>
      <c r="B34" s="26">
        <v>12628.9</v>
      </c>
      <c r="C34" s="31">
        <f t="shared" si="2"/>
        <v>5.9110432324413755E-3</v>
      </c>
      <c r="D34" s="25">
        <f t="shared" si="0"/>
        <v>115.2993570793398</v>
      </c>
      <c r="E34" s="25"/>
      <c r="F34" s="25"/>
      <c r="O34" s="9">
        <v>2024</v>
      </c>
      <c r="P34" s="63">
        <f>+I220</f>
        <v>7.5513958958230562E-3</v>
      </c>
      <c r="Q34" s="63">
        <f>+I221</f>
        <v>6.0729955242965934E-3</v>
      </c>
      <c r="R34" s="61">
        <f>+I222</f>
        <v>6.4920750283917585E-3</v>
      </c>
      <c r="S34" s="61">
        <f>+I223</f>
        <v>5.4036586840735335E-3</v>
      </c>
      <c r="T34" s="61">
        <f>+I224</f>
        <v>5.7917989042293033E-3</v>
      </c>
      <c r="U34" s="61">
        <f>+I225</f>
        <v>5.2971449097136691E-3</v>
      </c>
      <c r="V34" s="61">
        <f>+I226</f>
        <v>4.4407072103683663E-3</v>
      </c>
      <c r="W34" s="61">
        <f>+I227</f>
        <v>4.0747318598646871E-3</v>
      </c>
      <c r="X34" s="61">
        <f>+I228</f>
        <v>4.3343304225897938E-3</v>
      </c>
      <c r="Y34" s="61">
        <f>+I229</f>
        <v>3.6465760931577106E-3</v>
      </c>
      <c r="Z34" s="61">
        <f>+I230</f>
        <v>3.863112550266834E-3</v>
      </c>
      <c r="AA34" s="61">
        <f>+I231</f>
        <v>3.4783055734350708E-3</v>
      </c>
      <c r="AD34" s="27">
        <v>2023</v>
      </c>
      <c r="AE34" s="28">
        <f>+P33</f>
        <v>1.071784831866672E-2</v>
      </c>
      <c r="AF34" s="28">
        <f>+Q33</f>
        <v>9.3246070444608867E-3</v>
      </c>
      <c r="AG34" s="28">
        <f>+R33</f>
        <v>9.3904269319642075E-3</v>
      </c>
      <c r="AH34" s="28">
        <f>+S33</f>
        <v>9.4575263570060141E-3</v>
      </c>
      <c r="AI34" s="28">
        <f>+T33</f>
        <v>9.3997778630374538E-3</v>
      </c>
      <c r="AJ34" s="28">
        <f>+U33</f>
        <v>9.4892873372927067E-3</v>
      </c>
      <c r="AK34" s="28">
        <f>+V33</f>
        <v>9.5512586335587003E-3</v>
      </c>
      <c r="AL34" s="28">
        <f>+W33</f>
        <v>8.7104657993194914E-3</v>
      </c>
      <c r="AM34" s="28">
        <f>+X33</f>
        <v>8.7059869992089922E-3</v>
      </c>
      <c r="AN34" s="28">
        <f>+Y33</f>
        <v>8.0241637860299243E-3</v>
      </c>
      <c r="AO34" s="28">
        <f>+Z33</f>
        <v>7.5187385201012083E-3</v>
      </c>
      <c r="AP34" s="28">
        <f>+AA33</f>
        <v>8.3898957794986493E-3</v>
      </c>
      <c r="AQ34" s="29">
        <f>+(H219/H207-1)/COUNTA(AE34:AP34)*12</f>
        <v>0.11632201185173097</v>
      </c>
      <c r="AR34" s="32"/>
    </row>
    <row r="35" spans="1:62">
      <c r="A35" s="23">
        <v>39689</v>
      </c>
      <c r="B35" s="26">
        <v>12704.63</v>
      </c>
      <c r="C35" s="31">
        <f t="shared" si="2"/>
        <v>6.203341487409488E-3</v>
      </c>
      <c r="D35" s="25">
        <f t="shared" si="0"/>
        <v>115.99075698840697</v>
      </c>
      <c r="E35" s="25"/>
      <c r="F35" s="25"/>
      <c r="O35" s="9">
        <v>2025</v>
      </c>
      <c r="P35" s="63">
        <f>+I232</f>
        <v>2.8225864508937557E-3</v>
      </c>
      <c r="Q35" s="63"/>
      <c r="R35" s="61"/>
      <c r="S35" s="61"/>
      <c r="T35" s="61"/>
      <c r="U35" s="61"/>
      <c r="V35" s="61"/>
      <c r="W35" s="61"/>
      <c r="X35" s="61"/>
      <c r="Y35" s="61"/>
      <c r="Z35" s="61"/>
      <c r="AA35" s="61"/>
      <c r="AD35" s="27">
        <v>2024</v>
      </c>
      <c r="AE35" s="28">
        <f>+P34</f>
        <v>7.5513958958230562E-3</v>
      </c>
      <c r="AF35" s="28">
        <f>+Q34</f>
        <v>6.0729955242965934E-3</v>
      </c>
      <c r="AG35" s="28">
        <f>+R34</f>
        <v>6.4920750283917585E-3</v>
      </c>
      <c r="AH35" s="28">
        <f>+S34</f>
        <v>5.4036586840735335E-3</v>
      </c>
      <c r="AI35" s="28">
        <f>+T34</f>
        <v>5.7917989042293033E-3</v>
      </c>
      <c r="AJ35" s="28">
        <f>+U34</f>
        <v>5.2971449097136691E-3</v>
      </c>
      <c r="AK35" s="28">
        <f>+V34</f>
        <v>4.4407072103683663E-3</v>
      </c>
      <c r="AL35" s="28">
        <f>+W34</f>
        <v>4.0747318598646871E-3</v>
      </c>
      <c r="AM35" s="28">
        <f>+X34</f>
        <v>4.3343304225897938E-3</v>
      </c>
      <c r="AN35" s="28">
        <f>+Y34</f>
        <v>3.6465760931577106E-3</v>
      </c>
      <c r="AO35" s="28">
        <f>+Z34</f>
        <v>3.863112550266834E-3</v>
      </c>
      <c r="AP35" s="28">
        <f>+AA34</f>
        <v>3.4783055734350708E-3</v>
      </c>
      <c r="AQ35" s="29">
        <f>+(H231/H219-1)/COUNTA(AE35:AP35)*12</f>
        <v>6.306182428613516E-2</v>
      </c>
      <c r="AR35" s="32"/>
      <c r="AS35" s="15"/>
    </row>
    <row r="36" spans="1:62">
      <c r="A36" s="23">
        <v>39721</v>
      </c>
      <c r="B36" s="26">
        <v>12796.95</v>
      </c>
      <c r="C36" s="31">
        <f t="shared" si="2"/>
        <v>6.812477026092098E-3</v>
      </c>
      <c r="D36" s="25">
        <f t="shared" si="0"/>
        <v>116.83362031344437</v>
      </c>
      <c r="E36" s="25"/>
      <c r="F36" s="25"/>
      <c r="P36" s="16">
        <v>31</v>
      </c>
      <c r="Q36" s="16">
        <v>28</v>
      </c>
      <c r="R36" s="16">
        <v>31</v>
      </c>
      <c r="S36" s="16">
        <v>30</v>
      </c>
      <c r="T36" s="16">
        <v>31</v>
      </c>
      <c r="U36" s="16">
        <v>30</v>
      </c>
      <c r="V36" s="16">
        <v>31</v>
      </c>
      <c r="W36" s="16">
        <v>31</v>
      </c>
      <c r="X36" s="16">
        <v>30</v>
      </c>
      <c r="Y36" s="16">
        <v>31</v>
      </c>
      <c r="Z36" s="16">
        <v>30</v>
      </c>
      <c r="AA36" s="16">
        <v>31</v>
      </c>
      <c r="AD36" s="27">
        <v>2025</v>
      </c>
      <c r="AE36" s="28">
        <f>+P35</f>
        <v>2.8225864508937557E-3</v>
      </c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9">
        <f>+(H232/H231-1)/COUNTA(AE36:AP36)*12</f>
        <v>3.5000071991082571E-2</v>
      </c>
      <c r="AR36" s="15"/>
      <c r="AS36" s="15"/>
    </row>
    <row r="37" spans="1:62">
      <c r="A37" s="23">
        <v>39752</v>
      </c>
      <c r="B37" s="26">
        <v>12885.37</v>
      </c>
      <c r="C37" s="31">
        <f t="shared" si="2"/>
        <v>6.6865731237118345E-3</v>
      </c>
      <c r="D37" s="25">
        <f t="shared" si="0"/>
        <v>117.640877410496</v>
      </c>
      <c r="E37" s="25"/>
      <c r="F37" s="25"/>
      <c r="P37" s="16">
        <v>1</v>
      </c>
      <c r="Q37" s="16">
        <v>2</v>
      </c>
      <c r="R37" s="16">
        <v>3</v>
      </c>
      <c r="S37" s="16">
        <v>4</v>
      </c>
      <c r="T37" s="16">
        <v>5</v>
      </c>
      <c r="U37" s="16">
        <v>6</v>
      </c>
      <c r="V37" s="16">
        <v>7</v>
      </c>
      <c r="W37" s="16">
        <v>8</v>
      </c>
      <c r="X37" s="16">
        <v>9</v>
      </c>
      <c r="Y37" s="16">
        <v>10</v>
      </c>
      <c r="Z37" s="16">
        <v>11</v>
      </c>
      <c r="AA37" s="16">
        <v>12</v>
      </c>
      <c r="AD37" s="32" t="s">
        <v>49</v>
      </c>
      <c r="AR37" s="32" t="s">
        <v>38</v>
      </c>
      <c r="AS37" s="15"/>
    </row>
    <row r="38" spans="1:62">
      <c r="A38" s="23">
        <v>39780</v>
      </c>
      <c r="B38" s="26">
        <v>12970.93</v>
      </c>
      <c r="C38" s="31">
        <f t="shared" si="2"/>
        <v>7.1143807722579E-3</v>
      </c>
      <c r="D38" s="25">
        <f t="shared" si="0"/>
        <v>118.42202327369138</v>
      </c>
      <c r="E38" s="25"/>
      <c r="F38" s="25"/>
      <c r="O38" s="38" t="s">
        <v>24</v>
      </c>
      <c r="P38" s="9" t="s">
        <v>10</v>
      </c>
      <c r="Q38" s="9" t="s">
        <v>11</v>
      </c>
      <c r="R38" s="9" t="s">
        <v>12</v>
      </c>
      <c r="S38" s="9" t="s">
        <v>13</v>
      </c>
      <c r="T38" s="9" t="s">
        <v>14</v>
      </c>
      <c r="U38" s="9" t="s">
        <v>15</v>
      </c>
      <c r="V38" s="9" t="s">
        <v>16</v>
      </c>
      <c r="W38" s="9" t="s">
        <v>17</v>
      </c>
      <c r="X38" s="9" t="s">
        <v>18</v>
      </c>
      <c r="Y38" s="9" t="s">
        <v>19</v>
      </c>
      <c r="Z38" s="9" t="s">
        <v>20</v>
      </c>
      <c r="AA38" s="9" t="s">
        <v>21</v>
      </c>
      <c r="AD38" s="35" t="s">
        <v>24</v>
      </c>
      <c r="AE38" s="14" t="s">
        <v>10</v>
      </c>
      <c r="AF38" s="14" t="s">
        <v>11</v>
      </c>
      <c r="AG38" s="14" t="s">
        <v>12</v>
      </c>
      <c r="AH38" s="14" t="s">
        <v>13</v>
      </c>
      <c r="AI38" s="14" t="s">
        <v>14</v>
      </c>
      <c r="AJ38" s="14" t="s">
        <v>15</v>
      </c>
      <c r="AK38" s="14" t="s">
        <v>16</v>
      </c>
      <c r="AL38" s="14" t="s">
        <v>17</v>
      </c>
      <c r="AM38" s="14" t="s">
        <v>18</v>
      </c>
      <c r="AN38" s="14" t="s">
        <v>19</v>
      </c>
      <c r="AO38" s="14" t="s">
        <v>20</v>
      </c>
      <c r="AP38" s="14" t="s">
        <v>21</v>
      </c>
      <c r="AQ38" s="14" t="s">
        <v>22</v>
      </c>
      <c r="AR38" s="15"/>
      <c r="AS38" s="15"/>
      <c r="BE38" s="44"/>
      <c r="BF38" s="44"/>
      <c r="BG38" s="44"/>
      <c r="BH38" s="44"/>
      <c r="BI38" s="44"/>
      <c r="BJ38" s="44"/>
    </row>
    <row r="39" spans="1:62" ht="15" customHeight="1">
      <c r="A39" s="23">
        <v>39813</v>
      </c>
      <c r="B39" s="26">
        <v>13066.33</v>
      </c>
      <c r="C39" s="31">
        <f t="shared" si="2"/>
        <v>6.6862802225647385E-3</v>
      </c>
      <c r="D39" s="25">
        <f t="shared" si="0"/>
        <v>119.29300638903548</v>
      </c>
      <c r="E39" s="25"/>
      <c r="F39" s="25"/>
      <c r="O39" s="9">
        <v>2016</v>
      </c>
      <c r="P39" s="61"/>
      <c r="Q39" s="61"/>
      <c r="R39" s="61"/>
      <c r="S39" s="61"/>
      <c r="T39" s="61">
        <f>LOOKUP(DATE($O39,T$24,T$23),$A$2:$A$2941,$L$2:$L$2941)</f>
        <v>2.1017612205893742E-3</v>
      </c>
      <c r="U39" s="61">
        <f>LOOKUP(DATE($O39,U$24,U$23),$A$2:$A$2941,$L$2:$L$2941)</f>
        <v>2.0658965930107076E-3</v>
      </c>
      <c r="V39" s="61">
        <f>LOOKUP(DATE($O39,V$24,V$23),$A$2:$A$2941,$L$2:$L$2941)</f>
        <v>1.9929984805697456E-3</v>
      </c>
      <c r="W39" s="61">
        <f>LOOKUP(DATE($O39,W$24,W$23),$A$2:$A$2941,$L$2:$L$2941)</f>
        <v>1.9419345009338391E-3</v>
      </c>
      <c r="X39" s="61">
        <f>LOOKUP(DATE($O39,X$24,X$23),$A$2:$A$2941,$L$2:$L$2941)</f>
        <v>1.9140874835865687E-3</v>
      </c>
      <c r="Y39" s="61">
        <f>LOOKUP(DATE($O39,Y$24,Y$23),$A$2:$A$2941,$L$2:$L$2941)</f>
        <v>1.9173267127340248E-3</v>
      </c>
      <c r="Z39" s="61">
        <f>LOOKUP(DATE($O39,Z$24,Z$23),$A$2:$A$2941,$L$2:$L$2941)</f>
        <v>1.9189029965851478E-3</v>
      </c>
      <c r="AA39" s="61">
        <f>LOOKUP(DATE($O39,AA$24,AA$23),$A$2:$A$2941,$L$2:$L$2941)</f>
        <v>1.9414086578939749E-3</v>
      </c>
      <c r="AD39" s="20">
        <v>2016</v>
      </c>
      <c r="AE39" s="21"/>
      <c r="AF39" s="21"/>
      <c r="AG39" s="21"/>
      <c r="AH39" s="21"/>
      <c r="AI39" s="21"/>
      <c r="AJ39" s="21">
        <f>+U39</f>
        <v>2.0658965930107076E-3</v>
      </c>
      <c r="AK39" s="21">
        <f>+V39</f>
        <v>1.9929984805697456E-3</v>
      </c>
      <c r="AL39" s="21">
        <f>+W39</f>
        <v>1.9419345009338391E-3</v>
      </c>
      <c r="AM39" s="21">
        <f>+X39</f>
        <v>1.9140874835865687E-3</v>
      </c>
      <c r="AN39" s="21">
        <f>+Y39</f>
        <v>1.9173267127340248E-3</v>
      </c>
      <c r="AO39" s="21">
        <f>+Z39</f>
        <v>1.9189029965851478E-3</v>
      </c>
      <c r="AP39" s="21">
        <f>+AA39</f>
        <v>1.9414086578939749E-3</v>
      </c>
      <c r="AQ39" s="22">
        <f>+K134/K128-1</f>
        <v>1.2005832650717974E-2</v>
      </c>
      <c r="AR39" s="15"/>
      <c r="AS39" s="15"/>
      <c r="BE39" s="33"/>
      <c r="BF39" s="33"/>
      <c r="BG39" s="33"/>
      <c r="BH39" s="33"/>
      <c r="BI39" s="33"/>
      <c r="BJ39" s="54"/>
    </row>
    <row r="40" spans="1:62" ht="15" customHeight="1">
      <c r="A40" s="23">
        <v>39843</v>
      </c>
      <c r="B40" s="26">
        <v>13151.16</v>
      </c>
      <c r="C40" s="31">
        <f t="shared" si="2"/>
        <v>6.492259111778198E-3</v>
      </c>
      <c r="D40" s="25">
        <f t="shared" si="0"/>
        <v>120.06748749673611</v>
      </c>
      <c r="E40" s="25"/>
      <c r="F40" s="25"/>
      <c r="O40" s="9">
        <v>2017</v>
      </c>
      <c r="P40" s="63">
        <f>LOOKUP(DATE($O40,P$37,P$36),$A$2:$A$2941,$L$2:$L$2941)</f>
        <v>2.0666678105875406E-3</v>
      </c>
      <c r="Q40" s="63">
        <f>LOOKUP(DATE($O40,Q$37,Q$36),$A$2:$A$2941,$L$2:$L$2941)</f>
        <v>1.6996668883804767E-3</v>
      </c>
      <c r="R40" s="63">
        <f>LOOKUP(DATE($O40,R$37,R$36),$A$2:$A$2941,$L$2:$L$2941)</f>
        <v>1.6623865913290372E-3</v>
      </c>
      <c r="S40" s="63">
        <f>LOOKUP(DATE($O40,S$37,S$36),$A$2:$A$2941,$L$2:$L$2941)</f>
        <v>1.5312878868836144E-3</v>
      </c>
      <c r="T40" s="63">
        <f>LOOKUP(DATE($O40,T$37,T$36),$A$2:$A$2941,$L$2:$L$2941)</f>
        <v>1.374623250407062E-3</v>
      </c>
      <c r="U40" s="63">
        <f>LOOKUP(DATE($O40,U$37,U$36),$A$2:$A$2941,$L$2:$L$2941)</f>
        <v>1.2736534929720378E-3</v>
      </c>
      <c r="V40" s="63">
        <f>LOOKUP(DATE($O40,V$37,V$36),$A$2:$A$2941,$L$2:$L$2941)</f>
        <v>1.1242521893461259E-3</v>
      </c>
      <c r="W40" s="63">
        <f>LOOKUP(DATE($O40,W$37,W$36),$A$2:$A$2941,$L$2:$L$2941)</f>
        <v>1.0863288835021158E-3</v>
      </c>
      <c r="X40" s="63">
        <f>LOOKUP(DATE($O40,X$37,X$36),$A$2:$A$2941,$L$2:$L$2941)</f>
        <v>1.0687455238864718E-3</v>
      </c>
      <c r="Y40" s="63">
        <f>LOOKUP(DATE($O40,Y$37,Y$36),$A$2:$A$2941,$L$2:$L$2941)</f>
        <v>1.0556808193082983E-3</v>
      </c>
      <c r="Z40" s="63">
        <f>LOOKUP(DATE($O40,Z$37,Z$36),$A$2:$A$2941,$L$2:$L$2941)</f>
        <v>1.093305533184985E-3</v>
      </c>
      <c r="AA40" s="63">
        <f>LOOKUP(DATE($O40,AA$37,AA$36),$A$2:$A$2941,$L$2:$L$2941)</f>
        <v>1.0995737270640261E-3</v>
      </c>
      <c r="AD40" s="27">
        <v>2017</v>
      </c>
      <c r="AE40" s="28">
        <f>+P40</f>
        <v>2.0666678105875406E-3</v>
      </c>
      <c r="AF40" s="28">
        <f>+Q40</f>
        <v>1.6996668883804767E-3</v>
      </c>
      <c r="AG40" s="28">
        <f>+R40</f>
        <v>1.6623865913290372E-3</v>
      </c>
      <c r="AH40" s="28">
        <f>+S40</f>
        <v>1.5312878868836144E-3</v>
      </c>
      <c r="AI40" s="28">
        <f>+T40</f>
        <v>1.374623250407062E-3</v>
      </c>
      <c r="AJ40" s="28">
        <f>+U40</f>
        <v>1.2736534929720378E-3</v>
      </c>
      <c r="AK40" s="28">
        <f>+V40</f>
        <v>1.1242521893461259E-3</v>
      </c>
      <c r="AL40" s="28">
        <f>+W40</f>
        <v>1.0863288835021158E-3</v>
      </c>
      <c r="AM40" s="28">
        <f>+X40</f>
        <v>1.0687455238864718E-3</v>
      </c>
      <c r="AN40" s="28">
        <f>+Y40</f>
        <v>1.0556808193082983E-3</v>
      </c>
      <c r="AO40" s="28">
        <f>+Z40</f>
        <v>1.093305533184985E-3</v>
      </c>
      <c r="AP40" s="28">
        <f>+AA40</f>
        <v>1.0995737270640261E-3</v>
      </c>
      <c r="AQ40" s="29">
        <f>+K147/K136-1</f>
        <v>1.4294729948487905E-2</v>
      </c>
      <c r="AR40" s="15"/>
      <c r="AS40" s="15"/>
      <c r="BE40" s="33"/>
      <c r="BF40" s="33"/>
      <c r="BG40" s="33"/>
      <c r="BH40" s="33"/>
      <c r="BI40" s="33"/>
      <c r="BJ40" s="54"/>
    </row>
    <row r="41" spans="1:62" ht="15" customHeight="1">
      <c r="A41" s="23">
        <v>39871</v>
      </c>
      <c r="B41" s="26">
        <v>13212.09</v>
      </c>
      <c r="C41" s="31">
        <f t="shared" si="2"/>
        <v>4.9639836225202315E-3</v>
      </c>
      <c r="D41" s="25">
        <f t="shared" si="0"/>
        <v>120.62376633549832</v>
      </c>
      <c r="E41" s="25"/>
      <c r="F41" s="25"/>
      <c r="O41" s="9">
        <v>2018</v>
      </c>
      <c r="P41" s="63">
        <f>LOOKUP(DATE($O41,P$37,P$36),$A$2:$A$2941,$L$2:$L$2941)</f>
        <v>1.151568691874691E-3</v>
      </c>
      <c r="Q41" s="63">
        <f>LOOKUP(DATE($O41,Q$37,Q$36),$A$2:$A$2941,$L$2:$L$2941)</f>
        <v>1.1138344174131476E-3</v>
      </c>
      <c r="R41" s="63">
        <f>LOOKUP(DATE($O41,R$37,R$36),$A$2:$A$2941,$L$2:$L$2941)</f>
        <v>1.0695929665622971E-3</v>
      </c>
      <c r="S41" s="63">
        <f>LOOKUP(DATE($O41,S$37,S$36),$A$2:$A$2941,$L$2:$L$2941)</f>
        <v>1.0330781983873827E-3</v>
      </c>
      <c r="T41" s="63">
        <f>LOOKUP(DATE($O41,T$37,T$36),$A$2:$A$2941,$L$2:$L$2941)</f>
        <v>1.0213274756735778E-3</v>
      </c>
      <c r="U41" s="63">
        <f>LOOKUP(DATE($O41,U$37,U$36),$A$2:$A$2941,$L$2:$L$2941)</f>
        <v>1.0162455429219008E-3</v>
      </c>
      <c r="V41" s="63">
        <f>LOOKUP(DATE($O41,V$37,V$36),$A$2:$A$2941,$L$2:$L$2941)</f>
        <v>1.0156369931982414E-3</v>
      </c>
      <c r="W41" s="63">
        <f>LOOKUP(DATE($O41,W$37,W$36),$A$2:$A$2941,$L$2:$L$2941)</f>
        <v>1.0184493227322245E-3</v>
      </c>
      <c r="X41" s="63">
        <f>LOOKUP(DATE($O41,X$37,X$36),$A$2:$A$2941,$L$2:$L$2941)</f>
        <v>1.0093313224803779E-3</v>
      </c>
      <c r="Y41" s="63">
        <f>LOOKUP(DATE($O41,Y$37,Y$36),$A$2:$A$2941,$L$2:$L$2941)</f>
        <v>1.0753570818074075E-3</v>
      </c>
      <c r="Z41" s="63">
        <f>LOOKUP(DATE($O41,Z$37,Z$36),$A$2:$A$2941,$L$2:$L$2941)</f>
        <v>1.0253323058240227E-3</v>
      </c>
      <c r="AA41" s="63">
        <f>LOOKUP(DATE($O41,AA$37,AA$36),$A$2:$A$2941,$L$2:$L$2941)</f>
        <v>1.3472862452700689E-3</v>
      </c>
      <c r="AD41" s="20">
        <v>2018</v>
      </c>
      <c r="AE41" s="21">
        <f>+P41</f>
        <v>1.151568691874691E-3</v>
      </c>
      <c r="AF41" s="21">
        <f>+Q41</f>
        <v>1.1138344174131476E-3</v>
      </c>
      <c r="AG41" s="21">
        <f>+R41</f>
        <v>1.0695929665622971E-3</v>
      </c>
      <c r="AH41" s="21">
        <f>+S41</f>
        <v>1.0330781983873827E-3</v>
      </c>
      <c r="AI41" s="21">
        <f>+T41</f>
        <v>1.0213274756735778E-3</v>
      </c>
      <c r="AJ41" s="21">
        <f>+U41</f>
        <v>1.0162455429219008E-3</v>
      </c>
      <c r="AK41" s="21">
        <f>+V41</f>
        <v>1.0156369931982414E-3</v>
      </c>
      <c r="AL41" s="21">
        <f>+W41</f>
        <v>1.0184493227322245E-3</v>
      </c>
      <c r="AM41" s="21">
        <f>+X41</f>
        <v>1.0093313224803779E-3</v>
      </c>
      <c r="AN41" s="21">
        <f>+Y41</f>
        <v>1.0753570818074075E-3</v>
      </c>
      <c r="AO41" s="21">
        <f>+Z41</f>
        <v>1.0253323058240227E-3</v>
      </c>
      <c r="AP41" s="21">
        <f>+AA41</f>
        <v>1.3472862452700689E-3</v>
      </c>
      <c r="AQ41" s="22">
        <f>+K159/K148-1</f>
        <v>1.195387519015445E-2</v>
      </c>
      <c r="AR41" s="15"/>
      <c r="AS41" s="15"/>
      <c r="BE41" s="33"/>
      <c r="BF41" s="33"/>
      <c r="BG41" s="33"/>
      <c r="BH41" s="33"/>
      <c r="BI41" s="33"/>
      <c r="BJ41" s="54"/>
    </row>
    <row r="42" spans="1:62">
      <c r="A42" s="23">
        <v>39903</v>
      </c>
      <c r="B42" s="26">
        <v>13251.18</v>
      </c>
      <c r="C42" s="31">
        <f t="shared" si="2"/>
        <v>2.773737917316707E-3</v>
      </c>
      <c r="D42" s="25">
        <f t="shared" si="0"/>
        <v>120.98065029754027</v>
      </c>
      <c r="E42" s="25"/>
      <c r="F42" s="25"/>
      <c r="O42" s="9">
        <v>2019</v>
      </c>
      <c r="P42" s="61">
        <f>LOOKUP(DATE($O42,P$37,P$36),$A$2:$A$2941,$L$2:$L$2941)</f>
        <v>1.321015002584915E-3</v>
      </c>
      <c r="Q42" s="61">
        <f>LOOKUP(DATE($O42,Q$37,Q$36),$A$2:$A$2941,$L$2:$L$2941)</f>
        <v>1.3955733355753522E-3</v>
      </c>
      <c r="R42" s="61">
        <f>LOOKUP(DATE($O42,R$37,R$36),$A$2:$A$2941,$L$2:$L$2941)</f>
        <v>1.4022137431861147E-3</v>
      </c>
      <c r="S42" s="61">
        <f>LOOKUP(DATE($O42,S$37,S$36),$A$2:$A$2941,$L$2:$L$2941)</f>
        <v>1.4166869166138962E-3</v>
      </c>
      <c r="T42" s="61">
        <f>LOOKUP(DATE($O42,T$37,T$36),$A$2:$A$2941,$L$2:$L$2941)</f>
        <v>1.3232764368510004E-3</v>
      </c>
      <c r="U42" s="61">
        <f>LOOKUP(DATE($O42,U$37,U$36),$A$2:$A$2941,$L$2:$L$2941)</f>
        <v>1.1990712339520204E-3</v>
      </c>
      <c r="V42" s="61">
        <f>LOOKUP(DATE($O42,V$37,V$36),$A$2:$A$2941,$L$2:$L$2941)</f>
        <v>1.0036940371863539E-3</v>
      </c>
      <c r="W42" s="61">
        <f>LOOKUP(DATE($O42,W$37,W$36),$A$2:$A$2941,$L$2:$L$2941)</f>
        <v>9.3098055061359821E-4</v>
      </c>
      <c r="X42" s="61">
        <f>LOOKUP(DATE($O42,X$37,X$36),$A$2:$A$2941,$L$2:$L$2941)</f>
        <v>1.0683578748478251E-3</v>
      </c>
      <c r="Y42" s="61">
        <f>LOOKUP(DATE($O42,Y$37,Y$36),$A$2:$A$2941,$L$2:$L$2941)</f>
        <v>6.2927809333884223E-4</v>
      </c>
      <c r="Z42" s="61">
        <f>LOOKUP(DATE($O42,Z$37,Z$36),$A$2:$A$2941,$L$2:$L$2941)</f>
        <v>6.917263179451183E-4</v>
      </c>
      <c r="AA42" s="61">
        <f>LOOKUP(DATE($O42,AA$37,AA$36),$A$2:$A$2941,$L$2:$L$2941)</f>
        <v>6.004128193114861E-4</v>
      </c>
      <c r="AD42" s="27">
        <v>2019</v>
      </c>
      <c r="AE42" s="28">
        <f>+P42</f>
        <v>1.321015002584915E-3</v>
      </c>
      <c r="AF42" s="28">
        <f>+Q42</f>
        <v>1.3955733355753522E-3</v>
      </c>
      <c r="AG42" s="28">
        <f>+R42</f>
        <v>1.4022137431861147E-3</v>
      </c>
      <c r="AH42" s="28">
        <f>+S42</f>
        <v>1.4166869166138962E-3</v>
      </c>
      <c r="AI42" s="28">
        <f>+T42</f>
        <v>1.3232764368510004E-3</v>
      </c>
      <c r="AJ42" s="28">
        <f>+U42</f>
        <v>1.1990712339520204E-3</v>
      </c>
      <c r="AK42" s="28">
        <f>+V42</f>
        <v>1.0036940371863539E-3</v>
      </c>
      <c r="AL42" s="28">
        <f>+W42</f>
        <v>9.3098055061359821E-4</v>
      </c>
      <c r="AM42" s="28">
        <f>+X42</f>
        <v>1.0683578748478251E-3</v>
      </c>
      <c r="AN42" s="28">
        <f>+Y42</f>
        <v>6.2927809333884223E-4</v>
      </c>
      <c r="AO42" s="28">
        <f>+Z42</f>
        <v>6.917263179451183E-4</v>
      </c>
      <c r="AP42" s="28">
        <f>+AA42</f>
        <v>6.004128193114861E-4</v>
      </c>
      <c r="AQ42" s="29">
        <f>+(K171/K159-1)/COUNTA(AE42:AP42)*12</f>
        <v>1.3208385593459049E-2</v>
      </c>
      <c r="AR42" s="15"/>
      <c r="AS42" s="15"/>
      <c r="BE42" s="33"/>
      <c r="BF42" s="33"/>
      <c r="BG42" s="33"/>
      <c r="BH42" s="33"/>
      <c r="BI42" s="33"/>
      <c r="BJ42" s="54"/>
    </row>
    <row r="43" spans="1:62">
      <c r="A43" s="23">
        <v>39933</v>
      </c>
      <c r="B43" s="26">
        <v>13272.62</v>
      </c>
      <c r="C43" s="31">
        <f t="shared" si="2"/>
        <v>1.6179691167126364E-3</v>
      </c>
      <c r="D43" s="25">
        <f t="shared" si="0"/>
        <v>121.17639325344149</v>
      </c>
      <c r="E43" s="25"/>
      <c r="F43" s="25"/>
      <c r="O43" s="9">
        <v>2020</v>
      </c>
      <c r="P43" s="61">
        <f>LOOKUP(DATE($O43,P$37,P$36),$A$2:$A$2941,$L$2:$L$2941)</f>
        <v>4.9404843891394238E-4</v>
      </c>
      <c r="Q43" s="61">
        <f>LOOKUP(DATE($O43,Q$37,Q$36)+1,$A$2:$A$2941,$L$2:$L$2941)</f>
        <v>4.9289128564955866E-4</v>
      </c>
      <c r="R43" s="61">
        <f>LOOKUP(DATE($O43,R$37,R$36),$A$2:$A$2941,$L$2:$L$2941)</f>
        <v>9.1798262061139379E-4</v>
      </c>
      <c r="S43" s="61">
        <f>LOOKUP(DATE($O43,S$37,S$36),$A$2:$A$2941,$L$2:$L$2941)</f>
        <v>2.2000866331635116E-3</v>
      </c>
      <c r="T43" s="61">
        <f>LOOKUP(DATE($O43,T$37,T$36),$A$2:$A$2941,$L$2:$L$2941)</f>
        <v>3.1021086915260189E-4</v>
      </c>
      <c r="U43" s="61">
        <f>LOOKUP(DATE($O43,U$37,U$36),$A$2:$A$2941,$L$2:$L$2941)</f>
        <v>1.0010830250339886E-4</v>
      </c>
      <c r="V43" s="61">
        <f>LOOKUP(DATE($O43,V$37,V$36),$A$2:$A$2941,$L$2:$L$2941)</f>
        <v>8.7419122293085026E-5</v>
      </c>
      <c r="W43" s="61">
        <f>LOOKUP(DATE($O43,W$37,W$36),$A$2:$A$2941,$L$2:$L$2941)</f>
        <v>9.7866642521595283E-5</v>
      </c>
      <c r="X43" s="61">
        <f>LOOKUP(DATE($O43,X$37,X$36),$A$2:$A$2941,$L$2:$L$2941)</f>
        <v>7.0870692213009789E-5</v>
      </c>
      <c r="Y43" s="61">
        <f>LOOKUP(DATE($O43,Y$37,Y$36),$A$2:$A$2941,$L$2:$L$2941)</f>
        <v>6.5147737962569353E-5</v>
      </c>
      <c r="Z43" s="61">
        <f>LOOKUP(DATE($O43,Z$37,Z$36),$A$2:$A$2941,$L$2:$L$2941)</f>
        <v>6.0935890083824162E-5</v>
      </c>
      <c r="AA43" s="61">
        <f>LOOKUP(DATE($O43,AA$37,AA$36),$A$2:$A$2941,$L$2:$L$2941)</f>
        <v>5.8670803847292406E-5</v>
      </c>
      <c r="AD43" s="27">
        <v>2020</v>
      </c>
      <c r="AE43" s="28">
        <f>+P43</f>
        <v>4.9404843891394238E-4</v>
      </c>
      <c r="AF43" s="28">
        <f>+Q43</f>
        <v>4.9289128564955866E-4</v>
      </c>
      <c r="AG43" s="28">
        <f>+R43</f>
        <v>9.1798262061139379E-4</v>
      </c>
      <c r="AH43" s="28">
        <f>+S43</f>
        <v>2.2000866331635116E-3</v>
      </c>
      <c r="AI43" s="28">
        <f>+T43</f>
        <v>3.1021086915260189E-4</v>
      </c>
      <c r="AJ43" s="28">
        <f>+U43</f>
        <v>1.0010830250339886E-4</v>
      </c>
      <c r="AK43" s="28">
        <f>+V43</f>
        <v>8.7419122293085026E-5</v>
      </c>
      <c r="AL43" s="28">
        <f>+W43</f>
        <v>9.7866642521595283E-5</v>
      </c>
      <c r="AM43" s="28">
        <f>+X43</f>
        <v>7.0870692213009789E-5</v>
      </c>
      <c r="AN43" s="28">
        <f>+Y43</f>
        <v>6.5147737962569353E-5</v>
      </c>
      <c r="AO43" s="28">
        <f>+Z43</f>
        <v>6.0935890083824162E-5</v>
      </c>
      <c r="AP43" s="28">
        <f>+AA43</f>
        <v>5.8670803847292406E-5</v>
      </c>
      <c r="AQ43" s="29">
        <f>+(K183/K171-1)/COUNTA(AE43:AP43)*12</f>
        <v>5.016879430093768E-3</v>
      </c>
      <c r="AR43" s="15"/>
      <c r="AS43" s="15"/>
      <c r="BE43" s="33"/>
      <c r="BF43" s="33"/>
      <c r="BG43" s="33"/>
      <c r="BH43" s="33"/>
      <c r="BI43" s="33"/>
      <c r="BJ43" s="54"/>
    </row>
    <row r="44" spans="1:62">
      <c r="A44" s="23">
        <v>39962</v>
      </c>
      <c r="B44" s="26">
        <v>13286.96</v>
      </c>
      <c r="C44" s="31">
        <f t="shared" si="2"/>
        <v>1.1176755424791784E-3</v>
      </c>
      <c r="D44" s="25">
        <f t="shared" si="0"/>
        <v>121.30731461480453</v>
      </c>
      <c r="E44" s="25"/>
      <c r="F44" s="25"/>
      <c r="O44" s="9">
        <v>2021</v>
      </c>
      <c r="P44" s="61">
        <f>LOOKUP(DATE($O44,P$37,P$36),$A$2:$A$2941,$L$2:$L$2941)</f>
        <v>5.0167891265518984E-5</v>
      </c>
      <c r="Q44" s="61">
        <f>LOOKUP(DATE($O44,Q$37,Q$36),$A$2:$A$2941,$L$2:$L$2941)</f>
        <v>5.6326088686315632E-5</v>
      </c>
      <c r="R44" s="61">
        <f>LOOKUP(DATE($O44,R$37,R$36),$A$2:$A$2941,$L$2:$L$2941)</f>
        <v>5.229220020180354E-5</v>
      </c>
      <c r="S44" s="61">
        <f>LOOKUP(DATE($O44,S$37,S$36),$A$2:$A$2941,$L$2:$L$2941)</f>
        <v>6.6256868343383957E-5</v>
      </c>
      <c r="T44" s="61">
        <f>LOOKUP(DATE($O44,T$37,T$36),$A$2:$A$2941,$L$2:$L$2941)</f>
        <v>5.8141459223029576E-5</v>
      </c>
      <c r="U44" s="61">
        <f>LOOKUP(DATE($O44,U$37,U$36),$A$2:$A$2941,$L$2:$L$2941)</f>
        <v>5.9933297214431747E-5</v>
      </c>
      <c r="V44" s="61">
        <f>LOOKUP(DATE($O44,V$37,V$36),$A$2:$A$2941,$L$2:$L$2941)</f>
        <v>5.9888964637381502E-5</v>
      </c>
      <c r="W44" s="61">
        <f>LOOKUP(DATE($O44,W$37,W$36),$A$2:$A$2941,$L$2:$L$2941)</f>
        <v>6.0042955155997608E-5</v>
      </c>
      <c r="X44" s="61">
        <f>LOOKUP(DATE($O44,X$37,X$36),$A$2:$A$2941,$L$2:$L$2941)</f>
        <v>-1.177670351739657E-4</v>
      </c>
      <c r="Y44" s="61">
        <f>LOOKUP(DATE($O44,Y$37,Y$36),$A$2:$A$2941,$L$2:$L$2941)</f>
        <v>9.8934462740187011E-4</v>
      </c>
      <c r="Z44" s="61">
        <f>LOOKUP(DATE($O44,Z$37,Z$36),$A$2:$A$2941,$L$2:$L$2941)</f>
        <v>1.2592250239187308E-3</v>
      </c>
      <c r="AA44" s="61">
        <f>LOOKUP(DATE($O44,AA$37,AA$36),$A$2:$A$2941,$L$2:$L$2941)</f>
        <v>1.7642827878724863E-3</v>
      </c>
      <c r="AD44" s="27">
        <v>2021</v>
      </c>
      <c r="AE44" s="28">
        <f>+P44</f>
        <v>5.0167891265518984E-5</v>
      </c>
      <c r="AF44" s="28">
        <f>+Q44</f>
        <v>5.6326088686315632E-5</v>
      </c>
      <c r="AG44" s="28">
        <f>+R44</f>
        <v>5.229220020180354E-5</v>
      </c>
      <c r="AH44" s="28">
        <f>+S44</f>
        <v>6.6256868343383957E-5</v>
      </c>
      <c r="AI44" s="28">
        <f>+T44</f>
        <v>5.8141459223029576E-5</v>
      </c>
      <c r="AJ44" s="28">
        <f>+U44</f>
        <v>5.9933297214431747E-5</v>
      </c>
      <c r="AK44" s="28">
        <f>+V44</f>
        <v>5.9888964637381502E-5</v>
      </c>
      <c r="AL44" s="28">
        <f>+W44</f>
        <v>6.0042955155997608E-5</v>
      </c>
      <c r="AM44" s="28">
        <f>+X44</f>
        <v>-1.177670351739657E-4</v>
      </c>
      <c r="AN44" s="28">
        <f>+Y44</f>
        <v>9.8934462740187011E-4</v>
      </c>
      <c r="AO44" s="28">
        <f>+Z44</f>
        <v>1.2592250239187308E-3</v>
      </c>
      <c r="AP44" s="28">
        <f>+AA44</f>
        <v>1.7642827878724863E-3</v>
      </c>
      <c r="AQ44" s="29">
        <f>+(K195/K183-1)/COUNTA(AE44:AP44)*12</f>
        <v>4.4624510187976085E-3</v>
      </c>
      <c r="AR44" s="15"/>
      <c r="AS44" s="15"/>
      <c r="BD44" s="33"/>
      <c r="BE44" s="33"/>
      <c r="BF44" s="33"/>
      <c r="BG44" s="33"/>
      <c r="BH44" s="33"/>
      <c r="BI44" s="33"/>
      <c r="BJ44" s="54"/>
    </row>
    <row r="45" spans="1:62" ht="15.75" customHeight="1">
      <c r="A45" s="23">
        <v>39994</v>
      </c>
      <c r="B45" s="26">
        <v>13299.08</v>
      </c>
      <c r="C45" s="31">
        <f t="shared" si="2"/>
        <v>8.5516175257552285E-4</v>
      </c>
      <c r="D45" s="25">
        <f t="shared" si="0"/>
        <v>121.41796781562182</v>
      </c>
      <c r="E45" s="25"/>
      <c r="F45" s="25"/>
      <c r="O45" s="9">
        <v>2022</v>
      </c>
      <c r="P45" s="61">
        <f>LOOKUP(DATE($O45,P$37,P$36),$A$2:$A$2941,$L$2:$L$2941)</f>
        <v>2.4887105780919826E-3</v>
      </c>
      <c r="Q45" s="61">
        <f>LOOKUP(DATE($O45,Q$37,Q$36),$A$2:$A$2941,$L$2:$L$2941)</f>
        <v>3.5360838485577945E-3</v>
      </c>
      <c r="R45" s="61">
        <f>LOOKUP(DATE($O45,R$37,R$36),$A$2:$A$2941,$L$2:$L$2941)</f>
        <v>3.6702644977257191E-3</v>
      </c>
      <c r="S45" s="61">
        <f>LOOKUP(DATE($O45,S$37,S$36),$A$2:$A$2941,$L$2:$L$2941)</f>
        <v>4.5716132579094459E-3</v>
      </c>
      <c r="T45" s="61">
        <f>+L200</f>
        <v>5.3328000823584729E-3</v>
      </c>
      <c r="U45" s="61">
        <f>+L201</f>
        <v>5.8835914511081722E-3</v>
      </c>
      <c r="V45" s="61">
        <f>+L202</f>
        <v>6.3018066910423788E-3</v>
      </c>
      <c r="W45" s="61">
        <f>+L203</f>
        <v>6.8036664825705234E-3</v>
      </c>
      <c r="X45" s="61">
        <f>+L204</f>
        <v>7.3357454740365924E-3</v>
      </c>
      <c r="Y45" s="61">
        <f>+L205</f>
        <v>7.7595565631868469E-3</v>
      </c>
      <c r="Z45" s="61">
        <f>+L206</f>
        <v>7.9470951784548823E-3</v>
      </c>
      <c r="AA45" s="61">
        <f>+L207</f>
        <v>7.9281719511867799E-3</v>
      </c>
      <c r="AD45" s="27">
        <v>2022</v>
      </c>
      <c r="AE45" s="28">
        <f>+P45</f>
        <v>2.4887105780919826E-3</v>
      </c>
      <c r="AF45" s="28">
        <f>+Q45</f>
        <v>3.5360838485577945E-3</v>
      </c>
      <c r="AG45" s="28">
        <f>+R45</f>
        <v>3.6702644977257191E-3</v>
      </c>
      <c r="AH45" s="28">
        <f>+S45</f>
        <v>4.5716132579094459E-3</v>
      </c>
      <c r="AI45" s="28">
        <f>+T45</f>
        <v>5.3328000823584729E-3</v>
      </c>
      <c r="AJ45" s="28">
        <f>+U45</f>
        <v>5.8835914511081722E-3</v>
      </c>
      <c r="AK45" s="28">
        <f>+V45</f>
        <v>6.3018066910423788E-3</v>
      </c>
      <c r="AL45" s="28">
        <f>+W45</f>
        <v>6.8036664825705234E-3</v>
      </c>
      <c r="AM45" s="28">
        <f>+X45</f>
        <v>7.3357454740365924E-3</v>
      </c>
      <c r="AN45" s="28">
        <f>+Y45</f>
        <v>7.7595565631868469E-3</v>
      </c>
      <c r="AO45" s="28">
        <f>+Z45</f>
        <v>7.9470951784548823E-3</v>
      </c>
      <c r="AP45" s="28">
        <f>+AA45</f>
        <v>7.9281719511867799E-3</v>
      </c>
      <c r="AQ45" s="29">
        <f>+(K207/K195-1)/COUNTA(AE45:AP45)*12</f>
        <v>7.2716429569050778E-2</v>
      </c>
      <c r="AR45" s="15"/>
      <c r="AS45" s="15"/>
      <c r="BD45" s="33"/>
      <c r="BE45" s="33"/>
      <c r="BF45" s="33"/>
      <c r="BG45" s="33"/>
      <c r="BH45" s="33"/>
      <c r="BI45" s="33"/>
      <c r="BJ45" s="54"/>
    </row>
    <row r="46" spans="1:62">
      <c r="A46" s="23">
        <v>40025</v>
      </c>
      <c r="B46" s="26">
        <v>13305.34</v>
      </c>
      <c r="C46" s="31">
        <f t="shared" si="2"/>
        <v>4.5552508264703405E-4</v>
      </c>
      <c r="D46" s="25">
        <f t="shared" si="0"/>
        <v>121.47512037644002</v>
      </c>
      <c r="E46" s="25"/>
      <c r="F46" s="25"/>
      <c r="O46" s="9">
        <v>2023</v>
      </c>
      <c r="P46" s="61">
        <f>+L208</f>
        <v>7.9137303338899789E-3</v>
      </c>
      <c r="Q46" s="61">
        <f>+L209</f>
        <v>7.9154666268472455E-3</v>
      </c>
      <c r="R46" s="71">
        <f>+L210</f>
        <v>7.9455277190181878E-3</v>
      </c>
      <c r="S46" s="61">
        <f>+L211</f>
        <v>7.9909061585437761E-3</v>
      </c>
      <c r="T46" s="71">
        <f>+L212</f>
        <v>8.0227967463225077E-3</v>
      </c>
      <c r="U46" s="71">
        <f>+L213</f>
        <v>8.0028913540715063E-3</v>
      </c>
      <c r="V46" s="71">
        <f>+L214</f>
        <v>7.9398117033956418E-3</v>
      </c>
      <c r="W46" s="71">
        <f>+L215</f>
        <v>7.3512441107239221E-3</v>
      </c>
      <c r="X46" s="71">
        <f>+L216</f>
        <v>6.7848226130593492E-3</v>
      </c>
      <c r="Y46" s="71">
        <f>+L217</f>
        <v>6.4607251902496039E-3</v>
      </c>
      <c r="Z46" s="71">
        <f>+L218</f>
        <v>6.1695672319295181E-3</v>
      </c>
      <c r="AA46" s="71">
        <f>+L219</f>
        <v>5.9047276102804306E-3</v>
      </c>
      <c r="AD46" s="27">
        <v>2023</v>
      </c>
      <c r="AE46" s="28">
        <f>+P46</f>
        <v>7.9137303338899789E-3</v>
      </c>
      <c r="AF46" s="28">
        <f>+Q46</f>
        <v>7.9154666268472455E-3</v>
      </c>
      <c r="AG46" s="28">
        <f>+R46</f>
        <v>7.9455277190181878E-3</v>
      </c>
      <c r="AH46" s="28">
        <f>+S46</f>
        <v>7.9909061585437761E-3</v>
      </c>
      <c r="AI46" s="28">
        <f>+T46</f>
        <v>8.0227967463225077E-3</v>
      </c>
      <c r="AJ46" s="28">
        <f>+U46</f>
        <v>8.0028913540715063E-3</v>
      </c>
      <c r="AK46" s="28">
        <f>+V46</f>
        <v>7.9398117033956418E-3</v>
      </c>
      <c r="AL46" s="28">
        <f>+W46</f>
        <v>7.3512441107239221E-3</v>
      </c>
      <c r="AM46" s="28">
        <f>+X46</f>
        <v>6.7848226130593492E-3</v>
      </c>
      <c r="AN46" s="28">
        <f>+Y46</f>
        <v>6.4607251902496039E-3</v>
      </c>
      <c r="AO46" s="28">
        <f>+Z46</f>
        <v>6.1695672319295181E-3</v>
      </c>
      <c r="AP46" s="28">
        <f>+AA46</f>
        <v>5.9047276102804306E-3</v>
      </c>
      <c r="AQ46" s="29">
        <f>+(K219/K207-1)/COUNTA(AE46:AP46)*12</f>
        <v>9.364840576365796E-2</v>
      </c>
      <c r="AR46" s="15"/>
      <c r="AS46" s="15"/>
      <c r="BD46" s="33"/>
      <c r="BE46" s="33"/>
      <c r="BF46" s="33"/>
      <c r="BG46" s="33"/>
      <c r="BH46" s="33"/>
      <c r="BI46" s="33"/>
      <c r="BJ46" s="54"/>
    </row>
    <row r="47" spans="1:62">
      <c r="A47" s="23">
        <v>40056</v>
      </c>
      <c r="B47" s="26">
        <v>13310.07</v>
      </c>
      <c r="C47" s="31">
        <f t="shared" si="2"/>
        <v>3.4402873995243246E-4</v>
      </c>
      <c r="D47" s="25">
        <f t="shared" si="0"/>
        <v>121.5183043401253</v>
      </c>
      <c r="E47" s="25"/>
      <c r="F47" s="25"/>
      <c r="O47" s="9">
        <v>2024</v>
      </c>
      <c r="P47" s="71">
        <f>+L220</f>
        <v>5.6825126629855838E-3</v>
      </c>
      <c r="Q47" s="71">
        <f>+L221</f>
        <v>5.2602525212990022E-3</v>
      </c>
      <c r="R47" s="71">
        <f>+L222</f>
        <v>4.7680173791462112E-3</v>
      </c>
      <c r="S47" s="61">
        <f>+L223</f>
        <v>4.2910218487362591E-3</v>
      </c>
      <c r="T47" s="71">
        <f>+L224</f>
        <v>4.0333517960835794E-3</v>
      </c>
      <c r="U47" s="71">
        <f>+L225</f>
        <v>3.6501931277677091E-3</v>
      </c>
      <c r="V47" s="71">
        <f>+L226</f>
        <v>3.516896201691893E-3</v>
      </c>
      <c r="W47" s="71">
        <f>+L227</f>
        <v>3.5106478218695273E-3</v>
      </c>
      <c r="X47" s="71">
        <f>+L228</f>
        <v>3.3754452875442986E-3</v>
      </c>
      <c r="Y47" s="71">
        <f>+L229</f>
        <v>3.3007867700120667E-3</v>
      </c>
      <c r="Z47" s="71">
        <f>+L230</f>
        <v>3.220374604913312E-3</v>
      </c>
      <c r="AA47" s="71">
        <f>+L231</f>
        <v>3.1256670019151563E-3</v>
      </c>
      <c r="AD47" s="27">
        <v>2024</v>
      </c>
      <c r="AE47" s="28">
        <f>+P47</f>
        <v>5.6825126629855838E-3</v>
      </c>
      <c r="AF47" s="28">
        <f>+Q47</f>
        <v>5.2602525212990022E-3</v>
      </c>
      <c r="AG47" s="28">
        <f>+R47</f>
        <v>4.7680173791462112E-3</v>
      </c>
      <c r="AH47" s="28">
        <f>+S47</f>
        <v>4.2910218487362591E-3</v>
      </c>
      <c r="AI47" s="28">
        <f>+T47</f>
        <v>4.0333517960835794E-3</v>
      </c>
      <c r="AJ47" s="28">
        <f>+U47</f>
        <v>3.6501931277677091E-3</v>
      </c>
      <c r="AK47" s="28">
        <f>+V47</f>
        <v>3.516896201691893E-3</v>
      </c>
      <c r="AL47" s="28">
        <f>+W47</f>
        <v>3.5106478218695273E-3</v>
      </c>
      <c r="AM47" s="28">
        <f>+X47</f>
        <v>3.3754452875442986E-3</v>
      </c>
      <c r="AN47" s="28">
        <f>+Y47</f>
        <v>3.3007867700120667E-3</v>
      </c>
      <c r="AO47" s="28">
        <f>+Z47</f>
        <v>3.220374604913312E-3</v>
      </c>
      <c r="AP47" s="28">
        <f>+AA47</f>
        <v>3.1256670019151563E-3</v>
      </c>
      <c r="AQ47" s="29">
        <f>+(K231/K219-1)/COUNTA(AE47:AP47)*12</f>
        <v>4.9529562919770731E-2</v>
      </c>
      <c r="AR47" s="15"/>
      <c r="AS47" s="15"/>
      <c r="BD47" s="33"/>
      <c r="BE47" s="33"/>
      <c r="BF47" s="33"/>
      <c r="BG47" s="33"/>
      <c r="BH47" s="33"/>
      <c r="BI47" s="33"/>
      <c r="BJ47" s="54"/>
    </row>
    <row r="48" spans="1:62">
      <c r="A48" s="23">
        <v>40086</v>
      </c>
      <c r="B48" s="26">
        <v>13315.05</v>
      </c>
      <c r="C48" s="31">
        <f t="shared" si="2"/>
        <v>3.7415280310315602E-4</v>
      </c>
      <c r="D48" s="25">
        <f t="shared" si="0"/>
        <v>121.56377075432249</v>
      </c>
      <c r="E48" s="25"/>
      <c r="F48" s="25"/>
      <c r="O48" s="9">
        <v>2025</v>
      </c>
      <c r="P48" s="71">
        <f>+L232</f>
        <v>2.9227841942386906E-3</v>
      </c>
      <c r="R48" s="23"/>
      <c r="S48" s="62"/>
      <c r="AD48" s="27">
        <v>2025</v>
      </c>
      <c r="AE48" s="28">
        <f>+P48</f>
        <v>2.9227841942386906E-3</v>
      </c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9">
        <f>+(K232/K231-1)/COUNTA(AE48:AP48)*12</f>
        <v>3.6242524008559762E-2</v>
      </c>
      <c r="AR48" s="15"/>
      <c r="AS48" s="15"/>
      <c r="BD48" s="33"/>
      <c r="BE48" s="33"/>
      <c r="BF48" s="33"/>
      <c r="BG48" s="33"/>
      <c r="BH48" s="33"/>
      <c r="BI48" s="33"/>
      <c r="BJ48" s="54"/>
    </row>
    <row r="49" spans="1:63">
      <c r="A49" s="23">
        <v>40116</v>
      </c>
      <c r="B49" s="26">
        <v>13319.74</v>
      </c>
      <c r="C49" s="31">
        <f t="shared" si="2"/>
        <v>3.522329995007123E-4</v>
      </c>
      <c r="D49" s="25">
        <f t="shared" si="0"/>
        <v>121.60658952592591</v>
      </c>
      <c r="E49" s="25"/>
      <c r="F49" s="25"/>
      <c r="R49" s="23"/>
      <c r="S49" s="62"/>
      <c r="AD49" s="32" t="s">
        <v>49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BD49" s="33"/>
      <c r="BE49" s="33"/>
      <c r="BF49" s="33"/>
      <c r="BG49" s="33"/>
      <c r="BH49" s="33"/>
      <c r="BI49" s="33"/>
      <c r="BJ49" s="54"/>
      <c r="BK49" s="56"/>
    </row>
    <row r="50" spans="1:63">
      <c r="A50" s="23">
        <v>40147</v>
      </c>
      <c r="B50" s="26">
        <v>13324.51</v>
      </c>
      <c r="C50" s="31">
        <f t="shared" si="2"/>
        <v>3.4656299839617581E-4</v>
      </c>
      <c r="D50" s="25">
        <f t="shared" si="0"/>
        <v>121.65013868169312</v>
      </c>
      <c r="E50" s="25"/>
      <c r="F50" s="25"/>
      <c r="R50" s="23"/>
      <c r="S50" s="62"/>
      <c r="AD50" s="32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BD50" s="33"/>
      <c r="BE50" s="33"/>
      <c r="BF50" s="33"/>
      <c r="BG50" s="33"/>
      <c r="BH50" s="33"/>
      <c r="BI50" s="33"/>
      <c r="BJ50" s="54"/>
      <c r="BK50" s="56"/>
    </row>
    <row r="51" spans="1:63">
      <c r="A51" s="23">
        <v>40178</v>
      </c>
      <c r="B51" s="26">
        <v>13329.5</v>
      </c>
      <c r="C51" s="31">
        <f t="shared" si="2"/>
        <v>3.6241724896941336E-4</v>
      </c>
      <c r="D51" s="25">
        <f t="shared" si="0"/>
        <v>121.69569639391081</v>
      </c>
      <c r="E51" s="25"/>
      <c r="F51" s="25"/>
      <c r="R51" s="23"/>
      <c r="S51" s="62"/>
      <c r="AD51" s="32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63">
      <c r="A52" s="23">
        <v>40207</v>
      </c>
      <c r="B52" s="26">
        <v>13334.25</v>
      </c>
      <c r="C52" s="31">
        <f t="shared" si="2"/>
        <v>3.6864046689279314E-4</v>
      </c>
      <c r="D52" s="25">
        <f t="shared" si="0"/>
        <v>121.73906295363706</v>
      </c>
      <c r="E52" s="25"/>
      <c r="F52" s="25"/>
      <c r="R52" s="23"/>
      <c r="S52" s="62"/>
      <c r="AD52" s="32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63">
      <c r="A53" s="23">
        <v>40235</v>
      </c>
      <c r="B53" s="26">
        <v>13338.53</v>
      </c>
      <c r="C53" s="31">
        <f t="shared" si="2"/>
        <v>3.4390492796473486E-4</v>
      </c>
      <c r="D53" s="25">
        <f t="shared" si="0"/>
        <v>121.77813850640091</v>
      </c>
      <c r="E53" s="25"/>
      <c r="F53" s="25"/>
      <c r="R53" s="23"/>
      <c r="S53" s="62"/>
      <c r="AC53" s="49" t="s">
        <v>8</v>
      </c>
      <c r="AD53" s="50" t="s">
        <v>9</v>
      </c>
      <c r="AE53" s="50" t="s">
        <v>10</v>
      </c>
      <c r="AF53" s="50" t="s">
        <v>11</v>
      </c>
      <c r="AG53" s="50" t="s">
        <v>12</v>
      </c>
      <c r="AH53" s="50" t="s">
        <v>13</v>
      </c>
      <c r="AI53" s="50" t="s">
        <v>14</v>
      </c>
      <c r="AJ53" s="50" t="s">
        <v>15</v>
      </c>
      <c r="AK53" s="50" t="s">
        <v>16</v>
      </c>
      <c r="AL53" s="50" t="s">
        <v>17</v>
      </c>
      <c r="AM53" s="50" t="s">
        <v>18</v>
      </c>
      <c r="AN53" s="50" t="s">
        <v>19</v>
      </c>
      <c r="AO53" s="50" t="s">
        <v>20</v>
      </c>
      <c r="AP53" s="50" t="s">
        <v>21</v>
      </c>
      <c r="AQ53" s="50" t="s">
        <v>22</v>
      </c>
      <c r="AR53" s="15"/>
      <c r="AS53" s="15"/>
    </row>
    <row r="54" spans="1:63">
      <c r="A54" s="23">
        <v>40268</v>
      </c>
      <c r="B54" s="26">
        <v>13343.79</v>
      </c>
      <c r="C54" s="31">
        <f t="shared" si="2"/>
        <v>3.58496639571185E-4</v>
      </c>
      <c r="D54" s="25">
        <f t="shared" si="0"/>
        <v>121.82616126517148</v>
      </c>
      <c r="E54" s="25"/>
      <c r="F54" s="25"/>
      <c r="R54" s="23"/>
      <c r="S54" s="62"/>
      <c r="AC54" s="51">
        <v>2013</v>
      </c>
      <c r="AD54" s="51" t="s">
        <v>23</v>
      </c>
      <c r="AE54" s="64">
        <f>AE9</f>
        <v>4.5686050240374559E-3</v>
      </c>
      <c r="AF54" s="64">
        <f>AF9</f>
        <v>4.1745326612116105E-3</v>
      </c>
      <c r="AG54" s="64">
        <f>AG9</f>
        <v>4.0293873070195892E-3</v>
      </c>
      <c r="AH54" s="64">
        <f>AH9</f>
        <v>4.3013617956598471E-3</v>
      </c>
      <c r="AI54" s="64">
        <f>AI9</f>
        <v>4.1869113997177049E-3</v>
      </c>
      <c r="AJ54" s="64">
        <f>AJ9</f>
        <v>4.1758642922896348E-3</v>
      </c>
      <c r="AK54" s="64">
        <f>AK9</f>
        <v>4.1935429783752035E-3</v>
      </c>
      <c r="AL54" s="64">
        <f>AL9</f>
        <v>4.1770099093310087E-3</v>
      </c>
      <c r="AM54" s="64">
        <f>AM9</f>
        <v>4.1760313493467392E-3</v>
      </c>
      <c r="AN54" s="64">
        <f>AN9</f>
        <v>3.958804856991985E-3</v>
      </c>
      <c r="AO54" s="64">
        <f>AO9</f>
        <v>4.037009780426537E-3</v>
      </c>
      <c r="AP54" s="64">
        <f>AP9</f>
        <v>3.6395153140621889E-3</v>
      </c>
      <c r="AQ54" s="52">
        <f>AQ9</f>
        <v>5.1480393340577635E-2</v>
      </c>
      <c r="AR54" s="15"/>
      <c r="AS54" s="15"/>
    </row>
    <row r="55" spans="1:63">
      <c r="A55" s="23">
        <v>40298</v>
      </c>
      <c r="B55" s="26">
        <v>13348.63</v>
      </c>
      <c r="C55" s="31">
        <f t="shared" si="2"/>
        <v>3.6271554033739939E-4</v>
      </c>
      <c r="D55" s="25">
        <f t="shared" si="0"/>
        <v>121.87034950708198</v>
      </c>
      <c r="E55" s="25"/>
      <c r="F55" s="25"/>
      <c r="R55" s="23"/>
      <c r="S55" s="62"/>
      <c r="AC55" s="53">
        <v>2014</v>
      </c>
      <c r="AD55" s="53" t="s">
        <v>23</v>
      </c>
      <c r="AE55" s="65">
        <f>AE10</f>
        <v>3.8751212891769038E-3</v>
      </c>
      <c r="AF55" s="65">
        <f>AF10</f>
        <v>3.6775267849482279E-3</v>
      </c>
      <c r="AG55" s="65">
        <f>AG10</f>
        <v>3.4352835815568226E-3</v>
      </c>
      <c r="AH55" s="65">
        <f>AH10</f>
        <v>3.3378489992446081E-3</v>
      </c>
      <c r="AI55" s="65">
        <f>AI10</f>
        <v>3.3374356897462043E-3</v>
      </c>
      <c r="AJ55" s="65">
        <f>AJ10</f>
        <v>3.3379196282979163E-3</v>
      </c>
      <c r="AK55" s="65">
        <f>AK10</f>
        <v>3.2430280488378181E-3</v>
      </c>
      <c r="AL55" s="65">
        <f>AL10</f>
        <v>3.0506691872881088E-3</v>
      </c>
      <c r="AM55" s="65">
        <f>AM10</f>
        <v>2.7827262259823987E-3</v>
      </c>
      <c r="AN55" s="65">
        <f>AN10</f>
        <v>2.5447712138483617E-3</v>
      </c>
      <c r="AO55" s="65">
        <f>AO10</f>
        <v>2.5957616712057874E-3</v>
      </c>
      <c r="AP55" s="65">
        <f>AP10</f>
        <v>2.4283310664990391E-3</v>
      </c>
      <c r="AQ55" s="52">
        <f>AQ10</f>
        <v>3.8774075510599859E-2</v>
      </c>
      <c r="AR55" s="55"/>
      <c r="AS55" s="47"/>
    </row>
    <row r="56" spans="1:63">
      <c r="A56" s="23">
        <v>40329</v>
      </c>
      <c r="B56" s="26">
        <v>13353.5</v>
      </c>
      <c r="C56" s="31">
        <f t="shared" si="2"/>
        <v>3.5306269076350988E-4</v>
      </c>
      <c r="D56" s="25">
        <f t="shared" si="0"/>
        <v>121.91481164305395</v>
      </c>
      <c r="E56" s="25"/>
      <c r="F56" s="25"/>
      <c r="R56" s="23"/>
      <c r="S56" s="62"/>
      <c r="AC56" s="51">
        <v>2015</v>
      </c>
      <c r="AD56" s="51" t="s">
        <v>23</v>
      </c>
      <c r="AE56" s="64">
        <f>AE11</f>
        <v>2.5891255498666776E-3</v>
      </c>
      <c r="AF56" s="64">
        <f>AF11</f>
        <v>2.5017599386766604E-3</v>
      </c>
      <c r="AG56" s="64">
        <f>AG11</f>
        <v>2.5047712110351505E-3</v>
      </c>
      <c r="AH56" s="64">
        <f>AH11</f>
        <v>2.5049535303691695E-3</v>
      </c>
      <c r="AI56" s="64">
        <f>AI11</f>
        <v>2.5018390109991843E-3</v>
      </c>
      <c r="AJ56" s="64">
        <f>AJ11</f>
        <v>2.5023319466994237E-3</v>
      </c>
      <c r="AK56" s="64">
        <f>AK11</f>
        <v>2.5012498444402483E-3</v>
      </c>
      <c r="AL56" s="64">
        <f>AL11</f>
        <v>2.5006402429167945E-3</v>
      </c>
      <c r="AM56" s="64">
        <f>AM11</f>
        <v>2.5057257397729238E-3</v>
      </c>
      <c r="AN56" s="64">
        <f>AN11</f>
        <v>2.6027066708762536E-3</v>
      </c>
      <c r="AO56" s="64">
        <f>AO11</f>
        <v>2.712097391237853E-3</v>
      </c>
      <c r="AP56" s="64">
        <f>AP11</f>
        <v>2.7022069178693799E-3</v>
      </c>
      <c r="AQ56" s="52">
        <f>AQ11</f>
        <v>3.1506145181407819E-2</v>
      </c>
      <c r="AR56" s="15"/>
      <c r="AS56" s="47"/>
    </row>
    <row r="57" spans="1:63">
      <c r="A57" s="23">
        <v>40359</v>
      </c>
      <c r="B57" s="26">
        <v>13360.9</v>
      </c>
      <c r="C57" s="31">
        <f>(B57/B56-1)/(A57-A56)*30</f>
        <v>5.5416183023182519E-4</v>
      </c>
      <c r="D57" s="25">
        <f t="shared" si="0"/>
        <v>121.98237217820645</v>
      </c>
      <c r="E57" s="25"/>
      <c r="F57" s="25"/>
      <c r="R57" s="23"/>
      <c r="S57" s="62"/>
      <c r="AC57" s="53">
        <v>2016</v>
      </c>
      <c r="AD57" s="53" t="s">
        <v>23</v>
      </c>
      <c r="AE57" s="65">
        <f>AE12</f>
        <v>3.0221777466712088E-3</v>
      </c>
      <c r="AF57" s="65">
        <f>AF12</f>
        <v>2.9206457001506431E-3</v>
      </c>
      <c r="AG57" s="65">
        <f>AG12</f>
        <v>2.9210217016066354E-3</v>
      </c>
      <c r="AH57" s="65">
        <f>AH12</f>
        <v>2.920186433719699E-3</v>
      </c>
      <c r="AI57" s="65">
        <f>AI12</f>
        <v>2.9214010721807099E-3</v>
      </c>
      <c r="AJ57" s="65">
        <f>AJ12</f>
        <v>2.9205377918999353E-3</v>
      </c>
      <c r="AK57" s="65">
        <f>AK12</f>
        <v>2.8984680399326843E-3</v>
      </c>
      <c r="AL57" s="65">
        <f>AL12</f>
        <v>2.9428576055883799E-3</v>
      </c>
      <c r="AM57" s="65">
        <f>AM12</f>
        <v>2.9201145489490266E-3</v>
      </c>
      <c r="AN57" s="65">
        <f>AN12</f>
        <v>2.920905502770276E-3</v>
      </c>
      <c r="AO57" s="65">
        <f>AO12</f>
        <v>2.9201880756000165E-3</v>
      </c>
      <c r="AP57" s="65">
        <f>AP12</f>
        <v>2.9421140182199269E-3</v>
      </c>
      <c r="AQ57" s="52">
        <f>AQ12</f>
        <v>3.6343837890229658E-2</v>
      </c>
      <c r="AR57" s="15"/>
      <c r="AS57" s="47"/>
    </row>
    <row r="58" spans="1:63">
      <c r="A58" s="23">
        <v>40389</v>
      </c>
      <c r="B58" s="26">
        <v>13373.99</v>
      </c>
      <c r="C58" s="31">
        <f t="shared" si="2"/>
        <v>9.7972441976224012E-4</v>
      </c>
      <c r="D58" s="25">
        <f t="shared" si="0"/>
        <v>122.10188128700995</v>
      </c>
      <c r="E58" s="25"/>
      <c r="F58" s="25"/>
      <c r="R58" s="23"/>
      <c r="S58" s="62"/>
      <c r="AC58" s="88">
        <v>2017</v>
      </c>
      <c r="AD58" s="51" t="s">
        <v>23</v>
      </c>
      <c r="AE58" s="64">
        <f>+AE13</f>
        <v>2.8031040661927633E-3</v>
      </c>
      <c r="AF58" s="64">
        <f>+AF13</f>
        <v>2.6801993719728829E-3</v>
      </c>
      <c r="AG58" s="64">
        <f>+AG13</f>
        <v>2.6149568157032219E-3</v>
      </c>
      <c r="AH58" s="64">
        <f>+AH13</f>
        <v>2.254912855054636E-3</v>
      </c>
      <c r="AI58" s="64">
        <f>+AI13</f>
        <v>2.3588404299198615E-3</v>
      </c>
      <c r="AJ58" s="64">
        <f>+AJ13</f>
        <v>2.0872575760926271E-3</v>
      </c>
      <c r="AK58" s="64">
        <f>+AK13</f>
        <v>2.0869268384615313E-3</v>
      </c>
      <c r="AL58" s="64">
        <f>+AL13</f>
        <v>2.0846223682533241E-3</v>
      </c>
      <c r="AM58" s="64">
        <f>+AM13</f>
        <v>2.0825098076344695E-3</v>
      </c>
      <c r="AN58" s="64">
        <f>+AN13</f>
        <v>2.0882441238917289E-3</v>
      </c>
      <c r="AO58" s="64">
        <f>+AO13</f>
        <v>2.0859580844203585E-3</v>
      </c>
      <c r="AP58" s="64">
        <f>+AP13</f>
        <v>8.7364025734307325E-4</v>
      </c>
      <c r="AQ58" s="52">
        <f>+AQ40</f>
        <v>1.4294729948487905E-2</v>
      </c>
      <c r="AR58" s="15"/>
      <c r="AS58" s="47"/>
    </row>
    <row r="59" spans="1:63">
      <c r="A59" s="23">
        <v>40421</v>
      </c>
      <c r="B59" s="26">
        <v>13395.21</v>
      </c>
      <c r="C59" s="31">
        <f t="shared" si="2"/>
        <v>1.4874955043334137E-3</v>
      </c>
      <c r="D59" s="25">
        <f t="shared" si="0"/>
        <v>122.29561568646068</v>
      </c>
      <c r="E59" s="25"/>
      <c r="F59" s="25"/>
      <c r="R59" s="23"/>
      <c r="S59" s="62"/>
      <c r="AC59" s="88"/>
      <c r="AD59" s="51" t="s">
        <v>24</v>
      </c>
      <c r="AE59" s="64">
        <f>+AE40</f>
        <v>2.0666678105875406E-3</v>
      </c>
      <c r="AF59" s="64">
        <f>+AF40</f>
        <v>1.6996668883804767E-3</v>
      </c>
      <c r="AG59" s="64">
        <f>+AG40</f>
        <v>1.6623865913290372E-3</v>
      </c>
      <c r="AH59" s="64">
        <f>+AH40</f>
        <v>1.5312878868836144E-3</v>
      </c>
      <c r="AI59" s="64">
        <f>+AI40</f>
        <v>1.374623250407062E-3</v>
      </c>
      <c r="AJ59" s="64">
        <f>+AJ40</f>
        <v>1.2736534929720378E-3</v>
      </c>
      <c r="AK59" s="64">
        <f>+AK40</f>
        <v>1.1242521893461259E-3</v>
      </c>
      <c r="AL59" s="64">
        <f>+AL40</f>
        <v>1.0863288835021158E-3</v>
      </c>
      <c r="AM59" s="64">
        <f>+AM40</f>
        <v>1.0687455238864718E-3</v>
      </c>
      <c r="AN59" s="64">
        <f>+AN40</f>
        <v>1.0556808193082983E-3</v>
      </c>
      <c r="AO59" s="64">
        <f>+AO40</f>
        <v>1.093305533184985E-3</v>
      </c>
      <c r="AP59" s="64">
        <f>+AP40</f>
        <v>1.0995737270640261E-3</v>
      </c>
      <c r="AQ59" s="52">
        <f>+AQ40</f>
        <v>1.4294729948487905E-2</v>
      </c>
      <c r="AR59" s="55"/>
      <c r="AS59" s="15"/>
    </row>
    <row r="60" spans="1:63">
      <c r="A60" s="23">
        <v>40451</v>
      </c>
      <c r="B60" s="26">
        <v>13419.79</v>
      </c>
      <c r="C60" s="31">
        <f t="shared" si="2"/>
        <v>1.8349842966256527E-3</v>
      </c>
      <c r="D60" s="25">
        <f t="shared" si="0"/>
        <v>122.52002622079149</v>
      </c>
      <c r="E60" s="25"/>
      <c r="F60" s="25"/>
      <c r="R60" s="23"/>
      <c r="S60" s="62"/>
      <c r="AC60" s="88"/>
      <c r="AD60" s="51" t="s">
        <v>46</v>
      </c>
      <c r="AE60" s="64">
        <f>+AE28</f>
        <v>2.8523740983765755E-3</v>
      </c>
      <c r="AF60" s="64">
        <f>+AF28</f>
        <v>1.9306657533529098E-3</v>
      </c>
      <c r="AG60" s="64">
        <f>+AG28</f>
        <v>2.2981287149563324E-3</v>
      </c>
      <c r="AH60" s="64">
        <f>+AH28</f>
        <v>1.8517416685750465E-3</v>
      </c>
      <c r="AI60" s="64">
        <f>+AI28</f>
        <v>1.3760143302873804E-3</v>
      </c>
      <c r="AJ60" s="64">
        <f>+AJ28</f>
        <v>6.6078033528012003E-3</v>
      </c>
      <c r="AK60" s="64">
        <f>+AK28</f>
        <v>3.0924433563774404E-3</v>
      </c>
      <c r="AL60" s="64">
        <f>+AL28</f>
        <v>2.9391556346925274E-3</v>
      </c>
      <c r="AM60" s="64">
        <f>+AM28</f>
        <v>2.4336778765221556E-3</v>
      </c>
      <c r="AN60" s="64">
        <f>+AN28</f>
        <v>2.0375806777325309E-3</v>
      </c>
      <c r="AO60" s="64">
        <f>+AO28</f>
        <v>2.4456531003740345E-3</v>
      </c>
      <c r="AP60" s="64">
        <f>+AP28</f>
        <v>2.3755021209828373E-3</v>
      </c>
      <c r="AQ60" s="52">
        <f>+AQ28</f>
        <v>3.0125384043129921E-2</v>
      </c>
      <c r="AR60" s="55"/>
      <c r="AS60" s="15"/>
    </row>
    <row r="61" spans="1:63">
      <c r="A61" s="23">
        <v>40480</v>
      </c>
      <c r="B61" s="26">
        <v>13448.69</v>
      </c>
      <c r="C61" s="31">
        <f t="shared" si="2"/>
        <v>2.2277957944302094E-3</v>
      </c>
      <c r="D61" s="25">
        <f t="shared" si="0"/>
        <v>122.78387749996807</v>
      </c>
      <c r="E61" s="25"/>
      <c r="F61" s="25"/>
      <c r="R61" s="23"/>
      <c r="S61" s="62"/>
      <c r="AC61" s="90">
        <v>2018</v>
      </c>
      <c r="AD61" s="53" t="s">
        <v>23</v>
      </c>
      <c r="AE61" s="65">
        <f>+AE14</f>
        <v>3.2943134432030716E-3</v>
      </c>
      <c r="AF61" s="65">
        <f>+AF14</f>
        <v>2.0809275906504988E-3</v>
      </c>
      <c r="AG61" s="65">
        <f>+AG14</f>
        <v>2.0854150905095488E-3</v>
      </c>
      <c r="AH61" s="65">
        <f>+AH14</f>
        <v>2.0781003652501351E-3</v>
      </c>
      <c r="AI61" s="65">
        <f>+AI14</f>
        <v>2.0712522575549652E-3</v>
      </c>
      <c r="AJ61" s="65">
        <f>+AJ14</f>
        <v>2.0877493450983664E-3</v>
      </c>
      <c r="AK61" s="65">
        <f>+AK14</f>
        <v>2.0848194263996837E-3</v>
      </c>
      <c r="AL61" s="65">
        <f>+AL14</f>
        <v>2.0762076936710386E-3</v>
      </c>
      <c r="AM61" s="65">
        <f>+AM14</f>
        <v>2.0485069747047113E-3</v>
      </c>
      <c r="AN61" s="65">
        <f>+AN14</f>
        <v>2.2023201664069722E-3</v>
      </c>
      <c r="AO61" s="65">
        <f>+AO14</f>
        <v>2.2929957214921082E-3</v>
      </c>
      <c r="AP61" s="65">
        <f>+AP14</f>
        <v>2.2912892848953219E-3</v>
      </c>
      <c r="AQ61" s="52">
        <f>+AQ14</f>
        <v>2.7430166222407459E-2</v>
      </c>
      <c r="AR61" s="55" t="s">
        <v>38</v>
      </c>
    </row>
    <row r="62" spans="1:63">
      <c r="A62" s="23">
        <v>40512</v>
      </c>
      <c r="B62" s="26">
        <v>13483.02</v>
      </c>
      <c r="C62" s="31">
        <f t="shared" si="2"/>
        <v>2.3931234194557449E-3</v>
      </c>
      <c r="D62" s="25">
        <f t="shared" si="0"/>
        <v>123.09730360426326</v>
      </c>
      <c r="E62" s="25"/>
      <c r="F62" s="25"/>
      <c r="R62" s="23"/>
      <c r="S62" s="62"/>
      <c r="AC62" s="90"/>
      <c r="AD62" s="53" t="s">
        <v>24</v>
      </c>
      <c r="AE62" s="65">
        <f>+AE41</f>
        <v>1.151568691874691E-3</v>
      </c>
      <c r="AF62" s="65">
        <f>+AF41</f>
        <v>1.1138344174131476E-3</v>
      </c>
      <c r="AG62" s="65">
        <f>+AG41</f>
        <v>1.0695929665622971E-3</v>
      </c>
      <c r="AH62" s="65">
        <f>+AH41</f>
        <v>1.0330781983873827E-3</v>
      </c>
      <c r="AI62" s="65">
        <f>+AI41</f>
        <v>1.0213274756735778E-3</v>
      </c>
      <c r="AJ62" s="65">
        <f>+AJ41</f>
        <v>1.0162455429219008E-3</v>
      </c>
      <c r="AK62" s="65">
        <f>+AK41</f>
        <v>1.0156369931982414E-3</v>
      </c>
      <c r="AL62" s="65">
        <f>+AL41</f>
        <v>1.0184493227322245E-3</v>
      </c>
      <c r="AM62" s="65">
        <f>+AM41</f>
        <v>1.0093313224803779E-3</v>
      </c>
      <c r="AN62" s="65">
        <f>+AN41</f>
        <v>1.0753570818074075E-3</v>
      </c>
      <c r="AO62" s="65">
        <f>+AO41</f>
        <v>1.0253323058240227E-3</v>
      </c>
      <c r="AP62" s="65">
        <f>+AP41</f>
        <v>1.3472862452700689E-3</v>
      </c>
      <c r="AQ62" s="52">
        <f>+AQ41</f>
        <v>1.195387519015445E-2</v>
      </c>
      <c r="AR62" s="55"/>
    </row>
    <row r="63" spans="1:63">
      <c r="A63" s="23">
        <v>40543</v>
      </c>
      <c r="B63" s="26">
        <v>13522.93</v>
      </c>
      <c r="C63" s="31">
        <f t="shared" si="2"/>
        <v>2.864534847917051E-3</v>
      </c>
      <c r="D63" s="25">
        <f t="shared" si="0"/>
        <v>123.46167400398424</v>
      </c>
      <c r="E63" s="25"/>
      <c r="F63" s="25"/>
      <c r="R63" s="23"/>
      <c r="S63" s="62"/>
      <c r="AC63" s="90"/>
      <c r="AD63" s="53" t="s">
        <v>46</v>
      </c>
      <c r="AE63" s="65">
        <f>+AE29</f>
        <v>2.5287771827567809E-3</v>
      </c>
      <c r="AF63" s="65">
        <f>+AF29</f>
        <v>2.9501749106369823E-3</v>
      </c>
      <c r="AG63" s="65">
        <f>+AG29</f>
        <v>2.4197654411100928E-3</v>
      </c>
      <c r="AH63" s="65">
        <f>+AH29</f>
        <v>2.2315122894487338E-3</v>
      </c>
      <c r="AI63" s="65">
        <f>+AI29</f>
        <v>2.3383274246596515E-3</v>
      </c>
      <c r="AJ63" s="65">
        <f>+AJ29</f>
        <v>2.4418826746952504E-3</v>
      </c>
      <c r="AK63" s="65">
        <f>+AK29</f>
        <v>2.5464349922827405E-3</v>
      </c>
      <c r="AL63" s="65">
        <f>+AL29</f>
        <v>2.2841094597619667E-3</v>
      </c>
      <c r="AM63" s="65">
        <f>+AM29</f>
        <v>2.3608546146098863E-3</v>
      </c>
      <c r="AN63" s="65">
        <f>+AN29</f>
        <v>2.5824621448076609E-3</v>
      </c>
      <c r="AO63" s="65">
        <f>+AO29</f>
        <v>2.6208214002845232E-3</v>
      </c>
      <c r="AP63" s="65">
        <f>+AP29</f>
        <v>2.0206555053809399E-3</v>
      </c>
      <c r="AQ63" s="52">
        <f>+AQ29</f>
        <v>2.7408816420987581E-2</v>
      </c>
      <c r="AR63" s="15"/>
    </row>
    <row r="64" spans="1:63">
      <c r="A64" s="23">
        <v>40574</v>
      </c>
      <c r="B64" s="26">
        <v>13557.12</v>
      </c>
      <c r="C64" s="31">
        <f t="shared" si="2"/>
        <v>2.4467402237675485E-3</v>
      </c>
      <c r="D64" s="25">
        <f t="shared" si="0"/>
        <v>123.7738219359928</v>
      </c>
      <c r="E64" s="25"/>
      <c r="F64" s="25"/>
      <c r="R64" s="23"/>
      <c r="S64" s="62"/>
      <c r="AC64" s="88">
        <v>2019</v>
      </c>
      <c r="AD64" s="51" t="s">
        <v>23</v>
      </c>
      <c r="AE64" s="64">
        <f>+AE15</f>
        <v>2.3718860243080522E-3</v>
      </c>
      <c r="AF64" s="64">
        <f>+AF15</f>
        <v>2.2528627981024396E-3</v>
      </c>
      <c r="AG64" s="64">
        <f>+AG15</f>
        <v>2.583315446340162E-3</v>
      </c>
      <c r="AH64" s="64">
        <f>+AH15</f>
        <v>2.5004298036095385E-3</v>
      </c>
      <c r="AI64" s="64">
        <f>+AI15</f>
        <v>2.5858717030136091E-3</v>
      </c>
      <c r="AJ64" s="64">
        <f>+AJ15</f>
        <v>2.2209647453448333E-3</v>
      </c>
      <c r="AK64" s="64">
        <f>+AK15</f>
        <v>2.1468084204265825E-3</v>
      </c>
      <c r="AL64" s="64">
        <f>+AL15</f>
        <v>2.1550627640607445E-3</v>
      </c>
      <c r="AM64" s="64">
        <f>+AM15</f>
        <v>1.7218390866022837E-3</v>
      </c>
      <c r="AN64" s="64">
        <f>+AN15</f>
        <v>1.6715062388068525E-3</v>
      </c>
      <c r="AO64" s="64">
        <f>+AO15</f>
        <v>1.4213812856365138E-3</v>
      </c>
      <c r="AP64" s="64">
        <f>+AP15</f>
        <v>1.4832905116739514E-3</v>
      </c>
      <c r="AQ64" s="52">
        <f>+AQ15</f>
        <v>2.5486252445448665E-2</v>
      </c>
      <c r="AR64" s="15"/>
    </row>
    <row r="65" spans="1:45" s="10" customFormat="1">
      <c r="A65" s="23">
        <v>40602</v>
      </c>
      <c r="B65" s="26">
        <v>13592.3</v>
      </c>
      <c r="C65" s="31">
        <f t="shared" si="2"/>
        <v>2.780299734962648E-3</v>
      </c>
      <c r="D65" s="25">
        <f t="shared" si="0"/>
        <v>124.09500837202847</v>
      </c>
      <c r="E65" s="25"/>
      <c r="F65" s="25"/>
      <c r="I65" s="11"/>
      <c r="N65" s="9"/>
      <c r="O65" s="9"/>
      <c r="P65" s="9"/>
      <c r="Q65" s="9"/>
      <c r="R65" s="23"/>
      <c r="S65" s="62"/>
      <c r="T65" s="9"/>
      <c r="U65" s="9"/>
      <c r="V65" s="9"/>
      <c r="W65" s="9"/>
      <c r="X65" s="9"/>
      <c r="Y65" s="9"/>
      <c r="Z65" s="9"/>
      <c r="AA65" s="9"/>
      <c r="AB65" s="9"/>
      <c r="AC65" s="88"/>
      <c r="AD65" s="51" t="s">
        <v>24</v>
      </c>
      <c r="AE65" s="64">
        <f>+AE42</f>
        <v>1.321015002584915E-3</v>
      </c>
      <c r="AF65" s="64">
        <f>+AF42</f>
        <v>1.3955733355753522E-3</v>
      </c>
      <c r="AG65" s="64">
        <f>+AG42</f>
        <v>1.4022137431861147E-3</v>
      </c>
      <c r="AH65" s="64">
        <f>+AH42</f>
        <v>1.4166869166138962E-3</v>
      </c>
      <c r="AI65" s="64">
        <f>+AI42</f>
        <v>1.3232764368510004E-3</v>
      </c>
      <c r="AJ65" s="64">
        <f>+AJ42</f>
        <v>1.1990712339520204E-3</v>
      </c>
      <c r="AK65" s="64">
        <f>+AK42</f>
        <v>1.0036940371863539E-3</v>
      </c>
      <c r="AL65" s="64">
        <f>+AL42</f>
        <v>9.3098055061359821E-4</v>
      </c>
      <c r="AM65" s="64">
        <f>+AM42</f>
        <v>1.0683578748478251E-3</v>
      </c>
      <c r="AN65" s="64">
        <f>+AN42</f>
        <v>6.2927809333884223E-4</v>
      </c>
      <c r="AO65" s="64">
        <f>+AO42</f>
        <v>6.917263179451183E-4</v>
      </c>
      <c r="AP65" s="64">
        <f>+AP42</f>
        <v>6.004128193114861E-4</v>
      </c>
      <c r="AQ65" s="52">
        <f>+AQ42</f>
        <v>1.3208385593459049E-2</v>
      </c>
      <c r="AR65" s="15"/>
      <c r="AS65" s="9"/>
    </row>
    <row r="66" spans="1:45" s="10" customFormat="1">
      <c r="A66" s="23">
        <v>40633</v>
      </c>
      <c r="B66" s="26">
        <v>13635.91</v>
      </c>
      <c r="C66" s="31">
        <f t="shared" si="2"/>
        <v>3.1049363100028021E-3</v>
      </c>
      <c r="D66" s="25">
        <f t="shared" si="0"/>
        <v>124.49315903932572</v>
      </c>
      <c r="E66" s="25"/>
      <c r="F66" s="25"/>
      <c r="I66" s="11"/>
      <c r="N66" s="9"/>
      <c r="O66" s="9"/>
      <c r="P66" s="9"/>
      <c r="Q66" s="9"/>
      <c r="R66" s="23"/>
      <c r="S66" s="62"/>
      <c r="T66" s="9"/>
      <c r="U66" s="9"/>
      <c r="V66" s="9"/>
      <c r="W66" s="9"/>
      <c r="X66" s="9"/>
      <c r="Y66" s="9"/>
      <c r="Z66" s="9"/>
      <c r="AA66" s="9"/>
      <c r="AB66" s="9"/>
      <c r="AC66" s="88"/>
      <c r="AD66" s="51" t="s">
        <v>46</v>
      </c>
      <c r="AE66" s="64">
        <f>+AE30</f>
        <v>2.2255175076252116E-3</v>
      </c>
      <c r="AF66" s="64">
        <f>+AF30</f>
        <v>2.0652910014025611E-3</v>
      </c>
      <c r="AG66" s="64">
        <f>+AG30</f>
        <v>2.1430318366078005E-3</v>
      </c>
      <c r="AH66" s="64">
        <f>+AH30</f>
        <v>2.4744057726309165E-3</v>
      </c>
      <c r="AI66" s="64">
        <f>+AI30</f>
        <v>2.3233637944668696E-3</v>
      </c>
      <c r="AJ66" s="64">
        <f>+AJ30</f>
        <v>2.5248654901475209E-3</v>
      </c>
      <c r="AK66" s="64">
        <f>+AK30</f>
        <v>2.0540273324613913E-3</v>
      </c>
      <c r="AL66" s="64">
        <f>+AL30</f>
        <v>1.8928296104056463E-3</v>
      </c>
      <c r="AM66" s="64">
        <f>+AM30</f>
        <v>1.7930728903712279E-3</v>
      </c>
      <c r="AN66" s="64">
        <f>+AN30</f>
        <v>2.5236139150049352E-3</v>
      </c>
      <c r="AO66" s="64">
        <f>+AO30</f>
        <v>2.4216257206299829E-3</v>
      </c>
      <c r="AP66" s="64">
        <f>+AP30</f>
        <v>2.3808221849356522E-3</v>
      </c>
      <c r="AQ66" s="52">
        <f>+AQ30</f>
        <v>2.7544237362348234E-2</v>
      </c>
      <c r="AR66" s="15"/>
      <c r="AS66" s="9"/>
    </row>
    <row r="67" spans="1:45" s="10" customFormat="1">
      <c r="A67" s="23">
        <v>40662</v>
      </c>
      <c r="B67" s="26">
        <v>13682.94</v>
      </c>
      <c r="C67" s="31">
        <f t="shared" si="2"/>
        <v>3.5679117959807392E-3</v>
      </c>
      <c r="D67" s="25">
        <f t="shared" ref="D67:D129" si="18">B67/$B$3*100</f>
        <v>124.92253362962586</v>
      </c>
      <c r="E67" s="25"/>
      <c r="F67" s="25"/>
      <c r="I67" s="11"/>
      <c r="O67" s="9"/>
      <c r="P67" s="9"/>
      <c r="Q67" s="9"/>
      <c r="R67" s="23"/>
      <c r="S67" s="62"/>
      <c r="T67" s="9"/>
      <c r="U67" s="9"/>
      <c r="V67" s="9"/>
      <c r="W67" s="9"/>
      <c r="X67" s="9"/>
      <c r="Y67" s="9"/>
      <c r="Z67" s="9"/>
      <c r="AA67" s="9"/>
      <c r="AB67" s="9"/>
      <c r="AC67" s="88">
        <v>2020</v>
      </c>
      <c r="AD67" s="51" t="s">
        <v>23</v>
      </c>
      <c r="AE67" s="64">
        <f>+AE16</f>
        <v>1.6558084997462252E-3</v>
      </c>
      <c r="AF67" s="64">
        <f>+AF16</f>
        <v>1.3798586141557934E-3</v>
      </c>
      <c r="AG67" s="64">
        <f>+AG16</f>
        <v>1.1056451328672612E-3</v>
      </c>
      <c r="AH67" s="64">
        <f>+AH16</f>
        <v>4.8443129828124043E-4</v>
      </c>
      <c r="AI67" s="64">
        <f>+AI16</f>
        <v>3.8640591227490084E-4</v>
      </c>
      <c r="AJ67" s="64">
        <f>+AJ16</f>
        <v>3.904838194919158E-4</v>
      </c>
      <c r="AK67" s="64">
        <f>+AK16</f>
        <v>4.2836098312815096E-4</v>
      </c>
      <c r="AL67" s="64">
        <f>+AL16</f>
        <v>4.1973016893726012E-4</v>
      </c>
      <c r="AM67" s="64">
        <f>+AM16</f>
        <v>3.9475024394830527E-4</v>
      </c>
      <c r="AN67" s="64">
        <f>+AN16</f>
        <v>3.7243810326681448E-4</v>
      </c>
      <c r="AO67" s="64">
        <f>+AO16</f>
        <v>3.2958520252091006E-4</v>
      </c>
      <c r="AP67" s="64">
        <f>+AP16</f>
        <v>3.9010030849562227E-4</v>
      </c>
      <c r="AQ67" s="52">
        <f>+AQ16</f>
        <v>7.7639256787327415E-3</v>
      </c>
      <c r="AR67" s="15"/>
      <c r="AS67" s="9"/>
    </row>
    <row r="68" spans="1:45" s="10" customFormat="1">
      <c r="A68" s="23">
        <v>40694</v>
      </c>
      <c r="B68" s="26">
        <v>13741.06</v>
      </c>
      <c r="C68" s="31">
        <f t="shared" si="2"/>
        <v>3.982148573332886E-3</v>
      </c>
      <c r="D68" s="25">
        <f t="shared" si="18"/>
        <v>125.45315772463421</v>
      </c>
      <c r="E68" s="25"/>
      <c r="F68" s="25"/>
      <c r="I68" s="11"/>
      <c r="O68" s="9"/>
      <c r="P68" s="9"/>
      <c r="Q68" s="9"/>
      <c r="R68" s="23"/>
      <c r="S68" s="62"/>
      <c r="T68" s="9"/>
      <c r="U68" s="9"/>
      <c r="V68" s="9"/>
      <c r="W68" s="9"/>
      <c r="X68" s="9"/>
      <c r="Y68" s="9"/>
      <c r="Z68" s="9"/>
      <c r="AA68" s="9"/>
      <c r="AB68" s="9"/>
      <c r="AC68" s="88"/>
      <c r="AD68" s="51" t="s">
        <v>24</v>
      </c>
      <c r="AE68" s="64">
        <f>+AE43</f>
        <v>4.9404843891394238E-4</v>
      </c>
      <c r="AF68" s="64">
        <f>+AF43</f>
        <v>4.9289128564955866E-4</v>
      </c>
      <c r="AG68" s="64">
        <f>+AG43</f>
        <v>9.1798262061139379E-4</v>
      </c>
      <c r="AH68" s="64">
        <f>+AH43</f>
        <v>2.2000866331635116E-3</v>
      </c>
      <c r="AI68" s="64">
        <f>+AI43</f>
        <v>3.1021086915260189E-4</v>
      </c>
      <c r="AJ68" s="64">
        <f>+AJ43</f>
        <v>1.0010830250339886E-4</v>
      </c>
      <c r="AK68" s="64">
        <f>+AK43</f>
        <v>8.7419122293085026E-5</v>
      </c>
      <c r="AL68" s="64">
        <f>+AL43</f>
        <v>9.7866642521595283E-5</v>
      </c>
      <c r="AM68" s="64">
        <f>+AM43</f>
        <v>7.0870692213009789E-5</v>
      </c>
      <c r="AN68" s="64">
        <f>+AN43</f>
        <v>6.5147737962569353E-5</v>
      </c>
      <c r="AO68" s="64">
        <f>+AO43</f>
        <v>6.0935890083824162E-5</v>
      </c>
      <c r="AP68" s="64">
        <f>+AP43</f>
        <v>5.8670803847292406E-5</v>
      </c>
      <c r="AQ68" s="52">
        <f>+AQ43</f>
        <v>5.016879430093768E-3</v>
      </c>
      <c r="AR68" s="9"/>
      <c r="AS68" s="9"/>
    </row>
    <row r="69" spans="1:45" s="10" customFormat="1">
      <c r="A69" s="23">
        <v>40724</v>
      </c>
      <c r="B69" s="26">
        <v>13799.74</v>
      </c>
      <c r="C69" s="31">
        <f t="shared" ref="C69:C132" si="19">(B69/B68-1)/(A69-A68)*30</f>
        <v>4.2704129084656373E-3</v>
      </c>
      <c r="D69" s="25">
        <f t="shared" si="18"/>
        <v>125.98889450878927</v>
      </c>
      <c r="E69" s="25"/>
      <c r="F69" s="25"/>
      <c r="I69" s="11"/>
      <c r="O69" s="9"/>
      <c r="P69" s="9"/>
      <c r="Q69" s="9"/>
      <c r="R69" s="23"/>
      <c r="S69" s="62"/>
      <c r="T69" s="9"/>
      <c r="U69" s="9"/>
      <c r="V69" s="9"/>
      <c r="W69" s="9"/>
      <c r="X69" s="9"/>
      <c r="Y69" s="9"/>
      <c r="Z69" s="9"/>
      <c r="AA69" s="9"/>
      <c r="AB69" s="9"/>
      <c r="AC69" s="88"/>
      <c r="AD69" s="51" t="s">
        <v>46</v>
      </c>
      <c r="AE69" s="64">
        <f>+AE31</f>
        <v>1.1120064007597377E-3</v>
      </c>
      <c r="AF69" s="64">
        <f>+AF31</f>
        <v>1.4131097834135414E-3</v>
      </c>
      <c r="AG69" s="64">
        <f>+AG31</f>
        <v>1.4390365669388644E-3</v>
      </c>
      <c r="AH69" s="64">
        <f>+AH31</f>
        <v>1.3258873613744004E-3</v>
      </c>
      <c r="AI69" s="64">
        <f>+AI31</f>
        <v>1.1025306494202409E-3</v>
      </c>
      <c r="AJ69" s="64">
        <f>+AJ31</f>
        <v>1.1310075229198358E-3</v>
      </c>
      <c r="AK69" s="64">
        <f>+AK31</f>
        <v>6.2183232236852207E-4</v>
      </c>
      <c r="AL69" s="64">
        <f>+AL31</f>
        <v>5.5281699244399149E-4</v>
      </c>
      <c r="AM69" s="64">
        <f>+AM31</f>
        <v>9.3701251312516831E-4</v>
      </c>
      <c r="AN69" s="64">
        <f>+AN31</f>
        <v>1.2361615009129447E-3</v>
      </c>
      <c r="AO69" s="64">
        <f>+AO31</f>
        <v>1.0585431579992477E-3</v>
      </c>
      <c r="AP69" s="64">
        <f>+AP31</f>
        <v>5.1536787755581612E-3</v>
      </c>
      <c r="AQ69" s="52">
        <f>+AQ31</f>
        <v>1.7541353603931054E-2</v>
      </c>
      <c r="AR69" s="9"/>
      <c r="AS69" s="9"/>
    </row>
    <row r="70" spans="1:45" s="10" customFormat="1">
      <c r="A70" s="23">
        <v>40753</v>
      </c>
      <c r="B70" s="26">
        <v>13858.14</v>
      </c>
      <c r="C70" s="31">
        <f t="shared" si="19"/>
        <v>4.3778935765055932E-3</v>
      </c>
      <c r="D70" s="25">
        <f t="shared" si="18"/>
        <v>126.52207494837097</v>
      </c>
      <c r="E70" s="25"/>
      <c r="F70" s="25"/>
      <c r="I70" s="11"/>
      <c r="O70" s="9"/>
      <c r="P70" s="9"/>
      <c r="Q70" s="9"/>
      <c r="R70" s="23"/>
      <c r="S70" s="62"/>
      <c r="T70" s="9"/>
      <c r="U70" s="9"/>
      <c r="V70" s="9"/>
      <c r="W70" s="9"/>
      <c r="X70" s="9"/>
      <c r="Y70" s="9"/>
      <c r="Z70" s="9"/>
      <c r="AA70" s="9"/>
      <c r="AC70" s="88">
        <v>2021</v>
      </c>
      <c r="AD70" s="51" t="s">
        <v>23</v>
      </c>
      <c r="AE70" s="64">
        <f>+AE17</f>
        <v>2.7190981868452369E-4</v>
      </c>
      <c r="AF70" s="64">
        <f>+AF17</f>
        <v>2.391734502720233E-4</v>
      </c>
      <c r="AG70" s="64">
        <f>+AG17</f>
        <v>2.591303963113134E-4</v>
      </c>
      <c r="AH70" s="64">
        <f>+AH17</f>
        <v>2.943422057235523E-4</v>
      </c>
      <c r="AI70" s="64">
        <f>+AI17</f>
        <v>2.4266874558165341E-4</v>
      </c>
      <c r="AJ70" s="64">
        <f>+AJ17</f>
        <v>2.7260718777788462E-4</v>
      </c>
      <c r="AK70" s="64">
        <f>+AK17</f>
        <v>5.0192351401157076E-4</v>
      </c>
      <c r="AL70" s="64">
        <f>+AL17</f>
        <v>6.2893015614950976E-4</v>
      </c>
      <c r="AM70" s="64">
        <f>+AM17</f>
        <v>1.2476101486305069E-3</v>
      </c>
      <c r="AN70" s="64">
        <f>+AN17</f>
        <v>2.0716854607256696E-3</v>
      </c>
      <c r="AO70" s="64">
        <f>+AO17</f>
        <v>2.1412569618350918E-3</v>
      </c>
      <c r="AP70" s="64">
        <f>+AP17</f>
        <v>3.1851611422883952E-3</v>
      </c>
      <c r="AQ70" s="52">
        <f>+AQ17</f>
        <v>1.1410200201508403E-2</v>
      </c>
      <c r="AR70" s="9"/>
      <c r="AS70" s="9"/>
    </row>
    <row r="71" spans="1:45" s="10" customFormat="1">
      <c r="A71" s="23">
        <v>40786</v>
      </c>
      <c r="B71" s="26">
        <v>13925.03</v>
      </c>
      <c r="C71" s="31">
        <f t="shared" si="19"/>
        <v>4.3879691581331795E-3</v>
      </c>
      <c r="D71" s="25">
        <f t="shared" si="18"/>
        <v>127.13276740733707</v>
      </c>
      <c r="E71" s="25"/>
      <c r="F71" s="25"/>
      <c r="I71" s="11"/>
      <c r="O71" s="9"/>
      <c r="P71" s="9"/>
      <c r="Q71" s="9"/>
      <c r="R71" s="23"/>
      <c r="S71" s="62"/>
      <c r="T71" s="9"/>
      <c r="U71" s="9"/>
      <c r="V71" s="9"/>
      <c r="W71" s="9"/>
      <c r="X71" s="9"/>
      <c r="Y71" s="9"/>
      <c r="Z71" s="9"/>
      <c r="AA71" s="9"/>
      <c r="AC71" s="88"/>
      <c r="AD71" s="51" t="s">
        <v>24</v>
      </c>
      <c r="AE71" s="64">
        <f>+AE44</f>
        <v>5.0167891265518984E-5</v>
      </c>
      <c r="AF71" s="64">
        <f>+AF44</f>
        <v>5.6326088686315632E-5</v>
      </c>
      <c r="AG71" s="64">
        <f>+AG44</f>
        <v>5.229220020180354E-5</v>
      </c>
      <c r="AH71" s="64">
        <f>+AH44</f>
        <v>6.6256868343383957E-5</v>
      </c>
      <c r="AI71" s="64">
        <f>+AI44</f>
        <v>5.8141459223029576E-5</v>
      </c>
      <c r="AJ71" s="64">
        <f>+AJ44</f>
        <v>5.9933297214431747E-5</v>
      </c>
      <c r="AK71" s="64">
        <f>+AK44</f>
        <v>5.9888964637381502E-5</v>
      </c>
      <c r="AL71" s="64">
        <f>+AL44</f>
        <v>6.0042955155997608E-5</v>
      </c>
      <c r="AM71" s="64">
        <f>+AM44</f>
        <v>-1.177670351739657E-4</v>
      </c>
      <c r="AN71" s="64">
        <f>+AN44</f>
        <v>9.8934462740187011E-4</v>
      </c>
      <c r="AO71" s="64">
        <f>+AO44</f>
        <v>1.2592250239187308E-3</v>
      </c>
      <c r="AP71" s="64">
        <f>+AP44</f>
        <v>1.7642827878724863E-3</v>
      </c>
      <c r="AQ71" s="52">
        <f>+AQ44</f>
        <v>4.4624510187976085E-3</v>
      </c>
      <c r="AR71" s="9"/>
      <c r="AS71" s="9"/>
    </row>
    <row r="72" spans="1:45" s="10" customFormat="1">
      <c r="A72" s="23">
        <v>40816</v>
      </c>
      <c r="B72" s="26">
        <v>13985.97</v>
      </c>
      <c r="C72" s="31">
        <f t="shared" si="19"/>
        <v>4.3762921875212246E-3</v>
      </c>
      <c r="D72" s="25">
        <f t="shared" si="18"/>
        <v>127.68913754411977</v>
      </c>
      <c r="E72" s="25"/>
      <c r="F72" s="25"/>
      <c r="I72" s="11"/>
      <c r="O72" s="9"/>
      <c r="P72" s="9"/>
      <c r="Q72" s="9"/>
      <c r="R72" s="23"/>
      <c r="S72" s="62"/>
      <c r="T72" s="9"/>
      <c r="U72" s="9"/>
      <c r="V72" s="9"/>
      <c r="W72" s="9"/>
      <c r="X72" s="9"/>
      <c r="Y72" s="9"/>
      <c r="Z72" s="9"/>
      <c r="AA72" s="9"/>
      <c r="AC72" s="88"/>
      <c r="AD72" s="51" t="s">
        <v>46</v>
      </c>
      <c r="AE72" s="64">
        <f>+AE32</f>
        <v>9.5581034059982934E-4</v>
      </c>
      <c r="AF72" s="64">
        <f>+AF32</f>
        <v>1.1350276494129627E-3</v>
      </c>
      <c r="AG72" s="64">
        <f>+AG32</f>
        <v>4.7829567621558304E-4</v>
      </c>
      <c r="AH72" s="64">
        <f>+AH32</f>
        <v>2.2479981001399807E-4</v>
      </c>
      <c r="AI72" s="64">
        <f>+AI32</f>
        <v>1.061792859649884E-3</v>
      </c>
      <c r="AJ72" s="64">
        <f>+AJ32</f>
        <v>1.2678644080763579E-3</v>
      </c>
      <c r="AK72" s="64">
        <f>+AK32</f>
        <v>1.2732050087973083E-3</v>
      </c>
      <c r="AL72" s="64">
        <f>+AL32</f>
        <v>1.0912459697882109E-3</v>
      </c>
      <c r="AM72" s="64">
        <f>+AM32</f>
        <v>9.0952866073967797E-4</v>
      </c>
      <c r="AN72" s="64">
        <f>+AN32</f>
        <v>7.896417428452804E-4</v>
      </c>
      <c r="AO72" s="64">
        <f>+AO32</f>
        <v>4.4245251685093301E-4</v>
      </c>
      <c r="AP72" s="64">
        <f>+AP32</f>
        <v>1.6083490085784212E-3</v>
      </c>
      <c r="AQ72" s="52">
        <f>+AQ32</f>
        <v>1.1463170644584686E-2</v>
      </c>
      <c r="AR72" s="9"/>
      <c r="AS72" s="9"/>
    </row>
    <row r="73" spans="1:45" s="10" customFormat="1">
      <c r="A73" s="23">
        <v>40847</v>
      </c>
      <c r="B73" s="26">
        <v>14043.21</v>
      </c>
      <c r="C73" s="31">
        <f t="shared" si="19"/>
        <v>3.9606511659252518E-3</v>
      </c>
      <c r="D73" s="25">
        <f t="shared" si="18"/>
        <v>128.21172741332623</v>
      </c>
      <c r="E73" s="25"/>
      <c r="F73" s="25"/>
      <c r="I73" s="11"/>
      <c r="O73" s="9"/>
      <c r="P73" s="9"/>
      <c r="Q73" s="9"/>
      <c r="R73" s="23"/>
      <c r="S73" s="62"/>
      <c r="T73" s="9"/>
      <c r="U73" s="9"/>
      <c r="V73" s="9"/>
      <c r="W73" s="9"/>
      <c r="X73" s="9"/>
      <c r="Y73" s="9"/>
      <c r="Z73" s="9"/>
      <c r="AA73" s="9"/>
      <c r="AC73" s="88">
        <v>2022</v>
      </c>
      <c r="AD73" s="51" t="s">
        <v>23</v>
      </c>
      <c r="AE73" s="64">
        <f>+AE18</f>
        <v>3.4355541823989366E-3</v>
      </c>
      <c r="AF73" s="64">
        <f>+AF18</f>
        <v>4.2862298052634973E-3</v>
      </c>
      <c r="AG73" s="64">
        <f>+AG18</f>
        <v>4.8314798442756768E-3</v>
      </c>
      <c r="AH73" s="64">
        <f>+AH18</f>
        <v>5.4524358964465058E-3</v>
      </c>
      <c r="AI73" s="64">
        <f>+AI18</f>
        <v>7.1131325826505609E-3</v>
      </c>
      <c r="AJ73" s="64">
        <f>+AJ18</f>
        <v>7.3596364286758753E-3</v>
      </c>
      <c r="AK73" s="64">
        <f>+AK18</f>
        <v>7.5893460632852072E-3</v>
      </c>
      <c r="AL73" s="64">
        <f>+AL18</f>
        <v>8.9759416728991681E-3</v>
      </c>
      <c r="AM73" s="64">
        <f>+AM18</f>
        <v>8.7998364667287721E-3</v>
      </c>
      <c r="AN73" s="64">
        <f>+AN18</f>
        <v>8.6030686179809912E-3</v>
      </c>
      <c r="AO73" s="64">
        <f>+AO18</f>
        <v>1.036123897948027E-2</v>
      </c>
      <c r="AP73" s="64">
        <f>+AP18</f>
        <v>9.416651222412753E-3</v>
      </c>
      <c r="AQ73" s="52">
        <f>+AQ18</f>
        <v>8.9685991181348346E-2</v>
      </c>
      <c r="AR73" s="9"/>
      <c r="AS73" s="9"/>
    </row>
    <row r="74" spans="1:45" s="10" customFormat="1">
      <c r="A74" s="23">
        <v>40877</v>
      </c>
      <c r="B74" s="26">
        <v>14110.87</v>
      </c>
      <c r="C74" s="31">
        <f t="shared" si="19"/>
        <v>4.8179867708308954E-3</v>
      </c>
      <c r="D74" s="25">
        <f t="shared" si="18"/>
        <v>128.82944981986901</v>
      </c>
      <c r="E74" s="25"/>
      <c r="F74" s="25"/>
      <c r="I74" s="11"/>
      <c r="O74" s="9"/>
      <c r="P74" s="9"/>
      <c r="Q74" s="9"/>
      <c r="R74" s="23"/>
      <c r="S74" s="62"/>
      <c r="T74" s="9"/>
      <c r="U74" s="9"/>
      <c r="V74" s="9"/>
      <c r="W74" s="9"/>
      <c r="X74" s="9"/>
      <c r="Y74" s="9"/>
      <c r="Z74" s="9"/>
      <c r="AA74" s="9"/>
      <c r="AC74" s="88"/>
      <c r="AD74" s="51" t="s">
        <v>24</v>
      </c>
      <c r="AE74" s="64">
        <f>+AE45</f>
        <v>2.4887105780919826E-3</v>
      </c>
      <c r="AF74" s="64">
        <f>+AF45</f>
        <v>3.5360838485577945E-3</v>
      </c>
      <c r="AG74" s="64">
        <f>+AG45</f>
        <v>3.6702644977257191E-3</v>
      </c>
      <c r="AH74" s="64">
        <f>+AH45</f>
        <v>4.5716132579094459E-3</v>
      </c>
      <c r="AI74" s="64">
        <f>+AI45</f>
        <v>5.3328000823584729E-3</v>
      </c>
      <c r="AJ74" s="64">
        <f>+AJ45</f>
        <v>5.8835914511081722E-3</v>
      </c>
      <c r="AK74" s="64">
        <f>+AK45</f>
        <v>6.3018066910423788E-3</v>
      </c>
      <c r="AL74" s="64">
        <f>+AL45</f>
        <v>6.8036664825705234E-3</v>
      </c>
      <c r="AM74" s="64">
        <f>+AM45</f>
        <v>7.3357454740365924E-3</v>
      </c>
      <c r="AN74" s="64">
        <f>+AN45</f>
        <v>7.7595565631868469E-3</v>
      </c>
      <c r="AO74" s="64">
        <f>+AO45</f>
        <v>7.9470951784548823E-3</v>
      </c>
      <c r="AP74" s="64">
        <f>+AP45</f>
        <v>7.9281719511867799E-3</v>
      </c>
      <c r="AQ74" s="52">
        <f>+AQ45</f>
        <v>7.2716429569050778E-2</v>
      </c>
      <c r="AR74" s="9"/>
      <c r="AS74" s="9"/>
    </row>
    <row r="75" spans="1:45" s="10" customFormat="1">
      <c r="A75" s="23">
        <v>40907</v>
      </c>
      <c r="B75" s="26">
        <v>14172.63</v>
      </c>
      <c r="C75" s="31">
        <f t="shared" si="19"/>
        <v>4.3767676975265957E-3</v>
      </c>
      <c r="D75" s="25">
        <f t="shared" si="18"/>
        <v>129.39330639433075</v>
      </c>
      <c r="E75" s="25"/>
      <c r="F75" s="25"/>
      <c r="I75" s="11"/>
      <c r="O75" s="9"/>
      <c r="P75" s="9"/>
      <c r="Q75" s="9"/>
      <c r="R75" s="23"/>
      <c r="S75" s="62"/>
      <c r="T75" s="9"/>
      <c r="U75" s="9"/>
      <c r="V75" s="9"/>
      <c r="W75" s="9"/>
      <c r="X75" s="9"/>
      <c r="Y75" s="9"/>
      <c r="Z75" s="9"/>
      <c r="AA75" s="9"/>
      <c r="AC75" s="88"/>
      <c r="AD75" s="51" t="s">
        <v>46</v>
      </c>
      <c r="AE75" s="64">
        <f>+AE33</f>
        <v>2.315458296199674E-3</v>
      </c>
      <c r="AF75" s="64">
        <f>+AF33</f>
        <v>3.6195733153849513E-3</v>
      </c>
      <c r="AG75" s="64">
        <f>+AG33</f>
        <v>3.6039865737777063E-3</v>
      </c>
      <c r="AH75" s="64">
        <f>+AH33</f>
        <v>5.4493325316784524E-3</v>
      </c>
      <c r="AI75" s="64">
        <f>+AI33</f>
        <v>7.0871765472307717E-3</v>
      </c>
      <c r="AJ75" s="64">
        <f>+AJ33</f>
        <v>6.8564875626004884E-3</v>
      </c>
      <c r="AK75" s="64">
        <f>+AK33</f>
        <v>6.6608490496321594E-3</v>
      </c>
      <c r="AL75" s="64">
        <f>+AL33</f>
        <v>7.4266722031266922E-3</v>
      </c>
      <c r="AM75" s="64">
        <f>+AM33</f>
        <v>8.0201486738671335E-3</v>
      </c>
      <c r="AN75" s="64">
        <f>+AN33</f>
        <v>8.5328375957028583E-3</v>
      </c>
      <c r="AO75" s="64">
        <f>+AO33</f>
        <v>9.0157563709154908E-3</v>
      </c>
      <c r="AP75" s="64">
        <f>+AP33</f>
        <v>9.5951573362533793E-3</v>
      </c>
      <c r="AQ75" s="52">
        <f>+AQ33</f>
        <v>8.2081644858020608E-2</v>
      </c>
      <c r="AR75" s="9"/>
      <c r="AS75" s="9"/>
    </row>
    <row r="76" spans="1:45" s="10" customFormat="1">
      <c r="A76" s="23">
        <v>40939</v>
      </c>
      <c r="B76" s="26">
        <v>14236.38</v>
      </c>
      <c r="C76" s="31">
        <f t="shared" si="19"/>
        <v>4.2169749016237462E-3</v>
      </c>
      <c r="D76" s="25">
        <f t="shared" si="18"/>
        <v>129.9753312748673</v>
      </c>
      <c r="E76" s="25"/>
      <c r="F76" s="25"/>
      <c r="I76" s="11"/>
      <c r="R76" s="23"/>
      <c r="S76" s="62"/>
      <c r="AC76" s="88">
        <v>2023</v>
      </c>
      <c r="AD76" s="51" t="s">
        <v>23</v>
      </c>
      <c r="AE76" s="64">
        <f>+AE19</f>
        <v>1.004695720110016E-2</v>
      </c>
      <c r="AF76" s="64">
        <f>+AF19</f>
        <v>8.7853587137844968E-3</v>
      </c>
      <c r="AG76" s="64">
        <f>+AG19</f>
        <v>9.7318177744223355E-3</v>
      </c>
      <c r="AH76" s="64">
        <f>+AH19</f>
        <v>8.7852439132070081E-3</v>
      </c>
      <c r="AI76" s="64">
        <f>+AI19</f>
        <v>1.036166313630571E-2</v>
      </c>
      <c r="AJ76" s="64">
        <f>+AJ19</f>
        <v>9.4150701308506335E-3</v>
      </c>
      <c r="AK76" s="64">
        <f>+AK19</f>
        <v>9.7315292241744178E-3</v>
      </c>
      <c r="AL76" s="64">
        <f>+AL19</f>
        <v>8.8633739513521714E-3</v>
      </c>
      <c r="AM76" s="64">
        <f>+AM19</f>
        <v>7.7953451413450559E-3</v>
      </c>
      <c r="AN76" s="64">
        <f>+AN19</f>
        <v>8.4601535041790576E-3</v>
      </c>
      <c r="AO76" s="64">
        <f>+AO19</f>
        <v>7.5266143106456074E-3</v>
      </c>
      <c r="AP76" s="64">
        <f>+AP19</f>
        <v>7.0819499482732695E-3</v>
      </c>
      <c r="AQ76" s="52">
        <f>+AQ19</f>
        <v>0.11194279263621576</v>
      </c>
      <c r="AR76" s="9"/>
      <c r="AS76" s="9"/>
    </row>
    <row r="77" spans="1:45" s="10" customFormat="1">
      <c r="A77" s="23">
        <v>40968</v>
      </c>
      <c r="B77" s="26">
        <v>14293.67</v>
      </c>
      <c r="C77" s="31">
        <f t="shared" si="19"/>
        <v>4.1629625818769339E-3</v>
      </c>
      <c r="D77" s="25">
        <f t="shared" si="18"/>
        <v>130.49837763417614</v>
      </c>
      <c r="E77" s="25"/>
      <c r="F77" s="25"/>
      <c r="I77" s="11"/>
      <c r="R77" s="23"/>
      <c r="S77" s="62"/>
      <c r="AC77" s="88"/>
      <c r="AD77" s="51" t="s">
        <v>24</v>
      </c>
      <c r="AE77" s="64">
        <f>+AE46</f>
        <v>7.9137303338899789E-3</v>
      </c>
      <c r="AF77" s="64">
        <f>+AF46</f>
        <v>7.9154666268472455E-3</v>
      </c>
      <c r="AG77" s="64">
        <f>+AG46</f>
        <v>7.9455277190181878E-3</v>
      </c>
      <c r="AH77" s="64">
        <f>+AH46</f>
        <v>7.9909061585437761E-3</v>
      </c>
      <c r="AI77" s="64">
        <f>+AI46</f>
        <v>8.0227967463225077E-3</v>
      </c>
      <c r="AJ77" s="64">
        <f>+AJ46</f>
        <v>8.0028913540715063E-3</v>
      </c>
      <c r="AK77" s="64">
        <f>+AK46</f>
        <v>7.9398117033956418E-3</v>
      </c>
      <c r="AL77" s="64">
        <f>+AL46</f>
        <v>7.3512441107239221E-3</v>
      </c>
      <c r="AM77" s="64">
        <f>+AM46</f>
        <v>6.7848226130593492E-3</v>
      </c>
      <c r="AN77" s="64">
        <f>+AN46</f>
        <v>6.4607251902496039E-3</v>
      </c>
      <c r="AO77" s="64">
        <f>+AO46</f>
        <v>6.1695672319295181E-3</v>
      </c>
      <c r="AP77" s="64">
        <f>+AP46</f>
        <v>5.9047276102804306E-3</v>
      </c>
      <c r="AQ77" s="52">
        <f>+AQ46</f>
        <v>9.364840576365796E-2</v>
      </c>
      <c r="AR77" s="9"/>
      <c r="AS77" s="9"/>
    </row>
    <row r="78" spans="1:45" s="10" customFormat="1">
      <c r="A78" s="23">
        <v>40998</v>
      </c>
      <c r="B78" s="26">
        <v>14353.34</v>
      </c>
      <c r="C78" s="31">
        <f t="shared" si="19"/>
        <v>4.1745751790827068E-3</v>
      </c>
      <c r="D78" s="25">
        <f t="shared" si="18"/>
        <v>131.04315292235836</v>
      </c>
      <c r="E78" s="25"/>
      <c r="F78" s="25"/>
      <c r="I78" s="11"/>
      <c r="R78" s="23"/>
      <c r="S78" s="62"/>
      <c r="AC78" s="88"/>
      <c r="AD78" s="51" t="s">
        <v>46</v>
      </c>
      <c r="AE78" s="64">
        <f>+AE34</f>
        <v>1.071784831866672E-2</v>
      </c>
      <c r="AF78" s="64">
        <f>+AF34</f>
        <v>9.3246070444608867E-3</v>
      </c>
      <c r="AG78" s="64">
        <f>+AG34</f>
        <v>9.3904269319642075E-3</v>
      </c>
      <c r="AH78" s="64">
        <f>+AH34</f>
        <v>9.4575263570060141E-3</v>
      </c>
      <c r="AI78" s="64">
        <f>+AI34</f>
        <v>9.3997778630374538E-3</v>
      </c>
      <c r="AJ78" s="64">
        <f>+AJ34</f>
        <v>9.4892873372927067E-3</v>
      </c>
      <c r="AK78" s="64">
        <f>+AK34</f>
        <v>9.5512586335587003E-3</v>
      </c>
      <c r="AL78" s="64">
        <f>+AL34</f>
        <v>8.7104657993194914E-3</v>
      </c>
      <c r="AM78" s="64">
        <f>+AM34</f>
        <v>8.7059869992089922E-3</v>
      </c>
      <c r="AN78" s="64">
        <f>+AN34</f>
        <v>8.0241637860299243E-3</v>
      </c>
      <c r="AO78" s="64">
        <f>+AO34</f>
        <v>7.5187385201012083E-3</v>
      </c>
      <c r="AP78" s="64">
        <f>+AP34</f>
        <v>8.3898957794986493E-3</v>
      </c>
      <c r="AQ78" s="52">
        <f>+AQ34</f>
        <v>0.11632201185173097</v>
      </c>
      <c r="AR78" s="9"/>
      <c r="AS78" s="9"/>
    </row>
    <row r="79" spans="1:45" s="10" customFormat="1">
      <c r="A79" s="23">
        <v>41029</v>
      </c>
      <c r="B79" s="26">
        <v>14415.21</v>
      </c>
      <c r="C79" s="31">
        <f t="shared" si="19"/>
        <v>4.1714467537442316E-3</v>
      </c>
      <c r="D79" s="25">
        <f t="shared" si="18"/>
        <v>131.60801377504532</v>
      </c>
      <c r="E79" s="25"/>
      <c r="F79" s="25"/>
      <c r="I79" s="11"/>
      <c r="R79" s="23"/>
      <c r="S79" s="62"/>
      <c r="AC79" s="88">
        <v>2024</v>
      </c>
      <c r="AD79" s="51" t="s">
        <v>23</v>
      </c>
      <c r="AE79" s="71">
        <f>+AE20</f>
        <v>7.3572253241631635E-3</v>
      </c>
      <c r="AF79" s="71">
        <f>+AF20</f>
        <v>6.1121391206355735E-3</v>
      </c>
      <c r="AG79" s="71">
        <f>+AG20</f>
        <v>5.6473517140609442E-3</v>
      </c>
      <c r="AH79" s="71">
        <f>+AH20</f>
        <v>6.0927839618283297E-3</v>
      </c>
      <c r="AI79" s="71">
        <f>+AI20</f>
        <v>5.5141192903180869E-3</v>
      </c>
      <c r="AJ79" s="71">
        <f>+AJ20</f>
        <v>4.6135490632155385E-3</v>
      </c>
      <c r="AK79" s="71">
        <f>+AK20</f>
        <v>5.2843503528434699E-3</v>
      </c>
      <c r="AL79" s="71">
        <f>+AL20</f>
        <v>4.8023520375928275E-3</v>
      </c>
      <c r="AM79" s="71">
        <f>+AM20</f>
        <v>4.7810434954138614E-3</v>
      </c>
      <c r="AN79" s="71">
        <f>+AN20</f>
        <v>4.510440516418468E-3</v>
      </c>
      <c r="AO79" s="71">
        <f>+AO20</f>
        <v>4.3843255475723986E-3</v>
      </c>
      <c r="AP79" s="71">
        <f>+AP20</f>
        <v>4.4462641732778696E-3</v>
      </c>
      <c r="AQ79" s="71">
        <f>+AQ20</f>
        <v>6.5425125934971851E-2</v>
      </c>
      <c r="AR79" s="9"/>
      <c r="AS79" s="9"/>
    </row>
    <row r="80" spans="1:45" s="10" customFormat="1">
      <c r="A80" s="23">
        <v>41060</v>
      </c>
      <c r="B80" s="26">
        <v>14477.55</v>
      </c>
      <c r="C80" s="31">
        <f t="shared" si="19"/>
        <v>4.1850956217817379E-3</v>
      </c>
      <c r="D80" s="25">
        <f t="shared" si="18"/>
        <v>132.17716563469472</v>
      </c>
      <c r="E80" s="25"/>
      <c r="F80" s="25"/>
      <c r="I80" s="11"/>
      <c r="R80" s="23"/>
      <c r="S80" s="62"/>
      <c r="AC80" s="88"/>
      <c r="AD80" s="51" t="s">
        <v>24</v>
      </c>
      <c r="AE80" s="71">
        <f>+AE47</f>
        <v>5.6825126629855838E-3</v>
      </c>
      <c r="AF80" s="71">
        <f>+AF47</f>
        <v>5.2602525212990022E-3</v>
      </c>
      <c r="AG80" s="71">
        <f>+AG47</f>
        <v>4.7680173791462112E-3</v>
      </c>
      <c r="AH80" s="71">
        <f>+AH47</f>
        <v>4.2910218487362591E-3</v>
      </c>
      <c r="AI80" s="71">
        <f>+AI47</f>
        <v>4.0333517960835794E-3</v>
      </c>
      <c r="AJ80" s="71">
        <f>+AJ47</f>
        <v>3.6501931277677091E-3</v>
      </c>
      <c r="AK80" s="71">
        <f>+AK47</f>
        <v>3.516896201691893E-3</v>
      </c>
      <c r="AL80" s="71">
        <f>+AL47</f>
        <v>3.5106478218695273E-3</v>
      </c>
      <c r="AM80" s="71">
        <f>+AM47</f>
        <v>3.3754452875442986E-3</v>
      </c>
      <c r="AN80" s="71">
        <f>+AN47</f>
        <v>3.3007867700120667E-3</v>
      </c>
      <c r="AO80" s="71">
        <f>+AO47</f>
        <v>3.220374604913312E-3</v>
      </c>
      <c r="AP80" s="71">
        <f>+AP47</f>
        <v>3.1256670019151563E-3</v>
      </c>
      <c r="AQ80" s="71">
        <f>+AQ47</f>
        <v>4.9529562919770731E-2</v>
      </c>
      <c r="AR80" s="9"/>
      <c r="AS80" s="9"/>
    </row>
    <row r="81" spans="1:45" s="10" customFormat="1">
      <c r="A81" s="23">
        <v>41089</v>
      </c>
      <c r="B81" s="26">
        <v>14536.13</v>
      </c>
      <c r="C81" s="31">
        <f t="shared" si="19"/>
        <v>4.1857911041577357E-3</v>
      </c>
      <c r="D81" s="25">
        <f t="shared" si="18"/>
        <v>132.71198943864499</v>
      </c>
      <c r="E81" s="25"/>
      <c r="F81" s="25"/>
      <c r="I81" s="11"/>
      <c r="R81" s="23"/>
      <c r="S81" s="62"/>
      <c r="AC81" s="88"/>
      <c r="AD81" s="51" t="s">
        <v>46</v>
      </c>
      <c r="AE81" s="71">
        <f>+AE35</f>
        <v>7.5513958958230562E-3</v>
      </c>
      <c r="AF81" s="71">
        <f>+AF35</f>
        <v>6.0729955242965934E-3</v>
      </c>
      <c r="AG81" s="71">
        <f>+AG35</f>
        <v>6.4920750283917585E-3</v>
      </c>
      <c r="AH81" s="71">
        <f>+AH35</f>
        <v>5.4036586840735335E-3</v>
      </c>
      <c r="AI81" s="71">
        <f>+AI35</f>
        <v>5.7917989042293033E-3</v>
      </c>
      <c r="AJ81" s="71">
        <f>+AJ35</f>
        <v>5.2971449097136691E-3</v>
      </c>
      <c r="AK81" s="71">
        <f>+AK35</f>
        <v>4.4407072103683663E-3</v>
      </c>
      <c r="AL81" s="71">
        <f>+AL35</f>
        <v>4.0747318598646871E-3</v>
      </c>
      <c r="AM81" s="71">
        <f>+AM35</f>
        <v>4.3343304225897938E-3</v>
      </c>
      <c r="AN81" s="71">
        <f>+AN35</f>
        <v>3.6465760931577106E-3</v>
      </c>
      <c r="AO81" s="71">
        <f>+AO35</f>
        <v>3.863112550266834E-3</v>
      </c>
      <c r="AP81" s="71">
        <f>+AP35</f>
        <v>3.4783055734350708E-3</v>
      </c>
      <c r="AQ81" s="71">
        <f>+AQ35</f>
        <v>6.306182428613516E-2</v>
      </c>
      <c r="AR81" s="9"/>
      <c r="AS81" s="9"/>
    </row>
    <row r="82" spans="1:45" s="10" customFormat="1">
      <c r="A82" s="23">
        <v>41121</v>
      </c>
      <c r="B82" s="26">
        <v>14600.61</v>
      </c>
      <c r="C82" s="31">
        <f t="shared" si="19"/>
        <v>4.1586034247079878E-3</v>
      </c>
      <c r="D82" s="25">
        <f t="shared" si="18"/>
        <v>133.30067907467631</v>
      </c>
      <c r="E82" s="25"/>
      <c r="F82" s="25"/>
      <c r="I82" s="11"/>
      <c r="R82" s="23"/>
      <c r="S82" s="62"/>
      <c r="AC82" s="88">
        <v>2025</v>
      </c>
      <c r="AD82" s="51" t="s">
        <v>23</v>
      </c>
      <c r="AE82" s="71">
        <f>+AE21</f>
        <v>4.4544301743754122E-3</v>
      </c>
      <c r="AF82" s="71">
        <f>+AF24</f>
        <v>0</v>
      </c>
      <c r="AG82" s="71">
        <f>+AG24</f>
        <v>0</v>
      </c>
      <c r="AH82" s="71">
        <f>+AH24</f>
        <v>0</v>
      </c>
      <c r="AI82" s="71">
        <f>+AI24</f>
        <v>0</v>
      </c>
      <c r="AJ82" s="71">
        <f>+AJ24</f>
        <v>0</v>
      </c>
      <c r="AK82" s="71">
        <f>+AK24</f>
        <v>0</v>
      </c>
      <c r="AL82" s="71">
        <f>+AL24</f>
        <v>0</v>
      </c>
      <c r="AM82" s="71">
        <f>+AM24</f>
        <v>0</v>
      </c>
      <c r="AN82" s="71">
        <f>+AN24</f>
        <v>0</v>
      </c>
      <c r="AO82" s="71">
        <f>+AO24</f>
        <v>0</v>
      </c>
      <c r="AP82" s="71">
        <f>+AP24</f>
        <v>0</v>
      </c>
      <c r="AQ82" s="71">
        <f>+AQ21</f>
        <v>5.3453162092504947E-2</v>
      </c>
      <c r="AR82" s="9"/>
    </row>
    <row r="83" spans="1:45" s="10" customFormat="1">
      <c r="A83" s="23">
        <v>41152</v>
      </c>
      <c r="B83" s="26">
        <v>14663.33</v>
      </c>
      <c r="C83" s="31">
        <f t="shared" si="19"/>
        <v>4.1571396122181033E-3</v>
      </c>
      <c r="D83" s="25">
        <f t="shared" si="18"/>
        <v>133.87330025910379</v>
      </c>
      <c r="E83" s="25"/>
      <c r="F83" s="25"/>
      <c r="I83" s="11"/>
      <c r="R83" s="23"/>
      <c r="S83" s="62"/>
      <c r="AC83" s="88"/>
      <c r="AD83" s="51" t="s">
        <v>24</v>
      </c>
      <c r="AE83" s="71">
        <f>+AE48</f>
        <v>2.9227841942386906E-3</v>
      </c>
      <c r="AF83" s="71">
        <f t="shared" ref="AE83:AP83" si="20">+AF51</f>
        <v>0</v>
      </c>
      <c r="AG83" s="71">
        <f t="shared" si="20"/>
        <v>0</v>
      </c>
      <c r="AH83" s="71">
        <f t="shared" si="20"/>
        <v>0</v>
      </c>
      <c r="AI83" s="71">
        <f t="shared" si="20"/>
        <v>0</v>
      </c>
      <c r="AJ83" s="71">
        <f t="shared" si="20"/>
        <v>0</v>
      </c>
      <c r="AK83" s="71">
        <f t="shared" si="20"/>
        <v>0</v>
      </c>
      <c r="AL83" s="71">
        <f t="shared" si="20"/>
        <v>0</v>
      </c>
      <c r="AM83" s="71">
        <f t="shared" si="20"/>
        <v>0</v>
      </c>
      <c r="AN83" s="71">
        <f t="shared" si="20"/>
        <v>0</v>
      </c>
      <c r="AO83" s="71">
        <f t="shared" si="20"/>
        <v>0</v>
      </c>
      <c r="AP83" s="71">
        <f t="shared" si="20"/>
        <v>0</v>
      </c>
      <c r="AQ83" s="71">
        <f>+AQ48</f>
        <v>3.6242524008559762E-2</v>
      </c>
      <c r="AR83" s="9"/>
    </row>
    <row r="84" spans="1:45" s="10" customFormat="1">
      <c r="A84" s="23">
        <v>41180</v>
      </c>
      <c r="B84" s="26">
        <v>14720.68</v>
      </c>
      <c r="C84" s="31">
        <f t="shared" si="19"/>
        <v>4.1904825555606961E-3</v>
      </c>
      <c r="D84" s="25">
        <f t="shared" si="18"/>
        <v>134.39689440653549</v>
      </c>
      <c r="E84" s="25"/>
      <c r="F84" s="25"/>
      <c r="I84" s="11"/>
      <c r="R84" s="23"/>
      <c r="S84" s="62"/>
      <c r="AC84" s="88"/>
      <c r="AD84" s="51" t="s">
        <v>46</v>
      </c>
      <c r="AE84" s="71">
        <f>+AE36</f>
        <v>2.8225864508937557E-3</v>
      </c>
      <c r="AF84" s="71">
        <f>+AF39</f>
        <v>0</v>
      </c>
      <c r="AG84" s="71">
        <f>+AG39</f>
        <v>0</v>
      </c>
      <c r="AH84" s="71">
        <f>+AH39</f>
        <v>0</v>
      </c>
      <c r="AI84" s="71">
        <f>+AI39</f>
        <v>0</v>
      </c>
      <c r="AJ84" s="71">
        <f>+AJ39</f>
        <v>2.0658965930107076E-3</v>
      </c>
      <c r="AK84" s="71">
        <f>+AK39</f>
        <v>1.9929984805697456E-3</v>
      </c>
      <c r="AL84" s="71">
        <f>+AL39</f>
        <v>1.9419345009338391E-3</v>
      </c>
      <c r="AM84" s="71">
        <f>+AM39</f>
        <v>1.9140874835865687E-3</v>
      </c>
      <c r="AN84" s="71">
        <f>+AN39</f>
        <v>1.9173267127340248E-3</v>
      </c>
      <c r="AO84" s="71">
        <f>+AO39</f>
        <v>1.9189029965851478E-3</v>
      </c>
      <c r="AP84" s="71">
        <f>+AP39</f>
        <v>1.9414086578939749E-3</v>
      </c>
      <c r="AQ84" s="71">
        <f>+AQ36</f>
        <v>3.5000071991082571E-2</v>
      </c>
    </row>
    <row r="85" spans="1:45" s="10" customFormat="1">
      <c r="A85" s="23">
        <v>41213</v>
      </c>
      <c r="B85" s="26">
        <v>14788.56</v>
      </c>
      <c r="C85" s="31">
        <f t="shared" si="19"/>
        <v>4.192000023714196E-3</v>
      </c>
      <c r="D85" s="25">
        <f t="shared" si="18"/>
        <v>135.01662536952875</v>
      </c>
      <c r="E85" s="25"/>
      <c r="F85" s="25"/>
      <c r="I85" s="11"/>
      <c r="R85" s="23"/>
      <c r="S85" s="62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5" s="10" customFormat="1">
      <c r="A86" s="23">
        <v>41243</v>
      </c>
      <c r="B86" s="26">
        <v>14850.38</v>
      </c>
      <c r="C86" s="31">
        <f t="shared" si="19"/>
        <v>4.1802582536771826E-3</v>
      </c>
      <c r="D86" s="25">
        <f t="shared" si="18"/>
        <v>135.58102973211334</v>
      </c>
      <c r="E86" s="25"/>
      <c r="F86" s="25"/>
      <c r="I86" s="11"/>
      <c r="R86" s="23"/>
      <c r="S86" s="62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5" s="10" customFormat="1">
      <c r="A87" s="23">
        <v>41274</v>
      </c>
      <c r="B87" s="26">
        <v>14908.2</v>
      </c>
      <c r="C87" s="31">
        <f t="shared" si="19"/>
        <v>3.767906188910832E-3</v>
      </c>
      <c r="D87" s="25">
        <f t="shared" si="18"/>
        <v>136.10891488650745</v>
      </c>
      <c r="E87" s="25"/>
      <c r="F87" s="25"/>
      <c r="I87" s="11"/>
      <c r="R87" s="23"/>
      <c r="S87" s="62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5" s="10" customFormat="1">
      <c r="A88" s="23">
        <v>41305</v>
      </c>
      <c r="B88" s="26">
        <v>14978.58</v>
      </c>
      <c r="C88" s="31">
        <f t="shared" si="19"/>
        <v>4.5686050240374559E-3</v>
      </c>
      <c r="D88" s="25">
        <f t="shared" si="18"/>
        <v>136.75147035461978</v>
      </c>
      <c r="E88" s="25"/>
      <c r="F88" s="25"/>
      <c r="I88" s="11"/>
      <c r="R88" s="23"/>
      <c r="S88" s="62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5" s="10" customFormat="1">
      <c r="A89" s="23">
        <v>41333</v>
      </c>
      <c r="B89" s="26">
        <v>15036.94</v>
      </c>
      <c r="C89" s="31">
        <f t="shared" si="19"/>
        <v>4.1745326612116105E-3</v>
      </c>
      <c r="D89" s="25">
        <f t="shared" si="18"/>
        <v>137.28428560211958</v>
      </c>
      <c r="E89" s="25"/>
      <c r="F89" s="25"/>
      <c r="I89" s="11"/>
      <c r="R89" s="23"/>
      <c r="S89" s="62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5" s="10" customFormat="1">
      <c r="A90" s="23">
        <v>41362</v>
      </c>
      <c r="B90" s="26">
        <v>15095.51</v>
      </c>
      <c r="C90" s="31">
        <f t="shared" si="19"/>
        <v>4.0293873070195892E-3</v>
      </c>
      <c r="D90" s="25">
        <f t="shared" si="18"/>
        <v>137.81901810804939</v>
      </c>
      <c r="E90" s="25"/>
      <c r="F90" s="25"/>
      <c r="I90" s="11"/>
      <c r="R90" s="23"/>
      <c r="S90" s="62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5" s="10" customFormat="1">
      <c r="A91" s="23">
        <v>41394</v>
      </c>
      <c r="B91" s="26">
        <v>15164.77</v>
      </c>
      <c r="C91" s="31">
        <f t="shared" si="19"/>
        <v>4.3013617956598471E-3</v>
      </c>
      <c r="D91" s="25">
        <f t="shared" si="18"/>
        <v>138.45134819786838</v>
      </c>
      <c r="E91" s="25"/>
      <c r="F91" s="25"/>
      <c r="I91" s="11"/>
      <c r="R91" s="23"/>
      <c r="S91" s="62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5" s="10" customFormat="1">
      <c r="A92" s="23">
        <v>41425</v>
      </c>
      <c r="B92" s="26">
        <v>15230.38</v>
      </c>
      <c r="C92" s="31">
        <f t="shared" si="19"/>
        <v>4.1869113997177049E-3</v>
      </c>
      <c r="D92" s="25">
        <f t="shared" si="18"/>
        <v>139.05035451021351</v>
      </c>
      <c r="E92" s="25"/>
      <c r="F92" s="25"/>
      <c r="I92" s="11"/>
      <c r="R92" s="23"/>
      <c r="S92" s="62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5" s="10" customFormat="1">
      <c r="A93" s="23">
        <v>41453</v>
      </c>
      <c r="B93" s="26">
        <v>15289.74</v>
      </c>
      <c r="C93" s="31">
        <f t="shared" si="19"/>
        <v>4.1758642922896348E-3</v>
      </c>
      <c r="D93" s="25">
        <f t="shared" si="18"/>
        <v>139.59229955976096</v>
      </c>
      <c r="E93" s="25"/>
      <c r="F93" s="25"/>
      <c r="I93" s="11"/>
      <c r="R93" s="23"/>
      <c r="S93" s="62"/>
    </row>
    <row r="94" spans="1:45" s="10" customFormat="1">
      <c r="A94" s="23">
        <v>41486</v>
      </c>
      <c r="B94" s="26">
        <v>15360.27</v>
      </c>
      <c r="C94" s="31">
        <f t="shared" si="19"/>
        <v>4.1935429783752035E-3</v>
      </c>
      <c r="D94" s="25">
        <f t="shared" si="18"/>
        <v>140.23622449818046</v>
      </c>
      <c r="E94" s="25"/>
      <c r="F94" s="25"/>
      <c r="I94" s="11"/>
      <c r="R94" s="23"/>
      <c r="S94" s="62"/>
    </row>
    <row r="95" spans="1:45" s="10" customFormat="1">
      <c r="A95" s="23">
        <v>41516</v>
      </c>
      <c r="B95" s="26">
        <v>15424.43</v>
      </c>
      <c r="C95" s="31">
        <f t="shared" si="19"/>
        <v>4.1770099093310087E-3</v>
      </c>
      <c r="D95" s="25">
        <f t="shared" si="18"/>
        <v>140.82199259755649</v>
      </c>
      <c r="E95" s="25"/>
      <c r="F95" s="25"/>
      <c r="I95" s="11"/>
      <c r="R95" s="23"/>
      <c r="S95" s="62"/>
    </row>
    <row r="96" spans="1:45" s="10" customFormat="1">
      <c r="A96" s="23">
        <v>41547</v>
      </c>
      <c r="B96" s="26">
        <v>15490.99</v>
      </c>
      <c r="C96" s="31">
        <f t="shared" si="19"/>
        <v>4.1760313493467392E-3</v>
      </c>
      <c r="D96" s="25">
        <f t="shared" si="18"/>
        <v>141.42967222184689</v>
      </c>
      <c r="E96" s="25"/>
      <c r="F96" s="25"/>
      <c r="I96" s="11"/>
      <c r="R96" s="23"/>
      <c r="S96" s="62"/>
    </row>
    <row r="97" spans="1:19" s="10" customFormat="1">
      <c r="A97" s="23">
        <v>41578</v>
      </c>
      <c r="B97" s="26">
        <v>15554.36</v>
      </c>
      <c r="C97" s="31">
        <f t="shared" si="19"/>
        <v>3.958804856991985E-3</v>
      </c>
      <c r="D97" s="25">
        <f t="shared" si="18"/>
        <v>142.00822777760533</v>
      </c>
      <c r="E97" s="25"/>
      <c r="F97" s="25"/>
      <c r="I97" s="11"/>
      <c r="R97" s="23"/>
      <c r="S97" s="62"/>
    </row>
    <row r="98" spans="1:19" s="10" customFormat="1">
      <c r="A98" s="23">
        <v>41607</v>
      </c>
      <c r="B98" s="26">
        <v>15615.06</v>
      </c>
      <c r="C98" s="31">
        <f t="shared" si="19"/>
        <v>4.037009780426537E-3</v>
      </c>
      <c r="D98" s="25">
        <f t="shared" si="18"/>
        <v>142.5624067618966</v>
      </c>
      <c r="E98" s="25"/>
      <c r="F98" s="25"/>
      <c r="I98" s="11"/>
      <c r="R98" s="23"/>
      <c r="S98" s="62"/>
    </row>
    <row r="99" spans="1:19" s="10" customFormat="1">
      <c r="A99" s="23">
        <v>41639</v>
      </c>
      <c r="B99" s="26">
        <v>15675.68</v>
      </c>
      <c r="C99" s="31">
        <f t="shared" si="19"/>
        <v>3.6395153140621889E-3</v>
      </c>
      <c r="D99" s="25">
        <f t="shared" si="18"/>
        <v>143.11585536202404</v>
      </c>
      <c r="E99" s="25"/>
      <c r="F99" s="25"/>
      <c r="I99" s="11"/>
      <c r="R99" s="23"/>
      <c r="S99" s="62"/>
    </row>
    <row r="100" spans="1:19" s="10" customFormat="1">
      <c r="A100" s="23">
        <v>41670</v>
      </c>
      <c r="B100" s="26">
        <v>15738.45</v>
      </c>
      <c r="C100" s="31">
        <f t="shared" si="19"/>
        <v>3.8751212891769038E-3</v>
      </c>
      <c r="D100" s="25">
        <f t="shared" si="18"/>
        <v>143.68893303655392</v>
      </c>
      <c r="E100" s="25"/>
      <c r="F100" s="25"/>
      <c r="I100" s="11"/>
      <c r="R100" s="23"/>
      <c r="S100" s="62"/>
    </row>
    <row r="101" spans="1:19" s="10" customFormat="1">
      <c r="A101" s="23">
        <v>41698</v>
      </c>
      <c r="B101" s="26">
        <v>15792.47</v>
      </c>
      <c r="C101" s="31">
        <f t="shared" si="19"/>
        <v>3.6775267849482279E-3</v>
      </c>
      <c r="D101" s="25">
        <f t="shared" si="18"/>
        <v>144.18212494316697</v>
      </c>
      <c r="E101" s="25"/>
      <c r="F101" s="25"/>
      <c r="I101" s="11"/>
      <c r="R101" s="23"/>
      <c r="S101" s="62"/>
    </row>
    <row r="102" spans="1:19" s="10" customFormat="1">
      <c r="A102" s="23">
        <v>41729</v>
      </c>
      <c r="B102" s="26">
        <v>15848.53</v>
      </c>
      <c r="C102" s="31">
        <f t="shared" si="19"/>
        <v>3.4352835815568226E-3</v>
      </c>
      <c r="D102" s="25">
        <f t="shared" si="18"/>
        <v>144.69394164595724</v>
      </c>
      <c r="E102" s="25"/>
      <c r="F102" s="25"/>
      <c r="I102" s="11"/>
      <c r="R102" s="23"/>
      <c r="S102" s="62"/>
    </row>
    <row r="103" spans="1:19" s="10" customFormat="1">
      <c r="A103" s="23">
        <v>41759</v>
      </c>
      <c r="B103" s="26">
        <v>15901.43</v>
      </c>
      <c r="C103" s="31">
        <f t="shared" si="19"/>
        <v>3.3378489992446081E-3</v>
      </c>
      <c r="D103" s="25">
        <f t="shared" si="18"/>
        <v>145.17690817427697</v>
      </c>
      <c r="E103" s="25"/>
      <c r="F103" s="25"/>
      <c r="I103" s="11"/>
      <c r="R103" s="23"/>
      <c r="S103" s="62"/>
    </row>
    <row r="104" spans="1:19" s="10" customFormat="1">
      <c r="A104" s="23">
        <v>41789</v>
      </c>
      <c r="B104" s="26">
        <v>15954.5</v>
      </c>
      <c r="C104" s="31">
        <f t="shared" si="19"/>
        <v>3.3374356897462043E-3</v>
      </c>
      <c r="D104" s="25">
        <f t="shared" si="18"/>
        <v>145.66142676894481</v>
      </c>
      <c r="E104" s="25"/>
      <c r="F104" s="25"/>
      <c r="I104" s="11"/>
      <c r="R104" s="23"/>
      <c r="S104" s="62"/>
    </row>
    <row r="105" spans="1:19" s="10" customFormat="1">
      <c r="A105" s="23">
        <v>41820</v>
      </c>
      <c r="B105" s="26">
        <v>16009.53</v>
      </c>
      <c r="C105" s="31">
        <f t="shared" si="19"/>
        <v>3.3379196282979163E-3</v>
      </c>
      <c r="D105" s="25">
        <f t="shared" si="18"/>
        <v>146.163839775626</v>
      </c>
      <c r="E105" s="25"/>
      <c r="F105" s="25"/>
      <c r="I105" s="11"/>
      <c r="R105" s="23"/>
      <c r="S105" s="62"/>
    </row>
    <row r="106" spans="1:19" s="10" customFormat="1">
      <c r="A106" s="23">
        <v>41851</v>
      </c>
      <c r="B106" s="26">
        <v>16063.18</v>
      </c>
      <c r="C106" s="31">
        <f t="shared" si="19"/>
        <v>3.2430280488378181E-3</v>
      </c>
      <c r="D106" s="25">
        <f t="shared" si="18"/>
        <v>146.65365365548143</v>
      </c>
      <c r="E106" s="25"/>
      <c r="F106" s="25"/>
      <c r="I106" s="11"/>
      <c r="R106" s="23"/>
      <c r="S106" s="62"/>
    </row>
    <row r="107" spans="1:19" s="10" customFormat="1">
      <c r="A107" s="23">
        <v>41880</v>
      </c>
      <c r="B107" s="26">
        <v>16110.55</v>
      </c>
      <c r="C107" s="31">
        <f t="shared" si="19"/>
        <v>3.0506691872881088E-3</v>
      </c>
      <c r="D107" s="25">
        <f t="shared" si="18"/>
        <v>147.08613237847777</v>
      </c>
      <c r="E107" s="25"/>
      <c r="F107" s="25"/>
      <c r="I107" s="11"/>
      <c r="R107" s="23"/>
      <c r="S107" s="62"/>
    </row>
    <row r="108" spans="1:19" s="10" customFormat="1">
      <c r="A108" s="23">
        <v>41912</v>
      </c>
      <c r="B108" s="26">
        <v>16158.37</v>
      </c>
      <c r="C108" s="31">
        <f t="shared" si="19"/>
        <v>2.7827262259823987E-3</v>
      </c>
      <c r="D108" s="25">
        <f t="shared" si="18"/>
        <v>147.52271951239555</v>
      </c>
      <c r="E108" s="25"/>
      <c r="F108" s="25"/>
      <c r="I108" s="11"/>
      <c r="R108" s="23"/>
      <c r="S108" s="62"/>
    </row>
    <row r="109" spans="1:19" s="10" customFormat="1">
      <c r="A109" s="23">
        <v>41943</v>
      </c>
      <c r="B109" s="26">
        <v>16200.86</v>
      </c>
      <c r="C109" s="31">
        <f t="shared" si="19"/>
        <v>2.5447712138483617E-3</v>
      </c>
      <c r="D109" s="25">
        <f t="shared" si="18"/>
        <v>147.91064480139943</v>
      </c>
      <c r="E109" s="25"/>
      <c r="F109" s="25"/>
      <c r="I109" s="11"/>
      <c r="R109" s="23"/>
      <c r="S109" s="62"/>
    </row>
    <row r="110" spans="1:19" s="10" customFormat="1">
      <c r="A110" s="23">
        <v>41971</v>
      </c>
      <c r="B110" s="26">
        <v>16240.11</v>
      </c>
      <c r="C110" s="31">
        <f t="shared" si="19"/>
        <v>2.5957616712057874E-3</v>
      </c>
      <c r="D110" s="25">
        <f t="shared" si="18"/>
        <v>148.26898953176899</v>
      </c>
      <c r="E110" s="25"/>
      <c r="F110" s="25"/>
      <c r="I110" s="11"/>
      <c r="R110" s="23"/>
      <c r="S110" s="62"/>
    </row>
    <row r="111" spans="1:19" s="10" customFormat="1">
      <c r="A111" s="23">
        <v>42004</v>
      </c>
      <c r="B111" s="26">
        <v>16283.49</v>
      </c>
      <c r="C111" s="31">
        <f t="shared" si="19"/>
        <v>2.4283310664990391E-3</v>
      </c>
      <c r="D111" s="25">
        <f t="shared" si="18"/>
        <v>148.66504034459524</v>
      </c>
      <c r="E111" s="25"/>
      <c r="F111" s="25"/>
      <c r="I111" s="11"/>
      <c r="R111" s="23"/>
      <c r="S111" s="62"/>
    </row>
    <row r="112" spans="1:19" s="10" customFormat="1">
      <c r="A112" s="23">
        <v>42034</v>
      </c>
      <c r="B112" s="26">
        <v>16325.65</v>
      </c>
      <c r="C112" s="31">
        <f t="shared" si="19"/>
        <v>2.5891255498666776E-3</v>
      </c>
      <c r="D112" s="25">
        <f t="shared" si="18"/>
        <v>149.04995279892341</v>
      </c>
      <c r="E112" s="25"/>
      <c r="F112" s="25"/>
      <c r="I112" s="11"/>
      <c r="R112" s="23"/>
      <c r="S112" s="62"/>
    </row>
    <row r="113" spans="1:45">
      <c r="A113" s="23">
        <v>42062</v>
      </c>
      <c r="B113" s="26">
        <v>16363.77</v>
      </c>
      <c r="C113" s="31">
        <f t="shared" si="19"/>
        <v>2.5017599386766604E-3</v>
      </c>
      <c r="D113" s="25">
        <f t="shared" si="18"/>
        <v>149.39798085297915</v>
      </c>
      <c r="E113" s="25"/>
      <c r="F113" s="25"/>
      <c r="N113" s="10"/>
      <c r="O113" s="10"/>
      <c r="P113" s="10"/>
      <c r="Q113" s="10"/>
      <c r="R113" s="23"/>
      <c r="S113" s="62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>
      <c r="A114" s="23">
        <v>42094</v>
      </c>
      <c r="B114" s="26">
        <v>16407.490000000002</v>
      </c>
      <c r="C114" s="31">
        <f t="shared" si="19"/>
        <v>2.5047712110351505E-3</v>
      </c>
      <c r="D114" s="25">
        <f t="shared" si="18"/>
        <v>149.79713579850164</v>
      </c>
      <c r="E114" s="25"/>
      <c r="F114" s="25"/>
      <c r="N114" s="10"/>
      <c r="O114" s="10"/>
      <c r="P114" s="10"/>
      <c r="Q114" s="10"/>
      <c r="R114" s="23"/>
      <c r="S114" s="62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>
      <c r="A115" s="23">
        <v>42124</v>
      </c>
      <c r="B115" s="26">
        <v>16448.59</v>
      </c>
      <c r="C115" s="31">
        <f t="shared" si="19"/>
        <v>2.5049535303691695E-3</v>
      </c>
      <c r="D115" s="25">
        <f t="shared" si="18"/>
        <v>150.17237066265929</v>
      </c>
      <c r="E115" s="25"/>
      <c r="F115" s="25"/>
      <c r="O115" s="10"/>
      <c r="P115" s="10"/>
      <c r="Q115" s="10"/>
      <c r="R115" s="23"/>
      <c r="S115" s="62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>
      <c r="A116" s="23">
        <v>42153</v>
      </c>
      <c r="B116" s="26">
        <v>16488.37</v>
      </c>
      <c r="C116" s="31">
        <f t="shared" si="19"/>
        <v>2.5018390109991843E-3</v>
      </c>
      <c r="D116" s="25">
        <f t="shared" si="18"/>
        <v>150.53555418811408</v>
      </c>
      <c r="E116" s="25"/>
      <c r="F116" s="25"/>
      <c r="O116" s="10"/>
      <c r="P116" s="10"/>
      <c r="Q116" s="10"/>
      <c r="R116" s="23"/>
      <c r="S116" s="62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>
      <c r="A117" s="23">
        <v>42185</v>
      </c>
      <c r="B117" s="26">
        <v>16532.38</v>
      </c>
      <c r="C117" s="31">
        <f t="shared" si="19"/>
        <v>2.5023319466994237E-3</v>
      </c>
      <c r="D117" s="25">
        <f t="shared" si="18"/>
        <v>150.93735677623039</v>
      </c>
      <c r="E117" s="25"/>
      <c r="F117" s="25"/>
      <c r="O117" s="10"/>
      <c r="P117" s="10"/>
      <c r="Q117" s="10"/>
      <c r="R117" s="23"/>
      <c r="S117" s="62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>
      <c r="A118" s="23">
        <v>42216</v>
      </c>
      <c r="B118" s="26">
        <v>16575.11</v>
      </c>
      <c r="C118" s="31">
        <f t="shared" si="19"/>
        <v>2.5012498444402483E-3</v>
      </c>
      <c r="D118" s="25">
        <f t="shared" si="18"/>
        <v>151.3274732177257</v>
      </c>
      <c r="E118" s="25"/>
      <c r="F118" s="25"/>
      <c r="O118" s="10"/>
      <c r="P118" s="10"/>
      <c r="Q118" s="10"/>
      <c r="R118" s="23"/>
      <c r="S118" s="62"/>
      <c r="T118" s="10"/>
      <c r="U118" s="10"/>
      <c r="V118" s="10"/>
      <c r="W118" s="10"/>
      <c r="X118" s="10"/>
      <c r="Y118" s="10"/>
      <c r="Z118" s="10"/>
      <c r="AA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>
      <c r="A119" s="23">
        <v>42247</v>
      </c>
      <c r="B119" s="26">
        <v>16617.939999999999</v>
      </c>
      <c r="C119" s="31">
        <f t="shared" si="19"/>
        <v>2.5006402429167945E-3</v>
      </c>
      <c r="D119" s="25">
        <f t="shared" si="18"/>
        <v>151.71850263942576</v>
      </c>
      <c r="E119" s="25"/>
      <c r="F119" s="25"/>
      <c r="O119" s="10"/>
      <c r="P119" s="10"/>
      <c r="Q119" s="10"/>
      <c r="R119" s="23"/>
      <c r="S119" s="62"/>
      <c r="T119" s="10"/>
      <c r="U119" s="10"/>
      <c r="V119" s="10"/>
      <c r="W119" s="10"/>
      <c r="X119" s="10"/>
      <c r="Y119" s="10"/>
      <c r="Z119" s="10"/>
      <c r="AA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>
      <c r="A120" s="23">
        <v>42277</v>
      </c>
      <c r="B120" s="26">
        <v>16659.580000000002</v>
      </c>
      <c r="C120" s="31">
        <f t="shared" si="19"/>
        <v>2.5057257397729238E-3</v>
      </c>
      <c r="D120" s="25">
        <f t="shared" si="18"/>
        <v>152.09866759668921</v>
      </c>
      <c r="E120" s="25"/>
      <c r="F120" s="25"/>
      <c r="O120" s="10"/>
      <c r="P120" s="10"/>
      <c r="Q120" s="10"/>
      <c r="R120" s="23"/>
      <c r="S120" s="62"/>
      <c r="T120" s="10"/>
      <c r="U120" s="10"/>
      <c r="V120" s="10"/>
      <c r="W120" s="10"/>
      <c r="X120" s="10"/>
      <c r="Y120" s="10"/>
      <c r="Z120" s="10"/>
      <c r="AA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>
      <c r="A121" s="23">
        <v>42307</v>
      </c>
      <c r="B121" s="26">
        <v>16702.939999999999</v>
      </c>
      <c r="C121" s="31">
        <f t="shared" si="19"/>
        <v>2.6027066708762536E-3</v>
      </c>
      <c r="D121" s="25">
        <f t="shared" si="18"/>
        <v>152.4945358134745</v>
      </c>
      <c r="E121" s="25"/>
      <c r="F121" s="25"/>
      <c r="O121" s="10"/>
      <c r="P121" s="10"/>
      <c r="Q121" s="10"/>
      <c r="R121" s="23"/>
      <c r="S121" s="62"/>
      <c r="T121" s="10"/>
      <c r="U121" s="10"/>
      <c r="V121" s="10"/>
      <c r="W121" s="10"/>
      <c r="X121" s="10"/>
      <c r="Y121" s="10"/>
      <c r="Z121" s="10"/>
      <c r="AA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>
      <c r="A122" s="23">
        <v>42338</v>
      </c>
      <c r="B122" s="26">
        <v>16749.75</v>
      </c>
      <c r="C122" s="31">
        <f t="shared" si="19"/>
        <v>2.712097391237853E-3</v>
      </c>
      <c r="D122" s="25">
        <f t="shared" si="18"/>
        <v>152.92190184732414</v>
      </c>
      <c r="E122" s="25"/>
      <c r="F122" s="23"/>
      <c r="O122" s="10"/>
      <c r="P122" s="10"/>
      <c r="Q122" s="10"/>
      <c r="R122" s="23"/>
      <c r="S122" s="62"/>
      <c r="T122" s="10"/>
      <c r="U122" s="10"/>
      <c r="V122" s="10"/>
      <c r="W122" s="10"/>
      <c r="X122" s="10"/>
      <c r="Y122" s="10"/>
      <c r="Z122" s="10"/>
      <c r="AA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>
      <c r="A123" s="23">
        <v>42369</v>
      </c>
      <c r="B123" s="26">
        <v>16796.52</v>
      </c>
      <c r="C123" s="31">
        <f t="shared" si="19"/>
        <v>2.7022069178693799E-3</v>
      </c>
      <c r="D123" s="25">
        <f t="shared" si="18"/>
        <v>153.34890268909191</v>
      </c>
      <c r="E123" s="25"/>
      <c r="F123" s="23">
        <v>42369</v>
      </c>
      <c r="K123" s="10">
        <v>4563.3999000000003</v>
      </c>
      <c r="O123" s="10"/>
      <c r="P123" s="10"/>
      <c r="Q123" s="10"/>
      <c r="R123" s="23"/>
      <c r="S123" s="62"/>
      <c r="T123" s="10"/>
      <c r="U123" s="10"/>
      <c r="V123" s="10"/>
      <c r="W123" s="10"/>
      <c r="X123" s="10"/>
      <c r="Y123" s="10"/>
      <c r="Z123" s="10"/>
      <c r="AA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>
      <c r="A124" s="23">
        <v>42398</v>
      </c>
      <c r="B124" s="26">
        <v>16845.59</v>
      </c>
      <c r="C124" s="31">
        <f t="shared" si="19"/>
        <v>3.0221777466712088E-3</v>
      </c>
      <c r="D124" s="25">
        <f t="shared" si="18"/>
        <v>153.79690207556919</v>
      </c>
      <c r="E124" s="25"/>
      <c r="F124" s="23">
        <v>42400</v>
      </c>
      <c r="K124" s="10">
        <v>4573.6154999999999</v>
      </c>
      <c r="R124" s="23"/>
      <c r="S124" s="62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>
      <c r="A125" s="23">
        <v>42429</v>
      </c>
      <c r="B125" s="26">
        <v>16896.43</v>
      </c>
      <c r="C125" s="31">
        <f t="shared" si="19"/>
        <v>2.9206457001506431E-3</v>
      </c>
      <c r="D125" s="25">
        <f t="shared" si="18"/>
        <v>154.26106121167084</v>
      </c>
      <c r="E125" s="25"/>
      <c r="F125" s="23">
        <v>42428</v>
      </c>
      <c r="K125" s="10">
        <v>4583.5859</v>
      </c>
      <c r="R125" s="23"/>
      <c r="S125" s="62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>
      <c r="A126" s="23">
        <v>42460</v>
      </c>
      <c r="B126" s="26">
        <v>16947.43</v>
      </c>
      <c r="C126" s="31">
        <f t="shared" si="19"/>
        <v>2.9210217016066354E-3</v>
      </c>
      <c r="D126" s="25">
        <f t="shared" si="18"/>
        <v>154.72668111610005</v>
      </c>
      <c r="E126" s="25"/>
      <c r="F126" s="23">
        <v>42460</v>
      </c>
      <c r="K126" s="10">
        <v>4594.8136000000004</v>
      </c>
      <c r="R126" s="23"/>
      <c r="S126" s="62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>
      <c r="A127" s="23">
        <v>42489</v>
      </c>
      <c r="B127" s="26">
        <v>16995.27</v>
      </c>
      <c r="C127" s="31">
        <f t="shared" si="19"/>
        <v>2.920186433719699E-3</v>
      </c>
      <c r="D127" s="25">
        <f t="shared" si="18"/>
        <v>155.16345084605877</v>
      </c>
      <c r="F127" s="23">
        <v>42490</v>
      </c>
      <c r="K127" s="10">
        <v>4604.8477000000003</v>
      </c>
      <c r="R127" s="23"/>
      <c r="S127" s="62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spans="1:45">
      <c r="A128" s="23">
        <v>42521</v>
      </c>
      <c r="B128" s="26">
        <v>17048.23</v>
      </c>
      <c r="C128" s="31">
        <f t="shared" si="19"/>
        <v>2.9214010721807099E-3</v>
      </c>
      <c r="D128" s="25">
        <f t="shared" si="18"/>
        <v>155.64696516250137</v>
      </c>
      <c r="F128" s="23">
        <f t="shared" ref="F128:F143" si="21">+A128</f>
        <v>42521</v>
      </c>
      <c r="G128" s="57">
        <v>1000</v>
      </c>
      <c r="H128" s="10">
        <f>+G128</f>
        <v>1000</v>
      </c>
      <c r="I128" s="31"/>
      <c r="J128" s="24">
        <v>155.65</v>
      </c>
      <c r="K128" s="10">
        <v>4614.8486000000003</v>
      </c>
      <c r="L128" s="31">
        <f>+(K128/K127-1)/(F128-F127)*30</f>
        <v>2.1017612205893742E-3</v>
      </c>
      <c r="M128" s="9">
        <v>155.65</v>
      </c>
      <c r="R128" s="23"/>
      <c r="S128" s="62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spans="1:45">
      <c r="A129" s="23">
        <v>42551</v>
      </c>
      <c r="B129" s="26">
        <v>17098.02</v>
      </c>
      <c r="C129" s="31">
        <f t="shared" si="19"/>
        <v>2.9205377918999353E-3</v>
      </c>
      <c r="D129" s="25">
        <f t="shared" si="18"/>
        <v>156.10153800645296</v>
      </c>
      <c r="F129" s="23">
        <f t="shared" si="21"/>
        <v>42551</v>
      </c>
      <c r="G129" s="10">
        <v>1001.3437</v>
      </c>
      <c r="H129" s="10">
        <f t="shared" ref="H129:H133" si="22">+G129</f>
        <v>1001.3437</v>
      </c>
      <c r="I129" s="31">
        <f>+(((H129)/H128)-1)/23*30</f>
        <v>1.7526521739131202E-3</v>
      </c>
      <c r="J129" s="24">
        <f>+J128*(1+I129)</f>
        <v>155.92280031086958</v>
      </c>
      <c r="K129" s="10">
        <v>4624.3824000000004</v>
      </c>
      <c r="L129" s="31">
        <f t="shared" ref="L129:L163" si="23">+(K129/K128-1)/(F129-F128)*30</f>
        <v>2.0658965930107076E-3</v>
      </c>
      <c r="M129" s="25">
        <f>+M128*(1+L129)</f>
        <v>155.97155680470212</v>
      </c>
      <c r="R129" s="23"/>
      <c r="S129" s="62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spans="1:45">
      <c r="A130" s="23">
        <v>42582</v>
      </c>
      <c r="B130" s="58">
        <v>17149.23</v>
      </c>
      <c r="C130" s="31">
        <f t="shared" si="19"/>
        <v>2.8984680399326843E-3</v>
      </c>
      <c r="D130" s="25">
        <f>B130/$B$3*100</f>
        <v>156.56907516931219</v>
      </c>
      <c r="F130" s="23">
        <f t="shared" si="21"/>
        <v>42582</v>
      </c>
      <c r="G130" s="10">
        <v>1005.1646</v>
      </c>
      <c r="H130" s="10">
        <f t="shared" si="22"/>
        <v>1005.1646</v>
      </c>
      <c r="I130" s="31">
        <f>+(H130/H129-1)/(F130-F129)*30</f>
        <v>3.6926833027364141E-3</v>
      </c>
      <c r="J130" s="24">
        <f t="shared" ref="J130:J144" si="24">+J129*(1+I130)</f>
        <v>156.49857383209343</v>
      </c>
      <c r="K130" s="10">
        <v>4633.9059999999999</v>
      </c>
      <c r="L130" s="31">
        <f t="shared" si="23"/>
        <v>1.9929984805697456E-3</v>
      </c>
      <c r="M130" s="25">
        <f t="shared" ref="M130:M138" si="25">+M129*(1+L130)</f>
        <v>156.28240788042598</v>
      </c>
      <c r="R130" s="23"/>
      <c r="S130" s="62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spans="1:45">
      <c r="A131" s="23">
        <v>42613</v>
      </c>
      <c r="B131" s="26">
        <v>17201.38</v>
      </c>
      <c r="C131" s="31">
        <f t="shared" si="19"/>
        <v>2.9428576055883799E-3</v>
      </c>
      <c r="D131" s="25">
        <f t="shared" ref="D131:D158" si="26">B131/$B$3*100</f>
        <v>157.0451943460962</v>
      </c>
      <c r="F131" s="23">
        <f t="shared" si="21"/>
        <v>42613</v>
      </c>
      <c r="G131" s="10">
        <v>1007.9799</v>
      </c>
      <c r="H131" s="10">
        <f t="shared" si="22"/>
        <v>1007.9799</v>
      </c>
      <c r="I131" s="31">
        <f t="shared" ref="I131:I163" si="27">+(H131/H130-1)/(F131-F130)*30</f>
        <v>2.7104852985946051E-3</v>
      </c>
      <c r="J131" s="24">
        <f t="shared" si="24"/>
        <v>156.92276091571634</v>
      </c>
      <c r="K131" s="10">
        <v>4643.2047000000002</v>
      </c>
      <c r="L131" s="31">
        <f t="shared" si="23"/>
        <v>1.9419345009338391E-3</v>
      </c>
      <c r="M131" s="25">
        <f t="shared" si="25"/>
        <v>156.585898080178</v>
      </c>
      <c r="R131" s="23"/>
      <c r="S131" s="62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spans="1:45">
      <c r="A132" s="23">
        <f>+A131+30</f>
        <v>42643</v>
      </c>
      <c r="B132" s="26">
        <v>17251.61</v>
      </c>
      <c r="C132" s="31">
        <f t="shared" si="19"/>
        <v>2.9201145489490266E-3</v>
      </c>
      <c r="D132" s="25">
        <f t="shared" si="26"/>
        <v>157.50378430294876</v>
      </c>
      <c r="F132" s="23">
        <f t="shared" si="21"/>
        <v>42643</v>
      </c>
      <c r="G132" s="10">
        <v>1010.9045</v>
      </c>
      <c r="H132" s="10">
        <f t="shared" si="22"/>
        <v>1010.9045</v>
      </c>
      <c r="I132" s="31">
        <f t="shared" si="27"/>
        <v>2.9014467451184967E-3</v>
      </c>
      <c r="J132" s="24">
        <f t="shared" si="24"/>
        <v>157.37806394961027</v>
      </c>
      <c r="K132" s="10">
        <v>4652.0922</v>
      </c>
      <c r="L132" s="31">
        <f t="shared" si="23"/>
        <v>1.9140874835865687E-3</v>
      </c>
      <c r="M132" s="25">
        <f t="shared" si="25"/>
        <v>156.88561718779943</v>
      </c>
      <c r="R132" s="23"/>
      <c r="S132" s="62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</row>
    <row r="133" spans="1:45">
      <c r="A133" s="23">
        <v>42674</v>
      </c>
      <c r="B133" s="26">
        <v>17303.68</v>
      </c>
      <c r="C133" s="31">
        <f t="shared" ref="C133:C162" si="28">(B133/B132-1)/(A133-A132)*30</f>
        <v>2.920905502770276E-3</v>
      </c>
      <c r="D133" s="25">
        <f t="shared" si="26"/>
        <v>157.97917309556894</v>
      </c>
      <c r="F133" s="23">
        <f t="shared" si="21"/>
        <v>42674</v>
      </c>
      <c r="G133" s="10">
        <v>1013.6288</v>
      </c>
      <c r="H133" s="10">
        <f t="shared" si="22"/>
        <v>1013.6288</v>
      </c>
      <c r="I133" s="31">
        <f t="shared" si="27"/>
        <v>2.6079806300581495E-3</v>
      </c>
      <c r="J133" s="24">
        <f t="shared" si="24"/>
        <v>157.78850289198689</v>
      </c>
      <c r="K133" s="10">
        <v>4661.3091000000004</v>
      </c>
      <c r="L133" s="31">
        <f t="shared" si="23"/>
        <v>1.9173267127340248E-3</v>
      </c>
      <c r="M133" s="25">
        <f t="shared" si="25"/>
        <v>157.18641817247735</v>
      </c>
      <c r="R133" s="23"/>
      <c r="S133" s="62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</row>
    <row r="134" spans="1:45">
      <c r="A134" s="23">
        <v>42704</v>
      </c>
      <c r="B134" s="26">
        <v>17354.21</v>
      </c>
      <c r="C134" s="31">
        <f t="shared" si="28"/>
        <v>2.9201880756000165E-3</v>
      </c>
      <c r="D134" s="25">
        <f t="shared" si="26"/>
        <v>158.44050199303578</v>
      </c>
      <c r="F134" s="23">
        <f t="shared" si="21"/>
        <v>42704</v>
      </c>
      <c r="G134" s="10">
        <v>1015.8584</v>
      </c>
      <c r="H134" s="10">
        <f>+G134</f>
        <v>1015.8584</v>
      </c>
      <c r="I134" s="31">
        <f t="shared" si="27"/>
        <v>2.1996217944872942E-3</v>
      </c>
      <c r="J134" s="24">
        <f t="shared" si="24"/>
        <v>158.13557792186762</v>
      </c>
      <c r="K134" s="10">
        <v>4670.2537000000002</v>
      </c>
      <c r="L134" s="31">
        <f t="shared" si="23"/>
        <v>1.9189029965851478E-3</v>
      </c>
      <c r="M134" s="25">
        <f t="shared" si="25"/>
        <v>157.48804366133101</v>
      </c>
      <c r="R134" s="23"/>
      <c r="S134" s="62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</row>
    <row r="135" spans="1:45">
      <c r="A135" s="23">
        <v>42735</v>
      </c>
      <c r="B135" s="26">
        <v>17406.97</v>
      </c>
      <c r="C135" s="31">
        <f t="shared" si="28"/>
        <v>2.9421140182199269E-3</v>
      </c>
      <c r="D135" s="25">
        <f t="shared" si="26"/>
        <v>158.92219034906887</v>
      </c>
      <c r="F135" s="23">
        <f t="shared" si="21"/>
        <v>42735</v>
      </c>
      <c r="G135" s="10">
        <v>1015.602</v>
      </c>
      <c r="H135" s="10">
        <f>+G135+$S$144</f>
        <v>1015.62256</v>
      </c>
      <c r="I135" s="31">
        <f>+(H135/H134-1)/(F135-F134)*30</f>
        <v>-2.2466936146266794E-4</v>
      </c>
      <c r="J135" s="24">
        <f t="shared" si="24"/>
        <v>158.10004970255139</v>
      </c>
      <c r="K135" s="10">
        <v>4679.6228000000001</v>
      </c>
      <c r="L135" s="31">
        <f t="shared" si="23"/>
        <v>1.9414086578939749E-3</v>
      </c>
      <c r="M135" s="25">
        <f t="shared" si="25"/>
        <v>157.7937923128099</v>
      </c>
      <c r="R135" s="23"/>
      <c r="S135" s="62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</row>
    <row r="136" spans="1:45">
      <c r="A136" s="23">
        <v>42766</v>
      </c>
      <c r="B136" s="26">
        <v>17457.39</v>
      </c>
      <c r="C136" s="31">
        <f t="shared" si="28"/>
        <v>2.8031040661927633E-3</v>
      </c>
      <c r="D136" s="25">
        <f t="shared" si="26"/>
        <v>159.38251496831046</v>
      </c>
      <c r="F136" s="23">
        <f t="shared" si="21"/>
        <v>42766</v>
      </c>
      <c r="G136" s="10">
        <v>1018.5955</v>
      </c>
      <c r="H136" s="10">
        <f t="shared" ref="H136:H146" si="29">+G136+$S$144</f>
        <v>1018.6160600000001</v>
      </c>
      <c r="I136" s="31">
        <f t="shared" si="27"/>
        <v>2.8523740983765755E-3</v>
      </c>
      <c r="J136" s="24">
        <f t="shared" si="24"/>
        <v>158.55101018927499</v>
      </c>
      <c r="K136" s="10">
        <v>4689.6163999999999</v>
      </c>
      <c r="L136" s="31">
        <f t="shared" si="23"/>
        <v>2.0666678105875406E-3</v>
      </c>
      <c r="M136" s="25">
        <f t="shared" si="25"/>
        <v>158.11989966409334</v>
      </c>
      <c r="R136" s="23"/>
      <c r="S136" s="62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</row>
    <row r="137" spans="1:45">
      <c r="A137" s="23">
        <v>42794</v>
      </c>
      <c r="B137" s="26">
        <v>17501.060000000001</v>
      </c>
      <c r="C137" s="31">
        <f t="shared" si="28"/>
        <v>2.6801993719728829E-3</v>
      </c>
      <c r="D137" s="25">
        <f t="shared" si="26"/>
        <v>159.78121342373058</v>
      </c>
      <c r="F137" s="23">
        <f t="shared" si="21"/>
        <v>42794</v>
      </c>
      <c r="G137" s="10">
        <v>1020.431</v>
      </c>
      <c r="H137" s="10">
        <f t="shared" si="29"/>
        <v>1020.4515600000001</v>
      </c>
      <c r="I137" s="31">
        <f t="shared" si="27"/>
        <v>1.9306657533529098E-3</v>
      </c>
      <c r="J137" s="24">
        <f t="shared" si="24"/>
        <v>158.85711919480693</v>
      </c>
      <c r="K137" s="10">
        <v>4697.0558000000001</v>
      </c>
      <c r="L137" s="31">
        <f t="shared" si="23"/>
        <v>1.6996668883804767E-3</v>
      </c>
      <c r="M137" s="25">
        <f t="shared" si="25"/>
        <v>158.38865082194644</v>
      </c>
      <c r="R137" s="23"/>
      <c r="S137" s="62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</row>
    <row r="138" spans="1:45">
      <c r="A138" s="23">
        <v>42825</v>
      </c>
      <c r="B138" s="26">
        <v>17548.349999999999</v>
      </c>
      <c r="C138" s="31">
        <f t="shared" si="28"/>
        <v>2.6149568157032219E-3</v>
      </c>
      <c r="D138" s="25">
        <f t="shared" si="26"/>
        <v>160.21296176256305</v>
      </c>
      <c r="F138" s="23">
        <f t="shared" si="21"/>
        <v>42825</v>
      </c>
      <c r="G138" s="10">
        <v>1022.8543</v>
      </c>
      <c r="H138" s="10">
        <f t="shared" si="29"/>
        <v>1022.87486</v>
      </c>
      <c r="I138" s="31">
        <f t="shared" si="27"/>
        <v>2.2981287149563324E-3</v>
      </c>
      <c r="J138" s="24">
        <f t="shared" si="24"/>
        <v>159.22219330200377</v>
      </c>
      <c r="K138" s="10">
        <v>4705.1243999999997</v>
      </c>
      <c r="L138" s="31">
        <f t="shared" si="23"/>
        <v>1.6623865913290372E-3</v>
      </c>
      <c r="M138" s="25">
        <f t="shared" si="25"/>
        <v>158.65195399129155</v>
      </c>
      <c r="R138" s="23"/>
      <c r="S138" s="62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</row>
    <row r="139" spans="1:45">
      <c r="A139" s="23">
        <v>42855</v>
      </c>
      <c r="B139" s="26">
        <v>17587.919999999998</v>
      </c>
      <c r="C139" s="31">
        <f t="shared" si="28"/>
        <v>2.254912855054636E-3</v>
      </c>
      <c r="D139" s="25">
        <f t="shared" si="26"/>
        <v>160.57422802958786</v>
      </c>
      <c r="F139" s="23">
        <f t="shared" si="21"/>
        <v>42855</v>
      </c>
      <c r="G139" s="10">
        <v>1024.7483999999999</v>
      </c>
      <c r="H139" s="10">
        <f t="shared" si="29"/>
        <v>1024.7689599999999</v>
      </c>
      <c r="I139" s="31">
        <f t="shared" si="27"/>
        <v>1.8517416685750465E-3</v>
      </c>
      <c r="J139" s="24">
        <f t="shared" si="24"/>
        <v>159.517031671903</v>
      </c>
      <c r="K139" s="10">
        <v>4712.3293000000003</v>
      </c>
      <c r="L139" s="31">
        <f t="shared" si="23"/>
        <v>1.5312878868836144E-3</v>
      </c>
      <c r="M139" s="25">
        <f>+M138*(1+L139)</f>
        <v>158.89489580666884</v>
      </c>
      <c r="R139" s="23"/>
      <c r="S139" s="62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</row>
    <row r="140" spans="1:45">
      <c r="A140" s="23">
        <v>42886</v>
      </c>
      <c r="B140" s="26">
        <v>17630.79</v>
      </c>
      <c r="C140" s="31">
        <f t="shared" si="28"/>
        <v>2.3588404299198615E-3</v>
      </c>
      <c r="D140" s="25">
        <f t="shared" si="26"/>
        <v>160.96562264336987</v>
      </c>
      <c r="F140" s="23">
        <f t="shared" si="21"/>
        <v>42886</v>
      </c>
      <c r="G140" s="10">
        <v>1026.2055</v>
      </c>
      <c r="H140" s="10">
        <f t="shared" si="29"/>
        <v>1026.22606</v>
      </c>
      <c r="I140" s="31">
        <f t="shared" si="27"/>
        <v>1.3760143302873804E-3</v>
      </c>
      <c r="J140" s="24">
        <f t="shared" si="24"/>
        <v>159.73652939340846</v>
      </c>
      <c r="K140" s="10">
        <v>4719.0228999999999</v>
      </c>
      <c r="L140" s="31">
        <f t="shared" si="23"/>
        <v>1.374623250407062E-3</v>
      </c>
      <c r="M140" s="25">
        <f t="shared" ref="M140:M158" si="30">+M139*(1+L140)</f>
        <v>159.11331642481571</v>
      </c>
      <c r="R140" s="23"/>
      <c r="S140" s="62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</row>
    <row r="141" spans="1:45">
      <c r="A141" s="23">
        <v>42916</v>
      </c>
      <c r="B141" s="26">
        <v>17667.59</v>
      </c>
      <c r="C141" s="31">
        <f t="shared" si="28"/>
        <v>2.0872575760926271E-3</v>
      </c>
      <c r="D141" s="25">
        <f t="shared" si="26"/>
        <v>161.30159935872271</v>
      </c>
      <c r="F141" s="23">
        <f t="shared" si="21"/>
        <v>42916</v>
      </c>
      <c r="G141" s="10">
        <v>1032.9866</v>
      </c>
      <c r="H141" s="10">
        <f t="shared" si="29"/>
        <v>1033.0071599999999</v>
      </c>
      <c r="I141" s="31">
        <f t="shared" si="27"/>
        <v>6.6078033528012003E-3</v>
      </c>
      <c r="J141" s="24">
        <f t="shared" si="24"/>
        <v>160.79203696789907</v>
      </c>
      <c r="K141" s="10">
        <v>4725.0333000000001</v>
      </c>
      <c r="L141" s="31">
        <f t="shared" si="23"/>
        <v>1.2736534929720378E-3</v>
      </c>
      <c r="M141" s="25">
        <f t="shared" si="30"/>
        <v>159.31597165605854</v>
      </c>
      <c r="R141" s="23"/>
      <c r="S141" s="62"/>
    </row>
    <row r="142" spans="1:45">
      <c r="A142" s="23">
        <v>42947</v>
      </c>
      <c r="B142" s="26">
        <v>17705.689999999999</v>
      </c>
      <c r="C142" s="31">
        <f t="shared" si="28"/>
        <v>2.0869268384615313E-3</v>
      </c>
      <c r="D142" s="25">
        <f t="shared" si="26"/>
        <v>161.64944481673749</v>
      </c>
      <c r="F142" s="23">
        <f t="shared" si="21"/>
        <v>42947</v>
      </c>
      <c r="G142" s="10">
        <v>1036.2876000000001</v>
      </c>
      <c r="H142" s="10">
        <f t="shared" si="29"/>
        <v>1036.30816</v>
      </c>
      <c r="I142" s="31">
        <f t="shared" si="27"/>
        <v>3.0924433563774404E-3</v>
      </c>
      <c r="J142" s="24">
        <f t="shared" si="24"/>
        <v>161.28927723437886</v>
      </c>
      <c r="K142" s="10">
        <v>4730.5225</v>
      </c>
      <c r="L142" s="31">
        <f t="shared" si="23"/>
        <v>1.1242521893461259E-3</v>
      </c>
      <c r="M142" s="25">
        <f t="shared" si="30"/>
        <v>159.49508298599068</v>
      </c>
      <c r="R142" s="23"/>
      <c r="S142" s="62"/>
    </row>
    <row r="143" spans="1:45">
      <c r="A143" s="23">
        <v>42978</v>
      </c>
      <c r="B143" s="26">
        <v>17743.830000000002</v>
      </c>
      <c r="C143" s="31">
        <f t="shared" si="28"/>
        <v>2.0846223682533241E-3</v>
      </c>
      <c r="D143" s="25">
        <f t="shared" si="26"/>
        <v>161.9976554668342</v>
      </c>
      <c r="F143" s="23">
        <f t="shared" si="21"/>
        <v>42978</v>
      </c>
      <c r="G143" s="10">
        <v>1039.4349999999999</v>
      </c>
      <c r="H143" s="10">
        <f t="shared" si="29"/>
        <v>1039.4555599999999</v>
      </c>
      <c r="I143" s="31">
        <f t="shared" si="27"/>
        <v>2.9391556346925274E-3</v>
      </c>
      <c r="J143" s="24">
        <f t="shared" si="24"/>
        <v>161.76333152237777</v>
      </c>
      <c r="K143" s="10">
        <v>4735.8326999999999</v>
      </c>
      <c r="L143" s="31">
        <f t="shared" si="23"/>
        <v>1.0863288835021158E-3</v>
      </c>
      <c r="M143" s="25">
        <f t="shared" si="30"/>
        <v>159.66834710141492</v>
      </c>
      <c r="R143" s="23"/>
      <c r="S143" s="9" t="s">
        <v>40</v>
      </c>
    </row>
    <row r="144" spans="1:45">
      <c r="A144" s="23">
        <v>43008</v>
      </c>
      <c r="B144" s="26">
        <v>17780.7817</v>
      </c>
      <c r="C144" s="31">
        <f t="shared" si="28"/>
        <v>2.0825098076344695E-3</v>
      </c>
      <c r="D144" s="25">
        <f t="shared" si="26"/>
        <v>162.33501717315767</v>
      </c>
      <c r="F144" s="23">
        <v>43008</v>
      </c>
      <c r="G144" s="10">
        <v>1041.9647</v>
      </c>
      <c r="H144" s="10">
        <f t="shared" si="29"/>
        <v>1041.9852599999999</v>
      </c>
      <c r="I144" s="31">
        <f t="shared" si="27"/>
        <v>2.4336778765221556E-3</v>
      </c>
      <c r="J144" s="24">
        <f t="shared" si="24"/>
        <v>162.1570113635363</v>
      </c>
      <c r="K144" s="10">
        <v>4740.8941000000004</v>
      </c>
      <c r="L144" s="31">
        <f t="shared" si="23"/>
        <v>1.0687455238864718E-3</v>
      </c>
      <c r="M144" s="25">
        <f t="shared" si="30"/>
        <v>159.8389919326859</v>
      </c>
      <c r="R144" s="23"/>
      <c r="S144" s="69">
        <v>2.0559999999999998E-2</v>
      </c>
    </row>
    <row r="145" spans="1:19">
      <c r="A145" s="23">
        <v>43039</v>
      </c>
      <c r="B145" s="9">
        <v>17819.150000000001</v>
      </c>
      <c r="C145" s="31">
        <f t="shared" si="28"/>
        <v>2.0882441238917289E-3</v>
      </c>
      <c r="D145" s="25">
        <f t="shared" si="26"/>
        <v>162.68531215706184</v>
      </c>
      <c r="F145" s="23">
        <v>43039</v>
      </c>
      <c r="G145" s="10">
        <v>1044.1586</v>
      </c>
      <c r="H145" s="10">
        <f t="shared" si="29"/>
        <v>1044.1791599999999</v>
      </c>
      <c r="I145" s="31">
        <f t="shared" si="27"/>
        <v>2.0375806777325309E-3</v>
      </c>
      <c r="J145" s="24">
        <f>+J144*(1+I145)</f>
        <v>162.48741935664953</v>
      </c>
      <c r="K145" s="10">
        <v>4746.0658000000003</v>
      </c>
      <c r="L145" s="31">
        <f t="shared" si="23"/>
        <v>1.0556808193082983E-3</v>
      </c>
      <c r="M145" s="25">
        <f t="shared" si="30"/>
        <v>160.0077308906468</v>
      </c>
      <c r="R145" s="23"/>
      <c r="S145" s="10" t="s">
        <v>41</v>
      </c>
    </row>
    <row r="146" spans="1:19">
      <c r="A146" s="23">
        <v>43069</v>
      </c>
      <c r="B146" s="9">
        <f>+VLOOKUP(A146,[1]Simple!$A$3790:$B$3818,2)</f>
        <v>17856.32</v>
      </c>
      <c r="C146" s="31">
        <f t="shared" si="28"/>
        <v>2.0859580844203585E-3</v>
      </c>
      <c r="D146" s="25">
        <f t="shared" si="26"/>
        <v>163.0246668991723</v>
      </c>
      <c r="F146" s="23">
        <v>43069</v>
      </c>
      <c r="G146" s="10">
        <v>1046.7122999999999</v>
      </c>
      <c r="H146" s="10">
        <f t="shared" si="29"/>
        <v>1046.7328599999998</v>
      </c>
      <c r="I146" s="31">
        <f t="shared" si="27"/>
        <v>2.4456531003740345E-3</v>
      </c>
      <c r="J146" s="24">
        <f>+J145*(1+I146)</f>
        <v>162.88480721757088</v>
      </c>
      <c r="K146" s="10">
        <v>4751.2547000000004</v>
      </c>
      <c r="L146" s="31">
        <f t="shared" si="23"/>
        <v>1.093305533184985E-3</v>
      </c>
      <c r="M146" s="25">
        <f t="shared" si="30"/>
        <v>160.18266822818191</v>
      </c>
      <c r="R146" s="23"/>
      <c r="S146" s="9">
        <v>19.2742</v>
      </c>
    </row>
    <row r="147" spans="1:19">
      <c r="A147" s="23">
        <v>43100</v>
      </c>
      <c r="B147" s="9">
        <f>+VLOOKUP(A147,[1]Simple!$A$3790:$B$3818,2)</f>
        <v>17872.439999999999</v>
      </c>
      <c r="C147" s="31">
        <f t="shared" si="28"/>
        <v>8.7364025734307325E-4</v>
      </c>
      <c r="D147" s="25">
        <f t="shared" si="26"/>
        <v>163.1718393081801</v>
      </c>
      <c r="F147" s="23">
        <v>43100</v>
      </c>
      <c r="G147" s="10">
        <v>1030.0074999999999</v>
      </c>
      <c r="H147" s="10">
        <f>+G147+$S$144+$S$146</f>
        <v>1049.3022599999999</v>
      </c>
      <c r="I147" s="31">
        <f t="shared" si="27"/>
        <v>2.3755021209828373E-3</v>
      </c>
      <c r="J147" s="24">
        <f>+J146*(1+I147)</f>
        <v>163.2717404225921</v>
      </c>
      <c r="K147" s="10">
        <v>4756.6531999999997</v>
      </c>
      <c r="L147" s="31">
        <f t="shared" si="23"/>
        <v>1.0995737270640261E-3</v>
      </c>
      <c r="M147" s="25">
        <f t="shared" si="30"/>
        <v>160.35880088169662</v>
      </c>
      <c r="Q147" s="10"/>
      <c r="R147" s="23"/>
      <c r="S147" s="9" t="s">
        <v>48</v>
      </c>
    </row>
    <row r="148" spans="1:19">
      <c r="A148" s="23">
        <v>43131</v>
      </c>
      <c r="B148" s="9">
        <v>17933.28</v>
      </c>
      <c r="C148" s="31">
        <f t="shared" si="28"/>
        <v>3.2943134432030716E-3</v>
      </c>
      <c r="D148" s="25">
        <f t="shared" si="26"/>
        <v>163.72729646475804</v>
      </c>
      <c r="F148" s="23">
        <v>43131</v>
      </c>
      <c r="G148" s="10">
        <v>1032.7493999999999</v>
      </c>
      <c r="H148" s="10">
        <f t="shared" ref="H148:H158" si="31">+G148+$S$144+$S$146</f>
        <v>1052.0441599999999</v>
      </c>
      <c r="I148" s="31">
        <f t="shared" si="27"/>
        <v>2.5287771827567809E-3</v>
      </c>
      <c r="J148" s="24">
        <f t="shared" ref="J148:J158" si="32">+J147*(1+I148)</f>
        <v>163.68461827436172</v>
      </c>
      <c r="K148" s="10">
        <v>4762.3134</v>
      </c>
      <c r="L148" s="31">
        <f t="shared" si="23"/>
        <v>1.151568691874691E-3</v>
      </c>
      <c r="M148" s="25">
        <f t="shared" si="30"/>
        <v>160.54346505625853</v>
      </c>
      <c r="R148" s="23"/>
      <c r="S148" s="9">
        <v>28.674485248212001</v>
      </c>
    </row>
    <row r="149" spans="1:19">
      <c r="A149" s="23">
        <v>43159</v>
      </c>
      <c r="B149" s="9">
        <v>17968.11</v>
      </c>
      <c r="C149" s="31">
        <f t="shared" si="28"/>
        <v>2.0809275906504988E-3</v>
      </c>
      <c r="D149" s="25">
        <f t="shared" si="26"/>
        <v>164.04528747007708</v>
      </c>
      <c r="F149" s="23">
        <v>43159</v>
      </c>
      <c r="G149" s="10">
        <v>1035.6461999999999</v>
      </c>
      <c r="H149" s="10">
        <f t="shared" si="31"/>
        <v>1054.9409599999999</v>
      </c>
      <c r="I149" s="31">
        <f t="shared" si="27"/>
        <v>2.9501749106369823E-3</v>
      </c>
      <c r="J149" s="24">
        <f t="shared" si="32"/>
        <v>164.16751652845193</v>
      </c>
      <c r="K149" s="10">
        <v>4767.2641999999996</v>
      </c>
      <c r="L149" s="31">
        <f t="shared" si="23"/>
        <v>1.1138344174131476E-3</v>
      </c>
      <c r="M149" s="25">
        <f t="shared" si="30"/>
        <v>160.72228389312895</v>
      </c>
      <c r="R149" s="23"/>
      <c r="S149" s="9" t="s">
        <v>50</v>
      </c>
    </row>
    <row r="150" spans="1:19">
      <c r="A150" s="23">
        <v>43190</v>
      </c>
      <c r="B150" s="9">
        <v>18006.830000000002</v>
      </c>
      <c r="C150" s="31">
        <f t="shared" si="28"/>
        <v>2.0854150905095488E-3</v>
      </c>
      <c r="D150" s="25">
        <f t="shared" si="26"/>
        <v>164.3987934053614</v>
      </c>
      <c r="F150" s="23">
        <v>43190</v>
      </c>
      <c r="G150" s="10">
        <v>1038.2840000000001</v>
      </c>
      <c r="H150" s="10">
        <f t="shared" si="31"/>
        <v>1057.5787600000001</v>
      </c>
      <c r="I150" s="31">
        <f t="shared" si="27"/>
        <v>2.4197654411100928E-3</v>
      </c>
      <c r="J150" s="24">
        <f t="shared" si="32"/>
        <v>164.56476341150034</v>
      </c>
      <c r="K150" s="10">
        <v>4772.5331999999999</v>
      </c>
      <c r="L150" s="31">
        <f t="shared" si="23"/>
        <v>1.0695929665622971E-3</v>
      </c>
      <c r="M150" s="25">
        <f t="shared" si="30"/>
        <v>160.89419131755085</v>
      </c>
      <c r="R150" s="23"/>
      <c r="S150" s="9">
        <v>5.6443199000000002</v>
      </c>
    </row>
    <row r="151" spans="1:19">
      <c r="A151" s="23">
        <v>43220</v>
      </c>
      <c r="B151" s="9">
        <v>18044.25</v>
      </c>
      <c r="C151" s="31">
        <f t="shared" si="28"/>
        <v>2.0781003652501351E-3</v>
      </c>
      <c r="D151" s="25">
        <f t="shared" si="26"/>
        <v>164.74043059798379</v>
      </c>
      <c r="F151" s="23">
        <v>43220</v>
      </c>
      <c r="G151" s="10">
        <v>1040.644</v>
      </c>
      <c r="H151" s="10">
        <f t="shared" si="31"/>
        <v>1059.93876</v>
      </c>
      <c r="I151" s="31">
        <f t="shared" si="27"/>
        <v>2.2315122894487338E-3</v>
      </c>
      <c r="J151" s="24">
        <f t="shared" si="32"/>
        <v>164.93199170346332</v>
      </c>
      <c r="K151" s="10">
        <v>4777.4636</v>
      </c>
      <c r="L151" s="31">
        <f t="shared" si="23"/>
        <v>1.0330781983873827E-3</v>
      </c>
      <c r="M151" s="25">
        <f t="shared" si="30"/>
        <v>161.06040759884817</v>
      </c>
      <c r="R151" s="23"/>
      <c r="S151" s="9" t="s">
        <v>51</v>
      </c>
    </row>
    <row r="152" spans="1:19">
      <c r="A152" s="23">
        <v>43251</v>
      </c>
      <c r="B152" s="24">
        <v>18082.87</v>
      </c>
      <c r="C152" s="31">
        <f t="shared" si="28"/>
        <v>2.0712522575549652E-3</v>
      </c>
      <c r="D152" s="25">
        <f t="shared" si="26"/>
        <v>165.09302355306332</v>
      </c>
      <c r="F152" s="23">
        <v>43251</v>
      </c>
      <c r="G152" s="10">
        <v>1043.2050999999999</v>
      </c>
      <c r="H152" s="10">
        <f t="shared" si="31"/>
        <v>1062.4998599999999</v>
      </c>
      <c r="I152" s="31">
        <f t="shared" si="27"/>
        <v>2.3383274246596515E-3</v>
      </c>
      <c r="J152" s="24">
        <f t="shared" si="32"/>
        <v>165.31765670286725</v>
      </c>
      <c r="K152" s="10">
        <v>4782.5056000000004</v>
      </c>
      <c r="L152" s="31">
        <f t="shared" si="23"/>
        <v>1.0213274756735778E-3</v>
      </c>
      <c r="M152" s="25">
        <f t="shared" si="30"/>
        <v>161.22490301837206</v>
      </c>
      <c r="R152" s="23"/>
      <c r="S152" s="9">
        <v>6.9336098318159332</v>
      </c>
    </row>
    <row r="153" spans="1:19">
      <c r="A153" s="23">
        <v>43281</v>
      </c>
      <c r="B153" s="25">
        <v>18120.622499999998</v>
      </c>
      <c r="C153" s="31">
        <f t="shared" si="28"/>
        <v>2.0877493450983664E-3</v>
      </c>
      <c r="D153" s="25">
        <f t="shared" si="26"/>
        <v>165.43769640486653</v>
      </c>
      <c r="F153" s="23">
        <v>43281</v>
      </c>
      <c r="G153" s="10">
        <v>1045.7996000000001</v>
      </c>
      <c r="H153" s="10">
        <f t="shared" si="31"/>
        <v>1065.0943600000001</v>
      </c>
      <c r="I153" s="31">
        <f t="shared" si="27"/>
        <v>2.4418826746952504E-3</v>
      </c>
      <c r="J153" s="24">
        <f t="shared" si="32"/>
        <v>165.72134302459119</v>
      </c>
      <c r="K153" s="9">
        <v>4787.3657999999996</v>
      </c>
      <c r="L153" s="31">
        <f t="shared" si="23"/>
        <v>1.0162455429219008E-3</v>
      </c>
      <c r="M153" s="25">
        <f t="shared" si="30"/>
        <v>161.38874710747248</v>
      </c>
      <c r="R153" s="23"/>
      <c r="S153" s="62" t="s">
        <v>52</v>
      </c>
    </row>
    <row r="154" spans="1:19">
      <c r="A154" s="23">
        <v>43312</v>
      </c>
      <c r="B154" s="24">
        <v>18159.66</v>
      </c>
      <c r="C154" s="31">
        <f t="shared" si="28"/>
        <v>2.0848194263996837E-3</v>
      </c>
      <c r="D154" s="25">
        <f t="shared" si="26"/>
        <v>165.79410105230099</v>
      </c>
      <c r="F154" s="23">
        <v>43312</v>
      </c>
      <c r="G154" s="10">
        <v>1048.6022</v>
      </c>
      <c r="H154" s="10">
        <f t="shared" si="31"/>
        <v>1067.89696</v>
      </c>
      <c r="I154" s="31">
        <f t="shared" si="27"/>
        <v>2.5464349922827405E-3</v>
      </c>
      <c r="J154" s="24">
        <f t="shared" si="32"/>
        <v>166.14334165143711</v>
      </c>
      <c r="K154" s="9">
        <v>4792.3900999999996</v>
      </c>
      <c r="L154" s="31">
        <f t="shared" si="23"/>
        <v>1.0156369931982414E-3</v>
      </c>
      <c r="M154" s="25">
        <f t="shared" si="30"/>
        <v>161.55265948932075</v>
      </c>
      <c r="R154" s="23"/>
      <c r="S154" s="9">
        <v>9.5780163138047829</v>
      </c>
    </row>
    <row r="155" spans="1:19">
      <c r="A155" s="23">
        <v>43343</v>
      </c>
      <c r="B155" s="24">
        <v>18198.62</v>
      </c>
      <c r="C155" s="31">
        <f t="shared" si="28"/>
        <v>2.0762076936710386E-3</v>
      </c>
      <c r="D155" s="25">
        <f t="shared" si="26"/>
        <v>166.14979814007674</v>
      </c>
      <c r="F155" s="23">
        <v>43343</v>
      </c>
      <c r="G155" s="10">
        <v>1051.1226999999999</v>
      </c>
      <c r="H155" s="10">
        <f t="shared" si="31"/>
        <v>1070.4174599999999</v>
      </c>
      <c r="I155" s="31">
        <f t="shared" si="27"/>
        <v>2.2841094597619667E-3</v>
      </c>
      <c r="J155" s="24">
        <f t="shared" si="32"/>
        <v>166.5228312297796</v>
      </c>
      <c r="K155" s="9">
        <v>4797.4336000000003</v>
      </c>
      <c r="L155" s="31">
        <f t="shared" si="23"/>
        <v>1.0184493227322245E-3</v>
      </c>
      <c r="M155" s="25">
        <f t="shared" si="30"/>
        <v>161.71719268596325</v>
      </c>
      <c r="R155" s="23"/>
      <c r="S155" s="62" t="s">
        <v>55</v>
      </c>
    </row>
    <row r="156" spans="1:19">
      <c r="A156" s="23">
        <v>43373</v>
      </c>
      <c r="B156" s="60">
        <v>18235.900000000001</v>
      </c>
      <c r="C156" s="31">
        <f t="shared" si="28"/>
        <v>2.0485069747047113E-3</v>
      </c>
      <c r="D156" s="25">
        <f t="shared" si="26"/>
        <v>166.49015716041248</v>
      </c>
      <c r="F156" s="23">
        <v>43373</v>
      </c>
      <c r="G156" s="10">
        <v>1053.6497999999999</v>
      </c>
      <c r="H156" s="10">
        <f t="shared" si="31"/>
        <v>1072.9445599999999</v>
      </c>
      <c r="I156" s="31">
        <f t="shared" si="27"/>
        <v>2.3608546146098863E-3</v>
      </c>
      <c r="J156" s="24">
        <f t="shared" si="32"/>
        <v>166.91596742432634</v>
      </c>
      <c r="K156" s="9">
        <v>4802.2758000000003</v>
      </c>
      <c r="L156" s="31">
        <f t="shared" si="23"/>
        <v>1.0093313224803779E-3</v>
      </c>
      <c r="M156" s="25">
        <f t="shared" si="30"/>
        <v>161.88041891392479</v>
      </c>
      <c r="R156" s="23"/>
      <c r="S156" s="9">
        <v>28.236775173468416</v>
      </c>
    </row>
    <row r="157" spans="1:19">
      <c r="A157" s="23">
        <v>43404</v>
      </c>
      <c r="B157" s="9">
        <v>18277.400000000001</v>
      </c>
      <c r="C157" s="31">
        <f t="shared" si="28"/>
        <v>2.2023201664069722E-3</v>
      </c>
      <c r="D157" s="25">
        <f t="shared" si="26"/>
        <v>166.86904394538919</v>
      </c>
      <c r="F157" s="23">
        <v>43404</v>
      </c>
      <c r="G157" s="10">
        <v>1056.5129999999999</v>
      </c>
      <c r="H157" s="10">
        <f t="shared" si="31"/>
        <v>1075.8077599999999</v>
      </c>
      <c r="I157" s="31">
        <f t="shared" si="27"/>
        <v>2.5824621448076609E-3</v>
      </c>
      <c r="J157" s="24">
        <f t="shared" si="32"/>
        <v>167.34702159156362</v>
      </c>
      <c r="K157" s="9">
        <v>4807.6121000000003</v>
      </c>
      <c r="L157" s="31">
        <f t="shared" si="23"/>
        <v>1.0753570818074075E-3</v>
      </c>
      <c r="M157" s="25">
        <f t="shared" si="30"/>
        <v>162.05449816880983</v>
      </c>
      <c r="R157" s="23"/>
      <c r="S157" s="62" t="s">
        <v>67</v>
      </c>
    </row>
    <row r="158" spans="1:19">
      <c r="A158" s="23">
        <v>43434</v>
      </c>
      <c r="B158" s="25">
        <v>18319.310000000001</v>
      </c>
      <c r="C158" s="31">
        <f t="shared" si="28"/>
        <v>2.2929957214921082E-3</v>
      </c>
      <c r="D158" s="25">
        <f t="shared" si="26"/>
        <v>167.25167394920547</v>
      </c>
      <c r="F158" s="23">
        <v>43434</v>
      </c>
      <c r="G158" s="10">
        <v>1059.3325</v>
      </c>
      <c r="H158" s="10">
        <f t="shared" si="31"/>
        <v>1078.62726</v>
      </c>
      <c r="I158" s="31">
        <f t="shared" si="27"/>
        <v>2.6208214002845232E-3</v>
      </c>
      <c r="J158" s="24">
        <f t="shared" si="32"/>
        <v>167.78560824702467</v>
      </c>
      <c r="K158" s="9">
        <v>4812.5415000000003</v>
      </c>
      <c r="L158" s="31">
        <f t="shared" si="23"/>
        <v>1.0253323058240227E-3</v>
      </c>
      <c r="M158" s="25">
        <f t="shared" si="30"/>
        <v>162.2206578810864</v>
      </c>
      <c r="R158" s="23"/>
      <c r="S158" s="9">
        <v>79.17</v>
      </c>
    </row>
    <row r="159" spans="1:19">
      <c r="A159" s="23">
        <v>43465</v>
      </c>
      <c r="B159" s="9">
        <v>18362.684000000001</v>
      </c>
      <c r="C159" s="31">
        <f t="shared" si="28"/>
        <v>2.2912892848953219E-3</v>
      </c>
      <c r="D159" s="25">
        <f t="shared" ref="D159" si="33">B159/$B$3*100</f>
        <v>167.64766998321946</v>
      </c>
      <c r="F159" s="23">
        <v>43465</v>
      </c>
      <c r="G159" s="10">
        <v>1032.9102</v>
      </c>
      <c r="H159" s="10">
        <f>+G159+$S$144+$S$146+$S$148</f>
        <v>1080.8794452482121</v>
      </c>
      <c r="I159" s="31">
        <f t="shared" si="27"/>
        <v>2.0206555053809399E-3</v>
      </c>
      <c r="J159" s="24">
        <f t="shared" ref="J159" si="34">+J158*(1+I159)</f>
        <v>168.12464516005272</v>
      </c>
      <c r="K159" s="24">
        <v>4819.2415000000001</v>
      </c>
      <c r="L159" s="31">
        <f t="shared" si="23"/>
        <v>1.3472862452700689E-3</v>
      </c>
      <c r="M159" s="25">
        <f t="shared" ref="M159" si="35">+M158*(1+L159)</f>
        <v>162.43921554214825</v>
      </c>
      <c r="R159" s="23"/>
      <c r="S159" s="62"/>
    </row>
    <row r="160" spans="1:19">
      <c r="A160" s="23">
        <v>43496</v>
      </c>
      <c r="B160" s="9">
        <v>18407.689999999999</v>
      </c>
      <c r="C160" s="31">
        <f t="shared" si="28"/>
        <v>2.3718860243080522E-3</v>
      </c>
      <c r="D160" s="25">
        <f t="shared" ref="D160:D161" si="36">B160/$B$3*100</f>
        <v>168.05856585417516</v>
      </c>
      <c r="F160" s="23">
        <v>43496</v>
      </c>
      <c r="G160" s="10">
        <v>1035.3959</v>
      </c>
      <c r="H160" s="10">
        <f t="shared" ref="H160:H164" si="37">+G160+$S$144+$S$146+$S$148</f>
        <v>1083.365145248212</v>
      </c>
      <c r="I160" s="31">
        <f t="shared" si="27"/>
        <v>2.2255175076252116E-3</v>
      </c>
      <c r="J160" s="24">
        <f t="shared" ref="J160" si="38">+J159*(1+I160)</f>
        <v>168.49880950131967</v>
      </c>
      <c r="K160" s="9">
        <v>4825.82</v>
      </c>
      <c r="L160" s="31">
        <f t="shared" si="23"/>
        <v>1.321015002584915E-3</v>
      </c>
      <c r="M160" s="25">
        <f t="shared" ref="M160" si="39">+M159*(1+L160)</f>
        <v>162.65380018288755</v>
      </c>
      <c r="R160" s="23"/>
      <c r="S160" s="62"/>
    </row>
    <row r="161" spans="1:44">
      <c r="A161" s="23">
        <v>43524</v>
      </c>
      <c r="B161" s="9">
        <v>18449.16</v>
      </c>
      <c r="C161" s="31">
        <f t="shared" si="28"/>
        <v>2.4137815693954707E-3</v>
      </c>
      <c r="D161" s="25">
        <f t="shared" si="36"/>
        <v>168.43717874509045</v>
      </c>
      <c r="F161" s="23">
        <v>43524</v>
      </c>
      <c r="G161" s="10">
        <v>1037.4842000000001</v>
      </c>
      <c r="H161" s="10">
        <f t="shared" si="37"/>
        <v>1085.4534452482121</v>
      </c>
      <c r="I161" s="31">
        <f t="shared" si="27"/>
        <v>2.0652910014025611E-3</v>
      </c>
      <c r="J161" s="24">
        <f t="shared" ref="J161" si="40">+J160*(1+I161)</f>
        <v>168.84680857632978</v>
      </c>
      <c r="K161" s="9">
        <v>4832.1058000000003</v>
      </c>
      <c r="L161" s="31">
        <f t="shared" si="23"/>
        <v>1.3955733355753522E-3</v>
      </c>
      <c r="M161" s="25">
        <f t="shared" ref="M161" si="41">+M160*(1+L161)</f>
        <v>162.88079548935278</v>
      </c>
      <c r="R161" s="23"/>
      <c r="S161" s="62"/>
    </row>
    <row r="162" spans="1:44">
      <c r="A162" s="23">
        <v>43555</v>
      </c>
      <c r="B162" s="9">
        <v>18496.82</v>
      </c>
      <c r="C162" s="31">
        <f t="shared" si="28"/>
        <v>2.4999826900066083E-3</v>
      </c>
      <c r="D162" s="25">
        <f t="shared" ref="D162:D167" si="42">B162/$B$3*100</f>
        <v>168.8723051106806</v>
      </c>
      <c r="F162" s="23">
        <v>43555</v>
      </c>
      <c r="G162" s="10">
        <v>1039.8878999999999</v>
      </c>
      <c r="H162" s="10">
        <f t="shared" si="37"/>
        <v>1087.857145248212</v>
      </c>
      <c r="I162" s="31">
        <f t="shared" si="27"/>
        <v>2.1430318366078005E-3</v>
      </c>
      <c r="J162" s="24">
        <f t="shared" ref="J162:J163" si="43">+J161*(1+I162)</f>
        <v>169.20865266261848</v>
      </c>
      <c r="K162" s="9">
        <v>4839.1072999999997</v>
      </c>
      <c r="L162" s="31">
        <f t="shared" si="23"/>
        <v>1.4022137431861147E-3</v>
      </c>
      <c r="M162" s="25">
        <f t="shared" ref="M162:M163" si="44">+M161*(1+L162)</f>
        <v>163.10918917928905</v>
      </c>
      <c r="R162" s="23"/>
      <c r="S162" s="62"/>
    </row>
    <row r="163" spans="1:44">
      <c r="A163" s="23">
        <v>43585</v>
      </c>
      <c r="B163" s="9">
        <v>18543.07</v>
      </c>
      <c r="C163" s="31">
        <f t="shared" ref="C163:C168" si="45">(B163/B162-1)/(A163-A162)*30</f>
        <v>2.5004298036095385E-3</v>
      </c>
      <c r="D163" s="25">
        <f t="shared" si="42"/>
        <v>169.29455845538357</v>
      </c>
      <c r="F163" s="23">
        <v>43585</v>
      </c>
      <c r="G163" s="10">
        <v>1042.5797</v>
      </c>
      <c r="H163" s="10">
        <f t="shared" si="37"/>
        <v>1090.548945248212</v>
      </c>
      <c r="I163" s="31">
        <f t="shared" si="27"/>
        <v>2.4744057726309165E-3</v>
      </c>
      <c r="J163" s="24">
        <f t="shared" si="43"/>
        <v>169.62734352954595</v>
      </c>
      <c r="K163" s="9">
        <v>4845.9628000000002</v>
      </c>
      <c r="L163" s="31">
        <f t="shared" si="23"/>
        <v>1.4166869166138962E-3</v>
      </c>
      <c r="M163" s="25">
        <f t="shared" si="44"/>
        <v>163.34026383357886</v>
      </c>
      <c r="R163" s="23"/>
      <c r="S163" s="62"/>
    </row>
    <row r="164" spans="1:44">
      <c r="A164" s="23">
        <v>43616</v>
      </c>
      <c r="B164" s="9">
        <v>18591.02</v>
      </c>
      <c r="C164" s="31">
        <f t="shared" si="45"/>
        <v>2.5024564867873636E-3</v>
      </c>
      <c r="D164" s="25">
        <f t="shared" si="42"/>
        <v>169.73233246356753</v>
      </c>
      <c r="F164" s="23">
        <v>43616</v>
      </c>
      <c r="G164" s="10">
        <v>1045.1978999999999</v>
      </c>
      <c r="H164" s="10">
        <f t="shared" si="37"/>
        <v>1093.1671452482119</v>
      </c>
      <c r="I164" s="31">
        <f t="shared" ref="I164" si="46">+(H164/H163-1)/(F164-F163)*30</f>
        <v>2.3233637944668696E-3</v>
      </c>
      <c r="J164" s="24">
        <f t="shared" ref="J164" si="47">+J163*(1+I164)</f>
        <v>170.02144955805409</v>
      </c>
      <c r="K164" s="9">
        <v>4852.5891000000001</v>
      </c>
      <c r="L164" s="31">
        <f t="shared" ref="L164" si="48">+(K164/K163-1)/(F164-F163)*30</f>
        <v>1.3232764368510004E-3</v>
      </c>
      <c r="M164" s="25">
        <f t="shared" ref="M164" si="49">+M163*(1+L164)</f>
        <v>163.55640815589885</v>
      </c>
      <c r="R164" s="23"/>
      <c r="S164" s="62"/>
      <c r="AR164" s="59"/>
    </row>
    <row r="165" spans="1:44">
      <c r="A165" s="23">
        <v>43646</v>
      </c>
      <c r="B165" s="9">
        <v>18632.310000000001</v>
      </c>
      <c r="C165" s="31">
        <f t="shared" si="45"/>
        <v>2.2209647453448333E-3</v>
      </c>
      <c r="D165" s="25">
        <f t="shared" si="42"/>
        <v>170.10930199011426</v>
      </c>
      <c r="F165" s="23">
        <v>43646</v>
      </c>
      <c r="G165" s="10">
        <v>1047.9580000000001</v>
      </c>
      <c r="H165" s="10">
        <f t="shared" ref="H165:H166" si="50">+G165+$S$144+$S$146+$S$148</f>
        <v>1095.9272452482121</v>
      </c>
      <c r="I165" s="31">
        <f t="shared" ref="I165" si="51">+(H165/H164-1)/(F165-F164)*30</f>
        <v>2.5248654901475209E-3</v>
      </c>
      <c r="J165" s="24">
        <f t="shared" ref="J165" si="52">+J164*(1+I165)</f>
        <v>170.45073084862807</v>
      </c>
      <c r="K165" s="9">
        <v>4858.4076999999997</v>
      </c>
      <c r="L165" s="31">
        <f t="shared" ref="L165" si="53">+(K165/K164-1)/(F165-F164)*30</f>
        <v>1.1990712339520204E-3</v>
      </c>
      <c r="M165" s="25">
        <f t="shared" ref="M165" si="54">+M164*(1+L165)</f>
        <v>163.7525239400471</v>
      </c>
      <c r="R165" s="23"/>
      <c r="S165" s="62"/>
    </row>
    <row r="166" spans="1:44">
      <c r="A166" s="23">
        <v>43677</v>
      </c>
      <c r="B166" s="9">
        <v>18672.310000000001</v>
      </c>
      <c r="C166" s="31">
        <f t="shared" si="45"/>
        <v>2.0775565358966928E-3</v>
      </c>
      <c r="D166" s="25">
        <f t="shared" si="42"/>
        <v>170.47449407201955</v>
      </c>
      <c r="F166" s="23">
        <v>43677</v>
      </c>
      <c r="G166" s="10">
        <v>1050.2841000000001</v>
      </c>
      <c r="H166" s="10">
        <f t="shared" si="50"/>
        <v>1098.2533452482121</v>
      </c>
      <c r="I166" s="31">
        <f t="shared" ref="I166:I167" si="55">+(H166/H165-1)/(F166-F165)*30</f>
        <v>2.0540273324613913E-3</v>
      </c>
      <c r="J166" s="24">
        <f t="shared" ref="J166:J167" si="56">+J165*(1+I166)</f>
        <v>170.80084130862917</v>
      </c>
      <c r="K166" s="9">
        <v>4863.4466000000002</v>
      </c>
      <c r="L166" s="31">
        <f t="shared" ref="L166:L167" si="57">+(K166/K165-1)/(F166-F165)*30</f>
        <v>1.0036940371863539E-3</v>
      </c>
      <c r="M166" s="25">
        <f t="shared" ref="M166:M167" si="58">+M165*(1+L166)</f>
        <v>163.91688137189993</v>
      </c>
      <c r="R166" s="23"/>
      <c r="S166" s="62"/>
    </row>
    <row r="167" spans="1:44">
      <c r="A167" s="23">
        <v>43708</v>
      </c>
      <c r="B167" s="9">
        <v>18712.55</v>
      </c>
      <c r="C167" s="31">
        <f t="shared" si="45"/>
        <v>2.0855446103813656E-3</v>
      </c>
      <c r="D167" s="25">
        <f t="shared" si="42"/>
        <v>170.84187730641625</v>
      </c>
      <c r="F167" s="23">
        <v>43708</v>
      </c>
      <c r="G167" s="10">
        <v>1052.4322</v>
      </c>
      <c r="H167" s="10">
        <f t="shared" ref="H167:H168" si="59">+G167+$S$144+$S$146+$S$148</f>
        <v>1100.401445248212</v>
      </c>
      <c r="I167" s="31">
        <f t="shared" si="55"/>
        <v>1.8928296104056463E-3</v>
      </c>
      <c r="J167" s="24">
        <f t="shared" si="56"/>
        <v>171.12413819854035</v>
      </c>
      <c r="K167" s="9">
        <v>4868.1252999999997</v>
      </c>
      <c r="L167" s="31">
        <f t="shared" si="57"/>
        <v>9.3098055061359821E-4</v>
      </c>
      <c r="M167" s="25">
        <f t="shared" si="58"/>
        <v>164.06948480037443</v>
      </c>
      <c r="R167" s="23"/>
      <c r="S167" s="62"/>
    </row>
    <row r="168" spans="1:44">
      <c r="A168" s="23">
        <v>43738</v>
      </c>
      <c r="B168" s="9">
        <v>18744.77</v>
      </c>
      <c r="C168" s="31">
        <f t="shared" si="45"/>
        <v>1.7218390866022837E-3</v>
      </c>
      <c r="D168" s="25">
        <f t="shared" ref="D168:D169" si="60">B168/$B$3*100</f>
        <v>171.13603952839097</v>
      </c>
      <c r="F168" s="23">
        <v>43738</v>
      </c>
      <c r="G168" s="10">
        <v>1054.4052999999999</v>
      </c>
      <c r="H168" s="10">
        <f t="shared" si="59"/>
        <v>1102.3745452482119</v>
      </c>
      <c r="I168" s="31">
        <f t="shared" ref="I168:I169" si="61">+(H168/H167-1)/(F168-F167)*30</f>
        <v>1.7930728903712279E-3</v>
      </c>
      <c r="J168" s="24">
        <f t="shared" ref="J168:J169" si="62">+J167*(1+I168)</f>
        <v>171.4309762516323</v>
      </c>
      <c r="K168" s="9">
        <v>4873.3262000000004</v>
      </c>
      <c r="L168" s="31">
        <f t="shared" ref="L168:L169" si="63">+(K168/K167-1)/(F168-F167)*30</f>
        <v>1.0683578748478251E-3</v>
      </c>
      <c r="M168" s="25">
        <f t="shared" ref="M168:M169" si="64">+M167*(1+L168)</f>
        <v>164.24476972648313</v>
      </c>
      <c r="R168" s="23"/>
      <c r="S168" s="62"/>
    </row>
    <row r="169" spans="1:44">
      <c r="A169" s="23">
        <v>43769</v>
      </c>
      <c r="B169" s="9">
        <v>18776.101999999999</v>
      </c>
      <c r="C169" s="31">
        <f t="shared" ref="C169" si="65">(B169/B168-1)/(A169-A168)*30</f>
        <v>1.6175866827163087E-3</v>
      </c>
      <c r="D169" s="25">
        <f t="shared" si="60"/>
        <v>171.42209448614736</v>
      </c>
      <c r="F169" s="23">
        <v>43769</v>
      </c>
      <c r="G169" s="10">
        <v>1057.28</v>
      </c>
      <c r="H169" s="10">
        <f t="shared" ref="H169:H170" si="66">+G169+$S$144+$S$146+$S$148</f>
        <v>1105.249245248212</v>
      </c>
      <c r="I169" s="31">
        <f t="shared" si="61"/>
        <v>2.5236139150049352E-3</v>
      </c>
      <c r="J169" s="24">
        <f t="shared" si="62"/>
        <v>171.86360184876381</v>
      </c>
      <c r="K169" s="9">
        <v>4876.4951000000001</v>
      </c>
      <c r="L169" s="31">
        <f t="shared" si="63"/>
        <v>6.2927809333884223E-4</v>
      </c>
      <c r="M169" s="25">
        <f t="shared" si="64"/>
        <v>164.34812536201747</v>
      </c>
      <c r="R169" s="23"/>
      <c r="S169" s="62"/>
    </row>
    <row r="170" spans="1:44">
      <c r="A170" s="23">
        <v>43799</v>
      </c>
      <c r="B170" s="9">
        <v>18802.79</v>
      </c>
      <c r="C170" s="31">
        <f>(B170/B169-1)/(A170-A169)*30</f>
        <v>1.4213812856365138E-3</v>
      </c>
      <c r="D170" s="25">
        <f t="shared" ref="D170:D171" si="67">B170/$B$3*100</f>
        <v>171.66575064319457</v>
      </c>
      <c r="F170" s="23">
        <v>43799</v>
      </c>
      <c r="G170" s="10">
        <v>1059.9565</v>
      </c>
      <c r="H170" s="10">
        <f t="shared" si="66"/>
        <v>1107.925745248212</v>
      </c>
      <c r="I170" s="31">
        <f t="shared" ref="I170:I171" si="68">+(H170/H169-1)/(F170-F169)*30</f>
        <v>2.4216257206299829E-3</v>
      </c>
      <c r="J170" s="24">
        <f t="shared" ref="J170:J171" si="69">+J169*(1+I170)</f>
        <v>172.27979116744089</v>
      </c>
      <c r="K170" s="9">
        <v>4879.8683000000001</v>
      </c>
      <c r="L170" s="31">
        <f t="shared" ref="L170:L171" si="70">+(K170/K169-1)/(F170-F169)*30</f>
        <v>6.917263179451183E-4</v>
      </c>
      <c r="M170" s="25">
        <f t="shared" ref="M170:M171" si="71">+M169*(1+L170)</f>
        <v>164.46180928563533</v>
      </c>
      <c r="R170" s="23"/>
      <c r="S170" s="62"/>
    </row>
    <row r="171" spans="1:44">
      <c r="A171" s="23">
        <v>43830</v>
      </c>
      <c r="B171" s="9">
        <v>18830.68</v>
      </c>
      <c r="C171" s="31">
        <f t="shared" ref="C171" si="72">(B171/B170-1)/(A171-A170)*30</f>
        <v>1.435442430652211E-3</v>
      </c>
      <c r="D171" s="25">
        <f t="shared" si="67"/>
        <v>171.92038082230303</v>
      </c>
      <c r="F171" s="23">
        <v>43830</v>
      </c>
      <c r="G171" s="10">
        <v>1062.6822</v>
      </c>
      <c r="H171" s="10">
        <f>+G171+$S$144+$S$146+$S$148</f>
        <v>1110.651445248212</v>
      </c>
      <c r="I171" s="31">
        <f t="shared" si="68"/>
        <v>2.3808221849356522E-3</v>
      </c>
      <c r="J171" s="24">
        <f t="shared" si="69"/>
        <v>172.68995871626842</v>
      </c>
      <c r="K171" s="9">
        <v>4882.8959000000004</v>
      </c>
      <c r="L171" s="31">
        <f t="shared" si="70"/>
        <v>6.004128193114861E-4</v>
      </c>
      <c r="M171" s="25">
        <f t="shared" si="71"/>
        <v>164.56055426421759</v>
      </c>
      <c r="R171" s="23"/>
      <c r="S171" s="62"/>
    </row>
    <row r="172" spans="1:44">
      <c r="A172" s="23">
        <v>43861</v>
      </c>
      <c r="B172" s="9">
        <v>18861.86</v>
      </c>
      <c r="C172" s="31">
        <f>(B172/B171-1)/(A172-A171)*30</f>
        <v>1.6023953223350568E-3</v>
      </c>
      <c r="D172" s="25">
        <f t="shared" ref="D172:D173" si="73">B172/$B$3*100</f>
        <v>172.20504805014821</v>
      </c>
      <c r="F172" s="23">
        <v>43861</v>
      </c>
      <c r="G172" s="10">
        <v>1058.3141000000001</v>
      </c>
      <c r="H172" s="10">
        <f>+G172+$S$144+$S$146+$S$148+$S$150</f>
        <v>1111.9276651482121</v>
      </c>
      <c r="I172" s="31">
        <f t="shared" ref="I172:I173" si="74">+(H172/H171-1)/(F172-F171)*30</f>
        <v>1.1120064007597377E-3</v>
      </c>
      <c r="J172" s="24">
        <f t="shared" ref="J172:J173" si="75">+J171*(1+I172)</f>
        <v>172.88199105570783</v>
      </c>
      <c r="K172" s="9">
        <v>4885.3887000000004</v>
      </c>
      <c r="L172" s="31">
        <f t="shared" ref="L172:L173" si="76">+(K172/K171-1)/(F172-F171)*30</f>
        <v>4.9404843891394238E-4</v>
      </c>
      <c r="M172" s="25">
        <f t="shared" ref="M172:M173" si="77">+M171*(1+L172)</f>
        <v>164.64185514915863</v>
      </c>
      <c r="R172" s="23"/>
      <c r="S172" s="62"/>
    </row>
    <row r="173" spans="1:44">
      <c r="A173" s="23">
        <v>43890</v>
      </c>
      <c r="B173" s="9">
        <v>18887.886699999999</v>
      </c>
      <c r="C173" s="31">
        <f t="shared" ref="C173" si="78">(B173/B172-1)/(A173-A172)*30</f>
        <v>1.4274399456784069E-3</v>
      </c>
      <c r="D173" s="25">
        <f t="shared" si="73"/>
        <v>172.4426666691013</v>
      </c>
      <c r="F173" s="23">
        <v>43890</v>
      </c>
      <c r="G173" s="10">
        <v>1059.8330000000001</v>
      </c>
      <c r="H173" s="10">
        <f>+G173+$S$144+$S$146+$S$148+$S$150</f>
        <v>1113.4465651482121</v>
      </c>
      <c r="I173" s="31">
        <f t="shared" si="74"/>
        <v>1.4131097834135414E-3</v>
      </c>
      <c r="J173" s="24">
        <f t="shared" si="75"/>
        <v>173.12629228864466</v>
      </c>
      <c r="K173" s="9">
        <v>4887.7164000000002</v>
      </c>
      <c r="L173" s="31">
        <f t="shared" si="76"/>
        <v>4.9289128564955866E-4</v>
      </c>
      <c r="M173" s="25">
        <f t="shared" si="77"/>
        <v>164.72300568481484</v>
      </c>
      <c r="R173" s="23"/>
      <c r="S173" s="62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</row>
    <row r="174" spans="1:44">
      <c r="A174" s="23">
        <v>43921</v>
      </c>
      <c r="B174" s="9">
        <v>18908.77</v>
      </c>
      <c r="C174" s="31">
        <f>(B174/B173-1)/(A174-A173)*30</f>
        <v>1.069979160839285E-3</v>
      </c>
      <c r="D174" s="25">
        <f t="shared" ref="D174:D175" si="79">B174/$B$3*100</f>
        <v>172.6333270642026</v>
      </c>
      <c r="F174" s="23">
        <v>43921</v>
      </c>
      <c r="G174" s="10">
        <v>1061.4887000000001</v>
      </c>
      <c r="H174" s="10">
        <f>+G174+$S$144+$S$146+$S$148+$S$150</f>
        <v>1115.1022651482122</v>
      </c>
      <c r="I174" s="31">
        <f t="shared" ref="I174:I175" si="80">+(H174/H173-1)/(F174-F173)*30</f>
        <v>1.4390365669388644E-3</v>
      </c>
      <c r="J174" s="24">
        <f t="shared" ref="J174:J175" si="81">+J173*(1+I174)</f>
        <v>173.37542735394655</v>
      </c>
      <c r="K174" s="9">
        <v>4892.3527999999997</v>
      </c>
      <c r="L174" s="31">
        <f t="shared" ref="L174:L175" si="82">+(K174/K173-1)/(F174-F173)*30</f>
        <v>9.1798262061139379E-4</v>
      </c>
      <c r="M174" s="25">
        <f t="shared" ref="M174:M175" si="83">+M173*(1+L174)</f>
        <v>164.87421854124835</v>
      </c>
      <c r="R174" s="23"/>
      <c r="S174" s="62"/>
    </row>
    <row r="175" spans="1:44">
      <c r="A175" s="23">
        <v>43951</v>
      </c>
      <c r="B175" s="9">
        <v>18917.93</v>
      </c>
      <c r="C175" s="31">
        <f t="shared" ref="C175:C176" si="84">(B175/B174-1)/(A175-A174)*30</f>
        <v>4.8443129828124043E-4</v>
      </c>
      <c r="D175" s="25">
        <f t="shared" si="79"/>
        <v>172.71695605095891</v>
      </c>
      <c r="F175" s="23">
        <v>43951</v>
      </c>
      <c r="G175" s="10">
        <v>1062.9672</v>
      </c>
      <c r="H175" s="10">
        <f>+G175+$S$144+$S$146+$S$148+$S$150</f>
        <v>1116.5807651482121</v>
      </c>
      <c r="I175" s="31">
        <f t="shared" si="80"/>
        <v>1.3258873613744004E-3</v>
      </c>
      <c r="J175" s="24">
        <f t="shared" si="81"/>
        <v>173.60530364184802</v>
      </c>
      <c r="K175" s="9">
        <v>4903.1163999999999</v>
      </c>
      <c r="L175" s="31">
        <f t="shared" si="82"/>
        <v>2.2000866331635116E-3</v>
      </c>
      <c r="M175" s="25">
        <f t="shared" si="83"/>
        <v>165.23695610561424</v>
      </c>
      <c r="R175" s="23"/>
      <c r="S175" s="62"/>
    </row>
    <row r="176" spans="1:44">
      <c r="A176" s="23">
        <v>43982</v>
      </c>
      <c r="B176" s="9">
        <v>18925.240000000002</v>
      </c>
      <c r="C176" s="31">
        <f t="shared" si="84"/>
        <v>3.739412054273234E-4</v>
      </c>
      <c r="D176" s="25">
        <f t="shared" ref="D176:D178" si="85">B176/$B$3*100</f>
        <v>172.78369490392711</v>
      </c>
      <c r="F176" s="23">
        <v>43982</v>
      </c>
      <c r="G176" s="10">
        <v>1064.2393</v>
      </c>
      <c r="H176" s="10">
        <f t="shared" ref="H176:H178" si="86">+G176+$S$144+$S$146+$S$148+$S$150</f>
        <v>1117.852865148212</v>
      </c>
      <c r="I176" s="31">
        <f t="shared" ref="I176:I178" si="87">+(H176/H175-1)/(F176-F175)*30</f>
        <v>1.1025306494202409E-3</v>
      </c>
      <c r="J176" s="24">
        <f t="shared" ref="J176:J178" si="88">+J175*(1+I176)</f>
        <v>173.79670881001508</v>
      </c>
      <c r="K176" s="9">
        <v>4904.6881000000003</v>
      </c>
      <c r="L176" s="31">
        <f t="shared" ref="L176:L178" si="89">+(K176/K175-1)/(F176-F175)*30</f>
        <v>3.1021086915260189E-4</v>
      </c>
      <c r="M176" s="25">
        <f t="shared" ref="M176:M178" si="90">+M175*(1+L176)</f>
        <v>165.28821440538388</v>
      </c>
      <c r="R176" s="23"/>
      <c r="S176" s="62"/>
    </row>
    <row r="177" spans="1:19">
      <c r="A177" s="23">
        <v>44012</v>
      </c>
      <c r="B177" s="9">
        <v>18932.63</v>
      </c>
      <c r="C177" s="31">
        <f t="shared" ref="C177:C178" si="91">(B177/B176-1)/(A177-A176)*30</f>
        <v>3.904838194919158E-4</v>
      </c>
      <c r="D177" s="25">
        <f t="shared" si="85"/>
        <v>172.85116414105912</v>
      </c>
      <c r="F177" s="23">
        <v>44012</v>
      </c>
      <c r="G177" s="10">
        <v>1065.5036</v>
      </c>
      <c r="H177" s="10">
        <f t="shared" si="86"/>
        <v>1119.1171651482121</v>
      </c>
      <c r="I177" s="31">
        <f t="shared" si="87"/>
        <v>1.1310075229198358E-3</v>
      </c>
      <c r="J177" s="24">
        <f t="shared" si="88"/>
        <v>173.9932741951379</v>
      </c>
      <c r="K177" s="9">
        <v>4905.1791000000003</v>
      </c>
      <c r="L177" s="31">
        <f t="shared" si="89"/>
        <v>1.0010830250339886E-4</v>
      </c>
      <c r="M177" s="25">
        <f t="shared" si="90"/>
        <v>165.30476112795182</v>
      </c>
      <c r="R177" s="23"/>
      <c r="S177" s="62"/>
    </row>
    <row r="178" spans="1:19">
      <c r="A178" s="23">
        <v>44043</v>
      </c>
      <c r="B178" s="9">
        <v>18940.740000000002</v>
      </c>
      <c r="C178" s="31">
        <f t="shared" si="91"/>
        <v>4.1454288689821064E-4</v>
      </c>
      <c r="D178" s="25">
        <f t="shared" si="85"/>
        <v>172.92520683566542</v>
      </c>
      <c r="F178" s="23">
        <v>44043</v>
      </c>
      <c r="G178" s="10">
        <v>1066.2227</v>
      </c>
      <c r="H178" s="10">
        <f t="shared" si="86"/>
        <v>1119.8362651482121</v>
      </c>
      <c r="I178" s="31">
        <f t="shared" si="87"/>
        <v>6.2183232236852207E-4</v>
      </c>
      <c r="J178" s="24">
        <f t="shared" si="88"/>
        <v>174.10146883690717</v>
      </c>
      <c r="K178" s="9">
        <v>4905.6221999999998</v>
      </c>
      <c r="L178" s="31">
        <f t="shared" si="89"/>
        <v>8.7419122293085026E-5</v>
      </c>
      <c r="M178" s="25">
        <f t="shared" si="90"/>
        <v>165.31921192508048</v>
      </c>
      <c r="R178" s="23"/>
      <c r="S178" s="62"/>
    </row>
    <row r="179" spans="1:19">
      <c r="A179" s="23">
        <v>44074</v>
      </c>
      <c r="B179" s="9">
        <v>18948.689999999999</v>
      </c>
      <c r="C179" s="31">
        <f t="shared" ref="C179:C188" si="92">(B179/B178-1)/(A179-A178)*30</f>
        <v>4.0619048606831625E-4</v>
      </c>
      <c r="D179" s="25">
        <f t="shared" ref="D179:D217" si="93">B179/$B$3*100</f>
        <v>172.99778876194407</v>
      </c>
      <c r="F179" s="23">
        <v>44074</v>
      </c>
      <c r="G179" s="10">
        <v>1066.8624</v>
      </c>
      <c r="H179" s="10">
        <f t="shared" ref="H179:H182" si="94">+G179+$S$144+$S$146+$S$148+$S$150</f>
        <v>1120.475965148212</v>
      </c>
      <c r="I179" s="31">
        <f t="shared" ref="I179:I200" si="95">+(H179/H178-1)/(F179-F178)*30</f>
        <v>5.5281699244399149E-4</v>
      </c>
      <c r="J179" s="24">
        <f t="shared" ref="J179:J200" si="96">+J178*(1+I179)</f>
        <v>174.19771508728968</v>
      </c>
      <c r="K179" s="9">
        <v>4906.1183000000001</v>
      </c>
      <c r="L179" s="31">
        <f t="shared" ref="L179:L200" si="97">+(K179/K178-1)/(F179-F178)*30</f>
        <v>9.7866642521595283E-5</v>
      </c>
      <c r="M179" s="25">
        <f t="shared" ref="M179:M200" si="98">+M178*(1+L179)</f>
        <v>165.33539116129589</v>
      </c>
      <c r="R179" s="23"/>
      <c r="S179" s="62"/>
    </row>
    <row r="180" spans="1:19">
      <c r="A180" s="23">
        <v>44104</v>
      </c>
      <c r="B180" s="9">
        <v>18956.169999999998</v>
      </c>
      <c r="C180" s="31">
        <f t="shared" si="92"/>
        <v>3.9475024394830527E-4</v>
      </c>
      <c r="D180" s="25">
        <f t="shared" si="93"/>
        <v>173.06607968126036</v>
      </c>
      <c r="F180" s="23">
        <v>44104</v>
      </c>
      <c r="G180" s="10">
        <v>1067.9123</v>
      </c>
      <c r="H180" s="10">
        <f t="shared" si="94"/>
        <v>1121.525865148212</v>
      </c>
      <c r="I180" s="31">
        <f t="shared" si="95"/>
        <v>9.3701251312516831E-4</v>
      </c>
      <c r="J180" s="24">
        <f t="shared" si="96"/>
        <v>174.36094052608428</v>
      </c>
      <c r="K180" s="9">
        <v>4906.4660000000003</v>
      </c>
      <c r="L180" s="31">
        <f t="shared" si="97"/>
        <v>7.0870692213009789E-5</v>
      </c>
      <c r="M180" s="25">
        <f t="shared" si="98"/>
        <v>165.3471085949148</v>
      </c>
      <c r="R180" s="23"/>
      <c r="S180" s="62"/>
    </row>
    <row r="181" spans="1:19">
      <c r="A181" s="23">
        <v>44135</v>
      </c>
      <c r="B181" s="9">
        <v>18963.23</v>
      </c>
      <c r="C181" s="31">
        <f t="shared" si="92"/>
        <v>3.6042397090336884E-4</v>
      </c>
      <c r="D181" s="25">
        <f t="shared" si="93"/>
        <v>173.13053608371663</v>
      </c>
      <c r="F181" s="23">
        <v>44135</v>
      </c>
      <c r="G181" s="10">
        <v>1069.3449000000001</v>
      </c>
      <c r="H181" s="10">
        <f t="shared" si="94"/>
        <v>1122.9584651482121</v>
      </c>
      <c r="I181" s="31">
        <f t="shared" si="95"/>
        <v>1.2361615009129447E-3</v>
      </c>
      <c r="J181" s="24">
        <f t="shared" si="96"/>
        <v>174.57647880802557</v>
      </c>
      <c r="K181" s="9">
        <v>4906.7963</v>
      </c>
      <c r="L181" s="31">
        <f t="shared" si="97"/>
        <v>6.5147737962569353E-5</v>
      </c>
      <c r="M181" s="25">
        <f t="shared" si="98"/>
        <v>165.35788058501839</v>
      </c>
      <c r="R181" s="23"/>
      <c r="S181" s="62"/>
    </row>
    <row r="182" spans="1:19">
      <c r="A182" s="23">
        <v>44165</v>
      </c>
      <c r="B182" s="25">
        <v>18969.48</v>
      </c>
      <c r="C182" s="31">
        <f t="shared" si="92"/>
        <v>3.2958520252091006E-4</v>
      </c>
      <c r="D182" s="25">
        <f t="shared" si="93"/>
        <v>173.18759734651434</v>
      </c>
      <c r="F182" s="23">
        <v>44165</v>
      </c>
      <c r="G182" s="10">
        <v>1070.5336</v>
      </c>
      <c r="H182" s="10">
        <f t="shared" si="94"/>
        <v>1124.147165148212</v>
      </c>
      <c r="I182" s="31">
        <f t="shared" si="95"/>
        <v>1.0585431579992477E-3</v>
      </c>
      <c r="J182" s="24">
        <f t="shared" si="96"/>
        <v>174.7612755452154</v>
      </c>
      <c r="K182" s="9">
        <v>4907.0953</v>
      </c>
      <c r="L182" s="31">
        <f t="shared" si="97"/>
        <v>6.0935890083824162E-5</v>
      </c>
      <c r="M182" s="25">
        <f t="shared" si="98"/>
        <v>165.36795681465421</v>
      </c>
      <c r="R182" s="23"/>
      <c r="S182" s="62"/>
    </row>
    <row r="183" spans="1:19">
      <c r="A183" s="23">
        <v>44196</v>
      </c>
      <c r="B183" s="9">
        <v>18976.88</v>
      </c>
      <c r="C183" s="31">
        <f t="shared" si="92"/>
        <v>3.7751642757640868E-4</v>
      </c>
      <c r="D183" s="25">
        <f t="shared" si="93"/>
        <v>173.25515788166683</v>
      </c>
      <c r="F183" s="23">
        <v>44196</v>
      </c>
      <c r="G183" s="10">
        <v>1069.5866000000001</v>
      </c>
      <c r="H183" s="10">
        <f>+G183+$S$144+$S$146+$S$148+$S$150+$S$152</f>
        <v>1130.133774980028</v>
      </c>
      <c r="I183" s="31">
        <f t="shared" si="95"/>
        <v>5.1536787755581612E-3</v>
      </c>
      <c r="J183" s="24">
        <f t="shared" si="96"/>
        <v>175.66193902178225</v>
      </c>
      <c r="K183" s="9">
        <v>4907.3927999999996</v>
      </c>
      <c r="L183" s="31">
        <f t="shared" si="97"/>
        <v>5.8670803847292406E-5</v>
      </c>
      <c r="M183" s="25">
        <f t="shared" si="98"/>
        <v>165.3776590856111</v>
      </c>
      <c r="R183" s="23"/>
      <c r="S183" s="62"/>
    </row>
    <row r="184" spans="1:19">
      <c r="A184" s="23">
        <v>44227</v>
      </c>
      <c r="B184" s="9">
        <v>18982.04</v>
      </c>
      <c r="C184" s="31">
        <f t="shared" si="92"/>
        <v>2.6313853421082938E-4</v>
      </c>
      <c r="D184" s="25">
        <f t="shared" si="93"/>
        <v>173.30226766023259</v>
      </c>
      <c r="F184" s="23">
        <v>44227</v>
      </c>
      <c r="G184" s="10">
        <v>1070.7028</v>
      </c>
      <c r="H184" s="10">
        <f t="shared" ref="H184:H194" si="99">+G184+$S$144+$S$146+$S$148+$S$150+$S$152</f>
        <v>1131.2499749800279</v>
      </c>
      <c r="I184" s="31">
        <f t="shared" si="95"/>
        <v>9.5581034059982934E-4</v>
      </c>
      <c r="J184" s="24">
        <f t="shared" si="96"/>
        <v>175.82983851954907</v>
      </c>
      <c r="K184" s="9">
        <v>4907.6472000000003</v>
      </c>
      <c r="L184" s="31">
        <f t="shared" si="97"/>
        <v>5.0167891265518984E-5</v>
      </c>
      <c r="M184" s="25">
        <f t="shared" si="98"/>
        <v>165.38595573402984</v>
      </c>
      <c r="R184" s="23"/>
      <c r="S184" s="62"/>
    </row>
    <row r="185" spans="1:19">
      <c r="A185" s="23">
        <v>44255</v>
      </c>
      <c r="B185" s="9">
        <v>18986.580000000002</v>
      </c>
      <c r="C185" s="31">
        <f t="shared" si="92"/>
        <v>2.562572681485964E-4</v>
      </c>
      <c r="D185" s="25">
        <f t="shared" si="93"/>
        <v>173.34371696152886</v>
      </c>
      <c r="F185" s="23">
        <v>44255</v>
      </c>
      <c r="G185" s="10">
        <v>1071.9012</v>
      </c>
      <c r="H185" s="10">
        <f t="shared" si="99"/>
        <v>1132.4483749800279</v>
      </c>
      <c r="I185" s="31">
        <f t="shared" si="95"/>
        <v>1.1350276494129627E-3</v>
      </c>
      <c r="J185" s="24">
        <f t="shared" si="96"/>
        <v>176.02941024786057</v>
      </c>
      <c r="K185" s="9">
        <v>4907.9052000000001</v>
      </c>
      <c r="L185" s="31">
        <f t="shared" si="97"/>
        <v>5.6326088686315632E-5</v>
      </c>
      <c r="M185" s="25">
        <f t="shared" si="98"/>
        <v>165.39527127803998</v>
      </c>
      <c r="R185" s="23"/>
      <c r="S185" s="62"/>
    </row>
    <row r="186" spans="1:19">
      <c r="A186" s="23">
        <v>44286</v>
      </c>
      <c r="B186" s="25">
        <v>18991.5</v>
      </c>
      <c r="C186" s="31">
        <f t="shared" si="92"/>
        <v>2.5077135126901301E-4</v>
      </c>
      <c r="D186" s="25">
        <f t="shared" si="93"/>
        <v>173.3886355876032</v>
      </c>
      <c r="F186" s="23">
        <v>44286</v>
      </c>
      <c r="G186" s="10">
        <v>1072.4609</v>
      </c>
      <c r="H186" s="10">
        <f t="shared" si="99"/>
        <v>1133.0080749800279</v>
      </c>
      <c r="I186" s="31">
        <f t="shared" si="95"/>
        <v>4.7829567621558304E-4</v>
      </c>
      <c r="J186" s="24">
        <f t="shared" si="96"/>
        <v>176.11360435366888</v>
      </c>
      <c r="K186" s="11">
        <v>4908.1704</v>
      </c>
      <c r="L186" s="31">
        <f t="shared" si="97"/>
        <v>5.229220020180354E-5</v>
      </c>
      <c r="M186" s="25">
        <f t="shared" si="98"/>
        <v>165.40392016067807</v>
      </c>
      <c r="R186" s="23"/>
      <c r="S186" s="62"/>
    </row>
    <row r="187" spans="1:19">
      <c r="A187" s="23">
        <v>44316</v>
      </c>
      <c r="B187" s="9">
        <v>18997.09</v>
      </c>
      <c r="C187" s="31">
        <f t="shared" si="92"/>
        <v>2.943422057235523E-4</v>
      </c>
      <c r="D187" s="25">
        <f t="shared" si="93"/>
        <v>173.43967118104945</v>
      </c>
      <c r="F187" s="23">
        <v>44316</v>
      </c>
      <c r="G187" s="10">
        <v>1072.7156</v>
      </c>
      <c r="H187" s="10">
        <f t="shared" si="99"/>
        <v>1133.2627749800279</v>
      </c>
      <c r="I187" s="31">
        <f t="shared" si="95"/>
        <v>2.2479981001399807E-4</v>
      </c>
      <c r="J187" s="24">
        <f t="shared" si="96"/>
        <v>176.15319465846846</v>
      </c>
      <c r="K187" s="9">
        <v>4908.4956000000002</v>
      </c>
      <c r="L187" s="31">
        <f t="shared" si="97"/>
        <v>6.6256868343383957E-5</v>
      </c>
      <c r="M187" s="25">
        <f t="shared" si="98"/>
        <v>165.41487930643964</v>
      </c>
      <c r="R187" s="23"/>
      <c r="S187" s="62"/>
    </row>
    <row r="188" spans="1:19">
      <c r="A188" s="23">
        <v>44347</v>
      </c>
      <c r="B188" s="9">
        <v>19001.7</v>
      </c>
      <c r="C188" s="31">
        <f t="shared" si="92"/>
        <v>2.3484072153063233E-4</v>
      </c>
      <c r="D188" s="25">
        <f t="shared" si="93"/>
        <v>173.48175956848905</v>
      </c>
      <c r="F188" s="23">
        <v>44347</v>
      </c>
      <c r="G188" s="10">
        <v>1073.9590000000001</v>
      </c>
      <c r="H188" s="10">
        <f t="shared" si="99"/>
        <v>1134.5061749800279</v>
      </c>
      <c r="I188" s="31">
        <f t="shared" si="95"/>
        <v>1.061792859649884E-3</v>
      </c>
      <c r="J188" s="24">
        <f t="shared" si="96"/>
        <v>176.34023286276135</v>
      </c>
      <c r="K188" s="24">
        <v>4908.7905000000001</v>
      </c>
      <c r="L188" s="31">
        <f t="shared" si="97"/>
        <v>5.8141459223029576E-5</v>
      </c>
      <c r="M188" s="25">
        <f t="shared" si="98"/>
        <v>165.42449676889973</v>
      </c>
      <c r="R188" s="23"/>
      <c r="S188" s="62"/>
    </row>
    <row r="189" spans="1:19">
      <c r="A189" s="23">
        <v>44377</v>
      </c>
      <c r="B189" s="9">
        <v>19006.88</v>
      </c>
      <c r="C189" s="31">
        <f t="shared" ref="C189:C219" si="100">(B189/B188-1)/(A189-A188)*30</f>
        <v>2.7260718777788462E-4</v>
      </c>
      <c r="D189" s="25">
        <f t="shared" si="93"/>
        <v>173.52905194309579</v>
      </c>
      <c r="F189" s="23">
        <v>44377</v>
      </c>
      <c r="G189" s="10">
        <v>1075.3974000000001</v>
      </c>
      <c r="H189" s="10">
        <f t="shared" si="99"/>
        <v>1135.9445749800279</v>
      </c>
      <c r="I189" s="31">
        <f t="shared" si="95"/>
        <v>1.2678644080763579E-3</v>
      </c>
      <c r="J189" s="24">
        <f t="shared" si="96"/>
        <v>176.56380836771996</v>
      </c>
      <c r="K189" s="9">
        <v>4909.0847000000003</v>
      </c>
      <c r="L189" s="31">
        <f t="shared" si="97"/>
        <v>5.9933297214431747E-5</v>
      </c>
      <c r="M189" s="25">
        <f t="shared" si="98"/>
        <v>165.43441120443111</v>
      </c>
      <c r="R189" s="23"/>
      <c r="S189" s="62"/>
    </row>
    <row r="190" spans="1:19">
      <c r="A190" s="23">
        <v>44408</v>
      </c>
      <c r="B190" s="9">
        <v>19016.419999999998</v>
      </c>
      <c r="C190" s="31">
        <f t="shared" si="100"/>
        <v>4.8573243291442333E-4</v>
      </c>
      <c r="D190" s="25">
        <f t="shared" si="93"/>
        <v>173.61615025463018</v>
      </c>
      <c r="F190" s="23">
        <v>44408</v>
      </c>
      <c r="G190" s="10">
        <v>1076.8919000000001</v>
      </c>
      <c r="H190" s="10">
        <f t="shared" si="99"/>
        <v>1137.439074980028</v>
      </c>
      <c r="I190" s="31">
        <f t="shared" si="95"/>
        <v>1.2732050087973083E-3</v>
      </c>
      <c r="J190" s="24">
        <f t="shared" si="96"/>
        <v>176.78861029290607</v>
      </c>
      <c r="K190" s="24">
        <v>4909.3885</v>
      </c>
      <c r="L190" s="31">
        <f t="shared" si="97"/>
        <v>5.9888964637381502E-5</v>
      </c>
      <c r="M190" s="25">
        <f t="shared" si="98"/>
        <v>165.44431890003355</v>
      </c>
      <c r="R190" s="23"/>
      <c r="S190" s="62"/>
    </row>
    <row r="191" spans="1:19">
      <c r="A191" s="23">
        <v>44439</v>
      </c>
      <c r="B191" s="9">
        <v>19028.38</v>
      </c>
      <c r="C191" s="31">
        <f t="shared" si="100"/>
        <v>6.0864208659629974E-4</v>
      </c>
      <c r="D191" s="25">
        <f t="shared" si="93"/>
        <v>173.72534268711988</v>
      </c>
      <c r="F191" s="23">
        <v>44439</v>
      </c>
      <c r="G191" s="10">
        <v>1078.1745000000001</v>
      </c>
      <c r="H191" s="10">
        <f t="shared" si="99"/>
        <v>1138.721674980028</v>
      </c>
      <c r="I191" s="31">
        <f t="shared" si="95"/>
        <v>1.0912459697882109E-3</v>
      </c>
      <c r="J191" s="24">
        <f t="shared" si="96"/>
        <v>176.98153015139266</v>
      </c>
      <c r="K191" s="24">
        <v>4909.6931000000004</v>
      </c>
      <c r="L191" s="31">
        <f t="shared" si="97"/>
        <v>6.0042955155997608E-5</v>
      </c>
      <c r="M191" s="25">
        <f t="shared" si="98"/>
        <v>165.45425266585409</v>
      </c>
      <c r="R191" s="23"/>
      <c r="S191" s="62"/>
    </row>
    <row r="192" spans="1:19">
      <c r="A192" s="23">
        <v>44469</v>
      </c>
      <c r="B192" s="9">
        <v>19052.12</v>
      </c>
      <c r="C192" s="31">
        <f t="shared" si="100"/>
        <v>1.2476101486305069E-3</v>
      </c>
      <c r="D192" s="25">
        <f t="shared" si="93"/>
        <v>173.94208418773064</v>
      </c>
      <c r="F192" s="23">
        <v>44469</v>
      </c>
      <c r="G192" s="10">
        <v>1079.2102</v>
      </c>
      <c r="H192" s="10">
        <f t="shared" si="99"/>
        <v>1139.7573749800279</v>
      </c>
      <c r="I192" s="31">
        <f t="shared" si="95"/>
        <v>9.0952866073967797E-4</v>
      </c>
      <c r="J192" s="24">
        <f t="shared" si="96"/>
        <v>177.14249992548693</v>
      </c>
      <c r="K192" s="24">
        <v>4909.1148999999996</v>
      </c>
      <c r="L192" s="31">
        <f t="shared" si="97"/>
        <v>-1.177670351739657E-4</v>
      </c>
      <c r="M192" s="25">
        <f t="shared" si="98"/>
        <v>165.43476760906071</v>
      </c>
      <c r="R192" s="23"/>
      <c r="S192" s="62"/>
    </row>
    <row r="193" spans="1:19">
      <c r="A193" s="23">
        <v>44500</v>
      </c>
      <c r="B193" s="9">
        <v>19091.59</v>
      </c>
      <c r="C193" s="31">
        <f t="shared" si="100"/>
        <v>2.0048568974764544E-3</v>
      </c>
      <c r="D193" s="25">
        <f t="shared" si="93"/>
        <v>174.30243747455069</v>
      </c>
      <c r="F193" s="23">
        <v>44500</v>
      </c>
      <c r="G193" s="10">
        <v>1080.1402</v>
      </c>
      <c r="H193" s="10">
        <f t="shared" si="99"/>
        <v>1140.6873749800279</v>
      </c>
      <c r="I193" s="31">
        <f t="shared" si="95"/>
        <v>7.896417428452804E-4</v>
      </c>
      <c r="J193" s="24">
        <f t="shared" si="96"/>
        <v>177.28237903786007</v>
      </c>
      <c r="K193" s="24">
        <v>4914.1336000000001</v>
      </c>
      <c r="L193" s="31">
        <f t="shared" si="97"/>
        <v>9.8934462740187011E-4</v>
      </c>
      <c r="M193" s="25">
        <f t="shared" si="98"/>
        <v>165.59843960758022</v>
      </c>
      <c r="R193" s="23"/>
      <c r="S193" s="62"/>
    </row>
    <row r="194" spans="1:19">
      <c r="A194" s="23">
        <v>44530</v>
      </c>
      <c r="B194" s="9">
        <v>19132.47</v>
      </c>
      <c r="C194" s="31">
        <f t="shared" si="100"/>
        <v>2.1412569618350918E-3</v>
      </c>
      <c r="D194" s="9">
        <f t="shared" si="93"/>
        <v>174.67566378225789</v>
      </c>
      <c r="F194" s="23">
        <v>44530</v>
      </c>
      <c r="G194" s="10">
        <v>1080.6449</v>
      </c>
      <c r="H194" s="10">
        <f t="shared" si="99"/>
        <v>1141.1920749800279</v>
      </c>
      <c r="I194" s="31">
        <f t="shared" si="95"/>
        <v>4.4245251685093301E-4</v>
      </c>
      <c r="J194" s="24">
        <f t="shared" si="96"/>
        <v>177.3608180726587</v>
      </c>
      <c r="K194" s="24">
        <v>4920.3216000000002</v>
      </c>
      <c r="L194" s="31">
        <f t="shared" si="97"/>
        <v>1.2592250239187308E-3</v>
      </c>
      <c r="M194" s="25">
        <f t="shared" si="98"/>
        <v>165.80696530665597</v>
      </c>
      <c r="R194" s="23"/>
      <c r="S194" s="62"/>
    </row>
    <row r="195" spans="1:19">
      <c r="A195" s="23">
        <v>44561</v>
      </c>
      <c r="B195" s="9">
        <v>19193.41</v>
      </c>
      <c r="C195" s="31">
        <f t="shared" si="100"/>
        <v>3.0824140086661892E-3</v>
      </c>
      <c r="D195" s="9">
        <f t="shared" si="93"/>
        <v>175.23203391904059</v>
      </c>
      <c r="F195" s="23">
        <v>44561</v>
      </c>
      <c r="G195" s="10">
        <f>1072.9635</f>
        <v>1072.9635000000001</v>
      </c>
      <c r="H195" s="10">
        <f t="shared" ref="H195:H200" si="101">+G195+$S$144+$S$146+$S$148+$S$150+$S$152+$S$154</f>
        <v>1143.0886912938327</v>
      </c>
      <c r="I195" s="31">
        <f t="shared" si="95"/>
        <v>1.6083490085784212E-3</v>
      </c>
      <c r="J195" s="24">
        <f t="shared" si="96"/>
        <v>177.64607616856651</v>
      </c>
      <c r="K195" s="9">
        <v>4929.2918</v>
      </c>
      <c r="L195" s="31">
        <f t="shared" si="97"/>
        <v>1.7642827878724863E-3</v>
      </c>
      <c r="M195" s="25">
        <f t="shared" si="98"/>
        <v>166.0994956816559</v>
      </c>
      <c r="R195" s="23"/>
      <c r="S195" s="62"/>
    </row>
    <row r="196" spans="1:19">
      <c r="A196" s="23">
        <v>44592</v>
      </c>
      <c r="B196" s="9">
        <v>19259.349999999999</v>
      </c>
      <c r="C196" s="31">
        <f t="shared" si="100"/>
        <v>3.3247298539344551E-3</v>
      </c>
      <c r="D196" s="9">
        <f t="shared" si="93"/>
        <v>175.83405306606141</v>
      </c>
      <c r="F196" s="23">
        <v>44592</v>
      </c>
      <c r="G196" s="10">
        <v>1075.6985</v>
      </c>
      <c r="H196" s="10">
        <f t="shared" si="101"/>
        <v>1145.8236912938326</v>
      </c>
      <c r="I196" s="31">
        <f t="shared" si="95"/>
        <v>2.315458296199674E-3</v>
      </c>
      <c r="J196" s="24">
        <f t="shared" si="96"/>
        <v>178.05740824941836</v>
      </c>
      <c r="K196" s="9">
        <v>4941.9683000000005</v>
      </c>
      <c r="L196" s="31">
        <f t="shared" si="97"/>
        <v>2.4887105780919826E-3</v>
      </c>
      <c r="M196" s="25">
        <f t="shared" si="98"/>
        <v>166.51286925357456</v>
      </c>
      <c r="R196" s="23"/>
      <c r="S196" s="62"/>
    </row>
    <row r="197" spans="1:19">
      <c r="A197" s="23">
        <v>44620</v>
      </c>
      <c r="B197" s="25">
        <v>19341.900000000001</v>
      </c>
      <c r="C197" s="31">
        <f t="shared" si="100"/>
        <v>4.5923890770680322E-3</v>
      </c>
      <c r="D197" s="9">
        <f t="shared" si="93"/>
        <v>176.58771822509348</v>
      </c>
      <c r="F197" s="23">
        <v>44620</v>
      </c>
      <c r="G197" s="10">
        <v>1079.5694000000001</v>
      </c>
      <c r="H197" s="10">
        <f t="shared" si="101"/>
        <v>1149.6945912938327</v>
      </c>
      <c r="I197" s="31">
        <f t="shared" si="95"/>
        <v>3.6195733153849513E-3</v>
      </c>
      <c r="J197" s="24">
        <f t="shared" si="96"/>
        <v>178.70190009292457</v>
      </c>
      <c r="K197" s="9">
        <v>4958.2785000000003</v>
      </c>
      <c r="L197" s="31">
        <f t="shared" si="97"/>
        <v>3.5360838485577945E-3</v>
      </c>
      <c r="M197" s="25">
        <f t="shared" si="98"/>
        <v>167.10167272111914</v>
      </c>
      <c r="R197" s="23"/>
      <c r="S197" s="62"/>
    </row>
    <row r="198" spans="1:19">
      <c r="A198" s="23">
        <v>44651</v>
      </c>
      <c r="B198" s="9">
        <v>19435.349999999999</v>
      </c>
      <c r="C198" s="31">
        <f t="shared" si="100"/>
        <v>4.6756256557506544E-3</v>
      </c>
      <c r="D198" s="9">
        <f t="shared" si="93"/>
        <v>177.44089822644463</v>
      </c>
      <c r="F198" s="23">
        <v>44651</v>
      </c>
      <c r="G198" s="10">
        <v>1083.8510000000001</v>
      </c>
      <c r="H198" s="10">
        <f t="shared" si="101"/>
        <v>1153.9761912938327</v>
      </c>
      <c r="I198" s="31">
        <f t="shared" si="95"/>
        <v>3.6039865737777063E-3</v>
      </c>
      <c r="J198" s="24">
        <f t="shared" si="96"/>
        <v>179.34593934156806</v>
      </c>
      <c r="K198" s="24">
        <v>4977.0833000000002</v>
      </c>
      <c r="L198" s="31">
        <f t="shared" si="97"/>
        <v>3.6702644977257191E-3</v>
      </c>
      <c r="M198" s="25">
        <f t="shared" si="98"/>
        <v>167.71498005801806</v>
      </c>
      <c r="R198" s="23"/>
      <c r="S198" s="62"/>
    </row>
    <row r="199" spans="1:19">
      <c r="A199" s="23">
        <v>44681</v>
      </c>
      <c r="B199" s="9">
        <v>19541.32</v>
      </c>
      <c r="C199" s="31">
        <f t="shared" si="100"/>
        <v>5.4524358964465058E-3</v>
      </c>
      <c r="D199" s="9">
        <f t="shared" si="93"/>
        <v>178.40838334943223</v>
      </c>
      <c r="F199" s="23">
        <v>44681</v>
      </c>
      <c r="G199" s="10">
        <v>1090.1394</v>
      </c>
      <c r="H199" s="10">
        <f t="shared" si="101"/>
        <v>1160.2645912938326</v>
      </c>
      <c r="I199" s="31">
        <f t="shared" si="95"/>
        <v>5.4493325316784524E-3</v>
      </c>
      <c r="J199" s="24">
        <f t="shared" si="96"/>
        <v>180.32325500324649</v>
      </c>
      <c r="K199" s="9">
        <v>4999.8365999999996</v>
      </c>
      <c r="L199" s="31">
        <f t="shared" si="97"/>
        <v>4.5716132579094459E-3</v>
      </c>
      <c r="M199" s="25">
        <f t="shared" si="98"/>
        <v>168.4817080844013</v>
      </c>
      <c r="R199" s="23"/>
      <c r="S199" s="62"/>
    </row>
    <row r="200" spans="1:19">
      <c r="A200" s="23">
        <v>44712</v>
      </c>
      <c r="B200" s="9">
        <v>19680.32</v>
      </c>
      <c r="C200" s="31">
        <f t="shared" si="100"/>
        <v>6.8836766928876397E-3</v>
      </c>
      <c r="D200" s="9">
        <f t="shared" si="93"/>
        <v>179.67742583405308</v>
      </c>
      <c r="F200" s="23">
        <v>44712</v>
      </c>
      <c r="G200" s="10">
        <v>1098.6365000000001</v>
      </c>
      <c r="H200" s="10">
        <f t="shared" si="101"/>
        <v>1168.7616912938327</v>
      </c>
      <c r="I200" s="31">
        <f t="shared" si="95"/>
        <v>7.0871765472307717E-3</v>
      </c>
      <c r="J200" s="24">
        <f t="shared" si="96"/>
        <v>181.60123774702581</v>
      </c>
      <c r="K200" s="9">
        <v>5027.3885</v>
      </c>
      <c r="L200" s="31">
        <f t="shared" si="97"/>
        <v>5.3328000823584729E-3</v>
      </c>
      <c r="M200" s="25">
        <f t="shared" si="98"/>
        <v>169.38018735114969</v>
      </c>
      <c r="R200" s="23"/>
      <c r="S200" s="62"/>
    </row>
    <row r="201" spans="1:19">
      <c r="A201" s="23">
        <v>44742</v>
      </c>
      <c r="B201" s="9">
        <v>19825.16</v>
      </c>
      <c r="C201" s="31">
        <f t="shared" si="100"/>
        <v>7.3596364286758744E-3</v>
      </c>
      <c r="D201" s="9">
        <f t="shared" si="93"/>
        <v>180.99978636263211</v>
      </c>
      <c r="F201" s="23">
        <v>44742</v>
      </c>
      <c r="G201" s="10">
        <v>1106.6501000000001</v>
      </c>
      <c r="H201" s="10">
        <f t="shared" ref="H201:H202" si="102">+G201+$S$144+$S$146+$S$148+$S$150+$S$152+$S$154</f>
        <v>1176.7752912938327</v>
      </c>
      <c r="I201" s="31">
        <f t="shared" ref="I201:I202" si="103">+(H201/H200-1)/(F201-F200)*30</f>
        <v>6.8564875626004884E-3</v>
      </c>
      <c r="J201" s="24">
        <f t="shared" ref="J201:J202" si="104">+J200*(1+I201)</f>
        <v>182.84638437499115</v>
      </c>
      <c r="K201" s="24">
        <v>5056.9675999999999</v>
      </c>
      <c r="L201" s="31">
        <f t="shared" ref="L201:L202" si="105">+(K201/K200-1)/(F201-F200)*30</f>
        <v>5.8835914511081722E-3</v>
      </c>
      <c r="M201" s="25">
        <f t="shared" ref="M201:M202" si="106">+M200*(1+L201)</f>
        <v>170.37675117343602</v>
      </c>
      <c r="R201" s="23"/>
      <c r="S201" s="62"/>
    </row>
    <row r="202" spans="1:19">
      <c r="A202" s="23">
        <v>44773</v>
      </c>
      <c r="B202" s="9">
        <v>19975.62</v>
      </c>
      <c r="C202" s="31">
        <f t="shared" si="100"/>
        <v>7.3445284483405222E-3</v>
      </c>
      <c r="D202" s="9">
        <f t="shared" si="93"/>
        <v>182.3734563787188</v>
      </c>
      <c r="F202" s="23">
        <v>44773</v>
      </c>
      <c r="G202" s="10">
        <v>1114.7497000000001</v>
      </c>
      <c r="H202" s="10">
        <f t="shared" si="102"/>
        <v>1184.8748912938327</v>
      </c>
      <c r="I202" s="31">
        <f t="shared" si="103"/>
        <v>6.6608490496321594E-3</v>
      </c>
      <c r="J202" s="24">
        <f t="shared" si="104"/>
        <v>184.064296540584</v>
      </c>
      <c r="K202" s="24">
        <v>5089.8978999999999</v>
      </c>
      <c r="L202" s="31">
        <f t="shared" si="105"/>
        <v>6.3018066910423788E-3</v>
      </c>
      <c r="M202" s="25">
        <f t="shared" si="106"/>
        <v>171.45043252397883</v>
      </c>
      <c r="R202" s="23"/>
      <c r="S202" s="62"/>
    </row>
    <row r="203" spans="1:19">
      <c r="A203" s="23">
        <v>44804</v>
      </c>
      <c r="B203" s="9">
        <v>20154.919999999998</v>
      </c>
      <c r="C203" s="31">
        <f t="shared" si="100"/>
        <v>8.6863951673217758E-3</v>
      </c>
      <c r="D203" s="9">
        <f t="shared" si="93"/>
        <v>184.0104298858592</v>
      </c>
      <c r="F203" s="23">
        <v>44804</v>
      </c>
      <c r="G203" s="10">
        <v>1123.8426999999999</v>
      </c>
      <c r="H203" s="10">
        <f t="shared" ref="H203:H207" si="107">+G203+$S$144+$S$146+$S$148+$S$150+$S$152+$S$154</f>
        <v>1193.9678912938325</v>
      </c>
      <c r="I203" s="31">
        <f t="shared" ref="I203:I215" si="108">+(H203/H202-1)/(F203-F202)*30</f>
        <v>7.4266722031266922E-3</v>
      </c>
      <c r="J203" s="24">
        <f t="shared" ref="J203:J215" si="109">+J202*(1+I203)</f>
        <v>185.43128173529001</v>
      </c>
      <c r="K203" s="24">
        <v>5125.6822000000002</v>
      </c>
      <c r="L203" s="31">
        <f t="shared" ref="L203:L215" si="110">+(K203/K202-1)/(F203-F202)*30</f>
        <v>6.8036664825705234E-3</v>
      </c>
      <c r="M203" s="25">
        <f t="shared" ref="M203:M215" si="111">+M202*(1+L203)</f>
        <v>172.61692408516447</v>
      </c>
      <c r="R203" s="23"/>
      <c r="S203" s="62"/>
    </row>
    <row r="204" spans="1:19">
      <c r="A204" s="23">
        <v>44834</v>
      </c>
      <c r="B204" s="9">
        <v>20332.28</v>
      </c>
      <c r="C204" s="31">
        <f t="shared" si="100"/>
        <v>8.7998364667287721E-3</v>
      </c>
      <c r="D204" s="9">
        <f t="shared" si="93"/>
        <v>185.62969157702722</v>
      </c>
      <c r="F204" s="23">
        <v>44834</v>
      </c>
      <c r="G204" s="10">
        <v>1133.4185</v>
      </c>
      <c r="H204" s="10">
        <f t="shared" si="107"/>
        <v>1203.5436912938326</v>
      </c>
      <c r="I204" s="31">
        <f t="shared" si="108"/>
        <v>8.0201486738671335E-3</v>
      </c>
      <c r="J204" s="24">
        <f t="shared" si="109"/>
        <v>186.91846818359278</v>
      </c>
      <c r="K204" s="24">
        <v>5163.2829000000002</v>
      </c>
      <c r="L204" s="31">
        <f t="shared" si="110"/>
        <v>7.3357454740365924E-3</v>
      </c>
      <c r="M204" s="25">
        <f t="shared" si="111"/>
        <v>173.88319790476433</v>
      </c>
      <c r="R204" s="23"/>
      <c r="S204" s="62"/>
    </row>
    <row r="205" spans="1:19">
      <c r="A205" s="23">
        <v>44862</v>
      </c>
      <c r="B205" s="9">
        <v>20507.2</v>
      </c>
      <c r="C205" s="31">
        <f t="shared" si="100"/>
        <v>9.2175735192653475E-3</v>
      </c>
      <c r="D205" s="9">
        <f t="shared" si="93"/>
        <v>187.22667655119903</v>
      </c>
      <c r="F205" s="23">
        <v>44862</v>
      </c>
      <c r="G205" s="10">
        <v>1143.0035</v>
      </c>
      <c r="H205" s="10">
        <f t="shared" si="107"/>
        <v>1213.1286912938326</v>
      </c>
      <c r="I205" s="31">
        <f t="shared" si="108"/>
        <v>8.5328375957028583E-3</v>
      </c>
      <c r="J205" s="24">
        <f t="shared" si="109"/>
        <v>188.51341311624091</v>
      </c>
      <c r="K205" s="24">
        <v>5200.6767</v>
      </c>
      <c r="L205" s="31">
        <f t="shared" si="110"/>
        <v>7.7595565631868469E-3</v>
      </c>
      <c r="M205" s="25">
        <f t="shared" si="111"/>
        <v>175.23245441429418</v>
      </c>
    </row>
    <row r="206" spans="1:19">
      <c r="A206" s="23">
        <v>44895</v>
      </c>
      <c r="B206" s="9">
        <v>20719.68</v>
      </c>
      <c r="C206" s="31">
        <f t="shared" si="100"/>
        <v>9.4193081631638812E-3</v>
      </c>
      <c r="D206" s="9">
        <f t="shared" si="93"/>
        <v>189.16657689027986</v>
      </c>
      <c r="F206" s="23">
        <v>44895</v>
      </c>
      <c r="G206" s="10">
        <v>1155.0345</v>
      </c>
      <c r="H206" s="10">
        <f t="shared" si="107"/>
        <v>1225.1596912938326</v>
      </c>
      <c r="I206" s="31">
        <f t="shared" si="108"/>
        <v>9.0157563709154908E-3</v>
      </c>
      <c r="J206" s="24">
        <f t="shared" si="109"/>
        <v>190.21300412154667</v>
      </c>
      <c r="K206" s="24">
        <v>5246.14</v>
      </c>
      <c r="L206" s="31">
        <f t="shared" si="110"/>
        <v>7.9470951784548823E-3</v>
      </c>
      <c r="M206" s="25">
        <f t="shared" si="111"/>
        <v>176.62504340787882</v>
      </c>
    </row>
    <row r="207" spans="1:19">
      <c r="A207" s="23">
        <v>44925</v>
      </c>
      <c r="B207" s="9">
        <v>20914.79</v>
      </c>
      <c r="C207" s="31">
        <f t="shared" si="100"/>
        <v>9.416651222412753E-3</v>
      </c>
      <c r="D207" s="9">
        <f t="shared" si="93"/>
        <v>190.94789256779336</v>
      </c>
      <c r="F207" s="23">
        <v>44925</v>
      </c>
      <c r="G207" s="10">
        <v>1166.7900999999999</v>
      </c>
      <c r="H207" s="10">
        <f t="shared" si="107"/>
        <v>1236.9152912938325</v>
      </c>
      <c r="I207" s="31">
        <f t="shared" si="108"/>
        <v>9.5951573362533793E-3</v>
      </c>
      <c r="J207" s="24">
        <f t="shared" si="109"/>
        <v>192.03812782349434</v>
      </c>
      <c r="K207" s="24">
        <v>5287.7322999999997</v>
      </c>
      <c r="L207" s="31">
        <f t="shared" si="110"/>
        <v>7.9281719511867799E-3</v>
      </c>
      <c r="M207" s="25">
        <f t="shared" si="111"/>
        <v>178.02535712290231</v>
      </c>
    </row>
    <row r="208" spans="1:19">
      <c r="A208" s="23">
        <v>44957</v>
      </c>
      <c r="B208" s="9">
        <v>21124.92</v>
      </c>
      <c r="C208" s="31">
        <f t="shared" si="100"/>
        <v>9.4190223760313996E-3</v>
      </c>
      <c r="D208" s="9">
        <f t="shared" si="93"/>
        <v>192.86633787206225</v>
      </c>
      <c r="F208" s="23">
        <v>44957</v>
      </c>
      <c r="G208" s="10">
        <v>1152.6941999999999</v>
      </c>
      <c r="H208" s="10">
        <f t="shared" ref="H208:H215" si="112">+G208+$S$144+$S$146+$S$148+$S$150+$S$152+$S$154+$S$156</f>
        <v>1251.056166467301</v>
      </c>
      <c r="I208" s="31">
        <f t="shared" si="108"/>
        <v>1.071784831866672E-2</v>
      </c>
      <c r="J208" s="24">
        <f t="shared" si="109"/>
        <v>194.09636334890729</v>
      </c>
      <c r="K208" s="24">
        <v>5332.3676999999998</v>
      </c>
      <c r="L208" s="31">
        <f t="shared" si="110"/>
        <v>7.9137303338899789E-3</v>
      </c>
      <c r="M208" s="25">
        <f t="shared" si="111"/>
        <v>179.43420179176744</v>
      </c>
    </row>
    <row r="209" spans="1:13">
      <c r="A209" s="23">
        <v>44985</v>
      </c>
      <c r="B209" s="9">
        <v>21310.51</v>
      </c>
      <c r="C209" s="31">
        <f t="shared" si="100"/>
        <v>9.4128843361976754E-3</v>
      </c>
      <c r="D209" s="9">
        <f t="shared" si="93"/>
        <v>194.56073783408229</v>
      </c>
      <c r="F209" s="23">
        <v>44985</v>
      </c>
      <c r="G209" s="10">
        <v>1163.5821000000001</v>
      </c>
      <c r="H209" s="10">
        <f t="shared" si="112"/>
        <v>1261.9440664673011</v>
      </c>
      <c r="I209" s="31">
        <f t="shared" si="108"/>
        <v>9.3246070444608867E-3</v>
      </c>
      <c r="J209" s="24">
        <f t="shared" si="109"/>
        <v>195.90623566589474</v>
      </c>
      <c r="K209" s="24">
        <v>5371.7619999999997</v>
      </c>
      <c r="L209" s="31">
        <f t="shared" si="110"/>
        <v>7.9154666268472455E-3</v>
      </c>
      <c r="M209" s="25">
        <f t="shared" si="111"/>
        <v>180.85450722776514</v>
      </c>
    </row>
    <row r="210" spans="1:13">
      <c r="A210" s="23">
        <v>45016</v>
      </c>
      <c r="B210" s="9">
        <v>21517.9</v>
      </c>
      <c r="C210" s="31">
        <f t="shared" si="100"/>
        <v>9.4178881687958082E-3</v>
      </c>
      <c r="D210" s="9">
        <f t="shared" si="93"/>
        <v>196.45416748074072</v>
      </c>
      <c r="F210" s="23">
        <v>45016</v>
      </c>
      <c r="G210" s="10">
        <v>1175.8272999999999</v>
      </c>
      <c r="H210" s="10">
        <f t="shared" si="112"/>
        <v>1274.189266467301</v>
      </c>
      <c r="I210" s="31">
        <f t="shared" si="108"/>
        <v>9.3904269319642075E-3</v>
      </c>
      <c r="J210" s="24">
        <f t="shared" si="109"/>
        <v>197.74587885743148</v>
      </c>
      <c r="K210" s="9">
        <v>5415.8662000000004</v>
      </c>
      <c r="L210" s="31">
        <f t="shared" si="110"/>
        <v>7.9455277190181878E-3</v>
      </c>
      <c r="M210" s="25">
        <f t="shared" si="111"/>
        <v>182.2914917280527</v>
      </c>
    </row>
    <row r="211" spans="1:13">
      <c r="A211" s="23">
        <v>45044</v>
      </c>
      <c r="B211" s="9">
        <v>21706.94</v>
      </c>
      <c r="C211" s="31">
        <f t="shared" si="100"/>
        <v>9.4127613355789383E-3</v>
      </c>
      <c r="D211" s="9">
        <f t="shared" si="93"/>
        <v>198.18006525982503</v>
      </c>
      <c r="F211" s="23">
        <v>45044</v>
      </c>
      <c r="G211" s="10">
        <v>1187.0745999999999</v>
      </c>
      <c r="H211" s="10">
        <f t="shared" si="112"/>
        <v>1285.436566467301</v>
      </c>
      <c r="I211" s="31">
        <f t="shared" si="108"/>
        <v>9.4575263570060141E-3</v>
      </c>
      <c r="J211" s="24">
        <f t="shared" si="109"/>
        <v>199.61606571871496</v>
      </c>
      <c r="K211" s="9">
        <v>5456.2587000000003</v>
      </c>
      <c r="L211" s="31">
        <f t="shared" si="110"/>
        <v>7.9909061585437761E-3</v>
      </c>
      <c r="M211" s="25">
        <f t="shared" si="111"/>
        <v>183.74816593195251</v>
      </c>
    </row>
    <row r="212" spans="1:13">
      <c r="A212" s="23">
        <v>45077</v>
      </c>
      <c r="B212" s="9">
        <v>21931.86</v>
      </c>
      <c r="C212" s="31">
        <f t="shared" si="100"/>
        <v>9.4196937602779168E-3</v>
      </c>
      <c r="D212" s="9">
        <f t="shared" si="93"/>
        <v>200.23354033637847</v>
      </c>
      <c r="F212" s="23">
        <v>45077</v>
      </c>
      <c r="G212" s="10">
        <v>1200.3657000000001</v>
      </c>
      <c r="H212" s="10">
        <f t="shared" si="112"/>
        <v>1298.7276664673011</v>
      </c>
      <c r="I212" s="31">
        <f t="shared" si="108"/>
        <v>9.3997778630374538E-3</v>
      </c>
      <c r="J212" s="24">
        <f t="shared" si="109"/>
        <v>201.49241239436438</v>
      </c>
      <c r="K212" s="24">
        <v>5504.4106000000002</v>
      </c>
      <c r="L212" s="31">
        <f t="shared" si="110"/>
        <v>8.0227967463225077E-3</v>
      </c>
      <c r="M212" s="25">
        <f t="shared" si="111"/>
        <v>185.2223401197341</v>
      </c>
    </row>
    <row r="213" spans="1:13">
      <c r="A213" s="23">
        <v>45107</v>
      </c>
      <c r="B213" s="9">
        <v>22138.35</v>
      </c>
      <c r="C213" s="31">
        <f t="shared" si="100"/>
        <v>9.4150701308506335E-3</v>
      </c>
      <c r="D213" s="9">
        <f t="shared" si="93"/>
        <v>202.11875316119398</v>
      </c>
      <c r="F213" s="23">
        <v>45107</v>
      </c>
      <c r="G213" s="10">
        <v>1212.6896999999999</v>
      </c>
      <c r="H213" s="10">
        <f t="shared" si="112"/>
        <v>1311.0516664673009</v>
      </c>
      <c r="I213" s="31">
        <f t="shared" si="108"/>
        <v>9.4892873372927067E-3</v>
      </c>
      <c r="J213" s="24">
        <f t="shared" si="109"/>
        <v>203.40443179185877</v>
      </c>
      <c r="K213" s="9">
        <v>5548.4618</v>
      </c>
      <c r="L213" s="31">
        <f t="shared" si="110"/>
        <v>8.0028913540715063E-3</v>
      </c>
      <c r="M213" s="25">
        <f t="shared" si="111"/>
        <v>186.70465438405921</v>
      </c>
    </row>
    <row r="214" spans="1:13">
      <c r="A214" s="23">
        <v>45138</v>
      </c>
      <c r="B214" s="9">
        <v>22353.79</v>
      </c>
      <c r="C214" s="31">
        <f t="shared" si="100"/>
        <v>9.4176089266204046E-3</v>
      </c>
      <c r="D214" s="9">
        <f t="shared" si="93"/>
        <v>204.08567771433584</v>
      </c>
      <c r="F214" s="23">
        <v>45138</v>
      </c>
      <c r="G214" s="10">
        <v>1225.6293000000001</v>
      </c>
      <c r="H214" s="10">
        <f t="shared" si="112"/>
        <v>1323.9912664673011</v>
      </c>
      <c r="I214" s="31">
        <f t="shared" si="108"/>
        <v>9.5512586335587003E-3</v>
      </c>
      <c r="J214" s="24">
        <f t="shared" si="109"/>
        <v>205.34720012711486</v>
      </c>
      <c r="K214" s="9">
        <v>5593.9840000000004</v>
      </c>
      <c r="L214" s="31">
        <f t="shared" si="110"/>
        <v>7.9398117033956418E-3</v>
      </c>
      <c r="M214" s="25">
        <f t="shared" si="111"/>
        <v>188.18705418401623</v>
      </c>
    </row>
    <row r="215" spans="1:13">
      <c r="A215" s="23">
        <v>45169</v>
      </c>
      <c r="B215" s="9">
        <v>22551.919999999998</v>
      </c>
      <c r="C215" s="31">
        <f t="shared" si="100"/>
        <v>8.5774586625988747E-3</v>
      </c>
      <c r="D215" s="9">
        <f t="shared" si="93"/>
        <v>205.89456539403312</v>
      </c>
      <c r="F215" s="23">
        <v>45169</v>
      </c>
      <c r="G215" s="10">
        <v>1237.5463</v>
      </c>
      <c r="H215" s="10">
        <f t="shared" si="112"/>
        <v>1335.908266467301</v>
      </c>
      <c r="I215" s="31">
        <f t="shared" si="108"/>
        <v>8.7104657993194914E-3</v>
      </c>
      <c r="J215" s="24">
        <f t="shared" si="109"/>
        <v>207.13586989080812</v>
      </c>
      <c r="K215" s="24">
        <v>5636.4775</v>
      </c>
      <c r="L215" s="31">
        <f t="shared" si="110"/>
        <v>7.3512441107239221E-3</v>
      </c>
      <c r="M215" s="25">
        <f t="shared" si="111"/>
        <v>189.57046315780099</v>
      </c>
    </row>
    <row r="216" spans="1:13">
      <c r="A216" s="23">
        <v>45199</v>
      </c>
      <c r="B216" s="9">
        <v>22727.72</v>
      </c>
      <c r="C216" s="31">
        <f t="shared" si="100"/>
        <v>7.7953451413450559E-3</v>
      </c>
      <c r="D216" s="9">
        <f t="shared" si="93"/>
        <v>207.49958459400685</v>
      </c>
      <c r="F216" s="23">
        <v>45199</v>
      </c>
      <c r="G216" s="10">
        <v>1249.1767</v>
      </c>
      <c r="H216" s="10">
        <f t="shared" ref="H216" si="113">+G216+$S$144+$S$146+$S$148+$S$150+$S$152+$S$154+$S$156</f>
        <v>1347.538666467301</v>
      </c>
      <c r="I216" s="31">
        <f t="shared" ref="I216" si="114">+(H216/H215-1)/(F216-F215)*30</f>
        <v>8.7059869992089922E-3</v>
      </c>
      <c r="J216" s="24">
        <f t="shared" ref="J216" si="115">+J215*(1+I216)</f>
        <v>208.93919208114735</v>
      </c>
      <c r="K216" s="9">
        <v>5674.72</v>
      </c>
      <c r="L216" s="31">
        <f t="shared" ref="L216" si="116">+(K216/K215-1)/(F216-F215)*30</f>
        <v>6.7848226130593492E-3</v>
      </c>
      <c r="M216" s="25">
        <f t="shared" ref="M216" si="117">+M215*(1+L216)</f>
        <v>190.85666512300216</v>
      </c>
    </row>
    <row r="217" spans="1:13">
      <c r="A217" s="23">
        <v>45230</v>
      </c>
      <c r="B217" s="25">
        <v>22920</v>
      </c>
      <c r="C217" s="31">
        <f t="shared" si="100"/>
        <v>8.1872453266248948E-3</v>
      </c>
      <c r="D217" s="9">
        <f t="shared" si="93"/>
        <v>209.25506293172555</v>
      </c>
      <c r="F217" s="23">
        <v>45230</v>
      </c>
      <c r="G217" s="10">
        <v>1260.3499999999999</v>
      </c>
      <c r="H217" s="10">
        <f t="shared" ref="H217" si="118">+G217+$S$144+$S$146+$S$148+$S$150+$S$152+$S$154+$S$156</f>
        <v>1358.711966467301</v>
      </c>
      <c r="I217" s="31">
        <f t="shared" ref="I217" si="119">+(H217/H216-1)/(F217-F216)*30</f>
        <v>8.0241637860299243E-3</v>
      </c>
      <c r="J217" s="24">
        <f t="shared" ref="J217" si="120">+J216*(1+I217)</f>
        <v>210.61575437972724</v>
      </c>
      <c r="K217" s="9">
        <v>5712.6049000000003</v>
      </c>
      <c r="L217" s="31">
        <f t="shared" ref="L217:L219" si="121">+(K217/K216-1)/(F217-F216)*30</f>
        <v>6.4607251902496039E-3</v>
      </c>
      <c r="M217" s="25">
        <f t="shared" ref="M217:M219" si="122">+M216*(1+L217)</f>
        <v>192.08973758708936</v>
      </c>
    </row>
    <row r="218" spans="1:13">
      <c r="A218" s="23">
        <v>45260</v>
      </c>
      <c r="B218" s="9">
        <v>23092.51</v>
      </c>
      <c r="C218" s="31">
        <f t="shared" si="100"/>
        <v>7.5266143106456082E-3</v>
      </c>
      <c r="D218" s="25">
        <f t="shared" ref="D218:D219" si="123">+D217*(1+C218)</f>
        <v>210.83004508296253</v>
      </c>
      <c r="F218" s="23">
        <v>45260</v>
      </c>
      <c r="G218" s="10">
        <v>1270.5658000000001</v>
      </c>
      <c r="H218" s="10">
        <f t="shared" ref="H218" si="124">+G218+$S$144+$S$146+$S$148+$S$150+$S$152+$S$154+$S$156</f>
        <v>1368.9277664673011</v>
      </c>
      <c r="I218" s="31">
        <f t="shared" ref="I218" si="125">+(H218/H217-1)/(F218-F217)*30</f>
        <v>7.5187385201012083E-3</v>
      </c>
      <c r="J218" s="24">
        <f t="shared" ref="J218" si="126">+J217*(1+I218)</f>
        <v>212.19931916512226</v>
      </c>
      <c r="K218" s="24">
        <v>5747.8491999999997</v>
      </c>
      <c r="L218" s="31">
        <f t="shared" si="121"/>
        <v>6.1695672319295181E-3</v>
      </c>
      <c r="M218" s="25">
        <f t="shared" si="122"/>
        <v>193.27484813769661</v>
      </c>
    </row>
    <row r="219" spans="1:13">
      <c r="A219" s="23">
        <v>45291</v>
      </c>
      <c r="B219" s="9">
        <v>23256.05</v>
      </c>
      <c r="C219" s="31">
        <f t="shared" si="100"/>
        <v>6.8534999499418742E-3</v>
      </c>
      <c r="D219" s="25">
        <f t="shared" si="123"/>
        <v>212.27496878638485</v>
      </c>
      <c r="F219" s="23">
        <v>45291</v>
      </c>
      <c r="G219" s="10">
        <v>1282.4338</v>
      </c>
      <c r="H219" s="10">
        <f t="shared" ref="H219" si="127">+G219+$S$144+$S$146+$S$148+$S$150+$S$152+$S$154+$S$156</f>
        <v>1380.7957664673011</v>
      </c>
      <c r="I219" s="31">
        <f t="shared" ref="I219" si="128">+(H219/H218-1)/(F219-F218)*30</f>
        <v>8.3898957794986493E-3</v>
      </c>
      <c r="J219" s="24">
        <f t="shared" ref="J219" si="129">+J218*(1+I219)</f>
        <v>213.9796493373982</v>
      </c>
      <c r="K219" s="9">
        <v>5782.92</v>
      </c>
      <c r="L219" s="31">
        <f t="shared" si="121"/>
        <v>5.9047276102804306E-3</v>
      </c>
      <c r="M219" s="25">
        <f t="shared" si="122"/>
        <v>194.416083469868</v>
      </c>
    </row>
    <row r="220" spans="1:13">
      <c r="A220" s="23">
        <v>45322</v>
      </c>
      <c r="B220" s="9">
        <v>23427.15</v>
      </c>
      <c r="C220" s="31">
        <f t="shared" ref="C220:C221" si="130">(B220/B219-1)/(A220-A219)*30</f>
        <v>7.11989547499661E-3</v>
      </c>
      <c r="D220" s="25">
        <f t="shared" ref="D220:D221" si="131">+D219*(1+C220)</f>
        <v>213.78634437610208</v>
      </c>
      <c r="F220" s="23">
        <v>45322</v>
      </c>
      <c r="G220" s="10">
        <v>1293.2083</v>
      </c>
      <c r="H220" s="10">
        <f t="shared" ref="H220" si="132">+G220+$S$144+$S$146+$S$148+$S$150+$S$152+$S$154+$S$156</f>
        <v>1391.5702664673011</v>
      </c>
      <c r="I220" s="31">
        <f t="shared" ref="I220" si="133">+(H220/H219-1)/(F220-F219)*30</f>
        <v>7.5513958958230562E-3</v>
      </c>
      <c r="J220" s="24">
        <f t="shared" ref="J220" si="134">+J219*(1+I220)</f>
        <v>215.59549438319431</v>
      </c>
      <c r="K220" s="9">
        <v>5816.8769000000002</v>
      </c>
      <c r="L220" s="31">
        <f t="shared" ref="L220" si="135">+(K220/K219-1)/(F220-F219)*30</f>
        <v>5.6825126629855838E-3</v>
      </c>
      <c r="M220" s="25">
        <f t="shared" ref="M220" si="136">+M219*(1+L220)</f>
        <v>195.52085532607359</v>
      </c>
    </row>
    <row r="221" spans="1:13">
      <c r="A221" s="23">
        <v>45351</v>
      </c>
      <c r="B221" s="9">
        <v>23570.34</v>
      </c>
      <c r="C221" s="31">
        <f t="shared" si="130"/>
        <v>6.3229025385885236E-3</v>
      </c>
      <c r="D221" s="25">
        <f t="shared" si="131"/>
        <v>215.13809459567329</v>
      </c>
      <c r="F221" s="23">
        <v>45351</v>
      </c>
      <c r="G221" s="10">
        <v>1301.3776</v>
      </c>
      <c r="H221" s="10">
        <f t="shared" ref="H221" si="137">+G221+$S$144+$S$146+$S$148+$S$150+$S$152+$S$154+$S$156</f>
        <v>1399.7395664673011</v>
      </c>
      <c r="I221" s="31">
        <f t="shared" ref="I221" si="138">+(H221/H220-1)/(F221-F220)*30</f>
        <v>6.0729955242965934E-3</v>
      </c>
      <c r="J221" s="24">
        <f t="shared" ref="J221" si="139">+J220*(1+I221)</f>
        <v>216.90480485564197</v>
      </c>
      <c r="K221" s="9">
        <v>5846.4552000000003</v>
      </c>
      <c r="L221" s="31">
        <f t="shared" ref="L221" si="140">+(K221/K220-1)/(F221-F220)*30</f>
        <v>5.2602525212990022E-3</v>
      </c>
      <c r="M221" s="25">
        <f t="shared" ref="M221" si="141">+M220*(1+L221)</f>
        <v>196.54934439826911</v>
      </c>
    </row>
    <row r="222" spans="1:13">
      <c r="A222" s="23">
        <v>45379</v>
      </c>
      <c r="B222" s="9">
        <v>23703.45</v>
      </c>
      <c r="C222" s="31">
        <f t="shared" ref="C222" si="142">(B222/B221-1)/(A222-A221)*30</f>
        <v>6.0507339793510117E-3</v>
      </c>
      <c r="D222" s="25">
        <f t="shared" ref="D222" si="143">+D221*(1+C222)</f>
        <v>216.43983797489616</v>
      </c>
      <c r="F222" s="23">
        <v>45379</v>
      </c>
      <c r="G222" s="10">
        <v>1309.8589999999999</v>
      </c>
      <c r="H222" s="10">
        <f t="shared" ref="H222" si="144">+G222+$S$144+$S$146+$S$148+$S$150+$S$152+$S$154+$S$156</f>
        <v>1408.220966467301</v>
      </c>
      <c r="I222" s="31">
        <f t="shared" ref="I222" si="145">+(H222/H221-1)/(F222-F221)*30</f>
        <v>6.4920750283917585E-3</v>
      </c>
      <c r="J222" s="24">
        <f t="shared" ref="J222" si="146">+J221*(1+I222)</f>
        <v>218.31296712278345</v>
      </c>
      <c r="K222" s="9">
        <v>5872.4727999999996</v>
      </c>
      <c r="L222" s="31">
        <f t="shared" ref="L222" si="147">+(K222/K221-1)/(F222-F221)*30</f>
        <v>4.7680173791462112E-3</v>
      </c>
      <c r="M222" s="25">
        <f t="shared" ref="M222" si="148">+M221*(1+L222)</f>
        <v>197.48649508821987</v>
      </c>
    </row>
    <row r="223" spans="1:13">
      <c r="A223" s="23">
        <v>45412</v>
      </c>
      <c r="B223" s="9">
        <v>23847.87</v>
      </c>
      <c r="C223" s="31">
        <f t="shared" ref="C223:C224" si="149">(B223/B222-1)/(A223-A222)*30</f>
        <v>5.5388945107530275E-3</v>
      </c>
      <c r="D223" s="25">
        <f t="shared" ref="D223:D224" si="150">+D222*(1+C223)</f>
        <v>217.63867540536361</v>
      </c>
      <c r="F223" s="23">
        <v>45412</v>
      </c>
      <c r="G223" s="10">
        <v>1318.2294999999999</v>
      </c>
      <c r="H223" s="10">
        <f t="shared" ref="H223" si="151">+G223+$S$144+$S$146+$S$148+$S$150+$S$152+$S$154+$S$156</f>
        <v>1416.591466467301</v>
      </c>
      <c r="I223" s="31">
        <f t="shared" ref="I223" si="152">+(H223/H222-1)/(F223-F222)*30</f>
        <v>5.4036586840735335E-3</v>
      </c>
      <c r="J223" s="24">
        <f t="shared" ref="J223" si="153">+J222*(1+I223)</f>
        <v>219.49265588342234</v>
      </c>
      <c r="K223" s="9">
        <v>5900.1916000000001</v>
      </c>
      <c r="L223" s="31">
        <f t="shared" ref="L223" si="154">+(K223/K222-1)/(F223-F222)*30</f>
        <v>4.2910218487362591E-3</v>
      </c>
      <c r="M223" s="25">
        <f t="shared" ref="M223" si="155">+M222*(1+L223)</f>
        <v>198.33391395347374</v>
      </c>
    </row>
    <row r="224" spans="1:13">
      <c r="A224" s="23">
        <v>45443</v>
      </c>
      <c r="B224" s="9">
        <v>23979.37</v>
      </c>
      <c r="C224" s="31">
        <f t="shared" si="149"/>
        <v>5.3362444745013744E-3</v>
      </c>
      <c r="D224" s="25">
        <f t="shared" si="150"/>
        <v>218.80004858443328</v>
      </c>
      <c r="F224" s="23">
        <v>45443</v>
      </c>
      <c r="G224" s="10">
        <v>1326.7076</v>
      </c>
      <c r="H224" s="10">
        <f t="shared" ref="H224" si="156">+G224+$S$144+$S$146+$S$148+$S$150+$S$152+$S$154+$S$156</f>
        <v>1425.069566467301</v>
      </c>
      <c r="I224" s="31">
        <f t="shared" ref="I224" si="157">+(H224/H223-1)/(F224-F223)*30</f>
        <v>5.7917989042293033E-3</v>
      </c>
      <c r="J224" s="24">
        <f t="shared" ref="J224" si="158">+J223*(1+I224)</f>
        <v>220.76391320725432</v>
      </c>
      <c r="K224" s="9">
        <v>5924.7824000000001</v>
      </c>
      <c r="L224" s="31">
        <f t="shared" ref="L224" si="159">+(K224/K223-1)/(F224-F223)*30</f>
        <v>4.0333517960835794E-3</v>
      </c>
      <c r="M224" s="25">
        <f t="shared" ref="M224" si="160">+M223*(1+L224)</f>
        <v>199.13386440154227</v>
      </c>
    </row>
    <row r="225" spans="1:13">
      <c r="A225" s="23">
        <v>45473</v>
      </c>
      <c r="B225" s="25">
        <v>24090</v>
      </c>
      <c r="C225" s="31">
        <f t="shared" ref="C225" si="161">(B225/B224-1)/(A225-A224)*30</f>
        <v>4.6135490632155385E-3</v>
      </c>
      <c r="D225" s="25">
        <f t="shared" ref="D225" si="162">+D224*(1+C225)</f>
        <v>219.80949334361151</v>
      </c>
      <c r="F225" s="23">
        <v>45473</v>
      </c>
      <c r="G225" s="10">
        <v>1334.2564</v>
      </c>
      <c r="H225" s="10">
        <f t="shared" ref="H225" si="163">+G225+$S$144+$S$146+$S$148+$S$150+$S$152+$S$154+$S$156</f>
        <v>1432.618366467301</v>
      </c>
      <c r="I225" s="31">
        <f t="shared" ref="I225" si="164">+(H225/H224-1)/(F225-F224)*30</f>
        <v>5.2971449097136691E-3</v>
      </c>
      <c r="J225" s="24">
        <f t="shared" ref="J225" si="165">+J224*(1+I225)</f>
        <v>221.93333164634859</v>
      </c>
      <c r="K225" s="9">
        <v>5946.4089999999997</v>
      </c>
      <c r="L225" s="31">
        <f t="shared" ref="L225" si="166">+(K225/K224-1)/(F225-F224)*30</f>
        <v>3.6501931277677091E-3</v>
      </c>
      <c r="M225" s="25">
        <f t="shared" ref="M225" si="167">+M224*(1+L225)</f>
        <v>199.86074146488662</v>
      </c>
    </row>
    <row r="226" spans="1:13">
      <c r="A226" s="23">
        <v>45504</v>
      </c>
      <c r="B226" s="9">
        <v>24217.3</v>
      </c>
      <c r="C226" s="31">
        <f t="shared" ref="C226" si="168">(B226/B225-1)/(A226-A225)*30</f>
        <v>5.1138874382356155E-3</v>
      </c>
      <c r="D226" s="25">
        <f t="shared" ref="D226" si="169">+D225*(1+C226)</f>
        <v>220.93357435042637</v>
      </c>
      <c r="F226" s="23">
        <v>45504</v>
      </c>
      <c r="G226" s="10">
        <v>1340.8303000000001</v>
      </c>
      <c r="H226" s="10">
        <f t="shared" ref="H226" si="170">+G226+$S$144+$S$146+$S$148+$S$150+$S$152+$S$154+$S$156</f>
        <v>1439.1922664673011</v>
      </c>
      <c r="I226" s="31">
        <f t="shared" ref="I226" si="171">+(H226/H225-1)/(F226-F225)*30</f>
        <v>4.4407072103683663E-3</v>
      </c>
      <c r="J226" s="24">
        <f t="shared" ref="J226" si="172">+J225*(1+I226)</f>
        <v>222.91887259241159</v>
      </c>
      <c r="K226" s="9">
        <v>5968.0190000000002</v>
      </c>
      <c r="L226" s="31">
        <f t="shared" ref="L226" si="173">+(K226/K225-1)/(F226-F225)*30</f>
        <v>3.516896201691893E-3</v>
      </c>
      <c r="M226" s="25">
        <f t="shared" ref="M226" si="174">+M225*(1+L226)</f>
        <v>200.56363094741178</v>
      </c>
    </row>
    <row r="227" spans="1:13">
      <c r="A227" s="23">
        <v>45535</v>
      </c>
      <c r="B227" s="9">
        <v>24333.599999999999</v>
      </c>
      <c r="C227" s="31">
        <f t="shared" ref="C227" si="175">(B227/B226-1)/(A227-A226)*30</f>
        <v>4.6474374557349948E-3</v>
      </c>
      <c r="D227" s="25">
        <f t="shared" ref="D227" si="176">+D226*(1+C227)</f>
        <v>221.96034931909196</v>
      </c>
      <c r="F227" s="23">
        <v>45535</v>
      </c>
      <c r="G227" s="10">
        <v>1346.8901000000001</v>
      </c>
      <c r="H227" s="10">
        <f t="shared" ref="H227" si="177">+G227+$S$144+$S$146+$S$148+$S$150+$S$152+$S$154+$S$156</f>
        <v>1445.2520664673011</v>
      </c>
      <c r="I227" s="31">
        <f t="shared" ref="I227" si="178">+(H227/H226-1)/(F227-F226)*30</f>
        <v>4.0747318598646871E-3</v>
      </c>
      <c r="J227" s="24">
        <f t="shared" ref="J227" si="179">+J226*(1+I227)</f>
        <v>223.82720722472899</v>
      </c>
      <c r="K227" s="9">
        <v>5989.6689999999999</v>
      </c>
      <c r="L227" s="31">
        <f t="shared" ref="L227" si="180">+(K227/K226-1)/(F227-F226)*30</f>
        <v>3.5106478218695273E-3</v>
      </c>
      <c r="M227" s="25">
        <f t="shared" ref="M227" si="181">+M226*(1+L227)</f>
        <v>201.26773922154356</v>
      </c>
    </row>
    <row r="228" spans="1:13">
      <c r="A228" s="23">
        <v>45565</v>
      </c>
      <c r="B228" s="9">
        <v>24449.94</v>
      </c>
      <c r="C228" s="31">
        <f t="shared" ref="C228" si="182">(B228/B227-1)/(A228-A227)*30</f>
        <v>4.7810434954138614E-3</v>
      </c>
      <c r="D228" s="25">
        <f t="shared" ref="D228" si="183">+D227*(1+C228)</f>
        <v>223.02155140344379</v>
      </c>
      <c r="F228" s="23">
        <v>45565</v>
      </c>
      <c r="G228" s="10">
        <v>1353.1542999999999</v>
      </c>
      <c r="H228" s="10">
        <f t="shared" ref="H228" si="184">+G228+$S$144+$S$146+$S$148+$S$150+$S$152+$S$154+$S$156</f>
        <v>1451.516266467301</v>
      </c>
      <c r="I228" s="31">
        <f t="shared" ref="I228" si="185">+(H228/H227-1)/(F228-F227)*30</f>
        <v>4.3343304225897938E-3</v>
      </c>
      <c r="J228" s="24">
        <f t="shared" ref="J228:J229" si="186">+J227*(1+I228)</f>
        <v>224.79734829840643</v>
      </c>
      <c r="K228" s="9">
        <v>6009.8868000000002</v>
      </c>
      <c r="L228" s="31">
        <f t="shared" ref="L228" si="187">+(K228/K227-1)/(F228-F227)*30</f>
        <v>3.3754452875442986E-3</v>
      </c>
      <c r="M228" s="25">
        <f t="shared" ref="M228" si="188">+M227*(1+L228)</f>
        <v>201.94710746343361</v>
      </c>
    </row>
    <row r="229" spans="1:13">
      <c r="A229" s="23">
        <v>45596</v>
      </c>
      <c r="B229" s="9">
        <v>24560.22</v>
      </c>
      <c r="C229" s="31">
        <f t="shared" ref="C229" si="189">(B229/B228-1)/(A229-A228)*30</f>
        <v>4.3649424352436789E-3</v>
      </c>
      <c r="D229" s="25">
        <f t="shared" ref="D229" si="190">+D228*(1+C229)</f>
        <v>223.99502763713855</v>
      </c>
      <c r="F229" s="23">
        <v>45596</v>
      </c>
      <c r="G229" s="10">
        <v>1358.6238000000001</v>
      </c>
      <c r="H229" s="10">
        <f t="shared" ref="H229" si="191">+G229+$S$144+$S$146+$S$148+$S$150+$S$152+$S$154+$S$156</f>
        <v>1456.9857664673011</v>
      </c>
      <c r="I229" s="31">
        <f t="shared" ref="I229" si="192">+(H229/H228-1)/(F229-F228)*30</f>
        <v>3.6465760931577106E-3</v>
      </c>
      <c r="J229" s="24">
        <f t="shared" si="186"/>
        <v>225.61708893451663</v>
      </c>
      <c r="K229" s="9">
        <v>6030.3854000000001</v>
      </c>
      <c r="L229" s="31">
        <f t="shared" ref="L229" si="193">+(K229/K228-1)/(F229-F228)*30</f>
        <v>3.3007867700120667E-3</v>
      </c>
      <c r="M229" s="25">
        <f t="shared" ref="M229" si="194">+M228*(1+L229)</f>
        <v>202.61369180399112</v>
      </c>
    </row>
    <row r="230" spans="1:13">
      <c r="A230" s="23">
        <v>45626</v>
      </c>
      <c r="B230" s="9">
        <v>24667.9</v>
      </c>
      <c r="C230" s="31">
        <f t="shared" ref="C230" si="195">(B230/B229-1)/(A230-A229)*30</f>
        <v>4.3843255475723986E-3</v>
      </c>
      <c r="D230" s="25">
        <f t="shared" ref="D230" si="196">+D229*(1+C230)</f>
        <v>224.97709475933723</v>
      </c>
      <c r="F230" s="23">
        <v>45626</v>
      </c>
      <c r="G230" s="10">
        <v>1285.0823</v>
      </c>
      <c r="H230" s="10">
        <f>+G230+$S$144+$S$146+$S$148+$S$150+$S$152+$S$154+$S$156+$S$158</f>
        <v>1462.6142664673011</v>
      </c>
      <c r="I230" s="31">
        <f t="shared" ref="I230" si="197">+(H230/H229-1)/(F230-F229)*30</f>
        <v>3.863112550266834E-3</v>
      </c>
      <c r="J230" s="24">
        <f t="shared" ref="J230" si="198">+J229*(1+I230)</f>
        <v>226.48867314233422</v>
      </c>
      <c r="K230" s="9">
        <v>6049.8055000000004</v>
      </c>
      <c r="L230" s="31">
        <f t="shared" ref="L230" si="199">+(K230/K229-1)/(F230-F229)*30</f>
        <v>3.220374604913312E-3</v>
      </c>
      <c r="M230" s="25">
        <f t="shared" ref="M230" si="200">+M229*(1+L230)</f>
        <v>203.26618379168443</v>
      </c>
    </row>
    <row r="231" spans="1:13">
      <c r="A231" s="23">
        <v>45657</v>
      </c>
      <c r="B231" s="9">
        <v>24777.58</v>
      </c>
      <c r="C231" s="31">
        <f t="shared" ref="C231" si="201">(B231/B230-1)/(A231-A230)*30</f>
        <v>4.3028362967205188E-3</v>
      </c>
      <c r="D231" s="25">
        <f t="shared" ref="D231" si="202">+D230*(1+C231)</f>
        <v>225.94513436859845</v>
      </c>
      <c r="F231" s="23">
        <v>45657</v>
      </c>
      <c r="G231" s="10">
        <v>1290.3393000000001</v>
      </c>
      <c r="H231" s="10">
        <f>+G231+$S$144+$S$146+$S$148+$S$150+$S$152+$S$154+$S$156+$S$158</f>
        <v>1467.8712664673012</v>
      </c>
      <c r="I231" s="31">
        <f t="shared" ref="I231" si="203">+(H231/H230-1)/(F231-F230)*30</f>
        <v>3.4783055734350708E-3</v>
      </c>
      <c r="J231" s="24">
        <f t="shared" ref="J231" si="204">+J230*(1+I231)</f>
        <v>227.27646995644511</v>
      </c>
      <c r="K231" s="9">
        <v>6069.3455000000004</v>
      </c>
      <c r="L231" s="31">
        <f t="shared" ref="L231" si="205">+(K231/K230-1)/(F231-F230)*30</f>
        <v>3.1256670019151563E-3</v>
      </c>
      <c r="M231" s="25">
        <f t="shared" ref="M231" si="206">+M230*(1+L231)</f>
        <v>203.90152619496729</v>
      </c>
    </row>
    <row r="232" spans="1:13">
      <c r="A232" s="23">
        <v>45688</v>
      </c>
      <c r="B232" s="9">
        <v>24887.95</v>
      </c>
      <c r="C232" s="31">
        <f t="shared" ref="C232" si="207">(B232/B231-1)/(A232-A231)*30</f>
        <v>4.3107388784278181E-3</v>
      </c>
      <c r="D232" s="25">
        <f t="shared" ref="D232" si="208">+D231*(1+C232)</f>
        <v>226.91912484371275</v>
      </c>
      <c r="F232" s="23">
        <v>45688</v>
      </c>
      <c r="G232" s="10">
        <v>1294.6206</v>
      </c>
      <c r="H232" s="10">
        <f>+G232+$S$144+$S$146+$S$148+$S$150+$S$152+$S$154+$S$156+$S$158</f>
        <v>1472.1525664673011</v>
      </c>
      <c r="I232" s="31">
        <f t="shared" ref="I232" si="209">+(H232/H231-1)/(F232-F231)*30</f>
        <v>2.8225864508937557E-3</v>
      </c>
      <c r="J232" s="24">
        <f t="shared" ref="J232" si="210">+J231*(1+I232)</f>
        <v>227.91797744115112</v>
      </c>
      <c r="K232" s="9">
        <v>6087.6761999999999</v>
      </c>
      <c r="L232" s="31">
        <f t="shared" ref="L232" si="211">+(K232/K231-1)/(F232-F231)*30</f>
        <v>2.9227841942386906E-3</v>
      </c>
      <c r="M232" s="25">
        <f t="shared" ref="M232" si="212">+M231*(1+L232)</f>
        <v>204.4974863529111</v>
      </c>
    </row>
    <row r="233" spans="1:13">
      <c r="A233" s="23">
        <v>45716</v>
      </c>
      <c r="F233" s="23">
        <v>45716</v>
      </c>
    </row>
    <row r="234" spans="1:13">
      <c r="A234" s="23">
        <v>45747</v>
      </c>
      <c r="F234" s="23">
        <v>45747</v>
      </c>
    </row>
    <row r="235" spans="1:13">
      <c r="A235" s="23">
        <v>45777</v>
      </c>
      <c r="F235" s="23">
        <v>45777</v>
      </c>
    </row>
    <row r="236" spans="1:13">
      <c r="A236" s="23">
        <v>45808</v>
      </c>
      <c r="F236" s="23">
        <v>45808</v>
      </c>
    </row>
    <row r="237" spans="1:13">
      <c r="A237" s="23">
        <v>45838</v>
      </c>
      <c r="F237" s="23">
        <v>45838</v>
      </c>
    </row>
    <row r="238" spans="1:13">
      <c r="A238" s="23">
        <v>45869</v>
      </c>
      <c r="F238" s="23">
        <v>45869</v>
      </c>
    </row>
    <row r="239" spans="1:13">
      <c r="A239" s="23">
        <v>45900</v>
      </c>
      <c r="F239" s="23">
        <v>45900</v>
      </c>
    </row>
    <row r="240" spans="1:13">
      <c r="A240" s="23">
        <v>45930</v>
      </c>
      <c r="F240" s="23">
        <v>45930</v>
      </c>
    </row>
    <row r="241" spans="1:6">
      <c r="A241" s="23">
        <v>45961</v>
      </c>
      <c r="F241" s="23">
        <v>45961</v>
      </c>
    </row>
    <row r="242" spans="1:6">
      <c r="A242" s="23">
        <v>45991</v>
      </c>
      <c r="F242" s="23">
        <v>45991</v>
      </c>
    </row>
    <row r="243" spans="1:6">
      <c r="A243" s="23">
        <v>46022</v>
      </c>
      <c r="F243" s="23">
        <v>46022</v>
      </c>
    </row>
  </sheetData>
  <mergeCells count="10">
    <mergeCell ref="AV28:AV29"/>
    <mergeCell ref="AC58:AC60"/>
    <mergeCell ref="AC61:AC63"/>
    <mergeCell ref="AC64:AC66"/>
    <mergeCell ref="AC67:AC69"/>
    <mergeCell ref="AC82:AC84"/>
    <mergeCell ref="AC79:AC81"/>
    <mergeCell ref="AC76:AC78"/>
    <mergeCell ref="AC73:AC75"/>
    <mergeCell ref="AC70:AC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8"/>
  <sheetViews>
    <sheetView showGridLines="0" topLeftCell="A3" zoomScale="70" zoomScaleNormal="70" workbookViewId="0">
      <selection activeCell="Q37" sqref="Q37:Q38"/>
    </sheetView>
  </sheetViews>
  <sheetFormatPr baseColWidth="10" defaultRowHeight="14.4"/>
  <cols>
    <col min="3" max="3" width="7.109375" style="7" bestFit="1" customWidth="1"/>
    <col min="4" max="4" width="15.88671875" customWidth="1"/>
    <col min="5" max="16" width="7.6640625" customWidth="1"/>
    <col min="17" max="17" width="10.109375" customWidth="1"/>
    <col min="19" max="19" width="18.44140625" bestFit="1" customWidth="1"/>
    <col min="20" max="20" width="9" bestFit="1" customWidth="1"/>
    <col min="21" max="21" width="11.109375" bestFit="1" customWidth="1"/>
    <col min="22" max="22" width="10.88671875" bestFit="1" customWidth="1"/>
    <col min="23" max="23" width="6.88671875" bestFit="1" customWidth="1"/>
    <col min="24" max="24" width="16" bestFit="1" customWidth="1"/>
  </cols>
  <sheetData>
    <row r="1" spans="2:24" ht="26.4"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6" t="s">
        <v>25</v>
      </c>
      <c r="T1" s="78" t="s">
        <v>26</v>
      </c>
      <c r="U1" s="78" t="s">
        <v>27</v>
      </c>
      <c r="V1" s="78" t="s">
        <v>28</v>
      </c>
      <c r="W1" s="78" t="s">
        <v>29</v>
      </c>
      <c r="X1" s="79" t="s">
        <v>68</v>
      </c>
    </row>
    <row r="2" spans="2:24">
      <c r="C2" s="73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0" t="s">
        <v>66</v>
      </c>
      <c r="T2" s="83">
        <f>+'Datos ICP (2)'!AX28</f>
        <v>4.3107388784278181E-3</v>
      </c>
      <c r="U2" s="83">
        <f>+'Datos ICP (2)'!AY28</f>
        <v>1.3343935844222887E-2</v>
      </c>
      <c r="V2" s="83">
        <f>+'Datos ICP (2)'!AZ28</f>
        <v>2.7693012846188525E-2</v>
      </c>
      <c r="W2" s="83">
        <f>+'Datos ICP (2)'!BA28</f>
        <v>6.2355002635830603E-2</v>
      </c>
      <c r="X2" s="83">
        <f>+'Datos ICP (2)'!BB28</f>
        <v>5.3453162092504947E-2</v>
      </c>
    </row>
    <row r="3" spans="2:24"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80" t="s">
        <v>24</v>
      </c>
      <c r="T3" s="83">
        <f>+'Datos ICP (2)'!AX29</f>
        <v>2.9227841942386906E-3</v>
      </c>
      <c r="U3" s="83">
        <f>+'Datos ICP (2)'!AY29</f>
        <v>9.5003546539496053E-3</v>
      </c>
      <c r="V3" s="83">
        <f>+'Datos ICP (2)'!AZ29</f>
        <v>2.0049735096352661E-2</v>
      </c>
      <c r="W3" s="83">
        <f>+'Datos ICP (2)'!BA29</f>
        <v>4.6554070965469485E-2</v>
      </c>
      <c r="X3" s="83">
        <f>+'Datos ICP (2)'!BB29</f>
        <v>3.6242524008559762E-2</v>
      </c>
    </row>
    <row r="4" spans="2:24">
      <c r="C4" s="73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81" t="s">
        <v>46</v>
      </c>
      <c r="T4" s="83">
        <f>+'Datos ICP (2)'!AX30</f>
        <v>2.8225864508937557E-3</v>
      </c>
      <c r="U4" s="83">
        <f>+'Datos ICP (2)'!AY30</f>
        <v>1.0409710478348932E-2</v>
      </c>
      <c r="V4" s="83">
        <f>+'Datos ICP (2)'!AZ30</f>
        <v>2.2901943519266998E-2</v>
      </c>
      <c r="W4" s="83">
        <f>+'Datos ICP (2)'!BA30</f>
        <v>5.7907460328661342E-2</v>
      </c>
      <c r="X4" s="83">
        <f>+'Datos ICP (2)'!BB30</f>
        <v>3.5000071991082571E-2</v>
      </c>
    </row>
    <row r="5" spans="2:24">
      <c r="B5" s="8"/>
      <c r="C5" s="7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</row>
    <row r="6" spans="2:24" ht="26.4">
      <c r="B6" s="8"/>
      <c r="C6" s="76" t="s">
        <v>8</v>
      </c>
      <c r="D6" s="77" t="s">
        <v>9</v>
      </c>
      <c r="E6" s="78" t="s">
        <v>10</v>
      </c>
      <c r="F6" s="78" t="s">
        <v>11</v>
      </c>
      <c r="G6" s="78" t="s">
        <v>12</v>
      </c>
      <c r="H6" s="78" t="s">
        <v>13</v>
      </c>
      <c r="I6" s="78" t="s">
        <v>14</v>
      </c>
      <c r="J6" s="78" t="s">
        <v>15</v>
      </c>
      <c r="K6" s="78" t="s">
        <v>16</v>
      </c>
      <c r="L6" s="78" t="s">
        <v>17</v>
      </c>
      <c r="M6" s="78" t="s">
        <v>18</v>
      </c>
      <c r="N6" s="78" t="s">
        <v>19</v>
      </c>
      <c r="O6" s="78" t="s">
        <v>20</v>
      </c>
      <c r="P6" s="78" t="s">
        <v>21</v>
      </c>
      <c r="Q6" s="79" t="s">
        <v>56</v>
      </c>
      <c r="R6" s="75"/>
      <c r="S6" s="74"/>
      <c r="T6" s="74"/>
      <c r="U6" s="74"/>
      <c r="V6" s="74"/>
      <c r="W6" s="74"/>
      <c r="X6" s="74"/>
    </row>
    <row r="7" spans="2:24" ht="12" customHeight="1">
      <c r="B7" s="8"/>
      <c r="C7" s="80"/>
      <c r="D7" s="81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75"/>
      <c r="S7" s="74"/>
      <c r="T7" s="74"/>
      <c r="U7" s="74"/>
      <c r="V7" s="74"/>
      <c r="W7" s="74"/>
      <c r="X7" s="74"/>
    </row>
    <row r="8" spans="2:24" ht="15" hidden="1" customHeight="1">
      <c r="B8" s="8"/>
      <c r="C8" s="80">
        <v>2013</v>
      </c>
      <c r="D8" s="81" t="s">
        <v>23</v>
      </c>
      <c r="E8" s="83">
        <v>4.5686050240374559E-3</v>
      </c>
      <c r="F8" s="83">
        <v>4.1745326612116105E-3</v>
      </c>
      <c r="G8" s="83">
        <v>4.0293873070195892E-3</v>
      </c>
      <c r="H8" s="83">
        <v>4.3013617956598471E-3</v>
      </c>
      <c r="I8" s="83">
        <v>4.1869113997177049E-3</v>
      </c>
      <c r="J8" s="83">
        <v>4.1758642922896348E-3</v>
      </c>
      <c r="K8" s="83">
        <v>4.1935429783752035E-3</v>
      </c>
      <c r="L8" s="83">
        <v>4.1770099093310087E-3</v>
      </c>
      <c r="M8" s="83">
        <v>4.1760313493467392E-3</v>
      </c>
      <c r="N8" s="83">
        <v>3.958804856991985E-3</v>
      </c>
      <c r="O8" s="83">
        <v>4.037009780426537E-3</v>
      </c>
      <c r="P8" s="83">
        <v>3.6395153140621889E-3</v>
      </c>
      <c r="Q8" s="83">
        <v>5.1480393340577635E-2</v>
      </c>
      <c r="R8" s="74"/>
      <c r="S8" s="74"/>
      <c r="T8" s="74"/>
      <c r="U8" s="74"/>
      <c r="V8" s="74"/>
      <c r="W8" s="74"/>
      <c r="X8" s="74"/>
    </row>
    <row r="9" spans="2:24" ht="15" hidden="1" customHeight="1">
      <c r="B9" s="8"/>
      <c r="C9" s="80">
        <v>2014</v>
      </c>
      <c r="D9" s="81" t="s">
        <v>23</v>
      </c>
      <c r="E9" s="83">
        <v>3.8751212891769038E-3</v>
      </c>
      <c r="F9" s="83">
        <v>3.6775267849482279E-3</v>
      </c>
      <c r="G9" s="83">
        <v>3.4352835815568226E-3</v>
      </c>
      <c r="H9" s="83">
        <v>3.3378489992446081E-3</v>
      </c>
      <c r="I9" s="83">
        <v>3.3374356897462043E-3</v>
      </c>
      <c r="J9" s="83">
        <v>3.3379196282979163E-3</v>
      </c>
      <c r="K9" s="83">
        <v>3.2430280488378181E-3</v>
      </c>
      <c r="L9" s="83">
        <v>3.0506691872881088E-3</v>
      </c>
      <c r="M9" s="83">
        <v>2.7827262259823987E-3</v>
      </c>
      <c r="N9" s="83">
        <v>2.5447712138483617E-3</v>
      </c>
      <c r="O9" s="83">
        <v>2.5957616712057874E-3</v>
      </c>
      <c r="P9" s="83">
        <v>2.4283310664990391E-3</v>
      </c>
      <c r="Q9" s="83">
        <v>3.8774075510599859E-2</v>
      </c>
      <c r="R9" s="74"/>
      <c r="S9" s="74"/>
      <c r="T9" s="74"/>
      <c r="U9" s="74"/>
      <c r="V9" s="74"/>
      <c r="W9" s="74"/>
      <c r="X9" s="74"/>
    </row>
    <row r="10" spans="2:24" ht="15" hidden="1" customHeight="1">
      <c r="B10" s="8"/>
      <c r="C10" s="80">
        <v>2015</v>
      </c>
      <c r="D10" s="81" t="s">
        <v>23</v>
      </c>
      <c r="E10" s="83">
        <v>2.5891255498666776E-3</v>
      </c>
      <c r="F10" s="83">
        <v>2.5017599386766604E-3</v>
      </c>
      <c r="G10" s="83">
        <v>2.5047712110351505E-3</v>
      </c>
      <c r="H10" s="83">
        <v>2.5049535303691695E-3</v>
      </c>
      <c r="I10" s="83">
        <v>2.5018390109991843E-3</v>
      </c>
      <c r="J10" s="83">
        <v>2.5023319466994237E-3</v>
      </c>
      <c r="K10" s="83">
        <v>2.5012498444402483E-3</v>
      </c>
      <c r="L10" s="83">
        <v>2.5006402429167945E-3</v>
      </c>
      <c r="M10" s="83">
        <v>2.5057257397729238E-3</v>
      </c>
      <c r="N10" s="83">
        <v>2.6027066708762536E-3</v>
      </c>
      <c r="O10" s="83">
        <v>2.712097391237853E-3</v>
      </c>
      <c r="P10" s="83">
        <v>2.7022069178693799E-3</v>
      </c>
      <c r="Q10" s="83">
        <v>3.1506145181407819E-2</v>
      </c>
      <c r="R10" s="74"/>
      <c r="S10" s="74"/>
      <c r="T10" s="74"/>
      <c r="U10" s="74"/>
      <c r="V10" s="74"/>
      <c r="W10" s="74"/>
      <c r="X10" s="74"/>
    </row>
    <row r="11" spans="2:24" ht="15" customHeight="1">
      <c r="B11" s="8"/>
      <c r="C11" s="80">
        <v>2016</v>
      </c>
      <c r="D11" s="81" t="s">
        <v>23</v>
      </c>
      <c r="E11" s="83">
        <v>3.0221777466712088E-3</v>
      </c>
      <c r="F11" s="83">
        <v>2.9206457001506431E-3</v>
      </c>
      <c r="G11" s="83">
        <v>2.9210217016066354E-3</v>
      </c>
      <c r="H11" s="83">
        <v>2.920186433719699E-3</v>
      </c>
      <c r="I11" s="83">
        <v>2.9214010721807099E-3</v>
      </c>
      <c r="J11" s="83">
        <v>2.9205377918999353E-3</v>
      </c>
      <c r="K11" s="83">
        <v>2.8984680399326843E-3</v>
      </c>
      <c r="L11" s="83">
        <v>2.9428576055883799E-3</v>
      </c>
      <c r="M11" s="83">
        <v>2.9201145489490266E-3</v>
      </c>
      <c r="N11" s="83">
        <v>2.920905502770276E-3</v>
      </c>
      <c r="O11" s="83">
        <v>2.9201880756000165E-3</v>
      </c>
      <c r="P11" s="83">
        <v>2.9421140182199269E-3</v>
      </c>
      <c r="Q11" s="83">
        <v>3.6343837890229658E-2</v>
      </c>
      <c r="R11" s="74"/>
      <c r="S11" s="74"/>
      <c r="T11" s="74"/>
      <c r="U11" s="74"/>
      <c r="V11" s="74"/>
      <c r="W11" s="74"/>
      <c r="X11" s="74"/>
    </row>
    <row r="12" spans="2:24" ht="15" customHeight="1">
      <c r="B12" s="8"/>
      <c r="C12" s="80">
        <v>2017</v>
      </c>
      <c r="D12" s="81" t="s">
        <v>23</v>
      </c>
      <c r="E12" s="83">
        <v>2.8031040661927633E-3</v>
      </c>
      <c r="F12" s="83">
        <v>2.6801993719728829E-3</v>
      </c>
      <c r="G12" s="83">
        <v>2.6149568157032219E-3</v>
      </c>
      <c r="H12" s="83">
        <v>2.254912855054636E-3</v>
      </c>
      <c r="I12" s="83">
        <v>2.3588404299198615E-3</v>
      </c>
      <c r="J12" s="83">
        <v>2.0872575760926271E-3</v>
      </c>
      <c r="K12" s="83">
        <v>2.0869268384615313E-3</v>
      </c>
      <c r="L12" s="83">
        <v>2.0846223682533241E-3</v>
      </c>
      <c r="M12" s="83">
        <v>2.0825098076344695E-3</v>
      </c>
      <c r="N12" s="83">
        <v>2.0882441238917289E-3</v>
      </c>
      <c r="O12" s="83">
        <v>2.0859580844203585E-3</v>
      </c>
      <c r="P12" s="83">
        <v>8.7364025734307325E-4</v>
      </c>
      <c r="Q12" s="83">
        <v>1.4294729948487905E-2</v>
      </c>
      <c r="R12" s="74"/>
      <c r="S12" s="74"/>
      <c r="T12" s="74"/>
      <c r="U12" s="74"/>
      <c r="V12" s="74"/>
      <c r="W12" s="74"/>
      <c r="X12" s="74"/>
    </row>
    <row r="13" spans="2:24" ht="15" customHeight="1">
      <c r="B13" s="8"/>
      <c r="C13" s="80"/>
      <c r="D13" s="81" t="s">
        <v>24</v>
      </c>
      <c r="E13" s="83">
        <v>2.0666678105875406E-3</v>
      </c>
      <c r="F13" s="83">
        <v>1.6996668883804767E-3</v>
      </c>
      <c r="G13" s="83">
        <v>1.6623865913290372E-3</v>
      </c>
      <c r="H13" s="83">
        <v>1.5312878868836144E-3</v>
      </c>
      <c r="I13" s="83">
        <v>1.5312878868836144E-3</v>
      </c>
      <c r="J13" s="83">
        <v>1.2736534929720378E-3</v>
      </c>
      <c r="K13" s="83">
        <v>1.1242521893461259E-3</v>
      </c>
      <c r="L13" s="83">
        <v>1.0863288835021158E-3</v>
      </c>
      <c r="M13" s="83">
        <v>1.0687455238864718E-3</v>
      </c>
      <c r="N13" s="83">
        <v>1.0556808193082983E-3</v>
      </c>
      <c r="O13" s="83">
        <v>1.093305533184985E-3</v>
      </c>
      <c r="P13" s="83">
        <v>1.0995737270640261E-3</v>
      </c>
      <c r="Q13" s="83">
        <v>1.4294729948487905E-2</v>
      </c>
      <c r="R13" s="74"/>
      <c r="S13" s="74"/>
      <c r="T13" s="74"/>
      <c r="U13" s="74"/>
      <c r="V13" s="74"/>
      <c r="W13" s="74"/>
      <c r="X13" s="74"/>
    </row>
    <row r="14" spans="2:24" ht="15" customHeight="1">
      <c r="B14" s="8"/>
      <c r="C14" s="80"/>
      <c r="D14" s="81" t="s">
        <v>46</v>
      </c>
      <c r="E14" s="83">
        <v>2.8523740983765755E-3</v>
      </c>
      <c r="F14" s="83">
        <v>1.9306657533529098E-3</v>
      </c>
      <c r="G14" s="83">
        <v>2.2981287149563324E-3</v>
      </c>
      <c r="H14" s="83">
        <v>1.8517416685750465E-3</v>
      </c>
      <c r="I14" s="83">
        <v>1.3760143302873804E-3</v>
      </c>
      <c r="J14" s="83">
        <v>6.6078033528012003E-3</v>
      </c>
      <c r="K14" s="83">
        <v>3.0924433563774404E-3</v>
      </c>
      <c r="L14" s="83">
        <v>2.9391556346925274E-3</v>
      </c>
      <c r="M14" s="83">
        <v>2.4336778765221556E-3</v>
      </c>
      <c r="N14" s="83">
        <v>2.0375806777325309E-3</v>
      </c>
      <c r="O14" s="83">
        <v>2.4456531003740345E-3</v>
      </c>
      <c r="P14" s="83">
        <v>2.3755021209828373E-3</v>
      </c>
      <c r="Q14" s="83">
        <v>3.0125384043129921E-2</v>
      </c>
      <c r="R14" s="74"/>
      <c r="S14" s="74"/>
      <c r="T14" s="74"/>
      <c r="U14" s="74"/>
      <c r="V14" s="74"/>
      <c r="W14" s="74"/>
      <c r="X14" s="74"/>
    </row>
    <row r="15" spans="2:24" ht="15" customHeight="1">
      <c r="B15" s="8"/>
      <c r="C15" s="80">
        <v>2018</v>
      </c>
      <c r="D15" s="81" t="s">
        <v>23</v>
      </c>
      <c r="E15" s="83">
        <v>3.2943134432030716E-3</v>
      </c>
      <c r="F15" s="83">
        <v>2.0809275906504988E-3</v>
      </c>
      <c r="G15" s="83">
        <v>2.0854150905095488E-3</v>
      </c>
      <c r="H15" s="83">
        <v>2.0781003652501351E-3</v>
      </c>
      <c r="I15" s="83">
        <v>2.0712522575549652E-3</v>
      </c>
      <c r="J15" s="83">
        <v>2.0877493450983664E-3</v>
      </c>
      <c r="K15" s="83">
        <v>2.0848194263996837E-3</v>
      </c>
      <c r="L15" s="83">
        <v>2.0762076936710386E-3</v>
      </c>
      <c r="M15" s="83">
        <v>2.0485069747047113E-3</v>
      </c>
      <c r="N15" s="83">
        <v>2.2023201664069722E-3</v>
      </c>
      <c r="O15" s="83">
        <v>2.2929957214921082E-3</v>
      </c>
      <c r="P15" s="83">
        <v>2.2912892848953219E-3</v>
      </c>
      <c r="Q15" s="83">
        <v>2.7430166222407459E-2</v>
      </c>
      <c r="R15" s="74"/>
      <c r="S15" s="74"/>
      <c r="T15" s="74"/>
      <c r="U15" s="74"/>
      <c r="V15" s="74"/>
      <c r="W15" s="74"/>
      <c r="X15" s="74"/>
    </row>
    <row r="16" spans="2:24" ht="15" customHeight="1">
      <c r="B16" s="8"/>
      <c r="C16" s="80"/>
      <c r="D16" s="81" t="s">
        <v>24</v>
      </c>
      <c r="E16" s="83">
        <v>1.151568691874691E-3</v>
      </c>
      <c r="F16" s="83">
        <v>1.1138344174131476E-3</v>
      </c>
      <c r="G16" s="83">
        <v>1.0695929665622971E-3</v>
      </c>
      <c r="H16" s="83">
        <v>1.0330781983873827E-3</v>
      </c>
      <c r="I16" s="83">
        <v>1.0330781983873827E-3</v>
      </c>
      <c r="J16" s="83">
        <v>1.0162455429219008E-3</v>
      </c>
      <c r="K16" s="83">
        <v>1.0156369931982414E-3</v>
      </c>
      <c r="L16" s="83">
        <v>1.0184493227322245E-3</v>
      </c>
      <c r="M16" s="83">
        <v>1.0093313224803779E-3</v>
      </c>
      <c r="N16" s="83">
        <v>1.0753570818074075E-3</v>
      </c>
      <c r="O16" s="83">
        <v>1.0253323058240227E-3</v>
      </c>
      <c r="P16" s="83">
        <v>1.3472862452700689E-3</v>
      </c>
      <c r="Q16" s="83">
        <v>1.195387519015445E-2</v>
      </c>
      <c r="R16" s="74"/>
      <c r="S16" s="74"/>
      <c r="T16" s="74"/>
      <c r="U16" s="74"/>
      <c r="V16" s="74"/>
      <c r="W16" s="74"/>
      <c r="X16" s="74"/>
    </row>
    <row r="17" spans="2:24" ht="15" customHeight="1">
      <c r="B17" s="8"/>
      <c r="C17" s="80"/>
      <c r="D17" s="81" t="s">
        <v>46</v>
      </c>
      <c r="E17" s="83">
        <v>2.5287771827567809E-3</v>
      </c>
      <c r="F17" s="83">
        <v>2.9501749106369823E-3</v>
      </c>
      <c r="G17" s="83">
        <v>2.4197654411100928E-3</v>
      </c>
      <c r="H17" s="83">
        <v>2.2315122894487338E-3</v>
      </c>
      <c r="I17" s="83">
        <v>2.3383274246596515E-3</v>
      </c>
      <c r="J17" s="83">
        <v>2.4418826746952504E-3</v>
      </c>
      <c r="K17" s="83">
        <v>2.5464349922827405E-3</v>
      </c>
      <c r="L17" s="83">
        <v>2.2841094597619667E-3</v>
      </c>
      <c r="M17" s="83">
        <v>2.3608546146098863E-3</v>
      </c>
      <c r="N17" s="83">
        <v>2.5824621448076609E-3</v>
      </c>
      <c r="O17" s="83">
        <v>2.6208214002845232E-3</v>
      </c>
      <c r="P17" s="83">
        <v>2.0206555053809399E-3</v>
      </c>
      <c r="Q17" s="83">
        <v>2.7408816420987581E-2</v>
      </c>
      <c r="R17" s="74"/>
      <c r="S17" s="74"/>
      <c r="T17" s="74"/>
      <c r="U17" s="74"/>
      <c r="V17" s="74"/>
      <c r="W17" s="74"/>
      <c r="X17" s="74"/>
    </row>
    <row r="18" spans="2:24" ht="15" customHeight="1">
      <c r="C18" s="80">
        <v>2019</v>
      </c>
      <c r="D18" s="81" t="s">
        <v>23</v>
      </c>
      <c r="E18" s="83">
        <v>2.3718860243080522E-3</v>
      </c>
      <c r="F18" s="83">
        <v>2.2528627981024396E-3</v>
      </c>
      <c r="G18" s="83">
        <v>2.583315446340162E-3</v>
      </c>
      <c r="H18" s="83">
        <v>2.5004298036095385E-3</v>
      </c>
      <c r="I18" s="83">
        <v>2.5858717030136091E-3</v>
      </c>
      <c r="J18" s="83">
        <v>2.2209647453448333E-3</v>
      </c>
      <c r="K18" s="83">
        <v>2.1468084204265825E-3</v>
      </c>
      <c r="L18" s="83">
        <v>2.1550627640607445E-3</v>
      </c>
      <c r="M18" s="83">
        <v>1.7218390866022837E-3</v>
      </c>
      <c r="N18" s="83">
        <v>1.6715062388068525E-3</v>
      </c>
      <c r="O18" s="83">
        <v>1.4213812856365138E-3</v>
      </c>
      <c r="P18" s="83">
        <v>1.4832905116739514E-3</v>
      </c>
      <c r="Q18" s="83">
        <v>2.5486252445448665E-2</v>
      </c>
      <c r="R18" s="74"/>
      <c r="S18" s="74"/>
      <c r="T18" s="74"/>
      <c r="U18" s="74"/>
      <c r="V18" s="74"/>
      <c r="W18" s="74"/>
      <c r="X18" s="74"/>
    </row>
    <row r="19" spans="2:24" ht="15" customHeight="1">
      <c r="C19" s="80"/>
      <c r="D19" s="81" t="s">
        <v>24</v>
      </c>
      <c r="E19" s="83">
        <v>1.321015002584915E-3</v>
      </c>
      <c r="F19" s="83">
        <v>1.3955733355753522E-3</v>
      </c>
      <c r="G19" s="83">
        <v>1.4022137431861147E-3</v>
      </c>
      <c r="H19" s="83">
        <v>1.4166869166138962E-3</v>
      </c>
      <c r="I19" s="83">
        <v>1.3232764368510004E-3</v>
      </c>
      <c r="J19" s="83">
        <v>1.1990712339520204E-3</v>
      </c>
      <c r="K19" s="83">
        <v>1.0036940371863539E-3</v>
      </c>
      <c r="L19" s="83">
        <v>9.3098055061359821E-4</v>
      </c>
      <c r="M19" s="83">
        <v>1.0683578748478251E-3</v>
      </c>
      <c r="N19" s="83">
        <v>6.2927809333884223E-4</v>
      </c>
      <c r="O19" s="83">
        <v>6.917263179451183E-4</v>
      </c>
      <c r="P19" s="83">
        <v>6.004128193114861E-4</v>
      </c>
      <c r="Q19" s="83">
        <v>1.3208385593459049E-2</v>
      </c>
      <c r="R19" s="74"/>
      <c r="S19" s="74"/>
      <c r="T19" s="74"/>
      <c r="U19" s="74"/>
      <c r="V19" s="74"/>
      <c r="W19" s="74"/>
      <c r="X19" s="74"/>
    </row>
    <row r="20" spans="2:24" ht="15" customHeight="1">
      <c r="C20" s="80"/>
      <c r="D20" s="81" t="s">
        <v>46</v>
      </c>
      <c r="E20" s="83">
        <v>2.2255175076252116E-3</v>
      </c>
      <c r="F20" s="83">
        <v>2.0652910014025611E-3</v>
      </c>
      <c r="G20" s="83">
        <v>2.1430318366078005E-3</v>
      </c>
      <c r="H20" s="83">
        <v>2.4744057726309165E-3</v>
      </c>
      <c r="I20" s="83">
        <v>2.3233637944668696E-3</v>
      </c>
      <c r="J20" s="83">
        <v>2.5248654901475209E-3</v>
      </c>
      <c r="K20" s="83">
        <v>2.0540273324613913E-3</v>
      </c>
      <c r="L20" s="83">
        <v>1.8928296104056463E-3</v>
      </c>
      <c r="M20" s="83">
        <v>1.7930728903712279E-3</v>
      </c>
      <c r="N20" s="83">
        <v>2.5236139150049352E-3</v>
      </c>
      <c r="O20" s="83">
        <v>2.4216257206299829E-3</v>
      </c>
      <c r="P20" s="83">
        <v>2.3808221849356522E-3</v>
      </c>
      <c r="Q20" s="83">
        <v>2.7544237362348234E-2</v>
      </c>
      <c r="R20" s="74"/>
      <c r="S20" s="74"/>
      <c r="T20" s="74"/>
      <c r="U20" s="74"/>
      <c r="V20" s="74"/>
      <c r="W20" s="74"/>
      <c r="X20" s="74"/>
    </row>
    <row r="21" spans="2:24" ht="15" customHeight="1">
      <c r="C21" s="80">
        <v>2020</v>
      </c>
      <c r="D21" s="81" t="s">
        <v>23</v>
      </c>
      <c r="E21" s="83">
        <v>1.6558084997462252E-3</v>
      </c>
      <c r="F21" s="83">
        <v>1.3798586141557934E-3</v>
      </c>
      <c r="G21" s="83">
        <v>1.1337054451940887E-3</v>
      </c>
      <c r="H21" s="83">
        <v>4.5638918415802365E-4</v>
      </c>
      <c r="I21" s="83">
        <v>3.9556829596754106E-4</v>
      </c>
      <c r="J21" s="83">
        <v>3.9505962353270085E-4</v>
      </c>
      <c r="K21" s="83">
        <v>4.5634871379918174E-4</v>
      </c>
      <c r="L21" s="83">
        <v>3.9173181891860587E-4</v>
      </c>
      <c r="M21" s="83">
        <v>3.8102375065629523E-4</v>
      </c>
      <c r="N21" s="83">
        <f>+'Datos ICP (2)'!AN67</f>
        <v>3.7243810326681448E-4</v>
      </c>
      <c r="O21" s="83">
        <f>+'Datos ICP (2)'!AO67</f>
        <v>3.2958520252091006E-4</v>
      </c>
      <c r="P21" s="83">
        <f>+'Datos ICP (2)'!AP67</f>
        <v>3.9010030849562227E-4</v>
      </c>
      <c r="Q21" s="83">
        <f>+'Datos ICP (2)'!AQ67</f>
        <v>7.7639256787327415E-3</v>
      </c>
      <c r="R21" s="74"/>
      <c r="S21" s="74"/>
      <c r="T21" s="74"/>
      <c r="U21" s="74"/>
      <c r="V21" s="74"/>
      <c r="W21" s="74"/>
      <c r="X21" s="74"/>
    </row>
    <row r="22" spans="2:24" ht="15" customHeight="1">
      <c r="C22" s="80"/>
      <c r="D22" s="81" t="s">
        <v>24</v>
      </c>
      <c r="E22" s="83">
        <v>4.9404843891394238E-4</v>
      </c>
      <c r="F22" s="83">
        <v>4.9289128564955866E-4</v>
      </c>
      <c r="G22" s="83">
        <v>9.1798262061139379E-4</v>
      </c>
      <c r="H22" s="83">
        <v>2.2000866331635116E-3</v>
      </c>
      <c r="I22" s="83">
        <v>3.1021086915260189E-4</v>
      </c>
      <c r="J22" s="83">
        <v>1.0010830250339886E-4</v>
      </c>
      <c r="K22" s="83">
        <v>8.7419122293085026E-5</v>
      </c>
      <c r="L22" s="83">
        <v>9.7866642521595283E-5</v>
      </c>
      <c r="M22" s="83">
        <v>7.0870692213009789E-5</v>
      </c>
      <c r="N22" s="83">
        <f>+'Datos ICP (2)'!AN68</f>
        <v>6.5147737962569353E-5</v>
      </c>
      <c r="O22" s="83">
        <f>+'Datos ICP (2)'!AO68</f>
        <v>6.0935890083824162E-5</v>
      </c>
      <c r="P22" s="83">
        <f>+'Datos ICP (2)'!AP68</f>
        <v>5.8670803847292406E-5</v>
      </c>
      <c r="Q22" s="83">
        <f>+'Datos ICP (2)'!AQ68</f>
        <v>5.016879430093768E-3</v>
      </c>
      <c r="R22" s="74"/>
      <c r="S22" s="74"/>
      <c r="T22" s="74"/>
      <c r="U22" s="74"/>
      <c r="V22" s="74"/>
      <c r="W22" s="74"/>
      <c r="X22" s="74"/>
    </row>
    <row r="23" spans="2:24" ht="15" customHeight="1">
      <c r="C23" s="80"/>
      <c r="D23" s="81" t="s">
        <v>46</v>
      </c>
      <c r="E23" s="83">
        <v>1.1120064007597377E-3</v>
      </c>
      <c r="F23" s="83">
        <v>1.4131097834135414E-3</v>
      </c>
      <c r="G23" s="83">
        <v>1.4390365669388644E-3</v>
      </c>
      <c r="H23" s="83">
        <v>1.3258873613744004E-3</v>
      </c>
      <c r="I23" s="83">
        <v>1.1025306494202409E-3</v>
      </c>
      <c r="J23" s="83">
        <v>1.1310075229198358E-3</v>
      </c>
      <c r="K23" s="83">
        <v>6.2183232236852207E-4</v>
      </c>
      <c r="L23" s="83">
        <v>5.5281699244399149E-4</v>
      </c>
      <c r="M23" s="83">
        <v>9.3701251312516831E-4</v>
      </c>
      <c r="N23" s="83">
        <f>+'Datos ICP (2)'!AN69</f>
        <v>1.2361615009129447E-3</v>
      </c>
      <c r="O23" s="83">
        <f>+'Datos ICP (2)'!AO69</f>
        <v>1.0585431579992477E-3</v>
      </c>
      <c r="P23" s="83">
        <f>+'Datos ICP (2)'!AP69</f>
        <v>5.1536787755581612E-3</v>
      </c>
      <c r="Q23" s="83">
        <f>+'Datos ICP (2)'!AQ69</f>
        <v>1.7541353603931054E-2</v>
      </c>
      <c r="R23" s="74"/>
      <c r="S23" s="74"/>
      <c r="T23" s="74"/>
      <c r="U23" s="74"/>
      <c r="V23" s="74"/>
      <c r="W23" s="74"/>
      <c r="X23" s="74"/>
    </row>
    <row r="24" spans="2:24" ht="15" customHeight="1">
      <c r="C24" s="80">
        <v>2021</v>
      </c>
      <c r="D24" s="81" t="s">
        <v>23</v>
      </c>
      <c r="E24" s="83">
        <f>+'Datos ICP (2)'!AE70</f>
        <v>2.7190981868452369E-4</v>
      </c>
      <c r="F24" s="83">
        <f>+'Datos ICP (2)'!AF70</f>
        <v>2.391734502720233E-4</v>
      </c>
      <c r="G24" s="83">
        <f>+'Datos ICP (2)'!AG70</f>
        <v>2.591303963113134E-4</v>
      </c>
      <c r="H24" s="83">
        <f>+'Datos ICP (2)'!AH70</f>
        <v>2.943422057235523E-4</v>
      </c>
      <c r="I24" s="83">
        <f>+'Datos ICP (2)'!AI70</f>
        <v>2.4266874558165341E-4</v>
      </c>
      <c r="J24" s="83">
        <f>+'Datos ICP (2)'!AJ70</f>
        <v>2.7260718777788462E-4</v>
      </c>
      <c r="K24" s="83">
        <f>+'Datos ICP (2)'!AK70</f>
        <v>5.0192351401157076E-4</v>
      </c>
      <c r="L24" s="83">
        <f>+'Datos ICP (2)'!AL70</f>
        <v>6.2893015614950976E-4</v>
      </c>
      <c r="M24" s="83">
        <f>+'Datos ICP (2)'!AM70</f>
        <v>1.2476101486305069E-3</v>
      </c>
      <c r="N24" s="83">
        <f>+'Datos ICP (2)'!AN70</f>
        <v>2.0716854607256696E-3</v>
      </c>
      <c r="O24" s="83">
        <f>+'Datos ICP (2)'!AO70</f>
        <v>2.1412569618350918E-3</v>
      </c>
      <c r="P24" s="83">
        <f>+'Datos ICP (2)'!AP70</f>
        <v>3.1851611422883952E-3</v>
      </c>
      <c r="Q24" s="83">
        <f>+'Datos ICP (2)'!AQ70</f>
        <v>1.1410200201508403E-2</v>
      </c>
      <c r="R24" s="74"/>
      <c r="S24" s="74"/>
      <c r="T24" s="74"/>
      <c r="U24" s="74"/>
      <c r="V24" s="74"/>
      <c r="W24" s="74"/>
      <c r="X24" s="74"/>
    </row>
    <row r="25" spans="2:24" ht="15" customHeight="1">
      <c r="C25" s="80"/>
      <c r="D25" s="81" t="s">
        <v>24</v>
      </c>
      <c r="E25" s="83">
        <f>+'Datos ICP (2)'!AE71</f>
        <v>5.0167891265518984E-5</v>
      </c>
      <c r="F25" s="83">
        <f>+'Datos ICP (2)'!AF71</f>
        <v>5.6326088686315632E-5</v>
      </c>
      <c r="G25" s="83">
        <f>+'Datos ICP (2)'!AG71</f>
        <v>5.229220020180354E-5</v>
      </c>
      <c r="H25" s="83">
        <f>+'Datos ICP (2)'!AH71</f>
        <v>6.6256868343383957E-5</v>
      </c>
      <c r="I25" s="83">
        <f>+'Datos ICP (2)'!AI71</f>
        <v>5.8141459223029576E-5</v>
      </c>
      <c r="J25" s="83">
        <f>+'Datos ICP (2)'!AJ71</f>
        <v>5.9933297214431747E-5</v>
      </c>
      <c r="K25" s="83">
        <f>+'Datos ICP (2)'!AK71</f>
        <v>5.9888964637381502E-5</v>
      </c>
      <c r="L25" s="83">
        <f>+'Datos ICP (2)'!AL71</f>
        <v>6.0042955155997608E-5</v>
      </c>
      <c r="M25" s="83">
        <f>+'Datos ICP (2)'!AM71</f>
        <v>-1.177670351739657E-4</v>
      </c>
      <c r="N25" s="83">
        <f>+'Datos ICP (2)'!AN71</f>
        <v>9.8934462740187011E-4</v>
      </c>
      <c r="O25" s="83">
        <f>+'Datos ICP (2)'!AO71</f>
        <v>1.2592250239187308E-3</v>
      </c>
      <c r="P25" s="83">
        <f>+'Datos ICP (2)'!AP71</f>
        <v>1.7642827878724863E-3</v>
      </c>
      <c r="Q25" s="83">
        <f>+'Datos ICP (2)'!AQ71</f>
        <v>4.4624510187976085E-3</v>
      </c>
      <c r="R25" s="74"/>
      <c r="S25" s="74"/>
      <c r="T25" s="74"/>
      <c r="U25" s="74"/>
      <c r="V25" s="74"/>
      <c r="W25" s="74"/>
      <c r="X25" s="74"/>
    </row>
    <row r="26" spans="2:24" ht="15" customHeight="1">
      <c r="C26" s="80"/>
      <c r="D26" s="81" t="s">
        <v>46</v>
      </c>
      <c r="E26" s="83">
        <f>+'Datos ICP (2)'!AE72</f>
        <v>9.5581034059982934E-4</v>
      </c>
      <c r="F26" s="83">
        <f>+'Datos ICP (2)'!AF72</f>
        <v>1.1350276494129627E-3</v>
      </c>
      <c r="G26" s="83">
        <f>+'Datos ICP (2)'!AG72</f>
        <v>4.7829567621558304E-4</v>
      </c>
      <c r="H26" s="83">
        <f>+'Datos ICP (2)'!AH72</f>
        <v>2.2479981001399807E-4</v>
      </c>
      <c r="I26" s="83">
        <f>+'Datos ICP (2)'!AI72</f>
        <v>1.061792859649884E-3</v>
      </c>
      <c r="J26" s="83">
        <f>+'Datos ICP (2)'!AJ72</f>
        <v>1.2678644080763579E-3</v>
      </c>
      <c r="K26" s="83">
        <f>+'Datos ICP (2)'!AK72</f>
        <v>1.2732050087973083E-3</v>
      </c>
      <c r="L26" s="83">
        <f>+'Datos ICP (2)'!AL72</f>
        <v>1.0912459697882109E-3</v>
      </c>
      <c r="M26" s="83">
        <f>+'Datos ICP (2)'!AM72</f>
        <v>9.0952866073967797E-4</v>
      </c>
      <c r="N26" s="83">
        <f>+'Datos ICP (2)'!AN72</f>
        <v>7.896417428452804E-4</v>
      </c>
      <c r="O26" s="83">
        <f>+'Datos ICP (2)'!AO72</f>
        <v>4.4245251685093301E-4</v>
      </c>
      <c r="P26" s="83">
        <f>+'Datos ICP (2)'!AP72</f>
        <v>1.6083490085784212E-3</v>
      </c>
      <c r="Q26" s="83">
        <f>+'Datos ICP (2)'!AQ72</f>
        <v>1.1463170644584686E-2</v>
      </c>
      <c r="R26" s="74"/>
      <c r="S26" s="74"/>
      <c r="T26" s="74"/>
      <c r="U26" s="74"/>
      <c r="V26" s="74"/>
      <c r="W26" s="74"/>
      <c r="X26" s="74"/>
    </row>
    <row r="27" spans="2:24" ht="15" customHeight="1">
      <c r="C27" s="80">
        <v>2022</v>
      </c>
      <c r="D27" s="81" t="s">
        <v>23</v>
      </c>
      <c r="E27" s="83">
        <f>+'Datos ICP (2)'!AE73</f>
        <v>3.4355541823989366E-3</v>
      </c>
      <c r="F27" s="83">
        <f>+'Datos ICP (2)'!AF73</f>
        <v>4.2862298052634973E-3</v>
      </c>
      <c r="G27" s="83">
        <f>+'Datos ICP (2)'!AG73</f>
        <v>4.8314798442756768E-3</v>
      </c>
      <c r="H27" s="83">
        <f>+'Datos ICP (2)'!AH73</f>
        <v>5.4524358964465058E-3</v>
      </c>
      <c r="I27" s="83">
        <f>+'Datos ICP (2)'!AI73</f>
        <v>7.1131325826505609E-3</v>
      </c>
      <c r="J27" s="83">
        <f>+'Datos ICP (2)'!AJ73</f>
        <v>7.3596364286758753E-3</v>
      </c>
      <c r="K27" s="83">
        <f>+'Datos ICP (2)'!AK73</f>
        <v>7.5893460632852072E-3</v>
      </c>
      <c r="L27" s="83">
        <f>+'Datos ICP (2)'!AL73</f>
        <v>8.9759416728991681E-3</v>
      </c>
      <c r="M27" s="83">
        <f>+'Datos ICP (2)'!AM73</f>
        <v>8.7998364667287721E-3</v>
      </c>
      <c r="N27" s="83">
        <f>+'Datos ICP (2)'!AN73</f>
        <v>8.6030686179809912E-3</v>
      </c>
      <c r="O27" s="83">
        <f>+'Datos ICP (2)'!AO73</f>
        <v>1.036123897948027E-2</v>
      </c>
      <c r="P27" s="83">
        <f>+'Datos ICP (2)'!AP73</f>
        <v>9.416651222412753E-3</v>
      </c>
      <c r="Q27" s="83">
        <f>+'Datos ICP (2)'!AQ73</f>
        <v>8.9685991181348346E-2</v>
      </c>
      <c r="R27" s="74"/>
      <c r="S27" s="74"/>
      <c r="T27" s="74"/>
      <c r="U27" s="74"/>
      <c r="V27" s="74"/>
      <c r="W27" s="74"/>
      <c r="X27" s="74"/>
    </row>
    <row r="28" spans="2:24" ht="15" customHeight="1">
      <c r="C28" s="80"/>
      <c r="D28" s="81" t="s">
        <v>24</v>
      </c>
      <c r="E28" s="83">
        <f>+'Datos ICP (2)'!AE74</f>
        <v>2.4887105780919826E-3</v>
      </c>
      <c r="F28" s="83">
        <f>+'Datos ICP (2)'!AF74</f>
        <v>3.5360838485577945E-3</v>
      </c>
      <c r="G28" s="83">
        <f>+'Datos ICP (2)'!AG74</f>
        <v>3.6702644977257191E-3</v>
      </c>
      <c r="H28" s="83">
        <f>+'Datos ICP (2)'!AH74</f>
        <v>4.5716132579094459E-3</v>
      </c>
      <c r="I28" s="83">
        <f>+'Datos ICP (2)'!AI74</f>
        <v>5.3328000823584729E-3</v>
      </c>
      <c r="J28" s="83">
        <f>+'Datos ICP (2)'!AJ74</f>
        <v>5.8835914511081722E-3</v>
      </c>
      <c r="K28" s="83">
        <f>+'Datos ICP (2)'!AK74</f>
        <v>6.3018066910423788E-3</v>
      </c>
      <c r="L28" s="83">
        <f>+'Datos ICP (2)'!AL74</f>
        <v>6.8036664825705234E-3</v>
      </c>
      <c r="M28" s="83">
        <f>+'Datos ICP (2)'!AM74</f>
        <v>7.3357454740365924E-3</v>
      </c>
      <c r="N28" s="83">
        <f>+'Datos ICP (2)'!AN74</f>
        <v>7.7595565631868469E-3</v>
      </c>
      <c r="O28" s="83">
        <f>+'Datos ICP (2)'!AO74</f>
        <v>7.9470951784548823E-3</v>
      </c>
      <c r="P28" s="83">
        <f>+'Datos ICP (2)'!AP74</f>
        <v>7.9281719511867799E-3</v>
      </c>
      <c r="Q28" s="83">
        <f>+'Datos ICP (2)'!AQ74</f>
        <v>7.2716429569050778E-2</v>
      </c>
      <c r="R28" s="74"/>
      <c r="S28" s="74"/>
      <c r="T28" s="74"/>
      <c r="U28" s="74"/>
      <c r="V28" s="74"/>
      <c r="W28" s="74"/>
      <c r="X28" s="74"/>
    </row>
    <row r="29" spans="2:24" ht="15" customHeight="1">
      <c r="C29" s="80"/>
      <c r="D29" s="81" t="s">
        <v>46</v>
      </c>
      <c r="E29" s="83">
        <f>+'Datos ICP (2)'!AE75</f>
        <v>2.315458296199674E-3</v>
      </c>
      <c r="F29" s="83">
        <f>+'Datos ICP (2)'!AF75</f>
        <v>3.6195733153849513E-3</v>
      </c>
      <c r="G29" s="83">
        <f>+'Datos ICP (2)'!AG75</f>
        <v>3.6039865737777063E-3</v>
      </c>
      <c r="H29" s="83">
        <f>+'Datos ICP (2)'!AH75</f>
        <v>5.4493325316784524E-3</v>
      </c>
      <c r="I29" s="83">
        <f>+'Datos ICP (2)'!AI75</f>
        <v>7.0871765472307717E-3</v>
      </c>
      <c r="J29" s="83">
        <f>+'Datos ICP (2)'!AJ75</f>
        <v>6.8564875626004884E-3</v>
      </c>
      <c r="K29" s="83">
        <f>+'Datos ICP (2)'!AK75</f>
        <v>6.6608490496321594E-3</v>
      </c>
      <c r="L29" s="83">
        <f>+'Datos ICP (2)'!AL75</f>
        <v>7.4266722031266922E-3</v>
      </c>
      <c r="M29" s="83">
        <f>+'Datos ICP (2)'!AM75</f>
        <v>8.0201486738671335E-3</v>
      </c>
      <c r="N29" s="83">
        <f>+'Datos ICP (2)'!AN75</f>
        <v>8.5328375957028583E-3</v>
      </c>
      <c r="O29" s="83">
        <f>+'Datos ICP (2)'!AO75</f>
        <v>9.0157563709154908E-3</v>
      </c>
      <c r="P29" s="83">
        <f>+'Datos ICP (2)'!AP75</f>
        <v>9.5951573362533793E-3</v>
      </c>
      <c r="Q29" s="83">
        <f>+'Datos ICP (2)'!AQ75</f>
        <v>8.2081644858020608E-2</v>
      </c>
      <c r="R29" s="74"/>
      <c r="S29" s="74"/>
      <c r="T29" s="74"/>
      <c r="U29" s="74"/>
      <c r="V29" s="74"/>
      <c r="W29" s="74"/>
      <c r="X29" s="74"/>
    </row>
    <row r="30" spans="2:24" ht="15" customHeight="1">
      <c r="C30" s="80">
        <v>2023</v>
      </c>
      <c r="D30" s="81" t="s">
        <v>23</v>
      </c>
      <c r="E30" s="83">
        <f>+'Datos ICP (2)'!AE76</f>
        <v>1.004695720110016E-2</v>
      </c>
      <c r="F30" s="83">
        <f>+'Datos ICP (2)'!AF76</f>
        <v>8.7853587137844968E-3</v>
      </c>
      <c r="G30" s="83">
        <f>+'Datos ICP (2)'!AG76</f>
        <v>9.7318177744223355E-3</v>
      </c>
      <c r="H30" s="83">
        <f>+'Datos ICP (2)'!AH76</f>
        <v>8.7852439132070081E-3</v>
      </c>
      <c r="I30" s="83">
        <f>+'Datos ICP (2)'!AI76</f>
        <v>1.036166313630571E-2</v>
      </c>
      <c r="J30" s="83">
        <f>+'Datos ICP (2)'!AJ76</f>
        <v>9.4150701308506335E-3</v>
      </c>
      <c r="K30" s="83">
        <f>+'Datos ICP (2)'!AK76</f>
        <v>9.7315292241744178E-3</v>
      </c>
      <c r="L30" s="83">
        <f>+'Datos ICP (2)'!AL76</f>
        <v>8.8633739513521714E-3</v>
      </c>
      <c r="M30" s="83">
        <f>+'Datos ICP (2)'!AM76</f>
        <v>7.7953451413450559E-3</v>
      </c>
      <c r="N30" s="83">
        <f>+'Datos ICP (2)'!AN76</f>
        <v>8.4601535041790576E-3</v>
      </c>
      <c r="O30" s="83">
        <f>+'Datos ICP (2)'!AO76</f>
        <v>7.5266143106456074E-3</v>
      </c>
      <c r="P30" s="83">
        <f>+'Datos ICP (2)'!AP76</f>
        <v>7.0819499482732695E-3</v>
      </c>
      <c r="Q30" s="83">
        <f>+'Datos ICP (2)'!AQ76</f>
        <v>0.11194279263621576</v>
      </c>
      <c r="R30" s="74"/>
      <c r="S30" s="74"/>
      <c r="T30" s="74"/>
      <c r="U30" s="74"/>
      <c r="V30" s="74"/>
      <c r="W30" s="74"/>
      <c r="X30" s="74"/>
    </row>
    <row r="31" spans="2:24" ht="15" customHeight="1">
      <c r="C31" s="80"/>
      <c r="D31" s="81" t="s">
        <v>24</v>
      </c>
      <c r="E31" s="83">
        <f>+'Datos ICP (2)'!AE77</f>
        <v>7.9137303338899789E-3</v>
      </c>
      <c r="F31" s="83">
        <f>+'Datos ICP (2)'!AF77</f>
        <v>7.9154666268472455E-3</v>
      </c>
      <c r="G31" s="83">
        <f>+'Datos ICP (2)'!AG77</f>
        <v>7.9455277190181878E-3</v>
      </c>
      <c r="H31" s="83">
        <f>+'Datos ICP (2)'!AH77</f>
        <v>7.9909061585437761E-3</v>
      </c>
      <c r="I31" s="83">
        <f>+'Datos ICP (2)'!AI77</f>
        <v>8.0227967463225077E-3</v>
      </c>
      <c r="J31" s="83">
        <f>+'Datos ICP (2)'!AJ77</f>
        <v>8.0028913540715063E-3</v>
      </c>
      <c r="K31" s="83">
        <f>+'Datos ICP (2)'!AK77</f>
        <v>7.9398117033956418E-3</v>
      </c>
      <c r="L31" s="83">
        <f>+'Datos ICP (2)'!AL77</f>
        <v>7.3512441107239221E-3</v>
      </c>
      <c r="M31" s="83">
        <f>+'Datos ICP (2)'!AM77</f>
        <v>6.7848226130593492E-3</v>
      </c>
      <c r="N31" s="83">
        <f>+'Datos ICP (2)'!AN77</f>
        <v>6.4607251902496039E-3</v>
      </c>
      <c r="O31" s="83">
        <f>+'Datos ICP (2)'!AO77</f>
        <v>6.1695672319295181E-3</v>
      </c>
      <c r="P31" s="83">
        <f>+'Datos ICP (2)'!AP77</f>
        <v>5.9047276102804306E-3</v>
      </c>
      <c r="Q31" s="83">
        <f>+'Datos ICP (2)'!AQ77</f>
        <v>9.364840576365796E-2</v>
      </c>
      <c r="R31" s="74"/>
      <c r="S31" s="74"/>
      <c r="T31" s="74"/>
      <c r="U31" s="74"/>
      <c r="V31" s="74"/>
      <c r="W31" s="74"/>
      <c r="X31" s="74"/>
    </row>
    <row r="32" spans="2:24" ht="15" customHeight="1">
      <c r="C32" s="80"/>
      <c r="D32" s="81" t="s">
        <v>46</v>
      </c>
      <c r="E32" s="83">
        <f>+'Datos ICP (2)'!AE78</f>
        <v>1.071784831866672E-2</v>
      </c>
      <c r="F32" s="83">
        <f>+'Datos ICP (2)'!AF78</f>
        <v>9.3246070444608867E-3</v>
      </c>
      <c r="G32" s="83">
        <f>+'Datos ICP (2)'!AG78</f>
        <v>9.3904269319642075E-3</v>
      </c>
      <c r="H32" s="83">
        <f>+'Datos ICP (2)'!AH78</f>
        <v>9.4575263570060141E-3</v>
      </c>
      <c r="I32" s="83">
        <f>+'Datos ICP (2)'!AI78</f>
        <v>9.3997778630374538E-3</v>
      </c>
      <c r="J32" s="83">
        <f>+'Datos ICP (2)'!AJ78</f>
        <v>9.4892873372927067E-3</v>
      </c>
      <c r="K32" s="83">
        <f>+'Datos ICP (2)'!AK78</f>
        <v>9.5512586335587003E-3</v>
      </c>
      <c r="L32" s="83">
        <f>+'Datos ICP (2)'!AL78</f>
        <v>8.7104657993194914E-3</v>
      </c>
      <c r="M32" s="83">
        <f>+'Datos ICP (2)'!AM78</f>
        <v>8.7059869992089922E-3</v>
      </c>
      <c r="N32" s="83">
        <f>+'Datos ICP (2)'!AN78</f>
        <v>8.0241637860299243E-3</v>
      </c>
      <c r="O32" s="83">
        <f>+'Datos ICP (2)'!AO78</f>
        <v>7.5187385201012083E-3</v>
      </c>
      <c r="P32" s="83">
        <f>+'Datos ICP (2)'!AP78</f>
        <v>8.3898957794986493E-3</v>
      </c>
      <c r="Q32" s="83">
        <f>+'Datos ICP (2)'!AQ78</f>
        <v>0.11632201185173097</v>
      </c>
      <c r="R32" s="74"/>
    </row>
    <row r="33" spans="3:24" ht="15" customHeight="1">
      <c r="C33" s="80">
        <v>2024</v>
      </c>
      <c r="D33" s="81" t="s">
        <v>23</v>
      </c>
      <c r="E33" s="83">
        <f>+'Datos ICP (2)'!AE79</f>
        <v>7.3572253241631635E-3</v>
      </c>
      <c r="F33" s="83">
        <f>+'Datos ICP (2)'!AF79</f>
        <v>6.1121391206355735E-3</v>
      </c>
      <c r="G33" s="83">
        <f>+'Datos ICP (2)'!AG79</f>
        <v>5.6473517140609442E-3</v>
      </c>
      <c r="H33" s="83">
        <f>+'Datos ICP (2)'!AH79</f>
        <v>6.0927839618283297E-3</v>
      </c>
      <c r="I33" s="83">
        <f>+'Datos ICP (2)'!AI79</f>
        <v>5.5141192903180869E-3</v>
      </c>
      <c r="J33" s="83">
        <f>+'Datos ICP (2)'!AJ79</f>
        <v>4.6135490632155385E-3</v>
      </c>
      <c r="K33" s="83">
        <f>+'Datos ICP (2)'!AK79</f>
        <v>5.2843503528434699E-3</v>
      </c>
      <c r="L33" s="83">
        <f>+'Datos ICP (2)'!AL79</f>
        <v>4.8023520375928275E-3</v>
      </c>
      <c r="M33" s="83">
        <f>+'Datos ICP (2)'!AM79</f>
        <v>4.7810434954138614E-3</v>
      </c>
      <c r="N33" s="83">
        <f>+'Datos ICP (2)'!AN79</f>
        <v>4.510440516418468E-3</v>
      </c>
      <c r="O33" s="83">
        <f>+'Datos ICP (2)'!AO79</f>
        <v>4.3843255475723986E-3</v>
      </c>
      <c r="P33" s="83">
        <f>+'Datos ICP (2)'!AP79</f>
        <v>4.4462641732778696E-3</v>
      </c>
      <c r="Q33" s="83">
        <f>+'Datos ICP (2)'!AQ79</f>
        <v>6.5425125934971851E-2</v>
      </c>
      <c r="R33" s="74"/>
      <c r="S33" s="74"/>
      <c r="T33" s="74"/>
      <c r="U33" s="74"/>
      <c r="V33" s="74"/>
      <c r="W33" s="74"/>
      <c r="X33" s="74"/>
    </row>
    <row r="34" spans="3:24" ht="15" customHeight="1">
      <c r="C34" s="80"/>
      <c r="D34" s="81" t="s">
        <v>24</v>
      </c>
      <c r="E34" s="83">
        <f>+'Datos ICP (2)'!AE80</f>
        <v>5.6825126629855838E-3</v>
      </c>
      <c r="F34" s="83">
        <f>+'Datos ICP (2)'!AF80</f>
        <v>5.2602525212990022E-3</v>
      </c>
      <c r="G34" s="83">
        <f>+'Datos ICP (2)'!AG80</f>
        <v>4.7680173791462112E-3</v>
      </c>
      <c r="H34" s="83">
        <f>+'Datos ICP (2)'!AH80</f>
        <v>4.2910218487362591E-3</v>
      </c>
      <c r="I34" s="83">
        <f>+'Datos ICP (2)'!AI80</f>
        <v>4.0333517960835794E-3</v>
      </c>
      <c r="J34" s="83">
        <f>+'Datos ICP (2)'!AJ80</f>
        <v>3.6501931277677091E-3</v>
      </c>
      <c r="K34" s="83">
        <f>+'Datos ICP (2)'!AK80</f>
        <v>3.516896201691893E-3</v>
      </c>
      <c r="L34" s="83">
        <f>+'Datos ICP (2)'!AL80</f>
        <v>3.5106478218695273E-3</v>
      </c>
      <c r="M34" s="83">
        <f>+'Datos ICP (2)'!AM80</f>
        <v>3.3754452875442986E-3</v>
      </c>
      <c r="N34" s="83">
        <f>+'Datos ICP (2)'!AN80</f>
        <v>3.3007867700120667E-3</v>
      </c>
      <c r="O34" s="83">
        <f>+'Datos ICP (2)'!AO80</f>
        <v>3.220374604913312E-3</v>
      </c>
      <c r="P34" s="83">
        <f>+'Datos ICP (2)'!AP80</f>
        <v>3.1256670019151563E-3</v>
      </c>
      <c r="Q34" s="83">
        <f>+'Datos ICP (2)'!AQ80</f>
        <v>4.9529562919770731E-2</v>
      </c>
      <c r="R34" s="74"/>
      <c r="S34" s="74"/>
      <c r="T34" s="74"/>
      <c r="U34" s="74"/>
      <c r="V34" s="74"/>
      <c r="W34" s="74"/>
      <c r="X34" s="74"/>
    </row>
    <row r="35" spans="3:24" ht="15" customHeight="1">
      <c r="C35" s="80"/>
      <c r="D35" s="81" t="s">
        <v>46</v>
      </c>
      <c r="E35" s="83">
        <f>+'Datos ICP (2)'!AE81</f>
        <v>7.5513958958230562E-3</v>
      </c>
      <c r="F35" s="83">
        <f>+'Datos ICP (2)'!AF81</f>
        <v>6.0729955242965934E-3</v>
      </c>
      <c r="G35" s="83">
        <f>+'Datos ICP (2)'!AG81</f>
        <v>6.4920750283917585E-3</v>
      </c>
      <c r="H35" s="83">
        <f>+'Datos ICP (2)'!AH81</f>
        <v>5.4036586840735335E-3</v>
      </c>
      <c r="I35" s="83">
        <f>+'Datos ICP (2)'!AI81</f>
        <v>5.7917989042293033E-3</v>
      </c>
      <c r="J35" s="83">
        <f>+'Datos ICP (2)'!AJ81</f>
        <v>5.2971449097136691E-3</v>
      </c>
      <c r="K35" s="83">
        <f>+'Datos ICP (2)'!AK81</f>
        <v>4.4407072103683663E-3</v>
      </c>
      <c r="L35" s="83">
        <f>+'Datos ICP (2)'!AL81</f>
        <v>4.0747318598646871E-3</v>
      </c>
      <c r="M35" s="83">
        <f>+'Datos ICP (2)'!AM81</f>
        <v>4.3343304225897938E-3</v>
      </c>
      <c r="N35" s="83">
        <f>+'Datos ICP (2)'!AN81</f>
        <v>3.6465760931577106E-3</v>
      </c>
      <c r="O35" s="83">
        <f>+'Datos ICP (2)'!AO81</f>
        <v>3.863112550266834E-3</v>
      </c>
      <c r="P35" s="83">
        <f>+'Datos ICP (2)'!AP81</f>
        <v>3.4783055734350708E-3</v>
      </c>
      <c r="Q35" s="83">
        <f>+'Datos ICP (2)'!AQ81</f>
        <v>6.306182428613516E-2</v>
      </c>
      <c r="R35" s="74"/>
    </row>
    <row r="36" spans="3:24" ht="15" customHeight="1">
      <c r="C36" s="80">
        <v>2025</v>
      </c>
      <c r="D36" s="81" t="s">
        <v>23</v>
      </c>
      <c r="E36" s="83">
        <f>+'Datos ICP (2)'!AE82</f>
        <v>4.4544301743754122E-3</v>
      </c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>
        <f>+'Datos ICP (2)'!AQ82</f>
        <v>5.3453162092504947E-2</v>
      </c>
      <c r="R36" s="74"/>
      <c r="S36" s="74"/>
      <c r="T36" s="74"/>
      <c r="U36" s="74"/>
      <c r="V36" s="74"/>
      <c r="W36" s="74"/>
      <c r="X36" s="74"/>
    </row>
    <row r="37" spans="3:24" ht="15" customHeight="1">
      <c r="C37" s="80"/>
      <c r="D37" s="81" t="s">
        <v>24</v>
      </c>
      <c r="E37" s="83">
        <f>+'Datos ICP (2)'!AE83</f>
        <v>2.9227841942386906E-3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>
        <f>+'Datos ICP (2)'!AQ83</f>
        <v>3.6242524008559762E-2</v>
      </c>
      <c r="R37" s="74"/>
      <c r="S37" s="74"/>
      <c r="T37" s="74"/>
      <c r="U37" s="74"/>
      <c r="V37" s="74"/>
      <c r="W37" s="74"/>
      <c r="X37" s="74"/>
    </row>
    <row r="38" spans="3:24" ht="15" customHeight="1">
      <c r="C38" s="80"/>
      <c r="D38" s="81" t="s">
        <v>46</v>
      </c>
      <c r="E38" s="83">
        <f>+'Datos ICP (2)'!AE84</f>
        <v>2.8225864508937557E-3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>
        <f>+'Datos ICP (2)'!AQ84</f>
        <v>3.5000071991082571E-2</v>
      </c>
      <c r="R38" s="7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showGridLines="0" topLeftCell="J1" zoomScaleNormal="100" workbookViewId="0">
      <selection activeCell="P5" sqref="P5"/>
    </sheetView>
  </sheetViews>
  <sheetFormatPr baseColWidth="10" defaultRowHeight="14.4"/>
  <cols>
    <col min="1" max="1" width="14.33203125" bestFit="1" customWidth="1"/>
    <col min="2" max="2" width="15.33203125" bestFit="1" customWidth="1"/>
    <col min="9" max="10" width="11.5546875" customWidth="1"/>
    <col min="11" max="11" width="28.44140625" customWidth="1"/>
    <col min="12" max="12" width="12.109375" bestFit="1" customWidth="1"/>
    <col min="13" max="13" width="11.5546875" customWidth="1"/>
    <col min="14" max="14" width="16.109375" bestFit="1" customWidth="1"/>
    <col min="15" max="15" width="40.6640625" customWidth="1"/>
    <col min="16" max="16" width="7.88671875" bestFit="1" customWidth="1"/>
    <col min="19" max="19" width="28.6640625" customWidth="1"/>
  </cols>
  <sheetData>
    <row r="1" spans="1:20">
      <c r="B1" s="3"/>
      <c r="C1" s="1"/>
      <c r="J1" s="2" t="s">
        <v>5</v>
      </c>
      <c r="K1" s="3"/>
      <c r="L1" s="4"/>
      <c r="N1" s="2" t="s">
        <v>3</v>
      </c>
      <c r="O1" s="3"/>
      <c r="P1" s="4"/>
      <c r="R1" s="2" t="s">
        <v>0</v>
      </c>
      <c r="S1" s="3"/>
      <c r="T1" s="4"/>
    </row>
    <row r="2" spans="1:20">
      <c r="C2" s="1"/>
      <c r="O2" s="84" t="s">
        <v>53</v>
      </c>
      <c r="P2" s="85">
        <v>0</v>
      </c>
    </row>
    <row r="3" spans="1:20">
      <c r="C3" s="1"/>
      <c r="K3" s="84" t="s">
        <v>31</v>
      </c>
      <c r="L3" s="85">
        <v>0.41393182097238534</v>
      </c>
      <c r="O3" s="84" t="s">
        <v>57</v>
      </c>
      <c r="P3" s="85">
        <v>0</v>
      </c>
      <c r="S3" s="84" t="s">
        <v>1</v>
      </c>
      <c r="T3" s="85">
        <v>1</v>
      </c>
    </row>
    <row r="4" spans="1:20">
      <c r="C4" s="1"/>
      <c r="K4" s="84" t="s">
        <v>6</v>
      </c>
      <c r="L4" s="85">
        <v>0.58606817902761466</v>
      </c>
      <c r="O4" s="84" t="s">
        <v>58</v>
      </c>
      <c r="P4" s="85">
        <v>0</v>
      </c>
      <c r="S4" s="84" t="s">
        <v>2</v>
      </c>
      <c r="T4" s="85">
        <v>0</v>
      </c>
    </row>
    <row r="5" spans="1:20">
      <c r="A5" s="3"/>
      <c r="B5" s="3"/>
      <c r="C5" s="1"/>
      <c r="K5" s="84" t="s">
        <v>7</v>
      </c>
      <c r="L5" s="85">
        <v>0</v>
      </c>
      <c r="O5" s="84" t="s">
        <v>59</v>
      </c>
      <c r="P5" s="85">
        <v>0.11016463813701328</v>
      </c>
    </row>
    <row r="6" spans="1:20">
      <c r="A6" s="3"/>
      <c r="B6" s="3"/>
      <c r="C6" s="1"/>
      <c r="K6" s="84" t="s">
        <v>32</v>
      </c>
      <c r="L6" s="85">
        <v>0</v>
      </c>
      <c r="O6" s="84" t="s">
        <v>60</v>
      </c>
      <c r="P6" s="85">
        <v>0.88983536186298673</v>
      </c>
    </row>
    <row r="7" spans="1:20">
      <c r="B7" s="3"/>
      <c r="C7" s="1"/>
      <c r="L7" s="87">
        <f>SUM(L3:L6)</f>
        <v>1</v>
      </c>
      <c r="O7" s="84" t="s">
        <v>61</v>
      </c>
      <c r="P7" s="85">
        <v>0</v>
      </c>
    </row>
    <row r="8" spans="1:20">
      <c r="C8" s="1"/>
      <c r="O8" s="84" t="s">
        <v>62</v>
      </c>
      <c r="P8" s="85">
        <v>0</v>
      </c>
    </row>
    <row r="9" spans="1:20">
      <c r="C9" s="1"/>
      <c r="O9" s="84" t="s">
        <v>63</v>
      </c>
      <c r="P9" s="85">
        <v>0</v>
      </c>
      <c r="Q9" s="66"/>
      <c r="R9" s="67"/>
    </row>
    <row r="10" spans="1:20">
      <c r="C10" s="1"/>
      <c r="O10" s="84" t="s">
        <v>64</v>
      </c>
      <c r="P10" s="85">
        <v>0</v>
      </c>
    </row>
    <row r="11" spans="1:20">
      <c r="C11" s="1"/>
      <c r="O11" s="84" t="s">
        <v>54</v>
      </c>
      <c r="P11" s="85">
        <v>0</v>
      </c>
    </row>
    <row r="12" spans="1:20" hidden="1">
      <c r="C12" s="1"/>
      <c r="O12" s="84"/>
      <c r="P12" s="85"/>
    </row>
    <row r="13" spans="1:20">
      <c r="C13" s="1"/>
      <c r="O13" s="84" t="s">
        <v>65</v>
      </c>
      <c r="P13" s="85">
        <v>0</v>
      </c>
    </row>
    <row r="14" spans="1:20" hidden="1">
      <c r="A14" s="3" t="s">
        <v>4</v>
      </c>
      <c r="B14" s="5">
        <v>0</v>
      </c>
      <c r="C14" s="1"/>
    </row>
    <row r="15" spans="1:20">
      <c r="A15" s="3"/>
      <c r="B15" s="5"/>
      <c r="C15" s="1"/>
      <c r="P15" s="68">
        <f>SUM(P2:P13)</f>
        <v>1</v>
      </c>
    </row>
    <row r="16" spans="1:20">
      <c r="B16" s="3"/>
      <c r="C16" s="1"/>
    </row>
    <row r="17" spans="1:14">
      <c r="C17" s="1"/>
    </row>
    <row r="18" spans="1:14">
      <c r="C18" s="1"/>
    </row>
    <row r="19" spans="1:14">
      <c r="C19" s="1"/>
    </row>
    <row r="20" spans="1:14">
      <c r="C20" s="1"/>
    </row>
    <row r="21" spans="1:14">
      <c r="C21" s="1"/>
      <c r="N21" s="6"/>
    </row>
    <row r="22" spans="1:14">
      <c r="A22" s="1"/>
      <c r="B22" s="1"/>
      <c r="C22" s="1"/>
    </row>
    <row r="23" spans="1:14">
      <c r="A23" s="1"/>
      <c r="B23" s="1"/>
      <c r="C23" s="1"/>
    </row>
    <row r="24" spans="1:14">
      <c r="A24" s="1"/>
      <c r="B24" s="1"/>
      <c r="C24" s="1"/>
    </row>
  </sheetData>
  <autoFilter ref="K1:T24" xr:uid="{00000000-0009-0000-0000-000001000000}">
    <sortState xmlns:xlrd2="http://schemas.microsoft.com/office/spreadsheetml/2017/richdata2" ref="K2:T24">
      <sortCondition descending="1" ref="P1:P24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Comentario</vt:lpstr>
      <vt:lpstr>Datos ICP (2)</vt:lpstr>
      <vt:lpstr>rentabilidad</vt:lpstr>
      <vt:lpstr>composición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NCABEZAS</dc:creator>
  <cp:lastModifiedBy>Antolin Goicoechea</cp:lastModifiedBy>
  <dcterms:created xsi:type="dcterms:W3CDTF">2018-12-10T21:02:38Z</dcterms:created>
  <dcterms:modified xsi:type="dcterms:W3CDTF">2025-04-08T00:43:39Z</dcterms:modified>
</cp:coreProperties>
</file>