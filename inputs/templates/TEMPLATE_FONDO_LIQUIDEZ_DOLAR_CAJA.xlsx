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yyyy-mm-dd h:mm:ss"/>
  </numFmts>
  <fonts count="3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Aptos Narrow"/>
      <color rgb="FF000000"/>
      <sz val="11"/>
    </font>
    <font>
      <name val="Muli"/>
      <charset val="1"/>
      <color rgb="FF666666"/>
      <sz val="8.800000000000001"/>
    </font>
    <font>
      <name val="Aptos Narrow"/>
      <family val="2"/>
      <color rgb="FF000000"/>
      <sz val="1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4">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42">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cellStyleXfs>
  <cellXfs count="1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5" fillId="0" borderId="0" pivotButton="0" quotePrefix="0" xfId="0"/>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7" fillId="0" borderId="0" applyAlignment="1" pivotButton="0" quotePrefix="0" xfId="0">
      <alignment horizontal="center" vertical="center"/>
    </xf>
    <xf numFmtId="10" fontId="7" fillId="0" borderId="0" applyAlignment="1" pivotButton="0" quotePrefix="0" xfId="0">
      <alignment horizontal="center" vertical="center"/>
    </xf>
    <xf numFmtId="10" fontId="5" fillId="0" borderId="0" applyAlignment="1" pivotButton="0" quotePrefix="0" xfId="0">
      <alignment horizontal="center" vertical="center"/>
    </xf>
    <xf numFmtId="0" fontId="27" fillId="0" borderId="0" applyAlignment="1" pivotButton="0" quotePrefix="0" xfId="0">
      <alignment horizontal="left" vertical="center"/>
    </xf>
    <xf numFmtId="0" fontId="27" fillId="0" borderId="0" applyAlignment="1" pivotButton="0" quotePrefix="0" xfId="0">
      <alignment vertical="center"/>
    </xf>
    <xf numFmtId="14" fontId="28" fillId="0" borderId="0" pivotButton="0" quotePrefix="0" xfId="0"/>
    <xf numFmtId="2" fontId="28" fillId="0" borderId="0" pivotButton="0" quotePrefix="0" xfId="0"/>
    <xf numFmtId="0" fontId="29" fillId="14" borderId="2" applyAlignment="1" pivotButton="0" quotePrefix="0" xfId="0">
      <alignment wrapText="1"/>
    </xf>
    <xf numFmtId="0" fontId="29" fillId="14" borderId="2" pivotButton="0" quotePrefix="0" xfId="0"/>
    <xf numFmtId="164" fontId="28" fillId="15" borderId="3" pivotButton="0" quotePrefix="0" xfId="0"/>
    <xf numFmtId="164" fontId="28" fillId="0" borderId="3" pivotButton="0" quotePrefix="0" xfId="0"/>
    <xf numFmtId="10" fontId="7" fillId="0" borderId="0" pivotButton="0" quotePrefix="0" xfId="4"/>
    <xf numFmtId="3" fontId="30" fillId="15" borderId="3"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8" fillId="15" borderId="3" pivotButton="0" quotePrefix="0" xfId="0"/>
    <xf numFmtId="164" fontId="28" fillId="0" borderId="3" pivotButton="0" quotePrefix="0" xfId="0"/>
    <xf numFmtId="173" fontId="0" fillId="0" borderId="0" pivotButton="0" quotePrefix="0" xfId="0"/>
  </cellXfs>
  <cellStyles count="42">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7" xfId="8"/>
    <cellStyle name="Millares [0] 5" xfId="9"/>
    <cellStyle name="Millares [0] 2 6" xfId="10"/>
    <cellStyle name="Millares [0] 2 2" xfId="11"/>
    <cellStyle name="Millares [0] 2 5" xfId="12"/>
    <cellStyle name="Millares [0] 4" xfId="13"/>
    <cellStyle name="Millares [0] 2 2 3" xfId="14"/>
    <cellStyle name="Millares [0] 3" xfId="15"/>
    <cellStyle name="Millares [0] 2 4" xfId="16"/>
    <cellStyle name="Millares [0] 2 2 2" xfId="17"/>
    <cellStyle name="Millares [0] 2 3" xfId="18"/>
    <cellStyle name="Millares [0] 3 2" xfId="19"/>
    <cellStyle name="Millares [0] 2 10" xfId="20"/>
    <cellStyle name="Millares [0] 8" xfId="21"/>
    <cellStyle name="Millares [0] 2 3 3" xfId="22"/>
    <cellStyle name="Millares [0] 4 3" xfId="23"/>
    <cellStyle name="Millares [0] 2 2 5" xfId="24"/>
    <cellStyle name="Millares [0] 3 4" xfId="25"/>
    <cellStyle name="Millares [0] 2 9" xfId="26"/>
    <cellStyle name="Millares [0] 7" xfId="27"/>
    <cellStyle name="Millares [0] 2 8" xfId="28"/>
    <cellStyle name="Millares [0] 6" xfId="29"/>
    <cellStyle name="Millares [0] 2 7 2" xfId="30"/>
    <cellStyle name="Millares [0] 5 2" xfId="31"/>
    <cellStyle name="Millares [0] 2 6 2" xfId="32"/>
    <cellStyle name="Millares [0] 2 2 4" xfId="33"/>
    <cellStyle name="Millares [0] 2 5 2" xfId="34"/>
    <cellStyle name="Millares [0] 4 2" xfId="35"/>
    <cellStyle name="Millares [0] 2 2 3 2" xfId="36"/>
    <cellStyle name="Millares [0] 3 3" xfId="37"/>
    <cellStyle name="Millares [0] 2 4 2" xfId="38"/>
    <cellStyle name="Millares [0] 2 2 2 2" xfId="39"/>
    <cellStyle name="Millares [0] 2 3 2" xfId="40"/>
    <cellStyle name="Millares [0] 3 2 2" xfId="41"/>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Disponible I</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400" b="0" i="0" strike="noStrike" kern="1200" spc="0" baseline="0">
                <a:solidFill>
                  <a:schemeClr val="tx1">
                    <a:lumMod val="65000"/>
                    <a:lumOff val="35000"/>
                  </a:schemeClr>
                </a:solidFill>
                <a:latin typeface="+mn-lt"/>
                <a:ea typeface="+mn-ea"/>
                <a:cs typeface="+mn-cs"/>
              </a:defRPr>
            </a:pPr>
            <a:r>
              <a:rPr lang="en-US"/>
              <a:t>FIP Liquidez Disponible 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v>FIP Liquidez Disponible I</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(2)'!$F$228:$F$244</f>
              <numCache>
                <formatCode>m/d/yyyy</formatCode>
                <ptCount val="17"/>
                <pt idx="0">
                  <v>45526</v>
                </pt>
                <pt idx="1">
                  <v>45535</v>
                </pt>
                <pt idx="2">
                  <v>45565</v>
                </pt>
                <pt idx="3">
                  <v>45596</v>
                </pt>
                <pt idx="4">
                  <v>45626</v>
                </pt>
                <pt idx="5">
                  <v>45657</v>
                </pt>
                <pt idx="6">
                  <v>45688</v>
                </pt>
                <pt idx="7">
                  <v>45716</v>
                </pt>
                <pt idx="8">
                  <v>45747</v>
                </pt>
                <pt idx="9">
                  <v>45777</v>
                </pt>
                <pt idx="10">
                  <v>45808</v>
                </pt>
                <pt idx="11">
                  <v>45838</v>
                </pt>
                <pt idx="12">
                  <v>45869</v>
                </pt>
                <pt idx="13">
                  <v>45900</v>
                </pt>
                <pt idx="14">
                  <v>45930</v>
                </pt>
                <pt idx="15">
                  <v>45961</v>
                </pt>
                <pt idx="16">
                  <v>45991</v>
                </pt>
              </numCache>
            </numRef>
          </cat>
          <val>
            <numRef>
              <f>'Datos ICP (2)'!$J$228:$J$244</f>
              <numCache>
                <formatCode>#,##0.00</formatCode>
                <ptCount val="17"/>
                <pt idx="0">
                  <v>100</v>
                </pt>
                <pt idx="1">
                  <v>100.1634897742111</v>
                </pt>
                <pt idx="2">
                  <v>100.7284129339529</v>
                </pt>
                <pt idx="3">
                  <v>101.2319395216438</v>
                </pt>
                <pt idx="4">
                  <v>101.7713076197168</v>
                </pt>
                <pt idx="5">
                  <v>102.2782140848324</v>
                </pt>
                <pt idx="6">
                  <v>102.7147366629722</v>
                </pt>
                <pt idx="7">
                  <v>103.2071480014261</v>
                </pt>
                <pt idx="8">
                  <v>103.8059947333675</v>
                </pt>
                <pt idx="9">
                  <v>104.5309289816527</v>
                </pt>
                <pt idx="10">
                  <v>105.1895811340081</v>
                </pt>
                <pt idx="11">
                  <v>105.7793622731833</v>
                </pt>
                <pt idx="12">
                  <v>106.3675345822234</v>
                </pt>
                <pt idx="13">
                  <v>106.9611482783724</v>
                </pt>
                <pt idx="14">
                  <v>107.5216835004554</v>
                </pt>
                <pt idx="15">
                  <v>108.1234621976317</v>
                </pt>
                <pt idx="16">
                  <v>108.767586111916</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(2)'!$F$228:$F$244</f>
              <numCache>
                <formatCode>m/d/yyyy</formatCode>
                <ptCount val="17"/>
                <pt idx="0">
                  <v>45526</v>
                </pt>
                <pt idx="1">
                  <v>45535</v>
                </pt>
                <pt idx="2">
                  <v>45565</v>
                </pt>
                <pt idx="3">
                  <v>45596</v>
                </pt>
                <pt idx="4">
                  <v>45626</v>
                </pt>
                <pt idx="5">
                  <v>45657</v>
                </pt>
                <pt idx="6">
                  <v>45688</v>
                </pt>
                <pt idx="7">
                  <v>45716</v>
                </pt>
                <pt idx="8">
                  <v>45747</v>
                </pt>
                <pt idx="9">
                  <v>45777</v>
                </pt>
                <pt idx="10">
                  <v>45808</v>
                </pt>
                <pt idx="11">
                  <v>45838</v>
                </pt>
                <pt idx="12">
                  <v>45869</v>
                </pt>
                <pt idx="13">
                  <v>45900</v>
                </pt>
                <pt idx="14">
                  <v>45930</v>
                </pt>
                <pt idx="15">
                  <v>45961</v>
                </pt>
                <pt idx="16">
                  <v>45991</v>
                </pt>
              </numCache>
            </numRef>
          </cat>
          <val>
            <numRef>
              <f>'Datos ICP (2)'!$M$228:$M$244</f>
              <numCache>
                <formatCode>0.00</formatCode>
                <ptCount val="17"/>
                <pt idx="0">
                  <v>100</v>
                </pt>
                <pt idx="1">
                  <v>100.3224595036384</v>
                </pt>
                <pt idx="2">
                  <v>100.6610924768048</v>
                </pt>
                <pt idx="3">
                  <v>100.9933532791072</v>
                </pt>
                <pt idx="4">
                  <v>101.3185897092723</v>
                </pt>
                <pt idx="5">
                  <v>101.6352778818071</v>
                </pt>
                <pt idx="6">
                  <v>101.9323358655771</v>
                </pt>
                <pt idx="7">
                  <v>102.2339978107107</v>
                </pt>
                <pt idx="8">
                  <v>102.5370220439021</v>
                </pt>
                <pt idx="9">
                  <v>102.8421670624384</v>
                </pt>
                <pt idx="10">
                  <v>103.1496746820054</v>
                </pt>
                <pt idx="11">
                  <v>103.4588196679939</v>
                </pt>
                <pt idx="12">
                  <v>103.7542329307648</v>
                </pt>
                <pt idx="13">
                  <v>104.0555093372682</v>
                </pt>
                <pt idx="14">
                  <v>104.342870589163</v>
                </pt>
                <pt idx="15">
                  <v>104.6321892753072</v>
                </pt>
                <pt idx="16">
                  <v>104.9246378936698</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(2)'!$F$228:$F$244</f>
              <numCache>
                <formatCode>m/d/yyyy</formatCode>
                <ptCount val="17"/>
                <pt idx="0">
                  <v>45526</v>
                </pt>
                <pt idx="1">
                  <v>45535</v>
                </pt>
                <pt idx="2">
                  <v>45565</v>
                </pt>
                <pt idx="3">
                  <v>45596</v>
                </pt>
                <pt idx="4">
                  <v>45626</v>
                </pt>
                <pt idx="5">
                  <v>45657</v>
                </pt>
                <pt idx="6">
                  <v>45688</v>
                </pt>
                <pt idx="7">
                  <v>45716</v>
                </pt>
                <pt idx="8">
                  <v>45747</v>
                </pt>
                <pt idx="9">
                  <v>45777</v>
                </pt>
                <pt idx="10">
                  <v>45808</v>
                </pt>
                <pt idx="11">
                  <v>45838</v>
                </pt>
                <pt idx="12">
                  <v>45869</v>
                </pt>
                <pt idx="13">
                  <v>45900</v>
                </pt>
                <pt idx="14">
                  <v>45930</v>
                </pt>
                <pt idx="15">
                  <v>45961</v>
                </pt>
                <pt idx="16">
                  <v>45991</v>
                </pt>
              </numCache>
            </numRef>
          </cat>
          <val>
            <numRef>
              <f>'Datos ICP (2)'!$D$228:$D$244</f>
              <numCache>
                <formatCode>0.00</formatCode>
                <ptCount val="17"/>
                <pt idx="0">
                  <v>100</v>
                </pt>
                <pt idx="1">
                  <v>100.4268757366749</v>
                </pt>
                <pt idx="2">
                  <v>100.9070209976805</v>
                </pt>
                <pt idx="3">
                  <v>101.3474743356473</v>
                </pt>
                <pt idx="4">
                  <v>101.791814656559</v>
                </pt>
                <pt idx="5">
                  <v>102.2298081713723</v>
                </pt>
                <pt idx="6">
                  <v>102.6704941799909</v>
                </pt>
                <pt idx="7">
                  <v>103.0990990938132</v>
                </pt>
                <pt idx="8">
                  <v>103.5295014570477</v>
                </pt>
                <pt idx="9">
                  <v>103.9618112986617</v>
                </pt>
                <pt idx="10">
                  <v>104.3817727768523</v>
                </pt>
                <pt idx="11">
                  <v>104.8321348389457</v>
                </pt>
                <pt idx="12">
                  <v>105.2690070783494</v>
                </pt>
                <pt idx="13">
                  <v>105.6595151626204</v>
                </pt>
                <pt idx="14">
                  <v>106.106460064183</v>
                </pt>
                <pt idx="15">
                  <v>106.5137230350276</v>
                </pt>
                <pt idx="16">
                  <v>106.9219304507049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0.2979</v>
                </pt>
                <pt idx="1">
                  <v>0.1781</v>
                </pt>
                <pt idx="2">
                  <v>0.524</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0.0226</v>
                </pt>
                <pt idx="3">
                  <v>0.9774</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-4082</colOff>
      <row>264</row>
      <rowOff>97971</rowOff>
    </from>
    <to>
      <col>10</col>
      <colOff>633412</colOff>
      <row>297</row>
      <rowOff>2381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1" customWidth="1" min="1" max="1"/>
  </cols>
  <sheetData>
    <row r="2" ht="191.25" customHeight="1">
      <c r="A2" s="9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7"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C10" zoomScale="70" zoomScaleNormal="70" workbookViewId="0">
      <selection activeCell="AW20" sqref="AW20"/>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5" min="7" max="7"/>
    <col width="14.5703125" customWidth="1" style="115" min="8" max="8"/>
    <col width="12.28515625" bestFit="1" customWidth="1" style="116"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28515625"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27.85546875"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7" t="n"/>
      <c r="H2" s="117" t="n"/>
      <c r="J2" s="14" t="inlineStr">
        <is>
          <t>Fondo Liquidez Disponible I</t>
        </is>
      </c>
      <c r="K2" s="23" t="inlineStr">
        <is>
          <t>8057-8</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P3/N3-1</f>
        <v/>
      </c>
      <c r="AF2" s="26">
        <f>Q3/P3-1</f>
        <v/>
      </c>
      <c r="AG2" s="26">
        <f>R3/Q3-1</f>
        <v/>
      </c>
      <c r="AH2" s="26">
        <f>S3/R3-1</f>
        <v/>
      </c>
      <c r="AI2" s="26">
        <f>T3/S3-1</f>
        <v/>
      </c>
      <c r="AJ2" s="26">
        <f>U3/T3-1</f>
        <v/>
      </c>
      <c r="AK2" s="26">
        <f>V3/U3-1</f>
        <v/>
      </c>
      <c r="AL2" s="26">
        <f>W3/V3-1</f>
        <v/>
      </c>
      <c r="AM2" s="26">
        <f>X3/W3-1</f>
        <v/>
      </c>
      <c r="AN2" s="26">
        <f>Y3/X3-1</f>
        <v/>
      </c>
      <c r="AO2" s="26">
        <f>Z3/Y3-1</f>
        <v/>
      </c>
      <c r="AP2" s="26">
        <f>AA3/Z3-1</f>
        <v/>
      </c>
      <c r="AQ2" s="27">
        <f>AA3/N3-1</f>
        <v/>
      </c>
      <c r="AR2" s="20" t="n"/>
      <c r="AS2" s="20" t="n"/>
    </row>
    <row r="3">
      <c r="A3" s="28" t="n">
        <v>38717</v>
      </c>
      <c r="B3" s="29" t="n">
        <v>10953.14</v>
      </c>
      <c r="D3" s="30" t="n"/>
      <c r="E3" s="30" t="n"/>
      <c r="F3" s="30" t="n"/>
      <c r="K3" s="23" t="inlineStr">
        <is>
          <t>Unive</t>
        </is>
      </c>
      <c r="L3" s="24" t="n"/>
      <c r="N3" s="29">
        <f>B3</f>
        <v/>
      </c>
      <c r="O3" s="14" t="n">
        <v>2006</v>
      </c>
      <c r="P3" s="118" t="n">
        <v>10996.85</v>
      </c>
      <c r="Q3" s="118" t="n">
        <v>11035.11</v>
      </c>
      <c r="R3" s="118" t="n">
        <v>11078.66</v>
      </c>
      <c r="S3" s="118" t="n">
        <v>11118.82</v>
      </c>
      <c r="T3" s="118" t="n">
        <v>11169.1</v>
      </c>
      <c r="U3" s="118" t="n">
        <v>11215.04</v>
      </c>
      <c r="V3" s="118" t="n">
        <v>11263.22</v>
      </c>
      <c r="W3" s="118" t="n">
        <v>11313.29</v>
      </c>
      <c r="X3" s="118" t="n">
        <v>11360.92</v>
      </c>
      <c r="Y3" s="118" t="n">
        <v>11413.02</v>
      </c>
      <c r="Z3" s="118" t="n">
        <v>11463.01</v>
      </c>
      <c r="AA3" s="118" t="n">
        <v>11512.49</v>
      </c>
      <c r="AC3" s="17" t="n"/>
      <c r="AD3" s="32" t="n">
        <v>2007</v>
      </c>
      <c r="AE3" s="33">
        <f>P4/AA3-1</f>
        <v/>
      </c>
      <c r="AF3" s="33">
        <f>Q4/P4-1</f>
        <v/>
      </c>
      <c r="AG3" s="33">
        <f>R4/Q4-1</f>
        <v/>
      </c>
      <c r="AH3" s="33">
        <f>S4/R4-1</f>
        <v/>
      </c>
      <c r="AI3" s="33">
        <f>T4/S4-1</f>
        <v/>
      </c>
      <c r="AJ3" s="33">
        <f>U4/T4-1</f>
        <v/>
      </c>
      <c r="AK3" s="33">
        <f>V4/U4-1</f>
        <v/>
      </c>
      <c r="AL3" s="33">
        <f>W4/V4-1</f>
        <v/>
      </c>
      <c r="AM3" s="33">
        <f>X4/W4-1</f>
        <v/>
      </c>
      <c r="AN3" s="33">
        <f>Y4/X4-1</f>
        <v/>
      </c>
      <c r="AO3" s="33">
        <f>Z4/Y4-1</f>
        <v/>
      </c>
      <c r="AP3" s="33">
        <f>AA4/Z4-1</f>
        <v/>
      </c>
      <c r="AQ3" s="34">
        <f>AA4/AA3-1</f>
        <v/>
      </c>
      <c r="AR3" s="20" t="n"/>
      <c r="AS3" s="20" t="n"/>
    </row>
    <row r="4">
      <c r="A4" s="119" t="n">
        <v>38748</v>
      </c>
      <c r="B4" s="118" t="n">
        <v>10996.85</v>
      </c>
      <c r="C4" s="111">
        <f>(B4/B3-1)/(A4-A3)*30</f>
        <v/>
      </c>
      <c r="D4" s="30" t="n"/>
      <c r="E4" s="30" t="n"/>
      <c r="F4" s="30" t="n"/>
      <c r="K4" s="23" t="inlineStr">
        <is>
          <t>Santander Money Market</t>
        </is>
      </c>
      <c r="L4" s="24" t="n"/>
      <c r="O4" s="14" t="n">
        <v>2007</v>
      </c>
      <c r="P4" s="118" t="n">
        <v>11567.23</v>
      </c>
      <c r="Q4" s="118" t="n">
        <v>11612.68</v>
      </c>
      <c r="R4" s="118" t="n">
        <v>11661.5</v>
      </c>
      <c r="S4" s="118" t="n">
        <v>11712.58</v>
      </c>
      <c r="T4" s="118" t="n">
        <v>11763.78</v>
      </c>
      <c r="U4" s="118" t="n">
        <v>11812.23</v>
      </c>
      <c r="V4" s="118" t="n">
        <v>11866.53</v>
      </c>
      <c r="W4" s="118" t="n">
        <v>11922.48</v>
      </c>
      <c r="X4" s="118" t="n">
        <v>11975.61</v>
      </c>
      <c r="Y4" s="118" t="n">
        <v>12038.9</v>
      </c>
      <c r="Z4" s="118" t="n">
        <v>12096.85</v>
      </c>
      <c r="AA4" s="118" t="n">
        <v>12152.6</v>
      </c>
      <c r="AC4" s="17" t="n"/>
      <c r="AD4" s="25" t="n">
        <v>2008</v>
      </c>
      <c r="AE4" s="26" t="n"/>
      <c r="AF4" s="26" t="n"/>
      <c r="AG4" s="26" t="n"/>
      <c r="AH4" s="26" t="n"/>
      <c r="AI4" s="26" t="n"/>
      <c r="AJ4" s="26" t="n"/>
      <c r="AK4" s="26" t="n"/>
      <c r="AL4" s="26" t="n"/>
      <c r="AM4" s="26" t="n"/>
      <c r="AN4" s="26" t="n"/>
      <c r="AO4" s="26" t="n"/>
      <c r="AP4" s="26" t="n"/>
      <c r="AQ4" s="27">
        <f>AA5/AA4-1</f>
        <v/>
      </c>
      <c r="AR4" s="20" t="n"/>
      <c r="AS4" s="20" t="n"/>
    </row>
    <row r="5">
      <c r="A5" s="28" t="n">
        <v>38776</v>
      </c>
      <c r="B5" s="118" t="n">
        <v>11035.11</v>
      </c>
      <c r="C5" s="111">
        <f>(B5/B4-1)/(A5-A4)*30</f>
        <v/>
      </c>
      <c r="D5" s="30" t="n"/>
      <c r="E5" s="30" t="n"/>
      <c r="F5" s="30" t="n"/>
      <c r="O5" s="14" t="n">
        <v>2008</v>
      </c>
      <c r="P5" s="118" t="n">
        <v>12223.14</v>
      </c>
      <c r="Q5" s="118" t="n">
        <v>12284.88</v>
      </c>
      <c r="R5" s="118" t="n">
        <v>12351.45</v>
      </c>
      <c r="S5" s="118" t="n">
        <v>12416.18</v>
      </c>
      <c r="T5" s="118" t="n">
        <v>12481.48</v>
      </c>
      <c r="U5" s="118" t="n">
        <v>12552.23</v>
      </c>
      <c r="V5" s="118" t="n">
        <v>12628.9</v>
      </c>
      <c r="W5" s="118" t="n">
        <v>12704.63</v>
      </c>
      <c r="X5" s="118" t="n">
        <v>12796.95</v>
      </c>
      <c r="Y5" s="118" t="n">
        <v>12885.37</v>
      </c>
      <c r="Z5" s="118" t="n">
        <v>12970.93</v>
      </c>
      <c r="AA5" s="118" t="n">
        <v>13066.33</v>
      </c>
      <c r="AC5" s="17" t="n"/>
      <c r="AD5" s="32" t="n">
        <v>2009</v>
      </c>
      <c r="AE5" s="33" t="n"/>
      <c r="AF5" s="33" t="n"/>
      <c r="AG5" s="33" t="n"/>
      <c r="AH5" s="33" t="n"/>
      <c r="AI5" s="33" t="n"/>
      <c r="AJ5" s="33" t="n"/>
      <c r="AK5" s="33" t="n"/>
      <c r="AL5" s="33" t="n"/>
      <c r="AM5" s="33" t="n"/>
      <c r="AN5" s="33" t="n"/>
      <c r="AO5" s="33" t="n"/>
      <c r="AP5" s="33" t="n"/>
      <c r="AQ5" s="34">
        <f>AA6/AA5-1</f>
        <v/>
      </c>
      <c r="AR5" s="20" t="n"/>
      <c r="AS5" s="20" t="n"/>
    </row>
    <row r="6">
      <c r="A6" s="28" t="n">
        <v>38807</v>
      </c>
      <c r="B6" s="118" t="n">
        <v>11078.66</v>
      </c>
      <c r="C6" s="111">
        <f>(B6/B5-1)/(A6-A5)*30</f>
        <v/>
      </c>
      <c r="D6" s="30" t="n"/>
      <c r="E6" s="30" t="n"/>
      <c r="F6" s="30" t="n"/>
      <c r="O6" s="14" t="n">
        <v>2009</v>
      </c>
      <c r="P6" s="118" t="n">
        <v>13151.16</v>
      </c>
      <c r="Q6" s="118" t="n">
        <v>13212.09</v>
      </c>
      <c r="R6" s="118" t="n">
        <v>13251.18</v>
      </c>
      <c r="S6" s="118" t="n">
        <v>13272.62</v>
      </c>
      <c r="T6" s="118" t="n">
        <v>13286.96</v>
      </c>
      <c r="U6" s="118" t="n">
        <v>13299.08</v>
      </c>
      <c r="V6" s="118" t="n">
        <v>13305.34</v>
      </c>
      <c r="W6" s="118" t="n">
        <v>13310.07</v>
      </c>
      <c r="X6" s="118" t="n">
        <v>13315.05</v>
      </c>
      <c r="Y6" s="118" t="n">
        <v>13319.74</v>
      </c>
      <c r="Z6" s="118" t="n">
        <v>13324.51</v>
      </c>
      <c r="AA6" s="118" t="n">
        <v>13329.5</v>
      </c>
      <c r="AC6" s="17" t="n"/>
      <c r="AD6" s="25" t="n">
        <v>2010</v>
      </c>
      <c r="AE6" s="26" t="n"/>
      <c r="AF6" s="26" t="n"/>
      <c r="AG6" s="26" t="n"/>
      <c r="AH6" s="26" t="n"/>
      <c r="AI6" s="26" t="n"/>
      <c r="AJ6" s="26" t="n"/>
      <c r="AK6" s="26" t="n"/>
      <c r="AL6" s="26" t="n"/>
      <c r="AM6" s="26" t="n"/>
      <c r="AN6" s="26" t="n"/>
      <c r="AO6" s="26" t="n"/>
      <c r="AP6" s="26" t="n"/>
      <c r="AQ6" s="27">
        <f>AA7/AA6-1</f>
        <v/>
      </c>
      <c r="AR6" s="20" t="n"/>
      <c r="AS6" s="20" t="n"/>
    </row>
    <row r="7">
      <c r="A7" s="28" t="n">
        <v>38835</v>
      </c>
      <c r="B7" s="118" t="n">
        <v>11118.82</v>
      </c>
      <c r="C7" s="111">
        <f>(B7/B6-1)/(A7-A6)*30</f>
        <v/>
      </c>
      <c r="D7" s="30" t="n"/>
      <c r="E7" s="30" t="n"/>
      <c r="F7" s="30" t="n"/>
      <c r="O7" s="14" t="n">
        <v>2010</v>
      </c>
      <c r="P7" s="118" t="n">
        <v>13334.25</v>
      </c>
      <c r="Q7" s="118" t="n">
        <v>13338.53</v>
      </c>
      <c r="R7" s="118" t="n">
        <v>13343.79</v>
      </c>
      <c r="S7" s="118" t="n">
        <v>13348.63</v>
      </c>
      <c r="T7" s="118" t="n">
        <v>13353.5</v>
      </c>
      <c r="U7" s="118" t="n">
        <v>13360.9</v>
      </c>
      <c r="V7" s="118" t="n">
        <v>13373.99</v>
      </c>
      <c r="W7" s="118" t="n">
        <v>13395.21</v>
      </c>
      <c r="X7" s="118" t="n">
        <v>13419.79</v>
      </c>
      <c r="Y7" s="118" t="n">
        <v>13448.69</v>
      </c>
      <c r="Z7" s="118" t="n">
        <v>13483.02</v>
      </c>
      <c r="AA7" s="118" t="n">
        <v>13522.93</v>
      </c>
      <c r="AC7" s="17" t="n"/>
      <c r="AD7" s="32" t="n">
        <v>2011</v>
      </c>
      <c r="AE7" s="33" t="n"/>
      <c r="AF7" s="33" t="n"/>
      <c r="AG7" s="33" t="n"/>
      <c r="AH7" s="33" t="n"/>
      <c r="AI7" s="33" t="n"/>
      <c r="AJ7" s="33" t="n"/>
      <c r="AK7" s="33" t="n"/>
      <c r="AL7" s="33" t="n"/>
      <c r="AM7" s="33" t="n"/>
      <c r="AN7" s="33" t="n"/>
      <c r="AO7" s="33" t="n"/>
      <c r="AP7" s="33" t="n"/>
      <c r="AQ7" s="34">
        <f>AA8/AA7-1</f>
        <v/>
      </c>
      <c r="AR7" s="20" t="n"/>
      <c r="AS7" s="20" t="n"/>
    </row>
    <row r="8">
      <c r="A8" s="28" t="n">
        <v>38868</v>
      </c>
      <c r="B8" s="118" t="n">
        <v>11169.1</v>
      </c>
      <c r="C8" s="111">
        <f>(B8/B7-1)/(A8-A7)*30</f>
        <v/>
      </c>
      <c r="D8" s="30" t="n"/>
      <c r="E8" s="30" t="n"/>
      <c r="F8" s="30" t="n"/>
      <c r="O8" s="14" t="n">
        <v>2011</v>
      </c>
      <c r="P8" s="118" t="n">
        <v>13557.12</v>
      </c>
      <c r="Q8" s="118" t="n">
        <v>13592.3</v>
      </c>
      <c r="R8" s="118" t="n">
        <v>13635.91</v>
      </c>
      <c r="S8" s="118" t="n">
        <v>13682.94</v>
      </c>
      <c r="T8" s="118" t="n">
        <v>13741.06</v>
      </c>
      <c r="U8" s="118" t="n">
        <v>13799.74</v>
      </c>
      <c r="V8" s="118" t="n">
        <v>13858.14</v>
      </c>
      <c r="W8" s="118" t="n">
        <v>13925.03</v>
      </c>
      <c r="X8" s="118" t="n">
        <v>13985.97</v>
      </c>
      <c r="Y8" s="118" t="n">
        <v>14043.21</v>
      </c>
      <c r="Z8" s="118" t="n">
        <v>14110.87</v>
      </c>
      <c r="AA8" s="118" t="n">
        <v>14172.63</v>
      </c>
      <c r="AC8" s="17" t="n"/>
      <c r="AD8" s="25" t="n">
        <v>2012</v>
      </c>
      <c r="AE8" s="26" t="n"/>
      <c r="AF8" s="26" t="n"/>
      <c r="AG8" s="26" t="n"/>
      <c r="AH8" s="26" t="n"/>
      <c r="AI8" s="26" t="n"/>
      <c r="AJ8" s="26" t="n"/>
      <c r="AK8" s="26" t="n"/>
      <c r="AL8" s="26" t="n"/>
      <c r="AM8" s="26" t="n"/>
      <c r="AN8" s="26" t="n"/>
      <c r="AO8" s="26" t="n"/>
      <c r="AP8" s="26" t="n"/>
      <c r="AQ8" s="27">
        <f>AA9/AA8-1</f>
        <v/>
      </c>
      <c r="AR8" s="20" t="n"/>
      <c r="AS8" s="20" t="n"/>
    </row>
    <row r="9">
      <c r="A9" s="28" t="n">
        <v>38898</v>
      </c>
      <c r="B9" s="118" t="n">
        <v>11215.04</v>
      </c>
      <c r="C9" s="111">
        <f>(B9/B8-1)/(A9-A8)*30</f>
        <v/>
      </c>
      <c r="D9" s="30" t="n"/>
      <c r="E9" s="30" t="n"/>
      <c r="F9" s="30" t="n"/>
      <c r="O9" s="14" t="n">
        <v>2012</v>
      </c>
      <c r="P9" s="118" t="n">
        <v>14236.38</v>
      </c>
      <c r="Q9" s="118" t="n">
        <v>14293.67</v>
      </c>
      <c r="R9" s="118" t="n">
        <v>14353.34</v>
      </c>
      <c r="S9" s="118" t="n">
        <v>14415.21</v>
      </c>
      <c r="T9" s="118" t="n">
        <v>14477.55</v>
      </c>
      <c r="U9" s="118" t="n">
        <v>14536.13</v>
      </c>
      <c r="V9" s="118" t="n">
        <v>14600.61</v>
      </c>
      <c r="W9" s="118" t="n">
        <v>14663.33</v>
      </c>
      <c r="X9" s="118" t="n">
        <v>14720.68</v>
      </c>
      <c r="Y9" s="118" t="n">
        <v>14788.56</v>
      </c>
      <c r="Z9" s="118" t="n">
        <v>14850.38</v>
      </c>
      <c r="AA9" s="118" t="n">
        <v>14908.2</v>
      </c>
      <c r="AC9" s="17" t="n"/>
      <c r="AD9" s="32" t="n">
        <v>2013</v>
      </c>
      <c r="AE9" s="33" t="n"/>
      <c r="AF9" s="33" t="n"/>
      <c r="AG9" s="33" t="n"/>
      <c r="AH9" s="33" t="n"/>
      <c r="AI9" s="33" t="n"/>
      <c r="AJ9" s="33" t="n"/>
      <c r="AK9" s="33" t="n"/>
      <c r="AL9" s="33" t="n"/>
      <c r="AM9" s="33" t="n"/>
      <c r="AN9" s="33" t="n"/>
      <c r="AO9" s="33" t="n"/>
      <c r="AP9" s="33" t="n"/>
      <c r="AQ9" s="34">
        <f>AA10/AA9-1</f>
        <v/>
      </c>
      <c r="AR9" s="20" t="n"/>
      <c r="AS9" s="20" t="n"/>
    </row>
    <row r="10">
      <c r="A10" s="28" t="n">
        <v>38929</v>
      </c>
      <c r="B10" s="118" t="n">
        <v>11263.22</v>
      </c>
      <c r="C10" s="111">
        <f>(B10/B9-1)/(A10-A9)*30</f>
        <v/>
      </c>
      <c r="D10" s="30" t="n"/>
      <c r="E10" s="30" t="n"/>
      <c r="F10" s="30" t="n"/>
      <c r="O10" s="14" t="n">
        <v>2013</v>
      </c>
      <c r="P10" s="118" t="n">
        <v>14978.58</v>
      </c>
      <c r="Q10" s="118" t="n">
        <v>15036.94</v>
      </c>
      <c r="R10" s="118" t="n">
        <v>15095.51</v>
      </c>
      <c r="S10" s="118" t="n">
        <v>15164.77</v>
      </c>
      <c r="T10" s="118" t="n">
        <v>15230.38</v>
      </c>
      <c r="U10" s="118" t="n">
        <v>15289.74</v>
      </c>
      <c r="V10" s="118" t="n">
        <v>15360.27</v>
      </c>
      <c r="W10" s="118" t="n">
        <v>15424.43</v>
      </c>
      <c r="X10" s="118" t="n">
        <v>15490.99</v>
      </c>
      <c r="Y10" s="118" t="n">
        <v>15554.36</v>
      </c>
      <c r="Z10" s="118" t="n">
        <v>15615.06</v>
      </c>
      <c r="AA10" s="118" t="n">
        <v>15675.68</v>
      </c>
      <c r="AC10" s="17" t="n"/>
      <c r="AD10" s="25" t="n">
        <v>2014</v>
      </c>
      <c r="AE10" s="26" t="n"/>
      <c r="AF10" s="26" t="n"/>
      <c r="AG10" s="26" t="n"/>
      <c r="AH10" s="26" t="n"/>
      <c r="AI10" s="26" t="n"/>
      <c r="AJ10" s="26" t="n"/>
      <c r="AK10" s="26" t="n"/>
      <c r="AL10" s="26" t="n"/>
      <c r="AM10" s="26" t="n"/>
      <c r="AN10" s="26" t="n"/>
      <c r="AO10" s="26" t="n"/>
      <c r="AP10" s="26" t="n"/>
      <c r="AQ10" s="27">
        <f>AA11/AA10-1</f>
        <v/>
      </c>
      <c r="AR10" s="20" t="n"/>
      <c r="AS10" s="20" t="n"/>
    </row>
    <row r="11">
      <c r="A11" s="28" t="n">
        <v>38960</v>
      </c>
      <c r="B11" s="118" t="n">
        <v>11313.29</v>
      </c>
      <c r="C11" s="111">
        <f>(B11/B10-1)/(A11-A10)*30</f>
        <v/>
      </c>
      <c r="D11" s="30" t="n"/>
      <c r="E11" s="30" t="n"/>
      <c r="F11" s="30" t="n"/>
      <c r="O11" s="14" t="n">
        <v>2014</v>
      </c>
      <c r="P11" s="118" t="n">
        <v>15738.45</v>
      </c>
      <c r="Q11" s="118" t="n">
        <v>15792.47</v>
      </c>
      <c r="R11" s="118" t="n">
        <v>15848.53</v>
      </c>
      <c r="S11" s="118" t="n">
        <v>15901.43</v>
      </c>
      <c r="T11" s="118" t="n">
        <v>15954.5</v>
      </c>
      <c r="U11" s="118" t="n">
        <v>16009.53</v>
      </c>
      <c r="V11" s="118" t="n">
        <v>16063.18</v>
      </c>
      <c r="W11" s="118" t="n">
        <v>16110.55</v>
      </c>
      <c r="X11" s="118" t="n">
        <v>16158.37</v>
      </c>
      <c r="Y11" s="118" t="n">
        <v>16200.86</v>
      </c>
      <c r="Z11" s="118" t="n">
        <v>16240.11</v>
      </c>
      <c r="AA11" s="118" t="n">
        <v>16283.49</v>
      </c>
      <c r="AC11" s="17" t="n"/>
      <c r="AD11" s="32" t="n">
        <v>2015</v>
      </c>
      <c r="AE11" s="33" t="n"/>
      <c r="AF11" s="33" t="n"/>
      <c r="AG11" s="33" t="n"/>
      <c r="AH11" s="33" t="n"/>
      <c r="AI11" s="33" t="n"/>
      <c r="AJ11" s="33" t="n"/>
      <c r="AK11" s="33" t="n"/>
      <c r="AL11" s="33" t="n"/>
      <c r="AM11" s="33" t="n"/>
      <c r="AN11" s="33" t="n"/>
      <c r="AO11" s="33" t="n"/>
      <c r="AP11" s="33" t="n"/>
      <c r="AQ11" s="34">
        <f>AA12/AA11-1</f>
        <v/>
      </c>
      <c r="AR11" s="20" t="n"/>
      <c r="AS11" s="20" t="n"/>
    </row>
    <row r="12">
      <c r="A12" s="28" t="n">
        <v>38989</v>
      </c>
      <c r="B12" s="118" t="n">
        <v>11360.92</v>
      </c>
      <c r="C12" s="111">
        <f>(B12/B11-1)/(A12-A11)*30</f>
        <v/>
      </c>
      <c r="D12" s="30" t="n"/>
      <c r="E12" s="30" t="n"/>
      <c r="F12" s="30" t="n"/>
      <c r="O12" s="14" t="n">
        <v>2015</v>
      </c>
      <c r="P12" s="118" t="n">
        <v>16325.65</v>
      </c>
      <c r="Q12" s="118" t="n">
        <v>16363.77</v>
      </c>
      <c r="R12" s="118" t="n">
        <v>16407.49</v>
      </c>
      <c r="S12" s="118" t="n">
        <v>16448.59</v>
      </c>
      <c r="T12" s="118" t="n">
        <v>16488.37</v>
      </c>
      <c r="U12" s="118" t="n">
        <v>16532.38</v>
      </c>
      <c r="V12" s="118" t="n">
        <v>16575.11</v>
      </c>
      <c r="W12" s="118" t="n">
        <v>16617.94</v>
      </c>
      <c r="X12" s="118" t="n">
        <v>16659.58</v>
      </c>
      <c r="Y12" s="118" t="n">
        <v>16702.94</v>
      </c>
      <c r="Z12" s="118" t="n">
        <v>16749.75</v>
      </c>
      <c r="AA12" s="118" t="n">
        <v>16796.52</v>
      </c>
      <c r="AC12" s="17" t="n"/>
      <c r="AD12" s="25" t="n">
        <v>2016</v>
      </c>
      <c r="AE12" s="26" t="n"/>
      <c r="AF12" s="26" t="n"/>
      <c r="AG12" s="26" t="n"/>
      <c r="AH12" s="26" t="n"/>
      <c r="AI12" s="26" t="n"/>
      <c r="AJ12" s="26" t="n"/>
      <c r="AK12" s="26" t="n"/>
      <c r="AL12" s="26" t="n"/>
      <c r="AM12" s="26" t="n"/>
      <c r="AN12" s="26" t="n"/>
      <c r="AO12" s="26" t="n"/>
      <c r="AP12" s="26" t="n"/>
      <c r="AQ12" s="27">
        <f>AA13/AA12-1</f>
        <v/>
      </c>
      <c r="AR12" s="37" t="n"/>
      <c r="AS12" s="20" t="n"/>
    </row>
    <row r="13">
      <c r="A13" s="28" t="n">
        <v>39021</v>
      </c>
      <c r="B13" s="118" t="n">
        <v>11413.02</v>
      </c>
      <c r="C13" s="111">
        <f>(B13/B12-1)/(A13-A12)*30</f>
        <v/>
      </c>
      <c r="D13" s="30" t="n"/>
      <c r="E13" s="30" t="n"/>
      <c r="F13" s="30" t="n"/>
      <c r="O13" s="14" t="n">
        <v>2016</v>
      </c>
      <c r="P13" s="118" t="n">
        <v>16845.59</v>
      </c>
      <c r="Q13" s="118" t="n">
        <v>16896.43</v>
      </c>
      <c r="R13" s="118" t="n">
        <v>16947.43</v>
      </c>
      <c r="S13" s="118" t="n">
        <v>16995.27</v>
      </c>
      <c r="T13" s="118" t="n">
        <v>17048.23</v>
      </c>
      <c r="U13" s="118" t="n">
        <v>17098.02</v>
      </c>
      <c r="V13" s="118" t="n">
        <v>17149.62</v>
      </c>
      <c r="W13" s="118" t="n">
        <v>17201.38</v>
      </c>
      <c r="X13" s="118" t="n">
        <v>17251.69</v>
      </c>
      <c r="Y13" s="118">
        <f>+B135</f>
        <v/>
      </c>
      <c r="Z13" s="118">
        <f>+B136</f>
        <v/>
      </c>
      <c r="AA13" s="118">
        <f>+B137</f>
        <v/>
      </c>
      <c r="AC13" s="17" t="n"/>
      <c r="AD13" s="32" t="n">
        <v>2017</v>
      </c>
      <c r="AE13" s="33" t="n"/>
      <c r="AF13" s="33" t="n"/>
      <c r="AG13" s="33" t="n"/>
      <c r="AH13" s="33" t="n"/>
      <c r="AI13" s="33" t="n"/>
      <c r="AJ13" s="33" t="n"/>
      <c r="AK13" s="33" t="n"/>
      <c r="AL13" s="33" t="n"/>
      <c r="AM13" s="33" t="n"/>
      <c r="AN13" s="33" t="n"/>
      <c r="AO13" s="33" t="n"/>
      <c r="AP13" s="33" t="n"/>
      <c r="AQ13" s="34">
        <f>AA14/AA13-1</f>
        <v/>
      </c>
      <c r="AR13" s="37" t="n"/>
      <c r="AS13" s="20" t="n"/>
    </row>
    <row r="14">
      <c r="A14" s="28" t="n">
        <v>39051</v>
      </c>
      <c r="B14" s="118" t="n">
        <v>11463.01</v>
      </c>
      <c r="C14" s="111">
        <f>(B14/B13-1)/(A14-A13)*30</f>
        <v/>
      </c>
      <c r="D14" s="30" t="n"/>
      <c r="E14" s="30" t="n"/>
      <c r="F14" s="30" t="n"/>
      <c r="O14" s="14" t="n">
        <v>2017</v>
      </c>
      <c r="P14" s="118">
        <f>+B138</f>
        <v/>
      </c>
      <c r="Q14" s="118">
        <f>+B139</f>
        <v/>
      </c>
      <c r="R14" s="118">
        <f>+B140</f>
        <v/>
      </c>
      <c r="S14" s="118">
        <f>+B141</f>
        <v/>
      </c>
      <c r="T14" s="118">
        <f>+B142</f>
        <v/>
      </c>
      <c r="U14" s="118">
        <f>+$B143</f>
        <v/>
      </c>
      <c r="V14" s="118">
        <f>+$B144</f>
        <v/>
      </c>
      <c r="W14" s="118">
        <f>+$B145</f>
        <v/>
      </c>
      <c r="X14" s="118">
        <f>+$B146</f>
        <v/>
      </c>
      <c r="Y14" s="118">
        <f>+$B147</f>
        <v/>
      </c>
      <c r="Z14" s="118">
        <f>+$B148</f>
        <v/>
      </c>
      <c r="AA14" s="118">
        <f>+$B149</f>
        <v/>
      </c>
      <c r="AC14" s="17" t="n"/>
      <c r="AD14" s="25" t="n">
        <v>2018</v>
      </c>
      <c r="AE14" s="26" t="n"/>
      <c r="AF14" s="26" t="n"/>
      <c r="AG14" s="26" t="n"/>
      <c r="AH14" s="26" t="n"/>
      <c r="AI14" s="26" t="n"/>
      <c r="AJ14" s="26" t="n"/>
      <c r="AK14" s="38" t="n"/>
      <c r="AL14" s="38" t="n"/>
      <c r="AM14" s="38" t="n"/>
      <c r="AN14" s="71" t="n"/>
      <c r="AO14" s="71" t="n"/>
      <c r="AP14" s="71" t="n"/>
      <c r="AQ14" s="27">
        <f>+AA15/AA14-1</f>
        <v/>
      </c>
      <c r="AR14" s="37" t="n"/>
      <c r="AS14" s="20" t="n"/>
    </row>
    <row r="15">
      <c r="A15" s="28" t="n">
        <v>39080</v>
      </c>
      <c r="B15" s="118" t="n">
        <v>11512.49</v>
      </c>
      <c r="C15" s="111">
        <f>(B15/B14-1)/(A15-A14)*30</f>
        <v/>
      </c>
      <c r="D15" s="30" t="n"/>
      <c r="E15" s="30" t="n"/>
      <c r="F15" s="30" t="n"/>
      <c r="O15" s="14" t="n">
        <v>2018</v>
      </c>
      <c r="P15" s="14">
        <f>+B150</f>
        <v/>
      </c>
      <c r="Q15" s="14">
        <f>+B151</f>
        <v/>
      </c>
      <c r="R15" s="14">
        <f>+B152</f>
        <v/>
      </c>
      <c r="S15" s="14">
        <f>+B153</f>
        <v/>
      </c>
      <c r="T15" s="29">
        <f>+B154</f>
        <v/>
      </c>
      <c r="U15" s="30">
        <f>+B155</f>
        <v/>
      </c>
      <c r="V15" s="29">
        <f>+B156</f>
        <v/>
      </c>
      <c r="W15" s="29">
        <f>+B157</f>
        <v/>
      </c>
      <c r="X15" s="29">
        <f>+B158</f>
        <v/>
      </c>
      <c r="Y15" s="39">
        <f>+B159</f>
        <v/>
      </c>
      <c r="Z15" s="69">
        <f>+B160</f>
        <v/>
      </c>
      <c r="AA15" s="14">
        <f>+B161</f>
        <v/>
      </c>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8" t="n">
        <v>11567.23</v>
      </c>
      <c r="C16" s="111">
        <f>(B16/B15-1)/(A16-A15)*30</f>
        <v/>
      </c>
      <c r="D16" s="30" t="n"/>
      <c r="E16" s="30" t="n"/>
      <c r="F16" s="30" t="n"/>
      <c r="O16" s="14" t="n">
        <v>2019</v>
      </c>
      <c r="P16" s="14">
        <f>+B162</f>
        <v/>
      </c>
      <c r="Q16" s="14">
        <f>+B163</f>
        <v/>
      </c>
      <c r="R16" s="14">
        <f>+B164</f>
        <v/>
      </c>
      <c r="S16" s="14">
        <f>+B165</f>
        <v/>
      </c>
      <c r="T16" s="14">
        <f>+B166</f>
        <v/>
      </c>
      <c r="U16" s="30">
        <f>+B167</f>
        <v/>
      </c>
      <c r="V16" s="30">
        <f>+B168</f>
        <v/>
      </c>
      <c r="W16" s="30">
        <f>+B169</f>
        <v/>
      </c>
      <c r="X16" s="14">
        <f>+B170</f>
        <v/>
      </c>
      <c r="Y16" s="30">
        <f>+B171</f>
        <v/>
      </c>
      <c r="Z16" s="14">
        <f>+B172</f>
        <v/>
      </c>
      <c r="AA16" s="30">
        <f>+B173</f>
        <v/>
      </c>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8" t="n">
        <v>11612.68</v>
      </c>
      <c r="C17" s="111">
        <f>(B17/B16-1)/(A17-A16)*30</f>
        <v/>
      </c>
      <c r="D17" s="30" t="n"/>
      <c r="E17" s="30" t="n"/>
      <c r="F17" s="30" t="n"/>
      <c r="O17" s="14" t="n">
        <v>2020</v>
      </c>
      <c r="P17" s="14">
        <f>+B174</f>
        <v/>
      </c>
      <c r="Q17" s="30">
        <f>+B175</f>
        <v/>
      </c>
      <c r="R17" s="30">
        <f>+B176</f>
        <v/>
      </c>
      <c r="S17" s="30">
        <f>+B177</f>
        <v/>
      </c>
      <c r="T17" s="14">
        <f>+B178</f>
        <v/>
      </c>
      <c r="U17" s="30">
        <f>+B179</f>
        <v/>
      </c>
      <c r="V17" s="30">
        <f>+B180</f>
        <v/>
      </c>
      <c r="W17" s="30">
        <f>+B181</f>
        <v/>
      </c>
      <c r="X17" s="30">
        <f>+B182</f>
        <v/>
      </c>
      <c r="Y17" s="30">
        <f>+B183</f>
        <v/>
      </c>
      <c r="Z17" s="30">
        <f>+B184</f>
        <v/>
      </c>
      <c r="AA17" s="30">
        <f>+B185</f>
        <v/>
      </c>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8" t="n">
        <v>11661.5</v>
      </c>
      <c r="C18" s="111">
        <f>(B18/B17-1)/(A18-A17)*30</f>
        <v/>
      </c>
      <c r="D18" s="30" t="n"/>
      <c r="E18" s="30" t="n"/>
      <c r="F18" s="30" t="n"/>
      <c r="O18" s="14" t="n">
        <v>2021</v>
      </c>
      <c r="Q18" s="14">
        <f>+B187</f>
        <v/>
      </c>
      <c r="R18" s="14">
        <f>+B188</f>
        <v/>
      </c>
      <c r="S18" s="14">
        <f>+B189</f>
        <v/>
      </c>
      <c r="T18" s="14">
        <f>+B190</f>
        <v/>
      </c>
      <c r="U18" s="14">
        <f>+B191</f>
        <v/>
      </c>
      <c r="V18" s="14">
        <f>+B192</f>
        <v/>
      </c>
      <c r="W18" s="14">
        <f>+B193</f>
        <v/>
      </c>
      <c r="X18" s="14">
        <f>+B194</f>
        <v/>
      </c>
      <c r="Y18" s="14">
        <f>+B195</f>
        <v/>
      </c>
      <c r="Z18" s="14">
        <f>+B196</f>
        <v/>
      </c>
      <c r="AA18" s="14">
        <f>+B197</f>
        <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8" t="n">
        <v>11712.58</v>
      </c>
      <c r="C19" s="111">
        <f>(B19/B18-1)/(A19-A18)*30</f>
        <v/>
      </c>
      <c r="D19" s="30" t="n"/>
      <c r="E19" s="30" t="n"/>
      <c r="F19" s="30" t="n"/>
      <c r="O19" s="14" t="n">
        <v>2022</v>
      </c>
      <c r="P19" s="14">
        <f>+B198</f>
        <v/>
      </c>
      <c r="Q19" s="30">
        <f>+B199</f>
        <v/>
      </c>
      <c r="R19" s="14">
        <f>+B200</f>
        <v/>
      </c>
      <c r="S19" s="14">
        <f>+B201</f>
        <v/>
      </c>
      <c r="T19" s="14">
        <f>+B202</f>
        <v/>
      </c>
      <c r="U19" s="14">
        <f>+B203</f>
        <v/>
      </c>
      <c r="V19" s="14">
        <f>+B204</f>
        <v/>
      </c>
      <c r="W19" s="14">
        <f>+B205</f>
        <v/>
      </c>
      <c r="X19" s="14">
        <f>+B206</f>
        <v/>
      </c>
      <c r="Y19" s="14">
        <f>+B207</f>
        <v/>
      </c>
      <c r="Z19" s="14">
        <f>+B208</f>
        <v/>
      </c>
      <c r="AA19" s="14">
        <f>+B209</f>
        <v/>
      </c>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46144</v>
      </c>
      <c r="AX19" s="42">
        <f>EOMONTH($AW19,AX18)</f>
        <v/>
      </c>
      <c r="AY19" s="42">
        <f>EOMONTH($AW19,AY18)</f>
        <v/>
      </c>
      <c r="AZ19" s="42">
        <f>EOMONTH($AW19,AZ18)</f>
        <v/>
      </c>
      <c r="BA19" s="42">
        <f>EOMONTH($AW19,BA18)</f>
        <v/>
      </c>
      <c r="BB19" s="42" t="n">
        <v>43100</v>
      </c>
    </row>
    <row r="20">
      <c r="A20" s="28" t="n">
        <v>39233</v>
      </c>
      <c r="B20" s="118" t="n">
        <v>11763.78</v>
      </c>
      <c r="C20" s="111">
        <f>(B20/B19-1)/(A20-A19)*30</f>
        <v/>
      </c>
      <c r="D20" s="30" t="n"/>
      <c r="E20" s="30" t="n"/>
      <c r="F20" s="30" t="n"/>
      <c r="O20" s="14" t="n">
        <v>2023</v>
      </c>
      <c r="P20" s="14">
        <f>+B210</f>
        <v/>
      </c>
      <c r="Q20" s="30">
        <f>+B211</f>
        <v/>
      </c>
      <c r="R20" s="14">
        <f>+B212</f>
        <v/>
      </c>
      <c r="S20" s="14">
        <f>+B213</f>
        <v/>
      </c>
      <c r="T20" s="14">
        <f>+B214</f>
        <v/>
      </c>
      <c r="U20" s="14">
        <f>+B215</f>
        <v/>
      </c>
      <c r="V20" s="14">
        <f>+B216</f>
        <v/>
      </c>
      <c r="W20" s="14">
        <f>+B217</f>
        <v/>
      </c>
      <c r="X20" s="14">
        <f>+B218</f>
        <v/>
      </c>
      <c r="Y20" s="30">
        <f>+B219</f>
        <v/>
      </c>
      <c r="Z20" s="14">
        <f>+B220</f>
        <v/>
      </c>
      <c r="AA20" s="14">
        <f>+B221</f>
        <v/>
      </c>
      <c r="AD20" s="32" t="n">
        <v>2024</v>
      </c>
      <c r="AE20" s="33" t="n"/>
      <c r="AF20" s="33" t="n"/>
      <c r="AG20" s="33" t="n"/>
      <c r="AH20" s="33" t="n"/>
      <c r="AI20" s="33" t="n"/>
      <c r="AJ20" s="33" t="n"/>
      <c r="AK20" s="33" t="n"/>
      <c r="AL20" s="33">
        <f>+W21/V21-1</f>
        <v/>
      </c>
      <c r="AM20" s="33">
        <f>+X21/W21-1</f>
        <v/>
      </c>
      <c r="AN20" s="33">
        <f>+Y21/X21-1</f>
        <v/>
      </c>
      <c r="AO20" s="33">
        <f>+Z21/Y21-1</f>
        <v/>
      </c>
      <c r="AP20" s="33">
        <f>+AA21/Z21-1</f>
        <v/>
      </c>
      <c r="AQ20" s="34">
        <f>+(AA21/V21-1)/COUNTA(AE20:AP20)*12</f>
        <v/>
      </c>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8" t="n">
        <v>11812.23</v>
      </c>
      <c r="C21" s="111">
        <f>(B21/B20-1)/(A21-A20)*30</f>
        <v/>
      </c>
      <c r="D21" s="30" t="n"/>
      <c r="E21" s="30" t="n"/>
      <c r="F21" s="30" t="n"/>
      <c r="O21" s="14" t="n">
        <v>2024</v>
      </c>
      <c r="P21" s="14">
        <f>+B222</f>
        <v/>
      </c>
      <c r="Q21" s="30">
        <f>+B223</f>
        <v/>
      </c>
      <c r="R21" s="14">
        <f>+B224</f>
        <v/>
      </c>
      <c r="S21" s="14">
        <f>+B225</f>
        <v/>
      </c>
      <c r="T21" s="14">
        <f>+B226</f>
        <v/>
      </c>
      <c r="U21" s="30">
        <f>+B227</f>
        <v/>
      </c>
      <c r="V21" s="14">
        <f>+B228</f>
        <v/>
      </c>
      <c r="W21" s="14">
        <f>+B229</f>
        <v/>
      </c>
      <c r="X21" s="14">
        <f>+B230</f>
        <v/>
      </c>
      <c r="Y21" s="30">
        <f>+B231</f>
        <v/>
      </c>
      <c r="Z21" s="14">
        <f>+B232</f>
        <v/>
      </c>
      <c r="AA21" s="14">
        <f>+B233</f>
        <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8" t="n">
        <v>11866.53</v>
      </c>
      <c r="C22" s="111">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Disponible I</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8" t="n"/>
      <c r="C23" s="111" t="n"/>
      <c r="D23" s="30" t="n"/>
      <c r="E23" s="30" t="n"/>
      <c r="F23" s="30" t="n"/>
      <c r="O23" s="14" t="n">
        <v>2026</v>
      </c>
      <c r="P23" s="14">
        <f>+B246</f>
        <v/>
      </c>
      <c r="Q23" s="30">
        <f>+B247</f>
        <v/>
      </c>
      <c r="R23" s="30">
        <f>+B248</f>
        <v/>
      </c>
      <c r="S23" s="14">
        <f>+B249</f>
        <v/>
      </c>
      <c r="U23" s="30" t="n"/>
      <c r="Y23" s="30" t="n"/>
      <c r="AD23" s="37" t="n"/>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8" t="n">
        <v>11922.48</v>
      </c>
      <c r="C24" s="111">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c r="AV24" s="39" t="n"/>
      <c r="AW24" s="39" t="n"/>
      <c r="AX24" s="39" t="n"/>
      <c r="AY24" s="39" t="n"/>
      <c r="AZ24" s="39" t="n"/>
      <c r="BA24" s="39" t="n"/>
      <c r="BB24" s="39" t="n"/>
    </row>
    <row r="25">
      <c r="A25" s="28" t="n">
        <v>39353</v>
      </c>
      <c r="B25" s="118" t="n">
        <v>11975.61</v>
      </c>
      <c r="C25" s="111">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8" t="n">
        <v>12038.9</v>
      </c>
      <c r="C26" s="111">
        <f>(B26/B25-1)/(A26-A25)*30</f>
        <v/>
      </c>
      <c r="D26" s="30" t="n"/>
      <c r="E26" s="30" t="n"/>
      <c r="F26" s="30" t="n"/>
      <c r="O26" s="43" t="inlineStr">
        <is>
          <t>FONDO LIQUIDEZ DISPONIBLE I</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8" t="n">
        <v>12096.85</v>
      </c>
      <c r="C27" s="111">
        <f>(B27/B26-1)/(A27-A26)*30</f>
        <v/>
      </c>
      <c r="D27" s="30" t="n"/>
      <c r="E27" s="30" t="n"/>
      <c r="F27" s="30" t="n"/>
      <c r="O27" s="14" t="n">
        <v>2016</v>
      </c>
      <c r="P27" s="118" t="n"/>
      <c r="Q27" s="118" t="n"/>
      <c r="R27" s="118" t="n"/>
      <c r="S27" s="118" t="n"/>
      <c r="T27" s="118">
        <f>'[1]Cuota Liquidez '!B2</f>
        <v/>
      </c>
      <c r="U27" s="120">
        <f>LOOKUP(DATE($O27,U$25,U$24),$A$2:$A$2943,$H$2:$H$2943)</f>
        <v/>
      </c>
      <c r="V27" s="120">
        <f>LOOKUP(DATE($O27,V$25,V$24),$A$2:$A$2943,$H$2:$H$2943)</f>
        <v/>
      </c>
      <c r="W27" s="120">
        <f>LOOKUP(DATE($O27,W$25,W$24),$A$2:$A$2943,$H$2:$H$2943)</f>
        <v/>
      </c>
      <c r="X27" s="120">
        <f>LOOKUP(DATE($O27,X$25,X$24),$A$2:$A$2943,$H$2:$H$2943)</f>
        <v/>
      </c>
      <c r="Y27" s="120">
        <f>LOOKUP(DATE($O27,Y$25,Y$24),$A$2:$A$2943,$H$2:$H$2943)</f>
        <v/>
      </c>
      <c r="Z27" s="120">
        <f>LOOKUP(DATE($O27,Z$25,Z$24),$A$2:$A$2943,$H$2:$H$2943)</f>
        <v/>
      </c>
      <c r="AA27" s="120">
        <f>LOOKUP(DATE($O27,AA$25,AA$24),$A$2:$A$2943,$H$2:$H$2943)</f>
        <v/>
      </c>
      <c r="AD27" s="40" t="inlineStr">
        <is>
          <t>Disponible I</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8" t="n">
        <v>12152.6</v>
      </c>
      <c r="C28" s="111">
        <f>(B28/B27-1)/(A28-A27)*30</f>
        <v/>
      </c>
      <c r="D28" s="30" t="n"/>
      <c r="E28" s="30" t="n"/>
      <c r="F28" s="30" t="n"/>
      <c r="O28" s="14" t="n">
        <v>2017</v>
      </c>
      <c r="P28" s="120">
        <f>LOOKUP(DATE($O28,P$25,P$24),$A$2:$A$2943,$H$2:$H$2943)</f>
        <v/>
      </c>
      <c r="Q28" s="120">
        <f>LOOKUP(DATE($O28,Q$25,Q$24),$A$2:$A$2943,$H$2:$H$2943)</f>
        <v/>
      </c>
      <c r="R28" s="120">
        <f>LOOKUP(DATE($O28,R$25,R$24),$A$2:$A$2943,$H$2:$H$2943)</f>
        <v/>
      </c>
      <c r="S28" s="120">
        <f>LOOKUP(DATE($O28,S$25,S$24),$A$2:$A$2943,$H$2:$H$2943)</f>
        <v/>
      </c>
      <c r="T28" s="120">
        <f>LOOKUP(DATE($O28,T$25,T$24),$A$2:$A$2943,$H$2:$H$2943)</f>
        <v/>
      </c>
      <c r="U28" s="120">
        <f>LOOKUP(DATE($O28,U$25,U$24),$A$2:$A$2943,$H$2:$H$2943)</f>
        <v/>
      </c>
      <c r="V28" s="120">
        <f>LOOKUP(DATE($O28,V$25,V$24),$A$2:$A$2943,$H$2:$H$2943)</f>
        <v/>
      </c>
      <c r="W28" s="120">
        <f>LOOKUP(DATE($O28,W$25,W$24),$A$2:$A$2943,$H$2:$H$2943)</f>
        <v/>
      </c>
      <c r="X28" s="120">
        <f>LOOKUP(DATE($O28,X$25,X$24),$A$2:$A$2943,$H$2:$H$2943)</f>
        <v/>
      </c>
      <c r="Y28" s="120">
        <f>LOOKUP(DATE($O28,Y$25,Y$24),$A$2:$A$2943,$H$2:$H$2943)</f>
        <v/>
      </c>
      <c r="Z28" s="120">
        <f>LOOKUP(DATE($O28,Z$25,Z$24),$A$2:$A$2943,$H$2:$H$2943)</f>
        <v/>
      </c>
      <c r="AA28" s="120">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t>
        </is>
      </c>
      <c r="BC28" s="49" t="n"/>
      <c r="BD28" s="50" t="n"/>
    </row>
    <row r="29">
      <c r="A29" s="28" t="n">
        <v>39478</v>
      </c>
      <c r="B29" s="118" t="n">
        <v>12223.14</v>
      </c>
      <c r="C29" s="111">
        <f>(B29/B28-1)/(A29-A28)*30</f>
        <v/>
      </c>
      <c r="D29" s="30" t="n"/>
      <c r="E29" s="30" t="n"/>
      <c r="F29" s="30" t="n"/>
      <c r="O29" s="14" t="n">
        <v>2018</v>
      </c>
      <c r="P29" s="120">
        <f>LOOKUP(DATE($O29,P$25,P$24),$A$2:$A$2943,$H$2:$H$2943)</f>
        <v/>
      </c>
      <c r="Q29" s="120">
        <f>LOOKUP(DATE($O29,Q$25,Q$24),$A$2:$A$2943,$H$2:$H$2943)</f>
        <v/>
      </c>
      <c r="R29" s="120">
        <f>LOOKUP(DATE($O29,R$25,R$24),$A$2:$A$2943,$H$2:$H$2943)</f>
        <v/>
      </c>
      <c r="S29" s="120">
        <f>LOOKUP(DATE($O29,S$25,S$24),$A$2:$A$2943,$H$2:$H$2943)</f>
        <v/>
      </c>
      <c r="T29" s="120">
        <f>LOOKUP(DATE($O29,T$25,T$24),$A$2:$A$2943,$H$2:$H$2943)</f>
        <v/>
      </c>
      <c r="U29" s="120">
        <f>LOOKUP(DATE($O29,U$25,U$24),$A$2:$A$2943,$H$2:$H$2943)</f>
        <v/>
      </c>
      <c r="V29" s="120">
        <f>LOOKUP(DATE($O29,V$25,V$24),$A$2:$A$2943,$H$2:$H$2943)</f>
        <v/>
      </c>
      <c r="W29" s="120">
        <f>LOOKUP(DATE($O29,W$25,W$24),$A$2:$A$2943,$H$2:$H$2943)</f>
        <v/>
      </c>
      <c r="X29" s="120">
        <f>LOOKUP(DATE($O29,X$25,X$24),$A$2:$A$2943,$H$2:$H$2943)</f>
        <v/>
      </c>
      <c r="Y29" s="121">
        <f>LOOKUP(DATE($O29,Y$25,Y$24),$A$2:$A$2943,$H$2:$H$2943)</f>
        <v/>
      </c>
      <c r="Z29" s="121">
        <f>LOOKUP(DATE($O29,Z$25,Z$24),$A$2:$A$2943,$H$2:$H$2943)</f>
        <v/>
      </c>
      <c r="AA29" s="121">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4" t="n"/>
      <c r="AW29" s="48" t="inlineStr">
        <is>
          <t>ICP (Bechmark)</t>
        </is>
      </c>
      <c r="AX29" s="51">
        <f>$AW20/AX20-1</f>
        <v/>
      </c>
      <c r="AY29" s="51">
        <f>$AW20/AY20-1</f>
        <v/>
      </c>
      <c r="AZ29" s="51">
        <f>$AW20/AZ20-1</f>
        <v/>
      </c>
      <c r="BA29" s="51">
        <f>$AW20/BA20-1</f>
        <v/>
      </c>
      <c r="BB29" s="51">
        <f>+AQ86</f>
        <v/>
      </c>
      <c r="BC29" s="52" t="n"/>
      <c r="BD29" s="38" t="n"/>
    </row>
    <row r="30">
      <c r="A30" s="28" t="n">
        <v>39507</v>
      </c>
      <c r="B30" s="118" t="n">
        <v>12284.88</v>
      </c>
      <c r="C30" s="111">
        <f>(B30/B29-1)/(A30-A29)*30</f>
        <v/>
      </c>
      <c r="D30" s="30" t="n"/>
      <c r="E30" s="30" t="n"/>
      <c r="F30" s="30" t="n"/>
      <c r="O30" s="14" t="n">
        <v>2019</v>
      </c>
      <c r="P30" s="120">
        <f>LOOKUP(DATE($O30,P$25,P$24),$A$2:$A$2943,$H$2:$H$2943)</f>
        <v/>
      </c>
      <c r="Q30" s="120">
        <f>LOOKUP(DATE($O30,Q$25,Q$24),$A$2:$A$2943,$H$2:$H$2943)</f>
        <v/>
      </c>
      <c r="R30" s="120">
        <f>LOOKUP(DATE($O30,R$25,R$24),$A$2:$A$2943,$H$2:$H$2943)</f>
        <v/>
      </c>
      <c r="S30" s="120">
        <f>LOOKUP(DATE($O30,S$25,S$24),$A$2:$A$2943,$H$2:$H$2943)</f>
        <v/>
      </c>
      <c r="T30" s="120">
        <f>LOOKUP(DATE($O30,T$25,T$24),$A$2:$A$2943,$H$2:$H$2943)</f>
        <v/>
      </c>
      <c r="U30" s="120">
        <f>LOOKUP(DATE($O30,U$25,U$24),$A$2:$A$2943,$H$2:$H$2943)</f>
        <v/>
      </c>
      <c r="V30" s="120">
        <f>LOOKUP(DATE($O30,V$25,V$24),$A$2:$A$2943,$H$2:$H$2943)</f>
        <v/>
      </c>
      <c r="W30" s="120">
        <f>LOOKUP(DATE($O30,W$25,W$24),$A$2:$A$2943,$H$2:$H$2943)</f>
        <v/>
      </c>
      <c r="X30" s="120">
        <f>LOOKUP(DATE($O30,X$25,X$24),$A$2:$A$2943,$H$2:$H$2943)</f>
        <v/>
      </c>
      <c r="Y30" s="120">
        <f>LOOKUP(DATE($O30,Y$25,Y$24),$A$2:$A$2943,$H$2:$H$2943)</f>
        <v/>
      </c>
      <c r="Z30" s="120">
        <f>LOOKUP(DATE($O30,Z$25,Z$24),$A$2:$A$2943,$H$2:$H$2943)</f>
        <v/>
      </c>
      <c r="AA30" s="120">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8" t="n">
        <v>12351.45</v>
      </c>
      <c r="C31" s="111">
        <f>(B31/B30-1)/(A31-A30)*30</f>
        <v/>
      </c>
      <c r="D31" s="30" t="n"/>
      <c r="E31" s="30" t="n"/>
      <c r="F31" s="30" t="n"/>
      <c r="O31" s="14" t="n">
        <v>2020</v>
      </c>
      <c r="P31" s="120">
        <f>LOOKUP(DATE($O31,P$25,P$24),$A$2:$A$2943,$H$2:$H$2943)</f>
        <v/>
      </c>
      <c r="Q31" s="120">
        <f>LOOKUP(DATE($O31,Q$25,Q$24)+1,$A$2:$A$2943,$H$2:$H$2943)</f>
        <v/>
      </c>
      <c r="R31" s="120">
        <f>LOOKUP(DATE($O31,R$25,R$24)+1,$A$2:$A$2943,$H$2:$H$2943)</f>
        <v/>
      </c>
      <c r="S31" s="120">
        <f>LOOKUP(DATE($O31,S$25,S$24)+1,$A$2:$A$2943,$H$2:$H$2943)</f>
        <v/>
      </c>
      <c r="T31" s="120">
        <f>LOOKUP(DATE($O31,T$25,T$24)+1,$A$2:$A$2943,$H$2:$H$2943)</f>
        <v/>
      </c>
      <c r="U31" s="120">
        <f>LOOKUP(DATE($O31,U$25,U$24)+1,$A$2:$A$2943,$H$2:$H$2943)</f>
        <v/>
      </c>
      <c r="V31" s="120">
        <f>LOOKUP(DATE($O31,V$25,V$24)+1,$A$2:$A$2943,$H$2:$H$2943)</f>
        <v/>
      </c>
      <c r="W31" s="120">
        <f>LOOKUP(DATE($O31,W$25,W$24)+1,$A$2:$A$2943,$H$2:$H$2943)</f>
        <v/>
      </c>
      <c r="X31" s="120">
        <f>LOOKUP(DATE($O31,X$25,X$24)+1,$A$2:$A$2943,$H$2:$H$2943)</f>
        <v/>
      </c>
      <c r="Y31" s="120">
        <f>+H183</f>
        <v/>
      </c>
      <c r="Z31" s="120">
        <f>+H184</f>
        <v/>
      </c>
      <c r="AA31" s="120">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DISPONIBLE I</t>
        </is>
      </c>
      <c r="AX31" s="51">
        <f>$AW22/AX22-1</f>
        <v/>
      </c>
      <c r="AY31" s="51">
        <f>$AW22/AY22-1</f>
        <v/>
      </c>
      <c r="AZ31" s="51">
        <f>$AW22/AZ22-1</f>
        <v/>
      </c>
      <c r="BA31" s="51">
        <f>$AW22/BA22-1</f>
        <v/>
      </c>
      <c r="BB31" s="51">
        <f>+AQ88</f>
        <v/>
      </c>
      <c r="BC31" s="53" t="n"/>
      <c r="BD31" s="38" t="n"/>
    </row>
    <row r="32">
      <c r="A32" s="28" t="n">
        <v>39568</v>
      </c>
      <c r="B32" s="118" t="n">
        <v>12416.18</v>
      </c>
      <c r="C32" s="111">
        <f>(B32/B31-1)/(A32-A31)*30</f>
        <v/>
      </c>
      <c r="D32" s="30" t="n"/>
      <c r="E32" s="30" t="n"/>
      <c r="F32" s="30" t="n"/>
      <c r="O32" s="14" t="n">
        <v>2021</v>
      </c>
      <c r="P32" s="118" t="n"/>
      <c r="Q32" s="118" t="n"/>
      <c r="R32" s="118" t="n"/>
      <c r="S32" s="118" t="n"/>
      <c r="T32" s="118" t="n"/>
      <c r="U32" s="118" t="n"/>
      <c r="V32" s="118" t="n"/>
      <c r="W32" s="118" t="n"/>
      <c r="X32" s="118" t="n"/>
      <c r="Y32" s="118" t="n"/>
      <c r="Z32" s="118">
        <f>+G196</f>
        <v/>
      </c>
      <c r="AA32" s="118">
        <f>+G197+S156</f>
        <v/>
      </c>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8" t="n">
        <v>12481.48</v>
      </c>
      <c r="C33" s="111">
        <f>(B33/B32-1)/(A33-A32)*30</f>
        <v/>
      </c>
      <c r="D33" s="30" t="n"/>
      <c r="E33" s="30" t="n"/>
      <c r="F33" s="30" t="n"/>
      <c r="O33" s="14" t="n">
        <v>2022</v>
      </c>
      <c r="P33" s="118" t="n"/>
      <c r="Q33" s="118" t="n"/>
      <c r="R33" s="118" t="n"/>
      <c r="S33" s="118" t="n"/>
      <c r="T33" s="118" t="n"/>
      <c r="U33" s="118" t="n"/>
      <c r="V33" s="118" t="n"/>
      <c r="W33" s="118" t="n"/>
      <c r="X33" s="118" t="n"/>
      <c r="Y33" s="118" t="n"/>
      <c r="Z33" s="118">
        <f>+G208+S156</f>
        <v/>
      </c>
      <c r="AA33" s="118">
        <f>+G209+S156</f>
        <v/>
      </c>
      <c r="AD33" s="32" t="n">
        <v>2021</v>
      </c>
      <c r="AE33" s="73" t="n"/>
      <c r="AF33" s="33" t="n"/>
      <c r="AG33" s="33" t="n"/>
      <c r="AH33" s="33" t="n"/>
      <c r="AI33" s="33" t="n"/>
      <c r="AJ33" s="33" t="n"/>
      <c r="AK33" s="33" t="n"/>
      <c r="AL33" s="33" t="n"/>
      <c r="AM33" s="33" t="n"/>
      <c r="AN33" s="33" t="n"/>
      <c r="AO33" s="33" t="n"/>
      <c r="AP33" s="33" t="n"/>
      <c r="AQ33" s="34" t="n"/>
      <c r="AR33" s="20" t="n"/>
      <c r="AS33" s="20" t="n"/>
      <c r="AY33" s="122" t="n"/>
      <c r="BD33" s="38" t="n"/>
    </row>
    <row r="34">
      <c r="A34" s="28" t="n">
        <v>39629</v>
      </c>
      <c r="B34" s="118" t="n">
        <v>12552.23</v>
      </c>
      <c r="C34" s="111">
        <f>(B34/B33-1)/(A34-A33)*30</f>
        <v/>
      </c>
      <c r="D34" s="30" t="n"/>
      <c r="E34" s="30" t="n"/>
      <c r="F34" s="30" t="n"/>
      <c r="O34" s="14" t="n">
        <v>2023</v>
      </c>
      <c r="P34" s="118" t="n"/>
      <c r="Q34" s="118" t="n"/>
      <c r="R34" s="118" t="n"/>
      <c r="S34" s="118" t="n"/>
      <c r="T34" s="118" t="n"/>
      <c r="U34" s="118" t="n"/>
      <c r="V34" s="118" t="n"/>
      <c r="W34" s="118" t="n"/>
      <c r="X34" s="118" t="n"/>
      <c r="Y34" s="118" t="n"/>
      <c r="Z34" s="118">
        <f>+H220</f>
        <v/>
      </c>
      <c r="AA34" s="118">
        <f>+H221</f>
        <v/>
      </c>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8" t="n">
        <v>12628.9</v>
      </c>
      <c r="C35" s="111">
        <f>(B35/B34-1)/(A35-A34)*30</f>
        <v/>
      </c>
      <c r="D35" s="30" t="n"/>
      <c r="E35" s="30" t="n"/>
      <c r="F35" s="30" t="n"/>
      <c r="O35" s="14" t="n">
        <v>2024</v>
      </c>
      <c r="P35" s="118" t="n"/>
      <c r="Q35" s="118" t="n"/>
      <c r="R35" s="118" t="n"/>
      <c r="S35" s="118" t="n"/>
      <c r="T35" s="118" t="n"/>
      <c r="U35" s="118" t="n"/>
      <c r="V35" s="118">
        <f>+H228</f>
        <v/>
      </c>
      <c r="W35" s="118">
        <f>+H229</f>
        <v/>
      </c>
      <c r="X35" s="118">
        <f>+H230</f>
        <v/>
      </c>
      <c r="Y35" s="118">
        <f>+H231</f>
        <v/>
      </c>
      <c r="Z35" s="118">
        <f>+H232</f>
        <v/>
      </c>
      <c r="AA35" s="118">
        <f>+H233</f>
        <v/>
      </c>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8" t="n">
        <v>12704.63</v>
      </c>
      <c r="C36" s="111">
        <f>(B36/B35-1)/(A36-A35)*30</f>
        <v/>
      </c>
      <c r="D36" s="30" t="n"/>
      <c r="E36" s="30" t="n"/>
      <c r="F36" s="30" t="n"/>
      <c r="O36" s="14" t="n">
        <v>2025</v>
      </c>
      <c r="P36" s="118">
        <f>+H234</f>
        <v/>
      </c>
      <c r="Q36" s="118">
        <f>+H235</f>
        <v/>
      </c>
      <c r="R36" s="118">
        <f>+H236</f>
        <v/>
      </c>
      <c r="S36" s="118">
        <f>+H237</f>
        <v/>
      </c>
      <c r="T36" s="118">
        <f>+H238</f>
        <v/>
      </c>
      <c r="U36" s="118">
        <f>+H239</f>
        <v/>
      </c>
      <c r="V36" s="118">
        <f>+H240</f>
        <v/>
      </c>
      <c r="W36" s="118">
        <f>+H241</f>
        <v/>
      </c>
      <c r="X36" s="118">
        <f>+H242</f>
        <v/>
      </c>
      <c r="Y36" s="118">
        <f>+H243</f>
        <v/>
      </c>
      <c r="Z36" s="118">
        <f>+H244</f>
        <v/>
      </c>
      <c r="AA36" s="118">
        <f>+H245</f>
        <v/>
      </c>
      <c r="AD36" s="32" t="n">
        <v>2024</v>
      </c>
      <c r="AE36" s="33" t="n"/>
      <c r="AF36" s="33" t="n"/>
      <c r="AG36" s="33" t="n"/>
      <c r="AH36" s="33" t="n"/>
      <c r="AI36" s="33" t="n"/>
      <c r="AJ36" s="33" t="n"/>
      <c r="AK36" s="33" t="n"/>
      <c r="AL36" s="33">
        <f>+(W35/V35-1)</f>
        <v/>
      </c>
      <c r="AM36" s="33">
        <f>+(X35/W35-1)</f>
        <v/>
      </c>
      <c r="AN36" s="33">
        <f>+(Y35/X35-1)</f>
        <v/>
      </c>
      <c r="AO36" s="33">
        <f>+(Z35/Y35-1)</f>
        <v/>
      </c>
      <c r="AP36" s="33">
        <f>+(AA35/Z35-1)</f>
        <v/>
      </c>
      <c r="AQ36" s="34">
        <f>+(AA35/V35-1)/COUNTA(AE36:AP36)*12</f>
        <v/>
      </c>
      <c r="AR36" s="20" t="n"/>
      <c r="AS36" s="20" t="n"/>
    </row>
    <row r="37">
      <c r="A37" s="28" t="n"/>
      <c r="B37" s="118" t="n"/>
      <c r="C37" s="111" t="n"/>
      <c r="D37" s="30" t="n"/>
      <c r="E37" s="30" t="n"/>
      <c r="F37" s="30" t="n"/>
      <c r="O37" s="14" t="n">
        <v>2026</v>
      </c>
      <c r="P37" s="118">
        <f>+H246</f>
        <v/>
      </c>
      <c r="Q37" s="118">
        <f>+H247</f>
        <v/>
      </c>
      <c r="R37" s="118">
        <f>+H248</f>
        <v/>
      </c>
      <c r="S37" s="118">
        <f>+H249</f>
        <v/>
      </c>
      <c r="T37" s="118" t="n"/>
      <c r="U37" s="118" t="n"/>
      <c r="V37" s="118" t="n"/>
      <c r="W37" s="118" t="n"/>
      <c r="X37" s="118" t="n"/>
      <c r="Y37" s="118" t="n"/>
      <c r="Z37" s="118" t="n"/>
      <c r="AA37" s="118" t="n"/>
      <c r="AD37" s="32" t="n">
        <v>2025</v>
      </c>
      <c r="AE37" s="33">
        <f>+(P36/AA35-1)</f>
        <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8" t="n">
        <v>12796.95</v>
      </c>
      <c r="C38" s="111">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+(S37/P37-1)/COUNTA(AE38:AP38)*12</f>
        <v/>
      </c>
      <c r="AR38" s="37" t="inlineStr">
        <is>
          <t>(*)</t>
        </is>
      </c>
      <c r="AS38" s="20" t="n"/>
    </row>
    <row r="39">
      <c r="A39" s="28" t="n">
        <v>39752</v>
      </c>
      <c r="B39" s="118" t="n">
        <v>12885.37</v>
      </c>
      <c r="C39" s="111">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8" t="n">
        <v>12970.93</v>
      </c>
      <c r="C40" s="111">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8" t="n">
        <v>13066.33</v>
      </c>
      <c r="C41" s="111">
        <f>(B41/B40-1)/(A41-A40)*30</f>
        <v/>
      </c>
      <c r="D41" s="30" t="n"/>
      <c r="E41" s="30" t="n"/>
      <c r="F41" s="30" t="n"/>
      <c r="O41" s="14" t="n">
        <v>2016</v>
      </c>
      <c r="P41" s="118">
        <f>+K126</f>
        <v/>
      </c>
      <c r="Q41" s="118">
        <f>+K127</f>
        <v/>
      </c>
      <c r="R41" s="118">
        <f>+K128</f>
        <v/>
      </c>
      <c r="S41" s="118">
        <f>+K129</f>
        <v/>
      </c>
      <c r="T41" s="118">
        <f>+K130</f>
        <v/>
      </c>
      <c r="U41" s="120">
        <f>+K131</f>
        <v/>
      </c>
      <c r="V41" s="120">
        <f>+K132</f>
        <v/>
      </c>
      <c r="W41" s="120">
        <f>+K133</f>
        <v/>
      </c>
      <c r="X41" s="120">
        <f>+K134</f>
        <v/>
      </c>
      <c r="Y41" s="120">
        <f>+K135</f>
        <v/>
      </c>
      <c r="Z41" s="120">
        <f>+K136</f>
        <v/>
      </c>
      <c r="AA41" s="120">
        <f>+K137</f>
        <v/>
      </c>
      <c r="AD41" s="25" t="n">
        <v>2016</v>
      </c>
      <c r="AE41" s="26" t="n"/>
      <c r="AF41" s="26" t="n"/>
      <c r="AG41" s="26" t="n"/>
      <c r="AH41" s="26" t="n"/>
      <c r="AI41" s="26" t="n"/>
      <c r="AJ41" s="26" t="n"/>
      <c r="AK41" s="26" t="n"/>
      <c r="AL41" s="26" t="n"/>
      <c r="AM41" s="26" t="n"/>
      <c r="AN41" s="26" t="n"/>
      <c r="AO41" s="26" t="n"/>
      <c r="AP41" s="26" t="n"/>
      <c r="AQ41" s="27">
        <f>+AA41/P41-1</f>
        <v/>
      </c>
      <c r="AR41" s="20" t="n"/>
      <c r="AS41" s="20" t="n"/>
      <c r="BE41" s="38" t="n"/>
      <c r="BF41" s="38" t="n"/>
      <c r="BG41" s="38" t="n"/>
      <c r="BH41" s="38" t="n"/>
      <c r="BI41" s="38" t="n"/>
      <c r="BJ41" s="62" t="n"/>
    </row>
    <row r="42" ht="15" customHeight="1">
      <c r="A42" s="28" t="n">
        <v>39843</v>
      </c>
      <c r="B42" s="118" t="n">
        <v>13151.16</v>
      </c>
      <c r="C42" s="111">
        <f>(B42/B41-1)/(A42-A41)*30</f>
        <v/>
      </c>
      <c r="D42" s="30" t="n"/>
      <c r="E42" s="30" t="n"/>
      <c r="F42" s="30" t="n"/>
      <c r="O42" s="14" t="n">
        <v>2017</v>
      </c>
      <c r="P42" s="120">
        <f>+K138</f>
        <v/>
      </c>
      <c r="Q42" s="120">
        <f>+K139</f>
        <v/>
      </c>
      <c r="R42" s="120">
        <f>+K140</f>
        <v/>
      </c>
      <c r="S42" s="120">
        <f>+K141</f>
        <v/>
      </c>
      <c r="T42" s="120">
        <f>+K142</f>
        <v/>
      </c>
      <c r="U42" s="115">
        <f>+$K143</f>
        <v/>
      </c>
      <c r="V42" s="115">
        <f>+$K144</f>
        <v/>
      </c>
      <c r="W42" s="115">
        <f>+$K145</f>
        <v/>
      </c>
      <c r="X42" s="115">
        <f>+$K146</f>
        <v/>
      </c>
      <c r="Y42" s="115">
        <f>+$K147</f>
        <v/>
      </c>
      <c r="Z42" s="115">
        <f>+$K148</f>
        <v/>
      </c>
      <c r="AA42" s="115">
        <f>+K149</f>
        <v/>
      </c>
      <c r="AD42" s="32" t="n">
        <v>2017</v>
      </c>
      <c r="AE42" s="33" t="n"/>
      <c r="AF42" s="33" t="n"/>
      <c r="AG42" s="33" t="n"/>
      <c r="AH42" s="33" t="n"/>
      <c r="AI42" s="33" t="n"/>
      <c r="AJ42" s="33" t="n"/>
      <c r="AK42" s="33" t="n"/>
      <c r="AL42" s="33" t="n"/>
      <c r="AM42" s="33" t="n"/>
      <c r="AN42" s="33" t="n"/>
      <c r="AO42" s="33" t="n"/>
      <c r="AP42" s="33" t="n"/>
      <c r="AQ42" s="34">
        <f>+AA42/AA41-1</f>
        <v/>
      </c>
      <c r="AR42" s="20" t="n"/>
      <c r="AS42" s="20" t="n"/>
      <c r="BE42" s="38" t="n"/>
      <c r="BF42" s="38" t="n"/>
      <c r="BG42" s="38" t="n"/>
      <c r="BH42" s="38" t="n"/>
      <c r="BI42" s="38" t="n"/>
      <c r="BJ42" s="62" t="n"/>
    </row>
    <row r="43" ht="15" customHeight="1">
      <c r="A43" s="28" t="n">
        <v>39871</v>
      </c>
      <c r="B43" s="118" t="n">
        <v>13212.09</v>
      </c>
      <c r="C43" s="111">
        <f>(B43/B42-1)/(A43-A42)*30</f>
        <v/>
      </c>
      <c r="D43" s="30" t="n"/>
      <c r="E43" s="30" t="n"/>
      <c r="F43" s="30" t="n"/>
      <c r="O43" s="14" t="n">
        <v>2018</v>
      </c>
      <c r="P43" s="120">
        <f>+K150</f>
        <v/>
      </c>
      <c r="Q43" s="120">
        <f>+K151</f>
        <v/>
      </c>
      <c r="R43" s="120">
        <f>+K152</f>
        <v/>
      </c>
      <c r="S43" s="120">
        <f>+K153</f>
        <v/>
      </c>
      <c r="T43" s="118">
        <f>+K154</f>
        <v/>
      </c>
      <c r="U43" s="118">
        <f>+K155</f>
        <v/>
      </c>
      <c r="V43" s="118">
        <f>+K156</f>
        <v/>
      </c>
      <c r="W43" s="118">
        <f>+K157</f>
        <v/>
      </c>
      <c r="X43" s="118">
        <f>+K158</f>
        <v/>
      </c>
      <c r="Y43" s="118">
        <f>+K159</f>
        <v/>
      </c>
      <c r="Z43" s="118">
        <f>+K160</f>
        <v/>
      </c>
      <c r="AA43" s="118">
        <f>+K161</f>
        <v/>
      </c>
      <c r="AD43" s="25" t="n">
        <v>2018</v>
      </c>
      <c r="AE43" s="26" t="n"/>
      <c r="AF43" s="26" t="n"/>
      <c r="AG43" s="26" t="n"/>
      <c r="AH43" s="26" t="n"/>
      <c r="AI43" s="26" t="n"/>
      <c r="AJ43" s="26" t="n"/>
      <c r="AK43" s="38" t="n"/>
      <c r="AL43" s="38" t="n"/>
      <c r="AM43" s="38" t="n"/>
      <c r="AN43" s="71" t="n"/>
      <c r="AO43" s="71" t="n"/>
      <c r="AP43" s="71" t="n"/>
      <c r="AQ43" s="27">
        <f>+AA43/AA42-1</f>
        <v/>
      </c>
      <c r="AR43" s="20" t="n"/>
      <c r="AS43" s="20" t="n"/>
      <c r="BE43" s="38" t="n"/>
      <c r="BF43" s="38" t="n"/>
      <c r="BG43" s="38" t="n"/>
      <c r="BH43" s="38" t="n"/>
      <c r="BI43" s="38" t="n"/>
      <c r="BJ43" s="62" t="n"/>
    </row>
    <row r="44">
      <c r="A44" s="28" t="n">
        <v>39903</v>
      </c>
      <c r="B44" s="118" t="n">
        <v>13251.18</v>
      </c>
      <c r="C44" s="111">
        <f>(B44/B43-1)/(A44-A43)*30</f>
        <v/>
      </c>
      <c r="D44" s="30" t="n"/>
      <c r="E44" s="30" t="n"/>
      <c r="F44" s="30" t="n"/>
      <c r="O44" s="14" t="n">
        <v>2019</v>
      </c>
      <c r="P44" s="14">
        <f>+K162</f>
        <v/>
      </c>
      <c r="Q44" s="14">
        <f>+K163</f>
        <v/>
      </c>
      <c r="R44" s="29">
        <f>+K164</f>
        <v/>
      </c>
      <c r="S44" s="29">
        <f>+K165</f>
        <v/>
      </c>
      <c r="T44" s="29">
        <f>+K166</f>
        <v/>
      </c>
      <c r="U44" s="14">
        <f>+K167</f>
        <v/>
      </c>
      <c r="V44" s="14">
        <f>+K168</f>
        <v/>
      </c>
      <c r="W44" s="14">
        <f>+K169</f>
        <v/>
      </c>
      <c r="X44" s="123">
        <f>+K170</f>
        <v/>
      </c>
      <c r="Y44" s="123">
        <f>+K171</f>
        <v/>
      </c>
      <c r="Z44" s="14">
        <f>+K172</f>
        <v/>
      </c>
      <c r="AA44" s="14">
        <f>+K173</f>
        <v/>
      </c>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8" t="n">
        <v>13272.62</v>
      </c>
      <c r="C45" s="111">
        <f>(B45/B44-1)/(A45-A44)*30</f>
        <v/>
      </c>
      <c r="D45" s="30" t="n"/>
      <c r="E45" s="30" t="n"/>
      <c r="F45" s="30" t="n"/>
      <c r="O45" s="14" t="n">
        <v>2020</v>
      </c>
      <c r="P45" s="14">
        <f>+K174</f>
        <v/>
      </c>
      <c r="Q45" s="14">
        <f>+K175</f>
        <v/>
      </c>
      <c r="R45" s="14">
        <f>+K176</f>
        <v/>
      </c>
      <c r="S45" s="14">
        <f>+K177</f>
        <v/>
      </c>
      <c r="T45" s="14">
        <f>+K178</f>
        <v/>
      </c>
      <c r="U45" s="14">
        <f>+K179</f>
        <v/>
      </c>
      <c r="V45" s="14">
        <f>+K180</f>
        <v/>
      </c>
      <c r="W45" s="14">
        <f>+K181</f>
        <v/>
      </c>
      <c r="X45" s="14">
        <f>+K182</f>
        <v/>
      </c>
      <c r="Y45" s="14">
        <f>+K183</f>
        <v/>
      </c>
      <c r="Z45" s="14">
        <f>+K184</f>
        <v/>
      </c>
      <c r="AA45" s="14">
        <f>+K185</f>
        <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8" t="n">
        <v>13286.96</v>
      </c>
      <c r="C46" s="111">
        <f>(B46/B45-1)/(A46-A45)*30</f>
        <v/>
      </c>
      <c r="D46" s="30" t="n"/>
      <c r="E46" s="30" t="n"/>
      <c r="F46" s="30" t="n"/>
      <c r="O46" s="14" t="n">
        <v>2021</v>
      </c>
      <c r="Q46" s="14">
        <f>+K187</f>
        <v/>
      </c>
      <c r="R46" s="14">
        <f>+K188</f>
        <v/>
      </c>
      <c r="S46" s="14">
        <f>+K189</f>
        <v/>
      </c>
      <c r="T46" s="14">
        <f>+K190</f>
        <v/>
      </c>
      <c r="U46" s="14">
        <f>+K191</f>
        <v/>
      </c>
      <c r="V46" s="14">
        <f>+K192</f>
        <v/>
      </c>
      <c r="W46" s="14">
        <f>+K193</f>
        <v/>
      </c>
      <c r="X46" s="29">
        <f>+K194</f>
        <v/>
      </c>
      <c r="Y46" s="14">
        <f>+K195</f>
        <v/>
      </c>
      <c r="Z46" s="29">
        <f>+K196</f>
        <v/>
      </c>
      <c r="AA46" s="14">
        <f>+K197</f>
        <v/>
      </c>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8" t="n">
        <v>13299.08</v>
      </c>
      <c r="C47" s="111">
        <f>(B47/B46-1)/(A47-A46)*30</f>
        <v/>
      </c>
      <c r="D47" s="30" t="n"/>
      <c r="E47" s="30" t="n"/>
      <c r="F47" s="30" t="n"/>
      <c r="O47" s="14" t="n">
        <v>2022</v>
      </c>
      <c r="P47" s="14">
        <f>+K198</f>
        <v/>
      </c>
      <c r="Q47" s="14">
        <f>+K199</f>
        <v/>
      </c>
      <c r="R47" s="14">
        <f>+K200</f>
        <v/>
      </c>
      <c r="S47" s="14">
        <f>+K201</f>
        <v/>
      </c>
      <c r="T47" s="14">
        <f>+K202</f>
        <v/>
      </c>
      <c r="U47" s="29">
        <f>+K203</f>
        <v/>
      </c>
      <c r="V47" s="14">
        <f>+K204</f>
        <v/>
      </c>
      <c r="W47" s="29">
        <f>+K205</f>
        <v/>
      </c>
      <c r="X47" s="29">
        <f>+K206</f>
        <v/>
      </c>
      <c r="Y47" s="29">
        <f>+K207</f>
        <v/>
      </c>
      <c r="Z47" s="29">
        <f>+K208</f>
        <v/>
      </c>
      <c r="AA47" s="14">
        <f>+K209</f>
        <v/>
      </c>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8" t="n">
        <v>13305.34</v>
      </c>
      <c r="C48" s="111">
        <f>(B48/B47-1)/(A48-A47)*30</f>
        <v/>
      </c>
      <c r="D48" s="30" t="n"/>
      <c r="E48" s="30" t="n"/>
      <c r="F48" s="30" t="n"/>
      <c r="O48" s="14" t="n">
        <v>2023</v>
      </c>
      <c r="P48" s="14">
        <f>+K210</f>
        <v/>
      </c>
      <c r="Q48" s="14">
        <f>+K211</f>
        <v/>
      </c>
      <c r="R48" s="14">
        <f>+K212</f>
        <v/>
      </c>
      <c r="S48" s="14">
        <f>+K213</f>
        <v/>
      </c>
      <c r="T48" s="29">
        <f>+K214</f>
        <v/>
      </c>
      <c r="U48" s="14">
        <f>+K215</f>
        <v/>
      </c>
      <c r="V48" s="14">
        <f>+K216</f>
        <v/>
      </c>
      <c r="W48" s="29">
        <f>+K217</f>
        <v/>
      </c>
      <c r="X48" s="29">
        <f>+K218</f>
        <v/>
      </c>
      <c r="Y48" s="14">
        <f>+K219</f>
        <v/>
      </c>
      <c r="Z48" s="29">
        <f>+K220</f>
        <v/>
      </c>
      <c r="AA48" s="14">
        <f>+K221</f>
        <v/>
      </c>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8" t="n">
        <v>13310.07</v>
      </c>
      <c r="C49" s="111">
        <f>(B49/B48-1)/(A49-A48)*30</f>
        <v/>
      </c>
      <c r="D49" s="30" t="n"/>
      <c r="E49" s="30" t="n"/>
      <c r="F49" s="30" t="n"/>
      <c r="O49" s="14" t="n">
        <v>2024</v>
      </c>
      <c r="P49" s="29">
        <f>+K222</f>
        <v/>
      </c>
      <c r="Q49" s="14">
        <f>+K223</f>
        <v/>
      </c>
      <c r="R49" s="14">
        <f>+K224</f>
        <v/>
      </c>
      <c r="S49" s="14">
        <f>+K225</f>
        <v/>
      </c>
      <c r="T49" s="14">
        <f>+K226</f>
        <v/>
      </c>
      <c r="U49" s="14">
        <f>+K227</f>
        <v/>
      </c>
      <c r="V49" s="14">
        <f>+K228</f>
        <v/>
      </c>
      <c r="W49" s="14">
        <f>+K229</f>
        <v/>
      </c>
      <c r="X49" s="14">
        <f>+K230</f>
        <v/>
      </c>
      <c r="Y49" s="14">
        <f>+K231</f>
        <v/>
      </c>
      <c r="Z49" s="14">
        <f>+K232</f>
        <v/>
      </c>
      <c r="AA49" s="14">
        <f>+K233</f>
        <v/>
      </c>
      <c r="AD49" s="32" t="n">
        <v>2024</v>
      </c>
      <c r="AE49" s="33" t="n"/>
      <c r="AF49" s="33" t="n"/>
      <c r="AG49" s="33" t="n"/>
      <c r="AH49" s="33" t="n"/>
      <c r="AI49" s="33" t="n"/>
      <c r="AJ49" s="33" t="n"/>
      <c r="AK49" s="33" t="n"/>
      <c r="AL49" s="33">
        <f>+(W49/V49-1)</f>
        <v/>
      </c>
      <c r="AM49" s="33">
        <f>+(X49/W49-1)</f>
        <v/>
      </c>
      <c r="AN49" s="33">
        <f>+(Y49/X49-1)</f>
        <v/>
      </c>
      <c r="AO49" s="33">
        <f>+(Z49/Y49-1)</f>
        <v/>
      </c>
      <c r="AP49" s="33">
        <f>+(AA49/Z49-1)</f>
        <v/>
      </c>
      <c r="AQ49" s="34">
        <f>+(AA49/V49-1)/COUNTA(AE49:AP49)*12</f>
        <v/>
      </c>
      <c r="AR49" s="20" t="n"/>
      <c r="AS49" s="20" t="n"/>
      <c r="BD49" s="38" t="n"/>
      <c r="BE49" s="38" t="n"/>
      <c r="BF49" s="38" t="n"/>
      <c r="BG49" s="38" t="n"/>
      <c r="BH49" s="38" t="n"/>
      <c r="BI49" s="38" t="n"/>
      <c r="BJ49" s="62" t="n"/>
    </row>
    <row r="50">
      <c r="A50" s="28" t="n">
        <v>40086</v>
      </c>
      <c r="B50" s="118" t="n">
        <v>13315.05</v>
      </c>
      <c r="C50" s="111">
        <f>(B50/B49-1)/(A50-A49)*30</f>
        <v/>
      </c>
      <c r="D50" s="30" t="n"/>
      <c r="E50" s="30" t="n"/>
      <c r="F50" s="30" t="n"/>
      <c r="O50" s="14" t="n">
        <v>2025</v>
      </c>
      <c r="P50" s="14">
        <f>+K234</f>
        <v/>
      </c>
      <c r="Q50" s="14">
        <f>+K235</f>
        <v/>
      </c>
      <c r="R50" s="14">
        <f>+K236</f>
        <v/>
      </c>
      <c r="S50" s="14">
        <f>+K237</f>
        <v/>
      </c>
      <c r="T50" s="14">
        <f>+K238</f>
        <v/>
      </c>
      <c r="U50" s="14">
        <f>+K239</f>
        <v/>
      </c>
      <c r="V50" s="14">
        <f>+K240</f>
        <v/>
      </c>
      <c r="W50" s="14">
        <f>+K241</f>
        <v/>
      </c>
      <c r="X50" s="14">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8" t="n">
        <v>13319.74</v>
      </c>
      <c r="C51" s="111">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8" t="n">
        <v>13324.51</v>
      </c>
      <c r="C52" s="111">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8" t="n">
        <v>13329.5</v>
      </c>
      <c r="C53" s="111">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8" t="n">
        <v>13334.25</v>
      </c>
      <c r="C54" s="111">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8" t="n">
        <v>13338.53</v>
      </c>
      <c r="C55" s="111">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8" t="n">
        <v>13343.79</v>
      </c>
      <c r="C56" s="111">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8" t="n">
        <v>13348.63</v>
      </c>
      <c r="C57" s="111">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8" t="n">
        <v>13353.5</v>
      </c>
      <c r="C58" s="111">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8" t="n">
        <v>13360.9</v>
      </c>
      <c r="C59" s="111">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8" t="n">
        <v>13373.99</v>
      </c>
      <c r="C60" s="111">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8" t="n">
        <v>13395.21</v>
      </c>
      <c r="C61" s="111">
        <f>(B61/B60-1)/(A61-A60)*30</f>
        <v/>
      </c>
      <c r="D61" s="30" t="n"/>
      <c r="E61" s="30" t="n"/>
      <c r="F61" s="30" t="n"/>
      <c r="AC61" s="81" t="n"/>
      <c r="AD61" s="57" t="inlineStr">
        <is>
          <t>FIP Liquidez Disponible I</t>
        </is>
      </c>
      <c r="AE61" s="58" t="n"/>
      <c r="AF61" s="58" t="n"/>
      <c r="AG61" s="58" t="n"/>
      <c r="AH61" s="58" t="n"/>
      <c r="AI61" s="58" t="n"/>
      <c r="AJ61" s="58" t="n"/>
      <c r="AK61" s="58" t="n"/>
      <c r="AL61" s="58" t="n"/>
      <c r="AM61" s="58" t="n"/>
      <c r="AN61" s="58" t="n"/>
      <c r="AO61" s="58" t="n"/>
      <c r="AP61" s="58" t="n"/>
      <c r="AQ61" s="59" t="n"/>
      <c r="AR61" s="63" t="n"/>
      <c r="AS61" s="20" t="n"/>
    </row>
    <row r="62">
      <c r="A62" s="28" t="n">
        <v>40451</v>
      </c>
      <c r="B62" s="118" t="n">
        <v>13419.79</v>
      </c>
      <c r="C62" s="111">
        <f>(B62/B61-1)/(A62-A61)*30</f>
        <v/>
      </c>
      <c r="D62" s="30" t="n"/>
      <c r="E62" s="30" t="n"/>
      <c r="F62" s="30" t="n"/>
      <c r="AC62" s="113"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8" t="n">
        <v>13448.69</v>
      </c>
      <c r="C63" s="111">
        <f>(B63/B62-1)/(A63-A62)*30</f>
        <v/>
      </c>
      <c r="D63" s="30" t="n"/>
      <c r="E63" s="30" t="n"/>
      <c r="F63" s="30" t="n"/>
      <c r="AC63" s="113"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8" t="n">
        <v>13483.02</v>
      </c>
      <c r="C64" s="111">
        <f>(B64/B63-1)/(A64-A63)*30</f>
        <v/>
      </c>
      <c r="D64" s="30" t="n"/>
      <c r="E64" s="30" t="n"/>
      <c r="F64" s="30" t="n"/>
      <c r="AC64" s="113" t="n"/>
      <c r="AD64" s="57" t="inlineStr">
        <is>
          <t>FIP Liquidez Disponible I</t>
        </is>
      </c>
      <c r="AE64" s="61" t="n"/>
      <c r="AF64" s="61" t="n"/>
      <c r="AG64" s="61" t="n"/>
      <c r="AH64" s="61" t="n"/>
      <c r="AI64" s="61" t="n"/>
      <c r="AJ64" s="61" t="n"/>
      <c r="AK64" s="61" t="n"/>
      <c r="AL64" s="61" t="n"/>
      <c r="AM64" s="61" t="n"/>
      <c r="AN64" s="61" t="n"/>
      <c r="AO64" s="61" t="n"/>
      <c r="AP64" s="61" t="n"/>
      <c r="AQ64" s="59" t="n"/>
    </row>
    <row r="65">
      <c r="A65" s="28" t="n">
        <v>40543</v>
      </c>
      <c r="B65" s="118" t="n">
        <v>13522.93</v>
      </c>
      <c r="C65" s="111">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8" t="n">
        <v>13557.12</v>
      </c>
      <c r="C66" s="111">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5">
      <c r="A67" s="28" t="n">
        <v>40602</v>
      </c>
      <c r="B67" s="118" t="n">
        <v>13592.3</v>
      </c>
      <c r="C67" s="111">
        <f>(B67/B66-1)/(A67-A66)*30</f>
        <v/>
      </c>
      <c r="D67" s="30" t="n"/>
      <c r="E67" s="30" t="n"/>
      <c r="F67" s="30" t="n"/>
      <c r="I67" s="116" t="n"/>
      <c r="N67" s="14" t="n"/>
      <c r="O67" s="14" t="n"/>
      <c r="P67" s="14" t="n"/>
      <c r="Q67" s="14" t="n"/>
      <c r="R67" s="14" t="n"/>
      <c r="S67" s="14" t="n"/>
      <c r="T67" s="14" t="n"/>
      <c r="U67" s="14" t="n"/>
      <c r="V67" s="14" t="n"/>
      <c r="W67" s="14" t="n"/>
      <c r="X67" s="14" t="n"/>
      <c r="Y67" s="14" t="n"/>
      <c r="Z67" s="14" t="n"/>
      <c r="AA67" s="14" t="n"/>
      <c r="AB67" s="14" t="n"/>
      <c r="AC67" s="81" t="n"/>
      <c r="AD67" s="57" t="inlineStr">
        <is>
          <t>FIP Liquidez Disponible I</t>
        </is>
      </c>
      <c r="AE67" s="58" t="n"/>
      <c r="AF67" s="58" t="n"/>
      <c r="AG67" s="58" t="n"/>
      <c r="AH67" s="58" t="n"/>
      <c r="AI67" s="58" t="n"/>
      <c r="AJ67" s="58" t="n"/>
      <c r="AK67" s="58" t="n"/>
      <c r="AL67" s="58" t="n"/>
      <c r="AM67" s="58" t="n"/>
      <c r="AN67" s="58" t="n"/>
      <c r="AO67" s="58" t="n"/>
      <c r="AP67" s="58" t="n"/>
      <c r="AQ67" s="59" t="n"/>
      <c r="AR67" s="14" t="n"/>
      <c r="AS67" s="14" t="n"/>
      <c r="AT67" s="14" t="n"/>
    </row>
    <row r="68" customFormat="1" s="115">
      <c r="A68" s="28" t="n">
        <v>40633</v>
      </c>
      <c r="B68" s="118" t="n">
        <v>13635.91</v>
      </c>
      <c r="C68" s="111">
        <f>(B68/B67-1)/(A68-A67)*30</f>
        <v/>
      </c>
      <c r="D68" s="30" t="n"/>
      <c r="E68" s="30" t="n"/>
      <c r="F68" s="30" t="n"/>
      <c r="I68" s="116"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5">
      <c r="A69" s="28" t="n">
        <v>40662</v>
      </c>
      <c r="B69" s="118" t="n">
        <v>13682.94</v>
      </c>
      <c r="C69" s="111">
        <f>(B69/B68-1)/(A69-A68)*30</f>
        <v/>
      </c>
      <c r="D69" s="30" t="n"/>
      <c r="E69" s="30" t="n"/>
      <c r="F69" s="30" t="n"/>
      <c r="I69" s="116"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5">
      <c r="A70" s="28" t="n">
        <v>40694</v>
      </c>
      <c r="B70" s="118" t="n">
        <v>13741.06</v>
      </c>
      <c r="C70" s="111">
        <f>(B70/B69-1)/(A70-A69)*30</f>
        <v/>
      </c>
      <c r="D70" s="30" t="n"/>
      <c r="E70" s="30" t="n"/>
      <c r="F70" s="30" t="n"/>
      <c r="I70" s="116" t="n"/>
      <c r="O70" s="14" t="n"/>
      <c r="P70" s="14" t="n"/>
      <c r="Q70" s="14" t="n"/>
      <c r="R70" s="14" t="n"/>
      <c r="S70" s="14" t="n"/>
      <c r="T70" s="14" t="n"/>
      <c r="U70" s="14" t="n"/>
      <c r="V70" s="14" t="n"/>
      <c r="W70" s="14" t="n"/>
      <c r="X70" s="14" t="n"/>
      <c r="Y70" s="14" t="n"/>
      <c r="Z70" s="14" t="n"/>
      <c r="AA70" s="14" t="n"/>
      <c r="AB70" s="14" t="n"/>
      <c r="AC70" s="81" t="n"/>
      <c r="AD70" s="57" t="inlineStr">
        <is>
          <t>FIP Liquidez Disponible I</t>
        </is>
      </c>
      <c r="AE70" s="58" t="n"/>
      <c r="AF70" s="58" t="n"/>
      <c r="AG70" s="58" t="n"/>
      <c r="AH70" s="58" t="n"/>
      <c r="AI70" s="58" t="n"/>
      <c r="AJ70" s="58" t="n"/>
      <c r="AK70" s="58" t="n"/>
      <c r="AL70" s="58" t="n"/>
      <c r="AM70" s="58" t="n"/>
      <c r="AN70" s="58" t="n"/>
      <c r="AO70" s="58" t="n"/>
      <c r="AP70" s="58" t="n"/>
      <c r="AQ70" s="59" t="n"/>
      <c r="AR70" s="14" t="n"/>
      <c r="AS70" s="14" t="n"/>
    </row>
    <row r="71" customFormat="1" s="115">
      <c r="A71" s="28" t="n">
        <v>40724</v>
      </c>
      <c r="B71" s="118" t="n">
        <v>13799.74</v>
      </c>
      <c r="C71" s="111">
        <f>(B71/B70-1)/(A71-A70)*30</f>
        <v/>
      </c>
      <c r="D71" s="30" t="n"/>
      <c r="E71" s="30" t="n"/>
      <c r="F71" s="30" t="n"/>
      <c r="I71" s="116" t="n"/>
      <c r="O71" s="14" t="n"/>
      <c r="P71" s="14" t="n"/>
      <c r="Q71" s="14" t="n"/>
      <c r="R71" s="14" t="n"/>
      <c r="S71" s="14" t="n"/>
      <c r="T71" s="14" t="n"/>
      <c r="U71" s="14" t="n"/>
      <c r="V71" s="14" t="n"/>
      <c r="W71" s="14" t="n"/>
      <c r="X71" s="14" t="n"/>
      <c r="Y71" s="14" t="n"/>
      <c r="Z71" s="14" t="n"/>
      <c r="AA71" s="14" t="n"/>
      <c r="AC71" s="113"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5">
      <c r="A72" s="28" t="n">
        <v>40753</v>
      </c>
      <c r="B72" s="118" t="n">
        <v>13858.14</v>
      </c>
      <c r="C72" s="111">
        <f>(B72/B71-1)/(A72-A71)*30</f>
        <v/>
      </c>
      <c r="D72" s="30" t="n"/>
      <c r="E72" s="30" t="n"/>
      <c r="F72" s="30" t="n"/>
      <c r="I72" s="116" t="n"/>
      <c r="O72" s="14" t="n"/>
      <c r="P72" s="14" t="n"/>
      <c r="Q72" s="14" t="n"/>
      <c r="R72" s="14" t="n"/>
      <c r="S72" s="14" t="n"/>
      <c r="T72" s="14" t="n"/>
      <c r="U72" s="14" t="n"/>
      <c r="V72" s="14" t="n"/>
      <c r="W72" s="14" t="n"/>
      <c r="X72" s="14" t="n"/>
      <c r="Y72" s="14" t="n"/>
      <c r="Z72" s="14" t="n"/>
      <c r="AA72" s="14" t="n"/>
      <c r="AC72" s="113"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5">
      <c r="A73" s="28" t="n">
        <v>40786</v>
      </c>
      <c r="B73" s="118" t="n">
        <v>13925.03</v>
      </c>
      <c r="C73" s="111">
        <f>(B73/B72-1)/(A73-A72)*30</f>
        <v/>
      </c>
      <c r="D73" s="30" t="n"/>
      <c r="E73" s="30" t="n"/>
      <c r="F73" s="30" t="n"/>
      <c r="I73" s="116" t="n"/>
      <c r="O73" s="14" t="n"/>
      <c r="P73" s="14" t="n"/>
      <c r="Q73" s="14" t="n"/>
      <c r="R73" s="14" t="n"/>
      <c r="S73" s="14" t="n"/>
      <c r="T73" s="14" t="n"/>
      <c r="U73" s="14" t="n"/>
      <c r="V73" s="14" t="n"/>
      <c r="W73" s="14" t="n"/>
      <c r="X73" s="14" t="n"/>
      <c r="Y73" s="14" t="n"/>
      <c r="Z73" s="14" t="n"/>
      <c r="AA73" s="14" t="n"/>
      <c r="AC73" s="113" t="n"/>
      <c r="AD73" s="57" t="inlineStr">
        <is>
          <t>FIP Liquidez Disponible I</t>
        </is>
      </c>
      <c r="AE73" s="83" t="n"/>
      <c r="AF73" s="83" t="n"/>
      <c r="AG73" s="83" t="n"/>
      <c r="AH73" s="83" t="n"/>
      <c r="AI73" s="83" t="n"/>
      <c r="AJ73" s="83" t="n"/>
      <c r="AK73" s="83" t="n"/>
      <c r="AL73" s="83" t="n"/>
      <c r="AM73" s="83" t="n"/>
      <c r="AN73" s="83" t="n"/>
      <c r="AO73" s="83" t="n"/>
      <c r="AP73" s="83" t="n"/>
      <c r="AQ73" s="83" t="n"/>
      <c r="AR73" s="14" t="n"/>
      <c r="AS73" s="14" t="n"/>
    </row>
    <row r="74" customFormat="1" s="115">
      <c r="A74" s="28" t="n">
        <v>40816</v>
      </c>
      <c r="B74" s="118" t="n">
        <v>13985.97</v>
      </c>
      <c r="C74" s="111">
        <f>(B74/B73-1)/(A74-A73)*30</f>
        <v/>
      </c>
      <c r="D74" s="30" t="n"/>
      <c r="E74" s="30" t="n"/>
      <c r="F74" s="30" t="n"/>
      <c r="I74" s="116" t="n"/>
      <c r="O74" s="14" t="n"/>
      <c r="P74" s="14" t="n"/>
      <c r="Q74" s="14" t="n"/>
      <c r="R74" s="14" t="n"/>
      <c r="S74" s="14" t="n"/>
      <c r="T74" s="14" t="n"/>
      <c r="U74" s="14" t="n"/>
      <c r="V74" s="14" t="n"/>
      <c r="W74" s="14" t="n"/>
      <c r="X74" s="14" t="n"/>
      <c r="Y74" s="14" t="n"/>
      <c r="Z74" s="14" t="n"/>
      <c r="AA74" s="14" t="n"/>
      <c r="AC74" s="113"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5">
      <c r="A75" s="28" t="n">
        <v>40847</v>
      </c>
      <c r="B75" s="118" t="n">
        <v>14043.21</v>
      </c>
      <c r="C75" s="111">
        <f>(B75/B74-1)/(A75-A74)*30</f>
        <v/>
      </c>
      <c r="D75" s="30" t="n"/>
      <c r="E75" s="30" t="n"/>
      <c r="F75" s="30" t="n"/>
      <c r="I75" s="116"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5">
      <c r="A76" s="28" t="n">
        <v>40877</v>
      </c>
      <c r="B76" s="118" t="n">
        <v>14110.87</v>
      </c>
      <c r="C76" s="111">
        <f>(B76/B75-1)/(A76-A75)*30</f>
        <v/>
      </c>
      <c r="D76" s="30" t="n"/>
      <c r="E76" s="30" t="n"/>
      <c r="F76" s="30" t="n"/>
      <c r="I76" s="116" t="n"/>
      <c r="O76" s="14" t="n"/>
      <c r="P76" s="14" t="n"/>
      <c r="Q76" s="14" t="n"/>
      <c r="R76" s="14" t="n"/>
      <c r="S76" s="14" t="n"/>
      <c r="T76" s="14" t="n"/>
      <c r="U76" s="14" t="n"/>
      <c r="V76" s="14" t="n"/>
      <c r="W76" s="14" t="n"/>
      <c r="X76" s="14" t="n"/>
      <c r="Y76" s="14" t="n"/>
      <c r="Z76" s="14" t="n"/>
      <c r="AA76" s="14" t="n"/>
      <c r="AD76" s="57" t="inlineStr">
        <is>
          <t>FIP Liquidez Disponible I</t>
        </is>
      </c>
      <c r="AE76" s="83" t="n"/>
      <c r="AF76" s="83" t="n"/>
      <c r="AG76" s="83" t="n"/>
      <c r="AH76" s="83" t="n"/>
      <c r="AI76" s="83" t="n"/>
      <c r="AJ76" s="83" t="n"/>
      <c r="AK76" s="83" t="n"/>
      <c r="AL76" s="83" t="n"/>
      <c r="AM76" s="83" t="n"/>
      <c r="AN76" s="83" t="n"/>
      <c r="AO76" s="83" t="n"/>
      <c r="AP76" s="83" t="n"/>
      <c r="AQ76" s="83" t="n"/>
      <c r="AR76" s="14" t="n"/>
      <c r="AS76" s="14" t="n"/>
    </row>
    <row r="77" customFormat="1" s="115">
      <c r="A77" s="28" t="n">
        <v>40907</v>
      </c>
      <c r="B77" s="118" t="n">
        <v>14172.63</v>
      </c>
      <c r="C77" s="111">
        <f>(B77/B76-1)/(A77-A76)*30</f>
        <v/>
      </c>
      <c r="D77" s="30" t="n"/>
      <c r="E77" s="30" t="n"/>
      <c r="F77" s="30" t="n"/>
      <c r="I77" s="116" t="n"/>
      <c r="O77" s="14" t="n"/>
      <c r="P77" s="14" t="n"/>
      <c r="Q77" s="14" t="n"/>
      <c r="R77" s="14" t="n"/>
      <c r="S77" s="14" t="n"/>
      <c r="T77" s="14" t="n"/>
      <c r="U77" s="14" t="n"/>
      <c r="V77" s="14" t="n"/>
      <c r="W77" s="14" t="n"/>
      <c r="X77" s="14" t="n"/>
      <c r="Y77" s="14" t="n"/>
      <c r="Z77" s="14" t="n"/>
      <c r="AA77" s="14" t="n"/>
      <c r="AC77" s="113" t="n">
        <v>2023</v>
      </c>
      <c r="AD77" s="57" t="inlineStr">
        <is>
          <t>ICP</t>
        </is>
      </c>
      <c r="AE77" s="83" t="n"/>
      <c r="AF77" s="83" t="n"/>
      <c r="AG77" s="83" t="n"/>
      <c r="AH77" s="83" t="n"/>
      <c r="AI77" s="83" t="n"/>
      <c r="AJ77" s="83" t="n"/>
      <c r="AK77" s="83" t="n"/>
      <c r="AL77" s="83" t="n"/>
      <c r="AM77" s="83" t="n"/>
      <c r="AN77" s="83" t="n"/>
      <c r="AO77" s="83" t="n"/>
      <c r="AP77" s="83" t="n"/>
      <c r="AQ77" s="83" t="n"/>
    </row>
    <row r="78" customFormat="1" s="115">
      <c r="A78" s="28" t="n">
        <v>40939</v>
      </c>
      <c r="B78" s="118" t="n">
        <v>14236.38</v>
      </c>
      <c r="C78" s="111">
        <f>(B78/B77-1)/(A78-A77)*30</f>
        <v/>
      </c>
      <c r="D78" s="30" t="n"/>
      <c r="E78" s="30" t="n"/>
      <c r="F78" s="30" t="n"/>
      <c r="I78" s="116" t="n"/>
      <c r="AD78" s="57" t="inlineStr">
        <is>
          <t>Competencia</t>
        </is>
      </c>
      <c r="AE78" s="83" t="n"/>
      <c r="AF78" s="83" t="n"/>
      <c r="AG78" s="83" t="n"/>
      <c r="AH78" s="83" t="n"/>
      <c r="AI78" s="83" t="n"/>
      <c r="AJ78" s="83" t="n"/>
      <c r="AK78" s="83" t="n"/>
      <c r="AL78" s="83" t="n"/>
      <c r="AM78" s="83" t="n"/>
      <c r="AN78" s="83" t="n"/>
      <c r="AO78" s="83" t="n"/>
      <c r="AP78" s="83" t="n"/>
      <c r="AQ78" s="83" t="n"/>
    </row>
    <row r="79" customFormat="1" s="115">
      <c r="A79" s="28" t="n">
        <v>40968</v>
      </c>
      <c r="B79" s="118" t="n">
        <v>14293.67</v>
      </c>
      <c r="C79" s="111">
        <f>(B79/B78-1)/(A79-A78)*30</f>
        <v/>
      </c>
      <c r="D79" s="30" t="n"/>
      <c r="E79" s="30" t="n"/>
      <c r="F79" s="30" t="n"/>
      <c r="I79" s="116" t="n"/>
      <c r="AD79" s="57" t="inlineStr">
        <is>
          <t>FIP Liquidez Disponible I</t>
        </is>
      </c>
      <c r="AE79" s="83" t="n"/>
      <c r="AF79" s="83" t="n"/>
      <c r="AG79" s="83" t="n"/>
      <c r="AH79" s="83" t="n"/>
      <c r="AI79" s="83" t="n"/>
      <c r="AJ79" s="83" t="n"/>
      <c r="AK79" s="83" t="n"/>
      <c r="AL79" s="83" t="n"/>
      <c r="AM79" s="83" t="n"/>
      <c r="AN79" s="83" t="n"/>
      <c r="AO79" s="83" t="n"/>
      <c r="AP79" s="83" t="n"/>
      <c r="AQ79" s="83" t="n"/>
    </row>
    <row r="80" customFormat="1" s="115">
      <c r="A80" s="28" t="n">
        <v>40998</v>
      </c>
      <c r="B80" s="118" t="n">
        <v>14353.34</v>
      </c>
      <c r="C80" s="111">
        <f>(B80/B79-1)/(A80-A79)*30</f>
        <v/>
      </c>
      <c r="D80" s="30" t="n"/>
      <c r="E80" s="30" t="n"/>
      <c r="F80" s="30" t="n"/>
      <c r="I80" s="116" t="n"/>
      <c r="AC80" s="113" t="n">
        <v>2024</v>
      </c>
      <c r="AD80" s="57" t="inlineStr">
        <is>
          <t>ICP</t>
        </is>
      </c>
      <c r="AE80" s="83" t="n"/>
      <c r="AF80" s="83" t="n"/>
      <c r="AG80" s="83" t="n"/>
      <c r="AH80" s="83" t="n"/>
      <c r="AI80" s="83" t="n"/>
      <c r="AJ80" s="83" t="n"/>
      <c r="AK80" s="83" t="n"/>
      <c r="AL80" s="33">
        <f>+AL20</f>
        <v/>
      </c>
      <c r="AM80" s="33">
        <f>+AM20</f>
        <v/>
      </c>
      <c r="AN80" s="33">
        <f>+AN20</f>
        <v/>
      </c>
      <c r="AO80" s="33">
        <f>+AO20</f>
        <v/>
      </c>
      <c r="AP80" s="33">
        <f>+AP20</f>
        <v/>
      </c>
      <c r="AQ80" s="33">
        <f>+AQ20</f>
        <v/>
      </c>
    </row>
    <row r="81" customFormat="1" s="115">
      <c r="A81" s="28" t="n">
        <v>41029</v>
      </c>
      <c r="B81" s="118" t="n">
        <v>14415.21</v>
      </c>
      <c r="C81" s="111">
        <f>(B81/B80-1)/(A81-A80)*30</f>
        <v/>
      </c>
      <c r="D81" s="30" t="n"/>
      <c r="E81" s="30" t="n"/>
      <c r="F81" s="30" t="n"/>
      <c r="I81" s="116" t="n"/>
      <c r="AD81" s="57" t="inlineStr">
        <is>
          <t>Competencia</t>
        </is>
      </c>
      <c r="AE81" s="83" t="n"/>
      <c r="AF81" s="83" t="n"/>
      <c r="AG81" s="83" t="n"/>
      <c r="AH81" s="83" t="n"/>
      <c r="AI81" s="83" t="n"/>
      <c r="AJ81" s="83" t="n"/>
      <c r="AK81" s="83" t="n"/>
      <c r="AL81" s="33">
        <f>+AL49</f>
        <v/>
      </c>
      <c r="AM81" s="33">
        <f>+AM49</f>
        <v/>
      </c>
      <c r="AN81" s="33">
        <f>+AN49</f>
        <v/>
      </c>
      <c r="AO81" s="33">
        <f>+AO49</f>
        <v/>
      </c>
      <c r="AP81" s="33">
        <f>+AP49</f>
        <v/>
      </c>
      <c r="AQ81" s="33">
        <f>+AQ49</f>
        <v/>
      </c>
    </row>
    <row r="82" customFormat="1" s="115">
      <c r="A82" s="28" t="n">
        <v>41060</v>
      </c>
      <c r="B82" s="118" t="n">
        <v>14477.55</v>
      </c>
      <c r="C82" s="111">
        <f>(B82/B81-1)/(A82-A81)*30</f>
        <v/>
      </c>
      <c r="D82" s="30" t="n"/>
      <c r="E82" s="30" t="n"/>
      <c r="F82" s="30" t="n"/>
      <c r="I82" s="116" t="n"/>
      <c r="AD82" s="57" t="inlineStr">
        <is>
          <t>FIP Liquidez Disponible I</t>
        </is>
      </c>
      <c r="AE82" s="83" t="n"/>
      <c r="AF82" s="83" t="n"/>
      <c r="AG82" s="83" t="n"/>
      <c r="AH82" s="83" t="n"/>
      <c r="AI82" s="83" t="n"/>
      <c r="AJ82" s="83" t="n"/>
      <c r="AK82" s="83" t="n"/>
      <c r="AL82" s="33">
        <f>+AL36</f>
        <v/>
      </c>
      <c r="AM82" s="33">
        <f>+AM36</f>
        <v/>
      </c>
      <c r="AN82" s="33">
        <f>+AN36</f>
        <v/>
      </c>
      <c r="AO82" s="33">
        <f>+AO36</f>
        <v/>
      </c>
      <c r="AP82" s="33">
        <f>+AP36</f>
        <v/>
      </c>
      <c r="AQ82" s="33">
        <f>+AQ36</f>
        <v/>
      </c>
    </row>
    <row r="83" customFormat="1" s="115">
      <c r="A83" s="28" t="n">
        <v>41089</v>
      </c>
      <c r="B83" s="118" t="n">
        <v>14536.13</v>
      </c>
      <c r="C83" s="111">
        <f>(B83/B82-1)/(A83-A82)*30</f>
        <v/>
      </c>
      <c r="D83" s="30" t="n"/>
      <c r="E83" s="30" t="n"/>
      <c r="F83" s="30" t="n"/>
      <c r="I83" s="116" t="n"/>
      <c r="AC83" s="113" t="n">
        <v>2025</v>
      </c>
      <c r="AD83" s="57" t="inlineStr">
        <is>
          <t>ICP</t>
        </is>
      </c>
      <c r="AE83" s="33">
        <f>+AE21</f>
        <v/>
      </c>
      <c r="AF83" s="33">
        <f>+AF21</f>
        <v/>
      </c>
      <c r="AG83" s="33">
        <f>+AG21</f>
        <v/>
      </c>
      <c r="AH83" s="33">
        <f>+AH21</f>
        <v/>
      </c>
      <c r="AI83" s="33">
        <f>+AI21</f>
        <v/>
      </c>
      <c r="AJ83" s="33">
        <f>+AJ21</f>
        <v/>
      </c>
      <c r="AK83" s="33">
        <f>+AK21</f>
        <v/>
      </c>
      <c r="AL83" s="33">
        <f>+AL21</f>
        <v/>
      </c>
      <c r="AM83" s="33">
        <f>+AM21</f>
        <v/>
      </c>
      <c r="AN83" s="33">
        <f>+AN21</f>
        <v/>
      </c>
      <c r="AO83" s="33">
        <f>+AO21</f>
        <v/>
      </c>
      <c r="AP83" s="33">
        <f>+AP21</f>
        <v/>
      </c>
      <c r="AQ83" s="33">
        <f>+AQ21</f>
        <v/>
      </c>
    </row>
    <row r="84" customFormat="1" s="115">
      <c r="A84" s="28" t="n">
        <v>41121</v>
      </c>
      <c r="B84" s="118" t="n">
        <v>14600.61</v>
      </c>
      <c r="C84" s="111">
        <f>(B84/B83-1)/(A84-A83)*30</f>
        <v/>
      </c>
      <c r="D84" s="30" t="n"/>
      <c r="E84" s="30" t="n"/>
      <c r="F84" s="30" t="n"/>
      <c r="I84" s="116" t="n"/>
      <c r="AD84" s="57" t="inlineStr">
        <is>
          <t>Competencia</t>
        </is>
      </c>
      <c r="AE84" s="33">
        <f>+AE50</f>
        <v/>
      </c>
      <c r="AF84" s="33">
        <f>+AF50</f>
        <v/>
      </c>
      <c r="AG84" s="33">
        <f>+AG50</f>
        <v/>
      </c>
      <c r="AH84" s="33">
        <f>+AH50</f>
        <v/>
      </c>
      <c r="AI84" s="33">
        <f>+AI50</f>
        <v/>
      </c>
      <c r="AJ84" s="33">
        <f>+AJ50</f>
        <v/>
      </c>
      <c r="AK84" s="33">
        <f>+AK50</f>
        <v/>
      </c>
      <c r="AL84" s="33">
        <f>+AL50</f>
        <v/>
      </c>
      <c r="AM84" s="33">
        <f>+AM50</f>
        <v/>
      </c>
      <c r="AN84" s="33">
        <f>+AN50</f>
        <v/>
      </c>
      <c r="AO84" s="33">
        <f>+AO50</f>
        <v/>
      </c>
      <c r="AP84" s="33">
        <f>+AP50</f>
        <v/>
      </c>
      <c r="AQ84" s="33">
        <f>+AQ50</f>
        <v/>
      </c>
    </row>
    <row r="85" customFormat="1" s="115">
      <c r="A85" s="28" t="n">
        <v>41152</v>
      </c>
      <c r="B85" s="118" t="n">
        <v>14663.33</v>
      </c>
      <c r="C85" s="111">
        <f>(B85/B84-1)/(A85-A84)*30</f>
        <v/>
      </c>
      <c r="D85" s="30" t="n"/>
      <c r="E85" s="30" t="n"/>
      <c r="F85" s="30" t="n"/>
      <c r="I85" s="116" t="n"/>
      <c r="AD85" s="57" t="inlineStr">
        <is>
          <t>FIP Liquidez Disponible I</t>
        </is>
      </c>
      <c r="AE85" s="33">
        <f>+AE37</f>
        <v/>
      </c>
      <c r="AF85" s="33">
        <f>+AF37</f>
        <v/>
      </c>
      <c r="AG85" s="33">
        <f>+AG37</f>
        <v/>
      </c>
      <c r="AH85" s="33">
        <f>+AH37</f>
        <v/>
      </c>
      <c r="AI85" s="33">
        <f>+AI37</f>
        <v/>
      </c>
      <c r="AJ85" s="33">
        <f>+AJ37</f>
        <v/>
      </c>
      <c r="AK85" s="33">
        <f>+AK37</f>
        <v/>
      </c>
      <c r="AL85" s="33">
        <f>+AL37</f>
        <v/>
      </c>
      <c r="AM85" s="33">
        <f>+AM37</f>
        <v/>
      </c>
      <c r="AN85" s="33">
        <f>+AN37</f>
        <v/>
      </c>
      <c r="AO85" s="33">
        <f>+AO37</f>
        <v/>
      </c>
      <c r="AP85" s="33">
        <f>+AP37</f>
        <v/>
      </c>
      <c r="AQ85" s="33">
        <f>+AQ37</f>
        <v/>
      </c>
    </row>
    <row r="86" customFormat="1" s="115">
      <c r="A86" s="28" t="n">
        <v>41180</v>
      </c>
      <c r="B86" s="118" t="n">
        <v>14720.68</v>
      </c>
      <c r="C86" s="111">
        <f>(B86/B85-1)/(A86-A85)*30</f>
        <v/>
      </c>
      <c r="D86" s="30" t="n"/>
      <c r="E86" s="30" t="n"/>
      <c r="F86" s="30" t="n"/>
      <c r="I86" s="116" t="n"/>
      <c r="AC86" s="113" t="n">
        <v>2026</v>
      </c>
      <c r="AD86" s="57" t="inlineStr">
        <is>
          <t>ICP</t>
        </is>
      </c>
      <c r="AE86" s="33">
        <f>+AE22</f>
        <v/>
      </c>
      <c r="AF86" s="33">
        <f>+AF22</f>
        <v/>
      </c>
      <c r="AG86" s="33">
        <f>+AG22</f>
        <v/>
      </c>
      <c r="AH86" s="33">
        <f>+AH22</f>
        <v/>
      </c>
      <c r="AI86" s="33" t="n"/>
      <c r="AJ86" s="33" t="n"/>
      <c r="AK86" s="33" t="n"/>
      <c r="AL86" s="33" t="n"/>
      <c r="AM86" s="33" t="n"/>
      <c r="AN86" s="33" t="n"/>
      <c r="AO86" s="33" t="n"/>
      <c r="AP86" s="33" t="n"/>
      <c r="AQ86" s="33">
        <f>+AQ22</f>
        <v/>
      </c>
    </row>
    <row r="87" customFormat="1" s="115">
      <c r="A87" s="28" t="n">
        <v>41213</v>
      </c>
      <c r="B87" s="118" t="n">
        <v>14788.56</v>
      </c>
      <c r="C87" s="111">
        <f>(B87/B86-1)/(A87-A86)*30</f>
        <v/>
      </c>
      <c r="D87" s="30" t="n"/>
      <c r="E87" s="30" t="n"/>
      <c r="F87" s="30" t="n"/>
      <c r="I87" s="116" t="n"/>
      <c r="AD87" s="57" t="inlineStr">
        <is>
          <t>Competencia</t>
        </is>
      </c>
      <c r="AE87" s="33">
        <f>+AE51</f>
        <v/>
      </c>
      <c r="AF87" s="33">
        <f>+AF51</f>
        <v/>
      </c>
      <c r="AG87" s="33">
        <f>+AG51</f>
        <v/>
      </c>
      <c r="AH87" s="33">
        <f>+AH51</f>
        <v/>
      </c>
      <c r="AI87" s="33" t="n"/>
      <c r="AJ87" s="33" t="n"/>
      <c r="AK87" s="33" t="n"/>
      <c r="AL87" s="33" t="n"/>
      <c r="AM87" s="33" t="n"/>
      <c r="AN87" s="33" t="n"/>
      <c r="AO87" s="33" t="n"/>
      <c r="AP87" s="33" t="n"/>
      <c r="AQ87" s="33">
        <f>+AQ51</f>
        <v/>
      </c>
    </row>
    <row r="88" customFormat="1" s="115">
      <c r="A88" s="28" t="n">
        <v>41243</v>
      </c>
      <c r="B88" s="118" t="n">
        <v>14850.38</v>
      </c>
      <c r="C88" s="111">
        <f>(B88/B87-1)/(A88-A87)*30</f>
        <v/>
      </c>
      <c r="D88" s="30" t="n"/>
      <c r="E88" s="30" t="n"/>
      <c r="F88" s="30" t="n"/>
      <c r="I88" s="116" t="n"/>
      <c r="AD88" s="57" t="inlineStr">
        <is>
          <t>FIP Liquidez Disponible I</t>
        </is>
      </c>
      <c r="AE88" s="33">
        <f>+AE38</f>
        <v/>
      </c>
      <c r="AF88" s="33">
        <f>+AF38</f>
        <v/>
      </c>
      <c r="AG88" s="33">
        <f>+AG38</f>
        <v/>
      </c>
      <c r="AH88" s="33">
        <f>+AH38</f>
        <v/>
      </c>
      <c r="AI88" s="33" t="n"/>
      <c r="AJ88" s="33" t="n"/>
      <c r="AK88" s="33" t="n"/>
      <c r="AL88" s="33" t="n"/>
      <c r="AM88" s="33" t="n"/>
      <c r="AN88" s="33" t="n"/>
      <c r="AO88" s="33" t="n"/>
      <c r="AP88" s="33" t="n"/>
      <c r="AQ88" s="33">
        <f>+AQ38</f>
        <v/>
      </c>
    </row>
    <row r="89" customFormat="1" s="115">
      <c r="A89" s="28" t="n">
        <v>41274</v>
      </c>
      <c r="B89" s="118" t="n">
        <v>14908.2</v>
      </c>
      <c r="C89" s="111">
        <f>(B89/B88-1)/(A89-A88)*30</f>
        <v/>
      </c>
      <c r="D89" s="30" t="n"/>
      <c r="E89" s="30" t="n"/>
      <c r="F89" s="30" t="n"/>
      <c r="I89" s="116" t="n"/>
      <c r="AC89" s="14" t="n"/>
      <c r="AF89" s="14" t="n"/>
      <c r="AG89" s="14" t="n"/>
      <c r="AH89" s="14" t="n"/>
      <c r="AI89" s="14" t="n"/>
      <c r="AJ89" s="14" t="n"/>
      <c r="AK89" s="14" t="n"/>
      <c r="AL89" s="14" t="n"/>
      <c r="AM89" s="14" t="n"/>
      <c r="AN89" s="14" t="n"/>
      <c r="AO89" s="14" t="n"/>
      <c r="AP89" s="14" t="n"/>
      <c r="AQ89" s="14" t="n"/>
    </row>
    <row r="90" customFormat="1" s="115">
      <c r="A90" s="28" t="n">
        <v>41305</v>
      </c>
      <c r="B90" s="118" t="n">
        <v>14978.58</v>
      </c>
      <c r="C90" s="111">
        <f>(B90/B89-1)/(A90-A89)*30</f>
        <v/>
      </c>
      <c r="D90" s="30" t="n"/>
      <c r="E90" s="30" t="n"/>
      <c r="F90" s="30" t="n"/>
      <c r="I90" s="116" t="n"/>
      <c r="AC90" s="14" t="n"/>
      <c r="AF90" s="14" t="n"/>
      <c r="AG90" s="14" t="n"/>
      <c r="AH90" s="14" t="n"/>
      <c r="AI90" s="14" t="n"/>
      <c r="AJ90" s="14" t="n"/>
      <c r="AK90" s="14" t="n"/>
      <c r="AL90" s="14" t="n"/>
      <c r="AM90" s="14" t="n"/>
      <c r="AN90" s="14" t="n"/>
      <c r="AO90" s="14" t="n"/>
      <c r="AP90" s="14" t="n"/>
      <c r="AQ90" s="14" t="n"/>
    </row>
    <row r="91" customFormat="1" s="115">
      <c r="A91" s="28" t="n">
        <v>41333</v>
      </c>
      <c r="B91" s="118" t="n">
        <v>15036.94</v>
      </c>
      <c r="C91" s="111">
        <f>(B91/B90-1)/(A91-A90)*30</f>
        <v/>
      </c>
      <c r="D91" s="30" t="n"/>
      <c r="E91" s="30" t="n"/>
      <c r="F91" s="30" t="n"/>
      <c r="I91" s="116" t="n"/>
      <c r="AC91" s="14" t="n"/>
      <c r="AF91" s="14" t="n"/>
      <c r="AG91" s="14" t="n"/>
      <c r="AH91" s="14" t="n"/>
      <c r="AI91" s="14" t="n"/>
      <c r="AJ91" s="14" t="n"/>
      <c r="AK91" s="14" t="n"/>
      <c r="AL91" s="14" t="n"/>
      <c r="AM91" s="14" t="n"/>
      <c r="AN91" s="14" t="n"/>
      <c r="AO91" s="14" t="n"/>
      <c r="AP91" s="14" t="n"/>
      <c r="AQ91" s="14" t="n"/>
    </row>
    <row r="92" customFormat="1" s="115">
      <c r="A92" s="28" t="n">
        <v>41362</v>
      </c>
      <c r="B92" s="118" t="n">
        <v>15095.51</v>
      </c>
      <c r="C92" s="111">
        <f>(B92/B91-1)/(A92-A91)*30</f>
        <v/>
      </c>
      <c r="D92" s="30" t="n"/>
      <c r="E92" s="30" t="n"/>
      <c r="F92" s="30" t="n"/>
      <c r="I92" s="116" t="n"/>
      <c r="AC92" s="14" t="n"/>
      <c r="AF92" s="14" t="n"/>
      <c r="AG92" s="14" t="n"/>
      <c r="AH92" s="14" t="n"/>
      <c r="AI92" s="14" t="n"/>
      <c r="AJ92" s="14" t="n"/>
      <c r="AK92" s="14" t="n"/>
      <c r="AL92" s="14" t="n"/>
      <c r="AM92" s="14" t="n"/>
      <c r="AN92" s="14" t="n"/>
      <c r="AO92" s="14" t="n"/>
      <c r="AP92" s="14" t="n"/>
      <c r="AQ92" s="14" t="n"/>
    </row>
    <row r="93" customFormat="1" s="115">
      <c r="A93" s="28" t="n">
        <v>41394</v>
      </c>
      <c r="B93" s="118" t="n">
        <v>15164.77</v>
      </c>
      <c r="C93" s="111">
        <f>(B93/B92-1)/(A93-A92)*30</f>
        <v/>
      </c>
      <c r="D93" s="30" t="n"/>
      <c r="E93" s="30" t="n"/>
      <c r="F93" s="30" t="n"/>
      <c r="I93" s="116" t="n"/>
      <c r="AC93" s="14" t="n"/>
      <c r="AF93" s="14" t="n"/>
      <c r="AG93" s="14" t="n"/>
      <c r="AH93" s="14" t="n"/>
      <c r="AI93" s="14" t="n"/>
      <c r="AJ93" s="14" t="n"/>
      <c r="AK93" s="14" t="n"/>
      <c r="AL93" s="14" t="n"/>
      <c r="AM93" s="14" t="n"/>
      <c r="AN93" s="14" t="n"/>
      <c r="AO93" s="14" t="n"/>
      <c r="AP93" s="14" t="n"/>
      <c r="AQ93" s="14" t="n"/>
    </row>
    <row r="94" customFormat="1" s="115">
      <c r="A94" s="28" t="n">
        <v>41425</v>
      </c>
      <c r="B94" s="118" t="n">
        <v>15230.38</v>
      </c>
      <c r="C94" s="111">
        <f>(B94/B93-1)/(A94-A93)*30</f>
        <v/>
      </c>
      <c r="D94" s="30" t="n"/>
      <c r="E94" s="30" t="n"/>
      <c r="F94" s="30" t="n"/>
      <c r="I94" s="116" t="n"/>
      <c r="AC94" s="14" t="n"/>
      <c r="AF94" s="14" t="n"/>
      <c r="AG94" s="14" t="n"/>
      <c r="AH94" s="14" t="n"/>
      <c r="AI94" s="14" t="n"/>
      <c r="AJ94" s="14" t="n"/>
      <c r="AK94" s="14" t="n"/>
      <c r="AL94" s="14" t="n"/>
      <c r="AM94" s="14" t="n"/>
      <c r="AN94" s="14" t="n"/>
      <c r="AO94" s="14" t="n"/>
      <c r="AP94" s="14" t="n"/>
      <c r="AQ94" s="14" t="n"/>
    </row>
    <row r="95" customFormat="1" s="115">
      <c r="A95" s="28" t="n">
        <v>41453</v>
      </c>
      <c r="B95" s="118" t="n">
        <v>15289.74</v>
      </c>
      <c r="C95" s="111">
        <f>(B95/B94-1)/(A95-A94)*30</f>
        <v/>
      </c>
      <c r="D95" s="30" t="n"/>
      <c r="E95" s="30" t="n"/>
      <c r="F95" s="30" t="n"/>
      <c r="I95" s="116" t="n"/>
      <c r="AC95" s="14" t="n"/>
      <c r="AF95" s="14" t="n"/>
      <c r="AG95" s="14" t="n"/>
      <c r="AH95" s="14" t="n"/>
      <c r="AI95" s="14" t="n"/>
      <c r="AJ95" s="14" t="n"/>
      <c r="AK95" s="14" t="n"/>
      <c r="AL95" s="14" t="n"/>
      <c r="AM95" s="14" t="n"/>
      <c r="AN95" s="14" t="n"/>
      <c r="AO95" s="14" t="n"/>
      <c r="AP95" s="14" t="n"/>
      <c r="AQ95" s="14" t="n"/>
    </row>
    <row r="96" customFormat="1" s="115">
      <c r="A96" s="28" t="n">
        <v>41486</v>
      </c>
      <c r="B96" s="118" t="n">
        <v>15360.27</v>
      </c>
      <c r="C96" s="111">
        <f>(B96/B95-1)/(A96-A95)*30</f>
        <v/>
      </c>
      <c r="D96" s="30" t="n"/>
      <c r="E96" s="30" t="n"/>
      <c r="F96" s="30" t="n"/>
      <c r="I96" s="116" t="n"/>
      <c r="AC96" s="14" t="n"/>
      <c r="AF96" s="14" t="n"/>
      <c r="AG96" s="14" t="n"/>
      <c r="AH96" s="14" t="n"/>
      <c r="AI96" s="14" t="n"/>
      <c r="AJ96" s="14" t="n"/>
      <c r="AK96" s="14" t="n"/>
      <c r="AL96" s="14" t="n"/>
      <c r="AM96" s="14" t="n"/>
      <c r="AN96" s="14" t="n"/>
      <c r="AO96" s="14" t="n"/>
      <c r="AP96" s="14" t="n"/>
      <c r="AQ96" s="14" t="n"/>
    </row>
    <row r="97" customFormat="1" s="115">
      <c r="A97" s="28" t="n">
        <v>41516</v>
      </c>
      <c r="B97" s="118" t="n">
        <v>15424.43</v>
      </c>
      <c r="C97" s="111">
        <f>(B97/B96-1)/(A97-A96)*30</f>
        <v/>
      </c>
      <c r="D97" s="30" t="n"/>
      <c r="E97" s="30" t="n"/>
      <c r="F97" s="30" t="n"/>
      <c r="I97" s="116" t="n"/>
      <c r="AC97" s="14" t="n"/>
      <c r="AD97" s="28" t="n">
        <v>43008</v>
      </c>
      <c r="AE97" s="72" t="n">
        <v>0.003112100000000062</v>
      </c>
      <c r="AF97" s="14" t="n"/>
      <c r="AG97" s="14" t="n"/>
      <c r="AH97" s="14" t="n"/>
      <c r="AI97" s="14" t="n"/>
      <c r="AJ97" s="14" t="n"/>
      <c r="AK97" s="14" t="n"/>
      <c r="AL97" s="14" t="n"/>
      <c r="AM97" s="14" t="n"/>
      <c r="AN97" s="14" t="n"/>
      <c r="AO97" s="14" t="n"/>
      <c r="AP97" s="14" t="n"/>
      <c r="AQ97" s="14" t="n"/>
    </row>
    <row r="98" customFormat="1" s="115">
      <c r="A98" s="28" t="n">
        <v>41547</v>
      </c>
      <c r="B98" s="118" t="n">
        <v>15490.99</v>
      </c>
      <c r="C98" s="111">
        <f>(B98/B97-1)/(A98-A97)*30</f>
        <v/>
      </c>
      <c r="D98" s="30" t="n"/>
      <c r="E98" s="30" t="n"/>
      <c r="F98" s="30" t="n"/>
      <c r="I98" s="116" t="n"/>
      <c r="AC98" s="14" t="n"/>
      <c r="AD98" s="28" t="n">
        <v>43039</v>
      </c>
      <c r="AE98" s="72" t="n">
        <v>0.002663549477348879</v>
      </c>
      <c r="AF98" s="14" t="n"/>
      <c r="AG98" s="14" t="n"/>
      <c r="AH98" s="14" t="n"/>
      <c r="AI98" s="14" t="n"/>
      <c r="AJ98" s="14" t="n"/>
      <c r="AK98" s="14" t="n"/>
      <c r="AL98" s="14" t="n"/>
      <c r="AM98" s="14" t="n"/>
      <c r="AN98" s="14" t="n"/>
      <c r="AO98" s="14" t="n"/>
      <c r="AP98" s="14" t="n"/>
      <c r="AQ98" s="14" t="n"/>
    </row>
    <row r="99" customFormat="1" s="115">
      <c r="A99" s="28" t="n">
        <v>41578</v>
      </c>
      <c r="B99" s="118" t="n">
        <v>15554.36</v>
      </c>
      <c r="C99" s="111">
        <f>(B99/B98-1)/(A99-A98)*30</f>
        <v/>
      </c>
      <c r="D99" s="30" t="n"/>
      <c r="E99" s="30" t="n"/>
      <c r="F99" s="30" t="n"/>
      <c r="I99" s="116" t="n"/>
      <c r="AD99" s="28" t="n">
        <v>43069</v>
      </c>
      <c r="AE99" s="72" t="n">
        <v>0.002704019294682336</v>
      </c>
      <c r="AF99" s="14" t="n"/>
      <c r="AG99" s="14" t="n"/>
      <c r="AH99" s="14" t="n"/>
      <c r="AI99" s="14" t="n"/>
      <c r="AJ99" s="14" t="n"/>
      <c r="AK99" s="14" t="n"/>
      <c r="AL99" s="14" t="n"/>
      <c r="AM99" s="14" t="n"/>
      <c r="AN99" s="14" t="n"/>
      <c r="AO99" s="14" t="n"/>
      <c r="AP99" s="14" t="n"/>
      <c r="AQ99" s="14" t="n"/>
    </row>
    <row r="100" customFormat="1" s="115">
      <c r="A100" s="28" t="n">
        <v>41607</v>
      </c>
      <c r="B100" s="118" t="n">
        <v>15615.06</v>
      </c>
      <c r="C100" s="111">
        <f>(B100/B99-1)/(A100-A99)*30</f>
        <v/>
      </c>
      <c r="D100" s="30" t="n"/>
      <c r="E100" s="30" t="n"/>
      <c r="F100" s="30" t="n"/>
      <c r="I100" s="116" t="n"/>
      <c r="AD100" s="28" t="n">
        <v>43100</v>
      </c>
      <c r="AE100" s="72" t="n">
        <v>0.003009654469144453</v>
      </c>
    </row>
    <row r="101" customFormat="1" s="115">
      <c r="A101" s="28" t="n">
        <v>41639</v>
      </c>
      <c r="B101" s="118" t="n">
        <v>15675.68</v>
      </c>
      <c r="C101" s="111">
        <f>(B101/B100-1)/(A101-A100)*30</f>
        <v/>
      </c>
      <c r="D101" s="30" t="n"/>
      <c r="E101" s="30" t="n"/>
      <c r="F101" s="30" t="n"/>
      <c r="I101" s="116" t="n"/>
      <c r="AD101" s="28" t="n">
        <v>43131</v>
      </c>
      <c r="AE101" s="72" t="n">
        <v>0.004737272399342256</v>
      </c>
    </row>
    <row r="102" customFormat="1" s="115">
      <c r="A102" s="28" t="n">
        <v>41670</v>
      </c>
      <c r="B102" s="118" t="n">
        <v>15738.45</v>
      </c>
      <c r="C102" s="111">
        <f>(B102/B101-1)/(A102-A101)*30</f>
        <v/>
      </c>
      <c r="D102" s="30" t="n"/>
      <c r="E102" s="30" t="n"/>
      <c r="F102" s="30" t="n"/>
      <c r="I102" s="116" t="n"/>
      <c r="AD102" s="28" t="n">
        <v>43159</v>
      </c>
      <c r="AE102" s="72" t="n">
        <v>0.003781523019540458</v>
      </c>
    </row>
    <row r="103" customFormat="1" s="115">
      <c r="A103" s="28" t="n">
        <v>41698</v>
      </c>
      <c r="B103" s="118" t="n">
        <v>15792.47</v>
      </c>
      <c r="C103" s="111">
        <f>(B103/B102-1)/(A103-A102)*30</f>
        <v/>
      </c>
      <c r="D103" s="30" t="n"/>
      <c r="E103" s="30" t="n"/>
      <c r="F103" s="30" t="n"/>
      <c r="I103" s="116" t="n"/>
      <c r="AD103" s="28" t="n">
        <v>43190</v>
      </c>
      <c r="AE103" s="72" t="n">
        <v>0.003005275119085731</v>
      </c>
    </row>
    <row r="104" customFormat="1" s="115">
      <c r="A104" s="28" t="n">
        <v>41729</v>
      </c>
      <c r="B104" s="118" t="n">
        <v>15848.53</v>
      </c>
      <c r="C104" s="111">
        <f>(B104/B103-1)/(A104-A103)*30</f>
        <v/>
      </c>
      <c r="D104" s="30" t="n"/>
      <c r="E104" s="30" t="n"/>
      <c r="F104" s="30" t="n"/>
      <c r="I104" s="116" t="n"/>
      <c r="AD104" s="28" t="n">
        <v>43220</v>
      </c>
      <c r="AE104" s="72" t="n">
        <v>0.00316130254575997</v>
      </c>
    </row>
    <row r="105" customFormat="1" s="115">
      <c r="A105" s="28" t="n">
        <v>41759</v>
      </c>
      <c r="B105" s="118" t="n">
        <v>15901.43</v>
      </c>
      <c r="C105" s="111">
        <f>(B105/B104-1)/(A105-A104)*30</f>
        <v/>
      </c>
      <c r="D105" s="30" t="n"/>
      <c r="E105" s="30" t="n"/>
      <c r="F105" s="30" t="n"/>
      <c r="I105" s="116" t="n"/>
      <c r="AD105" s="28" t="n">
        <v>43251</v>
      </c>
      <c r="AE105" s="72" t="n">
        <v>0.003100678663890142</v>
      </c>
    </row>
    <row r="106" customFormat="1" s="115">
      <c r="A106" s="28" t="n">
        <v>41789</v>
      </c>
      <c r="B106" s="118" t="n">
        <v>15954.5</v>
      </c>
      <c r="C106" s="111">
        <f>(B106/B105-1)/(A106-A105)*30</f>
        <v/>
      </c>
      <c r="D106" s="30" t="n"/>
      <c r="E106" s="30" t="n"/>
      <c r="F106" s="30" t="n"/>
      <c r="I106" s="116" t="n"/>
      <c r="AD106" s="28" t="n">
        <v>43281</v>
      </c>
      <c r="AE106" s="72" t="n">
        <v>0.00287709140845549</v>
      </c>
    </row>
    <row r="107" customFormat="1" s="115">
      <c r="A107" s="28" t="n">
        <v>41820</v>
      </c>
      <c r="B107" s="118" t="n">
        <v>16009.53</v>
      </c>
      <c r="C107" s="111">
        <f>(B107/B106-1)/(A107-A106)*30</f>
        <v/>
      </c>
      <c r="D107" s="30" t="n"/>
      <c r="E107" s="30" t="n"/>
      <c r="F107" s="30" t="n"/>
      <c r="I107" s="116" t="n"/>
      <c r="AD107" s="28" t="n">
        <v>43312</v>
      </c>
      <c r="AE107" s="72" t="n">
        <v>0.002790254057869121</v>
      </c>
    </row>
    <row r="108" customFormat="1" s="115">
      <c r="A108" s="28" t="n">
        <v>41851</v>
      </c>
      <c r="B108" s="118" t="n">
        <v>16063.18</v>
      </c>
      <c r="C108" s="111">
        <f>(B108/B107-1)/(A108-A107)*30</f>
        <v/>
      </c>
      <c r="D108" s="30" t="n"/>
      <c r="E108" s="30" t="n"/>
      <c r="F108" s="30" t="n"/>
      <c r="I108" s="116" t="n"/>
      <c r="AD108" s="28" t="n">
        <v>43343</v>
      </c>
      <c r="AE108" s="72" t="n">
        <v>0.002697220022070491</v>
      </c>
    </row>
    <row r="109" customFormat="1" s="115">
      <c r="A109" s="28" t="n">
        <v>41880</v>
      </c>
      <c r="B109" s="118" t="n">
        <v>16110.55</v>
      </c>
      <c r="C109" s="111">
        <f>(B109/B108-1)/(A109-A108)*30</f>
        <v/>
      </c>
      <c r="D109" s="30" t="n"/>
      <c r="E109" s="30" t="n"/>
      <c r="F109" s="30" t="n"/>
      <c r="I109" s="116" t="n"/>
      <c r="AD109" s="28" t="n">
        <v>43373</v>
      </c>
      <c r="AE109" s="72" t="n">
        <v>0.002946786774067123</v>
      </c>
    </row>
    <row r="110" customFormat="1" s="115">
      <c r="A110" s="28" t="n">
        <v>41912</v>
      </c>
      <c r="B110" s="118" t="n">
        <v>16158.37</v>
      </c>
      <c r="C110" s="111">
        <f>(B110/B109-1)/(A110-A109)*30</f>
        <v/>
      </c>
      <c r="D110" s="30" t="n"/>
      <c r="E110" s="30" t="n"/>
      <c r="F110" s="30" t="n"/>
      <c r="I110" s="116" t="n"/>
      <c r="AD110" s="28" t="n">
        <v>43404</v>
      </c>
      <c r="AE110" s="72" t="n">
        <v>0.002734115798128082</v>
      </c>
    </row>
    <row r="111" customFormat="1" s="115">
      <c r="A111" s="28" t="n">
        <v>41943</v>
      </c>
      <c r="B111" s="118" t="n">
        <v>16200.86</v>
      </c>
      <c r="C111" s="111">
        <f>(B111/B110-1)/(A111-A110)*30</f>
        <v/>
      </c>
      <c r="D111" s="30" t="n"/>
      <c r="E111" s="30" t="n"/>
      <c r="F111" s="30" t="n"/>
      <c r="I111" s="116" t="n"/>
      <c r="AD111" s="28" t="n">
        <v>43434</v>
      </c>
      <c r="AE111" s="72" t="n">
        <v>0.002844092886551852</v>
      </c>
    </row>
    <row r="112" customFormat="1" s="115">
      <c r="A112" s="28" t="n">
        <v>41971</v>
      </c>
      <c r="B112" s="118" t="n">
        <v>16240.11</v>
      </c>
      <c r="C112" s="111">
        <f>(B112/B111-1)/(A112-A111)*30</f>
        <v/>
      </c>
      <c r="D112" s="30" t="n"/>
      <c r="E112" s="30" t="n"/>
      <c r="F112" s="30" t="n"/>
      <c r="I112" s="116" t="n"/>
      <c r="AD112" s="28" t="n">
        <v>43465</v>
      </c>
      <c r="AE112" s="72" t="n">
        <v>0.002626598915806536</v>
      </c>
    </row>
    <row r="113" customFormat="1" s="115">
      <c r="A113" s="28" t="n">
        <v>42004</v>
      </c>
      <c r="B113" s="118" t="n">
        <v>16283.49</v>
      </c>
      <c r="C113" s="111">
        <f>(B113/B112-1)/(A113-A112)*30</f>
        <v/>
      </c>
      <c r="D113" s="30" t="n"/>
      <c r="E113" s="30" t="n"/>
      <c r="F113" s="30" t="n"/>
      <c r="I113" s="116" t="n"/>
      <c r="AD113" s="28" t="n">
        <v>43496</v>
      </c>
      <c r="AE113" s="72" t="n">
        <v>0.002814303282289405</v>
      </c>
    </row>
    <row r="114" customFormat="1" s="115">
      <c r="A114" s="28" t="n">
        <v>42034</v>
      </c>
      <c r="B114" s="118" t="n">
        <v>16325.65</v>
      </c>
      <c r="C114" s="111">
        <f>(B114/B113-1)/(A114-A113)*30</f>
        <v/>
      </c>
      <c r="D114" s="30" t="n"/>
      <c r="E114" s="30" t="n"/>
      <c r="F114" s="30" t="n"/>
      <c r="I114" s="116" t="n"/>
      <c r="AD114" s="28" t="n">
        <v>43524</v>
      </c>
      <c r="AE114" s="72" t="n">
        <v>0.002823606386871957</v>
      </c>
    </row>
    <row r="115">
      <c r="A115" s="28" t="n">
        <v>42062</v>
      </c>
      <c r="B115" s="118" t="n">
        <v>16363.77</v>
      </c>
      <c r="C115" s="111">
        <f>(B115/B114-1)/(A115-A114)*30</f>
        <v/>
      </c>
      <c r="D115" s="30" t="n"/>
      <c r="E115" s="30" t="n"/>
      <c r="F115" s="30" t="n"/>
      <c r="N115" s="115" t="n"/>
      <c r="O115" s="115" t="n"/>
      <c r="P115" s="115" t="n"/>
      <c r="Q115" s="115" t="n"/>
      <c r="R115" s="115" t="n"/>
      <c r="S115" s="115" t="n"/>
      <c r="T115" s="115" t="n"/>
      <c r="U115" s="115" t="n"/>
      <c r="V115" s="115" t="n"/>
      <c r="W115" s="115" t="n"/>
      <c r="X115" s="115" t="n"/>
      <c r="Y115" s="115" t="n"/>
      <c r="Z115" s="115" t="n"/>
      <c r="AA115" s="115" t="n"/>
      <c r="AB115" s="115" t="n"/>
      <c r="AC115" s="115" t="n"/>
      <c r="AD115" s="28" t="n">
        <v>43555</v>
      </c>
      <c r="AE115" s="72" t="n">
        <v>0.002865362794038821</v>
      </c>
      <c r="AF115" s="115" t="n"/>
      <c r="AG115" s="115" t="n"/>
      <c r="AH115" s="115" t="n"/>
      <c r="AI115" s="115" t="n"/>
      <c r="AJ115" s="115" t="n"/>
      <c r="AK115" s="115" t="n"/>
      <c r="AL115" s="115" t="n"/>
      <c r="AM115" s="115" t="n"/>
      <c r="AN115" s="115" t="n"/>
      <c r="AO115" s="115" t="n"/>
      <c r="AP115" s="115" t="n"/>
      <c r="AQ115" s="115" t="n"/>
      <c r="AR115" s="115" t="n"/>
      <c r="AS115" s="115" t="n"/>
      <c r="AT115" s="115" t="n"/>
    </row>
    <row r="116">
      <c r="A116" s="28" t="n">
        <v>42094</v>
      </c>
      <c r="B116" s="118" t="n">
        <v>16407.49</v>
      </c>
      <c r="C116" s="111">
        <f>(B116/B115-1)/(A116-A115)*30</f>
        <v/>
      </c>
      <c r="D116" s="30" t="n"/>
      <c r="E116" s="30" t="n"/>
      <c r="F116" s="30" t="n"/>
      <c r="O116" s="115" t="n"/>
      <c r="P116" s="115" t="n"/>
      <c r="Q116" s="115" t="n"/>
      <c r="R116" s="115" t="n"/>
      <c r="S116" s="115" t="n"/>
      <c r="T116" s="115" t="n"/>
      <c r="U116" s="115" t="n"/>
      <c r="V116" s="115" t="n"/>
      <c r="W116" s="115" t="n"/>
      <c r="X116" s="115" t="n"/>
      <c r="Y116" s="115" t="n"/>
      <c r="Z116" s="115" t="n"/>
      <c r="AA116" s="115" t="n"/>
      <c r="AB116" s="115" t="n"/>
      <c r="AC116" s="115" t="n"/>
      <c r="AD116" s="28" t="n">
        <v>43585</v>
      </c>
      <c r="AE116" s="72" t="n">
        <v>0.002932409051613627</v>
      </c>
      <c r="AF116" s="115" t="n"/>
      <c r="AG116" s="115" t="n"/>
      <c r="AH116" s="115" t="n"/>
      <c r="AI116" s="115" t="n"/>
      <c r="AJ116" s="115" t="n"/>
      <c r="AK116" s="115" t="n"/>
      <c r="AL116" s="115" t="n"/>
      <c r="AM116" s="115" t="n"/>
      <c r="AN116" s="115" t="n"/>
      <c r="AO116" s="115" t="n"/>
      <c r="AP116" s="115" t="n"/>
      <c r="AQ116" s="115" t="n"/>
      <c r="AR116" s="115" t="n"/>
      <c r="AS116" s="115" t="n"/>
    </row>
    <row r="117">
      <c r="A117" s="28" t="n">
        <v>42124</v>
      </c>
      <c r="B117" s="118" t="n">
        <v>16448.59</v>
      </c>
      <c r="C117" s="111">
        <f>(B117/B116-1)/(A117-A116)*30</f>
        <v/>
      </c>
      <c r="D117" s="30" t="n"/>
      <c r="E117" s="30" t="n"/>
      <c r="F117" s="30" t="n"/>
      <c r="O117" s="115" t="n"/>
      <c r="P117" s="115" t="n"/>
      <c r="Q117" s="115" t="n"/>
      <c r="R117" s="115" t="n"/>
      <c r="S117" s="115" t="n"/>
      <c r="T117" s="115" t="n"/>
      <c r="U117" s="115" t="n"/>
      <c r="V117" s="115" t="n"/>
      <c r="W117" s="115" t="n"/>
      <c r="X117" s="115" t="n"/>
      <c r="Y117" s="115" t="n"/>
      <c r="Z117" s="115" t="n"/>
      <c r="AA117" s="115" t="n"/>
      <c r="AB117" s="115" t="n"/>
      <c r="AC117" s="115" t="n"/>
      <c r="AD117" s="115" t="n"/>
      <c r="AE117" s="115" t="n"/>
      <c r="AF117" s="115" t="n"/>
      <c r="AG117" s="115" t="n"/>
      <c r="AH117" s="115" t="n"/>
      <c r="AI117" s="115" t="n"/>
      <c r="AJ117" s="115" t="n"/>
      <c r="AK117" s="115" t="n"/>
      <c r="AL117" s="115" t="n"/>
      <c r="AM117" s="115" t="n"/>
      <c r="AN117" s="115" t="n"/>
      <c r="AO117" s="115" t="n"/>
      <c r="AP117" s="115" t="n"/>
      <c r="AQ117" s="115" t="n"/>
      <c r="AR117" s="115" t="n"/>
      <c r="AS117" s="115" t="n"/>
    </row>
    <row r="118">
      <c r="A118" s="28" t="n">
        <v>42153</v>
      </c>
      <c r="B118" s="118" t="n">
        <v>16488.37</v>
      </c>
      <c r="C118" s="111">
        <f>(B118/B117-1)/(A118-A117)*30</f>
        <v/>
      </c>
      <c r="D118" s="30" t="n"/>
      <c r="E118" s="30" t="n"/>
      <c r="F118" s="30" t="n"/>
      <c r="O118" s="115" t="n"/>
      <c r="P118" s="115" t="n"/>
      <c r="Q118" s="115" t="n"/>
      <c r="R118" s="115" t="n"/>
      <c r="S118" s="115" t="n"/>
      <c r="T118" s="115" t="n"/>
      <c r="U118" s="115" t="n"/>
      <c r="V118" s="115" t="n"/>
      <c r="W118" s="115" t="n"/>
      <c r="X118" s="115" t="n"/>
      <c r="Y118" s="115" t="n"/>
      <c r="Z118" s="115" t="n"/>
      <c r="AA118" s="115" t="n"/>
      <c r="AB118" s="115" t="n"/>
      <c r="AC118" s="115" t="n"/>
      <c r="AD118" s="115" t="n"/>
      <c r="AE118" s="115" t="n"/>
      <c r="AF118" s="115" t="n"/>
      <c r="AG118" s="115" t="n"/>
      <c r="AH118" s="115" t="n"/>
      <c r="AI118" s="115" t="n"/>
      <c r="AJ118" s="115" t="n"/>
      <c r="AK118" s="115" t="n"/>
      <c r="AL118" s="115" t="n"/>
      <c r="AM118" s="115" t="n"/>
      <c r="AN118" s="115" t="n"/>
      <c r="AO118" s="115" t="n"/>
      <c r="AP118" s="115" t="n"/>
      <c r="AQ118" s="115" t="n"/>
      <c r="AR118" s="115" t="n"/>
      <c r="AS118" s="115" t="n"/>
    </row>
    <row r="119">
      <c r="A119" s="28" t="n">
        <v>42185</v>
      </c>
      <c r="B119" s="118" t="n">
        <v>16532.38</v>
      </c>
      <c r="C119" s="111">
        <f>(B119/B118-1)/(A119-A118)*30</f>
        <v/>
      </c>
      <c r="D119" s="30" t="n"/>
      <c r="E119" s="30" t="n"/>
      <c r="F119" s="30" t="n"/>
      <c r="O119" s="115" t="n"/>
      <c r="P119" s="115" t="n"/>
      <c r="Q119" s="115" t="n"/>
      <c r="R119" s="115" t="n"/>
      <c r="S119" s="115" t="n"/>
      <c r="T119" s="115" t="n"/>
      <c r="U119" s="115" t="n"/>
      <c r="V119" s="115" t="n"/>
      <c r="W119" s="115" t="n"/>
      <c r="X119" s="115" t="n"/>
      <c r="Y119" s="115" t="n"/>
      <c r="Z119" s="115" t="n"/>
      <c r="AA119" s="115" t="n"/>
      <c r="AC119" s="115" t="n"/>
      <c r="AD119" s="115" t="n"/>
      <c r="AE119" s="115" t="n"/>
      <c r="AF119" s="115" t="n"/>
      <c r="AG119" s="115" t="n"/>
      <c r="AH119" s="115" t="n"/>
      <c r="AI119" s="115" t="n"/>
      <c r="AJ119" s="115" t="n"/>
      <c r="AK119" s="115" t="n"/>
      <c r="AL119" s="115" t="n"/>
      <c r="AM119" s="115" t="n"/>
      <c r="AN119" s="115" t="n"/>
      <c r="AO119" s="115" t="n"/>
      <c r="AP119" s="115" t="n"/>
      <c r="AQ119" s="115" t="n"/>
      <c r="AR119" s="115" t="n"/>
      <c r="AS119" s="115" t="n"/>
    </row>
    <row r="120">
      <c r="A120" s="28" t="n">
        <v>42216</v>
      </c>
      <c r="B120" s="118" t="n">
        <v>16575.11</v>
      </c>
      <c r="C120" s="111">
        <f>(B120/B119-1)/(A120-A119)*30</f>
        <v/>
      </c>
      <c r="D120" s="30" t="n"/>
      <c r="E120" s="30" t="n"/>
      <c r="F120" s="30" t="n"/>
      <c r="O120" s="115" t="n"/>
      <c r="P120" s="115" t="n"/>
      <c r="Q120" s="115" t="n"/>
      <c r="R120" s="115" t="n"/>
      <c r="S120" s="115" t="n"/>
      <c r="T120" s="115" t="n"/>
      <c r="U120" s="115" t="n"/>
      <c r="V120" s="115" t="n"/>
      <c r="W120" s="115" t="n"/>
      <c r="X120" s="115" t="n"/>
      <c r="Y120" s="115" t="n"/>
      <c r="Z120" s="115" t="n"/>
      <c r="AA120" s="115" t="n"/>
      <c r="AC120" s="115" t="n"/>
      <c r="AD120" s="115" t="n"/>
      <c r="AE120" s="115" t="n"/>
      <c r="AF120" s="115" t="n"/>
      <c r="AG120" s="115" t="n"/>
      <c r="AH120" s="115" t="n"/>
      <c r="AI120" s="115" t="n"/>
      <c r="AJ120" s="115" t="n"/>
      <c r="AK120" s="115" t="n"/>
      <c r="AL120" s="115" t="n"/>
      <c r="AM120" s="115" t="n"/>
      <c r="AN120" s="115" t="n"/>
      <c r="AO120" s="115" t="n"/>
      <c r="AP120" s="115" t="n"/>
      <c r="AQ120" s="115" t="n"/>
      <c r="AR120" s="115" t="n"/>
      <c r="AS120" s="115" t="n"/>
    </row>
    <row r="121">
      <c r="A121" s="28" t="n">
        <v>42247</v>
      </c>
      <c r="B121" s="118" t="n">
        <v>16617.94</v>
      </c>
      <c r="C121" s="111">
        <f>(B121/B120-1)/(A121-A120)*30</f>
        <v/>
      </c>
      <c r="D121" s="30" t="n"/>
      <c r="E121" s="30" t="n"/>
      <c r="F121" s="30" t="n"/>
      <c r="O121" s="115" t="n"/>
      <c r="P121" s="115" t="n"/>
      <c r="Q121" s="115" t="n"/>
      <c r="R121" s="115" t="n"/>
      <c r="S121" s="115" t="n"/>
      <c r="T121" s="115" t="n"/>
      <c r="U121" s="115" t="n"/>
      <c r="V121" s="115" t="n"/>
      <c r="W121" s="115" t="n"/>
      <c r="X121" s="115" t="n"/>
      <c r="Y121" s="115" t="n"/>
      <c r="Z121" s="115" t="n"/>
      <c r="AA121" s="115" t="n"/>
      <c r="AC121" s="115" t="n"/>
      <c r="AD121" s="115" t="n"/>
      <c r="AE121" s="115" t="n"/>
      <c r="AF121" s="115" t="n"/>
      <c r="AG121" s="115" t="n"/>
      <c r="AH121" s="115" t="n"/>
      <c r="AI121" s="115" t="n"/>
      <c r="AJ121" s="115" t="n"/>
      <c r="AK121" s="115" t="n"/>
      <c r="AL121" s="115" t="n"/>
      <c r="AM121" s="115" t="n"/>
      <c r="AN121" s="115" t="n"/>
      <c r="AO121" s="115" t="n"/>
      <c r="AP121" s="115" t="n"/>
      <c r="AQ121" s="115" t="n"/>
      <c r="AR121" s="115" t="n"/>
      <c r="AS121" s="115" t="n"/>
    </row>
    <row r="122">
      <c r="A122" s="28" t="n">
        <v>42277</v>
      </c>
      <c r="B122" s="118" t="n">
        <v>16659.58</v>
      </c>
      <c r="C122" s="111">
        <f>(B122/B121-1)/(A122-A121)*30</f>
        <v/>
      </c>
      <c r="D122" s="30" t="n"/>
      <c r="E122" s="30" t="n"/>
      <c r="F122" s="30" t="n"/>
      <c r="O122" s="115" t="n"/>
      <c r="P122" s="115" t="n"/>
      <c r="Q122" s="115" t="n"/>
      <c r="R122" s="115" t="n"/>
      <c r="S122" s="115" t="n"/>
      <c r="T122" s="115" t="n"/>
      <c r="U122" s="115" t="n"/>
      <c r="V122" s="115" t="n"/>
      <c r="W122" s="115" t="n"/>
      <c r="X122" s="115" t="n"/>
      <c r="Y122" s="115" t="n"/>
      <c r="Z122" s="115" t="n"/>
      <c r="AA122" s="115" t="n"/>
      <c r="AC122" s="115" t="n"/>
      <c r="AD122" s="115" t="n"/>
      <c r="AE122" s="115" t="n"/>
      <c r="AF122" s="115" t="n"/>
      <c r="AG122" s="115" t="n"/>
      <c r="AH122" s="115" t="n"/>
      <c r="AI122" s="115" t="n"/>
      <c r="AJ122" s="115" t="n"/>
      <c r="AK122" s="115" t="n"/>
      <c r="AL122" s="115" t="n"/>
      <c r="AM122" s="115" t="n"/>
      <c r="AN122" s="115" t="n"/>
      <c r="AO122" s="115" t="n"/>
      <c r="AP122" s="115" t="n"/>
      <c r="AQ122" s="115" t="n"/>
      <c r="AR122" s="115" t="n"/>
      <c r="AS122" s="115" t="n"/>
    </row>
    <row r="123">
      <c r="A123" s="28" t="n">
        <v>42307</v>
      </c>
      <c r="B123" s="118" t="n">
        <v>16702.94</v>
      </c>
      <c r="C123" s="111">
        <f>(B123/B122-1)/(A123-A122)*30</f>
        <v/>
      </c>
      <c r="D123" s="30" t="n"/>
      <c r="E123" s="30" t="n"/>
      <c r="F123" s="30" t="n"/>
      <c r="O123" s="115" t="n"/>
      <c r="P123" s="115" t="n"/>
      <c r="Q123" s="115" t="n"/>
      <c r="R123" s="115" t="n"/>
      <c r="S123" s="115" t="n"/>
      <c r="T123" s="115" t="n"/>
      <c r="U123" s="115" t="n"/>
      <c r="V123" s="115" t="n"/>
      <c r="W123" s="115" t="n"/>
      <c r="X123" s="115" t="n"/>
      <c r="Y123" s="115" t="n"/>
      <c r="Z123" s="115" t="n"/>
      <c r="AA123" s="115" t="n"/>
      <c r="AC123" s="115" t="n"/>
      <c r="AD123" s="115" t="n"/>
      <c r="AE123" s="115" t="n"/>
      <c r="AF123" s="115" t="n"/>
      <c r="AG123" s="115" t="n"/>
      <c r="AH123" s="115" t="n"/>
      <c r="AI123" s="115" t="n"/>
      <c r="AJ123" s="115" t="n"/>
      <c r="AK123" s="115" t="n"/>
      <c r="AL123" s="115" t="n"/>
      <c r="AM123" s="115" t="n"/>
      <c r="AN123" s="115" t="n"/>
      <c r="AO123" s="115" t="n"/>
      <c r="AP123" s="115" t="n"/>
      <c r="AQ123" s="115" t="n"/>
      <c r="AR123" s="115" t="n"/>
      <c r="AS123" s="115" t="n"/>
    </row>
    <row r="124">
      <c r="A124" s="28" t="n">
        <v>42338</v>
      </c>
      <c r="B124" s="118" t="n">
        <v>16749.75</v>
      </c>
      <c r="C124" s="111">
        <f>(B124/B123-1)/(A124-A123)*30</f>
        <v/>
      </c>
      <c r="D124" s="30" t="n"/>
      <c r="E124" s="30" t="n"/>
      <c r="F124" s="28" t="n"/>
      <c r="O124" s="115" t="n"/>
      <c r="P124" s="115" t="n"/>
      <c r="Q124" s="115" t="n"/>
      <c r="R124" s="115" t="n"/>
      <c r="S124" s="115" t="n"/>
      <c r="T124" s="115" t="n"/>
      <c r="U124" s="115" t="n"/>
      <c r="V124" s="115" t="n"/>
      <c r="W124" s="115" t="n"/>
      <c r="X124" s="115" t="n"/>
      <c r="Y124" s="115" t="n"/>
      <c r="Z124" s="115" t="n"/>
      <c r="AA124" s="115" t="n"/>
      <c r="AC124" s="115" t="n"/>
      <c r="AD124" s="115" t="n"/>
      <c r="AE124" s="115" t="n"/>
      <c r="AF124" s="115" t="n"/>
      <c r="AG124" s="115" t="n"/>
      <c r="AH124" s="115" t="n"/>
      <c r="AI124" s="115" t="n"/>
      <c r="AJ124" s="115" t="n"/>
      <c r="AK124" s="115" t="n"/>
      <c r="AL124" s="115" t="n"/>
      <c r="AM124" s="115" t="n"/>
      <c r="AN124" s="115" t="n"/>
      <c r="AO124" s="115" t="n"/>
      <c r="AP124" s="115" t="n"/>
      <c r="AQ124" s="115" t="n"/>
      <c r="AR124" s="115" t="n"/>
      <c r="AS124" s="115" t="n"/>
    </row>
    <row r="125">
      <c r="A125" s="28" t="n">
        <v>42369</v>
      </c>
      <c r="B125" s="118" t="n">
        <v>16796.52</v>
      </c>
      <c r="C125" s="111">
        <f>(B125/B124-1)/(A125-A124)*30</f>
        <v/>
      </c>
      <c r="D125" s="30" t="n"/>
      <c r="E125" s="30" t="n"/>
      <c r="F125" s="28" t="n">
        <v>42369</v>
      </c>
      <c r="K125" s="115" t="n">
        <v>997.096492585025</v>
      </c>
      <c r="O125" s="115" t="n"/>
      <c r="P125" s="115" t="n"/>
      <c r="Q125" s="115" t="n"/>
      <c r="R125" s="115" t="n"/>
      <c r="S125" s="115" t="n"/>
      <c r="T125" s="115" t="n"/>
      <c r="U125" s="115" t="n"/>
      <c r="V125" s="115" t="n"/>
      <c r="W125" s="115" t="n"/>
      <c r="X125" s="115" t="n"/>
      <c r="Y125" s="115" t="n"/>
      <c r="Z125" s="115" t="n"/>
      <c r="AA125" s="115" t="n"/>
      <c r="AC125" s="115" t="n"/>
      <c r="AD125" s="115" t="n"/>
      <c r="AE125" s="115" t="n"/>
      <c r="AF125" s="115" t="n"/>
      <c r="AG125" s="115" t="n"/>
      <c r="AH125" s="115" t="n"/>
      <c r="AI125" s="115" t="n"/>
      <c r="AJ125" s="115" t="n"/>
      <c r="AK125" s="115" t="n"/>
      <c r="AL125" s="115" t="n"/>
      <c r="AM125" s="115" t="n"/>
      <c r="AN125" s="115" t="n"/>
      <c r="AO125" s="115" t="n"/>
      <c r="AP125" s="115" t="n"/>
      <c r="AQ125" s="115" t="n"/>
    </row>
    <row r="126">
      <c r="A126" s="28" t="n">
        <v>42398</v>
      </c>
      <c r="B126" s="118" t="n">
        <v>16845.59</v>
      </c>
      <c r="C126" s="111">
        <f>(B126/B125-1)/(A126-A125)*30</f>
        <v/>
      </c>
      <c r="D126" s="30" t="n"/>
      <c r="E126" s="30" t="n"/>
      <c r="F126" s="28" t="n">
        <v>42400</v>
      </c>
      <c r="K126" s="115" t="n">
        <v>999.91</v>
      </c>
      <c r="AC126" s="115" t="n"/>
      <c r="AD126" s="115" t="n"/>
      <c r="AE126" s="115" t="n"/>
      <c r="AF126" s="115" t="n"/>
      <c r="AG126" s="115" t="n"/>
      <c r="AH126" s="115" t="n"/>
      <c r="AI126" s="115" t="n"/>
      <c r="AJ126" s="115" t="n"/>
      <c r="AK126" s="115" t="n"/>
      <c r="AL126" s="115" t="n"/>
      <c r="AM126" s="115" t="n"/>
      <c r="AN126" s="115" t="n"/>
      <c r="AO126" s="115" t="n"/>
      <c r="AP126" s="115" t="n"/>
      <c r="AQ126" s="115" t="n"/>
    </row>
    <row r="127">
      <c r="A127" s="28" t="n">
        <v>42429</v>
      </c>
      <c r="B127" s="118" t="n">
        <v>16896.43</v>
      </c>
      <c r="C127" s="111">
        <f>(B127/B126-1)/(A127-A126)*30</f>
        <v/>
      </c>
      <c r="D127" s="30" t="n"/>
      <c r="E127" s="30" t="n"/>
      <c r="F127" s="28" t="n">
        <v>42428</v>
      </c>
      <c r="K127" s="115" t="n">
        <v>1003.0557</v>
      </c>
      <c r="AC127" s="115" t="n"/>
      <c r="AD127" s="115" t="n"/>
      <c r="AE127" s="115" t="n"/>
      <c r="AF127" s="115" t="n"/>
      <c r="AG127" s="115" t="n"/>
      <c r="AH127" s="115" t="n"/>
      <c r="AI127" s="115" t="n"/>
      <c r="AJ127" s="115" t="n"/>
      <c r="AK127" s="115" t="n"/>
      <c r="AL127" s="115" t="n"/>
      <c r="AM127" s="115" t="n"/>
      <c r="AN127" s="115" t="n"/>
      <c r="AO127" s="115" t="n"/>
      <c r="AP127" s="115" t="n"/>
      <c r="AQ127" s="115" t="n"/>
    </row>
    <row r="128">
      <c r="A128" s="28" t="n">
        <v>42460</v>
      </c>
      <c r="B128" s="118" t="n">
        <v>16947.43</v>
      </c>
      <c r="C128" s="111">
        <f>(B128/B127-1)/(A128-A127)*30</f>
        <v/>
      </c>
      <c r="D128" s="30" t="n"/>
      <c r="E128" s="30" t="n"/>
      <c r="F128" s="28" t="n">
        <v>42460</v>
      </c>
      <c r="K128" s="115" t="n">
        <v>1006.748</v>
      </c>
      <c r="AC128" s="115" t="n"/>
      <c r="AD128" s="115" t="n"/>
      <c r="AE128" s="115" t="n"/>
      <c r="AF128" s="115" t="n"/>
      <c r="AG128" s="115" t="n"/>
      <c r="AH128" s="115" t="n"/>
      <c r="AI128" s="115" t="n"/>
      <c r="AJ128" s="115" t="n"/>
      <c r="AK128" s="115" t="n"/>
      <c r="AL128" s="115" t="n"/>
      <c r="AM128" s="115" t="n"/>
      <c r="AN128" s="115" t="n"/>
      <c r="AO128" s="115" t="n"/>
      <c r="AP128" s="115" t="n"/>
      <c r="AQ128" s="115" t="n"/>
    </row>
    <row r="129">
      <c r="A129" s="28" t="n">
        <v>42489</v>
      </c>
      <c r="B129" s="118" t="n">
        <v>16995.27</v>
      </c>
      <c r="C129" s="111">
        <f>(B129/B128-1)/(A129-A128)*30</f>
        <v/>
      </c>
      <c r="D129" s="30" t="n"/>
      <c r="F129" s="28" t="n">
        <v>42490</v>
      </c>
      <c r="K129" s="115" t="n">
        <v>1010.1901</v>
      </c>
      <c r="AC129" s="115" t="n"/>
      <c r="AD129" s="115" t="n"/>
      <c r="AE129" s="115" t="n"/>
      <c r="AF129" s="115" t="n"/>
      <c r="AG129" s="115" t="n"/>
      <c r="AH129" s="115" t="n"/>
      <c r="AI129" s="115" t="n"/>
      <c r="AJ129" s="115" t="n"/>
      <c r="AK129" s="115" t="n"/>
      <c r="AL129" s="115" t="n"/>
      <c r="AM129" s="115" t="n"/>
      <c r="AN129" s="115" t="n"/>
      <c r="AO129" s="115" t="n"/>
      <c r="AP129" s="115" t="n"/>
      <c r="AQ129" s="115" t="n"/>
    </row>
    <row r="130">
      <c r="A130" s="28" t="n">
        <v>42521</v>
      </c>
      <c r="B130" s="118" t="n">
        <v>17048.23</v>
      </c>
      <c r="C130" s="111">
        <f>(B130/B129-1)/(A130-A129)*30</f>
        <v/>
      </c>
      <c r="D130" s="30" t="n"/>
      <c r="F130" s="28">
        <f>+A130</f>
        <v/>
      </c>
      <c r="G130" s="124" t="n"/>
      <c r="H130" s="124" t="n"/>
      <c r="J130" s="29" t="n"/>
      <c r="K130" s="115" t="n">
        <v>1013.6123</v>
      </c>
      <c r="L130" s="111">
        <f>+(K130/K129-1)/(F130-F129)*30</f>
        <v/>
      </c>
      <c r="AC130" s="115" t="n"/>
      <c r="AD130" s="115" t="n"/>
      <c r="AE130" s="115" t="n"/>
      <c r="AF130" s="115" t="n"/>
      <c r="AG130" s="115" t="n"/>
      <c r="AH130" s="115" t="n"/>
      <c r="AI130" s="115" t="n"/>
      <c r="AJ130" s="115" t="n"/>
      <c r="AK130" s="115" t="n"/>
      <c r="AL130" s="115" t="n"/>
      <c r="AM130" s="115" t="n"/>
      <c r="AN130" s="115" t="n"/>
      <c r="AO130" s="115" t="n"/>
      <c r="AP130" s="115" t="n"/>
      <c r="AQ130" s="115" t="n"/>
    </row>
    <row r="131">
      <c r="A131" s="28" t="n">
        <v>42551</v>
      </c>
      <c r="B131" s="118" t="n">
        <v>17098.02</v>
      </c>
      <c r="C131" s="111">
        <f>(B131/B130-1)/(A131-A130)*30</f>
        <v/>
      </c>
      <c r="D131" s="30" t="n"/>
      <c r="F131" s="28">
        <f>+A131</f>
        <v/>
      </c>
      <c r="H131" s="124" t="n"/>
      <c r="I131" s="111" t="n"/>
      <c r="J131" s="29" t="n"/>
      <c r="K131" s="115" t="n">
        <v>1016.7787</v>
      </c>
      <c r="L131" s="111">
        <f>+(K131/K130-1)/(F131-F130)*30</f>
        <v/>
      </c>
      <c r="M131" s="30" t="n"/>
      <c r="AC131" s="115" t="n"/>
      <c r="AD131" s="115" t="n"/>
      <c r="AE131" s="115" t="n"/>
      <c r="AF131" s="115" t="n"/>
      <c r="AG131" s="115" t="n"/>
      <c r="AH131" s="115" t="n"/>
      <c r="AI131" s="115" t="n"/>
      <c r="AJ131" s="115" t="n"/>
      <c r="AK131" s="115" t="n"/>
      <c r="AL131" s="115" t="n"/>
      <c r="AM131" s="115" t="n"/>
      <c r="AN131" s="115" t="n"/>
      <c r="AO131" s="115" t="n"/>
      <c r="AP131" s="115" t="n"/>
      <c r="AQ131" s="115" t="n"/>
    </row>
    <row r="132">
      <c r="A132" s="28" t="n">
        <v>42582</v>
      </c>
      <c r="B132" s="125" t="n">
        <v>17149.23</v>
      </c>
      <c r="C132" s="111">
        <f>(B132/B131-1)/(A132-A131)*30</f>
        <v/>
      </c>
      <c r="D132" s="30" t="n"/>
      <c r="F132" s="28">
        <f>+A132</f>
        <v/>
      </c>
      <c r="H132" s="124" t="n"/>
      <c r="I132" s="111" t="n"/>
      <c r="J132" s="29" t="n"/>
      <c r="K132" s="115" t="n">
        <v>1020.0427</v>
      </c>
      <c r="L132" s="111">
        <f>+(K132/K131-1)/(F132-F131)*30</f>
        <v/>
      </c>
      <c r="M132" s="30" t="n"/>
      <c r="AC132" s="115" t="n"/>
      <c r="AD132" s="115" t="n"/>
      <c r="AE132" s="115" t="n"/>
      <c r="AF132" s="115" t="n"/>
      <c r="AG132" s="115" t="n"/>
      <c r="AH132" s="115" t="n"/>
      <c r="AI132" s="115" t="n"/>
      <c r="AJ132" s="115" t="n"/>
      <c r="AK132" s="115" t="n"/>
      <c r="AL132" s="115" t="n"/>
      <c r="AM132" s="115" t="n"/>
      <c r="AN132" s="115" t="n"/>
      <c r="AO132" s="115" t="n"/>
      <c r="AP132" s="115" t="n"/>
      <c r="AQ132" s="115" t="n"/>
    </row>
    <row r="133">
      <c r="A133" s="28" t="n">
        <v>42613</v>
      </c>
      <c r="B133" s="118" t="n">
        <v>17201.38</v>
      </c>
      <c r="C133" s="111">
        <f>(B133/B132-1)/(A133-A132)*30</f>
        <v/>
      </c>
      <c r="D133" s="30" t="n"/>
      <c r="F133" s="28">
        <f>+A133</f>
        <v/>
      </c>
      <c r="H133" s="124" t="n"/>
      <c r="I133" s="111" t="n"/>
      <c r="J133" s="29" t="n"/>
      <c r="K133" s="115" t="n">
        <v>1023.2554</v>
      </c>
      <c r="L133" s="111">
        <f>+(K133/K132-1)/(F133-F132)*30</f>
        <v/>
      </c>
      <c r="M133" s="30" t="n"/>
      <c r="AC133" s="115" t="n"/>
      <c r="AD133" s="115" t="n"/>
      <c r="AE133" s="115" t="n"/>
      <c r="AF133" s="115" t="n"/>
      <c r="AG133" s="115" t="n"/>
      <c r="AH133" s="115" t="n"/>
      <c r="AI133" s="115" t="n"/>
      <c r="AJ133" s="115" t="n"/>
      <c r="AK133" s="115" t="n"/>
      <c r="AL133" s="115" t="n"/>
      <c r="AM133" s="115" t="n"/>
      <c r="AN133" s="115" t="n"/>
      <c r="AO133" s="115" t="n"/>
      <c r="AP133" s="115" t="n"/>
      <c r="AQ133" s="115" t="n"/>
    </row>
    <row r="134">
      <c r="A134" s="28">
        <f>+A133+30</f>
        <v/>
      </c>
      <c r="B134" s="118" t="n">
        <v>17251.61</v>
      </c>
      <c r="C134" s="111">
        <f>(B134/B133-1)/(A134-A133)*30</f>
        <v/>
      </c>
      <c r="D134" s="30" t="n"/>
      <c r="F134" s="28">
        <f>+A134</f>
        <v/>
      </c>
      <c r="H134" s="124" t="n"/>
      <c r="I134" s="111" t="n"/>
      <c r="J134" s="29" t="n"/>
      <c r="K134" s="115" t="n">
        <v>1026.3402</v>
      </c>
      <c r="L134" s="111">
        <f>+(K134/K133-1)/(F134-F133)*30</f>
        <v/>
      </c>
      <c r="M134" s="30" t="n"/>
      <c r="AC134" s="115" t="n"/>
      <c r="AD134" s="115" t="n"/>
      <c r="AE134" s="115" t="n"/>
      <c r="AF134" s="115" t="n"/>
      <c r="AG134" s="115" t="n"/>
      <c r="AH134" s="115" t="n"/>
      <c r="AI134" s="115" t="n"/>
      <c r="AJ134" s="115" t="n"/>
      <c r="AK134" s="115" t="n"/>
      <c r="AL134" s="115" t="n"/>
      <c r="AM134" s="115" t="n"/>
      <c r="AN134" s="115" t="n"/>
      <c r="AO134" s="115" t="n"/>
      <c r="AP134" s="115" t="n"/>
      <c r="AQ134" s="115" t="n"/>
    </row>
    <row r="135">
      <c r="A135" s="28" t="n">
        <v>42674</v>
      </c>
      <c r="B135" s="118" t="n">
        <v>17303.68</v>
      </c>
      <c r="C135" s="111">
        <f>(B135/B134-1)/(A135-A134)*30</f>
        <v/>
      </c>
      <c r="D135" s="30" t="n"/>
      <c r="F135" s="28">
        <f>+A135</f>
        <v/>
      </c>
      <c r="H135" s="124" t="n"/>
      <c r="I135" s="111" t="n"/>
      <c r="J135" s="29" t="n"/>
      <c r="K135" s="115" t="n">
        <v>1029.5221</v>
      </c>
      <c r="L135" s="111">
        <f>+(K135/K134-1)/(F135-F134)*30</f>
        <v/>
      </c>
      <c r="M135" s="30" t="n"/>
      <c r="AC135" s="115" t="n"/>
      <c r="AD135" s="115" t="n"/>
      <c r="AE135" s="115" t="n"/>
      <c r="AF135" s="115" t="n"/>
      <c r="AG135" s="115" t="n"/>
      <c r="AH135" s="115" t="n"/>
      <c r="AI135" s="115" t="n"/>
      <c r="AJ135" s="115" t="n"/>
      <c r="AK135" s="115" t="n"/>
      <c r="AL135" s="115" t="n"/>
      <c r="AM135" s="115" t="n"/>
      <c r="AN135" s="115" t="n"/>
      <c r="AO135" s="115" t="n"/>
      <c r="AP135" s="115" t="n"/>
      <c r="AQ135" s="115" t="n"/>
    </row>
    <row r="136">
      <c r="A136" s="28" t="n">
        <v>42704</v>
      </c>
      <c r="B136" s="118" t="n">
        <v>17354.21</v>
      </c>
      <c r="C136" s="111">
        <f>(B136/B135-1)/(A136-A135)*30</f>
        <v/>
      </c>
      <c r="D136" s="30" t="n"/>
      <c r="F136" s="28">
        <f>+A136</f>
        <v/>
      </c>
      <c r="H136" s="124" t="n"/>
      <c r="I136" s="111" t="n"/>
      <c r="J136" s="29" t="n"/>
      <c r="K136" s="115" t="n">
        <v>1032.6171</v>
      </c>
      <c r="L136" s="111">
        <f>+(K136/K135-1)/(F136-F135)*30</f>
        <v/>
      </c>
      <c r="M136" s="30" t="n"/>
      <c r="AC136" s="115" t="n"/>
      <c r="AD136" s="115" t="n"/>
      <c r="AE136" s="115" t="n"/>
      <c r="AF136" s="115" t="n"/>
      <c r="AG136" s="115" t="n"/>
      <c r="AH136" s="115" t="n"/>
      <c r="AI136" s="115" t="n"/>
      <c r="AJ136" s="115" t="n"/>
      <c r="AK136" s="115" t="n"/>
      <c r="AL136" s="115" t="n"/>
      <c r="AM136" s="115" t="n"/>
      <c r="AN136" s="115" t="n"/>
      <c r="AO136" s="115" t="n"/>
      <c r="AP136" s="115" t="n"/>
      <c r="AQ136" s="115" t="n"/>
    </row>
    <row r="137">
      <c r="A137" s="28" t="n">
        <v>42735</v>
      </c>
      <c r="B137" s="118" t="n">
        <v>17406.97</v>
      </c>
      <c r="C137" s="111">
        <f>(B137/B136-1)/(A137-A136)*30</f>
        <v/>
      </c>
      <c r="D137" s="30" t="n"/>
      <c r="F137" s="28">
        <f>+A137</f>
        <v/>
      </c>
      <c r="H137" s="124" t="n"/>
      <c r="I137" s="111" t="n"/>
      <c r="J137" s="29" t="n"/>
      <c r="K137" s="115" t="n">
        <v>1035.8294</v>
      </c>
      <c r="L137" s="111">
        <f>+(K137/K136-1)/(F137-F136)*30</f>
        <v/>
      </c>
      <c r="M137" s="30" t="n"/>
      <c r="AC137" s="115" t="n"/>
      <c r="AD137" s="115" t="n"/>
      <c r="AE137" s="115" t="n"/>
      <c r="AF137" s="115" t="n"/>
      <c r="AG137" s="115" t="n"/>
      <c r="AH137" s="115" t="n"/>
      <c r="AI137" s="115" t="n"/>
      <c r="AJ137" s="115" t="n"/>
      <c r="AK137" s="115" t="n"/>
      <c r="AL137" s="115" t="n"/>
      <c r="AM137" s="115" t="n"/>
      <c r="AN137" s="115" t="n"/>
      <c r="AO137" s="115" t="n"/>
      <c r="AP137" s="115" t="n"/>
      <c r="AQ137" s="115" t="n"/>
    </row>
    <row r="138">
      <c r="A138" s="28" t="n">
        <v>42766</v>
      </c>
      <c r="B138" s="118" t="n">
        <v>17457.39</v>
      </c>
      <c r="C138" s="111">
        <f>(B138/B137-1)/(A138-A137)*30</f>
        <v/>
      </c>
      <c r="D138" s="30" t="n"/>
      <c r="F138" s="28">
        <f>+A138</f>
        <v/>
      </c>
      <c r="I138" s="111" t="n"/>
      <c r="J138" s="29" t="n"/>
      <c r="K138" s="115" t="n">
        <v>1039.2621</v>
      </c>
      <c r="L138" s="111">
        <f>+(K138/K137-1)/(F138-F137)*30</f>
        <v/>
      </c>
      <c r="M138" s="30" t="n"/>
      <c r="AC138" s="115" t="n"/>
      <c r="AD138" s="115" t="n"/>
      <c r="AE138" s="115" t="n"/>
      <c r="AF138" s="115" t="n"/>
      <c r="AG138" s="115" t="n"/>
      <c r="AH138" s="115" t="n"/>
      <c r="AI138" s="115" t="n"/>
      <c r="AJ138" s="115" t="n"/>
      <c r="AK138" s="115" t="n"/>
      <c r="AL138" s="115" t="n"/>
      <c r="AM138" s="115" t="n"/>
      <c r="AN138" s="115" t="n"/>
      <c r="AO138" s="115" t="n"/>
      <c r="AP138" s="115" t="n"/>
      <c r="AQ138" s="115" t="n"/>
    </row>
    <row r="139">
      <c r="A139" s="28" t="n">
        <v>42794</v>
      </c>
      <c r="B139" s="118" t="n">
        <v>17501.06</v>
      </c>
      <c r="C139" s="111">
        <f>(B139/B138-1)/(A139-A138)*30</f>
        <v/>
      </c>
      <c r="D139" s="30" t="n"/>
      <c r="F139" s="28">
        <f>+A139</f>
        <v/>
      </c>
      <c r="I139" s="111" t="n"/>
      <c r="J139" s="29" t="n"/>
      <c r="K139" s="115" t="n">
        <v>1042.1611</v>
      </c>
      <c r="L139" s="111">
        <f>+(K139/K138-1)/(F139-F138)*30</f>
        <v/>
      </c>
      <c r="M139" s="30" t="n"/>
      <c r="AC139" s="115" t="n"/>
      <c r="AD139" s="115" t="n"/>
      <c r="AE139" s="115" t="n"/>
      <c r="AF139" s="115" t="n"/>
      <c r="AG139" s="115" t="n"/>
      <c r="AH139" s="115" t="n"/>
      <c r="AI139" s="115" t="n"/>
      <c r="AJ139" s="115" t="n"/>
      <c r="AK139" s="115" t="n"/>
      <c r="AL139" s="115" t="n"/>
      <c r="AM139" s="115" t="n"/>
      <c r="AN139" s="115" t="n"/>
      <c r="AO139" s="115" t="n"/>
      <c r="AP139" s="115" t="n"/>
      <c r="AQ139" s="115" t="n"/>
    </row>
    <row r="140">
      <c r="A140" s="28" t="n">
        <v>42825</v>
      </c>
      <c r="B140" s="118" t="n">
        <v>17548.35</v>
      </c>
      <c r="C140" s="111">
        <f>(B140/B139-1)/(A140-A139)*30</f>
        <v/>
      </c>
      <c r="D140" s="30" t="n"/>
      <c r="F140" s="28">
        <f>+A140</f>
        <v/>
      </c>
      <c r="I140" s="111" t="n"/>
      <c r="J140" s="29" t="n"/>
      <c r="K140" s="115" t="n">
        <v>1045.2075</v>
      </c>
      <c r="L140" s="111">
        <f>+(K140/K139-1)/(F140-F139)*30</f>
        <v/>
      </c>
      <c r="M140" s="30" t="n"/>
      <c r="AC140" s="115" t="n"/>
      <c r="AD140" s="115" t="n"/>
      <c r="AE140" s="115" t="n"/>
      <c r="AF140" s="115" t="n"/>
      <c r="AG140" s="115" t="n"/>
      <c r="AH140" s="115" t="n"/>
      <c r="AI140" s="115" t="n"/>
      <c r="AJ140" s="115" t="n"/>
      <c r="AK140" s="115" t="n"/>
      <c r="AL140" s="115" t="n"/>
      <c r="AM140" s="115" t="n"/>
      <c r="AN140" s="115" t="n"/>
      <c r="AO140" s="115" t="n"/>
      <c r="AP140" s="115" t="n"/>
      <c r="AQ140" s="115" t="n"/>
    </row>
    <row r="141">
      <c r="A141" s="28" t="n">
        <v>42855</v>
      </c>
      <c r="B141" s="118" t="n">
        <v>17587.92</v>
      </c>
      <c r="C141" s="111">
        <f>(B141/B140-1)/(A141-A140)*30</f>
        <v/>
      </c>
      <c r="D141" s="30" t="n"/>
      <c r="F141" s="28">
        <f>+A141</f>
        <v/>
      </c>
      <c r="I141" s="111" t="n"/>
      <c r="J141" s="29" t="n"/>
      <c r="K141" s="115" t="n">
        <v>1047.9294</v>
      </c>
      <c r="L141" s="111">
        <f>+(K141/K140-1)/(F141-F140)*30</f>
        <v/>
      </c>
      <c r="M141" s="30" t="n"/>
      <c r="AC141" s="115" t="n"/>
      <c r="AD141" s="115" t="n"/>
      <c r="AE141" s="115" t="n"/>
      <c r="AF141" s="115" t="n"/>
      <c r="AG141" s="115" t="n"/>
      <c r="AH141" s="115" t="n"/>
      <c r="AI141" s="115" t="n"/>
      <c r="AJ141" s="115" t="n"/>
      <c r="AK141" s="115" t="n"/>
      <c r="AL141" s="115" t="n"/>
      <c r="AM141" s="115" t="n"/>
      <c r="AN141" s="115" t="n"/>
      <c r="AO141" s="115" t="n"/>
      <c r="AP141" s="115" t="n"/>
      <c r="AQ141" s="115" t="n"/>
    </row>
    <row r="142">
      <c r="A142" s="28" t="n">
        <v>42886</v>
      </c>
      <c r="B142" s="118" t="n">
        <v>17630.79</v>
      </c>
      <c r="C142" s="111">
        <f>(B142/B141-1)/(A142-A141)*30</f>
        <v/>
      </c>
      <c r="D142" s="30" t="n"/>
      <c r="F142" s="28">
        <f>+A142</f>
        <v/>
      </c>
      <c r="I142" s="111" t="n"/>
      <c r="J142" s="29" t="n"/>
      <c r="K142" s="115" t="n">
        <v>1050.5427</v>
      </c>
      <c r="L142" s="111">
        <f>+(K142/K141-1)/(F142-F141)*30</f>
        <v/>
      </c>
      <c r="M142" s="30" t="n"/>
      <c r="AC142" s="115" t="n"/>
      <c r="AD142" s="115" t="n"/>
      <c r="AE142" s="115" t="n"/>
      <c r="AF142" s="115" t="n"/>
      <c r="AG142" s="115" t="n"/>
      <c r="AH142" s="115" t="n"/>
      <c r="AI142" s="115" t="n"/>
      <c r="AJ142" s="115" t="n"/>
      <c r="AK142" s="115" t="n"/>
      <c r="AL142" s="115" t="n"/>
      <c r="AM142" s="115" t="n"/>
      <c r="AN142" s="115" t="n"/>
      <c r="AO142" s="115" t="n"/>
      <c r="AP142" s="115" t="n"/>
      <c r="AQ142" s="115" t="n"/>
    </row>
    <row r="143">
      <c r="A143" s="28" t="n">
        <v>42916</v>
      </c>
      <c r="B143" s="118" t="n">
        <v>17667.59</v>
      </c>
      <c r="C143" s="111">
        <f>(B143/B142-1)/(A143-A142)*30</f>
        <v/>
      </c>
      <c r="D143" s="30" t="n"/>
      <c r="F143" s="28">
        <f>+A143</f>
        <v/>
      </c>
      <c r="I143" s="111" t="n"/>
      <c r="J143" s="29" t="n"/>
      <c r="K143" s="115" t="n">
        <v>1052.9694</v>
      </c>
      <c r="L143" s="111">
        <f>+(K143/K142-1)/(F143-F142)*30</f>
        <v/>
      </c>
      <c r="M143" s="30" t="n"/>
      <c r="AC143" s="115" t="n"/>
      <c r="AD143" s="115" t="n"/>
      <c r="AE143" s="115" t="n"/>
      <c r="AF143" s="115" t="n"/>
      <c r="AG143" s="115" t="n"/>
      <c r="AH143" s="115" t="n"/>
      <c r="AI143" s="115" t="n"/>
      <c r="AJ143" s="115" t="n"/>
      <c r="AK143" s="115" t="n"/>
      <c r="AL143" s="115" t="n"/>
      <c r="AM143" s="115" t="n"/>
      <c r="AN143" s="115" t="n"/>
      <c r="AO143" s="115" t="n"/>
      <c r="AP143" s="115" t="n"/>
      <c r="AQ143" s="115" t="n"/>
    </row>
    <row r="144">
      <c r="A144" s="28" t="n">
        <v>42947</v>
      </c>
      <c r="B144" s="118" t="n">
        <v>17705.69</v>
      </c>
      <c r="C144" s="111">
        <f>(B144/B143-1)/(A144-A143)*30</f>
        <v/>
      </c>
      <c r="D144" s="30" t="n"/>
      <c r="F144" s="28">
        <f>+A144</f>
        <v/>
      </c>
      <c r="I144" s="111" t="n"/>
      <c r="J144" s="29" t="n"/>
      <c r="K144" s="115" t="n">
        <v>1055.2846</v>
      </c>
      <c r="L144" s="111">
        <f>+(K144/K143-1)/(F144-F143)*30</f>
        <v/>
      </c>
      <c r="M144" s="30" t="n"/>
      <c r="AC144" s="115" t="n"/>
      <c r="AD144" s="115" t="n"/>
      <c r="AE144" s="115" t="n"/>
      <c r="AF144" s="115" t="n"/>
      <c r="AG144" s="115" t="n"/>
      <c r="AH144" s="115" t="n"/>
      <c r="AI144" s="115" t="n"/>
      <c r="AJ144" s="115" t="n"/>
      <c r="AK144" s="115" t="n"/>
      <c r="AL144" s="115" t="n"/>
      <c r="AM144" s="115" t="n"/>
      <c r="AN144" s="115" t="n"/>
      <c r="AO144" s="115" t="n"/>
      <c r="AP144" s="115" t="n"/>
      <c r="AQ144" s="115" t="n"/>
    </row>
    <row r="145">
      <c r="A145" s="28" t="n">
        <v>42978</v>
      </c>
      <c r="B145" s="118" t="n">
        <v>17743.83</v>
      </c>
      <c r="C145" s="111">
        <f>(B145/B144-1)/(A145-A144)*30</f>
        <v/>
      </c>
      <c r="D145" s="30" t="n"/>
      <c r="F145" s="28">
        <f>+A145</f>
        <v/>
      </c>
      <c r="I145" s="111" t="n"/>
      <c r="J145" s="29" t="n"/>
      <c r="K145" s="115" t="n">
        <v>1057.4719</v>
      </c>
      <c r="L145" s="111">
        <f>+(K145/K144-1)/(F145-F144)*30</f>
        <v/>
      </c>
      <c r="M145" s="30" t="n"/>
      <c r="AC145" s="115" t="n"/>
      <c r="AD145" s="115" t="n"/>
      <c r="AE145" s="115" t="n"/>
      <c r="AF145" s="115" t="n"/>
      <c r="AG145" s="115" t="n"/>
      <c r="AH145" s="115" t="n"/>
      <c r="AI145" s="115" t="n"/>
      <c r="AJ145" s="115" t="n"/>
      <c r="AK145" s="115" t="n"/>
      <c r="AL145" s="115" t="n"/>
      <c r="AM145" s="115" t="n"/>
      <c r="AN145" s="115" t="n"/>
      <c r="AO145" s="115" t="n"/>
      <c r="AP145" s="115" t="n"/>
      <c r="AQ145" s="115" t="n"/>
    </row>
    <row r="146">
      <c r="A146" s="28" t="n">
        <v>43008</v>
      </c>
      <c r="B146" s="118" t="n">
        <v>17780.7817</v>
      </c>
      <c r="C146" s="111">
        <f>(B146/B145-1)/(A146-A145)*30</f>
        <v/>
      </c>
      <c r="D146" s="30" t="n"/>
      <c r="F146" s="28" t="n">
        <v>43008</v>
      </c>
      <c r="I146" s="111" t="n"/>
      <c r="J146" s="29" t="n"/>
      <c r="K146" s="115" t="n">
        <v>1059.5996</v>
      </c>
      <c r="L146" s="111">
        <f>+(K146/K145-1)/(F146-F145)*30</f>
        <v/>
      </c>
      <c r="M146" s="30" t="n"/>
      <c r="AC146" s="115" t="n"/>
      <c r="AD146" s="115" t="n"/>
      <c r="AE146" s="115" t="n"/>
      <c r="AF146" s="115" t="n"/>
      <c r="AG146" s="115" t="n"/>
      <c r="AH146" s="115" t="n"/>
      <c r="AI146" s="115" t="n"/>
      <c r="AJ146" s="115" t="n"/>
      <c r="AK146" s="115" t="n"/>
      <c r="AL146" s="115" t="n"/>
      <c r="AM146" s="115" t="n"/>
      <c r="AN146" s="115" t="n"/>
      <c r="AO146" s="115" t="n"/>
      <c r="AP146" s="115" t="n"/>
      <c r="AQ146" s="115" t="n"/>
    </row>
    <row r="147">
      <c r="A147" s="28" t="n">
        <v>43039</v>
      </c>
      <c r="B147" s="14" t="n">
        <v>17819.15</v>
      </c>
      <c r="C147" s="111">
        <f>(B147/B146-1)/(A147-A146)*30</f>
        <v/>
      </c>
      <c r="D147" s="30" t="n"/>
      <c r="F147" s="28" t="n">
        <v>43039</v>
      </c>
      <c r="I147" s="111" t="n"/>
      <c r="J147" s="29" t="n"/>
      <c r="K147" s="115" t="n">
        <v>1061.7911</v>
      </c>
      <c r="L147" s="111">
        <f>+(K147/K146-1)/(F147-F146)*30</f>
        <v/>
      </c>
      <c r="M147" s="30" t="n"/>
      <c r="S147" s="14" t="inlineStr">
        <is>
          <t>DIVIDENDO 2016</t>
        </is>
      </c>
      <c r="AD147" s="115" t="n"/>
      <c r="AE147" s="115" t="n"/>
      <c r="AF147" s="115" t="n"/>
      <c r="AG147" s="115" t="n"/>
      <c r="AH147" s="115" t="n"/>
      <c r="AI147" s="115" t="n"/>
      <c r="AJ147" s="115" t="n"/>
      <c r="AK147" s="115" t="n"/>
      <c r="AL147" s="115" t="n"/>
      <c r="AM147" s="115" t="n"/>
      <c r="AN147" s="115" t="n"/>
      <c r="AO147" s="115" t="n"/>
      <c r="AP147" s="115" t="n"/>
      <c r="AQ147" s="115" t="n"/>
    </row>
    <row r="148">
      <c r="A148" s="28" t="n">
        <v>43069</v>
      </c>
      <c r="B148" s="14">
        <f>+VLOOKUP(A148,[2]Simple!$A$3790:$B$3818,2)</f>
        <v/>
      </c>
      <c r="C148" s="111">
        <f>(B148/B147-1)/(A148-A147)*30</f>
        <v/>
      </c>
      <c r="D148" s="30" t="n"/>
      <c r="F148" s="28" t="n">
        <v>43069</v>
      </c>
      <c r="I148" s="111" t="n"/>
      <c r="J148" s="29" t="n"/>
      <c r="K148" s="115" t="n">
        <v>1063.8688</v>
      </c>
      <c r="L148" s="111">
        <f>+(K148/K147-1)/(F148-F147)*30</f>
        <v/>
      </c>
      <c r="M148" s="30" t="n"/>
    </row>
    <row r="149">
      <c r="A149" s="28" t="n">
        <v>43100</v>
      </c>
      <c r="B149" s="14">
        <f>+VLOOKUP(A149,[2]Simple!$A$3790:$B$3818,2)</f>
        <v/>
      </c>
      <c r="C149" s="111">
        <f>(B149/B148-1)/(A149-A148)*30</f>
        <v/>
      </c>
      <c r="D149" s="30" t="n"/>
      <c r="F149" s="28" t="n">
        <v>43100</v>
      </c>
      <c r="I149" s="111" t="n"/>
      <c r="J149" s="29" t="n"/>
      <c r="K149" s="115" t="n">
        <v>1066.0204</v>
      </c>
      <c r="L149" s="111">
        <f>+(K149/K148-1)/(F149-F148)*30</f>
        <v/>
      </c>
      <c r="M149" s="30" t="n"/>
      <c r="Q149" s="115">
        <f>+G137+S148</f>
        <v/>
      </c>
      <c r="S149" s="14" t="inlineStr">
        <is>
          <t>Dividendo 2017</t>
        </is>
      </c>
    </row>
    <row r="150">
      <c r="A150" s="28" t="n">
        <v>43131</v>
      </c>
      <c r="B150" s="14" t="n">
        <v>17933.28</v>
      </c>
      <c r="C150" s="111">
        <f>(B150/B149-1)/(A150-A149)*30</f>
        <v/>
      </c>
      <c r="D150" s="30" t="n"/>
      <c r="F150" s="28" t="n">
        <v>43131</v>
      </c>
      <c r="I150" s="111" t="n"/>
      <c r="J150" s="29" t="n"/>
      <c r="K150" s="115" t="n">
        <v>1068.2126</v>
      </c>
      <c r="L150" s="111">
        <f>+(K150/K149-1)/(F150-F149)*30</f>
        <v/>
      </c>
      <c r="M150" s="30" t="n"/>
    </row>
    <row r="151">
      <c r="A151" s="28" t="n">
        <v>43159</v>
      </c>
      <c r="B151" s="14" t="n">
        <v>17968.11</v>
      </c>
      <c r="C151" s="111">
        <f>(B151/B150-1)/(A151-A150)*30</f>
        <v/>
      </c>
      <c r="D151" s="30" t="n"/>
      <c r="F151" s="28" t="n">
        <v>43159</v>
      </c>
      <c r="I151" s="111" t="n"/>
      <c r="J151" s="29" t="n"/>
      <c r="K151" s="115" t="n">
        <v>1070.2119</v>
      </c>
      <c r="L151" s="111">
        <f>+(K151/K150-1)/(F151-F150)*30</f>
        <v/>
      </c>
      <c r="M151" s="30" t="n"/>
      <c r="S151" s="14" t="inlineStr">
        <is>
          <t>Dividendo 2018</t>
        </is>
      </c>
    </row>
    <row r="152">
      <c r="A152" s="28" t="n">
        <v>43190</v>
      </c>
      <c r="B152" s="14" t="n">
        <v>18006.83</v>
      </c>
      <c r="C152" s="111">
        <f>(B152/B151-1)/(A152-A151)*30</f>
        <v/>
      </c>
      <c r="D152" s="30" t="n"/>
      <c r="F152" s="28" t="n">
        <v>43190</v>
      </c>
      <c r="I152" s="111" t="n"/>
      <c r="J152" s="29" t="n"/>
      <c r="K152" s="115" t="n">
        <v>1072.548</v>
      </c>
      <c r="L152" s="111">
        <f>+(K152/K151-1)/(F152-F151)*30</f>
        <v/>
      </c>
      <c r="M152" s="30" t="n"/>
    </row>
    <row r="153">
      <c r="A153" s="28" t="n">
        <v>43220</v>
      </c>
      <c r="B153" s="14" t="n">
        <v>18044.25</v>
      </c>
      <c r="C153" s="111">
        <f>(B153/B152-1)/(A153-A152)*30</f>
        <v/>
      </c>
      <c r="D153" s="30" t="n"/>
      <c r="F153" s="28" t="n">
        <v>43220</v>
      </c>
      <c r="I153" s="111" t="n"/>
      <c r="J153" s="29" t="n"/>
      <c r="K153" s="115" t="n">
        <v>1074.6551</v>
      </c>
      <c r="L153" s="111">
        <f>+(K153/K152-1)/(F153-F152)*30</f>
        <v/>
      </c>
      <c r="M153" s="30" t="n"/>
      <c r="S153" s="14" t="inlineStr">
        <is>
          <t>Dividendo 2018</t>
        </is>
      </c>
    </row>
    <row r="154">
      <c r="A154" s="28" t="n">
        <v>43251</v>
      </c>
      <c r="B154" s="29" t="n">
        <v>18082.87</v>
      </c>
      <c r="C154" s="111">
        <f>(B154/B153-1)/(A154-A153)*30</f>
        <v/>
      </c>
      <c r="D154" s="30" t="n"/>
      <c r="F154" s="28" t="n">
        <v>43251</v>
      </c>
      <c r="I154" s="111" t="n"/>
      <c r="J154" s="29" t="n"/>
      <c r="K154" s="115" t="n">
        <v>1076.9917</v>
      </c>
      <c r="L154" s="111">
        <f>+(K154/K153-1)/(F154-F153)*30</f>
        <v/>
      </c>
      <c r="M154" s="30" t="n"/>
    </row>
    <row r="155">
      <c r="A155" s="28" t="n">
        <v>43281</v>
      </c>
      <c r="B155" s="30" t="n">
        <v>18120.6225</v>
      </c>
      <c r="C155" s="111">
        <f>(B155/B154-1)/(A155-A154)*30</f>
        <v/>
      </c>
      <c r="D155" s="30" t="n"/>
      <c r="F155" s="28" t="n">
        <v>43281</v>
      </c>
      <c r="I155" s="111" t="n"/>
      <c r="J155" s="29" t="n"/>
      <c r="K155" s="14" t="n">
        <v>1079.3907</v>
      </c>
      <c r="L155" s="111">
        <f>+(K155/K154-1)/(F155-F154)*30</f>
        <v/>
      </c>
      <c r="M155" s="30" t="n"/>
      <c r="S155" s="14" t="inlineStr">
        <is>
          <t>Dividendo 2021</t>
        </is>
      </c>
    </row>
    <row r="156">
      <c r="A156" s="28" t="n">
        <v>43312</v>
      </c>
      <c r="B156" s="29" t="n">
        <v>18159.66</v>
      </c>
      <c r="C156" s="111">
        <f>(B156/B155-1)/(A156-A155)*30</f>
        <v/>
      </c>
      <c r="D156" s="30" t="n"/>
      <c r="F156" s="28" t="n">
        <v>43312</v>
      </c>
      <c r="I156" s="111" t="n"/>
      <c r="J156" s="29" t="n"/>
      <c r="K156" s="14" t="n">
        <v>1081.8116</v>
      </c>
      <c r="L156" s="111">
        <f>+(K156/K155-1)/(F156-F155)*30</f>
        <v/>
      </c>
      <c r="M156" s="30" t="n"/>
      <c r="S156" s="14" t="n">
        <v>0</v>
      </c>
    </row>
    <row r="157">
      <c r="A157" s="28" t="n">
        <v>43343</v>
      </c>
      <c r="B157" s="29" t="n">
        <v>18198.62</v>
      </c>
      <c r="C157" s="111">
        <f>(B157/B156-1)/(A157-A156)*30</f>
        <v/>
      </c>
      <c r="D157" s="30" t="n"/>
      <c r="F157" s="28" t="n">
        <v>43343</v>
      </c>
      <c r="I157" s="111" t="n"/>
      <c r="J157" s="29" t="n"/>
      <c r="K157" s="14" t="n">
        <v>1084.2472</v>
      </c>
      <c r="L157" s="111">
        <f>+(K157/K156-1)/(F157-F156)*30</f>
        <v/>
      </c>
      <c r="M157" s="30" t="n"/>
      <c r="S157" s="14" t="inlineStr">
        <is>
          <t>Dividendo 2022</t>
        </is>
      </c>
      <c r="AR157" s="67" t="n"/>
    </row>
    <row r="158">
      <c r="A158" s="28" t="n">
        <v>43373</v>
      </c>
      <c r="B158" s="126" t="n">
        <v>18235.9</v>
      </c>
      <c r="C158" s="111">
        <f>(B158/B157-1)/(A158-A157)*30</f>
        <v/>
      </c>
      <c r="D158" s="30" t="n"/>
      <c r="F158" s="28" t="n">
        <v>43373</v>
      </c>
      <c r="I158" s="111" t="n"/>
      <c r="J158" s="29" t="n"/>
      <c r="K158" s="14" t="n">
        <v>1086.6424</v>
      </c>
      <c r="L158" s="111">
        <f>+(K158/K157-1)/(F158-F157)*30</f>
        <v/>
      </c>
      <c r="M158" s="30" t="n"/>
      <c r="S158" s="14" t="n">
        <v>0</v>
      </c>
    </row>
    <row r="159">
      <c r="A159" s="28" t="n">
        <v>43404</v>
      </c>
      <c r="B159" s="14" t="n">
        <v>18277.4</v>
      </c>
      <c r="C159" s="111">
        <f>(B159/B158-1)/(A159-A158)*30</f>
        <v/>
      </c>
      <c r="D159" s="30" t="n"/>
      <c r="F159" s="28" t="n">
        <v>43404</v>
      </c>
      <c r="I159" s="111" t="n"/>
      <c r="J159" s="29" t="n"/>
      <c r="K159" s="14" t="n">
        <v>4807.6121</v>
      </c>
      <c r="L159" s="111">
        <f>+(K159/K158-1)/(F159-F158)*30</f>
        <v/>
      </c>
      <c r="M159" s="30" t="n"/>
      <c r="S159" s="14" t="inlineStr">
        <is>
          <t>Dividendo 2023</t>
        </is>
      </c>
    </row>
    <row r="160">
      <c r="A160" s="28" t="n">
        <v>43434</v>
      </c>
      <c r="B160" s="30" t="n">
        <v>18319.31</v>
      </c>
      <c r="C160" s="111">
        <f>(B160/B159-1)/(A160-A159)*30</f>
        <v/>
      </c>
      <c r="D160" s="30" t="n"/>
      <c r="F160" s="28" t="n">
        <v>43434</v>
      </c>
      <c r="I160" s="111" t="n"/>
      <c r="J160" s="29" t="n"/>
      <c r="K160" s="29" t="n">
        <v>4812.5415</v>
      </c>
      <c r="L160" s="111">
        <f>+(K160/K159-1)/(F160-F159)*30</f>
        <v/>
      </c>
      <c r="M160" s="30" t="n"/>
      <c r="S160" s="14" t="n">
        <v>0</v>
      </c>
    </row>
    <row r="161">
      <c r="A161" s="28" t="n">
        <v>43465</v>
      </c>
      <c r="B161" s="14" t="n">
        <v>18362.684</v>
      </c>
      <c r="C161" s="111">
        <f>(B161/B160-1)/(A161-A160)*30</f>
        <v/>
      </c>
      <c r="D161" s="30" t="n"/>
      <c r="F161" s="28" t="n">
        <v>43465</v>
      </c>
      <c r="I161" s="111" t="n"/>
      <c r="J161" s="29" t="n"/>
      <c r="K161" s="29" t="n">
        <v>4819.2415</v>
      </c>
      <c r="L161" s="111">
        <f>+(K161/K160-1)/(F161-F160)*30</f>
        <v/>
      </c>
      <c r="M161" s="30" t="n"/>
    </row>
    <row r="162">
      <c r="A162" s="28" t="n">
        <v>43496</v>
      </c>
      <c r="B162" s="14" t="n">
        <v>18407.69</v>
      </c>
      <c r="C162" s="111">
        <f>(B162/B161-1)/(A162-A161)*30</f>
        <v/>
      </c>
      <c r="D162" s="30" t="n"/>
      <c r="F162" s="28" t="n">
        <v>43496</v>
      </c>
      <c r="I162" s="111" t="n"/>
      <c r="J162" s="29" t="n"/>
      <c r="K162" s="14" t="n">
        <v>4825.82</v>
      </c>
      <c r="L162" s="111">
        <f>+(K162/K161-1)/(F162-F161)*30</f>
        <v/>
      </c>
      <c r="M162" s="30" t="n"/>
    </row>
    <row r="163">
      <c r="A163" s="28" t="n">
        <v>43524</v>
      </c>
      <c r="B163" s="14" t="n">
        <v>18449.16</v>
      </c>
      <c r="C163" s="111">
        <f>(B163/B162-1)/(A163-A162)*30</f>
        <v/>
      </c>
      <c r="D163" s="30" t="n"/>
      <c r="F163" s="28" t="n">
        <v>43524</v>
      </c>
      <c r="I163" s="111" t="n"/>
      <c r="J163" s="29" t="n"/>
      <c r="K163" s="14" t="n">
        <v>4832.1058</v>
      </c>
      <c r="L163" s="111">
        <f>+(K163/K162-1)/(F163-F162)*30</f>
        <v/>
      </c>
      <c r="M163" s="30" t="n"/>
    </row>
    <row r="164">
      <c r="A164" s="28" t="n">
        <v>43555</v>
      </c>
      <c r="B164" s="14" t="n">
        <v>18496.82</v>
      </c>
      <c r="C164" s="111">
        <f>(B164/B163-1)/(A164-A163)*30</f>
        <v/>
      </c>
      <c r="D164" s="30" t="n"/>
      <c r="F164" s="28" t="n">
        <v>43555</v>
      </c>
      <c r="I164" s="111" t="n"/>
      <c r="J164" s="29" t="n"/>
      <c r="K164" s="29" t="n">
        <v>4839.1073</v>
      </c>
      <c r="L164" s="111">
        <f>+(K164/K163-1)/(F164-F163)*30</f>
        <v/>
      </c>
      <c r="M164" s="30" t="n"/>
    </row>
    <row r="165">
      <c r="A165" s="28" t="n">
        <v>43585</v>
      </c>
      <c r="B165" s="14" t="n">
        <v>18543.07</v>
      </c>
      <c r="C165" s="111">
        <f>(B165/B164-1)/(A165-A164)*30</f>
        <v/>
      </c>
      <c r="D165" s="30" t="n"/>
      <c r="F165" s="28" t="n">
        <v>43585</v>
      </c>
      <c r="I165" s="111" t="n"/>
      <c r="J165" s="29" t="n"/>
      <c r="K165" s="29" t="n">
        <v>4845.9628</v>
      </c>
      <c r="L165" s="111">
        <f>+(K165/K164-1)/(F165-F164)*30</f>
        <v/>
      </c>
      <c r="M165" s="30" t="n"/>
    </row>
    <row r="166">
      <c r="A166" s="28" t="n">
        <v>43616</v>
      </c>
      <c r="B166" s="14" t="n">
        <v>18591.02</v>
      </c>
      <c r="C166" s="111">
        <f>(B166/B165-1)/(A166-A165)*30</f>
        <v/>
      </c>
      <c r="D166" s="30" t="n"/>
      <c r="F166" s="28" t="n">
        <v>43616</v>
      </c>
      <c r="I166" s="111" t="n"/>
      <c r="J166" s="29" t="n"/>
      <c r="K166" s="29" t="n">
        <v>4852.5891</v>
      </c>
      <c r="L166" s="111">
        <f>+(K166/K165-1)/(F166-F165)*30</f>
        <v/>
      </c>
      <c r="M166" s="30" t="n"/>
    </row>
    <row r="167">
      <c r="A167" s="28" t="n">
        <v>43646</v>
      </c>
      <c r="B167" s="30" t="n">
        <v>18632.31</v>
      </c>
      <c r="C167" s="111">
        <f>(B167/B166-1)/(A167-A166)*30</f>
        <v/>
      </c>
      <c r="D167" s="30" t="n"/>
      <c r="F167" s="28" t="n">
        <v>43646</v>
      </c>
      <c r="I167" s="111" t="n"/>
      <c r="J167" s="29" t="n"/>
      <c r="K167" s="14" t="n">
        <v>4858.4077</v>
      </c>
      <c r="L167" s="111">
        <f>+(K167/K166-1)/(F167-F166)*30</f>
        <v/>
      </c>
      <c r="M167" s="30" t="n"/>
    </row>
    <row r="168">
      <c r="A168" s="28" t="n">
        <v>43677</v>
      </c>
      <c r="B168" s="14" t="n">
        <v>18672.31</v>
      </c>
      <c r="C168" s="111">
        <f>(B168/B167-1)/(A168-A167)*30</f>
        <v/>
      </c>
      <c r="D168" s="30" t="n"/>
      <c r="F168" s="28" t="n">
        <v>43677</v>
      </c>
      <c r="I168" s="111" t="n"/>
      <c r="J168" s="29" t="n"/>
      <c r="K168" s="14" t="n">
        <v>4863.4466</v>
      </c>
      <c r="L168" s="111">
        <f>+(K168/K167-1)/(F168-F167)*30</f>
        <v/>
      </c>
      <c r="M168" s="30" t="n"/>
    </row>
    <row r="169">
      <c r="A169" s="28" t="n">
        <v>43708</v>
      </c>
      <c r="B169" s="30" t="n">
        <v>18712.55</v>
      </c>
      <c r="C169" s="111">
        <f>(B169/B168-1)/(A169-A168)*30</f>
        <v/>
      </c>
      <c r="D169" s="30" t="n"/>
      <c r="F169" s="28" t="n">
        <v>43708</v>
      </c>
      <c r="I169" s="111" t="n"/>
      <c r="J169" s="29" t="n"/>
      <c r="K169" s="14" t="n">
        <v>4868.1253</v>
      </c>
      <c r="L169" s="111">
        <f>+(K169/K168-1)/(F169-F168)*30</f>
        <v/>
      </c>
      <c r="M169" s="30" t="n"/>
    </row>
    <row r="170">
      <c r="A170" s="28" t="n">
        <v>43738</v>
      </c>
      <c r="B170" s="14" t="n">
        <v>18744.77</v>
      </c>
      <c r="C170" s="111">
        <f>(B170/B169-1)/(A170-A169)*30</f>
        <v/>
      </c>
      <c r="D170" s="30" t="n"/>
      <c r="F170" s="28" t="n">
        <v>43738</v>
      </c>
      <c r="I170" s="111" t="n"/>
      <c r="J170" s="29" t="n"/>
      <c r="K170" s="14" t="n">
        <v>4873.326</v>
      </c>
      <c r="L170" s="111">
        <f>+(K170/K169-1)/(F170-F169)*30</f>
        <v/>
      </c>
      <c r="M170" s="30" t="n"/>
    </row>
    <row r="171">
      <c r="A171" s="28" t="n">
        <v>43769</v>
      </c>
      <c r="B171" s="30" t="n">
        <v>18776.102</v>
      </c>
      <c r="C171" s="111">
        <f>(B171/B170-1)/(A171-A170)*30</f>
        <v/>
      </c>
      <c r="D171" s="30" t="n"/>
      <c r="F171" s="28" t="n">
        <v>43769</v>
      </c>
      <c r="I171" s="111" t="n"/>
      <c r="J171" s="29" t="n"/>
      <c r="K171" s="14" t="n">
        <v>4876.4951</v>
      </c>
      <c r="L171" s="111">
        <f>+(K171/K170-1)/(F171-F170)*30</f>
        <v/>
      </c>
      <c r="M171" s="30" t="n"/>
    </row>
    <row r="172">
      <c r="A172" s="28" t="n">
        <v>43799</v>
      </c>
      <c r="C172" s="111" t="n"/>
      <c r="D172" s="30" t="n"/>
      <c r="F172" s="28" t="n">
        <v>43799</v>
      </c>
      <c r="I172" s="111" t="n"/>
      <c r="J172" s="29" t="n"/>
      <c r="K172" s="14" t="n">
        <v>4879.8683</v>
      </c>
      <c r="L172" s="111">
        <f>+(K172/K171-1)/(F172-F171)*30</f>
        <v/>
      </c>
      <c r="M172" s="30" t="n"/>
    </row>
    <row r="173">
      <c r="A173" s="28" t="n">
        <v>43830</v>
      </c>
      <c r="B173" s="30" t="n"/>
      <c r="C173" s="111" t="n"/>
      <c r="D173" s="30" t="n"/>
      <c r="F173" s="28" t="n">
        <v>43830</v>
      </c>
      <c r="I173" s="111" t="n"/>
      <c r="J173" s="29" t="n"/>
      <c r="K173" s="14" t="n">
        <v>4882.8959</v>
      </c>
      <c r="L173" s="111">
        <f>+(K173/K172-1)/(F173-F172)*30</f>
        <v/>
      </c>
      <c r="M173" s="30" t="n"/>
    </row>
    <row r="174">
      <c r="A174" s="28" t="n">
        <v>43861</v>
      </c>
      <c r="C174" s="111" t="n"/>
      <c r="D174" s="30" t="n"/>
      <c r="F174" s="28" t="n">
        <v>43861</v>
      </c>
      <c r="I174" s="111" t="n"/>
      <c r="J174" s="29" t="n"/>
      <c r="K174" s="14" t="n">
        <v>4885.3887</v>
      </c>
      <c r="L174" s="111">
        <f>+(K174/K173-1)/(F174-F173)*30</f>
        <v/>
      </c>
      <c r="M174" s="30" t="n"/>
    </row>
    <row r="175">
      <c r="A175" s="28" t="n">
        <v>43890</v>
      </c>
      <c r="B175" s="30" t="n"/>
      <c r="C175" s="111" t="n"/>
      <c r="D175" s="30" t="n"/>
      <c r="F175" s="28" t="n">
        <v>43890</v>
      </c>
      <c r="I175" s="111" t="n"/>
      <c r="J175" s="29" t="n"/>
      <c r="K175" s="14" t="n">
        <v>4887.7164</v>
      </c>
      <c r="L175" s="111">
        <f>+(K175/K174-1)/(F175-F174)*30</f>
        <v/>
      </c>
      <c r="M175" s="30" t="n"/>
    </row>
    <row r="176">
      <c r="A176" s="28" t="n">
        <v>43921</v>
      </c>
      <c r="C176" s="111" t="n"/>
      <c r="D176" s="30" t="n"/>
      <c r="F176" s="28" t="n">
        <v>43921</v>
      </c>
      <c r="I176" s="111" t="n"/>
      <c r="J176" s="29" t="n"/>
      <c r="K176" s="14" t="n">
        <v>4892.3528</v>
      </c>
      <c r="L176" s="111">
        <f>+(K176/K175-1)/(F176-F175)*30</f>
        <v/>
      </c>
      <c r="M176" s="30" t="n"/>
    </row>
    <row r="177">
      <c r="A177" s="28" t="n">
        <v>43951</v>
      </c>
      <c r="B177" s="30" t="n"/>
      <c r="C177" s="111" t="n"/>
      <c r="D177" s="30" t="n"/>
      <c r="F177" s="28" t="n">
        <v>43951</v>
      </c>
      <c r="I177" s="111" t="n"/>
      <c r="J177" s="29" t="n"/>
      <c r="K177" s="14" t="n">
        <v>4903.1164</v>
      </c>
      <c r="L177" s="111">
        <f>+(K177/K176-1)/(F177-F176)*30</f>
        <v/>
      </c>
      <c r="M177" s="30" t="n"/>
    </row>
    <row r="178">
      <c r="A178" s="28" t="n">
        <v>43982</v>
      </c>
      <c r="B178" s="30" t="n"/>
      <c r="C178" s="111" t="n"/>
      <c r="D178" s="30" t="n"/>
      <c r="F178" s="28" t="n">
        <v>43982</v>
      </c>
      <c r="I178" s="111" t="n"/>
      <c r="J178" s="29" t="n"/>
      <c r="K178" s="14" t="n">
        <v>4903.90225</v>
      </c>
      <c r="L178" s="111">
        <f>+(K178/K177-1)/(F178-F177)*30</f>
        <v/>
      </c>
      <c r="M178" s="30" t="n"/>
    </row>
    <row r="179">
      <c r="A179" s="28" t="n">
        <v>44012</v>
      </c>
      <c r="B179" s="30" t="n"/>
      <c r="C179" s="111" t="n"/>
      <c r="D179" s="30" t="n"/>
      <c r="F179" s="28" t="n">
        <v>44012</v>
      </c>
      <c r="I179" s="111" t="n"/>
      <c r="J179" s="29" t="n"/>
      <c r="K179" s="14" t="n">
        <v>4904.6881</v>
      </c>
      <c r="L179" s="111">
        <f>+(K179/K178-1)/(F179-F178)*30</f>
        <v/>
      </c>
      <c r="M179" s="30" t="n"/>
    </row>
    <row r="180">
      <c r="A180" s="28" t="n">
        <v>44043</v>
      </c>
      <c r="C180" s="111" t="n"/>
      <c r="D180" s="30" t="n"/>
      <c r="F180" s="28" t="n">
        <v>44043</v>
      </c>
      <c r="I180" s="111" t="n"/>
      <c r="J180" s="29" t="n"/>
      <c r="K180" s="14" t="n">
        <v>4905.1791</v>
      </c>
      <c r="L180" s="111">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C181" s="111" t="n"/>
      <c r="D181" s="30" t="n"/>
      <c r="F181" s="28" t="n">
        <v>44074</v>
      </c>
      <c r="I181" s="111" t="n"/>
      <c r="J181" s="29" t="n"/>
      <c r="K181" s="14" t="n">
        <v>4906.1183</v>
      </c>
      <c r="L181" s="111">
        <f>+(K181/K180-1)/(F181-F180)*30</f>
        <v/>
      </c>
      <c r="M181" s="30" t="n"/>
    </row>
    <row r="182">
      <c r="A182" s="28" t="n">
        <v>44104</v>
      </c>
      <c r="C182" s="111" t="n"/>
      <c r="D182" s="30" t="n"/>
      <c r="F182" s="28" t="n">
        <v>44104</v>
      </c>
      <c r="I182" s="111" t="n"/>
      <c r="J182" s="29" t="n"/>
      <c r="K182" s="14" t="n">
        <v>4906.466</v>
      </c>
      <c r="L182" s="111">
        <f>+(K182/K181-1)/(F182-F181)*30</f>
        <v/>
      </c>
      <c r="M182" s="30" t="n"/>
    </row>
    <row r="183">
      <c r="A183" s="28" t="n">
        <v>44135</v>
      </c>
      <c r="C183" s="111" t="n"/>
      <c r="D183" s="30" t="n"/>
      <c r="F183" s="28" t="n">
        <v>44135</v>
      </c>
      <c r="I183" s="111" t="n"/>
      <c r="J183" s="29" t="n"/>
      <c r="K183" s="14" t="n">
        <v>4906.7963</v>
      </c>
      <c r="L183" s="111">
        <f>+(K183/K182-1)/(F183-F182)*30</f>
        <v/>
      </c>
      <c r="M183" s="30" t="n"/>
    </row>
    <row r="184">
      <c r="A184" s="28" t="n">
        <v>44165</v>
      </c>
      <c r="C184" s="111" t="n"/>
      <c r="D184" s="30" t="n"/>
      <c r="F184" s="28" t="n">
        <v>44165</v>
      </c>
      <c r="I184" s="111" t="n"/>
      <c r="J184" s="29" t="n"/>
      <c r="L184" s="111" t="n"/>
      <c r="M184" s="30" t="n"/>
    </row>
    <row r="185">
      <c r="A185" s="28" t="n">
        <v>44196</v>
      </c>
      <c r="C185" s="111" t="n"/>
      <c r="D185" s="30" t="n"/>
      <c r="F185" s="28" t="n">
        <v>44196</v>
      </c>
      <c r="I185" s="111" t="n"/>
      <c r="J185" s="29" t="n"/>
      <c r="L185" s="111" t="n"/>
      <c r="M185" s="30" t="n"/>
    </row>
    <row r="186">
      <c r="A186" s="28" t="n">
        <v>44246</v>
      </c>
      <c r="C186" s="111" t="n"/>
      <c r="D186" s="30" t="n">
        <v>100</v>
      </c>
      <c r="F186" s="28" t="n">
        <v>44246</v>
      </c>
      <c r="I186" s="111" t="n"/>
      <c r="J186" s="29" t="n"/>
      <c r="L186" s="111" t="n"/>
      <c r="M186" s="30" t="n"/>
    </row>
    <row r="187">
      <c r="A187" s="28" t="n">
        <v>44255</v>
      </c>
      <c r="C187" s="111" t="n"/>
      <c r="D187" s="30">
        <f>+D186*(1+C187)</f>
        <v/>
      </c>
      <c r="F187" s="28" t="n">
        <v>44255</v>
      </c>
      <c r="I187" s="111" t="n"/>
      <c r="J187" s="29" t="n"/>
      <c r="L187" s="111" t="n"/>
      <c r="M187" s="30" t="n">
        <v>100</v>
      </c>
      <c r="Q187" s="28" t="n"/>
    </row>
    <row r="188">
      <c r="A188" s="28" t="n">
        <v>44286</v>
      </c>
      <c r="B188" s="30" t="n"/>
      <c r="C188" s="111" t="n"/>
      <c r="D188" s="30">
        <f>+D187*(1+C188)</f>
        <v/>
      </c>
      <c r="F188" s="28" t="n">
        <v>44286</v>
      </c>
      <c r="I188" s="111" t="n"/>
      <c r="J188" s="29" t="n"/>
      <c r="L188" s="111" t="n"/>
      <c r="M188" s="30">
        <f>+M187*(1+L188)</f>
        <v/>
      </c>
      <c r="Q188" s="28" t="n"/>
      <c r="R188" s="127" t="n"/>
    </row>
    <row r="189">
      <c r="A189" s="28" t="n">
        <v>44316</v>
      </c>
      <c r="C189" s="111" t="n"/>
      <c r="D189" s="30">
        <f>+D188*(1+C189)</f>
        <v/>
      </c>
      <c r="F189" s="28" t="n">
        <v>44316</v>
      </c>
      <c r="I189" s="111" t="n"/>
      <c r="J189" s="29" t="n"/>
      <c r="L189" s="111" t="n"/>
      <c r="M189" s="30">
        <f>+M188*(1+L189)</f>
        <v/>
      </c>
      <c r="Q189" s="128" t="n"/>
    </row>
    <row r="190">
      <c r="A190" s="28" t="n">
        <v>44347</v>
      </c>
      <c r="C190" s="111" t="n"/>
      <c r="D190" s="30">
        <f>+D189*(1+C190)</f>
        <v/>
      </c>
      <c r="F190" s="28" t="n">
        <v>44347</v>
      </c>
      <c r="I190" s="111" t="n"/>
      <c r="J190" s="29" t="n"/>
      <c r="L190" s="111" t="n"/>
      <c r="M190" s="30" t="n">
        <v>100</v>
      </c>
      <c r="Q190" s="128" t="n"/>
    </row>
    <row r="191">
      <c r="A191" s="28" t="n">
        <v>44377</v>
      </c>
      <c r="C191" s="111" t="n"/>
      <c r="D191" s="30">
        <f>+D190*(1+C191)</f>
        <v/>
      </c>
      <c r="F191" s="28" t="n">
        <v>44377</v>
      </c>
      <c r="I191" s="111" t="n"/>
      <c r="J191" s="29" t="n"/>
      <c r="L191" s="111" t="n"/>
      <c r="M191" s="30">
        <f>+M190*(1+L191)</f>
        <v/>
      </c>
    </row>
    <row r="192">
      <c r="A192" s="28" t="n">
        <v>44408</v>
      </c>
      <c r="C192" s="111" t="n"/>
      <c r="D192" s="30">
        <f>+D191*(1+C192)</f>
        <v/>
      </c>
      <c r="F192" s="28" t="n">
        <v>44408</v>
      </c>
      <c r="I192" s="111" t="n"/>
      <c r="J192" s="29" t="n"/>
      <c r="L192" s="111" t="n"/>
      <c r="M192" s="30">
        <f>+M191*(1+L192)</f>
        <v/>
      </c>
    </row>
    <row r="193">
      <c r="A193" s="28" t="n">
        <v>44439</v>
      </c>
      <c r="C193" s="111" t="n"/>
      <c r="D193" s="30">
        <f>+D192*(1+C193)</f>
        <v/>
      </c>
      <c r="F193" s="28" t="n">
        <v>44439</v>
      </c>
      <c r="I193" s="111" t="n"/>
      <c r="J193" s="29" t="n"/>
      <c r="L193" s="111" t="n"/>
      <c r="M193" s="30">
        <f>+M192*(1+L193)</f>
        <v/>
      </c>
    </row>
    <row r="194">
      <c r="A194" s="28" t="n">
        <v>44469</v>
      </c>
      <c r="C194" s="111" t="n"/>
      <c r="D194" s="30">
        <f>+D193*(1+C194)</f>
        <v/>
      </c>
      <c r="F194" s="28" t="n">
        <v>44469</v>
      </c>
      <c r="I194" s="111" t="n"/>
      <c r="J194" s="29" t="n"/>
      <c r="K194" s="29" t="n"/>
      <c r="L194" s="111" t="n"/>
      <c r="M194" s="30">
        <f>+M193*(1+L194)</f>
        <v/>
      </c>
    </row>
    <row r="195">
      <c r="A195" s="28" t="n">
        <v>44500</v>
      </c>
      <c r="C195" s="111" t="n"/>
      <c r="D195" s="30">
        <f>+D194*(1+C195)</f>
        <v/>
      </c>
      <c r="F195" s="28" t="n">
        <v>44500</v>
      </c>
      <c r="I195" s="111" t="n"/>
      <c r="J195" s="29" t="n"/>
      <c r="L195" s="111" t="n"/>
      <c r="M195" s="30">
        <f>+M194*(1+L195)</f>
        <v/>
      </c>
    </row>
    <row r="196">
      <c r="A196" s="28" t="n">
        <v>44530</v>
      </c>
      <c r="C196" s="111" t="n"/>
      <c r="D196" s="30">
        <f>+D195*(1+C196)</f>
        <v/>
      </c>
      <c r="F196" s="28" t="n">
        <v>44530</v>
      </c>
      <c r="I196" s="111" t="n"/>
      <c r="J196" s="29" t="n"/>
      <c r="K196" s="29" t="n"/>
      <c r="L196" s="111" t="n"/>
      <c r="M196" s="30">
        <f>+M195*(1+L196)</f>
        <v/>
      </c>
    </row>
    <row r="197">
      <c r="A197" s="28" t="n">
        <v>44561</v>
      </c>
      <c r="C197" s="111" t="n"/>
      <c r="D197" s="30">
        <f>+D196*(1+C197)</f>
        <v/>
      </c>
      <c r="F197" s="28" t="n">
        <v>44561</v>
      </c>
      <c r="I197" s="111" t="n"/>
      <c r="J197" s="29" t="n"/>
      <c r="L197" s="111" t="n"/>
      <c r="M197" s="30">
        <f>+M196*(1+L197)</f>
        <v/>
      </c>
    </row>
    <row r="198">
      <c r="A198" s="28" t="n">
        <v>44592</v>
      </c>
      <c r="C198" s="111" t="n"/>
      <c r="D198" s="30">
        <f>+D197*(1+C198)</f>
        <v/>
      </c>
      <c r="F198" s="28" t="n">
        <v>44592</v>
      </c>
      <c r="I198" s="111" t="n"/>
      <c r="J198" s="29" t="n"/>
      <c r="L198" s="111" t="n"/>
      <c r="M198" s="30">
        <f>+M197*(1+L198)</f>
        <v/>
      </c>
    </row>
    <row r="199">
      <c r="A199" s="28" t="n">
        <v>44620</v>
      </c>
      <c r="B199" s="30" t="n"/>
      <c r="C199" s="111" t="n"/>
      <c r="D199" s="30">
        <f>+D198*(1+C199)</f>
        <v/>
      </c>
      <c r="F199" s="28" t="n">
        <v>44620</v>
      </c>
      <c r="I199" s="111" t="n"/>
      <c r="J199" s="29" t="n"/>
      <c r="L199" s="111" t="n"/>
      <c r="M199" s="30">
        <f>+M198*(1+L199)</f>
        <v/>
      </c>
    </row>
    <row r="200">
      <c r="A200" s="28" t="n">
        <v>44651</v>
      </c>
      <c r="C200" s="111" t="n"/>
      <c r="D200" s="30">
        <f>+D199*(1+C200)</f>
        <v/>
      </c>
      <c r="F200" s="28" t="n">
        <v>44651</v>
      </c>
      <c r="I200" s="111" t="n"/>
      <c r="J200" s="29" t="n"/>
      <c r="L200" s="111" t="n"/>
      <c r="M200" s="30">
        <f>+M199*(1+L200)</f>
        <v/>
      </c>
    </row>
    <row r="201">
      <c r="A201" s="28" t="n">
        <v>44681</v>
      </c>
      <c r="C201" s="111" t="n"/>
      <c r="D201" s="30">
        <f>+D200*(1+C201)</f>
        <v/>
      </c>
      <c r="F201" s="28" t="n">
        <v>44681</v>
      </c>
      <c r="I201" s="111" t="n"/>
      <c r="J201" s="29" t="n"/>
      <c r="L201" s="111" t="n"/>
      <c r="M201" s="30">
        <f>+M200*(1+L201)</f>
        <v/>
      </c>
    </row>
    <row r="202">
      <c r="A202" s="28" t="n">
        <v>44712</v>
      </c>
      <c r="C202" s="111" t="n"/>
      <c r="D202" s="30">
        <f>+D201*(1+C202)</f>
        <v/>
      </c>
      <c r="F202" s="28" t="n">
        <v>44735</v>
      </c>
      <c r="I202" s="111" t="n"/>
      <c r="J202" s="29" t="n"/>
      <c r="L202" s="111" t="n"/>
      <c r="M202" s="30">
        <f>+M201*(1+L202)</f>
        <v/>
      </c>
    </row>
    <row r="203">
      <c r="A203" s="28" t="n">
        <v>44742</v>
      </c>
      <c r="C203" s="111" t="n"/>
      <c r="D203" s="30">
        <f>+D202*(1+C203)</f>
        <v/>
      </c>
      <c r="F203" s="28" t="n">
        <v>44742</v>
      </c>
      <c r="I203" s="111" t="n"/>
      <c r="J203" s="29" t="n"/>
      <c r="K203" s="29" t="n"/>
      <c r="L203" s="86" t="n"/>
      <c r="M203" s="30">
        <f>+M202*(1+L203)</f>
        <v/>
      </c>
    </row>
    <row r="204">
      <c r="A204" s="28" t="n">
        <v>44773</v>
      </c>
      <c r="C204" s="111" t="n"/>
      <c r="D204" s="30">
        <f>+D203*(1+C204)</f>
        <v/>
      </c>
      <c r="F204" s="28" t="n">
        <v>44773</v>
      </c>
      <c r="I204" s="111" t="n"/>
      <c r="J204" s="29" t="n"/>
      <c r="L204" s="86" t="n"/>
      <c r="M204" s="30">
        <f>+M203*(1+L204)</f>
        <v/>
      </c>
    </row>
    <row r="205">
      <c r="A205" s="28" t="n">
        <v>44804</v>
      </c>
      <c r="C205" s="111" t="n"/>
      <c r="D205" s="30">
        <f>+D204*(1+C205)</f>
        <v/>
      </c>
      <c r="F205" s="28" t="n">
        <v>44804</v>
      </c>
      <c r="I205" s="111" t="n"/>
      <c r="J205" s="29" t="n"/>
      <c r="K205" s="29" t="n"/>
      <c r="L205" s="86" t="n"/>
      <c r="M205" s="30">
        <f>+M204*(1+L205)</f>
        <v/>
      </c>
    </row>
    <row r="206">
      <c r="A206" s="28" t="n"/>
      <c r="C206" s="111" t="n"/>
      <c r="D206" s="30">
        <f>+D205*(1+C206)</f>
        <v/>
      </c>
      <c r="F206" s="28" t="n">
        <v>44834</v>
      </c>
      <c r="I206" s="111" t="n"/>
      <c r="J206" s="29" t="n"/>
      <c r="K206" s="29" t="n"/>
      <c r="L206" s="86" t="n"/>
      <c r="M206" s="30">
        <f>+M205*(1+L206)</f>
        <v/>
      </c>
    </row>
    <row r="207">
      <c r="A207" s="28" t="n"/>
      <c r="C207" s="111" t="n"/>
      <c r="D207" s="30">
        <f>+D206*(1+C207)</f>
        <v/>
      </c>
      <c r="F207" s="28" t="n"/>
      <c r="I207" s="111" t="n"/>
      <c r="J207" s="29" t="n"/>
      <c r="K207" s="29" t="n"/>
      <c r="L207" s="86" t="n"/>
      <c r="M207" s="30">
        <f>+M206*(1+L207)</f>
        <v/>
      </c>
    </row>
    <row r="208">
      <c r="A208" s="28" t="n"/>
      <c r="C208" s="111" t="n"/>
      <c r="D208" s="30">
        <f>+D207*(1+C208)</f>
        <v/>
      </c>
      <c r="F208" s="28" t="n"/>
      <c r="I208" s="111" t="n"/>
      <c r="J208" s="29" t="n"/>
      <c r="L208" s="86" t="n"/>
      <c r="M208" s="30">
        <f>+M207*(1+L208)</f>
        <v/>
      </c>
    </row>
    <row r="209">
      <c r="A209" s="28" t="n"/>
      <c r="C209" s="111" t="n"/>
      <c r="D209" s="30">
        <f>+D208*(1+C209)</f>
        <v/>
      </c>
      <c r="F209" s="28" t="n"/>
      <c r="I209" s="111" t="n"/>
      <c r="J209" s="29" t="n"/>
      <c r="L209" s="86" t="n"/>
      <c r="M209" s="30">
        <f>+M208*(1+L209)</f>
        <v/>
      </c>
    </row>
    <row r="210">
      <c r="A210" s="28" t="n"/>
      <c r="C210" s="111" t="n"/>
      <c r="D210" s="30">
        <f>+D209*(1+C210)</f>
        <v/>
      </c>
      <c r="F210" s="28" t="n"/>
      <c r="I210" s="111" t="n"/>
      <c r="J210" s="29" t="n"/>
      <c r="L210" s="86" t="n"/>
      <c r="M210" s="30">
        <f>+M209*(1+L210)</f>
        <v/>
      </c>
    </row>
    <row r="211">
      <c r="A211" s="28" t="n"/>
      <c r="C211" s="111" t="n"/>
      <c r="D211" s="30">
        <f>+D210*(1+C211)</f>
        <v/>
      </c>
      <c r="F211" s="28" t="n"/>
      <c r="I211" s="111" t="n"/>
      <c r="J211" s="29" t="n"/>
      <c r="L211" s="86" t="n"/>
      <c r="M211" s="30">
        <f>+M210*(1+L211)</f>
        <v/>
      </c>
    </row>
    <row r="212">
      <c r="A212" s="28" t="n"/>
      <c r="C212" s="111" t="n"/>
      <c r="D212" s="30">
        <f>+D211*(1+C212)</f>
        <v/>
      </c>
      <c r="F212" s="28" t="n"/>
      <c r="I212" s="111" t="n"/>
      <c r="J212" s="29" t="n"/>
      <c r="L212" s="86" t="n"/>
      <c r="M212" s="30">
        <f>+M211*(1+L212)</f>
        <v/>
      </c>
    </row>
    <row r="213">
      <c r="A213" s="28" t="n"/>
      <c r="C213" s="111" t="n"/>
      <c r="D213" s="30">
        <f>+D212*(1+C213)</f>
        <v/>
      </c>
      <c r="F213" s="28" t="n"/>
      <c r="I213" s="111" t="n"/>
      <c r="J213" s="29" t="n"/>
      <c r="L213" s="86" t="n"/>
      <c r="M213" s="30">
        <f>+M212*(1+L213)</f>
        <v/>
      </c>
    </row>
    <row r="214">
      <c r="A214" s="28" t="n"/>
      <c r="C214" s="111" t="n"/>
      <c r="D214" s="30">
        <f>+D213*(1+C214)</f>
        <v/>
      </c>
      <c r="F214" s="28" t="n"/>
      <c r="I214" s="111" t="n"/>
      <c r="J214" s="29" t="n"/>
      <c r="K214" s="29" t="n"/>
      <c r="L214" s="86" t="n"/>
      <c r="M214" s="30">
        <f>+M213*(1+L214)</f>
        <v/>
      </c>
    </row>
    <row r="215">
      <c r="A215" s="28" t="n"/>
      <c r="C215" s="111" t="n"/>
      <c r="D215" s="30">
        <f>+D214*(1+C215)</f>
        <v/>
      </c>
      <c r="F215" s="28" t="n"/>
      <c r="I215" s="111" t="n"/>
      <c r="J215" s="29" t="n"/>
      <c r="L215" s="86" t="n"/>
      <c r="M215" s="30">
        <f>+M214*(1+L215)</f>
        <v/>
      </c>
    </row>
    <row r="216">
      <c r="A216" s="28" t="n"/>
      <c r="C216" s="111" t="n"/>
      <c r="D216" s="30">
        <f>+D215*(1+C216)</f>
        <v/>
      </c>
      <c r="F216" s="28" t="n"/>
      <c r="I216" s="111" t="n"/>
      <c r="J216" s="29" t="n"/>
      <c r="L216" s="86" t="n"/>
      <c r="M216" s="30">
        <f>+M215*(1+L216)</f>
        <v/>
      </c>
    </row>
    <row r="217">
      <c r="A217" s="28" t="n"/>
      <c r="C217" s="111" t="n"/>
      <c r="D217" s="30">
        <f>+D216*(1+C217)</f>
        <v/>
      </c>
      <c r="F217" s="28" t="n"/>
      <c r="I217" s="111" t="n"/>
      <c r="J217" s="29" t="n"/>
      <c r="K217" s="29" t="n"/>
      <c r="L217" s="86" t="n"/>
      <c r="M217" s="30" t="n">
        <v>100</v>
      </c>
    </row>
    <row r="218">
      <c r="A218" s="28" t="n"/>
      <c r="C218" s="111" t="n"/>
      <c r="D218" s="30" t="n">
        <v>100</v>
      </c>
      <c r="F218" s="28" t="n"/>
      <c r="I218" s="111" t="n"/>
      <c r="J218" s="29" t="n"/>
      <c r="K218" s="29" t="n"/>
      <c r="L218" s="86" t="n"/>
      <c r="M218" s="30" t="n">
        <v>100</v>
      </c>
    </row>
    <row r="219">
      <c r="A219" s="28" t="n"/>
      <c r="B219" s="30" t="n"/>
      <c r="C219" s="111" t="n"/>
      <c r="D219" s="30">
        <f>+D218*(1+C219)</f>
        <v/>
      </c>
      <c r="F219" s="28" t="n"/>
      <c r="I219" s="111" t="n"/>
      <c r="J219" s="29" t="n"/>
      <c r="L219" s="86" t="n"/>
      <c r="M219" s="30">
        <f>+M218*(1+L219)</f>
        <v/>
      </c>
    </row>
    <row r="220">
      <c r="A220" s="28" t="n"/>
      <c r="C220" s="111" t="n"/>
      <c r="D220" s="30">
        <f>+D219*(1+C220)</f>
        <v/>
      </c>
      <c r="F220" s="28" t="n"/>
      <c r="I220" s="111" t="n"/>
      <c r="J220" s="29" t="n"/>
      <c r="K220" s="29" t="n"/>
      <c r="L220" s="86" t="n"/>
      <c r="M220" s="30">
        <f>+M219*(1+L220)</f>
        <v/>
      </c>
    </row>
    <row r="221">
      <c r="A221" s="28" t="n"/>
      <c r="C221" s="111" t="n"/>
      <c r="D221" s="30">
        <f>+D220*(1+C221)</f>
        <v/>
      </c>
      <c r="F221" s="28" t="n"/>
      <c r="I221" s="111" t="n"/>
      <c r="J221" s="29" t="n"/>
      <c r="L221" s="111" t="n"/>
      <c r="M221" s="30">
        <f>+M220*(1+L221)</f>
        <v/>
      </c>
    </row>
    <row r="222">
      <c r="A222" s="28" t="n"/>
      <c r="C222" s="111" t="n"/>
      <c r="D222" s="30">
        <f>+D221*(1+C222)</f>
        <v/>
      </c>
      <c r="F222" s="28" t="n"/>
      <c r="I222" s="111" t="n"/>
      <c r="J222" s="29" t="n"/>
      <c r="K222" s="29" t="n"/>
      <c r="L222" s="111" t="n"/>
      <c r="M222" s="30">
        <f>+M221*(1+L222)</f>
        <v/>
      </c>
    </row>
    <row r="223">
      <c r="A223" s="28" t="n"/>
      <c r="C223" s="111" t="n"/>
      <c r="D223" s="30">
        <f>+D222*(1+C223)</f>
        <v/>
      </c>
      <c r="F223" s="28" t="n"/>
      <c r="I223" s="111" t="n"/>
      <c r="J223" s="29" t="n"/>
      <c r="L223" s="111" t="n"/>
      <c r="M223" s="30">
        <f>+M222*(1+L223)</f>
        <v/>
      </c>
    </row>
    <row r="224">
      <c r="A224" s="28" t="n"/>
      <c r="C224" s="111" t="n"/>
      <c r="D224" s="30">
        <f>+D223*(1+C224)</f>
        <v/>
      </c>
      <c r="F224" s="28" t="n"/>
      <c r="I224" s="111" t="n"/>
      <c r="J224" s="29" t="n"/>
      <c r="K224" s="29" t="n"/>
      <c r="L224" s="111" t="n"/>
      <c r="M224" s="30" t="n">
        <v>100</v>
      </c>
    </row>
    <row r="225">
      <c r="A225" s="28" t="n"/>
      <c r="C225" s="111" t="n"/>
      <c r="D225" s="30">
        <f>+D224*(1+C225)</f>
        <v/>
      </c>
      <c r="F225" s="28" t="n"/>
      <c r="I225" s="111" t="n"/>
      <c r="J225" s="29" t="n"/>
      <c r="L225" s="111" t="n"/>
      <c r="M225" s="30">
        <f>+M224*(1+L225)</f>
        <v/>
      </c>
    </row>
    <row r="226">
      <c r="A226" s="28" t="n"/>
      <c r="C226" s="111" t="n"/>
      <c r="D226" s="30">
        <f>+D225*(1+C226)</f>
        <v/>
      </c>
      <c r="F226" s="28" t="n"/>
      <c r="I226" s="111" t="n"/>
      <c r="J226" s="29" t="n"/>
      <c r="L226" s="111" t="n"/>
      <c r="M226" s="30">
        <f>+M225*(1+L226)</f>
        <v/>
      </c>
    </row>
    <row r="227">
      <c r="A227" s="28" t="n"/>
      <c r="B227" s="30" t="n"/>
      <c r="C227" s="111" t="n"/>
      <c r="D227" s="30">
        <f>+D226*(1+C227)</f>
        <v/>
      </c>
      <c r="F227" s="28" t="n"/>
      <c r="I227" s="111" t="n"/>
      <c r="J227" s="29" t="n"/>
      <c r="L227" s="111" t="n"/>
      <c r="M227" s="30" t="n">
        <v>100</v>
      </c>
    </row>
    <row r="228">
      <c r="A228" s="28" t="n">
        <v>45526</v>
      </c>
      <c r="B228" s="14" t="n">
        <v>24217.3</v>
      </c>
      <c r="C228" s="111" t="n">
        <v>0</v>
      </c>
      <c r="D228" s="30" t="n">
        <v>100</v>
      </c>
      <c r="F228" s="28" t="n">
        <v>45526</v>
      </c>
      <c r="G228" s="115" t="n">
        <v>999.9674</v>
      </c>
      <c r="H228" s="115">
        <f>+G228+$S$148+$S$150+$S$152+$S$154+$S$156+$S$158</f>
        <v/>
      </c>
      <c r="I228" s="111" t="n">
        <v>0</v>
      </c>
      <c r="J228" s="29" t="n">
        <v>100</v>
      </c>
      <c r="K228" s="14" t="n">
        <v>5968.019</v>
      </c>
      <c r="L228" s="111" t="n">
        <v>0</v>
      </c>
      <c r="M228" s="30">
        <f>+M227*(1+L228)</f>
        <v/>
      </c>
    </row>
    <row r="229">
      <c r="A229" s="28" t="n">
        <v>45535</v>
      </c>
      <c r="B229" s="14" t="n">
        <v>24333.6</v>
      </c>
      <c r="C229" s="111">
        <f>(B229/B228-1)/(A229-A228)*8</f>
        <v/>
      </c>
      <c r="D229" s="30">
        <f>+D228*(1+C229)</f>
        <v/>
      </c>
      <c r="F229" s="28" t="n">
        <v>45535</v>
      </c>
      <c r="G229" s="115" t="n">
        <v>1001.8066</v>
      </c>
      <c r="H229" s="115">
        <f>+G229+$S$148+$S$150+$S$152+$S$154+$S$156+$S$158</f>
        <v/>
      </c>
      <c r="I229" s="111">
        <f>+(H229/H228-1)/(F229-F228)*8</f>
        <v/>
      </c>
      <c r="J229" s="29">
        <f>+J228*(1+I229)</f>
        <v/>
      </c>
      <c r="K229" s="14" t="n">
        <v>5989.669</v>
      </c>
      <c r="L229" s="111">
        <f>+(K229/K228-1)/(F229-F228)*8</f>
        <v/>
      </c>
      <c r="M229" s="30">
        <f>+M228*(1+L229)</f>
        <v/>
      </c>
    </row>
    <row r="230">
      <c r="A230" s="28" t="n">
        <v>45565</v>
      </c>
      <c r="B230" s="14" t="n">
        <v>24449.94</v>
      </c>
      <c r="C230" s="111">
        <f>(B230/B229-1)/(A230-A229)*30</f>
        <v/>
      </c>
      <c r="D230" s="30">
        <f>+D229*(1+C230)</f>
        <v/>
      </c>
      <c r="F230" s="28" t="n">
        <v>45565</v>
      </c>
      <c r="G230" s="115" t="n">
        <v>1007.4568</v>
      </c>
      <c r="H230" s="115">
        <f>+G230+$S$148+$S$150+$S$152+$S$154+$S$156+$S$158</f>
        <v/>
      </c>
      <c r="I230" s="111">
        <f>+(H230/H229-1)/(F230-F229)*30</f>
        <v/>
      </c>
      <c r="J230" s="29">
        <f>+J229*(1+I230)</f>
        <v/>
      </c>
      <c r="K230" s="14" t="n">
        <v>6009.8868</v>
      </c>
      <c r="L230" s="111">
        <f>+(K230/K229-1)/(F230-F229)*30</f>
        <v/>
      </c>
      <c r="M230" s="30">
        <f>+M229*(1+L230)</f>
        <v/>
      </c>
    </row>
    <row r="231">
      <c r="A231" s="28" t="n">
        <v>45596</v>
      </c>
      <c r="B231" s="14" t="n">
        <v>24560.22</v>
      </c>
      <c r="C231" s="111">
        <f>(B231/B230-1)/(A231-A230)*30</f>
        <v/>
      </c>
      <c r="D231" s="30">
        <f>+D230*(1+C231)</f>
        <v/>
      </c>
      <c r="F231" s="28" t="n">
        <v>45596</v>
      </c>
      <c r="G231" s="115" t="n">
        <v>1012.6608</v>
      </c>
      <c r="H231" s="115">
        <f>+G231+$S$148+$S$150+$S$152+$S$154+$S$156+$S$158</f>
        <v/>
      </c>
      <c r="I231" s="111">
        <f>+(H231/H230-1)/(F231-F230)*30</f>
        <v/>
      </c>
      <c r="J231" s="29">
        <f>+J230*(1+I231)</f>
        <v/>
      </c>
      <c r="K231" s="14" t="n">
        <v>6030.3854</v>
      </c>
      <c r="L231" s="111">
        <f>+(K231/K230-1)/(F231-F230)*30</f>
        <v/>
      </c>
      <c r="M231" s="30">
        <f>+M230*(1+L231)</f>
        <v/>
      </c>
    </row>
    <row r="232">
      <c r="A232" s="28" t="n">
        <v>45626</v>
      </c>
      <c r="B232" s="14" t="n">
        <v>24667.9</v>
      </c>
      <c r="C232" s="111">
        <f>(B232/B231-1)/(A232-A231)*30</f>
        <v/>
      </c>
      <c r="D232" s="30">
        <f>+D231*(1+C232)</f>
        <v/>
      </c>
      <c r="F232" s="28" t="n">
        <v>45626</v>
      </c>
      <c r="G232" s="115" t="n">
        <v>1018.0563</v>
      </c>
      <c r="H232" s="115">
        <f>+G232+$S$148+$S$150+$S$152+$S$154+$S$156+$S$158</f>
        <v/>
      </c>
      <c r="I232" s="111">
        <f>+(H232/H231-1)/(F232-F231)*30</f>
        <v/>
      </c>
      <c r="J232" s="29">
        <f>+J231*(1+I232)</f>
        <v/>
      </c>
      <c r="K232" s="14" t="n">
        <v>6049.8055</v>
      </c>
      <c r="L232" s="111">
        <f>+(K232/K231-1)/(F232-F231)*30</f>
        <v/>
      </c>
      <c r="M232" s="30">
        <f>+M231*(1+L232)</f>
        <v/>
      </c>
    </row>
    <row r="233">
      <c r="A233" s="28" t="n">
        <v>45657</v>
      </c>
      <c r="B233" s="14" t="n">
        <v>24777.58</v>
      </c>
      <c r="C233" s="111">
        <f>(B233/B232-1)/(A233-A232)*30</f>
        <v/>
      </c>
      <c r="D233" s="30">
        <f>+D232*(1+C233)</f>
        <v/>
      </c>
      <c r="F233" s="28" t="n">
        <v>45657</v>
      </c>
      <c r="G233" s="115" t="n">
        <v>1023.2961</v>
      </c>
      <c r="H233" s="115">
        <f>+G233+$S$148+$S$150+$S$152+$S$154+$S$156+$S$158</f>
        <v/>
      </c>
      <c r="I233" s="111">
        <f>+(H233/H232-1)/(F233-F232)*30</f>
        <v/>
      </c>
      <c r="J233" s="29">
        <f>+J232*(1+I233)</f>
        <v/>
      </c>
      <c r="K233" s="14" t="n">
        <v>6069.3455</v>
      </c>
      <c r="L233" s="111">
        <f>+(K233/K232-1)/(F233-F232)*30</f>
        <v/>
      </c>
      <c r="M233" s="30">
        <f>+M232*(1+L233)</f>
        <v/>
      </c>
    </row>
    <row r="234">
      <c r="A234" s="28" t="n">
        <v>45688</v>
      </c>
      <c r="B234" s="14" t="n">
        <v>24887.95</v>
      </c>
      <c r="C234" s="111">
        <f>(B234/B233-1)/(A234-A233)*30</f>
        <v/>
      </c>
      <c r="D234" s="30">
        <f>+D233*(1+C234)</f>
        <v/>
      </c>
      <c r="F234" s="28" t="n">
        <v>45688</v>
      </c>
      <c r="G234" s="115" t="n">
        <v>1027.8091</v>
      </c>
      <c r="H234" s="115">
        <f>+G234+$S$148+$S$150+$S$152+$S$154+$S$156+$S$158</f>
        <v/>
      </c>
      <c r="I234" s="111">
        <f>+(H234/H233-1)/(F234-F233)*30</f>
        <v/>
      </c>
      <c r="J234" s="29">
        <f>+J233*(1+I234)</f>
        <v/>
      </c>
      <c r="K234" s="14" t="n">
        <v>6087.6762</v>
      </c>
      <c r="L234" s="111">
        <f>+(K234/K233-1)/(F234-F233)*30</f>
        <v/>
      </c>
      <c r="M234" s="30">
        <f>+M233*(1+L234)</f>
        <v/>
      </c>
    </row>
    <row r="235">
      <c r="A235" s="28" t="n">
        <v>45716</v>
      </c>
      <c r="B235" s="14" t="n">
        <v>24984.92</v>
      </c>
      <c r="C235" s="111">
        <f>(B235/B234-1)/(A235-A234)*30</f>
        <v/>
      </c>
      <c r="D235" s="30">
        <f>+D234*(1+C235)</f>
        <v/>
      </c>
      <c r="F235" s="28" t="n">
        <v>45716</v>
      </c>
      <c r="G235" s="115" t="n">
        <v>1032.4079</v>
      </c>
      <c r="H235" s="115">
        <f>+G235+$S$148+$S$150+$S$152+$S$154+$S$156+$S$158</f>
        <v/>
      </c>
      <c r="I235" s="111">
        <f>+(H235/H234-1)/(F235-F234)*30</f>
        <v/>
      </c>
      <c r="J235" s="29">
        <f>+J234*(1+I235)</f>
        <v/>
      </c>
      <c r="K235" s="14" t="n">
        <v>6104.4912</v>
      </c>
      <c r="L235" s="111">
        <f>+(K235/K234-1)/(F235-F234)*30</f>
        <v/>
      </c>
      <c r="M235" s="30">
        <f>+M234*(1+L235)</f>
        <v/>
      </c>
    </row>
    <row r="236">
      <c r="A236" s="28" t="n">
        <v>45747</v>
      </c>
      <c r="B236" s="14" t="n">
        <v>25092.7</v>
      </c>
      <c r="C236" s="111">
        <f>(B236/B235-1)/(A236-A235)*30</f>
        <v/>
      </c>
      <c r="D236" s="30">
        <f>+D235*(1+C236)</f>
        <v/>
      </c>
      <c r="F236" s="28" t="n">
        <v>45747</v>
      </c>
      <c r="G236" s="115" t="n">
        <v>1038.598</v>
      </c>
      <c r="H236" s="115">
        <f>+G236+$S$148+$S$150+$S$152+$S$154+$S$156+$S$158</f>
        <v/>
      </c>
      <c r="I236" s="111">
        <f>+(H236/H235-1)/(F236-F235)*30</f>
        <v/>
      </c>
      <c r="J236" s="29">
        <f>+J235*(1+I236)</f>
        <v/>
      </c>
      <c r="K236" s="14" t="n">
        <v>6123.1882</v>
      </c>
      <c r="L236" s="111">
        <f>+(K236/K235-1)/(F236-F235)*30</f>
        <v/>
      </c>
      <c r="M236" s="30">
        <f>+M235*(1+L236)</f>
        <v/>
      </c>
    </row>
    <row r="237">
      <c r="A237" s="28" t="n">
        <v>45777</v>
      </c>
      <c r="B237" s="14" t="n">
        <v>25197.48</v>
      </c>
      <c r="C237" s="111">
        <f>(B237/B236-1)/(A237-A236)*30</f>
        <v/>
      </c>
      <c r="D237" s="30">
        <f>+D236*(1+C237)</f>
        <v/>
      </c>
      <c r="F237" s="28" t="n">
        <v>45777</v>
      </c>
      <c r="G237" s="115" t="n">
        <v>1045.8511</v>
      </c>
      <c r="H237" s="115">
        <f>+G237+$S$148+$S$150+$S$152+$S$154+$S$156+$S$158</f>
        <v/>
      </c>
      <c r="I237" s="111">
        <f>+(H237/H236-1)/(F237-F236)*30</f>
        <v/>
      </c>
      <c r="J237" s="29">
        <f>+J236*(1+I237)</f>
        <v/>
      </c>
      <c r="K237" s="14" t="n">
        <v>6141.4105</v>
      </c>
      <c r="L237" s="111">
        <f>+(K237/K236-1)/(F237-F236)*30</f>
        <v/>
      </c>
      <c r="M237" s="30">
        <f>+M236*(1+L237)</f>
        <v/>
      </c>
    </row>
    <row r="238">
      <c r="A238" s="28" t="n">
        <v>45808</v>
      </c>
      <c r="B238" s="14" t="n">
        <v>25302.66</v>
      </c>
      <c r="C238" s="111">
        <f>(B238/B237-1)/(A238-A237)*30</f>
        <v/>
      </c>
      <c r="D238" s="30">
        <f>+D237*(1+C238)</f>
        <v/>
      </c>
      <c r="F238" s="28" t="n">
        <v>45808</v>
      </c>
      <c r="G238" s="115" t="n">
        <v>1052.6607</v>
      </c>
      <c r="H238" s="115">
        <f>+G238+$S$148+$S$150+$S$152+$S$154+$S$156+$S$158</f>
        <v/>
      </c>
      <c r="I238" s="111">
        <f>+(H238/H237-1)/(F238-F237)*30</f>
        <v/>
      </c>
      <c r="J238" s="29">
        <f>+J237*(1+I238)</f>
        <v/>
      </c>
      <c r="K238" s="14" t="n">
        <v>6160.386</v>
      </c>
      <c r="L238" s="111">
        <f>+(K238/K237-1)/(F238-F237)*30</f>
        <v/>
      </c>
      <c r="M238" s="30">
        <f>+M237*(1+L238)</f>
        <v/>
      </c>
    </row>
    <row r="239">
      <c r="A239" s="28" t="n">
        <v>45838</v>
      </c>
      <c r="B239" s="14" t="n">
        <v>25411.83</v>
      </c>
      <c r="C239" s="111">
        <f>(B239/B238-1)/(A239-A238)*30</f>
        <v/>
      </c>
      <c r="D239" s="30">
        <f>+D238*(1+C239)</f>
        <v/>
      </c>
      <c r="F239" s="28" t="n">
        <v>45838</v>
      </c>
      <c r="G239" s="115" t="n">
        <v>1058.5628</v>
      </c>
      <c r="H239" s="115">
        <f>+G239+$S$148+$S$150+$S$152+$S$154+$S$156+$S$158</f>
        <v/>
      </c>
      <c r="I239" s="111">
        <f>+(H239/H238-1)/(F239-F238)*30</f>
        <v/>
      </c>
      <c r="J239" s="29">
        <f>+J238*(1+I239)</f>
        <v/>
      </c>
      <c r="K239" s="14" t="n">
        <v>6178.849</v>
      </c>
      <c r="L239" s="111">
        <f>+(K239/K238-1)/(F239-F238)*30</f>
        <v/>
      </c>
      <c r="M239" s="30">
        <f>+M238*(1+L239)</f>
        <v/>
      </c>
    </row>
    <row r="240">
      <c r="A240" s="28" t="n">
        <v>45869</v>
      </c>
      <c r="B240" s="14" t="n">
        <v>25521.26</v>
      </c>
      <c r="C240" s="111">
        <f>(B240/B239-1)/(A240-A239)*30</f>
        <v/>
      </c>
      <c r="D240" s="30">
        <f>+D239*(1+C240)</f>
        <v/>
      </c>
      <c r="F240" s="28" t="n">
        <v>45869</v>
      </c>
      <c r="G240" s="115" t="n">
        <v>1064.645</v>
      </c>
      <c r="H240" s="115">
        <f>+G240+$S$148+$S$150+$S$152+$S$154+$S$156+$S$158</f>
        <v/>
      </c>
      <c r="I240" s="111">
        <f>+(H240/H239-1)/(F240-F239)*30</f>
        <v/>
      </c>
      <c r="J240" s="29">
        <f>+J239*(1+I240)</f>
        <v/>
      </c>
      <c r="K240" s="14" t="n">
        <v>6197.08</v>
      </c>
      <c r="L240" s="111">
        <f>+(K240/K239-1)/(F240-F239)*30</f>
        <v/>
      </c>
      <c r="M240" s="30">
        <f>+M239*(1+L240)</f>
        <v/>
      </c>
    </row>
    <row r="241">
      <c r="A241" s="28" t="n">
        <v>45900</v>
      </c>
      <c r="B241" s="14" t="n">
        <v>25619.09</v>
      </c>
      <c r="C241" s="111">
        <f>(B241/B240-1)/(A241-A240)*30</f>
        <v/>
      </c>
      <c r="D241" s="30">
        <f>+D240*(1+C241)</f>
        <v/>
      </c>
      <c r="F241" s="28" t="n">
        <v>45900</v>
      </c>
      <c r="G241" s="115" t="n">
        <v>1070.7846</v>
      </c>
      <c r="H241" s="115">
        <f>+G241+$S$148+$S$150+$S$152+$S$154+$S$156+$S$158</f>
        <v/>
      </c>
      <c r="I241" s="111">
        <f>+(H241/H240-1)/(F241-F240)*30</f>
        <v/>
      </c>
      <c r="J241" s="29">
        <f>+J240*(1+I241)</f>
        <v/>
      </c>
      <c r="K241" s="14" t="n">
        <v>6215.6746</v>
      </c>
      <c r="L241" s="111">
        <f>+(K241/K240-1)/(F241-F240)*30</f>
        <v/>
      </c>
      <c r="M241" s="30">
        <f>+M240*(1+L241)</f>
        <v/>
      </c>
    </row>
    <row r="242">
      <c r="A242" s="28" t="n">
        <v>45930</v>
      </c>
      <c r="B242" s="14" t="n">
        <v>25727.46</v>
      </c>
      <c r="C242" s="111">
        <f>(B242/B241-1)/(A242-A241)*30</f>
        <v/>
      </c>
      <c r="D242" s="30">
        <f>+D241*(1+C242)</f>
        <v/>
      </c>
      <c r="F242" s="28" t="n">
        <v>45930</v>
      </c>
      <c r="G242" s="115" t="n">
        <v>1076.3961</v>
      </c>
      <c r="H242" s="115">
        <f>+G242+$S$148+$S$150+$S$152+$S$154+$S$156+$S$158</f>
        <v/>
      </c>
      <c r="I242" s="111">
        <f>+(H242/H241-1)/(F242-F241)*30</f>
        <v/>
      </c>
      <c r="J242" s="29">
        <f>+J241*(1+I242)</f>
        <v/>
      </c>
      <c r="K242" s="14" t="n">
        <v>6232.8399</v>
      </c>
      <c r="L242" s="111">
        <f>+(K242/K241-1)/(F242-F241)*30</f>
        <v/>
      </c>
      <c r="M242" s="30">
        <f>+M241*(1+L242)</f>
        <v/>
      </c>
    </row>
    <row r="243">
      <c r="A243" s="28" t="n">
        <v>45961</v>
      </c>
      <c r="B243" s="14" t="n">
        <v>25829.5</v>
      </c>
      <c r="C243" s="111">
        <f>(B243/B242-1)/(A243-A242)*30</f>
        <v/>
      </c>
      <c r="D243" s="30">
        <f>+D242*(1+C243)</f>
        <v/>
      </c>
      <c r="F243" s="28" t="n">
        <v>45961</v>
      </c>
      <c r="G243" s="115" t="n">
        <v>1082.6213</v>
      </c>
      <c r="H243" s="115">
        <f>+G243+$S$148+$S$150+$S$152+$S$154+$S$156+$S$158</f>
        <v/>
      </c>
      <c r="I243" s="111">
        <f>+(H243/H242-1)/(F243-F242)*30</f>
        <v/>
      </c>
      <c r="J243" s="29">
        <f>+J242*(1+I243)</f>
        <v/>
      </c>
      <c r="K243" s="14" t="n">
        <v>6250.6982</v>
      </c>
      <c r="L243" s="111">
        <f>+(K243/K242-1)/(F243-F242)*30</f>
        <v/>
      </c>
      <c r="M243" s="30">
        <f>+M242*(1+L243)</f>
        <v/>
      </c>
    </row>
    <row r="244">
      <c r="A244" s="28" t="n">
        <v>45991</v>
      </c>
      <c r="B244" s="14" t="n">
        <v>25928.49</v>
      </c>
      <c r="C244" s="111">
        <f>(B244/B243-1)/(A244-A243)*30</f>
        <v/>
      </c>
      <c r="D244" s="30">
        <f>+D243*(1+C244)</f>
        <v/>
      </c>
      <c r="F244" s="28" t="n">
        <v>45991</v>
      </c>
      <c r="G244" s="115" t="n">
        <v>1089.0708</v>
      </c>
      <c r="H244" s="115">
        <f>+G244+$S$148+$S$150+$S$152+$S$154+$S$156+$S$158</f>
        <v/>
      </c>
      <c r="I244" s="111">
        <f>+(H244/H243-1)/(F244-F243)*30</f>
        <v/>
      </c>
      <c r="J244" s="29">
        <f>+J243*(1+I244)</f>
        <v/>
      </c>
      <c r="K244" s="14" t="n">
        <v>6268.169</v>
      </c>
      <c r="L244" s="111">
        <f>+(K244/K243-1)/(F244-F243)*30</f>
        <v/>
      </c>
      <c r="M244" s="30">
        <f>+M243*(1+L244)</f>
        <v/>
      </c>
    </row>
    <row r="245">
      <c r="A245" s="28" t="n">
        <v>46022</v>
      </c>
      <c r="B245" s="14" t="n">
        <v>26035.82</v>
      </c>
      <c r="C245" s="111">
        <f>(B245/B244-1)/(A245-A244)*30</f>
        <v/>
      </c>
      <c r="D245" s="30">
        <f>+D244*(1+C245)</f>
        <v/>
      </c>
      <c r="F245" s="28" t="n">
        <v>46022</v>
      </c>
      <c r="G245" s="129" t="n">
        <v>1095.9178</v>
      </c>
      <c r="H245" s="115">
        <f>+G245+$S$148+$S$150+$S$152+$S$154+$S$156+$S$158</f>
        <v/>
      </c>
      <c r="I245" s="111">
        <f>+(H245/H244-1)/(F245-F244)*30</f>
        <v/>
      </c>
      <c r="J245" s="29">
        <f>+J244*(1+I245)</f>
        <v/>
      </c>
      <c r="K245" s="14" t="n">
        <v>6285.9566</v>
      </c>
      <c r="L245" s="111">
        <f>+(K245/K244-1)/(F245-F244)*30</f>
        <v/>
      </c>
      <c r="M245" s="30">
        <f>+M244*(1+L245)</f>
        <v/>
      </c>
    </row>
    <row r="246" ht="15.75" customHeight="1" thickBot="1">
      <c r="A246" s="28" t="n">
        <v>46053</v>
      </c>
      <c r="B246" s="14" t="n">
        <v>26136.9</v>
      </c>
      <c r="C246" s="111">
        <f>(B246/B245-1)/(A246-A245)*30</f>
        <v/>
      </c>
      <c r="D246" s="30">
        <f>+D245*(1+C246)</f>
        <v/>
      </c>
      <c r="F246" s="28" t="n">
        <v>46053</v>
      </c>
      <c r="G246" s="115" t="n">
        <v>1101.9687</v>
      </c>
      <c r="H246" s="115">
        <f>+G246+$S$148+$S$150+$S$152+$S$154+$S$156+$S$158</f>
        <v/>
      </c>
      <c r="I246" s="111">
        <f>+(H246/H245-1)/(F246-F245)*30</f>
        <v/>
      </c>
      <c r="J246" s="29">
        <f>+J245*(1+I246)</f>
        <v/>
      </c>
      <c r="K246" s="14" t="n">
        <v>6303.0823</v>
      </c>
      <c r="L246" s="111">
        <f>+(K246/K245-1)/(F246-F245)*30</f>
        <v/>
      </c>
      <c r="M246" s="30">
        <f>+M245*(1+L246)</f>
        <v/>
      </c>
    </row>
    <row r="247" ht="16.5" customHeight="1" thickBot="1" thickTop="1">
      <c r="A247" s="105" t="n">
        <v>46081</v>
      </c>
      <c r="B247" s="106" t="n">
        <v>26231.81</v>
      </c>
      <c r="C247" s="111">
        <f>(B247/B246-1)/(A247-A246)*30</f>
        <v/>
      </c>
      <c r="D247" s="30">
        <f>+D246*(1+C247)</f>
        <v/>
      </c>
      <c r="F247" s="105" t="n">
        <v>46081</v>
      </c>
      <c r="G247" s="129" t="n">
        <v>1107.5771</v>
      </c>
      <c r="H247" s="115">
        <f>+G247+$S$148+$S$150+$S$152+$S$154+$S$156+$S$158</f>
        <v/>
      </c>
      <c r="I247" s="111">
        <f>+(H247/H246-1)/(F247-F246)*30</f>
        <v/>
      </c>
      <c r="J247" s="29">
        <f>+J246*(1+I247)</f>
        <v/>
      </c>
      <c r="K247" s="107" t="n">
        <v>6318.4947</v>
      </c>
      <c r="L247" s="111">
        <f>+(K247/K246-1)/(F247-F246)*30</f>
        <v/>
      </c>
      <c r="M247" s="30">
        <f>+M246*(1+L247)</f>
        <v/>
      </c>
    </row>
    <row r="248" ht="16.5" customHeight="1" thickBot="1" thickTop="1">
      <c r="A248" s="105" t="n">
        <v>46112</v>
      </c>
      <c r="B248" s="106" t="n">
        <v>26333.64</v>
      </c>
      <c r="C248" s="111">
        <f>(B248/B247-1)/(A248-A247)*30</f>
        <v/>
      </c>
      <c r="D248" s="30">
        <f>+D247*(1+C248)</f>
        <v/>
      </c>
      <c r="F248" s="105" t="n">
        <v>46112</v>
      </c>
      <c r="G248" s="130" t="n">
        <v>1113.8745</v>
      </c>
      <c r="H248" s="115">
        <f>+G248+$S$148+$S$150+$S$152+$S$154+$S$156+$S$158</f>
        <v/>
      </c>
      <c r="I248" s="111">
        <f>+(H248/H247-1)/(F248-F247)*30</f>
        <v/>
      </c>
      <c r="J248" s="29">
        <f>+J247*(1+I248)</f>
        <v/>
      </c>
      <c r="K248" s="108" t="n">
        <v>6335.4774</v>
      </c>
      <c r="L248" s="111">
        <f>+(K248/K247-1)/(F248-F247)*30</f>
        <v/>
      </c>
      <c r="M248" s="30">
        <f>+M247*(1+L248)</f>
        <v/>
      </c>
    </row>
    <row r="249">
      <c r="A249" s="28" t="n">
        <v>46142</v>
      </c>
      <c r="B249" s="14" t="n">
        <v>26432.56</v>
      </c>
      <c r="C249" s="111">
        <f>(B249/B248-1)/(A249-A248)*30</f>
        <v/>
      </c>
      <c r="D249" s="30">
        <f>+D248*(1+C249)</f>
        <v/>
      </c>
      <c r="F249" s="28" t="n">
        <v>46142</v>
      </c>
      <c r="G249" s="112" t="n">
        <v>1119.8836</v>
      </c>
      <c r="H249" s="115">
        <f>+G249+$S$148+$S$150+$S$152+$S$154+$S$156+$S$158</f>
        <v/>
      </c>
      <c r="I249" s="111">
        <f>+(H249/H248-1)/(F249-F248)*30</f>
        <v/>
      </c>
      <c r="J249" s="29">
        <f>+J248*(1+I249)</f>
        <v/>
      </c>
      <c r="K249" s="14" t="n">
        <v>6351.9305</v>
      </c>
      <c r="L249" s="111">
        <f>+(K249/K248-1)/(F249-F248)*30</f>
        <v/>
      </c>
      <c r="M249" s="30">
        <f>+M248*(1+L249)</f>
        <v/>
      </c>
    </row>
    <row r="250">
      <c r="A250" s="131" t="n">
        <v>46144</v>
      </c>
      <c r="B250" t="n">
        <v>19991.53842678169</v>
      </c>
      <c r="C250">
        <f>(B250/B249-1)/(A250-A249)*30</f>
        <v/>
      </c>
      <c r="D250">
        <f>+D249*(1+C250)</f>
        <v/>
      </c>
      <c r="F250" s="131" t="n">
        <v>46144</v>
      </c>
      <c r="G250" t="n">
        <v>1.1628</v>
      </c>
      <c r="H250">
        <f>+G250+$S$148+$S$150+$S$152+$S$154+$S$156+$S$158</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80" zoomScaleNormal="80" workbookViewId="0">
      <selection activeCell="H36" sqref="H36:H41"/>
    </sheetView>
  </sheetViews>
  <sheetFormatPr baseColWidth="8" defaultColWidth="11.42578125" defaultRowHeight="15"/>
  <cols>
    <col width="6.28515625" bestFit="1" customWidth="1" style="7" min="3" max="3"/>
    <col width="23.28515625" bestFit="1" customWidth="1" min="4" max="4"/>
    <col width="6.5703125" customWidth="1" min="5" max="5"/>
    <col width="5.140625" bestFit="1" customWidth="1" min="6" max="6"/>
    <col width="4.85546875" bestFit="1" customWidth="1" min="7" max="7"/>
    <col width="5.140625" bestFit="1" customWidth="1" min="8" max="8"/>
    <col width="5.28515625" bestFit="1" customWidth="1" min="9" max="9"/>
    <col width="5" bestFit="1" customWidth="1" min="10" max="10"/>
    <col width="4.28515625" bestFit="1" customWidth="1" min="11" max="11"/>
    <col width="5.42578125" customWidth="1" min="12" max="12"/>
    <col width="5.5703125" customWidth="1" min="13" max="13"/>
    <col width="5" customWidth="1" min="14" max="14"/>
    <col width="5.140625" customWidth="1" min="15" max="15"/>
    <col width="5" customWidth="1" min="16" max="16"/>
    <col width="7.5703125" customWidth="1" min="17" max="17"/>
    <col width="23.42578125" bestFit="1" customWidth="1" min="19" max="19"/>
    <col width="9.5703125" bestFit="1" customWidth="1" min="20" max="20"/>
    <col width="11" bestFit="1" customWidth="1" min="21" max="21"/>
    <col width="11.140625" bestFit="1" customWidth="1" min="22" max="22"/>
    <col width="7.140625" bestFit="1" customWidth="1" min="23" max="23"/>
    <col width="9.140625" bestFit="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3" t="inlineStr">
        <is>
          <t>FIP LIQUIDEZ DISPONIBLE I</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47.25" customHeight="1">
      <c r="B6" s="11" t="n"/>
      <c r="C6" s="103" t="inlineStr">
        <is>
          <t>Año</t>
        </is>
      </c>
      <c r="D6" s="104" t="inlineStr">
        <is>
          <t>Fondo</t>
        </is>
      </c>
      <c r="E6" s="98" t="inlineStr">
        <is>
          <t>Ene</t>
        </is>
      </c>
      <c r="F6" s="98" t="inlineStr">
        <is>
          <t>Feb</t>
        </is>
      </c>
      <c r="G6" s="98" t="inlineStr">
        <is>
          <t>Mar</t>
        </is>
      </c>
      <c r="H6" s="98" t="inlineStr">
        <is>
          <t>Abr</t>
        </is>
      </c>
      <c r="I6" s="98" t="inlineStr">
        <is>
          <t>May</t>
        </is>
      </c>
      <c r="J6" s="98" t="inlineStr">
        <is>
          <t>Jun</t>
        </is>
      </c>
      <c r="K6" s="98" t="inlineStr">
        <is>
          <t>Jul</t>
        </is>
      </c>
      <c r="L6" s="98" t="inlineStr">
        <is>
          <t>Ago</t>
        </is>
      </c>
      <c r="M6" s="98" t="inlineStr">
        <is>
          <t>Sep</t>
        </is>
      </c>
      <c r="N6" s="98" t="inlineStr">
        <is>
          <t>Oct</t>
        </is>
      </c>
      <c r="O6" s="98" t="inlineStr">
        <is>
          <t>Nov</t>
        </is>
      </c>
      <c r="P6" s="98" t="inlineStr">
        <is>
          <t>Dic</t>
        </is>
      </c>
      <c r="Q6" s="99" t="inlineStr">
        <is>
          <t>Total
Año</t>
        </is>
      </c>
      <c r="R6" s="10" t="n"/>
    </row>
    <row r="7" ht="9" customHeight="1">
      <c r="B7" s="11" t="n"/>
      <c r="C7" s="12" t="n"/>
      <c r="D7" s="11" t="n"/>
      <c r="E7" s="100" t="n"/>
      <c r="F7" s="100" t="n"/>
      <c r="G7" s="100" t="n"/>
      <c r="H7" s="100" t="n"/>
      <c r="I7" s="100" t="n"/>
      <c r="J7" s="100" t="n"/>
      <c r="K7" s="100" t="n"/>
      <c r="L7" s="100" t="n"/>
      <c r="M7" s="100" t="n"/>
      <c r="N7" s="100" t="n"/>
      <c r="O7" s="100" t="n"/>
      <c r="P7" s="100" t="n"/>
      <c r="Q7" s="100"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2"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2"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2"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2"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2"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2" t="n"/>
      <c r="R13" s="11" t="n"/>
    </row>
    <row r="14" hidden="1" ht="16.9" customHeight="1">
      <c r="B14" s="11" t="n"/>
      <c r="C14" s="8" t="n"/>
      <c r="D14" s="93" t="inlineStr">
        <is>
          <t>FIP LIQUIDEZ DISPONIBLE I</t>
        </is>
      </c>
      <c r="E14" s="101" t="n"/>
      <c r="F14" s="101" t="n"/>
      <c r="G14" s="101" t="n"/>
      <c r="H14" s="101" t="n"/>
      <c r="I14" s="101" t="n"/>
      <c r="J14" s="101" t="n"/>
      <c r="K14" s="101" t="n"/>
      <c r="L14" s="101" t="n"/>
      <c r="M14" s="101" t="n"/>
      <c r="N14" s="101" t="n"/>
      <c r="O14" s="101" t="n"/>
      <c r="P14" s="101" t="n"/>
      <c r="Q14" s="102"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2"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2" t="n"/>
      <c r="R16" s="11" t="n"/>
    </row>
    <row r="17" hidden="1" ht="16.9" customHeight="1">
      <c r="B17" s="11" t="n"/>
      <c r="C17" s="8" t="n"/>
      <c r="D17" s="93" t="inlineStr">
        <is>
          <t>FIP LIQUIDEZ DISPONIBLE I</t>
        </is>
      </c>
      <c r="E17" s="101" t="n"/>
      <c r="F17" s="101" t="n"/>
      <c r="G17" s="101" t="n"/>
      <c r="H17" s="101" t="n"/>
      <c r="I17" s="101" t="n"/>
      <c r="J17" s="101" t="n"/>
      <c r="K17" s="101" t="n"/>
      <c r="L17" s="101" t="n"/>
      <c r="M17" s="101" t="n"/>
      <c r="N17" s="101" t="n"/>
      <c r="O17" s="101" t="n"/>
      <c r="P17" s="101" t="n"/>
      <c r="Q17" s="102"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2"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2" t="n"/>
      <c r="R19" s="11" t="n"/>
    </row>
    <row r="20" hidden="1" ht="16.9" customHeight="1">
      <c r="B20" s="11" t="n"/>
      <c r="C20" s="8" t="n"/>
      <c r="D20" s="93" t="inlineStr">
        <is>
          <t>FIP LIQUIDEZ DISPONIBLE I</t>
        </is>
      </c>
      <c r="E20" s="101" t="n"/>
      <c r="F20" s="101" t="n"/>
      <c r="G20" s="101" t="n"/>
      <c r="H20" s="101" t="n"/>
      <c r="I20" s="101" t="n"/>
      <c r="J20" s="101" t="n"/>
      <c r="K20" s="101" t="n"/>
      <c r="L20" s="101" t="n"/>
      <c r="M20" s="101" t="n"/>
      <c r="N20" s="101" t="n"/>
      <c r="O20" s="101" t="n"/>
      <c r="P20" s="101" t="n"/>
      <c r="Q20" s="102"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2"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2" t="n"/>
      <c r="R22" s="11" t="n"/>
    </row>
    <row r="23" hidden="1" ht="16.9" customHeight="1">
      <c r="B23" s="11" t="n"/>
      <c r="C23" s="8" t="n"/>
      <c r="D23" s="93" t="inlineStr">
        <is>
          <t>FIP LIQUIDEZ DISPONIBLE I</t>
        </is>
      </c>
      <c r="E23" s="101" t="n"/>
      <c r="F23" s="101" t="n"/>
      <c r="G23" s="101" t="n"/>
      <c r="H23" s="101" t="n"/>
      <c r="I23" s="101" t="n"/>
      <c r="J23" s="101" t="n"/>
      <c r="K23" s="101" t="n"/>
      <c r="L23" s="101" t="n"/>
      <c r="M23" s="101" t="n"/>
      <c r="N23" s="101" t="n"/>
      <c r="O23" s="101" t="n"/>
      <c r="P23" s="101" t="n"/>
      <c r="Q23" s="102"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2"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2" t="n"/>
      <c r="R25" s="11" t="n"/>
    </row>
    <row r="26" hidden="1" ht="16.9" customHeight="1">
      <c r="B26" s="11" t="n"/>
      <c r="C26" s="8" t="n"/>
      <c r="D26" s="93" t="inlineStr">
        <is>
          <t>FIP LIQUIDEZ DISPONIBLE I</t>
        </is>
      </c>
      <c r="E26" s="101" t="n"/>
      <c r="F26" s="101" t="n"/>
      <c r="G26" s="101" t="n"/>
      <c r="H26" s="101" t="n"/>
      <c r="I26" s="101" t="n"/>
      <c r="J26" s="101" t="n"/>
      <c r="K26" s="101" t="n"/>
      <c r="L26" s="101" t="n"/>
      <c r="M26" s="101" t="n"/>
      <c r="N26" s="101" t="n"/>
      <c r="O26" s="101" t="n"/>
      <c r="P26" s="101" t="n"/>
      <c r="Q26" s="102"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2"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2" t="n"/>
      <c r="R28" s="11" t="n"/>
    </row>
    <row r="29" hidden="1" ht="16.9" customHeight="1">
      <c r="B29" s="11" t="n"/>
      <c r="C29" s="8" t="n"/>
      <c r="D29" s="93" t="inlineStr">
        <is>
          <t>FIP LIQUIDEZ DISPONIBLE I</t>
        </is>
      </c>
      <c r="E29" s="101" t="n"/>
      <c r="F29" s="101" t="n"/>
      <c r="G29" s="101" t="n"/>
      <c r="H29" s="101" t="n"/>
      <c r="I29" s="101" t="n"/>
      <c r="J29" s="101" t="n"/>
      <c r="K29" s="101" t="n"/>
      <c r="L29" s="101" t="n"/>
      <c r="M29" s="101" t="n"/>
      <c r="N29" s="101" t="n"/>
      <c r="O29" s="101" t="n"/>
      <c r="P29" s="101" t="n"/>
      <c r="Q29" s="102" t="n"/>
      <c r="R29" s="11" t="n"/>
    </row>
    <row r="30" hidden="1" ht="16.9" customHeight="1">
      <c r="B30" s="11" t="n"/>
      <c r="C30" s="8" t="n">
        <v>2023</v>
      </c>
      <c r="D30" s="9" t="inlineStr">
        <is>
          <t>ICP</t>
        </is>
      </c>
      <c r="E30" s="101" t="n"/>
      <c r="F30" s="101" t="n"/>
      <c r="G30" s="101" t="n"/>
      <c r="H30" s="101" t="n"/>
      <c r="I30" s="101" t="n"/>
      <c r="J30" s="101" t="n"/>
      <c r="K30" s="101" t="n"/>
      <c r="L30" s="101" t="n"/>
      <c r="M30" s="101" t="n"/>
      <c r="N30" s="101" t="n"/>
      <c r="O30" s="101" t="n"/>
      <c r="P30" s="101" t="n"/>
      <c r="Q30" s="102" t="n"/>
      <c r="R30" s="11" t="n"/>
    </row>
    <row r="31" hidden="1" ht="16.9" customHeight="1">
      <c r="B31" s="11" t="n"/>
      <c r="C31" s="8" t="n"/>
      <c r="D31" s="9" t="inlineStr">
        <is>
          <t>Competencia</t>
        </is>
      </c>
      <c r="E31" s="101" t="n"/>
      <c r="F31" s="101" t="n"/>
      <c r="G31" s="101" t="n"/>
      <c r="H31" s="101" t="n"/>
      <c r="I31" s="101" t="n"/>
      <c r="J31" s="101" t="n"/>
      <c r="K31" s="101" t="n"/>
      <c r="L31" s="101" t="n"/>
      <c r="M31" s="101" t="n"/>
      <c r="N31" s="101" t="n"/>
      <c r="O31" s="101" t="n"/>
      <c r="P31" s="101" t="n"/>
      <c r="Q31" s="102" t="n"/>
      <c r="R31" s="11" t="n"/>
    </row>
    <row r="32" hidden="1" ht="16.9" customHeight="1">
      <c r="B32" s="11" t="n"/>
      <c r="C32" s="8" t="n"/>
      <c r="D32" s="93" t="inlineStr">
        <is>
          <t>FIP LIQUIDEZ DISPONIBLE I</t>
        </is>
      </c>
      <c r="E32" s="101" t="n"/>
      <c r="F32" s="101" t="n"/>
      <c r="G32" s="101" t="n"/>
      <c r="H32" s="101" t="n"/>
      <c r="I32" s="101" t="n"/>
      <c r="J32" s="101" t="n"/>
      <c r="K32" s="101" t="n"/>
      <c r="L32" s="101" t="n"/>
      <c r="M32" s="101" t="n"/>
      <c r="N32" s="101" t="n"/>
      <c r="O32" s="101" t="n"/>
      <c r="P32" s="101" t="n"/>
      <c r="Q32" s="102" t="n"/>
      <c r="R32" s="11" t="n"/>
    </row>
    <row r="33" ht="16.9" customHeight="1">
      <c r="B33" s="11" t="n"/>
      <c r="C33" s="8" t="n">
        <v>2024</v>
      </c>
      <c r="D33" s="9" t="inlineStr">
        <is>
          <t>ICP</t>
        </is>
      </c>
      <c r="E33" s="38" t="n"/>
      <c r="F33" s="38" t="n"/>
      <c r="G33" s="38" t="n"/>
      <c r="H33" s="38" t="n"/>
      <c r="I33" s="38" t="n"/>
      <c r="J33" s="38" t="n"/>
      <c r="K33" s="38" t="n"/>
      <c r="L33" s="38">
        <f>+'Datos ICP (2)'!AL80</f>
        <v/>
      </c>
      <c r="M33" s="38">
        <f>+'Datos ICP (2)'!AM80</f>
        <v/>
      </c>
      <c r="N33" s="38">
        <f>+'Datos ICP (2)'!AN80</f>
        <v/>
      </c>
      <c r="O33" s="38">
        <f>+'Datos ICP (2)'!AO80</f>
        <v/>
      </c>
      <c r="P33" s="38">
        <f>+'Datos ICP (2)'!AP80</f>
        <v/>
      </c>
      <c r="Q33" s="38">
        <f>+'Datos ICP (2)'!AQ80</f>
        <v/>
      </c>
      <c r="R33" s="11" t="n"/>
    </row>
    <row r="34" ht="16.9" customHeight="1">
      <c r="B34" s="11" t="n"/>
      <c r="C34" s="8" t="n"/>
      <c r="D34" s="9" t="inlineStr">
        <is>
          <t>Competencia</t>
        </is>
      </c>
      <c r="E34" s="38" t="n"/>
      <c r="F34" s="38" t="n"/>
      <c r="G34" s="38" t="n"/>
      <c r="H34" s="38" t="n"/>
      <c r="I34" s="38" t="n"/>
      <c r="J34" s="38" t="n"/>
      <c r="K34" s="38" t="n"/>
      <c r="L34" s="38">
        <f>+'Datos ICP (2)'!AL81</f>
        <v/>
      </c>
      <c r="M34" s="38">
        <f>+'Datos ICP (2)'!AM81</f>
        <v/>
      </c>
      <c r="N34" s="38">
        <f>+'Datos ICP (2)'!AN81</f>
        <v/>
      </c>
      <c r="O34" s="38">
        <f>+'Datos ICP (2)'!AO81</f>
        <v/>
      </c>
      <c r="P34" s="38">
        <f>+'Datos ICP (2)'!AP81</f>
        <v/>
      </c>
      <c r="Q34" s="38">
        <f>+'Datos ICP (2)'!AQ81</f>
        <v/>
      </c>
      <c r="R34" s="11" t="n"/>
    </row>
    <row r="35" ht="16.9" customHeight="1">
      <c r="B35" s="11" t="n"/>
      <c r="C35" s="8" t="n"/>
      <c r="D35" s="93" t="inlineStr">
        <is>
          <t>FIP LIQUIDEZ DISPONIBLE I</t>
        </is>
      </c>
      <c r="E35" s="38" t="n"/>
      <c r="F35" s="38" t="n"/>
      <c r="G35" s="38" t="n"/>
      <c r="H35" s="38" t="n"/>
      <c r="I35" s="38" t="n"/>
      <c r="J35" s="38" t="n"/>
      <c r="K35" s="38" t="n"/>
      <c r="L35" s="38">
        <f>+'Datos ICP (2)'!AL82</f>
        <v/>
      </c>
      <c r="M35" s="38">
        <f>+'Datos ICP (2)'!AM82</f>
        <v/>
      </c>
      <c r="N35" s="38">
        <f>+'Datos ICP (2)'!AN82</f>
        <v/>
      </c>
      <c r="O35" s="38">
        <f>+'Datos ICP (2)'!AO82</f>
        <v/>
      </c>
      <c r="P35" s="38">
        <f>+'Datos ICP (2)'!AP82</f>
        <v/>
      </c>
      <c r="Q35" s="38">
        <f>+'Datos ICP (2)'!AQ82</f>
        <v/>
      </c>
      <c r="R35" s="11" t="n"/>
    </row>
    <row r="36">
      <c r="C36" s="8" t="n">
        <v>2025</v>
      </c>
      <c r="D36" s="9" t="inlineStr">
        <is>
          <t>ICP</t>
        </is>
      </c>
      <c r="E36" s="38">
        <f>+'Datos ICP (2)'!AE83</f>
        <v/>
      </c>
      <c r="F36" s="38">
        <f>+'Datos ICP (2)'!AF83</f>
        <v/>
      </c>
      <c r="G36" s="38">
        <f>+'Datos ICP (2)'!AG83</f>
        <v/>
      </c>
      <c r="H36" s="38">
        <f>+'Datos ICP (2)'!AH83</f>
        <v/>
      </c>
      <c r="I36" s="38">
        <f>+'Datos ICP (2)'!AI83</f>
        <v/>
      </c>
      <c r="J36" s="38">
        <f>+'Datos ICP (2)'!AJ83</f>
        <v/>
      </c>
      <c r="K36" s="38">
        <f>+'Datos ICP (2)'!AK83</f>
        <v/>
      </c>
      <c r="L36" s="38">
        <f>+'Datos ICP (2)'!AL83</f>
        <v/>
      </c>
      <c r="M36" s="38">
        <f>+'Datos ICP (2)'!AM83</f>
        <v/>
      </c>
      <c r="N36" s="38">
        <f>+'Datos ICP (2)'!AN83</f>
        <v/>
      </c>
      <c r="O36" s="38">
        <f>+'Datos ICP (2)'!AO83</f>
        <v/>
      </c>
      <c r="P36" s="38">
        <f>+'Datos ICP (2)'!AP83</f>
        <v/>
      </c>
      <c r="Q36" s="38">
        <f>+'Datos ICP (2)'!AQ83</f>
        <v/>
      </c>
    </row>
    <row r="37">
      <c r="C37" s="8" t="n"/>
      <c r="D37" s="9" t="inlineStr">
        <is>
          <t>Competencia</t>
        </is>
      </c>
      <c r="E37" s="38">
        <f>+'Datos ICP (2)'!AE84</f>
        <v/>
      </c>
      <c r="F37" s="38">
        <f>+'Datos ICP (2)'!AF84</f>
        <v/>
      </c>
      <c r="G37" s="38">
        <f>+'Datos ICP (2)'!AG84</f>
        <v/>
      </c>
      <c r="H37" s="38">
        <f>+'Datos ICP (2)'!AH84</f>
        <v/>
      </c>
      <c r="I37" s="38">
        <f>+'Datos ICP (2)'!AI84</f>
        <v/>
      </c>
      <c r="J37" s="38">
        <f>+'Datos ICP (2)'!AJ84</f>
        <v/>
      </c>
      <c r="K37" s="38">
        <f>+'Datos ICP (2)'!AK84</f>
        <v/>
      </c>
      <c r="L37" s="38">
        <f>+'Datos ICP (2)'!AL84</f>
        <v/>
      </c>
      <c r="M37" s="38">
        <f>+'Datos ICP (2)'!AM84</f>
        <v/>
      </c>
      <c r="N37" s="38">
        <f>+'Datos ICP (2)'!AN84</f>
        <v/>
      </c>
      <c r="O37" s="38">
        <f>+'Datos ICP (2)'!AO84</f>
        <v/>
      </c>
      <c r="P37" s="38">
        <f>+'Datos ICP (2)'!AP84</f>
        <v/>
      </c>
      <c r="Q37" s="38">
        <f>+'Datos ICP (2)'!AQ84</f>
        <v/>
      </c>
    </row>
    <row r="38">
      <c r="C38" s="8" t="n"/>
      <c r="D38" s="93" t="inlineStr">
        <is>
          <t>FIP LIQUIDEZ DISPONIBLE I</t>
        </is>
      </c>
      <c r="E38" s="38">
        <f>+'Datos ICP (2)'!AE85</f>
        <v/>
      </c>
      <c r="F38" s="38">
        <f>+'Datos ICP (2)'!AF85</f>
        <v/>
      </c>
      <c r="G38" s="38">
        <f>+'Datos ICP (2)'!AG85</f>
        <v/>
      </c>
      <c r="H38" s="38">
        <f>+'Datos ICP (2)'!AH85</f>
        <v/>
      </c>
      <c r="I38" s="38">
        <f>+'Datos ICP (2)'!AI85</f>
        <v/>
      </c>
      <c r="J38" s="38">
        <f>+'Datos ICP (2)'!AJ85</f>
        <v/>
      </c>
      <c r="K38" s="38">
        <f>+'Datos ICP (2)'!AK85</f>
        <v/>
      </c>
      <c r="L38" s="38">
        <f>+'Datos ICP (2)'!AL85</f>
        <v/>
      </c>
      <c r="M38" s="38">
        <f>+'Datos ICP (2)'!AM85</f>
        <v/>
      </c>
      <c r="N38" s="38">
        <f>+'Datos ICP (2)'!AN85</f>
        <v/>
      </c>
      <c r="O38" s="38">
        <f>+'Datos ICP (2)'!AO85</f>
        <v/>
      </c>
      <c r="P38" s="38">
        <f>+'Datos ICP (2)'!AP85</f>
        <v/>
      </c>
      <c r="Q38" s="38">
        <f>+'Datos ICP (2)'!AQ85</f>
        <v/>
      </c>
    </row>
    <row r="39">
      <c r="C39" s="8" t="n">
        <v>2026</v>
      </c>
      <c r="D39" s="9" t="inlineStr">
        <is>
          <t>ICP</t>
        </is>
      </c>
      <c r="E39" s="38">
        <f>+'Datos ICP (2)'!AE86</f>
        <v/>
      </c>
      <c r="F39" s="38">
        <f>+'Datos ICP (2)'!AF86</f>
        <v/>
      </c>
      <c r="G39" s="38">
        <f>+'Datos ICP (2)'!AG86</f>
        <v/>
      </c>
      <c r="H39" s="38">
        <f>+'Datos ICP (2)'!AH86</f>
        <v/>
      </c>
      <c r="I39" s="38" t="n"/>
      <c r="J39" s="38" t="n"/>
      <c r="K39" s="38" t="n"/>
      <c r="L39" s="38" t="n"/>
      <c r="M39" s="38" t="n"/>
      <c r="N39" s="38" t="n"/>
      <c r="O39" s="38" t="n"/>
      <c r="P39" s="38" t="n"/>
      <c r="Q39" s="38">
        <f>+'Datos ICP (2)'!AQ86</f>
        <v/>
      </c>
    </row>
    <row r="40">
      <c r="C40" s="8" t="n"/>
      <c r="D40" s="9" t="inlineStr">
        <is>
          <t>Competencia</t>
        </is>
      </c>
      <c r="E40" s="38">
        <f>+'Datos ICP (2)'!AE87</f>
        <v/>
      </c>
      <c r="F40" s="38">
        <f>+'Datos ICP (2)'!AF87</f>
        <v/>
      </c>
      <c r="G40" s="38">
        <f>+'Datos ICP (2)'!AG87</f>
        <v/>
      </c>
      <c r="H40" s="38">
        <f>+'Datos ICP (2)'!AH87</f>
        <v/>
      </c>
      <c r="I40" s="38" t="n"/>
      <c r="J40" s="38" t="n"/>
      <c r="K40" s="38" t="n"/>
      <c r="L40" s="38" t="n"/>
      <c r="M40" s="38" t="n"/>
      <c r="N40" s="38" t="n"/>
      <c r="O40" s="38" t="n"/>
      <c r="P40" s="38" t="n"/>
      <c r="Q40" s="38">
        <f>+'Datos ICP (2)'!AQ87</f>
        <v/>
      </c>
    </row>
    <row r="41">
      <c r="C41" s="8" t="n"/>
      <c r="D41" s="93" t="inlineStr">
        <is>
          <t>FIP LIQUIDEZ DISPONIBLE I</t>
        </is>
      </c>
      <c r="E41" s="38">
        <f>+'Datos ICP (2)'!AE88</f>
        <v/>
      </c>
      <c r="F41" s="38">
        <f>+'Datos ICP (2)'!AF88</f>
        <v/>
      </c>
      <c r="G41" s="38">
        <f>+'Datos ICP (2)'!AG88</f>
        <v/>
      </c>
      <c r="H41" s="38">
        <f>+'Datos ICP (2)'!AH88</f>
        <v/>
      </c>
      <c r="I41" s="38" t="n"/>
      <c r="J41" s="38" t="n"/>
      <c r="K41" s="38" t="n"/>
      <c r="L41" s="38" t="n"/>
      <c r="M41" s="38" t="n"/>
      <c r="N41" s="38" t="n"/>
      <c r="O41" s="38" t="n"/>
      <c r="P41" s="38" t="n"/>
      <c r="Q41" s="38">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I1" zoomScaleNormal="100" workbookViewId="0">
      <selection activeCell="P7" sqref="P7"/>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0.2979</v>
      </c>
      <c r="O3" s="94" t="inlineStr">
        <is>
          <t>Depósitos</t>
        </is>
      </c>
      <c r="P3" s="95" t="n">
        <v>0</v>
      </c>
      <c r="S3" s="94" t="inlineStr">
        <is>
          <t>Pesos</t>
        </is>
      </c>
      <c r="T3" s="95" t="n">
        <v>1</v>
      </c>
    </row>
    <row r="4">
      <c r="C4" s="1" t="n"/>
      <c r="K4" s="94" t="inlineStr">
        <is>
          <t>1-3 meses</t>
        </is>
      </c>
      <c r="L4" s="95" t="n">
        <v>0.1781</v>
      </c>
      <c r="O4" s="94" t="inlineStr">
        <is>
          <t>Factoring</t>
        </is>
      </c>
      <c r="P4" s="95" t="n">
        <v>0</v>
      </c>
      <c r="S4" s="94" t="inlineStr">
        <is>
          <t>UF</t>
        </is>
      </c>
      <c r="T4" s="95" t="n">
        <v>0</v>
      </c>
    </row>
    <row r="5">
      <c r="A5" s="3" t="n"/>
      <c r="B5" s="3" t="n"/>
      <c r="C5" s="1" t="n"/>
      <c r="K5" s="94" t="inlineStr">
        <is>
          <t>3-4 meses</t>
        </is>
      </c>
      <c r="L5" s="95" t="n">
        <v>0.524</v>
      </c>
      <c r="O5" s="94" t="inlineStr">
        <is>
          <t>Financiamiento Inmobiliario</t>
        </is>
      </c>
      <c r="P5" s="95" t="n">
        <v>0.0226</v>
      </c>
    </row>
    <row r="6">
      <c r="A6" s="3" t="n"/>
      <c r="B6" s="3" t="n"/>
      <c r="C6" s="1" t="n"/>
      <c r="K6" s="94" t="inlineStr">
        <is>
          <t>Más de 4 meses</t>
        </is>
      </c>
      <c r="L6" s="95" t="n">
        <v>0</v>
      </c>
      <c r="O6" s="94" t="inlineStr">
        <is>
          <t>Financiamiento Mesa Moneda Extranjera</t>
        </is>
      </c>
      <c r="P6" s="95" t="n">
        <v>0.9774</v>
      </c>
    </row>
    <row r="7">
      <c r="B7" s="3" t="n"/>
      <c r="C7" s="1" t="n"/>
      <c r="L7" s="79">
        <f>SUM(L3:L6)</f>
        <v/>
      </c>
      <c r="O7" s="94" t="inlineStr">
        <is>
          <t>Garantías</t>
        </is>
      </c>
      <c r="P7" s="95" t="n">
        <v>0</v>
      </c>
      <c r="Q7" s="79" t="n"/>
    </row>
    <row r="8">
      <c r="C8" s="1" t="n"/>
      <c r="O8" s="94" t="inlineStr">
        <is>
          <t>Nota Estructurada</t>
        </is>
      </c>
      <c r="P8" s="95" t="n">
        <v>0</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6" t="n"/>
    </row>
    <row r="13">
      <c r="C13" s="1" t="n"/>
      <c r="O13" s="94"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2026-05-20T17:03:36Z</dcterms:modified>
  <cp:lastModifiedBy>María Isabel Velasco Retamal</cp:lastModifiedBy>
</cp:coreProperties>
</file>