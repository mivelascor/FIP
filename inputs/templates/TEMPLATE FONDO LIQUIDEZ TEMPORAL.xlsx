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xf numFmtId="173"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 Temporal</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Temporal</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46142</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t="n"/>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t="n"/>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t="n"/>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t="n"/>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t="n"/>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t="n"/>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t="n"/>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t="n"/>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t="n"/>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t="n"/>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t="n"/>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t="n"/>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t="n"/>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t="n"/>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t="n"/>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t="n"/>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c r="I148" s="36" t="n"/>
      <c r="J148" s="29" t="n"/>
      <c r="K148" s="111" t="n">
        <v>1063.8688</v>
      </c>
      <c r="L148" s="36">
        <f>+(K148/K147-1)/(F148-F147)*30</f>
        <v/>
      </c>
      <c r="M148" s="30" t="n"/>
    </row>
    <row r="149">
      <c r="A149" s="28" t="n">
        <v>43100</v>
      </c>
      <c r="B149" s="14">
        <f>+VLOOKUP(A149,[2]Simple!$A$3790:$B$3818,2)</f>
        <v/>
      </c>
      <c r="C149" s="36">
        <f>(B149/B148-1)/(A149-A148)*30</f>
        <v/>
      </c>
      <c r="D149" s="30" t="n"/>
      <c r="F149" s="28" t="n"/>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c r="I150" s="36" t="n"/>
      <c r="J150" s="29" t="n"/>
      <c r="K150" s="111" t="n">
        <v>1068.2126</v>
      </c>
      <c r="L150" s="36">
        <f>+(K150/K149-1)/(F150-F149)*30</f>
        <v/>
      </c>
      <c r="M150" s="30" t="n"/>
    </row>
    <row r="151">
      <c r="A151" s="28" t="n">
        <v>43159</v>
      </c>
      <c r="B151" s="14" t="n">
        <v>17968.11</v>
      </c>
      <c r="C151" s="36">
        <f>(B151/B150-1)/(A151-A150)*30</f>
        <v/>
      </c>
      <c r="D151" s="30" t="n"/>
      <c r="F151" s="28" t="n"/>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c r="I152" s="36" t="n"/>
      <c r="J152" s="29" t="n"/>
      <c r="K152" s="111" t="n">
        <v>1072.548</v>
      </c>
      <c r="L152" s="36">
        <f>+(K152/K151-1)/(F152-F151)*30</f>
        <v/>
      </c>
      <c r="M152" s="30" t="n"/>
    </row>
    <row r="153">
      <c r="A153" s="28" t="n">
        <v>43220</v>
      </c>
      <c r="B153" s="14" t="n">
        <v>18044.25</v>
      </c>
      <c r="C153" s="36">
        <f>(B153/B152-1)/(A153-A152)*30</f>
        <v/>
      </c>
      <c r="D153" s="30" t="n"/>
      <c r="F153" s="28" t="n"/>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c r="I154" s="36" t="n"/>
      <c r="J154" s="29" t="n"/>
      <c r="K154" s="111" t="n">
        <v>1076.9917</v>
      </c>
      <c r="L154" s="36">
        <f>+(K154/K153-1)/(F154-F153)*30</f>
        <v/>
      </c>
      <c r="M154" s="30" t="n"/>
    </row>
    <row r="155">
      <c r="A155" s="28" t="n">
        <v>43281</v>
      </c>
      <c r="B155" s="30" t="n">
        <v>18120.6225</v>
      </c>
      <c r="C155" s="36">
        <f>(B155/B154-1)/(A155-A154)*30</f>
        <v/>
      </c>
      <c r="D155" s="30" t="n"/>
      <c r="F155" s="28" t="n"/>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c r="I156" s="36" t="n"/>
      <c r="J156" s="29" t="n"/>
      <c r="K156" s="14" t="n">
        <v>1081.8116</v>
      </c>
      <c r="L156" s="36">
        <f>+(K156/K155-1)/(F156-F155)*30</f>
        <v/>
      </c>
      <c r="M156" s="30" t="n"/>
      <c r="S156" s="14" t="n">
        <v>0</v>
      </c>
    </row>
    <row r="157">
      <c r="A157" s="28" t="n">
        <v>43343</v>
      </c>
      <c r="B157" s="29" t="n">
        <v>18198.62</v>
      </c>
      <c r="C157" s="36">
        <f>(B157/B156-1)/(A157-A156)*30</f>
        <v/>
      </c>
      <c r="D157" s="30" t="n"/>
      <c r="F157" s="28" t="n"/>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c r="I158" s="36" t="n"/>
      <c r="J158" s="29" t="n"/>
      <c r="K158" s="14" t="n">
        <v>1086.6424</v>
      </c>
      <c r="L158" s="36">
        <f>+(K158/K157-1)/(F158-F157)*30</f>
        <v/>
      </c>
      <c r="M158" s="30" t="n"/>
      <c r="S158" s="14" t="n">
        <v>0</v>
      </c>
    </row>
    <row r="159">
      <c r="A159" s="28" t="n">
        <v>43404</v>
      </c>
      <c r="B159" s="14" t="n">
        <v>18277.4</v>
      </c>
      <c r="C159" s="36">
        <f>(B159/B158-1)/(A159-A158)*30</f>
        <v/>
      </c>
      <c r="D159" s="30" t="n"/>
      <c r="F159" s="28" t="n"/>
      <c r="I159" s="36" t="n"/>
      <c r="J159" s="29" t="n"/>
      <c r="K159" s="14" t="n">
        <v>4807.6121</v>
      </c>
      <c r="L159" s="36">
        <f>+(K159/K158-1)/(F159-F158)*30</f>
        <v/>
      </c>
      <c r="M159" s="30" t="n"/>
    </row>
    <row r="160">
      <c r="A160" s="28" t="n">
        <v>43434</v>
      </c>
      <c r="B160" s="30" t="n">
        <v>18319.31</v>
      </c>
      <c r="C160" s="36">
        <f>(B160/B159-1)/(A160-A159)*30</f>
        <v/>
      </c>
      <c r="D160" s="30" t="n"/>
      <c r="F160" s="28" t="n"/>
      <c r="I160" s="36" t="n"/>
      <c r="J160" s="29" t="n"/>
      <c r="K160" s="29" t="n">
        <v>4812.5415</v>
      </c>
      <c r="L160" s="36">
        <f>+(K160/K159-1)/(F160-F159)*30</f>
        <v/>
      </c>
      <c r="M160" s="30" t="n"/>
    </row>
    <row r="161">
      <c r="A161" s="28" t="n">
        <v>43465</v>
      </c>
      <c r="B161" s="14" t="n">
        <v>18362.684</v>
      </c>
      <c r="C161" s="36">
        <f>(B161/B160-1)/(A161-A160)*30</f>
        <v/>
      </c>
      <c r="D161" s="30" t="n"/>
      <c r="F161" s="28" t="n"/>
      <c r="I161" s="36" t="n"/>
      <c r="J161" s="29" t="n"/>
      <c r="K161" s="29" t="n">
        <v>4819.2415</v>
      </c>
      <c r="L161" s="36">
        <f>+(K161/K160-1)/(F161-F160)*30</f>
        <v/>
      </c>
      <c r="M161" s="30" t="n"/>
    </row>
    <row r="162">
      <c r="A162" s="28" t="n">
        <v>43496</v>
      </c>
      <c r="B162" s="14" t="n">
        <v>18407.69</v>
      </c>
      <c r="C162" s="36">
        <f>(B162/B161-1)/(A162-A161)*30</f>
        <v/>
      </c>
      <c r="D162" s="30" t="n"/>
      <c r="F162" s="28" t="n"/>
      <c r="I162" s="36" t="n"/>
      <c r="J162" s="29" t="n"/>
      <c r="K162" s="14" t="n">
        <v>4825.82</v>
      </c>
      <c r="L162" s="36">
        <f>+(K162/K161-1)/(F162-F161)*30</f>
        <v/>
      </c>
      <c r="M162" s="30" t="n"/>
    </row>
    <row r="163">
      <c r="A163" s="28" t="n">
        <v>43524</v>
      </c>
      <c r="B163" s="14" t="n">
        <v>18449.16</v>
      </c>
      <c r="C163" s="36">
        <f>(B163/B162-1)/(A163-A162)*30</f>
        <v/>
      </c>
      <c r="D163" s="30" t="n"/>
      <c r="F163" s="28" t="n"/>
      <c r="I163" s="36" t="n"/>
      <c r="J163" s="29" t="n"/>
      <c r="K163" s="14" t="n">
        <v>4832.1058</v>
      </c>
      <c r="L163" s="36">
        <f>+(K163/K162-1)/(F163-F162)*30</f>
        <v/>
      </c>
      <c r="M163" s="30" t="n"/>
    </row>
    <row r="164">
      <c r="A164" s="28" t="n">
        <v>43555</v>
      </c>
      <c r="B164" s="14" t="n">
        <v>18496.82</v>
      </c>
      <c r="C164" s="36">
        <f>(B164/B163-1)/(A164-A163)*30</f>
        <v/>
      </c>
      <c r="D164" s="30" t="n"/>
      <c r="F164" s="28" t="n"/>
      <c r="I164" s="36" t="n"/>
      <c r="J164" s="29" t="n"/>
      <c r="K164" s="29" t="n">
        <v>4839.1073</v>
      </c>
      <c r="L164" s="36">
        <f>+(K164/K163-1)/(F164-F163)*30</f>
        <v/>
      </c>
      <c r="M164" s="30" t="n"/>
    </row>
    <row r="165">
      <c r="A165" s="28" t="n">
        <v>43585</v>
      </c>
      <c r="B165" s="14" t="n">
        <v>18543.07</v>
      </c>
      <c r="C165" s="36">
        <f>(B165/B164-1)/(A165-A164)*30</f>
        <v/>
      </c>
      <c r="D165" s="30" t="n"/>
      <c r="F165" s="28" t="n"/>
      <c r="I165" s="36" t="n"/>
      <c r="J165" s="29" t="n"/>
      <c r="K165" s="29" t="n">
        <v>4845.9628</v>
      </c>
      <c r="L165" s="36">
        <f>+(K165/K164-1)/(F165-F164)*30</f>
        <v/>
      </c>
      <c r="M165" s="30" t="n"/>
    </row>
    <row r="166">
      <c r="A166" s="28" t="n">
        <v>43616</v>
      </c>
      <c r="B166" s="14" t="n">
        <v>18591.02</v>
      </c>
      <c r="C166" s="36">
        <f>(B166/B165-1)/(A166-A165)*30</f>
        <v/>
      </c>
      <c r="D166" s="30" t="n"/>
      <c r="F166" s="28" t="n"/>
      <c r="I166" s="36" t="n"/>
      <c r="J166" s="29" t="n"/>
      <c r="K166" s="29" t="n">
        <v>4852.5891</v>
      </c>
      <c r="L166" s="36">
        <f>+(K166/K165-1)/(F166-F165)*30</f>
        <v/>
      </c>
      <c r="M166" s="30" t="n"/>
    </row>
    <row r="167">
      <c r="A167" s="28" t="n">
        <v>43646</v>
      </c>
      <c r="B167" s="30" t="n">
        <v>18632.31</v>
      </c>
      <c r="C167" s="36">
        <f>(B167/B166-1)/(A167-A166)*30</f>
        <v/>
      </c>
      <c r="D167" s="30" t="n"/>
      <c r="F167" s="28" t="n"/>
      <c r="I167" s="36" t="n"/>
      <c r="J167" s="29" t="n"/>
      <c r="K167" s="14" t="n">
        <v>4858.4077</v>
      </c>
      <c r="L167" s="36">
        <f>+(K167/K166-1)/(F167-F166)*30</f>
        <v/>
      </c>
      <c r="M167" s="30" t="n"/>
    </row>
    <row r="168">
      <c r="A168" s="28" t="n">
        <v>43677</v>
      </c>
      <c r="B168" s="14" t="n">
        <v>18672.31</v>
      </c>
      <c r="C168" s="36">
        <f>(B168/B167-1)/(A168-A167)*30</f>
        <v/>
      </c>
      <c r="D168" s="30" t="n"/>
      <c r="F168" s="28" t="n"/>
      <c r="I168" s="36" t="n"/>
      <c r="J168" s="29" t="n"/>
      <c r="K168" s="14" t="n">
        <v>4863.4466</v>
      </c>
      <c r="L168" s="36">
        <f>+(K168/K167-1)/(F168-F167)*30</f>
        <v/>
      </c>
      <c r="M168" s="30" t="n"/>
    </row>
    <row r="169">
      <c r="A169" s="28" t="n">
        <v>43708</v>
      </c>
      <c r="B169" s="30" t="n">
        <v>18712.55</v>
      </c>
      <c r="C169" s="36">
        <f>(B169/B168-1)/(A169-A168)*30</f>
        <v/>
      </c>
      <c r="D169" s="30" t="n"/>
      <c r="F169" s="28" t="n"/>
      <c r="I169" s="36" t="n"/>
      <c r="J169" s="29" t="n"/>
      <c r="K169" s="14" t="n">
        <v>4868.1253</v>
      </c>
      <c r="L169" s="36">
        <f>+(K169/K168-1)/(F169-F168)*30</f>
        <v/>
      </c>
      <c r="M169" s="30" t="n"/>
    </row>
    <row r="170">
      <c r="A170" s="28" t="n">
        <v>43738</v>
      </c>
      <c r="B170" s="14" t="n">
        <v>18744.77</v>
      </c>
      <c r="C170" s="36">
        <f>(B170/B169-1)/(A170-A169)*30</f>
        <v/>
      </c>
      <c r="D170" s="30" t="n"/>
      <c r="F170" s="28" t="n"/>
      <c r="I170" s="36" t="n"/>
      <c r="J170" s="29" t="n"/>
      <c r="K170" s="14" t="n">
        <v>4873.326</v>
      </c>
      <c r="L170" s="36">
        <f>+(K170/K169-1)/(F170-F169)*30</f>
        <v/>
      </c>
      <c r="M170" s="30" t="n"/>
    </row>
    <row r="171">
      <c r="A171" s="28" t="n">
        <v>43769</v>
      </c>
      <c r="B171" s="30" t="n">
        <v>18776.102</v>
      </c>
      <c r="C171" s="36">
        <f>(B171/B170-1)/(A171-A170)*30</f>
        <v/>
      </c>
      <c r="D171" s="30" t="n"/>
      <c r="F171" s="28" t="n"/>
      <c r="I171" s="36" t="n"/>
      <c r="J171" s="29" t="n"/>
      <c r="K171" s="14" t="n">
        <v>4876.4951</v>
      </c>
      <c r="L171" s="36">
        <f>+(K171/K170-1)/(F171-F170)*30</f>
        <v/>
      </c>
      <c r="M171" s="30" t="n"/>
    </row>
    <row r="172">
      <c r="A172" s="28" t="n">
        <v>43799</v>
      </c>
      <c r="B172" s="14" t="n">
        <v>18802.79</v>
      </c>
      <c r="C172" s="36">
        <f>(B172/B171-1)/(A172-A171)*30</f>
        <v/>
      </c>
      <c r="D172" s="30" t="n"/>
      <c r="F172" s="28" t="n"/>
      <c r="I172" s="36" t="n"/>
      <c r="J172" s="29" t="n"/>
      <c r="K172" s="14" t="n">
        <v>4879.8683</v>
      </c>
      <c r="L172" s="36">
        <f>+(K172/K171-1)/(F172-F171)*30</f>
        <v/>
      </c>
      <c r="M172" s="30" t="n"/>
    </row>
    <row r="173">
      <c r="A173" s="28" t="n">
        <v>43830</v>
      </c>
      <c r="B173" s="30" t="n">
        <v>18830.68</v>
      </c>
      <c r="C173" s="36">
        <f>(B173/B172-1)/(A173-A172)*30</f>
        <v/>
      </c>
      <c r="D173" s="30" t="n"/>
      <c r="F173" s="28" t="n"/>
      <c r="I173" s="36" t="n"/>
      <c r="J173" s="29" t="n"/>
      <c r="K173" s="14" t="n">
        <v>4882.8959</v>
      </c>
      <c r="L173" s="36">
        <f>+(K173/K172-1)/(F173-F172)*30</f>
        <v/>
      </c>
      <c r="M173" s="30" t="n"/>
    </row>
    <row r="174">
      <c r="A174" s="28" t="n">
        <v>43861</v>
      </c>
      <c r="B174" s="14" t="n">
        <v>18861.86</v>
      </c>
      <c r="C174" s="36">
        <f>(B174/B173-1)/(A174-A173)*30</f>
        <v/>
      </c>
      <c r="D174" s="30" t="n"/>
      <c r="F174" s="28" t="n"/>
      <c r="I174" s="36" t="n"/>
      <c r="J174" s="29" t="n"/>
      <c r="K174" s="14" t="n">
        <v>4885.3887</v>
      </c>
      <c r="L174" s="36">
        <f>+(K174/K173-1)/(F174-F173)*30</f>
        <v/>
      </c>
      <c r="M174" s="30" t="n"/>
    </row>
    <row r="175">
      <c r="A175" s="28" t="n">
        <v>43890</v>
      </c>
      <c r="B175" s="30" t="n">
        <v>18887.8867</v>
      </c>
      <c r="C175" s="36">
        <f>(B175/B174-1)/(A175-A174)*30</f>
        <v/>
      </c>
      <c r="D175" s="30" t="n"/>
      <c r="F175" s="28" t="n"/>
      <c r="I175" s="36" t="n"/>
      <c r="J175" s="29" t="n"/>
      <c r="K175" s="14" t="n">
        <v>4887.7164</v>
      </c>
      <c r="L175" s="36">
        <f>+(K175/K174-1)/(F175-F174)*30</f>
        <v/>
      </c>
      <c r="M175" s="30" t="n"/>
    </row>
    <row r="176">
      <c r="A176" s="28" t="n">
        <v>43921</v>
      </c>
      <c r="B176" s="14" t="n">
        <v>18908.77</v>
      </c>
      <c r="C176" s="36">
        <f>(B176/B175-1)/(A176-A175)*30</f>
        <v/>
      </c>
      <c r="D176" s="30" t="n"/>
      <c r="F176" s="28" t="n"/>
      <c r="I176" s="36" t="n"/>
      <c r="J176" s="29" t="n"/>
      <c r="K176" s="14" t="n">
        <v>4892.3528</v>
      </c>
      <c r="L176" s="36">
        <f>+(K176/K175-1)/(F176-F175)*30</f>
        <v/>
      </c>
      <c r="M176" s="30" t="n"/>
    </row>
    <row r="177">
      <c r="A177" s="28" t="n">
        <v>43951</v>
      </c>
      <c r="B177" s="30" t="n">
        <v>18917.93</v>
      </c>
      <c r="C177" s="36">
        <f>(B177/B176-1)/(A177-A176)*30</f>
        <v/>
      </c>
      <c r="D177" s="30" t="n"/>
      <c r="F177" s="28" t="n"/>
      <c r="I177" s="36" t="n"/>
      <c r="J177" s="29" t="n"/>
      <c r="K177" s="14" t="n">
        <v>4903.1164</v>
      </c>
      <c r="L177" s="36">
        <f>+(K177/K176-1)/(F177-F176)*30</f>
        <v/>
      </c>
      <c r="M177" s="30" t="n"/>
    </row>
    <row r="178">
      <c r="A178" s="28" t="n">
        <v>43982</v>
      </c>
      <c r="B178" s="30" t="n">
        <v>18925.24</v>
      </c>
      <c r="C178" s="36">
        <f>(B178/B177-1)/(A178-A177)*30</f>
        <v/>
      </c>
      <c r="D178" s="30" t="n"/>
      <c r="F178" s="28" t="n"/>
      <c r="I178" s="36" t="n"/>
      <c r="J178" s="29" t="n"/>
      <c r="K178" s="14" t="n">
        <v>4903.90225</v>
      </c>
      <c r="L178" s="36">
        <f>+(K178/K177-1)/(F178-F177)*30</f>
        <v/>
      </c>
      <c r="M178" s="30" t="n"/>
    </row>
    <row r="179">
      <c r="A179" s="28" t="n">
        <v>44012</v>
      </c>
      <c r="B179" s="30" t="n">
        <v>18932.63</v>
      </c>
      <c r="C179" s="36">
        <f>(B179/B178-1)/(A179-A178)*30</f>
        <v/>
      </c>
      <c r="D179" s="30" t="n"/>
      <c r="F179" s="28" t="n"/>
      <c r="I179" s="36" t="n"/>
      <c r="J179" s="29" t="n"/>
      <c r="K179" s="14" t="n">
        <v>4904.6881</v>
      </c>
      <c r="L179" s="36">
        <f>+(K179/K178-1)/(F179-F178)*30</f>
        <v/>
      </c>
      <c r="M179" s="30" t="n"/>
    </row>
    <row r="180">
      <c r="A180" s="28" t="n">
        <v>44043</v>
      </c>
      <c r="B180" s="14" t="n">
        <v>18940.74</v>
      </c>
      <c r="C180" s="36">
        <f>(B180/B179-1)/(A180-A179)*30</f>
        <v/>
      </c>
      <c r="D180" s="30" t="n"/>
      <c r="F180" s="28" t="n"/>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c r="I181" s="36" t="n"/>
      <c r="J181" s="29" t="n"/>
      <c r="K181" s="14" t="n">
        <v>4906.1183</v>
      </c>
      <c r="L181" s="36">
        <f>+(K181/K180-1)/(F181-F180)*30</f>
        <v/>
      </c>
      <c r="M181" s="30" t="n"/>
    </row>
    <row r="182">
      <c r="A182" s="28" t="n">
        <v>44104</v>
      </c>
      <c r="B182" s="14" t="n">
        <v>18956.17</v>
      </c>
      <c r="C182" s="36">
        <f>(B182/B181-1)/(A182-A181)*30</f>
        <v/>
      </c>
      <c r="D182" s="30" t="n"/>
      <c r="F182" s="28" t="n"/>
      <c r="I182" s="36" t="n"/>
      <c r="J182" s="29" t="n"/>
      <c r="K182" s="14" t="n">
        <v>4906.466</v>
      </c>
      <c r="L182" s="36">
        <f>+(K182/K181-1)/(F182-F181)*30</f>
        <v/>
      </c>
      <c r="M182" s="30" t="n"/>
    </row>
    <row r="183">
      <c r="A183" s="28" t="n">
        <v>44135</v>
      </c>
      <c r="B183" s="14" t="n">
        <v>18963.23</v>
      </c>
      <c r="C183" s="36">
        <f>(B183/B182-1)/(A183-A182)*30</f>
        <v/>
      </c>
      <c r="D183" s="30" t="n"/>
      <c r="F183" s="28" t="n"/>
      <c r="I183" s="36" t="n"/>
      <c r="J183" s="29" t="n"/>
      <c r="K183" s="14" t="n">
        <v>4906.7963</v>
      </c>
      <c r="L183" s="36">
        <f>+(K183/K182-1)/(F183-F182)*30</f>
        <v/>
      </c>
      <c r="M183" s="30" t="n"/>
    </row>
    <row r="184">
      <c r="A184" s="28" t="n">
        <v>44165</v>
      </c>
      <c r="B184" s="14" t="n">
        <v>18969.48</v>
      </c>
      <c r="C184" s="36">
        <f>(B184/B183-1)/(A184-A183)*30</f>
        <v/>
      </c>
      <c r="D184" s="30" t="n"/>
      <c r="F184" s="28" t="n"/>
      <c r="I184" s="36" t="n"/>
      <c r="J184" s="29" t="n"/>
      <c r="K184" s="14" t="n">
        <v>4907.0953</v>
      </c>
      <c r="L184" s="36">
        <f>+(K184/K183-1)/(F184-F183)*30</f>
        <v/>
      </c>
      <c r="M184" s="30" t="n"/>
    </row>
    <row r="185">
      <c r="A185" s="28" t="n">
        <v>44196</v>
      </c>
      <c r="B185" s="14" t="n">
        <v>18976.88</v>
      </c>
      <c r="C185" s="36">
        <f>(B185/B184-1)/(A185-A184)*30</f>
        <v/>
      </c>
      <c r="D185" s="30" t="n"/>
      <c r="F185" s="28" t="n"/>
      <c r="I185" s="36" t="n"/>
      <c r="J185" s="29" t="n"/>
      <c r="K185" s="14" t="n">
        <v>4907.3928</v>
      </c>
      <c r="L185" s="36">
        <f>+(K185/K184-1)/(F185-F184)*30</f>
        <v/>
      </c>
      <c r="M185" s="30" t="n"/>
    </row>
    <row r="186">
      <c r="A186" s="28" t="n">
        <v>44246</v>
      </c>
      <c r="B186" s="14" t="n">
        <v>18982.04</v>
      </c>
      <c r="C186" s="36">
        <f>(B186/B185-1)/(A186-A185)*30</f>
        <v/>
      </c>
      <c r="D186" s="30" t="n">
        <v>100</v>
      </c>
      <c r="F186" s="28" t="n"/>
      <c r="I186" s="36" t="n"/>
      <c r="J186" s="29" t="n"/>
      <c r="K186" s="14" t="n">
        <v>4907.6377</v>
      </c>
      <c r="L186" s="36">
        <f>+(K186/K185-1)/(F186-F185)*30</f>
        <v/>
      </c>
      <c r="M186" s="30" t="n"/>
    </row>
    <row r="187">
      <c r="A187" s="28" t="n">
        <v>44255</v>
      </c>
      <c r="B187" s="14" t="n">
        <v>18986.58</v>
      </c>
      <c r="C187" s="36">
        <f>(B187/B186-1)/(A187-A186)*11</f>
        <v/>
      </c>
      <c r="D187" s="30">
        <f>+D186*(1+C187)</f>
        <v/>
      </c>
      <c r="F187" s="28" t="n"/>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c r="I191" s="36" t="n"/>
      <c r="J191" s="29" t="n"/>
      <c r="K191" s="14" t="n">
        <v>4909.0847</v>
      </c>
      <c r="L191" s="36">
        <f>+(K191/K190-1)/(F191-F190)*30</f>
        <v/>
      </c>
      <c r="M191" s="30">
        <f>+M190*(1+L191)</f>
        <v/>
      </c>
    </row>
    <row r="192">
      <c r="A192" s="28" t="n">
        <v>44408</v>
      </c>
      <c r="B192" s="14" t="n">
        <v>19016.42</v>
      </c>
      <c r="C192" s="36">
        <f>(B192/B191-1)/(A192-A191)*30</f>
        <v/>
      </c>
      <c r="D192" s="30">
        <f>+D191*(1+C192)</f>
        <v/>
      </c>
      <c r="F192" s="28" t="n"/>
      <c r="I192" s="36" t="n"/>
      <c r="J192" s="29" t="n"/>
      <c r="K192" s="14" t="n">
        <v>4909.3885</v>
      </c>
      <c r="L192" s="36">
        <f>+(K192/K191-1)/(F192-F191)*30</f>
        <v/>
      </c>
      <c r="M192" s="30">
        <f>+M191*(1+L192)</f>
        <v/>
      </c>
    </row>
    <row r="193">
      <c r="A193" s="28" t="n">
        <v>44439</v>
      </c>
      <c r="B193" s="14" t="n">
        <v>19028.38</v>
      </c>
      <c r="C193" s="36">
        <f>(B193/B192-1)/(A193-A192)*30</f>
        <v/>
      </c>
      <c r="D193" s="30">
        <f>+D192*(1+C193)</f>
        <v/>
      </c>
      <c r="F193" s="28" t="n"/>
      <c r="I193" s="36" t="n"/>
      <c r="J193" s="29" t="n"/>
      <c r="K193" s="14" t="n">
        <v>4909.6931</v>
      </c>
      <c r="L193" s="36">
        <f>+(K193/K192-1)/(F193-F192)*30</f>
        <v/>
      </c>
      <c r="M193" s="30">
        <f>+M192*(1+L193)</f>
        <v/>
      </c>
    </row>
    <row r="194">
      <c r="A194" s="28" t="n">
        <v>44469</v>
      </c>
      <c r="B194" s="14" t="n">
        <v>19052.12</v>
      </c>
      <c r="C194" s="36">
        <f>(B194/B193-1)/(A194-A193)*30</f>
        <v/>
      </c>
      <c r="D194" s="30">
        <f>+D193*(1+C194)</f>
        <v/>
      </c>
      <c r="F194" s="28" t="n"/>
      <c r="I194" s="36" t="n"/>
      <c r="J194" s="29" t="n"/>
      <c r="K194" s="29" t="n">
        <v>4909.1149</v>
      </c>
      <c r="L194" s="36">
        <f>+(K194/K193-1)/(F194-F193)*30</f>
        <v/>
      </c>
      <c r="M194" s="30">
        <f>+M193*(1+L194)</f>
        <v/>
      </c>
    </row>
    <row r="195">
      <c r="A195" s="28" t="n">
        <v>44500</v>
      </c>
      <c r="B195" s="14" t="n">
        <v>19091.59</v>
      </c>
      <c r="C195" s="36">
        <f>(B195/B194-1)/(A195-A194)*30</f>
        <v/>
      </c>
      <c r="D195" s="30">
        <f>+D194*(1+C195)</f>
        <v/>
      </c>
      <c r="F195" s="28" t="n"/>
      <c r="I195" s="36" t="n"/>
      <c r="J195" s="29" t="n"/>
      <c r="K195" s="14" t="n">
        <v>4914.1336</v>
      </c>
      <c r="L195" s="36">
        <f>+(K195/K194-1)/(F195-F194)*30</f>
        <v/>
      </c>
      <c r="M195" s="30">
        <f>+M194*(1+L195)</f>
        <v/>
      </c>
    </row>
    <row r="196">
      <c r="A196" s="28" t="n">
        <v>44530</v>
      </c>
      <c r="B196" s="14" t="n">
        <v>19132.47</v>
      </c>
      <c r="C196" s="36">
        <f>(B196/B195-1)/(A196-A195)*30</f>
        <v/>
      </c>
      <c r="D196" s="30">
        <f>+D195*(1+C196)</f>
        <v/>
      </c>
      <c r="F196" s="28" t="n"/>
      <c r="I196" s="36" t="n"/>
      <c r="J196" s="29" t="n"/>
      <c r="K196" s="29" t="n">
        <v>4920.3216</v>
      </c>
      <c r="L196" s="36">
        <f>+(K196/K195-1)/(F196-F195)*30</f>
        <v/>
      </c>
      <c r="M196" s="30">
        <f>+M195*(1+L196)</f>
        <v/>
      </c>
    </row>
    <row r="197">
      <c r="A197" s="28" t="n">
        <v>44561</v>
      </c>
      <c r="B197" s="14" t="n">
        <v>19193.41</v>
      </c>
      <c r="C197" s="36">
        <f>(B197/B196-1)/(A197-A196)*30</f>
        <v/>
      </c>
      <c r="D197" s="30">
        <f>+D196*(1+C197)</f>
        <v/>
      </c>
      <c r="F197" s="28" t="n"/>
      <c r="I197" s="36" t="n"/>
      <c r="J197" s="29" t="n"/>
      <c r="K197" s="14" t="n">
        <v>4929.2918</v>
      </c>
      <c r="L197" s="36">
        <f>+(K197/K196-1)/(F197-F196)*30</f>
        <v/>
      </c>
      <c r="M197" s="30">
        <f>+M196*(1+L197)</f>
        <v/>
      </c>
    </row>
    <row r="198">
      <c r="A198" s="28" t="n">
        <v>44592</v>
      </c>
      <c r="B198" s="14" t="n">
        <v>19259.35</v>
      </c>
      <c r="C198" s="36">
        <f>(B198/B197-1)/(A198-A197)*30</f>
        <v/>
      </c>
      <c r="D198" s="30">
        <f>+D197*(1+C198)</f>
        <v/>
      </c>
      <c r="F198" s="28" t="n"/>
      <c r="I198" s="36" t="n"/>
      <c r="J198" s="29" t="n"/>
      <c r="K198" s="14" t="n">
        <v>4941.9683</v>
      </c>
      <c r="L198" s="36">
        <f>+(K198/K197-1)/(F198-F197)*30</f>
        <v/>
      </c>
      <c r="M198" s="30">
        <f>+M197*(1+L198)</f>
        <v/>
      </c>
    </row>
    <row r="199">
      <c r="A199" s="28" t="n">
        <v>44620</v>
      </c>
      <c r="B199" s="30" t="n">
        <v>19341.9</v>
      </c>
      <c r="C199" s="36">
        <f>(B199/B198-1)/(A199-A198)*30</f>
        <v/>
      </c>
      <c r="D199" s="30">
        <f>+D198*(1+C199)</f>
        <v/>
      </c>
      <c r="F199" s="28" t="n"/>
      <c r="I199" s="36" t="n"/>
      <c r="J199" s="29" t="n"/>
      <c r="K199" s="14" t="n">
        <v>4958.2785</v>
      </c>
      <c r="L199" s="36">
        <f>+(K199/K198-1)/(F199-F198)*30</f>
        <v/>
      </c>
      <c r="M199" s="30">
        <f>+M198*(1+L199)</f>
        <v/>
      </c>
    </row>
    <row r="200">
      <c r="A200" s="28" t="n">
        <v>44651</v>
      </c>
      <c r="B200" s="14" t="n">
        <v>19435.35</v>
      </c>
      <c r="C200" s="36">
        <f>(B200/B199-1)/(A200-A199)*30</f>
        <v/>
      </c>
      <c r="D200" s="30">
        <f>+D199*(1+C200)</f>
        <v/>
      </c>
      <c r="F200" s="28" t="n"/>
      <c r="I200" s="36" t="n"/>
      <c r="J200" s="29" t="n"/>
      <c r="K200" s="14" t="n">
        <v>4977.0833</v>
      </c>
      <c r="L200" s="36">
        <f>+(K200/K199-1)/(F200-F199)*30</f>
        <v/>
      </c>
      <c r="M200" s="30">
        <f>+M199*(1+L200)</f>
        <v/>
      </c>
    </row>
    <row r="201">
      <c r="A201" s="28" t="n">
        <v>44681</v>
      </c>
      <c r="B201" s="14" t="n">
        <v>19541.32</v>
      </c>
      <c r="C201" s="36">
        <f>(B201/B200-1)/(A201-A200)*30</f>
        <v/>
      </c>
      <c r="D201" s="30">
        <f>+D200*(1+C201)</f>
        <v/>
      </c>
      <c r="F201" s="28" t="n"/>
      <c r="I201" s="36" t="n"/>
      <c r="J201" s="29" t="n"/>
      <c r="K201" s="14" t="n">
        <v>4999.8366</v>
      </c>
      <c r="L201" s="36">
        <f>+(K201/K200-1)/(F201-F200)*30</f>
        <v/>
      </c>
      <c r="M201" s="30">
        <f>+M200*(1+L201)</f>
        <v/>
      </c>
    </row>
    <row r="202">
      <c r="A202" s="28" t="n">
        <v>44712</v>
      </c>
      <c r="B202" s="14" t="n">
        <v>19680.32</v>
      </c>
      <c r="C202" s="36">
        <f>(B202/B201-1)/(A202-A201)*30</f>
        <v/>
      </c>
      <c r="D202" s="30">
        <f>+D201*(1+C202)</f>
        <v/>
      </c>
      <c r="F202" s="28" t="n"/>
      <c r="I202" s="36" t="n"/>
      <c r="J202" s="29" t="n"/>
      <c r="K202" s="14" t="n">
        <v>5027.3885</v>
      </c>
      <c r="L202" s="36">
        <f>+(K202/K201-1)/(F202-F201)*30</f>
        <v/>
      </c>
      <c r="M202" s="30">
        <f>+M201*(1+L202)</f>
        <v/>
      </c>
    </row>
    <row r="203">
      <c r="A203" s="28" t="n">
        <v>44742</v>
      </c>
      <c r="B203" s="14" t="n">
        <v>19825.16</v>
      </c>
      <c r="C203" s="36">
        <f>(B203/B202-1)/(A203-A202)*30</f>
        <v/>
      </c>
      <c r="D203" s="30">
        <f>+D202*(1+C203)</f>
        <v/>
      </c>
      <c r="F203" s="28" t="n"/>
      <c r="I203" s="36" t="n"/>
      <c r="J203" s="29" t="n"/>
      <c r="K203" s="29" t="n">
        <v>5056.9676</v>
      </c>
      <c r="L203" s="86">
        <f>+(K203/K202-1)/(F203-A202)*30</f>
        <v/>
      </c>
      <c r="M203" s="30">
        <f>+M202*(1+L203)</f>
        <v/>
      </c>
    </row>
    <row r="204">
      <c r="A204" s="28" t="n">
        <v>44773</v>
      </c>
      <c r="B204" s="14" t="n">
        <v>19975.62</v>
      </c>
      <c r="C204" s="36">
        <f>(B204/B203-1)/(A204-A203)*30</f>
        <v/>
      </c>
      <c r="D204" s="30">
        <f>+D203*(1+C204)</f>
        <v/>
      </c>
      <c r="F204" s="28" t="n"/>
      <c r="I204" s="36" t="n"/>
      <c r="J204" s="29" t="n"/>
      <c r="K204" s="14" t="n">
        <v>5089.8979</v>
      </c>
      <c r="L204" s="86">
        <f>+(K204/K203-1)/(F204-A203)*30</f>
        <v/>
      </c>
      <c r="M204" s="30">
        <f>+M203*(1+L204)</f>
        <v/>
      </c>
    </row>
    <row r="205">
      <c r="A205" s="28" t="n">
        <v>44804</v>
      </c>
      <c r="B205" s="14" t="n">
        <v>20154.92</v>
      </c>
      <c r="C205" s="36">
        <f>(B205/B204-1)/(A205-A204)*30</f>
        <v/>
      </c>
      <c r="D205" s="30">
        <f>+D204*(1+C205)</f>
        <v/>
      </c>
      <c r="F205" s="28" t="n"/>
      <c r="I205" s="36" t="n"/>
      <c r="J205" s="29" t="n"/>
      <c r="K205" s="29" t="n">
        <v>5125.6822</v>
      </c>
      <c r="L205" s="86">
        <f>+(K205/K204-1)/(F205-A204)*30</f>
        <v/>
      </c>
      <c r="M205" s="30">
        <f>+M204*(1+L205)</f>
        <v/>
      </c>
    </row>
    <row r="206">
      <c r="A206" s="28" t="n">
        <v>44834</v>
      </c>
      <c r="B206" s="14" t="n">
        <v>20332.28</v>
      </c>
      <c r="C206" s="36">
        <f>(B206/B205-1)/(A206-A205)*30</f>
        <v/>
      </c>
      <c r="D206" s="30">
        <f>+D205*(1+C206)</f>
        <v/>
      </c>
      <c r="F206" s="28" t="n"/>
      <c r="I206" s="36" t="n"/>
      <c r="J206" s="29" t="n"/>
      <c r="K206" s="29" t="n">
        <v>5163.2829</v>
      </c>
      <c r="L206" s="86">
        <f>+(K206/K205-1)/(F206-A205)*30</f>
        <v/>
      </c>
      <c r="M206" s="30">
        <f>+M205*(1+L206)</f>
        <v/>
      </c>
    </row>
    <row r="207">
      <c r="A207" s="28" t="n">
        <v>44862</v>
      </c>
      <c r="B207" s="14" t="n">
        <v>20507.2</v>
      </c>
      <c r="C207" s="36">
        <f>(B207/B206-1)/(A207-A206)*30</f>
        <v/>
      </c>
      <c r="D207" s="30">
        <f>+D206*(1+C207)</f>
        <v/>
      </c>
      <c r="F207" s="28" t="n"/>
      <c r="I207" s="36" t="n"/>
      <c r="J207" s="29" t="n"/>
      <c r="K207" s="29" t="n">
        <v>5200.6767</v>
      </c>
      <c r="L207" s="86">
        <f>+(K207/K206-1)/(F207-A206)*30</f>
        <v/>
      </c>
      <c r="M207" s="30">
        <f>+M206*(1+L207)</f>
        <v/>
      </c>
    </row>
    <row r="208">
      <c r="A208" s="28" t="n">
        <v>44895</v>
      </c>
      <c r="B208" s="14" t="n">
        <v>20719.68</v>
      </c>
      <c r="C208" s="36">
        <f>(B208/B207-1)/(A208-A207)*30</f>
        <v/>
      </c>
      <c r="D208" s="30">
        <f>+D207*(1+C208)</f>
        <v/>
      </c>
      <c r="F208" s="28" t="n"/>
      <c r="I208" s="36" t="n"/>
      <c r="J208" s="29" t="n"/>
      <c r="K208" s="14" t="n">
        <v>5246.14</v>
      </c>
      <c r="L208" s="86">
        <f>+(K208/K207-1)/(F208-A207)*30</f>
        <v/>
      </c>
      <c r="M208" s="30">
        <f>+M207*(1+L208)</f>
        <v/>
      </c>
    </row>
    <row r="209">
      <c r="A209" s="28" t="n">
        <v>44925</v>
      </c>
      <c r="B209" s="14" t="n">
        <v>20914.79</v>
      </c>
      <c r="C209" s="36">
        <f>(B209/B208-1)/(A209-A208)*30</f>
        <v/>
      </c>
      <c r="D209" s="30">
        <f>+D208*(1+C209)</f>
        <v/>
      </c>
      <c r="F209" s="28" t="n"/>
      <c r="I209" s="36" t="n"/>
      <c r="J209" s="29" t="n"/>
      <c r="K209" s="14" t="n">
        <v>5287.7323</v>
      </c>
      <c r="L209" s="86">
        <f>+(K209/K208-1)/(F209-A208)*30</f>
        <v/>
      </c>
      <c r="M209" s="30">
        <f>+M208*(1+L209)</f>
        <v/>
      </c>
    </row>
    <row r="210">
      <c r="A210" s="28" t="n">
        <v>44957</v>
      </c>
      <c r="B210" s="14" t="n">
        <v>21124.92</v>
      </c>
      <c r="C210" s="36">
        <f>(B210/B209-1)/(A210-A209)*30</f>
        <v/>
      </c>
      <c r="D210" s="30">
        <f>+D209*(1+C210)</f>
        <v/>
      </c>
      <c r="F210" s="28" t="n"/>
      <c r="I210" s="36" t="n"/>
      <c r="J210" s="29" t="n"/>
      <c r="K210" s="14" t="n">
        <v>5332.3677</v>
      </c>
      <c r="L210" s="86">
        <f>+(K210/K209-1)/(F210-A209)*30</f>
        <v/>
      </c>
      <c r="M210" s="30">
        <f>+M209*(1+L210)</f>
        <v/>
      </c>
    </row>
    <row r="211">
      <c r="A211" s="28" t="n">
        <v>44985</v>
      </c>
      <c r="B211" s="14" t="n">
        <v>21310.51</v>
      </c>
      <c r="C211" s="36">
        <f>(B211/B210-1)/(A211-A210)*30</f>
        <v/>
      </c>
      <c r="D211" s="30">
        <f>+D210*(1+C211)</f>
        <v/>
      </c>
      <c r="F211" s="28" t="n"/>
      <c r="I211" s="36" t="n"/>
      <c r="J211" s="29" t="n"/>
      <c r="K211" s="14" t="n">
        <v>5371.762</v>
      </c>
      <c r="L211" s="86">
        <f>+(K211/K210-1)/(F211-A210)*30</f>
        <v/>
      </c>
      <c r="M211" s="30">
        <f>+M210*(1+L211)</f>
        <v/>
      </c>
    </row>
    <row r="212">
      <c r="A212" s="28" t="n">
        <v>45016</v>
      </c>
      <c r="B212" s="14" t="n">
        <v>21517.9</v>
      </c>
      <c r="C212" s="36">
        <f>(B212/B211-1)/(A212-A211)*30</f>
        <v/>
      </c>
      <c r="D212" s="30">
        <f>+D211*(1+C212)</f>
        <v/>
      </c>
      <c r="F212" s="28" t="n"/>
      <c r="I212" s="36" t="n"/>
      <c r="J212" s="29" t="n"/>
      <c r="K212" s="14" t="n">
        <v>5415.8662</v>
      </c>
      <c r="L212" s="86">
        <f>+(K212/K211-1)/(F212-A211)*30</f>
        <v/>
      </c>
      <c r="M212" s="30">
        <f>+M211*(1+L212)</f>
        <v/>
      </c>
    </row>
    <row r="213">
      <c r="A213" s="28" t="n">
        <v>45044</v>
      </c>
      <c r="B213" s="14" t="n">
        <v>21706.94</v>
      </c>
      <c r="C213" s="36">
        <f>(B213/B212-1)/(A213-A212)*30</f>
        <v/>
      </c>
      <c r="D213" s="30">
        <f>+D212*(1+C213)</f>
        <v/>
      </c>
      <c r="F213" s="28" t="n"/>
      <c r="I213" s="36" t="n"/>
      <c r="J213" s="29" t="n"/>
      <c r="K213" s="14" t="n">
        <v>5456.2587</v>
      </c>
      <c r="L213" s="86">
        <f>+(K213/K212-1)/(F213-A212)*30</f>
        <v/>
      </c>
      <c r="M213" s="30">
        <f>+M212*(1+L213)</f>
        <v/>
      </c>
    </row>
    <row r="214">
      <c r="A214" s="28" t="n">
        <v>45077</v>
      </c>
      <c r="B214" s="14" t="n">
        <v>21931.86</v>
      </c>
      <c r="C214" s="36">
        <f>(B214/B213-1)/(A214-A213)*30</f>
        <v/>
      </c>
      <c r="D214" s="30">
        <f>+D213*(1+C214)</f>
        <v/>
      </c>
      <c r="F214" s="28" t="n"/>
      <c r="I214" s="36" t="n"/>
      <c r="J214" s="29" t="n"/>
      <c r="K214" s="29" t="n">
        <v>5504.4106</v>
      </c>
      <c r="L214" s="86">
        <f>+(K214/K213-1)/(F214-A213)*30</f>
        <v/>
      </c>
      <c r="M214" s="30">
        <f>+M213*(1+L214)</f>
        <v/>
      </c>
    </row>
    <row r="215">
      <c r="A215" s="28" t="n">
        <v>45107</v>
      </c>
      <c r="B215" s="14" t="n">
        <v>22138.35</v>
      </c>
      <c r="C215" s="36">
        <f>(B215/B214-1)/(A215-A214)*30</f>
        <v/>
      </c>
      <c r="D215" s="30">
        <f>+D214*(1+C215)</f>
        <v/>
      </c>
      <c r="F215" s="28" t="n"/>
      <c r="I215" s="36" t="n"/>
      <c r="J215" s="29" t="n"/>
      <c r="K215" s="14" t="n">
        <v>5548.4618</v>
      </c>
      <c r="L215" s="86">
        <f>+(K215/K214-1)/(F215-A214)*30</f>
        <v/>
      </c>
      <c r="M215" s="30">
        <f>+M214*(1+L215)</f>
        <v/>
      </c>
    </row>
    <row r="216">
      <c r="A216" s="28" t="n">
        <v>45138</v>
      </c>
      <c r="B216" s="14" t="n">
        <v>22353.79</v>
      </c>
      <c r="C216" s="36">
        <f>(B216/B215-1)/(A216-A215)*30</f>
        <v/>
      </c>
      <c r="D216" s="30">
        <f>+D215*(1+C216)</f>
        <v/>
      </c>
      <c r="F216" s="28" t="n"/>
      <c r="I216" s="36" t="n"/>
      <c r="J216" s="29" t="n"/>
      <c r="K216" s="14" t="n">
        <v>5593.984</v>
      </c>
      <c r="L216" s="86">
        <f>+(K216/K215-1)/(F216-A215)*30</f>
        <v/>
      </c>
      <c r="M216" s="30">
        <f>+M215*(1+L216)</f>
        <v/>
      </c>
    </row>
    <row r="217">
      <c r="A217" s="28" t="n">
        <v>45169</v>
      </c>
      <c r="B217" s="14" t="n">
        <v>22551.92</v>
      </c>
      <c r="C217" s="36">
        <f>(B217/B216-1)/(A217-A216)*30</f>
        <v/>
      </c>
      <c r="D217" s="30">
        <f>+D216*(1+C217)</f>
        <v/>
      </c>
      <c r="F217" s="28" t="n"/>
      <c r="I217" s="36" t="n"/>
      <c r="J217" s="29" t="n"/>
      <c r="K217" s="29" t="n">
        <v>5636.4775</v>
      </c>
      <c r="L217" s="86">
        <f>+(K217/K216-1)/(F217-A216)*30</f>
        <v/>
      </c>
      <c r="M217" s="30" t="n">
        <v>100</v>
      </c>
    </row>
    <row r="218">
      <c r="A218" s="28" t="n">
        <v>45199</v>
      </c>
      <c r="B218" s="14" t="n">
        <v>22727.72</v>
      </c>
      <c r="C218" s="36">
        <f>(B218/B217-1)/(A218-A217)*30</f>
        <v/>
      </c>
      <c r="D218" s="30" t="n">
        <v>100</v>
      </c>
      <c r="F218" s="28" t="n"/>
      <c r="I218" s="36" t="n"/>
      <c r="J218" s="29" t="n"/>
      <c r="K218" s="29" t="n">
        <v>5674.7198</v>
      </c>
      <c r="L218" s="86">
        <f>+(K218/K217-1)/(F218-A217)*30</f>
        <v/>
      </c>
      <c r="M218" s="30" t="n">
        <v>100</v>
      </c>
    </row>
    <row r="219">
      <c r="A219" s="28" t="n">
        <v>45230</v>
      </c>
      <c r="B219" s="30" t="n">
        <v>22920</v>
      </c>
      <c r="C219" s="36">
        <f>(B219/B218-1)/(A219-A218)*30</f>
        <v/>
      </c>
      <c r="D219" s="30">
        <f>+D218*(1+C219)</f>
        <v/>
      </c>
      <c r="F219" s="28" t="n"/>
      <c r="I219" s="36" t="n"/>
      <c r="J219" s="29" t="n"/>
      <c r="K219" s="14" t="n">
        <v>5712.6049</v>
      </c>
      <c r="L219" s="86">
        <f>+(K219/K218-1)/(F219-A218)*30</f>
        <v/>
      </c>
      <c r="M219" s="30">
        <f>+M218*(1+L219)</f>
        <v/>
      </c>
    </row>
    <row r="220">
      <c r="A220" s="28" t="n">
        <v>45260</v>
      </c>
      <c r="B220" s="14" t="n">
        <v>23092.51</v>
      </c>
      <c r="C220" s="36">
        <f>(B220/B219-1)/(A220-A219)*30</f>
        <v/>
      </c>
      <c r="D220" s="30">
        <f>+D219*(1+C220)</f>
        <v/>
      </c>
      <c r="F220" s="28" t="n"/>
      <c r="I220" s="36" t="n"/>
      <c r="J220" s="29" t="n"/>
      <c r="K220" s="29" t="n">
        <v>5747.8492</v>
      </c>
      <c r="L220" s="86">
        <f>+(K220/K219-1)/(F220-A219)*30</f>
        <v/>
      </c>
      <c r="M220" s="30">
        <f>+M219*(1+L220)</f>
        <v/>
      </c>
    </row>
    <row r="221">
      <c r="A221" s="28" t="n">
        <v>45291</v>
      </c>
      <c r="B221" s="14" t="n">
        <v>23256.05</v>
      </c>
      <c r="C221" s="36">
        <f>(B221/B220-1)/(A221-A220)*30</f>
        <v/>
      </c>
      <c r="D221" s="30">
        <f>+D220*(1+C221)</f>
        <v/>
      </c>
      <c r="F221" s="28" t="n"/>
      <c r="I221" s="36" t="n"/>
      <c r="J221" s="29" t="n"/>
      <c r="K221" s="14" t="n">
        <v>5782.92</v>
      </c>
      <c r="L221" s="36">
        <f>+(K221/K220-1)/(F221-F220)*30</f>
        <v/>
      </c>
      <c r="M221" s="30">
        <f>+M220*(1+L221)</f>
        <v/>
      </c>
    </row>
    <row r="222">
      <c r="A222" s="28" t="n">
        <v>45322</v>
      </c>
      <c r="B222" s="14" t="n">
        <v>23427.15</v>
      </c>
      <c r="C222" s="36">
        <f>(B222/B221-1)/(A222-A221)*30</f>
        <v/>
      </c>
      <c r="D222" s="30">
        <f>+D221*(1+C222)</f>
        <v/>
      </c>
      <c r="F222" s="28" t="n"/>
      <c r="I222" s="36" t="n"/>
      <c r="J222" s="29" t="n"/>
      <c r="K222" s="29" t="n">
        <v>5816.8769</v>
      </c>
      <c r="L222" s="36">
        <f>+(K222/K221-1)/(F222-F221)*30</f>
        <v/>
      </c>
      <c r="M222" s="30">
        <f>+M221*(1+L222)</f>
        <v/>
      </c>
    </row>
    <row r="223">
      <c r="A223" s="28" t="n">
        <v>45351</v>
      </c>
      <c r="B223" s="14" t="n">
        <v>23570.34</v>
      </c>
      <c r="C223" s="36">
        <f>(B223/B222-1)/(A223-A222)*30</f>
        <v/>
      </c>
      <c r="D223" s="30">
        <f>+D222*(1+C223)</f>
        <v/>
      </c>
      <c r="F223" s="28" t="n"/>
      <c r="I223" s="36" t="n"/>
      <c r="J223" s="29" t="n"/>
      <c r="K223" s="14" t="n">
        <v>5846.4552</v>
      </c>
      <c r="L223" s="36">
        <f>+(K223/K222-1)/(F223-F222)*30</f>
        <v/>
      </c>
      <c r="M223" s="30">
        <f>+M222*(1+L223)</f>
        <v/>
      </c>
    </row>
    <row r="224">
      <c r="A224" s="28" t="n">
        <v>45379</v>
      </c>
      <c r="B224" s="14" t="n">
        <v>23703.45</v>
      </c>
      <c r="C224" s="36">
        <f>(B224/B223-1)/(A224-A223)*30</f>
        <v/>
      </c>
      <c r="D224" s="30">
        <f>+D223*(1+C224)</f>
        <v/>
      </c>
      <c r="F224" s="28" t="n"/>
      <c r="I224" s="36" t="n"/>
      <c r="J224" s="29" t="n"/>
      <c r="K224" s="14" t="n">
        <v>5872.4728</v>
      </c>
      <c r="L224" s="36">
        <f>+(K224/K223-1)/(F224-F223)*30</f>
        <v/>
      </c>
      <c r="M224" s="30">
        <f>+M223*(1+L224)</f>
        <v/>
      </c>
    </row>
    <row r="225">
      <c r="A225" s="28" t="n">
        <v>45412</v>
      </c>
      <c r="B225" s="14" t="n">
        <v>23847.87</v>
      </c>
      <c r="C225" s="36">
        <f>(B225/B224-1)/(A225-A224)*30</f>
        <v/>
      </c>
      <c r="D225" s="30">
        <f>+D224*(1+C225)</f>
        <v/>
      </c>
      <c r="F225" s="28" t="n"/>
      <c r="I225" s="36" t="n"/>
      <c r="J225" s="29" t="n"/>
      <c r="K225" s="14" t="n">
        <v>5900.1916</v>
      </c>
      <c r="L225" s="36">
        <f>+(K225/K224-1)/(F225-F224)*30</f>
        <v/>
      </c>
      <c r="M225" s="30">
        <f>+M224*(1+L225)</f>
        <v/>
      </c>
    </row>
    <row r="226">
      <c r="A226" s="28" t="n">
        <v>45443</v>
      </c>
      <c r="B226" s="14" t="n">
        <v>23979.37</v>
      </c>
      <c r="C226" s="36">
        <f>(B226/B225-1)/(A226-A225)*30</f>
        <v/>
      </c>
      <c r="D226" s="30">
        <f>+D225*(1+C226)</f>
        <v/>
      </c>
      <c r="F226" s="28" t="n"/>
      <c r="I226" s="36" t="n"/>
      <c r="J226" s="29" t="n"/>
      <c r="K226" s="14" t="n">
        <v>5924.7824</v>
      </c>
      <c r="L226" s="36">
        <f>+(K226/K225-1)/(F226-F225)*30</f>
        <v/>
      </c>
      <c r="M226" s="30">
        <f>+M225*(1+L226)</f>
        <v/>
      </c>
    </row>
    <row r="227">
      <c r="A227" s="28" t="n">
        <v>45473</v>
      </c>
      <c r="B227" s="30" t="n">
        <v>24090</v>
      </c>
      <c r="C227" s="36">
        <f>(B227/B226-1)/(A227-A226)*30</f>
        <v/>
      </c>
      <c r="D227" s="30">
        <f>+D226*(1+C227)</f>
        <v/>
      </c>
      <c r="F227" s="28" t="n"/>
      <c r="I227" s="36" t="n"/>
      <c r="J227" s="29" t="n"/>
      <c r="K227" s="14" t="n">
        <v>5946.409</v>
      </c>
      <c r="L227" s="36">
        <f>+(K227/K226-1)/(F227-F226)*30</f>
        <v/>
      </c>
      <c r="M227" s="30">
        <f>+M226*(1+L227)</f>
        <v/>
      </c>
    </row>
    <row r="228">
      <c r="A228" s="28" t="n">
        <v>45504</v>
      </c>
      <c r="B228" s="14" t="n">
        <v>24217.3</v>
      </c>
      <c r="C228" s="36">
        <f>(B228/B227-1)/(A228-A227)*30</f>
        <v/>
      </c>
      <c r="D228" s="30">
        <f>+D227*(1+C228)</f>
        <v/>
      </c>
      <c r="F228" s="28" t="n"/>
      <c r="I228" s="36" t="n"/>
      <c r="J228" s="29" t="n"/>
      <c r="K228" s="14" t="n">
        <v>5968.019</v>
      </c>
      <c r="L228" s="36">
        <f>+(K228/K227-1)/(F228-F227)*30</f>
        <v/>
      </c>
      <c r="M228" s="30">
        <f>+M227*(1+L228)</f>
        <v/>
      </c>
    </row>
    <row r="229">
      <c r="A229" s="28" t="n">
        <v>45535</v>
      </c>
      <c r="B229" s="14" t="n">
        <v>24333.6</v>
      </c>
      <c r="C229" s="36">
        <f>(B229/B228-1)/(A229-A228)*30</f>
        <v/>
      </c>
      <c r="D229" s="30">
        <f>+D228*(1+C229)</f>
        <v/>
      </c>
      <c r="F229" s="28" t="n"/>
      <c r="I229" s="36" t="n"/>
      <c r="J229" s="29" t="n"/>
      <c r="K229" s="14" t="n">
        <v>5989.669</v>
      </c>
      <c r="L229" s="36">
        <f>+(K229/K228-1)/(F229-F228)*30</f>
        <v/>
      </c>
      <c r="M229" s="30">
        <f>+M228*(1+L229)</f>
        <v/>
      </c>
    </row>
    <row r="230">
      <c r="A230" s="28" t="n">
        <v>45565</v>
      </c>
      <c r="B230" s="14" t="n">
        <v>24449.94</v>
      </c>
      <c r="C230" s="36">
        <f>(B230/B229-1)/(A230-A229)*30</f>
        <v/>
      </c>
      <c r="D230" s="30">
        <f>+D229*(1+C230)</f>
        <v/>
      </c>
      <c r="F230" s="28" t="n"/>
      <c r="I230" s="36" t="n"/>
      <c r="J230" s="29" t="n"/>
      <c r="K230" s="14" t="n">
        <v>6009.8868</v>
      </c>
      <c r="L230" s="36">
        <f>+(K230/K229-1)/(F230-F229)*30</f>
        <v/>
      </c>
      <c r="M230" s="30">
        <f>+M229*(1+L230)</f>
        <v/>
      </c>
    </row>
    <row r="231">
      <c r="A231" s="28" t="n">
        <v>45596</v>
      </c>
      <c r="B231" s="14" t="n">
        <v>24560.22</v>
      </c>
      <c r="C231" s="36">
        <f>(B231/B230-1)/(A231-A230)*30</f>
        <v/>
      </c>
      <c r="D231" s="30">
        <f>+D230*(1+C231)</f>
        <v/>
      </c>
      <c r="F231" s="28" t="n"/>
      <c r="I231" s="36" t="n"/>
      <c r="J231" s="29" t="n"/>
      <c r="K231" s="14" t="n">
        <v>6030.3854</v>
      </c>
      <c r="L231" s="36">
        <f>+(K231/K230-1)/(F231-F230)*30</f>
        <v/>
      </c>
      <c r="M231" s="30">
        <f>+M230*(1+L231)</f>
        <v/>
      </c>
    </row>
    <row r="232">
      <c r="A232" s="28" t="n">
        <v>45626</v>
      </c>
      <c r="B232" s="14" t="n">
        <v>24667.9</v>
      </c>
      <c r="C232" s="36">
        <f>(B232/B231-1)/(A232-A231)*30</f>
        <v/>
      </c>
      <c r="D232" s="30">
        <f>+D231*(1+C232)</f>
        <v/>
      </c>
      <c r="F232" s="28" t="n"/>
      <c r="I232" s="36" t="n"/>
      <c r="J232" s="29" t="n"/>
      <c r="K232" s="14" t="n">
        <v>6049.8055</v>
      </c>
      <c r="L232" s="36">
        <f>+(K232/K231-1)/(F232-F231)*30</f>
        <v/>
      </c>
      <c r="M232" s="30">
        <f>+M231*(1+L232)</f>
        <v/>
      </c>
    </row>
    <row r="233">
      <c r="A233" s="28" t="n">
        <v>45657</v>
      </c>
      <c r="B233" s="14" t="n">
        <v>24777.58</v>
      </c>
      <c r="C233" s="36">
        <f>(B233/B232-1)/(A233-A232)*30</f>
        <v/>
      </c>
      <c r="D233" s="30">
        <f>+D232*(1+C233)</f>
        <v/>
      </c>
      <c r="F233" s="28" t="n"/>
      <c r="I233" s="36" t="n"/>
      <c r="J233" s="29" t="n"/>
      <c r="K233" s="14" t="n">
        <v>6069.3455</v>
      </c>
      <c r="L233" s="36">
        <f>+(K233/K232-1)/(F233-F232)*30</f>
        <v/>
      </c>
      <c r="M233" s="30">
        <f>+M232*(1+L233)</f>
        <v/>
      </c>
    </row>
    <row r="234">
      <c r="A234" s="28" t="n">
        <v>45688</v>
      </c>
      <c r="B234" s="14" t="n">
        <v>24887.95</v>
      </c>
      <c r="C234" s="36">
        <f>(B234/B233-1)/(A234-A233)*30</f>
        <v/>
      </c>
      <c r="D234" s="30">
        <f>+D233*(1+C234)</f>
        <v/>
      </c>
      <c r="F234" s="28" t="n"/>
      <c r="I234" s="36" t="n"/>
      <c r="J234" s="29" t="n"/>
      <c r="K234" s="14" t="n">
        <v>6087.6762</v>
      </c>
      <c r="L234" s="36">
        <f>+(K234/K233-1)/(F234-F233)*30</f>
        <v/>
      </c>
      <c r="M234" s="30">
        <f>+M233*(1+L234)</f>
        <v/>
      </c>
    </row>
    <row r="235">
      <c r="A235" s="28" t="n">
        <v>45716</v>
      </c>
      <c r="B235" s="14" t="n">
        <v>24984.92</v>
      </c>
      <c r="C235" s="36">
        <f>(B235/B234-1)/(A235-A234)*30</f>
        <v/>
      </c>
      <c r="D235" s="30">
        <f>+D234*(1+C235)</f>
        <v/>
      </c>
      <c r="F235" s="28" t="n"/>
      <c r="I235" s="36" t="n"/>
      <c r="J235" s="29" t="n"/>
      <c r="K235" s="14" t="n">
        <v>6104.4912</v>
      </c>
      <c r="L235" s="36">
        <f>+(K235/K234-1)/(F235-F234)*30</f>
        <v/>
      </c>
      <c r="M235" s="30">
        <f>+M234*(1+L235)</f>
        <v/>
      </c>
    </row>
    <row r="236">
      <c r="A236" s="28" t="n">
        <v>45747</v>
      </c>
      <c r="B236" s="14" t="n">
        <v>25092.7</v>
      </c>
      <c r="C236" s="36">
        <f>(B236/B235-1)/(A236-A235)*30</f>
        <v/>
      </c>
      <c r="D236" s="30">
        <f>+D235*(1+C236)</f>
        <v/>
      </c>
      <c r="F236" s="28" t="n"/>
      <c r="G236" s="111" t="n"/>
      <c r="H236" s="111" t="n"/>
      <c r="I236" s="36" t="n"/>
      <c r="J236" s="29" t="n"/>
      <c r="K236" s="14" t="n">
        <v>6123.1882</v>
      </c>
      <c r="L236" s="36">
        <f>+(K236/K235-1)/(F236-F235)*30</f>
        <v/>
      </c>
      <c r="M236" s="30">
        <f>+M235*(1+L236)</f>
        <v/>
      </c>
    </row>
    <row r="237">
      <c r="A237" s="28" t="n">
        <v>45777</v>
      </c>
      <c r="B237" s="14" t="n">
        <v>25197.48</v>
      </c>
      <c r="C237" s="36">
        <f>(B237/B236-1)/(A237-A236)*30</f>
        <v/>
      </c>
      <c r="D237" s="30">
        <f>+D236*(1+C237)</f>
        <v/>
      </c>
      <c r="F237" s="28" t="n"/>
      <c r="G237" s="111" t="n"/>
      <c r="H237" s="111" t="n"/>
      <c r="I237" s="36" t="n"/>
      <c r="J237" s="29" t="n"/>
      <c r="K237" s="14" t="n">
        <v>6141.4105</v>
      </c>
      <c r="L237" s="36">
        <f>+(K237/K236-1)/(F237-F236)*30</f>
        <v/>
      </c>
      <c r="M237" s="30">
        <f>+M236*(1+L237)</f>
        <v/>
      </c>
    </row>
    <row r="238">
      <c r="A238" s="28" t="n">
        <v>45808</v>
      </c>
      <c r="B238" s="14" t="n">
        <v>25302.66</v>
      </c>
      <c r="C238" s="36">
        <f>(B238/B237-1)/(A238-A237)*30</f>
        <v/>
      </c>
      <c r="D238" s="30">
        <f>+D237*(1+C238)</f>
        <v/>
      </c>
      <c r="F238" s="28" t="n"/>
      <c r="G238" s="111" t="n"/>
      <c r="H238" s="111" t="n"/>
      <c r="I238" s="36" t="n"/>
      <c r="J238" s="29" t="n"/>
      <c r="K238" s="14" t="n">
        <v>6160.386</v>
      </c>
      <c r="L238" s="36">
        <f>+(K238/K237-1)/(F238-F237)*30</f>
        <v/>
      </c>
      <c r="M238" s="30">
        <f>+M237*(1+L238)</f>
        <v/>
      </c>
    </row>
    <row r="239">
      <c r="A239" s="28" t="n">
        <v>45838</v>
      </c>
      <c r="B239" s="14" t="n">
        <v>25411.83</v>
      </c>
      <c r="C239" s="36">
        <f>(B239/B238-1)/(A239-A238)*30</f>
        <v/>
      </c>
      <c r="D239" s="30">
        <f>+D238*(1+C239)</f>
        <v/>
      </c>
      <c r="F239" s="28" t="n"/>
      <c r="G239" s="111" t="n"/>
      <c r="H239" s="111" t="n"/>
      <c r="I239" s="36" t="n"/>
      <c r="J239" s="29" t="n"/>
      <c r="K239" s="14" t="n">
        <v>6178.849</v>
      </c>
      <c r="L239" s="36">
        <f>+(K239/K238-1)/(F239-F238)*30</f>
        <v/>
      </c>
      <c r="M239" s="30">
        <f>+M238*(1+L239)</f>
        <v/>
      </c>
    </row>
    <row r="240">
      <c r="A240" s="28" t="n">
        <v>45869</v>
      </c>
      <c r="B240" s="14" t="n">
        <v>25521.26</v>
      </c>
      <c r="C240" s="36">
        <f>(B240/B239-1)/(A240-A239)*30</f>
        <v/>
      </c>
      <c r="D240" s="30">
        <f>+D239*(1+C240)</f>
        <v/>
      </c>
      <c r="F240" s="28" t="n"/>
      <c r="G240" s="111" t="n"/>
      <c r="H240" s="111" t="n"/>
      <c r="I240" s="36" t="n"/>
      <c r="J240" s="29" t="n"/>
      <c r="K240" s="14" t="n">
        <v>6197.6884</v>
      </c>
      <c r="L240" s="36">
        <f>+(K240/K239-1)/(F240-F239)*30</f>
        <v/>
      </c>
      <c r="M240" s="30">
        <f>+M239*(1+L240)</f>
        <v/>
      </c>
    </row>
    <row r="241">
      <c r="A241" s="28" t="n">
        <v>45900</v>
      </c>
      <c r="B241" s="14" t="n">
        <v>25619.09</v>
      </c>
      <c r="C241" s="36">
        <f>(B241/B240-1)/(A241-A240)*30</f>
        <v/>
      </c>
      <c r="D241" s="30">
        <f>+D240*(1+C241)</f>
        <v/>
      </c>
      <c r="F241" s="28" t="n"/>
      <c r="G241" s="111" t="n"/>
      <c r="H241" s="111" t="n"/>
      <c r="I241" s="36" t="n"/>
      <c r="J241" s="29" t="n"/>
      <c r="K241" s="14" t="n">
        <v>6215.6746</v>
      </c>
      <c r="L241" s="36">
        <f>+(K241/K240-1)/(F241-F240)*30</f>
        <v/>
      </c>
      <c r="M241" s="30">
        <f>+M240*(1+L241)</f>
        <v/>
      </c>
    </row>
    <row r="242">
      <c r="A242" s="28" t="n">
        <v>45930</v>
      </c>
      <c r="B242" s="14" t="n">
        <v>25727.46</v>
      </c>
      <c r="C242" s="36">
        <f>(B242/B241-1)/(A242-A241)*30</f>
        <v/>
      </c>
      <c r="D242" s="30">
        <f>+D241*(1+C242)</f>
        <v/>
      </c>
      <c r="F242" s="28" t="n"/>
      <c r="G242" s="111" t="n"/>
      <c r="H242" s="111" t="n"/>
      <c r="I242" s="36" t="n"/>
      <c r="J242" s="29" t="n"/>
      <c r="K242" s="14" t="n">
        <v>6232.8399</v>
      </c>
      <c r="L242" s="36">
        <f>+(K242/K241-1)/(F242-F241)*30</f>
        <v/>
      </c>
      <c r="M242" s="30">
        <f>+M241*(1+L242)</f>
        <v/>
      </c>
    </row>
    <row r="243">
      <c r="A243" s="28" t="n">
        <v>45961</v>
      </c>
      <c r="B243" s="14" t="n">
        <v>25829.5</v>
      </c>
      <c r="C243" s="36">
        <f>(B243/B242-1)/(A243-A242)*30</f>
        <v/>
      </c>
      <c r="D243" s="30">
        <f>+D242*(1+C243)</f>
        <v/>
      </c>
      <c r="F243" s="28" t="n"/>
      <c r="G243" s="111" t="n"/>
      <c r="H243" s="111" t="n"/>
      <c r="I243" s="36" t="n"/>
      <c r="J243" s="29" t="n"/>
      <c r="K243" s="14" t="n">
        <v>6250.6982</v>
      </c>
      <c r="L243" s="36">
        <f>+(K243/K242-1)/(F243-F242)*30</f>
        <v/>
      </c>
      <c r="M243" s="30">
        <f>+M242*(1+L243)</f>
        <v/>
      </c>
    </row>
    <row r="244">
      <c r="A244" s="28" t="n">
        <v>45991</v>
      </c>
      <c r="B244" s="14" t="n">
        <v>25928.49</v>
      </c>
      <c r="C244" s="36">
        <f>(B244/B243-1)/(A244-A243)*30</f>
        <v/>
      </c>
      <c r="D244" s="30">
        <f>+D243*(1+C244)</f>
        <v/>
      </c>
      <c r="F244" s="28" t="n"/>
      <c r="G244" s="111" t="n"/>
      <c r="H244" s="111" t="n"/>
      <c r="I244" s="36" t="n"/>
      <c r="J244" s="29" t="n"/>
      <c r="K244" s="14" t="n">
        <v>6268.169</v>
      </c>
      <c r="L244" s="36">
        <f>+(K244/K243-1)/(F244-F243)*30</f>
        <v/>
      </c>
      <c r="M244" s="30">
        <f>+M243*(1+L244)</f>
        <v/>
      </c>
    </row>
    <row r="245">
      <c r="A245" s="28" t="n">
        <v>46022</v>
      </c>
      <c r="B245" s="14" t="n">
        <v>26035.82</v>
      </c>
      <c r="C245" s="36">
        <f>(B245/B244-1)/(A245-A244)*30</f>
        <v/>
      </c>
      <c r="D245" s="30">
        <f>+D244*(1+C245)</f>
        <v/>
      </c>
      <c r="F245" s="28" t="n"/>
      <c r="G245" s="125" t="n"/>
      <c r="H245" s="111" t="n"/>
      <c r="I245" s="36" t="n"/>
      <c r="J245" s="29" t="n"/>
      <c r="K245" s="14" t="n">
        <v>6285.9566</v>
      </c>
      <c r="L245" s="36">
        <f>+(K245/K244-1)/(F245-F244)*30</f>
        <v/>
      </c>
      <c r="M245" s="30">
        <f>+M244*(1+L245)</f>
        <v/>
      </c>
    </row>
    <row r="246">
      <c r="A246" s="28" t="n">
        <v>46053</v>
      </c>
      <c r="B246" s="14" t="n">
        <v>26136.9</v>
      </c>
      <c r="C246" s="36">
        <f>(B246/B245-1)/(A246-A245)*30</f>
        <v/>
      </c>
      <c r="D246" s="30">
        <f>+D245*(1+C246)</f>
        <v/>
      </c>
      <c r="F246" s="28" t="n"/>
      <c r="G246" s="125" t="n"/>
      <c r="H246" s="111" t="n"/>
      <c r="I246" s="36" t="n"/>
      <c r="J246" s="29" t="n"/>
      <c r="K246" s="14" t="n">
        <v>6303.0823</v>
      </c>
      <c r="L246" s="36">
        <f>+(K246/K245-1)/(F246-F245)*30</f>
        <v/>
      </c>
      <c r="M246" s="30">
        <f>+M245*(1+L246)</f>
        <v/>
      </c>
    </row>
    <row r="247">
      <c r="A247" s="102" t="n">
        <v>46081</v>
      </c>
      <c r="B247" s="103" t="n">
        <v>26231.81</v>
      </c>
      <c r="C247" s="36">
        <f>(B247/B246-1)/(A247-A246)*30</f>
        <v/>
      </c>
      <c r="D247" s="30">
        <f>+D246*(1+C247)</f>
        <v/>
      </c>
      <c r="F247" s="102" t="n">
        <v>46081</v>
      </c>
      <c r="G247" s="125" t="n">
        <v>1004.6172</v>
      </c>
      <c r="H247" s="111">
        <f>+G247</f>
        <v/>
      </c>
      <c r="I247" s="36" t="n"/>
      <c r="J247" s="29" t="n"/>
      <c r="K247" s="106" t="n">
        <v>6318.4947</v>
      </c>
      <c r="L247" s="36">
        <f>+(K247/K246-1)/(F247-F246)*30</f>
        <v/>
      </c>
      <c r="M247" s="30">
        <f>+M246*(1+L247)</f>
        <v/>
      </c>
    </row>
    <row r="248">
      <c r="A248" s="102" t="n">
        <v>46112</v>
      </c>
      <c r="B248" s="103" t="n">
        <v>26333.64</v>
      </c>
      <c r="C248" s="36">
        <f>(B248/B247-1)/(A248-A247)*30</f>
        <v/>
      </c>
      <c r="D248" s="30">
        <f>+D247*(1+C248)</f>
        <v/>
      </c>
      <c r="F248" s="102" t="n">
        <v>46112</v>
      </c>
      <c r="G248" s="126" t="n">
        <v>1010.4383</v>
      </c>
      <c r="H248" s="111">
        <f>+G248</f>
        <v/>
      </c>
      <c r="I248" s="36">
        <f>+(H248/H247-1)/(F248-F247)*30</f>
        <v/>
      </c>
      <c r="J248" s="29" t="n"/>
      <c r="K248" s="107" t="n">
        <v>6335.4774</v>
      </c>
      <c r="L248" s="36">
        <f>+(K248/K247-1)/(F248-F247)*30</f>
        <v/>
      </c>
      <c r="M248" s="30">
        <f>+M247*(1+L248)</f>
        <v/>
      </c>
    </row>
    <row r="249">
      <c r="A249" s="28" t="n">
        <v>46142</v>
      </c>
      <c r="B249" s="14" t="n">
        <v>26432.56</v>
      </c>
      <c r="C249" s="36">
        <f>(B249/B248-1)/(A249-A248)*30</f>
        <v/>
      </c>
      <c r="D249" s="30">
        <f>+D248*(1+C249)</f>
        <v/>
      </c>
      <c r="F249" s="28" t="n">
        <v>46142</v>
      </c>
      <c r="G249" s="108" t="n">
        <v>1015.6295</v>
      </c>
      <c r="H249" s="111">
        <f>+G249</f>
        <v/>
      </c>
      <c r="I249" s="36">
        <f>+(H249/H248-1)/(F249-F248)*30</f>
        <v/>
      </c>
      <c r="J249" s="29" t="n"/>
      <c r="K249" s="14" t="n">
        <v>6351.9305</v>
      </c>
      <c r="L249" s="36">
        <f>+(K249/K248-1)/(F249-F248)*30</f>
        <v/>
      </c>
      <c r="M249" s="30">
        <f>+M248*(1+L249)</f>
        <v/>
      </c>
    </row>
    <row r="250">
      <c r="A250" s="127" t="n">
        <v>46173</v>
      </c>
      <c r="B250" t="n">
        <v>26535.18</v>
      </c>
      <c r="C250">
        <f>(B250/B249-1)/(A250-A249)*30</f>
        <v/>
      </c>
      <c r="D250">
        <f>+D249*(1+C250)</f>
        <v/>
      </c>
      <c r="F250" s="127" t="n">
        <v>46173</v>
      </c>
      <c r="G250" t="n">
        <v>1021.133</v>
      </c>
      <c r="H250">
        <f>+G250</f>
        <v/>
      </c>
      <c r="I250">
        <f>+(H250/H249-1)/(F250-F249)*30</f>
        <v/>
      </c>
      <c r="K250" t="n">
        <v>6368.94</v>
      </c>
      <c r="L250">
        <f>+(K250/K249-1)/(F250-F249)*30</f>
        <v/>
      </c>
      <c r="M250">
        <f>+M249*(1+L250)</f>
        <v/>
      </c>
    </row>
    <row r="251">
      <c r="A251" s="127" t="n">
        <v>46203</v>
      </c>
      <c r="C251">
        <f>(B251/B250-1)/(A251-A250)*30</f>
        <v/>
      </c>
      <c r="D251">
        <f>+D250*(1+C251)</f>
        <v/>
      </c>
      <c r="F251" s="127" t="n">
        <v>46203</v>
      </c>
      <c r="G251" t="n">
        <v>1026.4905</v>
      </c>
      <c r="H251">
        <f>+G251</f>
        <v/>
      </c>
      <c r="I251">
        <f>+(H251/H250-1)/(F251-F250)*30</f>
        <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f>+'Datos ICP (2)'!BB28</f>
        <v/>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Temporal</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Temporal</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Temporal</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Temporal</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Temporal</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Temporal</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Temporal</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Temporal</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Temporal</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Temporal</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2026-07-02T15:43:06Z</dcterms:modified>
  <cp:lastModifiedBy>María Isabel Velasco Retamal</cp:lastModifiedBy>
</cp:coreProperties>
</file>