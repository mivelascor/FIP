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heme/themeOverride1.xml" ContentType="application/vnd.openxmlformats-officedocument.themeOverride+xml"/>
  <Override PartName="/xl/drawings/drawing2.xml" ContentType="application/vnd.openxmlformats-officedocument.drawing+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3.xml" ContentType="application/vnd.openxmlformats-officedocument.themeOverrid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4.xml" ContentType="application/vnd.openxmlformats-officedocument.themeOverrid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10"/>
  <workbookPr/>
  <mc:AlternateContent xmlns:mc="http://schemas.openxmlformats.org/markup-compatibility/2006">
    <mc:Choice Requires="x15">
      <x15ac:absPath xmlns:x15ac="http://schemas.microsoft.com/office/spreadsheetml/2010/11/ac" url="https://vantrust-my.sharepoint.com/personal/valeria_cabrera_vantrust_cl/Documents/FICHAS FF/EXCELS/"/>
    </mc:Choice>
  </mc:AlternateContent>
  <xr:revisionPtr revIDLastSave="112" documentId="13_ncr:1_{44DE601C-FC09-4B19-925E-1450CA93D8A6}" xr6:coauthVersionLast="47" xr6:coauthVersionMax="47" xr10:uidLastSave="{952A4EA1-13E2-4F5F-9B73-4900164B9778}"/>
  <bookViews>
    <workbookView xWindow="-120" yWindow="-120" windowWidth="20730" windowHeight="11040" xr2:uid="{00000000-000D-0000-FFFF-FFFF00000000}"/>
  </bookViews>
  <sheets>
    <sheet name="Comentario" sheetId="4" r:id="rId1"/>
    <sheet name="Datos ICP (2)" sheetId="3" r:id="rId2"/>
    <sheet name="rentabilidad" sheetId="2" r:id="rId3"/>
    <sheet name="composición" sheetId="1" r:id="rId4"/>
  </sheets>
  <externalReferences>
    <externalReference r:id="rId5"/>
  </externalReferences>
  <definedNames>
    <definedName name="_xlnm._FilterDatabase" localSheetId="3" hidden="1">composición!$K$1:$T$24</definedName>
    <definedName name="OLE_LINK1" localSheetId="1">'Datos ICP (2)'!#REF!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6" i="2" l="1"/>
  <c r="H27" i="2"/>
  <c r="AH80" i="3"/>
  <c r="AH81" i="3"/>
  <c r="AQ49" i="3"/>
  <c r="AQ22" i="3"/>
  <c r="AQ37" i="3"/>
  <c r="AH49" i="3"/>
  <c r="AH37" i="3"/>
  <c r="AH22" i="3"/>
  <c r="S49" i="3"/>
  <c r="S36" i="3"/>
  <c r="S23" i="3"/>
  <c r="L249" i="3"/>
  <c r="M249" i="3"/>
  <c r="H249" i="3"/>
  <c r="I249" i="3"/>
  <c r="J249" i="3"/>
  <c r="C249" i="3"/>
  <c r="D249" i="3"/>
  <c r="F26" i="2"/>
  <c r="G26" i="2"/>
  <c r="F27" i="2"/>
  <c r="G27" i="2"/>
  <c r="AP78" i="3"/>
  <c r="AP79" i="3"/>
  <c r="P24" i="2"/>
  <c r="P25" i="2"/>
  <c r="E26" i="2"/>
  <c r="E27" i="2"/>
  <c r="AF80" i="3"/>
  <c r="AG80" i="3"/>
  <c r="AF81" i="3"/>
  <c r="AG81" i="3"/>
  <c r="AE80" i="3"/>
  <c r="AE81" i="3"/>
  <c r="AE78" i="3"/>
  <c r="AQ80" i="3"/>
  <c r="AE49" i="3"/>
  <c r="AF49" i="3"/>
  <c r="AG49" i="3"/>
  <c r="AP48" i="3"/>
  <c r="AQ81" i="3"/>
  <c r="AE37" i="3"/>
  <c r="AF37" i="3"/>
  <c r="AG37" i="3"/>
  <c r="AP36" i="3"/>
  <c r="AQ36" i="3" s="1"/>
  <c r="AQ48" i="3"/>
  <c r="R49" i="3"/>
  <c r="Q49" i="3"/>
  <c r="P49" i="3"/>
  <c r="AA48" i="3"/>
  <c r="R36" i="3"/>
  <c r="Q36" i="3"/>
  <c r="P36" i="3"/>
  <c r="AA35" i="3"/>
  <c r="R23" i="3"/>
  <c r="AG22" i="3" s="1"/>
  <c r="P23" i="3"/>
  <c r="AE22" i="3" s="1"/>
  <c r="Q22" i="3"/>
  <c r="Q23" i="3"/>
  <c r="AF22" i="3" s="1"/>
  <c r="AA22" i="3"/>
  <c r="AP21" i="3" s="1"/>
  <c r="H245" i="3"/>
  <c r="H246" i="3"/>
  <c r="H247" i="3"/>
  <c r="H248" i="3"/>
  <c r="I248" i="3" s="1"/>
  <c r="L245" i="3"/>
  <c r="L246" i="3"/>
  <c r="L247" i="3"/>
  <c r="L248" i="3"/>
  <c r="D245" i="3"/>
  <c r="D246" i="3"/>
  <c r="D247" i="3"/>
  <c r="D248" i="3"/>
  <c r="C245" i="3"/>
  <c r="C246" i="3"/>
  <c r="C247" i="3"/>
  <c r="C248" i="3"/>
  <c r="H244" i="3"/>
  <c r="L244" i="3"/>
  <c r="Z48" i="3" s="1"/>
  <c r="AO48" i="3" s="1"/>
  <c r="AO78" i="3" s="1"/>
  <c r="O24" i="2" s="1"/>
  <c r="C244" i="3"/>
  <c r="Z22" i="3" s="1"/>
  <c r="AO21" i="3" s="1"/>
  <c r="D244" i="3"/>
  <c r="H243" i="3"/>
  <c r="C243" i="3"/>
  <c r="Y22" i="3" s="1"/>
  <c r="AN21" i="3" s="1"/>
  <c r="D243" i="3"/>
  <c r="L243" i="3"/>
  <c r="Y48" i="3" s="1"/>
  <c r="AN48" i="3" s="1"/>
  <c r="AN78" i="3" s="1"/>
  <c r="N24" i="2" s="1"/>
  <c r="H242" i="3"/>
  <c r="L242" i="3"/>
  <c r="X48" i="3" s="1"/>
  <c r="AM48" i="3" s="1"/>
  <c r="AM78" i="3" s="1"/>
  <c r="M24" i="2" s="1"/>
  <c r="D242" i="3"/>
  <c r="C242" i="3"/>
  <c r="X22" i="3" s="1"/>
  <c r="AM21" i="3" s="1"/>
  <c r="Q26" i="2" l="1"/>
  <c r="BB28" i="3"/>
  <c r="Q27" i="2"/>
  <c r="BB29" i="3"/>
  <c r="I246" i="3"/>
  <c r="I247" i="3"/>
  <c r="I245" i="3"/>
  <c r="I243" i="3"/>
  <c r="I244" i="3"/>
  <c r="H241" i="3"/>
  <c r="L241" i="3"/>
  <c r="W48" i="3" s="1"/>
  <c r="AL48" i="3" s="1"/>
  <c r="AL78" i="3" s="1"/>
  <c r="L24" i="2" s="1"/>
  <c r="C241" i="3"/>
  <c r="W22" i="3" s="1"/>
  <c r="AL21" i="3" s="1"/>
  <c r="D241" i="3"/>
  <c r="V48" i="3"/>
  <c r="AK48" i="3"/>
  <c r="H240" i="3"/>
  <c r="L240" i="3"/>
  <c r="C240" i="3"/>
  <c r="V22" i="3" s="1"/>
  <c r="AK21" i="3" s="1"/>
  <c r="D240" i="3"/>
  <c r="H239" i="3"/>
  <c r="L239" i="3"/>
  <c r="U48" i="3" s="1"/>
  <c r="AJ48" i="3" s="1"/>
  <c r="AJ78" i="3" s="1"/>
  <c r="J24" i="2" s="1"/>
  <c r="C239" i="3"/>
  <c r="U22" i="3" s="1"/>
  <c r="AJ21" i="3" s="1"/>
  <c r="D239" i="3"/>
  <c r="Z35" i="3" l="1"/>
  <c r="AO36" i="3" s="1"/>
  <c r="AO79" i="3" s="1"/>
  <c r="O25" i="2" s="1"/>
  <c r="Y35" i="3"/>
  <c r="AN36" i="3" s="1"/>
  <c r="AN79" i="3" s="1"/>
  <c r="N25" i="2" s="1"/>
  <c r="I240" i="3"/>
  <c r="I241" i="3"/>
  <c r="I242" i="3"/>
  <c r="AK78" i="3"/>
  <c r="K24" i="2" s="1"/>
  <c r="H238" i="3"/>
  <c r="L238" i="3"/>
  <c r="C238" i="3"/>
  <c r="T22" i="3" s="1"/>
  <c r="AI21" i="3" s="1"/>
  <c r="D238" i="3"/>
  <c r="X35" i="3" l="1"/>
  <c r="AM36" i="3" s="1"/>
  <c r="AM79" i="3" s="1"/>
  <c r="M25" i="2" s="1"/>
  <c r="W35" i="3"/>
  <c r="AL36" i="3" s="1"/>
  <c r="AL79" i="3" s="1"/>
  <c r="L25" i="2" s="1"/>
  <c r="V35" i="3"/>
  <c r="AK36" i="3" s="1"/>
  <c r="AK79" i="3" s="1"/>
  <c r="K25" i="2" s="1"/>
  <c r="T48" i="3"/>
  <c r="AI48" i="3" s="1"/>
  <c r="AI78" i="3" s="1"/>
  <c r="I24" i="2" s="1"/>
  <c r="I239" i="3"/>
  <c r="H237" i="3"/>
  <c r="L237" i="3"/>
  <c r="C237" i="3"/>
  <c r="S22" i="3" s="1"/>
  <c r="AH21" i="3" s="1"/>
  <c r="D237" i="3"/>
  <c r="S48" i="3" l="1"/>
  <c r="AH48" i="3" s="1"/>
  <c r="AH78" i="3" s="1"/>
  <c r="H24" i="2" s="1"/>
  <c r="U35" i="3"/>
  <c r="AJ36" i="3" s="1"/>
  <c r="AJ79" i="3" s="1"/>
  <c r="J25" i="2" s="1"/>
  <c r="I238" i="3"/>
  <c r="H236" i="3"/>
  <c r="L236" i="3"/>
  <c r="C236" i="3"/>
  <c r="R22" i="3" s="1"/>
  <c r="AG21" i="3" s="1"/>
  <c r="D236" i="3"/>
  <c r="L235" i="3"/>
  <c r="H235" i="3"/>
  <c r="C235" i="3"/>
  <c r="AF21" i="3" s="1"/>
  <c r="D235" i="3"/>
  <c r="L234" i="3"/>
  <c r="H234" i="3"/>
  <c r="C234" i="3"/>
  <c r="D234" i="3"/>
  <c r="P22" i="3"/>
  <c r="AE21" i="3" s="1"/>
  <c r="AQ21" i="3" s="1"/>
  <c r="H233" i="3"/>
  <c r="L233" i="3"/>
  <c r="AA47" i="3" s="1"/>
  <c r="AP47" i="3" s="1"/>
  <c r="AP76" i="3" s="1"/>
  <c r="P22" i="2" s="1"/>
  <c r="C233" i="3"/>
  <c r="AA21" i="3" s="1"/>
  <c r="AP20" i="3" s="1"/>
  <c r="D233" i="3"/>
  <c r="H232" i="3"/>
  <c r="L232" i="3"/>
  <c r="Z47" i="3" s="1"/>
  <c r="AO47" i="3" s="1"/>
  <c r="AO76" i="3" s="1"/>
  <c r="C232" i="3"/>
  <c r="Z21" i="3" s="1"/>
  <c r="AO20" i="3" s="1"/>
  <c r="D232" i="3"/>
  <c r="I236" i="3" l="1"/>
  <c r="R35" i="3" s="1"/>
  <c r="AG36" i="3" s="1"/>
  <c r="AG79" i="3" s="1"/>
  <c r="G25" i="2" s="1"/>
  <c r="I234" i="3"/>
  <c r="I235" i="3"/>
  <c r="I237" i="3"/>
  <c r="T35" i="3"/>
  <c r="AI36" i="3" s="1"/>
  <c r="AI79" i="3" s="1"/>
  <c r="I25" i="2" s="1"/>
  <c r="P48" i="3"/>
  <c r="AE48" i="3" s="1"/>
  <c r="Q48" i="3"/>
  <c r="AF48" i="3" s="1"/>
  <c r="AF78" i="3" s="1"/>
  <c r="F24" i="2" s="1"/>
  <c r="R48" i="3"/>
  <c r="AG48" i="3" s="1"/>
  <c r="AG78" i="3" s="1"/>
  <c r="G24" i="2" s="1"/>
  <c r="I233" i="3"/>
  <c r="AA34" i="3" s="1"/>
  <c r="AP35" i="3" s="1"/>
  <c r="AP77" i="3" s="1"/>
  <c r="P23" i="2" s="1"/>
  <c r="O22" i="2"/>
  <c r="H231" i="3"/>
  <c r="I232" i="3" s="1"/>
  <c r="L231" i="3"/>
  <c r="C231" i="3"/>
  <c r="Y21" i="3" s="1"/>
  <c r="AN20" i="3" s="1"/>
  <c r="D231" i="3"/>
  <c r="L230" i="3"/>
  <c r="X47" i="3" s="1"/>
  <c r="AM47" i="3" s="1"/>
  <c r="AM76" i="3" s="1"/>
  <c r="M22" i="2" s="1"/>
  <c r="H230" i="3"/>
  <c r="C230" i="3"/>
  <c r="X21" i="3" s="1"/>
  <c r="AM20" i="3" s="1"/>
  <c r="D230" i="3"/>
  <c r="L229" i="3"/>
  <c r="W47" i="3" s="1"/>
  <c r="AL47" i="3" s="1"/>
  <c r="AL76" i="3" s="1"/>
  <c r="L22" i="2" s="1"/>
  <c r="H229" i="3"/>
  <c r="C229" i="3"/>
  <c r="W21" i="3" s="1"/>
  <c r="AL20" i="3" s="1"/>
  <c r="D229" i="3"/>
  <c r="L228" i="3"/>
  <c r="H228" i="3"/>
  <c r="C228" i="3"/>
  <c r="V21" i="3" s="1"/>
  <c r="AK20" i="3" s="1"/>
  <c r="D228" i="3"/>
  <c r="H227" i="3"/>
  <c r="L227" i="3"/>
  <c r="U47" i="3" s="1"/>
  <c r="AJ47" i="3" s="1"/>
  <c r="AJ76" i="3" s="1"/>
  <c r="J22" i="2" s="1"/>
  <c r="C227" i="3"/>
  <c r="U21" i="3" s="1"/>
  <c r="AJ20" i="3" s="1"/>
  <c r="D227" i="3"/>
  <c r="L226" i="3"/>
  <c r="T47" i="3" s="1"/>
  <c r="AI47" i="3" s="1"/>
  <c r="AI76" i="3" s="1"/>
  <c r="I22" i="2" s="1"/>
  <c r="H226" i="3"/>
  <c r="H225" i="3"/>
  <c r="L225" i="3"/>
  <c r="S47" i="3" s="1"/>
  <c r="AH47" i="3" s="1"/>
  <c r="AH76" i="3" s="1"/>
  <c r="H22" i="2" s="1"/>
  <c r="C225" i="3"/>
  <c r="S21" i="3" s="1"/>
  <c r="AH20" i="3" s="1"/>
  <c r="D225" i="3"/>
  <c r="C226" i="3"/>
  <c r="T21" i="3" s="1"/>
  <c r="AI20" i="3" s="1"/>
  <c r="D226" i="3"/>
  <c r="L224" i="3"/>
  <c r="H224" i="3"/>
  <c r="C224" i="3"/>
  <c r="R21" i="3" s="1"/>
  <c r="AG20" i="3" s="1"/>
  <c r="D224" i="3"/>
  <c r="D210" i="3"/>
  <c r="H223" i="3"/>
  <c r="L223" i="3"/>
  <c r="Q47" i="3" s="1"/>
  <c r="AF47" i="3" s="1"/>
  <c r="AF76" i="3" s="1"/>
  <c r="F22" i="2" s="1"/>
  <c r="C223" i="3"/>
  <c r="D223" i="3"/>
  <c r="H222" i="3"/>
  <c r="L222" i="3"/>
  <c r="P47" i="3" s="1"/>
  <c r="AE47" i="3" s="1"/>
  <c r="D222" i="3"/>
  <c r="C222" i="3"/>
  <c r="Q21" i="3" s="1"/>
  <c r="AF20" i="3" s="1"/>
  <c r="AQ78" i="3" l="1"/>
  <c r="E24" i="2"/>
  <c r="S35" i="3"/>
  <c r="AH36" i="3" s="1"/>
  <c r="AH79" i="3" s="1"/>
  <c r="H25" i="2" s="1"/>
  <c r="Q35" i="3"/>
  <c r="AF36" i="3" s="1"/>
  <c r="AF79" i="3" s="1"/>
  <c r="F25" i="2" s="1"/>
  <c r="P35" i="3"/>
  <c r="AE36" i="3" s="1"/>
  <c r="I228" i="3"/>
  <c r="V34" i="3" s="1"/>
  <c r="AK35" i="3" s="1"/>
  <c r="AK77" i="3" s="1"/>
  <c r="K23" i="2" s="1"/>
  <c r="P21" i="3"/>
  <c r="AE20" i="3" s="1"/>
  <c r="AQ20" i="3" s="1"/>
  <c r="I223" i="3"/>
  <c r="Q34" i="3" s="1"/>
  <c r="AF35" i="3" s="1"/>
  <c r="AF77" i="3" s="1"/>
  <c r="F23" i="2" s="1"/>
  <c r="I230" i="3"/>
  <c r="X34" i="3" s="1"/>
  <c r="AM35" i="3" s="1"/>
  <c r="AM77" i="3" s="1"/>
  <c r="M23" i="2" s="1"/>
  <c r="Z34" i="3"/>
  <c r="AO35" i="3" s="1"/>
  <c r="AO77" i="3" s="1"/>
  <c r="O23" i="2" s="1"/>
  <c r="AE76" i="3"/>
  <c r="E22" i="2" s="1"/>
  <c r="I231" i="3"/>
  <c r="I225" i="3"/>
  <c r="I227" i="3"/>
  <c r="V47" i="3"/>
  <c r="AK47" i="3" s="1"/>
  <c r="AK76" i="3" s="1"/>
  <c r="K22" i="2" s="1"/>
  <c r="Y47" i="3"/>
  <c r="AN47" i="3" s="1"/>
  <c r="AN76" i="3" s="1"/>
  <c r="N22" i="2" s="1"/>
  <c r="I226" i="3"/>
  <c r="T34" i="3" s="1"/>
  <c r="AI35" i="3" s="1"/>
  <c r="AI77" i="3" s="1"/>
  <c r="I23" i="2" s="1"/>
  <c r="I229" i="3"/>
  <c r="I224" i="3"/>
  <c r="R47" i="3"/>
  <c r="AG47" i="3" s="1"/>
  <c r="AG76" i="3" s="1"/>
  <c r="G22" i="2" s="1"/>
  <c r="L221" i="3"/>
  <c r="AA46" i="3" s="1"/>
  <c r="AP46" i="3" s="1"/>
  <c r="L220" i="3"/>
  <c r="H220" i="3"/>
  <c r="H221" i="3"/>
  <c r="C220" i="3"/>
  <c r="Z20" i="3" s="1"/>
  <c r="AO19" i="3" s="1"/>
  <c r="D220" i="3"/>
  <c r="C221" i="3"/>
  <c r="AA20" i="3" s="1"/>
  <c r="AP19" i="3" s="1"/>
  <c r="D221" i="3"/>
  <c r="L219" i="3"/>
  <c r="Y46" i="3" s="1"/>
  <c r="AN46" i="3" s="1"/>
  <c r="H219" i="3"/>
  <c r="C219" i="3"/>
  <c r="Y20" i="3" s="1"/>
  <c r="AN19" i="3" s="1"/>
  <c r="D219" i="3"/>
  <c r="L218" i="3"/>
  <c r="X46" i="3" s="1"/>
  <c r="AM46" i="3" s="1"/>
  <c r="H218" i="3"/>
  <c r="C218" i="3"/>
  <c r="X20" i="3" s="1"/>
  <c r="AM19" i="3" s="1"/>
  <c r="D218" i="3"/>
  <c r="C217" i="3"/>
  <c r="W20" i="3" s="1"/>
  <c r="AL19" i="3" s="1"/>
  <c r="D217" i="3"/>
  <c r="H217" i="3"/>
  <c r="L217" i="3"/>
  <c r="W46" i="3" s="1"/>
  <c r="AL46" i="3" s="1"/>
  <c r="H216" i="3"/>
  <c r="D216" i="3"/>
  <c r="C216" i="3"/>
  <c r="V20" i="3" s="1"/>
  <c r="AK19" i="3" s="1"/>
  <c r="L216" i="3"/>
  <c r="V46" i="3" s="1"/>
  <c r="AK46" i="3" s="1"/>
  <c r="H215" i="3"/>
  <c r="D215" i="3"/>
  <c r="C215" i="3"/>
  <c r="U20" i="3" s="1"/>
  <c r="AJ19" i="3" s="1"/>
  <c r="L215" i="3"/>
  <c r="U46" i="3" s="1"/>
  <c r="AJ46" i="3" s="1"/>
  <c r="AE79" i="3" l="1"/>
  <c r="E25" i="2" s="1"/>
  <c r="AQ79" i="3"/>
  <c r="Q24" i="2"/>
  <c r="AQ47" i="3"/>
  <c r="AQ76" i="3" s="1"/>
  <c r="Q22" i="2" s="1"/>
  <c r="S34" i="3"/>
  <c r="AH35" i="3" s="1"/>
  <c r="AH77" i="3" s="1"/>
  <c r="H23" i="2" s="1"/>
  <c r="U34" i="3"/>
  <c r="AJ35" i="3" s="1"/>
  <c r="AJ77" i="3" s="1"/>
  <c r="J23" i="2" s="1"/>
  <c r="Y34" i="3"/>
  <c r="AN35" i="3" s="1"/>
  <c r="AN77" i="3" s="1"/>
  <c r="N23" i="2" s="1"/>
  <c r="R34" i="3"/>
  <c r="AG35" i="3" s="1"/>
  <c r="AG77" i="3" s="1"/>
  <c r="G23" i="2" s="1"/>
  <c r="W34" i="3"/>
  <c r="AL35" i="3" s="1"/>
  <c r="AL77" i="3" s="1"/>
  <c r="L23" i="2" s="1"/>
  <c r="I217" i="3"/>
  <c r="W33" i="3" s="1"/>
  <c r="AL34" i="3" s="1"/>
  <c r="AL75" i="3" s="1"/>
  <c r="L21" i="2" s="1"/>
  <c r="I222" i="3"/>
  <c r="I220" i="3"/>
  <c r="Z33" i="3" s="1"/>
  <c r="AO34" i="3" s="1"/>
  <c r="AO75" i="3" s="1"/>
  <c r="O21" i="2" s="1"/>
  <c r="I216" i="3"/>
  <c r="V33" i="3" s="1"/>
  <c r="AK34" i="3" s="1"/>
  <c r="AK75" i="3" s="1"/>
  <c r="K21" i="2" s="1"/>
  <c r="I218" i="3"/>
  <c r="X33" i="3" s="1"/>
  <c r="AM34" i="3" s="1"/>
  <c r="AM75" i="3" s="1"/>
  <c r="M21" i="2" s="1"/>
  <c r="I219" i="3"/>
  <c r="I221" i="3"/>
  <c r="AA33" i="3" s="1"/>
  <c r="AP34" i="3" s="1"/>
  <c r="AP75" i="3" s="1"/>
  <c r="P21" i="2" s="1"/>
  <c r="Z46" i="3"/>
  <c r="AO46" i="3" s="1"/>
  <c r="L214" i="3"/>
  <c r="T46" i="3" s="1"/>
  <c r="AI46" i="3" s="1"/>
  <c r="H214" i="3"/>
  <c r="I215" i="3" s="1"/>
  <c r="U33" i="3" s="1"/>
  <c r="AJ34" i="3" s="1"/>
  <c r="AJ75" i="3" s="1"/>
  <c r="J21" i="2" s="1"/>
  <c r="D214" i="3"/>
  <c r="C214" i="3"/>
  <c r="T20" i="3" s="1"/>
  <c r="AI19" i="3" s="1"/>
  <c r="L213" i="3"/>
  <c r="S46" i="3" s="1"/>
  <c r="AH46" i="3" s="1"/>
  <c r="H213" i="3"/>
  <c r="D212" i="3"/>
  <c r="D213" i="3"/>
  <c r="C212" i="3"/>
  <c r="R20" i="3" s="1"/>
  <c r="AG19" i="3" s="1"/>
  <c r="C213" i="3"/>
  <c r="S20" i="3" s="1"/>
  <c r="AH19" i="3" s="1"/>
  <c r="H212" i="3"/>
  <c r="L212" i="3"/>
  <c r="R46" i="3" s="1"/>
  <c r="AG46" i="3" s="1"/>
  <c r="H211" i="3"/>
  <c r="I211" i="3" s="1"/>
  <c r="Q33" i="3" s="1"/>
  <c r="AF34" i="3" s="1"/>
  <c r="AF75" i="3" s="1"/>
  <c r="F21" i="2" s="1"/>
  <c r="D211" i="3"/>
  <c r="C210" i="3"/>
  <c r="P20" i="3" s="1"/>
  <c r="AE19" i="3" s="1"/>
  <c r="C211" i="3"/>
  <c r="Q20" i="3" s="1"/>
  <c r="AF19" i="3" s="1"/>
  <c r="L210" i="3"/>
  <c r="L211" i="3"/>
  <c r="Q46" i="3" s="1"/>
  <c r="AF46" i="3" s="1"/>
  <c r="L7" i="1"/>
  <c r="D209" i="3"/>
  <c r="C209" i="3"/>
  <c r="AA19" i="3" s="1"/>
  <c r="AP18" i="3" s="1"/>
  <c r="L209" i="3"/>
  <c r="AA45" i="3" s="1"/>
  <c r="AP45" i="3" s="1"/>
  <c r="D208" i="3"/>
  <c r="C208" i="3"/>
  <c r="Z19" i="3" s="1"/>
  <c r="AO18" i="3" s="1"/>
  <c r="L208" i="3"/>
  <c r="Z45" i="3" s="1"/>
  <c r="AO45" i="3" s="1"/>
  <c r="D206" i="3"/>
  <c r="D207" i="3"/>
  <c r="C206" i="3"/>
  <c r="X19" i="3" s="1"/>
  <c r="AM18" i="3" s="1"/>
  <c r="C207" i="3"/>
  <c r="Y19" i="3" s="1"/>
  <c r="AN18" i="3" s="1"/>
  <c r="L207" i="3"/>
  <c r="L206" i="3"/>
  <c r="X45" i="3" s="1"/>
  <c r="AM45" i="3" s="1"/>
  <c r="D204" i="3"/>
  <c r="D205" i="3"/>
  <c r="C204" i="3"/>
  <c r="V19" i="3" s="1"/>
  <c r="AK18" i="3" s="1"/>
  <c r="C205" i="3"/>
  <c r="W19" i="3" s="1"/>
  <c r="AL18" i="3" s="1"/>
  <c r="L205" i="3"/>
  <c r="W45" i="3" s="1"/>
  <c r="AL45" i="3" s="1"/>
  <c r="L204" i="3"/>
  <c r="V45" i="3" s="1"/>
  <c r="AK45" i="3" s="1"/>
  <c r="D202" i="3"/>
  <c r="D203" i="3"/>
  <c r="C202" i="3"/>
  <c r="T19" i="3" s="1"/>
  <c r="AI18" i="3" s="1"/>
  <c r="C203" i="3"/>
  <c r="U19" i="3" s="1"/>
  <c r="AJ18" i="3" s="1"/>
  <c r="L203" i="3"/>
  <c r="U45" i="3" s="1"/>
  <c r="AJ45" i="3" s="1"/>
  <c r="D201" i="3"/>
  <c r="C201" i="3"/>
  <c r="S19" i="3" s="1"/>
  <c r="AH18" i="3" s="1"/>
  <c r="L202" i="3"/>
  <c r="T45" i="3" s="1"/>
  <c r="AI45" i="3" s="1"/>
  <c r="L201" i="3"/>
  <c r="S45" i="3" s="1"/>
  <c r="AH45" i="3" s="1"/>
  <c r="D200" i="3"/>
  <c r="C200" i="3"/>
  <c r="R19" i="3" s="1"/>
  <c r="AG18" i="3" s="1"/>
  <c r="L200" i="3"/>
  <c r="R45" i="3" s="1"/>
  <c r="AG45" i="3" s="1"/>
  <c r="C199" i="3"/>
  <c r="Q19" i="3" s="1"/>
  <c r="AF18" i="3" s="1"/>
  <c r="D199" i="3"/>
  <c r="L199" i="3"/>
  <c r="D198" i="3"/>
  <c r="C198" i="3"/>
  <c r="P19" i="3" s="1"/>
  <c r="AE18" i="3" s="1"/>
  <c r="L198" i="3"/>
  <c r="P45" i="3" s="1"/>
  <c r="AE45" i="3" s="1"/>
  <c r="L197" i="3"/>
  <c r="AA44" i="3" s="1"/>
  <c r="AP44" i="3" s="1"/>
  <c r="D197" i="3"/>
  <c r="C197" i="3"/>
  <c r="C196" i="3"/>
  <c r="Z18" i="3" s="1"/>
  <c r="AO17" i="3" s="1"/>
  <c r="D196" i="3"/>
  <c r="L196" i="3"/>
  <c r="Z44" i="3" s="1"/>
  <c r="AO44" i="3" s="1"/>
  <c r="L195" i="3"/>
  <c r="Y44" i="3" s="1"/>
  <c r="AN44" i="3" s="1"/>
  <c r="D195" i="3"/>
  <c r="C195" i="3"/>
  <c r="Y18" i="3" s="1"/>
  <c r="AN17" i="3" s="1"/>
  <c r="BA19" i="3"/>
  <c r="AZ19" i="3"/>
  <c r="AY19" i="3"/>
  <c r="AX19" i="3"/>
  <c r="L194" i="3"/>
  <c r="X44" i="3" s="1"/>
  <c r="AM44" i="3" s="1"/>
  <c r="D194" i="3"/>
  <c r="C194" i="3"/>
  <c r="D193" i="3"/>
  <c r="C193" i="3"/>
  <c r="L193" i="3"/>
  <c r="W44" i="3" s="1"/>
  <c r="AL44" i="3" s="1"/>
  <c r="D192" i="3"/>
  <c r="C192" i="3"/>
  <c r="L192" i="3"/>
  <c r="V44" i="3" s="1"/>
  <c r="AK44" i="3" s="1"/>
  <c r="L191" i="3"/>
  <c r="U44" i="3" s="1"/>
  <c r="AJ44" i="3" s="1"/>
  <c r="D191" i="3"/>
  <c r="C191" i="3"/>
  <c r="U18" i="3" s="1"/>
  <c r="AJ17" i="3" s="1"/>
  <c r="D190" i="3"/>
  <c r="C190" i="3"/>
  <c r="L190" i="3"/>
  <c r="T44" i="3" s="1"/>
  <c r="AI44" i="3" s="1"/>
  <c r="S31" i="3"/>
  <c r="D189" i="3"/>
  <c r="C189" i="3"/>
  <c r="L189" i="3"/>
  <c r="S44" i="3" s="1"/>
  <c r="AH44" i="3" s="1"/>
  <c r="R31" i="3"/>
  <c r="D188" i="3"/>
  <c r="C188" i="3"/>
  <c r="L188" i="3"/>
  <c r="R44" i="3" s="1"/>
  <c r="AG44" i="3" s="1"/>
  <c r="L178" i="3"/>
  <c r="L187" i="3"/>
  <c r="L186" i="3"/>
  <c r="L185" i="3"/>
  <c r="AA43" i="3" s="1"/>
  <c r="L184" i="3"/>
  <c r="Z43" i="3" s="1"/>
  <c r="L183" i="3"/>
  <c r="Y43" i="3" s="1"/>
  <c r="L182" i="3"/>
  <c r="X43" i="3" s="1"/>
  <c r="L181" i="3"/>
  <c r="W43" i="3" s="1"/>
  <c r="L180" i="3"/>
  <c r="V43" i="3" s="1"/>
  <c r="L179" i="3"/>
  <c r="U43" i="3" s="1"/>
  <c r="AJ43" i="3" s="1"/>
  <c r="Q25" i="2" l="1"/>
  <c r="I213" i="3"/>
  <c r="S33" i="3" s="1"/>
  <c r="AH34" i="3" s="1"/>
  <c r="AH75" i="3" s="1"/>
  <c r="H21" i="2" s="1"/>
  <c r="X2" i="2"/>
  <c r="P34" i="3"/>
  <c r="AE35" i="3" s="1"/>
  <c r="AQ35" i="3" s="1"/>
  <c r="I212" i="3"/>
  <c r="R33" i="3" s="1"/>
  <c r="AG34" i="3" s="1"/>
  <c r="AG75" i="3" s="1"/>
  <c r="G21" i="2" s="1"/>
  <c r="AQ46" i="3"/>
  <c r="M211" i="3"/>
  <c r="M212" i="3" s="1"/>
  <c r="M213" i="3" s="1"/>
  <c r="M214" i="3" s="1"/>
  <c r="M215" i="3" s="1"/>
  <c r="M216" i="3" s="1"/>
  <c r="M217" i="3" s="1"/>
  <c r="M218" i="3" s="1"/>
  <c r="M219" i="3" s="1"/>
  <c r="M220" i="3" s="1"/>
  <c r="M221" i="3" s="1"/>
  <c r="M222" i="3" s="1"/>
  <c r="M223" i="3" s="1"/>
  <c r="M224" i="3" s="1"/>
  <c r="M225" i="3" s="1"/>
  <c r="M226" i="3" s="1"/>
  <c r="M227" i="3" s="1"/>
  <c r="M228" i="3" s="1"/>
  <c r="M229" i="3" s="1"/>
  <c r="M230" i="3" s="1"/>
  <c r="M231" i="3" s="1"/>
  <c r="M232" i="3" s="1"/>
  <c r="M233" i="3" s="1"/>
  <c r="M234" i="3" s="1"/>
  <c r="M235" i="3" s="1"/>
  <c r="M236" i="3" s="1"/>
  <c r="M237" i="3" s="1"/>
  <c r="M238" i="3" s="1"/>
  <c r="M239" i="3" s="1"/>
  <c r="M240" i="3" s="1"/>
  <c r="M241" i="3" s="1"/>
  <c r="M242" i="3" s="1"/>
  <c r="M243" i="3" s="1"/>
  <c r="M244" i="3" s="1"/>
  <c r="M245" i="3" s="1"/>
  <c r="M246" i="3" s="1"/>
  <c r="M247" i="3" s="1"/>
  <c r="M248" i="3" s="1"/>
  <c r="I214" i="3"/>
  <c r="T33" i="3" s="1"/>
  <c r="AI34" i="3" s="1"/>
  <c r="AI75" i="3" s="1"/>
  <c r="I21" i="2" s="1"/>
  <c r="Y33" i="3"/>
  <c r="AN34" i="3" s="1"/>
  <c r="AN75" i="3" s="1"/>
  <c r="N21" i="2" s="1"/>
  <c r="AQ19" i="3"/>
  <c r="AQ18" i="3"/>
  <c r="P33" i="3"/>
  <c r="AE34" i="3" s="1"/>
  <c r="AA32" i="3"/>
  <c r="P46" i="3"/>
  <c r="V32" i="3"/>
  <c r="X32" i="3"/>
  <c r="P32" i="3"/>
  <c r="Y32" i="3"/>
  <c r="R32" i="3"/>
  <c r="Q32" i="3"/>
  <c r="Z32" i="3"/>
  <c r="T32" i="3"/>
  <c r="Q45" i="3"/>
  <c r="AF45" i="3" s="1"/>
  <c r="Y45" i="3"/>
  <c r="AN45" i="3" s="1"/>
  <c r="P15" i="1"/>
  <c r="AA18" i="3"/>
  <c r="AP17" i="3" s="1"/>
  <c r="W31" i="3"/>
  <c r="X31" i="3"/>
  <c r="Z31" i="3"/>
  <c r="V31" i="3"/>
  <c r="Y31" i="3"/>
  <c r="AA31" i="3"/>
  <c r="U31" i="3"/>
  <c r="R18" i="3"/>
  <c r="AG17" i="3" s="1"/>
  <c r="S18" i="3"/>
  <c r="AH17" i="3" s="1"/>
  <c r="T18" i="3"/>
  <c r="AI17" i="3" s="1"/>
  <c r="V18" i="3"/>
  <c r="AK17" i="3" s="1"/>
  <c r="W18" i="3"/>
  <c r="AL17" i="3" s="1"/>
  <c r="X18" i="3"/>
  <c r="AM17" i="3" s="1"/>
  <c r="D183" i="3"/>
  <c r="D184" i="3"/>
  <c r="D185" i="3"/>
  <c r="D186" i="3"/>
  <c r="D187" i="3"/>
  <c r="C183" i="3"/>
  <c r="Y17" i="3" s="1"/>
  <c r="AN16" i="3" s="1"/>
  <c r="C184" i="3"/>
  <c r="Z17" i="3" s="1"/>
  <c r="AO16" i="3" s="1"/>
  <c r="C185" i="3"/>
  <c r="AA17" i="3" s="1"/>
  <c r="AP16" i="3" s="1"/>
  <c r="C186" i="3"/>
  <c r="P18" i="3" s="1"/>
  <c r="AE17" i="3" s="1"/>
  <c r="C187" i="3"/>
  <c r="Q18" i="3" s="1"/>
  <c r="AF17" i="3" s="1"/>
  <c r="AN43" i="3"/>
  <c r="AO43" i="3"/>
  <c r="AP43" i="3"/>
  <c r="P44" i="3"/>
  <c r="AE44" i="3" s="1"/>
  <c r="Q44" i="3"/>
  <c r="AF44" i="3" s="1"/>
  <c r="C181" i="3"/>
  <c r="W17" i="3" s="1"/>
  <c r="AL16" i="3" s="1"/>
  <c r="D181" i="3"/>
  <c r="AL43" i="3"/>
  <c r="C182" i="3"/>
  <c r="X17" i="3" s="1"/>
  <c r="D182" i="3"/>
  <c r="AM43" i="3"/>
  <c r="AE77" i="3" l="1"/>
  <c r="E23" i="2" s="1"/>
  <c r="AQ77" i="3"/>
  <c r="AQ34" i="3"/>
  <c r="AQ75" i="3" s="1"/>
  <c r="Q21" i="2" s="1"/>
  <c r="AQ45" i="3"/>
  <c r="S32" i="3"/>
  <c r="U32" i="3"/>
  <c r="W32" i="3"/>
  <c r="AQ17" i="3"/>
  <c r="AQ44" i="3"/>
  <c r="T31" i="3"/>
  <c r="J211" i="3"/>
  <c r="J212" i="3" s="1"/>
  <c r="J213" i="3" s="1"/>
  <c r="J214" i="3" s="1"/>
  <c r="J215" i="3" s="1"/>
  <c r="J216" i="3" s="1"/>
  <c r="J217" i="3" s="1"/>
  <c r="J218" i="3" s="1"/>
  <c r="J219" i="3" s="1"/>
  <c r="J220" i="3" s="1"/>
  <c r="J221" i="3" s="1"/>
  <c r="J222" i="3" s="1"/>
  <c r="J223" i="3" s="1"/>
  <c r="J224" i="3" s="1"/>
  <c r="J225" i="3" s="1"/>
  <c r="J226" i="3" s="1"/>
  <c r="J227" i="3" s="1"/>
  <c r="J228" i="3" s="1"/>
  <c r="J229" i="3" s="1"/>
  <c r="J230" i="3" s="1"/>
  <c r="J231" i="3" s="1"/>
  <c r="J232" i="3" s="1"/>
  <c r="J233" i="3" s="1"/>
  <c r="J234" i="3" s="1"/>
  <c r="J235" i="3" s="1"/>
  <c r="J236" i="3" s="1"/>
  <c r="J237" i="3" s="1"/>
  <c r="J238" i="3" s="1"/>
  <c r="J239" i="3" s="1"/>
  <c r="J240" i="3" s="1"/>
  <c r="J241" i="3" s="1"/>
  <c r="J242" i="3" s="1"/>
  <c r="J243" i="3" s="1"/>
  <c r="J244" i="3" s="1"/>
  <c r="J245" i="3" s="1"/>
  <c r="J246" i="3" s="1"/>
  <c r="J247" i="3" s="1"/>
  <c r="J248" i="3" s="1"/>
  <c r="Z30" i="3"/>
  <c r="Y30" i="3"/>
  <c r="Q31" i="3"/>
  <c r="AM16" i="3"/>
  <c r="AA30" i="3"/>
  <c r="P31" i="3"/>
  <c r="X30" i="3"/>
  <c r="C178" i="3"/>
  <c r="T17" i="3" s="1"/>
  <c r="AI16" i="3" s="1"/>
  <c r="D178" i="3"/>
  <c r="C179" i="3"/>
  <c r="U17" i="3" s="1"/>
  <c r="AJ16" i="3" s="1"/>
  <c r="D179" i="3"/>
  <c r="C180" i="3"/>
  <c r="V17" i="3" s="1"/>
  <c r="AK16" i="3" s="1"/>
  <c r="D180" i="3"/>
  <c r="V30" i="3"/>
  <c r="AK43" i="3"/>
  <c r="Q23" i="2" l="1"/>
  <c r="X3" i="2"/>
  <c r="T43" i="3"/>
  <c r="AI43" i="3" s="1"/>
  <c r="C177" i="3"/>
  <c r="S17" i="3" s="1"/>
  <c r="AH16" i="3" s="1"/>
  <c r="D177" i="3"/>
  <c r="L177" i="3"/>
  <c r="S43" i="3" l="1"/>
  <c r="AH43" i="3" s="1"/>
  <c r="W30" i="3"/>
  <c r="U30" i="3"/>
  <c r="C176" i="3"/>
  <c r="R17" i="3" s="1"/>
  <c r="AG16" i="3" s="1"/>
  <c r="D176" i="3"/>
  <c r="L176" i="3"/>
  <c r="S30" i="3" l="1"/>
  <c r="R43" i="3"/>
  <c r="AG43" i="3" s="1"/>
  <c r="T30" i="3"/>
  <c r="C175" i="3"/>
  <c r="Q17" i="3" s="1"/>
  <c r="AF16" i="3" s="1"/>
  <c r="D175" i="3"/>
  <c r="L175" i="3"/>
  <c r="Q43" i="3" s="1"/>
  <c r="AF43" i="3" s="1"/>
  <c r="C174" i="3" l="1"/>
  <c r="P17" i="3" s="1"/>
  <c r="AE16" i="3" s="1"/>
  <c r="D174" i="3"/>
  <c r="L174" i="3"/>
  <c r="P43" i="3" s="1"/>
  <c r="AE43" i="3" s="1"/>
  <c r="AQ43" i="3" s="1"/>
  <c r="AQ16" i="3" l="1"/>
  <c r="Q30" i="3"/>
  <c r="R30" i="3"/>
  <c r="C173" i="3"/>
  <c r="AA16" i="3" s="1"/>
  <c r="AP15" i="3" s="1"/>
  <c r="D173" i="3"/>
  <c r="L173" i="3"/>
  <c r="AA42" i="3" s="1"/>
  <c r="AP42" i="3" s="1"/>
  <c r="P30" i="3" l="1"/>
  <c r="C172" i="3"/>
  <c r="Z16" i="3" s="1"/>
  <c r="AO15" i="3" s="1"/>
  <c r="D172" i="3"/>
  <c r="L172" i="3"/>
  <c r="Z42" i="3" s="1"/>
  <c r="AO42" i="3" s="1"/>
  <c r="AA29" i="3" l="1"/>
  <c r="C171" i="3"/>
  <c r="Y16" i="3" s="1"/>
  <c r="AN15" i="3" s="1"/>
  <c r="D171" i="3"/>
  <c r="L171" i="3"/>
  <c r="Z29" i="3" l="1"/>
  <c r="Y42" i="3"/>
  <c r="AN42" i="3" s="1"/>
  <c r="C170" i="3"/>
  <c r="X16" i="3" s="1"/>
  <c r="AM15" i="3" s="1"/>
  <c r="D170" i="3"/>
  <c r="L170" i="3"/>
  <c r="X42" i="3" s="1"/>
  <c r="AM42" i="3" s="1"/>
  <c r="C169" i="3" l="1"/>
  <c r="W16" i="3" s="1"/>
  <c r="AL15" i="3" s="1"/>
  <c r="D169" i="3"/>
  <c r="L169" i="3"/>
  <c r="W42" i="3" s="1"/>
  <c r="AL42" i="3" s="1"/>
  <c r="X29" i="3" l="1"/>
  <c r="Y29" i="3"/>
  <c r="AC55" i="3"/>
  <c r="AC56" i="3"/>
  <c r="AC57" i="3"/>
  <c r="AC54" i="3"/>
  <c r="L168" i="3"/>
  <c r="V42" i="3" s="1"/>
  <c r="AK42" i="3" s="1"/>
  <c r="C168" i="3"/>
  <c r="V16" i="3" s="1"/>
  <c r="AK15" i="3" s="1"/>
  <c r="D168" i="3"/>
  <c r="W29" i="3" l="1"/>
  <c r="L167" i="3" l="1"/>
  <c r="U42" i="3" s="1"/>
  <c r="AJ42" i="3" s="1"/>
  <c r="V29" i="3"/>
  <c r="C167" i="3"/>
  <c r="U16" i="3" s="1"/>
  <c r="AJ15" i="3" s="1"/>
  <c r="D167" i="3"/>
  <c r="D166" i="3" l="1"/>
  <c r="C166" i="3"/>
  <c r="T16" i="3" s="1"/>
  <c r="AI15" i="3" s="1"/>
  <c r="L166" i="3"/>
  <c r="T42" i="3" s="1"/>
  <c r="AI42" i="3" s="1"/>
  <c r="U29" i="3" l="1"/>
  <c r="AQ40" i="3"/>
  <c r="AQ41" i="3"/>
  <c r="AQ12" i="3" l="1"/>
  <c r="AQ11" i="3"/>
  <c r="AQ10" i="3"/>
  <c r="AQ9" i="3"/>
  <c r="AQ8" i="3"/>
  <c r="AQ7" i="3"/>
  <c r="AQ6" i="3"/>
  <c r="AQ5" i="3"/>
  <c r="AQ4" i="3"/>
  <c r="AQ3" i="3"/>
  <c r="AQ2" i="3"/>
  <c r="C4" i="3"/>
  <c r="P3" i="3" s="1"/>
  <c r="AE2" i="3" s="1"/>
  <c r="C5" i="3"/>
  <c r="Q3" i="3" s="1"/>
  <c r="AF2" i="3" s="1"/>
  <c r="C6" i="3"/>
  <c r="R3" i="3" s="1"/>
  <c r="AG2" i="3" s="1"/>
  <c r="C7" i="3"/>
  <c r="S3" i="3" s="1"/>
  <c r="AH2" i="3" s="1"/>
  <c r="C8" i="3"/>
  <c r="T3" i="3" s="1"/>
  <c r="AI2" i="3" s="1"/>
  <c r="C9" i="3"/>
  <c r="U3" i="3" s="1"/>
  <c r="AJ2" i="3" s="1"/>
  <c r="C10" i="3"/>
  <c r="V3" i="3" s="1"/>
  <c r="AK2" i="3" s="1"/>
  <c r="C11" i="3"/>
  <c r="W3" i="3" s="1"/>
  <c r="AL2" i="3" s="1"/>
  <c r="C12" i="3"/>
  <c r="X3" i="3" s="1"/>
  <c r="AM2" i="3" s="1"/>
  <c r="C13" i="3"/>
  <c r="Y3" i="3" s="1"/>
  <c r="AN2" i="3" s="1"/>
  <c r="C14" i="3"/>
  <c r="Z3" i="3" s="1"/>
  <c r="AO2" i="3" s="1"/>
  <c r="C15" i="3"/>
  <c r="AA3" i="3" s="1"/>
  <c r="AP2" i="3" s="1"/>
  <c r="C16" i="3"/>
  <c r="P4" i="3" s="1"/>
  <c r="AE3" i="3" s="1"/>
  <c r="C17" i="3"/>
  <c r="Q4" i="3" s="1"/>
  <c r="AF3" i="3" s="1"/>
  <c r="C18" i="3"/>
  <c r="R4" i="3" s="1"/>
  <c r="AG3" i="3" s="1"/>
  <c r="C19" i="3"/>
  <c r="S4" i="3" s="1"/>
  <c r="AH3" i="3" s="1"/>
  <c r="C20" i="3"/>
  <c r="T4" i="3" s="1"/>
  <c r="AI3" i="3" s="1"/>
  <c r="C21" i="3"/>
  <c r="U4" i="3" s="1"/>
  <c r="AJ3" i="3" s="1"/>
  <c r="C22" i="3"/>
  <c r="V4" i="3" s="1"/>
  <c r="AK3" i="3" s="1"/>
  <c r="C24" i="3"/>
  <c r="W4" i="3" s="1"/>
  <c r="AL3" i="3" s="1"/>
  <c r="C25" i="3"/>
  <c r="X4" i="3" s="1"/>
  <c r="AM3" i="3" s="1"/>
  <c r="C26" i="3"/>
  <c r="Y4" i="3" s="1"/>
  <c r="AN3" i="3" s="1"/>
  <c r="C27" i="3"/>
  <c r="Z4" i="3" s="1"/>
  <c r="AO3" i="3" s="1"/>
  <c r="C28" i="3"/>
  <c r="AA4" i="3" s="1"/>
  <c r="AP3" i="3" s="1"/>
  <c r="C29" i="3"/>
  <c r="P5" i="3" s="1"/>
  <c r="AE4" i="3" s="1"/>
  <c r="C30" i="3"/>
  <c r="C31" i="3"/>
  <c r="R5" i="3" s="1"/>
  <c r="AG4" i="3" s="1"/>
  <c r="C32" i="3"/>
  <c r="S5" i="3" s="1"/>
  <c r="AH4" i="3" s="1"/>
  <c r="C33" i="3"/>
  <c r="T5" i="3" s="1"/>
  <c r="AI4" i="3" s="1"/>
  <c r="C34" i="3"/>
  <c r="U5" i="3" s="1"/>
  <c r="AJ4" i="3" s="1"/>
  <c r="C35" i="3"/>
  <c r="V5" i="3" s="1"/>
  <c r="AK4" i="3" s="1"/>
  <c r="C37" i="3"/>
  <c r="W5" i="3" s="1"/>
  <c r="AL4" i="3" s="1"/>
  <c r="C38" i="3"/>
  <c r="X5" i="3" s="1"/>
  <c r="AM4" i="3" s="1"/>
  <c r="C39" i="3"/>
  <c r="Y5" i="3" s="1"/>
  <c r="AN4" i="3" s="1"/>
  <c r="C40" i="3"/>
  <c r="Z5" i="3" s="1"/>
  <c r="AO4" i="3" s="1"/>
  <c r="C41" i="3"/>
  <c r="AA5" i="3" s="1"/>
  <c r="AP4" i="3" s="1"/>
  <c r="C42" i="3"/>
  <c r="P6" i="3" s="1"/>
  <c r="AE5" i="3" s="1"/>
  <c r="C43" i="3"/>
  <c r="Q6" i="3" s="1"/>
  <c r="AF5" i="3" s="1"/>
  <c r="C44" i="3"/>
  <c r="R6" i="3" s="1"/>
  <c r="AG5" i="3" s="1"/>
  <c r="C45" i="3"/>
  <c r="S6" i="3" s="1"/>
  <c r="AH5" i="3" s="1"/>
  <c r="C46" i="3"/>
  <c r="T6" i="3" s="1"/>
  <c r="AI5" i="3" s="1"/>
  <c r="C47" i="3"/>
  <c r="U6" i="3" s="1"/>
  <c r="AJ5" i="3" s="1"/>
  <c r="C48" i="3"/>
  <c r="V6" i="3" s="1"/>
  <c r="AK5" i="3" s="1"/>
  <c r="C49" i="3"/>
  <c r="W6" i="3" s="1"/>
  <c r="AL5" i="3" s="1"/>
  <c r="C50" i="3"/>
  <c r="X6" i="3" s="1"/>
  <c r="AM5" i="3" s="1"/>
  <c r="C51" i="3"/>
  <c r="Y6" i="3" s="1"/>
  <c r="AN5" i="3" s="1"/>
  <c r="C52" i="3"/>
  <c r="Z6" i="3" s="1"/>
  <c r="AO5" i="3" s="1"/>
  <c r="C53" i="3"/>
  <c r="AA6" i="3" s="1"/>
  <c r="AP5" i="3" s="1"/>
  <c r="C54" i="3"/>
  <c r="P7" i="3" s="1"/>
  <c r="AE6" i="3" s="1"/>
  <c r="C55" i="3"/>
  <c r="Q7" i="3" s="1"/>
  <c r="AF6" i="3" s="1"/>
  <c r="C56" i="3"/>
  <c r="R7" i="3" s="1"/>
  <c r="AG6" i="3" s="1"/>
  <c r="C57" i="3"/>
  <c r="S7" i="3" s="1"/>
  <c r="AH6" i="3" s="1"/>
  <c r="C58" i="3"/>
  <c r="T7" i="3" s="1"/>
  <c r="AI6" i="3" s="1"/>
  <c r="C59" i="3"/>
  <c r="U7" i="3" s="1"/>
  <c r="AJ6" i="3" s="1"/>
  <c r="C60" i="3"/>
  <c r="V7" i="3" s="1"/>
  <c r="AK6" i="3" s="1"/>
  <c r="C61" i="3"/>
  <c r="W7" i="3" s="1"/>
  <c r="AL6" i="3" s="1"/>
  <c r="C62" i="3"/>
  <c r="X7" i="3" s="1"/>
  <c r="AM6" i="3" s="1"/>
  <c r="C63" i="3"/>
  <c r="Y7" i="3" s="1"/>
  <c r="AN6" i="3" s="1"/>
  <c r="C64" i="3"/>
  <c r="Z7" i="3" s="1"/>
  <c r="AO6" i="3" s="1"/>
  <c r="C65" i="3"/>
  <c r="AA7" i="3" s="1"/>
  <c r="AP6" i="3" s="1"/>
  <c r="C66" i="3"/>
  <c r="P8" i="3" s="1"/>
  <c r="AE7" i="3" s="1"/>
  <c r="C67" i="3"/>
  <c r="Q8" i="3" s="1"/>
  <c r="AF7" i="3" s="1"/>
  <c r="C68" i="3"/>
  <c r="R8" i="3" s="1"/>
  <c r="AG7" i="3" s="1"/>
  <c r="C69" i="3"/>
  <c r="S8" i="3" s="1"/>
  <c r="AH7" i="3" s="1"/>
  <c r="C70" i="3"/>
  <c r="T8" i="3" s="1"/>
  <c r="AI7" i="3" s="1"/>
  <c r="C71" i="3"/>
  <c r="U8" i="3" s="1"/>
  <c r="AJ7" i="3" s="1"/>
  <c r="C72" i="3"/>
  <c r="V8" i="3" s="1"/>
  <c r="AK7" i="3" s="1"/>
  <c r="C73" i="3"/>
  <c r="W8" i="3" s="1"/>
  <c r="AL7" i="3" s="1"/>
  <c r="C74" i="3"/>
  <c r="X8" i="3" s="1"/>
  <c r="AM7" i="3" s="1"/>
  <c r="C75" i="3"/>
  <c r="Y8" i="3" s="1"/>
  <c r="AN7" i="3" s="1"/>
  <c r="C76" i="3"/>
  <c r="Z8" i="3" s="1"/>
  <c r="AO7" i="3" s="1"/>
  <c r="C77" i="3"/>
  <c r="AA8" i="3" s="1"/>
  <c r="AP7" i="3" s="1"/>
  <c r="C78" i="3"/>
  <c r="P9" i="3" s="1"/>
  <c r="AE8" i="3" s="1"/>
  <c r="C79" i="3"/>
  <c r="C80" i="3"/>
  <c r="R9" i="3" s="1"/>
  <c r="AG8" i="3" s="1"/>
  <c r="C81" i="3"/>
  <c r="S9" i="3" s="1"/>
  <c r="AH8" i="3" s="1"/>
  <c r="C82" i="3"/>
  <c r="T9" i="3" s="1"/>
  <c r="AI8" i="3" s="1"/>
  <c r="C83" i="3"/>
  <c r="U9" i="3" s="1"/>
  <c r="AJ8" i="3" s="1"/>
  <c r="C84" i="3"/>
  <c r="V9" i="3" s="1"/>
  <c r="AK8" i="3" s="1"/>
  <c r="C85" i="3"/>
  <c r="W9" i="3" s="1"/>
  <c r="AL8" i="3" s="1"/>
  <c r="C86" i="3"/>
  <c r="X9" i="3" s="1"/>
  <c r="AM8" i="3" s="1"/>
  <c r="C87" i="3"/>
  <c r="Y9" i="3" s="1"/>
  <c r="AN8" i="3" s="1"/>
  <c r="C88" i="3"/>
  <c r="Z9" i="3" s="1"/>
  <c r="AO8" i="3" s="1"/>
  <c r="C89" i="3"/>
  <c r="AA9" i="3" s="1"/>
  <c r="AP8" i="3" s="1"/>
  <c r="C90" i="3"/>
  <c r="P10" i="3" s="1"/>
  <c r="AE9" i="3" s="1"/>
  <c r="C91" i="3"/>
  <c r="Q10" i="3" s="1"/>
  <c r="AF9" i="3" s="1"/>
  <c r="C92" i="3"/>
  <c r="R10" i="3" s="1"/>
  <c r="AG9" i="3" s="1"/>
  <c r="C93" i="3"/>
  <c r="S10" i="3" s="1"/>
  <c r="AH9" i="3" s="1"/>
  <c r="C94" i="3"/>
  <c r="T10" i="3" s="1"/>
  <c r="AI9" i="3" s="1"/>
  <c r="C95" i="3"/>
  <c r="U10" i="3" s="1"/>
  <c r="AJ9" i="3" s="1"/>
  <c r="C96" i="3"/>
  <c r="V10" i="3" s="1"/>
  <c r="AK9" i="3" s="1"/>
  <c r="C97" i="3"/>
  <c r="W10" i="3" s="1"/>
  <c r="AL9" i="3" s="1"/>
  <c r="C98" i="3"/>
  <c r="X10" i="3" s="1"/>
  <c r="AM9" i="3" s="1"/>
  <c r="C99" i="3"/>
  <c r="Y10" i="3" s="1"/>
  <c r="AN9" i="3" s="1"/>
  <c r="C100" i="3"/>
  <c r="Z10" i="3" s="1"/>
  <c r="AO9" i="3" s="1"/>
  <c r="C101" i="3"/>
  <c r="AA10" i="3" s="1"/>
  <c r="AP9" i="3" s="1"/>
  <c r="C102" i="3"/>
  <c r="P11" i="3" s="1"/>
  <c r="AE10" i="3" s="1"/>
  <c r="C103" i="3"/>
  <c r="Q11" i="3" s="1"/>
  <c r="AF10" i="3" s="1"/>
  <c r="C104" i="3"/>
  <c r="R11" i="3" s="1"/>
  <c r="AG10" i="3" s="1"/>
  <c r="C105" i="3"/>
  <c r="S11" i="3" s="1"/>
  <c r="AH10" i="3" s="1"/>
  <c r="C106" i="3"/>
  <c r="T11" i="3" s="1"/>
  <c r="AI10" i="3" s="1"/>
  <c r="C107" i="3"/>
  <c r="U11" i="3" s="1"/>
  <c r="AJ10" i="3" s="1"/>
  <c r="C108" i="3"/>
  <c r="V11" i="3" s="1"/>
  <c r="AK10" i="3" s="1"/>
  <c r="C109" i="3"/>
  <c r="W11" i="3" s="1"/>
  <c r="AL10" i="3" s="1"/>
  <c r="C110" i="3"/>
  <c r="X11" i="3" s="1"/>
  <c r="AM10" i="3" s="1"/>
  <c r="C111" i="3"/>
  <c r="Y11" i="3" s="1"/>
  <c r="AN10" i="3" s="1"/>
  <c r="C112" i="3"/>
  <c r="Z11" i="3" s="1"/>
  <c r="AO10" i="3" s="1"/>
  <c r="C113" i="3"/>
  <c r="AA11" i="3" s="1"/>
  <c r="AP10" i="3" s="1"/>
  <c r="C114" i="3"/>
  <c r="P12" i="3" s="1"/>
  <c r="AE11" i="3" s="1"/>
  <c r="C115" i="3"/>
  <c r="Q12" i="3" s="1"/>
  <c r="AF11" i="3" s="1"/>
  <c r="C116" i="3"/>
  <c r="R12" i="3" s="1"/>
  <c r="AG11" i="3" s="1"/>
  <c r="C117" i="3"/>
  <c r="S12" i="3" s="1"/>
  <c r="AH11" i="3" s="1"/>
  <c r="C118" i="3"/>
  <c r="T12" i="3" s="1"/>
  <c r="AI11" i="3" s="1"/>
  <c r="C119" i="3"/>
  <c r="U12" i="3" s="1"/>
  <c r="AJ11" i="3" s="1"/>
  <c r="C120" i="3"/>
  <c r="V12" i="3" s="1"/>
  <c r="AK11" i="3" s="1"/>
  <c r="C121" i="3"/>
  <c r="W12" i="3" s="1"/>
  <c r="AL11" i="3" s="1"/>
  <c r="C122" i="3"/>
  <c r="X12" i="3" s="1"/>
  <c r="AM11" i="3" s="1"/>
  <c r="C123" i="3"/>
  <c r="Y12" i="3" s="1"/>
  <c r="AN11" i="3" s="1"/>
  <c r="C124" i="3"/>
  <c r="Z12" i="3" s="1"/>
  <c r="AO11" i="3" s="1"/>
  <c r="C125" i="3"/>
  <c r="AA12" i="3" s="1"/>
  <c r="AP11" i="3" s="1"/>
  <c r="C126" i="3"/>
  <c r="P13" i="3" s="1"/>
  <c r="AE12" i="3" s="1"/>
  <c r="C127" i="3"/>
  <c r="C128" i="3"/>
  <c r="R13" i="3" s="1"/>
  <c r="AG12" i="3" s="1"/>
  <c r="C129" i="3"/>
  <c r="C130" i="3"/>
  <c r="C131" i="3"/>
  <c r="C132" i="3"/>
  <c r="C133" i="3"/>
  <c r="C136" i="3"/>
  <c r="C137" i="3"/>
  <c r="C138" i="3"/>
  <c r="C139" i="3"/>
  <c r="C140" i="3"/>
  <c r="R14" i="3" s="1"/>
  <c r="AG13" i="3" s="1"/>
  <c r="C141" i="3"/>
  <c r="S14" i="3" s="1"/>
  <c r="AH13" i="3" s="1"/>
  <c r="C142" i="3"/>
  <c r="T14" i="3" s="1"/>
  <c r="AI13" i="3" s="1"/>
  <c r="C143" i="3"/>
  <c r="U14" i="3" s="1"/>
  <c r="AJ13" i="3" s="1"/>
  <c r="C144" i="3"/>
  <c r="V14" i="3" s="1"/>
  <c r="AK13" i="3" s="1"/>
  <c r="C145" i="3"/>
  <c r="W14" i="3" s="1"/>
  <c r="AL13" i="3" s="1"/>
  <c r="C146" i="3"/>
  <c r="X14" i="3" s="1"/>
  <c r="AM13" i="3" s="1"/>
  <c r="C147" i="3"/>
  <c r="Y14" i="3" s="1"/>
  <c r="AN13" i="3" s="1"/>
  <c r="C151" i="3"/>
  <c r="Q15" i="3" s="1"/>
  <c r="AF14" i="3" s="1"/>
  <c r="C152" i="3"/>
  <c r="R15" i="3" s="1"/>
  <c r="AG14" i="3" s="1"/>
  <c r="C153" i="3"/>
  <c r="S15" i="3" s="1"/>
  <c r="AH14" i="3" s="1"/>
  <c r="C154" i="3"/>
  <c r="T15" i="3" s="1"/>
  <c r="AI14" i="3" s="1"/>
  <c r="C155" i="3"/>
  <c r="U15" i="3" s="1"/>
  <c r="AJ14" i="3" s="1"/>
  <c r="C156" i="3"/>
  <c r="V15" i="3" s="1"/>
  <c r="AK14" i="3" s="1"/>
  <c r="C157" i="3"/>
  <c r="W15" i="3" s="1"/>
  <c r="AL14" i="3" s="1"/>
  <c r="C158" i="3"/>
  <c r="X15" i="3" s="1"/>
  <c r="AM14" i="3" s="1"/>
  <c r="C159" i="3"/>
  <c r="Y15" i="3" s="1"/>
  <c r="AN14" i="3" s="1"/>
  <c r="C160" i="3"/>
  <c r="Z15" i="3" s="1"/>
  <c r="AO14" i="3" s="1"/>
  <c r="C161" i="3"/>
  <c r="AA15" i="3" s="1"/>
  <c r="AP14" i="3" s="1"/>
  <c r="C162" i="3"/>
  <c r="P16" i="3" s="1"/>
  <c r="AE15" i="3" s="1"/>
  <c r="C163" i="3"/>
  <c r="Q16" i="3" s="1"/>
  <c r="AF15" i="3" s="1"/>
  <c r="C164" i="3"/>
  <c r="R16" i="3" s="1"/>
  <c r="AG15" i="3" s="1"/>
  <c r="C165" i="3"/>
  <c r="S16" i="3" s="1"/>
  <c r="AH15" i="3" s="1"/>
  <c r="AQ15" i="3" l="1"/>
  <c r="Q5" i="3"/>
  <c r="AF4" i="3" s="1"/>
  <c r="Q13" i="3"/>
  <c r="AF12" i="3" s="1"/>
  <c r="Q9" i="3"/>
  <c r="AF8" i="3" s="1"/>
  <c r="AW20" i="3"/>
  <c r="L164" i="3"/>
  <c r="R42" i="3" s="1"/>
  <c r="AG42" i="3" s="1"/>
  <c r="L165" i="3"/>
  <c r="L147" i="3"/>
  <c r="Y40" i="3" s="1"/>
  <c r="AN40" i="3" s="1"/>
  <c r="L148" i="3"/>
  <c r="Z40" i="3" s="1"/>
  <c r="AO40" i="3" s="1"/>
  <c r="L149" i="3"/>
  <c r="AA40" i="3" s="1"/>
  <c r="AP40" i="3" s="1"/>
  <c r="L150" i="3"/>
  <c r="P41" i="3" s="1"/>
  <c r="AE41" i="3" s="1"/>
  <c r="L151" i="3"/>
  <c r="Q41" i="3" s="1"/>
  <c r="AF41" i="3" s="1"/>
  <c r="L152" i="3"/>
  <c r="R41" i="3" s="1"/>
  <c r="AG41" i="3" s="1"/>
  <c r="L153" i="3"/>
  <c r="S41" i="3" s="1"/>
  <c r="AH41" i="3" s="1"/>
  <c r="L154" i="3"/>
  <c r="T41" i="3" s="1"/>
  <c r="AI41" i="3" s="1"/>
  <c r="L155" i="3"/>
  <c r="U41" i="3" s="1"/>
  <c r="AJ41" i="3" s="1"/>
  <c r="L156" i="3"/>
  <c r="V41" i="3" s="1"/>
  <c r="AK41" i="3" s="1"/>
  <c r="L157" i="3"/>
  <c r="W41" i="3" s="1"/>
  <c r="AL41" i="3" s="1"/>
  <c r="L158" i="3"/>
  <c r="X41" i="3" s="1"/>
  <c r="AM41" i="3" s="1"/>
  <c r="L159" i="3"/>
  <c r="Y41" i="3" s="1"/>
  <c r="AN41" i="3" s="1"/>
  <c r="L160" i="3"/>
  <c r="Z41" i="3" s="1"/>
  <c r="AO41" i="3" s="1"/>
  <c r="L161" i="3"/>
  <c r="AA41" i="3" s="1"/>
  <c r="AP41" i="3" s="1"/>
  <c r="L162" i="3"/>
  <c r="L163" i="3"/>
  <c r="Q42" i="3" s="1"/>
  <c r="AF42" i="3" s="1"/>
  <c r="T29" i="3"/>
  <c r="D163" i="3"/>
  <c r="D164" i="3"/>
  <c r="D165" i="3"/>
  <c r="P42" i="3" l="1"/>
  <c r="AE42" i="3" s="1"/>
  <c r="S42" i="3"/>
  <c r="AH42" i="3" s="1"/>
  <c r="AQ42" i="3" l="1"/>
  <c r="S29" i="3"/>
  <c r="R29" i="3"/>
  <c r="D162" i="3" l="1"/>
  <c r="Q29" i="3" l="1"/>
  <c r="D161" i="3"/>
  <c r="Z28" i="3" l="1"/>
  <c r="V28" i="3"/>
  <c r="R28" i="3"/>
  <c r="P29" i="3"/>
  <c r="X28" i="3"/>
  <c r="T28" i="3"/>
  <c r="Y28" i="3"/>
  <c r="U28" i="3"/>
  <c r="Q28" i="3"/>
  <c r="AA28" i="3"/>
  <c r="P28" i="3"/>
  <c r="W28" i="3"/>
  <c r="S28" i="3"/>
  <c r="AA27" i="3"/>
  <c r="Y27" i="3" l="1"/>
  <c r="Z27" i="3"/>
  <c r="Q147" i="3"/>
  <c r="D160" i="3" l="1"/>
  <c r="D159" i="3"/>
  <c r="D158" i="3"/>
  <c r="D157" i="3"/>
  <c r="D156" i="3"/>
  <c r="D155" i="3"/>
  <c r="D154" i="3"/>
  <c r="D153" i="3"/>
  <c r="D152" i="3"/>
  <c r="D151" i="3"/>
  <c r="D150" i="3"/>
  <c r="B149" i="3"/>
  <c r="B148" i="3"/>
  <c r="D147" i="3"/>
  <c r="D146" i="3"/>
  <c r="F145" i="3"/>
  <c r="D145" i="3"/>
  <c r="F144" i="3"/>
  <c r="D144" i="3"/>
  <c r="F143" i="3"/>
  <c r="D143" i="3"/>
  <c r="F142" i="3"/>
  <c r="D142" i="3"/>
  <c r="F141" i="3"/>
  <c r="D141" i="3"/>
  <c r="F140" i="3"/>
  <c r="BB20" i="3" s="1"/>
  <c r="D140" i="3"/>
  <c r="F139" i="3"/>
  <c r="D139" i="3"/>
  <c r="F138" i="3"/>
  <c r="D138" i="3"/>
  <c r="F137" i="3"/>
  <c r="D137" i="3"/>
  <c r="F136" i="3"/>
  <c r="D136" i="3"/>
  <c r="F135" i="3"/>
  <c r="D135" i="3"/>
  <c r="D134" i="3"/>
  <c r="A134" i="3"/>
  <c r="F133" i="3"/>
  <c r="D133" i="3"/>
  <c r="F132" i="3"/>
  <c r="D132" i="3"/>
  <c r="F131" i="3"/>
  <c r="D131" i="3"/>
  <c r="F130" i="3"/>
  <c r="D130" i="3"/>
  <c r="D129" i="3"/>
  <c r="D128" i="3"/>
  <c r="D127" i="3"/>
  <c r="D126" i="3"/>
  <c r="D125" i="3"/>
  <c r="D124" i="3"/>
  <c r="D123" i="3"/>
  <c r="D122" i="3"/>
  <c r="D121" i="3"/>
  <c r="D120" i="3"/>
  <c r="D119" i="3"/>
  <c r="D118" i="3"/>
  <c r="D117" i="3"/>
  <c r="D116" i="3"/>
  <c r="D115" i="3"/>
  <c r="D114" i="3"/>
  <c r="D113" i="3"/>
  <c r="D112" i="3"/>
  <c r="D111" i="3"/>
  <c r="D110" i="3"/>
  <c r="D109" i="3"/>
  <c r="D108" i="3"/>
  <c r="D107" i="3"/>
  <c r="D106" i="3"/>
  <c r="D105" i="3"/>
  <c r="D104" i="3"/>
  <c r="D103" i="3"/>
  <c r="D102" i="3"/>
  <c r="D101" i="3"/>
  <c r="D100" i="3"/>
  <c r="D99" i="3"/>
  <c r="D98" i="3"/>
  <c r="D97" i="3"/>
  <c r="D96" i="3"/>
  <c r="D95" i="3"/>
  <c r="D94" i="3"/>
  <c r="D93" i="3"/>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5" i="3"/>
  <c r="D34" i="3"/>
  <c r="D33" i="3"/>
  <c r="D32" i="3"/>
  <c r="D31" i="3"/>
  <c r="D30" i="3"/>
  <c r="D29" i="3"/>
  <c r="D28" i="3"/>
  <c r="D27" i="3"/>
  <c r="D26" i="3"/>
  <c r="D25" i="3"/>
  <c r="D24" i="3"/>
  <c r="AW21" i="3"/>
  <c r="D22" i="3"/>
  <c r="D21" i="3"/>
  <c r="D20" i="3"/>
  <c r="AZ21" i="3"/>
  <c r="AY21" i="3"/>
  <c r="D19" i="3"/>
  <c r="D18" i="3"/>
  <c r="D17" i="3"/>
  <c r="D16" i="3"/>
  <c r="D15" i="3"/>
  <c r="D14" i="3"/>
  <c r="D13" i="3"/>
  <c r="D12" i="3"/>
  <c r="D11" i="3"/>
  <c r="D10" i="3"/>
  <c r="D9" i="3"/>
  <c r="D8" i="3"/>
  <c r="D7" i="3"/>
  <c r="D6" i="3"/>
  <c r="D5" i="3"/>
  <c r="D4" i="3"/>
  <c r="N3" i="3"/>
  <c r="D3" i="3"/>
  <c r="AY29" i="3" l="1"/>
  <c r="U3" i="2" s="1"/>
  <c r="D148" i="3"/>
  <c r="C148" i="3"/>
  <c r="Z14" i="3" s="1"/>
  <c r="AO13" i="3" s="1"/>
  <c r="L142" i="3"/>
  <c r="BB21" i="3"/>
  <c r="L144" i="3"/>
  <c r="V40" i="3" s="1"/>
  <c r="AK40" i="3" s="1"/>
  <c r="V27" i="3"/>
  <c r="F134" i="3"/>
  <c r="V13" i="3"/>
  <c r="AK12" i="3" s="1"/>
  <c r="Z13" i="3"/>
  <c r="AO12" i="3" s="1"/>
  <c r="T13" i="3"/>
  <c r="AI12" i="3" s="1"/>
  <c r="Q14" i="3"/>
  <c r="AF13" i="3" s="1"/>
  <c r="S13" i="3"/>
  <c r="AH12" i="3" s="1"/>
  <c r="W13" i="3"/>
  <c r="AL12" i="3" s="1"/>
  <c r="AA13" i="3"/>
  <c r="AP12" i="3" s="1"/>
  <c r="P14" i="3"/>
  <c r="AE13" i="3" s="1"/>
  <c r="C134" i="3"/>
  <c r="X13" i="3" s="1"/>
  <c r="AM12" i="3" s="1"/>
  <c r="C135" i="3"/>
  <c r="Y13" i="3" s="1"/>
  <c r="AN12" i="3" s="1"/>
  <c r="U13" i="3"/>
  <c r="AJ12" i="3" s="1"/>
  <c r="L143" i="3"/>
  <c r="U40" i="3" s="1"/>
  <c r="AJ40" i="3" s="1"/>
  <c r="U27" i="3"/>
  <c r="L145" i="3"/>
  <c r="W40" i="3" s="1"/>
  <c r="AL40" i="3" s="1"/>
  <c r="L146" i="3"/>
  <c r="X40" i="3" s="1"/>
  <c r="AM40" i="3" s="1"/>
  <c r="X27" i="3"/>
  <c r="W27" i="3"/>
  <c r="D149" i="3"/>
  <c r="C149" i="3"/>
  <c r="AA14" i="3" s="1"/>
  <c r="AP13" i="3" s="1"/>
  <c r="AQ14" i="3"/>
  <c r="AQ13" i="3"/>
  <c r="C150" i="3"/>
  <c r="P15" i="3" s="1"/>
  <c r="AE14" i="3" s="1"/>
  <c r="BA21" i="3"/>
  <c r="AX20" i="3"/>
  <c r="AX21" i="3"/>
  <c r="AY20" i="3"/>
  <c r="AY28" i="3" s="1"/>
  <c r="U2" i="2" s="1"/>
  <c r="AZ20" i="3"/>
  <c r="BA20" i="3"/>
  <c r="BA29" i="3" l="1"/>
  <c r="BA28" i="3"/>
  <c r="AZ28" i="3"/>
  <c r="V2" i="2" s="1"/>
  <c r="AX29" i="3"/>
  <c r="T3" i="2" s="1"/>
  <c r="AZ29" i="3"/>
  <c r="V3" i="2" s="1"/>
  <c r="AX28" i="3"/>
  <c r="T2" i="2" s="1"/>
  <c r="T27" i="3"/>
  <c r="T40" i="3"/>
  <c r="AI40" i="3" s="1"/>
  <c r="M142" i="3"/>
  <c r="M143" i="3" s="1"/>
  <c r="M144" i="3" s="1"/>
  <c r="M145" i="3" s="1"/>
  <c r="M146" i="3" s="1"/>
  <c r="M147" i="3" s="1"/>
  <c r="M148" i="3" s="1"/>
  <c r="M149" i="3" s="1"/>
  <c r="M150" i="3" s="1"/>
  <c r="M151" i="3" s="1"/>
  <c r="M152" i="3" s="1"/>
  <c r="M153" i="3" s="1"/>
  <c r="M154" i="3" s="1"/>
  <c r="M155" i="3" s="1"/>
  <c r="M156" i="3" s="1"/>
  <c r="M157" i="3" s="1"/>
  <c r="M158" i="3" s="1"/>
  <c r="M159" i="3" s="1"/>
  <c r="M160" i="3" s="1"/>
  <c r="M161" i="3" s="1"/>
  <c r="M162" i="3" s="1"/>
  <c r="M163" i="3" s="1"/>
  <c r="M164" i="3" s="1"/>
  <c r="M165" i="3" s="1"/>
  <c r="M166" i="3" s="1"/>
  <c r="M167" i="3" s="1"/>
  <c r="M168" i="3" s="1"/>
  <c r="M169" i="3" s="1"/>
  <c r="M170" i="3" s="1"/>
  <c r="M171" i="3" s="1"/>
  <c r="M172" i="3" s="1"/>
  <c r="M173" i="3" s="1"/>
  <c r="M174" i="3" s="1"/>
  <c r="M175" i="3" s="1"/>
  <c r="M176" i="3" s="1"/>
  <c r="M177" i="3" s="1"/>
  <c r="M178" i="3" s="1"/>
  <c r="M179" i="3" s="1"/>
  <c r="M180" i="3" s="1"/>
  <c r="M181" i="3" s="1"/>
  <c r="M182" i="3" s="1"/>
  <c r="M183" i="3" s="1"/>
  <c r="M184" i="3" s="1"/>
  <c r="M185" i="3" s="1"/>
  <c r="M186" i="3" s="1"/>
  <c r="M187" i="3" s="1"/>
  <c r="M188" i="3" s="1"/>
  <c r="M189" i="3" s="1"/>
  <c r="M190" i="3" s="1"/>
  <c r="M191" i="3" s="1"/>
  <c r="M192" i="3" s="1"/>
  <c r="M193" i="3" s="1"/>
  <c r="M194" i="3" s="1"/>
  <c r="M195" i="3" s="1"/>
  <c r="M196" i="3" s="1"/>
  <c r="M197" i="3" s="1"/>
  <c r="M198" i="3" s="1"/>
  <c r="M199" i="3" s="1"/>
  <c r="M200" i="3" s="1"/>
  <c r="M201" i="3" s="1"/>
  <c r="M202" i="3" s="1"/>
  <c r="M203" i="3" s="1"/>
  <c r="M204" i="3" s="1"/>
  <c r="M205" i="3" s="1"/>
  <c r="M206" i="3" s="1"/>
  <c r="M207" i="3" s="1"/>
  <c r="M208" i="3" s="1"/>
  <c r="M209" i="3" s="1"/>
</calcChain>
</file>

<file path=xl/sharedStrings.xml><?xml version="1.0" encoding="utf-8"?>
<sst xmlns="http://schemas.openxmlformats.org/spreadsheetml/2006/main" count="221" uniqueCount="66">
  <si>
    <t>El IPC de abril en Estados Unidos sorprendió levemente al alza respecto de las expectativas, impulsado principalmente por el fuerte aumento de los precios de la energía. La gasolina explicó una parte importante del avance del índice general, mientras que la inflación subyacente también mostró resiliencia, explicada en parte por un ajuste en los precios de arriendos tras las distorsiones asociadas al cierre parcial del gobierno el año pasado.
El IPC general registró un aumento de 0,6% mensual, llevando la inflación anual a 3,8%, su mayor nivel en tres años. Por su parte, la inflación subyacente avanzó 0,4% mensual, impulsada por mayores costos de vivienda, particularmente en el componente equivalente de arriendo y arriendos efectivos.
Por su parte, las nóminas no agrícolas aumentaron en 115 mil puestos durante abril, mientras que la tasa de desempleo se mantuvo estable en 4,3%, evidenciando un mercado laboral aún sólido. Por su parte, la Reserva Federal mantuvo una postura cautelosa respecto de la política monetaria, monitoreando tanto la persistencia de la inflación subyacente como los riesgos derivados del conflicto geopolítico y su impacto sobre los precios de la energía</t>
  </si>
  <si>
    <t>CLICP Index</t>
  </si>
  <si>
    <t>Cuota LIQUIDEZ DÓLAR CAJA</t>
  </si>
  <si>
    <t>ICP</t>
  </si>
  <si>
    <t>Ene</t>
  </si>
  <si>
    <t>Feb</t>
  </si>
  <si>
    <t>Mar</t>
  </si>
  <si>
    <t>Abr</t>
  </si>
  <si>
    <t>May</t>
  </si>
  <si>
    <t>Jun</t>
  </si>
  <si>
    <t>Jul</t>
  </si>
  <si>
    <t>Ago</t>
  </si>
  <si>
    <t>Sep</t>
  </si>
  <si>
    <t>Oct</t>
  </si>
  <si>
    <t>Nov</t>
  </si>
  <si>
    <t>Dic</t>
  </si>
  <si>
    <t>Total Año</t>
  </si>
  <si>
    <t>Fecha</t>
  </si>
  <si>
    <t>ICP Norm.</t>
  </si>
  <si>
    <t>FondoLiquidez Dólar</t>
  </si>
  <si>
    <t xml:space="preserve"> 8248-1</t>
  </si>
  <si>
    <t>Competencia Relevante (*)</t>
  </si>
  <si>
    <t>Corporate Dollar Serie A Banchile</t>
  </si>
  <si>
    <t>(*)</t>
  </si>
  <si>
    <t>Ingresar mes actual==&gt;</t>
  </si>
  <si>
    <t>Competencia</t>
  </si>
  <si>
    <t>LIQUIDEZ DÓLAR CAJA</t>
  </si>
  <si>
    <t>(*) Acum a Mar</t>
  </si>
  <si>
    <t>FONDO LIQUIDEZ DÓLAR CAJA</t>
  </si>
  <si>
    <t>Rentabilidad</t>
  </si>
  <si>
    <t>Mensual</t>
  </si>
  <si>
    <t>Trimestral</t>
  </si>
  <si>
    <t>Semestral</t>
  </si>
  <si>
    <t>Anual</t>
  </si>
  <si>
    <t>Acum. 2026</t>
  </si>
  <si>
    <t>LIQUIDEZ DÓLAR</t>
  </si>
  <si>
    <t>Año</t>
  </si>
  <si>
    <t>Fondo</t>
  </si>
  <si>
    <t>DIVIDENDO 2016</t>
  </si>
  <si>
    <t>Dividendo 2017</t>
  </si>
  <si>
    <t>Dividendo 2020</t>
  </si>
  <si>
    <t>Dividendo 2021</t>
  </si>
  <si>
    <t>Dividendo 2022</t>
  </si>
  <si>
    <t>Dividendo 2023</t>
  </si>
  <si>
    <t>Acum
2025 (*)</t>
  </si>
  <si>
    <t>Total
Año</t>
  </si>
  <si>
    <t>Duración</t>
  </si>
  <si>
    <t>Instrumentos</t>
  </si>
  <si>
    <t>Moneda</t>
  </si>
  <si>
    <t>Bono</t>
  </si>
  <si>
    <t>Menos de 1 mes</t>
  </si>
  <si>
    <t>Depósitos</t>
  </si>
  <si>
    <t>USD</t>
  </si>
  <si>
    <t>1-3 meses</t>
  </si>
  <si>
    <t>Factoring</t>
  </si>
  <si>
    <t>3-4 meses</t>
  </si>
  <si>
    <t>Financiamiento Inmobiliario</t>
  </si>
  <si>
    <t>Más de 4 meses</t>
  </si>
  <si>
    <t>Financiamiento Mesa Moneda Extranjera</t>
  </si>
  <si>
    <t>Garantías</t>
  </si>
  <si>
    <t>Nota Estructurada</t>
  </si>
  <si>
    <t>Financiamiento Mesa Renta Fija</t>
  </si>
  <si>
    <t>Simultánea</t>
  </si>
  <si>
    <t>Efectos de Comercio</t>
  </si>
  <si>
    <t>Pagaré</t>
  </si>
  <si>
    <t>Facturas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</si>
</sst>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 #,##0_ ;_ * \-#,##0_ ;_ * &quot;-&quot;_ ;_ @_ "/>
    <numFmt numFmtId="165" formatCode="#,##0.0000"/>
    <numFmt numFmtId="166" formatCode="0.0000"/>
    <numFmt numFmtId="167" formatCode="#,##0.00_ ;[Red]\-#,##0.00\ "/>
    <numFmt numFmtId="168" formatCode="dd\-mm\-yyyy"/>
    <numFmt numFmtId="169" formatCode="_ * #,##0.00_ ;_ * \-#,##0.00_ ;_ * &quot;-&quot;_ ;_ @_ "/>
    <numFmt numFmtId="170" formatCode="_ * #,##0.0000_ ;_ * \-#,##0.0000_ ;_ * &quot;-&quot;_ ;_ @_ "/>
    <numFmt numFmtId="171" formatCode="0.00000000"/>
  </numFmts>
  <fonts count="34">
    <font>
      <sz val="11"/>
      <color theme="1"/>
      <name val="Calibri"/>
      <family val="2"/>
      <scheme val="minor"/>
    </font>
    <font>
      <sz val="11"/>
      <name val="Calibri"/>
      <family val="2"/>
      <scheme val="minor"/>
    </font>
    <font>
      <b/>
      <sz val="11"/>
      <name val="Acumin Pro Extra Light"/>
      <family val="2"/>
    </font>
    <font>
      <sz val="11"/>
      <name val="Acumin Pro Extra Light"/>
      <family val="2"/>
    </font>
    <font>
      <sz val="11"/>
      <color theme="1"/>
      <name val="Calibri"/>
      <family val="2"/>
      <scheme val="minor"/>
    </font>
    <font>
      <sz val="11"/>
      <name val="Aileron Light"/>
      <family val="3"/>
    </font>
    <font>
      <sz val="11"/>
      <color theme="1"/>
      <name val="Aileron Light"/>
      <family val="3"/>
    </font>
    <font>
      <sz val="12"/>
      <color theme="1"/>
      <name val="Calibri"/>
      <family val="2"/>
      <scheme val="minor"/>
    </font>
    <font>
      <b/>
      <sz val="11"/>
      <color rgb="FF000000"/>
      <name val="Aileron Light"/>
      <family val="3"/>
    </font>
    <font>
      <b/>
      <sz val="8"/>
      <color rgb="FF000000"/>
      <name val="Aileron Light"/>
      <family val="3"/>
    </font>
    <font>
      <sz val="7"/>
      <color rgb="FF000000"/>
      <name val="Aileron Light"/>
      <family val="3"/>
    </font>
    <font>
      <b/>
      <sz val="7"/>
      <color rgb="FF000000"/>
      <name val="Aileron Light"/>
      <family val="3"/>
    </font>
    <font>
      <b/>
      <sz val="8"/>
      <color theme="1"/>
      <name val="Aileron Light"/>
      <family val="3"/>
    </font>
    <font>
      <b/>
      <sz val="9"/>
      <color rgb="FF000000"/>
      <name val="Aileron Light"/>
      <family val="3"/>
    </font>
    <font>
      <sz val="9"/>
      <color rgb="FF000000"/>
      <name val="Aileron Light"/>
      <family val="3"/>
    </font>
    <font>
      <sz val="6"/>
      <color rgb="FF000000"/>
      <name val="Aileron Light"/>
      <family val="3"/>
    </font>
    <font>
      <b/>
      <sz val="10"/>
      <color theme="1"/>
      <name val="Aileron Light"/>
      <family val="3"/>
    </font>
    <font>
      <b/>
      <sz val="10"/>
      <color rgb="FF000000"/>
      <name val="Aileron Light"/>
      <family val="3"/>
    </font>
    <font>
      <sz val="10"/>
      <color rgb="FF000000"/>
      <name val="Aileron Light"/>
      <family val="3"/>
    </font>
    <font>
      <sz val="8"/>
      <color rgb="FF000000"/>
      <name val="Aileron Light"/>
      <family val="3"/>
    </font>
    <font>
      <sz val="8"/>
      <color theme="1"/>
      <name val="Aileron Light"/>
      <family val="3"/>
    </font>
    <font>
      <sz val="10"/>
      <color theme="1"/>
      <name val="Aileron Light"/>
      <family val="3"/>
    </font>
    <font>
      <sz val="11"/>
      <color theme="1"/>
      <name val="Be Vietnam Pro Light"/>
    </font>
    <font>
      <sz val="9"/>
      <color theme="1"/>
      <name val="Be Vietnam Pro Light"/>
    </font>
    <font>
      <sz val="10"/>
      <color theme="1"/>
      <name val="Be Vietnam Pro"/>
    </font>
    <font>
      <sz val="11"/>
      <color theme="1"/>
      <name val="Be Vietnam Pro Medium"/>
    </font>
    <font>
      <b/>
      <sz val="11"/>
      <name val="Be Vietnam Pro Light"/>
    </font>
    <font>
      <sz val="11"/>
      <name val="Be Vietnam Pro Light"/>
    </font>
    <font>
      <sz val="9"/>
      <color theme="0"/>
      <name val="Be Vietnam Pro Light"/>
    </font>
    <font>
      <u/>
      <sz val="11"/>
      <color theme="1"/>
      <name val="Be Vietnam Pro Light"/>
    </font>
    <font>
      <sz val="9"/>
      <name val="Be Vietnam Pro Light"/>
    </font>
    <font>
      <sz val="11"/>
      <color rgb="FF000000"/>
      <name val="Aptos Narrow"/>
    </font>
    <font>
      <sz val="8.8000000000000007"/>
      <color rgb="FF666666"/>
      <name val="Muli"/>
      <family val="2"/>
      <charset val="1"/>
    </font>
    <font>
      <sz val="11"/>
      <color rgb="FF000000"/>
      <name val="Aptos Narrow"/>
      <family val="2"/>
    </font>
  </fonts>
  <fills count="15">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4.9989318521683403E-2"/>
        <bgColor rgb="FF000000"/>
      </patternFill>
    </fill>
    <fill>
      <patternFill patternType="solid">
        <fgColor theme="0"/>
        <bgColor rgb="FF000000"/>
      </patternFill>
    </fill>
    <fill>
      <patternFill patternType="solid">
        <fgColor theme="0" tint="-0.249977111117893"/>
        <bgColor rgb="FF000000"/>
      </patternFill>
    </fill>
    <fill>
      <patternFill patternType="solid">
        <fgColor rgb="FFFFFF00"/>
        <bgColor indexed="64"/>
      </patternFill>
    </fill>
    <fill>
      <patternFill patternType="solid">
        <fgColor theme="1"/>
        <bgColor indexed="64"/>
      </patternFill>
    </fill>
    <fill>
      <patternFill patternType="solid">
        <fgColor rgb="FFF8F8F8"/>
        <bgColor indexed="64"/>
      </patternFill>
    </fill>
    <fill>
      <patternFill patternType="solid">
        <fgColor theme="9" tint="0.79998168889431442"/>
        <bgColor theme="9" tint="0.79998168889431442"/>
      </patternFill>
    </fill>
    <fill>
      <patternFill patternType="solid">
        <fgColor rgb="FFDAF2D0"/>
        <bgColor rgb="FFDAF2D0"/>
      </patternFill>
    </fill>
  </fills>
  <borders count="5">
    <border>
      <left/>
      <right/>
      <top/>
      <bottom/>
      <diagonal/>
    </border>
    <border>
      <left style="thin">
        <color indexed="64"/>
      </left>
      <right/>
      <top/>
      <bottom/>
      <diagonal/>
    </border>
    <border>
      <left style="thick">
        <color rgb="FFFFFFFF"/>
      </left>
      <right style="thick">
        <color rgb="FFFFFFFF"/>
      </right>
      <top style="thick">
        <color rgb="FFFFFFFF"/>
      </top>
      <bottom style="thick">
        <color rgb="FF666666"/>
      </bottom>
      <diagonal/>
    </border>
    <border>
      <left/>
      <right/>
      <top style="thin">
        <color theme="9" tint="0.39997558519241921"/>
      </top>
      <bottom style="thin">
        <color theme="9" tint="0.39997558519241921"/>
      </bottom>
      <diagonal/>
    </border>
    <border>
      <left/>
      <right/>
      <top style="thin">
        <color rgb="FF8ED973"/>
      </top>
      <bottom style="thin">
        <color rgb="FF8ED973"/>
      </bottom>
      <diagonal/>
    </border>
  </borders>
  <cellStyleXfs count="10">
    <xf numFmtId="0" fontId="0" fillId="0" borderId="0"/>
    <xf numFmtId="0" fontId="7" fillId="0" borderId="0"/>
    <xf numFmtId="0" fontId="4" fillId="0" borderId="0"/>
    <xf numFmtId="9" fontId="4" fillId="0" borderId="0" applyFont="0" applyFill="0" applyBorder="0" applyAlignment="0" applyProtection="0"/>
    <xf numFmtId="9" fontId="7" fillId="0" borderId="0" applyFont="0" applyFill="0" applyBorder="0" applyAlignment="0" applyProtection="0"/>
    <xf numFmtId="164" fontId="7" fillId="0" borderId="0" applyFont="0" applyFill="0" applyBorder="0" applyAlignment="0" applyProtection="0"/>
    <xf numFmtId="164" fontId="4" fillId="0" borderId="0" applyFont="0" applyFill="0" applyBorder="0" applyAlignment="0" applyProtection="0"/>
    <xf numFmtId="9" fontId="4" fillId="0" borderId="0" applyFont="0" applyFill="0" applyBorder="0" applyAlignment="0" applyProtection="0"/>
    <xf numFmtId="164" fontId="7" fillId="0" borderId="0" applyFont="0" applyFill="0" applyBorder="0" applyAlignment="0" applyProtection="0"/>
    <xf numFmtId="164" fontId="4" fillId="0" borderId="0" applyFont="0" applyFill="0" applyBorder="0" applyAlignment="0" applyProtection="0"/>
  </cellStyleXfs>
  <cellXfs count="111">
    <xf numFmtId="0" fontId="0" fillId="0" borderId="0" xfId="0"/>
    <xf numFmtId="0" fontId="1" fillId="0" borderId="0" xfId="0" applyFont="1"/>
    <xf numFmtId="0" fontId="2" fillId="0" borderId="0" xfId="0" applyFont="1"/>
    <xf numFmtId="0" fontId="3" fillId="0" borderId="0" xfId="0" applyFont="1"/>
    <xf numFmtId="0" fontId="3" fillId="0" borderId="0" xfId="0" applyFont="1" applyAlignment="1">
      <alignment horizontal="center"/>
    </xf>
    <xf numFmtId="10" fontId="3" fillId="0" borderId="0" xfId="0" applyNumberFormat="1" applyFont="1"/>
    <xf numFmtId="0" fontId="0" fillId="0" borderId="0" xfId="0" applyAlignment="1">
      <alignment horizontal="left"/>
    </xf>
    <xf numFmtId="0" fontId="5" fillId="0" borderId="0" xfId="0" applyFont="1"/>
    <xf numFmtId="10" fontId="5" fillId="0" borderId="0" xfId="0" applyNumberFormat="1" applyFont="1"/>
    <xf numFmtId="0" fontId="6" fillId="0" borderId="0" xfId="0" applyFont="1"/>
    <xf numFmtId="0" fontId="6" fillId="0" borderId="0" xfId="1" applyFont="1"/>
    <xf numFmtId="165" fontId="6" fillId="0" borderId="0" xfId="1" applyNumberFormat="1" applyFont="1"/>
    <xf numFmtId="166" fontId="6" fillId="0" borderId="0" xfId="1" applyNumberFormat="1" applyFont="1"/>
    <xf numFmtId="0" fontId="6" fillId="4" borderId="0" xfId="1" applyFont="1" applyFill="1"/>
    <xf numFmtId="0" fontId="8" fillId="5" borderId="0" xfId="1" applyFont="1" applyFill="1"/>
    <xf numFmtId="0" fontId="9" fillId="5" borderId="0" xfId="1" applyFont="1" applyFill="1" applyAlignment="1">
      <alignment horizontal="center"/>
    </xf>
    <xf numFmtId="0" fontId="6" fillId="6" borderId="0" xfId="1" applyFont="1" applyFill="1"/>
    <xf numFmtId="0" fontId="6" fillId="0" borderId="0" xfId="1" applyFont="1" applyAlignment="1">
      <alignment horizontal="center"/>
    </xf>
    <xf numFmtId="165" fontId="6" fillId="0" borderId="0" xfId="1" applyNumberFormat="1" applyFont="1" applyAlignment="1">
      <alignment horizontal="center"/>
    </xf>
    <xf numFmtId="0" fontId="6" fillId="0" borderId="1" xfId="2" applyFont="1" applyBorder="1"/>
    <xf numFmtId="10" fontId="6" fillId="0" borderId="0" xfId="3" applyNumberFormat="1" applyFont="1"/>
    <xf numFmtId="0" fontId="9" fillId="4" borderId="0" xfId="1" applyFont="1" applyFill="1" applyAlignment="1">
      <alignment horizontal="center"/>
    </xf>
    <xf numFmtId="10" fontId="10" fillId="4" borderId="0" xfId="4" applyNumberFormat="1" applyFont="1" applyFill="1" applyBorder="1" applyAlignment="1">
      <alignment horizontal="center"/>
    </xf>
    <xf numFmtId="10" fontId="11" fillId="4" borderId="0" xfId="4" applyNumberFormat="1" applyFont="1" applyFill="1" applyBorder="1" applyAlignment="1">
      <alignment horizontal="center"/>
    </xf>
    <xf numFmtId="14" fontId="6" fillId="0" borderId="0" xfId="1" applyNumberFormat="1" applyFont="1"/>
    <xf numFmtId="4" fontId="6" fillId="0" borderId="0" xfId="1" applyNumberFormat="1" applyFont="1"/>
    <xf numFmtId="2" fontId="6" fillId="0" borderId="0" xfId="1" applyNumberFormat="1" applyFont="1"/>
    <xf numFmtId="167" fontId="6" fillId="0" borderId="0" xfId="1" applyNumberFormat="1" applyFont="1"/>
    <xf numFmtId="0" fontId="9" fillId="6" borderId="0" xfId="1" applyFont="1" applyFill="1" applyAlignment="1">
      <alignment horizontal="center"/>
    </xf>
    <xf numFmtId="10" fontId="10" fillId="6" borderId="0" xfId="4" applyNumberFormat="1" applyFont="1" applyFill="1" applyBorder="1" applyAlignment="1">
      <alignment horizontal="center"/>
    </xf>
    <xf numFmtId="10" fontId="11" fillId="6" borderId="0" xfId="4" applyNumberFormat="1" applyFont="1" applyFill="1" applyBorder="1" applyAlignment="1">
      <alignment horizontal="center"/>
    </xf>
    <xf numFmtId="168" fontId="6" fillId="0" borderId="0" xfId="1" applyNumberFormat="1" applyFont="1"/>
    <xf numFmtId="10" fontId="6" fillId="0" borderId="0" xfId="4" applyNumberFormat="1" applyFont="1" applyFill="1" applyBorder="1"/>
    <xf numFmtId="0" fontId="10" fillId="6" borderId="0" xfId="1" applyFont="1" applyFill="1" applyAlignment="1">
      <alignment horizontal="left"/>
    </xf>
    <xf numFmtId="10" fontId="10" fillId="0" borderId="0" xfId="4" applyNumberFormat="1" applyFont="1" applyFill="1" applyBorder="1" applyAlignment="1">
      <alignment horizontal="center"/>
    </xf>
    <xf numFmtId="0" fontId="6" fillId="2" borderId="0" xfId="1" applyFont="1" applyFill="1"/>
    <xf numFmtId="0" fontId="8" fillId="5" borderId="0" xfId="1" applyFont="1" applyFill="1" applyAlignment="1">
      <alignment horizontal="right"/>
    </xf>
    <xf numFmtId="0" fontId="6" fillId="2" borderId="0" xfId="1" applyFont="1" applyFill="1" applyAlignment="1">
      <alignment horizontal="right"/>
    </xf>
    <xf numFmtId="0" fontId="6" fillId="0" borderId="0" xfId="1" applyFont="1" applyAlignment="1">
      <alignment horizontal="right"/>
    </xf>
    <xf numFmtId="4" fontId="6" fillId="2" borderId="0" xfId="1" applyNumberFormat="1" applyFont="1" applyFill="1"/>
    <xf numFmtId="0" fontId="6" fillId="3" borderId="0" xfId="1" applyFont="1" applyFill="1"/>
    <xf numFmtId="0" fontId="12" fillId="7" borderId="0" xfId="1" applyFont="1" applyFill="1" applyAlignment="1">
      <alignment horizontal="center"/>
    </xf>
    <xf numFmtId="0" fontId="13" fillId="8" borderId="0" xfId="1" applyFont="1" applyFill="1" applyAlignment="1">
      <alignment horizontal="center"/>
    </xf>
    <xf numFmtId="0" fontId="13" fillId="7" borderId="0" xfId="1" applyFont="1" applyFill="1" applyAlignment="1">
      <alignment horizontal="center"/>
    </xf>
    <xf numFmtId="0" fontId="9" fillId="0" borderId="0" xfId="1" applyFont="1" applyAlignment="1">
      <alignment horizontal="center"/>
    </xf>
    <xf numFmtId="10" fontId="14" fillId="8" borderId="0" xfId="4" applyNumberFormat="1" applyFont="1" applyFill="1" applyBorder="1" applyAlignment="1">
      <alignment horizontal="center"/>
    </xf>
    <xf numFmtId="10" fontId="14" fillId="7" borderId="0" xfId="4" applyNumberFormat="1" applyFont="1" applyFill="1" applyBorder="1" applyAlignment="1">
      <alignment horizontal="center"/>
    </xf>
    <xf numFmtId="0" fontId="6" fillId="7" borderId="0" xfId="1" applyFont="1" applyFill="1"/>
    <xf numFmtId="0" fontId="15" fillId="6" borderId="0" xfId="1" applyFont="1" applyFill="1" applyAlignment="1">
      <alignment horizontal="left"/>
    </xf>
    <xf numFmtId="0" fontId="16" fillId="9" borderId="0" xfId="1" applyFont="1" applyFill="1" applyAlignment="1">
      <alignment horizontal="center"/>
    </xf>
    <xf numFmtId="0" fontId="17" fillId="5" borderId="0" xfId="1" applyFont="1" applyFill="1" applyAlignment="1">
      <alignment horizontal="center"/>
    </xf>
    <xf numFmtId="10" fontId="17" fillId="8" borderId="0" xfId="4" applyNumberFormat="1" applyFont="1" applyFill="1" applyBorder="1" applyAlignment="1">
      <alignment horizontal="center"/>
    </xf>
    <xf numFmtId="0" fontId="17" fillId="8" borderId="0" xfId="1" applyFont="1" applyFill="1" applyAlignment="1">
      <alignment horizontal="center"/>
    </xf>
    <xf numFmtId="10" fontId="11" fillId="0" borderId="0" xfId="4" applyNumberFormat="1" applyFont="1" applyFill="1" applyBorder="1" applyAlignment="1">
      <alignment horizontal="center"/>
    </xf>
    <xf numFmtId="0" fontId="19" fillId="7" borderId="0" xfId="1" applyFont="1" applyFill="1" applyAlignment="1">
      <alignment horizontal="left"/>
    </xf>
    <xf numFmtId="0" fontId="10" fillId="0" borderId="0" xfId="1" applyFont="1" applyAlignment="1">
      <alignment horizontal="left"/>
    </xf>
    <xf numFmtId="165" fontId="6" fillId="0" borderId="0" xfId="4" applyNumberFormat="1" applyFont="1" applyFill="1" applyBorder="1"/>
    <xf numFmtId="167" fontId="6" fillId="10" borderId="0" xfId="1" applyNumberFormat="1" applyFont="1" applyFill="1"/>
    <xf numFmtId="0" fontId="20" fillId="0" borderId="0" xfId="1" applyFont="1"/>
    <xf numFmtId="169" fontId="6" fillId="0" borderId="0" xfId="5" applyNumberFormat="1" applyFont="1" applyFill="1" applyBorder="1"/>
    <xf numFmtId="0" fontId="17" fillId="7" borderId="0" xfId="1" applyFont="1" applyFill="1" applyAlignment="1">
      <alignment horizontal="center"/>
    </xf>
    <xf numFmtId="10" fontId="18" fillId="7" borderId="0" xfId="4" applyNumberFormat="1" applyFont="1" applyFill="1" applyBorder="1" applyAlignment="1">
      <alignment horizontal="center"/>
    </xf>
    <xf numFmtId="10" fontId="17" fillId="7" borderId="0" xfId="4" applyNumberFormat="1" applyFont="1" applyFill="1" applyBorder="1" applyAlignment="1">
      <alignment horizontal="center"/>
    </xf>
    <xf numFmtId="170" fontId="6" fillId="2" borderId="0" xfId="6" applyNumberFormat="1" applyFont="1" applyFill="1" applyBorder="1"/>
    <xf numFmtId="10" fontId="6" fillId="0" borderId="0" xfId="7" applyNumberFormat="1" applyFont="1" applyFill="1" applyBorder="1"/>
    <xf numFmtId="10" fontId="21" fillId="0" borderId="0" xfId="7" applyNumberFormat="1" applyFont="1" applyFill="1" applyBorder="1"/>
    <xf numFmtId="10" fontId="21" fillId="3" borderId="0" xfId="7" applyNumberFormat="1" applyFont="1" applyFill="1" applyBorder="1"/>
    <xf numFmtId="10" fontId="6" fillId="0" borderId="0" xfId="7" quotePrefix="1" applyNumberFormat="1" applyFont="1" applyFill="1" applyBorder="1"/>
    <xf numFmtId="10" fontId="17" fillId="7" borderId="0" xfId="7" applyNumberFormat="1" applyFont="1" applyFill="1" applyBorder="1" applyAlignment="1">
      <alignment horizontal="center"/>
    </xf>
    <xf numFmtId="10" fontId="18" fillId="7" borderId="0" xfId="7" applyNumberFormat="1" applyFont="1" applyFill="1" applyBorder="1" applyAlignment="1">
      <alignment horizontal="center"/>
    </xf>
    <xf numFmtId="10" fontId="18" fillId="8" borderId="0" xfId="7" applyNumberFormat="1" applyFont="1" applyFill="1" applyBorder="1" applyAlignment="1">
      <alignment horizontal="center"/>
    </xf>
    <xf numFmtId="10" fontId="17" fillId="8" borderId="0" xfId="7" applyNumberFormat="1" applyFont="1" applyFill="1" applyBorder="1" applyAlignment="1">
      <alignment horizontal="center"/>
    </xf>
    <xf numFmtId="10" fontId="6" fillId="0" borderId="0" xfId="1" applyNumberFormat="1" applyFont="1"/>
    <xf numFmtId="14" fontId="6" fillId="10" borderId="0" xfId="1" applyNumberFormat="1" applyFont="1" applyFill="1"/>
    <xf numFmtId="14" fontId="6" fillId="2" borderId="0" xfId="1" applyNumberFormat="1" applyFont="1" applyFill="1"/>
    <xf numFmtId="0" fontId="23" fillId="0" borderId="0" xfId="0" applyFont="1" applyAlignment="1">
      <alignment vertical="center" wrapText="1"/>
    </xf>
    <xf numFmtId="0" fontId="22" fillId="0" borderId="0" xfId="0" applyFont="1" applyAlignment="1">
      <alignment horizontal="left"/>
    </xf>
    <xf numFmtId="0" fontId="22" fillId="0" borderId="0" xfId="0" applyFont="1"/>
    <xf numFmtId="10" fontId="22" fillId="0" borderId="0" xfId="0" applyNumberFormat="1" applyFont="1" applyAlignment="1">
      <alignment horizontal="center"/>
    </xf>
    <xf numFmtId="0" fontId="22" fillId="0" borderId="0" xfId="0" applyFont="1" applyAlignment="1">
      <alignment horizontal="right"/>
    </xf>
    <xf numFmtId="0" fontId="23" fillId="0" borderId="0" xfId="0" applyFont="1" applyAlignment="1">
      <alignment horizontal="left"/>
    </xf>
    <xf numFmtId="10" fontId="23" fillId="0" borderId="0" xfId="0" applyNumberFormat="1" applyFont="1" applyAlignment="1">
      <alignment horizontal="center"/>
    </xf>
    <xf numFmtId="0" fontId="23" fillId="0" borderId="0" xfId="0" applyFont="1"/>
    <xf numFmtId="0" fontId="24" fillId="0" borderId="0" xfId="0" applyFont="1" applyAlignment="1">
      <alignment horizontal="left" vertical="center"/>
    </xf>
    <xf numFmtId="0" fontId="24" fillId="0" borderId="0" xfId="0" applyFont="1" applyAlignment="1">
      <alignment horizontal="center" vertical="center"/>
    </xf>
    <xf numFmtId="0" fontId="24" fillId="0" borderId="0" xfId="0" applyFont="1" applyAlignment="1">
      <alignment horizontal="center" vertical="center" wrapText="1"/>
    </xf>
    <xf numFmtId="0" fontId="22" fillId="0" borderId="0" xfId="0" applyFont="1" applyAlignment="1">
      <alignment horizontal="center"/>
    </xf>
    <xf numFmtId="0" fontId="25" fillId="0" borderId="0" xfId="0" applyFont="1" applyAlignment="1">
      <alignment horizontal="left" vertical="center"/>
    </xf>
    <xf numFmtId="0" fontId="25" fillId="0" borderId="0" xfId="0" applyFont="1" applyAlignment="1">
      <alignment vertical="center"/>
    </xf>
    <xf numFmtId="0" fontId="25" fillId="0" borderId="0" xfId="0" applyFont="1" applyAlignment="1">
      <alignment horizontal="center" vertical="center"/>
    </xf>
    <xf numFmtId="0" fontId="25" fillId="0" borderId="0" xfId="0" applyFont="1" applyAlignment="1">
      <alignment horizontal="center" vertical="center" wrapText="1"/>
    </xf>
    <xf numFmtId="0" fontId="26" fillId="0" borderId="0" xfId="0" applyFont="1"/>
    <xf numFmtId="0" fontId="27" fillId="0" borderId="0" xfId="0" applyFont="1"/>
    <xf numFmtId="0" fontId="27" fillId="0" borderId="0" xfId="0" applyFont="1" applyAlignment="1">
      <alignment horizontal="center"/>
    </xf>
    <xf numFmtId="0" fontId="28" fillId="11" borderId="0" xfId="0" applyFont="1" applyFill="1"/>
    <xf numFmtId="10" fontId="28" fillId="11" borderId="0" xfId="0" applyNumberFormat="1" applyFont="1" applyFill="1"/>
    <xf numFmtId="10" fontId="22" fillId="0" borderId="0" xfId="0" applyNumberFormat="1" applyFont="1"/>
    <xf numFmtId="0" fontId="29" fillId="0" borderId="0" xfId="0" applyFont="1"/>
    <xf numFmtId="0" fontId="28" fillId="11" borderId="0" xfId="0" applyFont="1" applyFill="1" applyAlignment="1">
      <alignment vertical="center"/>
    </xf>
    <xf numFmtId="10" fontId="28" fillId="11" borderId="0" xfId="0" applyNumberFormat="1" applyFont="1" applyFill="1" applyAlignment="1">
      <alignment vertical="center"/>
    </xf>
    <xf numFmtId="0" fontId="30" fillId="0" borderId="0" xfId="0" applyFont="1" applyAlignment="1">
      <alignment vertical="center" wrapText="1"/>
    </xf>
    <xf numFmtId="14" fontId="31" fillId="0" borderId="0" xfId="0" applyNumberFormat="1" applyFont="1"/>
    <xf numFmtId="2" fontId="31" fillId="0" borderId="0" xfId="0" applyNumberFormat="1" applyFont="1"/>
    <xf numFmtId="0" fontId="32" fillId="12" borderId="2" xfId="0" applyFont="1" applyFill="1" applyBorder="1"/>
    <xf numFmtId="171" fontId="32" fillId="12" borderId="2" xfId="0" applyNumberFormat="1" applyFont="1" applyFill="1" applyBorder="1"/>
    <xf numFmtId="0" fontId="0" fillId="13" borderId="3" xfId="0" applyFill="1" applyBorder="1"/>
    <xf numFmtId="0" fontId="0" fillId="0" borderId="3" xfId="0" applyBorder="1"/>
    <xf numFmtId="165" fontId="33" fillId="14" borderId="4" xfId="0" applyNumberFormat="1" applyFont="1" applyFill="1" applyBorder="1"/>
    <xf numFmtId="0" fontId="16" fillId="3" borderId="0" xfId="1" applyFont="1" applyFill="1" applyAlignment="1">
      <alignment horizontal="center" vertical="center"/>
    </xf>
    <xf numFmtId="0" fontId="9" fillId="7" borderId="0" xfId="1" applyFont="1" applyFill="1" applyAlignment="1">
      <alignment horizontal="center" vertical="center"/>
    </xf>
    <xf numFmtId="0" fontId="16" fillId="2" borderId="0" xfId="1" applyFont="1" applyFill="1" applyAlignment="1">
      <alignment horizontal="center" vertical="center"/>
    </xf>
  </cellXfs>
  <cellStyles count="10">
    <cellStyle name="Millares [0]" xfId="6" builtinId="6"/>
    <cellStyle name="Millares [0] 2" xfId="5" xr:uid="{00000000-0005-0000-0000-000001000000}"/>
    <cellStyle name="Millares [0] 2 2" xfId="8" xr:uid="{1183B9D9-0D7E-4025-886E-C20B7453E761}"/>
    <cellStyle name="Millares [0] 3" xfId="9" xr:uid="{E8FAF6E5-B1FF-4FB2-A379-437B356964AF}"/>
    <cellStyle name="Normal" xfId="0" builtinId="0"/>
    <cellStyle name="Normal 2" xfId="1" xr:uid="{00000000-0005-0000-0000-000003000000}"/>
    <cellStyle name="Normal 54" xfId="2" xr:uid="{00000000-0005-0000-0000-000004000000}"/>
    <cellStyle name="Porcentaje" xfId="7" builtinId="5"/>
    <cellStyle name="Porcentaje 2" xfId="4" xr:uid="{00000000-0005-0000-0000-000006000000}"/>
    <cellStyle name="Porcentaje 29" xfId="3" xr:uid="{00000000-0005-0000-0000-000007000000}"/>
  </cellStyles>
  <dxfs count="0"/>
  <tableStyles count="0" defaultTableStyle="TableStyleMedium2" defaultPivotStyle="PivotStyleLight16"/>
  <colors>
    <mruColors>
      <color rgb="FFA6A6A6"/>
      <color rgb="FFFDD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600">
                <a:latin typeface="Be Vietnam Pro Light" pitchFamily="2" charset="0"/>
              </a:defRPr>
            </a:pPr>
            <a:r>
              <a:rPr lang="en-US" sz="1600">
                <a:latin typeface="Be Vietnam Pro Light" pitchFamily="2" charset="0"/>
              </a:rPr>
              <a:t>FIP Liquidez Dólar Caja</a:t>
            </a:r>
          </a:p>
        </c:rich>
      </c:tx>
      <c:layout>
        <c:manualLayout>
          <c:xMode val="edge"/>
          <c:yMode val="edge"/>
          <c:x val="0.36255883240867676"/>
          <c:y val="5.0177755687273264E-2"/>
        </c:manualLayout>
      </c:layout>
      <c:overlay val="0"/>
    </c:title>
    <c:autoTitleDeleted val="0"/>
    <c:plotArea>
      <c:layout>
        <c:manualLayout>
          <c:layoutTarget val="inner"/>
          <c:xMode val="edge"/>
          <c:yMode val="edge"/>
          <c:x val="9.3464617746071066E-2"/>
          <c:y val="0.14340705352157054"/>
          <c:w val="0.86940468507439261"/>
          <c:h val="0.79385140746629201"/>
        </c:manualLayout>
      </c:layout>
      <c:lineChart>
        <c:grouping val="standard"/>
        <c:varyColors val="0"/>
        <c:ser>
          <c:idx val="0"/>
          <c:order val="0"/>
          <c:tx>
            <c:v>FIP Liquidez Dólar Caja</c:v>
          </c:tx>
          <c:spPr>
            <a:ln w="38100">
              <a:solidFill>
                <a:sysClr val="windowText" lastClr="000000"/>
              </a:solidFill>
            </a:ln>
          </c:spPr>
          <c:marker>
            <c:symbol val="none"/>
          </c:marker>
          <c:cat>
            <c:numRef>
              <c:f>'Datos ICP (2)'!$A$191:$A$244</c:f>
              <c:numCache>
                <c:formatCode>m/d/yyyy</c:formatCode>
                <c:ptCount val="54"/>
                <c:pt idx="0">
                  <c:v>44377</c:v>
                </c:pt>
                <c:pt idx="1">
                  <c:v>44408</c:v>
                </c:pt>
                <c:pt idx="2">
                  <c:v>44439</c:v>
                </c:pt>
                <c:pt idx="3">
                  <c:v>44469</c:v>
                </c:pt>
                <c:pt idx="4">
                  <c:v>44500</c:v>
                </c:pt>
                <c:pt idx="5">
                  <c:v>44530</c:v>
                </c:pt>
                <c:pt idx="6">
                  <c:v>44561</c:v>
                </c:pt>
                <c:pt idx="7">
                  <c:v>44592</c:v>
                </c:pt>
                <c:pt idx="8">
                  <c:v>44620</c:v>
                </c:pt>
                <c:pt idx="9">
                  <c:v>44651</c:v>
                </c:pt>
                <c:pt idx="10">
                  <c:v>44681</c:v>
                </c:pt>
                <c:pt idx="11">
                  <c:v>44712</c:v>
                </c:pt>
                <c:pt idx="12">
                  <c:v>44742</c:v>
                </c:pt>
                <c:pt idx="13">
                  <c:v>44773</c:v>
                </c:pt>
                <c:pt idx="14">
                  <c:v>44804</c:v>
                </c:pt>
                <c:pt idx="15">
                  <c:v>44834</c:v>
                </c:pt>
                <c:pt idx="16">
                  <c:v>44862</c:v>
                </c:pt>
                <c:pt idx="17">
                  <c:v>44895</c:v>
                </c:pt>
                <c:pt idx="18">
                  <c:v>44925</c:v>
                </c:pt>
                <c:pt idx="19">
                  <c:v>44957</c:v>
                </c:pt>
                <c:pt idx="20">
                  <c:v>44985</c:v>
                </c:pt>
                <c:pt idx="21">
                  <c:v>45016</c:v>
                </c:pt>
                <c:pt idx="22">
                  <c:v>45044</c:v>
                </c:pt>
                <c:pt idx="23">
                  <c:v>45077</c:v>
                </c:pt>
                <c:pt idx="24">
                  <c:v>45107</c:v>
                </c:pt>
                <c:pt idx="25">
                  <c:v>45138</c:v>
                </c:pt>
                <c:pt idx="26">
                  <c:v>45169</c:v>
                </c:pt>
                <c:pt idx="27">
                  <c:v>45199</c:v>
                </c:pt>
                <c:pt idx="28">
                  <c:v>45230</c:v>
                </c:pt>
                <c:pt idx="29">
                  <c:v>45260</c:v>
                </c:pt>
                <c:pt idx="30">
                  <c:v>45291</c:v>
                </c:pt>
                <c:pt idx="31">
                  <c:v>45322</c:v>
                </c:pt>
                <c:pt idx="32">
                  <c:v>45351</c:v>
                </c:pt>
                <c:pt idx="33">
                  <c:v>45379</c:v>
                </c:pt>
                <c:pt idx="34">
                  <c:v>45412</c:v>
                </c:pt>
                <c:pt idx="35">
                  <c:v>45443</c:v>
                </c:pt>
                <c:pt idx="36">
                  <c:v>45473</c:v>
                </c:pt>
                <c:pt idx="37">
                  <c:v>45504</c:v>
                </c:pt>
                <c:pt idx="38">
                  <c:v>45535</c:v>
                </c:pt>
                <c:pt idx="39">
                  <c:v>45565</c:v>
                </c:pt>
                <c:pt idx="40">
                  <c:v>45596</c:v>
                </c:pt>
                <c:pt idx="41">
                  <c:v>45626</c:v>
                </c:pt>
                <c:pt idx="42">
                  <c:v>45657</c:v>
                </c:pt>
                <c:pt idx="43">
                  <c:v>45688</c:v>
                </c:pt>
                <c:pt idx="44">
                  <c:v>45716</c:v>
                </c:pt>
                <c:pt idx="45">
                  <c:v>45747</c:v>
                </c:pt>
                <c:pt idx="46">
                  <c:v>45777</c:v>
                </c:pt>
                <c:pt idx="47">
                  <c:v>45808</c:v>
                </c:pt>
                <c:pt idx="48">
                  <c:v>45838</c:v>
                </c:pt>
                <c:pt idx="49">
                  <c:v>45869</c:v>
                </c:pt>
                <c:pt idx="50">
                  <c:v>45900</c:v>
                </c:pt>
                <c:pt idx="51">
                  <c:v>45930</c:v>
                </c:pt>
                <c:pt idx="52">
                  <c:v>45961</c:v>
                </c:pt>
                <c:pt idx="53">
                  <c:v>45991</c:v>
                </c:pt>
              </c:numCache>
            </c:numRef>
          </c:cat>
          <c:val>
            <c:numRef>
              <c:f>'Datos ICP (2)'!$J$210:$J$244</c:f>
              <c:numCache>
                <c:formatCode>#,##0.00</c:formatCode>
                <c:ptCount val="35"/>
                <c:pt idx="0">
                  <c:v>100</c:v>
                </c:pt>
                <c:pt idx="1">
                  <c:v>101.9285714285715</c:v>
                </c:pt>
                <c:pt idx="2">
                  <c:v>105.94707823058025</c:v>
                </c:pt>
                <c:pt idx="3">
                  <c:v>111.23366317278261</c:v>
                </c:pt>
                <c:pt idx="4">
                  <c:v>117.00745291284511</c:v>
                </c:pt>
                <c:pt idx="5">
                  <c:v>122.27140304388874</c:v>
                </c:pt>
                <c:pt idx="6">
                  <c:v>128.97048370045911</c:v>
                </c:pt>
                <c:pt idx="7">
                  <c:v>136.29645584973932</c:v>
                </c:pt>
                <c:pt idx="8">
                  <c:v>144.09847259814737</c:v>
                </c:pt>
                <c:pt idx="9">
                  <c:v>152.85379546729936</c:v>
                </c:pt>
                <c:pt idx="10">
                  <c:v>161.16314878234095</c:v>
                </c:pt>
                <c:pt idx="11">
                  <c:v>169.60336048524343</c:v>
                </c:pt>
                <c:pt idx="12">
                  <c:v>178.633850100313</c:v>
                </c:pt>
                <c:pt idx="13">
                  <c:v>187.27875548332395</c:v>
                </c:pt>
                <c:pt idx="14">
                  <c:v>195.51838444213197</c:v>
                </c:pt>
                <c:pt idx="15">
                  <c:v>206.36616799110072</c:v>
                </c:pt>
                <c:pt idx="16">
                  <c:v>216.04494553710688</c:v>
                </c:pt>
                <c:pt idx="17">
                  <c:v>227.92842804186117</c:v>
                </c:pt>
                <c:pt idx="18">
                  <c:v>236.06215144716754</c:v>
                </c:pt>
                <c:pt idx="19">
                  <c:v>245.22379358615183</c:v>
                </c:pt>
                <c:pt idx="20">
                  <c:v>254.75321561670179</c:v>
                </c:pt>
                <c:pt idx="21">
                  <c:v>265.12120682743222</c:v>
                </c:pt>
                <c:pt idx="22">
                  <c:v>276.81665570870842</c:v>
                </c:pt>
                <c:pt idx="23">
                  <c:v>288.74019059175754</c:v>
                </c:pt>
                <c:pt idx="24">
                  <c:v>300.36434474815513</c:v>
                </c:pt>
                <c:pt idx="25">
                  <c:v>312.65252731622326</c:v>
                </c:pt>
                <c:pt idx="26">
                  <c:v>326.14320159977893</c:v>
                </c:pt>
                <c:pt idx="27">
                  <c:v>340.98461406183327</c:v>
                </c:pt>
                <c:pt idx="28">
                  <c:v>355.23176922266271</c:v>
                </c:pt>
                <c:pt idx="29">
                  <c:v>371.27807824212147</c:v>
                </c:pt>
                <c:pt idx="30">
                  <c:v>388.98728159398155</c:v>
                </c:pt>
                <c:pt idx="31">
                  <c:v>409.07206521030434</c:v>
                </c:pt>
                <c:pt idx="32">
                  <c:v>429.06300248508171</c:v>
                </c:pt>
                <c:pt idx="33">
                  <c:v>450.15085381869994</c:v>
                </c:pt>
                <c:pt idx="34">
                  <c:v>471.49343277703605</c:v>
                </c:pt>
              </c:numCache>
            </c:numRef>
          </c:val>
          <c:smooth val="0"/>
          <c:extLst>
            <c:ext xmlns:c16="http://schemas.microsoft.com/office/drawing/2014/chart" uri="{C3380CC4-5D6E-409C-BE32-E72D297353CC}">
              <c16:uniqueId val="{00000001-BF7A-4118-97AA-A61AA822C6B2}"/>
            </c:ext>
          </c:extLst>
        </c:ser>
        <c:ser>
          <c:idx val="1"/>
          <c:order val="1"/>
          <c:tx>
            <c:v>Competencia Relevante</c:v>
          </c:tx>
          <c:spPr>
            <a:ln w="38100">
              <a:solidFill>
                <a:srgbClr val="A6A6A6"/>
              </a:solidFill>
            </a:ln>
          </c:spPr>
          <c:marker>
            <c:symbol val="none"/>
          </c:marker>
          <c:cat>
            <c:numRef>
              <c:f>'Datos ICP (2)'!$A$191:$A$244</c:f>
              <c:numCache>
                <c:formatCode>m/d/yyyy</c:formatCode>
                <c:ptCount val="54"/>
                <c:pt idx="0">
                  <c:v>44377</c:v>
                </c:pt>
                <c:pt idx="1">
                  <c:v>44408</c:v>
                </c:pt>
                <c:pt idx="2">
                  <c:v>44439</c:v>
                </c:pt>
                <c:pt idx="3">
                  <c:v>44469</c:v>
                </c:pt>
                <c:pt idx="4">
                  <c:v>44500</c:v>
                </c:pt>
                <c:pt idx="5">
                  <c:v>44530</c:v>
                </c:pt>
                <c:pt idx="6">
                  <c:v>44561</c:v>
                </c:pt>
                <c:pt idx="7">
                  <c:v>44592</c:v>
                </c:pt>
                <c:pt idx="8">
                  <c:v>44620</c:v>
                </c:pt>
                <c:pt idx="9">
                  <c:v>44651</c:v>
                </c:pt>
                <c:pt idx="10">
                  <c:v>44681</c:v>
                </c:pt>
                <c:pt idx="11">
                  <c:v>44712</c:v>
                </c:pt>
                <c:pt idx="12">
                  <c:v>44742</c:v>
                </c:pt>
                <c:pt idx="13">
                  <c:v>44773</c:v>
                </c:pt>
                <c:pt idx="14">
                  <c:v>44804</c:v>
                </c:pt>
                <c:pt idx="15">
                  <c:v>44834</c:v>
                </c:pt>
                <c:pt idx="16">
                  <c:v>44862</c:v>
                </c:pt>
                <c:pt idx="17">
                  <c:v>44895</c:v>
                </c:pt>
                <c:pt idx="18">
                  <c:v>44925</c:v>
                </c:pt>
                <c:pt idx="19">
                  <c:v>44957</c:v>
                </c:pt>
                <c:pt idx="20">
                  <c:v>44985</c:v>
                </c:pt>
                <c:pt idx="21">
                  <c:v>45016</c:v>
                </c:pt>
                <c:pt idx="22">
                  <c:v>45044</c:v>
                </c:pt>
                <c:pt idx="23">
                  <c:v>45077</c:v>
                </c:pt>
                <c:pt idx="24">
                  <c:v>45107</c:v>
                </c:pt>
                <c:pt idx="25">
                  <c:v>45138</c:v>
                </c:pt>
                <c:pt idx="26">
                  <c:v>45169</c:v>
                </c:pt>
                <c:pt idx="27">
                  <c:v>45199</c:v>
                </c:pt>
                <c:pt idx="28">
                  <c:v>45230</c:v>
                </c:pt>
                <c:pt idx="29">
                  <c:v>45260</c:v>
                </c:pt>
                <c:pt idx="30">
                  <c:v>45291</c:v>
                </c:pt>
                <c:pt idx="31">
                  <c:v>45322</c:v>
                </c:pt>
                <c:pt idx="32">
                  <c:v>45351</c:v>
                </c:pt>
                <c:pt idx="33">
                  <c:v>45379</c:v>
                </c:pt>
                <c:pt idx="34">
                  <c:v>45412</c:v>
                </c:pt>
                <c:pt idx="35">
                  <c:v>45443</c:v>
                </c:pt>
                <c:pt idx="36">
                  <c:v>45473</c:v>
                </c:pt>
                <c:pt idx="37">
                  <c:v>45504</c:v>
                </c:pt>
                <c:pt idx="38">
                  <c:v>45535</c:v>
                </c:pt>
                <c:pt idx="39">
                  <c:v>45565</c:v>
                </c:pt>
                <c:pt idx="40">
                  <c:v>45596</c:v>
                </c:pt>
                <c:pt idx="41">
                  <c:v>45626</c:v>
                </c:pt>
                <c:pt idx="42">
                  <c:v>45657</c:v>
                </c:pt>
                <c:pt idx="43">
                  <c:v>45688</c:v>
                </c:pt>
                <c:pt idx="44">
                  <c:v>45716</c:v>
                </c:pt>
                <c:pt idx="45">
                  <c:v>45747</c:v>
                </c:pt>
                <c:pt idx="46">
                  <c:v>45777</c:v>
                </c:pt>
                <c:pt idx="47">
                  <c:v>45808</c:v>
                </c:pt>
                <c:pt idx="48">
                  <c:v>45838</c:v>
                </c:pt>
                <c:pt idx="49">
                  <c:v>45869</c:v>
                </c:pt>
                <c:pt idx="50">
                  <c:v>45900</c:v>
                </c:pt>
                <c:pt idx="51">
                  <c:v>45930</c:v>
                </c:pt>
                <c:pt idx="52">
                  <c:v>45961</c:v>
                </c:pt>
                <c:pt idx="53">
                  <c:v>45991</c:v>
                </c:pt>
              </c:numCache>
            </c:numRef>
          </c:cat>
          <c:val>
            <c:numRef>
              <c:f>'Datos ICP (2)'!$M$210:$M$244</c:f>
              <c:numCache>
                <c:formatCode>#,##0.00</c:formatCode>
                <c:ptCount val="35"/>
                <c:pt idx="0">
                  <c:v>100</c:v>
                </c:pt>
                <c:pt idx="1">
                  <c:v>104.1124149576859</c:v>
                </c:pt>
                <c:pt idx="2">
                  <c:v>108.46090220481624</c:v>
                </c:pt>
                <c:pt idx="3">
                  <c:v>113.09768396876699</c:v>
                </c:pt>
                <c:pt idx="4">
                  <c:v>118.08015071693245</c:v>
                </c:pt>
                <c:pt idx="5">
                  <c:v>123.4209852993076</c:v>
                </c:pt>
                <c:pt idx="6">
                  <c:v>129.07241184931985</c:v>
                </c:pt>
                <c:pt idx="7">
                  <c:v>135.20707918185485</c:v>
                </c:pt>
                <c:pt idx="8">
                  <c:v>141.52814704205406</c:v>
                </c:pt>
                <c:pt idx="9">
                  <c:v>147.99620902035059</c:v>
                </c:pt>
                <c:pt idx="10">
                  <c:v>154.23851115777217</c:v>
                </c:pt>
                <c:pt idx="11">
                  <c:v>161.27117638122917</c:v>
                </c:pt>
                <c:pt idx="12">
                  <c:v>168.45508097417388</c:v>
                </c:pt>
                <c:pt idx="13">
                  <c:v>175.81425712701252</c:v>
                </c:pt>
                <c:pt idx="14">
                  <c:v>182.65070337507689</c:v>
                </c:pt>
                <c:pt idx="15">
                  <c:v>191.25106482874747</c:v>
                </c:pt>
                <c:pt idx="16">
                  <c:v>199.3877107125505</c:v>
                </c:pt>
                <c:pt idx="17">
                  <c:v>207.86545525292348</c:v>
                </c:pt>
                <c:pt idx="18">
                  <c:v>216.63956926680794</c:v>
                </c:pt>
                <c:pt idx="19">
                  <c:v>225.84477023567487</c:v>
                </c:pt>
                <c:pt idx="20">
                  <c:v>235.06727709818168</c:v>
                </c:pt>
                <c:pt idx="21">
                  <c:v>244.3457355636161</c:v>
                </c:pt>
                <c:pt idx="22">
                  <c:v>253.5432755550672</c:v>
                </c:pt>
                <c:pt idx="23">
                  <c:v>262.89453689385994</c:v>
                </c:pt>
                <c:pt idx="24">
                  <c:v>272.31243903304153</c:v>
                </c:pt>
                <c:pt idx="25">
                  <c:v>281.96957366496224</c:v>
                </c:pt>
                <c:pt idx="26">
                  <c:v>291.67847530868158</c:v>
                </c:pt>
                <c:pt idx="27">
                  <c:v>301.67646237180838</c:v>
                </c:pt>
                <c:pt idx="28">
                  <c:v>311.91878345848687</c:v>
                </c:pt>
                <c:pt idx="29">
                  <c:v>322.58067749828655</c:v>
                </c:pt>
                <c:pt idx="30">
                  <c:v>333.7403967787323</c:v>
                </c:pt>
                <c:pt idx="31">
                  <c:v>345.40015708469372</c:v>
                </c:pt>
                <c:pt idx="32">
                  <c:v>357.46093429744917</c:v>
                </c:pt>
                <c:pt idx="33">
                  <c:v>369.71651650687295</c:v>
                </c:pt>
                <c:pt idx="34">
                  <c:v>382.17021910304777</c:v>
                </c:pt>
              </c:numCache>
            </c:numRef>
          </c:val>
          <c:smooth val="0"/>
          <c:extLst>
            <c:ext xmlns:c16="http://schemas.microsoft.com/office/drawing/2014/chart" uri="{C3380CC4-5D6E-409C-BE32-E72D297353CC}">
              <c16:uniqueId val="{00000002-BF7A-4118-97AA-A61AA822C6B2}"/>
            </c:ext>
          </c:extLst>
        </c:ser>
        <c:dLbls>
          <c:showLegendKey val="0"/>
          <c:showVal val="0"/>
          <c:showCatName val="0"/>
          <c:showSerName val="0"/>
          <c:showPercent val="0"/>
          <c:showBubbleSize val="0"/>
        </c:dLbls>
        <c:smooth val="0"/>
        <c:axId val="231479168"/>
        <c:axId val="231480704"/>
      </c:lineChart>
      <c:dateAx>
        <c:axId val="231479168"/>
        <c:scaling>
          <c:orientation val="minMax"/>
        </c:scaling>
        <c:delete val="1"/>
        <c:axPos val="b"/>
        <c:numFmt formatCode="mmm/yyyy" sourceLinked="0"/>
        <c:majorTickMark val="out"/>
        <c:minorTickMark val="none"/>
        <c:tickLblPos val="nextTo"/>
        <c:crossAx val="231480704"/>
        <c:crosses val="autoZero"/>
        <c:auto val="1"/>
        <c:lblOffset val="100"/>
        <c:baseTimeUnit val="months"/>
        <c:majorUnit val="2"/>
        <c:majorTimeUnit val="months"/>
        <c:minorUnit val="2"/>
        <c:minorTimeUnit val="months"/>
      </c:dateAx>
      <c:valAx>
        <c:axId val="231480704"/>
        <c:scaling>
          <c:orientation val="minMax"/>
        </c:scaling>
        <c:delete val="0"/>
        <c:axPos val="l"/>
        <c:majorGridlines>
          <c:spPr>
            <a:ln>
              <a:solidFill>
                <a:schemeClr val="bg1">
                  <a:lumMod val="85000"/>
                </a:schemeClr>
              </a:solidFill>
            </a:ln>
          </c:spPr>
        </c:majorGridlines>
        <c:title>
          <c:tx>
            <c:rich>
              <a:bodyPr/>
              <a:lstStyle/>
              <a:p>
                <a:pPr>
                  <a:defRPr/>
                </a:pPr>
                <a:r>
                  <a:rPr lang="en-US"/>
                  <a:t>Indice</a:t>
                </a:r>
              </a:p>
            </c:rich>
          </c:tx>
          <c:overlay val="0"/>
        </c:title>
        <c:numFmt formatCode="0" sourceLinked="0"/>
        <c:majorTickMark val="out"/>
        <c:minorTickMark val="none"/>
        <c:tickLblPos val="nextTo"/>
        <c:txPr>
          <a:bodyPr/>
          <a:lstStyle/>
          <a:p>
            <a:pPr>
              <a:defRPr sz="1100" b="0">
                <a:solidFill>
                  <a:schemeClr val="tx1"/>
                </a:solidFill>
                <a:latin typeface="Aileron" panose="00000500000000000000" pitchFamily="50" charset="0"/>
              </a:defRPr>
            </a:pPr>
            <a:endParaRPr lang="es-CL"/>
          </a:p>
        </c:txPr>
        <c:crossAx val="231479168"/>
        <c:crosses val="autoZero"/>
        <c:crossBetween val="between"/>
      </c:valAx>
      <c:spPr>
        <a:noFill/>
        <a:ln>
          <a:noFill/>
        </a:ln>
      </c:spPr>
    </c:plotArea>
    <c:legend>
      <c:legendPos val="r"/>
      <c:layout>
        <c:manualLayout>
          <c:xMode val="edge"/>
          <c:yMode val="edge"/>
          <c:x val="0.62967323660014196"/>
          <c:y val="0.79941265846147203"/>
          <c:w val="0.32702517924253177"/>
          <c:h val="0.13237126545244632"/>
        </c:manualLayout>
      </c:layout>
      <c:overlay val="1"/>
      <c:txPr>
        <a:bodyPr/>
        <a:lstStyle/>
        <a:p>
          <a:pPr>
            <a:defRPr sz="1100">
              <a:latin typeface="Be Vietnam Pro Light" pitchFamily="2" charset="0"/>
            </a:defRPr>
          </a:pPr>
          <a:endParaRPr lang="es-CL"/>
        </a:p>
      </c:txPr>
    </c:legend>
    <c:plotVisOnly val="1"/>
    <c:dispBlanksAs val="gap"/>
    <c:showDLblsOverMax val="0"/>
  </c:chart>
  <c:spPr>
    <a:noFill/>
    <a:ln>
      <a:noFill/>
    </a:ln>
  </c:sp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04-17B3-4997-ADE4-65804F1E5062}"/>
              </c:ext>
            </c:extLst>
          </c:dPt>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0.26629999999999998</c:v>
                </c:pt>
                <c:pt idx="1">
                  <c:v>0.28739999999999999</c:v>
                </c:pt>
                <c:pt idx="2">
                  <c:v>0.2253</c:v>
                </c:pt>
                <c:pt idx="3">
                  <c:v>0.221</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4-087D-45E1-A7D9-C84D2AF7E522}"/>
              </c:ext>
            </c:extLst>
          </c:dPt>
          <c:cat>
            <c:strRef>
              <c:f>composición!$O$2:$O$6</c:f>
              <c:strCache>
                <c:ptCount val="5"/>
                <c:pt idx="0">
                  <c:v>Bono</c:v>
                </c:pt>
                <c:pt idx="1">
                  <c:v>Depósitos</c:v>
                </c:pt>
                <c:pt idx="2">
                  <c:v>Factoring</c:v>
                </c:pt>
                <c:pt idx="3">
                  <c:v>Financiamiento Inmobiliario</c:v>
                </c:pt>
                <c:pt idx="4">
                  <c:v>Financiamiento Mesa Moneda Extranjera</c:v>
                </c:pt>
              </c:strCache>
            </c:strRef>
          </c:cat>
          <c:val>
            <c:numRef>
              <c:f>composición!$P$2:$P$6</c:f>
              <c:numCache>
                <c:formatCode>0.00%</c:formatCode>
                <c:ptCount val="5"/>
                <c:pt idx="0">
                  <c:v>0</c:v>
                </c:pt>
                <c:pt idx="1">
                  <c:v>0</c:v>
                </c:pt>
                <c:pt idx="2">
                  <c:v>0</c:v>
                </c:pt>
                <c:pt idx="3">
                  <c:v>0</c:v>
                </c:pt>
                <c:pt idx="4">
                  <c:v>1</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accent3">
                  <a:tint val="30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2-1A4A-4078-93C9-F5DB9EA212B7}"/>
              </c:ext>
            </c:extLst>
          </c:dPt>
          <c:cat>
            <c:strRef>
              <c:f>composición!$S$3</c:f>
              <c:strCache>
                <c:ptCount val="1"/>
                <c:pt idx="0">
                  <c:v>USD</c:v>
                </c:pt>
              </c:strCache>
            </c:strRef>
          </c:cat>
          <c:val>
            <c:numRef>
              <c:f>composición!$T$3</c:f>
              <c:numCache>
                <c:formatCode>0.00%</c:formatCode>
                <c:ptCount val="1"/>
                <c:pt idx="0">
                  <c:v>1</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2</xdr:col>
      <xdr:colOff>200237</xdr:colOff>
      <xdr:row>264</xdr:row>
      <xdr:rowOff>124733</xdr:rowOff>
    </xdr:from>
    <xdr:to>
      <xdr:col>10</xdr:col>
      <xdr:colOff>357717</xdr:colOff>
      <xdr:row>287</xdr:row>
      <xdr:rowOff>8165</xdr:rowOff>
    </xdr:to>
    <xdr:graphicFrame macro="">
      <xdr:nvGraphicFramePr>
        <xdr:cNvPr id="3" name="34 Gráfico">
          <a:extLst>
            <a:ext uri="{FF2B5EF4-FFF2-40B4-BE49-F238E27FC236}">
              <a16:creationId xmlns:a16="http://schemas.microsoft.com/office/drawing/2014/main" id="{00000000-0008-0000-0000-00002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106680</xdr:colOff>
      <xdr:row>33</xdr:row>
      <xdr:rowOff>34290</xdr:rowOff>
    </xdr:from>
    <xdr:to>
      <xdr:col>8</xdr:col>
      <xdr:colOff>716280</xdr:colOff>
      <xdr:row>48</xdr:row>
      <xdr:rowOff>34290</xdr:rowOff>
    </xdr:to>
    <xdr:graphicFrame macro="">
      <xdr:nvGraphicFramePr>
        <xdr:cNvPr id="2" name="Gráfico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76200</xdr:colOff>
      <xdr:row>18</xdr:row>
      <xdr:rowOff>34290</xdr:rowOff>
    </xdr:from>
    <xdr:to>
      <xdr:col>8</xdr:col>
      <xdr:colOff>685800</xdr:colOff>
      <xdr:row>33</xdr:row>
      <xdr:rowOff>34290</xdr:rowOff>
    </xdr:to>
    <xdr:graphicFrame macro="">
      <xdr:nvGraphicFramePr>
        <xdr:cNvPr id="3" name="Gráfico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175260</xdr:colOff>
      <xdr:row>1</xdr:row>
      <xdr:rowOff>167640</xdr:rowOff>
    </xdr:from>
    <xdr:to>
      <xdr:col>8</xdr:col>
      <xdr:colOff>784860</xdr:colOff>
      <xdr:row>18</xdr:row>
      <xdr:rowOff>167640</xdr:rowOff>
    </xdr:to>
    <xdr:graphicFrame macro="">
      <xdr:nvGraphicFramePr>
        <xdr:cNvPr id="4" name="Gráfico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Jorge%20Valenzuela\Downloads\ICP%20hist&#243;rico%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1633B-3456-463C-8563-87D31EC8952B}">
  <dimension ref="A2:A3"/>
  <sheetViews>
    <sheetView showGridLines="0" tabSelected="1" topLeftCell="A2" workbookViewId="0">
      <selection activeCell="A3" sqref="A3"/>
    </sheetView>
  </sheetViews>
  <sheetFormatPr defaultColWidth="11.42578125" defaultRowHeight="15"/>
  <cols>
    <col min="1" max="1" width="72.5703125" customWidth="1"/>
  </cols>
  <sheetData>
    <row r="2" spans="1:1" ht="178.5">
      <c r="A2" s="100" t="s">
        <v>0</v>
      </c>
    </row>
    <row r="3" spans="1:1">
      <c r="A3" s="7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K250"/>
  <sheetViews>
    <sheetView showGridLines="0" topLeftCell="X1" zoomScale="84" zoomScaleNormal="90" workbookViewId="0">
      <pane ySplit="2" topLeftCell="A234" activePane="bottomLeft" state="frozen"/>
      <selection pane="bottomLeft" activeCell="K249" sqref="K249"/>
    </sheetView>
  </sheetViews>
  <sheetFormatPr defaultColWidth="12.28515625" defaultRowHeight="15"/>
  <cols>
    <col min="1" max="1" width="14.28515625" style="10" customWidth="1"/>
    <col min="2" max="2" width="18.140625" style="10" bestFit="1" customWidth="1"/>
    <col min="3" max="4" width="12.28515625" style="10" bestFit="1" customWidth="1"/>
    <col min="5" max="5" width="12.28515625" style="10"/>
    <col min="6" max="6" width="16.140625" style="10" customWidth="1"/>
    <col min="7" max="7" width="13.42578125" style="11" bestFit="1" customWidth="1"/>
    <col min="8" max="8" width="12.28515625" style="11" bestFit="1" customWidth="1"/>
    <col min="9" max="9" width="12.28515625" style="12" bestFit="1" customWidth="1"/>
    <col min="10" max="10" width="12.28515625" style="10" bestFit="1" customWidth="1"/>
    <col min="11" max="11" width="14.140625" style="10" bestFit="1" customWidth="1"/>
    <col min="12" max="12" width="12.28515625" style="10" bestFit="1" customWidth="1"/>
    <col min="13" max="24" width="11.85546875" style="10" bestFit="1" customWidth="1"/>
    <col min="25" max="25" width="12.28515625" style="10" bestFit="1" customWidth="1"/>
    <col min="26" max="27" width="10.85546875" style="10" bestFit="1" customWidth="1"/>
    <col min="28" max="28" width="5.5703125" style="10" bestFit="1" customWidth="1"/>
    <col min="29" max="29" width="5.7109375" style="10" bestFit="1" customWidth="1"/>
    <col min="30" max="30" width="20.85546875" style="10" customWidth="1"/>
    <col min="31" max="31" width="7.7109375" style="10" bestFit="1" customWidth="1"/>
    <col min="32" max="32" width="8" style="10" customWidth="1"/>
    <col min="33" max="33" width="7.28515625" style="10" customWidth="1"/>
    <col min="34" max="34" width="7.7109375" style="10" bestFit="1" customWidth="1"/>
    <col min="35" max="35" width="7.7109375" style="10" customWidth="1"/>
    <col min="36" max="36" width="9" style="10" customWidth="1"/>
    <col min="37" max="37" width="7.5703125" style="10" customWidth="1"/>
    <col min="38" max="38" width="9.42578125" style="10" customWidth="1"/>
    <col min="39" max="39" width="9.140625" style="10" customWidth="1"/>
    <col min="40" max="40" width="8.7109375" style="10" customWidth="1"/>
    <col min="41" max="41" width="8.85546875" style="10" customWidth="1"/>
    <col min="42" max="42" width="8.5703125" style="10" customWidth="1"/>
    <col min="43" max="43" width="9" style="10" bestFit="1" customWidth="1"/>
    <col min="44" max="44" width="3.85546875" style="10" customWidth="1"/>
    <col min="45" max="45" width="11.7109375" style="10" customWidth="1"/>
    <col min="46" max="46" width="12.28515625" style="10"/>
    <col min="47" max="47" width="12.7109375" style="10" customWidth="1"/>
    <col min="48" max="48" width="20.28515625" style="10" customWidth="1"/>
    <col min="49" max="49" width="14.28515625" style="10" bestFit="1" customWidth="1"/>
    <col min="50" max="51" width="13.7109375" style="10" customWidth="1"/>
    <col min="52" max="52" width="15.85546875" style="10" customWidth="1"/>
    <col min="53" max="53" width="14.28515625" style="10" customWidth="1"/>
    <col min="54" max="54" width="14.140625" style="10" bestFit="1" customWidth="1"/>
    <col min="55" max="16384" width="12.28515625" style="10"/>
  </cols>
  <sheetData>
    <row r="1" spans="1:45" ht="15.75">
      <c r="A1" s="10" t="s">
        <v>1</v>
      </c>
      <c r="F1" s="10" t="s">
        <v>2</v>
      </c>
      <c r="AC1" s="13"/>
      <c r="AD1" s="14" t="s">
        <v>3</v>
      </c>
      <c r="AE1" s="15" t="s">
        <v>4</v>
      </c>
      <c r="AF1" s="15" t="s">
        <v>5</v>
      </c>
      <c r="AG1" s="15" t="s">
        <v>6</v>
      </c>
      <c r="AH1" s="15" t="s">
        <v>7</v>
      </c>
      <c r="AI1" s="15" t="s">
        <v>8</v>
      </c>
      <c r="AJ1" s="15" t="s">
        <v>9</v>
      </c>
      <c r="AK1" s="15" t="s">
        <v>10</v>
      </c>
      <c r="AL1" s="15" t="s">
        <v>11</v>
      </c>
      <c r="AM1" s="15" t="s">
        <v>12</v>
      </c>
      <c r="AN1" s="15" t="s">
        <v>13</v>
      </c>
      <c r="AO1" s="15" t="s">
        <v>14</v>
      </c>
      <c r="AP1" s="15" t="s">
        <v>15</v>
      </c>
      <c r="AQ1" s="15" t="s">
        <v>16</v>
      </c>
      <c r="AR1" s="16"/>
      <c r="AS1" s="16"/>
    </row>
    <row r="2" spans="1:45">
      <c r="A2" s="17" t="s">
        <v>17</v>
      </c>
      <c r="B2" s="17" t="s">
        <v>3</v>
      </c>
      <c r="C2" s="17"/>
      <c r="D2" s="17" t="s">
        <v>18</v>
      </c>
      <c r="E2" s="17"/>
      <c r="F2" s="17"/>
      <c r="G2" s="18"/>
      <c r="H2" s="18"/>
      <c r="J2" s="10" t="s">
        <v>19</v>
      </c>
      <c r="K2" s="19" t="s">
        <v>20</v>
      </c>
      <c r="L2" s="20"/>
      <c r="M2" s="10" t="s">
        <v>21</v>
      </c>
      <c r="P2" s="10" t="s">
        <v>4</v>
      </c>
      <c r="Q2" s="10" t="s">
        <v>5</v>
      </c>
      <c r="R2" s="10" t="s">
        <v>6</v>
      </c>
      <c r="S2" s="10" t="s">
        <v>7</v>
      </c>
      <c r="T2" s="10" t="s">
        <v>8</v>
      </c>
      <c r="U2" s="10" t="s">
        <v>9</v>
      </c>
      <c r="V2" s="10" t="s">
        <v>10</v>
      </c>
      <c r="W2" s="10" t="s">
        <v>11</v>
      </c>
      <c r="X2" s="10" t="s">
        <v>12</v>
      </c>
      <c r="Y2" s="10" t="s">
        <v>13</v>
      </c>
      <c r="Z2" s="10" t="s">
        <v>14</v>
      </c>
      <c r="AA2" s="10" t="s">
        <v>15</v>
      </c>
      <c r="AC2" s="13"/>
      <c r="AD2" s="21">
        <v>2006</v>
      </c>
      <c r="AE2" s="22">
        <f>+P3</f>
        <v>4.6342875193780178E-2</v>
      </c>
      <c r="AF2" s="22">
        <f t="shared" ref="AF2:AP16" si="0">+Q3</f>
        <v>4.4732290220770299E-2</v>
      </c>
      <c r="AG2" s="22">
        <f t="shared" si="0"/>
        <v>4.5830257739512284E-2</v>
      </c>
      <c r="AH2" s="22">
        <f t="shared" si="0"/>
        <v>4.6606977481289703E-2</v>
      </c>
      <c r="AI2" s="22">
        <f t="shared" si="0"/>
        <v>4.9331591923343604E-2</v>
      </c>
      <c r="AJ2" s="22">
        <f t="shared" si="0"/>
        <v>4.9357602671657126E-2</v>
      </c>
      <c r="AK2" s="22">
        <f t="shared" si="0"/>
        <v>4.9889227093201829E-2</v>
      </c>
      <c r="AL2" s="22">
        <f t="shared" si="0"/>
        <v>5.1624496770563258E-2</v>
      </c>
      <c r="AM2" s="22">
        <f t="shared" si="0"/>
        <v>5.2263220116978877E-2</v>
      </c>
      <c r="AN2" s="22">
        <f t="shared" si="0"/>
        <v>5.1591332392094402E-2</v>
      </c>
      <c r="AO2" s="22">
        <f t="shared" si="0"/>
        <v>5.2561022411246931E-2</v>
      </c>
      <c r="AP2" s="22">
        <f t="shared" si="0"/>
        <v>5.3584048409502927E-2</v>
      </c>
      <c r="AQ2" s="23">
        <f>+B16/B3-1</f>
        <v>5.6065201394303488E-2</v>
      </c>
      <c r="AR2" s="16"/>
      <c r="AS2" s="16"/>
    </row>
    <row r="3" spans="1:45">
      <c r="A3" s="24">
        <v>38717</v>
      </c>
      <c r="B3" s="25">
        <v>10953.14</v>
      </c>
      <c r="D3" s="26">
        <f t="shared" ref="D3:D68" si="1">B3/$B$3*100</f>
        <v>100</v>
      </c>
      <c r="E3" s="26"/>
      <c r="F3" s="26"/>
      <c r="K3" s="19"/>
      <c r="L3" s="20"/>
      <c r="N3" s="25">
        <f>B3</f>
        <v>10953.14</v>
      </c>
      <c r="O3" s="10">
        <v>2006</v>
      </c>
      <c r="P3" s="64">
        <f t="shared" ref="P3:AA16" si="2">LOOKUP(DATE($O3,P$25,P$24),$A$2:$A$2943,$C$2:$C$2943)</f>
        <v>4.6342875193780178E-2</v>
      </c>
      <c r="Q3" s="64">
        <f t="shared" si="2"/>
        <v>4.4732290220770299E-2</v>
      </c>
      <c r="R3" s="64">
        <f t="shared" si="2"/>
        <v>4.5830257739512284E-2</v>
      </c>
      <c r="S3" s="64">
        <f t="shared" si="2"/>
        <v>4.6606977481289703E-2</v>
      </c>
      <c r="T3" s="64">
        <f t="shared" si="2"/>
        <v>4.9331591923343604E-2</v>
      </c>
      <c r="U3" s="64">
        <f t="shared" si="2"/>
        <v>4.9357602671657126E-2</v>
      </c>
      <c r="V3" s="64">
        <f t="shared" si="2"/>
        <v>4.9889227093201829E-2</v>
      </c>
      <c r="W3" s="64">
        <f t="shared" si="2"/>
        <v>5.1624496770563258E-2</v>
      </c>
      <c r="X3" s="64">
        <f t="shared" si="2"/>
        <v>5.2263220116978877E-2</v>
      </c>
      <c r="Y3" s="64">
        <f t="shared" si="2"/>
        <v>5.1591332392094402E-2</v>
      </c>
      <c r="Z3" s="64">
        <f t="shared" si="2"/>
        <v>5.2561022411246931E-2</v>
      </c>
      <c r="AA3" s="64">
        <f t="shared" si="2"/>
        <v>5.3584048409502927E-2</v>
      </c>
      <c r="AC3" s="13"/>
      <c r="AD3" s="28">
        <v>2007</v>
      </c>
      <c r="AE3" s="22">
        <f t="shared" ref="AE3:AE15" si="3">+P4</f>
        <v>5.1870936379846716E-2</v>
      </c>
      <c r="AF3" s="22">
        <f t="shared" si="0"/>
        <v>5.0518330045926492E-2</v>
      </c>
      <c r="AG3" s="22">
        <f t="shared" si="0"/>
        <v>5.0448303061824802E-2</v>
      </c>
      <c r="AH3" s="22">
        <f t="shared" si="0"/>
        <v>5.0867135169078329E-2</v>
      </c>
      <c r="AI3" s="22">
        <f t="shared" si="0"/>
        <v>5.076427611690202E-2</v>
      </c>
      <c r="AJ3" s="22">
        <f t="shared" si="0"/>
        <v>5.1127127153182933E-2</v>
      </c>
      <c r="AK3" s="22">
        <f t="shared" si="0"/>
        <v>5.1715467782121605E-2</v>
      </c>
      <c r="AL3" s="22">
        <f t="shared" si="0"/>
        <v>5.4754164484803067E-2</v>
      </c>
      <c r="AM3" s="22">
        <f t="shared" si="0"/>
        <v>5.7295126517304E-2</v>
      </c>
      <c r="AN3" s="22">
        <f t="shared" si="0"/>
        <v>5.7653544465488787E-2</v>
      </c>
      <c r="AO3" s="22">
        <f t="shared" si="0"/>
        <v>5.7762752410936535E-2</v>
      </c>
      <c r="AP3" s="22">
        <f t="shared" si="0"/>
        <v>5.3519664610101367E-2</v>
      </c>
      <c r="AQ3" s="23">
        <f>+B28/B15-1</f>
        <v>5.5601351228101059E-2</v>
      </c>
      <c r="AR3" s="16"/>
      <c r="AS3" s="16"/>
    </row>
    <row r="4" spans="1:45">
      <c r="A4" s="31">
        <v>38748</v>
      </c>
      <c r="B4" s="27">
        <v>10996.85</v>
      </c>
      <c r="C4" s="32">
        <f t="shared" ref="C4:C69" si="4">(B4/B3-1)/(A4-A3)*360</f>
        <v>4.6342875193780178E-2</v>
      </c>
      <c r="D4" s="26">
        <f t="shared" si="1"/>
        <v>100.39906364750199</v>
      </c>
      <c r="E4" s="26"/>
      <c r="F4" s="26"/>
      <c r="K4" s="19" t="s">
        <v>22</v>
      </c>
      <c r="L4" s="20"/>
      <c r="O4" s="10">
        <v>2007</v>
      </c>
      <c r="P4" s="64">
        <f t="shared" si="2"/>
        <v>5.1870936379846716E-2</v>
      </c>
      <c r="Q4" s="64">
        <f t="shared" si="2"/>
        <v>5.0518330045926492E-2</v>
      </c>
      <c r="R4" s="64">
        <f t="shared" si="2"/>
        <v>5.0448303061824802E-2</v>
      </c>
      <c r="S4" s="64">
        <f t="shared" si="2"/>
        <v>5.0867135169078329E-2</v>
      </c>
      <c r="T4" s="64">
        <f t="shared" si="2"/>
        <v>5.076427611690202E-2</v>
      </c>
      <c r="U4" s="64">
        <f t="shared" si="2"/>
        <v>5.1127127153182933E-2</v>
      </c>
      <c r="V4" s="64">
        <f t="shared" si="2"/>
        <v>5.1715467782121605E-2</v>
      </c>
      <c r="W4" s="64">
        <f t="shared" si="2"/>
        <v>5.4754164484803067E-2</v>
      </c>
      <c r="X4" s="64">
        <f t="shared" si="2"/>
        <v>5.7295126517304E-2</v>
      </c>
      <c r="Y4" s="64">
        <f t="shared" si="2"/>
        <v>5.7653544465488787E-2</v>
      </c>
      <c r="Z4" s="64">
        <f t="shared" si="2"/>
        <v>5.7762752410936535E-2</v>
      </c>
      <c r="AA4" s="64">
        <f t="shared" si="2"/>
        <v>5.3519664610101367E-2</v>
      </c>
      <c r="AC4" s="13"/>
      <c r="AD4" s="21">
        <v>2008</v>
      </c>
      <c r="AE4" s="22">
        <f t="shared" si="3"/>
        <v>6.7407319713344446E-2</v>
      </c>
      <c r="AF4" s="22">
        <f t="shared" si="0"/>
        <v>6.7407319713344446E-2</v>
      </c>
      <c r="AG4" s="22">
        <f t="shared" si="0"/>
        <v>6.2928654389945465E-2</v>
      </c>
      <c r="AH4" s="22">
        <f t="shared" si="0"/>
        <v>6.2888162928238955E-2</v>
      </c>
      <c r="AI4" s="22">
        <f t="shared" si="0"/>
        <v>6.311119845234181E-2</v>
      </c>
      <c r="AJ4" s="22">
        <f t="shared" si="0"/>
        <v>6.5826560890679578E-2</v>
      </c>
      <c r="AK4" s="22">
        <f t="shared" si="0"/>
        <v>7.0932518789296503E-2</v>
      </c>
      <c r="AL4" s="22">
        <f t="shared" si="0"/>
        <v>7.4440097848913853E-2</v>
      </c>
      <c r="AM4" s="22">
        <f t="shared" si="0"/>
        <v>8.1749724313105177E-2</v>
      </c>
      <c r="AN4" s="22">
        <f t="shared" si="0"/>
        <v>8.0238877484542018E-2</v>
      </c>
      <c r="AO4" s="22">
        <f t="shared" si="0"/>
        <v>8.53725692670948E-2</v>
      </c>
      <c r="AP4" s="22">
        <f t="shared" si="0"/>
        <v>8.0235362670776855E-2</v>
      </c>
      <c r="AQ4" s="23">
        <f>+B41/B29-1</f>
        <v>6.898309272412817E-2</v>
      </c>
      <c r="AR4" s="16"/>
      <c r="AS4" s="16"/>
    </row>
    <row r="5" spans="1:45">
      <c r="A5" s="24">
        <v>38776</v>
      </c>
      <c r="B5" s="27">
        <v>11035.11</v>
      </c>
      <c r="C5" s="32">
        <f t="shared" si="4"/>
        <v>4.4732290220770299E-2</v>
      </c>
      <c r="D5" s="26">
        <f t="shared" si="1"/>
        <v>100.74836987384441</v>
      </c>
      <c r="E5" s="26"/>
      <c r="F5" s="26"/>
      <c r="O5" s="10">
        <v>2008</v>
      </c>
      <c r="P5" s="64">
        <f t="shared" si="2"/>
        <v>6.7407319713344446E-2</v>
      </c>
      <c r="Q5" s="64">
        <f t="shared" si="2"/>
        <v>6.7407319713344446E-2</v>
      </c>
      <c r="R5" s="64">
        <f t="shared" si="2"/>
        <v>6.2928654389945465E-2</v>
      </c>
      <c r="S5" s="64">
        <f t="shared" si="2"/>
        <v>6.2888162928238955E-2</v>
      </c>
      <c r="T5" s="64">
        <f t="shared" si="2"/>
        <v>6.311119845234181E-2</v>
      </c>
      <c r="U5" s="64">
        <f t="shared" si="2"/>
        <v>6.5826560890679578E-2</v>
      </c>
      <c r="V5" s="64">
        <f t="shared" si="2"/>
        <v>7.0932518789296503E-2</v>
      </c>
      <c r="W5" s="64">
        <f t="shared" si="2"/>
        <v>7.4440097848913853E-2</v>
      </c>
      <c r="X5" s="64">
        <f t="shared" si="2"/>
        <v>8.1749724313105177E-2</v>
      </c>
      <c r="Y5" s="64">
        <f t="shared" si="2"/>
        <v>8.0238877484542018E-2</v>
      </c>
      <c r="Z5" s="64">
        <f t="shared" si="2"/>
        <v>8.53725692670948E-2</v>
      </c>
      <c r="AA5" s="64">
        <f t="shared" si="2"/>
        <v>8.0235362670776855E-2</v>
      </c>
      <c r="AC5" s="13"/>
      <c r="AD5" s="28">
        <v>2009</v>
      </c>
      <c r="AE5" s="22">
        <f t="shared" si="3"/>
        <v>7.7907109341338376E-2</v>
      </c>
      <c r="AF5" s="22">
        <f t="shared" si="0"/>
        <v>5.9567803470242771E-2</v>
      </c>
      <c r="AG5" s="22">
        <f t="shared" si="0"/>
        <v>3.3284855007800485E-2</v>
      </c>
      <c r="AH5" s="22">
        <f t="shared" si="0"/>
        <v>1.9415629400551637E-2</v>
      </c>
      <c r="AI5" s="22">
        <f t="shared" si="0"/>
        <v>1.341210650975014E-2</v>
      </c>
      <c r="AJ5" s="22">
        <f t="shared" si="0"/>
        <v>1.0261941030906274E-2</v>
      </c>
      <c r="AK5" s="22">
        <f t="shared" si="0"/>
        <v>5.4663009917644088E-3</v>
      </c>
      <c r="AL5" s="22">
        <f t="shared" si="0"/>
        <v>4.12834487942919E-3</v>
      </c>
      <c r="AM5" s="22">
        <f t="shared" si="0"/>
        <v>4.4898336372378722E-3</v>
      </c>
      <c r="AN5" s="22">
        <f t="shared" si="0"/>
        <v>4.2267959940085476E-3</v>
      </c>
      <c r="AO5" s="22">
        <f t="shared" si="0"/>
        <v>4.15875598075411E-3</v>
      </c>
      <c r="AP5" s="22">
        <f t="shared" si="0"/>
        <v>4.3490069876329605E-3</v>
      </c>
      <c r="AQ5" s="23">
        <f>+B53/B41-1</f>
        <v>2.0141080165585912E-2</v>
      </c>
      <c r="AR5" s="16"/>
      <c r="AS5" s="16"/>
    </row>
    <row r="6" spans="1:45">
      <c r="A6" s="24">
        <v>38807</v>
      </c>
      <c r="B6" s="27">
        <v>11078.66</v>
      </c>
      <c r="C6" s="32">
        <f t="shared" si="4"/>
        <v>4.5830257739512284E-2</v>
      </c>
      <c r="D6" s="26">
        <f t="shared" si="1"/>
        <v>101.14597275301878</v>
      </c>
      <c r="E6" s="26"/>
      <c r="F6" s="26"/>
      <c r="O6" s="10">
        <v>2009</v>
      </c>
      <c r="P6" s="64">
        <f t="shared" si="2"/>
        <v>7.7907109341338376E-2</v>
      </c>
      <c r="Q6" s="64">
        <f t="shared" si="2"/>
        <v>5.9567803470242771E-2</v>
      </c>
      <c r="R6" s="64">
        <f t="shared" si="2"/>
        <v>3.3284855007800485E-2</v>
      </c>
      <c r="S6" s="64">
        <f t="shared" si="2"/>
        <v>1.9415629400551637E-2</v>
      </c>
      <c r="T6" s="64">
        <f t="shared" si="2"/>
        <v>1.341210650975014E-2</v>
      </c>
      <c r="U6" s="64">
        <f t="shared" si="2"/>
        <v>1.0261941030906274E-2</v>
      </c>
      <c r="V6" s="64">
        <f t="shared" si="2"/>
        <v>5.4663009917644088E-3</v>
      </c>
      <c r="W6" s="64">
        <f t="shared" si="2"/>
        <v>4.12834487942919E-3</v>
      </c>
      <c r="X6" s="64">
        <f t="shared" si="2"/>
        <v>4.4898336372378722E-3</v>
      </c>
      <c r="Y6" s="64">
        <f t="shared" si="2"/>
        <v>4.2267959940085476E-3</v>
      </c>
      <c r="Z6" s="64">
        <f t="shared" si="2"/>
        <v>4.15875598075411E-3</v>
      </c>
      <c r="AA6" s="64">
        <f t="shared" si="2"/>
        <v>4.3490069876329605E-3</v>
      </c>
      <c r="AC6" s="13"/>
      <c r="AD6" s="21">
        <v>2010</v>
      </c>
      <c r="AE6" s="22">
        <f t="shared" si="3"/>
        <v>4.4236856027135181E-3</v>
      </c>
      <c r="AF6" s="22">
        <f t="shared" si="0"/>
        <v>4.1268591355768181E-3</v>
      </c>
      <c r="AG6" s="22">
        <f t="shared" si="0"/>
        <v>4.3019596748542195E-3</v>
      </c>
      <c r="AH6" s="22">
        <f t="shared" si="0"/>
        <v>4.3525864840487927E-3</v>
      </c>
      <c r="AI6" s="22">
        <f t="shared" si="0"/>
        <v>4.2367522891621186E-3</v>
      </c>
      <c r="AJ6" s="22">
        <f t="shared" si="0"/>
        <v>6.6499419627819023E-3</v>
      </c>
      <c r="AK6" s="22">
        <f t="shared" si="0"/>
        <v>1.1756693037146883E-2</v>
      </c>
      <c r="AL6" s="22">
        <f t="shared" si="0"/>
        <v>1.7849946052000965E-2</v>
      </c>
      <c r="AM6" s="22">
        <f t="shared" si="0"/>
        <v>2.2019811559507833E-2</v>
      </c>
      <c r="AN6" s="22">
        <f t="shared" si="0"/>
        <v>2.6733549533162513E-2</v>
      </c>
      <c r="AO6" s="22">
        <f t="shared" si="0"/>
        <v>2.8717481033468939E-2</v>
      </c>
      <c r="AP6" s="22">
        <f t="shared" si="0"/>
        <v>3.4374418175004612E-2</v>
      </c>
      <c r="AQ6" s="23">
        <f>+B65/B53-1</f>
        <v>1.4511422033834709E-2</v>
      </c>
      <c r="AR6" s="16"/>
      <c r="AS6" s="16"/>
    </row>
    <row r="7" spans="1:45">
      <c r="A7" s="24">
        <v>38835</v>
      </c>
      <c r="B7" s="27">
        <v>11118.82</v>
      </c>
      <c r="C7" s="32">
        <f t="shared" si="4"/>
        <v>4.6606977481289703E-2</v>
      </c>
      <c r="D7" s="26">
        <f t="shared" si="1"/>
        <v>101.51262560325168</v>
      </c>
      <c r="E7" s="26"/>
      <c r="F7" s="26"/>
      <c r="O7" s="10">
        <v>2010</v>
      </c>
      <c r="P7" s="64">
        <f t="shared" si="2"/>
        <v>4.4236856027135181E-3</v>
      </c>
      <c r="Q7" s="64">
        <f t="shared" si="2"/>
        <v>4.1268591355768181E-3</v>
      </c>
      <c r="R7" s="64">
        <f t="shared" si="2"/>
        <v>4.3019596748542195E-3</v>
      </c>
      <c r="S7" s="64">
        <f t="shared" si="2"/>
        <v>4.3525864840487927E-3</v>
      </c>
      <c r="T7" s="64">
        <f t="shared" si="2"/>
        <v>4.2367522891621186E-3</v>
      </c>
      <c r="U7" s="64">
        <f t="shared" si="2"/>
        <v>6.6499419627819023E-3</v>
      </c>
      <c r="V7" s="64">
        <f t="shared" si="2"/>
        <v>1.1756693037146883E-2</v>
      </c>
      <c r="W7" s="64">
        <f t="shared" si="2"/>
        <v>1.7849946052000965E-2</v>
      </c>
      <c r="X7" s="64">
        <f t="shared" si="2"/>
        <v>2.2019811559507833E-2</v>
      </c>
      <c r="Y7" s="64">
        <f t="shared" si="2"/>
        <v>2.6733549533162513E-2</v>
      </c>
      <c r="Z7" s="64">
        <f t="shared" si="2"/>
        <v>2.8717481033468939E-2</v>
      </c>
      <c r="AA7" s="64">
        <f t="shared" si="2"/>
        <v>3.4374418175004612E-2</v>
      </c>
      <c r="AC7" s="13"/>
      <c r="AD7" s="28">
        <v>2011</v>
      </c>
      <c r="AE7" s="22">
        <f t="shared" si="3"/>
        <v>2.9360882685210581E-2</v>
      </c>
      <c r="AF7" s="22">
        <f t="shared" si="0"/>
        <v>3.3363596819551776E-2</v>
      </c>
      <c r="AG7" s="22">
        <f t="shared" si="0"/>
        <v>3.7259235720033625E-2</v>
      </c>
      <c r="AH7" s="22">
        <f t="shared" si="0"/>
        <v>4.2814941551768869E-2</v>
      </c>
      <c r="AI7" s="22">
        <f t="shared" si="0"/>
        <v>4.7785782879994632E-2</v>
      </c>
      <c r="AJ7" s="22">
        <f t="shared" si="0"/>
        <v>5.1244954901587647E-2</v>
      </c>
      <c r="AK7" s="22">
        <f t="shared" si="0"/>
        <v>5.2534722918067114E-2</v>
      </c>
      <c r="AL7" s="22">
        <f t="shared" si="0"/>
        <v>5.2655629897598158E-2</v>
      </c>
      <c r="AM7" s="22">
        <f t="shared" si="0"/>
        <v>5.2515506250254695E-2</v>
      </c>
      <c r="AN7" s="22">
        <f t="shared" si="0"/>
        <v>4.7527813991103021E-2</v>
      </c>
      <c r="AO7" s="22">
        <f t="shared" si="0"/>
        <v>5.7815841249970745E-2</v>
      </c>
      <c r="AP7" s="22">
        <f t="shared" si="0"/>
        <v>5.2521212370319148E-2</v>
      </c>
      <c r="AQ7" s="23">
        <f>+B77/B65-1</f>
        <v>4.8044321755714048E-2</v>
      </c>
      <c r="AR7" s="16"/>
      <c r="AS7" s="16"/>
    </row>
    <row r="8" spans="1:45">
      <c r="A8" s="24">
        <v>38868</v>
      </c>
      <c r="B8" s="27">
        <v>11169.1</v>
      </c>
      <c r="C8" s="32">
        <f t="shared" si="4"/>
        <v>4.9331591923343604E-2</v>
      </c>
      <c r="D8" s="26">
        <f t="shared" si="1"/>
        <v>101.97167205020661</v>
      </c>
      <c r="E8" s="26"/>
      <c r="F8" s="26"/>
      <c r="O8" s="10">
        <v>2011</v>
      </c>
      <c r="P8" s="64">
        <f t="shared" si="2"/>
        <v>2.9360882685210581E-2</v>
      </c>
      <c r="Q8" s="64">
        <f t="shared" si="2"/>
        <v>3.3363596819551776E-2</v>
      </c>
      <c r="R8" s="64">
        <f t="shared" si="2"/>
        <v>3.7259235720033625E-2</v>
      </c>
      <c r="S8" s="64">
        <f t="shared" si="2"/>
        <v>4.2814941551768869E-2</v>
      </c>
      <c r="T8" s="64">
        <f t="shared" si="2"/>
        <v>4.7785782879994632E-2</v>
      </c>
      <c r="U8" s="64">
        <f t="shared" si="2"/>
        <v>5.1244954901587647E-2</v>
      </c>
      <c r="V8" s="64">
        <f t="shared" si="2"/>
        <v>5.2534722918067114E-2</v>
      </c>
      <c r="W8" s="64">
        <f t="shared" si="2"/>
        <v>5.2655629897598158E-2</v>
      </c>
      <c r="X8" s="64">
        <f t="shared" si="2"/>
        <v>5.2515506250254695E-2</v>
      </c>
      <c r="Y8" s="64">
        <f t="shared" si="2"/>
        <v>4.7527813991103021E-2</v>
      </c>
      <c r="Z8" s="64">
        <f t="shared" si="2"/>
        <v>5.7815841249970745E-2</v>
      </c>
      <c r="AA8" s="64">
        <f t="shared" si="2"/>
        <v>5.2521212370319148E-2</v>
      </c>
      <c r="AC8" s="13"/>
      <c r="AD8" s="21">
        <v>2012</v>
      </c>
      <c r="AE8" s="22">
        <f t="shared" si="3"/>
        <v>5.0603698819484955E-2</v>
      </c>
      <c r="AF8" s="22">
        <f t="shared" si="0"/>
        <v>5.0603698819484955E-2</v>
      </c>
      <c r="AG8" s="22">
        <f t="shared" si="0"/>
        <v>5.0094902148992482E-2</v>
      </c>
      <c r="AH8" s="22">
        <f t="shared" si="0"/>
        <v>5.0057361044930783E-2</v>
      </c>
      <c r="AI8" s="22">
        <f t="shared" si="0"/>
        <v>5.0221147461380858E-2</v>
      </c>
      <c r="AJ8" s="22">
        <f t="shared" si="0"/>
        <v>5.0229493249892829E-2</v>
      </c>
      <c r="AK8" s="22">
        <f t="shared" si="0"/>
        <v>4.9903241096495854E-2</v>
      </c>
      <c r="AL8" s="22">
        <f t="shared" si="0"/>
        <v>4.9885675346617239E-2</v>
      </c>
      <c r="AM8" s="22">
        <f t="shared" si="0"/>
        <v>5.0285790666728357E-2</v>
      </c>
      <c r="AN8" s="22">
        <f t="shared" si="0"/>
        <v>5.0304000284570355E-2</v>
      </c>
      <c r="AO8" s="22">
        <f t="shared" si="0"/>
        <v>5.0163099044126191E-2</v>
      </c>
      <c r="AP8" s="22">
        <f t="shared" si="0"/>
        <v>4.521487426692998E-2</v>
      </c>
      <c r="AQ8" s="23">
        <f>+B89/B78-1</f>
        <v>4.7190367214137385E-2</v>
      </c>
      <c r="AR8" s="16"/>
      <c r="AS8" s="16"/>
    </row>
    <row r="9" spans="1:45">
      <c r="A9" s="24">
        <v>38898</v>
      </c>
      <c r="B9" s="27">
        <v>11215.04</v>
      </c>
      <c r="C9" s="32">
        <f t="shared" si="4"/>
        <v>4.9357602671657126E-2</v>
      </c>
      <c r="D9" s="26">
        <f t="shared" si="1"/>
        <v>102.39109515627483</v>
      </c>
      <c r="E9" s="26"/>
      <c r="F9" s="26"/>
      <c r="O9" s="10">
        <v>2012</v>
      </c>
      <c r="P9" s="64">
        <f t="shared" si="2"/>
        <v>5.0603698819484955E-2</v>
      </c>
      <c r="Q9" s="64">
        <f t="shared" si="2"/>
        <v>5.0603698819484955E-2</v>
      </c>
      <c r="R9" s="64">
        <f t="shared" si="2"/>
        <v>5.0094902148992482E-2</v>
      </c>
      <c r="S9" s="64">
        <f t="shared" si="2"/>
        <v>5.0057361044930783E-2</v>
      </c>
      <c r="T9" s="64">
        <f t="shared" si="2"/>
        <v>5.0221147461380858E-2</v>
      </c>
      <c r="U9" s="64">
        <f t="shared" si="2"/>
        <v>5.0229493249892829E-2</v>
      </c>
      <c r="V9" s="64">
        <f t="shared" si="2"/>
        <v>4.9903241096495854E-2</v>
      </c>
      <c r="W9" s="64">
        <f t="shared" si="2"/>
        <v>4.9885675346617239E-2</v>
      </c>
      <c r="X9" s="64">
        <f t="shared" si="2"/>
        <v>5.0285790666728357E-2</v>
      </c>
      <c r="Y9" s="64">
        <f t="shared" si="2"/>
        <v>5.0304000284570355E-2</v>
      </c>
      <c r="Z9" s="64">
        <f t="shared" si="2"/>
        <v>5.0163099044126191E-2</v>
      </c>
      <c r="AA9" s="64">
        <f t="shared" si="2"/>
        <v>4.521487426692998E-2</v>
      </c>
      <c r="AC9" s="13"/>
      <c r="AD9" s="28">
        <v>2013</v>
      </c>
      <c r="AE9" s="22">
        <f t="shared" si="3"/>
        <v>5.4823260288449471E-2</v>
      </c>
      <c r="AF9" s="22">
        <f t="shared" si="0"/>
        <v>5.0094391934539323E-2</v>
      </c>
      <c r="AG9" s="22">
        <f t="shared" si="0"/>
        <v>4.835264768423507E-2</v>
      </c>
      <c r="AH9" s="22">
        <f t="shared" si="0"/>
        <v>5.1616341547918165E-2</v>
      </c>
      <c r="AI9" s="22">
        <f t="shared" si="0"/>
        <v>5.0242936796612458E-2</v>
      </c>
      <c r="AJ9" s="22">
        <f t="shared" si="0"/>
        <v>5.0110371507475611E-2</v>
      </c>
      <c r="AK9" s="22">
        <f t="shared" si="0"/>
        <v>5.0322515740502442E-2</v>
      </c>
      <c r="AL9" s="22">
        <f t="shared" si="0"/>
        <v>5.0124118911972097E-2</v>
      </c>
      <c r="AM9" s="22">
        <f t="shared" si="0"/>
        <v>5.0112376192160871E-2</v>
      </c>
      <c r="AN9" s="22">
        <f t="shared" si="0"/>
        <v>4.7505658283903816E-2</v>
      </c>
      <c r="AO9" s="22">
        <f t="shared" si="0"/>
        <v>4.8444117365118444E-2</v>
      </c>
      <c r="AP9" s="22">
        <f t="shared" si="0"/>
        <v>4.3674183768746266E-2</v>
      </c>
      <c r="AQ9" s="23">
        <f>+B101/B89-1</f>
        <v>5.1480393340577635E-2</v>
      </c>
      <c r="AR9" s="16"/>
      <c r="AS9" s="16"/>
    </row>
    <row r="10" spans="1:45">
      <c r="A10" s="24">
        <v>38929</v>
      </c>
      <c r="B10" s="27">
        <v>11263.22</v>
      </c>
      <c r="C10" s="32">
        <f t="shared" si="4"/>
        <v>4.9889227093201829E-2</v>
      </c>
      <c r="D10" s="26">
        <f t="shared" si="1"/>
        <v>102.83096901892974</v>
      </c>
      <c r="E10" s="26"/>
      <c r="F10" s="26"/>
      <c r="O10" s="10">
        <v>2013</v>
      </c>
      <c r="P10" s="64">
        <f t="shared" si="2"/>
        <v>5.4823260288449471E-2</v>
      </c>
      <c r="Q10" s="64">
        <f t="shared" si="2"/>
        <v>5.0094391934539323E-2</v>
      </c>
      <c r="R10" s="64">
        <f t="shared" si="2"/>
        <v>4.835264768423507E-2</v>
      </c>
      <c r="S10" s="64">
        <f t="shared" si="2"/>
        <v>5.1616341547918165E-2</v>
      </c>
      <c r="T10" s="64">
        <f t="shared" si="2"/>
        <v>5.0242936796612458E-2</v>
      </c>
      <c r="U10" s="64">
        <f t="shared" si="2"/>
        <v>5.0110371507475611E-2</v>
      </c>
      <c r="V10" s="64">
        <f t="shared" si="2"/>
        <v>5.0322515740502442E-2</v>
      </c>
      <c r="W10" s="64">
        <f t="shared" si="2"/>
        <v>5.0124118911972097E-2</v>
      </c>
      <c r="X10" s="64">
        <f t="shared" si="2"/>
        <v>5.0112376192160871E-2</v>
      </c>
      <c r="Y10" s="64">
        <f t="shared" si="2"/>
        <v>4.7505658283903816E-2</v>
      </c>
      <c r="Z10" s="64">
        <f t="shared" si="2"/>
        <v>4.8444117365118444E-2</v>
      </c>
      <c r="AA10" s="64">
        <f t="shared" si="2"/>
        <v>4.3674183768746266E-2</v>
      </c>
      <c r="AC10" s="13"/>
      <c r="AD10" s="21">
        <v>2014</v>
      </c>
      <c r="AE10" s="22">
        <f t="shared" si="3"/>
        <v>4.6501455470122841E-2</v>
      </c>
      <c r="AF10" s="22">
        <f t="shared" si="0"/>
        <v>4.4130321419378733E-2</v>
      </c>
      <c r="AG10" s="22">
        <f t="shared" si="0"/>
        <v>4.1223402978681871E-2</v>
      </c>
      <c r="AH10" s="22">
        <f t="shared" si="0"/>
        <v>4.0054187990935297E-2</v>
      </c>
      <c r="AI10" s="22">
        <f t="shared" si="0"/>
        <v>4.0049228276954452E-2</v>
      </c>
      <c r="AJ10" s="22">
        <f t="shared" si="0"/>
        <v>4.0055035539574999E-2</v>
      </c>
      <c r="AK10" s="22">
        <f t="shared" si="0"/>
        <v>3.8916336586053819E-2</v>
      </c>
      <c r="AL10" s="22">
        <f t="shared" si="0"/>
        <v>3.6608030247457304E-2</v>
      </c>
      <c r="AM10" s="22">
        <f t="shared" si="0"/>
        <v>3.3392714711788785E-2</v>
      </c>
      <c r="AN10" s="22">
        <f t="shared" si="0"/>
        <v>3.0537254566180339E-2</v>
      </c>
      <c r="AO10" s="22">
        <f t="shared" si="0"/>
        <v>3.1149140054469449E-2</v>
      </c>
      <c r="AP10" s="22">
        <f t="shared" si="0"/>
        <v>2.9139972797988471E-2</v>
      </c>
      <c r="AQ10" s="23">
        <f>+B113/B102-1</f>
        <v>3.463111043336542E-2</v>
      </c>
      <c r="AR10" s="16"/>
      <c r="AS10" s="16"/>
    </row>
    <row r="11" spans="1:45">
      <c r="A11" s="24">
        <v>38960</v>
      </c>
      <c r="B11" s="27">
        <v>11313.29</v>
      </c>
      <c r="C11" s="32">
        <f t="shared" si="4"/>
        <v>5.1624496770563258E-2</v>
      </c>
      <c r="D11" s="26">
        <f t="shared" si="1"/>
        <v>103.28809820745468</v>
      </c>
      <c r="E11" s="26"/>
      <c r="F11" s="26"/>
      <c r="O11" s="10">
        <v>2014</v>
      </c>
      <c r="P11" s="64">
        <f t="shared" si="2"/>
        <v>4.6501455470122841E-2</v>
      </c>
      <c r="Q11" s="64">
        <f t="shared" si="2"/>
        <v>4.4130321419378733E-2</v>
      </c>
      <c r="R11" s="64">
        <f t="shared" si="2"/>
        <v>4.1223402978681871E-2</v>
      </c>
      <c r="S11" s="64">
        <f t="shared" si="2"/>
        <v>4.0054187990935297E-2</v>
      </c>
      <c r="T11" s="64">
        <f t="shared" si="2"/>
        <v>4.0049228276954452E-2</v>
      </c>
      <c r="U11" s="64">
        <f t="shared" si="2"/>
        <v>4.0055035539574999E-2</v>
      </c>
      <c r="V11" s="64">
        <f t="shared" si="2"/>
        <v>3.8916336586053819E-2</v>
      </c>
      <c r="W11" s="64">
        <f t="shared" si="2"/>
        <v>3.6608030247457304E-2</v>
      </c>
      <c r="X11" s="64">
        <f t="shared" si="2"/>
        <v>3.3392714711788785E-2</v>
      </c>
      <c r="Y11" s="64">
        <f t="shared" si="2"/>
        <v>3.0537254566180339E-2</v>
      </c>
      <c r="Z11" s="64">
        <f t="shared" si="2"/>
        <v>3.1149140054469449E-2</v>
      </c>
      <c r="AA11" s="64">
        <f t="shared" si="2"/>
        <v>2.9139972797988471E-2</v>
      </c>
      <c r="AC11" s="13"/>
      <c r="AD11" s="28">
        <v>2015</v>
      </c>
      <c r="AE11" s="22">
        <f t="shared" si="3"/>
        <v>3.1069506598400132E-2</v>
      </c>
      <c r="AF11" s="22">
        <f t="shared" si="0"/>
        <v>3.0021119264119923E-2</v>
      </c>
      <c r="AG11" s="22">
        <f t="shared" si="0"/>
        <v>3.0057254532421807E-2</v>
      </c>
      <c r="AH11" s="22">
        <f t="shared" si="0"/>
        <v>3.0059442364430033E-2</v>
      </c>
      <c r="AI11" s="22">
        <f t="shared" si="0"/>
        <v>3.0022068131990209E-2</v>
      </c>
      <c r="AJ11" s="22">
        <f t="shared" si="0"/>
        <v>3.0027983360393085E-2</v>
      </c>
      <c r="AK11" s="22">
        <f t="shared" si="0"/>
        <v>3.0014998133282976E-2</v>
      </c>
      <c r="AL11" s="22">
        <f t="shared" si="0"/>
        <v>3.0007682915001534E-2</v>
      </c>
      <c r="AM11" s="22">
        <f t="shared" si="0"/>
        <v>3.0068708877275089E-2</v>
      </c>
      <c r="AN11" s="22">
        <f t="shared" si="0"/>
        <v>3.1232480050515044E-2</v>
      </c>
      <c r="AO11" s="22">
        <f t="shared" si="0"/>
        <v>3.2545168694854236E-2</v>
      </c>
      <c r="AP11" s="22">
        <f t="shared" si="0"/>
        <v>3.2426483014432558E-2</v>
      </c>
      <c r="AQ11" s="23">
        <f>+B125/B113-1</f>
        <v>3.1506145181407819E-2</v>
      </c>
      <c r="AR11" s="16"/>
      <c r="AS11" s="16"/>
    </row>
    <row r="12" spans="1:45">
      <c r="A12" s="24">
        <v>38989</v>
      </c>
      <c r="B12" s="27">
        <v>11360.92</v>
      </c>
      <c r="C12" s="32">
        <f t="shared" si="4"/>
        <v>5.2263220116978877E-2</v>
      </c>
      <c r="D12" s="26">
        <f t="shared" si="1"/>
        <v>103.72295067898338</v>
      </c>
      <c r="E12" s="26"/>
      <c r="F12" s="26"/>
      <c r="O12" s="10">
        <v>2015</v>
      </c>
      <c r="P12" s="64">
        <f t="shared" si="2"/>
        <v>3.1069506598400132E-2</v>
      </c>
      <c r="Q12" s="64">
        <f t="shared" si="2"/>
        <v>3.0021119264119923E-2</v>
      </c>
      <c r="R12" s="64">
        <f t="shared" si="2"/>
        <v>3.0057254532421807E-2</v>
      </c>
      <c r="S12" s="64">
        <f t="shared" si="2"/>
        <v>3.0059442364430033E-2</v>
      </c>
      <c r="T12" s="64">
        <f t="shared" si="2"/>
        <v>3.0022068131990209E-2</v>
      </c>
      <c r="U12" s="64">
        <f t="shared" si="2"/>
        <v>3.0027983360393085E-2</v>
      </c>
      <c r="V12" s="64">
        <f t="shared" si="2"/>
        <v>3.0014998133282976E-2</v>
      </c>
      <c r="W12" s="64">
        <f t="shared" si="2"/>
        <v>3.0007682915001534E-2</v>
      </c>
      <c r="X12" s="64">
        <f t="shared" si="2"/>
        <v>3.0068708877275089E-2</v>
      </c>
      <c r="Y12" s="64">
        <f t="shared" si="2"/>
        <v>3.1232480050515044E-2</v>
      </c>
      <c r="Z12" s="64">
        <f t="shared" si="2"/>
        <v>3.2545168694854236E-2</v>
      </c>
      <c r="AA12" s="64">
        <f t="shared" si="2"/>
        <v>3.2426483014432558E-2</v>
      </c>
      <c r="AC12" s="13"/>
      <c r="AD12" s="21">
        <v>2016</v>
      </c>
      <c r="AE12" s="22">
        <f t="shared" si="3"/>
        <v>3.6266132960054508E-2</v>
      </c>
      <c r="AF12" s="22">
        <f t="shared" si="0"/>
        <v>3.6266132960054508E-2</v>
      </c>
      <c r="AG12" s="22">
        <f t="shared" si="0"/>
        <v>3.5052260419279627E-2</v>
      </c>
      <c r="AH12" s="22">
        <f t="shared" si="0"/>
        <v>3.5042237204636388E-2</v>
      </c>
      <c r="AI12" s="22">
        <f t="shared" si="0"/>
        <v>3.5056812866168519E-2</v>
      </c>
      <c r="AJ12" s="22">
        <f t="shared" si="0"/>
        <v>3.5046453502799224E-2</v>
      </c>
      <c r="AK12" s="22">
        <f t="shared" si="0"/>
        <v>3.4781616479192215E-2</v>
      </c>
      <c r="AL12" s="22">
        <f t="shared" si="0"/>
        <v>3.5314291267060559E-2</v>
      </c>
      <c r="AM12" s="22">
        <f t="shared" si="0"/>
        <v>3.5041374587388319E-2</v>
      </c>
      <c r="AN12" s="22">
        <f t="shared" si="0"/>
        <v>3.5050866033243311E-2</v>
      </c>
      <c r="AO12" s="22">
        <f t="shared" si="0"/>
        <v>3.5042256907200198E-2</v>
      </c>
      <c r="AP12" s="22">
        <f t="shared" si="0"/>
        <v>3.5305368218639124E-2</v>
      </c>
      <c r="AQ12" s="23">
        <f>+B137/B125-1</f>
        <v>3.6343837890229658E-2</v>
      </c>
      <c r="AR12" s="33"/>
      <c r="AS12" s="16"/>
    </row>
    <row r="13" spans="1:45">
      <c r="A13" s="24">
        <v>39021</v>
      </c>
      <c r="B13" s="27">
        <v>11413.02</v>
      </c>
      <c r="C13" s="32">
        <f t="shared" si="4"/>
        <v>5.1591332392094402E-2</v>
      </c>
      <c r="D13" s="26">
        <f t="shared" si="1"/>
        <v>104.19861336566501</v>
      </c>
      <c r="E13" s="26"/>
      <c r="F13" s="26"/>
      <c r="O13" s="10">
        <v>2016</v>
      </c>
      <c r="P13" s="64">
        <f t="shared" si="2"/>
        <v>3.6266132960054508E-2</v>
      </c>
      <c r="Q13" s="64">
        <f t="shared" si="2"/>
        <v>3.6266132960054508E-2</v>
      </c>
      <c r="R13" s="64">
        <f t="shared" si="2"/>
        <v>3.5052260419279627E-2</v>
      </c>
      <c r="S13" s="64">
        <f t="shared" si="2"/>
        <v>3.5042237204636388E-2</v>
      </c>
      <c r="T13" s="64">
        <f t="shared" si="2"/>
        <v>3.5056812866168519E-2</v>
      </c>
      <c r="U13" s="64">
        <f t="shared" si="2"/>
        <v>3.5046453502799224E-2</v>
      </c>
      <c r="V13" s="64">
        <f t="shared" si="2"/>
        <v>3.4781616479192215E-2</v>
      </c>
      <c r="W13" s="64">
        <f t="shared" si="2"/>
        <v>3.5314291267060559E-2</v>
      </c>
      <c r="X13" s="64">
        <f t="shared" si="2"/>
        <v>3.5041374587388319E-2</v>
      </c>
      <c r="Y13" s="64">
        <f t="shared" si="2"/>
        <v>3.5050866033243311E-2</v>
      </c>
      <c r="Z13" s="64">
        <f t="shared" si="2"/>
        <v>3.5042256907200198E-2</v>
      </c>
      <c r="AA13" s="64">
        <f t="shared" si="2"/>
        <v>3.5305368218639124E-2</v>
      </c>
      <c r="AC13" s="13"/>
      <c r="AD13" s="28">
        <v>2017</v>
      </c>
      <c r="AE13" s="22">
        <f t="shared" si="3"/>
        <v>3.3637248794313165E-2</v>
      </c>
      <c r="AF13" s="22">
        <f t="shared" si="0"/>
        <v>3.2162392463674597E-2</v>
      </c>
      <c r="AG13" s="22">
        <f t="shared" si="0"/>
        <v>3.1379481788438662E-2</v>
      </c>
      <c r="AH13" s="22">
        <f t="shared" si="0"/>
        <v>2.7058954260655632E-2</v>
      </c>
      <c r="AI13" s="22">
        <f t="shared" si="0"/>
        <v>2.8306085159038336E-2</v>
      </c>
      <c r="AJ13" s="22">
        <f t="shared" si="0"/>
        <v>2.5047090913111525E-2</v>
      </c>
      <c r="AK13" s="22">
        <f t="shared" si="0"/>
        <v>2.5043122061538376E-2</v>
      </c>
      <c r="AL13" s="22">
        <f t="shared" si="0"/>
        <v>2.5015468419039889E-2</v>
      </c>
      <c r="AM13" s="22">
        <f t="shared" si="0"/>
        <v>2.4990117691613634E-2</v>
      </c>
      <c r="AN13" s="22">
        <f t="shared" si="0"/>
        <v>2.505892948670075E-2</v>
      </c>
      <c r="AO13" s="22">
        <f t="shared" si="0"/>
        <v>2.5031497013044302E-2</v>
      </c>
      <c r="AP13" s="22">
        <f t="shared" si="0"/>
        <v>1.0483683088116879E-2</v>
      </c>
      <c r="AQ13" s="23">
        <f>+B149/B137-1</f>
        <v>2.6740437882066592E-2</v>
      </c>
      <c r="AR13" s="33"/>
      <c r="AS13" s="16"/>
    </row>
    <row r="14" spans="1:45">
      <c r="A14" s="24">
        <v>39051</v>
      </c>
      <c r="B14" s="27">
        <v>11463.01</v>
      </c>
      <c r="C14" s="32">
        <f t="shared" si="4"/>
        <v>5.2561022411246931E-2</v>
      </c>
      <c r="D14" s="26">
        <f t="shared" si="1"/>
        <v>104.65501217002613</v>
      </c>
      <c r="E14" s="26"/>
      <c r="F14" s="26"/>
      <c r="O14" s="10">
        <v>2017</v>
      </c>
      <c r="P14" s="64">
        <f t="shared" si="2"/>
        <v>3.3637248794313165E-2</v>
      </c>
      <c r="Q14" s="64">
        <f t="shared" si="2"/>
        <v>3.2162392463674597E-2</v>
      </c>
      <c r="R14" s="64">
        <f t="shared" si="2"/>
        <v>3.1379481788438662E-2</v>
      </c>
      <c r="S14" s="64">
        <f t="shared" si="2"/>
        <v>2.7058954260655632E-2</v>
      </c>
      <c r="T14" s="64">
        <f t="shared" si="2"/>
        <v>2.8306085159038336E-2</v>
      </c>
      <c r="U14" s="64">
        <f t="shared" si="2"/>
        <v>2.5047090913111525E-2</v>
      </c>
      <c r="V14" s="64">
        <f t="shared" si="2"/>
        <v>2.5043122061538376E-2</v>
      </c>
      <c r="W14" s="64">
        <f t="shared" si="2"/>
        <v>2.5015468419039889E-2</v>
      </c>
      <c r="X14" s="64">
        <f t="shared" si="2"/>
        <v>2.4990117691613634E-2</v>
      </c>
      <c r="Y14" s="64">
        <f t="shared" si="2"/>
        <v>2.505892948670075E-2</v>
      </c>
      <c r="Z14" s="64">
        <f t="shared" si="2"/>
        <v>2.5031497013044302E-2</v>
      </c>
      <c r="AA14" s="64">
        <f t="shared" si="2"/>
        <v>1.0483683088116879E-2</v>
      </c>
      <c r="AC14" s="13"/>
      <c r="AD14" s="21">
        <v>2018</v>
      </c>
      <c r="AE14" s="22">
        <f t="shared" si="3"/>
        <v>3.9531761318436859E-2</v>
      </c>
      <c r="AF14" s="22">
        <f t="shared" si="0"/>
        <v>2.4971131087805989E-2</v>
      </c>
      <c r="AG14" s="22">
        <f t="shared" si="0"/>
        <v>2.5024981086114582E-2</v>
      </c>
      <c r="AH14" s="22">
        <f t="shared" si="0"/>
        <v>2.4937204383001621E-2</v>
      </c>
      <c r="AI14" s="22">
        <f t="shared" si="0"/>
        <v>2.4855027090659582E-2</v>
      </c>
      <c r="AJ14" s="22">
        <f t="shared" si="0"/>
        <v>2.5052992141180397E-2</v>
      </c>
      <c r="AK14" s="22">
        <f t="shared" si="0"/>
        <v>2.5017833116796208E-2</v>
      </c>
      <c r="AL14" s="22">
        <f t="shared" si="0"/>
        <v>2.4914492324052462E-2</v>
      </c>
      <c r="AM14" s="22">
        <f t="shared" si="0"/>
        <v>2.4582083696456536E-2</v>
      </c>
      <c r="AN14" s="22">
        <f t="shared" si="0"/>
        <v>2.6427841996883666E-2</v>
      </c>
      <c r="AO14" s="22">
        <f t="shared" si="0"/>
        <v>2.7515948657905302E-2</v>
      </c>
      <c r="AP14" s="22">
        <f t="shared" si="0"/>
        <v>2.749547141874386E-2</v>
      </c>
      <c r="AQ14" s="23">
        <f>+B161/B149-1</f>
        <v>2.7430166222407459E-2</v>
      </c>
      <c r="AR14" s="33"/>
      <c r="AS14" s="16"/>
    </row>
    <row r="15" spans="1:45">
      <c r="A15" s="24">
        <v>39080</v>
      </c>
      <c r="B15" s="27">
        <v>11512.49</v>
      </c>
      <c r="C15" s="32">
        <f t="shared" si="4"/>
        <v>5.3584048409502927E-2</v>
      </c>
      <c r="D15" s="26">
        <f t="shared" si="1"/>
        <v>105.10675477534296</v>
      </c>
      <c r="E15" s="26"/>
      <c r="F15" s="26"/>
      <c r="O15" s="10">
        <v>2018</v>
      </c>
      <c r="P15" s="64">
        <f t="shared" si="2"/>
        <v>3.9531761318436859E-2</v>
      </c>
      <c r="Q15" s="64">
        <f t="shared" si="2"/>
        <v>2.4971131087805989E-2</v>
      </c>
      <c r="R15" s="64">
        <f t="shared" si="2"/>
        <v>2.5024981086114582E-2</v>
      </c>
      <c r="S15" s="64">
        <f t="shared" si="2"/>
        <v>2.4937204383001621E-2</v>
      </c>
      <c r="T15" s="64">
        <f t="shared" si="2"/>
        <v>2.4855027090659582E-2</v>
      </c>
      <c r="U15" s="64">
        <f t="shared" si="2"/>
        <v>2.5052992141180397E-2</v>
      </c>
      <c r="V15" s="64">
        <f t="shared" si="2"/>
        <v>2.5017833116796208E-2</v>
      </c>
      <c r="W15" s="64">
        <f t="shared" si="2"/>
        <v>2.4914492324052462E-2</v>
      </c>
      <c r="X15" s="64">
        <f t="shared" si="2"/>
        <v>2.4582083696456536E-2</v>
      </c>
      <c r="Y15" s="64">
        <f t="shared" si="2"/>
        <v>2.6427841996883666E-2</v>
      </c>
      <c r="Z15" s="64">
        <f t="shared" si="2"/>
        <v>2.7515948657905302E-2</v>
      </c>
      <c r="AA15" s="64">
        <f t="shared" si="2"/>
        <v>2.749547141874386E-2</v>
      </c>
      <c r="AC15" s="13"/>
      <c r="AD15" s="21">
        <v>2019</v>
      </c>
      <c r="AE15" s="22">
        <f t="shared" si="3"/>
        <v>2.8462632291696627E-2</v>
      </c>
      <c r="AF15" s="22">
        <f t="shared" si="0"/>
        <v>2.896537883274565E-2</v>
      </c>
      <c r="AG15" s="22">
        <f t="shared" si="0"/>
        <v>2.9999792280079301E-2</v>
      </c>
      <c r="AH15" s="22">
        <f t="shared" si="0"/>
        <v>3.0005157643314462E-2</v>
      </c>
      <c r="AI15" s="22">
        <f t="shared" ref="AI15:AI16" si="5">+T16</f>
        <v>3.0029477841448365E-2</v>
      </c>
      <c r="AJ15" s="22">
        <f t="shared" ref="AJ15:AK16" si="6">+U16</f>
        <v>2.6651576944137997E-2</v>
      </c>
      <c r="AK15" s="22">
        <f t="shared" si="6"/>
        <v>2.4930678430760311E-2</v>
      </c>
      <c r="AL15" s="22">
        <f t="shared" si="0"/>
        <v>2.5026535324576389E-2</v>
      </c>
      <c r="AM15" s="22">
        <f t="shared" si="0"/>
        <v>2.0662069039227404E-2</v>
      </c>
      <c r="AN15" s="22">
        <f t="shared" si="0"/>
        <v>1.9411040192595704E-2</v>
      </c>
      <c r="AO15" s="22">
        <f t="shared" si="0"/>
        <v>1.7056575427638165E-2</v>
      </c>
      <c r="AP15" s="22">
        <f t="shared" si="0"/>
        <v>1.7225309167826532E-2</v>
      </c>
      <c r="AQ15" s="23">
        <f>+(B173/B161-1)/COUNTA(AE15:AP15)*12</f>
        <v>2.5486252445448665E-2</v>
      </c>
      <c r="AR15" s="33" t="s">
        <v>23</v>
      </c>
      <c r="AS15" s="16"/>
    </row>
    <row r="16" spans="1:45">
      <c r="A16" s="24">
        <v>39113</v>
      </c>
      <c r="B16" s="27">
        <v>11567.23</v>
      </c>
      <c r="C16" s="32">
        <f t="shared" si="4"/>
        <v>5.1870936379846716E-2</v>
      </c>
      <c r="D16" s="26">
        <f t="shared" si="1"/>
        <v>105.60652013943034</v>
      </c>
      <c r="E16" s="26"/>
      <c r="F16" s="26"/>
      <c r="O16" s="10">
        <v>2019</v>
      </c>
      <c r="P16" s="64">
        <f t="shared" si="2"/>
        <v>2.8462632291696627E-2</v>
      </c>
      <c r="Q16" s="64">
        <f t="shared" si="2"/>
        <v>2.896537883274565E-2</v>
      </c>
      <c r="R16" s="64">
        <f t="shared" si="2"/>
        <v>2.9999792280079301E-2</v>
      </c>
      <c r="S16" s="64">
        <f t="shared" si="2"/>
        <v>3.0005157643314462E-2</v>
      </c>
      <c r="T16" s="64">
        <f t="shared" si="2"/>
        <v>3.0029477841448365E-2</v>
      </c>
      <c r="U16" s="64">
        <f t="shared" si="2"/>
        <v>2.6651576944137997E-2</v>
      </c>
      <c r="V16" s="64">
        <f t="shared" si="2"/>
        <v>2.4930678430760311E-2</v>
      </c>
      <c r="W16" s="64">
        <f t="shared" si="2"/>
        <v>2.5026535324576389E-2</v>
      </c>
      <c r="X16" s="64">
        <f t="shared" si="2"/>
        <v>2.0662069039227404E-2</v>
      </c>
      <c r="Y16" s="64">
        <f t="shared" si="2"/>
        <v>1.9411040192595704E-2</v>
      </c>
      <c r="Z16" s="64">
        <f t="shared" si="2"/>
        <v>1.7056575427638165E-2</v>
      </c>
      <c r="AA16" s="64">
        <f t="shared" si="2"/>
        <v>1.7225309167826532E-2</v>
      </c>
      <c r="AC16" s="13"/>
      <c r="AD16" s="21">
        <v>2020</v>
      </c>
      <c r="AE16" s="22">
        <f t="shared" ref="AE16:AP20" si="7">+P17</f>
        <v>1.9228743868020683E-2</v>
      </c>
      <c r="AF16" s="22">
        <f t="shared" si="7"/>
        <v>1.7129279348140885E-2</v>
      </c>
      <c r="AG16" s="22">
        <f t="shared" si="7"/>
        <v>1.283974993007142E-2</v>
      </c>
      <c r="AH16" s="22">
        <f t="shared" si="7"/>
        <v>5.8131755793748852E-3</v>
      </c>
      <c r="AI16" s="22">
        <f t="shared" si="5"/>
        <v>4.4872944651278808E-3</v>
      </c>
      <c r="AJ16" s="22">
        <f t="shared" si="6"/>
        <v>4.6858058339029895E-3</v>
      </c>
      <c r="AK16" s="22">
        <f t="shared" si="6"/>
        <v>4.9745146427785276E-3</v>
      </c>
      <c r="AL16" s="22">
        <f t="shared" si="0"/>
        <v>4.8742858328197948E-3</v>
      </c>
      <c r="AM16" s="22">
        <f t="shared" si="0"/>
        <v>4.7370029273796632E-3</v>
      </c>
      <c r="AN16" s="22">
        <f t="shared" ref="AN16" si="8">+Y17</f>
        <v>4.3250876508404267E-3</v>
      </c>
      <c r="AO16" s="22">
        <f t="shared" ref="AO16" si="9">+Z17</f>
        <v>3.9550224302509207E-3</v>
      </c>
      <c r="AP16" s="22">
        <f t="shared" si="0"/>
        <v>4.5301971309169037E-3</v>
      </c>
      <c r="AQ16" s="23">
        <f>+(B185/B173-1)/COUNTA(AE16:AP16)*12</f>
        <v>7.7639256787327415E-3</v>
      </c>
      <c r="AR16" s="33"/>
      <c r="AS16" s="16"/>
    </row>
    <row r="17" spans="1:56">
      <c r="A17" s="24">
        <v>39141</v>
      </c>
      <c r="B17" s="27">
        <v>11612.68</v>
      </c>
      <c r="C17" s="32">
        <f t="shared" si="4"/>
        <v>5.0518330045926492E-2</v>
      </c>
      <c r="D17" s="26">
        <f t="shared" si="1"/>
        <v>106.02146964249522</v>
      </c>
      <c r="E17" s="26"/>
      <c r="F17" s="26"/>
      <c r="O17" s="10">
        <v>2020</v>
      </c>
      <c r="P17" s="64">
        <f t="shared" ref="P17:P23" si="10">LOOKUP(DATE($O17,P$25,P$24),$A$2:$A$2943,$C$2:$C$2943)</f>
        <v>1.9228743868020683E-2</v>
      </c>
      <c r="Q17" s="64">
        <f>LOOKUP(DATE($O17,Q$25,Q$24)+1,$A$2:$A$2943,$C$2:$C$2943)</f>
        <v>1.7129279348140885E-2</v>
      </c>
      <c r="R17" s="64">
        <f t="shared" ref="R17:S23" si="11">LOOKUP(DATE($O17,R$25,R$24),$A$2:$A$2943,$C$2:$C$2943)</f>
        <v>1.283974993007142E-2</v>
      </c>
      <c r="S17" s="64">
        <f t="shared" ref="S17:AA18" si="12">LOOKUP(DATE($O17,S$25,S$24),$A:$A,$C:$C)</f>
        <v>5.8131755793748852E-3</v>
      </c>
      <c r="T17" s="64">
        <f t="shared" si="12"/>
        <v>4.4872944651278808E-3</v>
      </c>
      <c r="U17" s="64">
        <f t="shared" si="12"/>
        <v>4.6858058339029895E-3</v>
      </c>
      <c r="V17" s="64">
        <f t="shared" si="12"/>
        <v>4.9745146427785276E-3</v>
      </c>
      <c r="W17" s="64">
        <f t="shared" si="12"/>
        <v>4.8742858328197948E-3</v>
      </c>
      <c r="X17" s="64">
        <f t="shared" si="12"/>
        <v>4.7370029273796632E-3</v>
      </c>
      <c r="Y17" s="64">
        <f t="shared" si="12"/>
        <v>4.3250876508404267E-3</v>
      </c>
      <c r="Z17" s="64">
        <f t="shared" si="12"/>
        <v>3.9550224302509207E-3</v>
      </c>
      <c r="AA17" s="64">
        <f t="shared" si="12"/>
        <v>4.5301971309169037E-3</v>
      </c>
      <c r="AC17" s="13"/>
      <c r="AD17" s="21">
        <v>2021</v>
      </c>
      <c r="AE17" s="22">
        <f t="shared" si="7"/>
        <v>3.1576624105299524E-3</v>
      </c>
      <c r="AF17" s="22">
        <f t="shared" si="7"/>
        <v>3.0750872177831567E-3</v>
      </c>
      <c r="AG17" s="22">
        <f t="shared" si="7"/>
        <v>3.0092562152281557E-3</v>
      </c>
      <c r="AH17" s="22">
        <f t="shared" si="7"/>
        <v>3.5321064686826271E-3</v>
      </c>
      <c r="AI17" s="22">
        <f t="shared" si="7"/>
        <v>2.8180886583675882E-3</v>
      </c>
      <c r="AJ17" s="22">
        <f t="shared" si="7"/>
        <v>3.2712862533346154E-3</v>
      </c>
      <c r="AK17" s="22">
        <f t="shared" si="7"/>
        <v>5.8287891949730802E-3</v>
      </c>
      <c r="AL17" s="22">
        <f t="shared" si="7"/>
        <v>7.3037050391555978E-3</v>
      </c>
      <c r="AM17" s="22">
        <f t="shared" si="7"/>
        <v>1.4971321783566083E-2</v>
      </c>
      <c r="AN17" s="22">
        <f t="shared" si="7"/>
        <v>2.4058282769717453E-2</v>
      </c>
      <c r="AO17" s="22">
        <f t="shared" si="7"/>
        <v>2.5695083542021102E-2</v>
      </c>
      <c r="AP17" s="22">
        <f t="shared" si="7"/>
        <v>3.6988968103994269E-2</v>
      </c>
      <c r="AQ17" s="23">
        <f>+(B197/B185-1)/COUNTA(AE17:AP17)*12</f>
        <v>1.1410200201508403E-2</v>
      </c>
      <c r="AR17" s="33"/>
      <c r="AS17" s="16"/>
    </row>
    <row r="18" spans="1:56">
      <c r="A18" s="24">
        <v>39171</v>
      </c>
      <c r="B18" s="27">
        <v>11661.5</v>
      </c>
      <c r="C18" s="32">
        <f t="shared" si="4"/>
        <v>5.0448303061824802E-2</v>
      </c>
      <c r="D18" s="26">
        <f t="shared" si="1"/>
        <v>106.46718657846061</v>
      </c>
      <c r="E18" s="26"/>
      <c r="F18" s="26"/>
      <c r="O18" s="10">
        <v>2021</v>
      </c>
      <c r="P18" s="64">
        <f t="shared" si="10"/>
        <v>3.1576624105299524E-3</v>
      </c>
      <c r="Q18" s="64">
        <f>LOOKUP(DATE($O18,Q$25,Q$24)+1,$A$2:$A$2943,$C$2:$C$2943)</f>
        <v>3.0750872177831567E-3</v>
      </c>
      <c r="R18" s="64">
        <f t="shared" si="11"/>
        <v>3.0092562152281557E-3</v>
      </c>
      <c r="S18" s="64">
        <f t="shared" si="12"/>
        <v>3.5321064686826271E-3</v>
      </c>
      <c r="T18" s="64">
        <f t="shared" si="12"/>
        <v>2.8180886583675882E-3</v>
      </c>
      <c r="U18" s="64">
        <f t="shared" si="12"/>
        <v>3.2712862533346154E-3</v>
      </c>
      <c r="V18" s="64">
        <f t="shared" si="12"/>
        <v>5.8287891949730802E-3</v>
      </c>
      <c r="W18" s="64">
        <f t="shared" si="12"/>
        <v>7.3037050391555978E-3</v>
      </c>
      <c r="X18" s="64">
        <f t="shared" si="12"/>
        <v>1.4971321783566083E-2</v>
      </c>
      <c r="Y18" s="64">
        <f t="shared" si="12"/>
        <v>2.4058282769717453E-2</v>
      </c>
      <c r="Z18" s="64">
        <f t="shared" si="12"/>
        <v>2.5695083542021102E-2</v>
      </c>
      <c r="AA18" s="64">
        <f t="shared" si="12"/>
        <v>3.6988968103994269E-2</v>
      </c>
      <c r="AC18" s="13"/>
      <c r="AD18" s="21">
        <v>2022</v>
      </c>
      <c r="AE18" s="22">
        <f t="shared" si="7"/>
        <v>3.9896758247213462E-2</v>
      </c>
      <c r="AF18" s="22">
        <f>+Q19</f>
        <v>5.510866892481639E-2</v>
      </c>
      <c r="AG18" s="22">
        <f>+R19</f>
        <v>5.6107507869007853E-2</v>
      </c>
      <c r="AH18" s="22">
        <f>+S19</f>
        <v>6.542923075735807E-2</v>
      </c>
      <c r="AI18" s="22">
        <f t="shared" si="7"/>
        <v>8.2604120314651669E-2</v>
      </c>
      <c r="AJ18" s="22">
        <f t="shared" si="7"/>
        <v>8.831563714411049E-2</v>
      </c>
      <c r="AK18" s="22">
        <f t="shared" ref="AK18" si="13">+V19</f>
        <v>8.8134341380086273E-2</v>
      </c>
      <c r="AL18" s="22">
        <f t="shared" ref="AL18" si="14">+W19</f>
        <v>0.1042367420078613</v>
      </c>
      <c r="AM18" s="22">
        <f>+X19</f>
        <v>0.10559803760074526</v>
      </c>
      <c r="AN18" s="22">
        <f>+Y19</f>
        <v>0.11061088223118416</v>
      </c>
      <c r="AO18" s="22">
        <f>+Z19</f>
        <v>0.11303169795796657</v>
      </c>
      <c r="AP18" s="22">
        <f>+AA19</f>
        <v>0.11299981466895305</v>
      </c>
      <c r="AQ18" s="23">
        <f>+(B209/B197-1)/COUNTA(AE18:AP18)*12</f>
        <v>8.9685991181348346E-2</v>
      </c>
      <c r="AR18" s="33"/>
      <c r="AS18" s="16"/>
      <c r="AV18" s="35"/>
      <c r="AW18" s="35"/>
      <c r="AX18" s="35">
        <v>-1</v>
      </c>
      <c r="AY18" s="35">
        <v>-3</v>
      </c>
      <c r="AZ18" s="35">
        <v>-6</v>
      </c>
      <c r="BA18" s="35">
        <v>-12</v>
      </c>
      <c r="BB18" s="35"/>
    </row>
    <row r="19" spans="1:56">
      <c r="A19" s="24">
        <v>39202</v>
      </c>
      <c r="B19" s="27">
        <v>11712.58</v>
      </c>
      <c r="C19" s="32">
        <f t="shared" si="4"/>
        <v>5.0867135169078329E-2</v>
      </c>
      <c r="D19" s="26">
        <f t="shared" si="1"/>
        <v>106.93353686705365</v>
      </c>
      <c r="E19" s="26"/>
      <c r="F19" s="26"/>
      <c r="O19" s="10">
        <v>2022</v>
      </c>
      <c r="P19" s="64">
        <f t="shared" si="10"/>
        <v>3.9896758247213462E-2</v>
      </c>
      <c r="Q19" s="64">
        <f>LOOKUP(DATE($O19,Q$25,Q$24),$A$2:$A$2943,$C$2:$C$2943)</f>
        <v>5.510866892481639E-2</v>
      </c>
      <c r="R19" s="64">
        <f t="shared" si="11"/>
        <v>5.6107507869007853E-2</v>
      </c>
      <c r="S19" s="64">
        <f t="shared" ref="S19:AA22" si="15">LOOKUP(DATE($O19,S$25,S$24),$A$2:$A$2943,$C$2:$C$2943)</f>
        <v>6.542923075735807E-2</v>
      </c>
      <c r="T19" s="64">
        <f t="shared" si="15"/>
        <v>8.2604120314651669E-2</v>
      </c>
      <c r="U19" s="64">
        <f t="shared" si="15"/>
        <v>8.831563714411049E-2</v>
      </c>
      <c r="V19" s="64">
        <f t="shared" si="15"/>
        <v>8.8134341380086273E-2</v>
      </c>
      <c r="W19" s="64">
        <f t="shared" si="15"/>
        <v>0.1042367420078613</v>
      </c>
      <c r="X19" s="64">
        <f t="shared" si="15"/>
        <v>0.10559803760074526</v>
      </c>
      <c r="Y19" s="64">
        <f t="shared" si="15"/>
        <v>0.11061088223118416</v>
      </c>
      <c r="Z19" s="64">
        <f t="shared" si="15"/>
        <v>0.11303169795796657</v>
      </c>
      <c r="AA19" s="64">
        <f t="shared" si="15"/>
        <v>0.11299981466895305</v>
      </c>
      <c r="AC19" s="13"/>
      <c r="AD19" s="21">
        <v>2023</v>
      </c>
      <c r="AE19" s="22">
        <f t="shared" si="7"/>
        <v>0.11302826851237679</v>
      </c>
      <c r="AF19" s="22">
        <f t="shared" si="7"/>
        <v>0.11295461203437211</v>
      </c>
      <c r="AG19" s="22">
        <f t="shared" ref="AG19" si="16">+R20</f>
        <v>0.11301465802554971</v>
      </c>
      <c r="AH19" s="22">
        <f t="shared" ref="AH19:AP19" si="17">+S20</f>
        <v>0.11295313602694725</v>
      </c>
      <c r="AI19" s="22">
        <f t="shared" si="17"/>
        <v>0.11303632512333502</v>
      </c>
      <c r="AJ19" s="22">
        <f t="shared" si="17"/>
        <v>0.1129808415702076</v>
      </c>
      <c r="AK19" s="22">
        <f t="shared" si="17"/>
        <v>0.11301130711944485</v>
      </c>
      <c r="AL19" s="22">
        <f t="shared" si="17"/>
        <v>0.1029295039511865</v>
      </c>
      <c r="AM19" s="22">
        <f t="shared" si="17"/>
        <v>9.354414169614067E-2</v>
      </c>
      <c r="AN19" s="22">
        <f t="shared" si="17"/>
        <v>9.824694391949873E-2</v>
      </c>
      <c r="AO19" s="22">
        <f t="shared" si="17"/>
        <v>9.0319371727747289E-2</v>
      </c>
      <c r="AP19" s="22">
        <f t="shared" si="17"/>
        <v>8.224199939930249E-2</v>
      </c>
      <c r="AQ19" s="23">
        <f>+(B221/B209-1)/COUNTA(AE19:AP19)*12</f>
        <v>0.11194279263621576</v>
      </c>
      <c r="AR19" s="33"/>
      <c r="AS19" s="16"/>
      <c r="AV19" s="37" t="s">
        <v>24</v>
      </c>
      <c r="AW19" s="73">
        <v>46142</v>
      </c>
      <c r="AX19" s="74">
        <f>EOMONTH($AW19,AX18)</f>
        <v>46112</v>
      </c>
      <c r="AY19" s="74">
        <f>EOMONTH($AW19,AY18)</f>
        <v>46053</v>
      </c>
      <c r="AZ19" s="74">
        <f>EOMONTH($AW19,AZ18)</f>
        <v>45961</v>
      </c>
      <c r="BA19" s="74">
        <f>EOMONTH($AW19,BA18)</f>
        <v>45777</v>
      </c>
      <c r="BB19" s="74">
        <v>44926</v>
      </c>
    </row>
    <row r="20" spans="1:56">
      <c r="A20" s="24">
        <v>39233</v>
      </c>
      <c r="B20" s="27">
        <v>11763.78</v>
      </c>
      <c r="C20" s="32">
        <f t="shared" si="4"/>
        <v>5.076427611690202E-2</v>
      </c>
      <c r="D20" s="26">
        <f t="shared" si="1"/>
        <v>107.40098273189243</v>
      </c>
      <c r="E20" s="26"/>
      <c r="F20" s="26"/>
      <c r="O20" s="10">
        <v>2023</v>
      </c>
      <c r="P20" s="64">
        <f t="shared" si="10"/>
        <v>0.11302826851237679</v>
      </c>
      <c r="Q20" s="64">
        <f>LOOKUP(DATE($O20,Q$25,Q$24),$A$2:$A$2943,$C$2:$C$2943)</f>
        <v>0.11295461203437211</v>
      </c>
      <c r="R20" s="64">
        <f t="shared" si="11"/>
        <v>0.11301465802554971</v>
      </c>
      <c r="S20" s="64">
        <f t="shared" si="15"/>
        <v>0.11295313602694725</v>
      </c>
      <c r="T20" s="64">
        <f t="shared" si="15"/>
        <v>0.11303632512333502</v>
      </c>
      <c r="U20" s="64">
        <f t="shared" si="15"/>
        <v>0.1129808415702076</v>
      </c>
      <c r="V20" s="64">
        <f t="shared" si="15"/>
        <v>0.11301130711944485</v>
      </c>
      <c r="W20" s="64">
        <f t="shared" si="15"/>
        <v>0.1029295039511865</v>
      </c>
      <c r="X20" s="64">
        <f t="shared" si="15"/>
        <v>9.354414169614067E-2</v>
      </c>
      <c r="Y20" s="64">
        <f t="shared" si="15"/>
        <v>9.824694391949873E-2</v>
      </c>
      <c r="Z20" s="64">
        <f t="shared" si="15"/>
        <v>9.0319371727747289E-2</v>
      </c>
      <c r="AA20" s="64">
        <f t="shared" si="15"/>
        <v>8.224199939930249E-2</v>
      </c>
      <c r="AC20" s="13"/>
      <c r="AD20" s="21">
        <v>2024</v>
      </c>
      <c r="AE20" s="22">
        <f t="shared" si="7"/>
        <v>8.5438745699959323E-2</v>
      </c>
      <c r="AF20" s="22">
        <f t="shared" si="7"/>
        <v>8.5438745699959323E-2</v>
      </c>
      <c r="AG20" s="22">
        <f t="shared" si="7"/>
        <v>7.2608807752212137E-2</v>
      </c>
      <c r="AH20" s="22">
        <f t="shared" si="7"/>
        <v>6.6466734129036323E-2</v>
      </c>
      <c r="AI20" s="22">
        <f t="shared" ref="AI20:AP20" si="18">+T21</f>
        <v>6.4034933694016499E-2</v>
      </c>
      <c r="AJ20" s="22">
        <f t="shared" si="18"/>
        <v>5.5362588758586462E-2</v>
      </c>
      <c r="AK20" s="22">
        <f t="shared" si="18"/>
        <v>6.1366649258827385E-2</v>
      </c>
      <c r="AL20" s="22">
        <f t="shared" si="18"/>
        <v>5.5769249468819934E-2</v>
      </c>
      <c r="AM20" s="22">
        <f t="shared" si="18"/>
        <v>5.7372521944966344E-2</v>
      </c>
      <c r="AN20" s="22">
        <f t="shared" si="18"/>
        <v>5.2379309222924143E-2</v>
      </c>
      <c r="AO20" s="22">
        <f t="shared" si="18"/>
        <v>5.2611906570868783E-2</v>
      </c>
      <c r="AP20" s="22">
        <f t="shared" si="18"/>
        <v>5.1634035560646233E-2</v>
      </c>
      <c r="AQ20" s="23">
        <f>+(B233/B221-1)/COUNTA(AE20:AP20)*12</f>
        <v>6.5425125934971851E-2</v>
      </c>
      <c r="AR20" s="16"/>
      <c r="AS20" s="16"/>
      <c r="AV20" s="35" t="s">
        <v>25</v>
      </c>
      <c r="AW20" s="39">
        <f t="shared" ref="AW20:BB20" si="19">LOOKUP(AW19,$F$2:$F$2974,$K$2:$K$2974)</f>
        <v>1463.8674000000001</v>
      </c>
      <c r="AX20" s="39">
        <f t="shared" si="19"/>
        <v>1460.0274999999999</v>
      </c>
      <c r="AY20" s="39">
        <f t="shared" si="19"/>
        <v>1452.3851999999999</v>
      </c>
      <c r="AZ20" s="39">
        <f t="shared" si="19"/>
        <v>1439.9873</v>
      </c>
      <c r="BA20" s="39">
        <f t="shared" si="19"/>
        <v>1414.8711000000001</v>
      </c>
      <c r="BB20" s="39">
        <f t="shared" si="19"/>
        <v>1282.3100999999999</v>
      </c>
    </row>
    <row r="21" spans="1:56">
      <c r="A21" s="24">
        <v>39262</v>
      </c>
      <c r="B21" s="27">
        <v>11812.23</v>
      </c>
      <c r="C21" s="32">
        <f t="shared" si="4"/>
        <v>5.1127127153182933E-2</v>
      </c>
      <c r="D21" s="26">
        <f t="shared" si="1"/>
        <v>107.84332164110018</v>
      </c>
      <c r="E21" s="26"/>
      <c r="F21" s="26"/>
      <c r="O21" s="10">
        <v>2024</v>
      </c>
      <c r="P21" s="64">
        <f t="shared" si="10"/>
        <v>8.5438745699959323E-2</v>
      </c>
      <c r="Q21" s="64">
        <f>LOOKUP(DATE($O21,Q$25,Q$24),$A$2:$A$2943,$C$2:$C$2943)</f>
        <v>8.5438745699959323E-2</v>
      </c>
      <c r="R21" s="64">
        <f t="shared" si="11"/>
        <v>7.2608807752212137E-2</v>
      </c>
      <c r="S21" s="64">
        <f t="shared" si="15"/>
        <v>6.6466734129036323E-2</v>
      </c>
      <c r="T21" s="64">
        <f t="shared" si="15"/>
        <v>6.4034933694016499E-2</v>
      </c>
      <c r="U21" s="64">
        <f t="shared" si="15"/>
        <v>5.5362588758586462E-2</v>
      </c>
      <c r="V21" s="64">
        <f t="shared" si="15"/>
        <v>6.1366649258827385E-2</v>
      </c>
      <c r="W21" s="64">
        <f t="shared" si="15"/>
        <v>5.5769249468819934E-2</v>
      </c>
      <c r="X21" s="64">
        <f t="shared" si="15"/>
        <v>5.7372521944966344E-2</v>
      </c>
      <c r="Y21" s="64">
        <f t="shared" si="15"/>
        <v>5.2379309222924143E-2</v>
      </c>
      <c r="Z21" s="64">
        <f t="shared" si="15"/>
        <v>5.2611906570868783E-2</v>
      </c>
      <c r="AA21" s="64">
        <f t="shared" si="15"/>
        <v>5.1634035560646233E-2</v>
      </c>
      <c r="AC21" s="13"/>
      <c r="AD21" s="21">
        <v>2025</v>
      </c>
      <c r="AE21" s="22">
        <f t="shared" ref="AE21:AP21" si="20">+P22</f>
        <v>5.1728866541133824E-2</v>
      </c>
      <c r="AF21" s="22">
        <f t="shared" si="20"/>
        <v>5.0094810655642828E-2</v>
      </c>
      <c r="AG21" s="22">
        <f t="shared" si="20"/>
        <v>5.0095766153242391E-2</v>
      </c>
      <c r="AH21" s="22">
        <f t="shared" si="20"/>
        <v>5.010859732113282E-2</v>
      </c>
      <c r="AI21" s="22">
        <f t="shared" si="20"/>
        <v>4.8474893572306332E-2</v>
      </c>
      <c r="AJ21" s="22">
        <f t="shared" si="20"/>
        <v>5.1774793638299066E-2</v>
      </c>
      <c r="AK21" s="22">
        <f t="shared" si="20"/>
        <v>5.0008204840028117E-2</v>
      </c>
      <c r="AL21" s="22">
        <f t="shared" si="20"/>
        <v>4.4515448006119604E-2</v>
      </c>
      <c r="AM21" s="22">
        <f t="shared" si="20"/>
        <v>6.4812606536764683E-2</v>
      </c>
      <c r="AN21" s="22">
        <f t="shared" si="20"/>
        <v>3.2479660198912914E-2</v>
      </c>
      <c r="AO21" s="22">
        <f t="shared" si="20"/>
        <v>4.5989275828025811E-2</v>
      </c>
      <c r="AP21" s="22">
        <f t="shared" si="20"/>
        <v>4.8071172028366173E-2</v>
      </c>
      <c r="AQ21" s="23">
        <f>+(B245/B234-1)/COUNTA(AE21:AP21)*12</f>
        <v>4.6121516637569471E-2</v>
      </c>
      <c r="AV21" s="60" t="s">
        <v>26</v>
      </c>
      <c r="AW21" s="63">
        <f t="shared" ref="AW21:BB21" si="21">LOOKUP(AW19,$F$2:$F$2972,$H$2:$H$2972)</f>
        <v>1.1670507403797015</v>
      </c>
      <c r="AX21" s="63">
        <f t="shared" si="21"/>
        <v>1.1623507403797013</v>
      </c>
      <c r="AY21" s="63">
        <f t="shared" si="21"/>
        <v>1.1533507403797014</v>
      </c>
      <c r="AZ21" s="63">
        <f t="shared" si="21"/>
        <v>1.1389507403797015</v>
      </c>
      <c r="BA21" s="63">
        <f t="shared" si="21"/>
        <v>1.1117507403797013</v>
      </c>
      <c r="BB21" s="63">
        <f t="shared" si="21"/>
        <v>0</v>
      </c>
    </row>
    <row r="22" spans="1:56">
      <c r="A22" s="24">
        <v>39294</v>
      </c>
      <c r="B22" s="27">
        <v>11866.53</v>
      </c>
      <c r="C22" s="32">
        <f>(B22/B21-1)/(A22-A21)*360</f>
        <v>5.1715467782121605E-2</v>
      </c>
      <c r="D22" s="26">
        <f t="shared" si="1"/>
        <v>108.33906989228662</v>
      </c>
      <c r="E22" s="26"/>
      <c r="F22" s="26"/>
      <c r="O22" s="10">
        <v>2025</v>
      </c>
      <c r="P22" s="64">
        <f t="shared" si="10"/>
        <v>5.1728866541133824E-2</v>
      </c>
      <c r="Q22" s="64">
        <f>LOOKUP(DATE($O22,Q$25,Q$24),$A$2:$A$2943,$C$2:$C$2943)</f>
        <v>5.0094810655642828E-2</v>
      </c>
      <c r="R22" s="64">
        <f t="shared" si="11"/>
        <v>5.0095766153242391E-2</v>
      </c>
      <c r="S22" s="64">
        <f t="shared" si="15"/>
        <v>5.010859732113282E-2</v>
      </c>
      <c r="T22" s="64">
        <f t="shared" si="15"/>
        <v>4.8474893572306332E-2</v>
      </c>
      <c r="U22" s="64">
        <f t="shared" si="15"/>
        <v>5.1774793638299066E-2</v>
      </c>
      <c r="V22" s="64">
        <f t="shared" si="15"/>
        <v>5.0008204840028117E-2</v>
      </c>
      <c r="W22" s="64">
        <f t="shared" si="15"/>
        <v>4.4515448006119604E-2</v>
      </c>
      <c r="X22" s="64">
        <f t="shared" si="15"/>
        <v>6.4812606536764683E-2</v>
      </c>
      <c r="Y22" s="64">
        <f t="shared" si="15"/>
        <v>3.2479660198912914E-2</v>
      </c>
      <c r="Z22" s="64">
        <f t="shared" si="15"/>
        <v>4.5989275828025811E-2</v>
      </c>
      <c r="AA22" s="64">
        <f t="shared" si="15"/>
        <v>4.8071172028366173E-2</v>
      </c>
      <c r="AD22" s="21">
        <v>2026</v>
      </c>
      <c r="AE22" s="22">
        <f>+P23</f>
        <v>4.5085280896263069E-2</v>
      </c>
      <c r="AF22" s="22">
        <f>+Q23</f>
        <v>4.6687687850180799E-2</v>
      </c>
      <c r="AG22" s="22">
        <f>+R23</f>
        <v>4.5080455198625455E-2</v>
      </c>
      <c r="AH22" s="22">
        <f>+S23</f>
        <v>4.507694340774826E-2</v>
      </c>
      <c r="AI22" s="16"/>
      <c r="AJ22" s="16"/>
      <c r="AK22" s="16"/>
      <c r="AL22" s="16"/>
      <c r="AM22" s="16"/>
      <c r="AN22" s="16"/>
      <c r="AO22" s="16"/>
      <c r="AP22" s="16"/>
      <c r="AQ22" s="23">
        <f>+(B249/B246-1)/COUNTA(AE22:AP22)*12</f>
        <v>3.393592966266068E-2</v>
      </c>
      <c r="AV22" s="35"/>
      <c r="AW22" s="35"/>
      <c r="AX22" s="35"/>
      <c r="AY22" s="35"/>
      <c r="AZ22" s="35"/>
      <c r="BA22" s="35"/>
      <c r="BB22" s="35"/>
    </row>
    <row r="23" spans="1:56">
      <c r="A23" s="24"/>
      <c r="B23" s="27"/>
      <c r="C23" s="32"/>
      <c r="D23" s="26"/>
      <c r="E23" s="26"/>
      <c r="F23" s="26"/>
      <c r="O23" s="10">
        <v>2026</v>
      </c>
      <c r="P23" s="64">
        <f t="shared" si="10"/>
        <v>4.5085280896263069E-2</v>
      </c>
      <c r="Q23" s="64">
        <f t="shared" ref="Q23" si="22">LOOKUP(DATE($O23,Q$25,Q$24),$A$2:$A$2943,$C$2:$C$2943)</f>
        <v>4.6687687850180799E-2</v>
      </c>
      <c r="R23" s="64">
        <f t="shared" si="11"/>
        <v>4.5080455198625455E-2</v>
      </c>
      <c r="S23" s="64">
        <f t="shared" si="11"/>
        <v>4.507694340774826E-2</v>
      </c>
      <c r="T23" s="64"/>
      <c r="U23" s="64"/>
      <c r="V23" s="64"/>
      <c r="W23" s="64"/>
      <c r="X23" s="64"/>
      <c r="Y23" s="64"/>
      <c r="Z23" s="64"/>
      <c r="AA23" s="64"/>
      <c r="AD23" s="33"/>
      <c r="AE23" s="16"/>
      <c r="AF23" s="16"/>
      <c r="AG23" s="16"/>
      <c r="AH23" s="16"/>
      <c r="AI23" s="16"/>
      <c r="AJ23" s="16"/>
      <c r="AK23" s="16"/>
      <c r="AL23" s="16"/>
      <c r="AM23" s="16"/>
      <c r="AN23" s="16"/>
      <c r="AO23" s="16"/>
      <c r="AP23" s="16"/>
      <c r="AQ23" s="16"/>
      <c r="AV23" s="35"/>
      <c r="AW23" s="35"/>
      <c r="AX23" s="35"/>
      <c r="AY23" s="35"/>
      <c r="AZ23" s="35"/>
      <c r="BA23" s="35"/>
      <c r="BB23" s="35"/>
    </row>
    <row r="24" spans="1:56">
      <c r="A24" s="24">
        <v>39325</v>
      </c>
      <c r="B24" s="27">
        <v>11922.48</v>
      </c>
      <c r="C24" s="32">
        <f>(B24/B22-1)/(A24-A22)*360</f>
        <v>5.4754164484803067E-2</v>
      </c>
      <c r="D24" s="26">
        <f t="shared" si="1"/>
        <v>108.84988231685159</v>
      </c>
      <c r="E24" s="26"/>
      <c r="F24" s="26"/>
      <c r="P24" s="17">
        <v>31</v>
      </c>
      <c r="Q24" s="17">
        <v>28</v>
      </c>
      <c r="R24" s="17">
        <v>31</v>
      </c>
      <c r="S24" s="17">
        <v>30</v>
      </c>
      <c r="T24" s="17">
        <v>31</v>
      </c>
      <c r="U24" s="17">
        <v>30</v>
      </c>
      <c r="V24" s="17">
        <v>31</v>
      </c>
      <c r="W24" s="17">
        <v>31</v>
      </c>
      <c r="X24" s="17">
        <v>30</v>
      </c>
      <c r="Y24" s="17">
        <v>31</v>
      </c>
      <c r="Z24" s="17">
        <v>30</v>
      </c>
      <c r="AA24" s="17">
        <v>31</v>
      </c>
      <c r="AD24" s="33" t="s">
        <v>27</v>
      </c>
    </row>
    <row r="25" spans="1:56">
      <c r="A25" s="24">
        <v>39353</v>
      </c>
      <c r="B25" s="27">
        <v>11975.61</v>
      </c>
      <c r="C25" s="32">
        <f t="shared" si="4"/>
        <v>5.7295126517304E-2</v>
      </c>
      <c r="D25" s="26">
        <f t="shared" si="1"/>
        <v>109.33494869964231</v>
      </c>
      <c r="E25" s="26"/>
      <c r="F25" s="26"/>
      <c r="P25" s="17">
        <v>1</v>
      </c>
      <c r="Q25" s="17">
        <v>2</v>
      </c>
      <c r="R25" s="17">
        <v>3</v>
      </c>
      <c r="S25" s="17">
        <v>4</v>
      </c>
      <c r="T25" s="17">
        <v>5</v>
      </c>
      <c r="U25" s="17">
        <v>6</v>
      </c>
      <c r="V25" s="17">
        <v>7</v>
      </c>
      <c r="W25" s="17">
        <v>8</v>
      </c>
      <c r="X25" s="17">
        <v>9</v>
      </c>
      <c r="Y25" s="17">
        <v>10</v>
      </c>
      <c r="Z25" s="17">
        <v>11</v>
      </c>
      <c r="AA25" s="17">
        <v>12</v>
      </c>
      <c r="AR25" s="16"/>
      <c r="AS25" s="16"/>
    </row>
    <row r="26" spans="1:56">
      <c r="A26" s="24">
        <v>39386</v>
      </c>
      <c r="B26" s="27">
        <v>12038.9</v>
      </c>
      <c r="C26" s="32">
        <f t="shared" si="4"/>
        <v>5.7653544465488787E-2</v>
      </c>
      <c r="D26" s="26">
        <f t="shared" si="1"/>
        <v>109.91277387123692</v>
      </c>
      <c r="E26" s="26"/>
      <c r="F26" s="26"/>
      <c r="O26" s="38" t="s">
        <v>28</v>
      </c>
      <c r="P26" s="10" t="s">
        <v>4</v>
      </c>
      <c r="Q26" s="10" t="s">
        <v>5</v>
      </c>
      <c r="R26" s="10" t="s">
        <v>6</v>
      </c>
      <c r="S26" s="10" t="s">
        <v>7</v>
      </c>
      <c r="T26" s="10" t="s">
        <v>8</v>
      </c>
      <c r="U26" s="10" t="s">
        <v>9</v>
      </c>
      <c r="V26" s="10" t="s">
        <v>10</v>
      </c>
      <c r="W26" s="10" t="s">
        <v>11</v>
      </c>
      <c r="X26" s="10" t="s">
        <v>12</v>
      </c>
      <c r="Y26" s="10" t="s">
        <v>13</v>
      </c>
      <c r="Z26" s="10" t="s">
        <v>14</v>
      </c>
      <c r="AA26" s="10" t="s">
        <v>15</v>
      </c>
      <c r="AR26" s="33"/>
      <c r="AS26" s="16"/>
      <c r="AV26" s="40"/>
      <c r="AW26" s="40"/>
      <c r="AX26" s="40"/>
      <c r="AY26" s="40"/>
      <c r="AZ26" s="40"/>
      <c r="BA26" s="40"/>
      <c r="BB26" s="40"/>
    </row>
    <row r="27" spans="1:56" ht="15.75">
      <c r="A27" s="24">
        <v>39416</v>
      </c>
      <c r="B27" s="27">
        <v>12096.85</v>
      </c>
      <c r="C27" s="32">
        <f t="shared" si="4"/>
        <v>5.7762752410936535E-2</v>
      </c>
      <c r="D27" s="26">
        <f t="shared" si="1"/>
        <v>110.4418458998972</v>
      </c>
      <c r="E27" s="26"/>
      <c r="F27" s="26"/>
      <c r="O27" s="10">
        <v>2017</v>
      </c>
      <c r="P27" s="67"/>
      <c r="Q27" s="67"/>
      <c r="R27" s="67"/>
      <c r="S27" s="67"/>
      <c r="T27" s="67">
        <f t="shared" ref="T27:AA29" si="23">LOOKUP(DATE($O27,T$25,T$24),$A$2:$A$2943,$I$2:$I$2943)</f>
        <v>0</v>
      </c>
      <c r="U27" s="67">
        <f t="shared" si="23"/>
        <v>0</v>
      </c>
      <c r="V27" s="67">
        <f t="shared" si="23"/>
        <v>0</v>
      </c>
      <c r="W27" s="67">
        <f t="shared" si="23"/>
        <v>0</v>
      </c>
      <c r="X27" s="67">
        <f t="shared" si="23"/>
        <v>0</v>
      </c>
      <c r="Y27" s="67">
        <f t="shared" si="23"/>
        <v>0</v>
      </c>
      <c r="Z27" s="67">
        <f t="shared" si="23"/>
        <v>0</v>
      </c>
      <c r="AA27" s="67">
        <f t="shared" si="23"/>
        <v>0</v>
      </c>
      <c r="AD27" s="36" t="s">
        <v>26</v>
      </c>
      <c r="AE27" s="15" t="s">
        <v>4</v>
      </c>
      <c r="AF27" s="15" t="s">
        <v>5</v>
      </c>
      <c r="AG27" s="15" t="s">
        <v>6</v>
      </c>
      <c r="AH27" s="15" t="s">
        <v>7</v>
      </c>
      <c r="AI27" s="15" t="s">
        <v>8</v>
      </c>
      <c r="AJ27" s="15" t="s">
        <v>9</v>
      </c>
      <c r="AK27" s="15" t="s">
        <v>10</v>
      </c>
      <c r="AL27" s="15" t="s">
        <v>11</v>
      </c>
      <c r="AM27" s="15" t="s">
        <v>12</v>
      </c>
      <c r="AN27" s="15" t="s">
        <v>13</v>
      </c>
      <c r="AO27" s="15" t="s">
        <v>14</v>
      </c>
      <c r="AP27" s="15" t="s">
        <v>15</v>
      </c>
      <c r="AQ27" s="15" t="s">
        <v>16</v>
      </c>
      <c r="AV27" s="41"/>
      <c r="AW27" s="42" t="s">
        <v>29</v>
      </c>
      <c r="AX27" s="42" t="s">
        <v>30</v>
      </c>
      <c r="AY27" s="42" t="s">
        <v>31</v>
      </c>
      <c r="AZ27" s="42" t="s">
        <v>32</v>
      </c>
      <c r="BA27" s="42" t="s">
        <v>33</v>
      </c>
      <c r="BB27" s="42" t="s">
        <v>34</v>
      </c>
      <c r="BC27" s="40"/>
    </row>
    <row r="28" spans="1:56">
      <c r="A28" s="24">
        <v>39447</v>
      </c>
      <c r="B28" s="27">
        <v>12152.6</v>
      </c>
      <c r="C28" s="32">
        <f t="shared" si="4"/>
        <v>5.3519664610101367E-2</v>
      </c>
      <c r="D28" s="26">
        <f t="shared" si="1"/>
        <v>110.9508323640527</v>
      </c>
      <c r="E28" s="26"/>
      <c r="F28" s="26"/>
      <c r="O28" s="10">
        <v>2018</v>
      </c>
      <c r="P28" s="67">
        <f t="shared" ref="P28:S29" si="24">LOOKUP(DATE($O28,P$25,P$24),$A$2:$A$2943,$I$2:$I$2943)</f>
        <v>0</v>
      </c>
      <c r="Q28" s="67">
        <f t="shared" si="24"/>
        <v>0</v>
      </c>
      <c r="R28" s="67">
        <f t="shared" si="24"/>
        <v>0</v>
      </c>
      <c r="S28" s="67">
        <f t="shared" si="24"/>
        <v>0</v>
      </c>
      <c r="T28" s="67">
        <f t="shared" si="23"/>
        <v>0</v>
      </c>
      <c r="U28" s="67">
        <f t="shared" si="23"/>
        <v>0</v>
      </c>
      <c r="V28" s="67">
        <f t="shared" si="23"/>
        <v>0</v>
      </c>
      <c r="W28" s="67">
        <f t="shared" si="23"/>
        <v>0</v>
      </c>
      <c r="X28" s="67">
        <f t="shared" si="23"/>
        <v>0</v>
      </c>
      <c r="Y28" s="67">
        <f t="shared" si="23"/>
        <v>0</v>
      </c>
      <c r="Z28" s="67">
        <f t="shared" si="23"/>
        <v>0</v>
      </c>
      <c r="AA28" s="67">
        <f t="shared" si="23"/>
        <v>0</v>
      </c>
      <c r="AD28" s="28">
        <v>2017</v>
      </c>
      <c r="AE28" s="29"/>
      <c r="AF28" s="29"/>
      <c r="AG28" s="29"/>
      <c r="AH28" s="29"/>
      <c r="AI28" s="29"/>
      <c r="AJ28" s="29"/>
      <c r="AK28" s="29"/>
      <c r="AL28" s="29"/>
      <c r="AM28" s="29"/>
      <c r="AN28" s="29"/>
      <c r="AO28" s="29"/>
      <c r="AP28" s="29"/>
      <c r="AQ28" s="30"/>
      <c r="AR28" s="33" t="s">
        <v>23</v>
      </c>
      <c r="AV28" s="109"/>
      <c r="AW28" s="42" t="s">
        <v>25</v>
      </c>
      <c r="AX28" s="45">
        <f>($AW20/AX20-1)/(AW19-AX19)*360</f>
        <v>3.1560227461469914E-2</v>
      </c>
      <c r="AY28" s="45">
        <f>($AW20/AY20-1)/(AW19-AY19)*360</f>
        <v>3.1978330495645878E-2</v>
      </c>
      <c r="AZ28" s="45">
        <f>($AX20/AZ20-1)/(AX19-AZ19)*360</f>
        <v>3.317943169700218E-2</v>
      </c>
      <c r="BA28" s="45">
        <f>($AX20/BA20-1)/(AY19-BA19)*360</f>
        <v>4.1628988092210689E-2</v>
      </c>
      <c r="BB28" s="45">
        <f>+AQ80</f>
        <v>2.3717261784270693E-2</v>
      </c>
      <c r="BC28" s="43"/>
      <c r="BD28" s="44"/>
    </row>
    <row r="29" spans="1:56">
      <c r="A29" s="24">
        <v>39478</v>
      </c>
      <c r="B29" s="27">
        <v>12223.14</v>
      </c>
      <c r="C29" s="32">
        <f t="shared" si="4"/>
        <v>6.7407319713344446E-2</v>
      </c>
      <c r="D29" s="26">
        <f t="shared" si="1"/>
        <v>111.59484860049264</v>
      </c>
      <c r="E29" s="26"/>
      <c r="F29" s="26"/>
      <c r="O29" s="10">
        <v>2019</v>
      </c>
      <c r="P29" s="67">
        <f t="shared" si="24"/>
        <v>0</v>
      </c>
      <c r="Q29" s="67">
        <f t="shared" si="24"/>
        <v>0</v>
      </c>
      <c r="R29" s="67">
        <f t="shared" si="24"/>
        <v>0</v>
      </c>
      <c r="S29" s="67">
        <f t="shared" si="24"/>
        <v>0</v>
      </c>
      <c r="T29" s="67">
        <f t="shared" si="23"/>
        <v>0</v>
      </c>
      <c r="U29" s="67">
        <f t="shared" si="23"/>
        <v>0</v>
      </c>
      <c r="V29" s="67">
        <f t="shared" si="23"/>
        <v>0</v>
      </c>
      <c r="W29" s="67">
        <f t="shared" si="23"/>
        <v>0</v>
      </c>
      <c r="X29" s="67">
        <f t="shared" si="23"/>
        <v>0</v>
      </c>
      <c r="Y29" s="67">
        <f t="shared" si="23"/>
        <v>0</v>
      </c>
      <c r="Z29" s="67">
        <f t="shared" si="23"/>
        <v>0</v>
      </c>
      <c r="AA29" s="67">
        <f t="shared" si="23"/>
        <v>0</v>
      </c>
      <c r="AD29" s="21">
        <v>2018</v>
      </c>
      <c r="AE29" s="29"/>
      <c r="AF29" s="29"/>
      <c r="AG29" s="29"/>
      <c r="AH29" s="29"/>
      <c r="AI29" s="29"/>
      <c r="AJ29" s="29"/>
      <c r="AK29" s="29"/>
      <c r="AL29" s="29"/>
      <c r="AM29" s="29"/>
      <c r="AN29" s="29"/>
      <c r="AO29" s="29"/>
      <c r="AP29" s="29"/>
      <c r="AQ29" s="23"/>
      <c r="AR29" s="33"/>
      <c r="AV29" s="109"/>
      <c r="AW29" s="42" t="s">
        <v>35</v>
      </c>
      <c r="AX29" s="45">
        <f>($AW21/AX21-1)/(AW19-AX19)*360</f>
        <v>4.8522359078618571E-2</v>
      </c>
      <c r="AY29" s="45">
        <f>($AW21/AY21-1)/(AW19-AY19)*360</f>
        <v>4.8047595928048359E-2</v>
      </c>
      <c r="AZ29" s="45">
        <f>($AX21/AZ21-1)/(AX19-AZ19)*360</f>
        <v>4.8981994999713209E-2</v>
      </c>
      <c r="BA29" s="45">
        <f>($AX21/BA21-1)/(AY19-BA19)*360</f>
        <v>5.9365825092645139E-2</v>
      </c>
      <c r="BB29" s="45">
        <f>+AQ81</f>
        <v>3.5635300313302531E-2</v>
      </c>
      <c r="BC29" s="46"/>
      <c r="BD29" s="34"/>
    </row>
    <row r="30" spans="1:56">
      <c r="A30" s="24">
        <v>39507</v>
      </c>
      <c r="B30" s="27">
        <v>12284.88</v>
      </c>
      <c r="C30" s="32">
        <f t="shared" si="4"/>
        <v>6.2703003173234295E-2</v>
      </c>
      <c r="D30" s="26">
        <f t="shared" si="1"/>
        <v>112.15852257891343</v>
      </c>
      <c r="E30" s="26"/>
      <c r="F30" s="26"/>
      <c r="O30" s="10">
        <v>2020</v>
      </c>
      <c r="P30" s="67">
        <f>LOOKUP(DATE($O30,P$25,P$24),$A$2:$A$2943,$I$2:$I$2943)</f>
        <v>0</v>
      </c>
      <c r="Q30" s="67">
        <f>LOOKUP(DATE($O30,Q$25,Q$24)+1,$A$2:$A$2943,$I$2:$I$2943)</f>
        <v>0</v>
      </c>
      <c r="R30" s="67">
        <f t="shared" ref="R30:X30" si="25">LOOKUP(DATE($O30,R$25,R$24),$A:$A,$I:$I)</f>
        <v>0</v>
      </c>
      <c r="S30" s="67">
        <f t="shared" si="25"/>
        <v>0</v>
      </c>
      <c r="T30" s="67">
        <f t="shared" si="25"/>
        <v>0</v>
      </c>
      <c r="U30" s="67">
        <f t="shared" si="25"/>
        <v>0</v>
      </c>
      <c r="V30" s="67">
        <f t="shared" si="25"/>
        <v>0</v>
      </c>
      <c r="W30" s="67">
        <f t="shared" si="25"/>
        <v>0</v>
      </c>
      <c r="X30" s="67">
        <f t="shared" si="25"/>
        <v>0</v>
      </c>
      <c r="Y30" s="67">
        <f>+I183</f>
        <v>0</v>
      </c>
      <c r="Z30" s="67">
        <f>+I184</f>
        <v>0</v>
      </c>
      <c r="AA30" s="67">
        <f>+I185</f>
        <v>0</v>
      </c>
      <c r="AD30" s="28">
        <v>2019</v>
      </c>
      <c r="AE30" s="29"/>
      <c r="AF30" s="29"/>
      <c r="AG30" s="29"/>
      <c r="AH30" s="29"/>
      <c r="AI30" s="29"/>
      <c r="AJ30" s="29"/>
      <c r="AK30" s="29"/>
      <c r="AL30" s="29"/>
      <c r="AM30" s="29"/>
      <c r="AN30" s="29"/>
      <c r="AO30" s="29"/>
      <c r="AP30" s="29"/>
      <c r="AQ30" s="30"/>
      <c r="AR30" s="33"/>
      <c r="AV30" s="47"/>
      <c r="AW30" s="48"/>
      <c r="AX30" s="16"/>
      <c r="AY30" s="16"/>
      <c r="AZ30" s="16"/>
      <c r="BA30" s="16"/>
      <c r="BB30" s="16"/>
      <c r="BC30" s="46"/>
      <c r="BD30" s="34"/>
    </row>
    <row r="31" spans="1:56">
      <c r="A31" s="24">
        <v>39538</v>
      </c>
      <c r="B31" s="27">
        <v>12351.45</v>
      </c>
      <c r="C31" s="32">
        <f t="shared" si="4"/>
        <v>6.2928654389945465E-2</v>
      </c>
      <c r="D31" s="26">
        <f t="shared" si="1"/>
        <v>112.76629350122431</v>
      </c>
      <c r="E31" s="26"/>
      <c r="F31" s="26"/>
      <c r="O31" s="10">
        <v>2021</v>
      </c>
      <c r="P31" s="67">
        <f>+I186</f>
        <v>0</v>
      </c>
      <c r="Q31" s="67">
        <f>+I187</f>
        <v>0</v>
      </c>
      <c r="R31" s="64">
        <f>+I188</f>
        <v>0</v>
      </c>
      <c r="S31" s="64">
        <f>+I189</f>
        <v>0</v>
      </c>
      <c r="T31" s="64">
        <f>+I190</f>
        <v>0</v>
      </c>
      <c r="U31" s="64">
        <f>+I191</f>
        <v>0</v>
      </c>
      <c r="V31" s="64">
        <f>+I192</f>
        <v>0</v>
      </c>
      <c r="W31" s="64">
        <f>+I193</f>
        <v>0</v>
      </c>
      <c r="X31" s="64">
        <f>+I194</f>
        <v>0</v>
      </c>
      <c r="Y31" s="64">
        <f>+I195</f>
        <v>0</v>
      </c>
      <c r="Z31" s="64">
        <f>+I196</f>
        <v>0</v>
      </c>
      <c r="AA31" s="64">
        <f>+I197</f>
        <v>0</v>
      </c>
      <c r="AD31" s="28">
        <v>2020</v>
      </c>
      <c r="AE31" s="29"/>
      <c r="AF31" s="29"/>
      <c r="AG31" s="29"/>
      <c r="AH31" s="29"/>
      <c r="AI31" s="29"/>
      <c r="AJ31" s="29"/>
      <c r="AK31" s="29"/>
      <c r="AL31" s="29"/>
      <c r="AM31" s="29"/>
      <c r="AN31" s="29"/>
      <c r="AO31" s="29"/>
      <c r="AP31" s="29"/>
      <c r="AQ31" s="30"/>
      <c r="AR31" s="33"/>
      <c r="AV31" s="47"/>
      <c r="BC31" s="47"/>
      <c r="BD31" s="34"/>
    </row>
    <row r="32" spans="1:56">
      <c r="A32" s="24">
        <v>39568</v>
      </c>
      <c r="B32" s="27">
        <v>12416.18</v>
      </c>
      <c r="C32" s="32">
        <f t="shared" si="4"/>
        <v>6.2888162928238955E-2</v>
      </c>
      <c r="D32" s="26">
        <f t="shared" si="1"/>
        <v>113.35726558776753</v>
      </c>
      <c r="E32" s="26"/>
      <c r="F32" s="26"/>
      <c r="O32" s="10">
        <v>2022</v>
      </c>
      <c r="P32" s="67">
        <f>+I198</f>
        <v>0</v>
      </c>
      <c r="Q32" s="67">
        <f>+I199</f>
        <v>0</v>
      </c>
      <c r="R32" s="64">
        <f>+I200</f>
        <v>0</v>
      </c>
      <c r="S32" s="64">
        <f>+I201</f>
        <v>0</v>
      </c>
      <c r="T32" s="64">
        <f>+I202</f>
        <v>0</v>
      </c>
      <c r="U32" s="64">
        <f>+I203</f>
        <v>0</v>
      </c>
      <c r="V32" s="64">
        <f>+I204</f>
        <v>0</v>
      </c>
      <c r="W32" s="64">
        <f>+I205</f>
        <v>0</v>
      </c>
      <c r="X32" s="64">
        <f>+I206</f>
        <v>0</v>
      </c>
      <c r="Y32" s="64">
        <f>+I207</f>
        <v>0</v>
      </c>
      <c r="Z32" s="64">
        <f>+I208</f>
        <v>0</v>
      </c>
      <c r="AA32" s="64">
        <f>+I209</f>
        <v>0</v>
      </c>
      <c r="AD32" s="28">
        <v>2021</v>
      </c>
      <c r="AE32" s="29"/>
      <c r="AF32" s="29"/>
      <c r="AG32" s="29"/>
      <c r="AH32" s="29"/>
      <c r="AI32" s="29"/>
      <c r="AJ32" s="29"/>
      <c r="AK32" s="29"/>
      <c r="AL32" s="29"/>
      <c r="AM32" s="29"/>
      <c r="AN32" s="29"/>
      <c r="AO32" s="29"/>
      <c r="AP32" s="29"/>
      <c r="AQ32" s="30"/>
      <c r="AR32" s="33"/>
      <c r="BC32" s="47"/>
      <c r="BD32" s="34"/>
    </row>
    <row r="33" spans="1:62">
      <c r="A33" s="24">
        <v>39598</v>
      </c>
      <c r="B33" s="27">
        <v>12481.48</v>
      </c>
      <c r="C33" s="32">
        <f t="shared" si="4"/>
        <v>6.311119845234181E-2</v>
      </c>
      <c r="D33" s="26">
        <f t="shared" si="1"/>
        <v>113.9534416614779</v>
      </c>
      <c r="E33" s="26"/>
      <c r="F33" s="26"/>
      <c r="O33" s="10">
        <v>2023</v>
      </c>
      <c r="P33" s="67">
        <f>+I210</f>
        <v>0</v>
      </c>
      <c r="Q33" s="67">
        <f>+I211</f>
        <v>1.9285714285715017E-2</v>
      </c>
      <c r="R33" s="64">
        <f>+I212</f>
        <v>3.942473386693935E-2</v>
      </c>
      <c r="S33" s="64">
        <f>+I213</f>
        <v>4.9898355202366212E-2</v>
      </c>
      <c r="T33" s="64">
        <f>+I214</f>
        <v>5.1906856030569611E-2</v>
      </c>
      <c r="U33" s="64">
        <f>+I215</f>
        <v>4.4988161010261152E-2</v>
      </c>
      <c r="V33" s="64">
        <f>+I216</f>
        <v>5.4788613607106226E-2</v>
      </c>
      <c r="W33" s="64">
        <f>+I217</f>
        <v>5.6803478897506345E-2</v>
      </c>
      <c r="X33" s="64">
        <f>+I218</f>
        <v>5.7242990654206238E-2</v>
      </c>
      <c r="Y33" s="64">
        <f>+I219</f>
        <v>6.0759303768390782E-2</v>
      </c>
      <c r="Z33" s="64">
        <f>+I220</f>
        <v>5.4361445783132289E-2</v>
      </c>
      <c r="AA33" s="64">
        <f>+I221</f>
        <v>5.2370605604767625E-2</v>
      </c>
      <c r="AD33" s="28">
        <v>2022</v>
      </c>
      <c r="AE33" s="29"/>
      <c r="AF33" s="29"/>
      <c r="AG33" s="29"/>
      <c r="AH33" s="29"/>
      <c r="AI33" s="29"/>
      <c r="AJ33" s="29"/>
      <c r="AK33" s="29"/>
      <c r="AL33" s="29"/>
      <c r="AM33" s="29"/>
      <c r="AN33" s="29"/>
      <c r="AO33" s="29"/>
      <c r="AP33" s="29"/>
      <c r="AQ33" s="30"/>
      <c r="AR33" s="16"/>
      <c r="AS33" s="16"/>
      <c r="BD33" s="34"/>
    </row>
    <row r="34" spans="1:62">
      <c r="A34" s="24">
        <v>39629</v>
      </c>
      <c r="B34" s="27">
        <v>12552.23</v>
      </c>
      <c r="C34" s="32">
        <f t="shared" si="4"/>
        <v>6.5826560890679578E-2</v>
      </c>
      <c r="D34" s="26">
        <f t="shared" si="1"/>
        <v>114.59937515634786</v>
      </c>
      <c r="E34" s="26"/>
      <c r="F34" s="26"/>
      <c r="O34" s="10">
        <v>2024</v>
      </c>
      <c r="P34" s="67">
        <f>+I222</f>
        <v>5.3244756408321811E-2</v>
      </c>
      <c r="Q34" s="67">
        <f>+I223</f>
        <v>4.8394553317617738E-2</v>
      </c>
      <c r="R34" s="64">
        <f>+I224</f>
        <v>4.399660248458722E-2</v>
      </c>
      <c r="S34" s="64">
        <f>+I225</f>
        <v>5.5482166446497949E-2</v>
      </c>
      <c r="T34" s="64">
        <f>+I226</f>
        <v>4.690098982902817E-2</v>
      </c>
      <c r="U34" s="64">
        <f>+I227</f>
        <v>5.5004677268477138E-2</v>
      </c>
      <c r="V34" s="64">
        <f>+I228</f>
        <v>3.5685427549267956E-2</v>
      </c>
      <c r="W34" s="64">
        <f>+I229</f>
        <v>3.8810296707114236E-2</v>
      </c>
      <c r="X34" s="64">
        <f>+I230</f>
        <v>3.8860103626943143E-2</v>
      </c>
      <c r="Y34" s="64">
        <f>+I231</f>
        <v>4.0698176019611086E-2</v>
      </c>
      <c r="Z34" s="64">
        <f>+I232</f>
        <v>4.4113592500688803E-2</v>
      </c>
      <c r="AA34" s="64">
        <f>+I233</f>
        <v>4.3073762496416042E-2</v>
      </c>
      <c r="AD34" s="28">
        <v>2023</v>
      </c>
      <c r="AE34" s="29">
        <f t="shared" ref="AE34:AP37" si="26">+P33</f>
        <v>0</v>
      </c>
      <c r="AF34" s="29">
        <f t="shared" si="26"/>
        <v>1.9285714285715017E-2</v>
      </c>
      <c r="AG34" s="29">
        <f t="shared" si="26"/>
        <v>3.942473386693935E-2</v>
      </c>
      <c r="AH34" s="29">
        <f t="shared" si="26"/>
        <v>4.9898355202366212E-2</v>
      </c>
      <c r="AI34" s="29">
        <f t="shared" si="26"/>
        <v>5.1906856030569611E-2</v>
      </c>
      <c r="AJ34" s="29">
        <f t="shared" si="26"/>
        <v>4.4988161010261152E-2</v>
      </c>
      <c r="AK34" s="29">
        <f t="shared" si="26"/>
        <v>5.4788613607106226E-2</v>
      </c>
      <c r="AL34" s="29">
        <f t="shared" si="26"/>
        <v>5.6803478897506345E-2</v>
      </c>
      <c r="AM34" s="29">
        <f t="shared" si="26"/>
        <v>5.7242990654206238E-2</v>
      </c>
      <c r="AN34" s="29">
        <f t="shared" si="26"/>
        <v>6.0759303768390782E-2</v>
      </c>
      <c r="AO34" s="29">
        <f t="shared" si="26"/>
        <v>5.4361445783132289E-2</v>
      </c>
      <c r="AP34" s="29">
        <f t="shared" si="26"/>
        <v>5.2370605604767625E-2</v>
      </c>
      <c r="AQ34" s="30">
        <f>+(H221/H210-1)/COUNTA(AE34:AP34)*12</f>
        <v>4.6899999999999942E-2</v>
      </c>
    </row>
    <row r="35" spans="1:62">
      <c r="A35" s="24">
        <v>39660</v>
      </c>
      <c r="B35" s="27">
        <v>12628.9</v>
      </c>
      <c r="C35" s="32">
        <f t="shared" si="4"/>
        <v>7.0932518789296503E-2</v>
      </c>
      <c r="D35" s="26">
        <f t="shared" si="1"/>
        <v>115.2993570793398</v>
      </c>
      <c r="E35" s="26"/>
      <c r="F35" s="26"/>
      <c r="O35" s="10">
        <v>2025</v>
      </c>
      <c r="P35" s="67">
        <f>+I234</f>
        <v>4.025817858114783E-2</v>
      </c>
      <c r="Q35" s="67">
        <f>+I235</f>
        <v>4.0910922960484264E-2</v>
      </c>
      <c r="R35" s="64">
        <f>+I236</f>
        <v>4.3149097176211057E-2</v>
      </c>
      <c r="S35" s="64">
        <f>+I237</f>
        <v>4.5505815817270097E-2</v>
      </c>
      <c r="T35" s="64">
        <f>+I238</f>
        <v>4.1782398892185407E-2</v>
      </c>
      <c r="U35" s="64">
        <f>+I239</f>
        <v>4.5171379391466537E-2</v>
      </c>
      <c r="V35" s="64">
        <f>+I240</f>
        <v>4.7697950376459922E-2</v>
      </c>
      <c r="W35" s="64">
        <f>+I241</f>
        <v>5.1633522654056775E-2</v>
      </c>
      <c r="X35" s="64">
        <f>+I242</f>
        <v>4.8868986603864073E-2</v>
      </c>
      <c r="Y35" s="64">
        <f>+I243</f>
        <v>4.9148612701351457E-2</v>
      </c>
      <c r="Z35" s="64">
        <f>+I244</f>
        <v>4.7412059262541995E-2</v>
      </c>
      <c r="AA35" s="64">
        <f>+I245</f>
        <v>5.1795678082243689E-2</v>
      </c>
      <c r="AD35" s="28">
        <v>2024</v>
      </c>
      <c r="AE35" s="29">
        <f t="shared" si="26"/>
        <v>5.3244756408321811E-2</v>
      </c>
      <c r="AF35" s="29">
        <f t="shared" si="26"/>
        <v>4.8394553317617738E-2</v>
      </c>
      <c r="AG35" s="29">
        <f t="shared" si="26"/>
        <v>4.399660248458722E-2</v>
      </c>
      <c r="AH35" s="29">
        <f t="shared" si="26"/>
        <v>5.5482166446497949E-2</v>
      </c>
      <c r="AI35" s="29">
        <f t="shared" si="26"/>
        <v>4.690098982902817E-2</v>
      </c>
      <c r="AJ35" s="29">
        <f t="shared" si="26"/>
        <v>5.5004677268477138E-2</v>
      </c>
      <c r="AK35" s="29">
        <f t="shared" si="26"/>
        <v>3.5685427549267956E-2</v>
      </c>
      <c r="AL35" s="29">
        <f t="shared" si="26"/>
        <v>3.8810296707114236E-2</v>
      </c>
      <c r="AM35" s="29">
        <f t="shared" si="26"/>
        <v>3.8860103626943143E-2</v>
      </c>
      <c r="AN35" s="29">
        <f t="shared" si="26"/>
        <v>4.0698176019611086E-2</v>
      </c>
      <c r="AO35" s="29">
        <f t="shared" si="26"/>
        <v>4.4113592500688803E-2</v>
      </c>
      <c r="AP35" s="29">
        <f t="shared" si="26"/>
        <v>4.3073762496416042E-2</v>
      </c>
      <c r="AQ35" s="30">
        <f>+(H233/H221-1)/COUNTA(AE35:AP35)*12</f>
        <v>4.7044359900373811E-2</v>
      </c>
      <c r="AR35" s="16"/>
      <c r="AS35" s="16"/>
    </row>
    <row r="36" spans="1:62">
      <c r="A36" s="24"/>
      <c r="B36" s="27"/>
      <c r="C36" s="32"/>
      <c r="D36" s="26"/>
      <c r="E36" s="26"/>
      <c r="F36" s="26"/>
      <c r="O36" s="10">
        <v>2026</v>
      </c>
      <c r="P36" s="67">
        <f>+I246</f>
        <v>4.8532410040016197E-2</v>
      </c>
      <c r="Q36" s="67">
        <f>+I247</f>
        <v>3.9016752167848612E-2</v>
      </c>
      <c r="R36" s="64">
        <f>+I248</f>
        <v>5.5211070462702003E-2</v>
      </c>
      <c r="S36" s="64">
        <f>+I249</f>
        <v>4.8522359078618571E-2</v>
      </c>
      <c r="T36" s="64"/>
      <c r="U36" s="64"/>
      <c r="V36" s="64"/>
      <c r="W36" s="64"/>
      <c r="X36" s="64"/>
      <c r="Y36" s="64"/>
      <c r="Z36" s="64"/>
      <c r="AA36" s="64"/>
      <c r="AD36" s="28">
        <v>2025</v>
      </c>
      <c r="AE36" s="29">
        <f t="shared" ref="AE36:AP36" si="27">+P35</f>
        <v>4.025817858114783E-2</v>
      </c>
      <c r="AF36" s="29">
        <f t="shared" si="27"/>
        <v>4.0910922960484264E-2</v>
      </c>
      <c r="AG36" s="29">
        <f t="shared" si="27"/>
        <v>4.3149097176211057E-2</v>
      </c>
      <c r="AH36" s="29">
        <f t="shared" si="27"/>
        <v>4.5505815817270097E-2</v>
      </c>
      <c r="AI36" s="29">
        <f t="shared" si="27"/>
        <v>4.1782398892185407E-2</v>
      </c>
      <c r="AJ36" s="29">
        <f t="shared" si="27"/>
        <v>4.5171379391466537E-2</v>
      </c>
      <c r="AK36" s="29">
        <f t="shared" si="27"/>
        <v>4.7697950376459922E-2</v>
      </c>
      <c r="AL36" s="29">
        <f t="shared" si="27"/>
        <v>5.1633522654056775E-2</v>
      </c>
      <c r="AM36" s="29">
        <f t="shared" si="27"/>
        <v>4.8868986603864073E-2</v>
      </c>
      <c r="AN36" s="29">
        <f t="shared" si="27"/>
        <v>4.9148612701351457E-2</v>
      </c>
      <c r="AO36" s="29">
        <f t="shared" si="27"/>
        <v>4.7412059262541995E-2</v>
      </c>
      <c r="AP36" s="29">
        <f t="shared" si="27"/>
        <v>5.1795678082243689E-2</v>
      </c>
      <c r="AQ36" s="30">
        <f>+(H245/H234-1)/COUNTA(AE36:AP36)*12</f>
        <v>4.4183796797321317E-2</v>
      </c>
      <c r="AR36" s="16"/>
      <c r="AS36" s="16"/>
    </row>
    <row r="37" spans="1:62">
      <c r="A37" s="24">
        <v>39689</v>
      </c>
      <c r="B37" s="27">
        <v>12704.63</v>
      </c>
      <c r="C37" s="32">
        <f>(B37/B35-1)/(A37-A35)*360</f>
        <v>7.4440097848913853E-2</v>
      </c>
      <c r="D37" s="26">
        <f t="shared" si="1"/>
        <v>115.99075698840697</v>
      </c>
      <c r="E37" s="26"/>
      <c r="F37" s="26"/>
      <c r="P37" s="17">
        <v>31</v>
      </c>
      <c r="Q37" s="17">
        <v>28</v>
      </c>
      <c r="R37" s="17"/>
      <c r="S37" s="17">
        <v>30</v>
      </c>
      <c r="T37" s="17">
        <v>31</v>
      </c>
      <c r="U37" s="17">
        <v>30</v>
      </c>
      <c r="V37" s="17">
        <v>31</v>
      </c>
      <c r="W37" s="17">
        <v>31</v>
      </c>
      <c r="X37" s="17">
        <v>30</v>
      </c>
      <c r="Y37" s="17">
        <v>31</v>
      </c>
      <c r="Z37" s="17">
        <v>30</v>
      </c>
      <c r="AA37" s="17">
        <v>31</v>
      </c>
      <c r="AD37" s="28">
        <v>2026</v>
      </c>
      <c r="AE37" s="29">
        <f>+P36</f>
        <v>4.8532410040016197E-2</v>
      </c>
      <c r="AF37" s="29">
        <f>+Q36</f>
        <v>3.9016752167848612E-2</v>
      </c>
      <c r="AG37" s="29">
        <f>+R36</f>
        <v>5.5211070462702003E-2</v>
      </c>
      <c r="AH37" s="29">
        <f t="shared" si="26"/>
        <v>4.8522359078618571E-2</v>
      </c>
      <c r="AQ37" s="30">
        <f>+(H249/H246-1)/COUNTA(AE37:AP37)*12</f>
        <v>3.5635300313302531E-2</v>
      </c>
      <c r="AR37" s="33"/>
      <c r="AS37" s="16"/>
    </row>
    <row r="38" spans="1:62">
      <c r="A38" s="24">
        <v>39721</v>
      </c>
      <c r="B38" s="27">
        <v>12796.95</v>
      </c>
      <c r="C38" s="32">
        <f t="shared" si="4"/>
        <v>8.1749724313105177E-2</v>
      </c>
      <c r="D38" s="26">
        <f t="shared" si="1"/>
        <v>116.83362031344437</v>
      </c>
      <c r="E38" s="26"/>
      <c r="F38" s="26"/>
      <c r="P38" s="17">
        <v>1</v>
      </c>
      <c r="Q38" s="17">
        <v>2</v>
      </c>
      <c r="R38" s="17">
        <v>3</v>
      </c>
      <c r="S38" s="17">
        <v>4</v>
      </c>
      <c r="T38" s="17">
        <v>4</v>
      </c>
      <c r="U38" s="17">
        <v>6</v>
      </c>
      <c r="V38" s="17">
        <v>7</v>
      </c>
      <c r="W38" s="17">
        <v>8</v>
      </c>
      <c r="X38" s="17">
        <v>9</v>
      </c>
      <c r="Y38" s="17">
        <v>10</v>
      </c>
      <c r="Z38" s="17">
        <v>11</v>
      </c>
      <c r="AA38" s="17">
        <v>12</v>
      </c>
      <c r="AD38" s="33" t="s">
        <v>27</v>
      </c>
      <c r="AR38" s="33" t="s">
        <v>23</v>
      </c>
    </row>
    <row r="39" spans="1:62" ht="15.75">
      <c r="A39" s="24">
        <v>39752</v>
      </c>
      <c r="B39" s="27">
        <v>12885.37</v>
      </c>
      <c r="C39" s="32">
        <f t="shared" si="4"/>
        <v>8.0238877484542018E-2</v>
      </c>
      <c r="D39" s="26">
        <f t="shared" si="1"/>
        <v>117.640877410496</v>
      </c>
      <c r="E39" s="26"/>
      <c r="F39" s="26"/>
      <c r="O39" s="38" t="s">
        <v>25</v>
      </c>
      <c r="P39" s="10" t="s">
        <v>4</v>
      </c>
      <c r="Q39" s="10" t="s">
        <v>5</v>
      </c>
      <c r="R39" s="10" t="s">
        <v>6</v>
      </c>
      <c r="S39" s="10" t="s">
        <v>7</v>
      </c>
      <c r="T39" s="10" t="s">
        <v>8</v>
      </c>
      <c r="U39" s="10" t="s">
        <v>9</v>
      </c>
      <c r="V39" s="10" t="s">
        <v>10</v>
      </c>
      <c r="W39" s="10" t="s">
        <v>11</v>
      </c>
      <c r="X39" s="10" t="s">
        <v>12</v>
      </c>
      <c r="Y39" s="10" t="s">
        <v>13</v>
      </c>
      <c r="Z39" s="10" t="s">
        <v>14</v>
      </c>
      <c r="AA39" s="10" t="s">
        <v>15</v>
      </c>
      <c r="AD39" s="36" t="s">
        <v>25</v>
      </c>
      <c r="AE39" s="15" t="s">
        <v>4</v>
      </c>
      <c r="AF39" s="15" t="s">
        <v>5</v>
      </c>
      <c r="AG39" s="15" t="s">
        <v>6</v>
      </c>
      <c r="AH39" s="15" t="s">
        <v>7</v>
      </c>
      <c r="AI39" s="15" t="s">
        <v>8</v>
      </c>
      <c r="AJ39" s="15" t="s">
        <v>9</v>
      </c>
      <c r="AK39" s="15" t="s">
        <v>10</v>
      </c>
      <c r="AL39" s="15" t="s">
        <v>11</v>
      </c>
      <c r="AM39" s="15" t="s">
        <v>12</v>
      </c>
      <c r="AN39" s="15" t="s">
        <v>13</v>
      </c>
      <c r="AO39" s="15" t="s">
        <v>14</v>
      </c>
      <c r="AP39" s="15" t="s">
        <v>15</v>
      </c>
      <c r="AQ39" s="15" t="s">
        <v>16</v>
      </c>
      <c r="AR39" s="33"/>
    </row>
    <row r="40" spans="1:62">
      <c r="A40" s="24">
        <v>39780</v>
      </c>
      <c r="B40" s="27">
        <v>12970.93</v>
      </c>
      <c r="C40" s="32">
        <f t="shared" si="4"/>
        <v>8.53725692670948E-2</v>
      </c>
      <c r="D40" s="26">
        <f t="shared" si="1"/>
        <v>118.42202327369138</v>
      </c>
      <c r="E40" s="26"/>
      <c r="F40" s="26"/>
      <c r="O40" s="10">
        <v>2017</v>
      </c>
      <c r="P40" s="67"/>
      <c r="Q40" s="67"/>
      <c r="R40" s="67"/>
      <c r="S40" s="67"/>
      <c r="T40" s="67">
        <f t="shared" ref="T40:AA42" si="28">LOOKUP(DATE($O40,T$25,T$24),$A$2:$A$2943,$L$2:$L$2943)</f>
        <v>4.6197641583761899E-3</v>
      </c>
      <c r="U40" s="67">
        <f t="shared" si="28"/>
        <v>4.9980545286780753E-3</v>
      </c>
      <c r="V40" s="67">
        <f t="shared" si="28"/>
        <v>4.7507295330012815E-3</v>
      </c>
      <c r="W40" s="67">
        <f t="shared" si="28"/>
        <v>6.0897556212559777E-3</v>
      </c>
      <c r="X40" s="67">
        <f t="shared" si="28"/>
        <v>6.7787163890908886E-3</v>
      </c>
      <c r="Y40" s="67">
        <f t="shared" si="28"/>
        <v>7.2728483717021675E-3</v>
      </c>
      <c r="Z40" s="67">
        <f t="shared" si="28"/>
        <v>7.8583667976781513E-3</v>
      </c>
      <c r="AA40" s="67">
        <f t="shared" si="28"/>
        <v>9.6037278865836583E-3</v>
      </c>
      <c r="AD40" s="28">
        <v>2017</v>
      </c>
      <c r="AE40" s="29"/>
      <c r="AF40" s="29"/>
      <c r="AG40" s="29"/>
      <c r="AH40" s="29"/>
      <c r="AI40" s="29">
        <f t="shared" ref="AI40:AP47" si="29">+T40</f>
        <v>4.6197641583761899E-3</v>
      </c>
      <c r="AJ40" s="29">
        <f t="shared" si="29"/>
        <v>4.9980545286780753E-3</v>
      </c>
      <c r="AK40" s="29">
        <f t="shared" si="29"/>
        <v>4.7507295330012815E-3</v>
      </c>
      <c r="AL40" s="29">
        <f t="shared" si="29"/>
        <v>6.0897556212559777E-3</v>
      </c>
      <c r="AM40" s="29">
        <f t="shared" si="29"/>
        <v>6.7787163890908886E-3</v>
      </c>
      <c r="AN40" s="29">
        <f t="shared" si="29"/>
        <v>7.2728483717021675E-3</v>
      </c>
      <c r="AO40" s="29">
        <f t="shared" si="29"/>
        <v>7.8583667976781513E-3</v>
      </c>
      <c r="AP40" s="29">
        <f t="shared" si="29"/>
        <v>9.6037278865836583E-3</v>
      </c>
      <c r="AQ40" s="30">
        <f>+(K149/K141-1)/8*12</f>
        <v>6.6439551195101032E-3</v>
      </c>
      <c r="AR40" s="33"/>
      <c r="BE40" s="44"/>
      <c r="BF40" s="44"/>
      <c r="BG40" s="44"/>
      <c r="BH40" s="44"/>
      <c r="BI40" s="44"/>
      <c r="BJ40" s="44"/>
    </row>
    <row r="41" spans="1:62" ht="15" customHeight="1">
      <c r="A41" s="24">
        <v>39813</v>
      </c>
      <c r="B41" s="27">
        <v>13066.33</v>
      </c>
      <c r="C41" s="32">
        <f t="shared" si="4"/>
        <v>8.0235362670776855E-2</v>
      </c>
      <c r="D41" s="26">
        <f t="shared" si="1"/>
        <v>119.29300638903548</v>
      </c>
      <c r="E41" s="26"/>
      <c r="F41" s="26"/>
      <c r="O41" s="10">
        <v>2018</v>
      </c>
      <c r="P41" s="67">
        <f t="shared" ref="P41:S42" si="30">LOOKUP(DATE($O41,P$25,P$24),$A$2:$A$2943,$L$2:$L$2943)</f>
        <v>1.0967707820073671E-2</v>
      </c>
      <c r="Q41" s="67">
        <f t="shared" si="30"/>
        <v>1.0622313246440029E-2</v>
      </c>
      <c r="R41" s="67">
        <f t="shared" si="30"/>
        <v>1.090269598324102E-2</v>
      </c>
      <c r="S41" s="67">
        <f t="shared" si="30"/>
        <v>1.228770336832774E-2</v>
      </c>
      <c r="T41" s="67">
        <f t="shared" si="28"/>
        <v>1.3576049495116269E-2</v>
      </c>
      <c r="U41" s="67">
        <f t="shared" si="28"/>
        <v>1.4993145885560999E-2</v>
      </c>
      <c r="V41" s="67">
        <f t="shared" si="28"/>
        <v>1.6017646157316396E-2</v>
      </c>
      <c r="W41" s="67">
        <f t="shared" si="28"/>
        <v>1.5773527601195707E-2</v>
      </c>
      <c r="X41" s="67">
        <f t="shared" si="28"/>
        <v>1.6705268102634285E-2</v>
      </c>
      <c r="Y41" s="67">
        <f t="shared" si="28"/>
        <v>1.6964679656212699E-2</v>
      </c>
      <c r="Z41" s="67">
        <f t="shared" si="28"/>
        <v>1.5174929296453143E-2</v>
      </c>
      <c r="AA41" s="67">
        <f t="shared" si="28"/>
        <v>1.8100758996559756E-2</v>
      </c>
      <c r="AD41" s="21">
        <v>2018</v>
      </c>
      <c r="AE41" s="29">
        <f t="shared" ref="AE41:AH45" si="31">+P41</f>
        <v>1.0967707820073671E-2</v>
      </c>
      <c r="AF41" s="29">
        <f t="shared" si="31"/>
        <v>1.0622313246440029E-2</v>
      </c>
      <c r="AG41" s="29">
        <f t="shared" si="31"/>
        <v>1.090269598324102E-2</v>
      </c>
      <c r="AH41" s="29">
        <f t="shared" si="31"/>
        <v>1.228770336832774E-2</v>
      </c>
      <c r="AI41" s="29">
        <f t="shared" si="29"/>
        <v>1.3576049495116269E-2</v>
      </c>
      <c r="AJ41" s="29">
        <f t="shared" si="29"/>
        <v>1.4993145885560999E-2</v>
      </c>
      <c r="AK41" s="29">
        <f t="shared" si="29"/>
        <v>1.6017646157316396E-2</v>
      </c>
      <c r="AL41" s="29">
        <f t="shared" si="29"/>
        <v>1.5773527601195707E-2</v>
      </c>
      <c r="AM41" s="29">
        <f t="shared" si="29"/>
        <v>1.6705268102634285E-2</v>
      </c>
      <c r="AN41" s="29">
        <f t="shared" si="29"/>
        <v>1.6964679656212699E-2</v>
      </c>
      <c r="AO41" s="29">
        <f t="shared" si="29"/>
        <v>1.5174929296453143E-2</v>
      </c>
      <c r="AP41" s="29">
        <f t="shared" si="29"/>
        <v>1.8100758996559756E-2</v>
      </c>
      <c r="AQ41" s="23">
        <f>+K161/K149-1</f>
        <v>1.4663028271348244E-2</v>
      </c>
      <c r="AR41" s="33"/>
      <c r="BE41" s="34"/>
      <c r="BF41" s="34"/>
      <c r="BG41" s="34"/>
      <c r="BH41" s="34"/>
      <c r="BI41" s="34"/>
      <c r="BJ41" s="53"/>
    </row>
    <row r="42" spans="1:62" ht="15" customHeight="1">
      <c r="A42" s="24">
        <v>39843</v>
      </c>
      <c r="B42" s="27">
        <v>13151.16</v>
      </c>
      <c r="C42" s="32">
        <f t="shared" si="4"/>
        <v>7.7907109341338376E-2</v>
      </c>
      <c r="D42" s="26">
        <f t="shared" si="1"/>
        <v>120.06748749673611</v>
      </c>
      <c r="E42" s="26"/>
      <c r="F42" s="26"/>
      <c r="O42" s="10">
        <v>2019</v>
      </c>
      <c r="P42" s="67">
        <f t="shared" si="30"/>
        <v>1.9871310117053377E-2</v>
      </c>
      <c r="Q42" s="67">
        <f t="shared" si="30"/>
        <v>1.9274745331590015E-2</v>
      </c>
      <c r="R42" s="67">
        <f t="shared" si="30"/>
        <v>1.9697306214110293E-2</v>
      </c>
      <c r="S42" s="67">
        <f t="shared" si="30"/>
        <v>1.9770427238439581E-2</v>
      </c>
      <c r="T42" s="67">
        <f t="shared" si="28"/>
        <v>1.9140352968909653E-2</v>
      </c>
      <c r="U42" s="67">
        <f t="shared" si="28"/>
        <v>1.8983221230177705E-2</v>
      </c>
      <c r="V42" s="67">
        <f t="shared" si="28"/>
        <v>1.814207179538296E-2</v>
      </c>
      <c r="W42" s="67">
        <f t="shared" si="28"/>
        <v>1.7571984141117443E-2</v>
      </c>
      <c r="X42" s="67">
        <f t="shared" si="28"/>
        <v>1.7214244953612123E-2</v>
      </c>
      <c r="Y42" s="67">
        <f t="shared" si="28"/>
        <v>1.6927381313197275E-2</v>
      </c>
      <c r="Z42" s="67">
        <f t="shared" si="28"/>
        <v>1.6935501959059351E-2</v>
      </c>
      <c r="AA42" s="67">
        <f t="shared" si="28"/>
        <v>1.59787130043181E-2</v>
      </c>
      <c r="AD42" s="28">
        <v>2019</v>
      </c>
      <c r="AE42" s="29">
        <f t="shared" si="31"/>
        <v>1.9871310117053377E-2</v>
      </c>
      <c r="AF42" s="29">
        <f t="shared" si="31"/>
        <v>1.9274745331590015E-2</v>
      </c>
      <c r="AG42" s="29">
        <f t="shared" si="31"/>
        <v>1.9697306214110293E-2</v>
      </c>
      <c r="AH42" s="29">
        <f t="shared" si="31"/>
        <v>1.9770427238439581E-2</v>
      </c>
      <c r="AI42" s="29">
        <f t="shared" si="29"/>
        <v>1.9140352968909653E-2</v>
      </c>
      <c r="AJ42" s="29">
        <f t="shared" si="29"/>
        <v>1.8983221230177705E-2</v>
      </c>
      <c r="AK42" s="29">
        <f t="shared" si="29"/>
        <v>1.814207179538296E-2</v>
      </c>
      <c r="AL42" s="29">
        <f t="shared" si="29"/>
        <v>1.7571984141117443E-2</v>
      </c>
      <c r="AM42" s="29">
        <f t="shared" si="29"/>
        <v>1.7214244953612123E-2</v>
      </c>
      <c r="AN42" s="29">
        <f t="shared" si="29"/>
        <v>1.6927381313197275E-2</v>
      </c>
      <c r="AO42" s="29">
        <f t="shared" si="29"/>
        <v>1.6935501959059351E-2</v>
      </c>
      <c r="AP42" s="29">
        <f t="shared" si="29"/>
        <v>1.59787130043181E-2</v>
      </c>
      <c r="AQ42" s="30">
        <f>+(K173/K161-1)/COUNTA(AE42:AP42)*12</f>
        <v>1.8697147991280305E-2</v>
      </c>
      <c r="AR42" s="33"/>
      <c r="BE42" s="34"/>
      <c r="BF42" s="34"/>
      <c r="BG42" s="34"/>
      <c r="BH42" s="34"/>
      <c r="BI42" s="34"/>
      <c r="BJ42" s="53"/>
    </row>
    <row r="43" spans="1:62" ht="15" customHeight="1">
      <c r="A43" s="24">
        <v>39871</v>
      </c>
      <c r="B43" s="27">
        <v>13212.09</v>
      </c>
      <c r="C43" s="32">
        <f t="shared" si="4"/>
        <v>5.9567803470242771E-2</v>
      </c>
      <c r="D43" s="26">
        <f t="shared" si="1"/>
        <v>120.62376633549832</v>
      </c>
      <c r="E43" s="26"/>
      <c r="F43" s="26"/>
      <c r="O43" s="10">
        <v>2020</v>
      </c>
      <c r="P43" s="64">
        <f>LOOKUP(DATE($O43,P$25,P$24),$A$2:$A$2943,$L$2:$L$2943)</f>
        <v>1.6402559199187192E-2</v>
      </c>
      <c r="Q43" s="64">
        <f>LOOKUP(DATE($O43,Q$25,Q$24)+1,$A$2:$A$2943,$L$2:$L$2943)</f>
        <v>1.4597748871623052E-2</v>
      </c>
      <c r="R43" s="64">
        <f t="shared" ref="R43:AA43" si="32">LOOKUP(DATE($O43,R$25,R$24),$A:$A,$L:$L)</f>
        <v>1.3144740456157381E-2</v>
      </c>
      <c r="S43" s="64">
        <f t="shared" si="32"/>
        <v>1.1466222317363162E-2</v>
      </c>
      <c r="T43" s="64">
        <f t="shared" si="32"/>
        <v>1.1925525636360044E-2</v>
      </c>
      <c r="U43" s="64">
        <f t="shared" si="32"/>
        <v>1.2766552452765367E-3</v>
      </c>
      <c r="V43" s="64">
        <f t="shared" si="32"/>
        <v>1.785704755779567E-4</v>
      </c>
      <c r="W43" s="64">
        <f t="shared" si="32"/>
        <v>2.0970261597648646E-4</v>
      </c>
      <c r="X43" s="64">
        <f t="shared" si="32"/>
        <v>1.7505426287733883E-4</v>
      </c>
      <c r="Y43" s="64">
        <f t="shared" si="32"/>
        <v>1.3827101009715237E-4</v>
      </c>
      <c r="Z43" s="64">
        <f t="shared" si="32"/>
        <v>5.27041303351794E-4</v>
      </c>
      <c r="AA43" s="64">
        <f t="shared" si="32"/>
        <v>2.83851789943802E-4</v>
      </c>
      <c r="AD43" s="28">
        <v>2020</v>
      </c>
      <c r="AE43" s="29">
        <f t="shared" si="31"/>
        <v>1.6402559199187192E-2</v>
      </c>
      <c r="AF43" s="29">
        <f t="shared" si="31"/>
        <v>1.4597748871623052E-2</v>
      </c>
      <c r="AG43" s="29">
        <f t="shared" si="31"/>
        <v>1.3144740456157381E-2</v>
      </c>
      <c r="AH43" s="29">
        <f t="shared" si="31"/>
        <v>1.1466222317363162E-2</v>
      </c>
      <c r="AI43" s="29">
        <f t="shared" si="29"/>
        <v>1.1925525636360044E-2</v>
      </c>
      <c r="AJ43" s="29">
        <f t="shared" si="29"/>
        <v>1.2766552452765367E-3</v>
      </c>
      <c r="AK43" s="29">
        <f t="shared" si="29"/>
        <v>1.785704755779567E-4</v>
      </c>
      <c r="AL43" s="29">
        <f t="shared" si="29"/>
        <v>2.0970261597648646E-4</v>
      </c>
      <c r="AM43" s="29">
        <f t="shared" si="29"/>
        <v>1.7505426287733883E-4</v>
      </c>
      <c r="AN43" s="29">
        <f t="shared" si="29"/>
        <v>1.3827101009715237E-4</v>
      </c>
      <c r="AO43" s="29">
        <f t="shared" si="29"/>
        <v>5.27041303351794E-4</v>
      </c>
      <c r="AP43" s="29">
        <f t="shared" si="29"/>
        <v>2.83851789943802E-4</v>
      </c>
      <c r="AQ43" s="30">
        <f>+(K185/K173-1)/COUNTA(AE43:AP43)*12</f>
        <v>5.9517228262242483E-3</v>
      </c>
      <c r="AR43" s="16"/>
      <c r="AS43" s="16"/>
      <c r="BE43" s="34"/>
      <c r="BF43" s="34"/>
      <c r="BG43" s="34"/>
      <c r="BH43" s="34"/>
      <c r="BI43" s="34"/>
      <c r="BJ43" s="53"/>
    </row>
    <row r="44" spans="1:62">
      <c r="A44" s="24">
        <v>39903</v>
      </c>
      <c r="B44" s="27">
        <v>13251.18</v>
      </c>
      <c r="C44" s="32">
        <f t="shared" si="4"/>
        <v>3.3284855007800485E-2</v>
      </c>
      <c r="D44" s="26">
        <f t="shared" si="1"/>
        <v>120.98065029754027</v>
      </c>
      <c r="E44" s="26"/>
      <c r="F44" s="26"/>
      <c r="O44" s="10">
        <v>2021</v>
      </c>
      <c r="P44" s="72">
        <f>+L186</f>
        <v>1.0529728379936275E-3</v>
      </c>
      <c r="Q44" s="72">
        <f>+L187</f>
        <v>4.4296055099923848E-4</v>
      </c>
      <c r="R44" s="72">
        <f>+L188</f>
        <v>2.6641457344469828E-4</v>
      </c>
      <c r="S44" s="72">
        <f>+L189</f>
        <v>7.7667374097956099E-4</v>
      </c>
      <c r="T44" s="72">
        <f>+L190</f>
        <v>1.4402061410256906E-4</v>
      </c>
      <c r="U44" s="72">
        <f>+L191</f>
        <v>1.2432263168652265E-4</v>
      </c>
      <c r="V44" s="72">
        <f>+L192</f>
        <v>1.6294341762577945E-4</v>
      </c>
      <c r="W44" s="72">
        <f>+L193</f>
        <v>1.894877201779091E-4</v>
      </c>
      <c r="X44" s="72">
        <f>+L194</f>
        <v>1.664779601133759E-4</v>
      </c>
      <c r="Y44" s="72">
        <f>+L195</f>
        <v>1.7025918808488336E-4</v>
      </c>
      <c r="Z44" s="72">
        <f>+L196</f>
        <v>4.4172152846932988E-4</v>
      </c>
      <c r="AA44" s="64">
        <f>+L197</f>
        <v>3.5148474833882867E-4</v>
      </c>
      <c r="AD44" s="28">
        <v>2021</v>
      </c>
      <c r="AE44" s="29">
        <f t="shared" si="31"/>
        <v>1.0529728379936275E-3</v>
      </c>
      <c r="AF44" s="29">
        <f t="shared" si="31"/>
        <v>4.4296055099923848E-4</v>
      </c>
      <c r="AG44" s="29">
        <f t="shared" si="31"/>
        <v>2.6641457344469828E-4</v>
      </c>
      <c r="AH44" s="29">
        <f t="shared" si="31"/>
        <v>7.7667374097956099E-4</v>
      </c>
      <c r="AI44" s="29">
        <f t="shared" si="29"/>
        <v>1.4402061410256906E-4</v>
      </c>
      <c r="AJ44" s="29">
        <f t="shared" si="29"/>
        <v>1.2432263168652265E-4</v>
      </c>
      <c r="AK44" s="29">
        <f t="shared" si="29"/>
        <v>1.6294341762577945E-4</v>
      </c>
      <c r="AL44" s="29">
        <f t="shared" si="29"/>
        <v>1.894877201779091E-4</v>
      </c>
      <c r="AM44" s="29">
        <f t="shared" si="29"/>
        <v>1.664779601133759E-4</v>
      </c>
      <c r="AN44" s="29">
        <f t="shared" si="29"/>
        <v>1.7025918808488336E-4</v>
      </c>
      <c r="AO44" s="29">
        <f t="shared" si="29"/>
        <v>4.4172152846932988E-4</v>
      </c>
      <c r="AP44" s="29">
        <f t="shared" si="29"/>
        <v>3.5148474833882867E-4</v>
      </c>
      <c r="AQ44" s="30">
        <f>+(K196/K185-1)/COUNTA(AE44:AP44)*12</f>
        <v>3.3178309364867431E-4</v>
      </c>
      <c r="AR44" s="16"/>
      <c r="AS44" s="16"/>
      <c r="BE44" s="34"/>
      <c r="BF44" s="34"/>
      <c r="BG44" s="34"/>
      <c r="BH44" s="34"/>
      <c r="BI44" s="34"/>
      <c r="BJ44" s="53"/>
    </row>
    <row r="45" spans="1:62">
      <c r="A45" s="24">
        <v>39933</v>
      </c>
      <c r="B45" s="27">
        <v>13272.62</v>
      </c>
      <c r="C45" s="32">
        <f t="shared" si="4"/>
        <v>1.9415629400551637E-2</v>
      </c>
      <c r="D45" s="26">
        <f t="shared" si="1"/>
        <v>121.17639325344149</v>
      </c>
      <c r="E45" s="26"/>
      <c r="F45" s="26"/>
      <c r="O45" s="10">
        <v>2022</v>
      </c>
      <c r="P45" s="72">
        <f>+L198</f>
        <v>4.4758031241007572E-4</v>
      </c>
      <c r="Q45" s="72">
        <f>+L199</f>
        <v>5.6847569541718102E-4</v>
      </c>
      <c r="R45" s="72">
        <f>+L200</f>
        <v>6.0496135888121034E-4</v>
      </c>
      <c r="S45" s="72">
        <f>+L201</f>
        <v>1.1054993786876466E-3</v>
      </c>
      <c r="T45" s="72">
        <f>+L202</f>
        <v>3.8616774488814932E-3</v>
      </c>
      <c r="U45" s="72">
        <f>+L203</f>
        <v>4.8369879753540346E-3</v>
      </c>
      <c r="V45" s="72">
        <f>+L204</f>
        <v>7.0272920403535721E-3</v>
      </c>
      <c r="W45" s="72">
        <f>+L205</f>
        <v>1.2127884587468062E-2</v>
      </c>
      <c r="X45" s="72">
        <f>+L206</f>
        <v>1.6815046282649959E-2</v>
      </c>
      <c r="Y45" s="72">
        <f>+L207</f>
        <v>2.1028927602071423E-2</v>
      </c>
      <c r="Z45" s="72">
        <f>+L208</f>
        <v>2.5369084107694884E-2</v>
      </c>
      <c r="AA45" s="64">
        <f>+L209</f>
        <v>3.1920039296015723E-2</v>
      </c>
      <c r="AD45" s="28">
        <v>2022</v>
      </c>
      <c r="AE45" s="29">
        <f t="shared" si="31"/>
        <v>4.4758031241007572E-4</v>
      </c>
      <c r="AF45" s="29">
        <f t="shared" si="31"/>
        <v>5.6847569541718102E-4</v>
      </c>
      <c r="AG45" s="29">
        <f t="shared" si="31"/>
        <v>6.0496135888121034E-4</v>
      </c>
      <c r="AH45" s="29">
        <f t="shared" si="31"/>
        <v>1.1054993786876466E-3</v>
      </c>
      <c r="AI45" s="29">
        <f t="shared" si="29"/>
        <v>3.8616774488814932E-3</v>
      </c>
      <c r="AJ45" s="29">
        <f t="shared" si="29"/>
        <v>4.8369879753540346E-3</v>
      </c>
      <c r="AK45" s="29">
        <f t="shared" si="29"/>
        <v>7.0272920403535721E-3</v>
      </c>
      <c r="AL45" s="29">
        <f t="shared" si="29"/>
        <v>1.2127884587468062E-2</v>
      </c>
      <c r="AM45" s="29">
        <f t="shared" si="29"/>
        <v>1.6815046282649959E-2</v>
      </c>
      <c r="AN45" s="29">
        <f t="shared" si="29"/>
        <v>2.1028927602071423E-2</v>
      </c>
      <c r="AO45" s="29">
        <f t="shared" si="29"/>
        <v>2.5369084107694884E-2</v>
      </c>
      <c r="AP45" s="29">
        <f t="shared" si="29"/>
        <v>3.1920039296015723E-2</v>
      </c>
      <c r="AQ45" s="30">
        <f>+(K209/K197-1)/COUNTA(AE45:AP45)*12</f>
        <v>1.0681629754837996E-2</v>
      </c>
      <c r="AR45" s="16"/>
      <c r="AS45" s="16"/>
      <c r="BE45" s="34"/>
      <c r="BF45" s="34"/>
      <c r="BG45" s="34"/>
      <c r="BH45" s="34"/>
      <c r="BI45" s="34"/>
      <c r="BJ45" s="53"/>
    </row>
    <row r="46" spans="1:62">
      <c r="A46" s="24">
        <v>39962</v>
      </c>
      <c r="B46" s="27">
        <v>13286.96</v>
      </c>
      <c r="C46" s="32">
        <f t="shared" si="4"/>
        <v>1.341210650975014E-2</v>
      </c>
      <c r="D46" s="26">
        <f t="shared" si="1"/>
        <v>121.30731461480453</v>
      </c>
      <c r="E46" s="26"/>
      <c r="F46" s="26"/>
      <c r="O46" s="10">
        <v>2023</v>
      </c>
      <c r="P46" s="72">
        <f>+L210</f>
        <v>3.8327604999757181E-2</v>
      </c>
      <c r="Q46" s="72">
        <f>+L211</f>
        <v>4.1124149576859156E-2</v>
      </c>
      <c r="R46" s="72">
        <f>+L212</f>
        <v>4.1767230631406381E-2</v>
      </c>
      <c r="S46" s="72">
        <f>+L213</f>
        <v>4.2750720948224262E-2</v>
      </c>
      <c r="T46" s="72">
        <f>+L214</f>
        <v>4.4054542704353009E-2</v>
      </c>
      <c r="U46" s="72">
        <f>+L215</f>
        <v>4.5230587443764847E-2</v>
      </c>
      <c r="V46" s="72">
        <f>+L216</f>
        <v>4.5789834980712693E-2</v>
      </c>
      <c r="W46" s="72">
        <f>+L217</f>
        <v>4.7528881227513232E-2</v>
      </c>
      <c r="X46" s="72">
        <f>+L218</f>
        <v>4.6751012583426288E-2</v>
      </c>
      <c r="Y46" s="72">
        <f>+L219</f>
        <v>4.5701594442373247E-2</v>
      </c>
      <c r="Z46" s="72">
        <f>+L220</f>
        <v>4.2178797543139801E-2</v>
      </c>
      <c r="AA46" s="72">
        <f>+L221</f>
        <v>4.5596039346251428E-2</v>
      </c>
      <c r="AD46" s="28">
        <v>2023</v>
      </c>
      <c r="AE46" s="29">
        <v>0</v>
      </c>
      <c r="AF46" s="29">
        <f t="shared" ref="AF46:AH47" si="33">+Q46</f>
        <v>4.1124149576859156E-2</v>
      </c>
      <c r="AG46" s="29">
        <f t="shared" si="33"/>
        <v>4.1767230631406381E-2</v>
      </c>
      <c r="AH46" s="29">
        <f t="shared" si="33"/>
        <v>4.2750720948224262E-2</v>
      </c>
      <c r="AI46" s="29">
        <f t="shared" si="29"/>
        <v>4.4054542704353009E-2</v>
      </c>
      <c r="AJ46" s="29">
        <f t="shared" si="29"/>
        <v>4.5230587443764847E-2</v>
      </c>
      <c r="AK46" s="29">
        <f t="shared" si="29"/>
        <v>4.5789834980712693E-2</v>
      </c>
      <c r="AL46" s="29">
        <f t="shared" si="29"/>
        <v>4.7528881227513232E-2</v>
      </c>
      <c r="AM46" s="29">
        <f t="shared" si="29"/>
        <v>4.6751012583426288E-2</v>
      </c>
      <c r="AN46" s="29">
        <f t="shared" si="29"/>
        <v>4.5701594442373247E-2</v>
      </c>
      <c r="AO46" s="29">
        <f t="shared" si="29"/>
        <v>4.2178797543139801E-2</v>
      </c>
      <c r="AP46" s="29">
        <f t="shared" si="29"/>
        <v>4.5596039346251428E-2</v>
      </c>
      <c r="AQ46" s="30">
        <f>+(K221/K209-1)/COUNTA(AE46:AP46)*12</f>
        <v>4.5567370950287511E-2</v>
      </c>
      <c r="AR46" s="16"/>
      <c r="AS46" s="16"/>
      <c r="BD46" s="34"/>
      <c r="BE46" s="34"/>
      <c r="BF46" s="34"/>
      <c r="BG46" s="34"/>
      <c r="BH46" s="34"/>
      <c r="BI46" s="34"/>
      <c r="BJ46" s="53"/>
    </row>
    <row r="47" spans="1:62" ht="15.75" customHeight="1">
      <c r="A47" s="24">
        <v>39994</v>
      </c>
      <c r="B47" s="27">
        <v>13299.08</v>
      </c>
      <c r="C47" s="32">
        <f t="shared" si="4"/>
        <v>1.0261941030906274E-2</v>
      </c>
      <c r="D47" s="26">
        <f t="shared" si="1"/>
        <v>121.41796781562182</v>
      </c>
      <c r="E47" s="26"/>
      <c r="F47" s="26"/>
      <c r="O47" s="10">
        <v>2024</v>
      </c>
      <c r="P47" s="72">
        <f>+L222</f>
        <v>4.4545496313381353E-2</v>
      </c>
      <c r="Q47" s="72">
        <f>+L223</f>
        <v>4.3686281887614267E-2</v>
      </c>
      <c r="R47" s="72">
        <f>+L224</f>
        <v>3.8884481610188967E-2</v>
      </c>
      <c r="S47" s="72">
        <f>+L225</f>
        <v>4.7086385624311333E-2</v>
      </c>
      <c r="T47" s="72">
        <f>+L226</f>
        <v>4.2544316765445692E-2</v>
      </c>
      <c r="U47" s="72">
        <f>+L227</f>
        <v>4.2518892012331833E-2</v>
      </c>
      <c r="V47" s="72">
        <f>+L228</f>
        <v>4.2210544331228068E-2</v>
      </c>
      <c r="W47" s="72">
        <f>+L229</f>
        <v>4.2490857048972694E-2</v>
      </c>
      <c r="X47" s="72">
        <f>+L230</f>
        <v>4.0835600722048504E-2</v>
      </c>
      <c r="Y47" s="72">
        <f>+L231</f>
        <v>3.9471501860971661E-2</v>
      </c>
      <c r="Z47" s="72">
        <f>+L232</f>
        <v>3.7641499943658729E-2</v>
      </c>
      <c r="AA47" s="72">
        <f>+L233</f>
        <v>3.6882308624910591E-2</v>
      </c>
      <c r="AD47" s="28">
        <v>2024</v>
      </c>
      <c r="AE47" s="29">
        <f>+P47</f>
        <v>4.4545496313381353E-2</v>
      </c>
      <c r="AF47" s="29">
        <f t="shared" si="33"/>
        <v>4.3686281887614267E-2</v>
      </c>
      <c r="AG47" s="29">
        <f t="shared" si="33"/>
        <v>3.8884481610188967E-2</v>
      </c>
      <c r="AH47" s="29">
        <f t="shared" si="33"/>
        <v>4.7086385624311333E-2</v>
      </c>
      <c r="AI47" s="29">
        <f t="shared" si="29"/>
        <v>4.2544316765445692E-2</v>
      </c>
      <c r="AJ47" s="29">
        <f t="shared" si="29"/>
        <v>4.2518892012331833E-2</v>
      </c>
      <c r="AK47" s="29">
        <f t="shared" si="29"/>
        <v>4.2210544331228068E-2</v>
      </c>
      <c r="AL47" s="29">
        <f t="shared" si="29"/>
        <v>4.2490857048972694E-2</v>
      </c>
      <c r="AM47" s="29">
        <f t="shared" si="29"/>
        <v>4.0835600722048504E-2</v>
      </c>
      <c r="AN47" s="29">
        <f t="shared" si="29"/>
        <v>3.9471501860971661E-2</v>
      </c>
      <c r="AO47" s="29">
        <f t="shared" si="29"/>
        <v>3.7641499943658729E-2</v>
      </c>
      <c r="AP47" s="29">
        <f t="shared" si="29"/>
        <v>3.6882308624910591E-2</v>
      </c>
      <c r="AQ47" s="30">
        <f>+(K233/K221-1)/COUNTA(AE47:AP47)*12</f>
        <v>4.3069671292365497E-2</v>
      </c>
      <c r="AR47" s="16"/>
      <c r="AS47" s="16"/>
      <c r="BD47" s="34"/>
      <c r="BE47" s="34"/>
      <c r="BF47" s="34"/>
      <c r="BG47" s="34"/>
      <c r="BH47" s="34"/>
      <c r="BI47" s="34"/>
      <c r="BJ47" s="53"/>
    </row>
    <row r="48" spans="1:62">
      <c r="A48" s="24">
        <v>40025</v>
      </c>
      <c r="B48" s="27">
        <v>13305.34</v>
      </c>
      <c r="C48" s="32">
        <f t="shared" si="4"/>
        <v>5.4663009917644088E-3</v>
      </c>
      <c r="D48" s="26">
        <f t="shared" si="1"/>
        <v>121.47512037644002</v>
      </c>
      <c r="E48" s="26"/>
      <c r="F48" s="26"/>
      <c r="O48" s="10">
        <v>2025</v>
      </c>
      <c r="P48" s="72">
        <f>+L234</f>
        <v>3.5823879227219982E-2</v>
      </c>
      <c r="Q48" s="72">
        <f>+L235</f>
        <v>3.546343555297117E-2</v>
      </c>
      <c r="R48" s="72">
        <f>+L236</f>
        <v>3.4432444314915697E-2</v>
      </c>
      <c r="S48" s="72">
        <f>+L237</f>
        <v>3.4277425005551088E-2</v>
      </c>
      <c r="T48" s="72">
        <f>+L238</f>
        <v>3.39513431248578E-2</v>
      </c>
      <c r="U48" s="72">
        <f>+L239</f>
        <v>3.4181635108931019E-2</v>
      </c>
      <c r="V48" s="72">
        <f>+L240</f>
        <v>3.4595126301404086E-2</v>
      </c>
      <c r="W48" s="72">
        <f>+L241</f>
        <v>3.4936616659240624E-2</v>
      </c>
      <c r="X48" s="72">
        <f>+L242</f>
        <v>3.4918273675822675E-2</v>
      </c>
      <c r="Y48" s="72">
        <f>+L243</f>
        <v>3.4285095330797009E-2</v>
      </c>
      <c r="Z48" s="72">
        <f>+L244</f>
        <v>3.368446374492251E-2</v>
      </c>
      <c r="AA48" s="72">
        <f>+L245</f>
        <v>3.3622048004321267E-2</v>
      </c>
      <c r="AD48" s="28">
        <v>2025</v>
      </c>
      <c r="AE48" s="29">
        <f>+P48</f>
        <v>3.5823879227219982E-2</v>
      </c>
      <c r="AF48" s="29">
        <f t="shared" ref="AF48:AO49" si="34">+Q48</f>
        <v>3.546343555297117E-2</v>
      </c>
      <c r="AG48" s="29">
        <f t="shared" si="34"/>
        <v>3.4432444314915697E-2</v>
      </c>
      <c r="AH48" s="29">
        <f t="shared" si="34"/>
        <v>3.4277425005551088E-2</v>
      </c>
      <c r="AI48" s="29">
        <f t="shared" si="34"/>
        <v>3.39513431248578E-2</v>
      </c>
      <c r="AJ48" s="29">
        <f t="shared" si="34"/>
        <v>3.4181635108931019E-2</v>
      </c>
      <c r="AK48" s="29">
        <f t="shared" si="34"/>
        <v>3.4595126301404086E-2</v>
      </c>
      <c r="AL48" s="29">
        <f t="shared" si="34"/>
        <v>3.4936616659240624E-2</v>
      </c>
      <c r="AM48" s="29">
        <f t="shared" si="34"/>
        <v>3.4918273675822675E-2</v>
      </c>
      <c r="AN48" s="29">
        <f t="shared" si="34"/>
        <v>3.4285095330797009E-2</v>
      </c>
      <c r="AO48" s="29">
        <f t="shared" si="34"/>
        <v>3.368446374492251E-2</v>
      </c>
      <c r="AP48" s="29">
        <f>+AA48</f>
        <v>3.3622048004321267E-2</v>
      </c>
      <c r="AQ48" s="30">
        <f>+(K245/K234-1)/COUNTA(AE48:AP48)*12</f>
        <v>3.2370378977488734E-2</v>
      </c>
      <c r="AR48" s="47"/>
      <c r="AS48" s="16"/>
      <c r="BD48" s="34"/>
      <c r="BE48" s="34"/>
      <c r="BF48" s="34"/>
      <c r="BG48" s="34"/>
      <c r="BH48" s="34"/>
      <c r="BI48" s="34"/>
      <c r="BJ48" s="53"/>
    </row>
    <row r="49" spans="1:63">
      <c r="A49" s="24">
        <v>40056</v>
      </c>
      <c r="B49" s="27">
        <v>13310.07</v>
      </c>
      <c r="C49" s="32">
        <f t="shared" si="4"/>
        <v>4.12834487942919E-3</v>
      </c>
      <c r="D49" s="26">
        <f t="shared" si="1"/>
        <v>121.5183043401253</v>
      </c>
      <c r="E49" s="26"/>
      <c r="F49" s="26"/>
      <c r="O49" s="10">
        <v>2026</v>
      </c>
      <c r="P49" s="72">
        <f>+L246</f>
        <v>3.3478476375696786E-2</v>
      </c>
      <c r="Q49" s="72">
        <f>+L247</f>
        <v>3.2505249197763826E-2</v>
      </c>
      <c r="R49" s="72">
        <f>+L248</f>
        <v>3.1666251940079285E-2</v>
      </c>
      <c r="S49" s="72">
        <f>+L249</f>
        <v>3.1560227461469914E-2</v>
      </c>
      <c r="AD49" s="28">
        <v>2026</v>
      </c>
      <c r="AE49" s="29">
        <f>+P49</f>
        <v>3.3478476375696786E-2</v>
      </c>
      <c r="AF49" s="29">
        <f t="shared" ref="AF49" si="35">+Q49</f>
        <v>3.2505249197763826E-2</v>
      </c>
      <c r="AG49" s="29">
        <f t="shared" ref="AG49" si="36">+R49</f>
        <v>3.1666251940079285E-2</v>
      </c>
      <c r="AH49" s="29">
        <f t="shared" si="34"/>
        <v>3.1560227461469914E-2</v>
      </c>
      <c r="AI49" s="16"/>
      <c r="AJ49" s="16"/>
      <c r="AK49" s="16"/>
      <c r="AL49" s="16"/>
      <c r="AM49" s="16"/>
      <c r="AN49" s="16"/>
      <c r="AO49" s="16"/>
      <c r="AP49" s="16"/>
      <c r="AQ49" s="30">
        <f>+(K249/K246-1)/COUNTA(AE49:AP49)*12</f>
        <v>2.3717261784270693E-2</v>
      </c>
      <c r="AR49" s="16"/>
      <c r="AS49" s="16"/>
      <c r="BD49" s="34"/>
      <c r="BE49" s="34"/>
      <c r="BF49" s="34"/>
      <c r="BG49" s="34"/>
      <c r="BH49" s="34"/>
      <c r="BI49" s="34"/>
      <c r="BJ49" s="53"/>
    </row>
    <row r="50" spans="1:63">
      <c r="A50" s="24">
        <v>40086</v>
      </c>
      <c r="B50" s="27">
        <v>13315.05</v>
      </c>
      <c r="C50" s="32">
        <f t="shared" si="4"/>
        <v>4.4898336372378722E-3</v>
      </c>
      <c r="D50" s="26">
        <f t="shared" si="1"/>
        <v>121.56377075432249</v>
      </c>
      <c r="E50" s="26"/>
      <c r="F50" s="26"/>
      <c r="AD50" s="33"/>
      <c r="AE50" s="16"/>
      <c r="AF50" s="16"/>
      <c r="AG50" s="16"/>
      <c r="AH50" s="16"/>
      <c r="AI50" s="16"/>
      <c r="AJ50" s="16"/>
      <c r="AK50" s="16"/>
      <c r="AL50" s="16"/>
      <c r="AM50" s="16"/>
      <c r="AN50" s="16"/>
      <c r="AO50" s="16"/>
      <c r="AP50" s="16"/>
      <c r="AQ50" s="16"/>
      <c r="AR50" s="47"/>
      <c r="AS50" s="16"/>
      <c r="BD50" s="34"/>
      <c r="BE50" s="34"/>
      <c r="BF50" s="34"/>
      <c r="BG50" s="34"/>
      <c r="BH50" s="34"/>
      <c r="BI50" s="34"/>
      <c r="BJ50" s="53"/>
    </row>
    <row r="51" spans="1:63">
      <c r="A51" s="24">
        <v>40116</v>
      </c>
      <c r="B51" s="27">
        <v>13319.74</v>
      </c>
      <c r="C51" s="32">
        <f t="shared" si="4"/>
        <v>4.2267959940085476E-3</v>
      </c>
      <c r="D51" s="26">
        <f t="shared" si="1"/>
        <v>121.60658952592591</v>
      </c>
      <c r="E51" s="26"/>
      <c r="F51" s="26"/>
      <c r="AD51" s="33" t="s">
        <v>27</v>
      </c>
      <c r="AE51" s="16"/>
      <c r="AF51" s="16"/>
      <c r="AG51" s="16"/>
      <c r="AH51" s="16"/>
      <c r="AI51" s="16"/>
      <c r="AJ51" s="16"/>
      <c r="AK51" s="16"/>
      <c r="AL51" s="16"/>
      <c r="AM51" s="16"/>
      <c r="AN51" s="16"/>
      <c r="AO51" s="16"/>
      <c r="AP51" s="16"/>
      <c r="AQ51" s="16"/>
      <c r="AR51" s="16"/>
      <c r="AS51" s="16"/>
      <c r="BD51" s="34"/>
      <c r="BE51" s="34"/>
      <c r="BF51" s="34"/>
      <c r="BG51" s="34"/>
      <c r="BH51" s="34"/>
      <c r="BI51" s="34"/>
      <c r="BJ51" s="53"/>
      <c r="BK51" s="55"/>
    </row>
    <row r="52" spans="1:63">
      <c r="A52" s="24">
        <v>40147</v>
      </c>
      <c r="B52" s="27">
        <v>13324.51</v>
      </c>
      <c r="C52" s="32">
        <f t="shared" si="4"/>
        <v>4.15875598075411E-3</v>
      </c>
      <c r="D52" s="26">
        <f t="shared" si="1"/>
        <v>121.65013868169312</v>
      </c>
      <c r="E52" s="26"/>
      <c r="F52" s="26"/>
      <c r="AD52" s="33"/>
      <c r="AE52" s="16"/>
      <c r="AF52" s="16"/>
      <c r="AG52" s="16"/>
      <c r="AH52" s="16"/>
      <c r="AI52" s="16"/>
      <c r="AJ52" s="16"/>
      <c r="AK52" s="16"/>
      <c r="AL52" s="16"/>
      <c r="AM52" s="16"/>
      <c r="AN52" s="16"/>
      <c r="AO52" s="16"/>
      <c r="AP52" s="16"/>
      <c r="AQ52" s="16"/>
      <c r="AR52" s="47"/>
      <c r="AS52" s="47"/>
      <c r="BD52" s="34"/>
      <c r="BE52" s="34"/>
      <c r="BF52" s="34"/>
      <c r="BG52" s="34"/>
      <c r="BH52" s="34"/>
      <c r="BI52" s="34"/>
      <c r="BJ52" s="53"/>
      <c r="BK52" s="55"/>
    </row>
    <row r="53" spans="1:63">
      <c r="A53" s="24">
        <v>40178</v>
      </c>
      <c r="B53" s="27">
        <v>13329.5</v>
      </c>
      <c r="C53" s="32">
        <f t="shared" si="4"/>
        <v>4.3490069876329605E-3</v>
      </c>
      <c r="D53" s="26">
        <f t="shared" si="1"/>
        <v>121.69569639391081</v>
      </c>
      <c r="E53" s="26"/>
      <c r="F53" s="26"/>
      <c r="AC53" s="49" t="s">
        <v>36</v>
      </c>
      <c r="AD53" s="50" t="s">
        <v>37</v>
      </c>
      <c r="AE53" s="50" t="s">
        <v>4</v>
      </c>
      <c r="AF53" s="50" t="s">
        <v>5</v>
      </c>
      <c r="AG53" s="50" t="s">
        <v>6</v>
      </c>
      <c r="AH53" s="50" t="s">
        <v>7</v>
      </c>
      <c r="AI53" s="50" t="s">
        <v>8</v>
      </c>
      <c r="AJ53" s="50" t="s">
        <v>9</v>
      </c>
      <c r="AK53" s="50" t="s">
        <v>10</v>
      </c>
      <c r="AL53" s="50" t="s">
        <v>11</v>
      </c>
      <c r="AM53" s="50" t="s">
        <v>12</v>
      </c>
      <c r="AN53" s="50" t="s">
        <v>13</v>
      </c>
      <c r="AO53" s="50" t="s">
        <v>14</v>
      </c>
      <c r="AP53" s="50" t="s">
        <v>15</v>
      </c>
      <c r="AQ53" s="50" t="s">
        <v>16</v>
      </c>
      <c r="AR53" s="47"/>
      <c r="AS53" s="47"/>
    </row>
    <row r="54" spans="1:63">
      <c r="A54" s="24">
        <v>40207</v>
      </c>
      <c r="B54" s="27">
        <v>13334.25</v>
      </c>
      <c r="C54" s="32">
        <f t="shared" si="4"/>
        <v>4.4236856027135181E-3</v>
      </c>
      <c r="D54" s="26">
        <f t="shared" si="1"/>
        <v>121.73906295363706</v>
      </c>
      <c r="E54" s="26"/>
      <c r="F54" s="26"/>
      <c r="AC54" s="60">
        <f>+AD12</f>
        <v>2016</v>
      </c>
      <c r="AD54" s="60" t="s">
        <v>3</v>
      </c>
      <c r="AE54" s="69"/>
      <c r="AF54" s="69"/>
      <c r="AG54" s="69"/>
      <c r="AH54" s="69"/>
      <c r="AI54" s="69"/>
      <c r="AJ54" s="69"/>
      <c r="AK54" s="69"/>
      <c r="AL54" s="69"/>
      <c r="AM54" s="69"/>
      <c r="AN54" s="69"/>
      <c r="AO54" s="69"/>
      <c r="AP54" s="69"/>
      <c r="AQ54" s="68"/>
      <c r="AR54" s="16"/>
      <c r="AS54" s="16"/>
    </row>
    <row r="55" spans="1:63">
      <c r="A55" s="24">
        <v>40235</v>
      </c>
      <c r="B55" s="27">
        <v>13338.53</v>
      </c>
      <c r="C55" s="32">
        <f t="shared" si="4"/>
        <v>4.1268591355768181E-3</v>
      </c>
      <c r="D55" s="26">
        <f t="shared" si="1"/>
        <v>121.77813850640091</v>
      </c>
      <c r="E55" s="26"/>
      <c r="F55" s="26"/>
      <c r="AC55" s="60">
        <f>+AD13</f>
        <v>2017</v>
      </c>
      <c r="AD55" s="52" t="s">
        <v>3</v>
      </c>
      <c r="AE55" s="70"/>
      <c r="AF55" s="70"/>
      <c r="AG55" s="70"/>
      <c r="AH55" s="70"/>
      <c r="AI55" s="70"/>
      <c r="AJ55" s="70"/>
      <c r="AK55" s="70"/>
      <c r="AL55" s="70"/>
      <c r="AM55" s="70"/>
      <c r="AN55" s="70"/>
      <c r="AO55" s="70"/>
      <c r="AP55" s="70"/>
      <c r="AQ55" s="71"/>
      <c r="AR55" s="16"/>
      <c r="AS55" s="16"/>
    </row>
    <row r="56" spans="1:63">
      <c r="A56" s="24">
        <v>40268</v>
      </c>
      <c r="B56" s="27">
        <v>13343.79</v>
      </c>
      <c r="C56" s="32">
        <f t="shared" si="4"/>
        <v>4.3019596748542195E-3</v>
      </c>
      <c r="D56" s="26">
        <f t="shared" si="1"/>
        <v>121.82616126517148</v>
      </c>
      <c r="E56" s="26"/>
      <c r="F56" s="26"/>
      <c r="AC56" s="60">
        <f>+AD14</f>
        <v>2018</v>
      </c>
      <c r="AD56" s="60" t="s">
        <v>3</v>
      </c>
      <c r="AE56" s="69"/>
      <c r="AF56" s="69"/>
      <c r="AG56" s="69"/>
      <c r="AH56" s="69"/>
      <c r="AI56" s="69"/>
      <c r="AJ56" s="69"/>
      <c r="AK56" s="69"/>
      <c r="AL56" s="69"/>
      <c r="AM56" s="69"/>
      <c r="AN56" s="69"/>
      <c r="AO56" s="69"/>
      <c r="AP56" s="69"/>
      <c r="AQ56" s="68"/>
      <c r="AR56" s="47"/>
      <c r="AS56" s="16"/>
    </row>
    <row r="57" spans="1:63">
      <c r="A57" s="24">
        <v>40298</v>
      </c>
      <c r="B57" s="27">
        <v>13348.63</v>
      </c>
      <c r="C57" s="32">
        <f t="shared" si="4"/>
        <v>4.3525864840487927E-3</v>
      </c>
      <c r="D57" s="26">
        <f t="shared" si="1"/>
        <v>121.87034950708198</v>
      </c>
      <c r="E57" s="26"/>
      <c r="F57" s="26"/>
      <c r="AC57" s="60">
        <f>+AD15</f>
        <v>2019</v>
      </c>
      <c r="AD57" s="52" t="s">
        <v>3</v>
      </c>
      <c r="AE57" s="70"/>
      <c r="AF57" s="70"/>
      <c r="AG57" s="70"/>
      <c r="AH57" s="70"/>
      <c r="AI57" s="70"/>
      <c r="AJ57" s="70"/>
      <c r="AK57" s="70"/>
      <c r="AL57" s="70"/>
      <c r="AM57" s="70"/>
      <c r="AN57" s="70"/>
      <c r="AO57" s="70"/>
      <c r="AP57" s="70"/>
      <c r="AQ57" s="71"/>
      <c r="AR57" s="47"/>
      <c r="AS57" s="16"/>
    </row>
    <row r="58" spans="1:63">
      <c r="A58" s="24">
        <v>40329</v>
      </c>
      <c r="B58" s="27">
        <v>13353.5</v>
      </c>
      <c r="C58" s="32">
        <f t="shared" si="4"/>
        <v>4.2367522891621186E-3</v>
      </c>
      <c r="D58" s="26">
        <f t="shared" si="1"/>
        <v>121.91481164305395</v>
      </c>
      <c r="E58" s="26"/>
      <c r="F58" s="26"/>
      <c r="AC58" s="60">
        <v>2020</v>
      </c>
      <c r="AD58" s="52" t="s">
        <v>3</v>
      </c>
      <c r="AE58" s="70"/>
      <c r="AF58" s="70"/>
      <c r="AG58" s="70"/>
      <c r="AH58" s="70"/>
      <c r="AI58" s="70"/>
      <c r="AJ58" s="70"/>
      <c r="AK58" s="70"/>
      <c r="AL58" s="70"/>
      <c r="AM58" s="70"/>
      <c r="AN58" s="70"/>
      <c r="AO58" s="70"/>
      <c r="AP58" s="70"/>
      <c r="AQ58" s="71"/>
      <c r="AR58" s="47"/>
      <c r="AS58" s="16"/>
    </row>
    <row r="59" spans="1:63">
      <c r="A59" s="24">
        <v>40359</v>
      </c>
      <c r="B59" s="27">
        <v>13360.9</v>
      </c>
      <c r="C59" s="32">
        <f t="shared" si="4"/>
        <v>6.6499419627819023E-3</v>
      </c>
      <c r="D59" s="26">
        <f t="shared" si="1"/>
        <v>121.98237217820645</v>
      </c>
      <c r="E59" s="26"/>
      <c r="F59" s="26"/>
      <c r="AC59" s="108">
        <v>2017</v>
      </c>
      <c r="AD59" s="60" t="s">
        <v>25</v>
      </c>
      <c r="AE59" s="61"/>
      <c r="AF59" s="61"/>
      <c r="AG59" s="61"/>
      <c r="AH59" s="61"/>
      <c r="AI59" s="66"/>
      <c r="AJ59" s="66"/>
      <c r="AK59" s="66"/>
      <c r="AL59" s="66"/>
      <c r="AM59" s="66"/>
      <c r="AN59" s="66"/>
      <c r="AO59" s="66"/>
      <c r="AP59" s="66"/>
      <c r="AQ59" s="62"/>
      <c r="AR59" s="47"/>
      <c r="AS59" s="16"/>
    </row>
    <row r="60" spans="1:63">
      <c r="A60" s="24">
        <v>40389</v>
      </c>
      <c r="B60" s="27">
        <v>13373.99</v>
      </c>
      <c r="C60" s="32">
        <f t="shared" si="4"/>
        <v>1.1756693037146883E-2</v>
      </c>
      <c r="D60" s="26">
        <f t="shared" si="1"/>
        <v>122.10188128700995</v>
      </c>
      <c r="E60" s="26"/>
      <c r="F60" s="26"/>
      <c r="AC60" s="108"/>
      <c r="AD60" s="60" t="s">
        <v>26</v>
      </c>
      <c r="AE60" s="61"/>
      <c r="AF60" s="61"/>
      <c r="AG60" s="61"/>
      <c r="AH60" s="61"/>
      <c r="AI60" s="66"/>
      <c r="AJ60" s="66"/>
      <c r="AK60" s="66"/>
      <c r="AL60" s="66"/>
      <c r="AM60" s="66"/>
      <c r="AN60" s="66"/>
      <c r="AO60" s="66"/>
      <c r="AP60" s="66"/>
      <c r="AQ60" s="62"/>
      <c r="AR60" s="54"/>
      <c r="AS60" s="16"/>
    </row>
    <row r="61" spans="1:63">
      <c r="A61" s="24">
        <v>40421</v>
      </c>
      <c r="B61" s="27">
        <v>13395.21</v>
      </c>
      <c r="C61" s="32">
        <f t="shared" si="4"/>
        <v>1.7849946052000965E-2</v>
      </c>
      <c r="D61" s="26">
        <f t="shared" si="1"/>
        <v>122.29561568646068</v>
      </c>
      <c r="E61" s="26"/>
      <c r="F61" s="26"/>
      <c r="AC61" s="110">
        <v>2018</v>
      </c>
      <c r="AD61" s="52" t="s">
        <v>25</v>
      </c>
      <c r="AE61" s="65"/>
      <c r="AF61" s="65"/>
      <c r="AG61" s="65"/>
      <c r="AH61" s="65"/>
      <c r="AI61" s="65"/>
      <c r="AJ61" s="65"/>
      <c r="AK61" s="65"/>
      <c r="AL61" s="65"/>
      <c r="AM61" s="65"/>
      <c r="AN61" s="65"/>
      <c r="AO61" s="65"/>
      <c r="AP61" s="65"/>
      <c r="AQ61" s="51"/>
      <c r="AR61" s="54"/>
      <c r="AS61" s="16"/>
    </row>
    <row r="62" spans="1:63">
      <c r="A62" s="24">
        <v>40451</v>
      </c>
      <c r="B62" s="27">
        <v>13419.79</v>
      </c>
      <c r="C62" s="32">
        <f t="shared" si="4"/>
        <v>2.2019811559507833E-2</v>
      </c>
      <c r="D62" s="26">
        <f t="shared" si="1"/>
        <v>122.52002622079149</v>
      </c>
      <c r="E62" s="26"/>
      <c r="F62" s="26"/>
      <c r="AC62" s="110"/>
      <c r="AD62" s="60" t="s">
        <v>26</v>
      </c>
      <c r="AE62" s="65"/>
      <c r="AF62" s="65"/>
      <c r="AG62" s="65"/>
      <c r="AH62" s="65"/>
      <c r="AI62" s="65"/>
      <c r="AJ62" s="65"/>
      <c r="AK62" s="65"/>
      <c r="AL62" s="65"/>
      <c r="AM62" s="65"/>
      <c r="AN62" s="65"/>
      <c r="AO62" s="65"/>
      <c r="AP62" s="65"/>
      <c r="AQ62" s="51"/>
      <c r="AR62" s="54"/>
      <c r="AS62" s="16"/>
    </row>
    <row r="63" spans="1:63">
      <c r="A63" s="24">
        <v>40480</v>
      </c>
      <c r="B63" s="27">
        <v>13448.69</v>
      </c>
      <c r="C63" s="32">
        <f t="shared" si="4"/>
        <v>2.6733549533162513E-2</v>
      </c>
      <c r="D63" s="26">
        <f t="shared" si="1"/>
        <v>122.78387749996807</v>
      </c>
      <c r="E63" s="26"/>
      <c r="F63" s="26"/>
      <c r="AC63" s="108">
        <v>2019</v>
      </c>
      <c r="AD63" s="60" t="s">
        <v>25</v>
      </c>
      <c r="AE63" s="61"/>
      <c r="AF63" s="61"/>
      <c r="AG63" s="61"/>
      <c r="AH63" s="61"/>
      <c r="AI63" s="61"/>
      <c r="AJ63" s="61"/>
      <c r="AK63" s="61"/>
      <c r="AL63" s="61"/>
      <c r="AM63" s="61"/>
      <c r="AN63" s="61"/>
      <c r="AO63" s="61"/>
      <c r="AP63" s="61"/>
      <c r="AQ63" s="68"/>
      <c r="AR63" s="16"/>
      <c r="AS63" s="16"/>
    </row>
    <row r="64" spans="1:63">
      <c r="A64" s="24">
        <v>40512</v>
      </c>
      <c r="B64" s="27">
        <v>13483.02</v>
      </c>
      <c r="C64" s="32">
        <f t="shared" si="4"/>
        <v>2.8717481033468939E-2</v>
      </c>
      <c r="D64" s="26">
        <f t="shared" si="1"/>
        <v>123.09730360426326</v>
      </c>
      <c r="E64" s="26"/>
      <c r="F64" s="26"/>
      <c r="AC64" s="108"/>
      <c r="AD64" s="60" t="s">
        <v>26</v>
      </c>
      <c r="AE64" s="61"/>
      <c r="AF64" s="61"/>
      <c r="AG64" s="61"/>
      <c r="AH64" s="61"/>
      <c r="AI64" s="61"/>
      <c r="AJ64" s="61"/>
      <c r="AK64" s="61"/>
      <c r="AL64" s="61"/>
      <c r="AM64" s="61"/>
      <c r="AN64" s="61"/>
      <c r="AO64" s="61"/>
      <c r="AP64" s="61"/>
      <c r="AQ64" s="62"/>
      <c r="AR64" s="16"/>
      <c r="AS64" s="47"/>
    </row>
    <row r="65" spans="1:54">
      <c r="A65" s="24">
        <v>40543</v>
      </c>
      <c r="B65" s="27">
        <v>13522.93</v>
      </c>
      <c r="C65" s="32">
        <f t="shared" si="4"/>
        <v>3.4374418175004612E-2</v>
      </c>
      <c r="D65" s="26">
        <f t="shared" si="1"/>
        <v>123.46167400398424</v>
      </c>
      <c r="E65" s="26"/>
      <c r="F65" s="26"/>
      <c r="AC65" s="108">
        <v>2020</v>
      </c>
      <c r="AD65" s="60" t="s">
        <v>25</v>
      </c>
      <c r="AE65" s="61"/>
      <c r="AF65" s="61"/>
      <c r="AG65" s="61"/>
      <c r="AH65" s="61"/>
      <c r="AI65" s="61"/>
      <c r="AJ65" s="61"/>
      <c r="AK65" s="61"/>
      <c r="AL65" s="61"/>
      <c r="AM65" s="61"/>
      <c r="AN65" s="61"/>
      <c r="AO65" s="61"/>
      <c r="AP65" s="61"/>
      <c r="AQ65" s="68"/>
      <c r="AR65" s="16"/>
      <c r="AS65" s="47"/>
      <c r="AW65" s="11"/>
      <c r="AX65" s="11"/>
      <c r="AY65" s="11"/>
      <c r="AZ65" s="11"/>
      <c r="BA65" s="11"/>
      <c r="BB65" s="11"/>
    </row>
    <row r="66" spans="1:54">
      <c r="A66" s="24">
        <v>40574</v>
      </c>
      <c r="B66" s="27">
        <v>13557.12</v>
      </c>
      <c r="C66" s="32">
        <f t="shared" si="4"/>
        <v>2.9360882685210581E-2</v>
      </c>
      <c r="D66" s="26">
        <f t="shared" si="1"/>
        <v>123.7738219359928</v>
      </c>
      <c r="E66" s="26"/>
      <c r="F66" s="26"/>
      <c r="AC66" s="108"/>
      <c r="AD66" s="60" t="s">
        <v>26</v>
      </c>
      <c r="AE66" s="61"/>
      <c r="AF66" s="61"/>
      <c r="AG66" s="61"/>
      <c r="AH66" s="61"/>
      <c r="AI66" s="61"/>
      <c r="AJ66" s="61"/>
      <c r="AK66" s="61"/>
      <c r="AL66" s="61"/>
      <c r="AM66" s="61"/>
      <c r="AN66" s="61"/>
      <c r="AO66" s="61"/>
      <c r="AP66" s="61"/>
      <c r="AQ66" s="62"/>
      <c r="AR66" s="54"/>
      <c r="AS66" s="47"/>
      <c r="AV66" s="11"/>
      <c r="AW66" s="11"/>
      <c r="AX66" s="11"/>
      <c r="AY66" s="11"/>
      <c r="AZ66" s="11"/>
      <c r="BA66" s="11"/>
      <c r="BB66" s="11"/>
    </row>
    <row r="67" spans="1:54" s="11" customFormat="1">
      <c r="A67" s="24">
        <v>40602</v>
      </c>
      <c r="B67" s="27">
        <v>13592.3</v>
      </c>
      <c r="C67" s="32">
        <f t="shared" si="4"/>
        <v>3.3363596819551776E-2</v>
      </c>
      <c r="D67" s="26">
        <f t="shared" si="1"/>
        <v>124.09500837202847</v>
      </c>
      <c r="E67" s="26"/>
      <c r="F67" s="26"/>
      <c r="I67" s="12"/>
      <c r="N67" s="10"/>
      <c r="O67" s="10"/>
      <c r="P67" s="10"/>
      <c r="Q67" s="10"/>
      <c r="R67" s="10"/>
      <c r="S67" s="10"/>
      <c r="T67" s="10"/>
      <c r="U67" s="10"/>
      <c r="V67" s="10"/>
      <c r="W67" s="10"/>
      <c r="X67" s="10"/>
      <c r="Y67" s="10"/>
      <c r="Z67" s="10"/>
      <c r="AA67" s="10"/>
      <c r="AB67" s="10"/>
      <c r="AC67" s="10"/>
      <c r="AD67" s="10" t="s">
        <v>3</v>
      </c>
      <c r="AE67" s="72"/>
      <c r="AF67" s="72"/>
      <c r="AG67" s="72"/>
      <c r="AH67" s="72"/>
      <c r="AI67" s="72"/>
      <c r="AJ67" s="72"/>
      <c r="AK67" s="72"/>
      <c r="AL67" s="72"/>
      <c r="AM67" s="72"/>
      <c r="AN67" s="72"/>
      <c r="AO67" s="72"/>
      <c r="AP67" s="72"/>
      <c r="AQ67" s="72"/>
      <c r="AR67" s="54"/>
      <c r="AS67" s="47"/>
      <c r="AT67" s="10"/>
    </row>
    <row r="68" spans="1:54" s="11" customFormat="1">
      <c r="A68" s="24">
        <v>40633</v>
      </c>
      <c r="B68" s="27">
        <v>13635.91</v>
      </c>
      <c r="C68" s="32">
        <f t="shared" si="4"/>
        <v>3.7259235720033625E-2</v>
      </c>
      <c r="D68" s="26">
        <f t="shared" si="1"/>
        <v>124.49315903932572</v>
      </c>
      <c r="E68" s="26"/>
      <c r="F68" s="26"/>
      <c r="I68" s="12"/>
      <c r="N68" s="10"/>
      <c r="O68" s="10"/>
      <c r="P68" s="10"/>
      <c r="Q68" s="10"/>
      <c r="R68" s="10"/>
      <c r="S68" s="10"/>
      <c r="T68" s="10"/>
      <c r="U68" s="10"/>
      <c r="V68" s="10"/>
      <c r="W68" s="10"/>
      <c r="X68" s="10"/>
      <c r="Y68" s="10"/>
      <c r="Z68" s="10"/>
      <c r="AA68" s="10"/>
      <c r="AB68" s="10"/>
      <c r="AC68" s="108">
        <v>2021</v>
      </c>
      <c r="AD68" s="60" t="s">
        <v>25</v>
      </c>
      <c r="AE68" s="72"/>
      <c r="AF68" s="72"/>
      <c r="AG68" s="72"/>
      <c r="AH68" s="72"/>
      <c r="AI68" s="72"/>
      <c r="AJ68" s="72"/>
      <c r="AK68" s="72"/>
      <c r="AL68" s="72"/>
      <c r="AM68" s="72"/>
      <c r="AN68" s="72"/>
      <c r="AO68" s="72"/>
      <c r="AP68" s="72"/>
      <c r="AQ68" s="72"/>
      <c r="AR68" s="54"/>
      <c r="AS68" s="47"/>
    </row>
    <row r="69" spans="1:54" s="11" customFormat="1">
      <c r="A69" s="24">
        <v>40662</v>
      </c>
      <c r="B69" s="27">
        <v>13682.94</v>
      </c>
      <c r="C69" s="32">
        <f t="shared" si="4"/>
        <v>4.2814941551768869E-2</v>
      </c>
      <c r="D69" s="26">
        <f t="shared" ref="D69:D131" si="37">B69/$B$3*100</f>
        <v>124.92253362962586</v>
      </c>
      <c r="E69" s="26"/>
      <c r="F69" s="26"/>
      <c r="I69" s="12"/>
      <c r="N69" s="10"/>
      <c r="O69" s="10"/>
      <c r="P69" s="10"/>
      <c r="Q69" s="10"/>
      <c r="R69" s="10"/>
      <c r="S69" s="10"/>
      <c r="T69" s="10"/>
      <c r="U69" s="10"/>
      <c r="V69" s="10"/>
      <c r="W69" s="10"/>
      <c r="X69" s="10"/>
      <c r="Y69" s="10"/>
      <c r="Z69" s="10"/>
      <c r="AA69" s="10"/>
      <c r="AB69" s="10"/>
      <c r="AC69" s="108"/>
      <c r="AD69" s="60" t="s">
        <v>26</v>
      </c>
      <c r="AE69" s="72"/>
      <c r="AF69" s="72"/>
      <c r="AG69" s="72"/>
      <c r="AH69" s="72"/>
      <c r="AI69" s="72"/>
      <c r="AJ69" s="72"/>
      <c r="AK69" s="72"/>
      <c r="AL69" s="72"/>
      <c r="AM69" s="72"/>
      <c r="AN69" s="72"/>
      <c r="AO69" s="72"/>
      <c r="AP69" s="72"/>
      <c r="AQ69" s="72"/>
      <c r="AR69" s="54"/>
      <c r="AS69" s="47"/>
    </row>
    <row r="70" spans="1:54" s="11" customFormat="1">
      <c r="A70" s="24">
        <v>40694</v>
      </c>
      <c r="B70" s="27">
        <v>13741.06</v>
      </c>
      <c r="C70" s="32">
        <f t="shared" ref="C70:C133" si="38">(B70/B69-1)/(A70-A69)*360</f>
        <v>4.7785782879994632E-2</v>
      </c>
      <c r="D70" s="26">
        <f t="shared" si="37"/>
        <v>125.45315772463421</v>
      </c>
      <c r="E70" s="26"/>
      <c r="F70" s="26"/>
      <c r="I70" s="12"/>
      <c r="O70" s="10"/>
      <c r="P70" s="10"/>
      <c r="Q70" s="10"/>
      <c r="R70" s="10"/>
      <c r="S70" s="10"/>
      <c r="T70" s="10"/>
      <c r="U70" s="10"/>
      <c r="V70" s="10"/>
      <c r="W70" s="10"/>
      <c r="X70" s="10"/>
      <c r="Y70" s="10"/>
      <c r="Z70" s="10"/>
      <c r="AA70" s="10"/>
      <c r="AB70" s="10"/>
      <c r="AC70" s="10"/>
      <c r="AD70" s="10" t="s">
        <v>3</v>
      </c>
      <c r="AE70" s="72"/>
      <c r="AF70" s="72"/>
      <c r="AG70" s="72"/>
      <c r="AH70" s="72"/>
      <c r="AI70" s="72"/>
      <c r="AJ70" s="72"/>
      <c r="AK70" s="72"/>
      <c r="AL70" s="72"/>
      <c r="AM70" s="72"/>
      <c r="AN70" s="72"/>
      <c r="AO70" s="72"/>
      <c r="AP70" s="72"/>
      <c r="AQ70" s="72"/>
      <c r="AR70" s="54"/>
      <c r="AS70" s="47"/>
    </row>
    <row r="71" spans="1:54" s="11" customFormat="1">
      <c r="A71" s="24">
        <v>40724</v>
      </c>
      <c r="B71" s="27">
        <v>13799.74</v>
      </c>
      <c r="C71" s="32">
        <f t="shared" si="38"/>
        <v>5.1244954901587647E-2</v>
      </c>
      <c r="D71" s="26">
        <f t="shared" si="37"/>
        <v>125.98889450878927</v>
      </c>
      <c r="E71" s="26"/>
      <c r="F71" s="26"/>
      <c r="I71" s="12"/>
      <c r="O71" s="10"/>
      <c r="P71" s="10"/>
      <c r="Q71" s="10"/>
      <c r="R71" s="10"/>
      <c r="S71" s="10"/>
      <c r="T71" s="10"/>
      <c r="U71" s="10"/>
      <c r="V71" s="10"/>
      <c r="W71" s="10"/>
      <c r="X71" s="10"/>
      <c r="Y71" s="10"/>
      <c r="Z71" s="10"/>
      <c r="AA71" s="10"/>
      <c r="AB71" s="10"/>
      <c r="AC71" s="108">
        <v>2022</v>
      </c>
      <c r="AD71" s="60" t="s">
        <v>25</v>
      </c>
      <c r="AE71" s="72"/>
      <c r="AF71" s="72"/>
      <c r="AG71" s="72"/>
      <c r="AH71" s="72"/>
      <c r="AI71" s="72"/>
      <c r="AJ71" s="72"/>
      <c r="AK71" s="72"/>
      <c r="AL71" s="72"/>
      <c r="AM71" s="72"/>
      <c r="AN71" s="72"/>
      <c r="AO71" s="72"/>
      <c r="AP71" s="72"/>
      <c r="AQ71" s="72"/>
      <c r="AR71" s="54" t="s">
        <v>23</v>
      </c>
      <c r="AS71" s="16"/>
    </row>
    <row r="72" spans="1:54" s="11" customFormat="1">
      <c r="A72" s="24">
        <v>40753</v>
      </c>
      <c r="B72" s="27">
        <v>13858.14</v>
      </c>
      <c r="C72" s="32">
        <f t="shared" si="38"/>
        <v>5.2534722918067114E-2</v>
      </c>
      <c r="D72" s="26">
        <f t="shared" si="37"/>
        <v>126.52207494837097</v>
      </c>
      <c r="E72" s="26"/>
      <c r="F72" s="26"/>
      <c r="I72" s="12"/>
      <c r="O72" s="10"/>
      <c r="P72" s="10"/>
      <c r="Q72" s="10"/>
      <c r="R72" s="10"/>
      <c r="S72" s="10"/>
      <c r="T72" s="10"/>
      <c r="U72" s="10"/>
      <c r="V72" s="10"/>
      <c r="W72" s="10"/>
      <c r="X72" s="10"/>
      <c r="Y72" s="10"/>
      <c r="Z72" s="10"/>
      <c r="AA72" s="10"/>
      <c r="AB72" s="10"/>
      <c r="AC72" s="108"/>
      <c r="AD72" s="60" t="s">
        <v>26</v>
      </c>
      <c r="AE72" s="72"/>
      <c r="AF72" s="72"/>
      <c r="AG72" s="72"/>
      <c r="AH72" s="72"/>
      <c r="AI72" s="72"/>
      <c r="AJ72" s="72"/>
      <c r="AK72" s="72"/>
      <c r="AL72" s="72"/>
      <c r="AM72" s="72"/>
      <c r="AN72" s="72"/>
      <c r="AO72" s="72"/>
      <c r="AP72" s="72"/>
      <c r="AQ72" s="72"/>
      <c r="AR72" s="54"/>
      <c r="AS72" s="16"/>
    </row>
    <row r="73" spans="1:54" s="11" customFormat="1">
      <c r="A73" s="24">
        <v>40786</v>
      </c>
      <c r="B73" s="27">
        <v>13925.03</v>
      </c>
      <c r="C73" s="32">
        <f t="shared" si="38"/>
        <v>5.2655629897598158E-2</v>
      </c>
      <c r="D73" s="26">
        <f t="shared" si="37"/>
        <v>127.13276740733707</v>
      </c>
      <c r="E73" s="26"/>
      <c r="F73" s="26"/>
      <c r="I73" s="12"/>
      <c r="O73" s="10"/>
      <c r="P73" s="10"/>
      <c r="Q73" s="10"/>
      <c r="R73" s="10"/>
      <c r="S73" s="10"/>
      <c r="T73" s="10"/>
      <c r="U73" s="10"/>
      <c r="V73" s="10"/>
      <c r="W73" s="10"/>
      <c r="X73" s="10"/>
      <c r="Y73" s="10"/>
      <c r="Z73" s="10"/>
      <c r="AA73" s="10"/>
      <c r="AB73" s="10"/>
      <c r="AC73" s="10"/>
      <c r="AD73" s="10" t="s">
        <v>3</v>
      </c>
      <c r="AE73" s="72"/>
      <c r="AF73" s="72"/>
      <c r="AG73" s="72"/>
      <c r="AH73" s="72"/>
      <c r="AI73" s="72"/>
      <c r="AJ73" s="72"/>
      <c r="AK73" s="72"/>
      <c r="AL73" s="72"/>
      <c r="AM73" s="72"/>
      <c r="AN73" s="72"/>
      <c r="AO73" s="72"/>
      <c r="AP73" s="72"/>
      <c r="AQ73" s="72"/>
      <c r="AR73" s="16"/>
      <c r="AS73" s="10"/>
    </row>
    <row r="74" spans="1:54" s="11" customFormat="1">
      <c r="A74" s="24">
        <v>40816</v>
      </c>
      <c r="B74" s="27">
        <v>13985.97</v>
      </c>
      <c r="C74" s="32">
        <f t="shared" si="38"/>
        <v>5.2515506250254695E-2</v>
      </c>
      <c r="D74" s="26">
        <f t="shared" si="37"/>
        <v>127.68913754411977</v>
      </c>
      <c r="E74" s="26"/>
      <c r="F74" s="26"/>
      <c r="I74" s="12"/>
      <c r="O74" s="10"/>
      <c r="P74" s="10"/>
      <c r="Q74" s="10"/>
      <c r="R74" s="10"/>
      <c r="S74" s="10"/>
      <c r="T74" s="10"/>
      <c r="U74" s="10"/>
      <c r="V74" s="10"/>
      <c r="W74" s="10"/>
      <c r="X74" s="10"/>
      <c r="Y74" s="10"/>
      <c r="Z74" s="10"/>
      <c r="AA74" s="10"/>
      <c r="AC74" s="108">
        <v>2023</v>
      </c>
      <c r="AD74" s="60" t="s">
        <v>25</v>
      </c>
      <c r="AE74" s="72"/>
      <c r="AF74" s="72"/>
      <c r="AG74" s="72"/>
      <c r="AH74" s="72"/>
      <c r="AI74" s="72"/>
      <c r="AJ74" s="72"/>
      <c r="AK74" s="72"/>
      <c r="AL74" s="72"/>
      <c r="AM74" s="72"/>
      <c r="AN74" s="72"/>
      <c r="AO74" s="72"/>
      <c r="AP74" s="72"/>
      <c r="AQ74" s="72"/>
      <c r="AR74" s="16"/>
      <c r="AS74" s="10"/>
    </row>
    <row r="75" spans="1:54" s="11" customFormat="1">
      <c r="A75" s="24">
        <v>40847</v>
      </c>
      <c r="B75" s="27">
        <v>14043.21</v>
      </c>
      <c r="C75" s="32">
        <f t="shared" si="38"/>
        <v>4.7527813991103021E-2</v>
      </c>
      <c r="D75" s="26">
        <f t="shared" si="37"/>
        <v>128.21172741332623</v>
      </c>
      <c r="E75" s="26"/>
      <c r="F75" s="26"/>
      <c r="I75" s="12"/>
      <c r="O75" s="10"/>
      <c r="P75" s="10"/>
      <c r="Q75" s="10"/>
      <c r="R75" s="10"/>
      <c r="S75" s="10"/>
      <c r="T75" s="10"/>
      <c r="U75" s="10"/>
      <c r="V75" s="10"/>
      <c r="W75" s="10"/>
      <c r="X75" s="10"/>
      <c r="Y75" s="10"/>
      <c r="Z75" s="10"/>
      <c r="AA75" s="10"/>
      <c r="AC75" s="108"/>
      <c r="AD75" s="60" t="s">
        <v>26</v>
      </c>
      <c r="AE75" s="72"/>
      <c r="AF75" s="72">
        <f t="shared" ref="AF75:AQ75" si="39">+AF34</f>
        <v>1.9285714285715017E-2</v>
      </c>
      <c r="AG75" s="72">
        <f t="shared" si="39"/>
        <v>3.942473386693935E-2</v>
      </c>
      <c r="AH75" s="72">
        <f t="shared" si="39"/>
        <v>4.9898355202366212E-2</v>
      </c>
      <c r="AI75" s="72">
        <f t="shared" si="39"/>
        <v>5.1906856030569611E-2</v>
      </c>
      <c r="AJ75" s="72">
        <f t="shared" si="39"/>
        <v>4.4988161010261152E-2</v>
      </c>
      <c r="AK75" s="72">
        <f t="shared" si="39"/>
        <v>5.4788613607106226E-2</v>
      </c>
      <c r="AL75" s="72">
        <f t="shared" si="39"/>
        <v>5.6803478897506345E-2</v>
      </c>
      <c r="AM75" s="72">
        <f t="shared" si="39"/>
        <v>5.7242990654206238E-2</v>
      </c>
      <c r="AN75" s="72">
        <f t="shared" si="39"/>
        <v>6.0759303768390782E-2</v>
      </c>
      <c r="AO75" s="72">
        <f t="shared" si="39"/>
        <v>5.4361445783132289E-2</v>
      </c>
      <c r="AP75" s="72">
        <f t="shared" si="39"/>
        <v>5.2370605604767625E-2</v>
      </c>
      <c r="AQ75" s="72">
        <f t="shared" si="39"/>
        <v>4.6899999999999942E-2</v>
      </c>
      <c r="AR75" s="10"/>
      <c r="AS75" s="10"/>
    </row>
    <row r="76" spans="1:54" s="11" customFormat="1">
      <c r="A76" s="24">
        <v>40877</v>
      </c>
      <c r="B76" s="27">
        <v>14110.87</v>
      </c>
      <c r="C76" s="32">
        <f t="shared" si="38"/>
        <v>5.7815841249970745E-2</v>
      </c>
      <c r="D76" s="26">
        <f t="shared" si="37"/>
        <v>128.82944981986901</v>
      </c>
      <c r="E76" s="26"/>
      <c r="F76" s="26"/>
      <c r="I76" s="12"/>
      <c r="AC76" s="108">
        <v>2024</v>
      </c>
      <c r="AD76" s="60" t="s">
        <v>25</v>
      </c>
      <c r="AE76" s="72">
        <f t="shared" ref="AE76:AQ76" si="40">+AE47</f>
        <v>4.4545496313381353E-2</v>
      </c>
      <c r="AF76" s="72">
        <f t="shared" si="40"/>
        <v>4.3686281887614267E-2</v>
      </c>
      <c r="AG76" s="72">
        <f t="shared" si="40"/>
        <v>3.8884481610188967E-2</v>
      </c>
      <c r="AH76" s="72">
        <f t="shared" si="40"/>
        <v>4.7086385624311333E-2</v>
      </c>
      <c r="AI76" s="72">
        <f t="shared" si="40"/>
        <v>4.2544316765445692E-2</v>
      </c>
      <c r="AJ76" s="72">
        <f t="shared" si="40"/>
        <v>4.2518892012331833E-2</v>
      </c>
      <c r="AK76" s="72">
        <f t="shared" si="40"/>
        <v>4.2210544331228068E-2</v>
      </c>
      <c r="AL76" s="72">
        <f t="shared" si="40"/>
        <v>4.2490857048972694E-2</v>
      </c>
      <c r="AM76" s="72">
        <f t="shared" si="40"/>
        <v>4.0835600722048504E-2</v>
      </c>
      <c r="AN76" s="72">
        <f t="shared" si="40"/>
        <v>3.9471501860971661E-2</v>
      </c>
      <c r="AO76" s="72">
        <f t="shared" si="40"/>
        <v>3.7641499943658729E-2</v>
      </c>
      <c r="AP76" s="72">
        <f t="shared" si="40"/>
        <v>3.6882308624910591E-2</v>
      </c>
      <c r="AQ76" s="72">
        <f t="shared" si="40"/>
        <v>4.3069671292365497E-2</v>
      </c>
      <c r="AR76" s="10"/>
      <c r="AS76" s="10"/>
    </row>
    <row r="77" spans="1:54" s="11" customFormat="1">
      <c r="A77" s="24">
        <v>40907</v>
      </c>
      <c r="B77" s="27">
        <v>14172.63</v>
      </c>
      <c r="C77" s="32">
        <f t="shared" si="38"/>
        <v>5.2521212370319148E-2</v>
      </c>
      <c r="D77" s="26">
        <f t="shared" si="37"/>
        <v>129.39330639433075</v>
      </c>
      <c r="E77" s="26"/>
      <c r="F77" s="26"/>
      <c r="I77" s="12"/>
      <c r="AC77" s="108"/>
      <c r="AD77" s="60" t="s">
        <v>26</v>
      </c>
      <c r="AE77" s="72">
        <f t="shared" ref="AE77:AQ77" si="41">+AE35</f>
        <v>5.3244756408321811E-2</v>
      </c>
      <c r="AF77" s="72">
        <f t="shared" si="41"/>
        <v>4.8394553317617738E-2</v>
      </c>
      <c r="AG77" s="72">
        <f t="shared" si="41"/>
        <v>4.399660248458722E-2</v>
      </c>
      <c r="AH77" s="72">
        <f t="shared" si="41"/>
        <v>5.5482166446497949E-2</v>
      </c>
      <c r="AI77" s="72">
        <f t="shared" si="41"/>
        <v>4.690098982902817E-2</v>
      </c>
      <c r="AJ77" s="72">
        <f t="shared" si="41"/>
        <v>5.5004677268477138E-2</v>
      </c>
      <c r="AK77" s="72">
        <f t="shared" si="41"/>
        <v>3.5685427549267956E-2</v>
      </c>
      <c r="AL77" s="72">
        <f t="shared" si="41"/>
        <v>3.8810296707114236E-2</v>
      </c>
      <c r="AM77" s="72">
        <f t="shared" si="41"/>
        <v>3.8860103626943143E-2</v>
      </c>
      <c r="AN77" s="72">
        <f t="shared" si="41"/>
        <v>4.0698176019611086E-2</v>
      </c>
      <c r="AO77" s="72">
        <f t="shared" si="41"/>
        <v>4.4113592500688803E-2</v>
      </c>
      <c r="AP77" s="72">
        <f t="shared" si="41"/>
        <v>4.3073762496416042E-2</v>
      </c>
      <c r="AQ77" s="72">
        <f t="shared" si="41"/>
        <v>4.7044359900373811E-2</v>
      </c>
      <c r="AR77" s="10"/>
      <c r="AS77" s="10"/>
    </row>
    <row r="78" spans="1:54" s="11" customFormat="1">
      <c r="A78" s="24">
        <v>40939</v>
      </c>
      <c r="B78" s="27">
        <v>14236.38</v>
      </c>
      <c r="C78" s="32">
        <f t="shared" si="38"/>
        <v>5.0603698819484955E-2</v>
      </c>
      <c r="D78" s="26">
        <f t="shared" si="37"/>
        <v>129.9753312748673</v>
      </c>
      <c r="E78" s="26"/>
      <c r="F78" s="26"/>
      <c r="I78" s="12"/>
      <c r="AC78" s="108">
        <v>2025</v>
      </c>
      <c r="AD78" s="60" t="s">
        <v>25</v>
      </c>
      <c r="AE78" s="72">
        <f>+AE48</f>
        <v>3.5823879227219982E-2</v>
      </c>
      <c r="AF78" s="72">
        <f t="shared" ref="AF78:AJ78" si="42">+AF48</f>
        <v>3.546343555297117E-2</v>
      </c>
      <c r="AG78" s="72">
        <f t="shared" si="42"/>
        <v>3.4432444314915697E-2</v>
      </c>
      <c r="AH78" s="72">
        <f t="shared" si="42"/>
        <v>3.4277425005551088E-2</v>
      </c>
      <c r="AI78" s="72">
        <f t="shared" si="42"/>
        <v>3.39513431248578E-2</v>
      </c>
      <c r="AJ78" s="72">
        <f t="shared" si="42"/>
        <v>3.4181635108931019E-2</v>
      </c>
      <c r="AK78" s="72">
        <f t="shared" ref="AK78:AL78" si="43">+AK48</f>
        <v>3.4595126301404086E-2</v>
      </c>
      <c r="AL78" s="72">
        <f t="shared" si="43"/>
        <v>3.4936616659240624E-2</v>
      </c>
      <c r="AM78" s="72">
        <f t="shared" ref="AM78:AN78" si="44">+AM48</f>
        <v>3.4918273675822675E-2</v>
      </c>
      <c r="AN78" s="72">
        <f t="shared" si="44"/>
        <v>3.4285095330797009E-2</v>
      </c>
      <c r="AO78" s="72">
        <f t="shared" ref="AO78" si="45">+AO48</f>
        <v>3.368446374492251E-2</v>
      </c>
      <c r="AP78" s="72">
        <f>+AP48</f>
        <v>3.3622048004321267E-2</v>
      </c>
      <c r="AQ78" s="72">
        <f>+AQ48</f>
        <v>3.2370378977488734E-2</v>
      </c>
      <c r="AR78" s="10"/>
      <c r="AS78" s="10"/>
    </row>
    <row r="79" spans="1:54" s="11" customFormat="1">
      <c r="A79" s="24">
        <v>40968</v>
      </c>
      <c r="B79" s="27">
        <v>14293.67</v>
      </c>
      <c r="C79" s="32">
        <f t="shared" si="38"/>
        <v>4.9955550982523203E-2</v>
      </c>
      <c r="D79" s="26">
        <f t="shared" si="37"/>
        <v>130.49837763417614</v>
      </c>
      <c r="E79" s="26"/>
      <c r="F79" s="26"/>
      <c r="I79" s="12"/>
      <c r="AC79" s="108"/>
      <c r="AD79" s="60" t="s">
        <v>26</v>
      </c>
      <c r="AE79" s="72">
        <f t="shared" ref="AE79:AQ79" si="46">+AE36</f>
        <v>4.025817858114783E-2</v>
      </c>
      <c r="AF79" s="72">
        <f t="shared" si="46"/>
        <v>4.0910922960484264E-2</v>
      </c>
      <c r="AG79" s="72">
        <f t="shared" si="46"/>
        <v>4.3149097176211057E-2</v>
      </c>
      <c r="AH79" s="72">
        <f t="shared" si="46"/>
        <v>4.5505815817270097E-2</v>
      </c>
      <c r="AI79" s="72">
        <f t="shared" si="46"/>
        <v>4.1782398892185407E-2</v>
      </c>
      <c r="AJ79" s="72">
        <f t="shared" si="46"/>
        <v>4.5171379391466537E-2</v>
      </c>
      <c r="AK79" s="72">
        <f t="shared" si="46"/>
        <v>4.7697950376459922E-2</v>
      </c>
      <c r="AL79" s="72">
        <f t="shared" si="46"/>
        <v>5.1633522654056775E-2</v>
      </c>
      <c r="AM79" s="72">
        <f t="shared" si="46"/>
        <v>4.8868986603864073E-2</v>
      </c>
      <c r="AN79" s="72">
        <f t="shared" si="46"/>
        <v>4.9148612701351457E-2</v>
      </c>
      <c r="AO79" s="72">
        <f t="shared" si="46"/>
        <v>4.7412059262541995E-2</v>
      </c>
      <c r="AP79" s="72">
        <f t="shared" si="46"/>
        <v>5.1795678082243689E-2</v>
      </c>
      <c r="AQ79" s="72">
        <f t="shared" si="46"/>
        <v>4.4183796797321317E-2</v>
      </c>
      <c r="AR79" s="10"/>
      <c r="AS79" s="10"/>
    </row>
    <row r="80" spans="1:54" s="11" customFormat="1">
      <c r="A80" s="24">
        <v>40998</v>
      </c>
      <c r="B80" s="27">
        <v>14353.34</v>
      </c>
      <c r="C80" s="32">
        <f t="shared" si="38"/>
        <v>5.0094902148992482E-2</v>
      </c>
      <c r="D80" s="26">
        <f t="shared" si="37"/>
        <v>131.04315292235836</v>
      </c>
      <c r="E80" s="26"/>
      <c r="F80" s="26"/>
      <c r="I80" s="12"/>
      <c r="AC80" s="108">
        <v>2026</v>
      </c>
      <c r="AD80" s="60" t="s">
        <v>25</v>
      </c>
      <c r="AE80" s="72">
        <f>+AE49</f>
        <v>3.3478476375696786E-2</v>
      </c>
      <c r="AF80" s="72">
        <f t="shared" ref="AF80:AQ80" si="47">+AF49</f>
        <v>3.2505249197763826E-2</v>
      </c>
      <c r="AG80" s="72">
        <f t="shared" si="47"/>
        <v>3.1666251940079285E-2</v>
      </c>
      <c r="AH80" s="72">
        <f>+AH49</f>
        <v>3.1560227461469914E-2</v>
      </c>
      <c r="AI80" s="72"/>
      <c r="AJ80" s="72"/>
      <c r="AK80" s="72"/>
      <c r="AL80" s="72"/>
      <c r="AM80" s="72"/>
      <c r="AN80" s="72"/>
      <c r="AO80" s="72"/>
      <c r="AP80" s="72"/>
      <c r="AQ80" s="72">
        <f t="shared" si="47"/>
        <v>2.3717261784270693E-2</v>
      </c>
      <c r="AR80" s="10"/>
      <c r="AS80" s="10"/>
    </row>
    <row r="81" spans="1:45" s="11" customFormat="1">
      <c r="A81" s="24">
        <v>41029</v>
      </c>
      <c r="B81" s="27">
        <v>14415.21</v>
      </c>
      <c r="C81" s="32">
        <f t="shared" si="38"/>
        <v>5.0057361044930783E-2</v>
      </c>
      <c r="D81" s="26">
        <f t="shared" si="37"/>
        <v>131.60801377504532</v>
      </c>
      <c r="E81" s="26"/>
      <c r="F81" s="26"/>
      <c r="I81" s="12"/>
      <c r="AC81" s="108"/>
      <c r="AD81" s="60" t="s">
        <v>26</v>
      </c>
      <c r="AE81" s="72">
        <f>+AE37</f>
        <v>4.8532410040016197E-2</v>
      </c>
      <c r="AF81" s="72">
        <f t="shared" ref="AF81:AQ81" si="48">+AF37</f>
        <v>3.9016752167848612E-2</v>
      </c>
      <c r="AG81" s="72">
        <f t="shared" si="48"/>
        <v>5.5211070462702003E-2</v>
      </c>
      <c r="AH81" s="72">
        <f>+AH37</f>
        <v>4.8522359078618571E-2</v>
      </c>
      <c r="AI81" s="72"/>
      <c r="AJ81" s="72"/>
      <c r="AK81" s="72"/>
      <c r="AL81" s="72"/>
      <c r="AM81" s="72"/>
      <c r="AN81" s="72"/>
      <c r="AO81" s="72"/>
      <c r="AP81" s="72"/>
      <c r="AQ81" s="72">
        <f t="shared" si="48"/>
        <v>3.5635300313302531E-2</v>
      </c>
      <c r="AR81" s="10"/>
      <c r="AS81" s="10"/>
    </row>
    <row r="82" spans="1:45" s="11" customFormat="1">
      <c r="A82" s="24">
        <v>41060</v>
      </c>
      <c r="B82" s="27">
        <v>14477.55</v>
      </c>
      <c r="C82" s="32">
        <f t="shared" si="38"/>
        <v>5.0221147461380858E-2</v>
      </c>
      <c r="D82" s="26">
        <f t="shared" si="37"/>
        <v>132.17716563469472</v>
      </c>
      <c r="E82" s="26"/>
      <c r="F82" s="26"/>
      <c r="I82" s="12"/>
      <c r="AC82" s="10"/>
      <c r="AD82" s="10"/>
      <c r="AE82" s="10"/>
      <c r="AF82" s="10"/>
      <c r="AG82" s="10"/>
      <c r="AH82" s="10"/>
      <c r="AI82" s="10"/>
      <c r="AJ82" s="10"/>
      <c r="AK82" s="10"/>
      <c r="AL82" s="10"/>
      <c r="AM82" s="10"/>
      <c r="AN82" s="10"/>
      <c r="AO82" s="10"/>
      <c r="AP82" s="10"/>
      <c r="AQ82" s="10"/>
      <c r="AR82" s="10"/>
      <c r="AS82" s="10"/>
    </row>
    <row r="83" spans="1:45" s="11" customFormat="1">
      <c r="A83" s="24">
        <v>41089</v>
      </c>
      <c r="B83" s="27">
        <v>14536.13</v>
      </c>
      <c r="C83" s="32">
        <f t="shared" si="38"/>
        <v>5.0229493249892829E-2</v>
      </c>
      <c r="D83" s="26">
        <f t="shared" si="37"/>
        <v>132.71198943864499</v>
      </c>
      <c r="E83" s="26"/>
      <c r="F83" s="26"/>
      <c r="I83" s="12"/>
      <c r="AC83" s="10"/>
      <c r="AD83" s="10"/>
      <c r="AE83" s="10"/>
      <c r="AF83" s="10"/>
      <c r="AG83" s="10"/>
      <c r="AH83" s="10"/>
      <c r="AI83" s="10"/>
      <c r="AJ83" s="10"/>
      <c r="AK83" s="10"/>
      <c r="AL83" s="10"/>
      <c r="AM83" s="10"/>
      <c r="AN83" s="10"/>
      <c r="AO83" s="10"/>
      <c r="AP83" s="10"/>
      <c r="AQ83" s="10"/>
      <c r="AR83" s="10"/>
      <c r="AS83" s="10"/>
    </row>
    <row r="84" spans="1:45" s="11" customFormat="1">
      <c r="A84" s="24">
        <v>41121</v>
      </c>
      <c r="B84" s="27">
        <v>14600.61</v>
      </c>
      <c r="C84" s="32">
        <f t="shared" si="38"/>
        <v>4.9903241096495854E-2</v>
      </c>
      <c r="D84" s="26">
        <f t="shared" si="37"/>
        <v>133.30067907467631</v>
      </c>
      <c r="E84" s="26"/>
      <c r="F84" s="26"/>
      <c r="I84" s="12"/>
      <c r="AC84" s="33" t="s">
        <v>27</v>
      </c>
      <c r="AD84" s="10"/>
      <c r="AE84" s="10"/>
      <c r="AF84" s="10"/>
      <c r="AG84" s="10"/>
      <c r="AH84" s="10"/>
      <c r="AI84" s="10"/>
      <c r="AJ84" s="10"/>
      <c r="AK84" s="10"/>
      <c r="AL84" s="10"/>
      <c r="AM84" s="10"/>
      <c r="AN84" s="10"/>
      <c r="AO84" s="10"/>
      <c r="AP84" s="10"/>
      <c r="AQ84" s="10"/>
      <c r="AR84" s="10"/>
      <c r="AS84" s="10"/>
    </row>
    <row r="85" spans="1:45" s="11" customFormat="1">
      <c r="A85" s="24">
        <v>41152</v>
      </c>
      <c r="B85" s="27">
        <v>14663.33</v>
      </c>
      <c r="C85" s="32">
        <f t="shared" si="38"/>
        <v>4.9885675346617239E-2</v>
      </c>
      <c r="D85" s="26">
        <f t="shared" si="37"/>
        <v>133.87330025910379</v>
      </c>
      <c r="E85" s="26"/>
      <c r="F85" s="26"/>
      <c r="I85" s="12"/>
      <c r="AC85" s="10"/>
      <c r="AD85" s="24">
        <v>42886</v>
      </c>
      <c r="AE85" s="64"/>
      <c r="AF85" s="64"/>
      <c r="AG85" s="10"/>
      <c r="AH85" s="10"/>
      <c r="AI85" s="10"/>
      <c r="AJ85" s="10"/>
      <c r="AK85" s="10"/>
      <c r="AL85" s="10"/>
      <c r="AM85" s="10"/>
      <c r="AN85" s="10"/>
      <c r="AO85" s="10"/>
      <c r="AP85" s="10"/>
      <c r="AQ85" s="10"/>
      <c r="AR85" s="10"/>
      <c r="AS85" s="10"/>
    </row>
    <row r="86" spans="1:45" s="11" customFormat="1">
      <c r="A86" s="24">
        <v>41180</v>
      </c>
      <c r="B86" s="27">
        <v>14720.68</v>
      </c>
      <c r="C86" s="32">
        <f t="shared" si="38"/>
        <v>5.0285790666728357E-2</v>
      </c>
      <c r="D86" s="26">
        <f t="shared" si="37"/>
        <v>134.39689440653549</v>
      </c>
      <c r="E86" s="26"/>
      <c r="F86" s="26"/>
      <c r="I86" s="12"/>
      <c r="AC86" s="10"/>
      <c r="AD86" s="24">
        <v>42916</v>
      </c>
      <c r="AE86" s="64"/>
      <c r="AF86" s="64"/>
      <c r="AG86" s="10"/>
      <c r="AH86" s="10"/>
      <c r="AI86" s="10"/>
      <c r="AJ86" s="10"/>
      <c r="AK86" s="10"/>
      <c r="AL86" s="10"/>
      <c r="AM86" s="10"/>
      <c r="AN86" s="10"/>
      <c r="AO86" s="10"/>
      <c r="AP86" s="10"/>
      <c r="AQ86" s="10"/>
      <c r="AR86" s="10"/>
      <c r="AS86" s="10"/>
    </row>
    <row r="87" spans="1:45" s="11" customFormat="1">
      <c r="A87" s="24">
        <v>41213</v>
      </c>
      <c r="B87" s="27">
        <v>14788.56</v>
      </c>
      <c r="C87" s="32">
        <f t="shared" si="38"/>
        <v>5.0304000284570355E-2</v>
      </c>
      <c r="D87" s="26">
        <f t="shared" si="37"/>
        <v>135.01662536952875</v>
      </c>
      <c r="E87" s="26"/>
      <c r="F87" s="26"/>
      <c r="I87" s="12"/>
      <c r="AC87" s="10"/>
      <c r="AD87" s="24">
        <v>42947</v>
      </c>
      <c r="AE87" s="64"/>
      <c r="AF87" s="64"/>
      <c r="AG87" s="10"/>
      <c r="AH87" s="10"/>
      <c r="AI87" s="10"/>
      <c r="AJ87" s="10"/>
      <c r="AK87" s="10"/>
      <c r="AL87" s="10"/>
      <c r="AM87" s="10"/>
      <c r="AN87" s="10"/>
      <c r="AO87" s="10"/>
      <c r="AP87" s="10"/>
      <c r="AQ87" s="10"/>
      <c r="AR87" s="10"/>
      <c r="AS87" s="10"/>
    </row>
    <row r="88" spans="1:45" s="11" customFormat="1">
      <c r="A88" s="24">
        <v>41243</v>
      </c>
      <c r="B88" s="27">
        <v>14850.38</v>
      </c>
      <c r="C88" s="32">
        <f t="shared" si="38"/>
        <v>5.0163099044126191E-2</v>
      </c>
      <c r="D88" s="26">
        <f t="shared" si="37"/>
        <v>135.58102973211334</v>
      </c>
      <c r="E88" s="26"/>
      <c r="F88" s="26"/>
      <c r="I88" s="12"/>
      <c r="AC88" s="10"/>
      <c r="AD88" s="24">
        <v>42978</v>
      </c>
      <c r="AE88" s="64"/>
      <c r="AF88" s="64"/>
      <c r="AG88" s="10"/>
      <c r="AH88" s="10"/>
      <c r="AI88" s="10"/>
      <c r="AJ88" s="10"/>
      <c r="AK88" s="10"/>
      <c r="AL88" s="10"/>
      <c r="AM88" s="10"/>
      <c r="AN88" s="10"/>
      <c r="AO88" s="10"/>
      <c r="AP88" s="10"/>
      <c r="AQ88" s="10"/>
    </row>
    <row r="89" spans="1:45" s="11" customFormat="1">
      <c r="A89" s="24">
        <v>41274</v>
      </c>
      <c r="B89" s="27">
        <v>14908.2</v>
      </c>
      <c r="C89" s="32">
        <f t="shared" si="38"/>
        <v>4.521487426692998E-2</v>
      </c>
      <c r="D89" s="26">
        <f t="shared" si="37"/>
        <v>136.10891488650745</v>
      </c>
      <c r="E89" s="26"/>
      <c r="F89" s="26"/>
      <c r="I89" s="12"/>
      <c r="AC89" s="10"/>
      <c r="AD89" s="24">
        <v>43008</v>
      </c>
      <c r="AE89" s="64"/>
      <c r="AF89" s="64"/>
      <c r="AG89" s="10"/>
      <c r="AH89" s="10"/>
      <c r="AI89" s="10"/>
      <c r="AJ89" s="10"/>
      <c r="AK89" s="10"/>
      <c r="AL89" s="10"/>
      <c r="AM89" s="10"/>
      <c r="AN89" s="10"/>
      <c r="AO89" s="10"/>
      <c r="AP89" s="10"/>
      <c r="AQ89" s="10"/>
    </row>
    <row r="90" spans="1:45" s="11" customFormat="1">
      <c r="A90" s="24">
        <v>41305</v>
      </c>
      <c r="B90" s="27">
        <v>14978.58</v>
      </c>
      <c r="C90" s="32">
        <f t="shared" si="38"/>
        <v>5.4823260288449471E-2</v>
      </c>
      <c r="D90" s="26">
        <f t="shared" si="37"/>
        <v>136.75147035461978</v>
      </c>
      <c r="E90" s="26"/>
      <c r="F90" s="26"/>
      <c r="I90" s="12"/>
      <c r="AC90" s="10"/>
      <c r="AD90" s="24">
        <v>43039</v>
      </c>
      <c r="AE90" s="64"/>
      <c r="AF90" s="64"/>
      <c r="AG90" s="10"/>
      <c r="AH90" s="10"/>
      <c r="AI90" s="10"/>
      <c r="AJ90" s="10"/>
      <c r="AK90" s="10"/>
      <c r="AL90" s="10"/>
      <c r="AM90" s="10"/>
      <c r="AN90" s="10"/>
      <c r="AO90" s="10"/>
      <c r="AP90" s="10"/>
      <c r="AQ90" s="10"/>
    </row>
    <row r="91" spans="1:45" s="11" customFormat="1">
      <c r="A91" s="24">
        <v>41333</v>
      </c>
      <c r="B91" s="27">
        <v>15036.94</v>
      </c>
      <c r="C91" s="32">
        <f t="shared" si="38"/>
        <v>5.0094391934539323E-2</v>
      </c>
      <c r="D91" s="26">
        <f t="shared" si="37"/>
        <v>137.28428560211958</v>
      </c>
      <c r="E91" s="26"/>
      <c r="F91" s="26"/>
      <c r="I91" s="12"/>
      <c r="AC91" s="10"/>
      <c r="AD91" s="24">
        <v>43069</v>
      </c>
      <c r="AE91" s="64"/>
      <c r="AF91" s="64"/>
      <c r="AG91" s="10"/>
      <c r="AH91" s="10"/>
      <c r="AI91" s="10"/>
      <c r="AJ91" s="10"/>
      <c r="AK91" s="10"/>
      <c r="AL91" s="10"/>
      <c r="AM91" s="10"/>
      <c r="AN91" s="10"/>
      <c r="AO91" s="10"/>
      <c r="AP91" s="10"/>
      <c r="AQ91" s="10"/>
    </row>
    <row r="92" spans="1:45" s="11" customFormat="1">
      <c r="A92" s="24">
        <v>41362</v>
      </c>
      <c r="B92" s="27">
        <v>15095.51</v>
      </c>
      <c r="C92" s="32">
        <f t="shared" si="38"/>
        <v>4.835264768423507E-2</v>
      </c>
      <c r="D92" s="26">
        <f t="shared" si="37"/>
        <v>137.81901810804939</v>
      </c>
      <c r="E92" s="26"/>
      <c r="F92" s="26"/>
      <c r="I92" s="12"/>
      <c r="AC92" s="10"/>
      <c r="AD92" s="24">
        <v>43100</v>
      </c>
      <c r="AE92" s="64"/>
      <c r="AF92" s="64"/>
      <c r="AG92" s="10"/>
      <c r="AH92" s="10"/>
      <c r="AI92" s="10"/>
      <c r="AJ92" s="10"/>
      <c r="AK92" s="10"/>
      <c r="AL92" s="10"/>
      <c r="AM92" s="10"/>
      <c r="AN92" s="10"/>
      <c r="AO92" s="10"/>
      <c r="AP92" s="10"/>
      <c r="AQ92" s="10"/>
    </row>
    <row r="93" spans="1:45" s="11" customFormat="1">
      <c r="A93" s="24">
        <v>41394</v>
      </c>
      <c r="B93" s="27">
        <v>15164.77</v>
      </c>
      <c r="C93" s="32">
        <f t="shared" si="38"/>
        <v>5.1616341547918165E-2</v>
      </c>
      <c r="D93" s="26">
        <f t="shared" si="37"/>
        <v>138.45134819786838</v>
      </c>
      <c r="E93" s="26"/>
      <c r="F93" s="26"/>
      <c r="I93" s="12"/>
      <c r="AC93" s="10"/>
      <c r="AD93" s="24">
        <v>43131</v>
      </c>
      <c r="AE93" s="64"/>
      <c r="AF93" s="64">
        <v>1.0967707820073671E-2</v>
      </c>
      <c r="AG93" s="10"/>
      <c r="AH93" s="10"/>
      <c r="AI93" s="10"/>
      <c r="AJ93" s="10"/>
      <c r="AK93" s="10"/>
      <c r="AL93" s="10"/>
      <c r="AM93" s="10"/>
      <c r="AN93" s="10"/>
      <c r="AO93" s="10"/>
      <c r="AP93" s="10"/>
      <c r="AQ93" s="10"/>
    </row>
    <row r="94" spans="1:45" s="11" customFormat="1">
      <c r="A94" s="24">
        <v>41425</v>
      </c>
      <c r="B94" s="27">
        <v>15230.38</v>
      </c>
      <c r="C94" s="32">
        <f t="shared" si="38"/>
        <v>5.0242936796612458E-2</v>
      </c>
      <c r="D94" s="26">
        <f t="shared" si="37"/>
        <v>139.05035451021351</v>
      </c>
      <c r="E94" s="26"/>
      <c r="F94" s="26"/>
      <c r="I94" s="12"/>
      <c r="AC94" s="10"/>
      <c r="AD94" s="24">
        <v>43159</v>
      </c>
      <c r="AE94" s="64"/>
      <c r="AF94" s="64">
        <v>1.0622313246440029E-2</v>
      </c>
      <c r="AG94" s="10"/>
      <c r="AH94" s="10"/>
      <c r="AI94" s="10"/>
      <c r="AJ94" s="10"/>
      <c r="AK94" s="10"/>
      <c r="AL94" s="10"/>
      <c r="AM94" s="10"/>
      <c r="AN94" s="10"/>
      <c r="AO94" s="10"/>
      <c r="AP94" s="10"/>
      <c r="AQ94" s="10"/>
    </row>
    <row r="95" spans="1:45" s="11" customFormat="1">
      <c r="A95" s="24">
        <v>41453</v>
      </c>
      <c r="B95" s="27">
        <v>15289.74</v>
      </c>
      <c r="C95" s="32">
        <f t="shared" si="38"/>
        <v>5.0110371507475611E-2</v>
      </c>
      <c r="D95" s="26">
        <f t="shared" si="37"/>
        <v>139.59229955976096</v>
      </c>
      <c r="E95" s="26"/>
      <c r="F95" s="26"/>
      <c r="I95" s="12"/>
      <c r="AC95" s="10"/>
      <c r="AD95" s="24">
        <v>43190</v>
      </c>
      <c r="AE95" s="64"/>
      <c r="AF95" s="64">
        <v>1.090269598324102E-2</v>
      </c>
      <c r="AG95" s="10"/>
      <c r="AH95" s="10"/>
      <c r="AI95" s="10"/>
      <c r="AJ95" s="10"/>
      <c r="AK95" s="10"/>
      <c r="AL95" s="10"/>
      <c r="AM95" s="10"/>
      <c r="AN95" s="10"/>
      <c r="AO95" s="10"/>
      <c r="AP95" s="10"/>
      <c r="AQ95" s="10"/>
    </row>
    <row r="96" spans="1:45" s="11" customFormat="1">
      <c r="A96" s="24">
        <v>41486</v>
      </c>
      <c r="B96" s="27">
        <v>15360.27</v>
      </c>
      <c r="C96" s="32">
        <f t="shared" si="38"/>
        <v>5.0322515740502442E-2</v>
      </c>
      <c r="D96" s="26">
        <f t="shared" si="37"/>
        <v>140.23622449818046</v>
      </c>
      <c r="E96" s="26"/>
      <c r="F96" s="26"/>
      <c r="I96" s="12"/>
      <c r="AC96" s="10"/>
      <c r="AD96" s="24">
        <v>43220</v>
      </c>
      <c r="AE96" s="64"/>
      <c r="AF96" s="64">
        <v>1.228770336832774E-2</v>
      </c>
      <c r="AG96" s="10"/>
      <c r="AH96" s="10"/>
      <c r="AI96" s="10"/>
      <c r="AJ96" s="10"/>
      <c r="AK96" s="10"/>
      <c r="AL96" s="10"/>
      <c r="AM96" s="10"/>
      <c r="AN96" s="10"/>
      <c r="AO96" s="10"/>
      <c r="AP96" s="10"/>
      <c r="AQ96" s="10"/>
    </row>
    <row r="97" spans="1:43" s="11" customFormat="1">
      <c r="A97" s="24">
        <v>41516</v>
      </c>
      <c r="B97" s="27">
        <v>15424.43</v>
      </c>
      <c r="C97" s="32">
        <f t="shared" si="38"/>
        <v>5.0124118911972097E-2</v>
      </c>
      <c r="D97" s="26">
        <f t="shared" si="37"/>
        <v>140.82199259755649</v>
      </c>
      <c r="E97" s="26"/>
      <c r="F97" s="26"/>
      <c r="I97" s="12"/>
      <c r="AC97" s="10"/>
      <c r="AD97" s="24">
        <v>43251</v>
      </c>
      <c r="AE97" s="64"/>
      <c r="AF97" s="64">
        <v>1.3576049495116269E-2</v>
      </c>
      <c r="AG97" s="10"/>
      <c r="AH97" s="10"/>
      <c r="AI97" s="10"/>
      <c r="AJ97" s="10"/>
      <c r="AK97" s="10"/>
      <c r="AL97" s="10"/>
      <c r="AM97" s="10"/>
      <c r="AN97" s="10"/>
      <c r="AO97" s="10"/>
      <c r="AP97" s="10"/>
      <c r="AQ97" s="10"/>
    </row>
    <row r="98" spans="1:43" s="11" customFormat="1">
      <c r="A98" s="24">
        <v>41547</v>
      </c>
      <c r="B98" s="27">
        <v>15490.99</v>
      </c>
      <c r="C98" s="32">
        <f t="shared" si="38"/>
        <v>5.0112376192160871E-2</v>
      </c>
      <c r="D98" s="26">
        <f t="shared" si="37"/>
        <v>141.42967222184689</v>
      </c>
      <c r="E98" s="26"/>
      <c r="F98" s="26"/>
      <c r="I98" s="12"/>
      <c r="AC98" s="10"/>
      <c r="AD98" s="24">
        <v>43281</v>
      </c>
      <c r="AE98" s="64"/>
      <c r="AF98" s="64">
        <v>1.4993145885560999E-2</v>
      </c>
      <c r="AG98" s="10"/>
      <c r="AH98" s="10"/>
      <c r="AI98" s="10"/>
      <c r="AJ98" s="10"/>
      <c r="AK98" s="10"/>
      <c r="AL98" s="10"/>
      <c r="AM98" s="10"/>
      <c r="AN98" s="10"/>
      <c r="AO98" s="10"/>
      <c r="AP98" s="10"/>
      <c r="AQ98" s="10"/>
    </row>
    <row r="99" spans="1:43" s="11" customFormat="1">
      <c r="A99" s="24">
        <v>41578</v>
      </c>
      <c r="B99" s="27">
        <v>15554.36</v>
      </c>
      <c r="C99" s="32">
        <f t="shared" si="38"/>
        <v>4.7505658283903816E-2</v>
      </c>
      <c r="D99" s="26">
        <f t="shared" si="37"/>
        <v>142.00822777760533</v>
      </c>
      <c r="E99" s="26"/>
      <c r="F99" s="26"/>
      <c r="I99" s="12"/>
      <c r="AD99" s="24">
        <v>43312</v>
      </c>
      <c r="AE99" s="64"/>
      <c r="AF99" s="64">
        <v>1.6017646157316396E-2</v>
      </c>
    </row>
    <row r="100" spans="1:43" s="11" customFormat="1">
      <c r="A100" s="24">
        <v>41607</v>
      </c>
      <c r="B100" s="27">
        <v>15615.06</v>
      </c>
      <c r="C100" s="32">
        <f t="shared" si="38"/>
        <v>4.8444117365118444E-2</v>
      </c>
      <c r="D100" s="26">
        <f t="shared" si="37"/>
        <v>142.5624067618966</v>
      </c>
      <c r="E100" s="26"/>
      <c r="F100" s="26"/>
      <c r="I100" s="12"/>
      <c r="AD100" s="24">
        <v>43343</v>
      </c>
      <c r="AE100" s="64"/>
      <c r="AF100" s="64">
        <v>1.5773527601195707E-2</v>
      </c>
    </row>
    <row r="101" spans="1:43" s="11" customFormat="1">
      <c r="A101" s="24">
        <v>41639</v>
      </c>
      <c r="B101" s="27">
        <v>15675.68</v>
      </c>
      <c r="C101" s="32">
        <f t="shared" si="38"/>
        <v>4.3674183768746266E-2</v>
      </c>
      <c r="D101" s="26">
        <f t="shared" si="37"/>
        <v>143.11585536202404</v>
      </c>
      <c r="E101" s="26"/>
      <c r="F101" s="26"/>
      <c r="I101" s="12"/>
      <c r="AD101" s="24">
        <v>43373</v>
      </c>
      <c r="AE101" s="64"/>
      <c r="AF101" s="64">
        <v>1.6705268102634285E-2</v>
      </c>
    </row>
    <row r="102" spans="1:43" s="11" customFormat="1">
      <c r="A102" s="24">
        <v>41670</v>
      </c>
      <c r="B102" s="27">
        <v>15738.45</v>
      </c>
      <c r="C102" s="32">
        <f t="shared" si="38"/>
        <v>4.6501455470122841E-2</v>
      </c>
      <c r="D102" s="26">
        <f t="shared" si="37"/>
        <v>143.68893303655392</v>
      </c>
      <c r="E102" s="26"/>
      <c r="F102" s="26"/>
      <c r="I102" s="12"/>
      <c r="AD102" s="24">
        <v>43404</v>
      </c>
      <c r="AE102" s="64"/>
      <c r="AF102" s="64">
        <v>1.6964679656212699E-2</v>
      </c>
    </row>
    <row r="103" spans="1:43" s="11" customFormat="1">
      <c r="A103" s="24">
        <v>41698</v>
      </c>
      <c r="B103" s="27">
        <v>15792.47</v>
      </c>
      <c r="C103" s="32">
        <f t="shared" si="38"/>
        <v>4.4130321419378733E-2</v>
      </c>
      <c r="D103" s="26">
        <f t="shared" si="37"/>
        <v>144.18212494316697</v>
      </c>
      <c r="E103" s="26"/>
      <c r="F103" s="26"/>
      <c r="I103" s="12"/>
      <c r="AD103" s="24">
        <v>43434</v>
      </c>
      <c r="AE103" s="64"/>
      <c r="AF103" s="64">
        <v>1.5174929296453143E-2</v>
      </c>
    </row>
    <row r="104" spans="1:43" s="11" customFormat="1">
      <c r="A104" s="24">
        <v>41729</v>
      </c>
      <c r="B104" s="27">
        <v>15848.53</v>
      </c>
      <c r="C104" s="32">
        <f t="shared" si="38"/>
        <v>4.1223402978681871E-2</v>
      </c>
      <c r="D104" s="26">
        <f t="shared" si="37"/>
        <v>144.69394164595724</v>
      </c>
      <c r="E104" s="26"/>
      <c r="F104" s="26"/>
      <c r="I104" s="12"/>
      <c r="AD104" s="24">
        <v>43465</v>
      </c>
      <c r="AE104" s="64"/>
      <c r="AF104" s="64">
        <v>1.8100758996559756E-2</v>
      </c>
    </row>
    <row r="105" spans="1:43" s="11" customFormat="1">
      <c r="A105" s="24">
        <v>41759</v>
      </c>
      <c r="B105" s="27">
        <v>15901.43</v>
      </c>
      <c r="C105" s="32">
        <f t="shared" si="38"/>
        <v>4.0054187990935297E-2</v>
      </c>
      <c r="D105" s="26">
        <f t="shared" si="37"/>
        <v>145.17690817427697</v>
      </c>
      <c r="E105" s="26"/>
      <c r="F105" s="26"/>
      <c r="I105" s="12"/>
      <c r="AD105" s="24">
        <v>43496</v>
      </c>
      <c r="AE105" s="64">
        <v>3.4101066193152181E-2</v>
      </c>
      <c r="AF105" s="64">
        <v>1.9871310117053377E-2</v>
      </c>
    </row>
    <row r="106" spans="1:43" s="11" customFormat="1">
      <c r="A106" s="24">
        <v>41789</v>
      </c>
      <c r="B106" s="27">
        <v>15954.5</v>
      </c>
      <c r="C106" s="32">
        <f t="shared" si="38"/>
        <v>4.0049228276954452E-2</v>
      </c>
      <c r="D106" s="26">
        <f t="shared" si="37"/>
        <v>145.66142676894481</v>
      </c>
      <c r="E106" s="26"/>
      <c r="F106" s="26"/>
      <c r="I106" s="12"/>
      <c r="AD106" s="24">
        <v>43524</v>
      </c>
      <c r="AE106" s="64">
        <v>3.0115368287614141E-2</v>
      </c>
      <c r="AF106" s="64">
        <v>1.9274745331590015E-2</v>
      </c>
    </row>
    <row r="107" spans="1:43" s="11" customFormat="1">
      <c r="A107" s="24">
        <v>41820</v>
      </c>
      <c r="B107" s="27">
        <v>16009.53</v>
      </c>
      <c r="C107" s="32">
        <f t="shared" si="38"/>
        <v>4.0055035539574999E-2</v>
      </c>
      <c r="D107" s="26">
        <f t="shared" si="37"/>
        <v>146.163839775626</v>
      </c>
      <c r="E107" s="26"/>
      <c r="F107" s="26"/>
      <c r="I107" s="12"/>
      <c r="AD107" s="24">
        <v>43555</v>
      </c>
      <c r="AE107" s="64">
        <v>3.3921767087303267E-2</v>
      </c>
      <c r="AF107" s="64">
        <v>1.9697306214110293E-2</v>
      </c>
    </row>
    <row r="108" spans="1:43" s="11" customFormat="1">
      <c r="A108" s="24">
        <v>41851</v>
      </c>
      <c r="B108" s="27">
        <v>16063.18</v>
      </c>
      <c r="C108" s="32">
        <f t="shared" si="38"/>
        <v>3.8916336586053819E-2</v>
      </c>
      <c r="D108" s="26">
        <f t="shared" si="37"/>
        <v>146.65365365548143</v>
      </c>
      <c r="E108" s="26"/>
      <c r="F108" s="26"/>
      <c r="I108" s="12"/>
      <c r="AD108" s="24">
        <v>43585</v>
      </c>
      <c r="AE108" s="64">
        <v>3.4950401100383388E-2</v>
      </c>
      <c r="AF108" s="64">
        <v>1.9770427238439581E-2</v>
      </c>
    </row>
    <row r="109" spans="1:43" s="11" customFormat="1">
      <c r="A109" s="24">
        <v>41880</v>
      </c>
      <c r="B109" s="27">
        <v>16110.55</v>
      </c>
      <c r="C109" s="32">
        <f t="shared" si="38"/>
        <v>3.6608030247457304E-2</v>
      </c>
      <c r="D109" s="26">
        <f t="shared" si="37"/>
        <v>147.08613237847777</v>
      </c>
      <c r="E109" s="26"/>
      <c r="F109" s="26"/>
      <c r="I109" s="12"/>
      <c r="AD109" s="24"/>
    </row>
    <row r="110" spans="1:43" s="11" customFormat="1">
      <c r="A110" s="24">
        <v>41912</v>
      </c>
      <c r="B110" s="27">
        <v>16158.37</v>
      </c>
      <c r="C110" s="32">
        <f t="shared" si="38"/>
        <v>3.3392714711788785E-2</v>
      </c>
      <c r="D110" s="26">
        <f t="shared" si="37"/>
        <v>147.52271951239555</v>
      </c>
      <c r="E110" s="26"/>
      <c r="F110" s="26"/>
      <c r="I110" s="12"/>
    </row>
    <row r="111" spans="1:43" s="11" customFormat="1">
      <c r="A111" s="24">
        <v>41943</v>
      </c>
      <c r="B111" s="27">
        <v>16200.86</v>
      </c>
      <c r="C111" s="32">
        <f t="shared" si="38"/>
        <v>3.0537254566180339E-2</v>
      </c>
      <c r="D111" s="26">
        <f t="shared" si="37"/>
        <v>147.91064480139943</v>
      </c>
      <c r="E111" s="26"/>
      <c r="F111" s="26"/>
      <c r="I111" s="12"/>
    </row>
    <row r="112" spans="1:43" s="11" customFormat="1">
      <c r="A112" s="24">
        <v>41971</v>
      </c>
      <c r="B112" s="27">
        <v>16240.11</v>
      </c>
      <c r="C112" s="32">
        <f t="shared" si="38"/>
        <v>3.1149140054469449E-2</v>
      </c>
      <c r="D112" s="26">
        <f t="shared" si="37"/>
        <v>148.26898953176899</v>
      </c>
      <c r="E112" s="26"/>
      <c r="F112" s="26"/>
      <c r="I112" s="12"/>
    </row>
    <row r="113" spans="1:54" s="11" customFormat="1">
      <c r="A113" s="24">
        <v>42004</v>
      </c>
      <c r="B113" s="27">
        <v>16283.49</v>
      </c>
      <c r="C113" s="32">
        <f t="shared" si="38"/>
        <v>2.9139972797988471E-2</v>
      </c>
      <c r="D113" s="26">
        <f t="shared" si="37"/>
        <v>148.66504034459524</v>
      </c>
      <c r="E113" s="26"/>
      <c r="F113" s="26"/>
      <c r="I113" s="12"/>
      <c r="AW113" s="10"/>
      <c r="AX113" s="10"/>
      <c r="AY113" s="10"/>
      <c r="AZ113" s="10"/>
      <c r="BA113" s="10"/>
      <c r="BB113" s="10"/>
    </row>
    <row r="114" spans="1:54" s="11" customFormat="1">
      <c r="A114" s="24">
        <v>42034</v>
      </c>
      <c r="B114" s="27">
        <v>16325.65</v>
      </c>
      <c r="C114" s="32">
        <f t="shared" si="38"/>
        <v>3.1069506598400132E-2</v>
      </c>
      <c r="D114" s="26">
        <f t="shared" si="37"/>
        <v>149.04995279892341</v>
      </c>
      <c r="E114" s="26"/>
      <c r="F114" s="26"/>
      <c r="I114" s="12"/>
      <c r="AV114" s="10"/>
      <c r="AW114" s="10"/>
      <c r="AX114" s="10"/>
      <c r="AY114" s="10"/>
      <c r="AZ114" s="10"/>
      <c r="BA114" s="10"/>
      <c r="BB114" s="10"/>
    </row>
    <row r="115" spans="1:54">
      <c r="A115" s="24">
        <v>42062</v>
      </c>
      <c r="B115" s="27">
        <v>16363.77</v>
      </c>
      <c r="C115" s="32">
        <f t="shared" si="38"/>
        <v>3.0021119264119923E-2</v>
      </c>
      <c r="D115" s="26">
        <f t="shared" si="37"/>
        <v>149.39798085297915</v>
      </c>
      <c r="E115" s="26"/>
      <c r="F115" s="26"/>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c r="AL115" s="11"/>
      <c r="AM115" s="11"/>
      <c r="AN115" s="11"/>
      <c r="AO115" s="11"/>
      <c r="AP115" s="11"/>
      <c r="AQ115" s="11"/>
      <c r="AR115" s="11"/>
      <c r="AS115" s="11"/>
      <c r="AT115" s="11"/>
    </row>
    <row r="116" spans="1:54">
      <c r="A116" s="24">
        <v>42094</v>
      </c>
      <c r="B116" s="27">
        <v>16407.490000000002</v>
      </c>
      <c r="C116" s="32">
        <f t="shared" si="38"/>
        <v>3.0057254532421807E-2</v>
      </c>
      <c r="D116" s="26">
        <f t="shared" si="37"/>
        <v>149.79713579850164</v>
      </c>
      <c r="E116" s="26"/>
      <c r="F116" s="26"/>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c r="AR116" s="11"/>
      <c r="AS116" s="11"/>
    </row>
    <row r="117" spans="1:54">
      <c r="A117" s="24">
        <v>42124</v>
      </c>
      <c r="B117" s="27">
        <v>16448.59</v>
      </c>
      <c r="C117" s="32">
        <f t="shared" si="38"/>
        <v>3.0059442364430033E-2</v>
      </c>
      <c r="D117" s="26">
        <f t="shared" si="37"/>
        <v>150.17237066265929</v>
      </c>
      <c r="E117" s="26"/>
      <c r="F117" s="26"/>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c r="AR117" s="11"/>
      <c r="AS117" s="11"/>
    </row>
    <row r="118" spans="1:54">
      <c r="A118" s="24">
        <v>42153</v>
      </c>
      <c r="B118" s="27">
        <v>16488.37</v>
      </c>
      <c r="C118" s="32">
        <f t="shared" si="38"/>
        <v>3.0022068131990209E-2</v>
      </c>
      <c r="D118" s="26">
        <f t="shared" si="37"/>
        <v>150.53555418811408</v>
      </c>
      <c r="E118" s="26"/>
      <c r="F118" s="26"/>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c r="AL118" s="11"/>
      <c r="AM118" s="11"/>
      <c r="AN118" s="11"/>
      <c r="AO118" s="11"/>
      <c r="AP118" s="11"/>
      <c r="AQ118" s="11"/>
      <c r="AR118" s="11"/>
      <c r="AS118" s="11"/>
    </row>
    <row r="119" spans="1:54">
      <c r="A119" s="24">
        <v>42185</v>
      </c>
      <c r="B119" s="27">
        <v>16532.38</v>
      </c>
      <c r="C119" s="32">
        <f t="shared" si="38"/>
        <v>3.0027983360393085E-2</v>
      </c>
      <c r="D119" s="26">
        <f t="shared" si="37"/>
        <v>150.93735677623039</v>
      </c>
      <c r="E119" s="26"/>
      <c r="F119" s="26"/>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c r="AL119" s="11"/>
      <c r="AM119" s="11"/>
      <c r="AN119" s="11"/>
      <c r="AO119" s="11"/>
      <c r="AP119" s="11"/>
      <c r="AQ119" s="11"/>
      <c r="AR119" s="11"/>
      <c r="AS119" s="11"/>
    </row>
    <row r="120" spans="1:54">
      <c r="A120" s="24">
        <v>42216</v>
      </c>
      <c r="B120" s="27">
        <v>16575.11</v>
      </c>
      <c r="C120" s="32">
        <f t="shared" si="38"/>
        <v>3.0014998133282976E-2</v>
      </c>
      <c r="D120" s="26">
        <f t="shared" si="37"/>
        <v>151.3274732177257</v>
      </c>
      <c r="E120" s="26"/>
      <c r="F120" s="26"/>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c r="AL120" s="11"/>
      <c r="AM120" s="11"/>
      <c r="AN120" s="11"/>
      <c r="AO120" s="11"/>
      <c r="AP120" s="11"/>
      <c r="AQ120" s="11"/>
      <c r="AR120" s="11"/>
      <c r="AS120" s="11"/>
    </row>
    <row r="121" spans="1:54">
      <c r="A121" s="24">
        <v>42247</v>
      </c>
      <c r="B121" s="27">
        <v>16617.939999999999</v>
      </c>
      <c r="C121" s="32">
        <f t="shared" si="38"/>
        <v>3.0007682915001534E-2</v>
      </c>
      <c r="D121" s="26">
        <f t="shared" si="37"/>
        <v>151.71850263942576</v>
      </c>
      <c r="E121" s="26"/>
      <c r="F121" s="26"/>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c r="AL121" s="11"/>
      <c r="AM121" s="11"/>
      <c r="AN121" s="11"/>
      <c r="AO121" s="11"/>
      <c r="AP121" s="11"/>
      <c r="AQ121" s="11"/>
      <c r="AR121" s="11"/>
      <c r="AS121" s="11"/>
    </row>
    <row r="122" spans="1:54">
      <c r="A122" s="24">
        <v>42277</v>
      </c>
      <c r="B122" s="27">
        <v>16659.580000000002</v>
      </c>
      <c r="C122" s="32">
        <f t="shared" si="38"/>
        <v>3.0068708877275089E-2</v>
      </c>
      <c r="D122" s="26">
        <f t="shared" si="37"/>
        <v>152.09866759668921</v>
      </c>
      <c r="E122" s="26"/>
      <c r="F122" s="26"/>
      <c r="O122" s="11"/>
      <c r="P122" s="11"/>
      <c r="Q122" s="11"/>
      <c r="R122" s="11"/>
      <c r="S122" s="11"/>
      <c r="T122" s="11"/>
      <c r="U122" s="11"/>
      <c r="V122" s="11"/>
      <c r="W122" s="11"/>
      <c r="X122" s="11"/>
      <c r="Y122" s="11"/>
      <c r="Z122" s="11"/>
      <c r="AA122" s="11"/>
      <c r="AC122" s="11"/>
      <c r="AD122" s="11"/>
      <c r="AE122" s="11"/>
      <c r="AF122" s="11"/>
      <c r="AG122" s="11"/>
      <c r="AH122" s="11"/>
      <c r="AI122" s="11"/>
      <c r="AJ122" s="11"/>
      <c r="AK122" s="11"/>
      <c r="AL122" s="11"/>
      <c r="AM122" s="11"/>
      <c r="AN122" s="11"/>
      <c r="AO122" s="11"/>
      <c r="AP122" s="11"/>
      <c r="AQ122" s="11"/>
      <c r="AR122" s="11"/>
      <c r="AS122" s="11"/>
    </row>
    <row r="123" spans="1:54">
      <c r="A123" s="24">
        <v>42307</v>
      </c>
      <c r="B123" s="27">
        <v>16702.939999999999</v>
      </c>
      <c r="C123" s="32">
        <f t="shared" si="38"/>
        <v>3.1232480050515044E-2</v>
      </c>
      <c r="D123" s="26">
        <f t="shared" si="37"/>
        <v>152.4945358134745</v>
      </c>
      <c r="E123" s="26"/>
      <c r="F123" s="26"/>
      <c r="O123" s="11"/>
      <c r="P123" s="11"/>
      <c r="Q123" s="11"/>
      <c r="R123" s="11"/>
      <c r="S123" s="11"/>
      <c r="T123" s="11"/>
      <c r="U123" s="11"/>
      <c r="V123" s="11"/>
      <c r="W123" s="11"/>
      <c r="X123" s="11"/>
      <c r="Y123" s="11"/>
      <c r="Z123" s="11"/>
      <c r="AA123" s="11"/>
      <c r="AC123" s="11"/>
      <c r="AD123" s="11"/>
      <c r="AE123" s="11"/>
      <c r="AF123" s="11"/>
      <c r="AG123" s="11"/>
      <c r="AH123" s="11"/>
      <c r="AI123" s="11"/>
      <c r="AJ123" s="11"/>
      <c r="AK123" s="11"/>
      <c r="AL123" s="11"/>
      <c r="AM123" s="11"/>
      <c r="AN123" s="11"/>
      <c r="AO123" s="11"/>
      <c r="AP123" s="11"/>
      <c r="AQ123" s="11"/>
      <c r="AR123" s="11"/>
      <c r="AS123" s="11"/>
    </row>
    <row r="124" spans="1:54">
      <c r="A124" s="24">
        <v>42338</v>
      </c>
      <c r="B124" s="27">
        <v>16749.75</v>
      </c>
      <c r="C124" s="32">
        <f t="shared" si="38"/>
        <v>3.2545168694854236E-2</v>
      </c>
      <c r="D124" s="26">
        <f t="shared" si="37"/>
        <v>152.92190184732414</v>
      </c>
      <c r="E124" s="26"/>
      <c r="F124" s="24"/>
      <c r="AC124" s="11"/>
      <c r="AD124" s="11"/>
      <c r="AE124" s="11"/>
      <c r="AF124" s="11"/>
      <c r="AG124" s="11"/>
      <c r="AH124" s="11"/>
      <c r="AI124" s="11"/>
      <c r="AJ124" s="11"/>
      <c r="AK124" s="11"/>
      <c r="AL124" s="11"/>
      <c r="AM124" s="11"/>
      <c r="AN124" s="11"/>
      <c r="AO124" s="11"/>
      <c r="AP124" s="11"/>
      <c r="AQ124" s="11"/>
      <c r="AR124" s="11"/>
      <c r="AS124" s="11"/>
    </row>
    <row r="125" spans="1:54">
      <c r="A125" s="24">
        <v>42369</v>
      </c>
      <c r="B125" s="27">
        <v>16796.52</v>
      </c>
      <c r="C125" s="32">
        <f t="shared" si="38"/>
        <v>3.2426483014432558E-2</v>
      </c>
      <c r="D125" s="26">
        <f t="shared" si="37"/>
        <v>153.34890268909191</v>
      </c>
      <c r="E125" s="26"/>
      <c r="F125" s="24">
        <v>42369</v>
      </c>
      <c r="K125" s="11"/>
      <c r="AC125" s="11"/>
      <c r="AD125" s="11"/>
      <c r="AE125" s="11"/>
      <c r="AF125" s="11"/>
      <c r="AG125" s="11"/>
      <c r="AH125" s="11"/>
      <c r="AI125" s="11"/>
      <c r="AJ125" s="11"/>
      <c r="AK125" s="11"/>
      <c r="AL125" s="11"/>
      <c r="AM125" s="11"/>
      <c r="AN125" s="11"/>
      <c r="AO125" s="11"/>
      <c r="AP125" s="11"/>
      <c r="AQ125" s="11"/>
      <c r="AR125" s="11"/>
      <c r="AS125" s="11"/>
    </row>
    <row r="126" spans="1:54">
      <c r="A126" s="24">
        <v>42398</v>
      </c>
      <c r="B126" s="27">
        <v>16845.59</v>
      </c>
      <c r="C126" s="32">
        <f t="shared" si="38"/>
        <v>3.6266132960054508E-2</v>
      </c>
      <c r="D126" s="26">
        <f t="shared" si="37"/>
        <v>153.79690207556919</v>
      </c>
      <c r="E126" s="26"/>
      <c r="F126" s="24">
        <v>42400</v>
      </c>
      <c r="K126" s="11"/>
      <c r="AC126" s="11"/>
      <c r="AD126" s="11"/>
      <c r="AE126" s="11"/>
      <c r="AF126" s="11"/>
      <c r="AG126" s="11"/>
      <c r="AH126" s="11"/>
      <c r="AI126" s="11"/>
      <c r="AJ126" s="11"/>
      <c r="AK126" s="11"/>
      <c r="AL126" s="11"/>
      <c r="AM126" s="11"/>
      <c r="AN126" s="11"/>
      <c r="AO126" s="11"/>
      <c r="AP126" s="11"/>
      <c r="AQ126" s="11"/>
      <c r="AR126" s="11"/>
      <c r="AS126" s="11"/>
    </row>
    <row r="127" spans="1:54">
      <c r="A127" s="24">
        <v>42429</v>
      </c>
      <c r="B127" s="27">
        <v>16896.43</v>
      </c>
      <c r="C127" s="32">
        <f t="shared" si="38"/>
        <v>3.5047748401807716E-2</v>
      </c>
      <c r="D127" s="26">
        <f t="shared" si="37"/>
        <v>154.26106121167084</v>
      </c>
      <c r="E127" s="26"/>
      <c r="F127" s="24">
        <v>42428</v>
      </c>
      <c r="K127" s="11"/>
      <c r="AC127" s="11"/>
      <c r="AD127" s="11"/>
      <c r="AE127" s="11"/>
      <c r="AF127" s="11"/>
      <c r="AG127" s="11"/>
      <c r="AH127" s="11"/>
      <c r="AI127" s="11"/>
      <c r="AJ127" s="11"/>
      <c r="AK127" s="11"/>
      <c r="AL127" s="11"/>
      <c r="AM127" s="11"/>
      <c r="AN127" s="11"/>
      <c r="AO127" s="11"/>
      <c r="AP127" s="11"/>
      <c r="AQ127" s="11"/>
      <c r="AR127" s="11"/>
      <c r="AS127" s="11"/>
    </row>
    <row r="128" spans="1:54">
      <c r="A128" s="24">
        <v>42460</v>
      </c>
      <c r="B128" s="27">
        <v>16947.43</v>
      </c>
      <c r="C128" s="32">
        <f t="shared" si="38"/>
        <v>3.5052260419279627E-2</v>
      </c>
      <c r="D128" s="26">
        <f t="shared" si="37"/>
        <v>154.72668111610005</v>
      </c>
      <c r="E128" s="26"/>
      <c r="F128" s="24">
        <v>42460</v>
      </c>
      <c r="K128" s="11"/>
      <c r="AC128" s="11"/>
      <c r="AD128" s="11"/>
      <c r="AE128" s="11"/>
      <c r="AF128" s="11"/>
      <c r="AG128" s="11"/>
      <c r="AH128" s="11"/>
      <c r="AI128" s="11"/>
      <c r="AJ128" s="11"/>
      <c r="AK128" s="11"/>
      <c r="AL128" s="11"/>
      <c r="AM128" s="11"/>
      <c r="AN128" s="11"/>
      <c r="AO128" s="11"/>
      <c r="AP128" s="11"/>
      <c r="AQ128" s="11"/>
      <c r="AR128" s="11"/>
      <c r="AS128" s="11"/>
    </row>
    <row r="129" spans="1:45">
      <c r="A129" s="24">
        <v>42489</v>
      </c>
      <c r="B129" s="27">
        <v>16995.27</v>
      </c>
      <c r="C129" s="32">
        <f t="shared" si="38"/>
        <v>3.5042237204636388E-2</v>
      </c>
      <c r="D129" s="26">
        <f t="shared" si="37"/>
        <v>155.16345084605877</v>
      </c>
      <c r="F129" s="24">
        <v>42490</v>
      </c>
      <c r="K129" s="11"/>
      <c r="AC129" s="11"/>
      <c r="AD129" s="11"/>
      <c r="AE129" s="11"/>
      <c r="AF129" s="11"/>
      <c r="AG129" s="11"/>
      <c r="AH129" s="11"/>
      <c r="AI129" s="11"/>
      <c r="AJ129" s="11"/>
      <c r="AK129" s="11"/>
      <c r="AL129" s="11"/>
      <c r="AM129" s="11"/>
      <c r="AN129" s="11"/>
      <c r="AO129" s="11"/>
      <c r="AP129" s="11"/>
      <c r="AQ129" s="11"/>
      <c r="AR129" s="11"/>
      <c r="AS129" s="11"/>
    </row>
    <row r="130" spans="1:45">
      <c r="A130" s="24">
        <v>42521</v>
      </c>
      <c r="B130" s="27">
        <v>17048.23</v>
      </c>
      <c r="C130" s="32">
        <f t="shared" si="38"/>
        <v>3.5056812866168519E-2</v>
      </c>
      <c r="D130" s="26">
        <f t="shared" si="37"/>
        <v>155.64696516250137</v>
      </c>
      <c r="F130" s="24">
        <f t="shared" ref="F130:F145" si="49">+A130</f>
        <v>42521</v>
      </c>
      <c r="G130" s="56"/>
      <c r="I130" s="32"/>
      <c r="J130" s="25"/>
      <c r="K130" s="11"/>
      <c r="L130" s="32"/>
      <c r="AC130" s="11"/>
      <c r="AD130" s="11"/>
      <c r="AE130" s="11"/>
      <c r="AF130" s="11"/>
      <c r="AG130" s="11"/>
      <c r="AH130" s="11"/>
      <c r="AI130" s="11"/>
      <c r="AJ130" s="11"/>
      <c r="AK130" s="11"/>
      <c r="AL130" s="11"/>
      <c r="AM130" s="11"/>
      <c r="AN130" s="11"/>
      <c r="AO130" s="11"/>
      <c r="AP130" s="11"/>
      <c r="AQ130" s="11"/>
      <c r="AR130" s="11"/>
      <c r="AS130" s="11"/>
    </row>
    <row r="131" spans="1:45">
      <c r="A131" s="24">
        <v>42551</v>
      </c>
      <c r="B131" s="27">
        <v>17098.02</v>
      </c>
      <c r="C131" s="32">
        <f t="shared" si="38"/>
        <v>3.5046453502799224E-2</v>
      </c>
      <c r="D131" s="26">
        <f t="shared" si="37"/>
        <v>156.10153800645296</v>
      </c>
      <c r="F131" s="24">
        <f t="shared" si="49"/>
        <v>42551</v>
      </c>
      <c r="I131" s="32"/>
      <c r="J131" s="25"/>
      <c r="K131" s="11"/>
      <c r="L131" s="32"/>
      <c r="M131" s="26"/>
      <c r="AC131" s="11"/>
      <c r="AD131" s="11"/>
      <c r="AE131" s="11"/>
      <c r="AF131" s="11"/>
      <c r="AG131" s="11"/>
      <c r="AH131" s="11"/>
      <c r="AI131" s="11"/>
      <c r="AJ131" s="11"/>
      <c r="AK131" s="11"/>
      <c r="AL131" s="11"/>
      <c r="AM131" s="11"/>
      <c r="AN131" s="11"/>
      <c r="AO131" s="11"/>
      <c r="AP131" s="11"/>
      <c r="AQ131" s="11"/>
      <c r="AR131" s="11"/>
      <c r="AS131" s="11"/>
    </row>
    <row r="132" spans="1:45">
      <c r="A132" s="24">
        <v>42582</v>
      </c>
      <c r="B132" s="57">
        <v>17149.23</v>
      </c>
      <c r="C132" s="32">
        <f t="shared" si="38"/>
        <v>3.4781616479192215E-2</v>
      </c>
      <c r="D132" s="26">
        <f>B132/$B$3*100</f>
        <v>156.56907516931219</v>
      </c>
      <c r="F132" s="24">
        <f t="shared" si="49"/>
        <v>42582</v>
      </c>
      <c r="I132" s="32"/>
      <c r="J132" s="25"/>
      <c r="K132" s="11"/>
      <c r="L132" s="32"/>
      <c r="M132" s="26"/>
      <c r="AC132" s="11"/>
      <c r="AD132" s="11"/>
      <c r="AE132" s="11"/>
      <c r="AF132" s="11"/>
      <c r="AG132" s="11"/>
      <c r="AH132" s="11"/>
      <c r="AI132" s="11"/>
      <c r="AJ132" s="11"/>
      <c r="AK132" s="11"/>
      <c r="AL132" s="11"/>
      <c r="AM132" s="11"/>
      <c r="AN132" s="11"/>
      <c r="AO132" s="11"/>
      <c r="AP132" s="11"/>
      <c r="AQ132" s="11"/>
      <c r="AR132" s="11"/>
      <c r="AS132" s="11"/>
    </row>
    <row r="133" spans="1:45">
      <c r="A133" s="24">
        <v>42613</v>
      </c>
      <c r="B133" s="27">
        <v>17201.38</v>
      </c>
      <c r="C133" s="32">
        <f t="shared" si="38"/>
        <v>3.5314291267060559E-2</v>
      </c>
      <c r="D133" s="26">
        <f t="shared" ref="D133:D160" si="50">B133/$B$3*100</f>
        <v>157.0451943460962</v>
      </c>
      <c r="F133" s="24">
        <f t="shared" si="49"/>
        <v>42613</v>
      </c>
      <c r="I133" s="32"/>
      <c r="J133" s="25"/>
      <c r="K133" s="11"/>
      <c r="L133" s="32"/>
      <c r="M133" s="26"/>
      <c r="AC133" s="11"/>
      <c r="AD133" s="11"/>
      <c r="AE133" s="11"/>
      <c r="AF133" s="11"/>
      <c r="AG133" s="11"/>
      <c r="AH133" s="11"/>
      <c r="AI133" s="11"/>
      <c r="AJ133" s="11"/>
      <c r="AK133" s="11"/>
      <c r="AL133" s="11"/>
      <c r="AM133" s="11"/>
      <c r="AN133" s="11"/>
      <c r="AO133" s="11"/>
      <c r="AP133" s="11"/>
      <c r="AQ133" s="11"/>
      <c r="AR133" s="11"/>
      <c r="AS133" s="11"/>
    </row>
    <row r="134" spans="1:45">
      <c r="A134" s="24">
        <f>+A133+30</f>
        <v>42643</v>
      </c>
      <c r="B134" s="27">
        <v>17251.61</v>
      </c>
      <c r="C134" s="32">
        <f t="shared" ref="C134:C164" si="51">(B134/B133-1)/(A134-A133)*360</f>
        <v>3.5041374587388319E-2</v>
      </c>
      <c r="D134" s="26">
        <f t="shared" si="50"/>
        <v>157.50378430294876</v>
      </c>
      <c r="F134" s="24">
        <f t="shared" si="49"/>
        <v>42643</v>
      </c>
      <c r="I134" s="32"/>
      <c r="J134" s="25"/>
      <c r="K134" s="11"/>
      <c r="L134" s="32"/>
      <c r="M134" s="26"/>
      <c r="AC134" s="11"/>
      <c r="AD134" s="11"/>
      <c r="AE134" s="11"/>
      <c r="AF134" s="11"/>
      <c r="AG134" s="11"/>
      <c r="AH134" s="11"/>
      <c r="AI134" s="11"/>
      <c r="AJ134" s="11"/>
      <c r="AK134" s="11"/>
      <c r="AL134" s="11"/>
      <c r="AM134" s="11"/>
      <c r="AN134" s="11"/>
      <c r="AO134" s="11"/>
      <c r="AP134" s="11"/>
      <c r="AQ134" s="11"/>
      <c r="AR134" s="11"/>
      <c r="AS134" s="11"/>
    </row>
    <row r="135" spans="1:45">
      <c r="A135" s="24">
        <v>42674</v>
      </c>
      <c r="B135" s="27">
        <v>17303.68</v>
      </c>
      <c r="C135" s="32">
        <f t="shared" si="51"/>
        <v>3.5050866033243311E-2</v>
      </c>
      <c r="D135" s="26">
        <f t="shared" si="50"/>
        <v>157.97917309556894</v>
      </c>
      <c r="F135" s="24">
        <f t="shared" si="49"/>
        <v>42674</v>
      </c>
      <c r="I135" s="32"/>
      <c r="J135" s="25"/>
      <c r="K135" s="11"/>
      <c r="L135" s="32"/>
      <c r="M135" s="26"/>
      <c r="AC135" s="11"/>
      <c r="AD135" s="11"/>
      <c r="AE135" s="11"/>
      <c r="AF135" s="11"/>
      <c r="AG135" s="11"/>
      <c r="AH135" s="11"/>
      <c r="AI135" s="11"/>
      <c r="AJ135" s="11"/>
      <c r="AK135" s="11"/>
      <c r="AL135" s="11"/>
      <c r="AM135" s="11"/>
      <c r="AN135" s="11"/>
      <c r="AO135" s="11"/>
      <c r="AP135" s="11"/>
      <c r="AQ135" s="11"/>
      <c r="AR135" s="11"/>
      <c r="AS135" s="11"/>
    </row>
    <row r="136" spans="1:45">
      <c r="A136" s="24">
        <v>42704</v>
      </c>
      <c r="B136" s="27">
        <v>17354.21</v>
      </c>
      <c r="C136" s="32">
        <f t="shared" si="51"/>
        <v>3.5042256907200198E-2</v>
      </c>
      <c r="D136" s="26">
        <f t="shared" si="50"/>
        <v>158.44050199303578</v>
      </c>
      <c r="F136" s="24">
        <f t="shared" si="49"/>
        <v>42704</v>
      </c>
      <c r="I136" s="32"/>
      <c r="J136" s="25"/>
      <c r="K136" s="11"/>
      <c r="L136" s="32"/>
      <c r="M136" s="26"/>
      <c r="AC136" s="11"/>
      <c r="AD136" s="11"/>
      <c r="AE136" s="11"/>
      <c r="AF136" s="11"/>
      <c r="AG136" s="11"/>
      <c r="AH136" s="11"/>
      <c r="AI136" s="11"/>
      <c r="AJ136" s="11"/>
      <c r="AK136" s="11"/>
      <c r="AL136" s="11"/>
      <c r="AM136" s="11"/>
      <c r="AN136" s="11"/>
      <c r="AO136" s="11"/>
      <c r="AP136" s="11"/>
      <c r="AQ136" s="11"/>
    </row>
    <row r="137" spans="1:45">
      <c r="A137" s="24">
        <v>42735</v>
      </c>
      <c r="B137" s="27">
        <v>17406.97</v>
      </c>
      <c r="C137" s="32">
        <f t="shared" si="51"/>
        <v>3.5305368218639124E-2</v>
      </c>
      <c r="D137" s="26">
        <f t="shared" si="50"/>
        <v>158.92219034906887</v>
      </c>
      <c r="F137" s="24">
        <f t="shared" si="49"/>
        <v>42735</v>
      </c>
      <c r="I137" s="32"/>
      <c r="J137" s="25"/>
      <c r="K137" s="11"/>
      <c r="L137" s="32"/>
      <c r="M137" s="26"/>
      <c r="AC137" s="11"/>
      <c r="AD137" s="11"/>
      <c r="AE137" s="11"/>
      <c r="AF137" s="11"/>
      <c r="AG137" s="11"/>
      <c r="AH137" s="11"/>
      <c r="AI137" s="11"/>
      <c r="AJ137" s="11"/>
      <c r="AK137" s="11"/>
      <c r="AL137" s="11"/>
      <c r="AM137" s="11"/>
      <c r="AN137" s="11"/>
      <c r="AO137" s="11"/>
      <c r="AP137" s="11"/>
      <c r="AQ137" s="11"/>
    </row>
    <row r="138" spans="1:45">
      <c r="A138" s="24">
        <v>42766</v>
      </c>
      <c r="B138" s="27">
        <v>17457.39</v>
      </c>
      <c r="C138" s="32">
        <f t="shared" si="51"/>
        <v>3.3637248794313165E-2</v>
      </c>
      <c r="D138" s="26">
        <f t="shared" si="50"/>
        <v>159.38251496831046</v>
      </c>
      <c r="F138" s="24">
        <f t="shared" si="49"/>
        <v>42766</v>
      </c>
      <c r="I138" s="32"/>
      <c r="J138" s="25"/>
      <c r="K138" s="11"/>
      <c r="L138" s="32"/>
      <c r="M138" s="26"/>
      <c r="AC138" s="11"/>
      <c r="AD138" s="11"/>
      <c r="AE138" s="11"/>
      <c r="AF138" s="11"/>
      <c r="AG138" s="11"/>
      <c r="AH138" s="11"/>
      <c r="AI138" s="11"/>
      <c r="AJ138" s="11"/>
      <c r="AK138" s="11"/>
      <c r="AL138" s="11"/>
      <c r="AM138" s="11"/>
      <c r="AN138" s="11"/>
      <c r="AO138" s="11"/>
      <c r="AP138" s="11"/>
      <c r="AQ138" s="11"/>
    </row>
    <row r="139" spans="1:45">
      <c r="A139" s="24">
        <v>42794</v>
      </c>
      <c r="B139" s="27">
        <v>17501.060000000001</v>
      </c>
      <c r="C139" s="32">
        <f t="shared" si="51"/>
        <v>3.2162392463674597E-2</v>
      </c>
      <c r="D139" s="26">
        <f t="shared" si="50"/>
        <v>159.78121342373058</v>
      </c>
      <c r="F139" s="24">
        <f t="shared" si="49"/>
        <v>42794</v>
      </c>
      <c r="I139" s="32"/>
      <c r="J139" s="25"/>
      <c r="K139" s="11"/>
      <c r="L139" s="32"/>
      <c r="M139" s="26"/>
      <c r="AC139" s="11"/>
      <c r="AD139" s="11"/>
      <c r="AE139" s="11"/>
      <c r="AF139" s="11"/>
      <c r="AG139" s="11"/>
      <c r="AH139" s="11"/>
      <c r="AI139" s="11"/>
      <c r="AJ139" s="11"/>
      <c r="AK139" s="11"/>
      <c r="AL139" s="11"/>
      <c r="AM139" s="11"/>
      <c r="AN139" s="11"/>
      <c r="AO139" s="11"/>
      <c r="AP139" s="11"/>
      <c r="AQ139" s="11"/>
    </row>
    <row r="140" spans="1:45">
      <c r="A140" s="24">
        <v>42825</v>
      </c>
      <c r="B140" s="27">
        <v>17548.349999999999</v>
      </c>
      <c r="C140" s="32">
        <f t="shared" si="51"/>
        <v>3.1379481788438662E-2</v>
      </c>
      <c r="D140" s="26">
        <f t="shared" si="50"/>
        <v>160.21296176256305</v>
      </c>
      <c r="F140" s="24">
        <f t="shared" si="49"/>
        <v>42825</v>
      </c>
      <c r="I140" s="32"/>
      <c r="J140" s="25"/>
      <c r="K140" s="11"/>
      <c r="L140" s="32"/>
      <c r="M140" s="26"/>
      <c r="AC140" s="11"/>
      <c r="AD140" s="11"/>
      <c r="AE140" s="11"/>
      <c r="AF140" s="11"/>
      <c r="AG140" s="11"/>
      <c r="AH140" s="11"/>
      <c r="AI140" s="11"/>
      <c r="AJ140" s="11"/>
      <c r="AK140" s="11"/>
      <c r="AL140" s="11"/>
      <c r="AM140" s="11"/>
      <c r="AN140" s="11"/>
      <c r="AO140" s="11"/>
      <c r="AP140" s="11"/>
      <c r="AQ140" s="11"/>
    </row>
    <row r="141" spans="1:45">
      <c r="A141" s="24">
        <v>42855</v>
      </c>
      <c r="B141" s="27">
        <v>17587.919999999998</v>
      </c>
      <c r="C141" s="32">
        <f t="shared" si="51"/>
        <v>2.7058954260655632E-2</v>
      </c>
      <c r="D141" s="26">
        <f t="shared" si="50"/>
        <v>160.57422802958786</v>
      </c>
      <c r="F141" s="24">
        <f t="shared" si="49"/>
        <v>42855</v>
      </c>
      <c r="I141" s="32"/>
      <c r="J141" s="25"/>
      <c r="K141" s="11">
        <v>1214.3896</v>
      </c>
      <c r="L141" s="32"/>
      <c r="M141" s="26">
        <v>100</v>
      </c>
      <c r="AC141" s="11"/>
      <c r="AD141" s="11"/>
      <c r="AE141" s="11"/>
      <c r="AF141" s="11"/>
      <c r="AG141" s="11"/>
      <c r="AH141" s="11"/>
      <c r="AI141" s="11"/>
      <c r="AJ141" s="11"/>
      <c r="AK141" s="11"/>
      <c r="AL141" s="11"/>
      <c r="AM141" s="11"/>
      <c r="AN141" s="11"/>
      <c r="AO141" s="11"/>
      <c r="AP141" s="11"/>
      <c r="AQ141" s="11"/>
    </row>
    <row r="142" spans="1:45">
      <c r="A142" s="24">
        <v>42886</v>
      </c>
      <c r="B142" s="27">
        <v>17630.79</v>
      </c>
      <c r="C142" s="32">
        <f t="shared" si="51"/>
        <v>2.8306085159038336E-2</v>
      </c>
      <c r="D142" s="26">
        <f t="shared" si="50"/>
        <v>160.96562264336987</v>
      </c>
      <c r="F142" s="24">
        <f t="shared" si="49"/>
        <v>42886</v>
      </c>
      <c r="I142" s="32"/>
      <c r="J142" s="25"/>
      <c r="K142" s="11">
        <v>1214.8726999999999</v>
      </c>
      <c r="L142" s="32">
        <f>+(K142/K141-1)/(F142-F141)*360</f>
        <v>4.6197641583761899E-3</v>
      </c>
      <c r="M142" s="25">
        <f t="shared" ref="M142:M160" si="52">+M141*(1+L142)</f>
        <v>100.46197641583763</v>
      </c>
      <c r="AC142" s="11"/>
      <c r="AD142" s="11"/>
      <c r="AE142" s="11"/>
      <c r="AF142" s="11"/>
      <c r="AG142" s="11"/>
      <c r="AH142" s="11"/>
      <c r="AI142" s="11"/>
      <c r="AJ142" s="11"/>
      <c r="AK142" s="11"/>
      <c r="AL142" s="11"/>
      <c r="AM142" s="11"/>
      <c r="AN142" s="11"/>
      <c r="AO142" s="11"/>
      <c r="AP142" s="11"/>
      <c r="AQ142" s="11"/>
    </row>
    <row r="143" spans="1:45">
      <c r="A143" s="24">
        <v>42916</v>
      </c>
      <c r="B143" s="27">
        <v>17667.59</v>
      </c>
      <c r="C143" s="32">
        <f t="shared" si="51"/>
        <v>2.5047090913111525E-2</v>
      </c>
      <c r="D143" s="26">
        <f t="shared" si="50"/>
        <v>161.30159935872271</v>
      </c>
      <c r="F143" s="24">
        <f t="shared" si="49"/>
        <v>42916</v>
      </c>
      <c r="I143" s="32"/>
      <c r="J143" s="25"/>
      <c r="K143" s="11">
        <v>1215.3787</v>
      </c>
      <c r="L143" s="32">
        <f t="shared" ref="L143:L163" si="53">+(K143/K142-1)/(F143-F142)*360</f>
        <v>4.9980545286780753E-3</v>
      </c>
      <c r="M143" s="25">
        <f t="shared" si="52"/>
        <v>100.96409085202275</v>
      </c>
      <c r="AC143" s="11"/>
      <c r="AD143" s="11"/>
      <c r="AE143" s="11"/>
      <c r="AF143" s="11"/>
      <c r="AG143" s="11"/>
      <c r="AH143" s="11"/>
      <c r="AI143" s="11"/>
      <c r="AJ143" s="11"/>
      <c r="AK143" s="11"/>
      <c r="AL143" s="11"/>
      <c r="AM143" s="11"/>
      <c r="AN143" s="11"/>
      <c r="AO143" s="11"/>
      <c r="AP143" s="11"/>
      <c r="AQ143" s="11"/>
    </row>
    <row r="144" spans="1:45">
      <c r="A144" s="24">
        <v>42947</v>
      </c>
      <c r="B144" s="27">
        <v>17705.689999999999</v>
      </c>
      <c r="C144" s="32">
        <f t="shared" si="51"/>
        <v>2.5043122061538376E-2</v>
      </c>
      <c r="D144" s="26">
        <f t="shared" si="50"/>
        <v>161.64944481673749</v>
      </c>
      <c r="F144" s="24">
        <f t="shared" si="49"/>
        <v>42947</v>
      </c>
      <c r="I144" s="32"/>
      <c r="J144" s="25"/>
      <c r="K144" s="11">
        <v>1215.8759</v>
      </c>
      <c r="L144" s="32">
        <f t="shared" si="53"/>
        <v>4.7507295330012815E-3</v>
      </c>
      <c r="M144" s="25">
        <f t="shared" si="52"/>
        <v>101.44374394020609</v>
      </c>
      <c r="AC144" s="11"/>
      <c r="AD144" s="11"/>
      <c r="AE144" s="11"/>
      <c r="AF144" s="11"/>
      <c r="AG144" s="11"/>
      <c r="AH144" s="11"/>
      <c r="AI144" s="11"/>
      <c r="AJ144" s="11"/>
      <c r="AK144" s="11"/>
      <c r="AL144" s="11"/>
      <c r="AM144" s="11"/>
      <c r="AN144" s="11"/>
      <c r="AO144" s="11"/>
      <c r="AP144" s="11"/>
      <c r="AQ144" s="11"/>
    </row>
    <row r="145" spans="1:43">
      <c r="A145" s="24">
        <v>42978</v>
      </c>
      <c r="B145" s="27">
        <v>17743.830000000002</v>
      </c>
      <c r="C145" s="32">
        <f t="shared" si="51"/>
        <v>2.5015468419039889E-2</v>
      </c>
      <c r="D145" s="26">
        <f t="shared" si="50"/>
        <v>161.9976554668342</v>
      </c>
      <c r="F145" s="24">
        <f t="shared" si="49"/>
        <v>42978</v>
      </c>
      <c r="I145" s="32"/>
      <c r="J145" s="25"/>
      <c r="K145" s="11">
        <v>1216.5135</v>
      </c>
      <c r="L145" s="32">
        <f t="shared" si="53"/>
        <v>6.0897556212559777E-3</v>
      </c>
      <c r="M145" s="25">
        <f t="shared" si="52"/>
        <v>102.06151155010721</v>
      </c>
      <c r="S145" s="10" t="s">
        <v>38</v>
      </c>
      <c r="AC145" s="11"/>
      <c r="AD145" s="11"/>
      <c r="AE145" s="11"/>
      <c r="AF145" s="11"/>
      <c r="AG145" s="11"/>
      <c r="AH145" s="11"/>
      <c r="AI145" s="11"/>
      <c r="AJ145" s="11"/>
      <c r="AK145" s="11"/>
      <c r="AL145" s="11"/>
      <c r="AM145" s="11"/>
      <c r="AN145" s="11"/>
      <c r="AO145" s="11"/>
      <c r="AP145" s="11"/>
      <c r="AQ145" s="11"/>
    </row>
    <row r="146" spans="1:43">
      <c r="A146" s="24">
        <v>43008</v>
      </c>
      <c r="B146" s="27">
        <v>17780.7817</v>
      </c>
      <c r="C146" s="32">
        <f t="shared" si="51"/>
        <v>2.4990117691613634E-2</v>
      </c>
      <c r="D146" s="26">
        <f t="shared" si="50"/>
        <v>162.33501717315767</v>
      </c>
      <c r="F146" s="24">
        <v>43008</v>
      </c>
      <c r="I146" s="32"/>
      <c r="J146" s="25"/>
      <c r="K146" s="11">
        <v>1217.2007000000001</v>
      </c>
      <c r="L146" s="32">
        <f t="shared" si="53"/>
        <v>6.7787163890908886E-3</v>
      </c>
      <c r="M146" s="25">
        <f t="shared" si="52"/>
        <v>102.75335759114731</v>
      </c>
      <c r="S146" s="10">
        <v>0</v>
      </c>
      <c r="AC146" s="11"/>
      <c r="AD146" s="11"/>
      <c r="AE146" s="11"/>
      <c r="AF146" s="11"/>
      <c r="AG146" s="11"/>
      <c r="AH146" s="11"/>
      <c r="AI146" s="11"/>
      <c r="AJ146" s="11"/>
      <c r="AK146" s="11"/>
      <c r="AL146" s="11"/>
      <c r="AM146" s="11"/>
      <c r="AN146" s="11"/>
      <c r="AO146" s="11"/>
      <c r="AP146" s="11"/>
      <c r="AQ146" s="11"/>
    </row>
    <row r="147" spans="1:43">
      <c r="A147" s="24">
        <v>43039</v>
      </c>
      <c r="B147" s="10">
        <v>17819.150000000001</v>
      </c>
      <c r="C147" s="32">
        <f t="shared" si="51"/>
        <v>2.505892948670075E-2</v>
      </c>
      <c r="D147" s="26">
        <f t="shared" si="50"/>
        <v>162.68531215706184</v>
      </c>
      <c r="F147" s="24">
        <v>43039</v>
      </c>
      <c r="I147" s="32"/>
      <c r="J147" s="25"/>
      <c r="K147" s="11">
        <v>1217.963</v>
      </c>
      <c r="L147" s="32">
        <f t="shared" si="53"/>
        <v>7.2728483717021675E-3</v>
      </c>
      <c r="M147" s="25">
        <f t="shared" si="52"/>
        <v>103.50066718059101</v>
      </c>
      <c r="Q147" s="11">
        <f>+G137+S146</f>
        <v>0</v>
      </c>
      <c r="S147" s="10" t="s">
        <v>39</v>
      </c>
    </row>
    <row r="148" spans="1:43">
      <c r="A148" s="24">
        <v>43069</v>
      </c>
      <c r="B148" s="10">
        <f>+VLOOKUP(A148,[1]Simple!$A$3790:$B$3818,2)</f>
        <v>17856.32</v>
      </c>
      <c r="C148" s="32">
        <f t="shared" si="51"/>
        <v>2.5031497013044302E-2</v>
      </c>
      <c r="D148" s="26">
        <f t="shared" si="50"/>
        <v>163.0246668991723</v>
      </c>
      <c r="F148" s="24">
        <v>43069</v>
      </c>
      <c r="I148" s="32"/>
      <c r="J148" s="25"/>
      <c r="K148" s="11">
        <v>1218.7606000000001</v>
      </c>
      <c r="L148" s="32">
        <f t="shared" si="53"/>
        <v>7.8583667976781513E-3</v>
      </c>
      <c r="M148" s="25">
        <f t="shared" si="52"/>
        <v>104.3140133871005</v>
      </c>
      <c r="S148" s="10">
        <v>0</v>
      </c>
    </row>
    <row r="149" spans="1:43">
      <c r="A149" s="24">
        <v>43100</v>
      </c>
      <c r="B149" s="10">
        <f>+VLOOKUP(A149,[1]Simple!$A$3790:$B$3818,2)</f>
        <v>17872.439999999999</v>
      </c>
      <c r="C149" s="32">
        <f t="shared" si="51"/>
        <v>1.0483683088116879E-2</v>
      </c>
      <c r="D149" s="26">
        <f t="shared" si="50"/>
        <v>163.1718393081801</v>
      </c>
      <c r="F149" s="24">
        <v>43100</v>
      </c>
      <c r="I149" s="32"/>
      <c r="J149" s="25"/>
      <c r="K149" s="11">
        <v>1219.7684999999999</v>
      </c>
      <c r="L149" s="32">
        <f t="shared" si="53"/>
        <v>9.6037278865836583E-3</v>
      </c>
      <c r="M149" s="25">
        <f t="shared" si="52"/>
        <v>105.31581678642766</v>
      </c>
      <c r="S149" s="10" t="s">
        <v>40</v>
      </c>
    </row>
    <row r="150" spans="1:43">
      <c r="A150" s="24">
        <v>43131</v>
      </c>
      <c r="B150" s="10">
        <v>17933.28</v>
      </c>
      <c r="C150" s="32">
        <f t="shared" si="51"/>
        <v>3.9531761318436859E-2</v>
      </c>
      <c r="D150" s="26">
        <f t="shared" si="50"/>
        <v>163.72729646475804</v>
      </c>
      <c r="F150" s="24">
        <v>43131</v>
      </c>
      <c r="I150" s="32"/>
      <c r="J150" s="25"/>
      <c r="K150" s="11">
        <v>1220.9204999999999</v>
      </c>
      <c r="L150" s="32">
        <f t="shared" si="53"/>
        <v>1.0967707820073671E-2</v>
      </c>
      <c r="M150" s="25">
        <f t="shared" si="52"/>
        <v>106.4708898937736</v>
      </c>
      <c r="S150" s="10">
        <v>0</v>
      </c>
    </row>
    <row r="151" spans="1:43">
      <c r="A151" s="24">
        <v>43159</v>
      </c>
      <c r="B151" s="10">
        <v>17968.11</v>
      </c>
      <c r="C151" s="32">
        <f t="shared" si="51"/>
        <v>2.4971131087805989E-2</v>
      </c>
      <c r="D151" s="26">
        <f t="shared" si="50"/>
        <v>164.04528747007708</v>
      </c>
      <c r="F151" s="24">
        <v>43159</v>
      </c>
      <c r="I151" s="32"/>
      <c r="J151" s="25"/>
      <c r="K151" s="11">
        <v>1221.9292</v>
      </c>
      <c r="L151" s="32">
        <f t="shared" si="53"/>
        <v>1.0622313246440029E-2</v>
      </c>
      <c r="M151" s="25">
        <f t="shared" si="52"/>
        <v>107.6018570378525</v>
      </c>
      <c r="S151" s="10" t="s">
        <v>41</v>
      </c>
    </row>
    <row r="152" spans="1:43">
      <c r="A152" s="24">
        <v>43190</v>
      </c>
      <c r="B152" s="10">
        <v>18006.830000000002</v>
      </c>
      <c r="C152" s="32">
        <f t="shared" si="51"/>
        <v>2.5024981086114582E-2</v>
      </c>
      <c r="D152" s="26">
        <f t="shared" si="50"/>
        <v>164.3987934053614</v>
      </c>
      <c r="F152" s="24">
        <v>43190</v>
      </c>
      <c r="I152" s="32"/>
      <c r="J152" s="25"/>
      <c r="K152" s="11">
        <v>1223.0763999999999</v>
      </c>
      <c r="L152" s="32">
        <f t="shared" si="53"/>
        <v>1.090269598324102E-2</v>
      </c>
      <c r="M152" s="25">
        <f t="shared" si="52"/>
        <v>108.77500737236836</v>
      </c>
      <c r="S152" s="10">
        <v>0</v>
      </c>
    </row>
    <row r="153" spans="1:43">
      <c r="A153" s="24">
        <v>43220</v>
      </c>
      <c r="B153" s="10">
        <v>18044.25</v>
      </c>
      <c r="C153" s="32">
        <f t="shared" si="51"/>
        <v>2.4937204383001621E-2</v>
      </c>
      <c r="D153" s="26">
        <f t="shared" si="50"/>
        <v>164.74043059798379</v>
      </c>
      <c r="F153" s="24">
        <v>43220</v>
      </c>
      <c r="I153" s="32"/>
      <c r="J153" s="25"/>
      <c r="K153" s="11">
        <v>1224.3288</v>
      </c>
      <c r="L153" s="32">
        <f t="shared" si="53"/>
        <v>1.228770336832774E-2</v>
      </c>
      <c r="M153" s="25">
        <f t="shared" si="52"/>
        <v>110.11160239684769</v>
      </c>
      <c r="S153" s="10" t="s">
        <v>42</v>
      </c>
    </row>
    <row r="154" spans="1:43">
      <c r="A154" s="24">
        <v>43251</v>
      </c>
      <c r="B154" s="25">
        <v>18082.87</v>
      </c>
      <c r="C154" s="32">
        <f t="shared" si="51"/>
        <v>2.4855027090659582E-2</v>
      </c>
      <c r="D154" s="26">
        <f t="shared" si="50"/>
        <v>165.09302355306332</v>
      </c>
      <c r="F154" s="24">
        <v>43251</v>
      </c>
      <c r="I154" s="32"/>
      <c r="J154" s="25"/>
      <c r="K154" s="11">
        <v>1225.7601</v>
      </c>
      <c r="L154" s="32">
        <f t="shared" si="53"/>
        <v>1.3576049495116269E-2</v>
      </c>
      <c r="M154" s="25">
        <f t="shared" si="52"/>
        <v>111.60648296097385</v>
      </c>
      <c r="S154" s="10">
        <v>0</v>
      </c>
    </row>
    <row r="155" spans="1:43">
      <c r="A155" s="24">
        <v>43281</v>
      </c>
      <c r="B155" s="26">
        <v>18120.622499999998</v>
      </c>
      <c r="C155" s="32">
        <f t="shared" si="51"/>
        <v>2.5052992141180397E-2</v>
      </c>
      <c r="D155" s="26">
        <f t="shared" si="50"/>
        <v>165.43769640486653</v>
      </c>
      <c r="F155" s="24">
        <v>43281</v>
      </c>
      <c r="I155" s="32"/>
      <c r="J155" s="25"/>
      <c r="K155" s="11">
        <v>1227.2916</v>
      </c>
      <c r="L155" s="32">
        <f t="shared" si="53"/>
        <v>1.4993145885560999E-2</v>
      </c>
      <c r="M155" s="25">
        <f t="shared" si="52"/>
        <v>113.2798152417821</v>
      </c>
      <c r="S155" s="10" t="s">
        <v>43</v>
      </c>
    </row>
    <row r="156" spans="1:43">
      <c r="A156" s="24">
        <v>43312</v>
      </c>
      <c r="B156" s="25">
        <v>18159.66</v>
      </c>
      <c r="C156" s="32">
        <f t="shared" si="51"/>
        <v>2.5017833116796208E-2</v>
      </c>
      <c r="D156" s="26">
        <f t="shared" si="50"/>
        <v>165.79410105230099</v>
      </c>
      <c r="F156" s="24">
        <v>43312</v>
      </c>
      <c r="I156" s="32"/>
      <c r="J156" s="25"/>
      <c r="K156" s="11">
        <v>1228.9844000000001</v>
      </c>
      <c r="L156" s="32">
        <f t="shared" si="53"/>
        <v>1.6017646157316396E-2</v>
      </c>
      <c r="M156" s="25">
        <f t="shared" si="52"/>
        <v>115.09429123909116</v>
      </c>
      <c r="S156" s="10">
        <v>4.5507403797014033E-3</v>
      </c>
    </row>
    <row r="157" spans="1:43">
      <c r="A157" s="24">
        <v>43343</v>
      </c>
      <c r="B157" s="25">
        <v>18198.62</v>
      </c>
      <c r="C157" s="32">
        <f t="shared" si="51"/>
        <v>2.4914492324052462E-2</v>
      </c>
      <c r="D157" s="26">
        <f t="shared" si="50"/>
        <v>166.14979814007674</v>
      </c>
      <c r="F157" s="24">
        <v>43343</v>
      </c>
      <c r="I157" s="32"/>
      <c r="J157" s="25"/>
      <c r="K157" s="11">
        <v>1230.6537000000001</v>
      </c>
      <c r="L157" s="32">
        <f t="shared" si="53"/>
        <v>1.5773527601195707E-2</v>
      </c>
      <c r="M157" s="25">
        <f t="shared" si="52"/>
        <v>116.90973421869101</v>
      </c>
    </row>
    <row r="158" spans="1:43">
      <c r="A158" s="24">
        <v>43373</v>
      </c>
      <c r="B158" s="59">
        <v>18235.900000000001</v>
      </c>
      <c r="C158" s="32">
        <f t="shared" si="51"/>
        <v>2.4582083696456536E-2</v>
      </c>
      <c r="D158" s="26">
        <f t="shared" si="50"/>
        <v>166.49015716041248</v>
      </c>
      <c r="F158" s="24">
        <v>43373</v>
      </c>
      <c r="I158" s="32"/>
      <c r="J158" s="25"/>
      <c r="K158" s="11">
        <v>1232.3669</v>
      </c>
      <c r="L158" s="32">
        <f t="shared" si="53"/>
        <v>1.6705268102634285E-2</v>
      </c>
      <c r="M158" s="25">
        <f t="shared" si="52"/>
        <v>118.86274267262196</v>
      </c>
    </row>
    <row r="159" spans="1:43">
      <c r="A159" s="24">
        <v>43404</v>
      </c>
      <c r="B159" s="10">
        <v>18277.400000000001</v>
      </c>
      <c r="C159" s="32">
        <f t="shared" si="51"/>
        <v>2.6427841996883666E-2</v>
      </c>
      <c r="D159" s="26">
        <f t="shared" si="50"/>
        <v>166.86904394538919</v>
      </c>
      <c r="F159" s="24">
        <v>43404</v>
      </c>
      <c r="I159" s="32"/>
      <c r="J159" s="25"/>
      <c r="K159" s="11">
        <v>1234.1672000000001</v>
      </c>
      <c r="L159" s="32">
        <f t="shared" si="53"/>
        <v>1.6964679656212699E-2</v>
      </c>
      <c r="M159" s="25">
        <f t="shared" si="52"/>
        <v>120.87921102512183</v>
      </c>
    </row>
    <row r="160" spans="1:43">
      <c r="A160" s="24">
        <v>43434</v>
      </c>
      <c r="B160" s="26">
        <v>18319.310000000001</v>
      </c>
      <c r="C160" s="32">
        <f t="shared" si="51"/>
        <v>2.7515948657905302E-2</v>
      </c>
      <c r="D160" s="26">
        <f t="shared" si="50"/>
        <v>167.25167394920547</v>
      </c>
      <c r="F160" s="24">
        <v>43434</v>
      </c>
      <c r="I160" s="32"/>
      <c r="J160" s="25"/>
      <c r="K160" s="11">
        <v>1235.7279000000001</v>
      </c>
      <c r="L160" s="32">
        <f t="shared" si="53"/>
        <v>1.5174929296453143E-2</v>
      </c>
      <c r="M160" s="25">
        <f t="shared" si="52"/>
        <v>122.7135445058391</v>
      </c>
    </row>
    <row r="161" spans="1:44">
      <c r="A161" s="24">
        <v>43465</v>
      </c>
      <c r="B161" s="10">
        <v>18362.684000000001</v>
      </c>
      <c r="C161" s="32">
        <f t="shared" si="51"/>
        <v>2.749547141874386E-2</v>
      </c>
      <c r="D161" s="26">
        <f t="shared" ref="D161" si="54">B161/$B$3*100</f>
        <v>167.64766998321946</v>
      </c>
      <c r="F161" s="24">
        <v>43465</v>
      </c>
      <c r="I161" s="32"/>
      <c r="J161" s="25"/>
      <c r="K161" s="25">
        <v>1237.654</v>
      </c>
      <c r="L161" s="32">
        <f t="shared" si="53"/>
        <v>1.8100758996559756E-2</v>
      </c>
      <c r="M161" s="25">
        <f t="shared" ref="M161" si="55">+M160*(1+L161)</f>
        <v>124.93475280055291</v>
      </c>
    </row>
    <row r="162" spans="1:44">
      <c r="A162" s="24">
        <v>43496</v>
      </c>
      <c r="B162" s="10">
        <v>18407.689999999999</v>
      </c>
      <c r="C162" s="32">
        <f t="shared" si="51"/>
        <v>2.8462632291696627E-2</v>
      </c>
      <c r="D162" s="26">
        <f t="shared" ref="D162:D168" si="56">B162/$B$3*100</f>
        <v>168.05856585417516</v>
      </c>
      <c r="F162" s="24">
        <v>43496</v>
      </c>
      <c r="I162" s="32"/>
      <c r="J162" s="25"/>
      <c r="K162" s="25">
        <v>1239.7718</v>
      </c>
      <c r="L162" s="32">
        <f t="shared" si="53"/>
        <v>1.9871310117053377E-2</v>
      </c>
      <c r="M162" s="25">
        <f t="shared" ref="M162" si="57">+M161*(1+L162)</f>
        <v>127.4173700178501</v>
      </c>
    </row>
    <row r="163" spans="1:44">
      <c r="A163" s="24">
        <v>43524</v>
      </c>
      <c r="B163" s="10">
        <v>18449.16</v>
      </c>
      <c r="C163" s="32">
        <f t="shared" si="51"/>
        <v>2.896537883274565E-2</v>
      </c>
      <c r="D163" s="26">
        <f t="shared" si="56"/>
        <v>168.43717874509045</v>
      </c>
      <c r="F163" s="24">
        <v>43524</v>
      </c>
      <c r="I163" s="32"/>
      <c r="J163" s="25"/>
      <c r="K163" s="25">
        <v>1241.6304</v>
      </c>
      <c r="L163" s="32">
        <f t="shared" si="53"/>
        <v>1.9274745331590015E-2</v>
      </c>
      <c r="M163" s="25">
        <f t="shared" ref="M163" si="58">+M162*(1+L163)</f>
        <v>129.87330737576514</v>
      </c>
    </row>
    <row r="164" spans="1:44">
      <c r="A164" s="24">
        <v>43555</v>
      </c>
      <c r="B164" s="10">
        <v>18496.82</v>
      </c>
      <c r="C164" s="32">
        <f t="shared" si="51"/>
        <v>2.9999792280079301E-2</v>
      </c>
      <c r="D164" s="26">
        <f t="shared" si="56"/>
        <v>168.8723051106806</v>
      </c>
      <c r="F164" s="24">
        <v>43555</v>
      </c>
      <c r="I164" s="32"/>
      <c r="J164" s="25"/>
      <c r="K164" s="25">
        <v>1243.7364</v>
      </c>
      <c r="L164" s="32">
        <f t="shared" ref="L164:L169" si="59">+(K164/K163-1)/(F164-F163)*360</f>
        <v>1.9697306214110293E-2</v>
      </c>
      <c r="M164" s="25">
        <f>+M163*(1+L164)</f>
        <v>132.43146168018487</v>
      </c>
    </row>
    <row r="165" spans="1:44">
      <c r="A165" s="24">
        <v>43585</v>
      </c>
      <c r="B165" s="10">
        <v>18543.07</v>
      </c>
      <c r="C165" s="32">
        <f t="shared" ref="C165:C170" si="60">(B165/B164-1)/(A165-A164)*360</f>
        <v>3.0005157643314462E-2</v>
      </c>
      <c r="D165" s="26">
        <f t="shared" si="56"/>
        <v>169.29455845538357</v>
      </c>
      <c r="F165" s="24">
        <v>43585</v>
      </c>
      <c r="I165" s="32"/>
      <c r="J165" s="25"/>
      <c r="K165" s="25">
        <v>1245.7855</v>
      </c>
      <c r="L165" s="32">
        <f t="shared" si="59"/>
        <v>1.9770427238439581E-2</v>
      </c>
      <c r="M165" s="25">
        <f t="shared" ref="M165:M167" si="61">+M164*(1+L165)</f>
        <v>135.04968825741315</v>
      </c>
    </row>
    <row r="166" spans="1:44">
      <c r="A166" s="24">
        <v>43616</v>
      </c>
      <c r="B166" s="10">
        <v>18591.02</v>
      </c>
      <c r="C166" s="32">
        <f t="shared" si="60"/>
        <v>3.0029477841448365E-2</v>
      </c>
      <c r="D166" s="26">
        <f t="shared" si="56"/>
        <v>169.73233246356753</v>
      </c>
      <c r="F166" s="24">
        <v>43616</v>
      </c>
      <c r="I166" s="32"/>
      <c r="J166" s="25"/>
      <c r="K166" s="10">
        <v>1247.8388</v>
      </c>
      <c r="L166" s="32">
        <f t="shared" si="59"/>
        <v>1.9140352968909653E-2</v>
      </c>
      <c r="M166" s="25">
        <f t="shared" si="61"/>
        <v>137.63458695900124</v>
      </c>
    </row>
    <row r="167" spans="1:44">
      <c r="A167" s="24">
        <v>43646</v>
      </c>
      <c r="B167" s="10">
        <v>18632.310000000001</v>
      </c>
      <c r="C167" s="32">
        <f t="shared" si="60"/>
        <v>2.6651576944137997E-2</v>
      </c>
      <c r="D167" s="10">
        <f t="shared" si="56"/>
        <v>170.10930199011426</v>
      </c>
      <c r="F167" s="24">
        <v>43646</v>
      </c>
      <c r="I167" s="32"/>
      <c r="J167" s="25"/>
      <c r="K167" s="10">
        <v>1249.8127999999999</v>
      </c>
      <c r="L167" s="32">
        <f t="shared" si="59"/>
        <v>1.8983221230177705E-2</v>
      </c>
      <c r="M167" s="25">
        <f t="shared" si="61"/>
        <v>140.2473347721681</v>
      </c>
    </row>
    <row r="168" spans="1:44">
      <c r="A168" s="24">
        <v>43677</v>
      </c>
      <c r="B168" s="10">
        <v>18672.310000000001</v>
      </c>
      <c r="C168" s="32">
        <f t="shared" si="60"/>
        <v>2.4930678430760311E-2</v>
      </c>
      <c r="D168" s="10">
        <f t="shared" si="56"/>
        <v>170.47449407201955</v>
      </c>
      <c r="F168" s="24">
        <v>43677</v>
      </c>
      <c r="I168" s="32"/>
      <c r="J168" s="25"/>
      <c r="K168" s="10">
        <v>1251.7653</v>
      </c>
      <c r="L168" s="32">
        <f t="shared" si="59"/>
        <v>1.814207179538296E-2</v>
      </c>
      <c r="M168" s="25">
        <f t="shared" ref="M168:M169" si="62">+M167*(1+L168)</f>
        <v>142.79171198871586</v>
      </c>
      <c r="AR168" s="58"/>
    </row>
    <row r="169" spans="1:44">
      <c r="A169" s="24">
        <v>43708</v>
      </c>
      <c r="B169" s="10">
        <v>18712.55</v>
      </c>
      <c r="C169" s="32">
        <f t="shared" si="60"/>
        <v>2.5026535324576389E-2</v>
      </c>
      <c r="D169" s="10">
        <f t="shared" ref="D169:D170" si="63">B169/$B$3*100</f>
        <v>170.84187730641625</v>
      </c>
      <c r="F169" s="24">
        <v>43708</v>
      </c>
      <c r="I169" s="32"/>
      <c r="J169" s="25"/>
      <c r="K169" s="10">
        <v>1253.6594</v>
      </c>
      <c r="L169" s="32">
        <f t="shared" si="59"/>
        <v>1.7571984141117443E-2</v>
      </c>
      <c r="M169" s="25">
        <f t="shared" si="62"/>
        <v>145.3008456872646</v>
      </c>
    </row>
    <row r="170" spans="1:44">
      <c r="A170" s="24">
        <v>43738</v>
      </c>
      <c r="B170" s="10">
        <v>18744.77</v>
      </c>
      <c r="C170" s="32">
        <f t="shared" si="60"/>
        <v>2.0662069039227404E-2</v>
      </c>
      <c r="D170" s="10">
        <f t="shared" si="63"/>
        <v>171.13603952839097</v>
      </c>
      <c r="F170" s="24">
        <v>43738</v>
      </c>
      <c r="I170" s="32"/>
      <c r="J170" s="25"/>
      <c r="K170" s="10">
        <v>1255.4577999999999</v>
      </c>
      <c r="L170" s="32">
        <f t="shared" ref="L170:L171" si="64">+(K170/K169-1)/(F170-F169)*360</f>
        <v>1.7214244953612123E-2</v>
      </c>
      <c r="M170" s="25">
        <f t="shared" ref="M170:M171" si="65">+M169*(1+L170)</f>
        <v>147.80209003689217</v>
      </c>
    </row>
    <row r="171" spans="1:44">
      <c r="A171" s="24">
        <v>43769</v>
      </c>
      <c r="B171" s="10">
        <v>18776.101999999999</v>
      </c>
      <c r="C171" s="32">
        <f t="shared" ref="C171:C172" si="66">(B171/B170-1)/(A171-A170)*360</f>
        <v>1.9411040192595704E-2</v>
      </c>
      <c r="D171" s="10">
        <f t="shared" ref="D171:D172" si="67">B171/$B$3*100</f>
        <v>171.42209448614736</v>
      </c>
      <c r="F171" s="24">
        <v>43769</v>
      </c>
      <c r="I171" s="32"/>
      <c r="J171" s="25"/>
      <c r="K171" s="10">
        <v>1257.2878000000001</v>
      </c>
      <c r="L171" s="32">
        <f t="shared" si="64"/>
        <v>1.6927381313197275E-2</v>
      </c>
      <c r="M171" s="25">
        <f t="shared" si="65"/>
        <v>150.30399237383418</v>
      </c>
    </row>
    <row r="172" spans="1:44">
      <c r="A172" s="24">
        <v>43799</v>
      </c>
      <c r="B172" s="10">
        <v>18802.79</v>
      </c>
      <c r="C172" s="32">
        <f t="shared" si="66"/>
        <v>1.7056575427638165E-2</v>
      </c>
      <c r="D172" s="10">
        <f t="shared" si="67"/>
        <v>171.66575064319457</v>
      </c>
      <c r="F172" s="24">
        <v>43799</v>
      </c>
      <c r="I172" s="32"/>
      <c r="J172" s="25"/>
      <c r="K172" s="10">
        <v>1259.0622000000001</v>
      </c>
      <c r="L172" s="32">
        <f t="shared" ref="L172:L173" si="68">+(K172/K171-1)/(F172-F171)*360</f>
        <v>1.6935501959059351E-2</v>
      </c>
      <c r="M172" s="25">
        <f t="shared" ref="M172:M173" si="69">+M171*(1+L172)</f>
        <v>152.84946593113568</v>
      </c>
    </row>
    <row r="173" spans="1:44">
      <c r="A173" s="24">
        <v>43830</v>
      </c>
      <c r="B173" s="10">
        <v>18830.68</v>
      </c>
      <c r="C173" s="32">
        <f t="shared" ref="C173:C174" si="70">(B173/B172-1)/(A173-A172)*360</f>
        <v>1.7225309167826532E-2</v>
      </c>
      <c r="D173" s="10">
        <f t="shared" ref="D173:D174" si="71">B173/$B$3*100</f>
        <v>171.92038082230303</v>
      </c>
      <c r="F173" s="24">
        <v>43830</v>
      </c>
      <c r="I173" s="32"/>
      <c r="J173" s="25"/>
      <c r="K173" s="10">
        <v>1260.7945999999999</v>
      </c>
      <c r="L173" s="32">
        <f t="shared" si="68"/>
        <v>1.59787130043181E-2</v>
      </c>
      <c r="M173" s="25">
        <f t="shared" si="69"/>
        <v>155.29180368011259</v>
      </c>
    </row>
    <row r="174" spans="1:44">
      <c r="A174" s="24">
        <v>43861</v>
      </c>
      <c r="B174" s="10">
        <v>18861.86</v>
      </c>
      <c r="C174" s="32">
        <f t="shared" si="70"/>
        <v>1.9228743868020683E-2</v>
      </c>
      <c r="D174" s="10">
        <f t="shared" si="71"/>
        <v>172.20504805014821</v>
      </c>
      <c r="F174" s="24">
        <v>43861</v>
      </c>
      <c r="I174" s="32"/>
      <c r="J174" s="25"/>
      <c r="K174" s="10">
        <v>1262.5753999999999</v>
      </c>
      <c r="L174" s="32">
        <f t="shared" ref="L174:L175" si="72">+(K174/K173-1)/(F174-F173)*360</f>
        <v>1.6402559199187192E-2</v>
      </c>
      <c r="M174" s="25">
        <f t="shared" ref="M174:M175" si="73">+M173*(1+L174)</f>
        <v>157.8389866831242</v>
      </c>
    </row>
    <row r="175" spans="1:44">
      <c r="A175" s="24">
        <v>43890</v>
      </c>
      <c r="B175" s="10">
        <v>18887.886699999999</v>
      </c>
      <c r="C175" s="32">
        <f t="shared" ref="C175:C176" si="74">(B175/B174-1)/(A175-A174)*360</f>
        <v>1.7129279348140885E-2</v>
      </c>
      <c r="D175" s="10">
        <f t="shared" ref="D175:D176" si="75">B175/$B$3*100</f>
        <v>172.4426666691013</v>
      </c>
      <c r="F175" s="24">
        <v>43890</v>
      </c>
      <c r="I175" s="32"/>
      <c r="J175" s="25"/>
      <c r="K175" s="10">
        <v>1264.0600999999999</v>
      </c>
      <c r="L175" s="32">
        <f t="shared" si="72"/>
        <v>1.4597748871623052E-2</v>
      </c>
      <c r="M175" s="25">
        <f t="shared" si="73"/>
        <v>160.14308057287593</v>
      </c>
    </row>
    <row r="176" spans="1:44">
      <c r="A176" s="24">
        <v>43921</v>
      </c>
      <c r="B176" s="10">
        <v>18908.77</v>
      </c>
      <c r="C176" s="32">
        <f t="shared" si="74"/>
        <v>1.283974993007142E-2</v>
      </c>
      <c r="D176" s="10">
        <f t="shared" si="75"/>
        <v>172.6333270642026</v>
      </c>
      <c r="F176" s="24">
        <v>43921</v>
      </c>
      <c r="I176" s="32"/>
      <c r="J176" s="25"/>
      <c r="K176" s="10">
        <v>1265.4909</v>
      </c>
      <c r="L176" s="32">
        <f t="shared" ref="L176:L177" si="76">+(K176/K175-1)/(F176-F175)*360</f>
        <v>1.3144740456157381E-2</v>
      </c>
      <c r="M176" s="25">
        <f t="shared" ref="M176:M177" si="77">+M175*(1+L176)</f>
        <v>162.24811980285588</v>
      </c>
    </row>
    <row r="177" spans="1:43">
      <c r="A177" s="24">
        <v>43951</v>
      </c>
      <c r="B177" s="10">
        <v>18917.93</v>
      </c>
      <c r="C177" s="32">
        <f t="shared" ref="C177:C178" si="78">(B177/B176-1)/(A177-A176)*360</f>
        <v>5.8131755793748852E-3</v>
      </c>
      <c r="D177" s="10">
        <f t="shared" ref="D177:D178" si="79">B177/$B$3*100</f>
        <v>172.71695605095891</v>
      </c>
      <c r="F177" s="24">
        <v>43951</v>
      </c>
      <c r="I177" s="32"/>
      <c r="J177" s="25"/>
      <c r="K177" s="10">
        <v>1266.7001</v>
      </c>
      <c r="L177" s="32">
        <f t="shared" si="76"/>
        <v>1.1466222317363162E-2</v>
      </c>
      <c r="M177" s="25">
        <f t="shared" si="77"/>
        <v>164.10849281508959</v>
      </c>
    </row>
    <row r="178" spans="1:43">
      <c r="A178" s="24">
        <v>43982</v>
      </c>
      <c r="B178" s="10">
        <v>18925.240000000002</v>
      </c>
      <c r="C178" s="32">
        <f t="shared" si="78"/>
        <v>4.4872944651278808E-3</v>
      </c>
      <c r="D178" s="10">
        <f t="shared" si="79"/>
        <v>172.78369490392711</v>
      </c>
      <c r="F178" s="24">
        <v>43982</v>
      </c>
      <c r="I178" s="32"/>
      <c r="J178" s="25"/>
      <c r="K178" s="10">
        <v>1268.0009</v>
      </c>
      <c r="L178" s="32">
        <f t="shared" ref="L178:L202" si="80">+(K178/K177-1)/(F178-F177)*360</f>
        <v>1.1925525636360044E-2</v>
      </c>
      <c r="M178" s="25">
        <f t="shared" ref="M178:M180" si="81">+M177*(1+L178)</f>
        <v>166.06557285330032</v>
      </c>
    </row>
    <row r="179" spans="1:43">
      <c r="A179" s="24">
        <v>44012</v>
      </c>
      <c r="B179" s="10">
        <v>18932.63</v>
      </c>
      <c r="C179" s="32">
        <f t="shared" ref="C179:C180" si="82">(B179/B178-1)/(A179-A178)*360</f>
        <v>4.6858058339029895E-3</v>
      </c>
      <c r="D179" s="10">
        <f t="shared" ref="D179:D180" si="83">B179/$B$3*100</f>
        <v>172.85116414105912</v>
      </c>
      <c r="F179" s="24">
        <v>44012</v>
      </c>
      <c r="I179" s="32"/>
      <c r="J179" s="25"/>
      <c r="K179" s="10">
        <v>1268.1358</v>
      </c>
      <c r="L179" s="32">
        <f t="shared" si="80"/>
        <v>1.2766552452765367E-3</v>
      </c>
      <c r="M179" s="25">
        <f t="shared" si="81"/>
        <v>166.27758133794333</v>
      </c>
      <c r="AD179" s="58"/>
      <c r="AE179" s="58"/>
      <c r="AF179" s="58"/>
      <c r="AG179" s="58"/>
      <c r="AH179" s="58"/>
      <c r="AI179" s="58"/>
      <c r="AJ179" s="58"/>
      <c r="AK179" s="58"/>
      <c r="AL179" s="58"/>
      <c r="AM179" s="58"/>
      <c r="AN179" s="58"/>
      <c r="AO179" s="58"/>
      <c r="AP179" s="58"/>
      <c r="AQ179" s="58"/>
    </row>
    <row r="180" spans="1:43">
      <c r="A180" s="24">
        <v>44043</v>
      </c>
      <c r="B180" s="10">
        <v>18940.740000000002</v>
      </c>
      <c r="C180" s="32">
        <f t="shared" si="82"/>
        <v>4.9745146427785276E-3</v>
      </c>
      <c r="D180" s="10">
        <f t="shared" si="83"/>
        <v>172.92520683566542</v>
      </c>
      <c r="F180" s="24">
        <v>44043</v>
      </c>
      <c r="I180" s="32"/>
      <c r="J180" s="25"/>
      <c r="K180" s="10">
        <v>1268.1552999999999</v>
      </c>
      <c r="L180" s="32">
        <f t="shared" si="80"/>
        <v>1.785704755779567E-4</v>
      </c>
      <c r="M180" s="25">
        <f t="shared" si="81"/>
        <v>166.30727360472079</v>
      </c>
    </row>
    <row r="181" spans="1:43">
      <c r="A181" s="24">
        <v>44074</v>
      </c>
      <c r="B181" s="10">
        <v>18948.689999999999</v>
      </c>
      <c r="C181" s="32">
        <f t="shared" ref="C181:C219" si="84">(B181/B180-1)/(A181-A180)*360</f>
        <v>4.8742858328197948E-3</v>
      </c>
      <c r="D181" s="10">
        <f t="shared" ref="D181:D219" si="85">B181/$B$3*100</f>
        <v>172.99778876194407</v>
      </c>
      <c r="F181" s="24">
        <v>44074</v>
      </c>
      <c r="I181" s="32"/>
      <c r="J181" s="25"/>
      <c r="K181" s="10">
        <v>1268.1782000000001</v>
      </c>
      <c r="L181" s="32">
        <f t="shared" si="80"/>
        <v>2.0970261597648646E-4</v>
      </c>
      <c r="M181" s="25">
        <f t="shared" ref="M181:M202" si="86">+M180*(1+L181)</f>
        <v>166.34214867505162</v>
      </c>
    </row>
    <row r="182" spans="1:43">
      <c r="A182" s="24">
        <v>44104</v>
      </c>
      <c r="B182" s="10">
        <v>18956.169999999998</v>
      </c>
      <c r="C182" s="32">
        <f t="shared" si="84"/>
        <v>4.7370029273796632E-3</v>
      </c>
      <c r="D182" s="10">
        <f t="shared" si="85"/>
        <v>173.06607968126036</v>
      </c>
      <c r="F182" s="24">
        <v>44104</v>
      </c>
      <c r="I182" s="32"/>
      <c r="J182" s="25"/>
      <c r="K182" s="10">
        <v>1268.1967</v>
      </c>
      <c r="L182" s="32">
        <f t="shared" si="80"/>
        <v>1.7505426287733883E-4</v>
      </c>
      <c r="M182" s="25">
        <f t="shared" si="86"/>
        <v>166.37126757727336</v>
      </c>
    </row>
    <row r="183" spans="1:43">
      <c r="A183" s="24">
        <v>44135</v>
      </c>
      <c r="B183" s="10">
        <v>18963.23</v>
      </c>
      <c r="C183" s="32">
        <f t="shared" si="84"/>
        <v>4.3250876508404267E-3</v>
      </c>
      <c r="D183" s="10">
        <f t="shared" si="85"/>
        <v>173.13053608371663</v>
      </c>
      <c r="F183" s="24">
        <v>44135</v>
      </c>
      <c r="I183" s="32"/>
      <c r="J183" s="25"/>
      <c r="K183" s="10">
        <v>1268.2118</v>
      </c>
      <c r="L183" s="32">
        <f t="shared" si="80"/>
        <v>1.3827101009715237E-4</v>
      </c>
      <c r="M183" s="25">
        <f t="shared" si="86"/>
        <v>166.39427190049241</v>
      </c>
    </row>
    <row r="184" spans="1:43">
      <c r="A184" s="24">
        <v>44165</v>
      </c>
      <c r="B184" s="26">
        <v>18969.48</v>
      </c>
      <c r="C184" s="32">
        <f t="shared" si="84"/>
        <v>3.9550224302509207E-3</v>
      </c>
      <c r="D184" s="10">
        <f t="shared" si="85"/>
        <v>173.18759734651434</v>
      </c>
      <c r="F184" s="24">
        <v>44165</v>
      </c>
      <c r="I184" s="32"/>
      <c r="J184" s="25"/>
      <c r="K184" s="10">
        <v>1268.2674999999999</v>
      </c>
      <c r="L184" s="32">
        <f t="shared" si="80"/>
        <v>5.27041303351794E-4</v>
      </c>
      <c r="M184" s="25">
        <f t="shared" si="86"/>
        <v>166.48196855442512</v>
      </c>
    </row>
    <row r="185" spans="1:43">
      <c r="A185" s="24">
        <v>44196</v>
      </c>
      <c r="B185" s="10">
        <v>18976.88</v>
      </c>
      <c r="C185" s="32">
        <f t="shared" si="84"/>
        <v>4.5301971309169037E-3</v>
      </c>
      <c r="D185" s="10">
        <f t="shared" si="85"/>
        <v>173.25515788166683</v>
      </c>
      <c r="F185" s="24">
        <v>44196</v>
      </c>
      <c r="I185" s="32"/>
      <c r="J185" s="25"/>
      <c r="K185" s="10">
        <v>1268.2985000000001</v>
      </c>
      <c r="L185" s="32">
        <f t="shared" si="80"/>
        <v>2.83851789943802E-4</v>
      </c>
      <c r="M185" s="25">
        <f t="shared" si="86"/>
        <v>166.52922475919266</v>
      </c>
    </row>
    <row r="186" spans="1:43">
      <c r="A186" s="24">
        <v>44227</v>
      </c>
      <c r="B186" s="10">
        <v>18982.04</v>
      </c>
      <c r="C186" s="32">
        <f t="shared" si="84"/>
        <v>3.1576624105299524E-3</v>
      </c>
      <c r="D186" s="10">
        <f t="shared" si="85"/>
        <v>173.30226766023259</v>
      </c>
      <c r="F186" s="24">
        <v>44227</v>
      </c>
      <c r="I186" s="32"/>
      <c r="J186" s="25"/>
      <c r="K186" s="10">
        <v>1268.4135000000001</v>
      </c>
      <c r="L186" s="32">
        <f t="shared" si="80"/>
        <v>1.0529728379936275E-3</v>
      </c>
      <c r="M186" s="25">
        <f t="shared" si="86"/>
        <v>166.70457550959622</v>
      </c>
    </row>
    <row r="187" spans="1:43">
      <c r="A187" s="24">
        <v>44255</v>
      </c>
      <c r="B187" s="10">
        <v>18986.580000000002</v>
      </c>
      <c r="C187" s="32">
        <f t="shared" si="84"/>
        <v>3.0750872177831567E-3</v>
      </c>
      <c r="D187" s="10">
        <f t="shared" si="85"/>
        <v>173.34371696152886</v>
      </c>
      <c r="F187" s="24">
        <v>44255</v>
      </c>
      <c r="I187" s="32"/>
      <c r="J187" s="25"/>
      <c r="K187" s="10">
        <v>1268.4572000000001</v>
      </c>
      <c r="L187" s="32">
        <f t="shared" si="80"/>
        <v>4.4296055099923848E-4</v>
      </c>
      <c r="M187" s="25">
        <f t="shared" si="86"/>
        <v>166.77841906021806</v>
      </c>
    </row>
    <row r="188" spans="1:43">
      <c r="A188" s="24">
        <v>44286</v>
      </c>
      <c r="B188" s="26">
        <v>18991.5</v>
      </c>
      <c r="C188" s="32">
        <f t="shared" si="84"/>
        <v>3.0092562152281557E-3</v>
      </c>
      <c r="D188" s="10">
        <f t="shared" si="85"/>
        <v>173.3886355876032</v>
      </c>
      <c r="F188" s="24">
        <v>44286</v>
      </c>
      <c r="I188" s="32"/>
      <c r="J188" s="25"/>
      <c r="K188" s="10">
        <v>1268.4863</v>
      </c>
      <c r="L188" s="32">
        <f t="shared" si="80"/>
        <v>2.6641457344469828E-4</v>
      </c>
      <c r="M188" s="25">
        <f t="shared" si="86"/>
        <v>166.82285126159178</v>
      </c>
    </row>
    <row r="189" spans="1:43">
      <c r="A189" s="24">
        <v>44316</v>
      </c>
      <c r="B189" s="10">
        <v>18997.09</v>
      </c>
      <c r="C189" s="32">
        <f t="shared" si="84"/>
        <v>3.5321064686826271E-3</v>
      </c>
      <c r="D189" s="10">
        <f t="shared" si="85"/>
        <v>173.43967118104945</v>
      </c>
      <c r="F189" s="24">
        <v>44316</v>
      </c>
      <c r="I189" s="32"/>
      <c r="J189" s="25"/>
      <c r="K189" s="25">
        <v>1268.5684000000001</v>
      </c>
      <c r="L189" s="32">
        <f t="shared" si="80"/>
        <v>7.7667374097956099E-4</v>
      </c>
      <c r="M189" s="25">
        <f t="shared" si="86"/>
        <v>166.952418189562</v>
      </c>
    </row>
    <row r="190" spans="1:43">
      <c r="A190" s="24">
        <v>44347</v>
      </c>
      <c r="B190" s="10">
        <v>19001.7</v>
      </c>
      <c r="C190" s="32">
        <f t="shared" si="84"/>
        <v>2.8180886583675882E-3</v>
      </c>
      <c r="D190" s="10">
        <f t="shared" si="85"/>
        <v>173.48175956848905</v>
      </c>
      <c r="F190" s="24">
        <v>44356</v>
      </c>
      <c r="I190" s="32"/>
      <c r="J190" s="25"/>
      <c r="K190" s="25">
        <v>1268.5887</v>
      </c>
      <c r="L190" s="32">
        <f t="shared" si="80"/>
        <v>1.4402061410256906E-4</v>
      </c>
      <c r="M190" s="25">
        <f t="shared" si="86"/>
        <v>166.97646277935556</v>
      </c>
    </row>
    <row r="191" spans="1:43">
      <c r="A191" s="24">
        <v>44377</v>
      </c>
      <c r="B191" s="10">
        <v>19006.88</v>
      </c>
      <c r="C191" s="32">
        <f t="shared" si="84"/>
        <v>3.2712862533346154E-3</v>
      </c>
      <c r="D191" s="10">
        <f t="shared" si="85"/>
        <v>173.52905194309579</v>
      </c>
      <c r="F191" s="24">
        <v>44377</v>
      </c>
      <c r="I191" s="32"/>
      <c r="J191" s="25"/>
      <c r="K191" s="10">
        <v>1268.5979</v>
      </c>
      <c r="L191" s="32">
        <f t="shared" si="80"/>
        <v>1.2432263168652265E-4</v>
      </c>
      <c r="M191" s="25">
        <f t="shared" si="86"/>
        <v>166.997221732638</v>
      </c>
    </row>
    <row r="192" spans="1:43">
      <c r="A192" s="24">
        <v>44408</v>
      </c>
      <c r="B192" s="10">
        <v>19016.419999999998</v>
      </c>
      <c r="C192" s="32">
        <f t="shared" si="84"/>
        <v>5.8287891949730802E-3</v>
      </c>
      <c r="D192" s="10">
        <f t="shared" si="85"/>
        <v>173.61615025463018</v>
      </c>
      <c r="F192" s="24">
        <v>44408</v>
      </c>
      <c r="I192" s="32"/>
      <c r="J192" s="25"/>
      <c r="K192" s="25">
        <v>1268.6157000000001</v>
      </c>
      <c r="L192" s="32">
        <f t="shared" si="80"/>
        <v>1.6294341762577945E-4</v>
      </c>
      <c r="M192" s="25">
        <f t="shared" si="86"/>
        <v>167.02443283068112</v>
      </c>
    </row>
    <row r="193" spans="1:13">
      <c r="A193" s="24">
        <v>44439</v>
      </c>
      <c r="B193" s="10">
        <v>19028.38</v>
      </c>
      <c r="C193" s="32">
        <f t="shared" si="84"/>
        <v>7.3037050391555978E-3</v>
      </c>
      <c r="D193" s="10">
        <f t="shared" si="85"/>
        <v>173.72534268711988</v>
      </c>
      <c r="F193" s="24">
        <v>44439</v>
      </c>
      <c r="I193" s="32"/>
      <c r="J193" s="25"/>
      <c r="K193" s="25">
        <v>1268.6364000000001</v>
      </c>
      <c r="L193" s="32">
        <f t="shared" si="80"/>
        <v>1.894877201779091E-4</v>
      </c>
      <c r="M193" s="25">
        <f t="shared" si="86"/>
        <v>167.05608190967223</v>
      </c>
    </row>
    <row r="194" spans="1:13">
      <c r="A194" s="24">
        <v>44469</v>
      </c>
      <c r="B194" s="10">
        <v>19052.12</v>
      </c>
      <c r="C194" s="32">
        <f t="shared" si="84"/>
        <v>1.4971321783566083E-2</v>
      </c>
      <c r="D194" s="10">
        <f t="shared" si="85"/>
        <v>173.94208418773064</v>
      </c>
      <c r="F194" s="24">
        <v>44469</v>
      </c>
      <c r="I194" s="32"/>
      <c r="J194" s="25"/>
      <c r="K194" s="25">
        <v>1268.654</v>
      </c>
      <c r="L194" s="32">
        <f t="shared" si="80"/>
        <v>1.664779601133759E-4</v>
      </c>
      <c r="M194" s="25">
        <f t="shared" si="86"/>
        <v>167.08389306541309</v>
      </c>
    </row>
    <row r="195" spans="1:13">
      <c r="A195" s="24">
        <v>44500</v>
      </c>
      <c r="B195" s="10">
        <v>19091.59</v>
      </c>
      <c r="C195" s="32">
        <f t="shared" si="84"/>
        <v>2.4058282769717453E-2</v>
      </c>
      <c r="D195" s="10">
        <f t="shared" si="85"/>
        <v>174.30243747455069</v>
      </c>
      <c r="F195" s="24">
        <v>44500</v>
      </c>
      <c r="I195" s="32"/>
      <c r="J195" s="25"/>
      <c r="K195" s="25">
        <v>1268.6726000000001</v>
      </c>
      <c r="L195" s="32">
        <f t="shared" si="80"/>
        <v>1.7025918808488336E-4</v>
      </c>
      <c r="M195" s="25">
        <f t="shared" si="86"/>
        <v>167.11234063338844</v>
      </c>
    </row>
    <row r="196" spans="1:13">
      <c r="A196" s="24">
        <v>44530</v>
      </c>
      <c r="B196" s="10">
        <v>19132.47</v>
      </c>
      <c r="C196" s="32">
        <f t="shared" si="84"/>
        <v>2.5695083542021102E-2</v>
      </c>
      <c r="D196" s="10">
        <f t="shared" si="85"/>
        <v>174.67566378225789</v>
      </c>
      <c r="F196" s="24">
        <v>44530</v>
      </c>
      <c r="I196" s="32"/>
      <c r="J196" s="25"/>
      <c r="K196" s="25">
        <v>1268.7193</v>
      </c>
      <c r="L196" s="32">
        <f t="shared" si="80"/>
        <v>4.4172152846932988E-4</v>
      </c>
      <c r="M196" s="25">
        <f t="shared" si="86"/>
        <v>167.1861577519191</v>
      </c>
    </row>
    <row r="197" spans="1:13">
      <c r="A197" s="24">
        <v>44561</v>
      </c>
      <c r="B197" s="10">
        <v>19193.41</v>
      </c>
      <c r="C197" s="32">
        <f t="shared" si="84"/>
        <v>3.6988968103994269E-2</v>
      </c>
      <c r="D197" s="10">
        <f t="shared" si="85"/>
        <v>175.23203391904059</v>
      </c>
      <c r="F197" s="24">
        <v>44561</v>
      </c>
      <c r="I197" s="32"/>
      <c r="J197" s="25"/>
      <c r="K197" s="10">
        <v>1268.7577000000001</v>
      </c>
      <c r="L197" s="32">
        <f t="shared" si="80"/>
        <v>3.5148474833882867E-4</v>
      </c>
      <c r="M197" s="25">
        <f t="shared" si="86"/>
        <v>167.24492113650226</v>
      </c>
    </row>
    <row r="198" spans="1:13">
      <c r="A198" s="24">
        <v>44592</v>
      </c>
      <c r="B198" s="10">
        <v>19259.349999999999</v>
      </c>
      <c r="C198" s="32">
        <f t="shared" si="84"/>
        <v>3.9896758247213462E-2</v>
      </c>
      <c r="D198" s="10">
        <f t="shared" si="85"/>
        <v>175.83405306606141</v>
      </c>
      <c r="F198" s="24">
        <v>44592</v>
      </c>
      <c r="I198" s="32"/>
      <c r="J198" s="25"/>
      <c r="K198" s="10">
        <v>1268.8065999999999</v>
      </c>
      <c r="L198" s="32">
        <f t="shared" si="80"/>
        <v>4.4758031241007572E-4</v>
      </c>
      <c r="M198" s="25">
        <f t="shared" si="86"/>
        <v>167.31977667055352</v>
      </c>
    </row>
    <row r="199" spans="1:13">
      <c r="A199" s="24">
        <v>44620</v>
      </c>
      <c r="B199" s="26">
        <v>19341.900000000001</v>
      </c>
      <c r="C199" s="32">
        <f t="shared" si="84"/>
        <v>5.510866892481639E-2</v>
      </c>
      <c r="D199" s="10">
        <f t="shared" si="85"/>
        <v>176.58771822509348</v>
      </c>
      <c r="F199" s="24">
        <v>44620</v>
      </c>
      <c r="I199" s="32"/>
      <c r="J199" s="25"/>
      <c r="K199" s="25">
        <v>1268.8626999999999</v>
      </c>
      <c r="L199" s="32">
        <f t="shared" si="80"/>
        <v>5.6847569541718102E-4</v>
      </c>
      <c r="M199" s="25">
        <f t="shared" si="86"/>
        <v>167.41489389695337</v>
      </c>
    </row>
    <row r="200" spans="1:13">
      <c r="A200" s="24">
        <v>44651</v>
      </c>
      <c r="B200" s="10">
        <v>19435.349999999999</v>
      </c>
      <c r="C200" s="32">
        <f t="shared" si="84"/>
        <v>5.6107507869007853E-2</v>
      </c>
      <c r="D200" s="10">
        <f t="shared" si="85"/>
        <v>177.44089822644463</v>
      </c>
      <c r="F200" s="24">
        <v>44651</v>
      </c>
      <c r="I200" s="32"/>
      <c r="J200" s="25"/>
      <c r="K200" s="25">
        <v>1268.9287999999999</v>
      </c>
      <c r="L200" s="32">
        <f t="shared" si="80"/>
        <v>6.0496135888121034E-4</v>
      </c>
      <c r="M200" s="25">
        <f t="shared" si="86"/>
        <v>167.51617343866224</v>
      </c>
    </row>
    <row r="201" spans="1:13">
      <c r="A201" s="24">
        <v>44681</v>
      </c>
      <c r="B201" s="10">
        <v>19541.32</v>
      </c>
      <c r="C201" s="32">
        <f t="shared" si="84"/>
        <v>6.542923075735807E-2</v>
      </c>
      <c r="D201" s="10">
        <f t="shared" si="85"/>
        <v>178.40838334943223</v>
      </c>
      <c r="F201" s="24">
        <v>44681</v>
      </c>
      <c r="I201" s="32"/>
      <c r="J201" s="25"/>
      <c r="K201" s="25">
        <v>1269.0456999999999</v>
      </c>
      <c r="L201" s="32">
        <f t="shared" si="80"/>
        <v>1.1054993786876466E-3</v>
      </c>
      <c r="M201" s="25">
        <f t="shared" si="86"/>
        <v>167.70136246431881</v>
      </c>
    </row>
    <row r="202" spans="1:13">
      <c r="A202" s="24">
        <v>44712</v>
      </c>
      <c r="B202" s="10">
        <v>19680.32</v>
      </c>
      <c r="C202" s="32">
        <f t="shared" si="84"/>
        <v>8.2604120314651669E-2</v>
      </c>
      <c r="D202" s="10">
        <f t="shared" si="85"/>
        <v>179.67742583405308</v>
      </c>
      <c r="F202" s="24">
        <v>44712</v>
      </c>
      <c r="I202" s="32"/>
      <c r="J202" s="25"/>
      <c r="K202" s="10">
        <v>1269.4676999999999</v>
      </c>
      <c r="L202" s="32">
        <f t="shared" si="80"/>
        <v>3.8616774488814932E-3</v>
      </c>
      <c r="M202" s="25">
        <f t="shared" si="86"/>
        <v>168.34897103389397</v>
      </c>
    </row>
    <row r="203" spans="1:13">
      <c r="A203" s="24">
        <v>44742</v>
      </c>
      <c r="B203" s="10">
        <v>19825.16</v>
      </c>
      <c r="C203" s="32">
        <f t="shared" si="84"/>
        <v>8.831563714411049E-2</v>
      </c>
      <c r="D203" s="10">
        <f t="shared" si="85"/>
        <v>180.99978636263211</v>
      </c>
      <c r="F203" s="24">
        <v>44742</v>
      </c>
      <c r="I203" s="32"/>
      <c r="J203" s="25"/>
      <c r="K203" s="25">
        <v>1269.9793999999999</v>
      </c>
      <c r="L203" s="32">
        <f t="shared" ref="L203:L204" si="87">+(K203/K202-1)/(F203-F202)*360</f>
        <v>4.8369879753540346E-3</v>
      </c>
      <c r="M203" s="25">
        <f t="shared" ref="M203:M204" si="88">+M202*(1+L203)</f>
        <v>169.16327298244815</v>
      </c>
    </row>
    <row r="204" spans="1:13">
      <c r="A204" s="24">
        <v>44773</v>
      </c>
      <c r="B204" s="10">
        <v>19975.62</v>
      </c>
      <c r="C204" s="32">
        <f t="shared" si="84"/>
        <v>8.8134341380086273E-2</v>
      </c>
      <c r="D204" s="10">
        <f t="shared" si="85"/>
        <v>182.3734563787188</v>
      </c>
      <c r="F204" s="24">
        <v>44773</v>
      </c>
      <c r="I204" s="32"/>
      <c r="J204" s="25"/>
      <c r="K204" s="25">
        <v>1270.7479000000001</v>
      </c>
      <c r="L204" s="32">
        <f t="shared" si="87"/>
        <v>7.0272920403535721E-3</v>
      </c>
      <c r="M204" s="25">
        <f t="shared" si="88"/>
        <v>170.35203270419785</v>
      </c>
    </row>
    <row r="205" spans="1:13">
      <c r="A205" s="24">
        <v>44804</v>
      </c>
      <c r="B205" s="10">
        <v>20154.919999999998</v>
      </c>
      <c r="C205" s="32">
        <f t="shared" si="84"/>
        <v>0.1042367420078613</v>
      </c>
      <c r="D205" s="10">
        <f t="shared" si="85"/>
        <v>184.0104298858592</v>
      </c>
      <c r="F205" s="24">
        <v>44804</v>
      </c>
      <c r="I205" s="32"/>
      <c r="J205" s="25"/>
      <c r="K205" s="25">
        <v>1272.075</v>
      </c>
      <c r="L205" s="32">
        <f t="shared" ref="L205:L209" si="89">+(K205/K204-1)/(F205-F204)*360</f>
        <v>1.2127884587468062E-2</v>
      </c>
      <c r="M205" s="25">
        <f t="shared" ref="M205:M209" si="90">+M204*(1+L205)</f>
        <v>172.41804249607497</v>
      </c>
    </row>
    <row r="206" spans="1:13">
      <c r="A206" s="24">
        <v>44834</v>
      </c>
      <c r="B206" s="10">
        <v>20332.28</v>
      </c>
      <c r="C206" s="32">
        <f t="shared" si="84"/>
        <v>0.10559803760074526</v>
      </c>
      <c r="D206" s="10">
        <f t="shared" si="85"/>
        <v>185.62969157702722</v>
      </c>
      <c r="F206" s="24">
        <v>44834</v>
      </c>
      <c r="I206" s="32"/>
      <c r="J206" s="25"/>
      <c r="K206" s="25">
        <v>1273.8575000000001</v>
      </c>
      <c r="L206" s="32">
        <f t="shared" si="89"/>
        <v>1.6815046282649959E-2</v>
      </c>
      <c r="M206" s="25">
        <f t="shared" si="90"/>
        <v>175.31725986061039</v>
      </c>
    </row>
    <row r="207" spans="1:13">
      <c r="A207" s="24">
        <v>44862</v>
      </c>
      <c r="B207" s="10">
        <v>20507.2</v>
      </c>
      <c r="C207" s="32">
        <f t="shared" si="84"/>
        <v>0.11061088223118416</v>
      </c>
      <c r="D207" s="10">
        <f t="shared" si="85"/>
        <v>187.22667655119903</v>
      </c>
      <c r="F207" s="24">
        <v>44862</v>
      </c>
      <c r="I207" s="32"/>
      <c r="J207" s="25"/>
      <c r="K207" s="25">
        <v>1275.941</v>
      </c>
      <c r="L207" s="32">
        <f t="shared" si="89"/>
        <v>2.1028927602071423E-2</v>
      </c>
      <c r="M207" s="25">
        <f t="shared" si="90"/>
        <v>179.0039938256127</v>
      </c>
    </row>
    <row r="208" spans="1:13">
      <c r="A208" s="24">
        <v>44895</v>
      </c>
      <c r="B208" s="10">
        <v>20719.68</v>
      </c>
      <c r="C208" s="32">
        <f t="shared" si="84"/>
        <v>0.11303169795796657</v>
      </c>
      <c r="D208" s="10">
        <f t="shared" si="85"/>
        <v>189.16657689027986</v>
      </c>
      <c r="F208" s="24">
        <v>44895</v>
      </c>
      <c r="I208" s="32"/>
      <c r="J208" s="25"/>
      <c r="K208" s="25">
        <v>1278.9082000000001</v>
      </c>
      <c r="L208" s="32">
        <f t="shared" si="89"/>
        <v>2.5369084107694884E-2</v>
      </c>
      <c r="M208" s="25">
        <f t="shared" si="90"/>
        <v>183.54516120058796</v>
      </c>
    </row>
    <row r="209" spans="1:13">
      <c r="A209" s="24">
        <v>44925</v>
      </c>
      <c r="B209" s="10">
        <v>20914.79</v>
      </c>
      <c r="C209" s="32">
        <f t="shared" si="84"/>
        <v>0.11299981466895305</v>
      </c>
      <c r="D209" s="10">
        <f t="shared" si="85"/>
        <v>190.94789256779336</v>
      </c>
      <c r="F209" s="24">
        <v>44925</v>
      </c>
      <c r="I209" s="32"/>
      <c r="J209" s="25"/>
      <c r="K209" s="25">
        <v>1282.3100999999999</v>
      </c>
      <c r="L209" s="32">
        <f t="shared" si="89"/>
        <v>3.1920039296015723E-2</v>
      </c>
      <c r="M209" s="25">
        <f t="shared" si="90"/>
        <v>189.40392995870425</v>
      </c>
    </row>
    <row r="210" spans="1:13">
      <c r="A210" s="24">
        <v>44957</v>
      </c>
      <c r="B210" s="10">
        <v>21124.92</v>
      </c>
      <c r="C210" s="32">
        <f t="shared" si="84"/>
        <v>0.11302826851237679</v>
      </c>
      <c r="D210" s="10">
        <f t="shared" si="85"/>
        <v>192.86633787206225</v>
      </c>
      <c r="F210" s="24">
        <v>44957</v>
      </c>
      <c r="G210" s="11">
        <v>1</v>
      </c>
      <c r="H210" s="11">
        <v>1</v>
      </c>
      <c r="I210" s="32"/>
      <c r="J210" s="25">
        <v>100</v>
      </c>
      <c r="K210" s="25">
        <v>1286.6787999999999</v>
      </c>
      <c r="L210" s="32">
        <f t="shared" ref="L210:L211" si="91">+(K210/K209-1)/(F210-F209)*360</f>
        <v>3.8327604999757181E-2</v>
      </c>
      <c r="M210" s="25">
        <v>100</v>
      </c>
    </row>
    <row r="211" spans="1:13">
      <c r="A211" s="24">
        <v>44985</v>
      </c>
      <c r="B211" s="10">
        <v>21310.51</v>
      </c>
      <c r="C211" s="32">
        <f t="shared" si="84"/>
        <v>0.11295461203437211</v>
      </c>
      <c r="D211" s="10">
        <f t="shared" si="85"/>
        <v>194.56073783408229</v>
      </c>
      <c r="F211" s="24">
        <v>44985</v>
      </c>
      <c r="G211" s="11">
        <v>1.0015000000000001</v>
      </c>
      <c r="H211" s="11">
        <f t="shared" ref="H211:H218" si="92">+G211+$S$148+$S$150+$S$154</f>
        <v>1.0015000000000001</v>
      </c>
      <c r="I211" s="32">
        <f t="shared" ref="I211" si="93">+(H211/H210-1)/(F211-F210)*360</f>
        <v>1.9285714285715017E-2</v>
      </c>
      <c r="J211" s="25">
        <f t="shared" ref="J211" si="94">+J210*(1+I211)</f>
        <v>101.9285714285715</v>
      </c>
      <c r="K211" s="25">
        <v>1290.7943</v>
      </c>
      <c r="L211" s="32">
        <f t="shared" si="91"/>
        <v>4.1124149576859156E-2</v>
      </c>
      <c r="M211" s="25">
        <f t="shared" ref="M211" si="95">+M210*(1+L211)</f>
        <v>104.1124149576859</v>
      </c>
    </row>
    <row r="212" spans="1:13">
      <c r="A212" s="24">
        <v>45016</v>
      </c>
      <c r="B212" s="10">
        <v>21517.9</v>
      </c>
      <c r="C212" s="32">
        <f t="shared" si="84"/>
        <v>0.11301465802554971</v>
      </c>
      <c r="D212" s="10">
        <f t="shared" si="85"/>
        <v>196.45416748074072</v>
      </c>
      <c r="F212" s="24">
        <v>45016</v>
      </c>
      <c r="G212" s="11">
        <v>1.0048999999999999</v>
      </c>
      <c r="H212" s="11">
        <f t="shared" si="92"/>
        <v>1.0048999999999999</v>
      </c>
      <c r="I212" s="32">
        <f t="shared" ref="I212:I218" si="96">+(H212/H211-1)/(F212-F211)*360</f>
        <v>3.942473386693935E-2</v>
      </c>
      <c r="J212" s="25">
        <f t="shared" ref="J212:J218" si="97">+J211*(1+I212)</f>
        <v>105.94707823058025</v>
      </c>
      <c r="K212" s="10">
        <v>1295.4367999999999</v>
      </c>
      <c r="L212" s="32">
        <f t="shared" ref="L212:L218" si="98">+(K212/K211-1)/(F212-F211)*360</f>
        <v>4.1767230631406381E-2</v>
      </c>
      <c r="M212" s="25">
        <f t="shared" ref="M212:M218" si="99">+M211*(1+L212)</f>
        <v>108.46090220481624</v>
      </c>
    </row>
    <row r="213" spans="1:13">
      <c r="A213" s="24">
        <v>45044</v>
      </c>
      <c r="B213" s="10">
        <v>21706.94</v>
      </c>
      <c r="C213" s="32">
        <f t="shared" si="84"/>
        <v>0.11295313602694725</v>
      </c>
      <c r="D213" s="10">
        <f t="shared" si="85"/>
        <v>198.18006525982503</v>
      </c>
      <c r="F213" s="24">
        <v>45044</v>
      </c>
      <c r="G213" s="11">
        <v>1.0087999999999999</v>
      </c>
      <c r="H213" s="11">
        <f t="shared" si="92"/>
        <v>1.0087999999999999</v>
      </c>
      <c r="I213" s="32">
        <f t="shared" si="96"/>
        <v>4.9898355202366212E-2</v>
      </c>
      <c r="J213" s="25">
        <f t="shared" si="97"/>
        <v>111.23366317278261</v>
      </c>
      <c r="K213" s="25">
        <v>1299.7442000000001</v>
      </c>
      <c r="L213" s="32">
        <f t="shared" si="98"/>
        <v>4.2750720948224262E-2</v>
      </c>
      <c r="M213" s="25">
        <f t="shared" si="99"/>
        <v>113.09768396876699</v>
      </c>
    </row>
    <row r="214" spans="1:13">
      <c r="A214" s="24">
        <v>45077</v>
      </c>
      <c r="B214" s="10">
        <v>21931.86</v>
      </c>
      <c r="C214" s="32">
        <f t="shared" si="84"/>
        <v>0.11303632512333502</v>
      </c>
      <c r="D214" s="10">
        <f t="shared" si="85"/>
        <v>200.23354033637847</v>
      </c>
      <c r="F214" s="24">
        <v>45077</v>
      </c>
      <c r="G214" s="11">
        <v>1.0136000000000001</v>
      </c>
      <c r="H214" s="11">
        <f t="shared" si="92"/>
        <v>1.0136000000000001</v>
      </c>
      <c r="I214" s="32">
        <f t="shared" si="96"/>
        <v>5.1906856030569611E-2</v>
      </c>
      <c r="J214" s="25">
        <f t="shared" si="97"/>
        <v>117.00745291284511</v>
      </c>
      <c r="K214" s="25">
        <v>1304.9929999999999</v>
      </c>
      <c r="L214" s="32">
        <f t="shared" si="98"/>
        <v>4.4054542704353009E-2</v>
      </c>
      <c r="M214" s="25">
        <f t="shared" si="99"/>
        <v>118.08015071693245</v>
      </c>
    </row>
    <row r="215" spans="1:13">
      <c r="A215" s="24">
        <v>45107</v>
      </c>
      <c r="B215" s="10">
        <v>22138.35</v>
      </c>
      <c r="C215" s="32">
        <f t="shared" si="84"/>
        <v>0.1129808415702076</v>
      </c>
      <c r="D215" s="10">
        <f t="shared" si="85"/>
        <v>202.11875316119398</v>
      </c>
      <c r="F215" s="24">
        <v>45107</v>
      </c>
      <c r="G215" s="11">
        <v>1.0174000000000001</v>
      </c>
      <c r="H215" s="11">
        <f t="shared" si="92"/>
        <v>1.0174000000000001</v>
      </c>
      <c r="I215" s="32">
        <f t="shared" si="96"/>
        <v>4.4988161010261152E-2</v>
      </c>
      <c r="J215" s="25">
        <f t="shared" si="97"/>
        <v>122.27140304388874</v>
      </c>
      <c r="K215" s="10">
        <v>1309.9118000000001</v>
      </c>
      <c r="L215" s="32">
        <f t="shared" si="98"/>
        <v>4.5230587443764847E-2</v>
      </c>
      <c r="M215" s="25">
        <f t="shared" si="99"/>
        <v>123.4209852993076</v>
      </c>
    </row>
    <row r="216" spans="1:13">
      <c r="A216" s="24">
        <v>45138</v>
      </c>
      <c r="B216" s="10">
        <v>22353.79</v>
      </c>
      <c r="C216" s="32">
        <f t="shared" si="84"/>
        <v>0.11301130711944485</v>
      </c>
      <c r="D216" s="10">
        <f t="shared" si="85"/>
        <v>204.08567771433584</v>
      </c>
      <c r="F216" s="24">
        <v>45138</v>
      </c>
      <c r="G216" s="11">
        <v>1.0222</v>
      </c>
      <c r="H216" s="11">
        <f t="shared" si="92"/>
        <v>1.0222</v>
      </c>
      <c r="I216" s="32">
        <f t="shared" si="96"/>
        <v>5.4788613607106226E-2</v>
      </c>
      <c r="J216" s="25">
        <f t="shared" si="97"/>
        <v>128.97048370045911</v>
      </c>
      <c r="K216" s="10">
        <v>1315.0768</v>
      </c>
      <c r="L216" s="32">
        <f t="shared" si="98"/>
        <v>4.5789834980712693E-2</v>
      </c>
      <c r="M216" s="25">
        <f t="shared" si="99"/>
        <v>129.07241184931985</v>
      </c>
    </row>
    <row r="217" spans="1:13">
      <c r="A217" s="24">
        <v>45169</v>
      </c>
      <c r="B217" s="10">
        <v>22551.919999999998</v>
      </c>
      <c r="C217" s="32">
        <f t="shared" si="84"/>
        <v>0.1029295039511865</v>
      </c>
      <c r="D217" s="10">
        <f t="shared" si="85"/>
        <v>205.89456539403312</v>
      </c>
      <c r="F217" s="24">
        <v>45169</v>
      </c>
      <c r="G217" s="11">
        <v>1.0271999999999999</v>
      </c>
      <c r="H217" s="11">
        <f t="shared" si="92"/>
        <v>1.0271999999999999</v>
      </c>
      <c r="I217" s="32">
        <f t="shared" si="96"/>
        <v>5.6803478897506345E-2</v>
      </c>
      <c r="J217" s="25">
        <f t="shared" si="97"/>
        <v>136.29645584973932</v>
      </c>
      <c r="K217" s="25">
        <v>1320.4591</v>
      </c>
      <c r="L217" s="32">
        <f t="shared" si="98"/>
        <v>4.7528881227513232E-2</v>
      </c>
      <c r="M217" s="25">
        <f t="shared" si="99"/>
        <v>135.20707918185485</v>
      </c>
    </row>
    <row r="218" spans="1:13">
      <c r="A218" s="24">
        <v>45199</v>
      </c>
      <c r="B218" s="10">
        <v>22727.72</v>
      </c>
      <c r="C218" s="32">
        <f t="shared" si="84"/>
        <v>9.354414169614067E-2</v>
      </c>
      <c r="D218" s="10">
        <f t="shared" si="85"/>
        <v>207.49958459400685</v>
      </c>
      <c r="F218" s="24">
        <v>45199</v>
      </c>
      <c r="G218" s="11">
        <v>1.0321</v>
      </c>
      <c r="H218" s="11">
        <f t="shared" si="92"/>
        <v>1.0321</v>
      </c>
      <c r="I218" s="32">
        <f t="shared" si="96"/>
        <v>5.7242990654206238E-2</v>
      </c>
      <c r="J218" s="25">
        <f t="shared" si="97"/>
        <v>144.09847259814737</v>
      </c>
      <c r="K218" s="25">
        <v>1325.6034999999999</v>
      </c>
      <c r="L218" s="32">
        <f t="shared" si="98"/>
        <v>4.6751012583426288E-2</v>
      </c>
      <c r="M218" s="25">
        <f t="shared" si="99"/>
        <v>141.52814704205406</v>
      </c>
    </row>
    <row r="219" spans="1:13">
      <c r="A219" s="24">
        <v>45230</v>
      </c>
      <c r="B219" s="26">
        <v>22920</v>
      </c>
      <c r="C219" s="32">
        <f t="shared" si="84"/>
        <v>9.824694391949873E-2</v>
      </c>
      <c r="D219" s="10">
        <f t="shared" si="85"/>
        <v>209.25506293172555</v>
      </c>
      <c r="F219" s="24">
        <v>45230</v>
      </c>
      <c r="G219" s="11">
        <v>1.0375000000000001</v>
      </c>
      <c r="H219" s="11">
        <f t="shared" ref="H219" si="100">+G219+$S$148+$S$150+$S$154</f>
        <v>1.0375000000000001</v>
      </c>
      <c r="I219" s="32">
        <f t="shared" ref="I219" si="101">+(H219/H218-1)/(F219-F218)*360</f>
        <v>6.0759303768390782E-2</v>
      </c>
      <c r="J219" s="25">
        <f t="shared" ref="J219" si="102">+J218*(1+I219)</f>
        <v>152.85379546729936</v>
      </c>
      <c r="K219" s="25">
        <v>1330.8203000000001</v>
      </c>
      <c r="L219" s="32">
        <f t="shared" ref="L219" si="103">+(K219/K218-1)/(F219-F218)*360</f>
        <v>4.5701594442373247E-2</v>
      </c>
      <c r="M219" s="25">
        <f t="shared" ref="M219" si="104">+M218*(1+L219)</f>
        <v>147.99620902035059</v>
      </c>
    </row>
    <row r="220" spans="1:13">
      <c r="A220" s="24">
        <v>45260</v>
      </c>
      <c r="B220" s="10">
        <v>23092.51</v>
      </c>
      <c r="C220" s="32">
        <f t="shared" ref="C220:C222" si="105">(B220/B219-1)/(A220-A219)*360</f>
        <v>9.0319371727747289E-2</v>
      </c>
      <c r="D220" s="10">
        <f t="shared" ref="D220:D222" si="106">B220/$B$3*100</f>
        <v>210.8300450829625</v>
      </c>
      <c r="F220" s="24">
        <v>45260</v>
      </c>
      <c r="G220" s="11">
        <v>1.0422</v>
      </c>
      <c r="H220" s="11">
        <f t="shared" ref="H220:H221" si="107">+G220+$S$148+$S$150+$S$154</f>
        <v>1.0422</v>
      </c>
      <c r="I220" s="32">
        <f t="shared" ref="I220:I221" si="108">+(H220/H219-1)/(F220-F219)*360</f>
        <v>5.4361445783132289E-2</v>
      </c>
      <c r="J220" s="25">
        <f t="shared" ref="J220:J221" si="109">+J219*(1+I220)</f>
        <v>161.16314878234095</v>
      </c>
      <c r="K220" s="25">
        <v>1335.498</v>
      </c>
      <c r="L220" s="32">
        <f t="shared" ref="L220:L222" si="110">+(K220/K219-1)/(F220-F219)*360</f>
        <v>4.2178797543139801E-2</v>
      </c>
      <c r="M220" s="25">
        <f t="shared" ref="M220:M222" si="111">+M219*(1+L220)</f>
        <v>154.23851115777217</v>
      </c>
    </row>
    <row r="221" spans="1:13">
      <c r="A221" s="24">
        <v>45291</v>
      </c>
      <c r="B221" s="10">
        <v>23256.05</v>
      </c>
      <c r="C221" s="32">
        <f t="shared" si="105"/>
        <v>8.224199939930249E-2</v>
      </c>
      <c r="D221" s="10">
        <f t="shared" si="106"/>
        <v>212.32313290983225</v>
      </c>
      <c r="F221" s="24">
        <v>45291</v>
      </c>
      <c r="G221" s="11">
        <v>1.0468999999999999</v>
      </c>
      <c r="H221" s="11">
        <f t="shared" si="107"/>
        <v>1.0468999999999999</v>
      </c>
      <c r="I221" s="32">
        <f t="shared" si="108"/>
        <v>5.2370605604767625E-2</v>
      </c>
      <c r="J221" s="25">
        <f t="shared" si="109"/>
        <v>169.60336048524343</v>
      </c>
      <c r="K221" s="10">
        <v>1340.7416000000001</v>
      </c>
      <c r="L221" s="32">
        <f t="shared" si="110"/>
        <v>4.5596039346251428E-2</v>
      </c>
      <c r="M221" s="25">
        <f t="shared" si="111"/>
        <v>161.27117638122917</v>
      </c>
    </row>
    <row r="222" spans="1:13">
      <c r="A222" s="24">
        <v>45322</v>
      </c>
      <c r="B222" s="10">
        <v>23427.15</v>
      </c>
      <c r="C222" s="32">
        <f t="shared" si="105"/>
        <v>8.5438745699959323E-2</v>
      </c>
      <c r="D222" s="10">
        <f t="shared" si="106"/>
        <v>213.88524204018208</v>
      </c>
      <c r="F222" s="24">
        <v>45322</v>
      </c>
      <c r="G222" s="11">
        <v>1.0517000000000001</v>
      </c>
      <c r="H222" s="11">
        <f t="shared" ref="H222" si="112">+G222+$S$148+$S$150+$S$154</f>
        <v>1.0517000000000001</v>
      </c>
      <c r="I222" s="32">
        <f t="shared" ref="I222" si="113">+(H222/H221-1)/(F222-F221)*360</f>
        <v>5.3244756408321811E-2</v>
      </c>
      <c r="J222" s="25">
        <f t="shared" ref="J222" si="114">+J221*(1+I222)</f>
        <v>178.633850100313</v>
      </c>
      <c r="K222" s="25">
        <v>1345.8844999999999</v>
      </c>
      <c r="L222" s="32">
        <f t="shared" si="110"/>
        <v>4.4545496313381353E-2</v>
      </c>
      <c r="M222" s="25">
        <f t="shared" si="111"/>
        <v>168.45508097417388</v>
      </c>
    </row>
    <row r="223" spans="1:13">
      <c r="A223" s="24">
        <v>45351</v>
      </c>
      <c r="B223" s="10">
        <v>23570.34</v>
      </c>
      <c r="C223" s="32">
        <f t="shared" ref="C223" si="115">(B223/B222-1)/(A223-A222)*360</f>
        <v>7.5874830463062287E-2</v>
      </c>
      <c r="D223" s="10">
        <f t="shared" ref="D223" si="116">B223/$B$3*100</f>
        <v>215.19253839538251</v>
      </c>
      <c r="F223" s="24">
        <v>45351</v>
      </c>
      <c r="G223" s="11">
        <v>1.0558000000000001</v>
      </c>
      <c r="H223" s="11">
        <f t="shared" ref="H223" si="117">+G223+$S$148+$S$150+$S$154</f>
        <v>1.0558000000000001</v>
      </c>
      <c r="I223" s="32">
        <f t="shared" ref="I223" si="118">+(H223/H222-1)/(F223-F222)*360</f>
        <v>4.8394553317617738E-2</v>
      </c>
      <c r="J223" s="25">
        <f t="shared" ref="J223" si="119">+J222*(1+I223)</f>
        <v>187.27875548332395</v>
      </c>
      <c r="K223" s="10">
        <v>1350.6208999999999</v>
      </c>
      <c r="L223" s="32">
        <f t="shared" ref="L223" si="120">+(K223/K222-1)/(F223-F222)*360</f>
        <v>4.3686281887614267E-2</v>
      </c>
      <c r="M223" s="25">
        <f t="shared" ref="M223" si="121">+M222*(1+L223)</f>
        <v>175.81425712701252</v>
      </c>
    </row>
    <row r="224" spans="1:13">
      <c r="A224" s="24">
        <v>45379</v>
      </c>
      <c r="B224" s="10">
        <v>23703.45</v>
      </c>
      <c r="C224" s="32">
        <f t="shared" ref="C224" si="122">(B224/B223-1)/(A224-A223)*360</f>
        <v>7.2608807752212137E-2</v>
      </c>
      <c r="D224" s="10">
        <f t="shared" ref="D224" si="123">B224/$B$3*100</f>
        <v>216.40780634594284</v>
      </c>
      <c r="F224" s="24">
        <v>45382</v>
      </c>
      <c r="G224" s="11">
        <v>1.0598000000000001</v>
      </c>
      <c r="H224" s="11">
        <f t="shared" ref="H224" si="124">+G224+$S$148+$S$150+$S$154</f>
        <v>1.0598000000000001</v>
      </c>
      <c r="I224" s="32">
        <f t="shared" ref="I224" si="125">+(H224/H223-1)/(F224-F223)*360</f>
        <v>4.399660248458722E-2</v>
      </c>
      <c r="J224" s="25">
        <f t="shared" ref="J224" si="126">+J223*(1+I224)</f>
        <v>195.51838444213197</v>
      </c>
      <c r="K224" s="10">
        <v>1355.1433</v>
      </c>
      <c r="L224" s="32">
        <f t="shared" ref="L224" si="127">+(K224/K223-1)/(F224-F223)*360</f>
        <v>3.8884481610188967E-2</v>
      </c>
      <c r="M224" s="25">
        <f t="shared" ref="M224" si="128">+M223*(1+L224)</f>
        <v>182.65070337507689</v>
      </c>
    </row>
    <row r="225" spans="1:13">
      <c r="A225" s="24">
        <v>45412</v>
      </c>
      <c r="B225" s="10">
        <v>23847.87</v>
      </c>
      <c r="C225" s="32">
        <f t="shared" ref="C225:C226" si="129">(B225/B224-1)/(A225-A224)*360</f>
        <v>6.6466734129036323E-2</v>
      </c>
      <c r="D225" s="10">
        <f t="shared" ref="D225:D226" si="130">B225/$B$3*100</f>
        <v>217.72633235766185</v>
      </c>
      <c r="F225" s="24">
        <v>45412</v>
      </c>
      <c r="G225" s="11">
        <v>1.0647</v>
      </c>
      <c r="H225" s="11">
        <f t="shared" ref="H225:H226" si="131">+G225+$S$148+$S$150+$S$154</f>
        <v>1.0647</v>
      </c>
      <c r="I225" s="32">
        <f t="shared" ref="I225:I226" si="132">+(H225/H224-1)/(F225-F224)*360</f>
        <v>5.5482166446497949E-2</v>
      </c>
      <c r="J225" s="25">
        <f t="shared" ref="J225:J226" si="133">+J224*(1+I225)</f>
        <v>206.36616799110072</v>
      </c>
      <c r="K225" s="10">
        <v>1360.4607000000001</v>
      </c>
      <c r="L225" s="32">
        <f t="shared" ref="L225" si="134">+(K225/K224-1)/(F225-F224)*360</f>
        <v>4.7086385624311333E-2</v>
      </c>
      <c r="M225" s="25">
        <f t="shared" ref="M225" si="135">+M224*(1+L225)</f>
        <v>191.25106482874747</v>
      </c>
    </row>
    <row r="226" spans="1:13">
      <c r="A226" s="24">
        <v>45443</v>
      </c>
      <c r="B226" s="10">
        <v>23979.37</v>
      </c>
      <c r="C226" s="32">
        <f t="shared" si="129"/>
        <v>6.4034933694016499E-2</v>
      </c>
      <c r="D226" s="10">
        <f t="shared" si="130"/>
        <v>218.92690132692545</v>
      </c>
      <c r="F226" s="24">
        <v>45443</v>
      </c>
      <c r="G226" s="11">
        <v>1.069</v>
      </c>
      <c r="H226" s="11">
        <f t="shared" si="131"/>
        <v>1.069</v>
      </c>
      <c r="I226" s="32">
        <f t="shared" si="132"/>
        <v>4.690098982902817E-2</v>
      </c>
      <c r="J226" s="25">
        <f t="shared" si="133"/>
        <v>216.04494553710688</v>
      </c>
      <c r="K226" s="10">
        <v>1365.4448</v>
      </c>
      <c r="L226" s="32">
        <f t="shared" ref="L226" si="136">+(K226/K225-1)/(F226-F225)*360</f>
        <v>4.2544316765445692E-2</v>
      </c>
      <c r="M226" s="25">
        <f t="shared" ref="M226" si="137">+M225*(1+L226)</f>
        <v>199.3877107125505</v>
      </c>
    </row>
    <row r="227" spans="1:13">
      <c r="A227" s="24">
        <v>45473</v>
      </c>
      <c r="B227" s="26">
        <v>24090</v>
      </c>
      <c r="C227" s="32">
        <f t="shared" ref="C227" si="138">(B227/B226-1)/(A227-A226)*360</f>
        <v>5.5362588758586462E-2</v>
      </c>
      <c r="D227" s="10">
        <f t="shared" ref="D227" si="139">B227/$B$3*100</f>
        <v>219.93693132745497</v>
      </c>
      <c r="F227" s="24">
        <v>45473</v>
      </c>
      <c r="G227" s="11">
        <v>1.0739000000000001</v>
      </c>
      <c r="H227" s="11">
        <f t="shared" ref="H227" si="140">+G227+$S$148+$S$150+$S$154</f>
        <v>1.0739000000000001</v>
      </c>
      <c r="I227" s="32">
        <f t="shared" ref="I227" si="141">+(H227/H226-1)/(F227-F226)*360</f>
        <v>5.5004677268477138E-2</v>
      </c>
      <c r="J227" s="25">
        <f t="shared" ref="J227" si="142">+J226*(1+I227)</f>
        <v>227.92842804186117</v>
      </c>
      <c r="K227" s="10">
        <v>1370.2828999999999</v>
      </c>
      <c r="L227" s="32">
        <f t="shared" ref="L227" si="143">+(K227/K226-1)/(F227-F226)*360</f>
        <v>4.2518892012331833E-2</v>
      </c>
      <c r="M227" s="25">
        <f t="shared" ref="M227" si="144">+M226*(1+L227)</f>
        <v>207.86545525292348</v>
      </c>
    </row>
    <row r="228" spans="1:13">
      <c r="A228" s="24">
        <v>45504</v>
      </c>
      <c r="B228" s="10">
        <v>24217.3</v>
      </c>
      <c r="C228" s="32">
        <f t="shared" ref="C228" si="145">(B228/B227-1)/(A228-A227)*360</f>
        <v>6.1366649258827385E-2</v>
      </c>
      <c r="D228" s="10">
        <f t="shared" ref="D228" si="146">B228/$B$3*100</f>
        <v>221.0991551281185</v>
      </c>
      <c r="F228" s="24">
        <v>45504</v>
      </c>
      <c r="G228" s="11">
        <v>1.0771999999999999</v>
      </c>
      <c r="H228" s="11">
        <f t="shared" ref="H228" si="147">+G228+$S$148+$S$150+$S$154</f>
        <v>1.0771999999999999</v>
      </c>
      <c r="I228" s="32">
        <f t="shared" ref="I228" si="148">+(H228/H227-1)/(F228-F227)*360</f>
        <v>3.5685427549267956E-2</v>
      </c>
      <c r="J228" s="25">
        <f t="shared" ref="J228" si="149">+J227*(1+I228)</f>
        <v>236.06215144716754</v>
      </c>
      <c r="K228" s="10">
        <v>1375.2636</v>
      </c>
      <c r="L228" s="32">
        <f t="shared" ref="L228" si="150">+(K228/K227-1)/(F228-F227)*360</f>
        <v>4.2210544331228068E-2</v>
      </c>
      <c r="M228" s="25">
        <f t="shared" ref="M228" si="151">+M227*(1+L228)</f>
        <v>216.63956926680794</v>
      </c>
    </row>
    <row r="229" spans="1:13">
      <c r="A229" s="24">
        <v>45535</v>
      </c>
      <c r="B229" s="10">
        <v>24333.599999999999</v>
      </c>
      <c r="C229" s="32">
        <f t="shared" ref="C229" si="152">(B229/B228-1)/(A229-A228)*360</f>
        <v>5.5769249468819934E-2</v>
      </c>
      <c r="D229" s="10">
        <f t="shared" ref="D229" si="153">B229/$B$3*100</f>
        <v>222.1609511062581</v>
      </c>
      <c r="F229" s="24">
        <v>45535</v>
      </c>
      <c r="G229" s="11">
        <v>1.0808</v>
      </c>
      <c r="H229" s="11">
        <f t="shared" ref="H229" si="154">+G229+$S$148+$S$150+$S$154</f>
        <v>1.0808</v>
      </c>
      <c r="I229" s="32">
        <f t="shared" ref="I229" si="155">+(H229/H228-1)/(F229-F228)*360</f>
        <v>3.8810296707114236E-2</v>
      </c>
      <c r="J229" s="25">
        <f t="shared" ref="J229" si="156">+J228*(1+I229)</f>
        <v>245.22379358615183</v>
      </c>
      <c r="K229" s="10">
        <v>1380.2955999999999</v>
      </c>
      <c r="L229" s="32">
        <f t="shared" ref="L229" si="157">+(K229/K228-1)/(F229-F228)*360</f>
        <v>4.2490857048972694E-2</v>
      </c>
      <c r="M229" s="25">
        <f t="shared" ref="M229" si="158">+M228*(1+L229)</f>
        <v>225.84477023567487</v>
      </c>
    </row>
    <row r="230" spans="1:13">
      <c r="A230" s="24">
        <v>45565</v>
      </c>
      <c r="B230" s="10">
        <v>24449.94</v>
      </c>
      <c r="C230" s="32">
        <f t="shared" ref="C230" si="159">(B230/B229-1)/(A230-A229)*360</f>
        <v>5.7372521944966344E-2</v>
      </c>
      <c r="D230" s="10">
        <f t="shared" ref="D230" si="160">B230/$B$3*100</f>
        <v>223.22311227647961</v>
      </c>
      <c r="F230" s="24">
        <v>45565</v>
      </c>
      <c r="G230" s="11">
        <v>1.0843</v>
      </c>
      <c r="H230" s="11">
        <f t="shared" ref="H230" si="161">+G230+$S$148+$S$150+$S$154</f>
        <v>1.0843</v>
      </c>
      <c r="I230" s="32">
        <f t="shared" ref="I230" si="162">+(H230/H229-1)/(F230-F229)*360</f>
        <v>3.8860103626943143E-2</v>
      </c>
      <c r="J230" s="25">
        <f t="shared" ref="J230" si="163">+J229*(1+I230)</f>
        <v>254.75321561670179</v>
      </c>
      <c r="K230" s="10">
        <v>1384.9927</v>
      </c>
      <c r="L230" s="32">
        <f t="shared" ref="L230" si="164">+(K230/K229-1)/(F230-F229)*360</f>
        <v>4.0835600722048504E-2</v>
      </c>
      <c r="M230" s="25">
        <f t="shared" ref="M230" si="165">+M229*(1+L230)</f>
        <v>235.06727709818168</v>
      </c>
    </row>
    <row r="231" spans="1:13">
      <c r="A231" s="24">
        <v>45596</v>
      </c>
      <c r="B231" s="10">
        <v>24560.22</v>
      </c>
      <c r="C231" s="32">
        <f t="shared" ref="C231:C241" si="166">(B231/B230-1)/(A231-A230)*360</f>
        <v>5.2379309222924143E-2</v>
      </c>
      <c r="D231" s="10">
        <f t="shared" ref="D231:D241" si="167">B231/$B$3*100</f>
        <v>224.22994684629251</v>
      </c>
      <c r="F231" s="24">
        <v>45596</v>
      </c>
      <c r="G231" s="11">
        <v>1.0881000000000001</v>
      </c>
      <c r="H231" s="11">
        <f t="shared" ref="H231" si="168">+G231+$S$148+$S$150+$S$154</f>
        <v>1.0881000000000001</v>
      </c>
      <c r="I231" s="32">
        <f t="shared" ref="I231" si="169">+(H231/H230-1)/(F231-F230)*360</f>
        <v>4.0698176019611086E-2</v>
      </c>
      <c r="J231" s="25">
        <f t="shared" ref="J231" si="170">+J230*(1+I231)</f>
        <v>265.12120682743222</v>
      </c>
      <c r="K231" s="10">
        <v>1389.7002</v>
      </c>
      <c r="L231" s="32">
        <f t="shared" ref="L231" si="171">+(K231/K230-1)/(F231-F230)*360</f>
        <v>3.9471501860971661E-2</v>
      </c>
      <c r="M231" s="25">
        <f t="shared" ref="M231" si="172">+M230*(1+L231)</f>
        <v>244.3457355636161</v>
      </c>
    </row>
    <row r="232" spans="1:13">
      <c r="A232" s="24">
        <v>45626</v>
      </c>
      <c r="B232" s="10">
        <v>24667.9</v>
      </c>
      <c r="C232" s="32">
        <f t="shared" si="166"/>
        <v>5.2611906570868783E-2</v>
      </c>
      <c r="D232" s="10">
        <f t="shared" si="167"/>
        <v>225.21304393078151</v>
      </c>
      <c r="F232" s="24">
        <v>45626</v>
      </c>
      <c r="G232" s="11">
        <v>1.0921000000000001</v>
      </c>
      <c r="H232" s="11">
        <f t="shared" ref="H232" si="173">+G232+$S$148+$S$150+$S$154</f>
        <v>1.0921000000000001</v>
      </c>
      <c r="I232" s="32">
        <f t="shared" ref="I232" si="174">+(H232/H231-1)/(F232-F231)*360</f>
        <v>4.4113592500688803E-2</v>
      </c>
      <c r="J232" s="25">
        <f t="shared" ref="J232" si="175">+J231*(1+I232)</f>
        <v>276.81665570870842</v>
      </c>
      <c r="K232" s="10">
        <v>1394.0594000000001</v>
      </c>
      <c r="L232" s="32">
        <f t="shared" ref="L232" si="176">+(K232/K231-1)/(F232-F231)*360</f>
        <v>3.7641499943658729E-2</v>
      </c>
      <c r="M232" s="25">
        <f t="shared" ref="M232" si="177">+M231*(1+L232)</f>
        <v>253.5432755550672</v>
      </c>
    </row>
    <row r="233" spans="1:13">
      <c r="A233" s="24">
        <v>45657</v>
      </c>
      <c r="B233" s="10">
        <v>24777.58</v>
      </c>
      <c r="C233" s="32">
        <f t="shared" si="166"/>
        <v>5.1634035560646233E-2</v>
      </c>
      <c r="D233" s="10">
        <f t="shared" si="167"/>
        <v>226.21440061936582</v>
      </c>
      <c r="F233" s="24">
        <v>45657</v>
      </c>
      <c r="G233" s="11">
        <v>1.0915999999999999</v>
      </c>
      <c r="H233" s="11">
        <f t="shared" ref="H233:H239" si="178">+G233+$S$148+$S$150+$S$154+$S$156</f>
        <v>1.0961507403797013</v>
      </c>
      <c r="I233" s="32">
        <f t="shared" ref="I233" si="179">+(H233/H232-1)/(F233-F232)*360</f>
        <v>4.3073762496416042E-2</v>
      </c>
      <c r="J233" s="25">
        <f t="shared" ref="J233" si="180">+J232*(1+I233)</f>
        <v>288.74019059175754</v>
      </c>
      <c r="K233" s="10">
        <v>1398.4869000000001</v>
      </c>
      <c r="L233" s="32">
        <f t="shared" ref="L233" si="181">+(K233/K232-1)/(F233-F232)*360</f>
        <v>3.6882308624910591E-2</v>
      </c>
      <c r="M233" s="25">
        <f t="shared" ref="M233" si="182">+M232*(1+L233)</f>
        <v>262.89453689385994</v>
      </c>
    </row>
    <row r="234" spans="1:13">
      <c r="A234" s="24">
        <v>45688</v>
      </c>
      <c r="B234" s="10">
        <v>24887.95</v>
      </c>
      <c r="C234" s="32">
        <f t="shared" si="166"/>
        <v>5.1728866541133824E-2</v>
      </c>
      <c r="D234" s="10">
        <f t="shared" si="167"/>
        <v>227.22205687136295</v>
      </c>
      <c r="F234" s="24">
        <v>45688</v>
      </c>
      <c r="G234" s="11">
        <v>1.0953999999999999</v>
      </c>
      <c r="H234" s="11">
        <f t="shared" si="178"/>
        <v>1.0999507403797013</v>
      </c>
      <c r="I234" s="32">
        <f t="shared" ref="I234" si="183">+(H234/H233-1)/(F234-F233)*360</f>
        <v>4.025817858114783E-2</v>
      </c>
      <c r="J234" s="25">
        <f t="shared" ref="J234" si="184">+J233*(1+I234)</f>
        <v>300.36434474815513</v>
      </c>
      <c r="K234" s="10">
        <v>1402.8009999999999</v>
      </c>
      <c r="L234" s="32">
        <f t="shared" ref="L234" si="185">+(K234/K233-1)/(F234-F233)*360</f>
        <v>3.5823879227219982E-2</v>
      </c>
      <c r="M234" s="25">
        <f t="shared" ref="M234" si="186">+M233*(1+L234)</f>
        <v>272.31243903304153</v>
      </c>
    </row>
    <row r="235" spans="1:13">
      <c r="A235" s="24">
        <v>45716</v>
      </c>
      <c r="B235" s="10">
        <v>24984.92</v>
      </c>
      <c r="C235" s="32">
        <f t="shared" si="166"/>
        <v>5.0094810655642828E-2</v>
      </c>
      <c r="D235" s="10">
        <f t="shared" si="167"/>
        <v>228.10737377592179</v>
      </c>
      <c r="F235" s="24">
        <v>45716</v>
      </c>
      <c r="G235" s="11">
        <v>1.0989</v>
      </c>
      <c r="H235" s="11">
        <f t="shared" si="178"/>
        <v>1.1034507403797014</v>
      </c>
      <c r="I235" s="32">
        <f t="shared" ref="I235" si="187">+(H235/H234-1)/(F235-F234)*360</f>
        <v>4.0910922960484264E-2</v>
      </c>
      <c r="J235" s="25">
        <f t="shared" ref="J235" si="188">+J234*(1+I235)</f>
        <v>312.65252731622326</v>
      </c>
      <c r="K235" s="10">
        <v>1406.6703</v>
      </c>
      <c r="L235" s="32">
        <f t="shared" ref="L235" si="189">+(K235/K234-1)/(F235-F234)*360</f>
        <v>3.546343555297117E-2</v>
      </c>
      <c r="M235" s="25">
        <f t="shared" ref="M235" si="190">+M234*(1+L235)</f>
        <v>281.96957366496224</v>
      </c>
    </row>
    <row r="236" spans="1:13">
      <c r="A236" s="24">
        <v>45747</v>
      </c>
      <c r="B236" s="10">
        <v>25092.7</v>
      </c>
      <c r="C236" s="32">
        <f t="shared" si="166"/>
        <v>5.0095766153242391E-2</v>
      </c>
      <c r="D236" s="10">
        <f t="shared" si="167"/>
        <v>229.09138384061558</v>
      </c>
      <c r="F236" s="24">
        <v>45747</v>
      </c>
      <c r="G236" s="11">
        <v>1.103</v>
      </c>
      <c r="H236" s="11">
        <f t="shared" si="178"/>
        <v>1.1075507403797014</v>
      </c>
      <c r="I236" s="32">
        <f t="shared" ref="I236" si="191">+(H236/H235-1)/(F236-F235)*360</f>
        <v>4.3149097176211057E-2</v>
      </c>
      <c r="J236" s="25">
        <f t="shared" ref="J236" si="192">+J235*(1+I236)</f>
        <v>326.14320159977893</v>
      </c>
      <c r="K236" s="10">
        <v>1410.8411000000001</v>
      </c>
      <c r="L236" s="32">
        <f t="shared" ref="L236" si="193">+(K236/K235-1)/(F236-F235)*360</f>
        <v>3.4432444314915697E-2</v>
      </c>
      <c r="M236" s="25">
        <f t="shared" ref="M236" si="194">+M235*(1+L236)</f>
        <v>291.67847530868158</v>
      </c>
    </row>
    <row r="237" spans="1:13">
      <c r="A237" s="24">
        <v>45777</v>
      </c>
      <c r="B237" s="10">
        <v>25197.48</v>
      </c>
      <c r="C237" s="32">
        <f t="shared" si="166"/>
        <v>5.010859732113282E-2</v>
      </c>
      <c r="D237" s="10">
        <f t="shared" si="167"/>
        <v>230.04800449916644</v>
      </c>
      <c r="F237" s="24">
        <v>45777</v>
      </c>
      <c r="G237" s="11">
        <v>1.1072</v>
      </c>
      <c r="H237" s="11">
        <f t="shared" si="178"/>
        <v>1.1117507403797013</v>
      </c>
      <c r="I237" s="32">
        <f t="shared" ref="I237" si="195">+(H237/H236-1)/(F237-F236)*360</f>
        <v>4.5505815817270097E-2</v>
      </c>
      <c r="J237" s="25">
        <f t="shared" ref="J237" si="196">+J236*(1+I237)</f>
        <v>340.98461406183327</v>
      </c>
      <c r="K237" s="10">
        <v>1414.8711000000001</v>
      </c>
      <c r="L237" s="32">
        <f t="shared" ref="L237" si="197">+(K237/K236-1)/(F237-F236)*360</f>
        <v>3.4277425005551088E-2</v>
      </c>
      <c r="M237" s="25">
        <f t="shared" ref="M237" si="198">+M236*(1+L237)</f>
        <v>301.67646237180838</v>
      </c>
    </row>
    <row r="238" spans="1:13">
      <c r="A238" s="24">
        <v>45808</v>
      </c>
      <c r="B238" s="10">
        <v>25302.66</v>
      </c>
      <c r="C238" s="32">
        <f t="shared" si="166"/>
        <v>4.8474893572306332E-2</v>
      </c>
      <c r="D238" s="10">
        <f t="shared" si="167"/>
        <v>231.00827707853639</v>
      </c>
      <c r="F238" s="24">
        <v>45808</v>
      </c>
      <c r="G238" s="11">
        <v>1.1112</v>
      </c>
      <c r="H238" s="11">
        <f t="shared" si="178"/>
        <v>1.1157507403797013</v>
      </c>
      <c r="I238" s="32">
        <f t="shared" ref="I238" si="199">+(H238/H237-1)/(F238-F237)*360</f>
        <v>4.1782398892185407E-2</v>
      </c>
      <c r="J238" s="25">
        <f t="shared" ref="J238" si="200">+J237*(1+I238)</f>
        <v>355.23176922266271</v>
      </c>
      <c r="K238" s="10">
        <v>1419.0075999999999</v>
      </c>
      <c r="L238" s="32">
        <f t="shared" ref="L238" si="201">+(K238/K237-1)/(F238-F237)*360</f>
        <v>3.39513431248578E-2</v>
      </c>
      <c r="M238" s="25">
        <f t="shared" ref="M238" si="202">+M237*(1+L238)</f>
        <v>311.91878345848687</v>
      </c>
    </row>
    <row r="239" spans="1:13">
      <c r="A239" s="24">
        <v>45838</v>
      </c>
      <c r="B239" s="10">
        <v>25411.83</v>
      </c>
      <c r="C239" s="32">
        <f t="shared" si="166"/>
        <v>5.1774793638299066E-2</v>
      </c>
      <c r="D239" s="10">
        <f t="shared" si="167"/>
        <v>232.00497756807641</v>
      </c>
      <c r="F239" s="24">
        <v>45838</v>
      </c>
      <c r="G239" s="11">
        <v>1.1153999999999999</v>
      </c>
      <c r="H239" s="11">
        <f t="shared" si="178"/>
        <v>1.1199507403797013</v>
      </c>
      <c r="I239" s="32">
        <f t="shared" ref="I239" si="203">+(H239/H238-1)/(F239-F238)*360</f>
        <v>4.5171379391466537E-2</v>
      </c>
      <c r="J239" s="25">
        <f t="shared" ref="J239" si="204">+J238*(1+I239)</f>
        <v>371.27807824212147</v>
      </c>
      <c r="K239" s="10">
        <v>1423.0496000000001</v>
      </c>
      <c r="L239" s="32">
        <f t="shared" ref="L239" si="205">+(K239/K238-1)/(F239-F238)*360</f>
        <v>3.4181635108931019E-2</v>
      </c>
      <c r="M239" s="25">
        <f t="shared" ref="M239" si="206">+M238*(1+L239)</f>
        <v>322.58067749828655</v>
      </c>
    </row>
    <row r="240" spans="1:13">
      <c r="A240" s="24">
        <v>45869</v>
      </c>
      <c r="B240" s="10">
        <v>25521.26</v>
      </c>
      <c r="C240" s="32">
        <f t="shared" si="166"/>
        <v>5.0008204840028117E-2</v>
      </c>
      <c r="D240" s="10">
        <f t="shared" si="167"/>
        <v>233.00405180614874</v>
      </c>
      <c r="F240" s="24">
        <v>45869</v>
      </c>
      <c r="G240" s="11">
        <v>1.1200000000000001</v>
      </c>
      <c r="H240" s="11">
        <f t="shared" ref="H240" si="207">+G240+$S$148+$S$150+$S$154+$S$156</f>
        <v>1.1245507403797015</v>
      </c>
      <c r="I240" s="32">
        <f t="shared" ref="I240" si="208">+(H240/H239-1)/(F240-F239)*360</f>
        <v>4.7697950376459922E-2</v>
      </c>
      <c r="J240" s="25">
        <f t="shared" ref="J240" si="209">+J239*(1+I240)</f>
        <v>388.98728159398155</v>
      </c>
      <c r="K240" s="10">
        <v>1427.2889</v>
      </c>
      <c r="L240" s="32">
        <f t="shared" ref="L240" si="210">+(K240/K239-1)/(F240-F239)*360</f>
        <v>3.4595126301404086E-2</v>
      </c>
      <c r="M240" s="25">
        <f t="shared" ref="M240" si="211">+M239*(1+L240)</f>
        <v>333.7403967787323</v>
      </c>
    </row>
    <row r="241" spans="1:13">
      <c r="A241" s="24">
        <v>45900</v>
      </c>
      <c r="B241" s="10">
        <v>25619.09</v>
      </c>
      <c r="C241" s="32">
        <f t="shared" si="166"/>
        <v>4.4515448006119604E-2</v>
      </c>
      <c r="D241" s="10">
        <f t="shared" si="167"/>
        <v>233.89722034046861</v>
      </c>
      <c r="F241" s="24">
        <v>45900</v>
      </c>
      <c r="G241" s="11">
        <v>1.125</v>
      </c>
      <c r="H241" s="11">
        <f t="shared" ref="H241" si="212">+G241+$S$148+$S$150+$S$154+$S$156</f>
        <v>1.1295507403797014</v>
      </c>
      <c r="I241" s="32">
        <f t="shared" ref="I241" si="213">+(H241/H240-1)/(F241-F240)*360</f>
        <v>5.1633522654056775E-2</v>
      </c>
      <c r="J241" s="25">
        <f t="shared" ref="J241" si="214">+J240*(1+I241)</f>
        <v>409.07206521030434</v>
      </c>
      <c r="K241" s="10">
        <v>1431.5827999999999</v>
      </c>
      <c r="L241" s="32">
        <f t="shared" ref="L241" si="215">+(K241/K240-1)/(F241-F240)*360</f>
        <v>3.4936616659240624E-2</v>
      </c>
      <c r="M241" s="25">
        <f t="shared" ref="M241" si="216">+M240*(1+L241)</f>
        <v>345.40015708469372</v>
      </c>
    </row>
    <row r="242" spans="1:13">
      <c r="A242" s="24">
        <v>45930</v>
      </c>
      <c r="B242" s="10">
        <v>25757.46</v>
      </c>
      <c r="C242" s="32">
        <f t="shared" ref="C242:C248" si="217">(B242/B241-1)/(A242-A241)*360</f>
        <v>6.4812606536764683E-2</v>
      </c>
      <c r="D242" s="10">
        <f t="shared" ref="D242:D248" si="218">B242/$B$3*100</f>
        <v>235.1605110497994</v>
      </c>
      <c r="F242" s="24">
        <v>45930</v>
      </c>
      <c r="G242" s="11">
        <v>1.1295999999999999</v>
      </c>
      <c r="H242" s="11">
        <f t="shared" ref="H242" si="219">+G242+$S$148+$S$150+$S$154+$S$156</f>
        <v>1.1341507403797013</v>
      </c>
      <c r="I242" s="32">
        <f t="shared" ref="I242" si="220">+(H242/H241-1)/(F242-F241)*360</f>
        <v>4.8868986603864073E-2</v>
      </c>
      <c r="J242" s="25">
        <f t="shared" ref="J242" si="221">+J241*(1+I242)</f>
        <v>429.06300248508171</v>
      </c>
      <c r="K242" s="10">
        <v>1435.7484999999999</v>
      </c>
      <c r="L242" s="32">
        <f t="shared" ref="L242" si="222">+(K242/K241-1)/(F242-F241)*360</f>
        <v>3.4918273675822675E-2</v>
      </c>
      <c r="M242" s="25">
        <f t="shared" ref="M242" si="223">+M241*(1+L242)</f>
        <v>357.46093429744917</v>
      </c>
    </row>
    <row r="243" spans="1:13">
      <c r="A243" s="24">
        <v>45961</v>
      </c>
      <c r="B243" s="10">
        <v>25829.5</v>
      </c>
      <c r="C243" s="32">
        <f t="shared" si="217"/>
        <v>3.2479660198912914E-2</v>
      </c>
      <c r="D243" s="10">
        <f t="shared" si="218"/>
        <v>235.81822198931084</v>
      </c>
      <c r="F243" s="24">
        <v>45961</v>
      </c>
      <c r="G243" s="11">
        <v>1.1344000000000001</v>
      </c>
      <c r="H243" s="11">
        <f t="shared" ref="H243" si="224">+G243+$S$148+$S$150+$S$154+$S$156</f>
        <v>1.1389507403797015</v>
      </c>
      <c r="I243" s="32">
        <f t="shared" ref="I243" si="225">+(H243/H242-1)/(F243-F242)*360</f>
        <v>4.9148612701351457E-2</v>
      </c>
      <c r="J243" s="25">
        <f t="shared" ref="J243" si="226">+J242*(1+I243)</f>
        <v>450.15085381869994</v>
      </c>
      <c r="K243" s="10">
        <v>1439.9873</v>
      </c>
      <c r="L243" s="32">
        <f t="shared" ref="L243" si="227">+(K243/K242-1)/(F243-F242)*360</f>
        <v>3.4285095330797009E-2</v>
      </c>
      <c r="M243" s="25">
        <f t="shared" ref="M243" si="228">+M242*(1+L243)</f>
        <v>369.71651650687295</v>
      </c>
    </row>
    <row r="244" spans="1:13">
      <c r="A244" s="24">
        <v>45991</v>
      </c>
      <c r="B244" s="10">
        <v>25928.49</v>
      </c>
      <c r="C244" s="32">
        <f t="shared" si="217"/>
        <v>4.5989275828025811E-2</v>
      </c>
      <c r="D244" s="10">
        <f t="shared" si="218"/>
        <v>236.72198109400594</v>
      </c>
      <c r="F244" s="24">
        <v>45991</v>
      </c>
      <c r="G244" s="11">
        <v>1.1389</v>
      </c>
      <c r="H244" s="11">
        <f t="shared" ref="H244:H248" si="229">+G244+$S$148+$S$150+$S$154+$S$156</f>
        <v>1.1434507403797014</v>
      </c>
      <c r="I244" s="32">
        <f t="shared" ref="I244:I248" si="230">+(H244/H243-1)/(F244-F243)*360</f>
        <v>4.7412059262541995E-2</v>
      </c>
      <c r="J244" s="25">
        <f t="shared" ref="J244:J248" si="231">+J243*(1+I244)</f>
        <v>471.49343277703605</v>
      </c>
      <c r="K244" s="10">
        <v>1444.0293999999999</v>
      </c>
      <c r="L244" s="32">
        <f t="shared" ref="L244:L249" si="232">+(K244/K243-1)/(F244-F243)*360</f>
        <v>3.368446374492251E-2</v>
      </c>
      <c r="M244" s="25">
        <f t="shared" ref="M244:M249" si="233">+M243*(1+L244)</f>
        <v>382.17021910304777</v>
      </c>
    </row>
    <row r="245" spans="1:13">
      <c r="A245" s="24">
        <v>46022</v>
      </c>
      <c r="B245" s="10">
        <v>26035.82</v>
      </c>
      <c r="C245" s="32">
        <f t="shared" si="217"/>
        <v>4.8071172028366173E-2</v>
      </c>
      <c r="D245" s="10">
        <f t="shared" si="218"/>
        <v>237.70188274777828</v>
      </c>
      <c r="F245" s="24">
        <v>46022</v>
      </c>
      <c r="G245" s="105">
        <v>1.1439999999999999</v>
      </c>
      <c r="H245" s="11">
        <f t="shared" si="229"/>
        <v>1.1485507403797013</v>
      </c>
      <c r="I245" s="32">
        <f t="shared" si="230"/>
        <v>5.1795678082243689E-2</v>
      </c>
      <c r="J245" s="25">
        <f t="shared" si="231"/>
        <v>495.91475483904742</v>
      </c>
      <c r="K245" s="103">
        <v>1448.2102</v>
      </c>
      <c r="L245" s="32">
        <f t="shared" si="232"/>
        <v>3.3622048004321267E-2</v>
      </c>
      <c r="M245" s="25">
        <f t="shared" si="233"/>
        <v>395.01956455555239</v>
      </c>
    </row>
    <row r="246" spans="1:13">
      <c r="A246" s="24">
        <v>46053</v>
      </c>
      <c r="B246" s="10">
        <v>26136.9</v>
      </c>
      <c r="C246" s="32">
        <f t="shared" si="217"/>
        <v>4.5085280896263069E-2</v>
      </c>
      <c r="D246" s="10">
        <f t="shared" si="218"/>
        <v>238.62472313875293</v>
      </c>
      <c r="F246" s="24">
        <v>46053</v>
      </c>
      <c r="G246" s="105">
        <v>1.1488</v>
      </c>
      <c r="H246" s="11">
        <f t="shared" si="229"/>
        <v>1.1533507403797014</v>
      </c>
      <c r="I246" s="32">
        <f t="shared" si="230"/>
        <v>4.8532410040016197E-2</v>
      </c>
      <c r="J246" s="25">
        <f t="shared" si="231"/>
        <v>519.98269306579016</v>
      </c>
      <c r="K246" s="103">
        <v>1452.3851999999999</v>
      </c>
      <c r="L246" s="32">
        <f t="shared" si="232"/>
        <v>3.3478476375696786E-2</v>
      </c>
      <c r="M246" s="25">
        <f t="shared" si="233"/>
        <v>408.24421771546349</v>
      </c>
    </row>
    <row r="247" spans="1:13">
      <c r="A247" s="101">
        <v>46081</v>
      </c>
      <c r="B247" s="102">
        <v>26231.81</v>
      </c>
      <c r="C247" s="32">
        <f t="shared" si="217"/>
        <v>4.6687687850180799E-2</v>
      </c>
      <c r="D247" s="10">
        <f t="shared" si="218"/>
        <v>239.49123265109367</v>
      </c>
      <c r="F247" s="101">
        <v>46081</v>
      </c>
      <c r="G247" s="105">
        <v>1.1523000000000001</v>
      </c>
      <c r="H247" s="11">
        <f t="shared" si="229"/>
        <v>1.1568507403797015</v>
      </c>
      <c r="I247" s="32">
        <f t="shared" si="230"/>
        <v>3.9016752167848612E-2</v>
      </c>
      <c r="J247" s="25">
        <f t="shared" si="231"/>
        <v>540.27072893270861</v>
      </c>
      <c r="K247" s="103">
        <v>1456.0571</v>
      </c>
      <c r="L247" s="32">
        <f t="shared" si="232"/>
        <v>3.2505249197763826E-2</v>
      </c>
      <c r="M247" s="25">
        <f t="shared" si="233"/>
        <v>421.51429774585074</v>
      </c>
    </row>
    <row r="248" spans="1:13">
      <c r="A248" s="101">
        <v>46112</v>
      </c>
      <c r="B248" s="102">
        <v>26333.64</v>
      </c>
      <c r="C248" s="32">
        <f t="shared" si="217"/>
        <v>4.5080455198625455E-2</v>
      </c>
      <c r="D248" s="10">
        <f t="shared" si="218"/>
        <v>240.42092039360404</v>
      </c>
      <c r="F248" s="101">
        <v>46112</v>
      </c>
      <c r="G248" s="106">
        <v>1.1577999999999999</v>
      </c>
      <c r="H248" s="11">
        <f t="shared" si="229"/>
        <v>1.1623507403797013</v>
      </c>
      <c r="I248" s="32">
        <f t="shared" si="230"/>
        <v>5.5211070462702003E-2</v>
      </c>
      <c r="J248" s="25">
        <f t="shared" si="231"/>
        <v>570.09965421674781</v>
      </c>
      <c r="K248" s="104">
        <v>1460.0274999999999</v>
      </c>
      <c r="L248" s="32">
        <f t="shared" si="232"/>
        <v>3.1666251940079285E-2</v>
      </c>
      <c r="M248" s="25">
        <f t="shared" si="233"/>
        <v>434.86207569461641</v>
      </c>
    </row>
    <row r="249" spans="1:13">
      <c r="A249" s="24">
        <v>46142</v>
      </c>
      <c r="B249" s="10">
        <v>26432.560000000001</v>
      </c>
      <c r="C249" s="32">
        <f t="shared" ref="C249" si="234">(B249/B248-1)/(A249-A248)*360</f>
        <v>4.507694340774826E-2</v>
      </c>
      <c r="D249" s="10">
        <f t="shared" ref="D249" si="235">B249/$B$3*100</f>
        <v>241.3240404121558</v>
      </c>
      <c r="F249" s="24">
        <v>46142</v>
      </c>
      <c r="G249" s="107">
        <v>1.1625000000000001</v>
      </c>
      <c r="H249" s="11">
        <f t="shared" ref="H249" si="236">+G249+$S$148+$S$150+$S$154+$S$156</f>
        <v>1.1670507403797015</v>
      </c>
      <c r="I249" s="32">
        <f t="shared" ref="I249" si="237">+(H249/H248-1)/(F249-F248)*360</f>
        <v>4.8522359078618571E-2</v>
      </c>
      <c r="J249" s="25">
        <f t="shared" ref="J249" si="238">+J248*(1+I249)</f>
        <v>597.76223434924918</v>
      </c>
      <c r="K249" s="103">
        <v>1463.8674000000001</v>
      </c>
      <c r="L249" s="32">
        <f t="shared" si="232"/>
        <v>3.1560227461469914E-2</v>
      </c>
      <c r="M249" s="25">
        <f t="shared" si="233"/>
        <v>448.58642171790547</v>
      </c>
    </row>
    <row r="250" spans="1:13">
      <c r="K250"/>
      <c r="L250"/>
    </row>
  </sheetData>
  <mergeCells count="11">
    <mergeCell ref="AC80:AC81"/>
    <mergeCell ref="AV28:AV29"/>
    <mergeCell ref="AC61:AC62"/>
    <mergeCell ref="AC59:AC60"/>
    <mergeCell ref="AC63:AC64"/>
    <mergeCell ref="AC65:AC66"/>
    <mergeCell ref="AC78:AC79"/>
    <mergeCell ref="AC76:AC77"/>
    <mergeCell ref="AC74:AC75"/>
    <mergeCell ref="AC71:AC72"/>
    <mergeCell ref="AC68:AC69"/>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X27"/>
  <sheetViews>
    <sheetView showGridLines="0" zoomScale="70" zoomScaleNormal="70" workbookViewId="0">
      <selection activeCell="H21" sqref="H21:H27"/>
    </sheetView>
  </sheetViews>
  <sheetFormatPr defaultColWidth="11.42578125" defaultRowHeight="15"/>
  <cols>
    <col min="3" max="3" width="7.140625" style="6" bestFit="1" customWidth="1"/>
    <col min="4" max="4" width="28.85546875" customWidth="1"/>
    <col min="5" max="16" width="8" bestFit="1" customWidth="1"/>
    <col min="17" max="17" width="10.140625" customWidth="1"/>
    <col min="19" max="19" width="20" bestFit="1" customWidth="1"/>
    <col min="20" max="20" width="9" bestFit="1" customWidth="1"/>
    <col min="21" max="21" width="11.140625" bestFit="1" customWidth="1"/>
    <col min="22" max="22" width="10.85546875" bestFit="1" customWidth="1"/>
    <col min="23" max="23" width="6.7109375" bestFit="1" customWidth="1"/>
    <col min="24" max="24" width="9.42578125" bestFit="1" customWidth="1"/>
  </cols>
  <sheetData>
    <row r="1" spans="2:24" ht="25.5">
      <c r="C1" s="76"/>
      <c r="D1" s="77"/>
      <c r="E1" s="77"/>
      <c r="F1" s="77"/>
      <c r="G1" s="77"/>
      <c r="H1" s="77"/>
      <c r="I1" s="77"/>
      <c r="J1" s="77"/>
      <c r="K1" s="77"/>
      <c r="L1" s="77"/>
      <c r="M1" s="77"/>
      <c r="N1" s="77"/>
      <c r="O1" s="77"/>
      <c r="P1" s="77"/>
      <c r="Q1" s="77"/>
      <c r="R1" s="77"/>
      <c r="S1" s="83" t="s">
        <v>29</v>
      </c>
      <c r="T1" s="84" t="s">
        <v>30</v>
      </c>
      <c r="U1" s="84" t="s">
        <v>31</v>
      </c>
      <c r="V1" s="84" t="s">
        <v>32</v>
      </c>
      <c r="W1" s="84" t="s">
        <v>33</v>
      </c>
      <c r="X1" s="85" t="s">
        <v>44</v>
      </c>
    </row>
    <row r="2" spans="2:24">
      <c r="C2" s="76"/>
      <c r="D2" s="77"/>
      <c r="E2" s="77"/>
      <c r="F2" s="77"/>
      <c r="G2" s="77"/>
      <c r="H2" s="77"/>
      <c r="I2" s="77"/>
      <c r="J2" s="77"/>
      <c r="K2" s="77"/>
      <c r="L2" s="77"/>
      <c r="M2" s="77"/>
      <c r="N2" s="77"/>
      <c r="O2" s="77"/>
      <c r="P2" s="77"/>
      <c r="Q2" s="77"/>
      <c r="R2" s="77"/>
      <c r="S2" s="80" t="s">
        <v>25</v>
      </c>
      <c r="T2" s="81">
        <f>+'Datos ICP (2)'!AX28</f>
        <v>3.1560227461469914E-2</v>
      </c>
      <c r="U2" s="81">
        <f>+'Datos ICP (2)'!AY28</f>
        <v>3.1978330495645878E-2</v>
      </c>
      <c r="V2" s="81">
        <f>+'Datos ICP (2)'!AZ28</f>
        <v>3.317943169700218E-2</v>
      </c>
      <c r="W2" s="81"/>
      <c r="X2" s="81">
        <f>+'Datos ICP (2)'!BB28</f>
        <v>2.3717261784270693E-2</v>
      </c>
    </row>
    <row r="3" spans="2:24">
      <c r="C3" s="76"/>
      <c r="D3" s="77"/>
      <c r="E3" s="77"/>
      <c r="F3" s="77"/>
      <c r="G3" s="77"/>
      <c r="H3" s="77"/>
      <c r="I3" s="77"/>
      <c r="J3" s="77"/>
      <c r="K3" s="77"/>
      <c r="L3" s="77"/>
      <c r="M3" s="77"/>
      <c r="N3" s="77"/>
      <c r="O3" s="77"/>
      <c r="P3" s="77"/>
      <c r="Q3" s="77"/>
      <c r="R3" s="77"/>
      <c r="S3" s="82" t="s">
        <v>26</v>
      </c>
      <c r="T3" s="81">
        <f>+'Datos ICP (2)'!AX29</f>
        <v>4.8522359078618571E-2</v>
      </c>
      <c r="U3" s="81">
        <f>+'Datos ICP (2)'!AY29</f>
        <v>4.8047595928048359E-2</v>
      </c>
      <c r="V3" s="81">
        <f>+'Datos ICP (2)'!AZ29</f>
        <v>4.8981994999713209E-2</v>
      </c>
      <c r="W3" s="81"/>
      <c r="X3" s="81">
        <f>+'Datos ICP (2)'!BB29</f>
        <v>3.5635300313302531E-2</v>
      </c>
    </row>
    <row r="4" spans="2:24">
      <c r="C4" s="76"/>
      <c r="D4" s="77"/>
      <c r="E4" s="77"/>
      <c r="F4" s="77"/>
      <c r="G4" s="77"/>
      <c r="H4" s="77"/>
      <c r="I4" s="77"/>
      <c r="J4" s="77"/>
      <c r="K4" s="77"/>
      <c r="L4" s="77"/>
      <c r="M4" s="77"/>
      <c r="N4" s="77"/>
      <c r="O4" s="77"/>
      <c r="P4" s="77"/>
      <c r="Q4" s="77"/>
      <c r="R4" s="77"/>
      <c r="S4" s="77"/>
      <c r="T4" s="77"/>
      <c r="U4" s="77"/>
      <c r="V4" s="77"/>
      <c r="W4" s="77"/>
      <c r="X4" s="77"/>
    </row>
    <row r="5" spans="2:24">
      <c r="B5" s="9"/>
      <c r="C5" s="76"/>
      <c r="D5" s="77"/>
      <c r="E5" s="77"/>
      <c r="F5" s="77"/>
      <c r="G5" s="77"/>
      <c r="H5" s="77"/>
      <c r="I5" s="77"/>
      <c r="J5" s="77"/>
      <c r="K5" s="77"/>
      <c r="L5" s="77"/>
      <c r="M5" s="77"/>
      <c r="N5" s="77"/>
      <c r="O5" s="77"/>
      <c r="P5" s="77"/>
      <c r="Q5" s="77"/>
      <c r="R5" s="77"/>
      <c r="S5" s="77"/>
      <c r="T5" s="77"/>
      <c r="U5" s="77"/>
      <c r="V5" s="77"/>
      <c r="W5" s="77"/>
      <c r="X5" s="77"/>
    </row>
    <row r="6" spans="2:24" ht="28.5">
      <c r="B6" s="9"/>
      <c r="C6" s="87" t="s">
        <v>36</v>
      </c>
      <c r="D6" s="88" t="s">
        <v>37</v>
      </c>
      <c r="E6" s="89" t="s">
        <v>4</v>
      </c>
      <c r="F6" s="89" t="s">
        <v>5</v>
      </c>
      <c r="G6" s="89" t="s">
        <v>6</v>
      </c>
      <c r="H6" s="89" t="s">
        <v>7</v>
      </c>
      <c r="I6" s="89" t="s">
        <v>8</v>
      </c>
      <c r="J6" s="89" t="s">
        <v>9</v>
      </c>
      <c r="K6" s="89" t="s">
        <v>10</v>
      </c>
      <c r="L6" s="89" t="s">
        <v>11</v>
      </c>
      <c r="M6" s="89" t="s">
        <v>12</v>
      </c>
      <c r="N6" s="89" t="s">
        <v>13</v>
      </c>
      <c r="O6" s="89" t="s">
        <v>14</v>
      </c>
      <c r="P6" s="89" t="s">
        <v>15</v>
      </c>
      <c r="Q6" s="90" t="s">
        <v>45</v>
      </c>
      <c r="R6" s="79"/>
      <c r="S6" s="77"/>
      <c r="T6" s="77"/>
      <c r="U6" s="77"/>
      <c r="V6" s="77"/>
      <c r="W6" s="77"/>
      <c r="X6" s="77"/>
    </row>
    <row r="7" spans="2:24" ht="19.899999999999999" hidden="1" customHeight="1">
      <c r="B7" s="9"/>
      <c r="C7" s="76"/>
      <c r="D7" s="77"/>
      <c r="E7" s="86"/>
      <c r="F7" s="86"/>
      <c r="G7" s="86"/>
      <c r="H7" s="86"/>
      <c r="I7" s="86"/>
      <c r="J7" s="86"/>
      <c r="K7" s="86"/>
      <c r="L7" s="86"/>
      <c r="M7" s="86"/>
      <c r="N7" s="86"/>
      <c r="O7" s="86"/>
      <c r="P7" s="86"/>
      <c r="Q7" s="86"/>
      <c r="R7" s="79"/>
      <c r="S7" s="77"/>
      <c r="T7" s="77"/>
      <c r="U7" s="77"/>
      <c r="V7" s="77"/>
      <c r="W7" s="77"/>
      <c r="X7" s="77"/>
    </row>
    <row r="8" spans="2:24" ht="19.899999999999999" hidden="1" customHeight="1">
      <c r="B8" s="9"/>
      <c r="C8" s="76">
        <v>2017</v>
      </c>
      <c r="D8" s="77" t="s">
        <v>25</v>
      </c>
      <c r="E8" s="78"/>
      <c r="F8" s="78"/>
      <c r="G8" s="78"/>
      <c r="H8" s="78"/>
      <c r="I8" s="78"/>
      <c r="J8" s="78"/>
      <c r="K8" s="78"/>
      <c r="L8" s="78"/>
      <c r="M8" s="78"/>
      <c r="N8" s="78"/>
      <c r="O8" s="78"/>
      <c r="P8" s="78"/>
      <c r="Q8" s="78"/>
      <c r="R8" s="77"/>
      <c r="S8" s="77"/>
      <c r="T8" s="77"/>
      <c r="U8" s="77"/>
      <c r="V8" s="77"/>
      <c r="W8" s="77"/>
      <c r="X8" s="77"/>
    </row>
    <row r="9" spans="2:24" ht="19.899999999999999" hidden="1" customHeight="1">
      <c r="B9" s="9"/>
      <c r="C9" s="76"/>
      <c r="D9" s="77" t="s">
        <v>26</v>
      </c>
      <c r="E9" s="78"/>
      <c r="F9" s="78"/>
      <c r="G9" s="78"/>
      <c r="H9" s="78"/>
      <c r="I9" s="78"/>
      <c r="J9" s="78"/>
      <c r="K9" s="78"/>
      <c r="L9" s="78"/>
      <c r="M9" s="78"/>
      <c r="N9" s="78"/>
      <c r="O9" s="78"/>
      <c r="P9" s="78"/>
      <c r="Q9" s="78"/>
      <c r="R9" s="77"/>
      <c r="S9" s="77"/>
      <c r="T9" s="77"/>
      <c r="U9" s="77"/>
      <c r="V9" s="77"/>
      <c r="W9" s="77"/>
      <c r="X9" s="77"/>
    </row>
    <row r="10" spans="2:24" ht="19.899999999999999" hidden="1" customHeight="1">
      <c r="B10" s="9"/>
      <c r="C10" s="76">
        <v>2018</v>
      </c>
      <c r="D10" s="77" t="s">
        <v>25</v>
      </c>
      <c r="E10" s="78"/>
      <c r="F10" s="78"/>
      <c r="G10" s="78"/>
      <c r="H10" s="78"/>
      <c r="I10" s="78"/>
      <c r="J10" s="78"/>
      <c r="K10" s="78"/>
      <c r="L10" s="78"/>
      <c r="M10" s="78"/>
      <c r="N10" s="78"/>
      <c r="O10" s="78"/>
      <c r="P10" s="78"/>
      <c r="Q10" s="78"/>
      <c r="R10" s="77"/>
      <c r="S10" s="77"/>
      <c r="T10" s="77"/>
      <c r="U10" s="77"/>
      <c r="V10" s="77"/>
      <c r="W10" s="77"/>
      <c r="X10" s="77"/>
    </row>
    <row r="11" spans="2:24" ht="19.899999999999999" hidden="1" customHeight="1">
      <c r="B11" s="9"/>
      <c r="C11" s="76"/>
      <c r="D11" s="77" t="s">
        <v>26</v>
      </c>
      <c r="E11" s="78"/>
      <c r="F11" s="78"/>
      <c r="G11" s="78"/>
      <c r="H11" s="78"/>
      <c r="I11" s="78"/>
      <c r="J11" s="78"/>
      <c r="K11" s="78"/>
      <c r="L11" s="78"/>
      <c r="M11" s="78"/>
      <c r="N11" s="78"/>
      <c r="O11" s="78"/>
      <c r="P11" s="78"/>
      <c r="Q11" s="78"/>
      <c r="R11" s="77"/>
      <c r="S11" s="77"/>
      <c r="T11" s="77"/>
      <c r="U11" s="77"/>
      <c r="V11" s="77"/>
      <c r="W11" s="77"/>
      <c r="X11" s="77"/>
    </row>
    <row r="12" spans="2:24" ht="19.899999999999999" hidden="1" customHeight="1">
      <c r="B12" s="9"/>
      <c r="C12" s="76">
        <v>2019</v>
      </c>
      <c r="D12" s="77" t="s">
        <v>25</v>
      </c>
      <c r="E12" s="78"/>
      <c r="F12" s="78"/>
      <c r="G12" s="78"/>
      <c r="H12" s="78"/>
      <c r="I12" s="78"/>
      <c r="J12" s="78"/>
      <c r="K12" s="78"/>
      <c r="L12" s="78"/>
      <c r="M12" s="78"/>
      <c r="N12" s="78"/>
      <c r="O12" s="78"/>
      <c r="P12" s="78"/>
      <c r="Q12" s="78"/>
      <c r="R12" s="77"/>
      <c r="S12" s="77"/>
      <c r="T12" s="77"/>
      <c r="U12" s="77"/>
      <c r="V12" s="77"/>
      <c r="W12" s="77"/>
      <c r="X12" s="77"/>
    </row>
    <row r="13" spans="2:24" ht="19.899999999999999" hidden="1" customHeight="1">
      <c r="B13" s="9"/>
      <c r="C13" s="76"/>
      <c r="D13" s="77" t="s">
        <v>26</v>
      </c>
      <c r="E13" s="78"/>
      <c r="F13" s="78"/>
      <c r="G13" s="78"/>
      <c r="H13" s="78"/>
      <c r="I13" s="78"/>
      <c r="J13" s="78"/>
      <c r="K13" s="78"/>
      <c r="L13" s="78"/>
      <c r="M13" s="78"/>
      <c r="N13" s="78"/>
      <c r="O13" s="78"/>
      <c r="P13" s="78"/>
      <c r="Q13" s="78"/>
      <c r="R13" s="77"/>
      <c r="S13" s="77"/>
      <c r="T13" s="77"/>
      <c r="U13" s="77"/>
      <c r="V13" s="77"/>
      <c r="W13" s="77"/>
      <c r="X13" s="77"/>
    </row>
    <row r="14" spans="2:24" ht="19.899999999999999" hidden="1" customHeight="1">
      <c r="B14" s="9"/>
      <c r="C14" s="76">
        <v>2020</v>
      </c>
      <c r="D14" s="77" t="s">
        <v>25</v>
      </c>
      <c r="E14" s="78"/>
      <c r="F14" s="78"/>
      <c r="G14" s="78"/>
      <c r="H14" s="78"/>
      <c r="I14" s="78"/>
      <c r="J14" s="78"/>
      <c r="K14" s="78"/>
      <c r="L14" s="78"/>
      <c r="M14" s="78"/>
      <c r="N14" s="78"/>
      <c r="O14" s="78"/>
      <c r="P14" s="78"/>
      <c r="Q14" s="78"/>
      <c r="R14" s="77"/>
      <c r="S14" s="77"/>
      <c r="T14" s="77"/>
      <c r="U14" s="77"/>
      <c r="V14" s="77"/>
      <c r="W14" s="77"/>
      <c r="X14" s="77"/>
    </row>
    <row r="15" spans="2:24" ht="19.899999999999999" hidden="1" customHeight="1">
      <c r="B15" s="9"/>
      <c r="C15" s="76"/>
      <c r="D15" s="77" t="s">
        <v>26</v>
      </c>
      <c r="E15" s="78"/>
      <c r="F15" s="78"/>
      <c r="G15" s="78"/>
      <c r="H15" s="78"/>
      <c r="I15" s="78"/>
      <c r="J15" s="78"/>
      <c r="K15" s="78"/>
      <c r="L15" s="78"/>
      <c r="M15" s="78"/>
      <c r="N15" s="78"/>
      <c r="O15" s="78"/>
      <c r="P15" s="78"/>
      <c r="Q15" s="78"/>
      <c r="R15" s="77"/>
      <c r="S15" s="77"/>
      <c r="T15" s="77"/>
      <c r="U15" s="77"/>
      <c r="V15" s="77"/>
      <c r="W15" s="77"/>
      <c r="X15" s="77"/>
    </row>
    <row r="16" spans="2:24" ht="19.899999999999999" hidden="1" customHeight="1">
      <c r="B16" s="9"/>
      <c r="C16" s="76">
        <v>2021</v>
      </c>
      <c r="D16" s="77" t="s">
        <v>25</v>
      </c>
      <c r="E16" s="78"/>
      <c r="F16" s="78"/>
      <c r="G16" s="78"/>
      <c r="H16" s="78"/>
      <c r="I16" s="78"/>
      <c r="J16" s="78"/>
      <c r="K16" s="78"/>
      <c r="L16" s="78"/>
      <c r="M16" s="78"/>
      <c r="N16" s="78"/>
      <c r="O16" s="78"/>
      <c r="P16" s="78"/>
      <c r="Q16" s="78"/>
      <c r="R16" s="77"/>
      <c r="S16" s="77"/>
      <c r="T16" s="77"/>
      <c r="U16" s="77"/>
      <c r="V16" s="77"/>
      <c r="W16" s="77"/>
      <c r="X16" s="77"/>
    </row>
    <row r="17" spans="2:24" ht="19.899999999999999" hidden="1" customHeight="1">
      <c r="B17" s="9"/>
      <c r="C17" s="76"/>
      <c r="D17" s="77" t="s">
        <v>26</v>
      </c>
      <c r="E17" s="78"/>
      <c r="F17" s="78"/>
      <c r="G17" s="78"/>
      <c r="H17" s="78"/>
      <c r="I17" s="78"/>
      <c r="J17" s="78"/>
      <c r="K17" s="78"/>
      <c r="L17" s="78"/>
      <c r="M17" s="78"/>
      <c r="N17" s="78"/>
      <c r="O17" s="78"/>
      <c r="P17" s="78"/>
      <c r="Q17" s="78"/>
      <c r="R17" s="77"/>
      <c r="S17" s="77"/>
      <c r="T17" s="77"/>
      <c r="U17" s="77"/>
      <c r="V17" s="77"/>
      <c r="W17" s="77"/>
      <c r="X17" s="77"/>
    </row>
    <row r="18" spans="2:24" hidden="1">
      <c r="C18" s="76">
        <v>2022</v>
      </c>
      <c r="D18" s="77" t="s">
        <v>25</v>
      </c>
      <c r="E18" s="78"/>
      <c r="F18" s="78"/>
      <c r="G18" s="78"/>
      <c r="H18" s="78"/>
      <c r="I18" s="78"/>
      <c r="J18" s="78"/>
      <c r="K18" s="78"/>
      <c r="L18" s="78"/>
      <c r="M18" s="78"/>
      <c r="N18" s="78"/>
      <c r="O18" s="78"/>
      <c r="P18" s="78"/>
      <c r="Q18" s="78"/>
      <c r="R18" s="77"/>
      <c r="S18" s="77"/>
      <c r="T18" s="77"/>
      <c r="U18" s="77"/>
      <c r="V18" s="77"/>
      <c r="W18" s="77"/>
      <c r="X18" s="77"/>
    </row>
    <row r="19" spans="2:24" hidden="1">
      <c r="C19" s="76"/>
      <c r="D19" s="77" t="s">
        <v>26</v>
      </c>
      <c r="E19" s="78"/>
      <c r="F19" s="78"/>
      <c r="G19" s="78"/>
      <c r="H19" s="78"/>
      <c r="I19" s="78"/>
      <c r="J19" s="78"/>
      <c r="K19" s="78"/>
      <c r="L19" s="78"/>
      <c r="M19" s="78"/>
      <c r="N19" s="78"/>
      <c r="O19" s="78"/>
      <c r="P19" s="78"/>
      <c r="Q19" s="78"/>
      <c r="R19" s="77"/>
      <c r="S19" s="77"/>
      <c r="T19" s="77"/>
      <c r="U19" s="77"/>
      <c r="V19" s="77"/>
      <c r="W19" s="77"/>
      <c r="X19" s="77"/>
    </row>
    <row r="20" spans="2:24" hidden="1">
      <c r="C20" s="76">
        <v>2023</v>
      </c>
      <c r="D20" s="77" t="s">
        <v>25</v>
      </c>
      <c r="E20" s="78"/>
      <c r="F20" s="78"/>
      <c r="G20" s="78"/>
      <c r="H20" s="78"/>
      <c r="I20" s="78"/>
      <c r="J20" s="78"/>
      <c r="K20" s="78"/>
      <c r="L20" s="78"/>
      <c r="M20" s="78"/>
      <c r="N20" s="78"/>
      <c r="O20" s="78"/>
      <c r="P20" s="78"/>
      <c r="Q20" s="78"/>
      <c r="R20" s="77"/>
      <c r="S20" s="77"/>
      <c r="T20" s="77"/>
      <c r="U20" s="77"/>
      <c r="V20" s="77"/>
      <c r="W20" s="77"/>
      <c r="X20" s="77"/>
    </row>
    <row r="21" spans="2:24">
      <c r="C21" s="76"/>
      <c r="D21" s="77" t="s">
        <v>26</v>
      </c>
      <c r="E21" s="78"/>
      <c r="F21" s="78">
        <f>+'Datos ICP (2)'!AF75</f>
        <v>1.9285714285715017E-2</v>
      </c>
      <c r="G21" s="78">
        <f>+'Datos ICP (2)'!AG75</f>
        <v>3.942473386693935E-2</v>
      </c>
      <c r="H21" s="78">
        <f>+'Datos ICP (2)'!AH75</f>
        <v>4.9898355202366212E-2</v>
      </c>
      <c r="I21" s="78">
        <f>+'Datos ICP (2)'!AI75</f>
        <v>5.1906856030569611E-2</v>
      </c>
      <c r="J21" s="78">
        <f>+'Datos ICP (2)'!AJ75</f>
        <v>4.4988161010261152E-2</v>
      </c>
      <c r="K21" s="78">
        <f>+'Datos ICP (2)'!AK75</f>
        <v>5.4788613607106226E-2</v>
      </c>
      <c r="L21" s="78">
        <f>+'Datos ICP (2)'!AL75</f>
        <v>5.6803478897506345E-2</v>
      </c>
      <c r="M21" s="78">
        <f>+'Datos ICP (2)'!AM75</f>
        <v>5.7242990654206238E-2</v>
      </c>
      <c r="N21" s="78">
        <f>+'Datos ICP (2)'!AN75</f>
        <v>6.0759303768390782E-2</v>
      </c>
      <c r="O21" s="78">
        <f>+'Datos ICP (2)'!AO75</f>
        <v>5.4361445783132289E-2</v>
      </c>
      <c r="P21" s="78">
        <f>+'Datos ICP (2)'!AP75</f>
        <v>5.2370605604767625E-2</v>
      </c>
      <c r="Q21" s="78">
        <f>+'Datos ICP (2)'!AQ75</f>
        <v>4.6899999999999942E-2</v>
      </c>
      <c r="R21" s="77"/>
    </row>
    <row r="22" spans="2:24">
      <c r="C22" s="76">
        <v>2024</v>
      </c>
      <c r="D22" s="77" t="s">
        <v>25</v>
      </c>
      <c r="E22" s="78">
        <f>+'Datos ICP (2)'!AE76</f>
        <v>4.4545496313381353E-2</v>
      </c>
      <c r="F22" s="78">
        <f>+'Datos ICP (2)'!AF76</f>
        <v>4.3686281887614267E-2</v>
      </c>
      <c r="G22" s="78">
        <f>+'Datos ICP (2)'!AG76</f>
        <v>3.8884481610188967E-2</v>
      </c>
      <c r="H22" s="78">
        <f>+'Datos ICP (2)'!AH76</f>
        <v>4.7086385624311333E-2</v>
      </c>
      <c r="I22" s="78">
        <f>+'Datos ICP (2)'!AI76</f>
        <v>4.2544316765445692E-2</v>
      </c>
      <c r="J22" s="78">
        <f>+'Datos ICP (2)'!AJ76</f>
        <v>4.2518892012331833E-2</v>
      </c>
      <c r="K22" s="78">
        <f>+'Datos ICP (2)'!AK76</f>
        <v>4.2210544331228068E-2</v>
      </c>
      <c r="L22" s="78">
        <f>+'Datos ICP (2)'!AL76</f>
        <v>4.2490857048972694E-2</v>
      </c>
      <c r="M22" s="78">
        <f>+'Datos ICP (2)'!AM76</f>
        <v>4.0835600722048504E-2</v>
      </c>
      <c r="N22" s="78">
        <f>+'Datos ICP (2)'!AN76</f>
        <v>3.9471501860971661E-2</v>
      </c>
      <c r="O22" s="78">
        <f>+'Datos ICP (2)'!AO76</f>
        <v>3.7641499943658729E-2</v>
      </c>
      <c r="P22" s="78">
        <f>+'Datos ICP (2)'!AP76</f>
        <v>3.6882308624910591E-2</v>
      </c>
      <c r="Q22" s="78">
        <f>+'Datos ICP (2)'!AQ76</f>
        <v>4.3069671292365497E-2</v>
      </c>
      <c r="R22" s="77"/>
      <c r="S22" s="77"/>
      <c r="T22" s="77"/>
      <c r="U22" s="77"/>
      <c r="V22" s="77"/>
      <c r="W22" s="77"/>
      <c r="X22" s="77"/>
    </row>
    <row r="23" spans="2:24">
      <c r="C23" s="76"/>
      <c r="D23" s="77" t="s">
        <v>26</v>
      </c>
      <c r="E23" s="78">
        <f>+'Datos ICP (2)'!AE77</f>
        <v>5.3244756408321811E-2</v>
      </c>
      <c r="F23" s="78">
        <f>+'Datos ICP (2)'!AF77</f>
        <v>4.8394553317617738E-2</v>
      </c>
      <c r="G23" s="78">
        <f>+'Datos ICP (2)'!AG77</f>
        <v>4.399660248458722E-2</v>
      </c>
      <c r="H23" s="78">
        <f>+'Datos ICP (2)'!AH77</f>
        <v>5.5482166446497949E-2</v>
      </c>
      <c r="I23" s="78">
        <f>+'Datos ICP (2)'!AI77</f>
        <v>4.690098982902817E-2</v>
      </c>
      <c r="J23" s="78">
        <f>+'Datos ICP (2)'!AJ77</f>
        <v>5.5004677268477138E-2</v>
      </c>
      <c r="K23" s="78">
        <f>+'Datos ICP (2)'!AK77</f>
        <v>3.5685427549267956E-2</v>
      </c>
      <c r="L23" s="78">
        <f>+'Datos ICP (2)'!AL77</f>
        <v>3.8810296707114236E-2</v>
      </c>
      <c r="M23" s="78">
        <f>+'Datos ICP (2)'!AM77</f>
        <v>3.8860103626943143E-2</v>
      </c>
      <c r="N23" s="78">
        <f>+'Datos ICP (2)'!AN77</f>
        <v>4.0698176019611086E-2</v>
      </c>
      <c r="O23" s="78">
        <f>+'Datos ICP (2)'!AO77</f>
        <v>4.4113592500688803E-2</v>
      </c>
      <c r="P23" s="78">
        <f>+'Datos ICP (2)'!AP77</f>
        <v>4.3073762496416042E-2</v>
      </c>
      <c r="Q23" s="78">
        <f>+'Datos ICP (2)'!AQ77</f>
        <v>4.7044359900373811E-2</v>
      </c>
      <c r="R23" s="77"/>
    </row>
    <row r="24" spans="2:24">
      <c r="C24" s="76">
        <v>2025</v>
      </c>
      <c r="D24" s="77" t="s">
        <v>25</v>
      </c>
      <c r="E24" s="78">
        <f>+'Datos ICP (2)'!AE78</f>
        <v>3.5823879227219982E-2</v>
      </c>
      <c r="F24" s="78">
        <f>+'Datos ICP (2)'!AF78</f>
        <v>3.546343555297117E-2</v>
      </c>
      <c r="G24" s="78">
        <f>+'Datos ICP (2)'!AG78</f>
        <v>3.4432444314915697E-2</v>
      </c>
      <c r="H24" s="78">
        <f>+'Datos ICP (2)'!AH78</f>
        <v>3.4277425005551088E-2</v>
      </c>
      <c r="I24" s="78">
        <f>+'Datos ICP (2)'!AI78</f>
        <v>3.39513431248578E-2</v>
      </c>
      <c r="J24" s="78">
        <f>+'Datos ICP (2)'!AJ78</f>
        <v>3.4181635108931019E-2</v>
      </c>
      <c r="K24" s="78">
        <f>+'Datos ICP (2)'!AK78</f>
        <v>3.4595126301404086E-2</v>
      </c>
      <c r="L24" s="78">
        <f>+'Datos ICP (2)'!AL78</f>
        <v>3.4936616659240624E-2</v>
      </c>
      <c r="M24" s="78">
        <f>+'Datos ICP (2)'!AM78</f>
        <v>3.4918273675822675E-2</v>
      </c>
      <c r="N24" s="78">
        <f>+'Datos ICP (2)'!AN78</f>
        <v>3.4285095330797009E-2</v>
      </c>
      <c r="O24" s="78">
        <f>+'Datos ICP (2)'!AO78</f>
        <v>3.368446374492251E-2</v>
      </c>
      <c r="P24" s="78">
        <f>+'Datos ICP (2)'!AP78</f>
        <v>3.3622048004321267E-2</v>
      </c>
      <c r="Q24" s="78">
        <f>+'Datos ICP (2)'!AQ78</f>
        <v>3.2370378977488734E-2</v>
      </c>
    </row>
    <row r="25" spans="2:24">
      <c r="C25" s="76"/>
      <c r="D25" s="77" t="s">
        <v>26</v>
      </c>
      <c r="E25" s="78">
        <f>+'Datos ICP (2)'!AE79</f>
        <v>4.025817858114783E-2</v>
      </c>
      <c r="F25" s="78">
        <f>+'Datos ICP (2)'!AF79</f>
        <v>4.0910922960484264E-2</v>
      </c>
      <c r="G25" s="78">
        <f>+'Datos ICP (2)'!AG79</f>
        <v>4.3149097176211057E-2</v>
      </c>
      <c r="H25" s="78">
        <f>+'Datos ICP (2)'!AH79</f>
        <v>4.5505815817270097E-2</v>
      </c>
      <c r="I25" s="78">
        <f>+'Datos ICP (2)'!AI79</f>
        <v>4.1782398892185407E-2</v>
      </c>
      <c r="J25" s="78">
        <f>+'Datos ICP (2)'!AJ79</f>
        <v>4.5171379391466537E-2</v>
      </c>
      <c r="K25" s="78">
        <f>+'Datos ICP (2)'!AK79</f>
        <v>4.7697950376459922E-2</v>
      </c>
      <c r="L25" s="78">
        <f>+'Datos ICP (2)'!AL79</f>
        <v>5.1633522654056775E-2</v>
      </c>
      <c r="M25" s="78">
        <f>+'Datos ICP (2)'!AM79</f>
        <v>4.8868986603864073E-2</v>
      </c>
      <c r="N25" s="78">
        <f>+'Datos ICP (2)'!AN79</f>
        <v>4.9148612701351457E-2</v>
      </c>
      <c r="O25" s="78">
        <f>+'Datos ICP (2)'!AO79</f>
        <v>4.7412059262541995E-2</v>
      </c>
      <c r="P25" s="78">
        <f>+'Datos ICP (2)'!AP79</f>
        <v>5.1795678082243689E-2</v>
      </c>
      <c r="Q25" s="78">
        <f>+'Datos ICP (2)'!AQ79</f>
        <v>4.4183796797321317E-2</v>
      </c>
    </row>
    <row r="26" spans="2:24">
      <c r="C26" s="76">
        <v>2026</v>
      </c>
      <c r="D26" s="77" t="s">
        <v>25</v>
      </c>
      <c r="E26" s="78">
        <f>+'Datos ICP (2)'!AE80</f>
        <v>3.3478476375696786E-2</v>
      </c>
      <c r="F26" s="78">
        <f>+'Datos ICP (2)'!AF80</f>
        <v>3.2505249197763826E-2</v>
      </c>
      <c r="G26" s="78">
        <f>+'Datos ICP (2)'!AG80</f>
        <v>3.1666251940079285E-2</v>
      </c>
      <c r="H26" s="78">
        <f>+'Datos ICP (2)'!AH80</f>
        <v>3.1560227461469914E-2</v>
      </c>
      <c r="I26" s="78"/>
      <c r="J26" s="78"/>
      <c r="K26" s="78"/>
      <c r="L26" s="78"/>
      <c r="M26" s="78"/>
      <c r="N26" s="78"/>
      <c r="O26" s="78"/>
      <c r="P26" s="78"/>
      <c r="Q26" s="78">
        <f>+'Datos ICP (2)'!AQ80</f>
        <v>2.3717261784270693E-2</v>
      </c>
    </row>
    <row r="27" spans="2:24">
      <c r="C27" s="76"/>
      <c r="D27" s="77" t="s">
        <v>26</v>
      </c>
      <c r="E27" s="78">
        <f>+'Datos ICP (2)'!AE81</f>
        <v>4.8532410040016197E-2</v>
      </c>
      <c r="F27" s="78">
        <f>+'Datos ICP (2)'!AF81</f>
        <v>3.9016752167848612E-2</v>
      </c>
      <c r="G27" s="78">
        <f>+'Datos ICP (2)'!AG81</f>
        <v>5.5211070462702003E-2</v>
      </c>
      <c r="H27" s="78">
        <f>+'Datos ICP (2)'!AH81</f>
        <v>4.8522359078618571E-2</v>
      </c>
      <c r="I27" s="78"/>
      <c r="J27" s="78"/>
      <c r="K27" s="78"/>
      <c r="L27" s="78"/>
      <c r="M27" s="78"/>
      <c r="N27" s="78"/>
      <c r="O27" s="78"/>
      <c r="P27" s="78"/>
      <c r="Q27" s="78">
        <f>+'Datos ICP (2)'!AQ81</f>
        <v>3.5635300313302531E-2</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24"/>
  <sheetViews>
    <sheetView showGridLines="0" topLeftCell="J1" zoomScaleNormal="100" workbookViewId="0">
      <selection activeCell="P6" sqref="P6"/>
    </sheetView>
  </sheetViews>
  <sheetFormatPr defaultColWidth="11.42578125" defaultRowHeight="15"/>
  <cols>
    <col min="1" max="1" width="14.28515625" bestFit="1" customWidth="1"/>
    <col min="2" max="2" width="15.28515625" bestFit="1" customWidth="1"/>
    <col min="9" max="9" width="11.5703125" customWidth="1"/>
    <col min="10" max="10" width="11.5703125" style="77" customWidth="1"/>
    <col min="11" max="11" width="28.42578125" style="77" customWidth="1"/>
    <col min="12" max="12" width="11.5703125" style="77"/>
    <col min="13" max="13" width="11.5703125" style="77" customWidth="1"/>
    <col min="14" max="14" width="16.140625" style="77" bestFit="1" customWidth="1"/>
    <col min="15" max="15" width="31" style="77" bestFit="1" customWidth="1"/>
    <col min="16" max="16" width="11.5703125" style="77"/>
    <col min="19" max="19" width="28.7109375" customWidth="1"/>
  </cols>
  <sheetData>
    <row r="1" spans="1:20">
      <c r="B1" s="3"/>
      <c r="C1" s="1"/>
      <c r="J1" s="91" t="s">
        <v>46</v>
      </c>
      <c r="K1" s="92"/>
      <c r="L1" s="93"/>
      <c r="N1" s="91" t="s">
        <v>47</v>
      </c>
      <c r="O1" s="92"/>
      <c r="P1" s="93"/>
      <c r="R1" s="2" t="s">
        <v>48</v>
      </c>
      <c r="S1" s="3"/>
      <c r="T1" s="4"/>
    </row>
    <row r="2" spans="1:20" ht="16.899999999999999" customHeight="1">
      <c r="C2" s="1"/>
      <c r="O2" s="98" t="s">
        <v>49</v>
      </c>
      <c r="P2" s="99">
        <v>0</v>
      </c>
    </row>
    <row r="3" spans="1:20" ht="16.899999999999999" customHeight="1">
      <c r="C3" s="1"/>
      <c r="K3" s="94" t="s">
        <v>50</v>
      </c>
      <c r="L3" s="95">
        <v>0.26629999999999998</v>
      </c>
      <c r="O3" s="98" t="s">
        <v>51</v>
      </c>
      <c r="P3" s="99">
        <v>0</v>
      </c>
      <c r="S3" s="94" t="s">
        <v>52</v>
      </c>
      <c r="T3" s="95">
        <v>1</v>
      </c>
    </row>
    <row r="4" spans="1:20" ht="16.899999999999999" customHeight="1">
      <c r="C4" s="1"/>
      <c r="K4" s="94" t="s">
        <v>53</v>
      </c>
      <c r="L4" s="95">
        <v>0.28739999999999999</v>
      </c>
      <c r="O4" s="98" t="s">
        <v>54</v>
      </c>
      <c r="P4" s="99">
        <v>0</v>
      </c>
      <c r="S4" s="7"/>
      <c r="T4" s="8"/>
    </row>
    <row r="5" spans="1:20" ht="16.899999999999999" customHeight="1">
      <c r="A5" s="3"/>
      <c r="B5" s="3"/>
      <c r="C5" s="1"/>
      <c r="K5" s="94" t="s">
        <v>55</v>
      </c>
      <c r="L5" s="95">
        <v>0.2253</v>
      </c>
      <c r="O5" s="98" t="s">
        <v>56</v>
      </c>
      <c r="P5" s="99">
        <v>0</v>
      </c>
    </row>
    <row r="6" spans="1:20" ht="16.899999999999999" customHeight="1">
      <c r="A6" s="3"/>
      <c r="B6" s="3"/>
      <c r="C6" s="1"/>
      <c r="K6" s="94" t="s">
        <v>57</v>
      </c>
      <c r="L6" s="95">
        <v>0.221</v>
      </c>
      <c r="O6" s="98" t="s">
        <v>58</v>
      </c>
      <c r="P6" s="99">
        <v>1</v>
      </c>
    </row>
    <row r="7" spans="1:20" ht="16.899999999999999" customHeight="1">
      <c r="B7" s="3"/>
      <c r="C7" s="1"/>
      <c r="K7" s="94"/>
      <c r="L7" s="95">
        <f>SUM(L3:L6)</f>
        <v>0.99999999999999989</v>
      </c>
      <c r="O7" s="98" t="s">
        <v>59</v>
      </c>
      <c r="P7" s="99">
        <v>0</v>
      </c>
    </row>
    <row r="8" spans="1:20" ht="16.899999999999999" customHeight="1">
      <c r="C8" s="1"/>
      <c r="O8" s="98" t="s">
        <v>60</v>
      </c>
      <c r="P8" s="99">
        <v>0</v>
      </c>
    </row>
    <row r="9" spans="1:20" ht="16.899999999999999" customHeight="1">
      <c r="C9" s="1"/>
      <c r="O9" s="98" t="s">
        <v>61</v>
      </c>
      <c r="P9" s="99">
        <v>0</v>
      </c>
    </row>
    <row r="10" spans="1:20" ht="16.899999999999999" customHeight="1">
      <c r="C10" s="1"/>
      <c r="O10" s="98" t="s">
        <v>62</v>
      </c>
      <c r="P10" s="99">
        <v>0</v>
      </c>
    </row>
    <row r="11" spans="1:20" ht="16.899999999999999" customHeight="1">
      <c r="C11" s="1"/>
      <c r="O11" s="98" t="s">
        <v>63</v>
      </c>
      <c r="P11" s="99">
        <v>0</v>
      </c>
    </row>
    <row r="12" spans="1:20" ht="16.899999999999999" hidden="1" customHeight="1">
      <c r="C12" s="1"/>
      <c r="O12" s="98"/>
      <c r="P12" s="99"/>
    </row>
    <row r="13" spans="1:20" ht="16.899999999999999" customHeight="1">
      <c r="C13" s="1"/>
      <c r="O13" s="98" t="s">
        <v>64</v>
      </c>
      <c r="P13" s="99">
        <v>0</v>
      </c>
    </row>
    <row r="14" spans="1:20" hidden="1">
      <c r="A14" s="3" t="s">
        <v>65</v>
      </c>
      <c r="B14" s="5">
        <v>0</v>
      </c>
      <c r="C14" s="1"/>
    </row>
    <row r="15" spans="1:20">
      <c r="A15" s="3"/>
      <c r="B15" s="5"/>
      <c r="C15" s="1"/>
      <c r="P15" s="96">
        <f>SUM(P2:P13)</f>
        <v>1</v>
      </c>
    </row>
    <row r="16" spans="1:20">
      <c r="B16" s="3"/>
      <c r="C16" s="1"/>
    </row>
    <row r="17" spans="1:14">
      <c r="C17" s="1"/>
    </row>
    <row r="18" spans="1:14">
      <c r="C18" s="1"/>
    </row>
    <row r="19" spans="1:14">
      <c r="C19" s="1"/>
    </row>
    <row r="20" spans="1:14">
      <c r="C20" s="1"/>
    </row>
    <row r="21" spans="1:14">
      <c r="C21" s="1"/>
      <c r="N21" s="97"/>
    </row>
    <row r="22" spans="1:14">
      <c r="A22" s="1"/>
      <c r="B22" s="1"/>
      <c r="C22" s="1"/>
    </row>
    <row r="23" spans="1:14">
      <c r="A23" s="1"/>
      <c r="B23" s="1"/>
      <c r="C23" s="1"/>
    </row>
    <row r="24" spans="1:14">
      <c r="A24" s="1"/>
      <c r="B24" s="1"/>
      <c r="C24" s="1"/>
    </row>
  </sheetData>
  <autoFilter ref="K1:T24" xr:uid="{00000000-0009-0000-0000-000002000000}">
    <sortState xmlns:xlrd2="http://schemas.microsoft.com/office/spreadsheetml/2017/richdata2" ref="K2:T24">
      <sortCondition descending="1" ref="P1:P24"/>
    </sortState>
  </autoFilter>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 Online</Application>
  <Manager/>
  <Company>HP</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NCABEZAS</dc:creator>
  <cp:keywords/>
  <dc:description/>
  <cp:lastModifiedBy>María Isabel Velasco Retamal</cp:lastModifiedBy>
  <cp:revision/>
  <dcterms:created xsi:type="dcterms:W3CDTF">2018-12-10T21:02:38Z</dcterms:created>
  <dcterms:modified xsi:type="dcterms:W3CDTF">2026-05-12T18:10:06Z</dcterms:modified>
  <cp:category/>
  <cp:contentStatus/>
</cp:coreProperties>
</file>