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ICP (2)" sheetId="1" state="visible" r:id="rId1"/>
    <sheet xmlns:r="http://schemas.openxmlformats.org/officeDocument/2006/relationships" name="rentabilidad" sheetId="2" state="visible" r:id="rId2"/>
    <sheet xmlns:r="http://schemas.openxmlformats.org/officeDocument/2006/relationships" name="composición" sheetId="3" state="visible" r:id="rId3"/>
    <sheet xmlns:r="http://schemas.openxmlformats.org/officeDocument/2006/relationships" name="Coment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ICP</t>
        </is>
      </c>
      <c r="F1" t="inlineStr">
        <is>
          <t>Cuota Flexible DÓLAR</t>
        </is>
      </c>
    </row>
    <row r="2">
      <c r="A2" t="inlineStr">
        <is>
          <t>Fecha</t>
        </is>
      </c>
      <c r="J2" t="inlineStr">
        <is>
          <t>FondoLiquidez Flexible Dólar</t>
        </is>
      </c>
      <c r="K2" t="inlineStr">
        <is>
          <t xml:space="preserve"> 8248-1 Banchile</t>
        </is>
      </c>
    </row>
    <row r="3">
      <c r="A3" s="1" t="n">
        <v>46112</v>
      </c>
      <c r="B3" t="n">
        <v>26333.64</v>
      </c>
      <c r="F3" s="1" t="n">
        <v>46112</v>
      </c>
      <c r="G3" t="n">
        <v>1</v>
      </c>
      <c r="H3" t="n">
        <v>1</v>
      </c>
      <c r="K3" t="n">
        <v>1460.0275</v>
      </c>
    </row>
    <row r="4">
      <c r="A4" s="1" t="n">
        <v>46142</v>
      </c>
      <c r="B4" t="n">
        <v>26432.56</v>
      </c>
      <c r="F4" s="1" t="n">
        <v>46142</v>
      </c>
      <c r="G4" t="n">
        <v>1.0052</v>
      </c>
      <c r="H4" t="n">
        <v>1.0052</v>
      </c>
      <c r="K4" t="n">
        <v>1463.8674</v>
      </c>
    </row>
    <row r="5">
      <c r="A5" s="1" t="n">
        <v>46173</v>
      </c>
      <c r="B5" t="n">
        <v>26500</v>
      </c>
      <c r="C5">
        <f>(B5/B4-1)/(A5-A4)*30</f>
        <v/>
      </c>
      <c r="D5">
        <f>+D4*(1+C5)</f>
        <v/>
      </c>
      <c r="F5" s="1" t="n">
        <v>46173</v>
      </c>
      <c r="G5" t="n">
        <v>1.0101</v>
      </c>
      <c r="H5">
        <f>+G5+$S$148+$S$150+$S$152+$S$154+$S$156+$S$158</f>
        <v/>
      </c>
      <c r="I5">
        <f>+(H5/H4-1)/(F5-F4)*30</f>
        <v/>
      </c>
      <c r="J5">
        <f>+J4*(1+I5)</f>
        <v/>
      </c>
      <c r="K5" t="n">
        <v>1467.7431</v>
      </c>
      <c r="L5">
        <f>+(K5/K4-1)/(F5-F4)*30</f>
        <v/>
      </c>
      <c r="M5">
        <f>+M4*(1+L5)</f>
        <v/>
      </c>
    </row>
    <row r="6">
      <c r="A6" s="1" t="n">
        <v>46203</v>
      </c>
      <c r="C6">
        <f>(B6/B5-1)/(A6-A5)*30</f>
        <v/>
      </c>
      <c r="D6">
        <f>+D5*(1+C6)</f>
        <v/>
      </c>
      <c r="F6" s="1" t="n">
        <v>46203</v>
      </c>
      <c r="G6" t="n">
        <v>1.0159</v>
      </c>
      <c r="H6">
        <f>+G6+$S$148+$S$150+$S$152+$S$154+$S$156+$S$158</f>
        <v/>
      </c>
      <c r="I6">
        <f>+(H6/H5-1)/(F6-F5)*30</f>
        <v/>
      </c>
      <c r="J6">
        <f>+J5*(1+I6)</f>
        <v/>
      </c>
      <c r="L6">
        <f>+(K6/K5-1)/(F6-F5)*30</f>
        <v/>
      </c>
      <c r="M6">
        <f>+M5*(1+L6)</f>
        <v/>
      </c>
    </row>
    <row r="7"/>
    <row r="8"/>
    <row r="9"/>
    <row r="10"/>
    <row r="11"/>
    <row r="12"/>
    <row r="13"/>
    <row r="14"/>
    <row r="15"/>
    <row r="16"/>
    <row r="17"/>
    <row r="18"/>
    <row r="19">
      <c r="AW19" s="1" t="n">
        <v>46203</v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X6"/>
  <sheetViews>
    <sheetView workbookViewId="0">
      <selection activeCell="A1" sqref="A1"/>
    </sheetView>
  </sheetViews>
  <sheetFormatPr baseColWidth="8" defaultRowHeight="15"/>
  <sheetData>
    <row r="1">
      <c r="X1" t="inlineStr">
        <is>
          <t>Acum
2026 (*)</t>
        </is>
      </c>
    </row>
    <row r="6">
      <c r="C6" t="inlineStr">
        <is>
          <t>Año</t>
        </is>
      </c>
      <c r="D6" t="inlineStr">
        <is>
          <t>Fondo</t>
        </is>
      </c>
      <c r="E6" t="inlineStr">
        <is>
          <t>Ene</t>
        </is>
      </c>
      <c r="F6" t="inlineStr">
        <is>
          <t>Feb</t>
        </is>
      </c>
      <c r="G6" t="inlineStr">
        <is>
          <t>Mar</t>
        </is>
      </c>
      <c r="H6" t="inlineStr">
        <is>
          <t>Abr</t>
        </is>
      </c>
      <c r="I6" t="inlineStr">
        <is>
          <t>May</t>
        </is>
      </c>
      <c r="J6" t="inlineStr">
        <is>
          <t>Jun</t>
        </is>
      </c>
      <c r="K6" t="inlineStr">
        <is>
          <t>Jul</t>
        </is>
      </c>
      <c r="L6" t="inlineStr">
        <is>
          <t>Ago</t>
        </is>
      </c>
      <c r="M6" t="inlineStr">
        <is>
          <t>Sep</t>
        </is>
      </c>
      <c r="N6" t="inlineStr">
        <is>
          <t>Oct</t>
        </is>
      </c>
      <c r="O6" t="inlineStr">
        <is>
          <t>Nov</t>
        </is>
      </c>
      <c r="P6" t="inlineStr">
        <is>
          <t>Dic</t>
        </is>
      </c>
      <c r="Q6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2026-06-05T12:32:39Z</dcterms:created>
  <dcterms:modified xmlns:dcterms="http://purl.org/dc/terms/" xmlns:xsi="http://www.w3.org/2001/XMLSchema-instance" xsi:type="dcterms:W3CDTF">2026-07-02T16:23:25Z</dcterms:modified>
</cp:coreProperties>
</file>