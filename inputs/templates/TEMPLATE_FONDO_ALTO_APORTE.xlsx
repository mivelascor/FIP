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S:\Carpeta Renta Fija\Fondos\TEMPLATE FONDOS\"/>
    </mc:Choice>
  </mc:AlternateContent>
  <xr:revisionPtr revIDLastSave="0" documentId="13_ncr:1_{3C5E67EA-C0C4-4B56-9D3C-8B0A3B9FF0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 ICP (2)" sheetId="3" r:id="rId1"/>
    <sheet name="composición" sheetId="1" r:id="rId2"/>
    <sheet name="rentabilidad" sheetId="2" r:id="rId3"/>
  </sheets>
  <definedNames>
    <definedName name="_xlnm._FilterDatabase" localSheetId="1" hidden="1">composición!$K$1:$T$24</definedName>
    <definedName name="OLE_LINK1" localSheetId="0">'Datos ICP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9" i="3" l="1"/>
  <c r="I189" i="3"/>
  <c r="H189" i="3"/>
  <c r="J188" i="3"/>
  <c r="I188" i="3"/>
  <c r="H188" i="3"/>
  <c r="H186" i="3"/>
  <c r="I186" i="3" s="1"/>
  <c r="J186" i="3" s="1"/>
  <c r="H187" i="3"/>
  <c r="U14" i="2"/>
  <c r="AA26" i="3"/>
  <c r="Z26" i="3"/>
  <c r="Y26" i="3"/>
  <c r="P27" i="3"/>
  <c r="AE27" i="3" s="1"/>
  <c r="AG27" i="3"/>
  <c r="AH27" i="3"/>
  <c r="AI27" i="3"/>
  <c r="AJ27" i="3"/>
  <c r="AK27" i="3"/>
  <c r="AL27" i="3"/>
  <c r="AM27" i="3"/>
  <c r="P18" i="3"/>
  <c r="J184" i="3"/>
  <c r="J185" i="3"/>
  <c r="I184" i="3"/>
  <c r="I185" i="3"/>
  <c r="H184" i="3"/>
  <c r="H185" i="3"/>
  <c r="J181" i="3"/>
  <c r="J182" i="3" s="1"/>
  <c r="J183" i="3" s="1"/>
  <c r="I181" i="3"/>
  <c r="I182" i="3"/>
  <c r="I183" i="3"/>
  <c r="H181" i="3"/>
  <c r="H182" i="3"/>
  <c r="H183" i="3"/>
  <c r="C179" i="3"/>
  <c r="W17" i="3" s="1"/>
  <c r="AL16" i="3" s="1"/>
  <c r="AL48" i="3" s="1"/>
  <c r="D179" i="3"/>
  <c r="H179" i="3"/>
  <c r="L179" i="3"/>
  <c r="C180" i="3"/>
  <c r="X17" i="3" s="1"/>
  <c r="AM16" i="3" s="1"/>
  <c r="AM48" i="3" s="1"/>
  <c r="D180" i="3"/>
  <c r="H180" i="3"/>
  <c r="I180" i="3" s="1"/>
  <c r="X26" i="3" s="1"/>
  <c r="AM26" i="3" s="1"/>
  <c r="AM50" i="3" s="1"/>
  <c r="L180" i="3"/>
  <c r="X35" i="3" s="1"/>
  <c r="AM33" i="3" s="1"/>
  <c r="AM49" i="3" s="1"/>
  <c r="I187" i="3" l="1"/>
  <c r="J187" i="3" s="1"/>
  <c r="W35" i="3"/>
  <c r="AL33" i="3" s="1"/>
  <c r="AL49" i="3" s="1"/>
  <c r="C176" i="3"/>
  <c r="T17" i="3" s="1"/>
  <c r="AI16" i="3" s="1"/>
  <c r="AI48" i="3" s="1"/>
  <c r="D176" i="3"/>
  <c r="H176" i="3"/>
  <c r="L176" i="3"/>
  <c r="C177" i="3"/>
  <c r="U17" i="3" s="1"/>
  <c r="AJ16" i="3" s="1"/>
  <c r="AJ48" i="3" s="1"/>
  <c r="D177" i="3"/>
  <c r="H177" i="3"/>
  <c r="I177" i="3" s="1"/>
  <c r="U26" i="3" s="1"/>
  <c r="AJ26" i="3" s="1"/>
  <c r="AJ50" i="3" s="1"/>
  <c r="L177" i="3"/>
  <c r="U35" i="3" s="1"/>
  <c r="AJ33" i="3" s="1"/>
  <c r="AJ49" i="3" s="1"/>
  <c r="C178" i="3"/>
  <c r="V17" i="3" s="1"/>
  <c r="AK16" i="3" s="1"/>
  <c r="AK48" i="3" s="1"/>
  <c r="D178" i="3"/>
  <c r="H178" i="3"/>
  <c r="I178" i="3" s="1"/>
  <c r="V26" i="3" s="1"/>
  <c r="AK26" i="3" s="1"/>
  <c r="AK50" i="3" s="1"/>
  <c r="L178" i="3"/>
  <c r="V35" i="3" s="1"/>
  <c r="AK33" i="3" s="1"/>
  <c r="AK49" i="3" s="1"/>
  <c r="T35" i="3" l="1"/>
  <c r="AI33" i="3" s="1"/>
  <c r="AI49" i="3" s="1"/>
  <c r="I179" i="3"/>
  <c r="C175" i="3"/>
  <c r="S17" i="3" s="1"/>
  <c r="AH16" i="3" s="1"/>
  <c r="D175" i="3"/>
  <c r="H175" i="3"/>
  <c r="L175" i="3"/>
  <c r="S35" i="3" l="1"/>
  <c r="AH33" i="3" s="1"/>
  <c r="AH49" i="3" s="1"/>
  <c r="W26" i="3"/>
  <c r="AL26" i="3" s="1"/>
  <c r="AL50" i="3" s="1"/>
  <c r="I176" i="3"/>
  <c r="AH48" i="3"/>
  <c r="H174" i="3"/>
  <c r="L174" i="3"/>
  <c r="R35" i="3" s="1"/>
  <c r="AG33" i="3" s="1"/>
  <c r="AG49" i="3" s="1"/>
  <c r="C174" i="3"/>
  <c r="R17" i="3" s="1"/>
  <c r="AG16" i="3" s="1"/>
  <c r="AG48" i="3" s="1"/>
  <c r="D174" i="3"/>
  <c r="T26" i="3" l="1"/>
  <c r="AI26" i="3" s="1"/>
  <c r="AI50" i="3" s="1"/>
  <c r="I175" i="3"/>
  <c r="C173" i="3"/>
  <c r="Q17" i="3" s="1"/>
  <c r="AF16" i="3" s="1"/>
  <c r="AF48" i="3" s="1"/>
  <c r="D173" i="3"/>
  <c r="H173" i="3"/>
  <c r="I174" i="3" s="1"/>
  <c r="L173" i="3"/>
  <c r="R26" i="3" l="1"/>
  <c r="AG26" i="3" s="1"/>
  <c r="AG50" i="3" s="1"/>
  <c r="S26" i="3"/>
  <c r="AH26" i="3" s="1"/>
  <c r="AH50" i="3" s="1"/>
  <c r="Q35" i="3"/>
  <c r="AF33" i="3" s="1"/>
  <c r="AF49" i="3" s="1"/>
  <c r="C172" i="3"/>
  <c r="P17" i="3" s="1"/>
  <c r="AE16" i="3" s="1"/>
  <c r="AQ16" i="3" s="1"/>
  <c r="D172" i="3"/>
  <c r="H172" i="3"/>
  <c r="I173" i="3" s="1"/>
  <c r="L172" i="3"/>
  <c r="P35" i="3" s="1"/>
  <c r="AE33" i="3" s="1"/>
  <c r="AQ33" i="3" s="1"/>
  <c r="Q26" i="3" l="1"/>
  <c r="AF26" i="3" s="1"/>
  <c r="AF50" i="3" s="1"/>
  <c r="AE49" i="3"/>
  <c r="AQ49" i="3"/>
  <c r="BB29" i="3" s="1"/>
  <c r="AQ48" i="3"/>
  <c r="BB28" i="3" s="1"/>
  <c r="AE48" i="3"/>
  <c r="C171" i="3"/>
  <c r="AA16" i="3" s="1"/>
  <c r="AP15" i="3" s="1"/>
  <c r="AP45" i="3" s="1"/>
  <c r="D171" i="3"/>
  <c r="H171" i="3"/>
  <c r="L171" i="3"/>
  <c r="AA34" i="3" l="1"/>
  <c r="AP32" i="3" s="1"/>
  <c r="AP46" i="3" s="1"/>
  <c r="I172" i="3"/>
  <c r="P26" i="3" s="1"/>
  <c r="AE26" i="3" s="1"/>
  <c r="AQ26" i="3" s="1"/>
  <c r="AQ50" i="3" l="1"/>
  <c r="BB30" i="3" s="1"/>
  <c r="AE50" i="3"/>
  <c r="C170" i="3"/>
  <c r="Z16" i="3" s="1"/>
  <c r="AO15" i="3" s="1"/>
  <c r="AO45" i="3" s="1"/>
  <c r="D170" i="3"/>
  <c r="H170" i="3"/>
  <c r="L170" i="3"/>
  <c r="I171" i="3" l="1"/>
  <c r="Z34" i="3"/>
  <c r="AO32" i="3" s="1"/>
  <c r="AO46" i="3" s="1"/>
  <c r="Y16" i="3"/>
  <c r="AN15" i="3" s="1"/>
  <c r="AN45" i="3" s="1"/>
  <c r="C169" i="3"/>
  <c r="D169" i="3"/>
  <c r="H169" i="3"/>
  <c r="L169" i="3"/>
  <c r="AA25" i="3" l="1"/>
  <c r="AP25" i="3" s="1"/>
  <c r="AP47" i="3" s="1"/>
  <c r="Y34" i="3"/>
  <c r="AN32" i="3" s="1"/>
  <c r="AN46" i="3" s="1"/>
  <c r="I170" i="3"/>
  <c r="L167" i="3"/>
  <c r="C168" i="3"/>
  <c r="X16" i="3" s="1"/>
  <c r="AM15" i="3" s="1"/>
  <c r="AM45" i="3" s="1"/>
  <c r="D168" i="3"/>
  <c r="H168" i="3"/>
  <c r="I169" i="3" s="1"/>
  <c r="L168" i="3"/>
  <c r="X34" i="3" s="1"/>
  <c r="AM32" i="3" s="1"/>
  <c r="AM46" i="3" s="1"/>
  <c r="Y25" i="3" l="1"/>
  <c r="AN25" i="3" s="1"/>
  <c r="AN47" i="3" s="1"/>
  <c r="Z25" i="3"/>
  <c r="AO25" i="3" s="1"/>
  <c r="AO47" i="3" s="1"/>
  <c r="W34" i="3"/>
  <c r="AL32" i="3" s="1"/>
  <c r="AL46" i="3" s="1"/>
  <c r="C167" i="3"/>
  <c r="W16" i="3" s="1"/>
  <c r="AL15" i="3" s="1"/>
  <c r="AL45" i="3" s="1"/>
  <c r="D167" i="3"/>
  <c r="H167" i="3"/>
  <c r="I168" i="3" l="1"/>
  <c r="L166" i="3"/>
  <c r="V34" i="3" s="1"/>
  <c r="AK32" i="3" s="1"/>
  <c r="AK46" i="3" s="1"/>
  <c r="H166" i="3"/>
  <c r="I167" i="3" s="1"/>
  <c r="C166" i="3"/>
  <c r="V16" i="3" s="1"/>
  <c r="AK15" i="3" s="1"/>
  <c r="AK45" i="3" s="1"/>
  <c r="D166" i="3"/>
  <c r="W25" i="3" l="1"/>
  <c r="AL25" i="3" s="1"/>
  <c r="AL47" i="3" s="1"/>
  <c r="X25" i="3"/>
  <c r="AM25" i="3" s="1"/>
  <c r="AM47" i="3" s="1"/>
  <c r="AQ14" i="3"/>
  <c r="H165" i="3"/>
  <c r="I166" i="3" s="1"/>
  <c r="V25" i="3" l="1"/>
  <c r="AK25" i="3" s="1"/>
  <c r="AK47" i="3" s="1"/>
  <c r="L165" i="3"/>
  <c r="U34" i="3" s="1"/>
  <c r="AJ32" i="3" s="1"/>
  <c r="AJ46" i="3" s="1"/>
  <c r="D165" i="3"/>
  <c r="C165" i="3"/>
  <c r="U16" i="3" s="1"/>
  <c r="AJ15" i="3" s="1"/>
  <c r="AJ45" i="3" s="1"/>
  <c r="L164" i="3" l="1"/>
  <c r="T34" i="3" s="1"/>
  <c r="H164" i="3"/>
  <c r="D164" i="3"/>
  <c r="C164" i="3"/>
  <c r="T16" i="3" s="1"/>
  <c r="AI15" i="3" s="1"/>
  <c r="AI45" i="3" s="1"/>
  <c r="I165" i="3" l="1"/>
  <c r="U25" i="3" s="1"/>
  <c r="AJ25" i="3" s="1"/>
  <c r="AJ47" i="3" s="1"/>
  <c r="AI32" i="3"/>
  <c r="AI46" i="3" s="1"/>
  <c r="AQ31" i="3"/>
  <c r="AQ30" i="3"/>
  <c r="AQ29" i="3"/>
  <c r="AQ13" i="3"/>
  <c r="AQ12" i="3"/>
  <c r="L163" i="3"/>
  <c r="H163" i="3"/>
  <c r="I164" i="3" s="1"/>
  <c r="D163" i="3"/>
  <c r="C163" i="3"/>
  <c r="S16" i="3" s="1"/>
  <c r="S34" i="3"/>
  <c r="AH32" i="3" s="1"/>
  <c r="AH46" i="3" s="1"/>
  <c r="L145" i="3"/>
  <c r="Y32" i="3" s="1"/>
  <c r="AN30" i="3" s="1"/>
  <c r="L146" i="3"/>
  <c r="Z32" i="3" s="1"/>
  <c r="AO30" i="3" s="1"/>
  <c r="L147" i="3"/>
  <c r="AA32" i="3" s="1"/>
  <c r="AP30" i="3" s="1"/>
  <c r="L148" i="3"/>
  <c r="P33" i="3" s="1"/>
  <c r="AE31" i="3" s="1"/>
  <c r="L149" i="3"/>
  <c r="Q33" i="3" s="1"/>
  <c r="AF31" i="3" s="1"/>
  <c r="L150" i="3"/>
  <c r="R33" i="3" s="1"/>
  <c r="AG31" i="3" s="1"/>
  <c r="L151" i="3"/>
  <c r="S33" i="3" s="1"/>
  <c r="AH31" i="3" s="1"/>
  <c r="L152" i="3"/>
  <c r="T33" i="3" s="1"/>
  <c r="AI31" i="3" s="1"/>
  <c r="L153" i="3"/>
  <c r="U33" i="3" s="1"/>
  <c r="AJ31" i="3" s="1"/>
  <c r="L154" i="3"/>
  <c r="V33" i="3" s="1"/>
  <c r="AK31" i="3" s="1"/>
  <c r="L155" i="3"/>
  <c r="W33" i="3" s="1"/>
  <c r="AL31" i="3" s="1"/>
  <c r="L156" i="3"/>
  <c r="X33" i="3" s="1"/>
  <c r="AM31" i="3" s="1"/>
  <c r="L157" i="3"/>
  <c r="Y33" i="3" s="1"/>
  <c r="AN31" i="3" s="1"/>
  <c r="L158" i="3"/>
  <c r="Z33" i="3" s="1"/>
  <c r="AO31" i="3" s="1"/>
  <c r="L159" i="3"/>
  <c r="AA33" i="3" s="1"/>
  <c r="AP31" i="3" s="1"/>
  <c r="L160" i="3"/>
  <c r="L161" i="3"/>
  <c r="Q34" i="3" s="1"/>
  <c r="AF32" i="3" s="1"/>
  <c r="L162" i="3"/>
  <c r="R34" i="3" s="1"/>
  <c r="AG32" i="3" s="1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25" i="3"/>
  <c r="P34" i="3" l="1"/>
  <c r="AE32" i="3" s="1"/>
  <c r="AQ32" i="3" s="1"/>
  <c r="AH15" i="3"/>
  <c r="AH45" i="3" s="1"/>
  <c r="H162" i="3"/>
  <c r="C162" i="3"/>
  <c r="R16" i="3" s="1"/>
  <c r="AG15" i="3" s="1"/>
  <c r="I163" i="3" l="1"/>
  <c r="AG46" i="3"/>
  <c r="C161" i="3"/>
  <c r="Q16" i="3" s="1"/>
  <c r="AF15" i="3" s="1"/>
  <c r="H161" i="3"/>
  <c r="I162" i="3" s="1"/>
  <c r="R25" i="3" s="1"/>
  <c r="AG25" i="3" s="1"/>
  <c r="AG47" i="3" s="1"/>
  <c r="T25" i="3" l="1"/>
  <c r="AI25" i="3" s="1"/>
  <c r="AI47" i="3" s="1"/>
  <c r="S25" i="3"/>
  <c r="AH25" i="3" s="1"/>
  <c r="AH47" i="3" s="1"/>
  <c r="AG45" i="3"/>
  <c r="AF46" i="3"/>
  <c r="AF45" i="3"/>
  <c r="H160" i="3"/>
  <c r="C160" i="3"/>
  <c r="P16" i="3" l="1"/>
  <c r="AE15" i="3" s="1"/>
  <c r="AQ15" i="3" s="1"/>
  <c r="I161" i="3"/>
  <c r="Q25" i="3" s="1"/>
  <c r="AF25" i="3" s="1"/>
  <c r="AF47" i="3" s="1"/>
  <c r="H159" i="3"/>
  <c r="C159" i="3"/>
  <c r="AA15" i="3" s="1"/>
  <c r="AP14" i="3" s="1"/>
  <c r="I160" i="3" l="1"/>
  <c r="AQ45" i="3"/>
  <c r="AE45" i="3"/>
  <c r="AQ46" i="3"/>
  <c r="AE46" i="3"/>
  <c r="H129" i="3"/>
  <c r="P25" i="3" l="1"/>
  <c r="AE25" i="3" s="1"/>
  <c r="AQ25" i="3" s="1"/>
  <c r="H130" i="3"/>
  <c r="H131" i="3"/>
  <c r="H132" i="3"/>
  <c r="H133" i="3"/>
  <c r="H134" i="3"/>
  <c r="H135" i="3"/>
  <c r="AQ22" i="3" s="1"/>
  <c r="H136" i="3"/>
  <c r="H137" i="3"/>
  <c r="H138" i="3"/>
  <c r="H139" i="3"/>
  <c r="H140" i="3"/>
  <c r="H141" i="3"/>
  <c r="H142" i="3"/>
  <c r="Q139" i="3"/>
  <c r="H146" i="3"/>
  <c r="AQ47" i="3" l="1"/>
  <c r="AE47" i="3"/>
  <c r="H158" i="3"/>
  <c r="C158" i="3"/>
  <c r="Z15" i="3" s="1"/>
  <c r="AO14" i="3" s="1"/>
  <c r="H157" i="3"/>
  <c r="C157" i="3"/>
  <c r="Y15" i="3" s="1"/>
  <c r="AN14" i="3" s="1"/>
  <c r="H156" i="3"/>
  <c r="C156" i="3"/>
  <c r="X15" i="3" s="1"/>
  <c r="AM14" i="3" s="1"/>
  <c r="H155" i="3"/>
  <c r="C155" i="3"/>
  <c r="W15" i="3" s="1"/>
  <c r="AL14" i="3" s="1"/>
  <c r="H154" i="3"/>
  <c r="C154" i="3"/>
  <c r="V15" i="3" s="1"/>
  <c r="AK14" i="3" s="1"/>
  <c r="H153" i="3"/>
  <c r="C153" i="3"/>
  <c r="U15" i="3" s="1"/>
  <c r="AJ14" i="3" s="1"/>
  <c r="H152" i="3"/>
  <c r="C152" i="3"/>
  <c r="T15" i="3" s="1"/>
  <c r="AI14" i="3" s="1"/>
  <c r="H151" i="3"/>
  <c r="C151" i="3"/>
  <c r="S15" i="3" s="1"/>
  <c r="AH14" i="3" s="1"/>
  <c r="H150" i="3"/>
  <c r="C150" i="3"/>
  <c r="R15" i="3" s="1"/>
  <c r="AG14" i="3" s="1"/>
  <c r="H149" i="3"/>
  <c r="C149" i="3"/>
  <c r="Q15" i="3" s="1"/>
  <c r="AF14" i="3" s="1"/>
  <c r="H148" i="3"/>
  <c r="H147" i="3"/>
  <c r="H145" i="3"/>
  <c r="C145" i="3"/>
  <c r="Y14" i="3" s="1"/>
  <c r="AN13" i="3" s="1"/>
  <c r="H144" i="3"/>
  <c r="C144" i="3"/>
  <c r="X14" i="3" s="1"/>
  <c r="AM13" i="3" s="1"/>
  <c r="H143" i="3"/>
  <c r="C143" i="3"/>
  <c r="W14" i="3" s="1"/>
  <c r="AL13" i="3" s="1"/>
  <c r="C142" i="3"/>
  <c r="V14" i="3" s="1"/>
  <c r="AK13" i="3" s="1"/>
  <c r="C141" i="3"/>
  <c r="U14" i="3" s="1"/>
  <c r="AJ13" i="3" s="1"/>
  <c r="C140" i="3"/>
  <c r="T14" i="3" s="1"/>
  <c r="AI13" i="3" s="1"/>
  <c r="C139" i="3"/>
  <c r="S14" i="3" s="1"/>
  <c r="AH13" i="3" s="1"/>
  <c r="C138" i="3"/>
  <c r="R14" i="3" s="1"/>
  <c r="AG13" i="3" s="1"/>
  <c r="C137" i="3"/>
  <c r="Q14" i="3" s="1"/>
  <c r="AF13" i="3" s="1"/>
  <c r="C136" i="3"/>
  <c r="P14" i="3" s="1"/>
  <c r="AE13" i="3" s="1"/>
  <c r="C135" i="3"/>
  <c r="AA13" i="3" s="1"/>
  <c r="AP12" i="3" s="1"/>
  <c r="C134" i="3"/>
  <c r="Z13" i="3" s="1"/>
  <c r="AO12" i="3" s="1"/>
  <c r="C133" i="3"/>
  <c r="Y13" i="3" s="1"/>
  <c r="AN12" i="3" s="1"/>
  <c r="C132" i="3"/>
  <c r="C131" i="3"/>
  <c r="C130" i="3"/>
  <c r="L129" i="3"/>
  <c r="U31" i="3" s="1"/>
  <c r="AJ29" i="3" s="1"/>
  <c r="C129" i="3"/>
  <c r="L128" i="3"/>
  <c r="C128" i="3"/>
  <c r="C127" i="3"/>
  <c r="C126" i="3"/>
  <c r="C125" i="3"/>
  <c r="AP43" i="3"/>
  <c r="AW21" i="3"/>
  <c r="AW20" i="3"/>
  <c r="BA19" i="3"/>
  <c r="AZ19" i="3"/>
  <c r="AY19" i="3"/>
  <c r="AX19" i="3"/>
  <c r="AX20" i="3" s="1"/>
  <c r="AP42" i="3"/>
  <c r="N3" i="3"/>
  <c r="I150" i="3" l="1"/>
  <c r="R24" i="3" s="1"/>
  <c r="AG24" i="3" s="1"/>
  <c r="I152" i="3"/>
  <c r="T24" i="3" s="1"/>
  <c r="AI24" i="3" s="1"/>
  <c r="I154" i="3"/>
  <c r="V24" i="3" s="1"/>
  <c r="AK24" i="3" s="1"/>
  <c r="AK44" i="3" s="1"/>
  <c r="I156" i="3"/>
  <c r="X24" i="3" s="1"/>
  <c r="AM24" i="3" s="1"/>
  <c r="AM44" i="3" s="1"/>
  <c r="I147" i="3"/>
  <c r="AA23" i="3" s="1"/>
  <c r="AP23" i="3" s="1"/>
  <c r="AQ23" i="3"/>
  <c r="I148" i="3"/>
  <c r="P24" i="3" s="1"/>
  <c r="AE24" i="3" s="1"/>
  <c r="AE44" i="3" s="1"/>
  <c r="AQ24" i="3"/>
  <c r="AX28" i="3"/>
  <c r="I145" i="3"/>
  <c r="Y23" i="3" s="1"/>
  <c r="AN23" i="3" s="1"/>
  <c r="AN41" i="3" s="1"/>
  <c r="I149" i="3"/>
  <c r="Q24" i="3" s="1"/>
  <c r="AF24" i="3" s="1"/>
  <c r="AF44" i="3" s="1"/>
  <c r="I151" i="3"/>
  <c r="S24" i="3" s="1"/>
  <c r="AH24" i="3" s="1"/>
  <c r="AH44" i="3" s="1"/>
  <c r="I153" i="3"/>
  <c r="U24" i="3" s="1"/>
  <c r="AJ24" i="3" s="1"/>
  <c r="I155" i="3"/>
  <c r="W24" i="3" s="1"/>
  <c r="AL24" i="3" s="1"/>
  <c r="AL44" i="3" s="1"/>
  <c r="I157" i="3"/>
  <c r="Y24" i="3" s="1"/>
  <c r="AN24" i="3" s="1"/>
  <c r="AN44" i="3" s="1"/>
  <c r="I158" i="3"/>
  <c r="Z24" i="3" s="1"/>
  <c r="AO24" i="3" s="1"/>
  <c r="I159" i="3"/>
  <c r="AA24" i="3" s="1"/>
  <c r="AP24" i="3" s="1"/>
  <c r="I146" i="3"/>
  <c r="Z23" i="3" s="1"/>
  <c r="AO23" i="3" s="1"/>
  <c r="I130" i="3"/>
  <c r="L130" i="3"/>
  <c r="L132" i="3"/>
  <c r="X31" i="3" s="1"/>
  <c r="AM29" i="3" s="1"/>
  <c r="I132" i="3"/>
  <c r="X22" i="3" s="1"/>
  <c r="AM22" i="3" s="1"/>
  <c r="L136" i="3"/>
  <c r="P32" i="3" s="1"/>
  <c r="AE30" i="3" s="1"/>
  <c r="AE40" i="3" s="1"/>
  <c r="I136" i="3"/>
  <c r="P23" i="3" s="1"/>
  <c r="AE23" i="3" s="1"/>
  <c r="BB21" i="3"/>
  <c r="L138" i="3"/>
  <c r="R32" i="3" s="1"/>
  <c r="AG30" i="3" s="1"/>
  <c r="AG40" i="3" s="1"/>
  <c r="I138" i="3"/>
  <c r="R23" i="3" s="1"/>
  <c r="AG23" i="3" s="1"/>
  <c r="AG41" i="3" s="1"/>
  <c r="L140" i="3"/>
  <c r="T32" i="3" s="1"/>
  <c r="AI30" i="3" s="1"/>
  <c r="AI40" i="3" s="1"/>
  <c r="I140" i="3"/>
  <c r="T23" i="3" s="1"/>
  <c r="AI23" i="3" s="1"/>
  <c r="AI41" i="3" s="1"/>
  <c r="I142" i="3"/>
  <c r="V23" i="3" s="1"/>
  <c r="AK23" i="3" s="1"/>
  <c r="AK41" i="3" s="1"/>
  <c r="L142" i="3"/>
  <c r="V32" i="3" s="1"/>
  <c r="AK30" i="3" s="1"/>
  <c r="I134" i="3"/>
  <c r="Z22" i="3" s="1"/>
  <c r="AO22" i="3" s="1"/>
  <c r="L134" i="3"/>
  <c r="Z31" i="3" s="1"/>
  <c r="AO29" i="3" s="1"/>
  <c r="I131" i="3"/>
  <c r="W22" i="3" s="1"/>
  <c r="AL22" i="3" s="1"/>
  <c r="L131" i="3"/>
  <c r="W31" i="3" s="1"/>
  <c r="AL29" i="3" s="1"/>
  <c r="L133" i="3"/>
  <c r="Y31" i="3" s="1"/>
  <c r="AN29" i="3" s="1"/>
  <c r="I133" i="3"/>
  <c r="Y22" i="3" s="1"/>
  <c r="AN22" i="3" s="1"/>
  <c r="I135" i="3"/>
  <c r="AA22" i="3" s="1"/>
  <c r="L135" i="3"/>
  <c r="AA31" i="3" s="1"/>
  <c r="AP29" i="3" s="1"/>
  <c r="L137" i="3"/>
  <c r="Q32" i="3" s="1"/>
  <c r="AF30" i="3" s="1"/>
  <c r="AF40" i="3" s="1"/>
  <c r="I137" i="3"/>
  <c r="Q23" i="3" s="1"/>
  <c r="AF23" i="3" s="1"/>
  <c r="AF41" i="3" s="1"/>
  <c r="I139" i="3"/>
  <c r="S23" i="3" s="1"/>
  <c r="AH23" i="3" s="1"/>
  <c r="AH41" i="3" s="1"/>
  <c r="L139" i="3"/>
  <c r="S32" i="3" s="1"/>
  <c r="AH30" i="3" s="1"/>
  <c r="AH40" i="3" s="1"/>
  <c r="L141" i="3"/>
  <c r="U32" i="3" s="1"/>
  <c r="AJ30" i="3" s="1"/>
  <c r="AJ40" i="3" s="1"/>
  <c r="I141" i="3"/>
  <c r="U23" i="3" s="1"/>
  <c r="AJ23" i="3" s="1"/>
  <c r="AJ41" i="3" s="1"/>
  <c r="L144" i="3"/>
  <c r="X32" i="3" s="1"/>
  <c r="AM30" i="3" s="1"/>
  <c r="AM40" i="3" s="1"/>
  <c r="I143" i="3"/>
  <c r="W23" i="3" s="1"/>
  <c r="AL23" i="3" s="1"/>
  <c r="I144" i="3"/>
  <c r="X23" i="3" s="1"/>
  <c r="AM23" i="3" s="1"/>
  <c r="L143" i="3"/>
  <c r="W32" i="3" s="1"/>
  <c r="AL30" i="3" s="1"/>
  <c r="AL40" i="3" s="1"/>
  <c r="AE39" i="3"/>
  <c r="AW22" i="3"/>
  <c r="AQ41" i="3"/>
  <c r="AL39" i="3"/>
  <c r="AO40" i="3"/>
  <c r="AI39" i="3"/>
  <c r="AH42" i="3"/>
  <c r="AM42" i="3"/>
  <c r="AG39" i="3"/>
  <c r="AJ39" i="3"/>
  <c r="AG43" i="3"/>
  <c r="AF42" i="3"/>
  <c r="AN42" i="3"/>
  <c r="AK40" i="3"/>
  <c r="AI43" i="3"/>
  <c r="AL43" i="3"/>
  <c r="AG42" i="3"/>
  <c r="BB20" i="3"/>
  <c r="AF43" i="3"/>
  <c r="AM39" i="3"/>
  <c r="AP40" i="3"/>
  <c r="AN43" i="3"/>
  <c r="AO43" i="3"/>
  <c r="AQ43" i="3"/>
  <c r="AK42" i="3"/>
  <c r="BB22" i="3"/>
  <c r="AH39" i="3"/>
  <c r="AE43" i="3"/>
  <c r="AO42" i="3"/>
  <c r="AJ42" i="3"/>
  <c r="AY22" i="3"/>
  <c r="AZ22" i="3"/>
  <c r="AM43" i="3"/>
  <c r="AH43" i="3"/>
  <c r="AQ39" i="3"/>
  <c r="AK43" i="3"/>
  <c r="AN40" i="3"/>
  <c r="AI44" i="3"/>
  <c r="BA22" i="3"/>
  <c r="AK39" i="3"/>
  <c r="AZ20" i="3"/>
  <c r="AZ28" i="3" s="1"/>
  <c r="AG44" i="3"/>
  <c r="AI42" i="3"/>
  <c r="BA20" i="3"/>
  <c r="BA28" i="3" s="1"/>
  <c r="C148" i="3"/>
  <c r="P15" i="3" s="1"/>
  <c r="AE14" i="3" s="1"/>
  <c r="AF39" i="3"/>
  <c r="AN39" i="3"/>
  <c r="AX21" i="3"/>
  <c r="AX29" i="3" s="1"/>
  <c r="AX22" i="3"/>
  <c r="AJ43" i="3"/>
  <c r="C146" i="3"/>
  <c r="Z14" i="3" s="1"/>
  <c r="AO13" i="3" s="1"/>
  <c r="AO39" i="3" s="1"/>
  <c r="C147" i="3"/>
  <c r="AA14" i="3" s="1"/>
  <c r="AP13" i="3" s="1"/>
  <c r="AY20" i="3"/>
  <c r="AY28" i="3" s="1"/>
  <c r="AL42" i="3"/>
  <c r="AY21" i="3"/>
  <c r="AY29" i="3" s="1"/>
  <c r="AZ21" i="3"/>
  <c r="AZ29" i="3" s="1"/>
  <c r="BA21" i="3"/>
  <c r="BA29" i="3" s="1"/>
  <c r="AP22" i="3" l="1"/>
  <c r="AX30" i="3"/>
  <c r="M130" i="3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V31" i="3"/>
  <c r="AK29" i="3" s="1"/>
  <c r="AE41" i="3"/>
  <c r="V22" i="3"/>
  <c r="J130" i="3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AY30" i="3"/>
  <c r="BA30" i="3"/>
  <c r="AZ30" i="3"/>
  <c r="AQ44" i="3"/>
  <c r="AP44" i="3"/>
  <c r="AQ42" i="3"/>
  <c r="AO44" i="3"/>
  <c r="AQ40" i="3"/>
  <c r="AE42" i="3"/>
  <c r="AP39" i="3"/>
  <c r="AL41" i="3"/>
  <c r="AJ44" i="3"/>
  <c r="AM41" i="3"/>
  <c r="AP41" i="3"/>
  <c r="AO41" i="3"/>
  <c r="AK22" i="3" l="1"/>
</calcChain>
</file>

<file path=xl/sharedStrings.xml><?xml version="1.0" encoding="utf-8"?>
<sst xmlns="http://schemas.openxmlformats.org/spreadsheetml/2006/main" count="191" uniqueCount="57">
  <si>
    <t>Moneda</t>
  </si>
  <si>
    <t>Pesos</t>
  </si>
  <si>
    <t>UF</t>
  </si>
  <si>
    <t>Instrumentos</t>
  </si>
  <si>
    <t>Depósitos</t>
  </si>
  <si>
    <t>Efect Comercio</t>
  </si>
  <si>
    <t>Pactos</t>
  </si>
  <si>
    <t>Facturas</t>
  </si>
  <si>
    <t>Duración</t>
  </si>
  <si>
    <t>Año</t>
  </si>
  <si>
    <t>Fondo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</si>
  <si>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</si>
  <si>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</si>
  <si>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</si>
  <si>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</si>
  <si>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</si>
  <si>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</si>
  <si>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</si>
  <si>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</si>
  <si>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</si>
  <si>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</si>
  <si>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</si>
  <si>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</si>
  <si>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</si>
  <si>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ICP</t>
  </si>
  <si>
    <t>Competencia</t>
  </si>
  <si>
    <t>Rentabilidad</t>
  </si>
  <si>
    <t>Mensual</t>
  </si>
  <si>
    <t>Trimestral</t>
  </si>
  <si>
    <t>Semestral</t>
  </si>
  <si>
    <t>Anual</t>
  </si>
  <si>
    <t>ICP (Bechmark)</t>
  </si>
  <si>
    <t>CLICP Index</t>
  </si>
  <si>
    <t>Fecha</t>
  </si>
  <si>
    <t>Competencia Relevante (*)</t>
  </si>
  <si>
    <t>(*)</t>
  </si>
  <si>
    <t>Ingresar mes actual==&gt;</t>
  </si>
  <si>
    <t>DIVIDENDO 2016</t>
  </si>
  <si>
    <t>Dividendo 2017</t>
  </si>
  <si>
    <t>Extra</t>
  </si>
  <si>
    <t>FIP Extra</t>
  </si>
  <si>
    <t>Fondo Extra</t>
  </si>
  <si>
    <t>Cuota Extra</t>
  </si>
  <si>
    <t>Bono</t>
  </si>
  <si>
    <t>Dividendo 2018</t>
  </si>
  <si>
    <t>FONDO EXTRA</t>
  </si>
  <si>
    <t>Acum. 2019</t>
  </si>
  <si>
    <t>(*) Acum a Mar</t>
  </si>
  <si>
    <t>BANCHILE ESTRATEGICO SERIE A</t>
  </si>
  <si>
    <t>8125-6</t>
  </si>
  <si>
    <t>FONDO E</t>
  </si>
  <si>
    <t>Financiamiento Mesa Renta Fija</t>
  </si>
  <si>
    <t>Menor a 1 año</t>
  </si>
  <si>
    <t>1-2 años</t>
  </si>
  <si>
    <t>Mayor a 4 años</t>
  </si>
  <si>
    <t>2-4 años</t>
  </si>
  <si>
    <t>Acum. 2020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</si>
</sst>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64" formatCode="#,##0.0000"/>
    <numFmt numFmtId="165" formatCode="0.0000"/>
    <numFmt numFmtId="166" formatCode="#,##0.00_ ;[Red]\-#,##0.00\ "/>
    <numFmt numFmtId="167" formatCode="dd\-mm\-yyyy"/>
  </numFmts>
  <fonts count="2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cumin Pro Extra Light"/>
      <family val="2"/>
    </font>
    <font>
      <sz val="11"/>
      <name val="Acumin Pro Extra Light"/>
      <family val="2"/>
    </font>
    <font>
      <u/>
      <sz val="11"/>
      <color theme="1"/>
      <name val="Calibri"/>
      <family val="2"/>
      <scheme val="minor"/>
    </font>
    <font>
      <sz val="11"/>
      <color theme="1"/>
      <name val="Aileron"/>
      <family val="3"/>
    </font>
    <font>
      <sz val="11"/>
      <color theme="1"/>
      <name val="Calibri"/>
      <family val="2"/>
      <scheme val="minor"/>
    </font>
    <font>
      <sz val="11"/>
      <name val="Aileron Light"/>
      <family val="3"/>
    </font>
    <font>
      <sz val="11"/>
      <color theme="1"/>
      <name val="Aileron Light"/>
      <family val="3"/>
    </font>
    <font>
      <sz val="12"/>
      <color theme="1"/>
      <name val="Calibri"/>
      <family val="2"/>
      <scheme val="minor"/>
    </font>
    <font>
      <b/>
      <sz val="11"/>
      <color rgb="FF000000"/>
      <name val="Aileron Light"/>
      <family val="3"/>
    </font>
    <font>
      <b/>
      <sz val="8"/>
      <color rgb="FF000000"/>
      <name val="Aileron Light"/>
      <family val="3"/>
    </font>
    <font>
      <sz val="7"/>
      <color rgb="FF000000"/>
      <name val="Aileron Light"/>
      <family val="3"/>
    </font>
    <font>
      <b/>
      <sz val="7"/>
      <color rgb="FF000000"/>
      <name val="Aileron Light"/>
      <family val="3"/>
    </font>
    <font>
      <b/>
      <sz val="8"/>
      <color theme="1"/>
      <name val="Aileron Light"/>
      <family val="3"/>
    </font>
    <font>
      <b/>
      <sz val="9"/>
      <color rgb="FF000000"/>
      <name val="Aileron Light"/>
      <family val="3"/>
    </font>
    <font>
      <sz val="9"/>
      <color rgb="FF000000"/>
      <name val="Aileron Light"/>
      <family val="3"/>
    </font>
    <font>
      <sz val="6"/>
      <color rgb="FF000000"/>
      <name val="Aileron Light"/>
      <family val="3"/>
    </font>
    <font>
      <b/>
      <sz val="10"/>
      <color theme="1"/>
      <name val="Aileron Light"/>
      <family val="3"/>
    </font>
    <font>
      <b/>
      <sz val="10"/>
      <color rgb="FF000000"/>
      <name val="Aileron Light"/>
      <family val="3"/>
    </font>
    <font>
      <sz val="10"/>
      <color rgb="FF000000"/>
      <name val="Aileron Light"/>
      <family val="3"/>
    </font>
    <font>
      <sz val="8"/>
      <color rgb="FF000000"/>
      <name val="Aileron Light"/>
      <family val="3"/>
    </font>
    <font>
      <sz val="8"/>
      <color theme="1"/>
      <name val="Aileron Light"/>
      <family val="3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9" fillId="0" borderId="0"/>
    <xf numFmtId="0" fontId="6" fillId="0" borderId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10" fontId="3" fillId="0" borderId="0" xfId="0" applyNumberFormat="1" applyFont="1" applyFill="1"/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10" fontId="5" fillId="0" borderId="0" xfId="0" applyNumberFormat="1" applyFont="1" applyAlignment="1">
      <alignment horizontal="right"/>
    </xf>
    <xf numFmtId="0" fontId="7" fillId="0" borderId="0" xfId="0" applyFont="1" applyFill="1"/>
    <xf numFmtId="10" fontId="7" fillId="0" borderId="0" xfId="0" applyNumberFormat="1" applyFont="1" applyFill="1"/>
    <xf numFmtId="0" fontId="5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10" fontId="8" fillId="0" borderId="0" xfId="0" applyNumberFormat="1" applyFont="1" applyAlignment="1">
      <alignment horizontal="right"/>
    </xf>
    <xf numFmtId="0" fontId="8" fillId="0" borderId="0" xfId="1" applyFont="1" applyFill="1" applyBorder="1"/>
    <xf numFmtId="164" fontId="8" fillId="0" borderId="0" xfId="1" applyNumberFormat="1" applyFont="1" applyFill="1" applyBorder="1"/>
    <xf numFmtId="165" fontId="8" fillId="0" borderId="0" xfId="1" applyNumberFormat="1" applyFont="1" applyFill="1" applyBorder="1"/>
    <xf numFmtId="0" fontId="8" fillId="4" borderId="0" xfId="1" applyFont="1" applyFill="1" applyBorder="1"/>
    <xf numFmtId="0" fontId="10" fillId="5" borderId="0" xfId="1" applyFont="1" applyFill="1" applyBorder="1"/>
    <xf numFmtId="0" fontId="11" fillId="5" borderId="0" xfId="1" applyFont="1" applyFill="1" applyBorder="1" applyAlignment="1">
      <alignment horizontal="center"/>
    </xf>
    <xf numFmtId="0" fontId="8" fillId="6" borderId="0" xfId="1" applyFont="1" applyFill="1" applyBorder="1"/>
    <xf numFmtId="0" fontId="8" fillId="0" borderId="0" xfId="1" applyFont="1" applyFill="1" applyBorder="1" applyAlignment="1">
      <alignment horizontal="center"/>
    </xf>
    <xf numFmtId="164" fontId="8" fillId="0" borderId="0" xfId="1" applyNumberFormat="1" applyFont="1" applyFill="1" applyBorder="1" applyAlignment="1">
      <alignment horizontal="center"/>
    </xf>
    <xf numFmtId="0" fontId="8" fillId="0" borderId="1" xfId="2" applyFont="1" applyBorder="1"/>
    <xf numFmtId="10" fontId="8" fillId="0" borderId="0" xfId="3" applyNumberFormat="1" applyFont="1"/>
    <xf numFmtId="0" fontId="11" fillId="4" borderId="0" xfId="1" applyFont="1" applyFill="1" applyBorder="1" applyAlignment="1">
      <alignment horizontal="center"/>
    </xf>
    <xf numFmtId="10" fontId="12" fillId="4" borderId="0" xfId="4" applyNumberFormat="1" applyFont="1" applyFill="1" applyBorder="1" applyAlignment="1">
      <alignment horizontal="center"/>
    </xf>
    <xf numFmtId="10" fontId="13" fillId="4" borderId="0" xfId="4" applyNumberFormat="1" applyFont="1" applyFill="1" applyBorder="1" applyAlignment="1">
      <alignment horizontal="center"/>
    </xf>
    <xf numFmtId="14" fontId="8" fillId="0" borderId="0" xfId="1" applyNumberFormat="1" applyFont="1" applyFill="1" applyBorder="1"/>
    <xf numFmtId="4" fontId="8" fillId="0" borderId="0" xfId="1" applyNumberFormat="1" applyFont="1" applyFill="1" applyBorder="1"/>
    <xf numFmtId="2" fontId="8" fillId="0" borderId="0" xfId="1" applyNumberFormat="1" applyFont="1" applyFill="1" applyBorder="1"/>
    <xf numFmtId="166" fontId="8" fillId="0" borderId="0" xfId="1" applyNumberFormat="1" applyFont="1" applyFill="1" applyBorder="1"/>
    <xf numFmtId="0" fontId="11" fillId="6" borderId="0" xfId="1" applyFont="1" applyFill="1" applyBorder="1" applyAlignment="1">
      <alignment horizontal="center"/>
    </xf>
    <xf numFmtId="10" fontId="12" fillId="6" borderId="0" xfId="4" applyNumberFormat="1" applyFont="1" applyFill="1" applyBorder="1" applyAlignment="1">
      <alignment horizontal="center"/>
    </xf>
    <xf numFmtId="10" fontId="13" fillId="6" borderId="0" xfId="4" applyNumberFormat="1" applyFont="1" applyFill="1" applyBorder="1" applyAlignment="1">
      <alignment horizontal="center"/>
    </xf>
    <xf numFmtId="167" fontId="8" fillId="0" borderId="0" xfId="1" applyNumberFormat="1" applyFont="1" applyFill="1" applyBorder="1"/>
    <xf numFmtId="10" fontId="8" fillId="0" borderId="0" xfId="4" applyNumberFormat="1" applyFont="1" applyFill="1" applyBorder="1"/>
    <xf numFmtId="0" fontId="12" fillId="6" borderId="0" xfId="1" applyFont="1" applyFill="1" applyBorder="1" applyAlignment="1">
      <alignment horizontal="left"/>
    </xf>
    <xf numFmtId="10" fontId="12" fillId="0" borderId="0" xfId="4" applyNumberFormat="1" applyFont="1" applyFill="1" applyBorder="1" applyAlignment="1">
      <alignment horizontal="center"/>
    </xf>
    <xf numFmtId="0" fontId="8" fillId="2" borderId="0" xfId="1" applyFont="1" applyFill="1" applyBorder="1"/>
    <xf numFmtId="0" fontId="10" fillId="5" borderId="0" xfId="1" applyFont="1" applyFill="1" applyBorder="1" applyAlignment="1">
      <alignment horizontal="right"/>
    </xf>
    <xf numFmtId="0" fontId="8" fillId="2" borderId="0" xfId="1" applyFont="1" applyFill="1" applyBorder="1" applyAlignment="1">
      <alignment horizontal="right"/>
    </xf>
    <xf numFmtId="14" fontId="8" fillId="2" borderId="0" xfId="1" applyNumberFormat="1" applyFont="1" applyFill="1" applyBorder="1"/>
    <xf numFmtId="0" fontId="8" fillId="0" borderId="0" xfId="1" applyFont="1" applyFill="1" applyBorder="1" applyAlignment="1">
      <alignment horizontal="right"/>
    </xf>
    <xf numFmtId="4" fontId="8" fillId="2" borderId="0" xfId="1" applyNumberFormat="1" applyFont="1" applyFill="1" applyBorder="1"/>
    <xf numFmtId="0" fontId="8" fillId="3" borderId="0" xfId="1" applyFont="1" applyFill="1" applyBorder="1"/>
    <xf numFmtId="0" fontId="14" fillId="7" borderId="0" xfId="1" applyFont="1" applyFill="1" applyBorder="1" applyAlignment="1">
      <alignment horizontal="center"/>
    </xf>
    <xf numFmtId="0" fontId="15" fillId="8" borderId="0" xfId="1" applyFont="1" applyFill="1" applyBorder="1" applyAlignment="1">
      <alignment horizontal="center"/>
    </xf>
    <xf numFmtId="0" fontId="15" fillId="7" borderId="0" xfId="1" applyFont="1" applyFill="1" applyBorder="1" applyAlignment="1">
      <alignment horizontal="center"/>
    </xf>
    <xf numFmtId="0" fontId="11" fillId="0" borderId="0" xfId="1" applyFont="1" applyFill="1" applyBorder="1" applyAlignment="1">
      <alignment horizontal="center"/>
    </xf>
    <xf numFmtId="10" fontId="16" fillId="8" borderId="0" xfId="4" applyNumberFormat="1" applyFont="1" applyFill="1" applyBorder="1" applyAlignment="1">
      <alignment horizontal="center"/>
    </xf>
    <xf numFmtId="10" fontId="16" fillId="7" borderId="0" xfId="4" applyNumberFormat="1" applyFont="1" applyFill="1" applyBorder="1" applyAlignment="1">
      <alignment horizontal="center"/>
    </xf>
    <xf numFmtId="0" fontId="8" fillId="7" borderId="0" xfId="1" applyFont="1" applyFill="1" applyBorder="1"/>
    <xf numFmtId="0" fontId="17" fillId="6" borderId="0" xfId="1" applyFont="1" applyFill="1" applyBorder="1" applyAlignment="1">
      <alignment horizontal="left"/>
    </xf>
    <xf numFmtId="0" fontId="18" fillId="9" borderId="0" xfId="1" applyFont="1" applyFill="1" applyBorder="1" applyAlignment="1">
      <alignment horizontal="center"/>
    </xf>
    <xf numFmtId="0" fontId="19" fillId="5" borderId="0" xfId="1" applyFont="1" applyFill="1" applyBorder="1" applyAlignment="1">
      <alignment horizontal="center"/>
    </xf>
    <xf numFmtId="10" fontId="19" fillId="8" borderId="0" xfId="4" applyNumberFormat="1" applyFont="1" applyFill="1" applyBorder="1" applyAlignment="1">
      <alignment horizontal="center"/>
    </xf>
    <xf numFmtId="0" fontId="19" fillId="8" borderId="0" xfId="1" applyFont="1" applyFill="1" applyBorder="1" applyAlignment="1">
      <alignment horizontal="center"/>
    </xf>
    <xf numFmtId="10" fontId="20" fillId="8" borderId="0" xfId="4" applyNumberFormat="1" applyFont="1" applyFill="1" applyBorder="1" applyAlignment="1">
      <alignment horizontal="center"/>
    </xf>
    <xf numFmtId="10" fontId="13" fillId="0" borderId="0" xfId="4" applyNumberFormat="1" applyFont="1" applyFill="1" applyBorder="1" applyAlignment="1">
      <alignment horizontal="center"/>
    </xf>
    <xf numFmtId="0" fontId="21" fillId="7" borderId="0" xfId="1" applyFont="1" applyFill="1" applyBorder="1" applyAlignment="1">
      <alignment horizontal="left"/>
    </xf>
    <xf numFmtId="0" fontId="21" fillId="6" borderId="0" xfId="1" applyFont="1" applyFill="1" applyBorder="1" applyAlignment="1">
      <alignment horizontal="left"/>
    </xf>
    <xf numFmtId="0" fontId="22" fillId="6" borderId="0" xfId="1" applyFont="1" applyFill="1" applyBorder="1"/>
    <xf numFmtId="0" fontId="12" fillId="0" borderId="0" xfId="1" applyFont="1" applyFill="1" applyBorder="1" applyAlignment="1">
      <alignment horizontal="left"/>
    </xf>
    <xf numFmtId="164" fontId="8" fillId="0" borderId="0" xfId="4" applyNumberFormat="1" applyFont="1" applyFill="1" applyBorder="1"/>
    <xf numFmtId="0" fontId="22" fillId="0" borderId="0" xfId="1" applyFont="1" applyFill="1" applyBorder="1"/>
    <xf numFmtId="0" fontId="19" fillId="7" borderId="0" xfId="1" applyFont="1" applyFill="1" applyBorder="1" applyAlignment="1">
      <alignment horizontal="center"/>
    </xf>
    <xf numFmtId="10" fontId="20" fillId="7" borderId="0" xfId="4" applyNumberFormat="1" applyFont="1" applyFill="1" applyBorder="1" applyAlignment="1">
      <alignment horizontal="center"/>
    </xf>
    <xf numFmtId="10" fontId="19" fillId="7" borderId="0" xfId="4" applyNumberFormat="1" applyFont="1" applyFill="1" applyBorder="1" applyAlignment="1">
      <alignment horizontal="center"/>
    </xf>
    <xf numFmtId="10" fontId="19" fillId="3" borderId="0" xfId="4" applyNumberFormat="1" applyFont="1" applyFill="1" applyBorder="1" applyAlignment="1">
      <alignment horizontal="center"/>
    </xf>
    <xf numFmtId="165" fontId="8" fillId="10" borderId="0" xfId="1" applyNumberFormat="1" applyFont="1" applyFill="1" applyBorder="1"/>
    <xf numFmtId="165" fontId="8" fillId="0" borderId="0" xfId="5" applyNumberFormat="1" applyFont="1" applyFill="1" applyBorder="1"/>
    <xf numFmtId="10" fontId="8" fillId="0" borderId="0" xfId="6" applyNumberFormat="1" applyFont="1" applyFill="1" applyBorder="1"/>
    <xf numFmtId="10" fontId="8" fillId="0" borderId="0" xfId="6" quotePrefix="1" applyNumberFormat="1" applyFont="1" applyFill="1" applyBorder="1"/>
    <xf numFmtId="10" fontId="8" fillId="0" borderId="0" xfId="0" applyNumberFormat="1" applyFont="1"/>
    <xf numFmtId="0" fontId="11" fillId="7" borderId="0" xfId="1" applyFont="1" applyFill="1" applyBorder="1" applyAlignment="1">
      <alignment horizontal="center" vertical="center"/>
    </xf>
    <xf numFmtId="0" fontId="18" fillId="3" borderId="0" xfId="1" applyFont="1" applyFill="1" applyBorder="1" applyAlignment="1">
      <alignment horizontal="center" vertical="center"/>
    </xf>
    <xf numFmtId="0" fontId="18" fillId="2" borderId="0" xfId="1" applyFont="1" applyFill="1" applyBorder="1" applyAlignment="1">
      <alignment horizontal="center" vertical="center"/>
    </xf>
  </cellXfs>
  <cellStyles count="7">
    <cellStyle name="Millares [0] 2" xfId="5" xr:uid="{00000000-0005-0000-0000-000000000000}"/>
    <cellStyle name="Normal" xfId="0" builtinId="0"/>
    <cellStyle name="Normal 2" xfId="1" xr:uid="{00000000-0005-0000-0000-000002000000}"/>
    <cellStyle name="Normal 54" xfId="2" xr:uid="{00000000-0005-0000-0000-000003000000}"/>
    <cellStyle name="Porcentaje" xfId="6" builtinId="5"/>
    <cellStyle name="Porcentaje 2" xfId="4" xr:uid="{00000000-0005-0000-0000-000005000000}"/>
    <cellStyle name="Porcentaje 29" xfId="3" xr:uid="{00000000-0005-0000-0000-000006000000}"/>
  </cellStyles>
  <dxfs count="0"/>
  <tableStyles count="0" defaultTableStyle="TableStyleMedium2" defaultPivotStyle="PivotStyleLight16"/>
  <colors>
    <mruColors>
      <color rgb="FFFDD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600">
                <a:solidFill>
                  <a:schemeClr val="bg1">
                    <a:lumMod val="50000"/>
                  </a:schemeClr>
                </a:solidFill>
              </a:defRPr>
            </a:pPr>
            <a:r>
              <a:rPr lang="es-CL" sz="1400" b="0">
                <a:solidFill>
                  <a:schemeClr val="bg1">
                    <a:lumMod val="50000"/>
                  </a:schemeClr>
                </a:solidFill>
              </a:rPr>
              <a:t>ICP Normalizada</a:t>
            </a:r>
            <a:endParaRPr lang="es-CL" sz="1400" b="0" baseline="0">
              <a:solidFill>
                <a:schemeClr val="bg1">
                  <a:lumMod val="50000"/>
                </a:schemeClr>
              </a:solidFill>
            </a:endParaRPr>
          </a:p>
          <a:p>
            <a:pPr>
              <a:defRPr sz="1600">
                <a:solidFill>
                  <a:schemeClr val="bg1">
                    <a:lumMod val="50000"/>
                  </a:schemeClr>
                </a:solidFill>
              </a:defRPr>
            </a:pPr>
            <a:r>
              <a:rPr lang="es-CL" sz="800" b="0" baseline="0">
                <a:solidFill>
                  <a:schemeClr val="bg1">
                    <a:lumMod val="50000"/>
                  </a:schemeClr>
                </a:solidFill>
              </a:rPr>
              <a:t>(Base 100 Dic 2005)</a:t>
            </a:r>
            <a:endParaRPr lang="es-CL" sz="1600" b="0">
              <a:solidFill>
                <a:schemeClr val="bg1">
                  <a:lumMod val="50000"/>
                </a:schemeClr>
              </a:solidFill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'Datos ICP (2)'!$D$2</c:f>
              <c:strCache>
                <c:ptCount val="1"/>
                <c:pt idx="0">
                  <c:v>FONDO E</c:v>
                </c:pt>
              </c:strCache>
            </c:strRef>
          </c:tx>
          <c:spPr>
            <a:ln w="12700">
              <a:solidFill>
                <a:srgbClr val="C0504D">
                  <a:lumMod val="60000"/>
                  <a:lumOff val="40000"/>
                </a:srgbClr>
              </a:solidFill>
            </a:ln>
          </c:spPr>
          <c:marker>
            <c:symbol val="none"/>
          </c:marker>
          <c:cat>
            <c:numRef>
              <c:f>'Datos ICP (2)'!$A$3:$A$153</c:f>
              <c:numCache>
                <c:formatCode>dd\-mm\-yyyy</c:formatCode>
                <c:ptCount val="151"/>
                <c:pt idx="121" formatCode="m/d/yyyy">
                  <c:v>42400</c:v>
                </c:pt>
                <c:pt idx="122" formatCode="m/d/yyyy">
                  <c:v>42428</c:v>
                </c:pt>
                <c:pt idx="123" formatCode="m/d/yyyy">
                  <c:v>42460</c:v>
                </c:pt>
                <c:pt idx="124" formatCode="m/d/yyyy">
                  <c:v>42490</c:v>
                </c:pt>
                <c:pt idx="125" formatCode="m/d/yyyy">
                  <c:v>42521</c:v>
                </c:pt>
                <c:pt idx="126" formatCode="m/d/yyyy">
                  <c:v>42551</c:v>
                </c:pt>
                <c:pt idx="127" formatCode="m/d/yyyy">
                  <c:v>42582</c:v>
                </c:pt>
                <c:pt idx="128" formatCode="m/d/yyyy">
                  <c:v>42613</c:v>
                </c:pt>
                <c:pt idx="129" formatCode="m/d/yyyy">
                  <c:v>42643</c:v>
                </c:pt>
                <c:pt idx="130" formatCode="m/d/yyyy">
                  <c:v>42674</c:v>
                </c:pt>
                <c:pt idx="131" formatCode="m/d/yyyy">
                  <c:v>42704</c:v>
                </c:pt>
                <c:pt idx="132" formatCode="m/d/yyyy">
                  <c:v>42735</c:v>
                </c:pt>
                <c:pt idx="133" formatCode="m/d/yyyy">
                  <c:v>42766</c:v>
                </c:pt>
                <c:pt idx="134" formatCode="m/d/yyyy">
                  <c:v>42794</c:v>
                </c:pt>
                <c:pt idx="135" formatCode="m/d/yyyy">
                  <c:v>42825</c:v>
                </c:pt>
                <c:pt idx="136" formatCode="m/d/yyyy">
                  <c:v>42855</c:v>
                </c:pt>
                <c:pt idx="137" formatCode="m/d/yyyy">
                  <c:v>42886</c:v>
                </c:pt>
                <c:pt idx="138" formatCode="m/d/yyyy">
                  <c:v>42916</c:v>
                </c:pt>
                <c:pt idx="139" formatCode="m/d/yyyy">
                  <c:v>42947</c:v>
                </c:pt>
                <c:pt idx="140" formatCode="m/d/yyyy">
                  <c:v>42978</c:v>
                </c:pt>
                <c:pt idx="141" formatCode="m/d/yyyy">
                  <c:v>43008</c:v>
                </c:pt>
                <c:pt idx="142" formatCode="m/d/yyyy">
                  <c:v>43039</c:v>
                </c:pt>
                <c:pt idx="143" formatCode="m/d/yyyy">
                  <c:v>43069</c:v>
                </c:pt>
                <c:pt idx="144" formatCode="m/d/yyyy">
                  <c:v>43100</c:v>
                </c:pt>
                <c:pt idx="145" formatCode="m/d/yyyy">
                  <c:v>43131</c:v>
                </c:pt>
                <c:pt idx="146" formatCode="m/d/yyyy">
                  <c:v>43159</c:v>
                </c:pt>
                <c:pt idx="147" formatCode="m/d/yyyy">
                  <c:v>43190</c:v>
                </c:pt>
                <c:pt idx="148" formatCode="m/d/yyyy">
                  <c:v>43220</c:v>
                </c:pt>
                <c:pt idx="149" formatCode="m/d/yyyy">
                  <c:v>43251</c:v>
                </c:pt>
                <c:pt idx="150" formatCode="m/d/yyyy">
                  <c:v>43281</c:v>
                </c:pt>
              </c:numCache>
            </c:numRef>
          </c:cat>
          <c:val>
            <c:numRef>
              <c:f>'Datos ICP (2)'!$D$3:$D$153</c:f>
              <c:numCache>
                <c:formatCode>0.00</c:formatCode>
                <c:ptCount val="151"/>
                <c:pt idx="122">
                  <c:v>101.17200424502752</c:v>
                </c:pt>
                <c:pt idx="123">
                  <c:v>101.94389385165779</c:v>
                </c:pt>
                <c:pt idx="124">
                  <c:v>102.18175685289327</c:v>
                </c:pt>
                <c:pt idx="125">
                  <c:v>102.69111432663929</c:v>
                </c:pt>
                <c:pt idx="126">
                  <c:v>102.84228949775058</c:v>
                </c:pt>
                <c:pt idx="127">
                  <c:v>103.74691943894283</c:v>
                </c:pt>
                <c:pt idx="128">
                  <c:v>105.4438625720981</c:v>
                </c:pt>
                <c:pt idx="129">
                  <c:v>106.20065498144176</c:v>
                </c:pt>
                <c:pt idx="130">
                  <c:v>105.79482485197551</c:v>
                </c:pt>
                <c:pt idx="131">
                  <c:v>104.06359309577327</c:v>
                </c:pt>
                <c:pt idx="132">
                  <c:v>106.00287823829369</c:v>
                </c:pt>
                <c:pt idx="133">
                  <c:v>106.66221331051406</c:v>
                </c:pt>
                <c:pt idx="134">
                  <c:v>107.8144035649446</c:v>
                </c:pt>
                <c:pt idx="135">
                  <c:v>108.64477103254238</c:v>
                </c:pt>
                <c:pt idx="136">
                  <c:v>109.64978523026321</c:v>
                </c:pt>
                <c:pt idx="137">
                  <c:v>109.63969016850368</c:v>
                </c:pt>
                <c:pt idx="138">
                  <c:v>109.39475846235307</c:v>
                </c:pt>
                <c:pt idx="139">
                  <c:v>109.1083916076358</c:v>
                </c:pt>
                <c:pt idx="140">
                  <c:v>108.96298813136343</c:v>
                </c:pt>
                <c:pt idx="141">
                  <c:v>109.26868043621565</c:v>
                </c:pt>
                <c:pt idx="142">
                  <c:v>108.15494220717655</c:v>
                </c:pt>
                <c:pt idx="143">
                  <c:v>107.90250081268491</c:v>
                </c:pt>
                <c:pt idx="144">
                  <c:v>108.82333040972854</c:v>
                </c:pt>
                <c:pt idx="145">
                  <c:v>109.38819559136765</c:v>
                </c:pt>
                <c:pt idx="146">
                  <c:v>109.62534091369433</c:v>
                </c:pt>
                <c:pt idx="147">
                  <c:v>110.29600320724656</c:v>
                </c:pt>
                <c:pt idx="148">
                  <c:v>111.61049265587502</c:v>
                </c:pt>
                <c:pt idx="149">
                  <c:v>111.32706136729682</c:v>
                </c:pt>
                <c:pt idx="150">
                  <c:v>111.92738680441836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2-463E-BC87-D81112F27929}"/>
            </c:ext>
          </c:extLst>
        </c:ser>
        <c:ser>
          <c:idx val="0"/>
          <c:order val="1"/>
          <c:tx>
            <c:strRef>
              <c:f>'Datos ICP (2)'!$J$2</c:f>
              <c:strCache>
                <c:ptCount val="1"/>
                <c:pt idx="0">
                  <c:v>Fondo Extra</c:v>
                </c:pt>
              </c:strCache>
            </c:strRef>
          </c:tx>
          <c:spPr>
            <a:ln>
              <a:solidFill>
                <a:srgbClr val="C0504D">
                  <a:lumMod val="50000"/>
                </a:srgbClr>
              </a:solidFill>
            </a:ln>
          </c:spPr>
          <c:marker>
            <c:symbol val="none"/>
          </c:marker>
          <c:cat>
            <c:numRef>
              <c:f>'Datos ICP (2)'!$A$3:$A$153</c:f>
              <c:numCache>
                <c:formatCode>dd\-mm\-yyyy</c:formatCode>
                <c:ptCount val="151"/>
                <c:pt idx="121" formatCode="m/d/yyyy">
                  <c:v>42400</c:v>
                </c:pt>
                <c:pt idx="122" formatCode="m/d/yyyy">
                  <c:v>42428</c:v>
                </c:pt>
                <c:pt idx="123" formatCode="m/d/yyyy">
                  <c:v>42460</c:v>
                </c:pt>
                <c:pt idx="124" formatCode="m/d/yyyy">
                  <c:v>42490</c:v>
                </c:pt>
                <c:pt idx="125" formatCode="m/d/yyyy">
                  <c:v>42521</c:v>
                </c:pt>
                <c:pt idx="126" formatCode="m/d/yyyy">
                  <c:v>42551</c:v>
                </c:pt>
                <c:pt idx="127" formatCode="m/d/yyyy">
                  <c:v>42582</c:v>
                </c:pt>
                <c:pt idx="128" formatCode="m/d/yyyy">
                  <c:v>42613</c:v>
                </c:pt>
                <c:pt idx="129" formatCode="m/d/yyyy">
                  <c:v>42643</c:v>
                </c:pt>
                <c:pt idx="130" formatCode="m/d/yyyy">
                  <c:v>42674</c:v>
                </c:pt>
                <c:pt idx="131" formatCode="m/d/yyyy">
                  <c:v>42704</c:v>
                </c:pt>
                <c:pt idx="132" formatCode="m/d/yyyy">
                  <c:v>42735</c:v>
                </c:pt>
                <c:pt idx="133" formatCode="m/d/yyyy">
                  <c:v>42766</c:v>
                </c:pt>
                <c:pt idx="134" formatCode="m/d/yyyy">
                  <c:v>42794</c:v>
                </c:pt>
                <c:pt idx="135" formatCode="m/d/yyyy">
                  <c:v>42825</c:v>
                </c:pt>
                <c:pt idx="136" formatCode="m/d/yyyy">
                  <c:v>42855</c:v>
                </c:pt>
                <c:pt idx="137" formatCode="m/d/yyyy">
                  <c:v>42886</c:v>
                </c:pt>
                <c:pt idx="138" formatCode="m/d/yyyy">
                  <c:v>42916</c:v>
                </c:pt>
                <c:pt idx="139" formatCode="m/d/yyyy">
                  <c:v>42947</c:v>
                </c:pt>
                <c:pt idx="140" formatCode="m/d/yyyy">
                  <c:v>42978</c:v>
                </c:pt>
                <c:pt idx="141" formatCode="m/d/yyyy">
                  <c:v>43008</c:v>
                </c:pt>
                <c:pt idx="142" formatCode="m/d/yyyy">
                  <c:v>43039</c:v>
                </c:pt>
                <c:pt idx="143" formatCode="m/d/yyyy">
                  <c:v>43069</c:v>
                </c:pt>
                <c:pt idx="144" formatCode="m/d/yyyy">
                  <c:v>43100</c:v>
                </c:pt>
                <c:pt idx="145" formatCode="m/d/yyyy">
                  <c:v>43131</c:v>
                </c:pt>
                <c:pt idx="146" formatCode="m/d/yyyy">
                  <c:v>43159</c:v>
                </c:pt>
                <c:pt idx="147" formatCode="m/d/yyyy">
                  <c:v>43190</c:v>
                </c:pt>
                <c:pt idx="148" formatCode="m/d/yyyy">
                  <c:v>43220</c:v>
                </c:pt>
                <c:pt idx="149" formatCode="m/d/yyyy">
                  <c:v>43251</c:v>
                </c:pt>
                <c:pt idx="150" formatCode="m/d/yyyy">
                  <c:v>43281</c:v>
                </c:pt>
              </c:numCache>
            </c:numRef>
          </c:cat>
          <c:val>
            <c:numRef>
              <c:f>'Datos ICP (2)'!$J$3:$J$153</c:f>
              <c:numCache>
                <c:formatCode>General</c:formatCode>
                <c:ptCount val="151"/>
                <c:pt idx="126" formatCode="#,##0.00">
                  <c:v>156.10153800645296</c:v>
                </c:pt>
                <c:pt idx="127" formatCode="#,##0.00">
                  <c:v>157.62177563636342</c:v>
                </c:pt>
                <c:pt idx="128" formatCode="#,##0.00">
                  <c:v>159.13558968888833</c:v>
                </c:pt>
                <c:pt idx="129" formatCode="#,##0.00">
                  <c:v>160.17084950757388</c:v>
                </c:pt>
                <c:pt idx="130" formatCode="#,##0.00">
                  <c:v>159.14150870297013</c:v>
                </c:pt>
                <c:pt idx="131" formatCode="#,##0.00">
                  <c:v>156.46679423213564</c:v>
                </c:pt>
                <c:pt idx="132" formatCode="#,##0.00">
                  <c:v>159.70768654050417</c:v>
                </c:pt>
                <c:pt idx="133" formatCode="#,##0.00">
                  <c:v>160.74989293979448</c:v>
                </c:pt>
                <c:pt idx="134" formatCode="#,##0.00">
                  <c:v>161.36822808216638</c:v>
                </c:pt>
                <c:pt idx="135" formatCode="#,##0.00">
                  <c:v>161.85935169733841</c:v>
                </c:pt>
                <c:pt idx="136" formatCode="#,##0.00">
                  <c:v>162.81045080153277</c:v>
                </c:pt>
                <c:pt idx="137" formatCode="#,##0.00">
                  <c:v>162.47518664337744</c:v>
                </c:pt>
                <c:pt idx="138" formatCode="#,##0.00">
                  <c:v>161.96334258650722</c:v>
                </c:pt>
                <c:pt idx="139" formatCode="#,##0.00">
                  <c:v>161.5454520880111</c:v>
                </c:pt>
                <c:pt idx="140" formatCode="#,##0.00">
                  <c:v>161.81484892410381</c:v>
                </c:pt>
                <c:pt idx="141" formatCode="#,##0.00">
                  <c:v>161.10010085577045</c:v>
                </c:pt>
                <c:pt idx="142" formatCode="#,##0.00">
                  <c:v>159.89732152106433</c:v>
                </c:pt>
                <c:pt idx="143" formatCode="#,##0.00">
                  <c:v>160.41228881096305</c:v>
                </c:pt>
                <c:pt idx="144" formatCode="#,##0.00">
                  <c:v>161.80570970561359</c:v>
                </c:pt>
                <c:pt idx="145" formatCode="#,##0.00">
                  <c:v>161.89149652552581</c:v>
                </c:pt>
                <c:pt idx="146" formatCode="#,##0.00">
                  <c:v>162.41305748921874</c:v>
                </c:pt>
                <c:pt idx="147" formatCode="#,##0.00">
                  <c:v>163.56166456303714</c:v>
                </c:pt>
                <c:pt idx="148" formatCode="#,##0.00">
                  <c:v>164.19909928610582</c:v>
                </c:pt>
                <c:pt idx="149" formatCode="#,##0.00">
                  <c:v>165.0738957796701</c:v>
                </c:pt>
                <c:pt idx="150" formatCode="#,##0.00">
                  <c:v>165.85526666262191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2-463E-BC87-D81112F27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663040"/>
        <c:axId val="232120704"/>
      </c:lineChart>
      <c:dateAx>
        <c:axId val="226663040"/>
        <c:scaling>
          <c:orientation val="minMax"/>
          <c:max val="43373"/>
          <c:min val="42705"/>
        </c:scaling>
        <c:delete val="0"/>
        <c:axPos val="b"/>
        <c:numFmt formatCode="mmm/yyyy" sourceLinked="0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bg1">
                    <a:lumMod val="50000"/>
                  </a:schemeClr>
                </a:solidFill>
              </a:defRPr>
            </a:pPr>
            <a:endParaRPr lang="es-CL"/>
          </a:p>
        </c:txPr>
        <c:crossAx val="232120704"/>
        <c:crosses val="autoZero"/>
        <c:auto val="1"/>
        <c:lblOffset val="100"/>
        <c:baseTimeUnit val="months"/>
        <c:majorUnit val="6"/>
        <c:majorTimeUnit val="months"/>
        <c:minorUnit val="6"/>
        <c:minorTimeUnit val="months"/>
      </c:dateAx>
      <c:valAx>
        <c:axId val="232120704"/>
        <c:scaling>
          <c:orientation val="minMax"/>
          <c:min val="1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700" b="1">
                <a:solidFill>
                  <a:schemeClr val="bg1">
                    <a:lumMod val="50000"/>
                  </a:schemeClr>
                </a:solidFill>
              </a:defRPr>
            </a:pPr>
            <a:endParaRPr lang="es-CL"/>
          </a:p>
        </c:txPr>
        <c:crossAx val="226663040"/>
        <c:crossesAt val="38687"/>
        <c:crossBetween val="between"/>
      </c:valAx>
      <c:spPr>
        <a:ln>
          <a:noFill/>
        </a:ln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3464617746071066E-2"/>
          <c:y val="0.14340705352157054"/>
          <c:w val="0.86940468507439261"/>
          <c:h val="0.65335359636709611"/>
        </c:manualLayout>
      </c:layout>
      <c:lineChart>
        <c:grouping val="standard"/>
        <c:varyColors val="0"/>
        <c:ser>
          <c:idx val="2"/>
          <c:order val="0"/>
          <c:tx>
            <c:strRef>
              <c:f>'Datos ICP (2)'!$D$2</c:f>
              <c:strCache>
                <c:ptCount val="1"/>
                <c:pt idx="0">
                  <c:v>FONDO E</c:v>
                </c:pt>
              </c:strCache>
            </c:strRef>
          </c:tx>
          <c:spPr>
            <a:ln w="22225">
              <a:solidFill>
                <a:sysClr val="window" lastClr="FFFFFF">
                  <a:lumMod val="75000"/>
                </a:sysClr>
              </a:solidFill>
            </a:ln>
          </c:spPr>
          <c:marker>
            <c:symbol val="none"/>
          </c:marker>
          <c:cat>
            <c:numRef>
              <c:f>'Datos ICP (2)'!$A$129:$A$180</c:f>
              <c:numCache>
                <c:formatCode>m/d/yyyy</c:formatCode>
                <c:ptCount val="52"/>
                <c:pt idx="0">
                  <c:v>42551</c:v>
                </c:pt>
                <c:pt idx="1">
                  <c:v>42582</c:v>
                </c:pt>
                <c:pt idx="2">
                  <c:v>42613</c:v>
                </c:pt>
                <c:pt idx="3">
                  <c:v>42643</c:v>
                </c:pt>
                <c:pt idx="4">
                  <c:v>42674</c:v>
                </c:pt>
                <c:pt idx="5">
                  <c:v>42704</c:v>
                </c:pt>
                <c:pt idx="6">
                  <c:v>42735</c:v>
                </c:pt>
                <c:pt idx="7">
                  <c:v>42766</c:v>
                </c:pt>
                <c:pt idx="8">
                  <c:v>42794</c:v>
                </c:pt>
                <c:pt idx="9">
                  <c:v>42825</c:v>
                </c:pt>
                <c:pt idx="10">
                  <c:v>42855</c:v>
                </c:pt>
                <c:pt idx="11">
                  <c:v>42886</c:v>
                </c:pt>
                <c:pt idx="12">
                  <c:v>42916</c:v>
                </c:pt>
                <c:pt idx="13">
                  <c:v>42947</c:v>
                </c:pt>
                <c:pt idx="14">
                  <c:v>42978</c:v>
                </c:pt>
                <c:pt idx="15">
                  <c:v>43008</c:v>
                </c:pt>
                <c:pt idx="16">
                  <c:v>43039</c:v>
                </c:pt>
                <c:pt idx="17">
                  <c:v>43069</c:v>
                </c:pt>
                <c:pt idx="18">
                  <c:v>43100</c:v>
                </c:pt>
                <c:pt idx="19">
                  <c:v>43131</c:v>
                </c:pt>
                <c:pt idx="20">
                  <c:v>43159</c:v>
                </c:pt>
                <c:pt idx="21">
                  <c:v>43190</c:v>
                </c:pt>
                <c:pt idx="22">
                  <c:v>43220</c:v>
                </c:pt>
                <c:pt idx="23">
                  <c:v>43251</c:v>
                </c:pt>
                <c:pt idx="24">
                  <c:v>43281</c:v>
                </c:pt>
                <c:pt idx="25">
                  <c:v>43312</c:v>
                </c:pt>
                <c:pt idx="26">
                  <c:v>43343</c:v>
                </c:pt>
                <c:pt idx="27">
                  <c:v>43373</c:v>
                </c:pt>
                <c:pt idx="28">
                  <c:v>43404</c:v>
                </c:pt>
                <c:pt idx="29">
                  <c:v>43434</c:v>
                </c:pt>
                <c:pt idx="30">
                  <c:v>43465</c:v>
                </c:pt>
                <c:pt idx="31">
                  <c:v>43496</c:v>
                </c:pt>
                <c:pt idx="32">
                  <c:v>43524</c:v>
                </c:pt>
                <c:pt idx="33">
                  <c:v>43555</c:v>
                </c:pt>
                <c:pt idx="34">
                  <c:v>43585</c:v>
                </c:pt>
                <c:pt idx="35">
                  <c:v>43616</c:v>
                </c:pt>
                <c:pt idx="36">
                  <c:v>43646</c:v>
                </c:pt>
                <c:pt idx="37">
                  <c:v>43677</c:v>
                </c:pt>
                <c:pt idx="38">
                  <c:v>43708</c:v>
                </c:pt>
                <c:pt idx="39">
                  <c:v>43738</c:v>
                </c:pt>
                <c:pt idx="40">
                  <c:v>43769</c:v>
                </c:pt>
                <c:pt idx="41">
                  <c:v>43799</c:v>
                </c:pt>
                <c:pt idx="42">
                  <c:v>43830</c:v>
                </c:pt>
                <c:pt idx="43">
                  <c:v>43861</c:v>
                </c:pt>
                <c:pt idx="44">
                  <c:v>43890</c:v>
                </c:pt>
                <c:pt idx="45">
                  <c:v>43921</c:v>
                </c:pt>
                <c:pt idx="46">
                  <c:v>43951</c:v>
                </c:pt>
                <c:pt idx="47">
                  <c:v>43982</c:v>
                </c:pt>
                <c:pt idx="48">
                  <c:v>44012</c:v>
                </c:pt>
                <c:pt idx="49">
                  <c:v>44043</c:v>
                </c:pt>
                <c:pt idx="50">
                  <c:v>44074</c:v>
                </c:pt>
                <c:pt idx="51">
                  <c:v>44104</c:v>
                </c:pt>
              </c:numCache>
            </c:numRef>
          </c:cat>
          <c:val>
            <c:numRef>
              <c:f>'Datos ICP (2)'!$D$129:$D$180</c:f>
              <c:numCache>
                <c:formatCode>0.00</c:formatCode>
                <c:ptCount val="52"/>
                <c:pt idx="0">
                  <c:v>102.84228949775058</c:v>
                </c:pt>
                <c:pt idx="1">
                  <c:v>103.74691943894283</c:v>
                </c:pt>
                <c:pt idx="2">
                  <c:v>105.4438625720981</c:v>
                </c:pt>
                <c:pt idx="3">
                  <c:v>106.20065498144176</c:v>
                </c:pt>
                <c:pt idx="4">
                  <c:v>105.79482485197551</c:v>
                </c:pt>
                <c:pt idx="5">
                  <c:v>104.06359309577327</c:v>
                </c:pt>
                <c:pt idx="6">
                  <c:v>106.00287823829369</c:v>
                </c:pt>
                <c:pt idx="7">
                  <c:v>106.66221331051406</c:v>
                </c:pt>
                <c:pt idx="8">
                  <c:v>107.8144035649446</c:v>
                </c:pt>
                <c:pt idx="9">
                  <c:v>108.64477103254238</c:v>
                </c:pt>
                <c:pt idx="10">
                  <c:v>109.64978523026321</c:v>
                </c:pt>
                <c:pt idx="11">
                  <c:v>109.63969016850368</c:v>
                </c:pt>
                <c:pt idx="12">
                  <c:v>109.39475846235307</c:v>
                </c:pt>
                <c:pt idx="13">
                  <c:v>109.1083916076358</c:v>
                </c:pt>
                <c:pt idx="14">
                  <c:v>108.96298813136343</c:v>
                </c:pt>
                <c:pt idx="15">
                  <c:v>109.26868043621565</c:v>
                </c:pt>
                <c:pt idx="16">
                  <c:v>108.15494220717655</c:v>
                </c:pt>
                <c:pt idx="17">
                  <c:v>107.90250081268491</c:v>
                </c:pt>
                <c:pt idx="18">
                  <c:v>108.82333040972854</c:v>
                </c:pt>
                <c:pt idx="19">
                  <c:v>109.38819559136765</c:v>
                </c:pt>
                <c:pt idx="20">
                  <c:v>109.62534091369433</c:v>
                </c:pt>
                <c:pt idx="21">
                  <c:v>110.29600320724656</c:v>
                </c:pt>
                <c:pt idx="22">
                  <c:v>111.61049265587502</c:v>
                </c:pt>
                <c:pt idx="23">
                  <c:v>111.32706136729682</c:v>
                </c:pt>
                <c:pt idx="24">
                  <c:v>111.92738680441836</c:v>
                </c:pt>
                <c:pt idx="25">
                  <c:v>112.67285631579706</c:v>
                </c:pt>
                <c:pt idx="26">
                  <c:v>113.65506042964499</c:v>
                </c:pt>
                <c:pt idx="27">
                  <c:v>113.71473586324952</c:v>
                </c:pt>
                <c:pt idx="28">
                  <c:v>113.25364013443773</c:v>
                </c:pt>
                <c:pt idx="29">
                  <c:v>114.08862495790663</c:v>
                </c:pt>
                <c:pt idx="30">
                  <c:v>115.27466285195828</c:v>
                </c:pt>
                <c:pt idx="31">
                  <c:v>116.15532404694295</c:v>
                </c:pt>
                <c:pt idx="32">
                  <c:v>116.98629246254268</c:v>
                </c:pt>
                <c:pt idx="33">
                  <c:v>119.18598696478935</c:v>
                </c:pt>
                <c:pt idx="34">
                  <c:v>120.20012346671254</c:v>
                </c:pt>
                <c:pt idx="35">
                  <c:v>122.17295361316962</c:v>
                </c:pt>
                <c:pt idx="36">
                  <c:v>125.03890489807642</c:v>
                </c:pt>
                <c:pt idx="37">
                  <c:v>128.7026644607696</c:v>
                </c:pt>
                <c:pt idx="38">
                  <c:v>131.9152113384967</c:v>
                </c:pt>
                <c:pt idx="39">
                  <c:v>131.87432958089587</c:v>
                </c:pt>
                <c:pt idx="40">
                  <c:v>127.64156313752102</c:v>
                </c:pt>
                <c:pt idx="41">
                  <c:v>124.84775155305068</c:v>
                </c:pt>
                <c:pt idx="42">
                  <c:v>127.85346864376544</c:v>
                </c:pt>
                <c:pt idx="43">
                  <c:v>128.86111577194086</c:v>
                </c:pt>
                <c:pt idx="44">
                  <c:v>125.54110719956893</c:v>
                </c:pt>
                <c:pt idx="45" formatCode="General">
                  <c:v>122.70724394394652</c:v>
                </c:pt>
                <c:pt idx="46">
                  <c:v>129.12604305009907</c:v>
                </c:pt>
                <c:pt idx="47" formatCode="General">
                  <c:v>134.55963330239391</c:v>
                </c:pt>
                <c:pt idx="48">
                  <c:v>134.99413167791042</c:v>
                </c:pt>
                <c:pt idx="49" formatCode="General">
                  <c:v>134.20861049537962</c:v>
                </c:pt>
                <c:pt idx="50">
                  <c:v>137.00832903431112</c:v>
                </c:pt>
                <c:pt idx="51" formatCode="General">
                  <c:v>133.26576199060958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A-4118-97AA-A61AA822C6B2}"/>
            </c:ext>
          </c:extLst>
        </c:ser>
        <c:ser>
          <c:idx val="0"/>
          <c:order val="1"/>
          <c:tx>
            <c:strRef>
              <c:f>'Datos ICP (2)'!$J$2</c:f>
              <c:strCache>
                <c:ptCount val="1"/>
                <c:pt idx="0">
                  <c:v>Fondo Extra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'Datos ICP (2)'!$A$129:$A$180</c:f>
              <c:numCache>
                <c:formatCode>m/d/yyyy</c:formatCode>
                <c:ptCount val="52"/>
                <c:pt idx="0">
                  <c:v>42551</c:v>
                </c:pt>
                <c:pt idx="1">
                  <c:v>42582</c:v>
                </c:pt>
                <c:pt idx="2">
                  <c:v>42613</c:v>
                </c:pt>
                <c:pt idx="3">
                  <c:v>42643</c:v>
                </c:pt>
                <c:pt idx="4">
                  <c:v>42674</c:v>
                </c:pt>
                <c:pt idx="5">
                  <c:v>42704</c:v>
                </c:pt>
                <c:pt idx="6">
                  <c:v>42735</c:v>
                </c:pt>
                <c:pt idx="7">
                  <c:v>42766</c:v>
                </c:pt>
                <c:pt idx="8">
                  <c:v>42794</c:v>
                </c:pt>
                <c:pt idx="9">
                  <c:v>42825</c:v>
                </c:pt>
                <c:pt idx="10">
                  <c:v>42855</c:v>
                </c:pt>
                <c:pt idx="11">
                  <c:v>42886</c:v>
                </c:pt>
                <c:pt idx="12">
                  <c:v>42916</c:v>
                </c:pt>
                <c:pt idx="13">
                  <c:v>42947</c:v>
                </c:pt>
                <c:pt idx="14">
                  <c:v>42978</c:v>
                </c:pt>
                <c:pt idx="15">
                  <c:v>43008</c:v>
                </c:pt>
                <c:pt idx="16">
                  <c:v>43039</c:v>
                </c:pt>
                <c:pt idx="17">
                  <c:v>43069</c:v>
                </c:pt>
                <c:pt idx="18">
                  <c:v>43100</c:v>
                </c:pt>
                <c:pt idx="19">
                  <c:v>43131</c:v>
                </c:pt>
                <c:pt idx="20">
                  <c:v>43159</c:v>
                </c:pt>
                <c:pt idx="21">
                  <c:v>43190</c:v>
                </c:pt>
                <c:pt idx="22">
                  <c:v>43220</c:v>
                </c:pt>
                <c:pt idx="23">
                  <c:v>43251</c:v>
                </c:pt>
                <c:pt idx="24">
                  <c:v>43281</c:v>
                </c:pt>
                <c:pt idx="25">
                  <c:v>43312</c:v>
                </c:pt>
                <c:pt idx="26">
                  <c:v>43343</c:v>
                </c:pt>
                <c:pt idx="27">
                  <c:v>43373</c:v>
                </c:pt>
                <c:pt idx="28">
                  <c:v>43404</c:v>
                </c:pt>
                <c:pt idx="29">
                  <c:v>43434</c:v>
                </c:pt>
                <c:pt idx="30">
                  <c:v>43465</c:v>
                </c:pt>
                <c:pt idx="31">
                  <c:v>43496</c:v>
                </c:pt>
                <c:pt idx="32">
                  <c:v>43524</c:v>
                </c:pt>
                <c:pt idx="33">
                  <c:v>43555</c:v>
                </c:pt>
                <c:pt idx="34">
                  <c:v>43585</c:v>
                </c:pt>
                <c:pt idx="35">
                  <c:v>43616</c:v>
                </c:pt>
                <c:pt idx="36">
                  <c:v>43646</c:v>
                </c:pt>
                <c:pt idx="37">
                  <c:v>43677</c:v>
                </c:pt>
                <c:pt idx="38">
                  <c:v>43708</c:v>
                </c:pt>
                <c:pt idx="39">
                  <c:v>43738</c:v>
                </c:pt>
                <c:pt idx="40">
                  <c:v>43769</c:v>
                </c:pt>
                <c:pt idx="41">
                  <c:v>43799</c:v>
                </c:pt>
                <c:pt idx="42">
                  <c:v>43830</c:v>
                </c:pt>
                <c:pt idx="43">
                  <c:v>43861</c:v>
                </c:pt>
                <c:pt idx="44">
                  <c:v>43890</c:v>
                </c:pt>
                <c:pt idx="45">
                  <c:v>43921</c:v>
                </c:pt>
                <c:pt idx="46">
                  <c:v>43951</c:v>
                </c:pt>
                <c:pt idx="47">
                  <c:v>43982</c:v>
                </c:pt>
                <c:pt idx="48">
                  <c:v>44012</c:v>
                </c:pt>
                <c:pt idx="49">
                  <c:v>44043</c:v>
                </c:pt>
                <c:pt idx="50">
                  <c:v>44074</c:v>
                </c:pt>
                <c:pt idx="51">
                  <c:v>44104</c:v>
                </c:pt>
              </c:numCache>
            </c:numRef>
          </c:cat>
          <c:val>
            <c:numRef>
              <c:f>'Datos ICP (2)'!$J$129:$J$180</c:f>
              <c:numCache>
                <c:formatCode>#,##0.00</c:formatCode>
                <c:ptCount val="52"/>
                <c:pt idx="0">
                  <c:v>156.10153800645296</c:v>
                </c:pt>
                <c:pt idx="1">
                  <c:v>157.62177563636342</c:v>
                </c:pt>
                <c:pt idx="2">
                  <c:v>159.13558968888833</c:v>
                </c:pt>
                <c:pt idx="3">
                  <c:v>160.17084950757388</c:v>
                </c:pt>
                <c:pt idx="4">
                  <c:v>159.14150870297013</c:v>
                </c:pt>
                <c:pt idx="5">
                  <c:v>156.46679423213564</c:v>
                </c:pt>
                <c:pt idx="6">
                  <c:v>159.70768654050417</c:v>
                </c:pt>
                <c:pt idx="7">
                  <c:v>160.74989293979448</c:v>
                </c:pt>
                <c:pt idx="8">
                  <c:v>161.36822808216638</c:v>
                </c:pt>
                <c:pt idx="9">
                  <c:v>161.85935169733841</c:v>
                </c:pt>
                <c:pt idx="10">
                  <c:v>162.81045080153277</c:v>
                </c:pt>
                <c:pt idx="11">
                  <c:v>162.47518664337744</c:v>
                </c:pt>
                <c:pt idx="12">
                  <c:v>161.96334258650722</c:v>
                </c:pt>
                <c:pt idx="13">
                  <c:v>161.5454520880111</c:v>
                </c:pt>
                <c:pt idx="14">
                  <c:v>161.81484892410381</c:v>
                </c:pt>
                <c:pt idx="15">
                  <c:v>161.10010085577045</c:v>
                </c:pt>
                <c:pt idx="16">
                  <c:v>159.89732152106433</c:v>
                </c:pt>
                <c:pt idx="17">
                  <c:v>160.41228881096305</c:v>
                </c:pt>
                <c:pt idx="18">
                  <c:v>161.80570970561359</c:v>
                </c:pt>
                <c:pt idx="19">
                  <c:v>161.89149652552581</c:v>
                </c:pt>
                <c:pt idx="20">
                  <c:v>162.41305748921874</c:v>
                </c:pt>
                <c:pt idx="21">
                  <c:v>163.56166456303714</c:v>
                </c:pt>
                <c:pt idx="22">
                  <c:v>164.19909928610582</c:v>
                </c:pt>
                <c:pt idx="23">
                  <c:v>165.0738957796701</c:v>
                </c:pt>
                <c:pt idx="24">
                  <c:v>165.85526666262191</c:v>
                </c:pt>
                <c:pt idx="25">
                  <c:v>166.42292250017783</c:v>
                </c:pt>
                <c:pt idx="26">
                  <c:v>166.93288878994485</c:v>
                </c:pt>
                <c:pt idx="27">
                  <c:v>167.19632895880224</c:v>
                </c:pt>
                <c:pt idx="28">
                  <c:v>167.38463195031778</c:v>
                </c:pt>
                <c:pt idx="29">
                  <c:v>167.90421398755402</c:v>
                </c:pt>
                <c:pt idx="30">
                  <c:v>169.05467304491978</c:v>
                </c:pt>
                <c:pt idx="31">
                  <c:v>169.07208993670955</c:v>
                </c:pt>
                <c:pt idx="32">
                  <c:v>169.08613057451538</c:v>
                </c:pt>
                <c:pt idx="33">
                  <c:v>170.01928586746206</c:v>
                </c:pt>
                <c:pt idx="34">
                  <c:v>170.2027955550692</c:v>
                </c:pt>
                <c:pt idx="35">
                  <c:v>171.71678100841572</c:v>
                </c:pt>
                <c:pt idx="36">
                  <c:v>173.81027005815005</c:v>
                </c:pt>
                <c:pt idx="37">
                  <c:v>175.65502676563261</c:v>
                </c:pt>
                <c:pt idx="38">
                  <c:v>176.78827074911572</c:v>
                </c:pt>
                <c:pt idx="39">
                  <c:v>177.18439535374745</c:v>
                </c:pt>
                <c:pt idx="40">
                  <c:v>175.69773803745787</c:v>
                </c:pt>
                <c:pt idx="41">
                  <c:v>164.58214651749</c:v>
                </c:pt>
                <c:pt idx="42">
                  <c:v>165.0946297187327</c:v>
                </c:pt>
                <c:pt idx="43">
                  <c:v>164.33112969496946</c:v>
                </c:pt>
                <c:pt idx="44">
                  <c:v>160.94293679880502</c:v>
                </c:pt>
                <c:pt idx="45">
                  <c:v>160.55482242046639</c:v>
                </c:pt>
                <c:pt idx="46">
                  <c:v>161.98913210398936</c:v>
                </c:pt>
                <c:pt idx="47">
                  <c:v>162.94919548582871</c:v>
                </c:pt>
                <c:pt idx="48">
                  <c:v>162.89220465640707</c:v>
                </c:pt>
                <c:pt idx="49">
                  <c:v>162.83991299949406</c:v>
                </c:pt>
                <c:pt idx="50">
                  <c:v>166.00239509261746</c:v>
                </c:pt>
                <c:pt idx="51">
                  <c:v>163.37752364148238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7A-4118-97AA-A61AA822C6B2}"/>
            </c:ext>
          </c:extLst>
        </c:ser>
        <c:ser>
          <c:idx val="1"/>
          <c:order val="2"/>
          <c:tx>
            <c:strRef>
              <c:f>'Datos ICP (2)'!$M$2</c:f>
              <c:strCache>
                <c:ptCount val="1"/>
                <c:pt idx="0">
                  <c:v>Competencia Relevante (*)</c:v>
                </c:pt>
              </c:strCache>
            </c:strRef>
          </c:tx>
          <c:spPr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</c:spPr>
          <c:marker>
            <c:symbol val="none"/>
          </c:marker>
          <c:cat>
            <c:numRef>
              <c:f>'Datos ICP (2)'!$A$129:$A$180</c:f>
              <c:numCache>
                <c:formatCode>m/d/yyyy</c:formatCode>
                <c:ptCount val="52"/>
                <c:pt idx="0">
                  <c:v>42551</c:v>
                </c:pt>
                <c:pt idx="1">
                  <c:v>42582</c:v>
                </c:pt>
                <c:pt idx="2">
                  <c:v>42613</c:v>
                </c:pt>
                <c:pt idx="3">
                  <c:v>42643</c:v>
                </c:pt>
                <c:pt idx="4">
                  <c:v>42674</c:v>
                </c:pt>
                <c:pt idx="5">
                  <c:v>42704</c:v>
                </c:pt>
                <c:pt idx="6">
                  <c:v>42735</c:v>
                </c:pt>
                <c:pt idx="7">
                  <c:v>42766</c:v>
                </c:pt>
                <c:pt idx="8">
                  <c:v>42794</c:v>
                </c:pt>
                <c:pt idx="9">
                  <c:v>42825</c:v>
                </c:pt>
                <c:pt idx="10">
                  <c:v>42855</c:v>
                </c:pt>
                <c:pt idx="11">
                  <c:v>42886</c:v>
                </c:pt>
                <c:pt idx="12">
                  <c:v>42916</c:v>
                </c:pt>
                <c:pt idx="13">
                  <c:v>42947</c:v>
                </c:pt>
                <c:pt idx="14">
                  <c:v>42978</c:v>
                </c:pt>
                <c:pt idx="15">
                  <c:v>43008</c:v>
                </c:pt>
                <c:pt idx="16">
                  <c:v>43039</c:v>
                </c:pt>
                <c:pt idx="17">
                  <c:v>43069</c:v>
                </c:pt>
                <c:pt idx="18">
                  <c:v>43100</c:v>
                </c:pt>
                <c:pt idx="19">
                  <c:v>43131</c:v>
                </c:pt>
                <c:pt idx="20">
                  <c:v>43159</c:v>
                </c:pt>
                <c:pt idx="21">
                  <c:v>43190</c:v>
                </c:pt>
                <c:pt idx="22">
                  <c:v>43220</c:v>
                </c:pt>
                <c:pt idx="23">
                  <c:v>43251</c:v>
                </c:pt>
                <c:pt idx="24">
                  <c:v>43281</c:v>
                </c:pt>
                <c:pt idx="25">
                  <c:v>43312</c:v>
                </c:pt>
                <c:pt idx="26">
                  <c:v>43343</c:v>
                </c:pt>
                <c:pt idx="27">
                  <c:v>43373</c:v>
                </c:pt>
                <c:pt idx="28">
                  <c:v>43404</c:v>
                </c:pt>
                <c:pt idx="29">
                  <c:v>43434</c:v>
                </c:pt>
                <c:pt idx="30">
                  <c:v>43465</c:v>
                </c:pt>
                <c:pt idx="31">
                  <c:v>43496</c:v>
                </c:pt>
                <c:pt idx="32">
                  <c:v>43524</c:v>
                </c:pt>
                <c:pt idx="33">
                  <c:v>43555</c:v>
                </c:pt>
                <c:pt idx="34">
                  <c:v>43585</c:v>
                </c:pt>
                <c:pt idx="35">
                  <c:v>43616</c:v>
                </c:pt>
                <c:pt idx="36">
                  <c:v>43646</c:v>
                </c:pt>
                <c:pt idx="37">
                  <c:v>43677</c:v>
                </c:pt>
                <c:pt idx="38">
                  <c:v>43708</c:v>
                </c:pt>
                <c:pt idx="39">
                  <c:v>43738</c:v>
                </c:pt>
                <c:pt idx="40">
                  <c:v>43769</c:v>
                </c:pt>
                <c:pt idx="41">
                  <c:v>43799</c:v>
                </c:pt>
                <c:pt idx="42">
                  <c:v>43830</c:v>
                </c:pt>
                <c:pt idx="43">
                  <c:v>43861</c:v>
                </c:pt>
                <c:pt idx="44">
                  <c:v>43890</c:v>
                </c:pt>
                <c:pt idx="45">
                  <c:v>43921</c:v>
                </c:pt>
                <c:pt idx="46">
                  <c:v>43951</c:v>
                </c:pt>
                <c:pt idx="47">
                  <c:v>43982</c:v>
                </c:pt>
                <c:pt idx="48">
                  <c:v>44012</c:v>
                </c:pt>
                <c:pt idx="49">
                  <c:v>44043</c:v>
                </c:pt>
                <c:pt idx="50">
                  <c:v>44074</c:v>
                </c:pt>
                <c:pt idx="51">
                  <c:v>44104</c:v>
                </c:pt>
              </c:numCache>
            </c:numRef>
          </c:cat>
          <c:val>
            <c:numRef>
              <c:f>'Datos ICP (2)'!$M$129:$M$180</c:f>
              <c:numCache>
                <c:formatCode>0.00</c:formatCode>
                <c:ptCount val="52"/>
                <c:pt idx="0">
                  <c:v>156.10153800645296</c:v>
                </c:pt>
                <c:pt idx="1">
                  <c:v>156.86810915389341</c:v>
                </c:pt>
                <c:pt idx="2">
                  <c:v>158.65496240109326</c:v>
                </c:pt>
                <c:pt idx="3">
                  <c:v>159.82254035509212</c:v>
                </c:pt>
                <c:pt idx="4">
                  <c:v>159.00756592547472</c:v>
                </c:pt>
                <c:pt idx="5">
                  <c:v>157.01287057028796</c:v>
                </c:pt>
                <c:pt idx="6">
                  <c:v>159.5522375826107</c:v>
                </c:pt>
                <c:pt idx="7">
                  <c:v>160.39022749655243</c:v>
                </c:pt>
                <c:pt idx="8">
                  <c:v>161.94502969574421</c:v>
                </c:pt>
                <c:pt idx="9">
                  <c:v>162.26670779571418</c:v>
                </c:pt>
                <c:pt idx="10">
                  <c:v>163.02723034224704</c:v>
                </c:pt>
                <c:pt idx="11">
                  <c:v>162.59980427870531</c:v>
                </c:pt>
                <c:pt idx="12">
                  <c:v>162.51163739483653</c:v>
                </c:pt>
                <c:pt idx="13">
                  <c:v>161.9583517561625</c:v>
                </c:pt>
                <c:pt idx="14">
                  <c:v>162.6434539620534</c:v>
                </c:pt>
                <c:pt idx="15">
                  <c:v>161.68985546945103</c:v>
                </c:pt>
                <c:pt idx="16">
                  <c:v>160.50031780537068</c:v>
                </c:pt>
                <c:pt idx="17">
                  <c:v>160.62491018094977</c:v>
                </c:pt>
                <c:pt idx="18">
                  <c:v>161.84872171417388</c:v>
                </c:pt>
                <c:pt idx="19">
                  <c:v>162.67080525950212</c:v>
                </c:pt>
                <c:pt idx="20">
                  <c:v>163.84246724312797</c:v>
                </c:pt>
                <c:pt idx="21">
                  <c:v>164.23185903475343</c:v>
                </c:pt>
                <c:pt idx="22">
                  <c:v>164.25409965856451</c:v>
                </c:pt>
                <c:pt idx="23">
                  <c:v>165.2082687228922</c:v>
                </c:pt>
                <c:pt idx="24">
                  <c:v>165.87548517370229</c:v>
                </c:pt>
                <c:pt idx="25">
                  <c:v>166.47768766544982</c:v>
                </c:pt>
                <c:pt idx="26">
                  <c:v>166.83794827250495</c:v>
                </c:pt>
                <c:pt idx="27">
                  <c:v>166.90612659538778</c:v>
                </c:pt>
                <c:pt idx="28">
                  <c:v>166.1364425447351</c:v>
                </c:pt>
                <c:pt idx="29">
                  <c:v>166.55155243873904</c:v>
                </c:pt>
                <c:pt idx="30">
                  <c:v>167.05538913290735</c:v>
                </c:pt>
                <c:pt idx="31">
                  <c:v>167.97452666623795</c:v>
                </c:pt>
                <c:pt idx="32">
                  <c:v>168.23394622869316</c:v>
                </c:pt>
                <c:pt idx="33">
                  <c:v>170.00776086048637</c:v>
                </c:pt>
                <c:pt idx="34">
                  <c:v>171.36701973962803</c:v>
                </c:pt>
                <c:pt idx="35">
                  <c:v>173.60463887756202</c:v>
                </c:pt>
                <c:pt idx="36">
                  <c:v>175.838302130236</c:v>
                </c:pt>
                <c:pt idx="37">
                  <c:v>178.75702980955194</c:v>
                </c:pt>
                <c:pt idx="38">
                  <c:v>180.93198561855687</c:v>
                </c:pt>
                <c:pt idx="39">
                  <c:v>181.24081795260577</c:v>
                </c:pt>
                <c:pt idx="40">
                  <c:v>175.72346438818576</c:v>
                </c:pt>
                <c:pt idx="41">
                  <c:v>171.57065558638666</c:v>
                </c:pt>
                <c:pt idx="42">
                  <c:v>175.51778587978328</c:v>
                </c:pt>
                <c:pt idx="43">
                  <c:v>177.0872661392836</c:v>
                </c:pt>
                <c:pt idx="44">
                  <c:v>174.11228990121921</c:v>
                </c:pt>
                <c:pt idx="45">
                  <c:v>171.40360527646553</c:v>
                </c:pt>
                <c:pt idx="46">
                  <c:v>168.60315598444819</c:v>
                </c:pt>
                <c:pt idx="47">
                  <c:v>179.69735214440746</c:v>
                </c:pt>
                <c:pt idx="48">
                  <c:v>178.93438786588993</c:v>
                </c:pt>
                <c:pt idx="49">
                  <c:v>178.28056903923886</c:v>
                </c:pt>
                <c:pt idx="50">
                  <c:v>182.01012449799734</c:v>
                </c:pt>
                <c:pt idx="51">
                  <c:v>179.06258582549947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7A-4118-97AA-A61AA822C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479168"/>
        <c:axId val="231480704"/>
      </c:lineChart>
      <c:dateAx>
        <c:axId val="231479168"/>
        <c:scaling>
          <c:orientation val="minMax"/>
        </c:scaling>
        <c:delete val="1"/>
        <c:axPos val="b"/>
        <c:numFmt formatCode="mmm/yyyy" sourceLinked="0"/>
        <c:majorTickMark val="out"/>
        <c:minorTickMark val="none"/>
        <c:tickLblPos val="nextTo"/>
        <c:crossAx val="231480704"/>
        <c:crosses val="autoZero"/>
        <c:auto val="1"/>
        <c:lblOffset val="100"/>
        <c:baseTimeUnit val="months"/>
        <c:majorUnit val="2"/>
        <c:majorTimeUnit val="months"/>
        <c:minorUnit val="2"/>
        <c:minorTimeUnit val="months"/>
      </c:dateAx>
      <c:valAx>
        <c:axId val="23148070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800" b="0">
                <a:solidFill>
                  <a:schemeClr val="tx1"/>
                </a:solidFill>
                <a:latin typeface="Aileron" panose="00000500000000000000" pitchFamily="50" charset="0"/>
              </a:defRPr>
            </a:pPr>
            <a:endParaRPr lang="es-CL"/>
          </a:p>
        </c:txPr>
        <c:crossAx val="231479168"/>
        <c:crosses val="autoZero"/>
        <c:crossBetween val="between"/>
      </c:valAx>
      <c:spPr>
        <a:noFill/>
        <a:ln>
          <a:noFill/>
        </a:ln>
      </c:spPr>
    </c:plotArea>
    <c:legend>
      <c:legendPos val="r"/>
      <c:layout>
        <c:manualLayout>
          <c:xMode val="edge"/>
          <c:yMode val="edge"/>
          <c:x val="0.77731452206478846"/>
          <c:y val="0.52324064744081944"/>
          <c:w val="0.17588536887720665"/>
          <c:h val="0.25975050362742408"/>
        </c:manualLayout>
      </c:layout>
      <c:overlay val="1"/>
      <c:txPr>
        <a:bodyPr/>
        <a:lstStyle/>
        <a:p>
          <a:pPr>
            <a:defRPr sz="1200">
              <a:latin typeface="Aileron" panose="00000500000000000000" pitchFamily="50" charset="0"/>
            </a:defRPr>
          </a:pPr>
          <a:endParaRPr lang="es-CL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B3-4997-ADE4-65804F1E5062}"/>
              </c:ext>
            </c:extLst>
          </c:dPt>
          <c:dPt>
            <c:idx val="1"/>
            <c:bubble3D val="0"/>
            <c:spPr>
              <a:solidFill>
                <a:srgbClr val="FDD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B3-4997-ADE4-65804F1E5062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3-4997-ADE4-65804F1E5062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B3-4997-ADE4-65804F1E5062}"/>
              </c:ext>
            </c:extLst>
          </c:dPt>
          <c:dPt>
            <c:idx val="4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B52-43B1-90C5-B098219E9130}"/>
              </c:ext>
            </c:extLst>
          </c:dPt>
          <c:cat>
            <c:strRef>
              <c:f>composición!$K$2:$K$5</c:f>
              <c:strCache>
                <c:ptCount val="4"/>
                <c:pt idx="1">
                  <c:v>Menor a 1 año</c:v>
                </c:pt>
                <c:pt idx="2">
                  <c:v>1-2 años</c:v>
                </c:pt>
                <c:pt idx="3">
                  <c:v>2-4 años</c:v>
                </c:pt>
              </c:strCache>
            </c:strRef>
          </c:cat>
          <c:val>
            <c:numRef>
              <c:f>composición!$L$2:$L$5</c:f>
              <c:numCache>
                <c:formatCode>0.00%</c:formatCode>
                <c:ptCount val="4"/>
                <c:pt idx="1">
                  <c:v>0.187243372572339</c:v>
                </c:pt>
                <c:pt idx="2">
                  <c:v>0</c:v>
                </c:pt>
                <c:pt idx="3">
                  <c:v>0.21722402866135501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3-4997-ADE4-65804F1E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DD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B3-4997-ADE4-65804F1E5062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B3-4997-ADE4-65804F1E5062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3-4997-ADE4-65804F1E5062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B3-4997-ADE4-65804F1E5062}"/>
              </c:ext>
            </c:extLst>
          </c:dPt>
          <c:dPt>
            <c:idx val="4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87D-45E1-A7D9-C84D2AF7E522}"/>
              </c:ext>
            </c:extLst>
          </c:dPt>
          <c:cat>
            <c:strRef>
              <c:f>composición!$O$2:$O$6</c:f>
              <c:strCache>
                <c:ptCount val="5"/>
                <c:pt idx="0">
                  <c:v>Financiamiento Mesa Renta Fija</c:v>
                </c:pt>
                <c:pt idx="1">
                  <c:v>Depósitos</c:v>
                </c:pt>
                <c:pt idx="2">
                  <c:v>Efect Comercio</c:v>
                </c:pt>
                <c:pt idx="3">
                  <c:v>Bono</c:v>
                </c:pt>
                <c:pt idx="4">
                  <c:v>Pactos</c:v>
                </c:pt>
              </c:strCache>
            </c:strRef>
          </c:cat>
          <c:val>
            <c:numRef>
              <c:f>composición!$P$2:$P$6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3-4997-ADE4-65804F1E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DD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B3-4997-ADE4-65804F1E5062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B3-4997-ADE4-65804F1E5062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3-4997-ADE4-65804F1E5062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B3-4997-ADE4-65804F1E5062}"/>
              </c:ext>
            </c:extLst>
          </c:dPt>
          <c:dPt>
            <c:idx val="4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A4A-4078-93C9-F5DB9EA212B7}"/>
              </c:ext>
            </c:extLst>
          </c:dPt>
          <c:cat>
            <c:strRef>
              <c:f>composición!$S$3:$S$4</c:f>
              <c:strCache>
                <c:ptCount val="2"/>
                <c:pt idx="0">
                  <c:v>Pesos</c:v>
                </c:pt>
                <c:pt idx="1">
                  <c:v>UF</c:v>
                </c:pt>
              </c:strCache>
            </c:strRef>
          </c:cat>
          <c:val>
            <c:numRef>
              <c:f>composición!$T$3:$T$4</c:f>
              <c:numCache>
                <c:formatCode>0.00%</c:formatCode>
                <c:ptCount val="2"/>
                <c:pt idx="0">
                  <c:v>0.187243372572339</c:v>
                </c:pt>
                <c:pt idx="1">
                  <c:v>0.81275662742766097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3-4997-ADE4-65804F1E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361950</xdr:colOff>
      <xdr:row>0</xdr:row>
      <xdr:rowOff>142875</xdr:rowOff>
    </xdr:from>
    <xdr:to>
      <xdr:col>51</xdr:col>
      <xdr:colOff>257176</xdr:colOff>
      <xdr:row>15</xdr:row>
      <xdr:rowOff>28575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162137</xdr:colOff>
      <xdr:row>200</xdr:row>
      <xdr:rowOff>154517</xdr:rowOff>
    </xdr:from>
    <xdr:to>
      <xdr:col>12</xdr:col>
      <xdr:colOff>626956</xdr:colOff>
      <xdr:row>229</xdr:row>
      <xdr:rowOff>47621</xdr:rowOff>
    </xdr:to>
    <xdr:graphicFrame macro="">
      <xdr:nvGraphicFramePr>
        <xdr:cNvPr id="3" name="34 Gráfic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33</xdr:row>
      <xdr:rowOff>34290</xdr:rowOff>
    </xdr:from>
    <xdr:to>
      <xdr:col>8</xdr:col>
      <xdr:colOff>716280</xdr:colOff>
      <xdr:row>48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</xdr:colOff>
      <xdr:row>18</xdr:row>
      <xdr:rowOff>34290</xdr:rowOff>
    </xdr:from>
    <xdr:to>
      <xdr:col>8</xdr:col>
      <xdr:colOff>685800</xdr:colOff>
      <xdr:row>33</xdr:row>
      <xdr:rowOff>34290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175260</xdr:colOff>
      <xdr:row>1</xdr:row>
      <xdr:rowOff>167640</xdr:rowOff>
    </xdr:from>
    <xdr:to>
      <xdr:col>8</xdr:col>
      <xdr:colOff>784860</xdr:colOff>
      <xdr:row>18</xdr:row>
      <xdr:rowOff>167640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95"/>
  <sheetViews>
    <sheetView showGridLines="0" tabSelected="1" zoomScale="90" zoomScaleNormal="90" workbookViewId="0">
      <pane ySplit="2" topLeftCell="A177" activePane="bottomLeft" state="frozen"/>
      <selection pane="bottomLeft" activeCell="J188" sqref="J188:J189"/>
    </sheetView>
  </sheetViews>
  <sheetFormatPr baseColWidth="10" defaultColWidth="12.28515625" defaultRowHeight="15"/>
  <cols>
    <col min="1" max="1" width="14.28515625" style="18" customWidth="1"/>
    <col min="2" max="2" width="12.85546875" style="18" bestFit="1" customWidth="1"/>
    <col min="3" max="4" width="12.28515625" style="18" bestFit="1" customWidth="1"/>
    <col min="5" max="5" width="12.28515625" style="18"/>
    <col min="6" max="6" width="16.140625" style="18" customWidth="1"/>
    <col min="7" max="7" width="14.85546875" style="19" bestFit="1" customWidth="1"/>
    <col min="8" max="8" width="12.28515625" style="19" bestFit="1" customWidth="1"/>
    <col min="9" max="9" width="12.28515625" style="20" bestFit="1" customWidth="1"/>
    <col min="10" max="12" width="12.28515625" style="18" bestFit="1" customWidth="1"/>
    <col min="13" max="24" width="11.85546875" style="18" bestFit="1" customWidth="1"/>
    <col min="25" max="25" width="12.28515625" style="18" bestFit="1" customWidth="1"/>
    <col min="26" max="27" width="10.85546875" style="18" bestFit="1" customWidth="1"/>
    <col min="28" max="28" width="5.5703125" style="18" bestFit="1" customWidth="1"/>
    <col min="29" max="29" width="5.7109375" style="18" bestFit="1" customWidth="1"/>
    <col min="30" max="30" width="10.5703125" style="18" bestFit="1" customWidth="1"/>
    <col min="31" max="31" width="6.28515625" style="18" bestFit="1" customWidth="1"/>
    <col min="32" max="32" width="9.85546875" style="18" customWidth="1"/>
    <col min="33" max="33" width="6.7109375" style="18" bestFit="1" customWidth="1"/>
    <col min="34" max="34" width="6.28515625" style="18" bestFit="1" customWidth="1"/>
    <col min="35" max="37" width="6.7109375" style="18" bestFit="1" customWidth="1"/>
    <col min="38" max="38" width="8.140625" style="18" bestFit="1" customWidth="1"/>
    <col min="39" max="41" width="6.7109375" style="18" bestFit="1" customWidth="1"/>
    <col min="42" max="42" width="6.42578125" style="18" bestFit="1" customWidth="1"/>
    <col min="43" max="43" width="8.28515625" style="18" bestFit="1" customWidth="1"/>
    <col min="44" max="44" width="3.85546875" style="18" customWidth="1"/>
    <col min="45" max="45" width="11.7109375" style="18" customWidth="1"/>
    <col min="46" max="46" width="12.28515625" style="18"/>
    <col min="47" max="47" width="12.7109375" style="18" customWidth="1"/>
    <col min="48" max="48" width="11.7109375" style="18" customWidth="1"/>
    <col min="49" max="49" width="14.28515625" style="18" bestFit="1" customWidth="1"/>
    <col min="50" max="52" width="11" style="18" bestFit="1" customWidth="1"/>
    <col min="53" max="54" width="12.28515625" style="18" bestFit="1" customWidth="1"/>
    <col min="55" max="16384" width="12.28515625" style="18"/>
  </cols>
  <sheetData>
    <row r="1" spans="1:45" ht="15.75">
      <c r="A1" s="18" t="s">
        <v>32</v>
      </c>
      <c r="F1" s="18" t="s">
        <v>42</v>
      </c>
      <c r="AC1" s="21"/>
      <c r="AD1" s="22" t="s">
        <v>50</v>
      </c>
      <c r="AE1" s="23" t="s">
        <v>11</v>
      </c>
      <c r="AF1" s="23" t="s">
        <v>12</v>
      </c>
      <c r="AG1" s="23" t="s">
        <v>13</v>
      </c>
      <c r="AH1" s="23" t="s">
        <v>14</v>
      </c>
      <c r="AI1" s="23" t="s">
        <v>15</v>
      </c>
      <c r="AJ1" s="23" t="s">
        <v>16</v>
      </c>
      <c r="AK1" s="23" t="s">
        <v>17</v>
      </c>
      <c r="AL1" s="23" t="s">
        <v>18</v>
      </c>
      <c r="AM1" s="23" t="s">
        <v>19</v>
      </c>
      <c r="AN1" s="23" t="s">
        <v>20</v>
      </c>
      <c r="AO1" s="23" t="s">
        <v>21</v>
      </c>
      <c r="AP1" s="23" t="s">
        <v>22</v>
      </c>
      <c r="AQ1" s="23" t="s">
        <v>23</v>
      </c>
      <c r="AR1" s="24"/>
      <c r="AS1" s="24"/>
    </row>
    <row r="2" spans="1:45">
      <c r="A2" s="25" t="s">
        <v>33</v>
      </c>
      <c r="B2" s="25" t="s">
        <v>50</v>
      </c>
      <c r="C2" s="25"/>
      <c r="D2" s="25" t="s">
        <v>50</v>
      </c>
      <c r="E2" s="25"/>
      <c r="F2" s="25"/>
      <c r="G2" s="26"/>
      <c r="H2" s="26"/>
      <c r="J2" s="18" t="s">
        <v>41</v>
      </c>
      <c r="K2" s="27" t="s">
        <v>49</v>
      </c>
      <c r="L2" s="28"/>
      <c r="M2" s="18" t="s">
        <v>34</v>
      </c>
      <c r="P2" s="18" t="s">
        <v>11</v>
      </c>
      <c r="Q2" s="18" t="s">
        <v>12</v>
      </c>
      <c r="R2" s="18" t="s">
        <v>13</v>
      </c>
      <c r="S2" s="18" t="s">
        <v>14</v>
      </c>
      <c r="T2" s="18" t="s">
        <v>15</v>
      </c>
      <c r="U2" s="18" t="s">
        <v>16</v>
      </c>
      <c r="V2" s="18" t="s">
        <v>17</v>
      </c>
      <c r="W2" s="18" t="s">
        <v>18</v>
      </c>
      <c r="X2" s="18" t="s">
        <v>19</v>
      </c>
      <c r="Y2" s="18" t="s">
        <v>20</v>
      </c>
      <c r="Z2" s="18" t="s">
        <v>21</v>
      </c>
      <c r="AA2" s="18" t="s">
        <v>22</v>
      </c>
      <c r="AC2" s="21"/>
      <c r="AD2" s="29">
        <v>2006</v>
      </c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1"/>
      <c r="AR2" s="24"/>
      <c r="AS2" s="24"/>
    </row>
    <row r="3" spans="1:45">
      <c r="A3" s="32"/>
      <c r="B3" s="33"/>
      <c r="D3" s="34"/>
      <c r="E3" s="34"/>
      <c r="F3" s="34"/>
      <c r="K3" s="27"/>
      <c r="L3" s="28"/>
      <c r="N3" s="33">
        <f>B3</f>
        <v>0</v>
      </c>
      <c r="O3" s="18">
        <v>2006</v>
      </c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C3" s="21"/>
      <c r="AD3" s="36">
        <v>2007</v>
      </c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8"/>
      <c r="AR3" s="24"/>
      <c r="AS3" s="24"/>
    </row>
    <row r="4" spans="1:45">
      <c r="A4" s="39"/>
      <c r="B4" s="35"/>
      <c r="C4" s="40"/>
      <c r="D4" s="34"/>
      <c r="E4" s="34"/>
      <c r="F4" s="34"/>
      <c r="K4" s="27" t="s">
        <v>48</v>
      </c>
      <c r="L4" s="28"/>
      <c r="O4" s="18">
        <v>2007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C4" s="21"/>
      <c r="AD4" s="29">
        <v>2008</v>
      </c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1"/>
      <c r="AR4" s="24"/>
      <c r="AS4" s="24"/>
    </row>
    <row r="5" spans="1:45">
      <c r="A5" s="32"/>
      <c r="B5" s="35"/>
      <c r="C5" s="40"/>
      <c r="D5" s="34"/>
      <c r="E5" s="34"/>
      <c r="F5" s="34"/>
      <c r="O5" s="18">
        <v>2008</v>
      </c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C5" s="21"/>
      <c r="AD5" s="36">
        <v>2009</v>
      </c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8"/>
      <c r="AR5" s="24"/>
      <c r="AS5" s="24"/>
    </row>
    <row r="6" spans="1:45">
      <c r="A6" s="32"/>
      <c r="B6" s="35"/>
      <c r="C6" s="40"/>
      <c r="D6" s="34"/>
      <c r="E6" s="34"/>
      <c r="F6" s="34"/>
      <c r="O6" s="18">
        <v>2009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C6" s="21"/>
      <c r="AD6" s="29">
        <v>2010</v>
      </c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1"/>
      <c r="AR6" s="24"/>
      <c r="AS6" s="24"/>
    </row>
    <row r="7" spans="1:45">
      <c r="A7" s="32"/>
      <c r="B7" s="35"/>
      <c r="C7" s="40"/>
      <c r="D7" s="34"/>
      <c r="E7" s="34"/>
      <c r="F7" s="34"/>
      <c r="O7" s="18">
        <v>2010</v>
      </c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C7" s="21"/>
      <c r="AD7" s="36">
        <v>2011</v>
      </c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24"/>
      <c r="AS7" s="24"/>
    </row>
    <row r="8" spans="1:45">
      <c r="A8" s="32"/>
      <c r="B8" s="35"/>
      <c r="C8" s="40"/>
      <c r="D8" s="34"/>
      <c r="E8" s="34"/>
      <c r="F8" s="34"/>
      <c r="O8" s="18">
        <v>2011</v>
      </c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C8" s="21"/>
      <c r="AD8" s="29">
        <v>2012</v>
      </c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1"/>
      <c r="AR8" s="24"/>
      <c r="AS8" s="24"/>
    </row>
    <row r="9" spans="1:45">
      <c r="A9" s="32"/>
      <c r="B9" s="35"/>
      <c r="C9" s="40"/>
      <c r="D9" s="34"/>
      <c r="E9" s="34"/>
      <c r="F9" s="34"/>
      <c r="O9" s="18">
        <v>2012</v>
      </c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C9" s="21"/>
      <c r="AD9" s="36">
        <v>2013</v>
      </c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8"/>
      <c r="AR9" s="24"/>
      <c r="AS9" s="24"/>
    </row>
    <row r="10" spans="1:45">
      <c r="A10" s="32"/>
      <c r="B10" s="35"/>
      <c r="C10" s="40"/>
      <c r="D10" s="34"/>
      <c r="E10" s="34"/>
      <c r="F10" s="34"/>
      <c r="O10" s="18">
        <v>2013</v>
      </c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C10" s="21"/>
      <c r="AD10" s="29">
        <v>2014</v>
      </c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1"/>
      <c r="AR10" s="24"/>
      <c r="AS10" s="24"/>
    </row>
    <row r="11" spans="1:45">
      <c r="A11" s="32"/>
      <c r="B11" s="35"/>
      <c r="C11" s="40"/>
      <c r="D11" s="34"/>
      <c r="E11" s="34"/>
      <c r="F11" s="34"/>
      <c r="O11" s="18">
        <v>2014</v>
      </c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C11" s="21"/>
      <c r="AD11" s="36">
        <v>2015</v>
      </c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8"/>
      <c r="AR11" s="24"/>
      <c r="AS11" s="24"/>
    </row>
    <row r="12" spans="1:45">
      <c r="A12" s="32"/>
      <c r="B12" s="35"/>
      <c r="C12" s="40"/>
      <c r="D12" s="34"/>
      <c r="E12" s="34"/>
      <c r="F12" s="34"/>
      <c r="O12" s="18">
        <v>2015</v>
      </c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C12" s="21"/>
      <c r="AD12" s="29">
        <v>2016</v>
      </c>
      <c r="AE12" s="30"/>
      <c r="AF12" s="30"/>
      <c r="AG12" s="30"/>
      <c r="AH12" s="30"/>
      <c r="AI12" s="30"/>
      <c r="AJ12" s="30"/>
      <c r="AK12" s="30"/>
      <c r="AL12" s="30"/>
      <c r="AM12" s="30"/>
      <c r="AN12" s="30">
        <f>+Y13</f>
        <v>-3.8213524157376666E-3</v>
      </c>
      <c r="AO12" s="30">
        <f t="shared" ref="AO12:AP14" si="0">+Z13</f>
        <v>-1.6364049551804927E-2</v>
      </c>
      <c r="AP12" s="30">
        <f t="shared" si="0"/>
        <v>1.8635577389064739E-2</v>
      </c>
      <c r="AQ12" s="31">
        <f>+B135/B129-1</f>
        <v>3.0732384080308206E-2</v>
      </c>
      <c r="AR12" s="41"/>
      <c r="AS12" s="24"/>
    </row>
    <row r="13" spans="1:45">
      <c r="A13" s="32"/>
      <c r="B13" s="35"/>
      <c r="C13" s="40"/>
      <c r="D13" s="34"/>
      <c r="E13" s="34"/>
      <c r="F13" s="34"/>
      <c r="O13" s="18">
        <v>2016</v>
      </c>
      <c r="P13" s="35"/>
      <c r="Q13" s="35"/>
      <c r="R13" s="35"/>
      <c r="S13" s="35"/>
      <c r="T13" s="35"/>
      <c r="U13" s="35"/>
      <c r="V13" s="35"/>
      <c r="W13" s="35"/>
      <c r="X13" s="35"/>
      <c r="Y13" s="76">
        <f t="shared" ref="Y13:AA16" si="1">LOOKUP(DATE($O13,Y$20,Y$19),$A$2:$A$2941,$C$2:$C$2941)</f>
        <v>-3.8213524157376666E-3</v>
      </c>
      <c r="Z13" s="76">
        <f t="shared" si="1"/>
        <v>-1.6364049551804927E-2</v>
      </c>
      <c r="AA13" s="76">
        <f t="shared" si="1"/>
        <v>1.8635577389064739E-2</v>
      </c>
      <c r="AC13" s="21"/>
      <c r="AD13" s="36">
        <v>2017</v>
      </c>
      <c r="AE13" s="37">
        <f>+P14</f>
        <v>6.2199732986325529E-3</v>
      </c>
      <c r="AF13" s="37">
        <f t="shared" ref="AF13:AN15" si="2">+Q14</f>
        <v>1.0802234630892915E-2</v>
      </c>
      <c r="AG13" s="37">
        <f t="shared" si="2"/>
        <v>7.7018231343977117E-3</v>
      </c>
      <c r="AH13" s="37">
        <f t="shared" si="2"/>
        <v>9.2504608198751281E-3</v>
      </c>
      <c r="AI13" s="37">
        <f t="shared" si="2"/>
        <v>-9.2066407046065279E-5</v>
      </c>
      <c r="AJ13" s="37">
        <f t="shared" si="2"/>
        <v>-2.2339693387876114E-3</v>
      </c>
      <c r="AK13" s="37">
        <f t="shared" si="2"/>
        <v>-2.6177383518409814E-3</v>
      </c>
      <c r="AL13" s="37">
        <f t="shared" si="2"/>
        <v>-1.3326516332056171E-3</v>
      </c>
      <c r="AM13" s="37">
        <f t="shared" si="2"/>
        <v>2.8054691789809461E-3</v>
      </c>
      <c r="AN13" s="37">
        <f t="shared" si="2"/>
        <v>-1.0192657443952924E-2</v>
      </c>
      <c r="AO13" s="37">
        <f t="shared" si="0"/>
        <v>-2.3340717431854507E-3</v>
      </c>
      <c r="AP13" s="37">
        <f t="shared" si="0"/>
        <v>8.5339041274135052E-3</v>
      </c>
      <c r="AQ13" s="38">
        <f>+B147/B135-1</f>
        <v>2.6607316879589726E-2</v>
      </c>
      <c r="AR13" s="37"/>
      <c r="AS13" s="24"/>
    </row>
    <row r="14" spans="1:45">
      <c r="A14" s="32"/>
      <c r="B14" s="35"/>
      <c r="C14" s="40"/>
      <c r="D14" s="34"/>
      <c r="E14" s="34"/>
      <c r="F14" s="34"/>
      <c r="O14" s="18">
        <v>2017</v>
      </c>
      <c r="P14" s="76">
        <f t="shared" ref="P14:X17" si="3">LOOKUP(DATE($O14,P$20,P$19),$A$2:$A$2941,$C$2:$C$2941)</f>
        <v>6.2199732986325529E-3</v>
      </c>
      <c r="Q14" s="76">
        <f t="shared" si="3"/>
        <v>1.0802234630892915E-2</v>
      </c>
      <c r="R14" s="76">
        <f t="shared" si="3"/>
        <v>7.7018231343977117E-3</v>
      </c>
      <c r="S14" s="76">
        <f t="shared" si="3"/>
        <v>9.2504608198751281E-3</v>
      </c>
      <c r="T14" s="76">
        <f t="shared" si="3"/>
        <v>-9.2066407046065279E-5</v>
      </c>
      <c r="U14" s="76">
        <f t="shared" si="3"/>
        <v>-2.2339693387876114E-3</v>
      </c>
      <c r="V14" s="76">
        <f t="shared" si="3"/>
        <v>-2.6177383518409814E-3</v>
      </c>
      <c r="W14" s="76">
        <f t="shared" si="3"/>
        <v>-1.3326516332056171E-3</v>
      </c>
      <c r="X14" s="76">
        <f t="shared" si="3"/>
        <v>2.8054691789809461E-3</v>
      </c>
      <c r="Y14" s="76">
        <f t="shared" si="1"/>
        <v>-1.0192657443952924E-2</v>
      </c>
      <c r="Z14" s="76">
        <f t="shared" si="1"/>
        <v>-2.3340717431854507E-3</v>
      </c>
      <c r="AA14" s="76">
        <f t="shared" si="1"/>
        <v>8.5339041274135052E-3</v>
      </c>
      <c r="AC14" s="21"/>
      <c r="AD14" s="29">
        <v>2018</v>
      </c>
      <c r="AE14" s="37">
        <f t="shared" ref="AE14:AE15" si="4">+P15</f>
        <v>5.1906625124626959E-3</v>
      </c>
      <c r="AF14" s="37">
        <f t="shared" si="2"/>
        <v>2.1679242540260102E-3</v>
      </c>
      <c r="AG14" s="37">
        <f t="shared" si="2"/>
        <v>6.1177670049867849E-3</v>
      </c>
      <c r="AH14" s="37">
        <f t="shared" si="2"/>
        <v>1.1917833923306587E-2</v>
      </c>
      <c r="AI14" s="37">
        <f t="shared" si="2"/>
        <v>-2.5394681255650475E-3</v>
      </c>
      <c r="AJ14" s="37">
        <f t="shared" si="2"/>
        <v>5.3924484285174934E-3</v>
      </c>
      <c r="AK14" s="37">
        <f t="shared" si="2"/>
        <v>6.660295863793575E-3</v>
      </c>
      <c r="AL14" s="37">
        <f t="shared" si="2"/>
        <v>8.717309083698277E-3</v>
      </c>
      <c r="AM14" s="37">
        <f t="shared" si="2"/>
        <v>5.2505742708608416E-4</v>
      </c>
      <c r="AN14" s="37">
        <f t="shared" si="2"/>
        <v>-4.0548458852885938E-3</v>
      </c>
      <c r="AO14" s="37">
        <f t="shared" si="0"/>
        <v>7.3726974468788509E-3</v>
      </c>
      <c r="AP14" s="37">
        <f t="shared" si="0"/>
        <v>1.0395759388714287E-2</v>
      </c>
      <c r="AQ14" s="31">
        <f>+B159/B147-1</f>
        <v>5.9282622742200308E-2</v>
      </c>
      <c r="AR14" s="41"/>
      <c r="AS14" s="24"/>
    </row>
    <row r="15" spans="1:45">
      <c r="A15" s="32"/>
      <c r="B15" s="35"/>
      <c r="C15" s="40"/>
      <c r="D15" s="34"/>
      <c r="E15" s="34"/>
      <c r="F15" s="34"/>
      <c r="O15" s="18">
        <v>2018</v>
      </c>
      <c r="P15" s="76">
        <f t="shared" si="3"/>
        <v>5.1906625124626959E-3</v>
      </c>
      <c r="Q15" s="76">
        <f t="shared" si="3"/>
        <v>2.1679242540260102E-3</v>
      </c>
      <c r="R15" s="76">
        <f t="shared" si="3"/>
        <v>6.1177670049867849E-3</v>
      </c>
      <c r="S15" s="76">
        <f t="shared" si="3"/>
        <v>1.1917833923306587E-2</v>
      </c>
      <c r="T15" s="76">
        <f t="shared" si="3"/>
        <v>-2.5394681255650475E-3</v>
      </c>
      <c r="U15" s="76">
        <f t="shared" si="3"/>
        <v>5.3924484285174934E-3</v>
      </c>
      <c r="V15" s="76">
        <f t="shared" si="3"/>
        <v>6.660295863793575E-3</v>
      </c>
      <c r="W15" s="76">
        <f t="shared" si="3"/>
        <v>8.717309083698277E-3</v>
      </c>
      <c r="X15" s="76">
        <f t="shared" si="3"/>
        <v>5.2505742708608416E-4</v>
      </c>
      <c r="Y15" s="76">
        <f t="shared" si="1"/>
        <v>-4.0548458852885938E-3</v>
      </c>
      <c r="Z15" s="76">
        <f t="shared" si="1"/>
        <v>7.3726974468788509E-3</v>
      </c>
      <c r="AA15" s="76">
        <f t="shared" si="1"/>
        <v>1.0395759388714287E-2</v>
      </c>
      <c r="AC15" s="21"/>
      <c r="AD15" s="36">
        <v>2019</v>
      </c>
      <c r="AE15" s="37">
        <f t="shared" si="4"/>
        <v>7.6396770391395918E-3</v>
      </c>
      <c r="AF15" s="37">
        <f t="shared" si="2"/>
        <v>7.1539416933130706E-3</v>
      </c>
      <c r="AG15" s="37">
        <f t="shared" si="2"/>
        <v>1.8803010642900686E-2</v>
      </c>
      <c r="AH15" s="37">
        <f t="shared" ref="AH15:AP16" si="5">+S16</f>
        <v>8.5088568526330288E-3</v>
      </c>
      <c r="AI15" s="37">
        <f t="shared" si="5"/>
        <v>1.6412879534216218E-2</v>
      </c>
      <c r="AJ15" s="37">
        <f t="shared" si="5"/>
        <v>2.3458148470250961E-2</v>
      </c>
      <c r="AK15" s="37">
        <f t="shared" si="5"/>
        <v>2.9300956895612851E-2</v>
      </c>
      <c r="AL15" s="37">
        <f t="shared" si="5"/>
        <v>2.496099743689717E-2</v>
      </c>
      <c r="AM15" s="37">
        <f t="shared" si="5"/>
        <v>-3.0990935151475885E-4</v>
      </c>
      <c r="AN15" s="37">
        <f t="shared" si="5"/>
        <v>-3.2096970326422336E-2</v>
      </c>
      <c r="AO15" s="37">
        <f t="shared" si="5"/>
        <v>-2.1887945554695754E-2</v>
      </c>
      <c r="AP15" s="37">
        <f t="shared" si="5"/>
        <v>2.4075059849496316E-2</v>
      </c>
      <c r="AQ15" s="38">
        <f>+((B171/B159-1)/COUNTA(AE15:AP15)*12)</f>
        <v>0.10912029999134765</v>
      </c>
      <c r="AR15" s="41" t="s">
        <v>35</v>
      </c>
      <c r="AS15" s="24"/>
    </row>
    <row r="16" spans="1:45">
      <c r="A16" s="32"/>
      <c r="B16" s="35"/>
      <c r="C16" s="40"/>
      <c r="D16" s="34"/>
      <c r="E16" s="34"/>
      <c r="F16" s="34"/>
      <c r="O16" s="18">
        <v>2019</v>
      </c>
      <c r="P16" s="76">
        <f t="shared" si="3"/>
        <v>7.6396770391395918E-3</v>
      </c>
      <c r="Q16" s="76">
        <f t="shared" si="3"/>
        <v>7.1539416933130706E-3</v>
      </c>
      <c r="R16" s="76">
        <f t="shared" si="3"/>
        <v>1.8803010642900686E-2</v>
      </c>
      <c r="S16" s="76">
        <f t="shared" si="3"/>
        <v>8.5088568526330288E-3</v>
      </c>
      <c r="T16" s="76">
        <f t="shared" si="3"/>
        <v>1.6412879534216218E-2</v>
      </c>
      <c r="U16" s="76">
        <f t="shared" si="3"/>
        <v>2.3458148470250961E-2</v>
      </c>
      <c r="V16" s="76">
        <f t="shared" si="3"/>
        <v>2.9300956895612851E-2</v>
      </c>
      <c r="W16" s="76">
        <f t="shared" si="3"/>
        <v>2.496099743689717E-2</v>
      </c>
      <c r="X16" s="76">
        <f t="shared" si="3"/>
        <v>-3.0990935151475885E-4</v>
      </c>
      <c r="Y16" s="76">
        <f t="shared" si="1"/>
        <v>-3.2096970326422336E-2</v>
      </c>
      <c r="Z16" s="76">
        <f t="shared" si="1"/>
        <v>-2.1887945554695754E-2</v>
      </c>
      <c r="AA16" s="76">
        <f t="shared" si="1"/>
        <v>2.4075059849496316E-2</v>
      </c>
      <c r="AC16" s="21"/>
      <c r="AD16" s="36">
        <v>2020</v>
      </c>
      <c r="AE16" s="37">
        <f>+P17</f>
        <v>7.8812654741735599E-3</v>
      </c>
      <c r="AF16" s="37">
        <f>+Q17</f>
        <v>-2.5764238905456205E-2</v>
      </c>
      <c r="AG16" s="37">
        <f>+R17</f>
        <v>-2.2573189920314207E-2</v>
      </c>
      <c r="AH16" s="37">
        <f>+S17</f>
        <v>5.230986288865469E-2</v>
      </c>
      <c r="AI16" s="37">
        <f t="shared" si="5"/>
        <v>4.2079739485137768E-2</v>
      </c>
      <c r="AJ16" s="37">
        <f t="shared" si="5"/>
        <v>3.2290395332756905E-3</v>
      </c>
      <c r="AK16" s="37">
        <f t="shared" si="5"/>
        <v>-5.818928369456744E-3</v>
      </c>
      <c r="AL16" s="37">
        <f t="shared" ref="AL16" si="6">+W17</f>
        <v>2.086094572171926E-2</v>
      </c>
      <c r="AM16" s="37">
        <f t="shared" ref="AM16" si="7">+X17</f>
        <v>-2.7316346897160337E-2</v>
      </c>
      <c r="AN16" s="37"/>
      <c r="AO16" s="37"/>
      <c r="AP16" s="37"/>
      <c r="AQ16" s="38">
        <f>+((B175/B171-1)/COUNTA(AE16:AP16)*12)</f>
        <v>1.3271175925927933E-2</v>
      </c>
      <c r="AR16" s="24"/>
      <c r="AS16" s="24"/>
    </row>
    <row r="17" spans="1:56">
      <c r="A17" s="32"/>
      <c r="B17" s="35"/>
      <c r="C17" s="40"/>
      <c r="D17" s="34"/>
      <c r="E17" s="34"/>
      <c r="F17" s="34"/>
      <c r="O17" s="18">
        <v>2020</v>
      </c>
      <c r="P17" s="76">
        <f>LOOKUP(DATE($O17,P$20,P$19),$A$2:$A$2941,$C$2:$C$2941)</f>
        <v>7.8812654741735599E-3</v>
      </c>
      <c r="Q17" s="76">
        <f>LOOKUP(DATE($O17,Q$20,Q$19)+1,$A$2:$A$2941,$C$2:$C$2941)</f>
        <v>-2.5764238905456205E-2</v>
      </c>
      <c r="R17" s="76">
        <f>LOOKUP(DATE($O17,R$20,R$19),$A$2:$A$2941,$C$2:$C$2941)</f>
        <v>-2.2573189920314207E-2</v>
      </c>
      <c r="S17" s="76">
        <f t="shared" si="3"/>
        <v>5.230986288865469E-2</v>
      </c>
      <c r="T17" s="76">
        <f t="shared" si="3"/>
        <v>4.2079739485137768E-2</v>
      </c>
      <c r="U17" s="76">
        <f t="shared" si="3"/>
        <v>3.2290395332756905E-3</v>
      </c>
      <c r="V17" s="76">
        <f t="shared" si="3"/>
        <v>-5.818928369456744E-3</v>
      </c>
      <c r="W17" s="76">
        <f t="shared" si="3"/>
        <v>2.086094572171926E-2</v>
      </c>
      <c r="X17" s="76">
        <f t="shared" si="3"/>
        <v>-2.7316346897160337E-2</v>
      </c>
      <c r="Y17" s="76"/>
      <c r="Z17" s="76"/>
      <c r="AA17" s="76"/>
      <c r="AD17" s="41" t="s">
        <v>47</v>
      </c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56">
      <c r="A18" s="32"/>
      <c r="B18" s="35"/>
      <c r="C18" s="40"/>
      <c r="D18" s="34"/>
      <c r="E18" s="34"/>
      <c r="F18" s="34"/>
      <c r="O18" s="18">
        <v>2021</v>
      </c>
      <c r="P18" s="18">
        <f>LOOKUP(DATE($O18,P$20,P$19),$A$2:$A$2941,$C$2:$C$2941)</f>
        <v>0</v>
      </c>
      <c r="AV18" s="43"/>
      <c r="AW18" s="43"/>
      <c r="AX18" s="43">
        <v>-1</v>
      </c>
      <c r="AY18" s="43">
        <v>-3</v>
      </c>
      <c r="AZ18" s="43">
        <v>-6</v>
      </c>
      <c r="BA18" s="43">
        <v>-12</v>
      </c>
      <c r="BB18" s="43"/>
    </row>
    <row r="19" spans="1:56">
      <c r="A19" s="32"/>
      <c r="B19" s="35"/>
      <c r="C19" s="40"/>
      <c r="D19" s="34"/>
      <c r="E19" s="34"/>
      <c r="F19" s="34"/>
      <c r="P19" s="25">
        <v>31</v>
      </c>
      <c r="Q19" s="25">
        <v>28</v>
      </c>
      <c r="R19" s="25">
        <v>31</v>
      </c>
      <c r="S19" s="25">
        <v>30</v>
      </c>
      <c r="T19" s="25">
        <v>31</v>
      </c>
      <c r="U19" s="25">
        <v>30</v>
      </c>
      <c r="V19" s="25">
        <v>31</v>
      </c>
      <c r="W19" s="25">
        <v>31</v>
      </c>
      <c r="X19" s="25">
        <v>30</v>
      </c>
      <c r="Y19" s="25">
        <v>31</v>
      </c>
      <c r="Z19" s="25">
        <v>30</v>
      </c>
      <c r="AA19" s="25">
        <v>31</v>
      </c>
      <c r="AV19" s="45" t="s">
        <v>36</v>
      </c>
      <c r="AW19" s="46">
        <v>44104</v>
      </c>
      <c r="AX19" s="46">
        <f>EOMONTH($AW19,AX18)</f>
        <v>44074</v>
      </c>
      <c r="AY19" s="46">
        <f>EOMONTH($AW19,AY18)</f>
        <v>44012</v>
      </c>
      <c r="AZ19" s="46">
        <f>EOMONTH($AW19,AZ18)</f>
        <v>43921</v>
      </c>
      <c r="BA19" s="46">
        <f>EOMONTH($AW19,BA18)</f>
        <v>43738</v>
      </c>
      <c r="BB19" s="46">
        <v>43100</v>
      </c>
    </row>
    <row r="20" spans="1:56">
      <c r="A20" s="32"/>
      <c r="B20" s="35"/>
      <c r="C20" s="40"/>
      <c r="D20" s="34"/>
      <c r="E20" s="34"/>
      <c r="F20" s="34"/>
      <c r="P20" s="25">
        <v>1</v>
      </c>
      <c r="Q20" s="25">
        <v>2</v>
      </c>
      <c r="R20" s="25">
        <v>3</v>
      </c>
      <c r="S20" s="25">
        <v>4</v>
      </c>
      <c r="T20" s="25">
        <v>5</v>
      </c>
      <c r="U20" s="25">
        <v>6</v>
      </c>
      <c r="V20" s="25">
        <v>7</v>
      </c>
      <c r="W20" s="25">
        <v>8</v>
      </c>
      <c r="X20" s="25">
        <v>9</v>
      </c>
      <c r="Y20" s="25">
        <v>10</v>
      </c>
      <c r="Z20" s="25">
        <v>11</v>
      </c>
      <c r="AA20" s="25">
        <v>12</v>
      </c>
      <c r="AR20" s="24"/>
      <c r="AS20" s="24"/>
      <c r="AV20" s="43" t="s">
        <v>24</v>
      </c>
      <c r="AW20" s="48">
        <f t="shared" ref="AW20:BB20" si="8">LOOKUP(AW19,$A$3:$A$2971,$B$3:$B$2971)</f>
        <v>51374.22</v>
      </c>
      <c r="AX20" s="48">
        <f t="shared" si="8"/>
        <v>52816.987142857142</v>
      </c>
      <c r="AY20" s="48">
        <f t="shared" si="8"/>
        <v>52040.51</v>
      </c>
      <c r="AZ20" s="48">
        <f t="shared" si="8"/>
        <v>47303.89</v>
      </c>
      <c r="BA20" s="48">
        <f t="shared" si="8"/>
        <v>50837.82</v>
      </c>
      <c r="BB20" s="48">
        <f t="shared" si="8"/>
        <v>41951.613333333335</v>
      </c>
    </row>
    <row r="21" spans="1:56" ht="15.75">
      <c r="A21" s="32"/>
      <c r="B21" s="35"/>
      <c r="C21" s="40"/>
      <c r="D21" s="34"/>
      <c r="E21" s="34"/>
      <c r="F21" s="34"/>
      <c r="O21" s="47" t="s">
        <v>45</v>
      </c>
      <c r="P21" s="18" t="s">
        <v>11</v>
      </c>
      <c r="Q21" s="18" t="s">
        <v>12</v>
      </c>
      <c r="R21" s="18" t="s">
        <v>13</v>
      </c>
      <c r="S21" s="18" t="s">
        <v>14</v>
      </c>
      <c r="T21" s="18" t="s">
        <v>15</v>
      </c>
      <c r="U21" s="18" t="s">
        <v>16</v>
      </c>
      <c r="V21" s="18" t="s">
        <v>17</v>
      </c>
      <c r="W21" s="18" t="s">
        <v>18</v>
      </c>
      <c r="X21" s="18" t="s">
        <v>19</v>
      </c>
      <c r="Y21" s="18" t="s">
        <v>20</v>
      </c>
      <c r="Z21" s="18" t="s">
        <v>21</v>
      </c>
      <c r="AA21" s="18" t="s">
        <v>22</v>
      </c>
      <c r="AD21" s="44" t="s">
        <v>39</v>
      </c>
      <c r="AE21" s="23" t="s">
        <v>11</v>
      </c>
      <c r="AF21" s="23" t="s">
        <v>12</v>
      </c>
      <c r="AG21" s="23" t="s">
        <v>13</v>
      </c>
      <c r="AH21" s="23" t="s">
        <v>14</v>
      </c>
      <c r="AI21" s="23" t="s">
        <v>15</v>
      </c>
      <c r="AJ21" s="23" t="s">
        <v>16</v>
      </c>
      <c r="AK21" s="23" t="s">
        <v>17</v>
      </c>
      <c r="AL21" s="23" t="s">
        <v>18</v>
      </c>
      <c r="AM21" s="23" t="s">
        <v>19</v>
      </c>
      <c r="AN21" s="23" t="s">
        <v>20</v>
      </c>
      <c r="AO21" s="23" t="s">
        <v>21</v>
      </c>
      <c r="AP21" s="23" t="s">
        <v>22</v>
      </c>
      <c r="AQ21" s="23" t="s">
        <v>23</v>
      </c>
      <c r="AR21" s="41"/>
      <c r="AS21" s="24"/>
      <c r="AV21" s="43" t="s">
        <v>25</v>
      </c>
      <c r="AW21" s="48">
        <f>LOOKUP(AW19,$F$2:$F$2972,$K$2:$K$2972)</f>
        <v>3421.9854</v>
      </c>
      <c r="AX21" s="48">
        <f t="shared" ref="AX21:BB21" si="9">LOOKUP(AX19,$F$2:$F$2972,$K$2:$K$2972)</f>
        <v>3478.3145</v>
      </c>
      <c r="AY21" s="48">
        <f t="shared" si="9"/>
        <v>3417.6192000000001</v>
      </c>
      <c r="AZ21" s="48">
        <f t="shared" si="9"/>
        <v>3267.0590000000002</v>
      </c>
      <c r="BA21" s="48">
        <f t="shared" si="9"/>
        <v>3454.424</v>
      </c>
      <c r="BB21" s="48">
        <f t="shared" si="9"/>
        <v>3078.9476</v>
      </c>
    </row>
    <row r="22" spans="1:56">
      <c r="A22" s="32"/>
      <c r="B22" s="35"/>
      <c r="C22" s="40"/>
      <c r="D22" s="34"/>
      <c r="E22" s="34"/>
      <c r="F22" s="34"/>
      <c r="O22" s="18">
        <v>2016</v>
      </c>
      <c r="P22" s="77"/>
      <c r="Q22" s="77"/>
      <c r="R22" s="77"/>
      <c r="S22" s="77"/>
      <c r="T22" s="77"/>
      <c r="U22" s="77"/>
      <c r="V22" s="77">
        <f t="shared" ref="V22:AA26" si="10">LOOKUP(DATE($O22,V$20,V$19),$A$2:$A$2941,$I$2:$I$2941)</f>
        <v>9.7387741935483323E-3</v>
      </c>
      <c r="W22" s="77">
        <f t="shared" si="10"/>
        <v>9.6040921148948261E-3</v>
      </c>
      <c r="X22" s="77">
        <f t="shared" si="10"/>
        <v>6.5055203597730316E-3</v>
      </c>
      <c r="Y22" s="77">
        <f t="shared" si="10"/>
        <v>-6.4265177325858206E-3</v>
      </c>
      <c r="Z22" s="77">
        <f t="shared" si="10"/>
        <v>-1.6807145367879639E-2</v>
      </c>
      <c r="AA22" s="77">
        <f t="shared" si="10"/>
        <v>2.0712971875427595E-2</v>
      </c>
      <c r="AD22" s="29">
        <v>2016</v>
      </c>
      <c r="AE22" s="30"/>
      <c r="AF22" s="30"/>
      <c r="AG22" s="30"/>
      <c r="AH22" s="30"/>
      <c r="AI22" s="30"/>
      <c r="AJ22" s="30"/>
      <c r="AK22" s="30">
        <f t="shared" ref="AK22:AP27" si="11">+V22</f>
        <v>9.7387741935483323E-3</v>
      </c>
      <c r="AL22" s="30">
        <f t="shared" si="11"/>
        <v>9.6040921148948261E-3</v>
      </c>
      <c r="AM22" s="30">
        <f t="shared" si="11"/>
        <v>6.5055203597730316E-3</v>
      </c>
      <c r="AN22" s="30">
        <f t="shared" si="11"/>
        <v>-6.4265177325858206E-3</v>
      </c>
      <c r="AO22" s="30">
        <f t="shared" si="11"/>
        <v>-1.6807145367879639E-2</v>
      </c>
      <c r="AP22" s="30">
        <f t="shared" si="11"/>
        <v>2.0712971875427595E-2</v>
      </c>
      <c r="AQ22" s="38">
        <f>+H135/H129-1</f>
        <v>2.4226359000000031E-2</v>
      </c>
      <c r="AR22" s="41"/>
      <c r="AV22" s="43" t="s">
        <v>40</v>
      </c>
      <c r="AW22" s="48">
        <f t="shared" ref="AW22:BB22" si="12">LOOKUP(AW19,$F$2:$F$2970,$H$2:$H$2970)</f>
        <v>1050.7400902093905</v>
      </c>
      <c r="AX22" s="48">
        <f t="shared" si="12"/>
        <v>1067.6215902093907</v>
      </c>
      <c r="AY22" s="48">
        <f t="shared" si="12"/>
        <v>1046.9651902093906</v>
      </c>
      <c r="AZ22" s="48">
        <f>LOOKUP(AZ19,$F$2:$F$2970,$H$2:$H$2970)</f>
        <v>1031.7393902093906</v>
      </c>
      <c r="BA22" s="48">
        <f t="shared" si="12"/>
        <v>1138.2752902093907</v>
      </c>
      <c r="BB22" s="48">
        <f t="shared" si="12"/>
        <v>1037.6796589999999</v>
      </c>
    </row>
    <row r="23" spans="1:56">
      <c r="A23" s="32"/>
      <c r="B23" s="35"/>
      <c r="C23" s="40"/>
      <c r="D23" s="34"/>
      <c r="E23" s="34"/>
      <c r="F23" s="34"/>
      <c r="O23" s="18">
        <v>2017</v>
      </c>
      <c r="P23" s="77">
        <f t="shared" ref="P23:U26" si="13">LOOKUP(DATE($O23,P$20,P$19),$A$2:$A$2941,$I$2:$I$2941)</f>
        <v>6.5257122050038814E-3</v>
      </c>
      <c r="Q23" s="77">
        <f t="shared" si="13"/>
        <v>3.8465664335060206E-3</v>
      </c>
      <c r="R23" s="77">
        <f t="shared" si="13"/>
        <v>3.0434963623816556E-3</v>
      </c>
      <c r="S23" s="77">
        <f t="shared" si="13"/>
        <v>5.8760837370264163E-3</v>
      </c>
      <c r="T23" s="77">
        <f t="shared" si="13"/>
        <v>-2.0592299603913646E-3</v>
      </c>
      <c r="U23" s="77">
        <f t="shared" si="13"/>
        <v>-3.1502906224916138E-3</v>
      </c>
      <c r="V23" s="77">
        <f t="shared" si="10"/>
        <v>-2.5801548166549276E-3</v>
      </c>
      <c r="W23" s="77">
        <f t="shared" si="10"/>
        <v>1.6676225335389471E-3</v>
      </c>
      <c r="X23" s="77">
        <f t="shared" si="10"/>
        <v>-4.4170734211703699E-3</v>
      </c>
      <c r="Y23" s="77">
        <f t="shared" si="10"/>
        <v>-7.4660371304357022E-3</v>
      </c>
      <c r="Z23" s="77">
        <f t="shared" si="10"/>
        <v>3.2206123592313229E-3</v>
      </c>
      <c r="AA23" s="77">
        <f t="shared" si="10"/>
        <v>8.6864971816007358E-3</v>
      </c>
      <c r="AD23" s="36">
        <v>2017</v>
      </c>
      <c r="AE23" s="30">
        <f t="shared" ref="AE23:AJ27" si="14">+P23</f>
        <v>6.5257122050038814E-3</v>
      </c>
      <c r="AF23" s="30">
        <f t="shared" si="14"/>
        <v>3.8465664335060206E-3</v>
      </c>
      <c r="AG23" s="30">
        <f t="shared" si="14"/>
        <v>3.0434963623816556E-3</v>
      </c>
      <c r="AH23" s="30">
        <f t="shared" si="14"/>
        <v>5.8760837370264163E-3</v>
      </c>
      <c r="AI23" s="30">
        <f t="shared" si="14"/>
        <v>-2.0592299603913646E-3</v>
      </c>
      <c r="AJ23" s="30">
        <f t="shared" si="14"/>
        <v>-3.1502906224916138E-3</v>
      </c>
      <c r="AK23" s="30">
        <f t="shared" si="11"/>
        <v>-2.5801548166549276E-3</v>
      </c>
      <c r="AL23" s="30">
        <f t="shared" si="11"/>
        <v>1.6676225335389471E-3</v>
      </c>
      <c r="AM23" s="30">
        <f t="shared" si="11"/>
        <v>-4.4170734211703699E-3</v>
      </c>
      <c r="AN23" s="30">
        <f t="shared" si="11"/>
        <v>-7.4660371304357022E-3</v>
      </c>
      <c r="AO23" s="30">
        <f t="shared" si="11"/>
        <v>3.2206123592313229E-3</v>
      </c>
      <c r="AP23" s="30">
        <f t="shared" si="11"/>
        <v>8.6864971816007358E-3</v>
      </c>
      <c r="AQ23" s="38">
        <f>+H147/H135-1</f>
        <v>1.3135084722028623E-2</v>
      </c>
      <c r="AR23" s="24"/>
      <c r="AS23" s="24"/>
      <c r="AV23" s="43"/>
      <c r="AW23" s="43"/>
      <c r="AX23" s="43"/>
      <c r="AY23" s="43"/>
      <c r="AZ23" s="43"/>
      <c r="BA23" s="43"/>
      <c r="BB23" s="43"/>
    </row>
    <row r="24" spans="1:56">
      <c r="A24" s="32"/>
      <c r="B24" s="35"/>
      <c r="C24" s="40"/>
      <c r="D24" s="34"/>
      <c r="E24" s="34"/>
      <c r="F24" s="34"/>
      <c r="O24" s="18">
        <v>2018</v>
      </c>
      <c r="P24" s="77">
        <f t="shared" si="13"/>
        <v>5.3018413298450671E-4</v>
      </c>
      <c r="Q24" s="77">
        <f t="shared" si="13"/>
        <v>3.2216699140258376E-3</v>
      </c>
      <c r="R24" s="77">
        <f t="shared" si="13"/>
        <v>7.0721350338142485E-3</v>
      </c>
      <c r="S24" s="77">
        <f t="shared" si="13"/>
        <v>3.8972134746342313E-3</v>
      </c>
      <c r="T24" s="77">
        <f t="shared" si="13"/>
        <v>5.3276570783132539E-3</v>
      </c>
      <c r="U24" s="77">
        <f t="shared" si="13"/>
        <v>4.7334612129996678E-3</v>
      </c>
      <c r="V24" s="77">
        <f t="shared" si="10"/>
        <v>3.4225975995723578E-3</v>
      </c>
      <c r="W24" s="77">
        <f t="shared" si="10"/>
        <v>3.0642791395907309E-3</v>
      </c>
      <c r="X24" s="77">
        <f t="shared" si="10"/>
        <v>1.578120230033786E-3</v>
      </c>
      <c r="Y24" s="77">
        <f t="shared" si="10"/>
        <v>1.126238791773634E-3</v>
      </c>
      <c r="Z24" s="77">
        <f t="shared" si="10"/>
        <v>3.1041203196626732E-3</v>
      </c>
      <c r="AA24" s="77">
        <f t="shared" si="10"/>
        <v>6.8518772104853021E-3</v>
      </c>
      <c r="AD24" s="29">
        <v>2018</v>
      </c>
      <c r="AE24" s="30">
        <f t="shared" si="14"/>
        <v>5.3018413298450671E-4</v>
      </c>
      <c r="AF24" s="30">
        <f t="shared" si="14"/>
        <v>3.2216699140258376E-3</v>
      </c>
      <c r="AG24" s="30">
        <f t="shared" si="14"/>
        <v>7.0721350338142485E-3</v>
      </c>
      <c r="AH24" s="30">
        <f t="shared" si="14"/>
        <v>3.8972134746342313E-3</v>
      </c>
      <c r="AI24" s="30">
        <f t="shared" si="14"/>
        <v>5.3276570783132539E-3</v>
      </c>
      <c r="AJ24" s="30">
        <f t="shared" si="14"/>
        <v>4.7334612129996678E-3</v>
      </c>
      <c r="AK24" s="30">
        <f t="shared" si="11"/>
        <v>3.4225975995723578E-3</v>
      </c>
      <c r="AL24" s="30">
        <f t="shared" si="11"/>
        <v>3.0642791395907309E-3</v>
      </c>
      <c r="AM24" s="30">
        <f t="shared" si="11"/>
        <v>1.578120230033786E-3</v>
      </c>
      <c r="AN24" s="30">
        <f t="shared" si="11"/>
        <v>1.126238791773634E-3</v>
      </c>
      <c r="AO24" s="30">
        <f t="shared" si="11"/>
        <v>3.1041203196626732E-3</v>
      </c>
      <c r="AP24" s="30">
        <f t="shared" si="11"/>
        <v>6.8518772104853021E-3</v>
      </c>
      <c r="AQ24" s="31">
        <f>+H159/H148-1</f>
        <v>4.4953348392492209E-2</v>
      </c>
      <c r="AR24" s="41" t="s">
        <v>35</v>
      </c>
      <c r="AS24" s="24"/>
    </row>
    <row r="25" spans="1:56">
      <c r="A25" s="32"/>
      <c r="B25" s="35"/>
      <c r="C25" s="40"/>
      <c r="D25" s="34"/>
      <c r="E25" s="34"/>
      <c r="F25" s="34"/>
      <c r="O25" s="18">
        <v>2019</v>
      </c>
      <c r="P25" s="77">
        <f t="shared" si="13"/>
        <v>1.0302520170571159E-4</v>
      </c>
      <c r="Q25" s="77">
        <f t="shared" si="13"/>
        <v>8.3045272647146778E-5</v>
      </c>
      <c r="R25" s="77">
        <f t="shared" si="13"/>
        <v>5.5188162966177392E-3</v>
      </c>
      <c r="S25" s="77">
        <f t="shared" si="13"/>
        <v>1.0793463028082595E-3</v>
      </c>
      <c r="T25" s="77">
        <f t="shared" si="13"/>
        <v>8.8951855838152166E-3</v>
      </c>
      <c r="U25" s="77">
        <f t="shared" si="13"/>
        <v>1.2191522793755016E-2</v>
      </c>
      <c r="V25" s="77">
        <f t="shared" si="10"/>
        <v>1.0613623158547306E-2</v>
      </c>
      <c r="W25" s="77">
        <f t="shared" si="10"/>
        <v>6.4515317571591001E-3</v>
      </c>
      <c r="X25" s="77">
        <f t="shared" si="10"/>
        <v>2.2406724323575933E-3</v>
      </c>
      <c r="Y25" s="77">
        <f t="shared" si="10"/>
        <v>-8.3904528574397404E-3</v>
      </c>
      <c r="Z25" s="77">
        <f t="shared" si="10"/>
        <v>-6.3265421878101136E-2</v>
      </c>
      <c r="AA25" s="77">
        <f t="shared" si="10"/>
        <v>3.1138444362691173E-3</v>
      </c>
      <c r="AD25" s="36">
        <v>2019</v>
      </c>
      <c r="AE25" s="30">
        <f t="shared" si="14"/>
        <v>1.0302520170571159E-4</v>
      </c>
      <c r="AF25" s="30">
        <f t="shared" si="14"/>
        <v>8.3045272647146778E-5</v>
      </c>
      <c r="AG25" s="30">
        <f t="shared" si="14"/>
        <v>5.5188162966177392E-3</v>
      </c>
      <c r="AH25" s="30">
        <f t="shared" si="14"/>
        <v>1.0793463028082595E-3</v>
      </c>
      <c r="AI25" s="30">
        <f t="shared" si="14"/>
        <v>8.8951855838152166E-3</v>
      </c>
      <c r="AJ25" s="30">
        <f t="shared" si="14"/>
        <v>1.2191522793755016E-2</v>
      </c>
      <c r="AK25" s="30">
        <f t="shared" si="11"/>
        <v>1.0613623158547306E-2</v>
      </c>
      <c r="AL25" s="30">
        <f t="shared" si="11"/>
        <v>6.4515317571591001E-3</v>
      </c>
      <c r="AM25" s="30">
        <f t="shared" si="11"/>
        <v>2.2406724323575933E-3</v>
      </c>
      <c r="AN25" s="30">
        <f t="shared" si="11"/>
        <v>-8.3904528574397404E-3</v>
      </c>
      <c r="AO25" s="30">
        <f t="shared" si="11"/>
        <v>-6.3265421878101136E-2</v>
      </c>
      <c r="AP25" s="30">
        <f t="shared" si="11"/>
        <v>3.1138444362691173E-3</v>
      </c>
      <c r="AQ25" s="38">
        <f>+(H171/H159-1)/COUNTA(AE25:AP25)*12</f>
        <v>-2.2584688175071421E-2</v>
      </c>
    </row>
    <row r="26" spans="1:56">
      <c r="A26" s="32"/>
      <c r="B26" s="35"/>
      <c r="C26" s="40"/>
      <c r="D26" s="34"/>
      <c r="E26" s="34"/>
      <c r="F26" s="34"/>
      <c r="O26" s="18">
        <v>2020</v>
      </c>
      <c r="P26" s="77">
        <f>LOOKUP(DATE($O26,P$20,P$19),$A$2:$A$2941,$I$2:$I$2941)</f>
        <v>-4.6246205891978696E-3</v>
      </c>
      <c r="Q26" s="77">
        <f>LOOKUP(DATE($O26,Q$20,Q$19)+1,$A$2:$A$2941,$I$2:$I$2941)</f>
        <v>-2.0618083149878997E-2</v>
      </c>
      <c r="R26" s="77">
        <f>LOOKUP(DATE($O26,R$20,R$19),$A$2:$A$2941,$I$2:$I$2941)</f>
        <v>-2.41150302124664E-3</v>
      </c>
      <c r="S26" s="77">
        <f t="shared" si="13"/>
        <v>8.9334575062887112E-3</v>
      </c>
      <c r="T26" s="77">
        <f t="shared" si="13"/>
        <v>5.9267147701184018E-3</v>
      </c>
      <c r="U26" s="77">
        <f t="shared" si="13"/>
        <v>-3.4974600059689553E-4</v>
      </c>
      <c r="V26" s="77">
        <f t="shared" si="10"/>
        <v>-3.2102000843624258E-4</v>
      </c>
      <c r="W26" s="77">
        <f t="shared" si="10"/>
        <v>1.9420804364672174E-2</v>
      </c>
      <c r="X26" s="77">
        <f t="shared" si="10"/>
        <v>-1.5812250477895695E-2</v>
      </c>
      <c r="Y26" s="77">
        <f t="shared" si="10"/>
        <v>1.4173420034057117E-3</v>
      </c>
      <c r="Z26" s="77">
        <f t="shared" si="10"/>
        <v>1.9718154779344577E-3</v>
      </c>
      <c r="AA26" s="77">
        <f>LOOKUP(DATE($O26,AA$20,AA$19),$A$2:$A$2941,$I$2:$I$2941)</f>
        <v>2.5648302100354174E-2</v>
      </c>
      <c r="AD26" s="36">
        <v>2020</v>
      </c>
      <c r="AE26" s="30">
        <f>+P26</f>
        <v>-4.6246205891978696E-3</v>
      </c>
      <c r="AF26" s="30">
        <f>+Q26</f>
        <v>-2.0618083149878997E-2</v>
      </c>
      <c r="AG26" s="30">
        <f>+R26</f>
        <v>-2.41150302124664E-3</v>
      </c>
      <c r="AH26" s="30">
        <f>+S26</f>
        <v>8.9334575062887112E-3</v>
      </c>
      <c r="AI26" s="30">
        <f t="shared" si="14"/>
        <v>5.9267147701184018E-3</v>
      </c>
      <c r="AJ26" s="30">
        <f t="shared" si="14"/>
        <v>-3.4974600059689553E-4</v>
      </c>
      <c r="AK26" s="30">
        <f t="shared" si="11"/>
        <v>-3.2102000843624258E-4</v>
      </c>
      <c r="AL26" s="30">
        <f t="shared" ref="AL26:AL27" si="15">+W26</f>
        <v>1.9420804364672174E-2</v>
      </c>
      <c r="AM26" s="30">
        <f t="shared" ref="AM26:AM27" si="16">+X26</f>
        <v>-1.5812250477895695E-2</v>
      </c>
      <c r="AN26" s="30"/>
      <c r="AO26" s="30"/>
      <c r="AP26" s="30"/>
      <c r="AQ26" s="38">
        <f>+(H178/H171-1)/COUNTA(AE26:AP26)*12</f>
        <v>-1.7352146321146268E-2</v>
      </c>
      <c r="AR26" s="24"/>
      <c r="AS26" s="24"/>
      <c r="AV26" s="49"/>
      <c r="AW26" s="49"/>
      <c r="AX26" s="49"/>
      <c r="AY26" s="49"/>
      <c r="AZ26" s="49"/>
      <c r="BA26" s="49"/>
      <c r="BB26" s="49"/>
      <c r="BC26" s="49"/>
    </row>
    <row r="27" spans="1:56">
      <c r="A27" s="32"/>
      <c r="B27" s="35"/>
      <c r="C27" s="40"/>
      <c r="D27" s="34"/>
      <c r="E27" s="34"/>
      <c r="F27" s="34"/>
      <c r="O27" s="18">
        <v>2021</v>
      </c>
      <c r="P27" s="35">
        <f>LOOKUP(DATE($O27,P$20,P$19),$A$2:$A$2941,$I$2:$I$2941)</f>
        <v>7.2203019554818049E-3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D27" s="41" t="s">
        <v>47</v>
      </c>
      <c r="AE27" s="18">
        <f>+P27</f>
        <v>7.2203019554818049E-3</v>
      </c>
      <c r="AG27" s="18">
        <f>+R27</f>
        <v>0</v>
      </c>
      <c r="AH27" s="18">
        <f>+S27</f>
        <v>0</v>
      </c>
      <c r="AI27" s="18">
        <f t="shared" si="14"/>
        <v>0</v>
      </c>
      <c r="AJ27" s="18">
        <f t="shared" si="14"/>
        <v>0</v>
      </c>
      <c r="AK27" s="18">
        <f t="shared" si="11"/>
        <v>0</v>
      </c>
      <c r="AL27" s="18">
        <f t="shared" si="15"/>
        <v>0</v>
      </c>
      <c r="AM27" s="18">
        <f t="shared" si="16"/>
        <v>0</v>
      </c>
      <c r="AR27" s="41"/>
      <c r="AS27" s="24"/>
      <c r="AV27" s="50"/>
      <c r="AW27" s="51" t="s">
        <v>26</v>
      </c>
      <c r="AX27" s="51" t="s">
        <v>27</v>
      </c>
      <c r="AY27" s="51" t="s">
        <v>28</v>
      </c>
      <c r="AZ27" s="51" t="s">
        <v>29</v>
      </c>
      <c r="BA27" s="51" t="s">
        <v>30</v>
      </c>
      <c r="BB27" s="51" t="s">
        <v>46</v>
      </c>
      <c r="BC27" s="52"/>
      <c r="BD27" s="53"/>
    </row>
    <row r="28" spans="1:56" ht="15.75">
      <c r="A28" s="32"/>
      <c r="B28" s="35"/>
      <c r="C28" s="40"/>
      <c r="D28" s="34"/>
      <c r="E28" s="34"/>
      <c r="F28" s="34"/>
      <c r="P28" s="25">
        <v>31</v>
      </c>
      <c r="Q28" s="25">
        <v>28</v>
      </c>
      <c r="R28" s="25">
        <v>31</v>
      </c>
      <c r="S28" s="25">
        <v>30</v>
      </c>
      <c r="T28" s="25">
        <v>31</v>
      </c>
      <c r="U28" s="25">
        <v>30</v>
      </c>
      <c r="V28" s="25">
        <v>31</v>
      </c>
      <c r="W28" s="25">
        <v>31</v>
      </c>
      <c r="X28" s="25">
        <v>30</v>
      </c>
      <c r="Y28" s="25">
        <v>31</v>
      </c>
      <c r="Z28" s="25">
        <v>30</v>
      </c>
      <c r="AA28" s="25">
        <v>31</v>
      </c>
      <c r="AD28" s="44" t="s">
        <v>25</v>
      </c>
      <c r="AE28" s="23" t="s">
        <v>11</v>
      </c>
      <c r="AF28" s="23" t="s">
        <v>12</v>
      </c>
      <c r="AG28" s="23" t="s">
        <v>13</v>
      </c>
      <c r="AH28" s="23" t="s">
        <v>14</v>
      </c>
      <c r="AI28" s="23" t="s">
        <v>15</v>
      </c>
      <c r="AJ28" s="23" t="s">
        <v>16</v>
      </c>
      <c r="AK28" s="23" t="s">
        <v>17</v>
      </c>
      <c r="AL28" s="23" t="s">
        <v>18</v>
      </c>
      <c r="AM28" s="23" t="s">
        <v>19</v>
      </c>
      <c r="AN28" s="23" t="s">
        <v>20</v>
      </c>
      <c r="AO28" s="23" t="s">
        <v>21</v>
      </c>
      <c r="AP28" s="23" t="s">
        <v>22</v>
      </c>
      <c r="AQ28" s="23" t="s">
        <v>23</v>
      </c>
      <c r="AR28" s="41"/>
      <c r="AV28" s="79"/>
      <c r="AW28" s="51" t="s">
        <v>31</v>
      </c>
      <c r="AX28" s="54">
        <f>($AW20/AX20-1)/(AW19-AX19)*30</f>
        <v>-2.7316346897160337E-2</v>
      </c>
      <c r="AY28" s="54">
        <f>$AW20/AY20-1</f>
        <v>-1.2803294971551971E-2</v>
      </c>
      <c r="AZ28" s="54">
        <f>$AW20/AZ20-1</f>
        <v>8.6046411827864544E-2</v>
      </c>
      <c r="BA28" s="54">
        <f>$AW20/BA20-1</f>
        <v>1.0551199874424322E-2</v>
      </c>
      <c r="BB28" s="54">
        <f>+AQ48</f>
        <v>1.3271175925927933E-2</v>
      </c>
      <c r="BC28" s="55"/>
      <c r="BD28" s="42"/>
    </row>
    <row r="29" spans="1:56">
      <c r="A29" s="32"/>
      <c r="B29" s="35"/>
      <c r="C29" s="40"/>
      <c r="D29" s="34"/>
      <c r="E29" s="34"/>
      <c r="F29" s="34"/>
      <c r="P29" s="25">
        <v>1</v>
      </c>
      <c r="Q29" s="25">
        <v>2</v>
      </c>
      <c r="R29" s="25">
        <v>3</v>
      </c>
      <c r="S29" s="25">
        <v>4</v>
      </c>
      <c r="T29" s="25">
        <v>5</v>
      </c>
      <c r="U29" s="25">
        <v>6</v>
      </c>
      <c r="V29" s="25">
        <v>7</v>
      </c>
      <c r="W29" s="25">
        <v>8</v>
      </c>
      <c r="X29" s="25">
        <v>9</v>
      </c>
      <c r="Y29" s="25">
        <v>10</v>
      </c>
      <c r="Z29" s="25">
        <v>11</v>
      </c>
      <c r="AA29" s="25">
        <v>12</v>
      </c>
      <c r="AD29" s="29">
        <v>2016</v>
      </c>
      <c r="AE29" s="30"/>
      <c r="AF29" s="30"/>
      <c r="AG29" s="30"/>
      <c r="AH29" s="30"/>
      <c r="AI29" s="30"/>
      <c r="AJ29" s="30">
        <f t="shared" ref="AJ29:AP33" si="17">+U31</f>
        <v>5.2053662977973314E-3</v>
      </c>
      <c r="AK29" s="30">
        <f t="shared" si="17"/>
        <v>4.9107212986511072E-3</v>
      </c>
      <c r="AL29" s="30">
        <f t="shared" si="17"/>
        <v>1.1390799932744141E-2</v>
      </c>
      <c r="AM29" s="30">
        <f t="shared" si="17"/>
        <v>7.3592274475924313E-3</v>
      </c>
      <c r="AN29" s="30">
        <f t="shared" si="17"/>
        <v>-5.0992458748729211E-3</v>
      </c>
      <c r="AO29" s="30">
        <f t="shared" si="17"/>
        <v>-1.2544656875771887E-2</v>
      </c>
      <c r="AP29" s="30">
        <f t="shared" si="17"/>
        <v>1.6172986348822721E-2</v>
      </c>
      <c r="AQ29" s="31">
        <f>+K135/K129-1</f>
        <v>2.3023480239308336E-2</v>
      </c>
      <c r="AR29" s="24"/>
      <c r="AS29" s="24"/>
      <c r="AV29" s="79"/>
      <c r="AW29" s="51" t="s">
        <v>25</v>
      </c>
      <c r="AX29" s="54">
        <f>($AW21/AX21-1)/(AW19-AX19)*30</f>
        <v>-1.6194366553110684E-2</v>
      </c>
      <c r="AY29" s="54">
        <f>($AW21)/AY21-1</f>
        <v>1.2775560249660423E-3</v>
      </c>
      <c r="AZ29" s="54">
        <f>($AW21)/AZ21-1</f>
        <v>4.7420753650301295E-2</v>
      </c>
      <c r="BA29" s="54">
        <f>($AW21)/BA21-1</f>
        <v>-9.3904512011264707E-3</v>
      </c>
      <c r="BB29" s="54">
        <f>+AQ49</f>
        <v>2.4067433738025258E-2</v>
      </c>
      <c r="BC29" s="55"/>
      <c r="BD29" s="42"/>
    </row>
    <row r="30" spans="1:56">
      <c r="A30" s="32"/>
      <c r="B30" s="35"/>
      <c r="C30" s="40"/>
      <c r="D30" s="34"/>
      <c r="E30" s="34"/>
      <c r="F30" s="34"/>
      <c r="O30" s="47" t="s">
        <v>25</v>
      </c>
      <c r="P30" s="18" t="s">
        <v>11</v>
      </c>
      <c r="Q30" s="18" t="s">
        <v>12</v>
      </c>
      <c r="R30" s="18" t="s">
        <v>13</v>
      </c>
      <c r="S30" s="18" t="s">
        <v>14</v>
      </c>
      <c r="T30" s="18" t="s">
        <v>15</v>
      </c>
      <c r="U30" s="18" t="s">
        <v>16</v>
      </c>
      <c r="V30" s="18" t="s">
        <v>17</v>
      </c>
      <c r="W30" s="18" t="s">
        <v>18</v>
      </c>
      <c r="X30" s="18" t="s">
        <v>19</v>
      </c>
      <c r="Y30" s="18" t="s">
        <v>20</v>
      </c>
      <c r="Z30" s="18" t="s">
        <v>21</v>
      </c>
      <c r="AA30" s="18" t="s">
        <v>22</v>
      </c>
      <c r="AD30" s="36">
        <v>2017</v>
      </c>
      <c r="AE30" s="30">
        <f t="shared" ref="AE30:AI33" si="18">+P32</f>
        <v>5.2521351416826107E-3</v>
      </c>
      <c r="AF30" s="30">
        <f t="shared" si="18"/>
        <v>9.6938711507545336E-3</v>
      </c>
      <c r="AG30" s="30">
        <f t="shared" si="18"/>
        <v>1.9863412947858238E-3</v>
      </c>
      <c r="AH30" s="30">
        <f t="shared" si="18"/>
        <v>4.6868674225541973E-3</v>
      </c>
      <c r="AI30" s="30">
        <f t="shared" si="18"/>
        <v>-2.62180779643014E-3</v>
      </c>
      <c r="AJ30" s="30">
        <f t="shared" si="17"/>
        <v>-5.422324107946519E-4</v>
      </c>
      <c r="AK30" s="30">
        <f t="shared" si="17"/>
        <v>-3.4045908806503997E-3</v>
      </c>
      <c r="AL30" s="30">
        <f t="shared" si="17"/>
        <v>4.2301134733845735E-3</v>
      </c>
      <c r="AM30" s="30">
        <f t="shared" si="17"/>
        <v>-5.8631224889311717E-3</v>
      </c>
      <c r="AN30" s="30">
        <f t="shared" si="17"/>
        <v>-7.356909687541293E-3</v>
      </c>
      <c r="AO30" s="30">
        <f t="shared" si="17"/>
        <v>7.7627494626009153E-4</v>
      </c>
      <c r="AP30" s="30">
        <f t="shared" si="17"/>
        <v>7.6190643894861448E-3</v>
      </c>
      <c r="AQ30" s="38">
        <f>+K147/K135-1</f>
        <v>1.3930636348296499E-2</v>
      </c>
      <c r="AR30" s="41" t="s">
        <v>35</v>
      </c>
      <c r="AS30" s="24"/>
      <c r="AV30" s="56"/>
      <c r="AW30" s="51" t="s">
        <v>40</v>
      </c>
      <c r="AX30" s="54">
        <f>($AW22/AX22-1)/(AW19-AX19)*30</f>
        <v>-1.5812250477895695E-2</v>
      </c>
      <c r="AY30" s="54">
        <f>+AW22/AY22-1</f>
        <v>3.6055640008860745E-3</v>
      </c>
      <c r="AZ30" s="54">
        <f>+AW22/AZ22-1</f>
        <v>1.8416181625229733E-2</v>
      </c>
      <c r="BA30" s="54">
        <f>($AW22)/BA22-1</f>
        <v>-7.6901607856125764E-2</v>
      </c>
      <c r="BB30" s="54">
        <f>+AQ50</f>
        <v>-1.7352146321146268E-2</v>
      </c>
      <c r="BC30" s="56"/>
      <c r="BD30" s="42"/>
    </row>
    <row r="31" spans="1:56">
      <c r="A31" s="32"/>
      <c r="B31" s="35"/>
      <c r="C31" s="40"/>
      <c r="D31" s="34"/>
      <c r="E31" s="34"/>
      <c r="F31" s="34"/>
      <c r="O31" s="18">
        <v>2016</v>
      </c>
      <c r="P31" s="76"/>
      <c r="Q31" s="76"/>
      <c r="R31" s="76"/>
      <c r="S31" s="76"/>
      <c r="T31" s="76"/>
      <c r="U31" s="76">
        <f t="shared" ref="U31:AA35" si="19">LOOKUP(DATE($O31,U$29,U$28),$A$2:$A$2941,$L$2:$L$2941)</f>
        <v>5.2053662977973314E-3</v>
      </c>
      <c r="V31" s="76">
        <f t="shared" si="19"/>
        <v>4.9107212986511072E-3</v>
      </c>
      <c r="W31" s="76">
        <f t="shared" si="19"/>
        <v>1.1390799932744141E-2</v>
      </c>
      <c r="X31" s="76">
        <f t="shared" si="19"/>
        <v>7.3592274475924313E-3</v>
      </c>
      <c r="Y31" s="76">
        <f t="shared" si="19"/>
        <v>-5.0992458748729211E-3</v>
      </c>
      <c r="Z31" s="76">
        <f t="shared" si="19"/>
        <v>-1.2544656875771887E-2</v>
      </c>
      <c r="AA31" s="76">
        <f t="shared" si="19"/>
        <v>1.6172986348822721E-2</v>
      </c>
      <c r="AD31" s="29">
        <v>2018</v>
      </c>
      <c r="AE31" s="30">
        <f t="shared" si="18"/>
        <v>5.079332951298021E-3</v>
      </c>
      <c r="AF31" s="30">
        <f t="shared" si="18"/>
        <v>7.2026568120613678E-3</v>
      </c>
      <c r="AG31" s="30">
        <f t="shared" si="18"/>
        <v>2.3766230952053159E-3</v>
      </c>
      <c r="AH31" s="30">
        <f t="shared" si="18"/>
        <v>1.3542210349326567E-4</v>
      </c>
      <c r="AI31" s="30">
        <f t="shared" si="18"/>
        <v>5.809103494592311E-3</v>
      </c>
      <c r="AJ31" s="30">
        <f t="shared" si="17"/>
        <v>4.0386383561057393E-3</v>
      </c>
      <c r="AK31" s="30">
        <f t="shared" si="17"/>
        <v>3.6304490149156295E-3</v>
      </c>
      <c r="AL31" s="30">
        <f t="shared" si="17"/>
        <v>2.1640173653728503E-3</v>
      </c>
      <c r="AM31" s="30">
        <f t="shared" si="17"/>
        <v>4.0864997195644293E-4</v>
      </c>
      <c r="AN31" s="30">
        <f t="shared" si="17"/>
        <v>-4.6114787177257395E-3</v>
      </c>
      <c r="AO31" s="30">
        <f t="shared" si="17"/>
        <v>2.4986082983700086E-3</v>
      </c>
      <c r="AP31" s="30">
        <f t="shared" si="17"/>
        <v>3.0251095639208872E-3</v>
      </c>
      <c r="AQ31" s="31">
        <f>+K159/K147-1</f>
        <v>3.227498902547099E-2</v>
      </c>
      <c r="AR31" s="24"/>
      <c r="AS31" s="24"/>
      <c r="AV31" s="56"/>
      <c r="AW31" s="57"/>
      <c r="AX31" s="24"/>
      <c r="AY31" s="24"/>
      <c r="AZ31" s="24"/>
      <c r="BA31" s="24"/>
      <c r="BB31" s="24"/>
      <c r="BC31" s="56"/>
      <c r="BD31" s="42"/>
    </row>
    <row r="32" spans="1:56">
      <c r="A32" s="32"/>
      <c r="B32" s="35"/>
      <c r="C32" s="40"/>
      <c r="D32" s="34"/>
      <c r="E32" s="34"/>
      <c r="F32" s="34"/>
      <c r="O32" s="18">
        <v>2017</v>
      </c>
      <c r="P32" s="77">
        <f t="shared" ref="P32:T35" si="20">LOOKUP(DATE($O32,P$29,P$28),$A$2:$A$2941,$L$2:$L$2941)</f>
        <v>5.2521351416826107E-3</v>
      </c>
      <c r="Q32" s="77">
        <f t="shared" si="20"/>
        <v>9.6938711507545336E-3</v>
      </c>
      <c r="R32" s="77">
        <f t="shared" si="20"/>
        <v>1.9863412947858238E-3</v>
      </c>
      <c r="S32" s="77">
        <f t="shared" si="20"/>
        <v>4.6868674225541973E-3</v>
      </c>
      <c r="T32" s="77">
        <f t="shared" si="20"/>
        <v>-2.62180779643014E-3</v>
      </c>
      <c r="U32" s="77">
        <f t="shared" si="19"/>
        <v>-5.422324107946519E-4</v>
      </c>
      <c r="V32" s="77">
        <f t="shared" si="19"/>
        <v>-3.4045908806503997E-3</v>
      </c>
      <c r="W32" s="77">
        <f t="shared" si="19"/>
        <v>4.2301134733845735E-3</v>
      </c>
      <c r="X32" s="77">
        <f t="shared" si="19"/>
        <v>-5.8631224889311717E-3</v>
      </c>
      <c r="Y32" s="77">
        <f t="shared" si="19"/>
        <v>-7.356909687541293E-3</v>
      </c>
      <c r="Z32" s="77">
        <f t="shared" si="19"/>
        <v>7.7627494626009153E-4</v>
      </c>
      <c r="AA32" s="77">
        <f t="shared" si="19"/>
        <v>7.6190643894861448E-3</v>
      </c>
      <c r="AD32" s="36">
        <v>2019</v>
      </c>
      <c r="AE32" s="30">
        <f t="shared" si="18"/>
        <v>5.5019927109284557E-3</v>
      </c>
      <c r="AF32" s="30">
        <f t="shared" si="18"/>
        <v>1.5443982346837906E-3</v>
      </c>
      <c r="AG32" s="30">
        <f t="shared" si="18"/>
        <v>1.0543737881425701E-2</v>
      </c>
      <c r="AH32" s="30">
        <f t="shared" si="18"/>
        <v>7.9952754642602653E-3</v>
      </c>
      <c r="AI32" s="30">
        <f t="shared" si="18"/>
        <v>1.3057466607832633E-2</v>
      </c>
      <c r="AJ32" s="30">
        <f t="shared" si="17"/>
        <v>1.2866379994887822E-2</v>
      </c>
      <c r="AK32" s="30">
        <f t="shared" si="17"/>
        <v>1.6598930062201016E-2</v>
      </c>
      <c r="AL32" s="30">
        <f t="shared" si="17"/>
        <v>1.2167106442315237E-2</v>
      </c>
      <c r="AM32" s="30">
        <f t="shared" si="17"/>
        <v>1.706897390160611E-3</v>
      </c>
      <c r="AN32" s="30">
        <f t="shared" si="17"/>
        <v>-3.044211357434282E-2</v>
      </c>
      <c r="AO32" s="30">
        <f t="shared" si="17"/>
        <v>-2.363263674693572E-2</v>
      </c>
      <c r="AP32" s="30">
        <f t="shared" si="17"/>
        <v>2.3005858897643644E-2</v>
      </c>
      <c r="AQ32" s="38">
        <f>+(K171/K159-1)/COUNTA(AE32:AP32)*12</f>
        <v>5.2237367117716094E-2</v>
      </c>
      <c r="AR32" s="24"/>
      <c r="AS32" s="24"/>
      <c r="BD32" s="42"/>
    </row>
    <row r="33" spans="1:62">
      <c r="A33" s="32"/>
      <c r="B33" s="35"/>
      <c r="C33" s="40"/>
      <c r="D33" s="34"/>
      <c r="E33" s="34"/>
      <c r="F33" s="34"/>
      <c r="O33" s="18">
        <v>2018</v>
      </c>
      <c r="P33" s="77">
        <f t="shared" si="20"/>
        <v>5.079332951298021E-3</v>
      </c>
      <c r="Q33" s="77">
        <f t="shared" si="20"/>
        <v>7.2026568120613678E-3</v>
      </c>
      <c r="R33" s="77">
        <f t="shared" si="20"/>
        <v>2.3766230952053159E-3</v>
      </c>
      <c r="S33" s="77">
        <f t="shared" si="20"/>
        <v>1.3542210349326567E-4</v>
      </c>
      <c r="T33" s="77">
        <f t="shared" si="20"/>
        <v>5.809103494592311E-3</v>
      </c>
      <c r="U33" s="77">
        <f t="shared" si="19"/>
        <v>4.0386383561057393E-3</v>
      </c>
      <c r="V33" s="77">
        <f t="shared" si="19"/>
        <v>3.6304490149156295E-3</v>
      </c>
      <c r="W33" s="77">
        <f t="shared" si="19"/>
        <v>2.1640173653728503E-3</v>
      </c>
      <c r="X33" s="77">
        <f t="shared" si="19"/>
        <v>4.0864997195644293E-4</v>
      </c>
      <c r="Y33" s="77">
        <f t="shared" si="19"/>
        <v>-4.6114787177257395E-3</v>
      </c>
      <c r="Z33" s="77">
        <f t="shared" si="19"/>
        <v>2.4986082983700086E-3</v>
      </c>
      <c r="AA33" s="77">
        <f t="shared" si="19"/>
        <v>3.0251095639208872E-3</v>
      </c>
      <c r="AD33" s="36">
        <v>2020</v>
      </c>
      <c r="AE33" s="30">
        <f>+P35</f>
        <v>8.9420012429696979E-3</v>
      </c>
      <c r="AF33" s="30">
        <f>+Q35</f>
        <v>-1.6799492718604064E-2</v>
      </c>
      <c r="AG33" s="30">
        <f>+R35</f>
        <v>-1.5557113322043025E-2</v>
      </c>
      <c r="AH33" s="30">
        <f>+S35</f>
        <v>-1.6338333651152448E-2</v>
      </c>
      <c r="AI33" s="30">
        <f t="shared" si="18"/>
        <v>6.5800643500306608E-2</v>
      </c>
      <c r="AJ33" s="30">
        <f t="shared" si="17"/>
        <v>-4.2458292757947547E-3</v>
      </c>
      <c r="AK33" s="30">
        <f t="shared" si="17"/>
        <v>-3.6539584953401791E-3</v>
      </c>
      <c r="AL33" s="30">
        <f t="shared" ref="AL33" si="21">+W35</f>
        <v>2.091958466846507E-2</v>
      </c>
      <c r="AM33" s="30">
        <f t="shared" ref="AM33" si="22">+X35</f>
        <v>-1.6194366553110684E-2</v>
      </c>
      <c r="AN33" s="30"/>
      <c r="AO33" s="30"/>
      <c r="AP33" s="30"/>
      <c r="AQ33" s="38">
        <f>+(K178/K171-1)/COUNTA(AE33:AP33)*12</f>
        <v>2.4067433738025258E-2</v>
      </c>
      <c r="AR33" s="24"/>
      <c r="AS33" s="24"/>
    </row>
    <row r="34" spans="1:62">
      <c r="A34" s="32"/>
      <c r="B34" s="35"/>
      <c r="C34" s="40"/>
      <c r="D34" s="34"/>
      <c r="E34" s="34"/>
      <c r="F34" s="34"/>
      <c r="O34" s="18">
        <v>2019</v>
      </c>
      <c r="P34" s="76">
        <f t="shared" si="20"/>
        <v>5.5019927109284557E-3</v>
      </c>
      <c r="Q34" s="76">
        <f t="shared" si="20"/>
        <v>1.5443982346837906E-3</v>
      </c>
      <c r="R34" s="76">
        <f t="shared" si="20"/>
        <v>1.0543737881425701E-2</v>
      </c>
      <c r="S34" s="76">
        <f t="shared" si="20"/>
        <v>7.9952754642602653E-3</v>
      </c>
      <c r="T34" s="76">
        <f t="shared" si="20"/>
        <v>1.3057466607832633E-2</v>
      </c>
      <c r="U34" s="76">
        <f t="shared" si="19"/>
        <v>1.2866379994887822E-2</v>
      </c>
      <c r="V34" s="76">
        <f t="shared" si="19"/>
        <v>1.6598930062201016E-2</v>
      </c>
      <c r="W34" s="76">
        <f t="shared" si="19"/>
        <v>1.2167106442315237E-2</v>
      </c>
      <c r="X34" s="76">
        <f t="shared" si="19"/>
        <v>1.706897390160611E-3</v>
      </c>
      <c r="Y34" s="76">
        <f t="shared" si="19"/>
        <v>-3.044211357434282E-2</v>
      </c>
      <c r="Z34" s="76">
        <f t="shared" si="19"/>
        <v>-2.363263674693572E-2</v>
      </c>
      <c r="AA34" s="76">
        <f t="shared" si="19"/>
        <v>2.3005858897643644E-2</v>
      </c>
      <c r="AD34" s="41" t="s">
        <v>47</v>
      </c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</row>
    <row r="35" spans="1:62">
      <c r="A35" s="32"/>
      <c r="B35" s="35"/>
      <c r="C35" s="40"/>
      <c r="D35" s="34"/>
      <c r="E35" s="34"/>
      <c r="F35" s="34"/>
      <c r="O35" s="18">
        <v>2020</v>
      </c>
      <c r="P35" s="76">
        <f>LOOKUP(DATE($O35,P$29,P$28),$A$2:$A$2941,$L$2:$L$2941)</f>
        <v>8.9420012429696979E-3</v>
      </c>
      <c r="Q35" s="76">
        <f>LOOKUP(DATE($O35,Q$29,Q$28)+1,$A$2:$A$2941,$L$2:$L$2941)</f>
        <v>-1.6799492718604064E-2</v>
      </c>
      <c r="R35" s="76">
        <f>LOOKUP(DATE($O35,R$29,R$28),$A$2:$A$2941,$L$2:$L$2941)</f>
        <v>-1.5557113322043025E-2</v>
      </c>
      <c r="S35" s="76">
        <f t="shared" si="20"/>
        <v>-1.6338333651152448E-2</v>
      </c>
      <c r="T35" s="76">
        <f t="shared" si="20"/>
        <v>6.5800643500306608E-2</v>
      </c>
      <c r="U35" s="76">
        <f t="shared" si="19"/>
        <v>-4.2458292757947547E-3</v>
      </c>
      <c r="V35" s="76">
        <f t="shared" si="19"/>
        <v>-3.6539584953401791E-3</v>
      </c>
      <c r="W35" s="76">
        <f t="shared" si="19"/>
        <v>2.091958466846507E-2</v>
      </c>
      <c r="X35" s="76">
        <f t="shared" si="19"/>
        <v>-1.6194366553110684E-2</v>
      </c>
      <c r="AD35" s="41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</row>
    <row r="36" spans="1:62">
      <c r="A36" s="32"/>
      <c r="B36" s="35"/>
      <c r="C36" s="40"/>
      <c r="D36" s="34"/>
      <c r="E36" s="34"/>
      <c r="F36" s="34"/>
      <c r="AD36" s="41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</row>
    <row r="37" spans="1:62" ht="15" customHeight="1">
      <c r="A37" s="32"/>
      <c r="B37" s="35"/>
      <c r="C37" s="40"/>
      <c r="D37" s="34"/>
      <c r="E37" s="34"/>
      <c r="F37" s="34"/>
      <c r="AD37" s="41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</row>
    <row r="38" spans="1:62">
      <c r="A38" s="32"/>
      <c r="B38" s="35"/>
      <c r="C38" s="40"/>
      <c r="D38" s="34"/>
      <c r="E38" s="34"/>
      <c r="F38" s="34"/>
      <c r="AC38" s="58" t="s">
        <v>9</v>
      </c>
      <c r="AD38" s="59" t="s">
        <v>10</v>
      </c>
      <c r="AE38" s="59" t="s">
        <v>11</v>
      </c>
      <c r="AF38" s="59" t="s">
        <v>12</v>
      </c>
      <c r="AG38" s="59" t="s">
        <v>13</v>
      </c>
      <c r="AH38" s="59" t="s">
        <v>14</v>
      </c>
      <c r="AI38" s="59" t="s">
        <v>15</v>
      </c>
      <c r="AJ38" s="59" t="s">
        <v>16</v>
      </c>
      <c r="AK38" s="59" t="s">
        <v>17</v>
      </c>
      <c r="AL38" s="59" t="s">
        <v>18</v>
      </c>
      <c r="AM38" s="59" t="s">
        <v>19</v>
      </c>
      <c r="AN38" s="59" t="s">
        <v>20</v>
      </c>
      <c r="AO38" s="59" t="s">
        <v>21</v>
      </c>
      <c r="AP38" s="59" t="s">
        <v>22</v>
      </c>
      <c r="AQ38" s="59" t="s">
        <v>23</v>
      </c>
      <c r="AR38" s="24"/>
      <c r="AS38" s="24"/>
      <c r="BE38" s="53"/>
      <c r="BF38" s="53"/>
      <c r="BG38" s="53"/>
      <c r="BH38" s="53"/>
      <c r="BI38" s="53"/>
      <c r="BJ38" s="53"/>
    </row>
    <row r="39" spans="1:62" ht="15" customHeight="1">
      <c r="A39" s="32"/>
      <c r="B39" s="35"/>
      <c r="C39" s="40"/>
      <c r="D39" s="34"/>
      <c r="E39" s="34"/>
      <c r="F39" s="34"/>
      <c r="AC39" s="80">
        <v>2017</v>
      </c>
      <c r="AD39" s="70" t="s">
        <v>50</v>
      </c>
      <c r="AE39" s="71">
        <f t="shared" ref="AE39:AP39" si="23">+AE13</f>
        <v>6.2199732986325529E-3</v>
      </c>
      <c r="AF39" s="71">
        <f t="shared" si="23"/>
        <v>1.0802234630892915E-2</v>
      </c>
      <c r="AG39" s="71">
        <f t="shared" si="23"/>
        <v>7.7018231343977117E-3</v>
      </c>
      <c r="AH39" s="71">
        <f t="shared" si="23"/>
        <v>9.2504608198751281E-3</v>
      </c>
      <c r="AI39" s="71">
        <f t="shared" si="23"/>
        <v>-9.2066407046065279E-5</v>
      </c>
      <c r="AJ39" s="71">
        <f t="shared" si="23"/>
        <v>-2.2339693387876114E-3</v>
      </c>
      <c r="AK39" s="71">
        <f t="shared" si="23"/>
        <v>-2.6177383518409814E-3</v>
      </c>
      <c r="AL39" s="71">
        <f t="shared" si="23"/>
        <v>-1.3326516332056171E-3</v>
      </c>
      <c r="AM39" s="71">
        <f t="shared" si="23"/>
        <v>2.8054691789809461E-3</v>
      </c>
      <c r="AN39" s="71">
        <f t="shared" si="23"/>
        <v>-1.0192657443952924E-2</v>
      </c>
      <c r="AO39" s="71">
        <f t="shared" si="23"/>
        <v>-2.3340717431854507E-3</v>
      </c>
      <c r="AP39" s="71">
        <f t="shared" si="23"/>
        <v>8.5339041274135052E-3</v>
      </c>
      <c r="AQ39" s="72">
        <f>+AQ30</f>
        <v>1.3930636348296499E-2</v>
      </c>
      <c r="AR39" s="24"/>
      <c r="AS39" s="24"/>
      <c r="BE39" s="42"/>
      <c r="BF39" s="42"/>
      <c r="BG39" s="42"/>
      <c r="BH39" s="42"/>
      <c r="BI39" s="42"/>
      <c r="BJ39" s="63"/>
    </row>
    <row r="40" spans="1:62" ht="15" customHeight="1">
      <c r="A40" s="32"/>
      <c r="B40" s="35"/>
      <c r="C40" s="40"/>
      <c r="D40" s="34"/>
      <c r="E40" s="34"/>
      <c r="F40" s="34"/>
      <c r="AC40" s="80"/>
      <c r="AD40" s="70" t="s">
        <v>25</v>
      </c>
      <c r="AE40" s="71">
        <f t="shared" ref="AE40:AQ40" si="24">+AE30</f>
        <v>5.2521351416826107E-3</v>
      </c>
      <c r="AF40" s="71">
        <f t="shared" si="24"/>
        <v>9.6938711507545336E-3</v>
      </c>
      <c r="AG40" s="71">
        <f t="shared" si="24"/>
        <v>1.9863412947858238E-3</v>
      </c>
      <c r="AH40" s="71">
        <f t="shared" si="24"/>
        <v>4.6868674225541973E-3</v>
      </c>
      <c r="AI40" s="71">
        <f t="shared" si="24"/>
        <v>-2.62180779643014E-3</v>
      </c>
      <c r="AJ40" s="71">
        <f t="shared" si="24"/>
        <v>-5.422324107946519E-4</v>
      </c>
      <c r="AK40" s="71">
        <f t="shared" si="24"/>
        <v>-3.4045908806503997E-3</v>
      </c>
      <c r="AL40" s="71">
        <f t="shared" si="24"/>
        <v>4.2301134733845735E-3</v>
      </c>
      <c r="AM40" s="71">
        <f t="shared" si="24"/>
        <v>-5.8631224889311717E-3</v>
      </c>
      <c r="AN40" s="71">
        <f t="shared" si="24"/>
        <v>-7.356909687541293E-3</v>
      </c>
      <c r="AO40" s="71">
        <f t="shared" si="24"/>
        <v>7.7627494626009153E-4</v>
      </c>
      <c r="AP40" s="71">
        <f t="shared" si="24"/>
        <v>7.6190643894861448E-3</v>
      </c>
      <c r="AQ40" s="72">
        <f t="shared" si="24"/>
        <v>1.3930636348296499E-2</v>
      </c>
      <c r="AR40" s="24"/>
      <c r="AS40" s="24"/>
      <c r="BE40" s="42"/>
      <c r="BF40" s="42"/>
      <c r="BG40" s="42"/>
      <c r="BH40" s="42"/>
      <c r="BI40" s="42"/>
      <c r="BJ40" s="63"/>
    </row>
    <row r="41" spans="1:62" ht="15" customHeight="1">
      <c r="A41" s="32"/>
      <c r="B41" s="35"/>
      <c r="C41" s="40"/>
      <c r="D41" s="34"/>
      <c r="E41" s="34"/>
      <c r="F41" s="34"/>
      <c r="AC41" s="80"/>
      <c r="AD41" s="70" t="s">
        <v>40</v>
      </c>
      <c r="AE41" s="71">
        <f t="shared" ref="AE41:AQ41" si="25">+AE23</f>
        <v>6.5257122050038814E-3</v>
      </c>
      <c r="AF41" s="71">
        <f t="shared" si="25"/>
        <v>3.8465664335060206E-3</v>
      </c>
      <c r="AG41" s="71">
        <f t="shared" si="25"/>
        <v>3.0434963623816556E-3</v>
      </c>
      <c r="AH41" s="71">
        <f t="shared" si="25"/>
        <v>5.8760837370264163E-3</v>
      </c>
      <c r="AI41" s="71">
        <f t="shared" si="25"/>
        <v>-2.0592299603913646E-3</v>
      </c>
      <c r="AJ41" s="71">
        <f t="shared" si="25"/>
        <v>-3.1502906224916138E-3</v>
      </c>
      <c r="AK41" s="71">
        <f t="shared" si="25"/>
        <v>-2.5801548166549276E-3</v>
      </c>
      <c r="AL41" s="71">
        <f t="shared" si="25"/>
        <v>1.6676225335389471E-3</v>
      </c>
      <c r="AM41" s="71">
        <f t="shared" si="25"/>
        <v>-4.4170734211703699E-3</v>
      </c>
      <c r="AN41" s="71">
        <f t="shared" si="25"/>
        <v>-7.4660371304357022E-3</v>
      </c>
      <c r="AO41" s="71">
        <f t="shared" si="25"/>
        <v>3.2206123592313229E-3</v>
      </c>
      <c r="AP41" s="71">
        <f t="shared" si="25"/>
        <v>8.6864971816007358E-3</v>
      </c>
      <c r="AQ41" s="73">
        <f t="shared" si="25"/>
        <v>1.3135084722028623E-2</v>
      </c>
      <c r="AR41" s="24"/>
      <c r="AS41" s="24"/>
      <c r="BE41" s="42"/>
      <c r="BF41" s="42"/>
      <c r="BG41" s="42"/>
      <c r="BH41" s="42"/>
      <c r="BI41" s="42"/>
      <c r="BJ41" s="63"/>
    </row>
    <row r="42" spans="1:62">
      <c r="A42" s="32"/>
      <c r="B42" s="35"/>
      <c r="C42" s="40"/>
      <c r="D42" s="34"/>
      <c r="E42" s="34"/>
      <c r="F42" s="34"/>
      <c r="AC42" s="81">
        <v>2018</v>
      </c>
      <c r="AD42" s="61" t="s">
        <v>50</v>
      </c>
      <c r="AE42" s="62">
        <f t="shared" ref="AE42:AQ42" si="26">+AE14</f>
        <v>5.1906625124626959E-3</v>
      </c>
      <c r="AF42" s="62">
        <f t="shared" si="26"/>
        <v>2.1679242540260102E-3</v>
      </c>
      <c r="AG42" s="62">
        <f t="shared" si="26"/>
        <v>6.1177670049867849E-3</v>
      </c>
      <c r="AH42" s="62">
        <f t="shared" si="26"/>
        <v>1.1917833923306587E-2</v>
      </c>
      <c r="AI42" s="62">
        <f t="shared" si="26"/>
        <v>-2.5394681255650475E-3</v>
      </c>
      <c r="AJ42" s="62">
        <f t="shared" si="26"/>
        <v>5.3924484285174934E-3</v>
      </c>
      <c r="AK42" s="62">
        <f t="shared" si="26"/>
        <v>6.660295863793575E-3</v>
      </c>
      <c r="AL42" s="62">
        <f t="shared" si="26"/>
        <v>8.717309083698277E-3</v>
      </c>
      <c r="AM42" s="62">
        <f t="shared" si="26"/>
        <v>5.2505742708608416E-4</v>
      </c>
      <c r="AN42" s="62">
        <f t="shared" si="26"/>
        <v>-4.0548458852885938E-3</v>
      </c>
      <c r="AO42" s="62">
        <f t="shared" si="26"/>
        <v>7.3726974468788509E-3</v>
      </c>
      <c r="AP42" s="62">
        <f t="shared" si="26"/>
        <v>1.0395759388714287E-2</v>
      </c>
      <c r="AQ42" s="60">
        <f t="shared" si="26"/>
        <v>5.9282622742200308E-2</v>
      </c>
      <c r="AR42" s="24"/>
      <c r="AS42" s="24"/>
      <c r="BE42" s="42"/>
      <c r="BF42" s="42"/>
      <c r="BG42" s="42"/>
      <c r="BH42" s="42"/>
      <c r="BI42" s="42"/>
      <c r="BJ42" s="63"/>
    </row>
    <row r="43" spans="1:62">
      <c r="A43" s="32"/>
      <c r="B43" s="35"/>
      <c r="C43" s="40"/>
      <c r="D43" s="34"/>
      <c r="E43" s="34"/>
      <c r="F43" s="34"/>
      <c r="AC43" s="81"/>
      <c r="AD43" s="61" t="s">
        <v>25</v>
      </c>
      <c r="AE43" s="62">
        <f t="shared" ref="AE43:AQ43" si="27">+AE31</f>
        <v>5.079332951298021E-3</v>
      </c>
      <c r="AF43" s="62">
        <f t="shared" si="27"/>
        <v>7.2026568120613678E-3</v>
      </c>
      <c r="AG43" s="62">
        <f t="shared" si="27"/>
        <v>2.3766230952053159E-3</v>
      </c>
      <c r="AH43" s="62">
        <f t="shared" si="27"/>
        <v>1.3542210349326567E-4</v>
      </c>
      <c r="AI43" s="62">
        <f t="shared" si="27"/>
        <v>5.809103494592311E-3</v>
      </c>
      <c r="AJ43" s="62">
        <f t="shared" si="27"/>
        <v>4.0386383561057393E-3</v>
      </c>
      <c r="AK43" s="62">
        <f t="shared" si="27"/>
        <v>3.6304490149156295E-3</v>
      </c>
      <c r="AL43" s="62">
        <f t="shared" si="27"/>
        <v>2.1640173653728503E-3</v>
      </c>
      <c r="AM43" s="62">
        <f t="shared" si="27"/>
        <v>4.0864997195644293E-4</v>
      </c>
      <c r="AN43" s="62">
        <f t="shared" si="27"/>
        <v>-4.6114787177257395E-3</v>
      </c>
      <c r="AO43" s="62">
        <f t="shared" si="27"/>
        <v>2.4986082983700086E-3</v>
      </c>
      <c r="AP43" s="62">
        <f t="shared" si="27"/>
        <v>3.0251095639208872E-3</v>
      </c>
      <c r="AQ43" s="60">
        <f t="shared" si="27"/>
        <v>3.227498902547099E-2</v>
      </c>
      <c r="AR43" s="24"/>
      <c r="AS43" s="24"/>
      <c r="BE43" s="42"/>
      <c r="BF43" s="42"/>
      <c r="BG43" s="42"/>
      <c r="BH43" s="42"/>
      <c r="BI43" s="42"/>
      <c r="BJ43" s="63"/>
    </row>
    <row r="44" spans="1:62">
      <c r="A44" s="32"/>
      <c r="B44" s="35"/>
      <c r="C44" s="40"/>
      <c r="D44" s="34"/>
      <c r="E44" s="34"/>
      <c r="F44" s="34"/>
      <c r="AC44" s="81"/>
      <c r="AD44" s="61" t="s">
        <v>40</v>
      </c>
      <c r="AE44" s="62">
        <f t="shared" ref="AE44:AQ44" si="28">+AE24</f>
        <v>5.3018413298450671E-4</v>
      </c>
      <c r="AF44" s="62">
        <f t="shared" si="28"/>
        <v>3.2216699140258376E-3</v>
      </c>
      <c r="AG44" s="62">
        <f t="shared" si="28"/>
        <v>7.0721350338142485E-3</v>
      </c>
      <c r="AH44" s="62">
        <f t="shared" si="28"/>
        <v>3.8972134746342313E-3</v>
      </c>
      <c r="AI44" s="62">
        <f t="shared" si="28"/>
        <v>5.3276570783132539E-3</v>
      </c>
      <c r="AJ44" s="62">
        <f t="shared" si="28"/>
        <v>4.7334612129996678E-3</v>
      </c>
      <c r="AK44" s="62">
        <f t="shared" si="28"/>
        <v>3.4225975995723578E-3</v>
      </c>
      <c r="AL44" s="62">
        <f t="shared" si="28"/>
        <v>3.0642791395907309E-3</v>
      </c>
      <c r="AM44" s="62">
        <f t="shared" si="28"/>
        <v>1.578120230033786E-3</v>
      </c>
      <c r="AN44" s="62">
        <f t="shared" si="28"/>
        <v>1.126238791773634E-3</v>
      </c>
      <c r="AO44" s="62">
        <f t="shared" si="28"/>
        <v>3.1041203196626732E-3</v>
      </c>
      <c r="AP44" s="62">
        <f t="shared" si="28"/>
        <v>6.8518772104853021E-3</v>
      </c>
      <c r="AQ44" s="60">
        <f t="shared" si="28"/>
        <v>4.4953348392492209E-2</v>
      </c>
      <c r="AR44" s="24"/>
      <c r="AS44" s="24"/>
      <c r="BD44" s="42"/>
      <c r="BE44" s="42"/>
      <c r="BF44" s="42"/>
      <c r="BG44" s="42"/>
      <c r="BH44" s="42"/>
      <c r="BI44" s="42"/>
      <c r="BJ44" s="63"/>
    </row>
    <row r="45" spans="1:62" ht="15.75" customHeight="1">
      <c r="A45" s="32"/>
      <c r="B45" s="35"/>
      <c r="C45" s="40"/>
      <c r="D45" s="34"/>
      <c r="E45" s="34"/>
      <c r="F45" s="34"/>
      <c r="AC45" s="80">
        <v>2019</v>
      </c>
      <c r="AD45" s="70" t="s">
        <v>50</v>
      </c>
      <c r="AE45" s="71">
        <f t="shared" ref="AE45:AQ45" si="29">+AE15</f>
        <v>7.6396770391395918E-3</v>
      </c>
      <c r="AF45" s="71">
        <f t="shared" si="29"/>
        <v>7.1539416933130706E-3</v>
      </c>
      <c r="AG45" s="71">
        <f t="shared" si="29"/>
        <v>1.8803010642900686E-2</v>
      </c>
      <c r="AH45" s="71">
        <f t="shared" si="29"/>
        <v>8.5088568526330288E-3</v>
      </c>
      <c r="AI45" s="71">
        <f t="shared" si="29"/>
        <v>1.6412879534216218E-2</v>
      </c>
      <c r="AJ45" s="71">
        <f t="shared" si="29"/>
        <v>2.3458148470250961E-2</v>
      </c>
      <c r="AK45" s="71">
        <f t="shared" si="29"/>
        <v>2.9300956895612851E-2</v>
      </c>
      <c r="AL45" s="71">
        <f t="shared" si="29"/>
        <v>2.496099743689717E-2</v>
      </c>
      <c r="AM45" s="71">
        <f t="shared" si="29"/>
        <v>-3.0990935151475885E-4</v>
      </c>
      <c r="AN45" s="71">
        <f t="shared" si="29"/>
        <v>-3.2096970326422336E-2</v>
      </c>
      <c r="AO45" s="71">
        <f t="shared" si="29"/>
        <v>-2.1887945554695754E-2</v>
      </c>
      <c r="AP45" s="71">
        <f t="shared" si="29"/>
        <v>2.4075059849496316E-2</v>
      </c>
      <c r="AQ45" s="72">
        <f t="shared" si="29"/>
        <v>0.10912029999134765</v>
      </c>
      <c r="AR45" s="64"/>
      <c r="AS45" s="24"/>
      <c r="BD45" s="42"/>
      <c r="BE45" s="42"/>
      <c r="BF45" s="42"/>
      <c r="BG45" s="42"/>
      <c r="BH45" s="42"/>
      <c r="BI45" s="42"/>
      <c r="BJ45" s="63"/>
    </row>
    <row r="46" spans="1:62">
      <c r="A46" s="32"/>
      <c r="B46" s="35"/>
      <c r="C46" s="40"/>
      <c r="D46" s="34"/>
      <c r="E46" s="34"/>
      <c r="F46" s="34"/>
      <c r="AC46" s="80"/>
      <c r="AD46" s="70" t="s">
        <v>25</v>
      </c>
      <c r="AE46" s="71">
        <f t="shared" ref="AE46:AQ46" si="30">+AE32</f>
        <v>5.5019927109284557E-3</v>
      </c>
      <c r="AF46" s="71">
        <f t="shared" si="30"/>
        <v>1.5443982346837906E-3</v>
      </c>
      <c r="AG46" s="71">
        <f t="shared" si="30"/>
        <v>1.0543737881425701E-2</v>
      </c>
      <c r="AH46" s="71">
        <f t="shared" si="30"/>
        <v>7.9952754642602653E-3</v>
      </c>
      <c r="AI46" s="71">
        <f t="shared" si="30"/>
        <v>1.3057466607832633E-2</v>
      </c>
      <c r="AJ46" s="71">
        <f t="shared" si="30"/>
        <v>1.2866379994887822E-2</v>
      </c>
      <c r="AK46" s="71">
        <f t="shared" si="30"/>
        <v>1.6598930062201016E-2</v>
      </c>
      <c r="AL46" s="71">
        <f t="shared" si="30"/>
        <v>1.2167106442315237E-2</v>
      </c>
      <c r="AM46" s="71">
        <f t="shared" si="30"/>
        <v>1.706897390160611E-3</v>
      </c>
      <c r="AN46" s="71">
        <f t="shared" si="30"/>
        <v>-3.044211357434282E-2</v>
      </c>
      <c r="AO46" s="71">
        <f t="shared" si="30"/>
        <v>-2.363263674693572E-2</v>
      </c>
      <c r="AP46" s="71">
        <f t="shared" si="30"/>
        <v>2.3005858897643644E-2</v>
      </c>
      <c r="AQ46" s="72">
        <f t="shared" si="30"/>
        <v>5.2237367117716094E-2</v>
      </c>
      <c r="AR46" s="24"/>
      <c r="AS46" s="56"/>
      <c r="BD46" s="42"/>
      <c r="BE46" s="42"/>
      <c r="BF46" s="42"/>
      <c r="BG46" s="42"/>
      <c r="BH46" s="42"/>
      <c r="BI46" s="42"/>
      <c r="BJ46" s="63"/>
    </row>
    <row r="47" spans="1:62">
      <c r="A47" s="32"/>
      <c r="B47" s="35"/>
      <c r="C47" s="40"/>
      <c r="D47" s="34"/>
      <c r="E47" s="34"/>
      <c r="F47" s="34"/>
      <c r="AC47" s="80"/>
      <c r="AD47" s="70" t="s">
        <v>40</v>
      </c>
      <c r="AE47" s="71">
        <f t="shared" ref="AE47:AQ47" si="31">+AE25</f>
        <v>1.0302520170571159E-4</v>
      </c>
      <c r="AF47" s="71">
        <f t="shared" si="31"/>
        <v>8.3045272647146778E-5</v>
      </c>
      <c r="AG47" s="71">
        <f t="shared" si="31"/>
        <v>5.5188162966177392E-3</v>
      </c>
      <c r="AH47" s="71">
        <f t="shared" si="31"/>
        <v>1.0793463028082595E-3</v>
      </c>
      <c r="AI47" s="71">
        <f t="shared" si="31"/>
        <v>8.8951855838152166E-3</v>
      </c>
      <c r="AJ47" s="71">
        <f t="shared" si="31"/>
        <v>1.2191522793755016E-2</v>
      </c>
      <c r="AK47" s="71">
        <f t="shared" si="31"/>
        <v>1.0613623158547306E-2</v>
      </c>
      <c r="AL47" s="71">
        <f t="shared" si="31"/>
        <v>6.4515317571591001E-3</v>
      </c>
      <c r="AM47" s="71">
        <f t="shared" si="31"/>
        <v>2.2406724323575933E-3</v>
      </c>
      <c r="AN47" s="71">
        <f t="shared" si="31"/>
        <v>-8.3904528574397404E-3</v>
      </c>
      <c r="AO47" s="71">
        <f t="shared" si="31"/>
        <v>-6.3265421878101136E-2</v>
      </c>
      <c r="AP47" s="71">
        <f t="shared" si="31"/>
        <v>3.1138444362691173E-3</v>
      </c>
      <c r="AQ47" s="73">
        <f t="shared" si="31"/>
        <v>-2.2584688175071421E-2</v>
      </c>
      <c r="AR47" s="24"/>
      <c r="AS47" s="56"/>
      <c r="BD47" s="42"/>
      <c r="BE47" s="42"/>
      <c r="BF47" s="42"/>
      <c r="BG47" s="42"/>
      <c r="BH47" s="42"/>
      <c r="BI47" s="42"/>
      <c r="BJ47" s="63"/>
    </row>
    <row r="48" spans="1:62">
      <c r="A48" s="32"/>
      <c r="B48" s="35"/>
      <c r="C48" s="40"/>
      <c r="D48" s="34"/>
      <c r="E48" s="34"/>
      <c r="F48" s="34"/>
      <c r="AC48" s="80">
        <v>2019</v>
      </c>
      <c r="AD48" s="70" t="s">
        <v>50</v>
      </c>
      <c r="AE48" s="71">
        <f>+AE16</f>
        <v>7.8812654741735599E-3</v>
      </c>
      <c r="AF48" s="71">
        <f>+AF16</f>
        <v>-2.5764238905456205E-2</v>
      </c>
      <c r="AG48" s="71">
        <f>+AG16</f>
        <v>-2.2573189920314207E-2</v>
      </c>
      <c r="AH48" s="71">
        <f>+AH16</f>
        <v>5.230986288865469E-2</v>
      </c>
      <c r="AI48" s="71">
        <f t="shared" ref="AI48:AK48" si="32">+AI16</f>
        <v>4.2079739485137768E-2</v>
      </c>
      <c r="AJ48" s="71">
        <f t="shared" si="32"/>
        <v>3.2290395332756905E-3</v>
      </c>
      <c r="AK48" s="71">
        <f t="shared" si="32"/>
        <v>-5.818928369456744E-3</v>
      </c>
      <c r="AL48" s="71">
        <f t="shared" ref="AL48:AM48" si="33">+AL16</f>
        <v>2.086094572171926E-2</v>
      </c>
      <c r="AM48" s="71">
        <f t="shared" si="33"/>
        <v>-2.7316346897160337E-2</v>
      </c>
      <c r="AN48" s="71"/>
      <c r="AO48" s="71"/>
      <c r="AP48" s="71"/>
      <c r="AQ48" s="72">
        <f>+AQ16</f>
        <v>1.3271175925927933E-2</v>
      </c>
      <c r="AR48" s="24"/>
      <c r="AS48" s="56"/>
      <c r="BD48" s="42"/>
      <c r="BE48" s="42"/>
      <c r="BF48" s="42"/>
      <c r="BG48" s="42"/>
      <c r="BH48" s="42"/>
      <c r="BI48" s="42"/>
      <c r="BJ48" s="63"/>
    </row>
    <row r="49" spans="1:63">
      <c r="A49" s="32"/>
      <c r="B49" s="35"/>
      <c r="C49" s="40"/>
      <c r="D49" s="34"/>
      <c r="E49" s="34"/>
      <c r="F49" s="34"/>
      <c r="AC49" s="80"/>
      <c r="AD49" s="70" t="s">
        <v>25</v>
      </c>
      <c r="AE49" s="71">
        <f>+AE33</f>
        <v>8.9420012429696979E-3</v>
      </c>
      <c r="AF49" s="71">
        <f>+AF33</f>
        <v>-1.6799492718604064E-2</v>
      </c>
      <c r="AG49" s="71">
        <f>+AG33</f>
        <v>-1.5557113322043025E-2</v>
      </c>
      <c r="AH49" s="71">
        <f>+AH33</f>
        <v>-1.6338333651152448E-2</v>
      </c>
      <c r="AI49" s="71">
        <f t="shared" ref="AI49:AK49" si="34">+AI33</f>
        <v>6.5800643500306608E-2</v>
      </c>
      <c r="AJ49" s="71">
        <f t="shared" si="34"/>
        <v>-4.2458292757947547E-3</v>
      </c>
      <c r="AK49" s="71">
        <f t="shared" si="34"/>
        <v>-3.6539584953401791E-3</v>
      </c>
      <c r="AL49" s="71">
        <f t="shared" ref="AL49:AM49" si="35">+AL33</f>
        <v>2.091958466846507E-2</v>
      </c>
      <c r="AM49" s="71">
        <f t="shared" si="35"/>
        <v>-1.6194366553110684E-2</v>
      </c>
      <c r="AN49" s="71"/>
      <c r="AO49" s="71"/>
      <c r="AP49" s="71"/>
      <c r="AQ49" s="72">
        <f>+AQ33</f>
        <v>2.4067433738025258E-2</v>
      </c>
      <c r="AR49" s="64"/>
      <c r="AS49" s="56"/>
      <c r="BD49" s="42"/>
      <c r="BE49" s="42"/>
      <c r="BF49" s="42"/>
      <c r="BG49" s="42"/>
      <c r="BH49" s="42"/>
      <c r="BI49" s="42"/>
      <c r="BJ49" s="63"/>
      <c r="BK49" s="67"/>
    </row>
    <row r="50" spans="1:63">
      <c r="A50" s="32"/>
      <c r="B50" s="35"/>
      <c r="C50" s="40"/>
      <c r="D50" s="34"/>
      <c r="E50" s="34"/>
      <c r="F50" s="34"/>
      <c r="AC50" s="80"/>
      <c r="AD50" s="70" t="s">
        <v>40</v>
      </c>
      <c r="AE50" s="71">
        <f>+AE26</f>
        <v>-4.6246205891978696E-3</v>
      </c>
      <c r="AF50" s="71">
        <f>+AF26</f>
        <v>-2.0618083149878997E-2</v>
      </c>
      <c r="AG50" s="71">
        <f>+AG26</f>
        <v>-2.41150302124664E-3</v>
      </c>
      <c r="AH50" s="71">
        <f>+AH26</f>
        <v>8.9334575062887112E-3</v>
      </c>
      <c r="AI50" s="71">
        <f t="shared" ref="AI50:AK50" si="36">+AI26</f>
        <v>5.9267147701184018E-3</v>
      </c>
      <c r="AJ50" s="71">
        <f t="shared" si="36"/>
        <v>-3.4974600059689553E-4</v>
      </c>
      <c r="AK50" s="71">
        <f t="shared" si="36"/>
        <v>-3.2102000843624258E-4</v>
      </c>
      <c r="AL50" s="71">
        <f t="shared" ref="AL50:AM50" si="37">+AL26</f>
        <v>1.9420804364672174E-2</v>
      </c>
      <c r="AM50" s="71">
        <f t="shared" si="37"/>
        <v>-1.5812250477895695E-2</v>
      </c>
      <c r="AN50" s="71"/>
      <c r="AO50" s="71"/>
      <c r="AP50" s="71"/>
      <c r="AQ50" s="73">
        <f>+AQ26</f>
        <v>-1.7352146321146268E-2</v>
      </c>
      <c r="AR50" s="64"/>
      <c r="AS50" s="24"/>
      <c r="BD50" s="42"/>
      <c r="BE50" s="42"/>
      <c r="BF50" s="42"/>
      <c r="BG50" s="42"/>
      <c r="BH50" s="42"/>
      <c r="BI50" s="42"/>
      <c r="BJ50" s="63"/>
      <c r="BK50" s="67"/>
    </row>
    <row r="51" spans="1:63">
      <c r="A51" s="32"/>
      <c r="B51" s="35"/>
      <c r="C51" s="40"/>
      <c r="D51" s="34"/>
      <c r="E51" s="34"/>
      <c r="F51" s="34"/>
      <c r="AC51" s="41" t="s">
        <v>47</v>
      </c>
      <c r="AD51" s="65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4" t="s">
        <v>35</v>
      </c>
      <c r="AS51" s="24"/>
    </row>
    <row r="52" spans="1:63">
      <c r="A52" s="32"/>
      <c r="B52" s="35"/>
      <c r="C52" s="40"/>
      <c r="D52" s="34"/>
      <c r="E52" s="34"/>
      <c r="F52" s="34"/>
      <c r="AR52" s="64"/>
    </row>
    <row r="53" spans="1:63">
      <c r="A53" s="32"/>
      <c r="B53" s="35"/>
      <c r="C53" s="40"/>
      <c r="D53" s="34"/>
      <c r="E53" s="34"/>
      <c r="F53" s="34"/>
      <c r="AR53" s="24"/>
    </row>
    <row r="54" spans="1:63">
      <c r="A54" s="32"/>
      <c r="B54" s="35"/>
      <c r="C54" s="40"/>
      <c r="D54" s="34"/>
      <c r="E54" s="34"/>
      <c r="F54" s="34"/>
      <c r="AR54" s="24"/>
    </row>
    <row r="55" spans="1:63">
      <c r="A55" s="32"/>
      <c r="B55" s="35"/>
      <c r="C55" s="40"/>
      <c r="D55" s="34"/>
      <c r="E55" s="34"/>
      <c r="F55" s="34"/>
    </row>
    <row r="56" spans="1:63">
      <c r="A56" s="32"/>
      <c r="B56" s="35"/>
      <c r="C56" s="40"/>
      <c r="D56" s="34"/>
      <c r="E56" s="34"/>
      <c r="F56" s="34"/>
    </row>
    <row r="57" spans="1:63">
      <c r="A57" s="32"/>
      <c r="B57" s="35"/>
      <c r="C57" s="40"/>
      <c r="D57" s="34"/>
      <c r="E57" s="34"/>
      <c r="F57" s="34"/>
    </row>
    <row r="58" spans="1:63">
      <c r="A58" s="32"/>
      <c r="B58" s="35"/>
      <c r="C58" s="40"/>
      <c r="D58" s="34"/>
      <c r="E58" s="34"/>
      <c r="F58" s="34"/>
    </row>
    <row r="59" spans="1:63">
      <c r="A59" s="32"/>
      <c r="B59" s="35"/>
      <c r="C59" s="40"/>
      <c r="D59" s="34"/>
      <c r="E59" s="34"/>
      <c r="F59" s="34"/>
    </row>
    <row r="60" spans="1:63">
      <c r="A60" s="32"/>
      <c r="B60" s="35"/>
      <c r="C60" s="40"/>
      <c r="D60" s="34"/>
      <c r="E60" s="34"/>
      <c r="F60" s="34"/>
    </row>
    <row r="61" spans="1:63">
      <c r="A61" s="32"/>
      <c r="B61" s="35"/>
      <c r="C61" s="40"/>
      <c r="D61" s="34"/>
      <c r="E61" s="34"/>
      <c r="F61" s="34"/>
    </row>
    <row r="62" spans="1:63">
      <c r="A62" s="32"/>
      <c r="B62" s="35"/>
      <c r="C62" s="40"/>
      <c r="D62" s="34"/>
      <c r="E62" s="34"/>
      <c r="F62" s="34"/>
    </row>
    <row r="63" spans="1:63">
      <c r="A63" s="32"/>
      <c r="B63" s="35"/>
      <c r="C63" s="40"/>
      <c r="D63" s="34"/>
      <c r="E63" s="34"/>
      <c r="F63" s="34"/>
    </row>
    <row r="64" spans="1:63">
      <c r="A64" s="32"/>
      <c r="B64" s="35"/>
      <c r="C64" s="40"/>
      <c r="D64" s="34"/>
      <c r="E64" s="34"/>
      <c r="F64" s="34"/>
    </row>
    <row r="65" spans="1:45" s="19" customFormat="1">
      <c r="A65" s="32"/>
      <c r="B65" s="35"/>
      <c r="C65" s="40"/>
      <c r="D65" s="34"/>
      <c r="E65" s="34"/>
      <c r="F65" s="34"/>
      <c r="I65" s="20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</row>
    <row r="66" spans="1:45" s="19" customFormat="1">
      <c r="A66" s="32"/>
      <c r="B66" s="35"/>
      <c r="C66" s="40"/>
      <c r="D66" s="34"/>
      <c r="E66" s="34"/>
      <c r="F66" s="34"/>
      <c r="I66" s="20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</row>
    <row r="67" spans="1:45" s="19" customFormat="1">
      <c r="A67" s="32"/>
      <c r="B67" s="35"/>
      <c r="C67" s="40"/>
      <c r="D67" s="34"/>
      <c r="E67" s="34"/>
      <c r="F67" s="34"/>
      <c r="I67" s="20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R67" s="18"/>
    </row>
    <row r="68" spans="1:45" s="19" customFormat="1">
      <c r="A68" s="32"/>
      <c r="B68" s="35"/>
      <c r="C68" s="40"/>
      <c r="D68" s="34"/>
      <c r="E68" s="34"/>
      <c r="F68" s="34"/>
      <c r="I68" s="20"/>
    </row>
    <row r="69" spans="1:45" s="19" customFormat="1">
      <c r="A69" s="32"/>
      <c r="B69" s="35"/>
      <c r="C69" s="40"/>
      <c r="D69" s="34"/>
      <c r="E69" s="34"/>
      <c r="F69" s="34"/>
      <c r="I69" s="20"/>
    </row>
    <row r="70" spans="1:45" s="19" customFormat="1">
      <c r="A70" s="32"/>
      <c r="B70" s="35"/>
      <c r="C70" s="40"/>
      <c r="D70" s="34"/>
      <c r="E70" s="34"/>
      <c r="F70" s="34"/>
      <c r="I70" s="20"/>
    </row>
    <row r="71" spans="1:45" s="19" customFormat="1">
      <c r="A71" s="32"/>
      <c r="B71" s="35"/>
      <c r="C71" s="40"/>
      <c r="D71" s="34"/>
      <c r="E71" s="34"/>
      <c r="F71" s="34"/>
      <c r="I71" s="20"/>
    </row>
    <row r="72" spans="1:45" s="19" customFormat="1">
      <c r="A72" s="32"/>
      <c r="B72" s="35"/>
      <c r="C72" s="40"/>
      <c r="D72" s="34"/>
      <c r="E72" s="34"/>
      <c r="F72" s="34"/>
      <c r="I72" s="20"/>
    </row>
    <row r="73" spans="1:45" s="19" customFormat="1">
      <c r="A73" s="32"/>
      <c r="B73" s="35"/>
      <c r="C73" s="40"/>
      <c r="D73" s="34"/>
      <c r="E73" s="34"/>
      <c r="F73" s="34"/>
      <c r="I73" s="20"/>
    </row>
    <row r="74" spans="1:45" s="19" customFormat="1">
      <c r="A74" s="32"/>
      <c r="B74" s="35"/>
      <c r="C74" s="40"/>
      <c r="D74" s="34"/>
      <c r="E74" s="34"/>
      <c r="F74" s="34"/>
      <c r="I74" s="20"/>
    </row>
    <row r="75" spans="1:45" s="19" customFormat="1">
      <c r="A75" s="32"/>
      <c r="B75" s="35"/>
      <c r="C75" s="40"/>
      <c r="D75" s="34"/>
      <c r="E75" s="34"/>
      <c r="F75" s="34"/>
      <c r="I75" s="20"/>
    </row>
    <row r="76" spans="1:45" s="19" customFormat="1">
      <c r="A76" s="32"/>
      <c r="B76" s="35"/>
      <c r="C76" s="40"/>
      <c r="D76" s="34"/>
      <c r="E76" s="34"/>
      <c r="F76" s="34"/>
      <c r="I76" s="20"/>
    </row>
    <row r="77" spans="1:45" s="19" customFormat="1">
      <c r="A77" s="32"/>
      <c r="B77" s="35"/>
      <c r="C77" s="40"/>
      <c r="D77" s="34"/>
      <c r="E77" s="34"/>
      <c r="F77" s="34"/>
      <c r="I77" s="20"/>
    </row>
    <row r="78" spans="1:45" s="19" customFormat="1">
      <c r="A78" s="32"/>
      <c r="B78" s="35"/>
      <c r="C78" s="40"/>
      <c r="D78" s="34"/>
      <c r="E78" s="34"/>
      <c r="F78" s="34"/>
      <c r="I78" s="20"/>
    </row>
    <row r="79" spans="1:45" s="19" customFormat="1">
      <c r="A79" s="32"/>
      <c r="B79" s="35"/>
      <c r="C79" s="40"/>
      <c r="D79" s="34"/>
      <c r="E79" s="34"/>
      <c r="F79" s="34"/>
      <c r="I79" s="20"/>
    </row>
    <row r="80" spans="1:45" s="19" customFormat="1">
      <c r="A80" s="32"/>
      <c r="B80" s="35"/>
      <c r="C80" s="40"/>
      <c r="D80" s="34"/>
      <c r="E80" s="34"/>
      <c r="F80" s="34"/>
      <c r="I80" s="20"/>
    </row>
    <row r="81" spans="1:9" s="19" customFormat="1">
      <c r="A81" s="32"/>
      <c r="B81" s="35"/>
      <c r="C81" s="40"/>
      <c r="D81" s="34"/>
      <c r="E81" s="34"/>
      <c r="F81" s="34"/>
      <c r="I81" s="20"/>
    </row>
    <row r="82" spans="1:9" s="19" customFormat="1">
      <c r="A82" s="32"/>
      <c r="B82" s="35"/>
      <c r="C82" s="40"/>
      <c r="D82" s="34"/>
      <c r="E82" s="34"/>
      <c r="F82" s="34"/>
      <c r="I82" s="20"/>
    </row>
    <row r="83" spans="1:9" s="19" customFormat="1">
      <c r="A83" s="32"/>
      <c r="B83" s="35"/>
      <c r="C83" s="40"/>
      <c r="D83" s="34"/>
      <c r="E83" s="34"/>
      <c r="F83" s="34"/>
      <c r="I83" s="20"/>
    </row>
    <row r="84" spans="1:9" s="19" customFormat="1">
      <c r="A84" s="32"/>
      <c r="B84" s="35"/>
      <c r="C84" s="40"/>
      <c r="D84" s="34"/>
      <c r="E84" s="34"/>
      <c r="F84" s="34"/>
      <c r="I84" s="20"/>
    </row>
    <row r="85" spans="1:9" s="19" customFormat="1">
      <c r="A85" s="32"/>
      <c r="B85" s="35"/>
      <c r="C85" s="40"/>
      <c r="D85" s="34"/>
      <c r="E85" s="34"/>
      <c r="F85" s="34"/>
      <c r="I85" s="20"/>
    </row>
    <row r="86" spans="1:9" s="19" customFormat="1">
      <c r="A86" s="32"/>
      <c r="B86" s="35"/>
      <c r="C86" s="40"/>
      <c r="D86" s="34"/>
      <c r="E86" s="34"/>
      <c r="F86" s="34"/>
      <c r="I86" s="20"/>
    </row>
    <row r="87" spans="1:9" s="19" customFormat="1">
      <c r="A87" s="32"/>
      <c r="B87" s="35"/>
      <c r="C87" s="40"/>
      <c r="D87" s="34"/>
      <c r="E87" s="34"/>
      <c r="F87" s="34"/>
      <c r="I87" s="20"/>
    </row>
    <row r="88" spans="1:9" s="19" customFormat="1">
      <c r="A88" s="32"/>
      <c r="B88" s="35"/>
      <c r="C88" s="40"/>
      <c r="D88" s="34"/>
      <c r="E88" s="34"/>
      <c r="F88" s="34"/>
      <c r="I88" s="20"/>
    </row>
    <row r="89" spans="1:9" s="19" customFormat="1">
      <c r="A89" s="32"/>
      <c r="B89" s="35"/>
      <c r="C89" s="40"/>
      <c r="D89" s="34"/>
      <c r="E89" s="34"/>
      <c r="F89" s="34"/>
      <c r="I89" s="20"/>
    </row>
    <row r="90" spans="1:9" s="19" customFormat="1">
      <c r="A90" s="32"/>
      <c r="B90" s="35"/>
      <c r="C90" s="40"/>
      <c r="D90" s="34"/>
      <c r="E90" s="34"/>
      <c r="F90" s="34"/>
      <c r="I90" s="20"/>
    </row>
    <row r="91" spans="1:9" s="19" customFormat="1">
      <c r="A91" s="32"/>
      <c r="B91" s="35"/>
      <c r="C91" s="40"/>
      <c r="D91" s="34"/>
      <c r="E91" s="34"/>
      <c r="F91" s="34"/>
      <c r="I91" s="20"/>
    </row>
    <row r="92" spans="1:9" s="19" customFormat="1">
      <c r="A92" s="32"/>
      <c r="B92" s="35"/>
      <c r="C92" s="40"/>
      <c r="D92" s="34"/>
      <c r="E92" s="34"/>
      <c r="F92" s="34"/>
      <c r="I92" s="20"/>
    </row>
    <row r="93" spans="1:9" s="19" customFormat="1">
      <c r="A93" s="32"/>
      <c r="B93" s="35"/>
      <c r="C93" s="40"/>
      <c r="D93" s="34"/>
      <c r="E93" s="34"/>
      <c r="F93" s="34"/>
      <c r="I93" s="20"/>
    </row>
    <row r="94" spans="1:9" s="19" customFormat="1">
      <c r="A94" s="32"/>
      <c r="B94" s="35"/>
      <c r="C94" s="40"/>
      <c r="D94" s="34"/>
      <c r="E94" s="34"/>
      <c r="F94" s="34"/>
      <c r="I94" s="20"/>
    </row>
    <row r="95" spans="1:9" s="19" customFormat="1">
      <c r="A95" s="32"/>
      <c r="B95" s="35"/>
      <c r="C95" s="40"/>
      <c r="D95" s="34"/>
      <c r="E95" s="34"/>
      <c r="F95" s="34"/>
      <c r="I95" s="20"/>
    </row>
    <row r="96" spans="1:9" s="19" customFormat="1">
      <c r="A96" s="32"/>
      <c r="B96" s="35"/>
      <c r="C96" s="40"/>
      <c r="D96" s="34"/>
      <c r="E96" s="34"/>
      <c r="F96" s="34"/>
      <c r="I96" s="20"/>
    </row>
    <row r="97" spans="1:9" s="19" customFormat="1">
      <c r="A97" s="32"/>
      <c r="B97" s="35"/>
      <c r="C97" s="40"/>
      <c r="D97" s="34"/>
      <c r="E97" s="34"/>
      <c r="F97" s="34"/>
      <c r="I97" s="20"/>
    </row>
    <row r="98" spans="1:9" s="19" customFormat="1">
      <c r="A98" s="32"/>
      <c r="B98" s="35"/>
      <c r="C98" s="40"/>
      <c r="D98" s="34"/>
      <c r="E98" s="34"/>
      <c r="F98" s="34"/>
      <c r="I98" s="20"/>
    </row>
    <row r="99" spans="1:9" s="19" customFormat="1">
      <c r="A99" s="32"/>
      <c r="B99" s="35"/>
      <c r="C99" s="40"/>
      <c r="D99" s="34"/>
      <c r="E99" s="34"/>
      <c r="F99" s="34"/>
      <c r="I99" s="20"/>
    </row>
    <row r="100" spans="1:9" s="19" customFormat="1">
      <c r="A100" s="32"/>
      <c r="B100" s="35"/>
      <c r="C100" s="40"/>
      <c r="D100" s="34"/>
      <c r="E100" s="34"/>
      <c r="F100" s="34"/>
      <c r="I100" s="20"/>
    </row>
    <row r="101" spans="1:9" s="19" customFormat="1">
      <c r="A101" s="32"/>
      <c r="B101" s="35"/>
      <c r="C101" s="40"/>
      <c r="D101" s="34"/>
      <c r="E101" s="34"/>
      <c r="F101" s="34"/>
      <c r="I101" s="20"/>
    </row>
    <row r="102" spans="1:9" s="19" customFormat="1">
      <c r="A102" s="32"/>
      <c r="B102" s="35"/>
      <c r="C102" s="40"/>
      <c r="D102" s="34"/>
      <c r="E102" s="34"/>
      <c r="F102" s="34"/>
      <c r="I102" s="20"/>
    </row>
    <row r="103" spans="1:9" s="19" customFormat="1">
      <c r="A103" s="32"/>
      <c r="B103" s="35"/>
      <c r="C103" s="40"/>
      <c r="D103" s="34"/>
      <c r="E103" s="34"/>
      <c r="F103" s="34"/>
      <c r="I103" s="20"/>
    </row>
    <row r="104" spans="1:9" s="19" customFormat="1">
      <c r="A104" s="32"/>
      <c r="B104" s="35"/>
      <c r="C104" s="40"/>
      <c r="D104" s="34"/>
      <c r="E104" s="34"/>
      <c r="F104" s="34"/>
      <c r="I104" s="20"/>
    </row>
    <row r="105" spans="1:9" s="19" customFormat="1">
      <c r="A105" s="32"/>
      <c r="B105" s="35"/>
      <c r="C105" s="40"/>
      <c r="D105" s="34"/>
      <c r="E105" s="34"/>
      <c r="F105" s="34"/>
      <c r="I105" s="20"/>
    </row>
    <row r="106" spans="1:9" s="19" customFormat="1">
      <c r="A106" s="32"/>
      <c r="B106" s="35"/>
      <c r="C106" s="40"/>
      <c r="D106" s="34"/>
      <c r="E106" s="34"/>
      <c r="F106" s="34"/>
      <c r="I106" s="20"/>
    </row>
    <row r="107" spans="1:9" s="19" customFormat="1">
      <c r="A107" s="32"/>
      <c r="B107" s="35"/>
      <c r="C107" s="40"/>
      <c r="D107" s="34"/>
      <c r="E107" s="34"/>
      <c r="F107" s="34"/>
      <c r="I107" s="20"/>
    </row>
    <row r="108" spans="1:9" s="19" customFormat="1">
      <c r="A108" s="32"/>
      <c r="B108" s="35"/>
      <c r="C108" s="40"/>
      <c r="D108" s="34"/>
      <c r="E108" s="34"/>
      <c r="F108" s="34"/>
      <c r="I108" s="20"/>
    </row>
    <row r="109" spans="1:9" s="19" customFormat="1">
      <c r="A109" s="32"/>
      <c r="B109" s="35"/>
      <c r="C109" s="40"/>
      <c r="D109" s="34"/>
      <c r="E109" s="34"/>
      <c r="F109" s="34"/>
      <c r="I109" s="20"/>
    </row>
    <row r="110" spans="1:9" s="19" customFormat="1">
      <c r="A110" s="32"/>
      <c r="B110" s="35"/>
      <c r="C110" s="40"/>
      <c r="D110" s="34"/>
      <c r="E110" s="34"/>
      <c r="F110" s="34"/>
      <c r="I110" s="20"/>
    </row>
    <row r="111" spans="1:9" s="19" customFormat="1">
      <c r="A111" s="32"/>
      <c r="B111" s="35"/>
      <c r="C111" s="40"/>
      <c r="D111" s="34"/>
      <c r="E111" s="34"/>
      <c r="F111" s="34"/>
      <c r="I111" s="20"/>
    </row>
    <row r="112" spans="1:9" s="19" customFormat="1">
      <c r="A112" s="32"/>
      <c r="B112" s="35"/>
      <c r="C112" s="40"/>
      <c r="D112" s="34"/>
      <c r="E112" s="34"/>
      <c r="F112" s="34"/>
      <c r="I112" s="20"/>
    </row>
    <row r="113" spans="1:45">
      <c r="A113" s="32"/>
      <c r="B113" s="35"/>
      <c r="C113" s="40"/>
      <c r="D113" s="34"/>
      <c r="E113" s="34"/>
      <c r="F113" s="34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</row>
    <row r="114" spans="1:45">
      <c r="A114" s="32"/>
      <c r="B114" s="35"/>
      <c r="C114" s="40"/>
      <c r="D114" s="34"/>
      <c r="E114" s="34"/>
      <c r="F114" s="34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</row>
    <row r="115" spans="1:45">
      <c r="A115" s="32"/>
      <c r="B115" s="35"/>
      <c r="C115" s="40"/>
      <c r="D115" s="34"/>
      <c r="E115" s="34"/>
      <c r="F115" s="34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R115" s="19"/>
    </row>
    <row r="116" spans="1:45">
      <c r="A116" s="32"/>
      <c r="B116" s="35"/>
      <c r="C116" s="40"/>
      <c r="D116" s="34"/>
      <c r="E116" s="34"/>
      <c r="F116" s="34"/>
    </row>
    <row r="117" spans="1:45">
      <c r="A117" s="32"/>
      <c r="B117" s="35"/>
      <c r="C117" s="40"/>
      <c r="D117" s="34"/>
      <c r="E117" s="34"/>
      <c r="F117" s="34"/>
    </row>
    <row r="118" spans="1:45">
      <c r="A118" s="32"/>
      <c r="B118" s="35"/>
      <c r="C118" s="40"/>
      <c r="D118" s="34"/>
      <c r="E118" s="34"/>
      <c r="F118" s="34"/>
    </row>
    <row r="119" spans="1:45">
      <c r="A119" s="32"/>
      <c r="B119" s="35"/>
      <c r="C119" s="40"/>
      <c r="D119" s="34"/>
      <c r="E119" s="34"/>
      <c r="F119" s="34"/>
    </row>
    <row r="120" spans="1:45">
      <c r="A120" s="32"/>
      <c r="B120" s="35"/>
      <c r="C120" s="40"/>
      <c r="D120" s="34"/>
      <c r="E120" s="34"/>
      <c r="F120" s="34"/>
    </row>
    <row r="121" spans="1:45">
      <c r="A121" s="32"/>
      <c r="B121" s="35"/>
      <c r="C121" s="40"/>
      <c r="D121" s="34"/>
      <c r="E121" s="34"/>
      <c r="F121" s="34"/>
    </row>
    <row r="122" spans="1:45">
      <c r="A122" s="32"/>
      <c r="B122" s="35"/>
      <c r="C122" s="40"/>
      <c r="D122" s="34"/>
      <c r="E122" s="34"/>
      <c r="F122" s="32"/>
    </row>
    <row r="123" spans="1:45">
      <c r="A123" s="32"/>
      <c r="B123" s="35"/>
      <c r="C123" s="40"/>
      <c r="D123" s="34"/>
      <c r="E123" s="34"/>
      <c r="F123" s="32">
        <v>42369</v>
      </c>
      <c r="K123" s="19">
        <v>2857.7354</v>
      </c>
    </row>
    <row r="124" spans="1:45">
      <c r="A124" s="32">
        <v>42400</v>
      </c>
      <c r="B124" s="20">
        <v>38550.20166666666</v>
      </c>
      <c r="C124" s="40"/>
      <c r="D124" s="34"/>
      <c r="E124" s="34"/>
      <c r="F124" s="32">
        <v>42400</v>
      </c>
      <c r="K124" s="19">
        <v>2880.2361000000001</v>
      </c>
    </row>
    <row r="125" spans="1:45">
      <c r="A125" s="32">
        <v>42428</v>
      </c>
      <c r="B125" s="20">
        <v>39002.011666666665</v>
      </c>
      <c r="C125" s="40">
        <f t="shared" ref="C125:C133" si="38">B125/B124-1</f>
        <v>1.1720042450275248E-2</v>
      </c>
      <c r="D125" s="34">
        <f>B125/$B$124*100</f>
        <v>101.17200424502752</v>
      </c>
      <c r="E125" s="34"/>
      <c r="F125" s="32">
        <v>42428</v>
      </c>
      <c r="K125" s="19">
        <v>2912.3440999999998</v>
      </c>
    </row>
    <row r="126" spans="1:45">
      <c r="A126" s="32">
        <v>42460</v>
      </c>
      <c r="B126" s="20">
        <v>39299.576666666668</v>
      </c>
      <c r="C126" s="40">
        <f t="shared" si="38"/>
        <v>7.6294782572541298E-3</v>
      </c>
      <c r="D126" s="34">
        <f t="shared" ref="D126:D166" si="39">B126/$B$124*100</f>
        <v>101.94389385165779</v>
      </c>
      <c r="E126" s="34"/>
      <c r="F126" s="32">
        <v>42460</v>
      </c>
      <c r="K126" s="19">
        <v>2924.1536999999998</v>
      </c>
    </row>
    <row r="127" spans="1:45">
      <c r="A127" s="32">
        <v>42490</v>
      </c>
      <c r="B127" s="20">
        <v>39391.273333333338</v>
      </c>
      <c r="C127" s="40">
        <f t="shared" si="38"/>
        <v>2.3332736493431039E-3</v>
      </c>
      <c r="D127" s="34">
        <f t="shared" si="39"/>
        <v>102.18175685289327</v>
      </c>
      <c r="F127" s="32">
        <v>42490</v>
      </c>
      <c r="K127" s="19">
        <v>2936.5246000000002</v>
      </c>
    </row>
    <row r="128" spans="1:45">
      <c r="A128" s="32">
        <v>42521</v>
      </c>
      <c r="B128" s="20">
        <v>39587.631666666661</v>
      </c>
      <c r="C128" s="40">
        <f t="shared" si="38"/>
        <v>4.9848181263834057E-3</v>
      </c>
      <c r="D128" s="34">
        <f t="shared" si="39"/>
        <v>102.69111432663929</v>
      </c>
      <c r="F128" s="32">
        <v>42521</v>
      </c>
      <c r="G128" s="68"/>
      <c r="I128" s="40"/>
      <c r="J128" s="33"/>
      <c r="K128" s="19">
        <v>2952.9333999999999</v>
      </c>
      <c r="L128" s="40">
        <f t="shared" ref="L128:L161" si="40">+(K128/K127-1)/(F128-F127)*30</f>
        <v>5.4075773351149811E-3</v>
      </c>
      <c r="M128" s="18">
        <v>155.65</v>
      </c>
    </row>
    <row r="129" spans="1:19">
      <c r="A129" s="32">
        <v>42551</v>
      </c>
      <c r="B129" s="20">
        <v>39645.909999999996</v>
      </c>
      <c r="C129" s="40">
        <f t="shared" si="38"/>
        <v>1.4721348784905164E-3</v>
      </c>
      <c r="D129" s="34">
        <f t="shared" si="39"/>
        <v>102.84228949775058</v>
      </c>
      <c r="F129" s="32">
        <v>42551</v>
      </c>
      <c r="G129" s="19">
        <v>1000</v>
      </c>
      <c r="H129" s="19">
        <f t="shared" ref="H129:H134" si="41">+G129</f>
        <v>1000</v>
      </c>
      <c r="I129" s="40"/>
      <c r="J129" s="33">
        <v>156.10153800645296</v>
      </c>
      <c r="K129" s="19">
        <v>2968.3045000000002</v>
      </c>
      <c r="L129" s="40">
        <f t="shared" si="40"/>
        <v>5.2053662977973314E-3</v>
      </c>
      <c r="M129" s="34">
        <v>156.10153800645296</v>
      </c>
    </row>
    <row r="130" spans="1:19">
      <c r="A130" s="32">
        <v>42582</v>
      </c>
      <c r="B130" s="74">
        <v>39994.64666666666</v>
      </c>
      <c r="C130" s="40">
        <f t="shared" si="38"/>
        <v>8.7962835678803142E-3</v>
      </c>
      <c r="D130" s="34">
        <f t="shared" si="39"/>
        <v>103.74691943894283</v>
      </c>
      <c r="F130" s="32">
        <v>42582</v>
      </c>
      <c r="G130" s="19">
        <v>1010.0634</v>
      </c>
      <c r="H130" s="19">
        <f t="shared" si="41"/>
        <v>1010.0634</v>
      </c>
      <c r="I130" s="40">
        <f t="shared" ref="I130:I161" si="42">+(((H130)/H129)-1)/(F130-F129)*30</f>
        <v>9.7387741935483323E-3</v>
      </c>
      <c r="J130" s="33">
        <f t="shared" ref="J130:J144" si="43">+J129*(1+I130)</f>
        <v>157.62177563636342</v>
      </c>
      <c r="K130" s="19">
        <v>2983.3669</v>
      </c>
      <c r="L130" s="40">
        <f t="shared" si="40"/>
        <v>4.9107212986511072E-3</v>
      </c>
      <c r="M130" s="34">
        <f t="shared" ref="M130:M138" si="44">+M129*(1+L130)</f>
        <v>156.86810915389341</v>
      </c>
    </row>
    <row r="131" spans="1:19">
      <c r="A131" s="32">
        <v>42613</v>
      </c>
      <c r="B131" s="20">
        <v>40648.821666666663</v>
      </c>
      <c r="C131" s="40">
        <f t="shared" si="38"/>
        <v>1.6356564053489286E-2</v>
      </c>
      <c r="D131" s="34">
        <f t="shared" si="39"/>
        <v>105.4438625720981</v>
      </c>
      <c r="F131" s="32">
        <v>42613</v>
      </c>
      <c r="G131" s="19">
        <v>1020.0875</v>
      </c>
      <c r="H131" s="19">
        <f t="shared" si="41"/>
        <v>1020.0875</v>
      </c>
      <c r="I131" s="40">
        <f t="shared" si="42"/>
        <v>9.6040921148948261E-3</v>
      </c>
      <c r="J131" s="33">
        <f t="shared" si="43"/>
        <v>159.13558968888833</v>
      </c>
      <c r="K131" s="19">
        <v>3018.4825999999998</v>
      </c>
      <c r="L131" s="40">
        <f t="shared" si="40"/>
        <v>1.1390799932744141E-2</v>
      </c>
      <c r="M131" s="34">
        <f t="shared" si="44"/>
        <v>158.65496240109326</v>
      </c>
    </row>
    <row r="132" spans="1:19">
      <c r="A132" s="32">
        <v>42643</v>
      </c>
      <c r="B132" s="20">
        <v>40940.566666666673</v>
      </c>
      <c r="C132" s="40">
        <f t="shared" si="38"/>
        <v>7.1772068177624604E-3</v>
      </c>
      <c r="D132" s="34">
        <f t="shared" si="39"/>
        <v>106.20065498144176</v>
      </c>
      <c r="F132" s="32">
        <v>42643</v>
      </c>
      <c r="G132" s="19">
        <v>1026.7237</v>
      </c>
      <c r="H132" s="19">
        <f t="shared" si="41"/>
        <v>1026.7237</v>
      </c>
      <c r="I132" s="40">
        <f t="shared" si="42"/>
        <v>6.5055203597730316E-3</v>
      </c>
      <c r="J132" s="33">
        <f t="shared" si="43"/>
        <v>160.17084950757388</v>
      </c>
      <c r="K132" s="19">
        <v>3040.6963000000001</v>
      </c>
      <c r="L132" s="40">
        <f t="shared" si="40"/>
        <v>7.3592274475924313E-3</v>
      </c>
      <c r="M132" s="34">
        <f t="shared" si="44"/>
        <v>159.82254035509212</v>
      </c>
    </row>
    <row r="133" spans="1:19">
      <c r="A133" s="32">
        <v>42674</v>
      </c>
      <c r="B133" s="20">
        <v>40784.118333333339</v>
      </c>
      <c r="C133" s="40">
        <f t="shared" si="38"/>
        <v>-3.8213524157376666E-3</v>
      </c>
      <c r="D133" s="34">
        <f t="shared" si="39"/>
        <v>105.79482485197551</v>
      </c>
      <c r="F133" s="32">
        <v>42674</v>
      </c>
      <c r="G133" s="19">
        <v>1019.9055</v>
      </c>
      <c r="H133" s="19">
        <f t="shared" si="41"/>
        <v>1019.9055</v>
      </c>
      <c r="I133" s="40">
        <f t="shared" si="42"/>
        <v>-6.4265177325858206E-3</v>
      </c>
      <c r="J133" s="33">
        <f t="shared" si="43"/>
        <v>159.14150870297013</v>
      </c>
      <c r="K133" s="19">
        <v>3024.6741999999999</v>
      </c>
      <c r="L133" s="40">
        <f t="shared" si="40"/>
        <v>-5.0992458748729211E-3</v>
      </c>
      <c r="M133" s="34">
        <f t="shared" si="44"/>
        <v>159.00756592547472</v>
      </c>
    </row>
    <row r="134" spans="1:19">
      <c r="A134" s="32">
        <v>42704</v>
      </c>
      <c r="B134" s="20">
        <v>40116.724999999999</v>
      </c>
      <c r="C134" s="40">
        <f t="shared" ref="C134:C158" si="45">B134/B133-1</f>
        <v>-1.6364049551804927E-2</v>
      </c>
      <c r="D134" s="34">
        <f t="shared" si="39"/>
        <v>104.06359309577327</v>
      </c>
      <c r="F134" s="32">
        <v>42704</v>
      </c>
      <c r="G134" s="19">
        <v>1002.7637999999999</v>
      </c>
      <c r="H134" s="19">
        <f t="shared" si="41"/>
        <v>1002.7637999999999</v>
      </c>
      <c r="I134" s="40">
        <f t="shared" si="42"/>
        <v>-1.6807145367879639E-2</v>
      </c>
      <c r="J134" s="33">
        <f t="shared" si="43"/>
        <v>156.46679423213564</v>
      </c>
      <c r="K134" s="19">
        <v>2986.7307000000001</v>
      </c>
      <c r="L134" s="40">
        <f t="shared" si="40"/>
        <v>-1.2544656875771887E-2</v>
      </c>
      <c r="M134" s="34">
        <f t="shared" si="44"/>
        <v>157.01287057028796</v>
      </c>
    </row>
    <row r="135" spans="1:19">
      <c r="A135" s="32">
        <v>42735</v>
      </c>
      <c r="B135" s="20">
        <v>40864.323333333326</v>
      </c>
      <c r="C135" s="40">
        <f t="shared" si="45"/>
        <v>1.8635577389064739E-2</v>
      </c>
      <c r="D135" s="34">
        <f t="shared" si="39"/>
        <v>106.00287823829369</v>
      </c>
      <c r="F135" s="32">
        <v>42735</v>
      </c>
      <c r="G135" s="19">
        <v>1021.7189</v>
      </c>
      <c r="H135" s="19">
        <f t="shared" ref="H135:H142" si="46">+G135+$S$138</f>
        <v>1024.226359</v>
      </c>
      <c r="I135" s="40">
        <f t="shared" si="42"/>
        <v>2.0712971875427595E-2</v>
      </c>
      <c r="J135" s="33">
        <f t="shared" si="43"/>
        <v>159.70768654050417</v>
      </c>
      <c r="K135" s="19">
        <v>3036.6451999999999</v>
      </c>
      <c r="L135" s="40">
        <f t="shared" si="40"/>
        <v>1.6172986348822721E-2</v>
      </c>
      <c r="M135" s="34">
        <f t="shared" si="44"/>
        <v>159.5522375826107</v>
      </c>
    </row>
    <row r="136" spans="1:19">
      <c r="A136" s="32">
        <v>42766</v>
      </c>
      <c r="B136" s="20">
        <v>41118.498333333344</v>
      </c>
      <c r="C136" s="40">
        <f t="shared" si="45"/>
        <v>6.2199732986325529E-3</v>
      </c>
      <c r="D136" s="34">
        <f t="shared" si="39"/>
        <v>106.66221331051406</v>
      </c>
      <c r="F136" s="32">
        <v>42766</v>
      </c>
      <c r="G136" s="19">
        <v>1028.6255000000001</v>
      </c>
      <c r="H136" s="19">
        <f t="shared" si="46"/>
        <v>1031.132959</v>
      </c>
      <c r="I136" s="40">
        <f t="shared" si="42"/>
        <v>6.5257122050038814E-3</v>
      </c>
      <c r="J136" s="33">
        <f t="shared" si="43"/>
        <v>160.74989293979448</v>
      </c>
      <c r="K136" s="19">
        <v>3053.1257000000001</v>
      </c>
      <c r="L136" s="40">
        <f t="shared" si="40"/>
        <v>5.2521351416826107E-3</v>
      </c>
      <c r="M136" s="34">
        <f t="shared" si="44"/>
        <v>160.39022749655243</v>
      </c>
    </row>
    <row r="137" spans="1:19">
      <c r="A137" s="32">
        <v>42794</v>
      </c>
      <c r="B137" s="20">
        <v>41562.669999999991</v>
      </c>
      <c r="C137" s="40">
        <f t="shared" si="45"/>
        <v>1.0802234630892915E-2</v>
      </c>
      <c r="D137" s="34">
        <f t="shared" si="39"/>
        <v>107.8144035649446</v>
      </c>
      <c r="F137" s="32">
        <v>42794</v>
      </c>
      <c r="G137" s="19">
        <v>1032.3273999999999</v>
      </c>
      <c r="H137" s="19">
        <f t="shared" si="46"/>
        <v>1034.8348589999998</v>
      </c>
      <c r="I137" s="40">
        <f t="shared" si="42"/>
        <v>3.8465664335060206E-3</v>
      </c>
      <c r="J137" s="33">
        <f t="shared" si="43"/>
        <v>161.36822808216638</v>
      </c>
      <c r="K137" s="19">
        <v>3080.7492000000002</v>
      </c>
      <c r="L137" s="40">
        <f t="shared" si="40"/>
        <v>9.6938711507545336E-3</v>
      </c>
      <c r="M137" s="34">
        <f t="shared" si="44"/>
        <v>161.94502969574421</v>
      </c>
      <c r="S137" s="18" t="s">
        <v>37</v>
      </c>
    </row>
    <row r="138" spans="1:19">
      <c r="A138" s="32">
        <v>42825</v>
      </c>
      <c r="B138" s="20">
        <v>41882.778333333328</v>
      </c>
      <c r="C138" s="40">
        <f t="shared" si="45"/>
        <v>7.7018231343977117E-3</v>
      </c>
      <c r="D138" s="34">
        <f t="shared" si="39"/>
        <v>108.64477103254238</v>
      </c>
      <c r="F138" s="32">
        <v>42825</v>
      </c>
      <c r="G138" s="19">
        <v>1035.5818999999999</v>
      </c>
      <c r="H138" s="19">
        <f t="shared" si="46"/>
        <v>1038.0893589999998</v>
      </c>
      <c r="I138" s="40">
        <f t="shared" si="42"/>
        <v>3.0434963623816556E-3</v>
      </c>
      <c r="J138" s="33">
        <f t="shared" si="43"/>
        <v>161.85935169733841</v>
      </c>
      <c r="K138" s="19">
        <v>3087.0726</v>
      </c>
      <c r="L138" s="40">
        <f t="shared" si="40"/>
        <v>1.9863412947858238E-3</v>
      </c>
      <c r="M138" s="34">
        <f t="shared" si="44"/>
        <v>162.26670779571418</v>
      </c>
      <c r="S138" s="18">
        <v>2.5074589999999999</v>
      </c>
    </row>
    <row r="139" spans="1:19">
      <c r="A139" s="32">
        <v>42855</v>
      </c>
      <c r="B139" s="20">
        <v>42270.21333333334</v>
      </c>
      <c r="C139" s="40">
        <f t="shared" si="45"/>
        <v>9.2504608198751281E-3</v>
      </c>
      <c r="D139" s="34">
        <f t="shared" si="39"/>
        <v>109.64978523026321</v>
      </c>
      <c r="F139" s="32">
        <v>42855</v>
      </c>
      <c r="G139" s="19">
        <v>1041.6818000000001</v>
      </c>
      <c r="H139" s="19">
        <f t="shared" si="46"/>
        <v>1044.189259</v>
      </c>
      <c r="I139" s="40">
        <f t="shared" si="42"/>
        <v>5.8760837370264163E-3</v>
      </c>
      <c r="J139" s="33">
        <f t="shared" si="43"/>
        <v>162.81045080153277</v>
      </c>
      <c r="K139" s="19">
        <v>3101.5412999999999</v>
      </c>
      <c r="L139" s="40">
        <f t="shared" si="40"/>
        <v>4.6868674225541973E-3</v>
      </c>
      <c r="M139" s="34">
        <f>+M138*(1+L139)</f>
        <v>163.02723034224704</v>
      </c>
      <c r="Q139" s="19">
        <f>+G135+S138</f>
        <v>1024.226359</v>
      </c>
      <c r="S139" s="18" t="s">
        <v>38</v>
      </c>
    </row>
    <row r="140" spans="1:19">
      <c r="A140" s="32">
        <v>42886</v>
      </c>
      <c r="B140" s="20">
        <v>42266.32166666667</v>
      </c>
      <c r="C140" s="40">
        <f t="shared" si="45"/>
        <v>-9.2066407046065279E-5</v>
      </c>
      <c r="D140" s="34">
        <f t="shared" si="39"/>
        <v>109.63969016850368</v>
      </c>
      <c r="F140" s="32">
        <v>42886</v>
      </c>
      <c r="G140" s="19">
        <v>1039.4599000000001</v>
      </c>
      <c r="H140" s="19">
        <f t="shared" si="46"/>
        <v>1041.967359</v>
      </c>
      <c r="I140" s="40">
        <f t="shared" si="42"/>
        <v>-2.0592299603913646E-3</v>
      </c>
      <c r="J140" s="33">
        <f t="shared" si="43"/>
        <v>162.47518664337744</v>
      </c>
      <c r="K140" s="19">
        <v>3093.1386000000002</v>
      </c>
      <c r="L140" s="40">
        <f t="shared" si="40"/>
        <v>-2.62180779643014E-3</v>
      </c>
      <c r="M140" s="34">
        <f t="shared" ref="M140:M158" si="47">+M139*(1+L140)</f>
        <v>162.59980427870531</v>
      </c>
      <c r="S140" s="18">
        <v>6.0785</v>
      </c>
    </row>
    <row r="141" spans="1:19">
      <c r="A141" s="32">
        <v>42916</v>
      </c>
      <c r="B141" s="20">
        <v>42171.9</v>
      </c>
      <c r="C141" s="40">
        <f t="shared" si="45"/>
        <v>-2.2339693387876114E-3</v>
      </c>
      <c r="D141" s="34">
        <f t="shared" si="39"/>
        <v>109.39475846235307</v>
      </c>
      <c r="F141" s="32">
        <v>42916</v>
      </c>
      <c r="G141" s="19">
        <v>1036.1774</v>
      </c>
      <c r="H141" s="19">
        <f t="shared" si="46"/>
        <v>1038.684859</v>
      </c>
      <c r="I141" s="40">
        <f t="shared" si="42"/>
        <v>-3.1502906224916138E-3</v>
      </c>
      <c r="J141" s="33">
        <f t="shared" si="43"/>
        <v>161.96334258650722</v>
      </c>
      <c r="K141" s="19">
        <v>3091.4614000000001</v>
      </c>
      <c r="L141" s="40">
        <f t="shared" si="40"/>
        <v>-5.422324107946519E-4</v>
      </c>
      <c r="M141" s="34">
        <f t="shared" si="47"/>
        <v>162.51163739483653</v>
      </c>
      <c r="S141" s="18" t="s">
        <v>44</v>
      </c>
    </row>
    <row r="142" spans="1:19">
      <c r="A142" s="32">
        <v>42947</v>
      </c>
      <c r="B142" s="20">
        <v>42061.504999999997</v>
      </c>
      <c r="C142" s="40">
        <f t="shared" si="45"/>
        <v>-2.6177383518409814E-3</v>
      </c>
      <c r="D142" s="34">
        <f t="shared" si="39"/>
        <v>109.1083916076358</v>
      </c>
      <c r="F142" s="32">
        <v>42947</v>
      </c>
      <c r="G142" s="19">
        <v>1033.4081000000001</v>
      </c>
      <c r="H142" s="19">
        <f t="shared" si="46"/>
        <v>1035.915559</v>
      </c>
      <c r="I142" s="40">
        <f t="shared" si="42"/>
        <v>-2.5801548166549276E-3</v>
      </c>
      <c r="J142" s="33">
        <f t="shared" si="43"/>
        <v>161.5454520880111</v>
      </c>
      <c r="K142" s="19">
        <v>3080.5853999999999</v>
      </c>
      <c r="L142" s="40">
        <f t="shared" si="40"/>
        <v>-3.4045908806503997E-3</v>
      </c>
      <c r="M142" s="34">
        <f t="shared" si="47"/>
        <v>161.9583517561625</v>
      </c>
      <c r="S142" s="18">
        <v>77.610931209390571</v>
      </c>
    </row>
    <row r="143" spans="1:19">
      <c r="A143" s="32">
        <v>42978</v>
      </c>
      <c r="B143" s="20">
        <v>42005.45166666666</v>
      </c>
      <c r="C143" s="40">
        <f t="shared" si="45"/>
        <v>-1.3326516332056171E-3</v>
      </c>
      <c r="D143" s="34">
        <f t="shared" si="39"/>
        <v>108.96298813136343</v>
      </c>
      <c r="F143" s="32">
        <v>42978</v>
      </c>
      <c r="G143" s="19">
        <v>1035.1931999999999</v>
      </c>
      <c r="H143" s="19">
        <f>+G143+$S$138</f>
        <v>1037.7006589999999</v>
      </c>
      <c r="I143" s="40">
        <f t="shared" si="42"/>
        <v>1.6676225335389471E-3</v>
      </c>
      <c r="J143" s="33">
        <f t="shared" si="43"/>
        <v>161.81484892410381</v>
      </c>
      <c r="K143" s="19">
        <v>3094.0509999999999</v>
      </c>
      <c r="L143" s="40">
        <f t="shared" si="40"/>
        <v>4.2301134733845735E-3</v>
      </c>
      <c r="M143" s="34">
        <f t="shared" si="47"/>
        <v>162.6434539620534</v>
      </c>
    </row>
    <row r="144" spans="1:19">
      <c r="A144" s="32">
        <v>43008</v>
      </c>
      <c r="B144" s="20">
        <v>42123.296666666669</v>
      </c>
      <c r="C144" s="40">
        <f t="shared" si="45"/>
        <v>2.8054691789809461E-3</v>
      </c>
      <c r="D144" s="34">
        <f t="shared" si="39"/>
        <v>109.26868043621565</v>
      </c>
      <c r="F144" s="32">
        <v>43008</v>
      </c>
      <c r="G144" s="19">
        <v>1030.6096</v>
      </c>
      <c r="H144" s="19">
        <f t="shared" ref="H144:H145" si="48">+G144+$S$138</f>
        <v>1033.1170589999999</v>
      </c>
      <c r="I144" s="40">
        <f t="shared" si="42"/>
        <v>-4.4170734211703699E-3</v>
      </c>
      <c r="J144" s="33">
        <f t="shared" si="43"/>
        <v>161.10010085577045</v>
      </c>
      <c r="K144" s="19">
        <v>3075.9101999999998</v>
      </c>
      <c r="L144" s="40">
        <f t="shared" si="40"/>
        <v>-5.8631224889311717E-3</v>
      </c>
      <c r="M144" s="34">
        <f t="shared" si="47"/>
        <v>161.68985546945103</v>
      </c>
    </row>
    <row r="145" spans="1:44">
      <c r="A145" s="32">
        <v>43039</v>
      </c>
      <c r="B145" s="20">
        <v>41693.948333333334</v>
      </c>
      <c r="C145" s="40">
        <f t="shared" si="45"/>
        <v>-1.0192657443952924E-2</v>
      </c>
      <c r="D145" s="34">
        <f t="shared" si="39"/>
        <v>108.15494220717655</v>
      </c>
      <c r="F145" s="32">
        <v>43039</v>
      </c>
      <c r="G145" s="19">
        <v>1022.6392</v>
      </c>
      <c r="H145" s="19">
        <f t="shared" si="48"/>
        <v>1025.146659</v>
      </c>
      <c r="I145" s="40">
        <f t="shared" si="42"/>
        <v>-7.4660371304357022E-3</v>
      </c>
      <c r="J145" s="33">
        <f>+J144*(1+I145)</f>
        <v>159.89732152106433</v>
      </c>
      <c r="K145" s="19">
        <v>3052.5266999999999</v>
      </c>
      <c r="L145" s="40">
        <f t="shared" si="40"/>
        <v>-7.356909687541293E-3</v>
      </c>
      <c r="M145" s="34">
        <f t="shared" si="47"/>
        <v>160.50031780537068</v>
      </c>
    </row>
    <row r="146" spans="1:44">
      <c r="A146" s="32">
        <v>43069</v>
      </c>
      <c r="B146" s="20">
        <v>41596.631666666668</v>
      </c>
      <c r="C146" s="40">
        <f t="shared" si="45"/>
        <v>-2.3340717431854507E-3</v>
      </c>
      <c r="D146" s="34">
        <f t="shared" si="39"/>
        <v>107.90250081268491</v>
      </c>
      <c r="F146" s="32">
        <v>43069</v>
      </c>
      <c r="G146" s="19">
        <v>1025.9408000000001</v>
      </c>
      <c r="H146" s="19">
        <f>+G146+$S$138</f>
        <v>1028.448259</v>
      </c>
      <c r="I146" s="40">
        <f t="shared" si="42"/>
        <v>3.2206123592313229E-3</v>
      </c>
      <c r="J146" s="33">
        <f>+J145*(1+I146)</f>
        <v>160.41228881096305</v>
      </c>
      <c r="K146" s="19">
        <v>3054.8962999999999</v>
      </c>
      <c r="L146" s="40">
        <f t="shared" si="40"/>
        <v>7.7627494626009153E-4</v>
      </c>
      <c r="M146" s="34">
        <f t="shared" si="47"/>
        <v>160.62491018094977</v>
      </c>
    </row>
    <row r="147" spans="1:44">
      <c r="A147" s="32">
        <v>43100</v>
      </c>
      <c r="B147" s="20">
        <v>41951.613333333335</v>
      </c>
      <c r="C147" s="40">
        <f t="shared" si="45"/>
        <v>8.5339041274135052E-3</v>
      </c>
      <c r="D147" s="34">
        <f t="shared" si="39"/>
        <v>108.82333040972854</v>
      </c>
      <c r="F147" s="32">
        <v>43100</v>
      </c>
      <c r="G147" s="19">
        <v>1029.0936999999999</v>
      </c>
      <c r="H147" s="19">
        <f>+G147+$S$138+$S$140</f>
        <v>1037.6796589999999</v>
      </c>
      <c r="I147" s="40">
        <f t="shared" si="42"/>
        <v>8.6864971816007358E-3</v>
      </c>
      <c r="J147" s="33">
        <f>+J146*(1+I147)</f>
        <v>161.80570970561359</v>
      </c>
      <c r="K147" s="19">
        <v>3078.9476</v>
      </c>
      <c r="L147" s="40">
        <f t="shared" si="40"/>
        <v>7.6190643894861448E-3</v>
      </c>
      <c r="M147" s="34">
        <f t="shared" si="47"/>
        <v>161.84872171417388</v>
      </c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</row>
    <row r="148" spans="1:44">
      <c r="A148" s="32">
        <v>43131</v>
      </c>
      <c r="B148" s="20">
        <v>42169.37</v>
      </c>
      <c r="C148" s="40">
        <f t="shared" si="45"/>
        <v>5.1906625124626959E-3</v>
      </c>
      <c r="D148" s="34">
        <f t="shared" si="39"/>
        <v>109.38819559136765</v>
      </c>
      <c r="F148" s="32">
        <v>43131</v>
      </c>
      <c r="G148" s="19">
        <v>1029.6622</v>
      </c>
      <c r="H148" s="19">
        <f t="shared" ref="H148:H158" si="49">+G148+$S$138+$S$140</f>
        <v>1038.248159</v>
      </c>
      <c r="I148" s="40">
        <f t="shared" si="42"/>
        <v>5.3018413298450671E-4</v>
      </c>
      <c r="J148" s="33">
        <f t="shared" ref="J148:J158" si="50">+J147*(1+I148)</f>
        <v>161.89149652552581</v>
      </c>
      <c r="K148" s="19">
        <v>3095.1079</v>
      </c>
      <c r="L148" s="40">
        <f t="shared" si="40"/>
        <v>5.079332951298021E-3</v>
      </c>
      <c r="M148" s="34">
        <f t="shared" si="47"/>
        <v>162.67080525950212</v>
      </c>
      <c r="AR148" s="69"/>
    </row>
    <row r="149" spans="1:44">
      <c r="A149" s="32">
        <v>43159</v>
      </c>
      <c r="B149" s="20">
        <v>42260.79</v>
      </c>
      <c r="C149" s="40">
        <f t="shared" si="45"/>
        <v>2.1679242540260102E-3</v>
      </c>
      <c r="D149" s="34">
        <f t="shared" si="39"/>
        <v>109.62534091369433</v>
      </c>
      <c r="F149" s="32">
        <v>43159</v>
      </c>
      <c r="G149" s="19">
        <v>1032.7841000000001</v>
      </c>
      <c r="H149" s="19">
        <f t="shared" si="49"/>
        <v>1041.3700590000001</v>
      </c>
      <c r="I149" s="40">
        <f t="shared" si="42"/>
        <v>3.2216699140258376E-3</v>
      </c>
      <c r="J149" s="33">
        <f t="shared" si="50"/>
        <v>162.41305748921874</v>
      </c>
      <c r="K149" s="19">
        <v>3115.9146999999998</v>
      </c>
      <c r="L149" s="40">
        <f t="shared" si="40"/>
        <v>7.2026568120613678E-3</v>
      </c>
      <c r="M149" s="34">
        <f t="shared" si="47"/>
        <v>163.84246724312797</v>
      </c>
    </row>
    <row r="150" spans="1:44">
      <c r="A150" s="32">
        <v>43190</v>
      </c>
      <c r="B150" s="20">
        <v>42519.331666666672</v>
      </c>
      <c r="C150" s="40">
        <f t="shared" si="45"/>
        <v>6.1177670049867849E-3</v>
      </c>
      <c r="D150" s="34">
        <f t="shared" si="39"/>
        <v>110.29600320724656</v>
      </c>
      <c r="F150" s="32">
        <v>43190</v>
      </c>
      <c r="G150" s="19">
        <v>1040.3942999999999</v>
      </c>
      <c r="H150" s="19">
        <f t="shared" si="49"/>
        <v>1048.9802589999999</v>
      </c>
      <c r="I150" s="40">
        <f t="shared" si="42"/>
        <v>7.0721350338142485E-3</v>
      </c>
      <c r="J150" s="33">
        <f t="shared" si="50"/>
        <v>163.56166456303714</v>
      </c>
      <c r="K150" s="19">
        <v>3123.5668999999998</v>
      </c>
      <c r="L150" s="40">
        <f t="shared" si="40"/>
        <v>2.3766230952053159E-3</v>
      </c>
      <c r="M150" s="34">
        <f t="shared" si="47"/>
        <v>164.23185903475343</v>
      </c>
    </row>
    <row r="151" spans="1:44">
      <c r="A151" s="32">
        <v>43220</v>
      </c>
      <c r="B151" s="20">
        <v>43026.07</v>
      </c>
      <c r="C151" s="40">
        <f t="shared" si="45"/>
        <v>1.1917833923306587E-2</v>
      </c>
      <c r="D151" s="34">
        <f t="shared" si="39"/>
        <v>111.61049265587502</v>
      </c>
      <c r="F151" s="32">
        <v>43220</v>
      </c>
      <c r="G151" s="19">
        <v>1044.4824000000001</v>
      </c>
      <c r="H151" s="19">
        <f t="shared" si="49"/>
        <v>1053.0683590000001</v>
      </c>
      <c r="I151" s="40">
        <f t="shared" si="42"/>
        <v>3.8972134746342313E-3</v>
      </c>
      <c r="J151" s="33">
        <f t="shared" si="50"/>
        <v>164.19909928610582</v>
      </c>
      <c r="K151" s="19">
        <v>3123.9899</v>
      </c>
      <c r="L151" s="40">
        <f t="shared" si="40"/>
        <v>1.3542210349326567E-4</v>
      </c>
      <c r="M151" s="34">
        <f t="shared" si="47"/>
        <v>164.25409965856451</v>
      </c>
    </row>
    <row r="152" spans="1:44">
      <c r="A152" s="32">
        <v>43251</v>
      </c>
      <c r="B152" s="20">
        <v>42916.806666666671</v>
      </c>
      <c r="C152" s="40">
        <f t="shared" si="45"/>
        <v>-2.5394681255650475E-3</v>
      </c>
      <c r="D152" s="34">
        <f t="shared" si="39"/>
        <v>111.32706136729682</v>
      </c>
      <c r="F152" s="32">
        <v>43251</v>
      </c>
      <c r="G152" s="19">
        <v>1050.2798</v>
      </c>
      <c r="H152" s="19">
        <f t="shared" si="49"/>
        <v>1058.865759</v>
      </c>
      <c r="I152" s="40">
        <f t="shared" si="42"/>
        <v>5.3276570783132539E-3</v>
      </c>
      <c r="J152" s="33">
        <f t="shared" si="50"/>
        <v>165.0738957796701</v>
      </c>
      <c r="K152" s="19">
        <v>3142.7424000000001</v>
      </c>
      <c r="L152" s="40">
        <f t="shared" si="40"/>
        <v>5.809103494592311E-3</v>
      </c>
      <c r="M152" s="34">
        <f t="shared" si="47"/>
        <v>165.2082687228922</v>
      </c>
    </row>
    <row r="153" spans="1:44">
      <c r="A153" s="32">
        <v>43281</v>
      </c>
      <c r="B153" s="20">
        <v>43148.23333333333</v>
      </c>
      <c r="C153" s="40">
        <f t="shared" si="45"/>
        <v>5.3924484285174934E-3</v>
      </c>
      <c r="D153" s="34">
        <f t="shared" si="39"/>
        <v>111.92738680441836</v>
      </c>
      <c r="F153" s="32">
        <v>43281</v>
      </c>
      <c r="G153" s="19">
        <v>1055.2918999999999</v>
      </c>
      <c r="H153" s="19">
        <f t="shared" si="49"/>
        <v>1063.8778589999999</v>
      </c>
      <c r="I153" s="40">
        <f t="shared" si="42"/>
        <v>4.7334612129996678E-3</v>
      </c>
      <c r="J153" s="33">
        <f t="shared" si="50"/>
        <v>165.85526666262191</v>
      </c>
      <c r="K153" s="18">
        <v>3155.4348</v>
      </c>
      <c r="L153" s="40">
        <f t="shared" si="40"/>
        <v>4.0386383561057393E-3</v>
      </c>
      <c r="M153" s="34">
        <f t="shared" si="47"/>
        <v>165.87548517370229</v>
      </c>
    </row>
    <row r="154" spans="1:44">
      <c r="A154" s="32">
        <v>43312</v>
      </c>
      <c r="B154" s="20">
        <v>43435.613333333335</v>
      </c>
      <c r="C154" s="40">
        <f t="shared" si="45"/>
        <v>6.660295863793575E-3</v>
      </c>
      <c r="D154" s="34">
        <f t="shared" si="39"/>
        <v>112.67285631579706</v>
      </c>
      <c r="F154" s="32">
        <v>43312</v>
      </c>
      <c r="G154" s="19">
        <v>1059.0545</v>
      </c>
      <c r="H154" s="19">
        <f t="shared" si="49"/>
        <v>1067.640459</v>
      </c>
      <c r="I154" s="40">
        <f t="shared" si="42"/>
        <v>3.4225975995723578E-3</v>
      </c>
      <c r="J154" s="33">
        <f t="shared" si="50"/>
        <v>166.42292250017783</v>
      </c>
      <c r="K154" s="18">
        <v>3167.2723000000001</v>
      </c>
      <c r="L154" s="40">
        <f t="shared" si="40"/>
        <v>3.6304490149156295E-3</v>
      </c>
      <c r="M154" s="34">
        <f t="shared" si="47"/>
        <v>166.47768766544982</v>
      </c>
    </row>
    <row r="155" spans="1:44">
      <c r="A155" s="32">
        <v>43343</v>
      </c>
      <c r="B155" s="20">
        <v>43814.255000000005</v>
      </c>
      <c r="C155" s="40">
        <f t="shared" si="45"/>
        <v>8.717309083698277E-3</v>
      </c>
      <c r="D155" s="34">
        <f t="shared" si="39"/>
        <v>113.65506042964499</v>
      </c>
      <c r="F155" s="32">
        <v>43343</v>
      </c>
      <c r="G155" s="19">
        <v>1062.4350999999999</v>
      </c>
      <c r="H155" s="19">
        <f t="shared" si="49"/>
        <v>1071.0210589999999</v>
      </c>
      <c r="I155" s="40">
        <f t="shared" si="42"/>
        <v>3.0642791395907309E-3</v>
      </c>
      <c r="J155" s="33">
        <f t="shared" si="50"/>
        <v>166.93288878994485</v>
      </c>
      <c r="K155" s="18">
        <v>3174.3548000000001</v>
      </c>
      <c r="L155" s="40">
        <f t="shared" si="40"/>
        <v>2.1640173653728503E-3</v>
      </c>
      <c r="M155" s="34">
        <f t="shared" si="47"/>
        <v>166.83794827250495</v>
      </c>
    </row>
    <row r="156" spans="1:44">
      <c r="A156" s="32">
        <v>43373</v>
      </c>
      <c r="B156" s="75">
        <v>43837.26</v>
      </c>
      <c r="C156" s="40">
        <f t="shared" si="45"/>
        <v>5.2505742708608416E-4</v>
      </c>
      <c r="D156" s="34">
        <f t="shared" si="39"/>
        <v>113.71473586324952</v>
      </c>
      <c r="F156" s="32">
        <v>43373</v>
      </c>
      <c r="G156" s="19">
        <v>1064.1252999999999</v>
      </c>
      <c r="H156" s="19">
        <f t="shared" si="49"/>
        <v>1072.7112589999999</v>
      </c>
      <c r="I156" s="40">
        <f t="shared" si="42"/>
        <v>1.578120230033786E-3</v>
      </c>
      <c r="J156" s="33">
        <f t="shared" si="50"/>
        <v>167.19632895880224</v>
      </c>
      <c r="K156" s="18">
        <v>3175.652</v>
      </c>
      <c r="L156" s="40">
        <f t="shared" si="40"/>
        <v>4.0864997195644293E-4</v>
      </c>
      <c r="M156" s="34">
        <f t="shared" si="47"/>
        <v>166.90612659538778</v>
      </c>
    </row>
    <row r="157" spans="1:44">
      <c r="A157" s="32">
        <v>43404</v>
      </c>
      <c r="B157" s="20">
        <v>43659.506666666675</v>
      </c>
      <c r="C157" s="40">
        <f t="shared" si="45"/>
        <v>-4.0548458852885938E-3</v>
      </c>
      <c r="D157" s="34">
        <f t="shared" si="39"/>
        <v>113.25364013443773</v>
      </c>
      <c r="F157" s="32">
        <v>43404</v>
      </c>
      <c r="G157" s="19">
        <v>1065.3737000000001</v>
      </c>
      <c r="H157" s="19">
        <f t="shared" si="49"/>
        <v>1073.9596590000001</v>
      </c>
      <c r="I157" s="40">
        <f t="shared" si="42"/>
        <v>1.126238791773634E-3</v>
      </c>
      <c r="J157" s="33">
        <f t="shared" si="50"/>
        <v>167.38463195031778</v>
      </c>
      <c r="K157" s="18">
        <v>3160.5194000000001</v>
      </c>
      <c r="L157" s="40">
        <f t="shared" si="40"/>
        <v>-4.6114787177257395E-3</v>
      </c>
      <c r="M157" s="34">
        <f t="shared" si="47"/>
        <v>166.1364425447351</v>
      </c>
    </row>
    <row r="158" spans="1:44">
      <c r="A158" s="32">
        <v>43434</v>
      </c>
      <c r="B158" s="20">
        <v>43981.394999999997</v>
      </c>
      <c r="C158" s="40">
        <f t="shared" si="45"/>
        <v>7.3726974468788509E-3</v>
      </c>
      <c r="D158" s="34">
        <f t="shared" si="39"/>
        <v>114.08862495790663</v>
      </c>
      <c r="F158" s="32">
        <v>43434</v>
      </c>
      <c r="G158" s="19">
        <v>1068.7074</v>
      </c>
      <c r="H158" s="19">
        <f t="shared" si="49"/>
        <v>1077.293359</v>
      </c>
      <c r="I158" s="40">
        <f t="shared" si="42"/>
        <v>3.1041203196626732E-3</v>
      </c>
      <c r="J158" s="33">
        <f t="shared" si="50"/>
        <v>167.90421398755402</v>
      </c>
      <c r="K158" s="18">
        <v>3168.4162999999999</v>
      </c>
      <c r="L158" s="40">
        <f t="shared" si="40"/>
        <v>2.4986082983700086E-3</v>
      </c>
      <c r="M158" s="34">
        <f t="shared" si="47"/>
        <v>166.55155243873904</v>
      </c>
    </row>
    <row r="159" spans="1:44">
      <c r="A159" s="32">
        <v>43465</v>
      </c>
      <c r="B159" s="20">
        <v>44438.614999999998</v>
      </c>
      <c r="C159" s="40">
        <f t="shared" ref="C159" si="51">B159/B158-1</f>
        <v>1.0395759388714287E-2</v>
      </c>
      <c r="D159" s="34">
        <f t="shared" si="39"/>
        <v>115.27466285195828</v>
      </c>
      <c r="F159" s="32">
        <v>43465</v>
      </c>
      <c r="G159" s="19">
        <v>998.72400000000005</v>
      </c>
      <c r="H159" s="19">
        <f t="shared" ref="H159:H166" si="52">+G159+$S$138+$S$140+$S$142</f>
        <v>1084.9208902093906</v>
      </c>
      <c r="I159" s="40">
        <f t="shared" si="42"/>
        <v>6.8518772104853021E-3</v>
      </c>
      <c r="J159" s="33">
        <f t="shared" ref="J159" si="53">+J158*(1+I159)</f>
        <v>169.05467304491978</v>
      </c>
      <c r="K159" s="19">
        <v>3178.3206</v>
      </c>
      <c r="L159" s="40">
        <f t="shared" si="40"/>
        <v>3.0251095639208872E-3</v>
      </c>
      <c r="M159" s="34">
        <f t="shared" ref="M159" si="54">+M158*(1+L159)</f>
        <v>167.05538913290735</v>
      </c>
    </row>
    <row r="160" spans="1:44">
      <c r="A160" s="32">
        <v>43496</v>
      </c>
      <c r="B160" s="20">
        <v>44778.111666666664</v>
      </c>
      <c r="C160" s="40">
        <f t="shared" ref="C160:C161" si="55">B160/B159-1</f>
        <v>7.6396770391395918E-3</v>
      </c>
      <c r="D160" s="34">
        <f t="shared" si="39"/>
        <v>116.15532404694295</v>
      </c>
      <c r="F160" s="32">
        <v>43496</v>
      </c>
      <c r="G160" s="19">
        <v>998.83950000000004</v>
      </c>
      <c r="H160" s="19">
        <f t="shared" si="52"/>
        <v>1085.0363902093907</v>
      </c>
      <c r="I160" s="40">
        <f t="shared" si="42"/>
        <v>1.0302520170571159E-4</v>
      </c>
      <c r="J160" s="33">
        <f t="shared" ref="J160:J161" si="56">+J159*(1+I160)</f>
        <v>169.07208993670955</v>
      </c>
      <c r="K160" s="33">
        <v>3196.3906000000002</v>
      </c>
      <c r="L160" s="40">
        <f t="shared" si="40"/>
        <v>5.5019927109284557E-3</v>
      </c>
      <c r="M160" s="34">
        <f t="shared" ref="M160" si="57">+M159*(1+L160)</f>
        <v>167.97452666623795</v>
      </c>
    </row>
    <row r="161" spans="1:13">
      <c r="A161" s="32">
        <v>43524</v>
      </c>
      <c r="B161" s="20">
        <v>45098.45166666666</v>
      </c>
      <c r="C161" s="40">
        <f t="shared" si="55"/>
        <v>7.1539416933130706E-3</v>
      </c>
      <c r="D161" s="34">
        <f t="shared" si="39"/>
        <v>116.98629246254268</v>
      </c>
      <c r="F161" s="32">
        <v>43524</v>
      </c>
      <c r="G161" s="19">
        <v>998.92359999999996</v>
      </c>
      <c r="H161" s="19">
        <f t="shared" si="52"/>
        <v>1085.1204902093905</v>
      </c>
      <c r="I161" s="40">
        <f t="shared" si="42"/>
        <v>8.3045272647146778E-5</v>
      </c>
      <c r="J161" s="33">
        <f t="shared" si="56"/>
        <v>169.08613057451538</v>
      </c>
      <c r="K161" s="33">
        <v>3200.998</v>
      </c>
      <c r="L161" s="40">
        <f t="shared" si="40"/>
        <v>1.5443982346837906E-3</v>
      </c>
      <c r="M161" s="34">
        <f t="shared" ref="M161" si="58">+M160*(1+L161)</f>
        <v>168.23394622869316</v>
      </c>
    </row>
    <row r="162" spans="1:13">
      <c r="A162" s="32">
        <v>43555</v>
      </c>
      <c r="B162" s="20">
        <v>45946.438333333332</v>
      </c>
      <c r="C162" s="40">
        <f t="shared" ref="C162:C166" si="59">B162/B161-1</f>
        <v>1.8803010642900686E-2</v>
      </c>
      <c r="D162" s="34">
        <f t="shared" si="39"/>
        <v>119.18598696478935</v>
      </c>
      <c r="F162" s="32">
        <v>43555</v>
      </c>
      <c r="G162" s="19">
        <v>1005.1118</v>
      </c>
      <c r="H162" s="19">
        <f t="shared" si="52"/>
        <v>1091.3086902093905</v>
      </c>
      <c r="I162" s="40">
        <f t="shared" ref="I162:I167" si="60">+(((H162)/H161)-1)/(F162-F161)*30</f>
        <v>5.5188162966177392E-3</v>
      </c>
      <c r="J162" s="33">
        <f t="shared" ref="J162:J165" si="61">+J161*(1+I162)</f>
        <v>170.01928586746206</v>
      </c>
      <c r="K162" s="33">
        <v>3235.8735000000001</v>
      </c>
      <c r="L162" s="40">
        <f t="shared" ref="L162:L166" si="62">+(K162/K161-1)/(F162-F161)*30</f>
        <v>1.0543737881425701E-2</v>
      </c>
      <c r="M162" s="34">
        <f t="shared" ref="M162:M165" si="63">+M161*(1+L162)</f>
        <v>170.00776086048637</v>
      </c>
    </row>
    <row r="163" spans="1:13">
      <c r="A163" s="32">
        <v>43585</v>
      </c>
      <c r="B163" s="18">
        <v>46337.39</v>
      </c>
      <c r="C163" s="40">
        <f t="shared" si="59"/>
        <v>8.5088568526330288E-3</v>
      </c>
      <c r="D163" s="34">
        <f t="shared" si="39"/>
        <v>120.20012346671254</v>
      </c>
      <c r="F163" s="32">
        <v>43585</v>
      </c>
      <c r="G163" s="19">
        <v>1006.2897</v>
      </c>
      <c r="H163" s="19">
        <f t="shared" si="52"/>
        <v>1092.4865902093907</v>
      </c>
      <c r="I163" s="40">
        <f t="shared" si="60"/>
        <v>1.0793463028082595E-3</v>
      </c>
      <c r="J163" s="33">
        <f t="shared" si="61"/>
        <v>170.2027955550692</v>
      </c>
      <c r="K163" s="18">
        <v>3261.7451999999998</v>
      </c>
      <c r="L163" s="40">
        <f t="shared" si="62"/>
        <v>7.9952754642602653E-3</v>
      </c>
      <c r="M163" s="34">
        <f t="shared" si="63"/>
        <v>171.36701973962803</v>
      </c>
    </row>
    <row r="164" spans="1:13">
      <c r="A164" s="32">
        <v>43616</v>
      </c>
      <c r="B164" s="18">
        <v>47097.919999999998</v>
      </c>
      <c r="C164" s="40">
        <f t="shared" si="59"/>
        <v>1.6412879534216218E-2</v>
      </c>
      <c r="D164" s="34">
        <f t="shared" si="39"/>
        <v>122.17295361316962</v>
      </c>
      <c r="F164" s="32">
        <v>43616</v>
      </c>
      <c r="G164" s="19">
        <v>1016.3315</v>
      </c>
      <c r="H164" s="19">
        <f t="shared" si="52"/>
        <v>1102.5283902093906</v>
      </c>
      <c r="I164" s="40">
        <f t="shared" si="60"/>
        <v>8.8951855838152166E-3</v>
      </c>
      <c r="J164" s="33">
        <f t="shared" si="61"/>
        <v>171.71678100841572</v>
      </c>
      <c r="K164" s="18">
        <v>3305.7550000000001</v>
      </c>
      <c r="L164" s="40">
        <f t="shared" si="62"/>
        <v>1.3057466607832633E-2</v>
      </c>
      <c r="M164" s="34">
        <f t="shared" si="63"/>
        <v>173.60463887756202</v>
      </c>
    </row>
    <row r="165" spans="1:13">
      <c r="A165" s="32">
        <v>43646</v>
      </c>
      <c r="B165" s="18">
        <v>48202.75</v>
      </c>
      <c r="C165" s="40">
        <f t="shared" si="59"/>
        <v>2.3458148470250961E-2</v>
      </c>
      <c r="D165" s="34">
        <f t="shared" si="39"/>
        <v>125.03890489807642</v>
      </c>
      <c r="F165" s="32">
        <v>43646</v>
      </c>
      <c r="G165" s="19">
        <v>1029.7729999999999</v>
      </c>
      <c r="H165" s="19">
        <f t="shared" si="52"/>
        <v>1115.9698902093905</v>
      </c>
      <c r="I165" s="40">
        <f t="shared" si="60"/>
        <v>1.2191522793755016E-2</v>
      </c>
      <c r="J165" s="33">
        <f t="shared" si="61"/>
        <v>173.81027005815005</v>
      </c>
      <c r="K165" s="18">
        <v>3348.2881000000002</v>
      </c>
      <c r="L165" s="40">
        <f t="shared" si="62"/>
        <v>1.2866379994887822E-2</v>
      </c>
      <c r="M165" s="34">
        <f t="shared" si="63"/>
        <v>175.838302130236</v>
      </c>
    </row>
    <row r="166" spans="1:13">
      <c r="A166" s="32">
        <v>43677</v>
      </c>
      <c r="B166" s="18">
        <v>49615.136700000003</v>
      </c>
      <c r="C166" s="40">
        <f t="shared" si="59"/>
        <v>2.9300956895612851E-2</v>
      </c>
      <c r="D166" s="34">
        <f t="shared" si="39"/>
        <v>128.7026644607696</v>
      </c>
      <c r="F166" s="32">
        <v>43677</v>
      </c>
      <c r="G166" s="19">
        <v>1042.0123000000001</v>
      </c>
      <c r="H166" s="19">
        <f t="shared" si="52"/>
        <v>1128.2091902093907</v>
      </c>
      <c r="I166" s="40">
        <f t="shared" si="60"/>
        <v>1.0613623158547306E-2</v>
      </c>
      <c r="J166" s="33">
        <f t="shared" ref="J166:J167" si="64">+J165*(1+I166)</f>
        <v>175.65502676563261</v>
      </c>
      <c r="K166" s="18">
        <v>3405.7186999999999</v>
      </c>
      <c r="L166" s="40">
        <f t="shared" si="62"/>
        <v>1.6598930062201016E-2</v>
      </c>
      <c r="M166" s="34">
        <f t="shared" ref="M166:M167" si="65">+M165*(1+L166)</f>
        <v>178.75702980955194</v>
      </c>
    </row>
    <row r="167" spans="1:13">
      <c r="A167" s="32">
        <v>43708</v>
      </c>
      <c r="B167" s="18">
        <v>50853.58</v>
      </c>
      <c r="C167" s="40">
        <f t="shared" ref="C167:C168" si="66">B167/B166-1</f>
        <v>2.496099743689717E-2</v>
      </c>
      <c r="D167" s="34">
        <f t="shared" ref="D167:D168" si="67">B167/$B$124*100</f>
        <v>131.9152113384967</v>
      </c>
      <c r="F167" s="32">
        <v>43708</v>
      </c>
      <c r="G167" s="19">
        <v>1049.5336</v>
      </c>
      <c r="H167" s="19">
        <f t="shared" ref="H167:H168" si="68">+G167+$S$138+$S$140+$S$142</f>
        <v>1135.7304902093906</v>
      </c>
      <c r="I167" s="40">
        <f t="shared" si="60"/>
        <v>6.4515317571591001E-3</v>
      </c>
      <c r="J167" s="33">
        <f t="shared" si="64"/>
        <v>176.78827074911572</v>
      </c>
      <c r="K167" s="18">
        <v>3448.5376999999999</v>
      </c>
      <c r="L167" s="40">
        <f>+(K167/K166-1)/(F167-F166)*30</f>
        <v>1.2167106442315237E-2</v>
      </c>
      <c r="M167" s="34">
        <f t="shared" si="65"/>
        <v>180.93198561855687</v>
      </c>
    </row>
    <row r="168" spans="1:13">
      <c r="A168" s="32">
        <v>43738</v>
      </c>
      <c r="B168" s="18">
        <v>50837.82</v>
      </c>
      <c r="C168" s="40">
        <f t="shared" si="66"/>
        <v>-3.0990935151475885E-4</v>
      </c>
      <c r="D168" s="34">
        <f t="shared" si="67"/>
        <v>131.87432958089587</v>
      </c>
      <c r="F168" s="32">
        <v>43738</v>
      </c>
      <c r="G168" s="19">
        <v>1052.0784000000001</v>
      </c>
      <c r="H168" s="19">
        <f t="shared" si="68"/>
        <v>1138.2752902093907</v>
      </c>
      <c r="I168" s="40">
        <f t="shared" ref="I168:I169" si="69">+(((H168)/H167)-1)/(F168-F167)*30</f>
        <v>2.2406724323575933E-3</v>
      </c>
      <c r="J168" s="33">
        <f t="shared" ref="J168:J169" si="70">+J167*(1+I168)</f>
        <v>177.18439535374745</v>
      </c>
      <c r="K168" s="18">
        <v>3454.424</v>
      </c>
      <c r="L168" s="40">
        <f t="shared" ref="L168" si="71">+(K168/K167-1)/(F168-F167)*30</f>
        <v>1.706897390160611E-3</v>
      </c>
      <c r="M168" s="34">
        <f t="shared" ref="M168:M169" si="72">+M167*(1+L168)</f>
        <v>181.24081795260577</v>
      </c>
    </row>
    <row r="169" spans="1:13">
      <c r="A169" s="32">
        <v>43769</v>
      </c>
      <c r="B169" s="18">
        <v>49206.080000000002</v>
      </c>
      <c r="C169" s="40">
        <f t="shared" ref="C169:C170" si="73">B169/B168-1</f>
        <v>-3.2096970326422336E-2</v>
      </c>
      <c r="D169" s="34">
        <f t="shared" ref="D169:D170" si="74">B169/$B$124*100</f>
        <v>127.64156313752102</v>
      </c>
      <c r="F169" s="32">
        <v>43769</v>
      </c>
      <c r="G169" s="19">
        <v>1042.2094</v>
      </c>
      <c r="H169" s="19">
        <f t="shared" ref="H169:H170" si="75">+G169+$S$138+$S$140+$S$142</f>
        <v>1128.4062902093906</v>
      </c>
      <c r="I169" s="40">
        <f t="shared" si="69"/>
        <v>-8.3904528574397404E-3</v>
      </c>
      <c r="J169" s="33">
        <f t="shared" si="70"/>
        <v>175.69773803745787</v>
      </c>
      <c r="K169" s="18">
        <v>3345.7586999999999</v>
      </c>
      <c r="L169" s="40">
        <f>+(K169/K168-1)/(F169-F168)*30</f>
        <v>-3.044211357434282E-2</v>
      </c>
      <c r="M169" s="34">
        <f t="shared" si="72"/>
        <v>175.72346438818576</v>
      </c>
    </row>
    <row r="170" spans="1:13">
      <c r="A170" s="32">
        <v>43799</v>
      </c>
      <c r="B170" s="18">
        <v>48129.06</v>
      </c>
      <c r="C170" s="40">
        <f t="shared" si="73"/>
        <v>-2.1887945554695754E-2</v>
      </c>
      <c r="D170" s="34">
        <f t="shared" si="74"/>
        <v>124.84775155305068</v>
      </c>
      <c r="F170" s="32">
        <v>43799</v>
      </c>
      <c r="G170" s="19">
        <v>970.82029999999997</v>
      </c>
      <c r="H170" s="19">
        <f t="shared" si="75"/>
        <v>1057.0171902093905</v>
      </c>
      <c r="I170" s="40">
        <f t="shared" ref="I170:I171" si="76">+(((H170)/H169)-1)/(F170-F169)*30</f>
        <v>-6.3265421878101136E-2</v>
      </c>
      <c r="J170" s="33">
        <f t="shared" ref="J170:J171" si="77">+J169*(1+I170)</f>
        <v>164.58214651749</v>
      </c>
      <c r="K170" s="18">
        <v>3266.6896000000002</v>
      </c>
      <c r="L170" s="40">
        <f t="shared" ref="L170" si="78">+(K170/K169-1)/(F170-F169)*30</f>
        <v>-2.363263674693572E-2</v>
      </c>
      <c r="M170" s="34">
        <f t="shared" ref="M170:M171" si="79">+M169*(1+L170)</f>
        <v>171.57065558638666</v>
      </c>
    </row>
    <row r="171" spans="1:13">
      <c r="A171" s="32">
        <v>43830</v>
      </c>
      <c r="B171" s="18">
        <v>49287.77</v>
      </c>
      <c r="C171" s="40">
        <f t="shared" ref="C171:C172" si="80">B171/B170-1</f>
        <v>2.4075059849496316E-2</v>
      </c>
      <c r="D171" s="34">
        <f t="shared" ref="D171:D172" si="81">B171/$B$124*100</f>
        <v>127.85346864376544</v>
      </c>
      <c r="F171" s="32">
        <v>43830</v>
      </c>
      <c r="G171" s="19">
        <v>974.22140000000002</v>
      </c>
      <c r="H171" s="19">
        <f t="shared" ref="H171:H172" si="82">+G171+$S$138+$S$140+$S$142</f>
        <v>1060.4182902093905</v>
      </c>
      <c r="I171" s="40">
        <f t="shared" si="76"/>
        <v>3.1138444362691173E-3</v>
      </c>
      <c r="J171" s="33">
        <f t="shared" si="77"/>
        <v>165.0946297187327</v>
      </c>
      <c r="K171" s="18">
        <v>3344.3476999999998</v>
      </c>
      <c r="L171" s="40">
        <f>+(K171/K170-1)/(F171-F170)*30</f>
        <v>2.3005858897643644E-2</v>
      </c>
      <c r="M171" s="34">
        <f t="shared" si="79"/>
        <v>175.51778587978328</v>
      </c>
    </row>
    <row r="172" spans="1:13">
      <c r="A172" s="32">
        <v>43861</v>
      </c>
      <c r="B172" s="18">
        <v>49676.22</v>
      </c>
      <c r="C172" s="40">
        <f t="shared" si="80"/>
        <v>7.8812654741735599E-3</v>
      </c>
      <c r="D172" s="34">
        <f t="shared" si="81"/>
        <v>128.86111577194086</v>
      </c>
      <c r="F172" s="32">
        <v>43861</v>
      </c>
      <c r="G172" s="19">
        <v>969.15390000000002</v>
      </c>
      <c r="H172" s="19">
        <f t="shared" si="82"/>
        <v>1055.3507902093907</v>
      </c>
      <c r="I172" s="40">
        <f t="shared" ref="I172:I173" si="83">+(((H172)/H171)-1)/(F172-F171)*30</f>
        <v>-4.6246205891978696E-3</v>
      </c>
      <c r="J172" s="33">
        <f t="shared" ref="J172:J173" si="84">+J171*(1+I172)</f>
        <v>164.33112969496946</v>
      </c>
      <c r="K172" s="18">
        <v>3375.2496999999998</v>
      </c>
      <c r="L172" s="40">
        <f t="shared" ref="L172" si="85">+(K172/K171-1)/(F172-F171)*30</f>
        <v>8.9420012429696979E-3</v>
      </c>
      <c r="M172" s="34">
        <f t="shared" ref="M172:M173" si="86">+M171*(1+L172)</f>
        <v>177.0872661392836</v>
      </c>
    </row>
    <row r="173" spans="1:13">
      <c r="A173" s="32">
        <v>43890</v>
      </c>
      <c r="B173" s="18">
        <v>48396.35</v>
      </c>
      <c r="C173" s="40">
        <f t="shared" ref="C173:C174" si="87">B173/B172-1</f>
        <v>-2.5764238905456205E-2</v>
      </c>
      <c r="D173" s="34">
        <f t="shared" ref="D173:D174" si="88">B173/$B$124*100</f>
        <v>125.54110719956893</v>
      </c>
      <c r="F173" s="32">
        <v>43890</v>
      </c>
      <c r="G173" s="19">
        <v>948.11990000000003</v>
      </c>
      <c r="H173" s="19">
        <f t="shared" ref="H173:H174" si="89">+G173+$S$138+$S$140+$S$142</f>
        <v>1034.3167902093905</v>
      </c>
      <c r="I173" s="40">
        <f t="shared" si="83"/>
        <v>-2.0618083149878997E-2</v>
      </c>
      <c r="J173" s="33">
        <f t="shared" si="84"/>
        <v>160.94293679880502</v>
      </c>
      <c r="K173" s="18">
        <v>3320.4373000000001</v>
      </c>
      <c r="L173" s="40">
        <f>+(K173/K172-1)/(F173-F172)*30</f>
        <v>-1.6799492718604064E-2</v>
      </c>
      <c r="M173" s="34">
        <f t="shared" si="86"/>
        <v>174.11228990121921</v>
      </c>
    </row>
    <row r="174" spans="1:13">
      <c r="A174" s="32">
        <v>43921</v>
      </c>
      <c r="B174" s="18">
        <v>47303.89</v>
      </c>
      <c r="C174" s="40">
        <f t="shared" si="87"/>
        <v>-2.2573189920314207E-2</v>
      </c>
      <c r="D174" s="18">
        <f t="shared" si="88"/>
        <v>122.70724394394652</v>
      </c>
      <c r="F174" s="32">
        <v>43921</v>
      </c>
      <c r="G174" s="19">
        <v>945.54250000000002</v>
      </c>
      <c r="H174" s="19">
        <f t="shared" si="89"/>
        <v>1031.7393902093906</v>
      </c>
      <c r="I174" s="40">
        <f t="shared" ref="I174:I175" si="90">+(((H174)/H173)-1)/(F174-F173)*30</f>
        <v>-2.41150302124664E-3</v>
      </c>
      <c r="J174" s="33">
        <f t="shared" ref="J174:J175" si="91">+J173*(1+I174)</f>
        <v>160.55482242046639</v>
      </c>
      <c r="K174" s="18">
        <v>3267.0590000000002</v>
      </c>
      <c r="L174" s="40">
        <f t="shared" ref="L174" si="92">+(K174/K173-1)/(F174-F173)*30</f>
        <v>-1.5557113322043025E-2</v>
      </c>
      <c r="M174" s="34">
        <f t="shared" ref="M174:M175" si="93">+M173*(1+L174)</f>
        <v>171.40360527646553</v>
      </c>
    </row>
    <row r="175" spans="1:13">
      <c r="A175" s="32">
        <v>43951</v>
      </c>
      <c r="B175" s="18">
        <v>49778.35</v>
      </c>
      <c r="C175" s="40">
        <f t="shared" ref="C175:C176" si="94">B175/B174-1</f>
        <v>5.230986288865469E-2</v>
      </c>
      <c r="D175" s="34">
        <f t="shared" ref="D175:D176" si="95">B175/$B$124*100</f>
        <v>129.12604305009907</v>
      </c>
      <c r="F175" s="32">
        <v>43951</v>
      </c>
      <c r="G175" s="19">
        <v>954.7595</v>
      </c>
      <c r="H175" s="19">
        <f t="shared" ref="H175:H176" si="96">+G175+$S$138+$S$140+$S$142</f>
        <v>1040.9563902093905</v>
      </c>
      <c r="I175" s="40">
        <f t="shared" si="90"/>
        <v>8.9334575062887112E-3</v>
      </c>
      <c r="J175" s="33">
        <f t="shared" si="91"/>
        <v>161.98913210398936</v>
      </c>
      <c r="K175" s="18">
        <v>3213.6806999999999</v>
      </c>
      <c r="L175" s="40">
        <f>+(K175/K174-1)/(F175-F174)*30</f>
        <v>-1.6338333651152448E-2</v>
      </c>
      <c r="M175" s="34">
        <f t="shared" si="93"/>
        <v>168.60315598444819</v>
      </c>
    </row>
    <row r="176" spans="1:13">
      <c r="A176" s="32">
        <v>43982</v>
      </c>
      <c r="B176" s="18">
        <v>51873.01</v>
      </c>
      <c r="C176" s="40">
        <f t="shared" si="94"/>
        <v>4.2079739485137768E-2</v>
      </c>
      <c r="D176" s="18">
        <f t="shared" si="95"/>
        <v>134.55963330239391</v>
      </c>
      <c r="F176" s="32">
        <v>43982</v>
      </c>
      <c r="G176" s="19">
        <v>961.13459999999998</v>
      </c>
      <c r="H176" s="19">
        <f t="shared" si="96"/>
        <v>1047.3314902093905</v>
      </c>
      <c r="I176" s="40">
        <f t="shared" ref="I176:I178" si="97">+(((H176)/H175)-1)/(F176-F175)*30</f>
        <v>5.9267147701184018E-3</v>
      </c>
      <c r="J176" s="33">
        <f t="shared" ref="J176:J178" si="98">+J175*(1+I176)</f>
        <v>162.94919548582871</v>
      </c>
      <c r="K176" s="18">
        <v>3432.1916999999999</v>
      </c>
      <c r="L176" s="40">
        <f t="shared" ref="L176:L178" si="99">+(K176/K175-1)/(F176-F175)*30</f>
        <v>6.5800643500306608E-2</v>
      </c>
      <c r="M176" s="34">
        <f t="shared" ref="M176:M178" si="100">+M175*(1+L176)</f>
        <v>179.69735214440746</v>
      </c>
    </row>
    <row r="177" spans="1:13">
      <c r="A177" s="32">
        <v>44012</v>
      </c>
      <c r="B177" s="18">
        <v>52040.51</v>
      </c>
      <c r="C177" s="40">
        <f t="shared" ref="C177:C178" si="101">B177/B176-1</f>
        <v>3.2290395332756905E-3</v>
      </c>
      <c r="D177" s="34">
        <f t="shared" ref="D177:D178" si="102">B177/$B$124*100</f>
        <v>134.99413167791042</v>
      </c>
      <c r="F177" s="32">
        <v>44012</v>
      </c>
      <c r="G177" s="19">
        <v>960.76829999999995</v>
      </c>
      <c r="H177" s="19">
        <f t="shared" ref="H177:H178" si="103">+G177+$S$138+$S$140+$S$142</f>
        <v>1046.9651902093906</v>
      </c>
      <c r="I177" s="40">
        <f t="shared" si="97"/>
        <v>-3.4974600059689553E-4</v>
      </c>
      <c r="J177" s="33">
        <f t="shared" si="98"/>
        <v>162.89220465640707</v>
      </c>
      <c r="K177" s="18">
        <v>3417.6192000000001</v>
      </c>
      <c r="L177" s="40">
        <f t="shared" si="99"/>
        <v>-4.2458292757947547E-3</v>
      </c>
      <c r="M177" s="34">
        <f t="shared" si="100"/>
        <v>178.93438786588993</v>
      </c>
    </row>
    <row r="178" spans="1:13">
      <c r="A178" s="32">
        <v>44043</v>
      </c>
      <c r="B178" s="18">
        <v>51737.69</v>
      </c>
      <c r="C178" s="40">
        <f t="shared" si="101"/>
        <v>-5.818928369456744E-3</v>
      </c>
      <c r="D178" s="18">
        <f t="shared" si="102"/>
        <v>134.20861049537962</v>
      </c>
      <c r="F178" s="32">
        <v>44043</v>
      </c>
      <c r="G178" s="19">
        <v>960.42100000000005</v>
      </c>
      <c r="H178" s="19">
        <f t="shared" si="103"/>
        <v>1046.6178902093907</v>
      </c>
      <c r="I178" s="40">
        <f t="shared" si="97"/>
        <v>-3.2102000843624258E-4</v>
      </c>
      <c r="J178" s="33">
        <f t="shared" si="98"/>
        <v>162.83991299949406</v>
      </c>
      <c r="K178" s="18">
        <v>3404.7150999999999</v>
      </c>
      <c r="L178" s="40">
        <f t="shared" si="99"/>
        <v>-3.6539584953401791E-3</v>
      </c>
      <c r="M178" s="34">
        <f t="shared" si="100"/>
        <v>178.28056903923886</v>
      </c>
    </row>
    <row r="179" spans="1:13">
      <c r="A179" s="32">
        <v>44074</v>
      </c>
      <c r="B179" s="34">
        <v>52816.987142857142</v>
      </c>
      <c r="C179" s="40">
        <f t="shared" ref="C179:C180" si="104">B179/B178-1</f>
        <v>2.086094572171926E-2</v>
      </c>
      <c r="D179" s="34">
        <f t="shared" ref="D179:D180" si="105">B179/$B$124*100</f>
        <v>137.00832903431112</v>
      </c>
      <c r="F179" s="32">
        <v>44074</v>
      </c>
      <c r="G179" s="19">
        <v>981.42470000000003</v>
      </c>
      <c r="H179" s="19">
        <f t="shared" ref="H179:H189" si="106">+G179+$S$138+$S$140+$S$142</f>
        <v>1067.6215902093907</v>
      </c>
      <c r="I179" s="40">
        <f t="shared" ref="I179:I189" si="107">+(((H179)/H178)-1)/(F179-F178)*30</f>
        <v>1.9420804364672174E-2</v>
      </c>
      <c r="J179" s="33">
        <f t="shared" ref="J179:J189" si="108">+J178*(1+I179)</f>
        <v>166.00239509261746</v>
      </c>
      <c r="K179" s="18">
        <v>3478.3145</v>
      </c>
      <c r="L179" s="40">
        <f t="shared" ref="L179:L180" si="109">+(K179/K178-1)/(F179-F178)*30</f>
        <v>2.091958466846507E-2</v>
      </c>
      <c r="M179" s="34">
        <f t="shared" ref="M179:M180" si="110">+M178*(1+L179)</f>
        <v>182.01012449799734</v>
      </c>
    </row>
    <row r="180" spans="1:13">
      <c r="A180" s="32">
        <v>44104</v>
      </c>
      <c r="B180" s="18">
        <v>51374.22</v>
      </c>
      <c r="C180" s="40">
        <f t="shared" si="104"/>
        <v>-2.7316346897160337E-2</v>
      </c>
      <c r="D180" s="18">
        <f t="shared" si="105"/>
        <v>133.26576199060958</v>
      </c>
      <c r="F180" s="32">
        <v>44104</v>
      </c>
      <c r="G180" s="19">
        <v>964.54319999999996</v>
      </c>
      <c r="H180" s="19">
        <f t="shared" si="106"/>
        <v>1050.7400902093905</v>
      </c>
      <c r="I180" s="40">
        <f t="shared" si="107"/>
        <v>-1.5812250477895695E-2</v>
      </c>
      <c r="J180" s="33">
        <f t="shared" si="108"/>
        <v>163.37752364148238</v>
      </c>
      <c r="K180" s="18">
        <v>3421.9854</v>
      </c>
      <c r="L180" s="40">
        <f t="shared" si="109"/>
        <v>-1.6194366553110684E-2</v>
      </c>
      <c r="M180" s="34">
        <f t="shared" si="110"/>
        <v>179.06258582549947</v>
      </c>
    </row>
    <row r="181" spans="1:13">
      <c r="A181" s="32">
        <v>44135</v>
      </c>
      <c r="F181" s="32">
        <v>44135</v>
      </c>
      <c r="G181" s="19">
        <v>966.08209999999997</v>
      </c>
      <c r="H181" s="19">
        <f t="shared" si="106"/>
        <v>1052.2789902093905</v>
      </c>
      <c r="I181" s="40">
        <f t="shared" si="107"/>
        <v>1.4173420034057117E-3</v>
      </c>
      <c r="J181" s="33">
        <f t="shared" si="108"/>
        <v>163.60908546815187</v>
      </c>
    </row>
    <row r="182" spans="1:13">
      <c r="A182" s="32">
        <v>44165</v>
      </c>
      <c r="F182" s="32">
        <v>44165</v>
      </c>
      <c r="G182" s="19">
        <v>968.15700000000004</v>
      </c>
      <c r="H182" s="19">
        <f t="shared" si="106"/>
        <v>1054.3538902093906</v>
      </c>
      <c r="I182" s="40">
        <f t="shared" si="107"/>
        <v>1.9718154779344577E-3</v>
      </c>
      <c r="J182" s="33">
        <f t="shared" si="108"/>
        <v>163.93169239520867</v>
      </c>
    </row>
    <row r="183" spans="1:13">
      <c r="A183" s="32">
        <v>44196</v>
      </c>
      <c r="F183" s="32">
        <v>44196</v>
      </c>
      <c r="G183" s="19">
        <v>996.10080000000005</v>
      </c>
      <c r="H183" s="19">
        <f t="shared" si="106"/>
        <v>1082.2976902093906</v>
      </c>
      <c r="I183" s="40">
        <f t="shared" si="107"/>
        <v>2.5648302100354174E-2</v>
      </c>
      <c r="J183" s="33">
        <f t="shared" si="108"/>
        <v>168.13626196558332</v>
      </c>
    </row>
    <row r="184" spans="1:13">
      <c r="A184" s="32">
        <v>44227</v>
      </c>
      <c r="F184" s="32">
        <v>44227</v>
      </c>
      <c r="G184" s="19">
        <v>1004.1758</v>
      </c>
      <c r="H184" s="19">
        <f t="shared" si="106"/>
        <v>1090.3726902093906</v>
      </c>
      <c r="I184" s="40">
        <f t="shared" si="107"/>
        <v>7.2203019554818049E-3</v>
      </c>
      <c r="J184" s="33">
        <f t="shared" si="108"/>
        <v>169.35025654664079</v>
      </c>
    </row>
    <row r="185" spans="1:13">
      <c r="A185" s="32">
        <v>44255</v>
      </c>
      <c r="F185" s="32">
        <v>44255</v>
      </c>
      <c r="G185" s="19">
        <v>997.17470000000003</v>
      </c>
      <c r="H185" s="19">
        <f t="shared" si="106"/>
        <v>1083.3715902093907</v>
      </c>
      <c r="I185" s="40">
        <f t="shared" si="107"/>
        <v>-6.879462993509119E-3</v>
      </c>
      <c r="J185" s="33">
        <f t="shared" si="108"/>
        <v>168.18521772378691</v>
      </c>
    </row>
    <row r="186" spans="1:13">
      <c r="A186" s="32">
        <v>44286</v>
      </c>
      <c r="F186" s="32">
        <v>44286</v>
      </c>
      <c r="G186" s="19">
        <v>981.21749999999997</v>
      </c>
      <c r="H186" s="19">
        <f t="shared" si="106"/>
        <v>1067.4143902093906</v>
      </c>
      <c r="I186" s="40">
        <f t="shared" si="107"/>
        <v>-1.4254067350906497E-2</v>
      </c>
      <c r="J186" s="33">
        <f t="shared" si="108"/>
        <v>165.78789430292517</v>
      </c>
    </row>
    <row r="187" spans="1:13">
      <c r="A187" s="32">
        <v>44316</v>
      </c>
      <c r="F187" s="32">
        <v>44316</v>
      </c>
      <c r="G187" s="19">
        <v>957.52149999999995</v>
      </c>
      <c r="H187" s="19">
        <f t="shared" si="106"/>
        <v>1043.7183902093905</v>
      </c>
      <c r="I187" s="40">
        <f t="shared" si="107"/>
        <v>-2.2199438397445426E-2</v>
      </c>
      <c r="J187" s="33">
        <f t="shared" si="108"/>
        <v>162.10749615630519</v>
      </c>
    </row>
    <row r="188" spans="1:13">
      <c r="A188" s="32">
        <v>44347</v>
      </c>
      <c r="F188" s="32">
        <v>44347</v>
      </c>
      <c r="G188" s="19">
        <v>956.5385</v>
      </c>
      <c r="H188" s="19">
        <f t="shared" si="106"/>
        <v>1042.7353902093905</v>
      </c>
      <c r="I188" s="40">
        <f t="shared" si="107"/>
        <v>-9.1144348083173387E-4</v>
      </c>
      <c r="J188" s="33">
        <f t="shared" si="108"/>
        <v>161.95974433573957</v>
      </c>
    </row>
    <row r="189" spans="1:13">
      <c r="A189" s="32">
        <v>44377</v>
      </c>
      <c r="F189" s="32">
        <v>44377</v>
      </c>
      <c r="G189" s="19">
        <v>940.71749999999997</v>
      </c>
      <c r="H189" s="19">
        <f t="shared" si="106"/>
        <v>1026.9143902093906</v>
      </c>
      <c r="I189" s="40">
        <f t="shared" si="107"/>
        <v>-1.5172593304637829E-2</v>
      </c>
      <c r="J189" s="33">
        <f t="shared" si="108"/>
        <v>159.50239500321027</v>
      </c>
    </row>
    <row r="190" spans="1:13">
      <c r="A190" s="32">
        <v>44408</v>
      </c>
      <c r="F190" s="32">
        <v>44408</v>
      </c>
    </row>
    <row r="191" spans="1:13">
      <c r="A191" s="32">
        <v>44439</v>
      </c>
      <c r="F191" s="32">
        <v>44439</v>
      </c>
    </row>
    <row r="192" spans="1:13">
      <c r="A192" s="32">
        <v>44469</v>
      </c>
      <c r="F192" s="32">
        <v>44469</v>
      </c>
    </row>
    <row r="193" spans="1:6">
      <c r="A193" s="32">
        <v>44500</v>
      </c>
      <c r="F193" s="32">
        <v>44500</v>
      </c>
    </row>
    <row r="194" spans="1:6">
      <c r="A194" s="32">
        <v>44530</v>
      </c>
      <c r="F194" s="32">
        <v>44530</v>
      </c>
    </row>
    <row r="195" spans="1:6">
      <c r="A195" s="32">
        <v>44561</v>
      </c>
      <c r="F195" s="32">
        <v>44561</v>
      </c>
    </row>
  </sheetData>
  <mergeCells count="5">
    <mergeCell ref="AV28:AV29"/>
    <mergeCell ref="AC39:AC41"/>
    <mergeCell ref="AC42:AC44"/>
    <mergeCell ref="AC45:AC47"/>
    <mergeCell ref="AC48:AC5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4"/>
  <sheetViews>
    <sheetView showGridLines="0" topLeftCell="H1" zoomScaleNormal="100" workbookViewId="0">
      <selection activeCell="T3" sqref="T3:T4"/>
    </sheetView>
  </sheetViews>
  <sheetFormatPr baseColWidth="10" defaultRowHeight="15"/>
  <cols>
    <col min="1" max="1" width="14.28515625" bestFit="1" customWidth="1"/>
    <col min="2" max="2" width="15.28515625" bestFit="1" customWidth="1"/>
    <col min="9" max="10" width="11.5703125" customWidth="1"/>
    <col min="11" max="11" width="15.7109375" bestFit="1" customWidth="1"/>
    <col min="12" max="12" width="12.140625" bestFit="1" customWidth="1"/>
    <col min="13" max="13" width="11.5703125" customWidth="1"/>
    <col min="14" max="14" width="16.140625" bestFit="1" customWidth="1"/>
    <col min="15" max="15" width="34.85546875" customWidth="1"/>
  </cols>
  <sheetData>
    <row r="1" spans="1:20">
      <c r="B1" s="3"/>
      <c r="C1" s="1"/>
      <c r="J1" s="2" t="s">
        <v>8</v>
      </c>
      <c r="K1" s="3"/>
      <c r="L1" s="4"/>
      <c r="N1" s="2" t="s">
        <v>3</v>
      </c>
      <c r="O1" s="3"/>
      <c r="P1" s="4"/>
      <c r="R1" s="2" t="s">
        <v>0</v>
      </c>
      <c r="S1" s="3"/>
      <c r="T1" s="4"/>
    </row>
    <row r="2" spans="1:20">
      <c r="C2" s="1"/>
      <c r="O2" s="11" t="s">
        <v>51</v>
      </c>
      <c r="P2" s="12">
        <v>0</v>
      </c>
    </row>
    <row r="3" spans="1:20">
      <c r="C3" s="1"/>
      <c r="K3" s="11" t="s">
        <v>52</v>
      </c>
      <c r="L3" s="12">
        <v>0.187243372572339</v>
      </c>
      <c r="O3" s="11" t="s">
        <v>4</v>
      </c>
      <c r="P3" s="12">
        <v>0</v>
      </c>
      <c r="S3" s="11" t="s">
        <v>1</v>
      </c>
      <c r="T3" s="12">
        <v>0.187243372572339</v>
      </c>
    </row>
    <row r="4" spans="1:20">
      <c r="C4" s="1"/>
      <c r="K4" s="11" t="s">
        <v>53</v>
      </c>
      <c r="L4" s="12">
        <v>0</v>
      </c>
      <c r="O4" s="11" t="s">
        <v>5</v>
      </c>
      <c r="P4" s="12">
        <v>0</v>
      </c>
      <c r="S4" s="11" t="s">
        <v>2</v>
      </c>
      <c r="T4" s="12">
        <v>0.81275662742766097</v>
      </c>
    </row>
    <row r="5" spans="1:20">
      <c r="A5" s="3"/>
      <c r="B5" s="3"/>
      <c r="C5" s="1"/>
      <c r="K5" s="11" t="s">
        <v>55</v>
      </c>
      <c r="L5" s="12">
        <v>0.21722402866135501</v>
      </c>
      <c r="O5" s="11" t="s">
        <v>43</v>
      </c>
      <c r="P5" s="12">
        <v>1</v>
      </c>
    </row>
    <row r="6" spans="1:20">
      <c r="A6" s="3"/>
      <c r="B6" s="3"/>
      <c r="C6" s="1"/>
      <c r="K6" s="11" t="s">
        <v>54</v>
      </c>
      <c r="L6" s="12">
        <v>0.59553259876630604</v>
      </c>
      <c r="O6" s="3" t="s">
        <v>6</v>
      </c>
      <c r="P6" s="5">
        <v>0</v>
      </c>
    </row>
    <row r="7" spans="1:20">
      <c r="B7" s="3"/>
      <c r="C7" s="1"/>
    </row>
    <row r="8" spans="1:20">
      <c r="C8" s="1"/>
    </row>
    <row r="9" spans="1:20">
      <c r="C9" s="1"/>
    </row>
    <row r="10" spans="1:20">
      <c r="C10" s="1"/>
    </row>
    <row r="11" spans="1:20">
      <c r="C11" s="1"/>
    </row>
    <row r="12" spans="1:20" hidden="1">
      <c r="C12" s="1"/>
    </row>
    <row r="13" spans="1:20">
      <c r="C13" s="1"/>
    </row>
    <row r="14" spans="1:20" hidden="1">
      <c r="A14" s="3" t="s">
        <v>7</v>
      </c>
      <c r="B14" s="5">
        <v>0</v>
      </c>
      <c r="C14" s="1"/>
    </row>
    <row r="15" spans="1:20">
      <c r="A15" s="3"/>
      <c r="B15" s="5"/>
      <c r="C15" s="1"/>
    </row>
    <row r="16" spans="1:20">
      <c r="B16" s="3"/>
      <c r="C16" s="1"/>
    </row>
    <row r="17" spans="1:14">
      <c r="C17" s="1"/>
    </row>
    <row r="18" spans="1:14">
      <c r="C18" s="1"/>
    </row>
    <row r="19" spans="1:14">
      <c r="C19" s="1"/>
    </row>
    <row r="20" spans="1:14">
      <c r="C20" s="1"/>
    </row>
    <row r="21" spans="1:14">
      <c r="C21" s="1"/>
      <c r="N21" s="6"/>
    </row>
    <row r="22" spans="1:14">
      <c r="A22" s="1"/>
      <c r="B22" s="1"/>
      <c r="C22" s="1"/>
    </row>
    <row r="23" spans="1:14">
      <c r="A23" s="1"/>
      <c r="B23" s="1"/>
      <c r="C23" s="1"/>
    </row>
    <row r="24" spans="1:14">
      <c r="A24" s="1"/>
      <c r="B24" s="1"/>
      <c r="C24" s="1"/>
    </row>
  </sheetData>
  <autoFilter ref="K1:T24" xr:uid="{00000000-0009-0000-0000-000001000000}">
    <sortState xmlns:xlrd2="http://schemas.microsoft.com/office/spreadsheetml/2017/richdata2" ref="K2:T24">
      <sortCondition descending="1" ref="P1:P24"/>
    </sortState>
  </autoFilter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X19"/>
  <sheetViews>
    <sheetView showGridLines="0" topLeftCell="A3" zoomScale="85" zoomScaleNormal="85" workbookViewId="0">
      <selection activeCell="Q6" sqref="C6:Q19"/>
    </sheetView>
  </sheetViews>
  <sheetFormatPr baseColWidth="10" defaultRowHeight="15"/>
  <cols>
    <col min="3" max="3" width="11.5703125" style="7"/>
    <col min="4" max="4" width="18.85546875" customWidth="1"/>
    <col min="5" max="17" width="10.140625" customWidth="1"/>
    <col min="19" max="19" width="18.42578125" bestFit="1" customWidth="1"/>
    <col min="24" max="24" width="16" bestFit="1" customWidth="1"/>
  </cols>
  <sheetData>
    <row r="5" spans="2:24">
      <c r="B5" s="14"/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2:24" ht="19.899999999999999" customHeight="1">
      <c r="B6" s="14"/>
      <c r="C6" s="8" t="s">
        <v>9</v>
      </c>
      <c r="D6" s="9" t="s">
        <v>10</v>
      </c>
      <c r="E6" s="13" t="s">
        <v>11</v>
      </c>
      <c r="F6" s="13" t="s">
        <v>12</v>
      </c>
      <c r="G6" s="13" t="s">
        <v>13</v>
      </c>
      <c r="H6" s="13" t="s">
        <v>14</v>
      </c>
      <c r="I6" s="13" t="s">
        <v>15</v>
      </c>
      <c r="J6" s="13" t="s">
        <v>16</v>
      </c>
      <c r="K6" s="13" t="s">
        <v>17</v>
      </c>
      <c r="L6" s="13" t="s">
        <v>18</v>
      </c>
      <c r="M6" s="13" t="s">
        <v>19</v>
      </c>
      <c r="N6" s="13" t="s">
        <v>20</v>
      </c>
      <c r="O6" s="13" t="s">
        <v>21</v>
      </c>
      <c r="P6" s="13" t="s">
        <v>22</v>
      </c>
      <c r="Q6" s="13" t="s">
        <v>23</v>
      </c>
      <c r="R6" s="13"/>
      <c r="S6" s="8" t="s">
        <v>26</v>
      </c>
      <c r="T6" s="13" t="s">
        <v>27</v>
      </c>
      <c r="U6" s="13" t="s">
        <v>28</v>
      </c>
      <c r="V6" s="13" t="s">
        <v>29</v>
      </c>
      <c r="W6" s="13" t="s">
        <v>30</v>
      </c>
      <c r="X6" s="13" t="s">
        <v>56</v>
      </c>
    </row>
    <row r="7" spans="2:24" ht="19.899999999999999" customHeight="1">
      <c r="B7" s="14"/>
      <c r="C7" s="15"/>
      <c r="D7" s="14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5"/>
      <c r="T7" s="16"/>
      <c r="U7" s="16"/>
      <c r="V7" s="16"/>
      <c r="W7" s="16"/>
      <c r="X7" s="16"/>
    </row>
    <row r="8" spans="2:24" ht="19.899999999999999" customHeight="1">
      <c r="B8" s="14"/>
      <c r="C8" s="8">
        <v>2017</v>
      </c>
      <c r="D8" s="9" t="s">
        <v>50</v>
      </c>
      <c r="E8" s="17">
        <v>6.2199732986325529E-3</v>
      </c>
      <c r="F8" s="17">
        <v>1.0802234630892915E-2</v>
      </c>
      <c r="G8" s="17">
        <v>7.7018231343977117E-3</v>
      </c>
      <c r="H8" s="17">
        <v>9.2504608198751281E-3</v>
      </c>
      <c r="I8" s="17">
        <v>-9.2066407046065279E-5</v>
      </c>
      <c r="J8" s="17">
        <v>-2.2339693387876114E-3</v>
      </c>
      <c r="K8" s="17">
        <v>-2.6177383518409814E-3</v>
      </c>
      <c r="L8" s="17">
        <v>-1.3326516332056171E-3</v>
      </c>
      <c r="M8" s="17">
        <v>2.8054691789809461E-3</v>
      </c>
      <c r="N8" s="17">
        <v>-1.0192657443952924E-2</v>
      </c>
      <c r="O8" s="17">
        <v>-2.3340717431854507E-3</v>
      </c>
      <c r="P8" s="17">
        <v>8.5339041274135052E-3</v>
      </c>
      <c r="Q8" s="10">
        <v>1.3930636348296499E-2</v>
      </c>
      <c r="R8" s="14"/>
      <c r="S8" s="15" t="s">
        <v>31</v>
      </c>
      <c r="T8" s="17">
        <v>-2.7316346897160337E-2</v>
      </c>
      <c r="U8" s="17">
        <v>-1.2803294971551971E-2</v>
      </c>
      <c r="V8" s="17">
        <v>8.6046411827864544E-2</v>
      </c>
      <c r="W8" s="17">
        <v>1.0551199874424322E-2</v>
      </c>
      <c r="X8" s="10">
        <v>1.3271175925927933E-2</v>
      </c>
    </row>
    <row r="9" spans="2:24" ht="19.899999999999999" customHeight="1">
      <c r="B9" s="14"/>
      <c r="C9" s="8"/>
      <c r="D9" s="9" t="s">
        <v>25</v>
      </c>
      <c r="E9" s="17">
        <v>5.2521351416826107E-3</v>
      </c>
      <c r="F9" s="17">
        <v>9.6938711507545336E-3</v>
      </c>
      <c r="G9" s="17">
        <v>1.9863412947858238E-3</v>
      </c>
      <c r="H9" s="17">
        <v>4.6868674225541973E-3</v>
      </c>
      <c r="I9" s="17">
        <v>-2.62180779643014E-3</v>
      </c>
      <c r="J9" s="17">
        <v>-5.422324107946519E-4</v>
      </c>
      <c r="K9" s="17">
        <v>-3.4045908806503997E-3</v>
      </c>
      <c r="L9" s="17">
        <v>4.2301134733845735E-3</v>
      </c>
      <c r="M9" s="17">
        <v>-5.8631224889311717E-3</v>
      </c>
      <c r="N9" s="17">
        <v>-7.356909687541293E-3</v>
      </c>
      <c r="O9" s="17">
        <v>7.7627494626009153E-4</v>
      </c>
      <c r="P9" s="17">
        <v>7.6190643894861448E-3</v>
      </c>
      <c r="Q9" s="10">
        <v>1.3930636348296499E-2</v>
      </c>
      <c r="R9" s="14"/>
      <c r="S9" s="15" t="s">
        <v>25</v>
      </c>
      <c r="T9" s="17">
        <v>-1.6194366553110684E-2</v>
      </c>
      <c r="U9" s="17">
        <v>1.2775560249660423E-3</v>
      </c>
      <c r="V9" s="17">
        <v>4.7420753650301295E-2</v>
      </c>
      <c r="W9" s="17">
        <v>-9.3904512011264707E-3</v>
      </c>
      <c r="X9" s="10">
        <v>2.4067433738025258E-2</v>
      </c>
    </row>
    <row r="10" spans="2:24" ht="19.899999999999999" customHeight="1">
      <c r="B10" s="14"/>
      <c r="C10" s="8"/>
      <c r="D10" s="9" t="s">
        <v>40</v>
      </c>
      <c r="E10" s="17">
        <v>6.5257122050038814E-3</v>
      </c>
      <c r="F10" s="17">
        <v>3.8465664335060206E-3</v>
      </c>
      <c r="G10" s="17">
        <v>3.0434963623816556E-3</v>
      </c>
      <c r="H10" s="17">
        <v>5.8760837370264163E-3</v>
      </c>
      <c r="I10" s="17">
        <v>-2.0592299603913646E-3</v>
      </c>
      <c r="J10" s="17">
        <v>-3.1502906224916138E-3</v>
      </c>
      <c r="K10" s="17">
        <v>-2.5801548166549276E-3</v>
      </c>
      <c r="L10" s="17">
        <v>1.6676225335389471E-3</v>
      </c>
      <c r="M10" s="17">
        <v>-4.4170734211703699E-3</v>
      </c>
      <c r="N10" s="17">
        <v>-7.4660371304357022E-3</v>
      </c>
      <c r="O10" s="17">
        <v>3.2206123592313229E-3</v>
      </c>
      <c r="P10" s="17">
        <v>8.6864971816007358E-3</v>
      </c>
      <c r="Q10" s="10">
        <v>1.3135084722028623E-2</v>
      </c>
      <c r="R10" s="14"/>
      <c r="S10" s="15" t="s">
        <v>40</v>
      </c>
      <c r="T10" s="17">
        <v>-1.5812250477895695E-2</v>
      </c>
      <c r="U10" s="17">
        <v>3.6055640008860745E-3</v>
      </c>
      <c r="V10" s="17">
        <v>1.8416181625229733E-2</v>
      </c>
      <c r="W10" s="17">
        <v>-7.6901607856125764E-2</v>
      </c>
      <c r="X10" s="10">
        <v>-1.7352146321146268E-2</v>
      </c>
    </row>
    <row r="11" spans="2:24" ht="19.899999999999999" customHeight="1">
      <c r="B11" s="14"/>
      <c r="C11" s="8">
        <v>2018</v>
      </c>
      <c r="D11" s="9" t="s">
        <v>50</v>
      </c>
      <c r="E11" s="17">
        <v>5.1906625124626959E-3</v>
      </c>
      <c r="F11" s="17">
        <v>2.1679242540260102E-3</v>
      </c>
      <c r="G11" s="17">
        <v>6.1177670049867849E-3</v>
      </c>
      <c r="H11" s="17">
        <v>1.1917833923306587E-2</v>
      </c>
      <c r="I11" s="17">
        <v>-2.5394681255650475E-3</v>
      </c>
      <c r="J11" s="17">
        <v>5.3924484285174934E-3</v>
      </c>
      <c r="K11" s="17">
        <v>6.660295863793575E-3</v>
      </c>
      <c r="L11" s="17">
        <v>8.717309083698277E-3</v>
      </c>
      <c r="M11" s="17">
        <v>5.2505742708608416E-4</v>
      </c>
      <c r="N11" s="17">
        <v>-4.0548458852885938E-3</v>
      </c>
      <c r="O11" s="17">
        <v>7.3726974468788509E-3</v>
      </c>
      <c r="P11" s="17">
        <v>1.0395759388714287E-2</v>
      </c>
      <c r="Q11" s="10">
        <v>5.9282622742200308E-2</v>
      </c>
      <c r="R11" s="14"/>
      <c r="S11" s="14"/>
      <c r="T11" s="14"/>
      <c r="U11" s="14"/>
      <c r="V11" s="14"/>
      <c r="W11" s="14"/>
      <c r="X11" s="14"/>
    </row>
    <row r="12" spans="2:24" ht="19.899999999999999" customHeight="1">
      <c r="B12" s="14"/>
      <c r="C12" s="8"/>
      <c r="D12" s="9" t="s">
        <v>25</v>
      </c>
      <c r="E12" s="17">
        <v>5.079332951298021E-3</v>
      </c>
      <c r="F12" s="17">
        <v>7.2026568120613678E-3</v>
      </c>
      <c r="G12" s="17">
        <v>2.3766230952053159E-3</v>
      </c>
      <c r="H12" s="17">
        <v>1.3542210349326567E-4</v>
      </c>
      <c r="I12" s="17">
        <v>5.809103494592311E-3</v>
      </c>
      <c r="J12" s="17">
        <v>4.0386383561057393E-3</v>
      </c>
      <c r="K12" s="17">
        <v>3.6304490149156295E-3</v>
      </c>
      <c r="L12" s="17">
        <v>2.1640173653728503E-3</v>
      </c>
      <c r="M12" s="17">
        <v>4.0864997195644293E-4</v>
      </c>
      <c r="N12" s="17">
        <v>-4.6114787177257395E-3</v>
      </c>
      <c r="O12" s="17">
        <v>2.4986082983700086E-3</v>
      </c>
      <c r="P12" s="17">
        <v>3.0251095639208872E-3</v>
      </c>
      <c r="Q12" s="10">
        <v>3.227498902547099E-2</v>
      </c>
      <c r="R12" s="14"/>
      <c r="S12" s="14"/>
      <c r="T12" s="14"/>
      <c r="U12" s="14"/>
      <c r="V12" s="14"/>
      <c r="W12" s="14"/>
      <c r="X12" s="14"/>
    </row>
    <row r="13" spans="2:24" ht="19.899999999999999" customHeight="1">
      <c r="B13" s="14"/>
      <c r="C13" s="8"/>
      <c r="D13" s="9" t="s">
        <v>40</v>
      </c>
      <c r="E13" s="17">
        <v>5.3018413298450671E-4</v>
      </c>
      <c r="F13" s="17">
        <v>3.2216699140258376E-3</v>
      </c>
      <c r="G13" s="17">
        <v>7.0721350338142485E-3</v>
      </c>
      <c r="H13" s="17">
        <v>3.8972134746342313E-3</v>
      </c>
      <c r="I13" s="17">
        <v>5.3276570783132539E-3</v>
      </c>
      <c r="J13" s="17">
        <v>4.7334612129996678E-3</v>
      </c>
      <c r="K13" s="17">
        <v>3.4225975995723578E-3</v>
      </c>
      <c r="L13" s="17">
        <v>3.0642791395907309E-3</v>
      </c>
      <c r="M13" s="17">
        <v>1.578120230033786E-3</v>
      </c>
      <c r="N13" s="17">
        <v>1.126238791773634E-3</v>
      </c>
      <c r="O13" s="17">
        <v>3.1041203196626732E-3</v>
      </c>
      <c r="P13" s="17">
        <v>6.8518772104853021E-3</v>
      </c>
      <c r="Q13" s="10">
        <v>4.4953348392492209E-2</v>
      </c>
      <c r="R13" s="14"/>
      <c r="S13" s="14"/>
      <c r="T13" s="14"/>
      <c r="U13" s="14"/>
      <c r="V13" s="14"/>
      <c r="W13" s="14"/>
      <c r="X13" s="14"/>
    </row>
    <row r="14" spans="2:24" ht="19.899999999999999" customHeight="1">
      <c r="B14" s="14"/>
      <c r="C14" s="8">
        <v>2019</v>
      </c>
      <c r="D14" s="9" t="s">
        <v>50</v>
      </c>
      <c r="E14" s="17">
        <v>7.6396770391395918E-3</v>
      </c>
      <c r="F14" s="17">
        <v>7.1539416933130706E-3</v>
      </c>
      <c r="G14" s="17">
        <v>1.8803010642900686E-2</v>
      </c>
      <c r="H14" s="17">
        <v>8.5088568526330288E-3</v>
      </c>
      <c r="I14" s="17">
        <v>1.6412879534216218E-2</v>
      </c>
      <c r="J14" s="17">
        <v>2.3458148470250961E-2</v>
      </c>
      <c r="K14" s="17">
        <v>2.9300956895612851E-2</v>
      </c>
      <c r="L14" s="17">
        <v>2.496099743689717E-2</v>
      </c>
      <c r="M14" s="17">
        <v>-3.0990935151475885E-4</v>
      </c>
      <c r="N14" s="17">
        <v>-3.2096970326422336E-2</v>
      </c>
      <c r="O14" s="17">
        <v>-2.1887945554695754E-2</v>
      </c>
      <c r="P14" s="17">
        <v>2.4075059849496316E-2</v>
      </c>
      <c r="Q14" s="10">
        <v>0.10912029999134765</v>
      </c>
      <c r="R14" s="14"/>
      <c r="S14" s="14"/>
      <c r="T14" s="14"/>
      <c r="U14" s="78">
        <f>(+M19+L19+K19)/3</f>
        <v>1.0958446261134121E-3</v>
      </c>
      <c r="V14" s="14"/>
      <c r="W14" s="14"/>
      <c r="X14" s="14"/>
    </row>
    <row r="15" spans="2:24" ht="19.899999999999999" customHeight="1">
      <c r="B15" s="14"/>
      <c r="C15" s="8"/>
      <c r="D15" s="9" t="s">
        <v>25</v>
      </c>
      <c r="E15" s="17">
        <v>5.5019927109284557E-3</v>
      </c>
      <c r="F15" s="17">
        <v>1.5443982346837906E-3</v>
      </c>
      <c r="G15" s="17">
        <v>1.0543737881425701E-2</v>
      </c>
      <c r="H15" s="17">
        <v>7.9952754642602653E-3</v>
      </c>
      <c r="I15" s="17">
        <v>1.3057466607832633E-2</v>
      </c>
      <c r="J15" s="17">
        <v>1.2866379994887822E-2</v>
      </c>
      <c r="K15" s="17">
        <v>1.6598930062201016E-2</v>
      </c>
      <c r="L15" s="17">
        <v>1.2167106442315237E-2</v>
      </c>
      <c r="M15" s="17">
        <v>1.706897390160611E-3</v>
      </c>
      <c r="N15" s="17">
        <v>-3.044211357434282E-2</v>
      </c>
      <c r="O15" s="17">
        <v>-2.363263674693572E-2</v>
      </c>
      <c r="P15" s="17">
        <v>2.3005858897643644E-2</v>
      </c>
      <c r="Q15" s="10">
        <v>5.2237367117716094E-2</v>
      </c>
      <c r="R15" s="14"/>
      <c r="S15" s="14"/>
      <c r="T15" s="14"/>
      <c r="U15" s="14"/>
      <c r="V15" s="14"/>
      <c r="W15" s="14"/>
      <c r="X15" s="14"/>
    </row>
    <row r="16" spans="2:24" ht="19.899999999999999" customHeight="1">
      <c r="B16" s="14"/>
      <c r="C16" s="8"/>
      <c r="D16" s="9" t="s">
        <v>40</v>
      </c>
      <c r="E16" s="17">
        <v>1.0302520170571159E-4</v>
      </c>
      <c r="F16" s="17">
        <v>8.3045272647146778E-5</v>
      </c>
      <c r="G16" s="17">
        <v>5.5188162966177392E-3</v>
      </c>
      <c r="H16" s="17">
        <v>1.0793463028082595E-3</v>
      </c>
      <c r="I16" s="17">
        <v>8.8951855838152166E-3</v>
      </c>
      <c r="J16" s="17">
        <v>1.2191522793755016E-2</v>
      </c>
      <c r="K16" s="17">
        <v>1.0613623158547306E-2</v>
      </c>
      <c r="L16" s="17">
        <v>6.4515317571591001E-3</v>
      </c>
      <c r="M16" s="17">
        <v>2.2406724323575933E-3</v>
      </c>
      <c r="N16" s="17">
        <v>-8.3904528574397404E-3</v>
      </c>
      <c r="O16" s="17">
        <v>-6.3265421878101136E-2</v>
      </c>
      <c r="P16" s="17">
        <v>3.1138444362691173E-3</v>
      </c>
      <c r="Q16" s="10">
        <v>-2.2584688175071421E-2</v>
      </c>
      <c r="R16" s="14"/>
      <c r="S16" s="14"/>
      <c r="T16" s="14"/>
      <c r="U16" s="14"/>
      <c r="V16" s="14"/>
      <c r="W16" s="14"/>
      <c r="X16" s="14"/>
    </row>
    <row r="17" spans="2:24" ht="19.899999999999999" customHeight="1">
      <c r="B17" s="14"/>
      <c r="C17" s="8">
        <v>2020</v>
      </c>
      <c r="D17" s="9" t="s">
        <v>50</v>
      </c>
      <c r="E17" s="17">
        <v>7.8812654741735599E-3</v>
      </c>
      <c r="F17" s="17">
        <v>-2.5764238905456205E-2</v>
      </c>
      <c r="G17" s="17">
        <v>-2.2573189920314207E-2</v>
      </c>
      <c r="H17" s="17">
        <v>5.230986288865469E-2</v>
      </c>
      <c r="I17" s="17">
        <v>4.2079739485137768E-2</v>
      </c>
      <c r="J17" s="17">
        <v>3.2290395332756905E-3</v>
      </c>
      <c r="K17" s="17">
        <v>-5.818928369456744E-3</v>
      </c>
      <c r="L17" s="17">
        <v>2.086094572171926E-2</v>
      </c>
      <c r="M17" s="17">
        <v>-2.7316346897160337E-2</v>
      </c>
      <c r="N17" s="17"/>
      <c r="O17" s="17"/>
      <c r="P17" s="17"/>
      <c r="Q17" s="10">
        <v>1.3271175925927933E-2</v>
      </c>
      <c r="R17" s="14"/>
      <c r="S17" s="14"/>
      <c r="T17" s="14"/>
      <c r="U17" s="14"/>
      <c r="V17" s="14"/>
      <c r="W17" s="14"/>
      <c r="X17" s="14"/>
    </row>
    <row r="18" spans="2:24">
      <c r="C18" s="8"/>
      <c r="D18" s="9" t="s">
        <v>25</v>
      </c>
      <c r="E18" s="17">
        <v>8.9420012429696979E-3</v>
      </c>
      <c r="F18" s="17">
        <v>-1.6799492718604064E-2</v>
      </c>
      <c r="G18" s="17">
        <v>-1.5557113322043025E-2</v>
      </c>
      <c r="H18" s="17">
        <v>-1.6338333651152448E-2</v>
      </c>
      <c r="I18" s="17">
        <v>6.5800643500306608E-2</v>
      </c>
      <c r="J18" s="17">
        <v>-4.2458292757947547E-3</v>
      </c>
      <c r="K18" s="17">
        <v>-3.6539584953401791E-3</v>
      </c>
      <c r="L18" s="17">
        <v>2.091958466846507E-2</v>
      </c>
      <c r="M18" s="17">
        <v>-1.6194366553110684E-2</v>
      </c>
      <c r="N18" s="17"/>
      <c r="O18" s="17"/>
      <c r="P18" s="17"/>
      <c r="Q18" s="10">
        <v>2.4067433738025258E-2</v>
      </c>
    </row>
    <row r="19" spans="2:24">
      <c r="C19" s="8"/>
      <c r="D19" s="9" t="s">
        <v>40</v>
      </c>
      <c r="E19" s="17">
        <v>-4.6246205891978696E-3</v>
      </c>
      <c r="F19" s="17">
        <v>-2.0618083149878997E-2</v>
      </c>
      <c r="G19" s="17">
        <v>-2.41150302124664E-3</v>
      </c>
      <c r="H19" s="17">
        <v>8.9334575062887112E-3</v>
      </c>
      <c r="I19" s="17">
        <v>5.9267147701184018E-3</v>
      </c>
      <c r="J19" s="17">
        <v>-3.4974600059689553E-4</v>
      </c>
      <c r="K19" s="17">
        <v>-3.2102000843624258E-4</v>
      </c>
      <c r="L19" s="17">
        <v>1.9420804364672174E-2</v>
      </c>
      <c r="M19" s="17">
        <v>-1.5812250477895695E-2</v>
      </c>
      <c r="N19" s="17">
        <v>2.0000000000000001E-4</v>
      </c>
      <c r="O19" s="17">
        <v>2.5000000000000001E-3</v>
      </c>
      <c r="P19" s="17">
        <v>-2.7000000000000001E-3</v>
      </c>
      <c r="Q19" s="10">
        <v>-1.7352146321146268E-2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ICP (2)</vt:lpstr>
      <vt:lpstr>composición</vt:lpstr>
      <vt:lpstr>rentabilidad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NCABEZAS</dc:creator>
  <cp:lastModifiedBy>Antolin Goicoechea</cp:lastModifiedBy>
  <dcterms:created xsi:type="dcterms:W3CDTF">2018-12-10T21:02:38Z</dcterms:created>
  <dcterms:modified xsi:type="dcterms:W3CDTF">2021-07-06T02:11:01Z</dcterms:modified>
</cp:coreProperties>
</file>