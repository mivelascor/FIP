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Datos ICP (2)" sheetId="1" state="visible" r:id="rId1"/>
    <sheet xmlns:r="http://schemas.openxmlformats.org/officeDocument/2006/relationships" name="composición" sheetId="2" state="visible" r:id="rId2"/>
    <sheet xmlns:r="http://schemas.openxmlformats.org/officeDocument/2006/relationships" name="rentabilidad" sheetId="3" state="visible" r:id="rId3"/>
  </sheets>
  <definedNames>
    <definedName name="OLE_LINK1" localSheetId="0">'Datos ICP (2)'!#REF!</definedName>
    <definedName name="_xlnm._FilterDatabase" localSheetId="1" hidden="1">'composición'!$K$1:$T$24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0.0000"/>
    <numFmt numFmtId="166" formatCode="#,##0.00_ ;[Red]\-#,##0.00\ "/>
    <numFmt numFmtId="167" formatCode="dd\-mm\-yyyy"/>
    <numFmt numFmtId="168" formatCode="yyyy-mm-dd h:mm:ss"/>
  </numFmts>
  <fonts count="23"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Acumin Pro Extra Light"/>
      <family val="2"/>
      <b val="1"/>
      <sz val="11"/>
    </font>
    <font>
      <name val="Acumin Pro Extra Light"/>
      <family val="2"/>
      <sz val="11"/>
    </font>
    <font>
      <name val="Calibri"/>
      <family val="2"/>
      <color theme="1"/>
      <sz val="11"/>
      <u val="single"/>
      <scheme val="minor"/>
    </font>
    <font>
      <name val="Aileron"/>
      <family val="3"/>
      <color theme="1"/>
      <sz val="11"/>
    </font>
    <font>
      <name val="Calibri"/>
      <family val="2"/>
      <color theme="1"/>
      <sz val="11"/>
      <scheme val="minor"/>
    </font>
    <font>
      <name val="Aileron Light"/>
      <family val="3"/>
      <sz val="11"/>
    </font>
    <font>
      <name val="Aileron Light"/>
      <family val="3"/>
      <color theme="1"/>
      <sz val="11"/>
    </font>
    <font>
      <name val="Calibri"/>
      <family val="2"/>
      <color theme="1"/>
      <sz val="12"/>
      <scheme val="minor"/>
    </font>
    <font>
      <name val="Aileron Light"/>
      <family val="3"/>
      <b val="1"/>
      <color rgb="FF000000"/>
      <sz val="11"/>
    </font>
    <font>
      <name val="Aileron Light"/>
      <family val="3"/>
      <b val="1"/>
      <color rgb="FF000000"/>
      <sz val="8"/>
    </font>
    <font>
      <name val="Aileron Light"/>
      <family val="3"/>
      <color rgb="FF000000"/>
      <sz val="7"/>
    </font>
    <font>
      <name val="Aileron Light"/>
      <family val="3"/>
      <b val="1"/>
      <color rgb="FF000000"/>
      <sz val="7"/>
    </font>
    <font>
      <name val="Aileron Light"/>
      <family val="3"/>
      <b val="1"/>
      <color theme="1"/>
      <sz val="8"/>
    </font>
    <font>
      <name val="Aileron Light"/>
      <family val="3"/>
      <b val="1"/>
      <color rgb="FF000000"/>
      <sz val="9"/>
    </font>
    <font>
      <name val="Aileron Light"/>
      <family val="3"/>
      <color rgb="FF000000"/>
      <sz val="9"/>
    </font>
    <font>
      <name val="Aileron Light"/>
      <family val="3"/>
      <color rgb="FF000000"/>
      <sz val="6"/>
    </font>
    <font>
      <name val="Aileron Light"/>
      <family val="3"/>
      <b val="1"/>
      <color theme="1"/>
      <sz val="10"/>
    </font>
    <font>
      <name val="Aileron Light"/>
      <family val="3"/>
      <b val="1"/>
      <color rgb="FF000000"/>
      <sz val="10"/>
    </font>
    <font>
      <name val="Aileron Light"/>
      <family val="3"/>
      <color rgb="FF000000"/>
      <sz val="10"/>
    </font>
    <font>
      <name val="Aileron Light"/>
      <family val="3"/>
      <color rgb="FF000000"/>
      <sz val="8"/>
    </font>
    <font>
      <name val="Aileron Light"/>
      <family val="3"/>
      <color theme="1"/>
      <sz val="8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0" tint="-0.0499893185216834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7">
    <xf numFmtId="0" fontId="6" fillId="0" borderId="0"/>
    <xf numFmtId="0" fontId="9" fillId="0" borderId="0"/>
    <xf numFmtId="0" fontId="6" fillId="0" borderId="0"/>
    <xf numFmtId="9" fontId="6" fillId="0" borderId="0"/>
    <xf numFmtId="9" fontId="9" fillId="0" borderId="0"/>
    <xf numFmtId="41" fontId="9" fillId="0" borderId="0"/>
    <xf numFmtId="9" fontId="6" fillId="0" borderId="0"/>
  </cellStyleXfs>
  <cellXfs count="8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5" fillId="0" borderId="0" pivotButton="0" quotePrefix="0" xfId="0"/>
    <xf numFmtId="10" fontId="5" fillId="0" borderId="0" applyAlignment="1" pivotButton="0" quotePrefix="0" xfId="0">
      <alignment horizontal="right"/>
    </xf>
    <xf numFmtId="0" fontId="7" fillId="0" borderId="0" pivotButton="0" quotePrefix="0" xfId="0"/>
    <xf numFmtId="10" fontId="7" fillId="0" borderId="0" pivotButton="0" quotePrefix="0" xfId="0"/>
    <xf numFmtId="0" fontId="5" fillId="0" borderId="0" applyAlignment="1" pivotButton="0" quotePrefix="0" xfId="0">
      <alignment horizontal="right"/>
    </xf>
    <xf numFmtId="0" fontId="8" fillId="0" borderId="0" pivotButton="0" quotePrefix="0" xfId="0"/>
    <xf numFmtId="0" fontId="8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right"/>
    </xf>
    <xf numFmtId="10" fontId="8" fillId="0" borderId="0" applyAlignment="1" pivotButton="0" quotePrefix="0" xfId="0">
      <alignment horizontal="right"/>
    </xf>
    <xf numFmtId="0" fontId="8" fillId="0" borderId="0" pivotButton="0" quotePrefix="0" xfId="1"/>
    <xf numFmtId="164" fontId="8" fillId="0" borderId="0" pivotButton="0" quotePrefix="0" xfId="1"/>
    <xf numFmtId="165" fontId="8" fillId="0" borderId="0" pivotButton="0" quotePrefix="0" xfId="1"/>
    <xf numFmtId="0" fontId="8" fillId="4" borderId="0" pivotButton="0" quotePrefix="0" xfId="1"/>
    <xf numFmtId="0" fontId="10" fillId="5" borderId="0" pivotButton="0" quotePrefix="0" xfId="1"/>
    <xf numFmtId="0" fontId="11" fillId="5" borderId="0" applyAlignment="1" pivotButton="0" quotePrefix="0" xfId="1">
      <alignment horizontal="center"/>
    </xf>
    <xf numFmtId="0" fontId="8" fillId="6" borderId="0" pivotButton="0" quotePrefix="0" xfId="1"/>
    <xf numFmtId="0" fontId="8" fillId="0" borderId="0" applyAlignment="1" pivotButton="0" quotePrefix="0" xfId="1">
      <alignment horizontal="center"/>
    </xf>
    <xf numFmtId="164" fontId="8" fillId="0" borderId="0" applyAlignment="1" pivotButton="0" quotePrefix="0" xfId="1">
      <alignment horizontal="center"/>
    </xf>
    <xf numFmtId="0" fontId="8" fillId="0" borderId="1" pivotButton="0" quotePrefix="0" xfId="2"/>
    <xf numFmtId="10" fontId="8" fillId="0" borderId="0" pivotButton="0" quotePrefix="0" xfId="3"/>
    <xf numFmtId="0" fontId="11" fillId="4" borderId="0" applyAlignment="1" pivotButton="0" quotePrefix="0" xfId="1">
      <alignment horizontal="center"/>
    </xf>
    <xf numFmtId="10" fontId="12" fillId="4" borderId="0" applyAlignment="1" pivotButton="0" quotePrefix="0" xfId="4">
      <alignment horizontal="center"/>
    </xf>
    <xf numFmtId="10" fontId="13" fillId="4" borderId="0" applyAlignment="1" pivotButton="0" quotePrefix="0" xfId="4">
      <alignment horizontal="center"/>
    </xf>
    <xf numFmtId="14" fontId="8" fillId="0" borderId="0" pivotButton="0" quotePrefix="0" xfId="1"/>
    <xf numFmtId="4" fontId="8" fillId="0" borderId="0" pivotButton="0" quotePrefix="0" xfId="1"/>
    <xf numFmtId="2" fontId="8" fillId="0" borderId="0" pivotButton="0" quotePrefix="0" xfId="1"/>
    <xf numFmtId="166" fontId="8" fillId="0" borderId="0" pivotButton="0" quotePrefix="0" xfId="1"/>
    <xf numFmtId="0" fontId="11" fillId="6" borderId="0" applyAlignment="1" pivotButton="0" quotePrefix="0" xfId="1">
      <alignment horizontal="center"/>
    </xf>
    <xf numFmtId="10" fontId="12" fillId="6" borderId="0" applyAlignment="1" pivotButton="0" quotePrefix="0" xfId="4">
      <alignment horizontal="center"/>
    </xf>
    <xf numFmtId="10" fontId="13" fillId="6" borderId="0" applyAlignment="1" pivotButton="0" quotePrefix="0" xfId="4">
      <alignment horizontal="center"/>
    </xf>
    <xf numFmtId="167" fontId="8" fillId="0" borderId="0" pivotButton="0" quotePrefix="0" xfId="1"/>
    <xf numFmtId="10" fontId="8" fillId="0" borderId="0" pivotButton="0" quotePrefix="0" xfId="4"/>
    <xf numFmtId="0" fontId="12" fillId="6" borderId="0" applyAlignment="1" pivotButton="0" quotePrefix="0" xfId="1">
      <alignment horizontal="left"/>
    </xf>
    <xf numFmtId="10" fontId="12" fillId="0" borderId="0" applyAlignment="1" pivotButton="0" quotePrefix="0" xfId="4">
      <alignment horizontal="center"/>
    </xf>
    <xf numFmtId="0" fontId="8" fillId="2" borderId="0" pivotButton="0" quotePrefix="0" xfId="1"/>
    <xf numFmtId="0" fontId="10" fillId="5" borderId="0" applyAlignment="1" pivotButton="0" quotePrefix="0" xfId="1">
      <alignment horizontal="right"/>
    </xf>
    <xf numFmtId="0" fontId="8" fillId="2" borderId="0" applyAlignment="1" pivotButton="0" quotePrefix="0" xfId="1">
      <alignment horizontal="right"/>
    </xf>
    <xf numFmtId="14" fontId="8" fillId="2" borderId="0" pivotButton="0" quotePrefix="0" xfId="1"/>
    <xf numFmtId="0" fontId="8" fillId="0" borderId="0" applyAlignment="1" pivotButton="0" quotePrefix="0" xfId="1">
      <alignment horizontal="right"/>
    </xf>
    <xf numFmtId="4" fontId="8" fillId="2" borderId="0" pivotButton="0" quotePrefix="0" xfId="1"/>
    <xf numFmtId="0" fontId="8" fillId="3" borderId="0" pivotButton="0" quotePrefix="0" xfId="1"/>
    <xf numFmtId="0" fontId="14" fillId="7" borderId="0" applyAlignment="1" pivotButton="0" quotePrefix="0" xfId="1">
      <alignment horizontal="center"/>
    </xf>
    <xf numFmtId="0" fontId="15" fillId="8" borderId="0" applyAlignment="1" pivotButton="0" quotePrefix="0" xfId="1">
      <alignment horizontal="center"/>
    </xf>
    <xf numFmtId="0" fontId="15" fillId="7" borderId="0" applyAlignment="1" pivotButton="0" quotePrefix="0" xfId="1">
      <alignment horizontal="center"/>
    </xf>
    <xf numFmtId="0" fontId="11" fillId="0" borderId="0" applyAlignment="1" pivotButton="0" quotePrefix="0" xfId="1">
      <alignment horizontal="center"/>
    </xf>
    <xf numFmtId="10" fontId="16" fillId="8" borderId="0" applyAlignment="1" pivotButton="0" quotePrefix="0" xfId="4">
      <alignment horizontal="center"/>
    </xf>
    <xf numFmtId="10" fontId="16" fillId="7" borderId="0" applyAlignment="1" pivotButton="0" quotePrefix="0" xfId="4">
      <alignment horizontal="center"/>
    </xf>
    <xf numFmtId="0" fontId="8" fillId="7" borderId="0" pivotButton="0" quotePrefix="0" xfId="1"/>
    <xf numFmtId="0" fontId="17" fillId="6" borderId="0" applyAlignment="1" pivotButton="0" quotePrefix="0" xfId="1">
      <alignment horizontal="left"/>
    </xf>
    <xf numFmtId="0" fontId="18" fillId="9" borderId="0" applyAlignment="1" pivotButton="0" quotePrefix="0" xfId="1">
      <alignment horizontal="center"/>
    </xf>
    <xf numFmtId="0" fontId="19" fillId="5" borderId="0" applyAlignment="1" pivotButton="0" quotePrefix="0" xfId="1">
      <alignment horizontal="center"/>
    </xf>
    <xf numFmtId="10" fontId="19" fillId="8" borderId="0" applyAlignment="1" pivotButton="0" quotePrefix="0" xfId="4">
      <alignment horizontal="center"/>
    </xf>
    <xf numFmtId="0" fontId="19" fillId="8" borderId="0" applyAlignment="1" pivotButton="0" quotePrefix="0" xfId="1">
      <alignment horizontal="center"/>
    </xf>
    <xf numFmtId="10" fontId="20" fillId="8" borderId="0" applyAlignment="1" pivotButton="0" quotePrefix="0" xfId="4">
      <alignment horizontal="center"/>
    </xf>
    <xf numFmtId="10" fontId="13" fillId="0" borderId="0" applyAlignment="1" pivotButton="0" quotePrefix="0" xfId="4">
      <alignment horizontal="center"/>
    </xf>
    <xf numFmtId="0" fontId="21" fillId="7" borderId="0" applyAlignment="1" pivotButton="0" quotePrefix="0" xfId="1">
      <alignment horizontal="left"/>
    </xf>
    <xf numFmtId="0" fontId="21" fillId="6" borderId="0" applyAlignment="1" pivotButton="0" quotePrefix="0" xfId="1">
      <alignment horizontal="left"/>
    </xf>
    <xf numFmtId="0" fontId="22" fillId="6" borderId="0" pivotButton="0" quotePrefix="0" xfId="1"/>
    <xf numFmtId="0" fontId="12" fillId="0" borderId="0" applyAlignment="1" pivotButton="0" quotePrefix="0" xfId="1">
      <alignment horizontal="left"/>
    </xf>
    <xf numFmtId="164" fontId="8" fillId="0" borderId="0" pivotButton="0" quotePrefix="0" xfId="4"/>
    <xf numFmtId="0" fontId="22" fillId="0" borderId="0" pivotButton="0" quotePrefix="0" xfId="1"/>
    <xf numFmtId="0" fontId="19" fillId="7" borderId="0" applyAlignment="1" pivotButton="0" quotePrefix="0" xfId="1">
      <alignment horizontal="center"/>
    </xf>
    <xf numFmtId="10" fontId="20" fillId="7" borderId="0" applyAlignment="1" pivotButton="0" quotePrefix="0" xfId="4">
      <alignment horizontal="center"/>
    </xf>
    <xf numFmtId="10" fontId="19" fillId="7" borderId="0" applyAlignment="1" pivotButton="0" quotePrefix="0" xfId="4">
      <alignment horizontal="center"/>
    </xf>
    <xf numFmtId="10" fontId="19" fillId="3" borderId="0" applyAlignment="1" pivotButton="0" quotePrefix="0" xfId="4">
      <alignment horizontal="center"/>
    </xf>
    <xf numFmtId="165" fontId="8" fillId="10" borderId="0" pivotButton="0" quotePrefix="0" xfId="1"/>
    <xf numFmtId="165" fontId="8" fillId="0" borderId="0" pivotButton="0" quotePrefix="0" xfId="5"/>
    <xf numFmtId="10" fontId="8" fillId="0" borderId="0" pivotButton="0" quotePrefix="0" xfId="6"/>
    <xf numFmtId="10" fontId="8" fillId="0" borderId="0" pivotButton="0" quotePrefix="1" xfId="6"/>
    <xf numFmtId="10" fontId="8" fillId="0" borderId="0" pivotButton="0" quotePrefix="0" xfId="0"/>
    <xf numFmtId="0" fontId="11" fillId="7" borderId="0" applyAlignment="1" pivotButton="0" quotePrefix="0" xfId="1">
      <alignment horizontal="center" vertical="center"/>
    </xf>
    <xf numFmtId="0" fontId="18" fillId="3" borderId="0" applyAlignment="1" pivotButton="0" quotePrefix="0" xfId="1">
      <alignment horizontal="center" vertical="center"/>
    </xf>
    <xf numFmtId="0" fontId="18" fillId="2" borderId="0" applyAlignment="1" pivotButton="0" quotePrefix="0" xfId="1">
      <alignment horizontal="center" vertical="center"/>
    </xf>
    <xf numFmtId="168" fontId="0" fillId="0" borderId="0" pivotButton="0" quotePrefix="0" xfId="0"/>
  </cellXfs>
  <cellStyles count="7">
    <cellStyle name="Normal" xfId="0" builtinId="0"/>
    <cellStyle name="Normal 2" xfId="1"/>
    <cellStyle name="Normal 54" xfId="2"/>
    <cellStyle name="Porcentaje 29" xfId="3"/>
    <cellStyle name="Porcentaje 2" xfId="4"/>
    <cellStyle name="Millares [0] 2" xfId="5"/>
    <cellStyle name="Porcentaje" xfId="6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600">
                <a:solidFill>
                  <a:schemeClr val="bg1">
                    <a:lumMod val="50000"/>
                  </a:schemeClr>
                </a:solidFill>
              </a:defRPr>
            </a:pPr>
            <a:r>
              <a:rPr lang="es-CL" sz="1400" b="0">
                <a:solidFill>
                  <a:schemeClr val="bg1">
                    <a:lumMod val="50000"/>
                  </a:schemeClr>
                </a:solidFill>
              </a:rPr>
              <a:t>ICP Normalizada</a:t>
            </a:r>
            <a:endParaRPr lang="es-CL" sz="1400" b="0" baseline="0">
              <a:solidFill>
                <a:schemeClr val="bg1">
                  <a:lumMod val="50000"/>
                </a:schemeClr>
              </a:solidFill>
            </a:endParaRPr>
          </a:p>
          <a:p xmlns:a="http://schemas.openxmlformats.org/drawingml/2006/main">
            <a:pPr>
              <a:defRPr sz="1600">
                <a:solidFill>
                  <a:schemeClr val="bg1">
                    <a:lumMod val="50000"/>
                  </a:schemeClr>
                </a:solidFill>
              </a:defRPr>
            </a:pPr>
            <a:r>
              <a:rPr lang="es-CL" sz="800" b="0" baseline="0">
                <a:solidFill>
                  <a:schemeClr val="bg1">
                    <a:lumMod val="50000"/>
                  </a:schemeClr>
                </a:solidFill>
              </a:rPr>
              <a:t>(Base 100 Dic 2005)</a:t>
            </a:r>
            <a:endParaRPr lang="es-CL" sz="1600" b="0">
              <a:solidFill>
                <a:schemeClr val="bg1">
                  <a:lumMod val="50000"/>
                </a:schemeClr>
              </a:solidFill>
            </a:endParaRP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'Datos ICP (2)'!$D$2</f>
              <strCache>
                <ptCount val="1"/>
                <pt idx="0">
                  <v>FONDO E</v>
                </pt>
              </strCache>
            </strRef>
          </tx>
          <spPr>
            <a:ln xmlns:a="http://schemas.openxmlformats.org/drawingml/2006/main" w="12700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'Datos ICP (2)'!$A$3:$A$153</f>
              <numCache>
                <formatCode>dd\-mm\-yyyy</formatCode>
                <ptCount val="151"/>
                <pt idx="121">
                  <formatCode>m/d/yyyy</formatCode>
                  <v>42400</v>
                </pt>
                <pt idx="122">
                  <formatCode>m/d/yyyy</formatCode>
                  <v>42428</v>
                </pt>
                <pt idx="123">
                  <formatCode>m/d/yyyy</formatCode>
                  <v>42460</v>
                </pt>
                <pt idx="124">
                  <formatCode>m/d/yyyy</formatCode>
                  <v>42490</v>
                </pt>
                <pt idx="125">
                  <formatCode>m/d/yyyy</formatCode>
                  <v>42521</v>
                </pt>
                <pt idx="126">
                  <formatCode>m/d/yyyy</formatCode>
                  <v>42551</v>
                </pt>
                <pt idx="127">
                  <formatCode>m/d/yyyy</formatCode>
                  <v>42582</v>
                </pt>
                <pt idx="128">
                  <formatCode>m/d/yyyy</formatCode>
                  <v>42613</v>
                </pt>
                <pt idx="129">
                  <formatCode>m/d/yyyy</formatCode>
                  <v>42643</v>
                </pt>
                <pt idx="130">
                  <formatCode>m/d/yyyy</formatCode>
                  <v>42674</v>
                </pt>
                <pt idx="131">
                  <formatCode>m/d/yyyy</formatCode>
                  <v>42704</v>
                </pt>
                <pt idx="132">
                  <formatCode>m/d/yyyy</formatCode>
                  <v>42735</v>
                </pt>
                <pt idx="133">
                  <formatCode>m/d/yyyy</formatCode>
                  <v>42766</v>
                </pt>
                <pt idx="134">
                  <formatCode>m/d/yyyy</formatCode>
                  <v>42794</v>
                </pt>
                <pt idx="135">
                  <formatCode>m/d/yyyy</formatCode>
                  <v>42825</v>
                </pt>
                <pt idx="136">
                  <formatCode>m/d/yyyy</formatCode>
                  <v>42855</v>
                </pt>
                <pt idx="137">
                  <formatCode>m/d/yyyy</formatCode>
                  <v>42886</v>
                </pt>
                <pt idx="138">
                  <formatCode>m/d/yyyy</formatCode>
                  <v>42916</v>
                </pt>
                <pt idx="139">
                  <formatCode>m/d/yyyy</formatCode>
                  <v>42947</v>
                </pt>
                <pt idx="140">
                  <formatCode>m/d/yyyy</formatCode>
                  <v>42978</v>
                </pt>
                <pt idx="141">
                  <formatCode>m/d/yyyy</formatCode>
                  <v>43008</v>
                </pt>
                <pt idx="142">
                  <formatCode>m/d/yyyy</formatCode>
                  <v>43039</v>
                </pt>
                <pt idx="143">
                  <formatCode>m/d/yyyy</formatCode>
                  <v>43069</v>
                </pt>
                <pt idx="144">
                  <formatCode>m/d/yyyy</formatCode>
                  <v>43100</v>
                </pt>
                <pt idx="145">
                  <formatCode>m/d/yyyy</formatCode>
                  <v>43131</v>
                </pt>
                <pt idx="146">
                  <formatCode>m/d/yyyy</formatCode>
                  <v>43159</v>
                </pt>
                <pt idx="147">
                  <formatCode>m/d/yyyy</formatCode>
                  <v>43190</v>
                </pt>
                <pt idx="148">
                  <formatCode>m/d/yyyy</formatCode>
                  <v>43220</v>
                </pt>
                <pt idx="149">
                  <formatCode>m/d/yyyy</formatCode>
                  <v>43251</v>
                </pt>
                <pt idx="150">
                  <formatCode>m/d/yyyy</formatCode>
                  <v>43281</v>
                </pt>
              </numCache>
            </numRef>
          </cat>
          <val>
            <numRef>
              <f>'Datos ICP (2)'!$D$3:$D$153</f>
              <numCache>
                <formatCode>0.00</formatCode>
                <ptCount val="151"/>
                <pt idx="122">
                  <v>101.1720042450275</v>
                </pt>
                <pt idx="123">
                  <v>101.9438938516578</v>
                </pt>
                <pt idx="124">
                  <v>102.1817568528933</v>
                </pt>
                <pt idx="125">
                  <v>102.6911143266393</v>
                </pt>
                <pt idx="126">
                  <v>102.8422894977506</v>
                </pt>
                <pt idx="127">
                  <v>103.7469194389428</v>
                </pt>
                <pt idx="128">
                  <v>105.4438625720981</v>
                </pt>
                <pt idx="129">
                  <v>106.2006549814418</v>
                </pt>
                <pt idx="130">
                  <v>105.7948248519755</v>
                </pt>
                <pt idx="131">
                  <v>104.0635930957733</v>
                </pt>
                <pt idx="132">
                  <v>106.0028782382937</v>
                </pt>
                <pt idx="133">
                  <v>106.6622133105141</v>
                </pt>
                <pt idx="134">
                  <v>107.8144035649446</v>
                </pt>
                <pt idx="135">
                  <v>108.6447710325424</v>
                </pt>
                <pt idx="136">
                  <v>109.6497852302632</v>
                </pt>
                <pt idx="137">
                  <v>109.6396901685037</v>
                </pt>
                <pt idx="138">
                  <v>109.3947584623531</v>
                </pt>
                <pt idx="139">
                  <v>109.1083916076358</v>
                </pt>
                <pt idx="140">
                  <v>108.9629881313634</v>
                </pt>
                <pt idx="141">
                  <v>109.2686804362156</v>
                </pt>
                <pt idx="142">
                  <v>108.1549422071765</v>
                </pt>
                <pt idx="143">
                  <v>107.9025008126849</v>
                </pt>
                <pt idx="144">
                  <v>108.8233304097285</v>
                </pt>
                <pt idx="145">
                  <v>109.3881955913676</v>
                </pt>
                <pt idx="146">
                  <v>109.6253409136943</v>
                </pt>
                <pt idx="147">
                  <v>110.2960032072466</v>
                </pt>
                <pt idx="148">
                  <v>111.610492655875</v>
                </pt>
                <pt idx="149">
                  <v>111.3270613672968</v>
                </pt>
                <pt idx="150">
                  <v>111.9273868044184</v>
                </pt>
              </numCache>
            </numRef>
          </val>
          <smooth val="0"/>
        </ser>
        <ser>
          <idx val="1"/>
          <order val="1"/>
          <tx>
            <strRef>
              <f>'Datos ICP (2)'!$J$2</f>
              <strCache>
                <ptCount val="1"/>
                <pt idx="0">
                  <v>Fondo Extra</v>
                </pt>
              </strCache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'Datos ICP (2)'!$A$3:$A$153</f>
              <numCache>
                <formatCode>dd\-mm\-yyyy</formatCode>
                <ptCount val="151"/>
                <pt idx="121">
                  <formatCode>m/d/yyyy</formatCode>
                  <v>42400</v>
                </pt>
                <pt idx="122">
                  <formatCode>m/d/yyyy</formatCode>
                  <v>42428</v>
                </pt>
                <pt idx="123">
                  <formatCode>m/d/yyyy</formatCode>
                  <v>42460</v>
                </pt>
                <pt idx="124">
                  <formatCode>m/d/yyyy</formatCode>
                  <v>42490</v>
                </pt>
                <pt idx="125">
                  <formatCode>m/d/yyyy</formatCode>
                  <v>42521</v>
                </pt>
                <pt idx="126">
                  <formatCode>m/d/yyyy</formatCode>
                  <v>42551</v>
                </pt>
                <pt idx="127">
                  <formatCode>m/d/yyyy</formatCode>
                  <v>42582</v>
                </pt>
                <pt idx="128">
                  <formatCode>m/d/yyyy</formatCode>
                  <v>42613</v>
                </pt>
                <pt idx="129">
                  <formatCode>m/d/yyyy</formatCode>
                  <v>42643</v>
                </pt>
                <pt idx="130">
                  <formatCode>m/d/yyyy</formatCode>
                  <v>42674</v>
                </pt>
                <pt idx="131">
                  <formatCode>m/d/yyyy</formatCode>
                  <v>42704</v>
                </pt>
                <pt idx="132">
                  <formatCode>m/d/yyyy</formatCode>
                  <v>42735</v>
                </pt>
                <pt idx="133">
                  <formatCode>m/d/yyyy</formatCode>
                  <v>42766</v>
                </pt>
                <pt idx="134">
                  <formatCode>m/d/yyyy</formatCode>
                  <v>42794</v>
                </pt>
                <pt idx="135">
                  <formatCode>m/d/yyyy</formatCode>
                  <v>42825</v>
                </pt>
                <pt idx="136">
                  <formatCode>m/d/yyyy</formatCode>
                  <v>42855</v>
                </pt>
                <pt idx="137">
                  <formatCode>m/d/yyyy</formatCode>
                  <v>42886</v>
                </pt>
                <pt idx="138">
                  <formatCode>m/d/yyyy</formatCode>
                  <v>42916</v>
                </pt>
                <pt idx="139">
                  <formatCode>m/d/yyyy</formatCode>
                  <v>42947</v>
                </pt>
                <pt idx="140">
                  <formatCode>m/d/yyyy</formatCode>
                  <v>42978</v>
                </pt>
                <pt idx="141">
                  <formatCode>m/d/yyyy</formatCode>
                  <v>43008</v>
                </pt>
                <pt idx="142">
                  <formatCode>m/d/yyyy</formatCode>
                  <v>43039</v>
                </pt>
                <pt idx="143">
                  <formatCode>m/d/yyyy</formatCode>
                  <v>43069</v>
                </pt>
                <pt idx="144">
                  <formatCode>m/d/yyyy</formatCode>
                  <v>43100</v>
                </pt>
                <pt idx="145">
                  <formatCode>m/d/yyyy</formatCode>
                  <v>43131</v>
                </pt>
                <pt idx="146">
                  <formatCode>m/d/yyyy</formatCode>
                  <v>43159</v>
                </pt>
                <pt idx="147">
                  <formatCode>m/d/yyyy</formatCode>
                  <v>43190</v>
                </pt>
                <pt idx="148">
                  <formatCode>m/d/yyyy</formatCode>
                  <v>43220</v>
                </pt>
                <pt idx="149">
                  <formatCode>m/d/yyyy</formatCode>
                  <v>43251</v>
                </pt>
                <pt idx="150">
                  <formatCode>m/d/yyyy</formatCode>
                  <v>43281</v>
                </pt>
              </numCache>
            </numRef>
          </cat>
          <val>
            <numRef>
              <f>'Datos ICP (2)'!$J$3:$J$153</f>
              <numCache>
                <formatCode>General</formatCode>
                <ptCount val="151"/>
                <pt idx="126">
                  <formatCode>#,##0.00</formatCode>
                  <v>156.101538006453</v>
                </pt>
                <pt idx="127">
                  <formatCode>#,##0.00</formatCode>
                  <v>157.6217756363634</v>
                </pt>
                <pt idx="128">
                  <formatCode>#,##0.00</formatCode>
                  <v>159.1355896888883</v>
                </pt>
                <pt idx="129">
                  <formatCode>#,##0.00</formatCode>
                  <v>160.1708495075739</v>
                </pt>
                <pt idx="130">
                  <formatCode>#,##0.00</formatCode>
                  <v>159.1415087029701</v>
                </pt>
                <pt idx="131">
                  <formatCode>#,##0.00</formatCode>
                  <v>156.4667942321356</v>
                </pt>
                <pt idx="132">
                  <formatCode>#,##0.00</formatCode>
                  <v>159.7076865405042</v>
                </pt>
                <pt idx="133">
                  <formatCode>#,##0.00</formatCode>
                  <v>160.7498929397945</v>
                </pt>
                <pt idx="134">
                  <formatCode>#,##0.00</formatCode>
                  <v>161.3682280821664</v>
                </pt>
                <pt idx="135">
                  <formatCode>#,##0.00</formatCode>
                  <v>161.8593516973384</v>
                </pt>
                <pt idx="136">
                  <formatCode>#,##0.00</formatCode>
                  <v>162.8104508015328</v>
                </pt>
                <pt idx="137">
                  <formatCode>#,##0.00</formatCode>
                  <v>162.4751866433774</v>
                </pt>
                <pt idx="138">
                  <formatCode>#,##0.00</formatCode>
                  <v>161.9633425865072</v>
                </pt>
                <pt idx="139">
                  <formatCode>#,##0.00</formatCode>
                  <v>161.5454520880111</v>
                </pt>
                <pt idx="140">
                  <formatCode>#,##0.00</formatCode>
                  <v>161.8148489241038</v>
                </pt>
                <pt idx="141">
                  <formatCode>#,##0.00</formatCode>
                  <v>161.1001008557704</v>
                </pt>
                <pt idx="142">
                  <formatCode>#,##0.00</formatCode>
                  <v>159.8973215210643</v>
                </pt>
                <pt idx="143">
                  <formatCode>#,##0.00</formatCode>
                  <v>160.412288810963</v>
                </pt>
                <pt idx="144">
                  <formatCode>#,##0.00</formatCode>
                  <v>161.8057097056136</v>
                </pt>
                <pt idx="145">
                  <formatCode>#,##0.00</formatCode>
                  <v>161.8914965255258</v>
                </pt>
                <pt idx="146">
                  <formatCode>#,##0.00</formatCode>
                  <v>162.4130574892187</v>
                </pt>
                <pt idx="147">
                  <formatCode>#,##0.00</formatCode>
                  <v>163.5616645630371</v>
                </pt>
                <pt idx="148">
                  <formatCode>#,##0.00</formatCode>
                  <v>164.1990992861058</v>
                </pt>
                <pt idx="149">
                  <formatCode>#,##0.00</formatCode>
                  <v>165.0738957796701</v>
                </pt>
                <pt idx="150">
                  <formatCode>#,##0.00</formatCode>
                  <v>165.8552666626219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26663040"/>
        <axId val="232120704"/>
      </lineChart>
      <dateAx>
        <axId val="226663040"/>
        <scaling>
          <orientation val="minMax"/>
          <max val="43373"/>
          <min val="42705"/>
        </scaling>
        <delete val="0"/>
        <axPos val="b"/>
        <numFmt formatCode="mmm/yyyy" sourceLinked="0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700" b="1">
                <a:solidFill>
                  <a:schemeClr val="bg1">
                    <a:lumMod val="50000"/>
                  </a:schemeClr>
                </a:solidFill>
              </a:defRPr>
            </a:pPr>
            <a:r>
              <a:t/>
            </a:r>
            <a:endParaRPr lang="es-CL"/>
          </a:p>
        </txPr>
        <crossAx val="232120704"/>
        <crosses val="autoZero"/>
        <lblOffset val="100"/>
        <baseTimeUnit val="months"/>
        <majorUnit val="6"/>
        <majorTimeUnit val="months"/>
        <minorUnit val="6"/>
        <minorTimeUnit val="months"/>
      </dateAx>
      <valAx>
        <axId val="232120704"/>
        <scaling>
          <orientation val="minMax"/>
          <min val="100"/>
        </scaling>
        <delete val="0"/>
        <axPos val="l"/>
        <majorGridlines>
          <spPr>
            <a:ln xmlns:a="http://schemas.openxmlformats.org/drawingml/2006/main">
              <a:solidFill>
                <a:schemeClr val="bg1">
                  <a:lumMod val="85000"/>
                </a:schemeClr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700" b="1">
                <a:solidFill>
                  <a:schemeClr val="bg1">
                    <a:lumMod val="50000"/>
                  </a:schemeClr>
                </a:solidFill>
              </a:defRPr>
            </a:pPr>
            <a:r>
              <a:t/>
            </a:r>
            <a:endParaRPr lang="es-CL"/>
          </a:p>
        </txPr>
        <crossAx val="226663040"/>
        <crossesAt val="38687"/>
        <crossBetween val="between"/>
      </valAx>
    </plotArea>
    <legend>
      <legendPos val="b"/>
      <overlay val="0"/>
    </legend>
    <plotVisOnly val="1"/>
    <dispBlanksAs val="gap"/>
  </chart>
  <spPr>
    <a:solidFill xmlns:a="http://schemas.openxmlformats.org/drawingml/2006/main">
      <a:schemeClr val="bg1">
        <a:lumMod val="95000"/>
      </a:schemeClr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346461774607107"/>
          <y val="0.1434070535215705"/>
          <w val="0.8694046850743926"/>
          <h val="0.6533535963670961"/>
        </manualLayout>
      </layout>
      <lineChart>
        <grouping val="standard"/>
        <varyColors val="0"/>
        <ser>
          <idx val="0"/>
          <order val="0"/>
          <tx>
            <strRef>
              <f>'Datos ICP (2)'!$D$2</f>
              <strCache>
                <ptCount val="1"/>
                <pt idx="0">
                  <v>FONDO E</v>
                </pt>
              </strCache>
            </strRef>
          </tx>
          <spPr>
            <a:ln xmlns:a="http://schemas.openxmlformats.org/drawingml/2006/main" w="22225">
              <a:solidFill>
                <a:sysClr val="window" lastClr="FFFFFF">
                  <a:lumMod val="75000"/>
                </a:sysClr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'Datos ICP (2)'!$A$129:$A$180</f>
              <numCache>
                <formatCode>m/d/yyyy</formatCode>
                <ptCount val="52"/>
                <pt idx="0">
                  <v>42551</v>
                </pt>
                <pt idx="1">
                  <v>42582</v>
                </pt>
                <pt idx="2">
                  <v>42613</v>
                </pt>
                <pt idx="3">
                  <v>42643</v>
                </pt>
                <pt idx="4">
                  <v>42674</v>
                </pt>
                <pt idx="5">
                  <v>42704</v>
                </pt>
                <pt idx="6">
                  <v>42735</v>
                </pt>
                <pt idx="7">
                  <v>42766</v>
                </pt>
                <pt idx="8">
                  <v>42794</v>
                </pt>
                <pt idx="9">
                  <v>42825</v>
                </pt>
                <pt idx="10">
                  <v>42855</v>
                </pt>
                <pt idx="11">
                  <v>42886</v>
                </pt>
                <pt idx="12">
                  <v>42916</v>
                </pt>
                <pt idx="13">
                  <v>42947</v>
                </pt>
                <pt idx="14">
                  <v>42978</v>
                </pt>
                <pt idx="15">
                  <v>43008</v>
                </pt>
                <pt idx="16">
                  <v>43039</v>
                </pt>
                <pt idx="17">
                  <v>43069</v>
                </pt>
                <pt idx="18">
                  <v>43100</v>
                </pt>
                <pt idx="19">
                  <v>43131</v>
                </pt>
                <pt idx="20">
                  <v>43159</v>
                </pt>
                <pt idx="21">
                  <v>43190</v>
                </pt>
                <pt idx="22">
                  <v>43220</v>
                </pt>
                <pt idx="23">
                  <v>43251</v>
                </pt>
                <pt idx="24">
                  <v>43281</v>
                </pt>
                <pt idx="25">
                  <v>43312</v>
                </pt>
                <pt idx="26">
                  <v>43343</v>
                </pt>
                <pt idx="27">
                  <v>43373</v>
                </pt>
                <pt idx="28">
                  <v>43404</v>
                </pt>
                <pt idx="29">
                  <v>43434</v>
                </pt>
                <pt idx="30">
                  <v>43465</v>
                </pt>
                <pt idx="31">
                  <v>43496</v>
                </pt>
                <pt idx="32">
                  <v>43524</v>
                </pt>
                <pt idx="33">
                  <v>43555</v>
                </pt>
                <pt idx="34">
                  <v>43585</v>
                </pt>
                <pt idx="35">
                  <v>43616</v>
                </pt>
                <pt idx="36">
                  <v>43646</v>
                </pt>
                <pt idx="37">
                  <v>43677</v>
                </pt>
                <pt idx="38">
                  <v>43708</v>
                </pt>
                <pt idx="39">
                  <v>43738</v>
                </pt>
                <pt idx="40">
                  <v>43769</v>
                </pt>
                <pt idx="41">
                  <v>43799</v>
                </pt>
                <pt idx="42">
                  <v>43830</v>
                </pt>
                <pt idx="43">
                  <v>43861</v>
                </pt>
                <pt idx="44">
                  <v>43890</v>
                </pt>
                <pt idx="45">
                  <v>43921</v>
                </pt>
                <pt idx="46">
                  <v>43951</v>
                </pt>
                <pt idx="47">
                  <v>43982</v>
                </pt>
                <pt idx="48">
                  <v>44012</v>
                </pt>
                <pt idx="49">
                  <v>44043</v>
                </pt>
                <pt idx="50">
                  <v>44074</v>
                </pt>
                <pt idx="51">
                  <v>44104</v>
                </pt>
              </numCache>
            </numRef>
          </cat>
          <val>
            <numRef>
              <f>'Datos ICP (2)'!$D$129:$D$180</f>
              <numCache>
                <formatCode>0.00</formatCode>
                <ptCount val="52"/>
                <pt idx="0">
                  <v>102.8422894977506</v>
                </pt>
                <pt idx="1">
                  <v>103.7469194389428</v>
                </pt>
                <pt idx="2">
                  <v>105.4438625720981</v>
                </pt>
                <pt idx="3">
                  <v>106.2006549814418</v>
                </pt>
                <pt idx="4">
                  <v>105.7948248519755</v>
                </pt>
                <pt idx="5">
                  <v>104.0635930957733</v>
                </pt>
                <pt idx="6">
                  <v>106.0028782382937</v>
                </pt>
                <pt idx="7">
                  <v>106.6622133105141</v>
                </pt>
                <pt idx="8">
                  <v>107.8144035649446</v>
                </pt>
                <pt idx="9">
                  <v>108.6447710325424</v>
                </pt>
                <pt idx="10">
                  <v>109.6497852302632</v>
                </pt>
                <pt idx="11">
                  <v>109.6396901685037</v>
                </pt>
                <pt idx="12">
                  <v>109.3947584623531</v>
                </pt>
                <pt idx="13">
                  <v>109.1083916076358</v>
                </pt>
                <pt idx="14">
                  <v>108.9629881313634</v>
                </pt>
                <pt idx="15">
                  <v>109.2686804362156</v>
                </pt>
                <pt idx="16">
                  <v>108.1549422071765</v>
                </pt>
                <pt idx="17">
                  <v>107.9025008126849</v>
                </pt>
                <pt idx="18">
                  <v>108.8233304097285</v>
                </pt>
                <pt idx="19">
                  <v>109.3881955913676</v>
                </pt>
                <pt idx="20">
                  <v>109.6253409136943</v>
                </pt>
                <pt idx="21">
                  <v>110.2960032072466</v>
                </pt>
                <pt idx="22">
                  <v>111.610492655875</v>
                </pt>
                <pt idx="23">
                  <v>111.3270613672968</v>
                </pt>
                <pt idx="24">
                  <v>111.9273868044184</v>
                </pt>
                <pt idx="25">
                  <v>112.6728563157971</v>
                </pt>
                <pt idx="26">
                  <v>113.655060429645</v>
                </pt>
                <pt idx="27">
                  <v>113.7147358632495</v>
                </pt>
                <pt idx="28">
                  <v>113.2536401344377</v>
                </pt>
                <pt idx="29">
                  <v>114.0886249579066</v>
                </pt>
                <pt idx="30">
                  <v>115.2746628519583</v>
                </pt>
                <pt idx="31">
                  <v>116.155324046943</v>
                </pt>
                <pt idx="32">
                  <v>116.9862924625427</v>
                </pt>
                <pt idx="33">
                  <v>119.1859869647894</v>
                </pt>
                <pt idx="34">
                  <v>120.2001234667125</v>
                </pt>
                <pt idx="35">
                  <v>122.1729536131696</v>
                </pt>
                <pt idx="36">
                  <v>125.0389048980764</v>
                </pt>
                <pt idx="37">
                  <v>128.7026644607696</v>
                </pt>
                <pt idx="38">
                  <v>131.9152113384967</v>
                </pt>
                <pt idx="39">
                  <v>131.8743295808959</v>
                </pt>
                <pt idx="40">
                  <v>127.641563137521</v>
                </pt>
                <pt idx="41">
                  <v>124.8477515530507</v>
                </pt>
                <pt idx="42">
                  <v>127.8534686437654</v>
                </pt>
                <pt idx="43">
                  <v>128.8611157719409</v>
                </pt>
                <pt idx="44">
                  <v>125.5411071995689</v>
                </pt>
                <pt idx="45">
                  <formatCode>General</formatCode>
                  <v>122.7072439439465</v>
                </pt>
                <pt idx="46">
                  <v>129.1260430500991</v>
                </pt>
                <pt idx="47">
                  <formatCode>General</formatCode>
                  <v>134.5596333023939</v>
                </pt>
                <pt idx="48">
                  <v>134.9941316779104</v>
                </pt>
                <pt idx="49">
                  <formatCode>General</formatCode>
                  <v>134.2086104953796</v>
                </pt>
                <pt idx="50">
                  <v>137.0083290343111</v>
                </pt>
                <pt idx="51">
                  <formatCode>General</formatCode>
                  <v>133.2657619906096</v>
                </pt>
              </numCache>
            </numRef>
          </val>
          <smooth val="0"/>
        </ser>
        <ser>
          <idx val="1"/>
          <order val="1"/>
          <tx>
            <strRef>
              <f>'Datos ICP (2)'!$J$2</f>
              <strCache>
                <ptCount val="1"/>
                <pt idx="0">
                  <v>Fondo Extra</v>
                </pt>
              </strCache>
            </strRef>
          </tx>
          <spPr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'Datos ICP (2)'!$A$129:$A$180</f>
              <numCache>
                <formatCode>m/d/yyyy</formatCode>
                <ptCount val="52"/>
                <pt idx="0">
                  <v>42551</v>
                </pt>
                <pt idx="1">
                  <v>42582</v>
                </pt>
                <pt idx="2">
                  <v>42613</v>
                </pt>
                <pt idx="3">
                  <v>42643</v>
                </pt>
                <pt idx="4">
                  <v>42674</v>
                </pt>
                <pt idx="5">
                  <v>42704</v>
                </pt>
                <pt idx="6">
                  <v>42735</v>
                </pt>
                <pt idx="7">
                  <v>42766</v>
                </pt>
                <pt idx="8">
                  <v>42794</v>
                </pt>
                <pt idx="9">
                  <v>42825</v>
                </pt>
                <pt idx="10">
                  <v>42855</v>
                </pt>
                <pt idx="11">
                  <v>42886</v>
                </pt>
                <pt idx="12">
                  <v>42916</v>
                </pt>
                <pt idx="13">
                  <v>42947</v>
                </pt>
                <pt idx="14">
                  <v>42978</v>
                </pt>
                <pt idx="15">
                  <v>43008</v>
                </pt>
                <pt idx="16">
                  <v>43039</v>
                </pt>
                <pt idx="17">
                  <v>43069</v>
                </pt>
                <pt idx="18">
                  <v>43100</v>
                </pt>
                <pt idx="19">
                  <v>43131</v>
                </pt>
                <pt idx="20">
                  <v>43159</v>
                </pt>
                <pt idx="21">
                  <v>43190</v>
                </pt>
                <pt idx="22">
                  <v>43220</v>
                </pt>
                <pt idx="23">
                  <v>43251</v>
                </pt>
                <pt idx="24">
                  <v>43281</v>
                </pt>
                <pt idx="25">
                  <v>43312</v>
                </pt>
                <pt idx="26">
                  <v>43343</v>
                </pt>
                <pt idx="27">
                  <v>43373</v>
                </pt>
                <pt idx="28">
                  <v>43404</v>
                </pt>
                <pt idx="29">
                  <v>43434</v>
                </pt>
                <pt idx="30">
                  <v>43465</v>
                </pt>
                <pt idx="31">
                  <v>43496</v>
                </pt>
                <pt idx="32">
                  <v>43524</v>
                </pt>
                <pt idx="33">
                  <v>43555</v>
                </pt>
                <pt idx="34">
                  <v>43585</v>
                </pt>
                <pt idx="35">
                  <v>43616</v>
                </pt>
                <pt idx="36">
                  <v>43646</v>
                </pt>
                <pt idx="37">
                  <v>43677</v>
                </pt>
                <pt idx="38">
                  <v>43708</v>
                </pt>
                <pt idx="39">
                  <v>43738</v>
                </pt>
                <pt idx="40">
                  <v>43769</v>
                </pt>
                <pt idx="41">
                  <v>43799</v>
                </pt>
                <pt idx="42">
                  <v>43830</v>
                </pt>
                <pt idx="43">
                  <v>43861</v>
                </pt>
                <pt idx="44">
                  <v>43890</v>
                </pt>
                <pt idx="45">
                  <v>43921</v>
                </pt>
                <pt idx="46">
                  <v>43951</v>
                </pt>
                <pt idx="47">
                  <v>43982</v>
                </pt>
                <pt idx="48">
                  <v>44012</v>
                </pt>
                <pt idx="49">
                  <v>44043</v>
                </pt>
                <pt idx="50">
                  <v>44074</v>
                </pt>
                <pt idx="51">
                  <v>44104</v>
                </pt>
              </numCache>
            </numRef>
          </cat>
          <val>
            <numRef>
              <f>'Datos ICP (2)'!$J$129:$J$180</f>
              <numCache>
                <formatCode>#,##0.00</formatCode>
                <ptCount val="52"/>
                <pt idx="0">
                  <v>156.101538006453</v>
                </pt>
                <pt idx="1">
                  <v>157.6217756363634</v>
                </pt>
                <pt idx="2">
                  <v>159.1355896888883</v>
                </pt>
                <pt idx="3">
                  <v>160.1708495075739</v>
                </pt>
                <pt idx="4">
                  <v>159.1415087029701</v>
                </pt>
                <pt idx="5">
                  <v>156.4667942321356</v>
                </pt>
                <pt idx="6">
                  <v>159.7076865405042</v>
                </pt>
                <pt idx="7">
                  <v>160.7498929397945</v>
                </pt>
                <pt idx="8">
                  <v>161.3682280821664</v>
                </pt>
                <pt idx="9">
                  <v>161.8593516973384</v>
                </pt>
                <pt idx="10">
                  <v>162.8104508015328</v>
                </pt>
                <pt idx="11">
                  <v>162.4751866433774</v>
                </pt>
                <pt idx="12">
                  <v>161.9633425865072</v>
                </pt>
                <pt idx="13">
                  <v>161.5454520880111</v>
                </pt>
                <pt idx="14">
                  <v>161.8148489241038</v>
                </pt>
                <pt idx="15">
                  <v>161.1001008557704</v>
                </pt>
                <pt idx="16">
                  <v>159.8973215210643</v>
                </pt>
                <pt idx="17">
                  <v>160.412288810963</v>
                </pt>
                <pt idx="18">
                  <v>161.8057097056136</v>
                </pt>
                <pt idx="19">
                  <v>161.8914965255258</v>
                </pt>
                <pt idx="20">
                  <v>162.4130574892187</v>
                </pt>
                <pt idx="21">
                  <v>163.5616645630371</v>
                </pt>
                <pt idx="22">
                  <v>164.1990992861058</v>
                </pt>
                <pt idx="23">
                  <v>165.0738957796701</v>
                </pt>
                <pt idx="24">
                  <v>165.8552666626219</v>
                </pt>
                <pt idx="25">
                  <v>166.4229225001778</v>
                </pt>
                <pt idx="26">
                  <v>166.9328887899449</v>
                </pt>
                <pt idx="27">
                  <v>167.1963289588022</v>
                </pt>
                <pt idx="28">
                  <v>167.3846319503178</v>
                </pt>
                <pt idx="29">
                  <v>167.904213987554</v>
                </pt>
                <pt idx="30">
                  <v>169.0546730449198</v>
                </pt>
                <pt idx="31">
                  <v>169.0720899367095</v>
                </pt>
                <pt idx="32">
                  <v>169.0861305745154</v>
                </pt>
                <pt idx="33">
                  <v>170.0192858674621</v>
                </pt>
                <pt idx="34">
                  <v>170.2027955550692</v>
                </pt>
                <pt idx="35">
                  <v>171.7167810084157</v>
                </pt>
                <pt idx="36">
                  <v>173.8102700581501</v>
                </pt>
                <pt idx="37">
                  <v>175.6550267656326</v>
                </pt>
                <pt idx="38">
                  <v>176.7882707491157</v>
                </pt>
                <pt idx="39">
                  <v>177.1843953537474</v>
                </pt>
                <pt idx="40">
                  <v>175.6977380374579</v>
                </pt>
                <pt idx="41">
                  <v>164.58214651749</v>
                </pt>
                <pt idx="42">
                  <v>165.0946297187327</v>
                </pt>
                <pt idx="43">
                  <v>164.3311296949695</v>
                </pt>
                <pt idx="44">
                  <v>160.942936798805</v>
                </pt>
                <pt idx="45">
                  <v>160.5548224204664</v>
                </pt>
                <pt idx="46">
                  <v>161.9891321039894</v>
                </pt>
                <pt idx="47">
                  <v>162.9491954858287</v>
                </pt>
                <pt idx="48">
                  <v>162.8922046564071</v>
                </pt>
                <pt idx="49">
                  <v>162.8399129994941</v>
                </pt>
                <pt idx="50">
                  <v>166.0023950926175</v>
                </pt>
                <pt idx="51">
                  <v>163.3775236414824</v>
                </pt>
              </numCache>
            </numRef>
          </val>
          <smooth val="0"/>
        </ser>
        <ser>
          <idx val="2"/>
          <order val="2"/>
          <tx>
            <strRef>
              <f>'Datos ICP (2)'!$M$2</f>
              <strCache>
                <ptCount val="1"/>
                <pt idx="0">
                  <v>Competencia Relevante (*)</v>
                </pt>
              </strCache>
            </strRef>
          </tx>
          <spPr>
            <a:ln xmlns:a="http://schemas.openxmlformats.org/drawingml/2006/main">
              <a:solidFill>
                <a:sysClr val="windowText" lastClr="000000">
                  <a:lumOff val="50000"/>
                  <a:lumMod val="50000"/>
                </a:sysClr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'Datos ICP (2)'!$A$129:$A$180</f>
              <numCache>
                <formatCode>m/d/yyyy</formatCode>
                <ptCount val="52"/>
                <pt idx="0">
                  <v>42551</v>
                </pt>
                <pt idx="1">
                  <v>42582</v>
                </pt>
                <pt idx="2">
                  <v>42613</v>
                </pt>
                <pt idx="3">
                  <v>42643</v>
                </pt>
                <pt idx="4">
                  <v>42674</v>
                </pt>
                <pt idx="5">
                  <v>42704</v>
                </pt>
                <pt idx="6">
                  <v>42735</v>
                </pt>
                <pt idx="7">
                  <v>42766</v>
                </pt>
                <pt idx="8">
                  <v>42794</v>
                </pt>
                <pt idx="9">
                  <v>42825</v>
                </pt>
                <pt idx="10">
                  <v>42855</v>
                </pt>
                <pt idx="11">
                  <v>42886</v>
                </pt>
                <pt idx="12">
                  <v>42916</v>
                </pt>
                <pt idx="13">
                  <v>42947</v>
                </pt>
                <pt idx="14">
                  <v>42978</v>
                </pt>
                <pt idx="15">
                  <v>43008</v>
                </pt>
                <pt idx="16">
                  <v>43039</v>
                </pt>
                <pt idx="17">
                  <v>43069</v>
                </pt>
                <pt idx="18">
                  <v>43100</v>
                </pt>
                <pt idx="19">
                  <v>43131</v>
                </pt>
                <pt idx="20">
                  <v>43159</v>
                </pt>
                <pt idx="21">
                  <v>43190</v>
                </pt>
                <pt idx="22">
                  <v>43220</v>
                </pt>
                <pt idx="23">
                  <v>43251</v>
                </pt>
                <pt idx="24">
                  <v>43281</v>
                </pt>
                <pt idx="25">
                  <v>43312</v>
                </pt>
                <pt idx="26">
                  <v>43343</v>
                </pt>
                <pt idx="27">
                  <v>43373</v>
                </pt>
                <pt idx="28">
                  <v>43404</v>
                </pt>
                <pt idx="29">
                  <v>43434</v>
                </pt>
                <pt idx="30">
                  <v>43465</v>
                </pt>
                <pt idx="31">
                  <v>43496</v>
                </pt>
                <pt idx="32">
                  <v>43524</v>
                </pt>
                <pt idx="33">
                  <v>43555</v>
                </pt>
                <pt idx="34">
                  <v>43585</v>
                </pt>
                <pt idx="35">
                  <v>43616</v>
                </pt>
                <pt idx="36">
                  <v>43646</v>
                </pt>
                <pt idx="37">
                  <v>43677</v>
                </pt>
                <pt idx="38">
                  <v>43708</v>
                </pt>
                <pt idx="39">
                  <v>43738</v>
                </pt>
                <pt idx="40">
                  <v>43769</v>
                </pt>
                <pt idx="41">
                  <v>43799</v>
                </pt>
                <pt idx="42">
                  <v>43830</v>
                </pt>
                <pt idx="43">
                  <v>43861</v>
                </pt>
                <pt idx="44">
                  <v>43890</v>
                </pt>
                <pt idx="45">
                  <v>43921</v>
                </pt>
                <pt idx="46">
                  <v>43951</v>
                </pt>
                <pt idx="47">
                  <v>43982</v>
                </pt>
                <pt idx="48">
                  <v>44012</v>
                </pt>
                <pt idx="49">
                  <v>44043</v>
                </pt>
                <pt idx="50">
                  <v>44074</v>
                </pt>
                <pt idx="51">
                  <v>44104</v>
                </pt>
              </numCache>
            </numRef>
          </cat>
          <val>
            <numRef>
              <f>'Datos ICP (2)'!$M$129:$M$180</f>
              <numCache>
                <formatCode>0.00</formatCode>
                <ptCount val="52"/>
                <pt idx="0">
                  <v>156.101538006453</v>
                </pt>
                <pt idx="1">
                  <v>156.8681091538934</v>
                </pt>
                <pt idx="2">
                  <v>158.6549624010933</v>
                </pt>
                <pt idx="3">
                  <v>159.8225403550921</v>
                </pt>
                <pt idx="4">
                  <v>159.0075659254747</v>
                </pt>
                <pt idx="5">
                  <v>157.012870570288</v>
                </pt>
                <pt idx="6">
                  <v>159.5522375826107</v>
                </pt>
                <pt idx="7">
                  <v>160.3902274965524</v>
                </pt>
                <pt idx="8">
                  <v>161.9450296957442</v>
                </pt>
                <pt idx="9">
                  <v>162.2667077957142</v>
                </pt>
                <pt idx="10">
                  <v>163.027230342247</v>
                </pt>
                <pt idx="11">
                  <v>162.5998042787053</v>
                </pt>
                <pt idx="12">
                  <v>162.5116373948365</v>
                </pt>
                <pt idx="13">
                  <v>161.9583517561625</v>
                </pt>
                <pt idx="14">
                  <v>162.6434539620534</v>
                </pt>
                <pt idx="15">
                  <v>161.689855469451</v>
                </pt>
                <pt idx="16">
                  <v>160.5003178053707</v>
                </pt>
                <pt idx="17">
                  <v>160.6249101809498</v>
                </pt>
                <pt idx="18">
                  <v>161.8487217141739</v>
                </pt>
                <pt idx="19">
                  <v>162.6708052595021</v>
                </pt>
                <pt idx="20">
                  <v>163.842467243128</v>
                </pt>
                <pt idx="21">
                  <v>164.2318590347534</v>
                </pt>
                <pt idx="22">
                  <v>164.2540996585645</v>
                </pt>
                <pt idx="23">
                  <v>165.2082687228922</v>
                </pt>
                <pt idx="24">
                  <v>165.8754851737023</v>
                </pt>
                <pt idx="25">
                  <v>166.4776876654498</v>
                </pt>
                <pt idx="26">
                  <v>166.8379482725049</v>
                </pt>
                <pt idx="27">
                  <v>166.9061265953878</v>
                </pt>
                <pt idx="28">
                  <v>166.1364425447351</v>
                </pt>
                <pt idx="29">
                  <v>166.551552438739</v>
                </pt>
                <pt idx="30">
                  <v>167.0553891329074</v>
                </pt>
                <pt idx="31">
                  <v>167.9745266662379</v>
                </pt>
                <pt idx="32">
                  <v>168.2339462286932</v>
                </pt>
                <pt idx="33">
                  <v>170.0077608604864</v>
                </pt>
                <pt idx="34">
                  <v>171.367019739628</v>
                </pt>
                <pt idx="35">
                  <v>173.604638877562</v>
                </pt>
                <pt idx="36">
                  <v>175.838302130236</v>
                </pt>
                <pt idx="37">
                  <v>178.7570298095519</v>
                </pt>
                <pt idx="38">
                  <v>180.9319856185569</v>
                </pt>
                <pt idx="39">
                  <v>181.2408179526058</v>
                </pt>
                <pt idx="40">
                  <v>175.7234643881858</v>
                </pt>
                <pt idx="41">
                  <v>171.5706555863867</v>
                </pt>
                <pt idx="42">
                  <v>175.5177858797833</v>
                </pt>
                <pt idx="43">
                  <v>177.0872661392836</v>
                </pt>
                <pt idx="44">
                  <v>174.1122899012192</v>
                </pt>
                <pt idx="45">
                  <v>171.4036052764655</v>
                </pt>
                <pt idx="46">
                  <v>168.6031559844482</v>
                </pt>
                <pt idx="47">
                  <v>179.6973521444075</v>
                </pt>
                <pt idx="48">
                  <v>178.9343878658899</v>
                </pt>
                <pt idx="49">
                  <v>178.2805690392389</v>
                </pt>
                <pt idx="50">
                  <v>182.0101244979973</v>
                </pt>
                <pt idx="51">
                  <v>179.0625858254995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31479168"/>
        <axId val="231480704"/>
      </lineChart>
      <dateAx>
        <axId val="231479168"/>
        <scaling>
          <orientation val="minMax"/>
        </scaling>
        <delete val="1"/>
        <axPos val="b"/>
        <numFmt formatCode="mmm/yyyy" sourceLinked="0"/>
        <majorTickMark val="out"/>
        <minorTickMark val="none"/>
        <tickLblPos val="nextTo"/>
        <crossAx val="231480704"/>
        <crosses val="autoZero"/>
        <lblOffset val="100"/>
        <baseTimeUnit val="months"/>
        <majorUnit val="2"/>
        <majorTimeUnit val="months"/>
        <minorUnit val="2"/>
        <minorTimeUnit val="months"/>
      </dateAx>
      <valAx>
        <axId val="23148070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chemeClr val="bg1">
                  <a:lumMod val="85000"/>
                </a:schemeClr>
              </a:solidFill>
              <a:prstDash val="solid"/>
            </a:ln>
          </spPr>
        </majorGridlines>
        <numFmt formatCode="0" sourceLinked="0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 b="0">
                <a:solidFill>
                  <a:schemeClr val="tx1"/>
                </a:solidFill>
                <a:latin typeface="Aileron" panose="00000500000000000000" pitchFamily="50" charset="0"/>
              </a:defRPr>
            </a:pPr>
            <a:r>
              <a:t/>
            </a:r>
            <a:endParaRPr lang="es-CL"/>
          </a:p>
        </txPr>
        <crossAx val="231479168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7773145220647885"/>
          <y val="0.5232406474408194"/>
          <w val="0.1758853688772067"/>
          <h val="0.2597505036274241"/>
        </manualLayout>
      </layout>
      <overlay val="1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200">
              <a:latin typeface="Aileron" panose="00000500000000000000" pitchFamily="50" charset="0"/>
            </a:defRPr>
          </a:pPr>
          <a:r>
            <a:t/>
          </a:r>
          <a:endParaRPr lang="es-CL"/>
        </a:p>
      </txPr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3">
                  <a:shade val="58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FDD900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bg1">
                  <a:lumMod val="6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bg1">
                  <a:lumMod val="8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3">
                  <a:tint val="54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composición!$K$2:$K$5</f>
              <strCache>
                <ptCount val="4"/>
                <pt idx="1">
                  <v>Menor a 1 año</v>
                </pt>
                <pt idx="2">
                  <v>1-2 años</v>
                </pt>
                <pt idx="3">
                  <v>2-4 años</v>
                </pt>
              </strCache>
            </strRef>
          </cat>
          <val>
            <numRef>
              <f>composición!$L$2:$L$5</f>
              <numCache>
                <formatCode>0.00%</formatCode>
                <ptCount val="4"/>
                <pt idx="1">
                  <v>0.187243372572339</v>
                </pt>
                <pt idx="2">
                  <v>0</v>
                </pt>
                <pt idx="3">
                  <v>0.217224028661355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FDD900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bg1">
                  <a:lumMod val="6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bg1">
                  <a:lumMod val="7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bg1">
                  <a:lumMod val="8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3">
                  <a:tint val="54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composición!$O$2:$O$6</f>
              <strCache>
                <ptCount val="5"/>
                <pt idx="0">
                  <v>Financiamiento Mesa Renta Fija</v>
                </pt>
                <pt idx="1">
                  <v>Depósitos</v>
                </pt>
                <pt idx="2">
                  <v>Efect Comercio</v>
                </pt>
                <pt idx="3">
                  <v>Bono</v>
                </pt>
                <pt idx="4">
                  <v>Pactos</v>
                </pt>
              </strCache>
            </strRef>
          </cat>
          <val>
            <numRef>
              <f>composición!$P$2:$P$6</f>
              <numCache>
                <formatCode>0.00%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FDD900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bg1">
                  <a:lumMod val="6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bg1">
                  <a:lumMod val="7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bg1">
                  <a:lumMod val="8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3">
                  <a:tint val="54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cat>
            <strRef>
              <f>composición!$S$3:$S$4</f>
              <strCache>
                <ptCount val="2"/>
                <pt idx="0">
                  <v>Pesos</v>
                </pt>
                <pt idx="1">
                  <v>UF</v>
                </pt>
              </strCache>
            </strRef>
          </cat>
          <val>
            <numRef>
              <f>composición!$T$3:$T$4</f>
              <numCache>
                <formatCode>0.00%</formatCode>
                <ptCount val="2"/>
                <pt idx="0">
                  <v>0.187243372572339</v>
                </pt>
                <pt idx="1">
                  <v>0.812756627427661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drawing1.xml><?xml version="1.0" encoding="utf-8"?>
<wsDr xmlns="http://schemas.openxmlformats.org/drawingml/2006/spreadsheetDrawing">
  <twoCellAnchor>
    <from>
      <col>45</col>
      <colOff>361950</colOff>
      <row>0</row>
      <rowOff>142875</rowOff>
    </from>
    <to>
      <col>51</col>
      <colOff>257176</colOff>
      <row>15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</col>
      <colOff>162137</colOff>
      <row>200</row>
      <rowOff>154517</rowOff>
    </from>
    <to>
      <col>12</col>
      <colOff>626956</colOff>
      <row>229</row>
      <rowOff>47621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3</col>
      <colOff>106680</colOff>
      <row>33</row>
      <rowOff>34290</rowOff>
    </from>
    <to>
      <col>8</col>
      <colOff>716280</colOff>
      <row>48</row>
      <rowOff>34290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</col>
      <colOff>76200</colOff>
      <row>18</row>
      <rowOff>34290</rowOff>
    </from>
    <to>
      <col>8</col>
      <colOff>685800</colOff>
      <row>33</row>
      <rowOff>34290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175260</colOff>
      <row>1</row>
      <rowOff>167640</rowOff>
    </from>
    <to>
      <col>8</col>
      <colOff>784860</colOff>
      <row>18</row>
      <rowOff>167640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K499"/>
  <sheetViews>
    <sheetView showGridLines="0" tabSelected="1" zoomScale="90" zoomScaleNormal="90" workbookViewId="0">
      <pane ySplit="2" topLeftCell="A177" activePane="bottomLeft" state="frozen"/>
      <selection pane="bottomLeft" activeCell="J188" sqref="J188:J189"/>
    </sheetView>
  </sheetViews>
  <sheetFormatPr baseColWidth="10" defaultColWidth="12.28515625" defaultRowHeight="15"/>
  <cols>
    <col width="14.28515625" customWidth="1" style="18" min="1" max="1"/>
    <col width="12.85546875" bestFit="1" customWidth="1" style="18" min="2" max="2"/>
    <col width="12.28515625" bestFit="1" customWidth="1" style="18" min="3" max="4"/>
    <col width="12.28515625" customWidth="1" style="18" min="5" max="5"/>
    <col width="16.140625" customWidth="1" style="18" min="6" max="6"/>
    <col width="14.85546875" bestFit="1" customWidth="1" style="19" min="7" max="7"/>
    <col width="12.28515625" bestFit="1" customWidth="1" style="19" min="8" max="8"/>
    <col width="12.28515625" bestFit="1" customWidth="1" style="20" min="9" max="9"/>
    <col width="12.28515625" bestFit="1" customWidth="1" style="18" min="10" max="12"/>
    <col width="11.85546875" bestFit="1" customWidth="1" style="18" min="13" max="24"/>
    <col width="12.28515625" bestFit="1" customWidth="1" style="18" min="25" max="25"/>
    <col width="10.85546875" bestFit="1" customWidth="1" style="18" min="26" max="27"/>
    <col width="5.5703125" bestFit="1" customWidth="1" style="18" min="28" max="28"/>
    <col width="5.7109375" bestFit="1" customWidth="1" style="18" min="29" max="29"/>
    <col width="10.5703125" bestFit="1" customWidth="1" style="18" min="30" max="30"/>
    <col width="6.28515625" bestFit="1" customWidth="1" style="18" min="31" max="31"/>
    <col width="9.85546875" customWidth="1" style="18" min="32" max="32"/>
    <col width="6.7109375" bestFit="1" customWidth="1" style="18" min="33" max="33"/>
    <col width="6.28515625" bestFit="1" customWidth="1" style="18" min="34" max="34"/>
    <col width="6.7109375" bestFit="1" customWidth="1" style="18" min="35" max="37"/>
    <col width="8.140625" bestFit="1" customWidth="1" style="18" min="38" max="38"/>
    <col width="6.7109375" bestFit="1" customWidth="1" style="18" min="39" max="41"/>
    <col width="6.42578125" bestFit="1" customWidth="1" style="18" min="42" max="42"/>
    <col width="8.28515625" bestFit="1" customWidth="1" style="18" min="43" max="43"/>
    <col width="3.85546875" customWidth="1" style="18" min="44" max="44"/>
    <col width="11.7109375" customWidth="1" style="18" min="45" max="45"/>
    <col width="12.28515625" customWidth="1" style="18" min="46" max="46"/>
    <col width="12.7109375" customWidth="1" style="18" min="47" max="47"/>
    <col width="11.7109375" customWidth="1" style="18" min="48" max="48"/>
    <col width="14.28515625" bestFit="1" customWidth="1" style="18" min="49" max="49"/>
    <col width="11" bestFit="1" customWidth="1" style="18" min="50" max="52"/>
    <col width="12.28515625" bestFit="1" customWidth="1" style="18" min="53" max="54"/>
    <col width="12.28515625" customWidth="1" style="18" min="55" max="16384"/>
  </cols>
  <sheetData>
    <row r="1" ht="15.75" customHeight="1">
      <c r="A1" s="18" t="inlineStr">
        <is>
          <t>CLICP Index</t>
        </is>
      </c>
      <c r="F1" s="18" t="inlineStr">
        <is>
          <t>Cuota Extra</t>
        </is>
      </c>
      <c r="AC1" s="21" t="n"/>
      <c r="AD1" s="22" t="inlineStr">
        <is>
          <t>FONDO E</t>
        </is>
      </c>
      <c r="AE1" s="23" t="inlineStr">
        <is>
          <t>Ene</t>
        </is>
      </c>
      <c r="AF1" s="23" t="inlineStr">
        <is>
          <t>Feb</t>
        </is>
      </c>
      <c r="AG1" s="23" t="inlineStr">
        <is>
          <t>Mar</t>
        </is>
      </c>
      <c r="AH1" s="23" t="inlineStr">
        <is>
          <t>Abr</t>
        </is>
      </c>
      <c r="AI1" s="23" t="inlineStr">
        <is>
          <t>May</t>
        </is>
      </c>
      <c r="AJ1" s="23" t="inlineStr">
        <is>
          <t>Jun</t>
        </is>
      </c>
      <c r="AK1" s="23" t="inlineStr">
        <is>
          <t>Jul</t>
        </is>
      </c>
      <c r="AL1" s="23" t="inlineStr">
        <is>
          <t>Ago</t>
        </is>
      </c>
      <c r="AM1" s="23" t="inlineStr">
        <is>
          <t>Sep</t>
        </is>
      </c>
      <c r="AN1" s="23" t="inlineStr">
        <is>
          <t>Oct</t>
        </is>
      </c>
      <c r="AO1" s="23" t="inlineStr">
        <is>
          <t>Nov</t>
        </is>
      </c>
      <c r="AP1" s="23" t="inlineStr">
        <is>
          <t>Dic</t>
        </is>
      </c>
      <c r="AQ1" s="23" t="inlineStr">
        <is>
          <t>Total Año</t>
        </is>
      </c>
      <c r="AR1" s="24" t="n"/>
      <c r="AS1" s="24" t="n"/>
    </row>
    <row r="2">
      <c r="A2" s="25" t="inlineStr">
        <is>
          <t>Fecha</t>
        </is>
      </c>
      <c r="B2" s="25" t="inlineStr">
        <is>
          <t>FONDO E</t>
        </is>
      </c>
      <c r="C2" s="25" t="n"/>
      <c r="D2" s="25" t="inlineStr">
        <is>
          <t>FONDO E</t>
        </is>
      </c>
      <c r="E2" s="25" t="n"/>
      <c r="F2" s="25" t="n"/>
      <c r="G2" s="26" t="n"/>
      <c r="H2" s="26" t="n"/>
      <c r="J2" s="18" t="inlineStr">
        <is>
          <t>Fondo Extra</t>
        </is>
      </c>
      <c r="K2" s="27" t="inlineStr">
        <is>
          <t>8125-6</t>
        </is>
      </c>
      <c r="L2" s="28" t="n"/>
      <c r="M2" s="18" t="inlineStr">
        <is>
          <t>Competencia Relevante (*)</t>
        </is>
      </c>
      <c r="P2" s="18" t="inlineStr">
        <is>
          <t>Ene</t>
        </is>
      </c>
      <c r="Q2" s="18" t="inlineStr">
        <is>
          <t>Feb</t>
        </is>
      </c>
      <c r="R2" s="18" t="inlineStr">
        <is>
          <t>Mar</t>
        </is>
      </c>
      <c r="S2" s="18" t="inlineStr">
        <is>
          <t>Abr</t>
        </is>
      </c>
      <c r="T2" s="18" t="inlineStr">
        <is>
          <t>May</t>
        </is>
      </c>
      <c r="U2" s="18" t="inlineStr">
        <is>
          <t>Jun</t>
        </is>
      </c>
      <c r="V2" s="18" t="inlineStr">
        <is>
          <t>Jul</t>
        </is>
      </c>
      <c r="W2" s="18" t="inlineStr">
        <is>
          <t>Ago</t>
        </is>
      </c>
      <c r="X2" s="18" t="inlineStr">
        <is>
          <t>Sep</t>
        </is>
      </c>
      <c r="Y2" s="18" t="inlineStr">
        <is>
          <t>Oct</t>
        </is>
      </c>
      <c r="Z2" s="18" t="inlineStr">
        <is>
          <t>Nov</t>
        </is>
      </c>
      <c r="AA2" s="18" t="inlineStr">
        <is>
          <t>Dic</t>
        </is>
      </c>
      <c r="AC2" s="21" t="n"/>
      <c r="AD2" s="29" t="n">
        <v>2006</v>
      </c>
      <c r="AE2" s="30" t="n"/>
      <c r="AF2" s="30" t="n"/>
      <c r="AG2" s="30" t="n"/>
      <c r="AH2" s="30" t="n"/>
      <c r="AI2" s="30" t="n"/>
      <c r="AJ2" s="30" t="n"/>
      <c r="AK2" s="30" t="n"/>
      <c r="AL2" s="30" t="n"/>
      <c r="AM2" s="30" t="n"/>
      <c r="AN2" s="30" t="n"/>
      <c r="AO2" s="30" t="n"/>
      <c r="AP2" s="30" t="n"/>
      <c r="AQ2" s="31" t="n"/>
      <c r="AR2" s="24" t="n"/>
      <c r="AS2" s="24" t="n"/>
    </row>
    <row r="3">
      <c r="A3" s="32" t="n"/>
      <c r="B3" s="33" t="n"/>
      <c r="D3" s="34" t="n"/>
      <c r="E3" s="34" t="n"/>
      <c r="F3" s="34" t="n"/>
      <c r="K3" s="27" t="n"/>
      <c r="L3" s="28" t="n"/>
      <c r="N3" s="33">
        <f>B3</f>
        <v/>
      </c>
      <c r="O3" s="18" t="n">
        <v>2006</v>
      </c>
      <c r="P3" s="35" t="n"/>
      <c r="Q3" s="35" t="n"/>
      <c r="R3" s="35" t="n"/>
      <c r="S3" s="35" t="n"/>
      <c r="T3" s="35" t="n"/>
      <c r="U3" s="35" t="n"/>
      <c r="V3" s="35" t="n"/>
      <c r="W3" s="35" t="n"/>
      <c r="X3" s="35" t="n"/>
      <c r="Y3" s="35" t="n"/>
      <c r="Z3" s="35" t="n"/>
      <c r="AA3" s="35" t="n"/>
      <c r="AC3" s="21" t="n"/>
      <c r="AD3" s="36" t="n">
        <v>2007</v>
      </c>
      <c r="AE3" s="37" t="n"/>
      <c r="AF3" s="37" t="n"/>
      <c r="AG3" s="37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  <c r="AQ3" s="38" t="n"/>
      <c r="AR3" s="24" t="n"/>
      <c r="AS3" s="24" t="n"/>
    </row>
    <row r="4">
      <c r="A4" s="39" t="n"/>
      <c r="B4" s="35" t="n"/>
      <c r="C4" s="40" t="n"/>
      <c r="D4" s="34" t="n"/>
      <c r="E4" s="34" t="n"/>
      <c r="F4" s="34" t="n"/>
      <c r="K4" s="27" t="inlineStr">
        <is>
          <t>BANCHILE ESTRATEGICO SERIE A</t>
        </is>
      </c>
      <c r="L4" s="28" t="n"/>
      <c r="O4" s="18" t="n">
        <v>2007</v>
      </c>
      <c r="P4" s="35" t="n"/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  <c r="AA4" s="35" t="n"/>
      <c r="AC4" s="21" t="n"/>
      <c r="AD4" s="29" t="n">
        <v>2008</v>
      </c>
      <c r="AE4" s="30" t="n"/>
      <c r="AF4" s="30" t="n"/>
      <c r="AG4" s="30" t="n"/>
      <c r="AH4" s="30" t="n"/>
      <c r="AI4" s="30" t="n"/>
      <c r="AJ4" s="30" t="n"/>
      <c r="AK4" s="30" t="n"/>
      <c r="AL4" s="30" t="n"/>
      <c r="AM4" s="30" t="n"/>
      <c r="AN4" s="30" t="n"/>
      <c r="AO4" s="30" t="n"/>
      <c r="AP4" s="30" t="n"/>
      <c r="AQ4" s="31" t="n"/>
      <c r="AR4" s="24" t="n"/>
      <c r="AS4" s="24" t="n"/>
    </row>
    <row r="5">
      <c r="A5" s="32" t="n"/>
      <c r="B5" s="35" t="n"/>
      <c r="C5" s="40" t="n"/>
      <c r="D5" s="34" t="n"/>
      <c r="E5" s="34" t="n"/>
      <c r="F5" s="34" t="n"/>
      <c r="O5" s="18" t="n">
        <v>2008</v>
      </c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  <c r="AA5" s="35" t="n"/>
      <c r="AC5" s="21" t="n"/>
      <c r="AD5" s="36" t="n">
        <v>2009</v>
      </c>
      <c r="AE5" s="37" t="n"/>
      <c r="AF5" s="37" t="n"/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  <c r="AQ5" s="38" t="n"/>
      <c r="AR5" s="24" t="n"/>
      <c r="AS5" s="24" t="n"/>
    </row>
    <row r="6">
      <c r="A6" s="32" t="n"/>
      <c r="B6" s="35" t="n"/>
      <c r="C6" s="40" t="n"/>
      <c r="D6" s="34" t="n"/>
      <c r="E6" s="34" t="n"/>
      <c r="F6" s="34" t="n"/>
      <c r="O6" s="18" t="n">
        <v>2009</v>
      </c>
      <c r="P6" s="35" t="n"/>
      <c r="Q6" s="35" t="n"/>
      <c r="R6" s="35" t="n"/>
      <c r="S6" s="35" t="n"/>
      <c r="T6" s="35" t="n"/>
      <c r="U6" s="35" t="n"/>
      <c r="V6" s="35" t="n"/>
      <c r="W6" s="35" t="n"/>
      <c r="X6" s="35" t="n"/>
      <c r="Y6" s="35" t="n"/>
      <c r="Z6" s="35" t="n"/>
      <c r="AA6" s="35" t="n"/>
      <c r="AC6" s="21" t="n"/>
      <c r="AD6" s="29" t="n">
        <v>2010</v>
      </c>
      <c r="AE6" s="30" t="n"/>
      <c r="AF6" s="30" t="n"/>
      <c r="AG6" s="30" t="n"/>
      <c r="AH6" s="30" t="n"/>
      <c r="AI6" s="30" t="n"/>
      <c r="AJ6" s="30" t="n"/>
      <c r="AK6" s="30" t="n"/>
      <c r="AL6" s="30" t="n"/>
      <c r="AM6" s="30" t="n"/>
      <c r="AN6" s="30" t="n"/>
      <c r="AO6" s="30" t="n"/>
      <c r="AP6" s="30" t="n"/>
      <c r="AQ6" s="31" t="n"/>
      <c r="AR6" s="24" t="n"/>
      <c r="AS6" s="24" t="n"/>
    </row>
    <row r="7">
      <c r="A7" s="32" t="n"/>
      <c r="B7" s="35" t="n"/>
      <c r="C7" s="40" t="n"/>
      <c r="D7" s="34" t="n"/>
      <c r="E7" s="34" t="n"/>
      <c r="F7" s="34" t="n"/>
      <c r="O7" s="18" t="n">
        <v>2010</v>
      </c>
      <c r="P7" s="35" t="n"/>
      <c r="Q7" s="35" t="n"/>
      <c r="R7" s="35" t="n"/>
      <c r="S7" s="35" t="n"/>
      <c r="T7" s="35" t="n"/>
      <c r="U7" s="35" t="n"/>
      <c r="V7" s="35" t="n"/>
      <c r="W7" s="35" t="n"/>
      <c r="X7" s="35" t="n"/>
      <c r="Y7" s="35" t="n"/>
      <c r="Z7" s="35" t="n"/>
      <c r="AA7" s="35" t="n"/>
      <c r="AC7" s="21" t="n"/>
      <c r="AD7" s="36" t="n">
        <v>2011</v>
      </c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8" t="n"/>
      <c r="AR7" s="24" t="n"/>
      <c r="AS7" s="24" t="n"/>
    </row>
    <row r="8">
      <c r="A8" s="32" t="n"/>
      <c r="B8" s="35" t="n"/>
      <c r="C8" s="40" t="n"/>
      <c r="D8" s="34" t="n"/>
      <c r="E8" s="34" t="n"/>
      <c r="F8" s="34" t="n"/>
      <c r="O8" s="18" t="n">
        <v>2011</v>
      </c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C8" s="21" t="n"/>
      <c r="AD8" s="29" t="n">
        <v>2012</v>
      </c>
      <c r="AE8" s="30" t="n"/>
      <c r="AF8" s="30" t="n"/>
      <c r="AG8" s="30" t="n"/>
      <c r="AH8" s="30" t="n"/>
      <c r="AI8" s="30" t="n"/>
      <c r="AJ8" s="30" t="n"/>
      <c r="AK8" s="30" t="n"/>
      <c r="AL8" s="30" t="n"/>
      <c r="AM8" s="30" t="n"/>
      <c r="AN8" s="30" t="n"/>
      <c r="AO8" s="30" t="n"/>
      <c r="AP8" s="30" t="n"/>
      <c r="AQ8" s="31" t="n"/>
      <c r="AR8" s="24" t="n"/>
      <c r="AS8" s="24" t="n"/>
    </row>
    <row r="9">
      <c r="A9" s="32" t="n"/>
      <c r="B9" s="35" t="n"/>
      <c r="C9" s="40" t="n"/>
      <c r="D9" s="34" t="n"/>
      <c r="E9" s="34" t="n"/>
      <c r="F9" s="34" t="n"/>
      <c r="O9" s="18" t="n">
        <v>2012</v>
      </c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  <c r="AA9" s="35" t="n"/>
      <c r="AC9" s="21" t="n"/>
      <c r="AD9" s="36" t="n">
        <v>2013</v>
      </c>
      <c r="AE9" s="37" t="n"/>
      <c r="AF9" s="37" t="n"/>
      <c r="AG9" s="37" t="n"/>
      <c r="AH9" s="37" t="n"/>
      <c r="AI9" s="37" t="n"/>
      <c r="AJ9" s="37" t="n"/>
      <c r="AK9" s="37" t="n"/>
      <c r="AL9" s="37" t="n"/>
      <c r="AM9" s="37" t="n"/>
      <c r="AN9" s="37" t="n"/>
      <c r="AO9" s="37" t="n"/>
      <c r="AP9" s="37" t="n"/>
      <c r="AQ9" s="38" t="n"/>
      <c r="AR9" s="24" t="n"/>
      <c r="AS9" s="24" t="n"/>
    </row>
    <row r="10">
      <c r="A10" s="32" t="n"/>
      <c r="B10" s="35" t="n"/>
      <c r="C10" s="40" t="n"/>
      <c r="D10" s="34" t="n"/>
      <c r="E10" s="34" t="n"/>
      <c r="F10" s="34" t="n"/>
      <c r="O10" s="18" t="n">
        <v>2013</v>
      </c>
      <c r="P10" s="35" t="n"/>
      <c r="Q10" s="35" t="n"/>
      <c r="R10" s="35" t="n"/>
      <c r="S10" s="35" t="n"/>
      <c r="T10" s="35" t="n"/>
      <c r="U10" s="35" t="n"/>
      <c r="V10" s="35" t="n"/>
      <c r="W10" s="35" t="n"/>
      <c r="X10" s="35" t="n"/>
      <c r="Y10" s="35" t="n"/>
      <c r="Z10" s="35" t="n"/>
      <c r="AA10" s="35" t="n"/>
      <c r="AC10" s="21" t="n"/>
      <c r="AD10" s="29" t="n">
        <v>2014</v>
      </c>
      <c r="AE10" s="30" t="n"/>
      <c r="AF10" s="30" t="n"/>
      <c r="AG10" s="30" t="n"/>
      <c r="AH10" s="30" t="n"/>
      <c r="AI10" s="30" t="n"/>
      <c r="AJ10" s="30" t="n"/>
      <c r="AK10" s="30" t="n"/>
      <c r="AL10" s="30" t="n"/>
      <c r="AM10" s="30" t="n"/>
      <c r="AN10" s="30" t="n"/>
      <c r="AO10" s="30" t="n"/>
      <c r="AP10" s="30" t="n"/>
      <c r="AQ10" s="31" t="n"/>
      <c r="AR10" s="24" t="n"/>
      <c r="AS10" s="24" t="n"/>
    </row>
    <row r="11">
      <c r="A11" s="32" t="n"/>
      <c r="B11" s="35" t="n"/>
      <c r="C11" s="40" t="n"/>
      <c r="D11" s="34" t="n"/>
      <c r="E11" s="34" t="n"/>
      <c r="F11" s="34" t="n"/>
      <c r="O11" s="18" t="n">
        <v>2014</v>
      </c>
      <c r="P11" s="35" t="n"/>
      <c r="Q11" s="35" t="n"/>
      <c r="R11" s="35" t="n"/>
      <c r="S11" s="35" t="n"/>
      <c r="T11" s="35" t="n"/>
      <c r="U11" s="35" t="n"/>
      <c r="V11" s="35" t="n"/>
      <c r="W11" s="35" t="n"/>
      <c r="X11" s="35" t="n"/>
      <c r="Y11" s="35" t="n"/>
      <c r="Z11" s="35" t="n"/>
      <c r="AA11" s="35" t="n"/>
      <c r="AC11" s="21" t="n"/>
      <c r="AD11" s="36" t="n">
        <v>2015</v>
      </c>
      <c r="AE11" s="37" t="n"/>
      <c r="AF11" s="37" t="n"/>
      <c r="AG11" s="37" t="n"/>
      <c r="AH11" s="37" t="n"/>
      <c r="AI11" s="37" t="n"/>
      <c r="AJ11" s="37" t="n"/>
      <c r="AK11" s="37" t="n"/>
      <c r="AL11" s="37" t="n"/>
      <c r="AM11" s="37" t="n"/>
      <c r="AN11" s="37" t="n"/>
      <c r="AO11" s="37" t="n"/>
      <c r="AP11" s="37" t="n"/>
      <c r="AQ11" s="38" t="n"/>
      <c r="AR11" s="24" t="n"/>
      <c r="AS11" s="24" t="n"/>
    </row>
    <row r="12">
      <c r="A12" s="32" t="n"/>
      <c r="B12" s="35" t="n"/>
      <c r="C12" s="40" t="n"/>
      <c r="D12" s="34" t="n"/>
      <c r="E12" s="34" t="n"/>
      <c r="F12" s="34" t="n"/>
      <c r="O12" s="18" t="n">
        <v>2015</v>
      </c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C12" s="21" t="n"/>
      <c r="AD12" s="29" t="n">
        <v>2016</v>
      </c>
      <c r="AE12" s="30" t="n"/>
      <c r="AF12" s="30" t="n"/>
      <c r="AG12" s="30" t="n"/>
      <c r="AH12" s="30" t="n"/>
      <c r="AI12" s="30" t="n"/>
      <c r="AJ12" s="30" t="n"/>
      <c r="AK12" s="30" t="n"/>
      <c r="AL12" s="30" t="n"/>
      <c r="AM12" s="30" t="n"/>
      <c r="AN12" s="30">
        <f>+Y13</f>
        <v/>
      </c>
      <c r="AO12" s="30">
        <f>+Z13</f>
        <v/>
      </c>
      <c r="AP12" s="30">
        <f>+AA13</f>
        <v/>
      </c>
      <c r="AQ12" s="31">
        <f>+B135/B129-1</f>
        <v/>
      </c>
      <c r="AR12" s="41" t="n"/>
      <c r="AS12" s="24" t="n"/>
    </row>
    <row r="13">
      <c r="A13" s="32" t="n"/>
      <c r="B13" s="35" t="n"/>
      <c r="C13" s="40" t="n"/>
      <c r="D13" s="34" t="n"/>
      <c r="E13" s="34" t="n"/>
      <c r="F13" s="34" t="n"/>
      <c r="O13" s="18" t="n">
        <v>2016</v>
      </c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76">
        <f>LOOKUP(DATE($O13,Y$20,Y$19),$A$2:$A$2941,$C$2:$C$2941)</f>
        <v/>
      </c>
      <c r="Z13" s="76">
        <f>LOOKUP(DATE($O13,Z$20,Z$19),$A$2:$A$2941,$C$2:$C$2941)</f>
        <v/>
      </c>
      <c r="AA13" s="76">
        <f>LOOKUP(DATE($O13,AA$20,AA$19),$A$2:$A$2941,$C$2:$C$2941)</f>
        <v/>
      </c>
      <c r="AC13" s="21" t="n"/>
      <c r="AD13" s="36" t="n">
        <v>2017</v>
      </c>
      <c r="AE13" s="37">
        <f>+P14</f>
        <v/>
      </c>
      <c r="AF13" s="37">
        <f>+Q14</f>
        <v/>
      </c>
      <c r="AG13" s="37">
        <f>+R14</f>
        <v/>
      </c>
      <c r="AH13" s="37">
        <f>+S14</f>
        <v/>
      </c>
      <c r="AI13" s="37">
        <f>+T14</f>
        <v/>
      </c>
      <c r="AJ13" s="37">
        <f>+U14</f>
        <v/>
      </c>
      <c r="AK13" s="37">
        <f>+V14</f>
        <v/>
      </c>
      <c r="AL13" s="37">
        <f>+W14</f>
        <v/>
      </c>
      <c r="AM13" s="37">
        <f>+X14</f>
        <v/>
      </c>
      <c r="AN13" s="37">
        <f>+Y14</f>
        <v/>
      </c>
      <c r="AO13" s="37">
        <f>+Z14</f>
        <v/>
      </c>
      <c r="AP13" s="37">
        <f>+AA14</f>
        <v/>
      </c>
      <c r="AQ13" s="38">
        <f>+B147/B135-1</f>
        <v/>
      </c>
      <c r="AR13" s="37" t="n"/>
      <c r="AS13" s="24" t="n"/>
    </row>
    <row r="14">
      <c r="A14" s="32" t="n"/>
      <c r="B14" s="35" t="n"/>
      <c r="C14" s="40" t="n"/>
      <c r="D14" s="34" t="n"/>
      <c r="E14" s="34" t="n"/>
      <c r="F14" s="34" t="n"/>
      <c r="O14" s="18" t="n">
        <v>2017</v>
      </c>
      <c r="P14" s="76">
        <f>LOOKUP(DATE($O14,P$20,P$19),$A$2:$A$2941,$C$2:$C$2941)</f>
        <v/>
      </c>
      <c r="Q14" s="76">
        <f>LOOKUP(DATE($O14,Q$20,Q$19),$A$2:$A$2941,$C$2:$C$2941)</f>
        <v/>
      </c>
      <c r="R14" s="76">
        <f>LOOKUP(DATE($O14,R$20,R$19),$A$2:$A$2941,$C$2:$C$2941)</f>
        <v/>
      </c>
      <c r="S14" s="76">
        <f>LOOKUP(DATE($O14,S$20,S$19),$A$2:$A$2941,$C$2:$C$2941)</f>
        <v/>
      </c>
      <c r="T14" s="76">
        <f>LOOKUP(DATE($O14,T$20,T$19),$A$2:$A$2941,$C$2:$C$2941)</f>
        <v/>
      </c>
      <c r="U14" s="76">
        <f>LOOKUP(DATE($O14,U$20,U$19),$A$2:$A$2941,$C$2:$C$2941)</f>
        <v/>
      </c>
      <c r="V14" s="76">
        <f>LOOKUP(DATE($O14,V$20,V$19),$A$2:$A$2941,$C$2:$C$2941)</f>
        <v/>
      </c>
      <c r="W14" s="76">
        <f>LOOKUP(DATE($O14,W$20,W$19),$A$2:$A$2941,$C$2:$C$2941)</f>
        <v/>
      </c>
      <c r="X14" s="76">
        <f>LOOKUP(DATE($O14,X$20,X$19),$A$2:$A$2941,$C$2:$C$2941)</f>
        <v/>
      </c>
      <c r="Y14" s="76">
        <f>LOOKUP(DATE($O14,Y$20,Y$19),$A$2:$A$2941,$C$2:$C$2941)</f>
        <v/>
      </c>
      <c r="Z14" s="76">
        <f>LOOKUP(DATE($O14,Z$20,Z$19),$A$2:$A$2941,$C$2:$C$2941)</f>
        <v/>
      </c>
      <c r="AA14" s="76">
        <f>LOOKUP(DATE($O14,AA$20,AA$19),$A$2:$A$2941,$C$2:$C$2941)</f>
        <v/>
      </c>
      <c r="AC14" s="21" t="n"/>
      <c r="AD14" s="29" t="n">
        <v>2018</v>
      </c>
      <c r="AE14" s="37">
        <f>+P15</f>
        <v/>
      </c>
      <c r="AF14" s="37">
        <f>+Q15</f>
        <v/>
      </c>
      <c r="AG14" s="37">
        <f>+R15</f>
        <v/>
      </c>
      <c r="AH14" s="37">
        <f>+S15</f>
        <v/>
      </c>
      <c r="AI14" s="37">
        <f>+T15</f>
        <v/>
      </c>
      <c r="AJ14" s="37">
        <f>+U15</f>
        <v/>
      </c>
      <c r="AK14" s="37">
        <f>+V15</f>
        <v/>
      </c>
      <c r="AL14" s="37">
        <f>+W15</f>
        <v/>
      </c>
      <c r="AM14" s="37">
        <f>+X15</f>
        <v/>
      </c>
      <c r="AN14" s="37">
        <f>+Y15</f>
        <v/>
      </c>
      <c r="AO14" s="37">
        <f>+Z15</f>
        <v/>
      </c>
      <c r="AP14" s="37">
        <f>+AA15</f>
        <v/>
      </c>
      <c r="AQ14" s="31">
        <f>+B159/B147-1</f>
        <v/>
      </c>
      <c r="AR14" s="41" t="n"/>
      <c r="AS14" s="24" t="n"/>
    </row>
    <row r="15">
      <c r="A15" s="32" t="n"/>
      <c r="B15" s="35" t="n"/>
      <c r="C15" s="40" t="n"/>
      <c r="D15" s="34" t="n"/>
      <c r="E15" s="34" t="n"/>
      <c r="F15" s="34" t="n"/>
      <c r="O15" s="18" t="n">
        <v>2018</v>
      </c>
      <c r="P15" s="76">
        <f>LOOKUP(DATE($O15,P$20,P$19),$A$2:$A$2941,$C$2:$C$2941)</f>
        <v/>
      </c>
      <c r="Q15" s="76">
        <f>LOOKUP(DATE($O15,Q$20,Q$19),$A$2:$A$2941,$C$2:$C$2941)</f>
        <v/>
      </c>
      <c r="R15" s="76">
        <f>LOOKUP(DATE($O15,R$20,R$19),$A$2:$A$2941,$C$2:$C$2941)</f>
        <v/>
      </c>
      <c r="S15" s="76">
        <f>LOOKUP(DATE($O15,S$20,S$19),$A$2:$A$2941,$C$2:$C$2941)</f>
        <v/>
      </c>
      <c r="T15" s="76">
        <f>LOOKUP(DATE($O15,T$20,T$19),$A$2:$A$2941,$C$2:$C$2941)</f>
        <v/>
      </c>
      <c r="U15" s="76">
        <f>LOOKUP(DATE($O15,U$20,U$19),$A$2:$A$2941,$C$2:$C$2941)</f>
        <v/>
      </c>
      <c r="V15" s="76">
        <f>LOOKUP(DATE($O15,V$20,V$19),$A$2:$A$2941,$C$2:$C$2941)</f>
        <v/>
      </c>
      <c r="W15" s="76">
        <f>LOOKUP(DATE($O15,W$20,W$19),$A$2:$A$2941,$C$2:$C$2941)</f>
        <v/>
      </c>
      <c r="X15" s="76">
        <f>LOOKUP(DATE($O15,X$20,X$19),$A$2:$A$2941,$C$2:$C$2941)</f>
        <v/>
      </c>
      <c r="Y15" s="76">
        <f>LOOKUP(DATE($O15,Y$20,Y$19),$A$2:$A$2941,$C$2:$C$2941)</f>
        <v/>
      </c>
      <c r="Z15" s="76">
        <f>LOOKUP(DATE($O15,Z$20,Z$19),$A$2:$A$2941,$C$2:$C$2941)</f>
        <v/>
      </c>
      <c r="AA15" s="76">
        <f>LOOKUP(DATE($O15,AA$20,AA$19),$A$2:$A$2941,$C$2:$C$2941)</f>
        <v/>
      </c>
      <c r="AC15" s="21" t="n"/>
      <c r="AD15" s="36" t="n">
        <v>2019</v>
      </c>
      <c r="AE15" s="37">
        <f>+P16</f>
        <v/>
      </c>
      <c r="AF15" s="37">
        <f>+Q16</f>
        <v/>
      </c>
      <c r="AG15" s="37">
        <f>+R16</f>
        <v/>
      </c>
      <c r="AH15" s="37">
        <f>+S16</f>
        <v/>
      </c>
      <c r="AI15" s="37">
        <f>+T16</f>
        <v/>
      </c>
      <c r="AJ15" s="37">
        <f>+U16</f>
        <v/>
      </c>
      <c r="AK15" s="37">
        <f>+V16</f>
        <v/>
      </c>
      <c r="AL15" s="37">
        <f>+W16</f>
        <v/>
      </c>
      <c r="AM15" s="37">
        <f>+X16</f>
        <v/>
      </c>
      <c r="AN15" s="37">
        <f>+Y16</f>
        <v/>
      </c>
      <c r="AO15" s="37">
        <f>+Z16</f>
        <v/>
      </c>
      <c r="AP15" s="37">
        <f>+AA16</f>
        <v/>
      </c>
      <c r="AQ15" s="38">
        <f>+((B171/B159-1)/COUNTA(AE15:AP15)*12)</f>
        <v/>
      </c>
      <c r="AR15" s="41" t="inlineStr">
        <is>
          <t>(*)</t>
        </is>
      </c>
      <c r="AS15" s="24" t="n"/>
    </row>
    <row r="16">
      <c r="A16" s="32" t="n"/>
      <c r="B16" s="35" t="n"/>
      <c r="C16" s="40" t="n"/>
      <c r="D16" s="34" t="n"/>
      <c r="E16" s="34" t="n"/>
      <c r="F16" s="34" t="n"/>
      <c r="O16" s="18" t="n">
        <v>2019</v>
      </c>
      <c r="P16" s="76">
        <f>LOOKUP(DATE($O16,P$20,P$19),$A$2:$A$2941,$C$2:$C$2941)</f>
        <v/>
      </c>
      <c r="Q16" s="76">
        <f>LOOKUP(DATE($O16,Q$20,Q$19),$A$2:$A$2941,$C$2:$C$2941)</f>
        <v/>
      </c>
      <c r="R16" s="76">
        <f>LOOKUP(DATE($O16,R$20,R$19),$A$2:$A$2941,$C$2:$C$2941)</f>
        <v/>
      </c>
      <c r="S16" s="76">
        <f>LOOKUP(DATE($O16,S$20,S$19),$A$2:$A$2941,$C$2:$C$2941)</f>
        <v/>
      </c>
      <c r="T16" s="76">
        <f>LOOKUP(DATE($O16,T$20,T$19),$A$2:$A$2941,$C$2:$C$2941)</f>
        <v/>
      </c>
      <c r="U16" s="76">
        <f>LOOKUP(DATE($O16,U$20,U$19),$A$2:$A$2941,$C$2:$C$2941)</f>
        <v/>
      </c>
      <c r="V16" s="76">
        <f>LOOKUP(DATE($O16,V$20,V$19),$A$2:$A$2941,$C$2:$C$2941)</f>
        <v/>
      </c>
      <c r="W16" s="76">
        <f>LOOKUP(DATE($O16,W$20,W$19),$A$2:$A$2941,$C$2:$C$2941)</f>
        <v/>
      </c>
      <c r="X16" s="76">
        <f>LOOKUP(DATE($O16,X$20,X$19),$A$2:$A$2941,$C$2:$C$2941)</f>
        <v/>
      </c>
      <c r="Y16" s="76">
        <f>LOOKUP(DATE($O16,Y$20,Y$19),$A$2:$A$2941,$C$2:$C$2941)</f>
        <v/>
      </c>
      <c r="Z16" s="76">
        <f>LOOKUP(DATE($O16,Z$20,Z$19),$A$2:$A$2941,$C$2:$C$2941)</f>
        <v/>
      </c>
      <c r="AA16" s="76">
        <f>LOOKUP(DATE($O16,AA$20,AA$19),$A$2:$A$2941,$C$2:$C$2941)</f>
        <v/>
      </c>
      <c r="AC16" s="21" t="n"/>
      <c r="AD16" s="36" t="n">
        <v>2020</v>
      </c>
      <c r="AE16" s="37">
        <f>+P17</f>
        <v/>
      </c>
      <c r="AF16" s="37">
        <f>+Q17</f>
        <v/>
      </c>
      <c r="AG16" s="37">
        <f>+R17</f>
        <v/>
      </c>
      <c r="AH16" s="37">
        <f>+S17</f>
        <v/>
      </c>
      <c r="AI16" s="37">
        <f>+T17</f>
        <v/>
      </c>
      <c r="AJ16" s="37">
        <f>+U17</f>
        <v/>
      </c>
      <c r="AK16" s="37">
        <f>+V17</f>
        <v/>
      </c>
      <c r="AL16" s="37">
        <f>+W17</f>
        <v/>
      </c>
      <c r="AM16" s="37">
        <f>+X17</f>
        <v/>
      </c>
      <c r="AN16" s="37" t="n"/>
      <c r="AO16" s="37" t="n"/>
      <c r="AP16" s="37" t="n"/>
      <c r="AQ16" s="38">
        <f>+((B175/B171-1)/COUNTA(AE16:AP16)*12)</f>
        <v/>
      </c>
      <c r="AR16" s="24" t="n"/>
      <c r="AS16" s="24" t="n"/>
    </row>
    <row r="17">
      <c r="A17" s="32" t="n"/>
      <c r="B17" s="35" t="n"/>
      <c r="C17" s="40" t="n"/>
      <c r="D17" s="34" t="n"/>
      <c r="E17" s="34" t="n"/>
      <c r="F17" s="34" t="n"/>
      <c r="O17" s="18" t="n">
        <v>2020</v>
      </c>
      <c r="P17" s="76">
        <f>LOOKUP(DATE($O17,P$20,P$19),$A$2:$A$2941,$C$2:$C$2941)</f>
        <v/>
      </c>
      <c r="Q17" s="76">
        <f>LOOKUP(DATE($O17,Q$20,Q$19)+1,$A$2:$A$2941,$C$2:$C$2941)</f>
        <v/>
      </c>
      <c r="R17" s="76">
        <f>LOOKUP(DATE($O17,R$20,R$19),$A$2:$A$2941,$C$2:$C$2941)</f>
        <v/>
      </c>
      <c r="S17" s="76">
        <f>LOOKUP(DATE($O17,S$20,S$19),$A$2:$A$2941,$C$2:$C$2941)</f>
        <v/>
      </c>
      <c r="T17" s="76">
        <f>LOOKUP(DATE($O17,T$20,T$19),$A$2:$A$2941,$C$2:$C$2941)</f>
        <v/>
      </c>
      <c r="U17" s="76">
        <f>LOOKUP(DATE($O17,U$20,U$19),$A$2:$A$2941,$C$2:$C$2941)</f>
        <v/>
      </c>
      <c r="V17" s="76">
        <f>LOOKUP(DATE($O17,V$20,V$19),$A$2:$A$2941,$C$2:$C$2941)</f>
        <v/>
      </c>
      <c r="W17" s="76">
        <f>LOOKUP(DATE($O17,W$20,W$19),$A$2:$A$2941,$C$2:$C$2941)</f>
        <v/>
      </c>
      <c r="X17" s="76">
        <f>LOOKUP(DATE($O17,X$20,X$19),$A$2:$A$2941,$C$2:$C$2941)</f>
        <v/>
      </c>
      <c r="Y17" s="76" t="n"/>
      <c r="Z17" s="76" t="n"/>
      <c r="AA17" s="76" t="n"/>
      <c r="AD17" s="41" t="inlineStr">
        <is>
          <t>(*) Acum a Mar</t>
        </is>
      </c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</row>
    <row r="18">
      <c r="A18" s="32" t="n"/>
      <c r="B18" s="35" t="n"/>
      <c r="C18" s="40" t="n"/>
      <c r="D18" s="34" t="n"/>
      <c r="E18" s="34" t="n"/>
      <c r="F18" s="34" t="n"/>
      <c r="O18" s="18" t="n">
        <v>2021</v>
      </c>
      <c r="P18" s="18">
        <f>LOOKUP(DATE($O18,P$20,P$19),$A$2:$A$2941,$C$2:$C$2941)</f>
        <v/>
      </c>
      <c r="AV18" s="43" t="n"/>
      <c r="AW18" s="43" t="n"/>
      <c r="AX18" s="43" t="n">
        <v>-1</v>
      </c>
      <c r="AY18" s="43" t="n">
        <v>-3</v>
      </c>
      <c r="AZ18" s="43" t="n">
        <v>-6</v>
      </c>
      <c r="BA18" s="43" t="n">
        <v>-12</v>
      </c>
      <c r="BB18" s="43" t="n"/>
    </row>
    <row r="19">
      <c r="A19" s="32" t="n"/>
      <c r="B19" s="35" t="n"/>
      <c r="C19" s="40" t="n"/>
      <c r="D19" s="34" t="n"/>
      <c r="E19" s="34" t="n"/>
      <c r="F19" s="34" t="n"/>
      <c r="P19" s="25" t="n">
        <v>31</v>
      </c>
      <c r="Q19" s="25" t="n">
        <v>28</v>
      </c>
      <c r="R19" s="25" t="n">
        <v>31</v>
      </c>
      <c r="S19" s="25" t="n">
        <v>30</v>
      </c>
      <c r="T19" s="25" t="n">
        <v>31</v>
      </c>
      <c r="U19" s="25" t="n">
        <v>30</v>
      </c>
      <c r="V19" s="25" t="n">
        <v>31</v>
      </c>
      <c r="W19" s="25" t="n">
        <v>31</v>
      </c>
      <c r="X19" s="25" t="n">
        <v>30</v>
      </c>
      <c r="Y19" s="25" t="n">
        <v>31</v>
      </c>
      <c r="Z19" s="25" t="n">
        <v>30</v>
      </c>
      <c r="AA19" s="25" t="n">
        <v>31</v>
      </c>
      <c r="AV19" s="45" t="inlineStr">
        <is>
          <t>Ingresar mes actual==&gt;</t>
        </is>
      </c>
      <c r="AW19" s="46" t="n">
        <v>46144</v>
      </c>
      <c r="AX19" s="46">
        <f>EOMONTH($AW19,AX18)</f>
        <v/>
      </c>
      <c r="AY19" s="46">
        <f>EOMONTH($AW19,AY18)</f>
        <v/>
      </c>
      <c r="AZ19" s="46">
        <f>EOMONTH($AW19,AZ18)</f>
        <v/>
      </c>
      <c r="BA19" s="46">
        <f>EOMONTH($AW19,BA18)</f>
        <v/>
      </c>
      <c r="BB19" s="46" t="n">
        <v>43100</v>
      </c>
    </row>
    <row r="20">
      <c r="A20" s="32" t="n"/>
      <c r="B20" s="35" t="n"/>
      <c r="C20" s="40" t="n"/>
      <c r="D20" s="34" t="n"/>
      <c r="E20" s="34" t="n"/>
      <c r="F20" s="34" t="n"/>
      <c r="P20" s="25" t="n">
        <v>1</v>
      </c>
      <c r="Q20" s="25" t="n">
        <v>2</v>
      </c>
      <c r="R20" s="25" t="n">
        <v>3</v>
      </c>
      <c r="S20" s="25" t="n">
        <v>4</v>
      </c>
      <c r="T20" s="25" t="n">
        <v>5</v>
      </c>
      <c r="U20" s="25" t="n">
        <v>6</v>
      </c>
      <c r="V20" s="25" t="n">
        <v>7</v>
      </c>
      <c r="W20" s="25" t="n">
        <v>8</v>
      </c>
      <c r="X20" s="25" t="n">
        <v>9</v>
      </c>
      <c r="Y20" s="25" t="n">
        <v>10</v>
      </c>
      <c r="Z20" s="25" t="n">
        <v>11</v>
      </c>
      <c r="AA20" s="25" t="n">
        <v>12</v>
      </c>
      <c r="AR20" s="24" t="n"/>
      <c r="AS20" s="24" t="n"/>
      <c r="AV20" s="43" t="inlineStr">
        <is>
          <t>ICP</t>
        </is>
      </c>
      <c r="AW20" s="48">
        <f>LOOKUP(AW19,$A$3:$A$2971,$B$3:$B$2971)</f>
        <v/>
      </c>
      <c r="AX20" s="48">
        <f>LOOKUP(AX19,$A$3:$A$2971,$B$3:$B$2971)</f>
        <v/>
      </c>
      <c r="AY20" s="48">
        <f>LOOKUP(AY19,$A$3:$A$2971,$B$3:$B$2971)</f>
        <v/>
      </c>
      <c r="AZ20" s="48">
        <f>LOOKUP(AZ19,$A$3:$A$2971,$B$3:$B$2971)</f>
        <v/>
      </c>
      <c r="BA20" s="48">
        <f>LOOKUP(BA19,$A$3:$A$2971,$B$3:$B$2971)</f>
        <v/>
      </c>
      <c r="BB20" s="48">
        <f>LOOKUP(BB19,$A$3:$A$2971,$B$3:$B$2971)</f>
        <v/>
      </c>
    </row>
    <row r="21" ht="15.75" customHeight="1">
      <c r="A21" s="32" t="n"/>
      <c r="B21" s="35" t="n"/>
      <c r="C21" s="40" t="n"/>
      <c r="D21" s="34" t="n"/>
      <c r="E21" s="34" t="n"/>
      <c r="F21" s="34" t="n"/>
      <c r="O21" s="47" t="inlineStr">
        <is>
          <t>FONDO EXTRA</t>
        </is>
      </c>
      <c r="P21" s="18" t="inlineStr">
        <is>
          <t>Ene</t>
        </is>
      </c>
      <c r="Q21" s="18" t="inlineStr">
        <is>
          <t>Feb</t>
        </is>
      </c>
      <c r="R21" s="18" t="inlineStr">
        <is>
          <t>Mar</t>
        </is>
      </c>
      <c r="S21" s="18" t="inlineStr">
        <is>
          <t>Abr</t>
        </is>
      </c>
      <c r="T21" s="18" t="inlineStr">
        <is>
          <t>May</t>
        </is>
      </c>
      <c r="U21" s="18" t="inlineStr">
        <is>
          <t>Jun</t>
        </is>
      </c>
      <c r="V21" s="18" t="inlineStr">
        <is>
          <t>Jul</t>
        </is>
      </c>
      <c r="W21" s="18" t="inlineStr">
        <is>
          <t>Ago</t>
        </is>
      </c>
      <c r="X21" s="18" t="inlineStr">
        <is>
          <t>Sep</t>
        </is>
      </c>
      <c r="Y21" s="18" t="inlineStr">
        <is>
          <t>Oct</t>
        </is>
      </c>
      <c r="Z21" s="18" t="inlineStr">
        <is>
          <t>Nov</t>
        </is>
      </c>
      <c r="AA21" s="18" t="inlineStr">
        <is>
          <t>Dic</t>
        </is>
      </c>
      <c r="AD21" s="44" t="inlineStr">
        <is>
          <t>Extra</t>
        </is>
      </c>
      <c r="AE21" s="23" t="inlineStr">
        <is>
          <t>Ene</t>
        </is>
      </c>
      <c r="AF21" s="23" t="inlineStr">
        <is>
          <t>Feb</t>
        </is>
      </c>
      <c r="AG21" s="23" t="inlineStr">
        <is>
          <t>Mar</t>
        </is>
      </c>
      <c r="AH21" s="23" t="inlineStr">
        <is>
          <t>Abr</t>
        </is>
      </c>
      <c r="AI21" s="23" t="inlineStr">
        <is>
          <t>May</t>
        </is>
      </c>
      <c r="AJ21" s="23" t="inlineStr">
        <is>
          <t>Jun</t>
        </is>
      </c>
      <c r="AK21" s="23" t="inlineStr">
        <is>
          <t>Jul</t>
        </is>
      </c>
      <c r="AL21" s="23" t="inlineStr">
        <is>
          <t>Ago</t>
        </is>
      </c>
      <c r="AM21" s="23" t="inlineStr">
        <is>
          <t>Sep</t>
        </is>
      </c>
      <c r="AN21" s="23" t="inlineStr">
        <is>
          <t>Oct</t>
        </is>
      </c>
      <c r="AO21" s="23" t="inlineStr">
        <is>
          <t>Nov</t>
        </is>
      </c>
      <c r="AP21" s="23" t="inlineStr">
        <is>
          <t>Dic</t>
        </is>
      </c>
      <c r="AQ21" s="23" t="inlineStr">
        <is>
          <t>Total Año</t>
        </is>
      </c>
      <c r="AR21" s="41" t="n"/>
      <c r="AS21" s="24" t="n"/>
      <c r="AV21" s="43" t="inlineStr">
        <is>
          <t>Competencia</t>
        </is>
      </c>
      <c r="AW21" s="48">
        <f>LOOKUP(AW19,$F$2:$F$2972,$K$2:$K$2972)</f>
        <v/>
      </c>
      <c r="AX21" s="48">
        <f>LOOKUP(AX19,$F$2:$F$2972,$K$2:$K$2972)</f>
        <v/>
      </c>
      <c r="AY21" s="48">
        <f>LOOKUP(AY19,$F$2:$F$2972,$K$2:$K$2972)</f>
        <v/>
      </c>
      <c r="AZ21" s="48">
        <f>LOOKUP(AZ19,$F$2:$F$2972,$K$2:$K$2972)</f>
        <v/>
      </c>
      <c r="BA21" s="48">
        <f>LOOKUP(BA19,$F$2:$F$2972,$K$2:$K$2972)</f>
        <v/>
      </c>
      <c r="BB21" s="48">
        <f>LOOKUP(BB19,$F$2:$F$2972,$K$2:$K$2972)</f>
        <v/>
      </c>
    </row>
    <row r="22">
      <c r="A22" s="32" t="n"/>
      <c r="B22" s="35" t="n"/>
      <c r="C22" s="40" t="n"/>
      <c r="D22" s="34" t="n"/>
      <c r="E22" s="34" t="n"/>
      <c r="F22" s="34" t="n"/>
      <c r="O22" s="18" t="n">
        <v>2016</v>
      </c>
      <c r="P22" s="77" t="n"/>
      <c r="Q22" s="77" t="n"/>
      <c r="R22" s="77" t="n"/>
      <c r="S22" s="77" t="n"/>
      <c r="T22" s="77" t="n"/>
      <c r="U22" s="77" t="n"/>
      <c r="V22" s="77">
        <f>LOOKUP(DATE($O22,V$20,V$19),$A$2:$A$2941,$I$2:$I$2941)</f>
        <v/>
      </c>
      <c r="W22" s="77">
        <f>LOOKUP(DATE($O22,W$20,W$19),$A$2:$A$2941,$I$2:$I$2941)</f>
        <v/>
      </c>
      <c r="X22" s="77">
        <f>LOOKUP(DATE($O22,X$20,X$19),$A$2:$A$2941,$I$2:$I$2941)</f>
        <v/>
      </c>
      <c r="Y22" s="77">
        <f>LOOKUP(DATE($O22,Y$20,Y$19),$A$2:$A$2941,$I$2:$I$2941)</f>
        <v/>
      </c>
      <c r="Z22" s="77">
        <f>LOOKUP(DATE($O22,Z$20,Z$19),$A$2:$A$2941,$I$2:$I$2941)</f>
        <v/>
      </c>
      <c r="AA22" s="77">
        <f>LOOKUP(DATE($O22,AA$20,AA$19),$A$2:$A$2941,$I$2:$I$2941)</f>
        <v/>
      </c>
      <c r="AD22" s="29" t="n">
        <v>2016</v>
      </c>
      <c r="AE22" s="30" t="n"/>
      <c r="AF22" s="30" t="n"/>
      <c r="AG22" s="30" t="n"/>
      <c r="AH22" s="30" t="n"/>
      <c r="AI22" s="30" t="n"/>
      <c r="AJ22" s="30" t="n"/>
      <c r="AK22" s="30">
        <f>+V22</f>
        <v/>
      </c>
      <c r="AL22" s="30">
        <f>+W22</f>
        <v/>
      </c>
      <c r="AM22" s="30">
        <f>+X22</f>
        <v/>
      </c>
      <c r="AN22" s="30">
        <f>+Y22</f>
        <v/>
      </c>
      <c r="AO22" s="30">
        <f>+Z22</f>
        <v/>
      </c>
      <c r="AP22" s="30">
        <f>+AA22</f>
        <v/>
      </c>
      <c r="AQ22" s="38">
        <f>+H135/H129-1</f>
        <v/>
      </c>
      <c r="AR22" s="41" t="n"/>
      <c r="AV22" s="43" t="inlineStr">
        <is>
          <t>FIP Extra</t>
        </is>
      </c>
      <c r="AW22" s="48">
        <f>LOOKUP(AW19,$F$2:$F$2970,$H$2:$H$2970)</f>
        <v/>
      </c>
      <c r="AX22" s="48">
        <f>LOOKUP(AX19,$F$2:$F$2970,$H$2:$H$2970)</f>
        <v/>
      </c>
      <c r="AY22" s="48">
        <f>LOOKUP(AY19,$F$2:$F$2970,$H$2:$H$2970)</f>
        <v/>
      </c>
      <c r="AZ22" s="48">
        <f>LOOKUP(AZ19,$F$2:$F$2970,$H$2:$H$2970)</f>
        <v/>
      </c>
      <c r="BA22" s="48">
        <f>LOOKUP(BA19,$F$2:$F$2970,$H$2:$H$2970)</f>
        <v/>
      </c>
      <c r="BB22" s="48">
        <f>LOOKUP(BB19,$F$2:$F$2970,$H$2:$H$2970)</f>
        <v/>
      </c>
    </row>
    <row r="23">
      <c r="A23" s="32" t="n"/>
      <c r="B23" s="35" t="n"/>
      <c r="C23" s="40" t="n"/>
      <c r="D23" s="34" t="n"/>
      <c r="E23" s="34" t="n"/>
      <c r="F23" s="34" t="n"/>
      <c r="O23" s="18" t="n">
        <v>2017</v>
      </c>
      <c r="P23" s="77">
        <f>LOOKUP(DATE($O23,P$20,P$19),$A$2:$A$2941,$I$2:$I$2941)</f>
        <v/>
      </c>
      <c r="Q23" s="77">
        <f>LOOKUP(DATE($O23,Q$20,Q$19),$A$2:$A$2941,$I$2:$I$2941)</f>
        <v/>
      </c>
      <c r="R23" s="77">
        <f>LOOKUP(DATE($O23,R$20,R$19),$A$2:$A$2941,$I$2:$I$2941)</f>
        <v/>
      </c>
      <c r="S23" s="77">
        <f>LOOKUP(DATE($O23,S$20,S$19),$A$2:$A$2941,$I$2:$I$2941)</f>
        <v/>
      </c>
      <c r="T23" s="77">
        <f>LOOKUP(DATE($O23,T$20,T$19),$A$2:$A$2941,$I$2:$I$2941)</f>
        <v/>
      </c>
      <c r="U23" s="77">
        <f>LOOKUP(DATE($O23,U$20,U$19),$A$2:$A$2941,$I$2:$I$2941)</f>
        <v/>
      </c>
      <c r="V23" s="77">
        <f>LOOKUP(DATE($O23,V$20,V$19),$A$2:$A$2941,$I$2:$I$2941)</f>
        <v/>
      </c>
      <c r="W23" s="77">
        <f>LOOKUP(DATE($O23,W$20,W$19),$A$2:$A$2941,$I$2:$I$2941)</f>
        <v/>
      </c>
      <c r="X23" s="77">
        <f>LOOKUP(DATE($O23,X$20,X$19),$A$2:$A$2941,$I$2:$I$2941)</f>
        <v/>
      </c>
      <c r="Y23" s="77">
        <f>LOOKUP(DATE($O23,Y$20,Y$19),$A$2:$A$2941,$I$2:$I$2941)</f>
        <v/>
      </c>
      <c r="Z23" s="77">
        <f>LOOKUP(DATE($O23,Z$20,Z$19),$A$2:$A$2941,$I$2:$I$2941)</f>
        <v/>
      </c>
      <c r="AA23" s="77">
        <f>LOOKUP(DATE($O23,AA$20,AA$19),$A$2:$A$2941,$I$2:$I$2941)</f>
        <v/>
      </c>
      <c r="AD23" s="36" t="n">
        <v>2017</v>
      </c>
      <c r="AE23" s="30">
        <f>+P23</f>
        <v/>
      </c>
      <c r="AF23" s="30">
        <f>+Q23</f>
        <v/>
      </c>
      <c r="AG23" s="30">
        <f>+R23</f>
        <v/>
      </c>
      <c r="AH23" s="30">
        <f>+S23</f>
        <v/>
      </c>
      <c r="AI23" s="30">
        <f>+T23</f>
        <v/>
      </c>
      <c r="AJ23" s="30">
        <f>+U23</f>
        <v/>
      </c>
      <c r="AK23" s="30">
        <f>+V23</f>
        <v/>
      </c>
      <c r="AL23" s="30">
        <f>+W23</f>
        <v/>
      </c>
      <c r="AM23" s="30">
        <f>+X23</f>
        <v/>
      </c>
      <c r="AN23" s="30">
        <f>+Y23</f>
        <v/>
      </c>
      <c r="AO23" s="30">
        <f>+Z23</f>
        <v/>
      </c>
      <c r="AP23" s="30">
        <f>+AA23</f>
        <v/>
      </c>
      <c r="AQ23" s="38">
        <f>+H147/H135-1</f>
        <v/>
      </c>
      <c r="AR23" s="24" t="n"/>
      <c r="AS23" s="24" t="n"/>
      <c r="AV23" s="43" t="n"/>
      <c r="AW23" s="43" t="n"/>
      <c r="AX23" s="43" t="n"/>
      <c r="AY23" s="43" t="n"/>
      <c r="AZ23" s="43" t="n"/>
      <c r="BA23" s="43" t="n"/>
      <c r="BB23" s="43" t="n"/>
    </row>
    <row r="24">
      <c r="A24" s="32" t="n"/>
      <c r="B24" s="35" t="n"/>
      <c r="C24" s="40" t="n"/>
      <c r="D24" s="34" t="n"/>
      <c r="E24" s="34" t="n"/>
      <c r="F24" s="34" t="n"/>
      <c r="O24" s="18" t="n">
        <v>2018</v>
      </c>
      <c r="P24" s="77">
        <f>LOOKUP(DATE($O24,P$20,P$19),$A$2:$A$2941,$I$2:$I$2941)</f>
        <v/>
      </c>
      <c r="Q24" s="77">
        <f>LOOKUP(DATE($O24,Q$20,Q$19),$A$2:$A$2941,$I$2:$I$2941)</f>
        <v/>
      </c>
      <c r="R24" s="77">
        <f>LOOKUP(DATE($O24,R$20,R$19),$A$2:$A$2941,$I$2:$I$2941)</f>
        <v/>
      </c>
      <c r="S24" s="77">
        <f>LOOKUP(DATE($O24,S$20,S$19),$A$2:$A$2941,$I$2:$I$2941)</f>
        <v/>
      </c>
      <c r="T24" s="77">
        <f>LOOKUP(DATE($O24,T$20,T$19),$A$2:$A$2941,$I$2:$I$2941)</f>
        <v/>
      </c>
      <c r="U24" s="77">
        <f>LOOKUP(DATE($O24,U$20,U$19),$A$2:$A$2941,$I$2:$I$2941)</f>
        <v/>
      </c>
      <c r="V24" s="77">
        <f>LOOKUP(DATE($O24,V$20,V$19),$A$2:$A$2941,$I$2:$I$2941)</f>
        <v/>
      </c>
      <c r="W24" s="77">
        <f>LOOKUP(DATE($O24,W$20,W$19),$A$2:$A$2941,$I$2:$I$2941)</f>
        <v/>
      </c>
      <c r="X24" s="77">
        <f>LOOKUP(DATE($O24,X$20,X$19),$A$2:$A$2941,$I$2:$I$2941)</f>
        <v/>
      </c>
      <c r="Y24" s="77">
        <f>LOOKUP(DATE($O24,Y$20,Y$19),$A$2:$A$2941,$I$2:$I$2941)</f>
        <v/>
      </c>
      <c r="Z24" s="77">
        <f>LOOKUP(DATE($O24,Z$20,Z$19),$A$2:$A$2941,$I$2:$I$2941)</f>
        <v/>
      </c>
      <c r="AA24" s="77">
        <f>LOOKUP(DATE($O24,AA$20,AA$19),$A$2:$A$2941,$I$2:$I$2941)</f>
        <v/>
      </c>
      <c r="AD24" s="29" t="n">
        <v>2018</v>
      </c>
      <c r="AE24" s="30">
        <f>+P24</f>
        <v/>
      </c>
      <c r="AF24" s="30">
        <f>+Q24</f>
        <v/>
      </c>
      <c r="AG24" s="30">
        <f>+R24</f>
        <v/>
      </c>
      <c r="AH24" s="30">
        <f>+S24</f>
        <v/>
      </c>
      <c r="AI24" s="30">
        <f>+T24</f>
        <v/>
      </c>
      <c r="AJ24" s="30">
        <f>+U24</f>
        <v/>
      </c>
      <c r="AK24" s="30">
        <f>+V24</f>
        <v/>
      </c>
      <c r="AL24" s="30">
        <f>+W24</f>
        <v/>
      </c>
      <c r="AM24" s="30">
        <f>+X24</f>
        <v/>
      </c>
      <c r="AN24" s="30">
        <f>+Y24</f>
        <v/>
      </c>
      <c r="AO24" s="30">
        <f>+Z24</f>
        <v/>
      </c>
      <c r="AP24" s="30">
        <f>+AA24</f>
        <v/>
      </c>
      <c r="AQ24" s="31">
        <f>+H159/H148-1</f>
        <v/>
      </c>
      <c r="AR24" s="41" t="inlineStr">
        <is>
          <t>(*)</t>
        </is>
      </c>
      <c r="AS24" s="24" t="n"/>
    </row>
    <row r="25">
      <c r="A25" s="32" t="n"/>
      <c r="B25" s="35" t="n"/>
      <c r="C25" s="40" t="n"/>
      <c r="D25" s="34" t="n"/>
      <c r="E25" s="34" t="n"/>
      <c r="F25" s="34" t="n"/>
      <c r="O25" s="18" t="n">
        <v>2019</v>
      </c>
      <c r="P25" s="77">
        <f>LOOKUP(DATE($O25,P$20,P$19),$A$2:$A$2941,$I$2:$I$2941)</f>
        <v/>
      </c>
      <c r="Q25" s="77">
        <f>LOOKUP(DATE($O25,Q$20,Q$19),$A$2:$A$2941,$I$2:$I$2941)</f>
        <v/>
      </c>
      <c r="R25" s="77">
        <f>LOOKUP(DATE($O25,R$20,R$19),$A$2:$A$2941,$I$2:$I$2941)</f>
        <v/>
      </c>
      <c r="S25" s="77">
        <f>LOOKUP(DATE($O25,S$20,S$19),$A$2:$A$2941,$I$2:$I$2941)</f>
        <v/>
      </c>
      <c r="T25" s="77">
        <f>LOOKUP(DATE($O25,T$20,T$19),$A$2:$A$2941,$I$2:$I$2941)</f>
        <v/>
      </c>
      <c r="U25" s="77">
        <f>LOOKUP(DATE($O25,U$20,U$19),$A$2:$A$2941,$I$2:$I$2941)</f>
        <v/>
      </c>
      <c r="V25" s="77">
        <f>LOOKUP(DATE($O25,V$20,V$19),$A$2:$A$2941,$I$2:$I$2941)</f>
        <v/>
      </c>
      <c r="W25" s="77">
        <f>LOOKUP(DATE($O25,W$20,W$19),$A$2:$A$2941,$I$2:$I$2941)</f>
        <v/>
      </c>
      <c r="X25" s="77">
        <f>LOOKUP(DATE($O25,X$20,X$19),$A$2:$A$2941,$I$2:$I$2941)</f>
        <v/>
      </c>
      <c r="Y25" s="77">
        <f>LOOKUP(DATE($O25,Y$20,Y$19),$A$2:$A$2941,$I$2:$I$2941)</f>
        <v/>
      </c>
      <c r="Z25" s="77">
        <f>LOOKUP(DATE($O25,Z$20,Z$19),$A$2:$A$2941,$I$2:$I$2941)</f>
        <v/>
      </c>
      <c r="AA25" s="77">
        <f>LOOKUP(DATE($O25,AA$20,AA$19),$A$2:$A$2941,$I$2:$I$2941)</f>
        <v/>
      </c>
      <c r="AD25" s="36" t="n">
        <v>2019</v>
      </c>
      <c r="AE25" s="30">
        <f>+P25</f>
        <v/>
      </c>
      <c r="AF25" s="30">
        <f>+Q25</f>
        <v/>
      </c>
      <c r="AG25" s="30">
        <f>+R25</f>
        <v/>
      </c>
      <c r="AH25" s="30">
        <f>+S25</f>
        <v/>
      </c>
      <c r="AI25" s="30">
        <f>+T25</f>
        <v/>
      </c>
      <c r="AJ25" s="30">
        <f>+U25</f>
        <v/>
      </c>
      <c r="AK25" s="30">
        <f>+V25</f>
        <v/>
      </c>
      <c r="AL25" s="30">
        <f>+W25</f>
        <v/>
      </c>
      <c r="AM25" s="30">
        <f>+X25</f>
        <v/>
      </c>
      <c r="AN25" s="30">
        <f>+Y25</f>
        <v/>
      </c>
      <c r="AO25" s="30">
        <f>+Z25</f>
        <v/>
      </c>
      <c r="AP25" s="30">
        <f>+AA25</f>
        <v/>
      </c>
      <c r="AQ25" s="38">
        <f>+(H171/H159-1)/COUNTA(AE25:AP25)*12</f>
        <v/>
      </c>
    </row>
    <row r="26">
      <c r="A26" s="32" t="n"/>
      <c r="B26" s="35" t="n"/>
      <c r="C26" s="40" t="n"/>
      <c r="D26" s="34" t="n"/>
      <c r="E26" s="34" t="n"/>
      <c r="F26" s="34" t="n"/>
      <c r="O26" s="18" t="n">
        <v>2020</v>
      </c>
      <c r="P26" s="77">
        <f>LOOKUP(DATE($O26,P$20,P$19),$A$2:$A$2941,$I$2:$I$2941)</f>
        <v/>
      </c>
      <c r="Q26" s="77">
        <f>LOOKUP(DATE($O26,Q$20,Q$19)+1,$A$2:$A$2941,$I$2:$I$2941)</f>
        <v/>
      </c>
      <c r="R26" s="77">
        <f>LOOKUP(DATE($O26,R$20,R$19),$A$2:$A$2941,$I$2:$I$2941)</f>
        <v/>
      </c>
      <c r="S26" s="77">
        <f>LOOKUP(DATE($O26,S$20,S$19),$A$2:$A$2941,$I$2:$I$2941)</f>
        <v/>
      </c>
      <c r="T26" s="77">
        <f>LOOKUP(DATE($O26,T$20,T$19),$A$2:$A$2941,$I$2:$I$2941)</f>
        <v/>
      </c>
      <c r="U26" s="77">
        <f>LOOKUP(DATE($O26,U$20,U$19),$A$2:$A$2941,$I$2:$I$2941)</f>
        <v/>
      </c>
      <c r="V26" s="77">
        <f>LOOKUP(DATE($O26,V$20,V$19),$A$2:$A$2941,$I$2:$I$2941)</f>
        <v/>
      </c>
      <c r="W26" s="77">
        <f>LOOKUP(DATE($O26,W$20,W$19),$A$2:$A$2941,$I$2:$I$2941)</f>
        <v/>
      </c>
      <c r="X26" s="77">
        <f>LOOKUP(DATE($O26,X$20,X$19),$A$2:$A$2941,$I$2:$I$2941)</f>
        <v/>
      </c>
      <c r="Y26" s="77">
        <f>LOOKUP(DATE($O26,Y$20,Y$19),$A$2:$A$2941,$I$2:$I$2941)</f>
        <v/>
      </c>
      <c r="Z26" s="77">
        <f>LOOKUP(DATE($O26,Z$20,Z$19),$A$2:$A$2941,$I$2:$I$2941)</f>
        <v/>
      </c>
      <c r="AA26" s="77">
        <f>LOOKUP(DATE($O26,AA$20,AA$19),$A$2:$A$2941,$I$2:$I$2941)</f>
        <v/>
      </c>
      <c r="AD26" s="36" t="n">
        <v>2020</v>
      </c>
      <c r="AE26" s="30">
        <f>+P26</f>
        <v/>
      </c>
      <c r="AF26" s="30">
        <f>+Q26</f>
        <v/>
      </c>
      <c r="AG26" s="30">
        <f>+R26</f>
        <v/>
      </c>
      <c r="AH26" s="30">
        <f>+S26</f>
        <v/>
      </c>
      <c r="AI26" s="30">
        <f>+T26</f>
        <v/>
      </c>
      <c r="AJ26" s="30">
        <f>+U26</f>
        <v/>
      </c>
      <c r="AK26" s="30">
        <f>+V26</f>
        <v/>
      </c>
      <c r="AL26" s="30">
        <f>+W26</f>
        <v/>
      </c>
      <c r="AM26" s="30">
        <f>+X26</f>
        <v/>
      </c>
      <c r="AN26" s="30" t="n"/>
      <c r="AO26" s="30" t="n"/>
      <c r="AP26" s="30" t="n"/>
      <c r="AQ26" s="38">
        <f>+(H178/H171-1)/COUNTA(AE26:AP26)*12</f>
        <v/>
      </c>
      <c r="AR26" s="24" t="n"/>
      <c r="AS26" s="24" t="n"/>
      <c r="AV26" s="49" t="n"/>
      <c r="AW26" s="49" t="n"/>
      <c r="AX26" s="49" t="n"/>
      <c r="AY26" s="49" t="n"/>
      <c r="AZ26" s="49" t="n"/>
      <c r="BA26" s="49" t="n"/>
      <c r="BB26" s="49" t="n"/>
      <c r="BC26" s="49" t="n"/>
    </row>
    <row r="27">
      <c r="A27" s="32" t="n"/>
      <c r="B27" s="35" t="n"/>
      <c r="C27" s="40" t="n"/>
      <c r="D27" s="34" t="n"/>
      <c r="E27" s="34" t="n"/>
      <c r="F27" s="34" t="n"/>
      <c r="O27" s="18" t="n">
        <v>2021</v>
      </c>
      <c r="P27" s="35">
        <f>LOOKUP(DATE($O27,P$20,P$19),$A$2:$A$2941,$I$2:$I$2941)</f>
        <v/>
      </c>
      <c r="Q27" s="35" t="n"/>
      <c r="R27" s="35" t="n"/>
      <c r="S27" s="35" t="n"/>
      <c r="T27" s="35" t="n"/>
      <c r="U27" s="35" t="n"/>
      <c r="V27" s="35" t="n"/>
      <c r="W27" s="35" t="n"/>
      <c r="X27" s="35" t="n"/>
      <c r="Y27" s="35" t="n"/>
      <c r="Z27" s="35" t="n"/>
      <c r="AA27" s="35" t="n"/>
      <c r="AD27" s="41" t="inlineStr">
        <is>
          <t>(*) Acum a Mar</t>
        </is>
      </c>
      <c r="AE27" s="18">
        <f>+P27</f>
        <v/>
      </c>
      <c r="AG27" s="18">
        <f>+R27</f>
        <v/>
      </c>
      <c r="AH27" s="18">
        <f>+S27</f>
        <v/>
      </c>
      <c r="AI27" s="18">
        <f>+T27</f>
        <v/>
      </c>
      <c r="AJ27" s="18">
        <f>+U27</f>
        <v/>
      </c>
      <c r="AK27" s="18">
        <f>+V27</f>
        <v/>
      </c>
      <c r="AL27" s="18">
        <f>+W27</f>
        <v/>
      </c>
      <c r="AM27" s="18">
        <f>+X27</f>
        <v/>
      </c>
      <c r="AR27" s="41" t="n"/>
      <c r="AS27" s="24" t="n"/>
      <c r="AV27" s="50" t="n"/>
      <c r="AW27" s="51" t="inlineStr">
        <is>
          <t>Rentabilidad</t>
        </is>
      </c>
      <c r="AX27" s="51" t="inlineStr">
        <is>
          <t>Mensual</t>
        </is>
      </c>
      <c r="AY27" s="51" t="inlineStr">
        <is>
          <t>Trimestral</t>
        </is>
      </c>
      <c r="AZ27" s="51" t="inlineStr">
        <is>
          <t>Semestral</t>
        </is>
      </c>
      <c r="BA27" s="51" t="inlineStr">
        <is>
          <t>Anual</t>
        </is>
      </c>
      <c r="BB27" s="51" t="inlineStr">
        <is>
          <t>Acum. 2019</t>
        </is>
      </c>
      <c r="BC27" s="52" t="n"/>
      <c r="BD27" s="53" t="n"/>
    </row>
    <row r="28" ht="15.75" customHeight="1">
      <c r="A28" s="32" t="n"/>
      <c r="B28" s="35" t="n"/>
      <c r="C28" s="40" t="n"/>
      <c r="D28" s="34" t="n"/>
      <c r="E28" s="34" t="n"/>
      <c r="F28" s="34" t="n"/>
      <c r="P28" s="25" t="n">
        <v>31</v>
      </c>
      <c r="Q28" s="25" t="n">
        <v>28</v>
      </c>
      <c r="R28" s="25" t="n">
        <v>31</v>
      </c>
      <c r="S28" s="25" t="n">
        <v>30</v>
      </c>
      <c r="T28" s="25" t="n">
        <v>31</v>
      </c>
      <c r="U28" s="25" t="n">
        <v>30</v>
      </c>
      <c r="V28" s="25" t="n">
        <v>31</v>
      </c>
      <c r="W28" s="25" t="n">
        <v>31</v>
      </c>
      <c r="X28" s="25" t="n">
        <v>30</v>
      </c>
      <c r="Y28" s="25" t="n">
        <v>31</v>
      </c>
      <c r="Z28" s="25" t="n">
        <v>30</v>
      </c>
      <c r="AA28" s="25" t="n">
        <v>31</v>
      </c>
      <c r="AD28" s="44" t="inlineStr">
        <is>
          <t>Competencia</t>
        </is>
      </c>
      <c r="AE28" s="23" t="inlineStr">
        <is>
          <t>Ene</t>
        </is>
      </c>
      <c r="AF28" s="23" t="inlineStr">
        <is>
          <t>Feb</t>
        </is>
      </c>
      <c r="AG28" s="23" t="inlineStr">
        <is>
          <t>Mar</t>
        </is>
      </c>
      <c r="AH28" s="23" t="inlineStr">
        <is>
          <t>Abr</t>
        </is>
      </c>
      <c r="AI28" s="23" t="inlineStr">
        <is>
          <t>May</t>
        </is>
      </c>
      <c r="AJ28" s="23" t="inlineStr">
        <is>
          <t>Jun</t>
        </is>
      </c>
      <c r="AK28" s="23" t="inlineStr">
        <is>
          <t>Jul</t>
        </is>
      </c>
      <c r="AL28" s="23" t="inlineStr">
        <is>
          <t>Ago</t>
        </is>
      </c>
      <c r="AM28" s="23" t="inlineStr">
        <is>
          <t>Sep</t>
        </is>
      </c>
      <c r="AN28" s="23" t="inlineStr">
        <is>
          <t>Oct</t>
        </is>
      </c>
      <c r="AO28" s="23" t="inlineStr">
        <is>
          <t>Nov</t>
        </is>
      </c>
      <c r="AP28" s="23" t="inlineStr">
        <is>
          <t>Dic</t>
        </is>
      </c>
      <c r="AQ28" s="23" t="inlineStr">
        <is>
          <t>Total Año</t>
        </is>
      </c>
      <c r="AR28" s="41" t="n"/>
      <c r="AV28" s="79" t="n"/>
      <c r="AW28" s="51" t="inlineStr">
        <is>
          <t>ICP (Bechmark)</t>
        </is>
      </c>
      <c r="AX28" s="54">
        <f>($AW20/AX20-1)/(AW19-AX19)*30</f>
        <v/>
      </c>
      <c r="AY28" s="54">
        <f>$AW20/AY20-1</f>
        <v/>
      </c>
      <c r="AZ28" s="54">
        <f>$AW20/AZ20-1</f>
        <v/>
      </c>
      <c r="BA28" s="54">
        <f>$AW20/BA20-1</f>
        <v/>
      </c>
      <c r="BB28" s="54">
        <f>+AQ48</f>
        <v/>
      </c>
      <c r="BC28" s="55" t="n"/>
      <c r="BD28" s="42" t="n"/>
    </row>
    <row r="29">
      <c r="A29" s="32" t="n"/>
      <c r="B29" s="35" t="n"/>
      <c r="C29" s="40" t="n"/>
      <c r="D29" s="34" t="n"/>
      <c r="E29" s="34" t="n"/>
      <c r="F29" s="34" t="n"/>
      <c r="P29" s="25" t="n">
        <v>1</v>
      </c>
      <c r="Q29" s="25" t="n">
        <v>2</v>
      </c>
      <c r="R29" s="25" t="n">
        <v>3</v>
      </c>
      <c r="S29" s="25" t="n">
        <v>4</v>
      </c>
      <c r="T29" s="25" t="n">
        <v>5</v>
      </c>
      <c r="U29" s="25" t="n">
        <v>6</v>
      </c>
      <c r="V29" s="25" t="n">
        <v>7</v>
      </c>
      <c r="W29" s="25" t="n">
        <v>8</v>
      </c>
      <c r="X29" s="25" t="n">
        <v>9</v>
      </c>
      <c r="Y29" s="25" t="n">
        <v>10</v>
      </c>
      <c r="Z29" s="25" t="n">
        <v>11</v>
      </c>
      <c r="AA29" s="25" t="n">
        <v>12</v>
      </c>
      <c r="AD29" s="29" t="n">
        <v>2016</v>
      </c>
      <c r="AE29" s="30" t="n"/>
      <c r="AF29" s="30" t="n"/>
      <c r="AG29" s="30" t="n"/>
      <c r="AH29" s="30" t="n"/>
      <c r="AI29" s="30" t="n"/>
      <c r="AJ29" s="30">
        <f>+U31</f>
        <v/>
      </c>
      <c r="AK29" s="30">
        <f>+V31</f>
        <v/>
      </c>
      <c r="AL29" s="30">
        <f>+W31</f>
        <v/>
      </c>
      <c r="AM29" s="30">
        <f>+X31</f>
        <v/>
      </c>
      <c r="AN29" s="30">
        <f>+Y31</f>
        <v/>
      </c>
      <c r="AO29" s="30">
        <f>+Z31</f>
        <v/>
      </c>
      <c r="AP29" s="30">
        <f>+AA31</f>
        <v/>
      </c>
      <c r="AQ29" s="31">
        <f>+K135/K129-1</f>
        <v/>
      </c>
      <c r="AR29" s="24" t="n"/>
      <c r="AS29" s="24" t="n"/>
      <c r="AW29" s="51" t="inlineStr">
        <is>
          <t>Competencia</t>
        </is>
      </c>
      <c r="AX29" s="54">
        <f>($AW21/AX21-1)/(AW19-AX19)*30</f>
        <v/>
      </c>
      <c r="AY29" s="54">
        <f>($AW21)/AY21-1</f>
        <v/>
      </c>
      <c r="AZ29" s="54">
        <f>($AW21)/AZ21-1</f>
        <v/>
      </c>
      <c r="BA29" s="54">
        <f>($AW21)/BA21-1</f>
        <v/>
      </c>
      <c r="BB29" s="54">
        <f>+AQ49</f>
        <v/>
      </c>
      <c r="BC29" s="55" t="n"/>
      <c r="BD29" s="42" t="n"/>
    </row>
    <row r="30">
      <c r="A30" s="32" t="n"/>
      <c r="B30" s="35" t="n"/>
      <c r="C30" s="40" t="n"/>
      <c r="D30" s="34" t="n"/>
      <c r="E30" s="34" t="n"/>
      <c r="F30" s="34" t="n"/>
      <c r="O30" s="47" t="inlineStr">
        <is>
          <t>Competencia</t>
        </is>
      </c>
      <c r="P30" s="18" t="inlineStr">
        <is>
          <t>Ene</t>
        </is>
      </c>
      <c r="Q30" s="18" t="inlineStr">
        <is>
          <t>Feb</t>
        </is>
      </c>
      <c r="R30" s="18" t="inlineStr">
        <is>
          <t>Mar</t>
        </is>
      </c>
      <c r="S30" s="18" t="inlineStr">
        <is>
          <t>Abr</t>
        </is>
      </c>
      <c r="T30" s="18" t="inlineStr">
        <is>
          <t>May</t>
        </is>
      </c>
      <c r="U30" s="18" t="inlineStr">
        <is>
          <t>Jun</t>
        </is>
      </c>
      <c r="V30" s="18" t="inlineStr">
        <is>
          <t>Jul</t>
        </is>
      </c>
      <c r="W30" s="18" t="inlineStr">
        <is>
          <t>Ago</t>
        </is>
      </c>
      <c r="X30" s="18" t="inlineStr">
        <is>
          <t>Sep</t>
        </is>
      </c>
      <c r="Y30" s="18" t="inlineStr">
        <is>
          <t>Oct</t>
        </is>
      </c>
      <c r="Z30" s="18" t="inlineStr">
        <is>
          <t>Nov</t>
        </is>
      </c>
      <c r="AA30" s="18" t="inlineStr">
        <is>
          <t>Dic</t>
        </is>
      </c>
      <c r="AD30" s="36" t="n">
        <v>2017</v>
      </c>
      <c r="AE30" s="30">
        <f>+P32</f>
        <v/>
      </c>
      <c r="AF30" s="30">
        <f>+Q32</f>
        <v/>
      </c>
      <c r="AG30" s="30">
        <f>+R32</f>
        <v/>
      </c>
      <c r="AH30" s="30">
        <f>+S32</f>
        <v/>
      </c>
      <c r="AI30" s="30">
        <f>+T32</f>
        <v/>
      </c>
      <c r="AJ30" s="30">
        <f>+U32</f>
        <v/>
      </c>
      <c r="AK30" s="30">
        <f>+V32</f>
        <v/>
      </c>
      <c r="AL30" s="30">
        <f>+W32</f>
        <v/>
      </c>
      <c r="AM30" s="30">
        <f>+X32</f>
        <v/>
      </c>
      <c r="AN30" s="30">
        <f>+Y32</f>
        <v/>
      </c>
      <c r="AO30" s="30">
        <f>+Z32</f>
        <v/>
      </c>
      <c r="AP30" s="30">
        <f>+AA32</f>
        <v/>
      </c>
      <c r="AQ30" s="38">
        <f>+K147/K135-1</f>
        <v/>
      </c>
      <c r="AR30" s="41" t="inlineStr">
        <is>
          <t>(*)</t>
        </is>
      </c>
      <c r="AS30" s="24" t="n"/>
      <c r="AV30" s="56" t="n"/>
      <c r="AW30" s="51" t="inlineStr">
        <is>
          <t>FIP Extra</t>
        </is>
      </c>
      <c r="AX30" s="54">
        <f>($AW22/AX22-1)/(AW19-AX19)*30</f>
        <v/>
      </c>
      <c r="AY30" s="54">
        <f>+AW22/AY22-1</f>
        <v/>
      </c>
      <c r="AZ30" s="54">
        <f>+AW22/AZ22-1</f>
        <v/>
      </c>
      <c r="BA30" s="54">
        <f>($AW22)/BA22-1</f>
        <v/>
      </c>
      <c r="BB30" s="54">
        <f>+AQ50</f>
        <v/>
      </c>
      <c r="BC30" s="56" t="n"/>
      <c r="BD30" s="42" t="n"/>
    </row>
    <row r="31">
      <c r="A31" s="32" t="n"/>
      <c r="B31" s="35" t="n"/>
      <c r="C31" s="40" t="n"/>
      <c r="D31" s="34" t="n"/>
      <c r="E31" s="34" t="n"/>
      <c r="F31" s="34" t="n"/>
      <c r="O31" s="18" t="n">
        <v>2016</v>
      </c>
      <c r="P31" s="76" t="n"/>
      <c r="Q31" s="76" t="n"/>
      <c r="R31" s="76" t="n"/>
      <c r="S31" s="76" t="n"/>
      <c r="T31" s="76" t="n"/>
      <c r="U31" s="76">
        <f>LOOKUP(DATE($O31,U$29,U$28),$A$2:$A$2941,$L$2:$L$2941)</f>
        <v/>
      </c>
      <c r="V31" s="76">
        <f>LOOKUP(DATE($O31,V$29,V$28),$A$2:$A$2941,$L$2:$L$2941)</f>
        <v/>
      </c>
      <c r="W31" s="76">
        <f>LOOKUP(DATE($O31,W$29,W$28),$A$2:$A$2941,$L$2:$L$2941)</f>
        <v/>
      </c>
      <c r="X31" s="76">
        <f>LOOKUP(DATE($O31,X$29,X$28),$A$2:$A$2941,$L$2:$L$2941)</f>
        <v/>
      </c>
      <c r="Y31" s="76">
        <f>LOOKUP(DATE($O31,Y$29,Y$28),$A$2:$A$2941,$L$2:$L$2941)</f>
        <v/>
      </c>
      <c r="Z31" s="76">
        <f>LOOKUP(DATE($O31,Z$29,Z$28),$A$2:$A$2941,$L$2:$L$2941)</f>
        <v/>
      </c>
      <c r="AA31" s="76">
        <f>LOOKUP(DATE($O31,AA$29,AA$28),$A$2:$A$2941,$L$2:$L$2941)</f>
        <v/>
      </c>
      <c r="AD31" s="29" t="n">
        <v>2018</v>
      </c>
      <c r="AE31" s="30">
        <f>+P33</f>
        <v/>
      </c>
      <c r="AF31" s="30">
        <f>+Q33</f>
        <v/>
      </c>
      <c r="AG31" s="30">
        <f>+R33</f>
        <v/>
      </c>
      <c r="AH31" s="30">
        <f>+S33</f>
        <v/>
      </c>
      <c r="AI31" s="30">
        <f>+T33</f>
        <v/>
      </c>
      <c r="AJ31" s="30">
        <f>+U33</f>
        <v/>
      </c>
      <c r="AK31" s="30">
        <f>+V33</f>
        <v/>
      </c>
      <c r="AL31" s="30">
        <f>+W33</f>
        <v/>
      </c>
      <c r="AM31" s="30">
        <f>+X33</f>
        <v/>
      </c>
      <c r="AN31" s="30">
        <f>+Y33</f>
        <v/>
      </c>
      <c r="AO31" s="30">
        <f>+Z33</f>
        <v/>
      </c>
      <c r="AP31" s="30">
        <f>+AA33</f>
        <v/>
      </c>
      <c r="AQ31" s="31">
        <f>+K159/K147-1</f>
        <v/>
      </c>
      <c r="AR31" s="24" t="n"/>
      <c r="AS31" s="24" t="n"/>
      <c r="AV31" s="56" t="n"/>
      <c r="AW31" s="57" t="n"/>
      <c r="AX31" s="24" t="n"/>
      <c r="AY31" s="24" t="n"/>
      <c r="AZ31" s="24" t="n"/>
      <c r="BA31" s="24" t="n"/>
      <c r="BB31" s="24" t="n"/>
      <c r="BC31" s="56" t="n"/>
      <c r="BD31" s="42" t="n"/>
    </row>
    <row r="32">
      <c r="A32" s="32" t="n"/>
      <c r="B32" s="35" t="n"/>
      <c r="C32" s="40" t="n"/>
      <c r="D32" s="34" t="n"/>
      <c r="E32" s="34" t="n"/>
      <c r="F32" s="34" t="n"/>
      <c r="O32" s="18" t="n">
        <v>2017</v>
      </c>
      <c r="P32" s="77">
        <f>LOOKUP(DATE($O32,P$29,P$28),$A$2:$A$2941,$L$2:$L$2941)</f>
        <v/>
      </c>
      <c r="Q32" s="77">
        <f>LOOKUP(DATE($O32,Q$29,Q$28),$A$2:$A$2941,$L$2:$L$2941)</f>
        <v/>
      </c>
      <c r="R32" s="77">
        <f>LOOKUP(DATE($O32,R$29,R$28),$A$2:$A$2941,$L$2:$L$2941)</f>
        <v/>
      </c>
      <c r="S32" s="77">
        <f>LOOKUP(DATE($O32,S$29,S$28),$A$2:$A$2941,$L$2:$L$2941)</f>
        <v/>
      </c>
      <c r="T32" s="77">
        <f>LOOKUP(DATE($O32,T$29,T$28),$A$2:$A$2941,$L$2:$L$2941)</f>
        <v/>
      </c>
      <c r="U32" s="77">
        <f>LOOKUP(DATE($O32,U$29,U$28),$A$2:$A$2941,$L$2:$L$2941)</f>
        <v/>
      </c>
      <c r="V32" s="77">
        <f>LOOKUP(DATE($O32,V$29,V$28),$A$2:$A$2941,$L$2:$L$2941)</f>
        <v/>
      </c>
      <c r="W32" s="77">
        <f>LOOKUP(DATE($O32,W$29,W$28),$A$2:$A$2941,$L$2:$L$2941)</f>
        <v/>
      </c>
      <c r="X32" s="77">
        <f>LOOKUP(DATE($O32,X$29,X$28),$A$2:$A$2941,$L$2:$L$2941)</f>
        <v/>
      </c>
      <c r="Y32" s="77">
        <f>LOOKUP(DATE($O32,Y$29,Y$28),$A$2:$A$2941,$L$2:$L$2941)</f>
        <v/>
      </c>
      <c r="Z32" s="77">
        <f>LOOKUP(DATE($O32,Z$29,Z$28),$A$2:$A$2941,$L$2:$L$2941)</f>
        <v/>
      </c>
      <c r="AA32" s="77">
        <f>LOOKUP(DATE($O32,AA$29,AA$28),$A$2:$A$2941,$L$2:$L$2941)</f>
        <v/>
      </c>
      <c r="AD32" s="36" t="n">
        <v>2019</v>
      </c>
      <c r="AE32" s="30">
        <f>+P34</f>
        <v/>
      </c>
      <c r="AF32" s="30">
        <f>+Q34</f>
        <v/>
      </c>
      <c r="AG32" s="30">
        <f>+R34</f>
        <v/>
      </c>
      <c r="AH32" s="30">
        <f>+S34</f>
        <v/>
      </c>
      <c r="AI32" s="30">
        <f>+T34</f>
        <v/>
      </c>
      <c r="AJ32" s="30">
        <f>+U34</f>
        <v/>
      </c>
      <c r="AK32" s="30">
        <f>+V34</f>
        <v/>
      </c>
      <c r="AL32" s="30">
        <f>+W34</f>
        <v/>
      </c>
      <c r="AM32" s="30">
        <f>+X34</f>
        <v/>
      </c>
      <c r="AN32" s="30">
        <f>+Y34</f>
        <v/>
      </c>
      <c r="AO32" s="30">
        <f>+Z34</f>
        <v/>
      </c>
      <c r="AP32" s="30">
        <f>+AA34</f>
        <v/>
      </c>
      <c r="AQ32" s="38">
        <f>+(K171/K159-1)/COUNTA(AE32:AP32)*12</f>
        <v/>
      </c>
      <c r="AR32" s="24" t="n"/>
      <c r="AS32" s="24" t="n"/>
      <c r="BD32" s="42" t="n"/>
    </row>
    <row r="33">
      <c r="A33" s="32" t="n"/>
      <c r="B33" s="35" t="n"/>
      <c r="C33" s="40" t="n"/>
      <c r="D33" s="34" t="n"/>
      <c r="E33" s="34" t="n"/>
      <c r="F33" s="34" t="n"/>
      <c r="O33" s="18" t="n">
        <v>2018</v>
      </c>
      <c r="P33" s="77">
        <f>LOOKUP(DATE($O33,P$29,P$28),$A$2:$A$2941,$L$2:$L$2941)</f>
        <v/>
      </c>
      <c r="Q33" s="77">
        <f>LOOKUP(DATE($O33,Q$29,Q$28),$A$2:$A$2941,$L$2:$L$2941)</f>
        <v/>
      </c>
      <c r="R33" s="77">
        <f>LOOKUP(DATE($O33,R$29,R$28),$A$2:$A$2941,$L$2:$L$2941)</f>
        <v/>
      </c>
      <c r="S33" s="77">
        <f>LOOKUP(DATE($O33,S$29,S$28),$A$2:$A$2941,$L$2:$L$2941)</f>
        <v/>
      </c>
      <c r="T33" s="77">
        <f>LOOKUP(DATE($O33,T$29,T$28),$A$2:$A$2941,$L$2:$L$2941)</f>
        <v/>
      </c>
      <c r="U33" s="77">
        <f>LOOKUP(DATE($O33,U$29,U$28),$A$2:$A$2941,$L$2:$L$2941)</f>
        <v/>
      </c>
      <c r="V33" s="77">
        <f>LOOKUP(DATE($O33,V$29,V$28),$A$2:$A$2941,$L$2:$L$2941)</f>
        <v/>
      </c>
      <c r="W33" s="77">
        <f>LOOKUP(DATE($O33,W$29,W$28),$A$2:$A$2941,$L$2:$L$2941)</f>
        <v/>
      </c>
      <c r="X33" s="77">
        <f>LOOKUP(DATE($O33,X$29,X$28),$A$2:$A$2941,$L$2:$L$2941)</f>
        <v/>
      </c>
      <c r="Y33" s="77">
        <f>LOOKUP(DATE($O33,Y$29,Y$28),$A$2:$A$2941,$L$2:$L$2941)</f>
        <v/>
      </c>
      <c r="Z33" s="77">
        <f>LOOKUP(DATE($O33,Z$29,Z$28),$A$2:$A$2941,$L$2:$L$2941)</f>
        <v/>
      </c>
      <c r="AA33" s="77">
        <f>LOOKUP(DATE($O33,AA$29,AA$28),$A$2:$A$2941,$L$2:$L$2941)</f>
        <v/>
      </c>
      <c r="AD33" s="36" t="n">
        <v>2020</v>
      </c>
      <c r="AE33" s="30">
        <f>+P35</f>
        <v/>
      </c>
      <c r="AF33" s="30">
        <f>+Q35</f>
        <v/>
      </c>
      <c r="AG33" s="30">
        <f>+R35</f>
        <v/>
      </c>
      <c r="AH33" s="30">
        <f>+S35</f>
        <v/>
      </c>
      <c r="AI33" s="30">
        <f>+T35</f>
        <v/>
      </c>
      <c r="AJ33" s="30">
        <f>+U35</f>
        <v/>
      </c>
      <c r="AK33" s="30">
        <f>+V35</f>
        <v/>
      </c>
      <c r="AL33" s="30">
        <f>+W35</f>
        <v/>
      </c>
      <c r="AM33" s="30">
        <f>+X35</f>
        <v/>
      </c>
      <c r="AN33" s="30" t="n"/>
      <c r="AO33" s="30" t="n"/>
      <c r="AP33" s="30" t="n"/>
      <c r="AQ33" s="38">
        <f>+(K178/K171-1)/COUNTA(AE33:AP33)*12</f>
        <v/>
      </c>
      <c r="AR33" s="24" t="n"/>
      <c r="AS33" s="24" t="n"/>
    </row>
    <row r="34">
      <c r="A34" s="32" t="n"/>
      <c r="B34" s="35" t="n"/>
      <c r="C34" s="40" t="n"/>
      <c r="D34" s="34" t="n"/>
      <c r="E34" s="34" t="n"/>
      <c r="F34" s="34" t="n"/>
      <c r="O34" s="18" t="n">
        <v>2019</v>
      </c>
      <c r="P34" s="76">
        <f>LOOKUP(DATE($O34,P$29,P$28),$A$2:$A$2941,$L$2:$L$2941)</f>
        <v/>
      </c>
      <c r="Q34" s="76">
        <f>LOOKUP(DATE($O34,Q$29,Q$28),$A$2:$A$2941,$L$2:$L$2941)</f>
        <v/>
      </c>
      <c r="R34" s="76">
        <f>LOOKUP(DATE($O34,R$29,R$28),$A$2:$A$2941,$L$2:$L$2941)</f>
        <v/>
      </c>
      <c r="S34" s="76">
        <f>LOOKUP(DATE($O34,S$29,S$28),$A$2:$A$2941,$L$2:$L$2941)</f>
        <v/>
      </c>
      <c r="T34" s="76">
        <f>LOOKUP(DATE($O34,T$29,T$28),$A$2:$A$2941,$L$2:$L$2941)</f>
        <v/>
      </c>
      <c r="U34" s="76">
        <f>LOOKUP(DATE($O34,U$29,U$28),$A$2:$A$2941,$L$2:$L$2941)</f>
        <v/>
      </c>
      <c r="V34" s="76">
        <f>LOOKUP(DATE($O34,V$29,V$28),$A$2:$A$2941,$L$2:$L$2941)</f>
        <v/>
      </c>
      <c r="W34" s="76">
        <f>LOOKUP(DATE($O34,W$29,W$28),$A$2:$A$2941,$L$2:$L$2941)</f>
        <v/>
      </c>
      <c r="X34" s="76">
        <f>LOOKUP(DATE($O34,X$29,X$28),$A$2:$A$2941,$L$2:$L$2941)</f>
        <v/>
      </c>
      <c r="Y34" s="76">
        <f>LOOKUP(DATE($O34,Y$29,Y$28),$A$2:$A$2941,$L$2:$L$2941)</f>
        <v/>
      </c>
      <c r="Z34" s="76">
        <f>LOOKUP(DATE($O34,Z$29,Z$28),$A$2:$A$2941,$L$2:$L$2941)</f>
        <v/>
      </c>
      <c r="AA34" s="76">
        <f>LOOKUP(DATE($O34,AA$29,AA$28),$A$2:$A$2941,$L$2:$L$2941)</f>
        <v/>
      </c>
      <c r="AD34" s="41" t="inlineStr">
        <is>
          <t>(*) Acum a Mar</t>
        </is>
      </c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</row>
    <row r="35">
      <c r="A35" s="32" t="n"/>
      <c r="B35" s="35" t="n"/>
      <c r="C35" s="40" t="n"/>
      <c r="D35" s="34" t="n"/>
      <c r="E35" s="34" t="n"/>
      <c r="F35" s="34" t="n"/>
      <c r="O35" s="18" t="n">
        <v>2020</v>
      </c>
      <c r="P35" s="76">
        <f>LOOKUP(DATE($O35,P$29,P$28),$A$2:$A$2941,$L$2:$L$2941)</f>
        <v/>
      </c>
      <c r="Q35" s="76">
        <f>LOOKUP(DATE($O35,Q$29,Q$28)+1,$A$2:$A$2941,$L$2:$L$2941)</f>
        <v/>
      </c>
      <c r="R35" s="76">
        <f>LOOKUP(DATE($O35,R$29,R$28),$A$2:$A$2941,$L$2:$L$2941)</f>
        <v/>
      </c>
      <c r="S35" s="76">
        <f>LOOKUP(DATE($O35,S$29,S$28),$A$2:$A$2941,$L$2:$L$2941)</f>
        <v/>
      </c>
      <c r="T35" s="76">
        <f>LOOKUP(DATE($O35,T$29,T$28),$A$2:$A$2941,$L$2:$L$2941)</f>
        <v/>
      </c>
      <c r="U35" s="76">
        <f>LOOKUP(DATE($O35,U$29,U$28),$A$2:$A$2941,$L$2:$L$2941)</f>
        <v/>
      </c>
      <c r="V35" s="76">
        <f>LOOKUP(DATE($O35,V$29,V$28),$A$2:$A$2941,$L$2:$L$2941)</f>
        <v/>
      </c>
      <c r="W35" s="76">
        <f>LOOKUP(DATE($O35,W$29,W$28),$A$2:$A$2941,$L$2:$L$2941)</f>
        <v/>
      </c>
      <c r="X35" s="76">
        <f>LOOKUP(DATE($O35,X$29,X$28),$A$2:$A$2941,$L$2:$L$2941)</f>
        <v/>
      </c>
      <c r="AD35" s="41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</row>
    <row r="36">
      <c r="A36" s="32" t="n"/>
      <c r="B36" s="35" t="n"/>
      <c r="C36" s="40" t="n"/>
      <c r="D36" s="34" t="n"/>
      <c r="E36" s="34" t="n"/>
      <c r="F36" s="34" t="n"/>
      <c r="AD36" s="41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</row>
    <row r="37" ht="15" customHeight="1">
      <c r="A37" s="32" t="n"/>
      <c r="B37" s="35" t="n"/>
      <c r="C37" s="40" t="n"/>
      <c r="D37" s="34" t="n"/>
      <c r="E37" s="34" t="n"/>
      <c r="F37" s="34" t="n"/>
      <c r="AD37" s="41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</row>
    <row r="38">
      <c r="A38" s="32" t="n"/>
      <c r="B38" s="35" t="n"/>
      <c r="C38" s="40" t="n"/>
      <c r="D38" s="34" t="n"/>
      <c r="E38" s="34" t="n"/>
      <c r="F38" s="34" t="n"/>
      <c r="AC38" s="58" t="inlineStr">
        <is>
          <t>Año</t>
        </is>
      </c>
      <c r="AD38" s="59" t="inlineStr">
        <is>
          <t>Fondo</t>
        </is>
      </c>
      <c r="AE38" s="59" t="inlineStr">
        <is>
          <t>Ene</t>
        </is>
      </c>
      <c r="AF38" s="59" t="inlineStr">
        <is>
          <t>Feb</t>
        </is>
      </c>
      <c r="AG38" s="59" t="inlineStr">
        <is>
          <t>Mar</t>
        </is>
      </c>
      <c r="AH38" s="59" t="inlineStr">
        <is>
          <t>Abr</t>
        </is>
      </c>
      <c r="AI38" s="59" t="inlineStr">
        <is>
          <t>May</t>
        </is>
      </c>
      <c r="AJ38" s="59" t="inlineStr">
        <is>
          <t>Jun</t>
        </is>
      </c>
      <c r="AK38" s="59" t="inlineStr">
        <is>
          <t>Jul</t>
        </is>
      </c>
      <c r="AL38" s="59" t="inlineStr">
        <is>
          <t>Ago</t>
        </is>
      </c>
      <c r="AM38" s="59" t="inlineStr">
        <is>
          <t>Sep</t>
        </is>
      </c>
      <c r="AN38" s="59" t="inlineStr">
        <is>
          <t>Oct</t>
        </is>
      </c>
      <c r="AO38" s="59" t="inlineStr">
        <is>
          <t>Nov</t>
        </is>
      </c>
      <c r="AP38" s="59" t="inlineStr">
        <is>
          <t>Dic</t>
        </is>
      </c>
      <c r="AQ38" s="59" t="inlineStr">
        <is>
          <t>Total Año</t>
        </is>
      </c>
      <c r="AR38" s="24" t="n"/>
      <c r="AS38" s="24" t="n"/>
      <c r="BE38" s="53" t="n"/>
      <c r="BF38" s="53" t="n"/>
      <c r="BG38" s="53" t="n"/>
      <c r="BH38" s="53" t="n"/>
      <c r="BI38" s="53" t="n"/>
      <c r="BJ38" s="53" t="n"/>
    </row>
    <row r="39" ht="15" customHeight="1">
      <c r="A39" s="32" t="n"/>
      <c r="B39" s="35" t="n"/>
      <c r="C39" s="40" t="n"/>
      <c r="D39" s="34" t="n"/>
      <c r="E39" s="34" t="n"/>
      <c r="F39" s="34" t="n"/>
      <c r="AC39" s="80" t="n">
        <v>2017</v>
      </c>
      <c r="AD39" s="70" t="inlineStr">
        <is>
          <t>FONDO E</t>
        </is>
      </c>
      <c r="AE39" s="71">
        <f>+AE13</f>
        <v/>
      </c>
      <c r="AF39" s="71">
        <f>+AF13</f>
        <v/>
      </c>
      <c r="AG39" s="71">
        <f>+AG13</f>
        <v/>
      </c>
      <c r="AH39" s="71">
        <f>+AH13</f>
        <v/>
      </c>
      <c r="AI39" s="71">
        <f>+AI13</f>
        <v/>
      </c>
      <c r="AJ39" s="71">
        <f>+AJ13</f>
        <v/>
      </c>
      <c r="AK39" s="71">
        <f>+AK13</f>
        <v/>
      </c>
      <c r="AL39" s="71">
        <f>+AL13</f>
        <v/>
      </c>
      <c r="AM39" s="71">
        <f>+AM13</f>
        <v/>
      </c>
      <c r="AN39" s="71">
        <f>+AN13</f>
        <v/>
      </c>
      <c r="AO39" s="71">
        <f>+AO13</f>
        <v/>
      </c>
      <c r="AP39" s="71">
        <f>+AP13</f>
        <v/>
      </c>
      <c r="AQ39" s="72">
        <f>+AQ30</f>
        <v/>
      </c>
      <c r="AR39" s="24" t="n"/>
      <c r="AS39" s="24" t="n"/>
      <c r="BE39" s="42" t="n"/>
      <c r="BF39" s="42" t="n"/>
      <c r="BG39" s="42" t="n"/>
      <c r="BH39" s="42" t="n"/>
      <c r="BI39" s="42" t="n"/>
      <c r="BJ39" s="63" t="n"/>
    </row>
    <row r="40" ht="15" customHeight="1">
      <c r="A40" s="32" t="n"/>
      <c r="B40" s="35" t="n"/>
      <c r="C40" s="40" t="n"/>
      <c r="D40" s="34" t="n"/>
      <c r="E40" s="34" t="n"/>
      <c r="F40" s="34" t="n"/>
      <c r="AD40" s="70" t="inlineStr">
        <is>
          <t>Competencia</t>
        </is>
      </c>
      <c r="AE40" s="71">
        <f>+AE30</f>
        <v/>
      </c>
      <c r="AF40" s="71">
        <f>+AF30</f>
        <v/>
      </c>
      <c r="AG40" s="71">
        <f>+AG30</f>
        <v/>
      </c>
      <c r="AH40" s="71">
        <f>+AH30</f>
        <v/>
      </c>
      <c r="AI40" s="71">
        <f>+AI30</f>
        <v/>
      </c>
      <c r="AJ40" s="71">
        <f>+AJ30</f>
        <v/>
      </c>
      <c r="AK40" s="71">
        <f>+AK30</f>
        <v/>
      </c>
      <c r="AL40" s="71">
        <f>+AL30</f>
        <v/>
      </c>
      <c r="AM40" s="71">
        <f>+AM30</f>
        <v/>
      </c>
      <c r="AN40" s="71">
        <f>+AN30</f>
        <v/>
      </c>
      <c r="AO40" s="71">
        <f>+AO30</f>
        <v/>
      </c>
      <c r="AP40" s="71">
        <f>+AP30</f>
        <v/>
      </c>
      <c r="AQ40" s="72">
        <f>+AQ30</f>
        <v/>
      </c>
      <c r="AR40" s="24" t="n"/>
      <c r="AS40" s="24" t="n"/>
      <c r="BE40" s="42" t="n"/>
      <c r="BF40" s="42" t="n"/>
      <c r="BG40" s="42" t="n"/>
      <c r="BH40" s="42" t="n"/>
      <c r="BI40" s="42" t="n"/>
      <c r="BJ40" s="63" t="n"/>
    </row>
    <row r="41" ht="15" customHeight="1">
      <c r="A41" s="32" t="n"/>
      <c r="B41" s="35" t="n"/>
      <c r="C41" s="40" t="n"/>
      <c r="D41" s="34" t="n"/>
      <c r="E41" s="34" t="n"/>
      <c r="F41" s="34" t="n"/>
      <c r="AD41" s="70" t="inlineStr">
        <is>
          <t>FIP Extra</t>
        </is>
      </c>
      <c r="AE41" s="71">
        <f>+AE23</f>
        <v/>
      </c>
      <c r="AF41" s="71">
        <f>+AF23</f>
        <v/>
      </c>
      <c r="AG41" s="71">
        <f>+AG23</f>
        <v/>
      </c>
      <c r="AH41" s="71">
        <f>+AH23</f>
        <v/>
      </c>
      <c r="AI41" s="71">
        <f>+AI23</f>
        <v/>
      </c>
      <c r="AJ41" s="71">
        <f>+AJ23</f>
        <v/>
      </c>
      <c r="AK41" s="71">
        <f>+AK23</f>
        <v/>
      </c>
      <c r="AL41" s="71">
        <f>+AL23</f>
        <v/>
      </c>
      <c r="AM41" s="71">
        <f>+AM23</f>
        <v/>
      </c>
      <c r="AN41" s="71">
        <f>+AN23</f>
        <v/>
      </c>
      <c r="AO41" s="71">
        <f>+AO23</f>
        <v/>
      </c>
      <c r="AP41" s="71">
        <f>+AP23</f>
        <v/>
      </c>
      <c r="AQ41" s="73">
        <f>+AQ23</f>
        <v/>
      </c>
      <c r="AR41" s="24" t="n"/>
      <c r="AS41" s="24" t="n"/>
      <c r="BE41" s="42" t="n"/>
      <c r="BF41" s="42" t="n"/>
      <c r="BG41" s="42" t="n"/>
      <c r="BH41" s="42" t="n"/>
      <c r="BI41" s="42" t="n"/>
      <c r="BJ41" s="63" t="n"/>
    </row>
    <row r="42">
      <c r="A42" s="32" t="n"/>
      <c r="B42" s="35" t="n"/>
      <c r="C42" s="40" t="n"/>
      <c r="D42" s="34" t="n"/>
      <c r="E42" s="34" t="n"/>
      <c r="F42" s="34" t="n"/>
      <c r="AC42" s="81" t="n">
        <v>2018</v>
      </c>
      <c r="AD42" s="61" t="inlineStr">
        <is>
          <t>FONDO E</t>
        </is>
      </c>
      <c r="AE42" s="62">
        <f>+AE14</f>
        <v/>
      </c>
      <c r="AF42" s="62">
        <f>+AF14</f>
        <v/>
      </c>
      <c r="AG42" s="62">
        <f>+AG14</f>
        <v/>
      </c>
      <c r="AH42" s="62">
        <f>+AH14</f>
        <v/>
      </c>
      <c r="AI42" s="62">
        <f>+AI14</f>
        <v/>
      </c>
      <c r="AJ42" s="62">
        <f>+AJ14</f>
        <v/>
      </c>
      <c r="AK42" s="62">
        <f>+AK14</f>
        <v/>
      </c>
      <c r="AL42" s="62">
        <f>+AL14</f>
        <v/>
      </c>
      <c r="AM42" s="62">
        <f>+AM14</f>
        <v/>
      </c>
      <c r="AN42" s="62">
        <f>+AN14</f>
        <v/>
      </c>
      <c r="AO42" s="62">
        <f>+AO14</f>
        <v/>
      </c>
      <c r="AP42" s="62">
        <f>+AP14</f>
        <v/>
      </c>
      <c r="AQ42" s="60">
        <f>+AQ14</f>
        <v/>
      </c>
      <c r="AR42" s="24" t="n"/>
      <c r="AS42" s="24" t="n"/>
      <c r="BE42" s="42" t="n"/>
      <c r="BF42" s="42" t="n"/>
      <c r="BG42" s="42" t="n"/>
      <c r="BH42" s="42" t="n"/>
      <c r="BI42" s="42" t="n"/>
      <c r="BJ42" s="63" t="n"/>
    </row>
    <row r="43">
      <c r="A43" s="32" t="n"/>
      <c r="B43" s="35" t="n"/>
      <c r="C43" s="40" t="n"/>
      <c r="D43" s="34" t="n"/>
      <c r="E43" s="34" t="n"/>
      <c r="F43" s="34" t="n"/>
      <c r="AD43" s="61" t="inlineStr">
        <is>
          <t>Competencia</t>
        </is>
      </c>
      <c r="AE43" s="62">
        <f>+AE31</f>
        <v/>
      </c>
      <c r="AF43" s="62">
        <f>+AF31</f>
        <v/>
      </c>
      <c r="AG43" s="62">
        <f>+AG31</f>
        <v/>
      </c>
      <c r="AH43" s="62">
        <f>+AH31</f>
        <v/>
      </c>
      <c r="AI43" s="62">
        <f>+AI31</f>
        <v/>
      </c>
      <c r="AJ43" s="62">
        <f>+AJ31</f>
        <v/>
      </c>
      <c r="AK43" s="62">
        <f>+AK31</f>
        <v/>
      </c>
      <c r="AL43" s="62">
        <f>+AL31</f>
        <v/>
      </c>
      <c r="AM43" s="62">
        <f>+AM31</f>
        <v/>
      </c>
      <c r="AN43" s="62">
        <f>+AN31</f>
        <v/>
      </c>
      <c r="AO43" s="62">
        <f>+AO31</f>
        <v/>
      </c>
      <c r="AP43" s="62">
        <f>+AP31</f>
        <v/>
      </c>
      <c r="AQ43" s="60">
        <f>+AQ31</f>
        <v/>
      </c>
      <c r="AR43" s="24" t="n"/>
      <c r="AS43" s="24" t="n"/>
      <c r="BE43" s="42" t="n"/>
      <c r="BF43" s="42" t="n"/>
      <c r="BG43" s="42" t="n"/>
      <c r="BH43" s="42" t="n"/>
      <c r="BI43" s="42" t="n"/>
      <c r="BJ43" s="63" t="n"/>
    </row>
    <row r="44">
      <c r="A44" s="32" t="n"/>
      <c r="B44" s="35" t="n"/>
      <c r="C44" s="40" t="n"/>
      <c r="D44" s="34" t="n"/>
      <c r="E44" s="34" t="n"/>
      <c r="F44" s="34" t="n"/>
      <c r="AD44" s="61" t="inlineStr">
        <is>
          <t>FIP Extra</t>
        </is>
      </c>
      <c r="AE44" s="62">
        <f>+AE24</f>
        <v/>
      </c>
      <c r="AF44" s="62">
        <f>+AF24</f>
        <v/>
      </c>
      <c r="AG44" s="62">
        <f>+AG24</f>
        <v/>
      </c>
      <c r="AH44" s="62">
        <f>+AH24</f>
        <v/>
      </c>
      <c r="AI44" s="62">
        <f>+AI24</f>
        <v/>
      </c>
      <c r="AJ44" s="62">
        <f>+AJ24</f>
        <v/>
      </c>
      <c r="AK44" s="62">
        <f>+AK24</f>
        <v/>
      </c>
      <c r="AL44" s="62">
        <f>+AL24</f>
        <v/>
      </c>
      <c r="AM44" s="62">
        <f>+AM24</f>
        <v/>
      </c>
      <c r="AN44" s="62">
        <f>+AN24</f>
        <v/>
      </c>
      <c r="AO44" s="62">
        <f>+AO24</f>
        <v/>
      </c>
      <c r="AP44" s="62">
        <f>+AP24</f>
        <v/>
      </c>
      <c r="AQ44" s="60">
        <f>+AQ24</f>
        <v/>
      </c>
      <c r="AR44" s="24" t="n"/>
      <c r="AS44" s="24" t="n"/>
      <c r="BD44" s="42" t="n"/>
      <c r="BE44" s="42" t="n"/>
      <c r="BF44" s="42" t="n"/>
      <c r="BG44" s="42" t="n"/>
      <c r="BH44" s="42" t="n"/>
      <c r="BI44" s="42" t="n"/>
      <c r="BJ44" s="63" t="n"/>
    </row>
    <row r="45" ht="15.75" customHeight="1">
      <c r="A45" s="32" t="n"/>
      <c r="B45" s="35" t="n"/>
      <c r="C45" s="40" t="n"/>
      <c r="D45" s="34" t="n"/>
      <c r="E45" s="34" t="n"/>
      <c r="F45" s="34" t="n"/>
      <c r="AC45" s="80" t="n">
        <v>2019</v>
      </c>
      <c r="AD45" s="70" t="inlineStr">
        <is>
          <t>FONDO E</t>
        </is>
      </c>
      <c r="AE45" s="71">
        <f>+AE15</f>
        <v/>
      </c>
      <c r="AF45" s="71">
        <f>+AF15</f>
        <v/>
      </c>
      <c r="AG45" s="71">
        <f>+AG15</f>
        <v/>
      </c>
      <c r="AH45" s="71">
        <f>+AH15</f>
        <v/>
      </c>
      <c r="AI45" s="71">
        <f>+AI15</f>
        <v/>
      </c>
      <c r="AJ45" s="71">
        <f>+AJ15</f>
        <v/>
      </c>
      <c r="AK45" s="71">
        <f>+AK15</f>
        <v/>
      </c>
      <c r="AL45" s="71">
        <f>+AL15</f>
        <v/>
      </c>
      <c r="AM45" s="71">
        <f>+AM15</f>
        <v/>
      </c>
      <c r="AN45" s="71">
        <f>+AN15</f>
        <v/>
      </c>
      <c r="AO45" s="71">
        <f>+AO15</f>
        <v/>
      </c>
      <c r="AP45" s="71">
        <f>+AP15</f>
        <v/>
      </c>
      <c r="AQ45" s="72">
        <f>+AQ15</f>
        <v/>
      </c>
      <c r="AR45" s="64" t="n"/>
      <c r="AS45" s="24" t="n"/>
      <c r="BD45" s="42" t="n"/>
      <c r="BE45" s="42" t="n"/>
      <c r="BF45" s="42" t="n"/>
      <c r="BG45" s="42" t="n"/>
      <c r="BH45" s="42" t="n"/>
      <c r="BI45" s="42" t="n"/>
      <c r="BJ45" s="63" t="n"/>
    </row>
    <row r="46">
      <c r="A46" s="32" t="n"/>
      <c r="B46" s="35" t="n"/>
      <c r="C46" s="40" t="n"/>
      <c r="D46" s="34" t="n"/>
      <c r="E46" s="34" t="n"/>
      <c r="F46" s="34" t="n"/>
      <c r="AD46" s="70" t="inlineStr">
        <is>
          <t>Competencia</t>
        </is>
      </c>
      <c r="AE46" s="71">
        <f>+AE32</f>
        <v/>
      </c>
      <c r="AF46" s="71">
        <f>+AF32</f>
        <v/>
      </c>
      <c r="AG46" s="71">
        <f>+AG32</f>
        <v/>
      </c>
      <c r="AH46" s="71">
        <f>+AH32</f>
        <v/>
      </c>
      <c r="AI46" s="71">
        <f>+AI32</f>
        <v/>
      </c>
      <c r="AJ46" s="71">
        <f>+AJ32</f>
        <v/>
      </c>
      <c r="AK46" s="71">
        <f>+AK32</f>
        <v/>
      </c>
      <c r="AL46" s="71">
        <f>+AL32</f>
        <v/>
      </c>
      <c r="AM46" s="71">
        <f>+AM32</f>
        <v/>
      </c>
      <c r="AN46" s="71">
        <f>+AN32</f>
        <v/>
      </c>
      <c r="AO46" s="71">
        <f>+AO32</f>
        <v/>
      </c>
      <c r="AP46" s="71">
        <f>+AP32</f>
        <v/>
      </c>
      <c r="AQ46" s="72">
        <f>+AQ32</f>
        <v/>
      </c>
      <c r="AR46" s="24" t="n"/>
      <c r="AS46" s="56" t="n"/>
      <c r="BD46" s="42" t="n"/>
      <c r="BE46" s="42" t="n"/>
      <c r="BF46" s="42" t="n"/>
      <c r="BG46" s="42" t="n"/>
      <c r="BH46" s="42" t="n"/>
      <c r="BI46" s="42" t="n"/>
      <c r="BJ46" s="63" t="n"/>
    </row>
    <row r="47">
      <c r="A47" s="32" t="n"/>
      <c r="B47" s="35" t="n"/>
      <c r="C47" s="40" t="n"/>
      <c r="D47" s="34" t="n"/>
      <c r="E47" s="34" t="n"/>
      <c r="F47" s="34" t="n"/>
      <c r="AD47" s="70" t="inlineStr">
        <is>
          <t>FIP Extra</t>
        </is>
      </c>
      <c r="AE47" s="71">
        <f>+AE25</f>
        <v/>
      </c>
      <c r="AF47" s="71">
        <f>+AF25</f>
        <v/>
      </c>
      <c r="AG47" s="71">
        <f>+AG25</f>
        <v/>
      </c>
      <c r="AH47" s="71">
        <f>+AH25</f>
        <v/>
      </c>
      <c r="AI47" s="71">
        <f>+AI25</f>
        <v/>
      </c>
      <c r="AJ47" s="71">
        <f>+AJ25</f>
        <v/>
      </c>
      <c r="AK47" s="71">
        <f>+AK25</f>
        <v/>
      </c>
      <c r="AL47" s="71">
        <f>+AL25</f>
        <v/>
      </c>
      <c r="AM47" s="71">
        <f>+AM25</f>
        <v/>
      </c>
      <c r="AN47" s="71">
        <f>+AN25</f>
        <v/>
      </c>
      <c r="AO47" s="71">
        <f>+AO25</f>
        <v/>
      </c>
      <c r="AP47" s="71">
        <f>+AP25</f>
        <v/>
      </c>
      <c r="AQ47" s="73">
        <f>+AQ25</f>
        <v/>
      </c>
      <c r="AR47" s="24" t="n"/>
      <c r="AS47" s="56" t="n"/>
      <c r="BD47" s="42" t="n"/>
      <c r="BE47" s="42" t="n"/>
      <c r="BF47" s="42" t="n"/>
      <c r="BG47" s="42" t="n"/>
      <c r="BH47" s="42" t="n"/>
      <c r="BI47" s="42" t="n"/>
      <c r="BJ47" s="63" t="n"/>
    </row>
    <row r="48">
      <c r="A48" s="32" t="n"/>
      <c r="B48" s="35" t="n"/>
      <c r="C48" s="40" t="n"/>
      <c r="D48" s="34" t="n"/>
      <c r="E48" s="34" t="n"/>
      <c r="F48" s="34" t="n"/>
      <c r="AC48" s="80" t="n">
        <v>2019</v>
      </c>
      <c r="AD48" s="70" t="inlineStr">
        <is>
          <t>FONDO E</t>
        </is>
      </c>
      <c r="AE48" s="71">
        <f>+AE16</f>
        <v/>
      </c>
      <c r="AF48" s="71">
        <f>+AF16</f>
        <v/>
      </c>
      <c r="AG48" s="71">
        <f>+AG16</f>
        <v/>
      </c>
      <c r="AH48" s="71">
        <f>+AH16</f>
        <v/>
      </c>
      <c r="AI48" s="71">
        <f>+AI16</f>
        <v/>
      </c>
      <c r="AJ48" s="71">
        <f>+AJ16</f>
        <v/>
      </c>
      <c r="AK48" s="71">
        <f>+AK16</f>
        <v/>
      </c>
      <c r="AL48" s="71">
        <f>+AL16</f>
        <v/>
      </c>
      <c r="AM48" s="71">
        <f>+AM16</f>
        <v/>
      </c>
      <c r="AN48" s="71" t="n"/>
      <c r="AO48" s="71" t="n"/>
      <c r="AP48" s="71" t="n"/>
      <c r="AQ48" s="72">
        <f>+AQ16</f>
        <v/>
      </c>
      <c r="AR48" s="24" t="n"/>
      <c r="AS48" s="56" t="n"/>
      <c r="BD48" s="42" t="n"/>
      <c r="BE48" s="42" t="n"/>
      <c r="BF48" s="42" t="n"/>
      <c r="BG48" s="42" t="n"/>
      <c r="BH48" s="42" t="n"/>
      <c r="BI48" s="42" t="n"/>
      <c r="BJ48" s="63" t="n"/>
    </row>
    <row r="49">
      <c r="A49" s="32" t="n"/>
      <c r="B49" s="35" t="n"/>
      <c r="C49" s="40" t="n"/>
      <c r="D49" s="34" t="n"/>
      <c r="E49" s="34" t="n"/>
      <c r="F49" s="34" t="n"/>
      <c r="AD49" s="70" t="inlineStr">
        <is>
          <t>Competencia</t>
        </is>
      </c>
      <c r="AE49" s="71">
        <f>+AE33</f>
        <v/>
      </c>
      <c r="AF49" s="71">
        <f>+AF33</f>
        <v/>
      </c>
      <c r="AG49" s="71">
        <f>+AG33</f>
        <v/>
      </c>
      <c r="AH49" s="71">
        <f>+AH33</f>
        <v/>
      </c>
      <c r="AI49" s="71">
        <f>+AI33</f>
        <v/>
      </c>
      <c r="AJ49" s="71">
        <f>+AJ33</f>
        <v/>
      </c>
      <c r="AK49" s="71">
        <f>+AK33</f>
        <v/>
      </c>
      <c r="AL49" s="71">
        <f>+AL33</f>
        <v/>
      </c>
      <c r="AM49" s="71">
        <f>+AM33</f>
        <v/>
      </c>
      <c r="AN49" s="71" t="n"/>
      <c r="AO49" s="71" t="n"/>
      <c r="AP49" s="71" t="n"/>
      <c r="AQ49" s="72">
        <f>+AQ33</f>
        <v/>
      </c>
      <c r="AR49" s="64" t="n"/>
      <c r="AS49" s="56" t="n"/>
      <c r="BD49" s="42" t="n"/>
      <c r="BE49" s="42" t="n"/>
      <c r="BF49" s="42" t="n"/>
      <c r="BG49" s="42" t="n"/>
      <c r="BH49" s="42" t="n"/>
      <c r="BI49" s="42" t="n"/>
      <c r="BJ49" s="63" t="n"/>
      <c r="BK49" s="67" t="n"/>
    </row>
    <row r="50">
      <c r="A50" s="32" t="n"/>
      <c r="B50" s="35" t="n"/>
      <c r="C50" s="40" t="n"/>
      <c r="D50" s="34" t="n"/>
      <c r="E50" s="34" t="n"/>
      <c r="F50" s="34" t="n"/>
      <c r="AD50" s="70" t="inlineStr">
        <is>
          <t>FIP Extra</t>
        </is>
      </c>
      <c r="AE50" s="71">
        <f>+AE26</f>
        <v/>
      </c>
      <c r="AF50" s="71">
        <f>+AF26</f>
        <v/>
      </c>
      <c r="AG50" s="71">
        <f>+AG26</f>
        <v/>
      </c>
      <c r="AH50" s="71">
        <f>+AH26</f>
        <v/>
      </c>
      <c r="AI50" s="71">
        <f>+AI26</f>
        <v/>
      </c>
      <c r="AJ50" s="71">
        <f>+AJ26</f>
        <v/>
      </c>
      <c r="AK50" s="71">
        <f>+AK26</f>
        <v/>
      </c>
      <c r="AL50" s="71">
        <f>+AL26</f>
        <v/>
      </c>
      <c r="AM50" s="71">
        <f>+AM26</f>
        <v/>
      </c>
      <c r="AN50" s="71" t="n"/>
      <c r="AO50" s="71" t="n"/>
      <c r="AP50" s="71" t="n"/>
      <c r="AQ50" s="73">
        <f>+AQ26</f>
        <v/>
      </c>
      <c r="AR50" s="64" t="n"/>
      <c r="AS50" s="24" t="n"/>
      <c r="BD50" s="42" t="n"/>
      <c r="BE50" s="42" t="n"/>
      <c r="BF50" s="42" t="n"/>
      <c r="BG50" s="42" t="n"/>
      <c r="BH50" s="42" t="n"/>
      <c r="BI50" s="42" t="n"/>
      <c r="BJ50" s="63" t="n"/>
      <c r="BK50" s="67" t="n"/>
    </row>
    <row r="51">
      <c r="A51" s="32" t="n"/>
      <c r="B51" s="35" t="n"/>
      <c r="C51" s="40" t="n"/>
      <c r="D51" s="34" t="n"/>
      <c r="E51" s="34" t="n"/>
      <c r="F51" s="34" t="n"/>
      <c r="AC51" s="41" t="inlineStr">
        <is>
          <t>(*) Acum a Mar</t>
        </is>
      </c>
      <c r="AD51" s="65" t="n"/>
      <c r="AE51" s="66" t="n"/>
      <c r="AF51" s="66" t="n"/>
      <c r="AG51" s="66" t="n"/>
      <c r="AH51" s="66" t="n"/>
      <c r="AI51" s="66" t="n"/>
      <c r="AJ51" s="66" t="n"/>
      <c r="AK51" s="66" t="n"/>
      <c r="AL51" s="66" t="n"/>
      <c r="AM51" s="66" t="n"/>
      <c r="AN51" s="66" t="n"/>
      <c r="AO51" s="66" t="n"/>
      <c r="AP51" s="66" t="n"/>
      <c r="AQ51" s="66" t="n"/>
      <c r="AR51" s="64" t="inlineStr">
        <is>
          <t>(*)</t>
        </is>
      </c>
      <c r="AS51" s="24" t="n"/>
    </row>
    <row r="52">
      <c r="A52" s="32" t="n"/>
      <c r="B52" s="35" t="n"/>
      <c r="C52" s="40" t="n"/>
      <c r="D52" s="34" t="n"/>
      <c r="E52" s="34" t="n"/>
      <c r="F52" s="34" t="n"/>
      <c r="AR52" s="64" t="n"/>
    </row>
    <row r="53">
      <c r="A53" s="32" t="n"/>
      <c r="B53" s="35" t="n"/>
      <c r="C53" s="40" t="n"/>
      <c r="D53" s="34" t="n"/>
      <c r="E53" s="34" t="n"/>
      <c r="F53" s="34" t="n"/>
      <c r="AR53" s="24" t="n"/>
    </row>
    <row r="54">
      <c r="A54" s="32" t="n"/>
      <c r="B54" s="35" t="n"/>
      <c r="C54" s="40" t="n"/>
      <c r="D54" s="34" t="n"/>
      <c r="E54" s="34" t="n"/>
      <c r="F54" s="34" t="n"/>
      <c r="AR54" s="24" t="n"/>
    </row>
    <row r="55">
      <c r="A55" s="32" t="n"/>
      <c r="B55" s="35" t="n"/>
      <c r="C55" s="40" t="n"/>
      <c r="D55" s="34" t="n"/>
      <c r="E55" s="34" t="n"/>
      <c r="F55" s="34" t="n"/>
    </row>
    <row r="56">
      <c r="A56" s="32" t="n"/>
      <c r="B56" s="35" t="n"/>
      <c r="C56" s="40" t="n"/>
      <c r="D56" s="34" t="n"/>
      <c r="E56" s="34" t="n"/>
      <c r="F56" s="34" t="n"/>
    </row>
    <row r="57">
      <c r="A57" s="32" t="n"/>
      <c r="B57" s="35" t="n"/>
      <c r="C57" s="40" t="n"/>
      <c r="D57" s="34" t="n"/>
      <c r="E57" s="34" t="n"/>
      <c r="F57" s="34" t="n"/>
    </row>
    <row r="58">
      <c r="A58" s="32" t="n"/>
      <c r="B58" s="35" t="n"/>
      <c r="C58" s="40" t="n"/>
      <c r="D58" s="34" t="n"/>
      <c r="E58" s="34" t="n"/>
      <c r="F58" s="34" t="n"/>
    </row>
    <row r="59">
      <c r="A59" s="32" t="n"/>
      <c r="B59" s="35" t="n"/>
      <c r="C59" s="40" t="n"/>
      <c r="D59" s="34" t="n"/>
      <c r="E59" s="34" t="n"/>
      <c r="F59" s="34" t="n"/>
    </row>
    <row r="60">
      <c r="A60" s="32" t="n"/>
      <c r="B60" s="35" t="n"/>
      <c r="C60" s="40" t="n"/>
      <c r="D60" s="34" t="n"/>
      <c r="E60" s="34" t="n"/>
      <c r="F60" s="34" t="n"/>
    </row>
    <row r="61">
      <c r="A61" s="32" t="n"/>
      <c r="B61" s="35" t="n"/>
      <c r="C61" s="40" t="n"/>
      <c r="D61" s="34" t="n"/>
      <c r="E61" s="34" t="n"/>
      <c r="F61" s="34" t="n"/>
    </row>
    <row r="62">
      <c r="A62" s="32" t="n"/>
      <c r="B62" s="35" t="n"/>
      <c r="C62" s="40" t="n"/>
      <c r="D62" s="34" t="n"/>
      <c r="E62" s="34" t="n"/>
      <c r="F62" s="34" t="n"/>
    </row>
    <row r="63">
      <c r="A63" s="32" t="n"/>
      <c r="B63" s="35" t="n"/>
      <c r="C63" s="40" t="n"/>
      <c r="D63" s="34" t="n"/>
      <c r="E63" s="34" t="n"/>
      <c r="F63" s="34" t="n"/>
    </row>
    <row r="64">
      <c r="A64" s="32" t="n"/>
      <c r="B64" s="35" t="n"/>
      <c r="C64" s="40" t="n"/>
      <c r="D64" s="34" t="n"/>
      <c r="E64" s="34" t="n"/>
      <c r="F64" s="34" t="n"/>
    </row>
    <row r="65" customFormat="1" s="19">
      <c r="A65" s="32" t="n"/>
      <c r="B65" s="35" t="n"/>
      <c r="C65" s="40" t="n"/>
      <c r="D65" s="34" t="n"/>
      <c r="E65" s="34" t="n"/>
      <c r="F65" s="34" t="n"/>
      <c r="I65" s="20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8" t="n"/>
      <c r="AS65" s="18" t="n"/>
    </row>
    <row r="66" customFormat="1" s="19">
      <c r="A66" s="32" t="n"/>
      <c r="B66" s="35" t="n"/>
      <c r="C66" s="40" t="n"/>
      <c r="D66" s="34" t="n"/>
      <c r="E66" s="34" t="n"/>
      <c r="F66" s="34" t="n"/>
      <c r="I66" s="20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/>
      <c r="AL66" s="18" t="n"/>
      <c r="AM66" s="18" t="n"/>
      <c r="AN66" s="18" t="n"/>
      <c r="AO66" s="18" t="n"/>
      <c r="AP66" s="18" t="n"/>
      <c r="AQ66" s="18" t="n"/>
      <c r="AR66" s="18" t="n"/>
      <c r="AS66" s="18" t="n"/>
    </row>
    <row r="67" customFormat="1" s="19">
      <c r="A67" s="32" t="n"/>
      <c r="B67" s="35" t="n"/>
      <c r="C67" s="40" t="n"/>
      <c r="D67" s="34" t="n"/>
      <c r="E67" s="34" t="n"/>
      <c r="F67" s="34" t="n"/>
      <c r="I67" s="20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  <c r="AR67" s="18" t="n"/>
    </row>
    <row r="68" customFormat="1" s="19">
      <c r="A68" s="32" t="n"/>
      <c r="B68" s="35" t="n"/>
      <c r="C68" s="40" t="n"/>
      <c r="D68" s="34" t="n"/>
      <c r="E68" s="34" t="n"/>
      <c r="F68" s="34" t="n"/>
      <c r="I68" s="20" t="n"/>
    </row>
    <row r="69" customFormat="1" s="19">
      <c r="A69" s="32" t="n"/>
      <c r="B69" s="35" t="n"/>
      <c r="C69" s="40" t="n"/>
      <c r="D69" s="34" t="n"/>
      <c r="E69" s="34" t="n"/>
      <c r="F69" s="34" t="n"/>
      <c r="I69" s="20" t="n"/>
    </row>
    <row r="70" customFormat="1" s="19">
      <c r="A70" s="32" t="n"/>
      <c r="B70" s="35" t="n"/>
      <c r="C70" s="40" t="n"/>
      <c r="D70" s="34" t="n"/>
      <c r="E70" s="34" t="n"/>
      <c r="F70" s="34" t="n"/>
      <c r="I70" s="20" t="n"/>
    </row>
    <row r="71" customFormat="1" s="19">
      <c r="A71" s="32" t="n"/>
      <c r="B71" s="35" t="n"/>
      <c r="C71" s="40" t="n"/>
      <c r="D71" s="34" t="n"/>
      <c r="E71" s="34" t="n"/>
      <c r="F71" s="34" t="n"/>
      <c r="I71" s="20" t="n"/>
    </row>
    <row r="72" customFormat="1" s="19">
      <c r="A72" s="32" t="n"/>
      <c r="B72" s="35" t="n"/>
      <c r="C72" s="40" t="n"/>
      <c r="D72" s="34" t="n"/>
      <c r="E72" s="34" t="n"/>
      <c r="F72" s="34" t="n"/>
      <c r="I72" s="20" t="n"/>
    </row>
    <row r="73" customFormat="1" s="19">
      <c r="A73" s="32" t="n"/>
      <c r="B73" s="35" t="n"/>
      <c r="C73" s="40" t="n"/>
      <c r="D73" s="34" t="n"/>
      <c r="E73" s="34" t="n"/>
      <c r="F73" s="34" t="n"/>
      <c r="I73" s="20" t="n"/>
    </row>
    <row r="74" customFormat="1" s="19">
      <c r="A74" s="32" t="n"/>
      <c r="B74" s="35" t="n"/>
      <c r="C74" s="40" t="n"/>
      <c r="D74" s="34" t="n"/>
      <c r="E74" s="34" t="n"/>
      <c r="F74" s="34" t="n"/>
      <c r="I74" s="20" t="n"/>
    </row>
    <row r="75" customFormat="1" s="19">
      <c r="A75" s="32" t="n"/>
      <c r="B75" s="35" t="n"/>
      <c r="C75" s="40" t="n"/>
      <c r="D75" s="34" t="n"/>
      <c r="E75" s="34" t="n"/>
      <c r="F75" s="34" t="n"/>
      <c r="I75" s="20" t="n"/>
    </row>
    <row r="76" customFormat="1" s="19">
      <c r="A76" s="32" t="n"/>
      <c r="B76" s="35" t="n"/>
      <c r="C76" s="40" t="n"/>
      <c r="D76" s="34" t="n"/>
      <c r="E76" s="34" t="n"/>
      <c r="F76" s="34" t="n"/>
      <c r="I76" s="20" t="n"/>
    </row>
    <row r="77" customFormat="1" s="19">
      <c r="A77" s="32" t="n"/>
      <c r="B77" s="35" t="n"/>
      <c r="C77" s="40" t="n"/>
      <c r="D77" s="34" t="n"/>
      <c r="E77" s="34" t="n"/>
      <c r="F77" s="34" t="n"/>
      <c r="I77" s="20" t="n"/>
    </row>
    <row r="78" customFormat="1" s="19">
      <c r="A78" s="32" t="n"/>
      <c r="B78" s="35" t="n"/>
      <c r="C78" s="40" t="n"/>
      <c r="D78" s="34" t="n"/>
      <c r="E78" s="34" t="n"/>
      <c r="F78" s="34" t="n"/>
      <c r="I78" s="20" t="n"/>
    </row>
    <row r="79" customFormat="1" s="19">
      <c r="A79" s="32" t="n"/>
      <c r="B79" s="35" t="n"/>
      <c r="C79" s="40" t="n"/>
      <c r="D79" s="34" t="n"/>
      <c r="E79" s="34" t="n"/>
      <c r="F79" s="34" t="n"/>
      <c r="I79" s="20" t="n"/>
    </row>
    <row r="80" customFormat="1" s="19">
      <c r="A80" s="32" t="n"/>
      <c r="B80" s="35" t="n"/>
      <c r="C80" s="40" t="n"/>
      <c r="D80" s="34" t="n"/>
      <c r="E80" s="34" t="n"/>
      <c r="F80" s="34" t="n"/>
      <c r="I80" s="20" t="n"/>
    </row>
    <row r="81" customFormat="1" s="19">
      <c r="A81" s="32" t="n"/>
      <c r="B81" s="35" t="n"/>
      <c r="C81" s="40" t="n"/>
      <c r="D81" s="34" t="n"/>
      <c r="E81" s="34" t="n"/>
      <c r="F81" s="34" t="n"/>
      <c r="I81" s="20" t="n"/>
    </row>
    <row r="82" customFormat="1" s="19">
      <c r="A82" s="32" t="n"/>
      <c r="B82" s="35" t="n"/>
      <c r="C82" s="40" t="n"/>
      <c r="D82" s="34" t="n"/>
      <c r="E82" s="34" t="n"/>
      <c r="F82" s="34" t="n"/>
      <c r="I82" s="20" t="n"/>
    </row>
    <row r="83" customFormat="1" s="19">
      <c r="A83" s="32" t="n"/>
      <c r="B83" s="35" t="n"/>
      <c r="C83" s="40" t="n"/>
      <c r="D83" s="34" t="n"/>
      <c r="E83" s="34" t="n"/>
      <c r="F83" s="34" t="n"/>
      <c r="I83" s="20" t="n"/>
    </row>
    <row r="84" customFormat="1" s="19">
      <c r="A84" s="32" t="n"/>
      <c r="B84" s="35" t="n"/>
      <c r="C84" s="40" t="n"/>
      <c r="D84" s="34" t="n"/>
      <c r="E84" s="34" t="n"/>
      <c r="F84" s="34" t="n"/>
      <c r="I84" s="20" t="n"/>
    </row>
    <row r="85" customFormat="1" s="19">
      <c r="A85" s="32" t="n"/>
      <c r="B85" s="35" t="n"/>
      <c r="C85" s="40" t="n"/>
      <c r="D85" s="34" t="n"/>
      <c r="E85" s="34" t="n"/>
      <c r="F85" s="34" t="n"/>
      <c r="I85" s="20" t="n"/>
    </row>
    <row r="86" customFormat="1" s="19">
      <c r="A86" s="32" t="n"/>
      <c r="B86" s="35" t="n"/>
      <c r="C86" s="40" t="n"/>
      <c r="D86" s="34" t="n"/>
      <c r="E86" s="34" t="n"/>
      <c r="F86" s="34" t="n"/>
      <c r="I86" s="20" t="n"/>
    </row>
    <row r="87" customFormat="1" s="19">
      <c r="A87" s="32" t="n"/>
      <c r="B87" s="35" t="n"/>
      <c r="C87" s="40" t="n"/>
      <c r="D87" s="34" t="n"/>
      <c r="E87" s="34" t="n"/>
      <c r="F87" s="34" t="n"/>
      <c r="I87" s="20" t="n"/>
    </row>
    <row r="88" customFormat="1" s="19">
      <c r="A88" s="32" t="n"/>
      <c r="B88" s="35" t="n"/>
      <c r="C88" s="40" t="n"/>
      <c r="D88" s="34" t="n"/>
      <c r="E88" s="34" t="n"/>
      <c r="F88" s="34" t="n"/>
      <c r="I88" s="20" t="n"/>
    </row>
    <row r="89" customFormat="1" s="19">
      <c r="A89" s="32" t="n"/>
      <c r="B89" s="35" t="n"/>
      <c r="C89" s="40" t="n"/>
      <c r="D89" s="34" t="n"/>
      <c r="E89" s="34" t="n"/>
      <c r="F89" s="34" t="n"/>
      <c r="I89" s="20" t="n"/>
    </row>
    <row r="90" customFormat="1" s="19">
      <c r="A90" s="32" t="n"/>
      <c r="B90" s="35" t="n"/>
      <c r="C90" s="40" t="n"/>
      <c r="D90" s="34" t="n"/>
      <c r="E90" s="34" t="n"/>
      <c r="F90" s="34" t="n"/>
      <c r="I90" s="20" t="n"/>
    </row>
    <row r="91" customFormat="1" s="19">
      <c r="A91" s="32" t="n"/>
      <c r="B91" s="35" t="n"/>
      <c r="C91" s="40" t="n"/>
      <c r="D91" s="34" t="n"/>
      <c r="E91" s="34" t="n"/>
      <c r="F91" s="34" t="n"/>
      <c r="I91" s="20" t="n"/>
    </row>
    <row r="92" customFormat="1" s="19">
      <c r="A92" s="32" t="n"/>
      <c r="B92" s="35" t="n"/>
      <c r="C92" s="40" t="n"/>
      <c r="D92" s="34" t="n"/>
      <c r="E92" s="34" t="n"/>
      <c r="F92" s="34" t="n"/>
      <c r="I92" s="20" t="n"/>
    </row>
    <row r="93" customFormat="1" s="19">
      <c r="A93" s="32" t="n"/>
      <c r="B93" s="35" t="n"/>
      <c r="C93" s="40" t="n"/>
      <c r="D93" s="34" t="n"/>
      <c r="E93" s="34" t="n"/>
      <c r="F93" s="34" t="n"/>
      <c r="I93" s="20" t="n"/>
    </row>
    <row r="94" customFormat="1" s="19">
      <c r="A94" s="32" t="n"/>
      <c r="B94" s="35" t="n"/>
      <c r="C94" s="40" t="n"/>
      <c r="D94" s="34" t="n"/>
      <c r="E94" s="34" t="n"/>
      <c r="F94" s="34" t="n"/>
      <c r="I94" s="20" t="n"/>
    </row>
    <row r="95" customFormat="1" s="19">
      <c r="A95" s="32" t="n"/>
      <c r="B95" s="35" t="n"/>
      <c r="C95" s="40" t="n"/>
      <c r="D95" s="34" t="n"/>
      <c r="E95" s="34" t="n"/>
      <c r="F95" s="34" t="n"/>
      <c r="I95" s="20" t="n"/>
    </row>
    <row r="96" customFormat="1" s="19">
      <c r="A96" s="32" t="n"/>
      <c r="B96" s="35" t="n"/>
      <c r="C96" s="40" t="n"/>
      <c r="D96" s="34" t="n"/>
      <c r="E96" s="34" t="n"/>
      <c r="F96" s="34" t="n"/>
      <c r="I96" s="20" t="n"/>
    </row>
    <row r="97" customFormat="1" s="19">
      <c r="A97" s="32" t="n"/>
      <c r="B97" s="35" t="n"/>
      <c r="C97" s="40" t="n"/>
      <c r="D97" s="34" t="n"/>
      <c r="E97" s="34" t="n"/>
      <c r="F97" s="34" t="n"/>
      <c r="I97" s="20" t="n"/>
    </row>
    <row r="98" customFormat="1" s="19">
      <c r="A98" s="32" t="n"/>
      <c r="B98" s="35" t="n"/>
      <c r="C98" s="40" t="n"/>
      <c r="D98" s="34" t="n"/>
      <c r="E98" s="34" t="n"/>
      <c r="F98" s="34" t="n"/>
      <c r="I98" s="20" t="n"/>
    </row>
    <row r="99" customFormat="1" s="19">
      <c r="A99" s="32" t="n"/>
      <c r="B99" s="35" t="n"/>
      <c r="C99" s="40" t="n"/>
      <c r="D99" s="34" t="n"/>
      <c r="E99" s="34" t="n"/>
      <c r="F99" s="34" t="n"/>
      <c r="I99" s="20" t="n"/>
    </row>
    <row r="100" customFormat="1" s="19">
      <c r="A100" s="32" t="n"/>
      <c r="B100" s="35" t="n"/>
      <c r="C100" s="40" t="n"/>
      <c r="D100" s="34" t="n"/>
      <c r="E100" s="34" t="n"/>
      <c r="F100" s="34" t="n"/>
      <c r="I100" s="20" t="n"/>
    </row>
    <row r="101" customFormat="1" s="19">
      <c r="A101" s="32" t="n"/>
      <c r="B101" s="35" t="n"/>
      <c r="C101" s="40" t="n"/>
      <c r="D101" s="34" t="n"/>
      <c r="E101" s="34" t="n"/>
      <c r="F101" s="34" t="n"/>
      <c r="I101" s="20" t="n"/>
    </row>
    <row r="102" customFormat="1" s="19">
      <c r="A102" s="32" t="n"/>
      <c r="B102" s="35" t="n"/>
      <c r="C102" s="40" t="n"/>
      <c r="D102" s="34" t="n"/>
      <c r="E102" s="34" t="n"/>
      <c r="F102" s="34" t="n"/>
      <c r="I102" s="20" t="n"/>
    </row>
    <row r="103" customFormat="1" s="19">
      <c r="A103" s="32" t="n"/>
      <c r="B103" s="35" t="n"/>
      <c r="C103" s="40" t="n"/>
      <c r="D103" s="34" t="n"/>
      <c r="E103" s="34" t="n"/>
      <c r="F103" s="34" t="n"/>
      <c r="I103" s="20" t="n"/>
    </row>
    <row r="104" customFormat="1" s="19">
      <c r="A104" s="32" t="n"/>
      <c r="B104" s="35" t="n"/>
      <c r="C104" s="40" t="n"/>
      <c r="D104" s="34" t="n"/>
      <c r="E104" s="34" t="n"/>
      <c r="F104" s="34" t="n"/>
      <c r="I104" s="20" t="n"/>
    </row>
    <row r="105" customFormat="1" s="19">
      <c r="A105" s="32" t="n"/>
      <c r="B105" s="35" t="n"/>
      <c r="C105" s="40" t="n"/>
      <c r="D105" s="34" t="n"/>
      <c r="E105" s="34" t="n"/>
      <c r="F105" s="34" t="n"/>
      <c r="I105" s="20" t="n"/>
    </row>
    <row r="106" customFormat="1" s="19">
      <c r="A106" s="32" t="n"/>
      <c r="B106" s="35" t="n"/>
      <c r="C106" s="40" t="n"/>
      <c r="D106" s="34" t="n"/>
      <c r="E106" s="34" t="n"/>
      <c r="F106" s="34" t="n"/>
      <c r="I106" s="20" t="n"/>
    </row>
    <row r="107" customFormat="1" s="19">
      <c r="A107" s="32" t="n"/>
      <c r="B107" s="35" t="n"/>
      <c r="C107" s="40" t="n"/>
      <c r="D107" s="34" t="n"/>
      <c r="E107" s="34" t="n"/>
      <c r="F107" s="34" t="n"/>
      <c r="I107" s="20" t="n"/>
    </row>
    <row r="108" customFormat="1" s="19">
      <c r="A108" s="32" t="n"/>
      <c r="B108" s="35" t="n"/>
      <c r="C108" s="40" t="n"/>
      <c r="D108" s="34" t="n"/>
      <c r="E108" s="34" t="n"/>
      <c r="F108" s="34" t="n"/>
      <c r="I108" s="20" t="n"/>
    </row>
    <row r="109" customFormat="1" s="19">
      <c r="A109" s="32" t="n"/>
      <c r="B109" s="35" t="n"/>
      <c r="C109" s="40" t="n"/>
      <c r="D109" s="34" t="n"/>
      <c r="E109" s="34" t="n"/>
      <c r="F109" s="34" t="n"/>
      <c r="I109" s="20" t="n"/>
    </row>
    <row r="110" customFormat="1" s="19">
      <c r="A110" s="32" t="n"/>
      <c r="B110" s="35" t="n"/>
      <c r="C110" s="40" t="n"/>
      <c r="D110" s="34" t="n"/>
      <c r="E110" s="34" t="n"/>
      <c r="F110" s="34" t="n"/>
      <c r="I110" s="20" t="n"/>
    </row>
    <row r="111" customFormat="1" s="19">
      <c r="A111" s="32" t="n"/>
      <c r="B111" s="35" t="n"/>
      <c r="C111" s="40" t="n"/>
      <c r="D111" s="34" t="n"/>
      <c r="E111" s="34" t="n"/>
      <c r="F111" s="34" t="n"/>
      <c r="I111" s="20" t="n"/>
    </row>
    <row r="112" customFormat="1" s="19">
      <c r="A112" s="32" t="n"/>
      <c r="B112" s="35" t="n"/>
      <c r="C112" s="40" t="n"/>
      <c r="D112" s="34" t="n"/>
      <c r="E112" s="34" t="n"/>
      <c r="F112" s="34" t="n"/>
      <c r="I112" s="20" t="n"/>
    </row>
    <row r="113">
      <c r="A113" s="32" t="n"/>
      <c r="B113" s="35" t="n"/>
      <c r="C113" s="40" t="n"/>
      <c r="D113" s="34" t="n"/>
      <c r="E113" s="34" t="n"/>
      <c r="F113" s="34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19" t="n"/>
      <c r="AS113" s="19" t="n"/>
    </row>
    <row r="114">
      <c r="A114" s="32" t="n"/>
      <c r="B114" s="35" t="n"/>
      <c r="C114" s="40" t="n"/>
      <c r="D114" s="34" t="n"/>
      <c r="E114" s="34" t="n"/>
      <c r="F114" s="34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19" t="n"/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19" t="n"/>
      <c r="AS114" s="19" t="n"/>
    </row>
    <row r="115">
      <c r="A115" s="32" t="n"/>
      <c r="B115" s="35" t="n"/>
      <c r="C115" s="40" t="n"/>
      <c r="D115" s="34" t="n"/>
      <c r="E115" s="34" t="n"/>
      <c r="F115" s="34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R115" s="19" t="n"/>
    </row>
    <row r="116">
      <c r="A116" s="32" t="n"/>
      <c r="B116" s="35" t="n"/>
      <c r="C116" s="40" t="n"/>
      <c r="D116" s="34" t="n"/>
      <c r="E116" s="34" t="n"/>
      <c r="F116" s="34" t="n"/>
    </row>
    <row r="117">
      <c r="A117" s="32" t="n"/>
      <c r="B117" s="35" t="n"/>
      <c r="C117" s="40" t="n"/>
      <c r="D117" s="34" t="n"/>
      <c r="E117" s="34" t="n"/>
      <c r="F117" s="34" t="n"/>
    </row>
    <row r="118">
      <c r="A118" s="32" t="n"/>
      <c r="B118" s="35" t="n"/>
      <c r="C118" s="40" t="n"/>
      <c r="D118" s="34" t="n"/>
      <c r="E118" s="34" t="n"/>
      <c r="F118" s="34" t="n"/>
    </row>
    <row r="119">
      <c r="A119" s="32" t="n"/>
      <c r="B119" s="35" t="n"/>
      <c r="C119" s="40" t="n"/>
      <c r="D119" s="34" t="n"/>
      <c r="E119" s="34" t="n"/>
      <c r="F119" s="34" t="n"/>
    </row>
    <row r="120">
      <c r="A120" s="32" t="n"/>
      <c r="B120" s="35" t="n"/>
      <c r="C120" s="40" t="n"/>
      <c r="D120" s="34" t="n"/>
      <c r="E120" s="34" t="n"/>
      <c r="F120" s="34" t="n"/>
    </row>
    <row r="121">
      <c r="A121" s="32" t="n"/>
      <c r="B121" s="35" t="n"/>
      <c r="C121" s="40" t="n"/>
      <c r="D121" s="34" t="n"/>
      <c r="E121" s="34" t="n"/>
      <c r="F121" s="34" t="n"/>
    </row>
    <row r="122">
      <c r="A122" s="32" t="n"/>
      <c r="B122" s="35" t="n"/>
      <c r="C122" s="40" t="n"/>
      <c r="D122" s="34" t="n"/>
      <c r="E122" s="34" t="n"/>
      <c r="F122" s="32" t="n"/>
    </row>
    <row r="123">
      <c r="A123" s="32" t="n"/>
      <c r="B123" s="35" t="n"/>
      <c r="C123" s="40" t="n"/>
      <c r="D123" s="34" t="n"/>
      <c r="E123" s="34" t="n"/>
      <c r="F123" s="32" t="n">
        <v>42369</v>
      </c>
      <c r="K123" s="19" t="n">
        <v>2857.7354</v>
      </c>
    </row>
    <row r="124">
      <c r="A124" s="32" t="n">
        <v>42400</v>
      </c>
      <c r="B124" s="20" t="n">
        <v>38550.20166666666</v>
      </c>
      <c r="C124" s="40" t="n"/>
      <c r="D124" s="34" t="n"/>
      <c r="E124" s="34" t="n"/>
      <c r="F124" s="32" t="n">
        <v>42400</v>
      </c>
      <c r="K124" s="19" t="n">
        <v>2880.2361</v>
      </c>
    </row>
    <row r="125">
      <c r="A125" s="32" t="n">
        <v>42428</v>
      </c>
      <c r="B125" s="20" t="n">
        <v>39002.01166666667</v>
      </c>
      <c r="C125" s="40">
        <f>B125/B124-1</f>
        <v/>
      </c>
      <c r="D125" s="34">
        <f>B125/$B$124*100</f>
        <v/>
      </c>
      <c r="E125" s="34" t="n"/>
      <c r="F125" s="32" t="n">
        <v>42428</v>
      </c>
      <c r="K125" s="19" t="n">
        <v>2912.3441</v>
      </c>
    </row>
    <row r="126">
      <c r="A126" s="32" t="n">
        <v>42460</v>
      </c>
      <c r="B126" s="20" t="n">
        <v>39299.57666666667</v>
      </c>
      <c r="C126" s="40">
        <f>B126/B125-1</f>
        <v/>
      </c>
      <c r="D126" s="34">
        <f>B126/$B$124*100</f>
        <v/>
      </c>
      <c r="E126" s="34" t="n"/>
      <c r="F126" s="32" t="n">
        <v>42460</v>
      </c>
      <c r="K126" s="19" t="n">
        <v>2924.1537</v>
      </c>
    </row>
    <row r="127">
      <c r="A127" s="32" t="n">
        <v>42490</v>
      </c>
      <c r="B127" s="20" t="n">
        <v>39391.27333333334</v>
      </c>
      <c r="C127" s="40">
        <f>B127/B126-1</f>
        <v/>
      </c>
      <c r="D127" s="34">
        <f>B127/$B$124*100</f>
        <v/>
      </c>
      <c r="F127" s="32" t="n">
        <v>42490</v>
      </c>
      <c r="K127" s="19" t="n">
        <v>2936.5246</v>
      </c>
    </row>
    <row r="128">
      <c r="A128" s="32" t="n">
        <v>42521</v>
      </c>
      <c r="B128" s="20" t="n">
        <v>39587.63166666666</v>
      </c>
      <c r="C128" s="40">
        <f>B128/B127-1</f>
        <v/>
      </c>
      <c r="D128" s="34">
        <f>B128/$B$124*100</f>
        <v/>
      </c>
      <c r="F128" s="32" t="n">
        <v>42521</v>
      </c>
      <c r="G128" s="68" t="n"/>
      <c r="I128" s="40" t="n"/>
      <c r="J128" s="33" t="n"/>
      <c r="K128" s="19" t="n">
        <v>2952.9334</v>
      </c>
      <c r="L128" s="40">
        <f>+(K128/K127-1)/(F128-F127)*30</f>
        <v/>
      </c>
      <c r="M128" s="18" t="n">
        <v>155.65</v>
      </c>
    </row>
    <row r="129">
      <c r="A129" s="32" t="n">
        <v>42551</v>
      </c>
      <c r="B129" s="20" t="n">
        <v>39645.91</v>
      </c>
      <c r="C129" s="40">
        <f>B129/B128-1</f>
        <v/>
      </c>
      <c r="D129" s="34">
        <f>B129/$B$124*100</f>
        <v/>
      </c>
      <c r="F129" s="32" t="n">
        <v>42551</v>
      </c>
      <c r="G129" s="19" t="n">
        <v>1000</v>
      </c>
      <c r="H129" s="19">
        <f>+G129</f>
        <v/>
      </c>
      <c r="I129" s="40" t="n"/>
      <c r="J129" s="33" t="n">
        <v>156.101538006453</v>
      </c>
      <c r="K129" s="19" t="n">
        <v>2968.3045</v>
      </c>
      <c r="L129" s="40">
        <f>+(K129/K128-1)/(F129-F128)*30</f>
        <v/>
      </c>
      <c r="M129" s="34" t="n">
        <v>156.101538006453</v>
      </c>
    </row>
    <row r="130">
      <c r="A130" s="32" t="n">
        <v>42582</v>
      </c>
      <c r="B130" s="74" t="n">
        <v>39994.64666666666</v>
      </c>
      <c r="C130" s="40">
        <f>B130/B129-1</f>
        <v/>
      </c>
      <c r="D130" s="34">
        <f>B130/$B$124*100</f>
        <v/>
      </c>
      <c r="F130" s="32" t="n">
        <v>42582</v>
      </c>
      <c r="G130" s="19" t="n">
        <v>1010.0634</v>
      </c>
      <c r="H130" s="19">
        <f>+G130</f>
        <v/>
      </c>
      <c r="I130" s="40">
        <f>+(((H130)/H129)-1)/(F130-F129)*30</f>
        <v/>
      </c>
      <c r="J130" s="33">
        <f>+J129*(1+I130)</f>
        <v/>
      </c>
      <c r="K130" s="19" t="n">
        <v>2983.3669</v>
      </c>
      <c r="L130" s="40">
        <f>+(K130/K129-1)/(F130-F129)*30</f>
        <v/>
      </c>
      <c r="M130" s="34">
        <f>+M129*(1+L130)</f>
        <v/>
      </c>
    </row>
    <row r="131">
      <c r="A131" s="32" t="n">
        <v>42613</v>
      </c>
      <c r="B131" s="20" t="n">
        <v>40648.82166666666</v>
      </c>
      <c r="C131" s="40">
        <f>B131/B130-1</f>
        <v/>
      </c>
      <c r="D131" s="34">
        <f>B131/$B$124*100</f>
        <v/>
      </c>
      <c r="F131" s="32" t="n">
        <v>42613</v>
      </c>
      <c r="G131" s="19" t="n">
        <v>1020.0875</v>
      </c>
      <c r="H131" s="19">
        <f>+G131</f>
        <v/>
      </c>
      <c r="I131" s="40">
        <f>+(((H131)/H130)-1)/(F131-F130)*30</f>
        <v/>
      </c>
      <c r="J131" s="33">
        <f>+J130*(1+I131)</f>
        <v/>
      </c>
      <c r="K131" s="19" t="n">
        <v>3018.4826</v>
      </c>
      <c r="L131" s="40">
        <f>+(K131/K130-1)/(F131-F130)*30</f>
        <v/>
      </c>
      <c r="M131" s="34">
        <f>+M130*(1+L131)</f>
        <v/>
      </c>
    </row>
    <row r="132">
      <c r="A132" s="32" t="n">
        <v>42643</v>
      </c>
      <c r="B132" s="20" t="n">
        <v>40940.56666666667</v>
      </c>
      <c r="C132" s="40">
        <f>B132/B131-1</f>
        <v/>
      </c>
      <c r="D132" s="34">
        <f>B132/$B$124*100</f>
        <v/>
      </c>
      <c r="F132" s="32" t="n">
        <v>42643</v>
      </c>
      <c r="G132" s="19" t="n">
        <v>1026.7237</v>
      </c>
      <c r="H132" s="19">
        <f>+G132</f>
        <v/>
      </c>
      <c r="I132" s="40">
        <f>+(((H132)/H131)-1)/(F132-F131)*30</f>
        <v/>
      </c>
      <c r="J132" s="33">
        <f>+J131*(1+I132)</f>
        <v/>
      </c>
      <c r="K132" s="19" t="n">
        <v>3040.6963</v>
      </c>
      <c r="L132" s="40">
        <f>+(K132/K131-1)/(F132-F131)*30</f>
        <v/>
      </c>
      <c r="M132" s="34">
        <f>+M131*(1+L132)</f>
        <v/>
      </c>
    </row>
    <row r="133">
      <c r="A133" s="32" t="n">
        <v>42674</v>
      </c>
      <c r="B133" s="20" t="n">
        <v>40784.11833333334</v>
      </c>
      <c r="C133" s="40">
        <f>B133/B132-1</f>
        <v/>
      </c>
      <c r="D133" s="34">
        <f>B133/$B$124*100</f>
        <v/>
      </c>
      <c r="F133" s="32" t="n">
        <v>42674</v>
      </c>
      <c r="G133" s="19" t="n">
        <v>1019.9055</v>
      </c>
      <c r="H133" s="19">
        <f>+G133</f>
        <v/>
      </c>
      <c r="I133" s="40">
        <f>+(((H133)/H132)-1)/(F133-F132)*30</f>
        <v/>
      </c>
      <c r="J133" s="33">
        <f>+J132*(1+I133)</f>
        <v/>
      </c>
      <c r="K133" s="19" t="n">
        <v>3024.6742</v>
      </c>
      <c r="L133" s="40">
        <f>+(K133/K132-1)/(F133-F132)*30</f>
        <v/>
      </c>
      <c r="M133" s="34">
        <f>+M132*(1+L133)</f>
        <v/>
      </c>
    </row>
    <row r="134">
      <c r="A134" s="32" t="n">
        <v>42704</v>
      </c>
      <c r="B134" s="20" t="n">
        <v>40116.725</v>
      </c>
      <c r="C134" s="40">
        <f>B134/B133-1</f>
        <v/>
      </c>
      <c r="D134" s="34">
        <f>B134/$B$124*100</f>
        <v/>
      </c>
      <c r="F134" s="32" t="n">
        <v>42704</v>
      </c>
      <c r="G134" s="19" t="n">
        <v>1002.7638</v>
      </c>
      <c r="H134" s="19">
        <f>+G134</f>
        <v/>
      </c>
      <c r="I134" s="40">
        <f>+(((H134)/H133)-1)/(F134-F133)*30</f>
        <v/>
      </c>
      <c r="J134" s="33">
        <f>+J133*(1+I134)</f>
        <v/>
      </c>
      <c r="K134" s="19" t="n">
        <v>2986.7307</v>
      </c>
      <c r="L134" s="40">
        <f>+(K134/K133-1)/(F134-F133)*30</f>
        <v/>
      </c>
      <c r="M134" s="34">
        <f>+M133*(1+L134)</f>
        <v/>
      </c>
    </row>
    <row r="135">
      <c r="A135" s="32" t="n">
        <v>42735</v>
      </c>
      <c r="B135" s="20" t="n">
        <v>40864.32333333333</v>
      </c>
      <c r="C135" s="40">
        <f>B135/B134-1</f>
        <v/>
      </c>
      <c r="D135" s="34">
        <f>B135/$B$124*100</f>
        <v/>
      </c>
      <c r="F135" s="32" t="n">
        <v>42735</v>
      </c>
      <c r="G135" s="19" t="n">
        <v>1021.7189</v>
      </c>
      <c r="H135" s="19">
        <f>+G135+$S$138</f>
        <v/>
      </c>
      <c r="I135" s="40">
        <f>+(((H135)/H134)-1)/(F135-F134)*30</f>
        <v/>
      </c>
      <c r="J135" s="33">
        <f>+J134*(1+I135)</f>
        <v/>
      </c>
      <c r="K135" s="19" t="n">
        <v>3036.6452</v>
      </c>
      <c r="L135" s="40">
        <f>+(K135/K134-1)/(F135-F134)*30</f>
        <v/>
      </c>
      <c r="M135" s="34">
        <f>+M134*(1+L135)</f>
        <v/>
      </c>
    </row>
    <row r="136">
      <c r="A136" s="32" t="n">
        <v>42766</v>
      </c>
      <c r="B136" s="20" t="n">
        <v>41118.49833333334</v>
      </c>
      <c r="C136" s="40">
        <f>B136/B135-1</f>
        <v/>
      </c>
      <c r="D136" s="34">
        <f>B136/$B$124*100</f>
        <v/>
      </c>
      <c r="F136" s="32" t="n">
        <v>42766</v>
      </c>
      <c r="G136" s="19" t="n">
        <v>1028.6255</v>
      </c>
      <c r="H136" s="19">
        <f>+G136+$S$138</f>
        <v/>
      </c>
      <c r="I136" s="40">
        <f>+(((H136)/H135)-1)/(F136-F135)*30</f>
        <v/>
      </c>
      <c r="J136" s="33">
        <f>+J135*(1+I136)</f>
        <v/>
      </c>
      <c r="K136" s="19" t="n">
        <v>3053.1257</v>
      </c>
      <c r="L136" s="40">
        <f>+(K136/K135-1)/(F136-F135)*30</f>
        <v/>
      </c>
      <c r="M136" s="34">
        <f>+M135*(1+L136)</f>
        <v/>
      </c>
    </row>
    <row r="137">
      <c r="A137" s="32" t="n">
        <v>42794</v>
      </c>
      <c r="B137" s="20" t="n">
        <v>41562.66999999999</v>
      </c>
      <c r="C137" s="40">
        <f>B137/B136-1</f>
        <v/>
      </c>
      <c r="D137" s="34">
        <f>B137/$B$124*100</f>
        <v/>
      </c>
      <c r="F137" s="32" t="n">
        <v>42794</v>
      </c>
      <c r="G137" s="19" t="n">
        <v>1032.3274</v>
      </c>
      <c r="H137" s="19">
        <f>+G137+$S$138</f>
        <v/>
      </c>
      <c r="I137" s="40">
        <f>+(((H137)/H136)-1)/(F137-F136)*30</f>
        <v/>
      </c>
      <c r="J137" s="33">
        <f>+J136*(1+I137)</f>
        <v/>
      </c>
      <c r="K137" s="19" t="n">
        <v>3080.7492</v>
      </c>
      <c r="L137" s="40">
        <f>+(K137/K136-1)/(F137-F136)*30</f>
        <v/>
      </c>
      <c r="M137" s="34">
        <f>+M136*(1+L137)</f>
        <v/>
      </c>
      <c r="S137" s="18" t="inlineStr">
        <is>
          <t>DIVIDENDO 2016</t>
        </is>
      </c>
    </row>
    <row r="138">
      <c r="A138" s="32" t="n">
        <v>42825</v>
      </c>
      <c r="B138" s="20" t="n">
        <v>41882.77833333333</v>
      </c>
      <c r="C138" s="40">
        <f>B138/B137-1</f>
        <v/>
      </c>
      <c r="D138" s="34">
        <f>B138/$B$124*100</f>
        <v/>
      </c>
      <c r="F138" s="32" t="n">
        <v>42825</v>
      </c>
      <c r="G138" s="19" t="n">
        <v>1035.5819</v>
      </c>
      <c r="H138" s="19">
        <f>+G138+$S$138</f>
        <v/>
      </c>
      <c r="I138" s="40">
        <f>+(((H138)/H137)-1)/(F138-F137)*30</f>
        <v/>
      </c>
      <c r="J138" s="33">
        <f>+J137*(1+I138)</f>
        <v/>
      </c>
      <c r="K138" s="19" t="n">
        <v>3087.0726</v>
      </c>
      <c r="L138" s="40">
        <f>+(K138/K137-1)/(F138-F137)*30</f>
        <v/>
      </c>
      <c r="M138" s="34">
        <f>+M137*(1+L138)</f>
        <v/>
      </c>
      <c r="S138" s="18" t="n">
        <v>2.507459</v>
      </c>
    </row>
    <row r="139">
      <c r="A139" s="32" t="n">
        <v>42855</v>
      </c>
      <c r="B139" s="20" t="n">
        <v>42270.21333333334</v>
      </c>
      <c r="C139" s="40">
        <f>B139/B138-1</f>
        <v/>
      </c>
      <c r="D139" s="34">
        <f>B139/$B$124*100</f>
        <v/>
      </c>
      <c r="F139" s="32" t="n">
        <v>42855</v>
      </c>
      <c r="G139" s="19" t="n">
        <v>1041.6818</v>
      </c>
      <c r="H139" s="19">
        <f>+G139+$S$138</f>
        <v/>
      </c>
      <c r="I139" s="40">
        <f>+(((H139)/H138)-1)/(F139-F138)*30</f>
        <v/>
      </c>
      <c r="J139" s="33">
        <f>+J138*(1+I139)</f>
        <v/>
      </c>
      <c r="K139" s="19" t="n">
        <v>3101.5413</v>
      </c>
      <c r="L139" s="40">
        <f>+(K139/K138-1)/(F139-F138)*30</f>
        <v/>
      </c>
      <c r="M139" s="34">
        <f>+M138*(1+L139)</f>
        <v/>
      </c>
      <c r="Q139" s="19">
        <f>+G135+S138</f>
        <v/>
      </c>
      <c r="S139" s="18" t="inlineStr">
        <is>
          <t>Dividendo 2017</t>
        </is>
      </c>
    </row>
    <row r="140">
      <c r="A140" s="32" t="n">
        <v>42886</v>
      </c>
      <c r="B140" s="20" t="n">
        <v>42266.32166666667</v>
      </c>
      <c r="C140" s="40">
        <f>B140/B139-1</f>
        <v/>
      </c>
      <c r="D140" s="34">
        <f>B140/$B$124*100</f>
        <v/>
      </c>
      <c r="F140" s="32" t="n">
        <v>42886</v>
      </c>
      <c r="G140" s="19" t="n">
        <v>1039.4599</v>
      </c>
      <c r="H140" s="19">
        <f>+G140+$S$138</f>
        <v/>
      </c>
      <c r="I140" s="40">
        <f>+(((H140)/H139)-1)/(F140-F139)*30</f>
        <v/>
      </c>
      <c r="J140" s="33">
        <f>+J139*(1+I140)</f>
        <v/>
      </c>
      <c r="K140" s="19" t="n">
        <v>3093.1386</v>
      </c>
      <c r="L140" s="40">
        <f>+(K140/K139-1)/(F140-F139)*30</f>
        <v/>
      </c>
      <c r="M140" s="34">
        <f>+M139*(1+L140)</f>
        <v/>
      </c>
      <c r="S140" s="18" t="n">
        <v>6.0785</v>
      </c>
    </row>
    <row r="141">
      <c r="A141" s="32" t="n">
        <v>42916</v>
      </c>
      <c r="B141" s="20" t="n">
        <v>42171.9</v>
      </c>
      <c r="C141" s="40">
        <f>B141/B140-1</f>
        <v/>
      </c>
      <c r="D141" s="34">
        <f>B141/$B$124*100</f>
        <v/>
      </c>
      <c r="F141" s="32" t="n">
        <v>42916</v>
      </c>
      <c r="G141" s="19" t="n">
        <v>1036.1774</v>
      </c>
      <c r="H141" s="19">
        <f>+G141+$S$138</f>
        <v/>
      </c>
      <c r="I141" s="40">
        <f>+(((H141)/H140)-1)/(F141-F140)*30</f>
        <v/>
      </c>
      <c r="J141" s="33">
        <f>+J140*(1+I141)</f>
        <v/>
      </c>
      <c r="K141" s="19" t="n">
        <v>3091.4614</v>
      </c>
      <c r="L141" s="40">
        <f>+(K141/K140-1)/(F141-F140)*30</f>
        <v/>
      </c>
      <c r="M141" s="34">
        <f>+M140*(1+L141)</f>
        <v/>
      </c>
      <c r="S141" s="18" t="inlineStr">
        <is>
          <t>Dividendo 2018</t>
        </is>
      </c>
    </row>
    <row r="142">
      <c r="A142" s="32" t="n">
        <v>42947</v>
      </c>
      <c r="B142" s="20" t="n">
        <v>42061.505</v>
      </c>
      <c r="C142" s="40">
        <f>B142/B141-1</f>
        <v/>
      </c>
      <c r="D142" s="34">
        <f>B142/$B$124*100</f>
        <v/>
      </c>
      <c r="F142" s="32" t="n">
        <v>42947</v>
      </c>
      <c r="G142" s="19" t="n">
        <v>1033.4081</v>
      </c>
      <c r="H142" s="19">
        <f>+G142+$S$138</f>
        <v/>
      </c>
      <c r="I142" s="40">
        <f>+(((H142)/H141)-1)/(F142-F141)*30</f>
        <v/>
      </c>
      <c r="J142" s="33">
        <f>+J141*(1+I142)</f>
        <v/>
      </c>
      <c r="K142" s="19" t="n">
        <v>3080.5854</v>
      </c>
      <c r="L142" s="40">
        <f>+(K142/K141-1)/(F142-F141)*30</f>
        <v/>
      </c>
      <c r="M142" s="34">
        <f>+M141*(1+L142)</f>
        <v/>
      </c>
      <c r="S142" s="18" t="n">
        <v>77.61093120939057</v>
      </c>
    </row>
    <row r="143">
      <c r="A143" s="32" t="n">
        <v>42978</v>
      </c>
      <c r="B143" s="20" t="n">
        <v>42005.45166666666</v>
      </c>
      <c r="C143" s="40">
        <f>B143/B142-1</f>
        <v/>
      </c>
      <c r="D143" s="34">
        <f>B143/$B$124*100</f>
        <v/>
      </c>
      <c r="F143" s="32" t="n">
        <v>42978</v>
      </c>
      <c r="G143" s="19" t="n">
        <v>1035.1932</v>
      </c>
      <c r="H143" s="19">
        <f>+G143+$S$138</f>
        <v/>
      </c>
      <c r="I143" s="40">
        <f>+(((H143)/H142)-1)/(F143-F142)*30</f>
        <v/>
      </c>
      <c r="J143" s="33">
        <f>+J142*(1+I143)</f>
        <v/>
      </c>
      <c r="K143" s="19" t="n">
        <v>3094.051</v>
      </c>
      <c r="L143" s="40">
        <f>+(K143/K142-1)/(F143-F142)*30</f>
        <v/>
      </c>
      <c r="M143" s="34">
        <f>+M142*(1+L143)</f>
        <v/>
      </c>
    </row>
    <row r="144">
      <c r="A144" s="32" t="n">
        <v>43008</v>
      </c>
      <c r="B144" s="20" t="n">
        <v>42123.29666666667</v>
      </c>
      <c r="C144" s="40">
        <f>B144/B143-1</f>
        <v/>
      </c>
      <c r="D144" s="34">
        <f>B144/$B$124*100</f>
        <v/>
      </c>
      <c r="F144" s="32" t="n">
        <v>43008</v>
      </c>
      <c r="G144" s="19" t="n">
        <v>1030.6096</v>
      </c>
      <c r="H144" s="19">
        <f>+G144+$S$138</f>
        <v/>
      </c>
      <c r="I144" s="40">
        <f>+(((H144)/H143)-1)/(F144-F143)*30</f>
        <v/>
      </c>
      <c r="J144" s="33">
        <f>+J143*(1+I144)</f>
        <v/>
      </c>
      <c r="K144" s="19" t="n">
        <v>3075.9102</v>
      </c>
      <c r="L144" s="40">
        <f>+(K144/K143-1)/(F144-F143)*30</f>
        <v/>
      </c>
      <c r="M144" s="34">
        <f>+M143*(1+L144)</f>
        <v/>
      </c>
    </row>
    <row r="145">
      <c r="A145" s="32" t="n">
        <v>43039</v>
      </c>
      <c r="B145" s="20" t="n">
        <v>41693.94833333333</v>
      </c>
      <c r="C145" s="40">
        <f>B145/B144-1</f>
        <v/>
      </c>
      <c r="D145" s="34">
        <f>B145/$B$124*100</f>
        <v/>
      </c>
      <c r="F145" s="32" t="n">
        <v>43039</v>
      </c>
      <c r="G145" s="19" t="n">
        <v>1022.6392</v>
      </c>
      <c r="H145" s="19">
        <f>+G145+$S$138</f>
        <v/>
      </c>
      <c r="I145" s="40">
        <f>+(((H145)/H144)-1)/(F145-F144)*30</f>
        <v/>
      </c>
      <c r="J145" s="33">
        <f>+J144*(1+I145)</f>
        <v/>
      </c>
      <c r="K145" s="19" t="n">
        <v>3052.5267</v>
      </c>
      <c r="L145" s="40">
        <f>+(K145/K144-1)/(F145-F144)*30</f>
        <v/>
      </c>
      <c r="M145" s="34">
        <f>+M144*(1+L145)</f>
        <v/>
      </c>
    </row>
    <row r="146">
      <c r="A146" s="32" t="n">
        <v>43069</v>
      </c>
      <c r="B146" s="20" t="n">
        <v>41596.63166666667</v>
      </c>
      <c r="C146" s="40">
        <f>B146/B145-1</f>
        <v/>
      </c>
      <c r="D146" s="34">
        <f>B146/$B$124*100</f>
        <v/>
      </c>
      <c r="F146" s="32" t="n">
        <v>43069</v>
      </c>
      <c r="G146" s="19" t="n">
        <v>1025.9408</v>
      </c>
      <c r="H146" s="19">
        <f>+G146+$S$138</f>
        <v/>
      </c>
      <c r="I146" s="40">
        <f>+(((H146)/H145)-1)/(F146-F145)*30</f>
        <v/>
      </c>
      <c r="J146" s="33">
        <f>+J145*(1+I146)</f>
        <v/>
      </c>
      <c r="K146" s="19" t="n">
        <v>3054.8963</v>
      </c>
      <c r="L146" s="40">
        <f>+(K146/K145-1)/(F146-F145)*30</f>
        <v/>
      </c>
      <c r="M146" s="34">
        <f>+M145*(1+L146)</f>
        <v/>
      </c>
    </row>
    <row r="147">
      <c r="A147" s="32" t="n">
        <v>43100</v>
      </c>
      <c r="B147" s="20" t="n">
        <v>41951.61333333333</v>
      </c>
      <c r="C147" s="40">
        <f>B147/B146-1</f>
        <v/>
      </c>
      <c r="D147" s="34">
        <f>B147/$B$124*100</f>
        <v/>
      </c>
      <c r="F147" s="32" t="n">
        <v>43100</v>
      </c>
      <c r="G147" s="19" t="n">
        <v>1029.0937</v>
      </c>
      <c r="H147" s="19">
        <f>+G147+$S$138+$S$140</f>
        <v/>
      </c>
      <c r="I147" s="40">
        <f>+(((H147)/H146)-1)/(F147-F146)*30</f>
        <v/>
      </c>
      <c r="J147" s="33">
        <f>+J146*(1+I147)</f>
        <v/>
      </c>
      <c r="K147" s="19" t="n">
        <v>3078.9476</v>
      </c>
      <c r="L147" s="40">
        <f>+(K147/K146-1)/(F147-F146)*30</f>
        <v/>
      </c>
      <c r="M147" s="34">
        <f>+M146*(1+L147)</f>
        <v/>
      </c>
      <c r="AD147" s="69" t="n"/>
      <c r="AE147" s="69" t="n"/>
      <c r="AF147" s="69" t="n"/>
      <c r="AG147" s="69" t="n"/>
      <c r="AH147" s="69" t="n"/>
      <c r="AI147" s="69" t="n"/>
      <c r="AJ147" s="69" t="n"/>
      <c r="AK147" s="69" t="n"/>
      <c r="AL147" s="69" t="n"/>
      <c r="AM147" s="69" t="n"/>
      <c r="AN147" s="69" t="n"/>
      <c r="AO147" s="69" t="n"/>
      <c r="AP147" s="69" t="n"/>
      <c r="AQ147" s="69" t="n"/>
    </row>
    <row r="148">
      <c r="A148" s="32" t="n">
        <v>43131</v>
      </c>
      <c r="B148" s="20" t="n">
        <v>42169.37</v>
      </c>
      <c r="C148" s="40">
        <f>B148/B147-1</f>
        <v/>
      </c>
      <c r="D148" s="34">
        <f>B148/$B$124*100</f>
        <v/>
      </c>
      <c r="F148" s="32" t="n">
        <v>43131</v>
      </c>
      <c r="G148" s="19" t="n">
        <v>1029.6622</v>
      </c>
      <c r="H148" s="19">
        <f>+G148+$S$138+$S$140</f>
        <v/>
      </c>
      <c r="I148" s="40">
        <f>+(((H148)/H147)-1)/(F148-F147)*30</f>
        <v/>
      </c>
      <c r="J148" s="33">
        <f>+J147*(1+I148)</f>
        <v/>
      </c>
      <c r="K148" s="19" t="n">
        <v>3095.1079</v>
      </c>
      <c r="L148" s="40">
        <f>+(K148/K147-1)/(F148-F147)*30</f>
        <v/>
      </c>
      <c r="M148" s="34">
        <f>+M147*(1+L148)</f>
        <v/>
      </c>
      <c r="AR148" s="69" t="n"/>
    </row>
    <row r="149">
      <c r="A149" s="32" t="n">
        <v>43159</v>
      </c>
      <c r="B149" s="20" t="n">
        <v>42260.79</v>
      </c>
      <c r="C149" s="40">
        <f>B149/B148-1</f>
        <v/>
      </c>
      <c r="D149" s="34">
        <f>B149/$B$124*100</f>
        <v/>
      </c>
      <c r="F149" s="32" t="n">
        <v>43159</v>
      </c>
      <c r="G149" s="19" t="n">
        <v>1032.7841</v>
      </c>
      <c r="H149" s="19">
        <f>+G149+$S$138+$S$140</f>
        <v/>
      </c>
      <c r="I149" s="40">
        <f>+(((H149)/H148)-1)/(F149-F148)*30</f>
        <v/>
      </c>
      <c r="J149" s="33">
        <f>+J148*(1+I149)</f>
        <v/>
      </c>
      <c r="K149" s="19" t="n">
        <v>3115.9147</v>
      </c>
      <c r="L149" s="40">
        <f>+(K149/K148-1)/(F149-F148)*30</f>
        <v/>
      </c>
      <c r="M149" s="34">
        <f>+M148*(1+L149)</f>
        <v/>
      </c>
    </row>
    <row r="150">
      <c r="A150" s="32" t="n">
        <v>43190</v>
      </c>
      <c r="B150" s="20" t="n">
        <v>42519.33166666667</v>
      </c>
      <c r="C150" s="40">
        <f>B150/B149-1</f>
        <v/>
      </c>
      <c r="D150" s="34">
        <f>B150/$B$124*100</f>
        <v/>
      </c>
      <c r="F150" s="32" t="n">
        <v>43190</v>
      </c>
      <c r="G150" s="19" t="n">
        <v>1040.3943</v>
      </c>
      <c r="H150" s="19">
        <f>+G150+$S$138+$S$140</f>
        <v/>
      </c>
      <c r="I150" s="40">
        <f>+(((H150)/H149)-1)/(F150-F149)*30</f>
        <v/>
      </c>
      <c r="J150" s="33">
        <f>+J149*(1+I150)</f>
        <v/>
      </c>
      <c r="K150" s="19" t="n">
        <v>3123.5669</v>
      </c>
      <c r="L150" s="40">
        <f>+(K150/K149-1)/(F150-F149)*30</f>
        <v/>
      </c>
      <c r="M150" s="34">
        <f>+M149*(1+L150)</f>
        <v/>
      </c>
    </row>
    <row r="151">
      <c r="A151" s="32" t="n">
        <v>43220</v>
      </c>
      <c r="B151" s="20" t="n">
        <v>43026.07</v>
      </c>
      <c r="C151" s="40">
        <f>B151/B150-1</f>
        <v/>
      </c>
      <c r="D151" s="34">
        <f>B151/$B$124*100</f>
        <v/>
      </c>
      <c r="F151" s="32" t="n">
        <v>43220</v>
      </c>
      <c r="G151" s="19" t="n">
        <v>1044.4824</v>
      </c>
      <c r="H151" s="19">
        <f>+G151+$S$138+$S$140</f>
        <v/>
      </c>
      <c r="I151" s="40">
        <f>+(((H151)/H150)-1)/(F151-F150)*30</f>
        <v/>
      </c>
      <c r="J151" s="33">
        <f>+J150*(1+I151)</f>
        <v/>
      </c>
      <c r="K151" s="19" t="n">
        <v>3123.9899</v>
      </c>
      <c r="L151" s="40">
        <f>+(K151/K150-1)/(F151-F150)*30</f>
        <v/>
      </c>
      <c r="M151" s="34">
        <f>+M150*(1+L151)</f>
        <v/>
      </c>
    </row>
    <row r="152">
      <c r="A152" s="32" t="n">
        <v>43251</v>
      </c>
      <c r="B152" s="20" t="n">
        <v>42916.80666666667</v>
      </c>
      <c r="C152" s="40">
        <f>B152/B151-1</f>
        <v/>
      </c>
      <c r="D152" s="34">
        <f>B152/$B$124*100</f>
        <v/>
      </c>
      <c r="F152" s="32" t="n">
        <v>43251</v>
      </c>
      <c r="G152" s="19" t="n">
        <v>1050.2798</v>
      </c>
      <c r="H152" s="19">
        <f>+G152+$S$138+$S$140</f>
        <v/>
      </c>
      <c r="I152" s="40">
        <f>+(((H152)/H151)-1)/(F152-F151)*30</f>
        <v/>
      </c>
      <c r="J152" s="33">
        <f>+J151*(1+I152)</f>
        <v/>
      </c>
      <c r="K152" s="19" t="n">
        <v>3142.7424</v>
      </c>
      <c r="L152" s="40">
        <f>+(K152/K151-1)/(F152-F151)*30</f>
        <v/>
      </c>
      <c r="M152" s="34">
        <f>+M151*(1+L152)</f>
        <v/>
      </c>
    </row>
    <row r="153">
      <c r="A153" s="32" t="n">
        <v>43281</v>
      </c>
      <c r="B153" s="20" t="n">
        <v>43148.23333333333</v>
      </c>
      <c r="C153" s="40">
        <f>B153/B152-1</f>
        <v/>
      </c>
      <c r="D153" s="34">
        <f>B153/$B$124*100</f>
        <v/>
      </c>
      <c r="F153" s="32" t="n">
        <v>43281</v>
      </c>
      <c r="G153" s="19" t="n">
        <v>1055.2919</v>
      </c>
      <c r="H153" s="19">
        <f>+G153+$S$138+$S$140</f>
        <v/>
      </c>
      <c r="I153" s="40">
        <f>+(((H153)/H152)-1)/(F153-F152)*30</f>
        <v/>
      </c>
      <c r="J153" s="33">
        <f>+J152*(1+I153)</f>
        <v/>
      </c>
      <c r="K153" s="18" t="n">
        <v>3155.4348</v>
      </c>
      <c r="L153" s="40">
        <f>+(K153/K152-1)/(F153-F152)*30</f>
        <v/>
      </c>
      <c r="M153" s="34">
        <f>+M152*(1+L153)</f>
        <v/>
      </c>
    </row>
    <row r="154">
      <c r="A154" s="32" t="n">
        <v>43312</v>
      </c>
      <c r="B154" s="20" t="n">
        <v>43435.61333333333</v>
      </c>
      <c r="C154" s="40">
        <f>B154/B153-1</f>
        <v/>
      </c>
      <c r="D154" s="34">
        <f>B154/$B$124*100</f>
        <v/>
      </c>
      <c r="F154" s="32" t="n">
        <v>43312</v>
      </c>
      <c r="G154" s="19" t="n">
        <v>1059.0545</v>
      </c>
      <c r="H154" s="19">
        <f>+G154+$S$138+$S$140</f>
        <v/>
      </c>
      <c r="I154" s="40">
        <f>+(((H154)/H153)-1)/(F154-F153)*30</f>
        <v/>
      </c>
      <c r="J154" s="33">
        <f>+J153*(1+I154)</f>
        <v/>
      </c>
      <c r="K154" s="18" t="n">
        <v>3167.2723</v>
      </c>
      <c r="L154" s="40">
        <f>+(K154/K153-1)/(F154-F153)*30</f>
        <v/>
      </c>
      <c r="M154" s="34">
        <f>+M153*(1+L154)</f>
        <v/>
      </c>
    </row>
    <row r="155">
      <c r="A155" s="32" t="n">
        <v>43343</v>
      </c>
      <c r="B155" s="20" t="n">
        <v>43814.255</v>
      </c>
      <c r="C155" s="40">
        <f>B155/B154-1</f>
        <v/>
      </c>
      <c r="D155" s="34">
        <f>B155/$B$124*100</f>
        <v/>
      </c>
      <c r="F155" s="32" t="n">
        <v>43343</v>
      </c>
      <c r="G155" s="19" t="n">
        <v>1062.4351</v>
      </c>
      <c r="H155" s="19">
        <f>+G155+$S$138+$S$140</f>
        <v/>
      </c>
      <c r="I155" s="40">
        <f>+(((H155)/H154)-1)/(F155-F154)*30</f>
        <v/>
      </c>
      <c r="J155" s="33">
        <f>+J154*(1+I155)</f>
        <v/>
      </c>
      <c r="K155" s="18" t="n">
        <v>3174.3548</v>
      </c>
      <c r="L155" s="40">
        <f>+(K155/K154-1)/(F155-F154)*30</f>
        <v/>
      </c>
      <c r="M155" s="34">
        <f>+M154*(1+L155)</f>
        <v/>
      </c>
    </row>
    <row r="156">
      <c r="A156" s="32" t="n">
        <v>43373</v>
      </c>
      <c r="B156" s="75" t="n">
        <v>43837.26</v>
      </c>
      <c r="C156" s="40">
        <f>B156/B155-1</f>
        <v/>
      </c>
      <c r="D156" s="34">
        <f>B156/$B$124*100</f>
        <v/>
      </c>
      <c r="F156" s="32" t="n">
        <v>43373</v>
      </c>
      <c r="G156" s="19" t="n">
        <v>1064.1253</v>
      </c>
      <c r="H156" s="19">
        <f>+G156+$S$138+$S$140</f>
        <v/>
      </c>
      <c r="I156" s="40">
        <f>+(((H156)/H155)-1)/(F156-F155)*30</f>
        <v/>
      </c>
      <c r="J156" s="33">
        <f>+J155*(1+I156)</f>
        <v/>
      </c>
      <c r="K156" s="18" t="n">
        <v>3175.652</v>
      </c>
      <c r="L156" s="40">
        <f>+(K156/K155-1)/(F156-F155)*30</f>
        <v/>
      </c>
      <c r="M156" s="34">
        <f>+M155*(1+L156)</f>
        <v/>
      </c>
    </row>
    <row r="157">
      <c r="A157" s="32" t="n">
        <v>43404</v>
      </c>
      <c r="B157" s="20" t="n">
        <v>43659.50666666668</v>
      </c>
      <c r="C157" s="40">
        <f>B157/B156-1</f>
        <v/>
      </c>
      <c r="D157" s="34">
        <f>B157/$B$124*100</f>
        <v/>
      </c>
      <c r="F157" s="32" t="n">
        <v>43404</v>
      </c>
      <c r="G157" s="19" t="n">
        <v>1065.3737</v>
      </c>
      <c r="H157" s="19">
        <f>+G157+$S$138+$S$140</f>
        <v/>
      </c>
      <c r="I157" s="40">
        <f>+(((H157)/H156)-1)/(F157-F156)*30</f>
        <v/>
      </c>
      <c r="J157" s="33">
        <f>+J156*(1+I157)</f>
        <v/>
      </c>
      <c r="K157" s="18" t="n">
        <v>3160.5194</v>
      </c>
      <c r="L157" s="40">
        <f>+(K157/K156-1)/(F157-F156)*30</f>
        <v/>
      </c>
      <c r="M157" s="34">
        <f>+M156*(1+L157)</f>
        <v/>
      </c>
    </row>
    <row r="158">
      <c r="A158" s="32" t="n">
        <v>43434</v>
      </c>
      <c r="B158" s="20" t="n">
        <v>43981.395</v>
      </c>
      <c r="C158" s="40">
        <f>B158/B157-1</f>
        <v/>
      </c>
      <c r="D158" s="34">
        <f>B158/$B$124*100</f>
        <v/>
      </c>
      <c r="F158" s="32" t="n">
        <v>43434</v>
      </c>
      <c r="G158" s="19" t="n">
        <v>1068.7074</v>
      </c>
      <c r="H158" s="19">
        <f>+G158+$S$138+$S$140</f>
        <v/>
      </c>
      <c r="I158" s="40">
        <f>+(((H158)/H157)-1)/(F158-F157)*30</f>
        <v/>
      </c>
      <c r="J158" s="33">
        <f>+J157*(1+I158)</f>
        <v/>
      </c>
      <c r="K158" s="18" t="n">
        <v>3168.4163</v>
      </c>
      <c r="L158" s="40">
        <f>+(K158/K157-1)/(F158-F157)*30</f>
        <v/>
      </c>
      <c r="M158" s="34">
        <f>+M157*(1+L158)</f>
        <v/>
      </c>
    </row>
    <row r="159">
      <c r="A159" s="32" t="n">
        <v>43465</v>
      </c>
      <c r="B159" s="20" t="n">
        <v>44438.615</v>
      </c>
      <c r="C159" s="40">
        <f>B159/B158-1</f>
        <v/>
      </c>
      <c r="D159" s="34">
        <f>B159/$B$124*100</f>
        <v/>
      </c>
      <c r="F159" s="32" t="n">
        <v>43465</v>
      </c>
      <c r="G159" s="19" t="n">
        <v>998.724</v>
      </c>
      <c r="H159" s="19">
        <f>+G159+$S$138+$S$140+$S$142</f>
        <v/>
      </c>
      <c r="I159" s="40">
        <f>+(((H159)/H158)-1)/(F159-F158)*30</f>
        <v/>
      </c>
      <c r="J159" s="33">
        <f>+J158*(1+I159)</f>
        <v/>
      </c>
      <c r="K159" s="19" t="n">
        <v>3178.3206</v>
      </c>
      <c r="L159" s="40">
        <f>+(K159/K158-1)/(F159-F158)*30</f>
        <v/>
      </c>
      <c r="M159" s="34">
        <f>+M158*(1+L159)</f>
        <v/>
      </c>
    </row>
    <row r="160">
      <c r="A160" s="32" t="n">
        <v>43496</v>
      </c>
      <c r="B160" s="20" t="n">
        <v>44778.11166666666</v>
      </c>
      <c r="C160" s="40">
        <f>B160/B159-1</f>
        <v/>
      </c>
      <c r="D160" s="34">
        <f>B160/$B$124*100</f>
        <v/>
      </c>
      <c r="F160" s="32" t="n">
        <v>43496</v>
      </c>
      <c r="G160" s="19" t="n">
        <v>998.8395</v>
      </c>
      <c r="H160" s="19">
        <f>+G160+$S$138+$S$140+$S$142</f>
        <v/>
      </c>
      <c r="I160" s="40">
        <f>+(((H160)/H159)-1)/(F160-F159)*30</f>
        <v/>
      </c>
      <c r="J160" s="33">
        <f>+J159*(1+I160)</f>
        <v/>
      </c>
      <c r="K160" s="33" t="n">
        <v>3196.3906</v>
      </c>
      <c r="L160" s="40">
        <f>+(K160/K159-1)/(F160-F159)*30</f>
        <v/>
      </c>
      <c r="M160" s="34">
        <f>+M159*(1+L160)</f>
        <v/>
      </c>
    </row>
    <row r="161">
      <c r="A161" s="32" t="n">
        <v>43524</v>
      </c>
      <c r="B161" s="20" t="n">
        <v>45098.45166666666</v>
      </c>
      <c r="C161" s="40">
        <f>B161/B160-1</f>
        <v/>
      </c>
      <c r="D161" s="34">
        <f>B161/$B$124*100</f>
        <v/>
      </c>
      <c r="F161" s="32" t="n">
        <v>43524</v>
      </c>
      <c r="G161" s="19" t="n">
        <v>998.9236</v>
      </c>
      <c r="H161" s="19">
        <f>+G161+$S$138+$S$140+$S$142</f>
        <v/>
      </c>
      <c r="I161" s="40">
        <f>+(((H161)/H160)-1)/(F161-F160)*30</f>
        <v/>
      </c>
      <c r="J161" s="33">
        <f>+J160*(1+I161)</f>
        <v/>
      </c>
      <c r="K161" s="33" t="n">
        <v>3200.998</v>
      </c>
      <c r="L161" s="40">
        <f>+(K161/K160-1)/(F161-F160)*30</f>
        <v/>
      </c>
      <c r="M161" s="34">
        <f>+M160*(1+L161)</f>
        <v/>
      </c>
    </row>
    <row r="162">
      <c r="A162" s="32" t="n">
        <v>43555</v>
      </c>
      <c r="B162" s="20" t="n">
        <v>45946.43833333333</v>
      </c>
      <c r="C162" s="40">
        <f>B162/B161-1</f>
        <v/>
      </c>
      <c r="D162" s="34">
        <f>B162/$B$124*100</f>
        <v/>
      </c>
      <c r="F162" s="32" t="n">
        <v>43555</v>
      </c>
      <c r="G162" s="19" t="n">
        <v>1005.1118</v>
      </c>
      <c r="H162" s="19">
        <f>+G162+$S$138+$S$140+$S$142</f>
        <v/>
      </c>
      <c r="I162" s="40">
        <f>+(((H162)/H161)-1)/(F162-F161)*30</f>
        <v/>
      </c>
      <c r="J162" s="33">
        <f>+J161*(1+I162)</f>
        <v/>
      </c>
      <c r="K162" s="33" t="n">
        <v>3235.8735</v>
      </c>
      <c r="L162" s="40">
        <f>+(K162/K161-1)/(F162-F161)*30</f>
        <v/>
      </c>
      <c r="M162" s="34">
        <f>+M161*(1+L162)</f>
        <v/>
      </c>
    </row>
    <row r="163">
      <c r="A163" s="32" t="n">
        <v>43585</v>
      </c>
      <c r="B163" s="18" t="n">
        <v>46337.39</v>
      </c>
      <c r="C163" s="40">
        <f>B163/B162-1</f>
        <v/>
      </c>
      <c r="D163" s="34">
        <f>B163/$B$124*100</f>
        <v/>
      </c>
      <c r="F163" s="32" t="n">
        <v>43585</v>
      </c>
      <c r="G163" s="19" t="n">
        <v>1006.2897</v>
      </c>
      <c r="H163" s="19">
        <f>+G163+$S$138+$S$140+$S$142</f>
        <v/>
      </c>
      <c r="I163" s="40">
        <f>+(((H163)/H162)-1)/(F163-F162)*30</f>
        <v/>
      </c>
      <c r="J163" s="33">
        <f>+J162*(1+I163)</f>
        <v/>
      </c>
      <c r="K163" s="18" t="n">
        <v>3261.7452</v>
      </c>
      <c r="L163" s="40">
        <f>+(K163/K162-1)/(F163-F162)*30</f>
        <v/>
      </c>
      <c r="M163" s="34">
        <f>+M162*(1+L163)</f>
        <v/>
      </c>
    </row>
    <row r="164">
      <c r="A164" s="32" t="n">
        <v>43616</v>
      </c>
      <c r="B164" s="18" t="n">
        <v>47097.92</v>
      </c>
      <c r="C164" s="40">
        <f>B164/B163-1</f>
        <v/>
      </c>
      <c r="D164" s="34">
        <f>B164/$B$124*100</f>
        <v/>
      </c>
      <c r="F164" s="32" t="n">
        <v>43616</v>
      </c>
      <c r="G164" s="19" t="n">
        <v>1016.3315</v>
      </c>
      <c r="H164" s="19">
        <f>+G164+$S$138+$S$140+$S$142</f>
        <v/>
      </c>
      <c r="I164" s="40">
        <f>+(((H164)/H163)-1)/(F164-F163)*30</f>
        <v/>
      </c>
      <c r="J164" s="33">
        <f>+J163*(1+I164)</f>
        <v/>
      </c>
      <c r="K164" s="18" t="n">
        <v>3305.755</v>
      </c>
      <c r="L164" s="40">
        <f>+(K164/K163-1)/(F164-F163)*30</f>
        <v/>
      </c>
      <c r="M164" s="34">
        <f>+M163*(1+L164)</f>
        <v/>
      </c>
    </row>
    <row r="165">
      <c r="A165" s="32" t="n">
        <v>43646</v>
      </c>
      <c r="B165" s="18" t="n">
        <v>48202.75</v>
      </c>
      <c r="C165" s="40">
        <f>B165/B164-1</f>
        <v/>
      </c>
      <c r="D165" s="34">
        <f>B165/$B$124*100</f>
        <v/>
      </c>
      <c r="F165" s="32" t="n">
        <v>43646</v>
      </c>
      <c r="G165" s="19" t="n">
        <v>1029.773</v>
      </c>
      <c r="H165" s="19">
        <f>+G165+$S$138+$S$140+$S$142</f>
        <v/>
      </c>
      <c r="I165" s="40">
        <f>+(((H165)/H164)-1)/(F165-F164)*30</f>
        <v/>
      </c>
      <c r="J165" s="33">
        <f>+J164*(1+I165)</f>
        <v/>
      </c>
      <c r="K165" s="18" t="n">
        <v>3348.2881</v>
      </c>
      <c r="L165" s="40">
        <f>+(K165/K164-1)/(F165-F164)*30</f>
        <v/>
      </c>
      <c r="M165" s="34">
        <f>+M164*(1+L165)</f>
        <v/>
      </c>
    </row>
    <row r="166">
      <c r="A166" s="32" t="n">
        <v>43677</v>
      </c>
      <c r="B166" s="18" t="n">
        <v>49615.1367</v>
      </c>
      <c r="C166" s="40">
        <f>B166/B165-1</f>
        <v/>
      </c>
      <c r="D166" s="34">
        <f>B166/$B$124*100</f>
        <v/>
      </c>
      <c r="F166" s="32" t="n">
        <v>43677</v>
      </c>
      <c r="G166" s="19" t="n">
        <v>1042.0123</v>
      </c>
      <c r="H166" s="19">
        <f>+G166+$S$138+$S$140+$S$142</f>
        <v/>
      </c>
      <c r="I166" s="40">
        <f>+(((H166)/H165)-1)/(F166-F165)*30</f>
        <v/>
      </c>
      <c r="J166" s="33">
        <f>+J165*(1+I166)</f>
        <v/>
      </c>
      <c r="K166" s="18" t="n">
        <v>3405.7187</v>
      </c>
      <c r="L166" s="40">
        <f>+(K166/K165-1)/(F166-F165)*30</f>
        <v/>
      </c>
      <c r="M166" s="34">
        <f>+M165*(1+L166)</f>
        <v/>
      </c>
    </row>
    <row r="167">
      <c r="A167" s="32" t="n">
        <v>43708</v>
      </c>
      <c r="B167" s="18" t="n">
        <v>50853.58</v>
      </c>
      <c r="C167" s="40">
        <f>B167/B166-1</f>
        <v/>
      </c>
      <c r="D167" s="34">
        <f>B167/$B$124*100</f>
        <v/>
      </c>
      <c r="F167" s="32" t="n">
        <v>43708</v>
      </c>
      <c r="G167" s="19" t="n">
        <v>1049.5336</v>
      </c>
      <c r="H167" s="19">
        <f>+G167+$S$138+$S$140+$S$142</f>
        <v/>
      </c>
      <c r="I167" s="40">
        <f>+(((H167)/H166)-1)/(F167-F166)*30</f>
        <v/>
      </c>
      <c r="J167" s="33">
        <f>+J166*(1+I167)</f>
        <v/>
      </c>
      <c r="K167" s="18" t="n">
        <v>3448.5377</v>
      </c>
      <c r="L167" s="40">
        <f>+(K167/K166-1)/(F167-F166)*30</f>
        <v/>
      </c>
      <c r="M167" s="34">
        <f>+M166*(1+L167)</f>
        <v/>
      </c>
    </row>
    <row r="168">
      <c r="A168" s="32" t="n">
        <v>43738</v>
      </c>
      <c r="B168" s="18" t="n">
        <v>50837.82</v>
      </c>
      <c r="C168" s="40">
        <f>B168/B167-1</f>
        <v/>
      </c>
      <c r="D168" s="34">
        <f>B168/$B$124*100</f>
        <v/>
      </c>
      <c r="F168" s="32" t="n">
        <v>43738</v>
      </c>
      <c r="G168" s="19" t="n">
        <v>1052.0784</v>
      </c>
      <c r="H168" s="19">
        <f>+G168+$S$138+$S$140+$S$142</f>
        <v/>
      </c>
      <c r="I168" s="40">
        <f>+(((H168)/H167)-1)/(F168-F167)*30</f>
        <v/>
      </c>
      <c r="J168" s="33">
        <f>+J167*(1+I168)</f>
        <v/>
      </c>
      <c r="K168" s="18" t="n">
        <v>3454.424</v>
      </c>
      <c r="L168" s="40">
        <f>+(K168/K167-1)/(F168-F167)*30</f>
        <v/>
      </c>
      <c r="M168" s="34">
        <f>+M167*(1+L168)</f>
        <v/>
      </c>
    </row>
    <row r="169">
      <c r="A169" s="32" t="n">
        <v>43769</v>
      </c>
      <c r="B169" s="18" t="n">
        <v>49206.08</v>
      </c>
      <c r="C169" s="40">
        <f>B169/B168-1</f>
        <v/>
      </c>
      <c r="D169" s="34">
        <f>B169/$B$124*100</f>
        <v/>
      </c>
      <c r="F169" s="32" t="n">
        <v>43769</v>
      </c>
      <c r="G169" s="19" t="n">
        <v>1042.2094</v>
      </c>
      <c r="H169" s="19">
        <f>+G169+$S$138+$S$140+$S$142</f>
        <v/>
      </c>
      <c r="I169" s="40">
        <f>+(((H169)/H168)-1)/(F169-F168)*30</f>
        <v/>
      </c>
      <c r="J169" s="33">
        <f>+J168*(1+I169)</f>
        <v/>
      </c>
      <c r="K169" s="18" t="n">
        <v>3345.7587</v>
      </c>
      <c r="L169" s="40">
        <f>+(K169/K168-1)/(F169-F168)*30</f>
        <v/>
      </c>
      <c r="M169" s="34">
        <f>+M168*(1+L169)</f>
        <v/>
      </c>
    </row>
    <row r="170">
      <c r="A170" s="32" t="n">
        <v>43799</v>
      </c>
      <c r="B170" s="18" t="n">
        <v>48129.06</v>
      </c>
      <c r="C170" s="40">
        <f>B170/B169-1</f>
        <v/>
      </c>
      <c r="D170" s="34">
        <f>B170/$B$124*100</f>
        <v/>
      </c>
      <c r="F170" s="32" t="n">
        <v>43799</v>
      </c>
      <c r="G170" s="19" t="n">
        <v>970.8203</v>
      </c>
      <c r="H170" s="19">
        <f>+G170+$S$138+$S$140+$S$142</f>
        <v/>
      </c>
      <c r="I170" s="40">
        <f>+(((H170)/H169)-1)/(F170-F169)*30</f>
        <v/>
      </c>
      <c r="J170" s="33">
        <f>+J169*(1+I170)</f>
        <v/>
      </c>
      <c r="K170" s="18" t="n">
        <v>3266.6896</v>
      </c>
      <c r="L170" s="40">
        <f>+(K170/K169-1)/(F170-F169)*30</f>
        <v/>
      </c>
      <c r="M170" s="34">
        <f>+M169*(1+L170)</f>
        <v/>
      </c>
    </row>
    <row r="171">
      <c r="A171" s="32" t="n">
        <v>43830</v>
      </c>
      <c r="B171" s="18" t="n">
        <v>49287.77</v>
      </c>
      <c r="C171" s="40">
        <f>B171/B170-1</f>
        <v/>
      </c>
      <c r="D171" s="34">
        <f>B171/$B$124*100</f>
        <v/>
      </c>
      <c r="F171" s="32" t="n">
        <v>43830</v>
      </c>
      <c r="G171" s="19" t="n">
        <v>974.2214</v>
      </c>
      <c r="H171" s="19">
        <f>+G171+$S$138+$S$140+$S$142</f>
        <v/>
      </c>
      <c r="I171" s="40">
        <f>+(((H171)/H170)-1)/(F171-F170)*30</f>
        <v/>
      </c>
      <c r="J171" s="33">
        <f>+J170*(1+I171)</f>
        <v/>
      </c>
      <c r="K171" s="18" t="n">
        <v>3344.3477</v>
      </c>
      <c r="L171" s="40">
        <f>+(K171/K170-1)/(F171-F170)*30</f>
        <v/>
      </c>
      <c r="M171" s="34">
        <f>+M170*(1+L171)</f>
        <v/>
      </c>
    </row>
    <row r="172">
      <c r="A172" s="32" t="n">
        <v>43861</v>
      </c>
      <c r="B172" s="18" t="n">
        <v>49676.22</v>
      </c>
      <c r="C172" s="40">
        <f>B172/B171-1</f>
        <v/>
      </c>
      <c r="D172" s="34">
        <f>B172/$B$124*100</f>
        <v/>
      </c>
      <c r="F172" s="32" t="n">
        <v>43861</v>
      </c>
      <c r="G172" s="19" t="n">
        <v>969.1539</v>
      </c>
      <c r="H172" s="19">
        <f>+G172+$S$138+$S$140+$S$142</f>
        <v/>
      </c>
      <c r="I172" s="40">
        <f>+(((H172)/H171)-1)/(F172-F171)*30</f>
        <v/>
      </c>
      <c r="J172" s="33">
        <f>+J171*(1+I172)</f>
        <v/>
      </c>
      <c r="K172" s="18" t="n">
        <v>3375.2497</v>
      </c>
      <c r="L172" s="40">
        <f>+(K172/K171-1)/(F172-F171)*30</f>
        <v/>
      </c>
      <c r="M172" s="34">
        <f>+M171*(1+L172)</f>
        <v/>
      </c>
    </row>
    <row r="173">
      <c r="A173" s="32" t="n">
        <v>43890</v>
      </c>
      <c r="B173" s="18" t="n">
        <v>48396.35</v>
      </c>
      <c r="C173" s="40">
        <f>B173/B172-1</f>
        <v/>
      </c>
      <c r="D173" s="34">
        <f>B173/$B$124*100</f>
        <v/>
      </c>
      <c r="F173" s="32" t="n">
        <v>43890</v>
      </c>
      <c r="G173" s="19" t="n">
        <v>948.1199</v>
      </c>
      <c r="H173" s="19">
        <f>+G173+$S$138+$S$140+$S$142</f>
        <v/>
      </c>
      <c r="I173" s="40">
        <f>+(((H173)/H172)-1)/(F173-F172)*30</f>
        <v/>
      </c>
      <c r="J173" s="33">
        <f>+J172*(1+I173)</f>
        <v/>
      </c>
      <c r="K173" s="18" t="n">
        <v>3320.4373</v>
      </c>
      <c r="L173" s="40">
        <f>+(K173/K172-1)/(F173-F172)*30</f>
        <v/>
      </c>
      <c r="M173" s="34">
        <f>+M172*(1+L173)</f>
        <v/>
      </c>
    </row>
    <row r="174">
      <c r="A174" s="32" t="n">
        <v>43921</v>
      </c>
      <c r="B174" s="18" t="n">
        <v>47303.89</v>
      </c>
      <c r="C174" s="40">
        <f>B174/B173-1</f>
        <v/>
      </c>
      <c r="D174" s="18">
        <f>B174/$B$124*100</f>
        <v/>
      </c>
      <c r="F174" s="32" t="n">
        <v>43921</v>
      </c>
      <c r="G174" s="19" t="n">
        <v>945.5425</v>
      </c>
      <c r="H174" s="19">
        <f>+G174+$S$138+$S$140+$S$142</f>
        <v/>
      </c>
      <c r="I174" s="40">
        <f>+(((H174)/H173)-1)/(F174-F173)*30</f>
        <v/>
      </c>
      <c r="J174" s="33">
        <f>+J173*(1+I174)</f>
        <v/>
      </c>
      <c r="K174" s="18" t="n">
        <v>3267.059</v>
      </c>
      <c r="L174" s="40">
        <f>+(K174/K173-1)/(F174-F173)*30</f>
        <v/>
      </c>
      <c r="M174" s="34">
        <f>+M173*(1+L174)</f>
        <v/>
      </c>
    </row>
    <row r="175">
      <c r="A175" s="32" t="n">
        <v>43951</v>
      </c>
      <c r="B175" s="18" t="n">
        <v>49778.35</v>
      </c>
      <c r="C175" s="40">
        <f>B175/B174-1</f>
        <v/>
      </c>
      <c r="D175" s="34">
        <f>B175/$B$124*100</f>
        <v/>
      </c>
      <c r="F175" s="32" t="n">
        <v>43951</v>
      </c>
      <c r="G175" s="19" t="n">
        <v>954.7595</v>
      </c>
      <c r="H175" s="19">
        <f>+G175+$S$138+$S$140+$S$142</f>
        <v/>
      </c>
      <c r="I175" s="40">
        <f>+(((H175)/H174)-1)/(F175-F174)*30</f>
        <v/>
      </c>
      <c r="J175" s="33">
        <f>+J174*(1+I175)</f>
        <v/>
      </c>
      <c r="K175" s="18" t="n">
        <v>3213.6807</v>
      </c>
      <c r="L175" s="40">
        <f>+(K175/K174-1)/(F175-F174)*30</f>
        <v/>
      </c>
      <c r="M175" s="34">
        <f>+M174*(1+L175)</f>
        <v/>
      </c>
    </row>
    <row r="176">
      <c r="A176" s="32" t="n">
        <v>43982</v>
      </c>
      <c r="B176" s="18" t="n">
        <v>51873.01</v>
      </c>
      <c r="C176" s="40">
        <f>B176/B175-1</f>
        <v/>
      </c>
      <c r="D176" s="18">
        <f>B176/$B$124*100</f>
        <v/>
      </c>
      <c r="F176" s="32" t="n">
        <v>43982</v>
      </c>
      <c r="G176" s="19" t="n">
        <v>961.1346</v>
      </c>
      <c r="H176" s="19">
        <f>+G176+$S$138+$S$140+$S$142</f>
        <v/>
      </c>
      <c r="I176" s="40">
        <f>+(((H176)/H175)-1)/(F176-F175)*30</f>
        <v/>
      </c>
      <c r="J176" s="33">
        <f>+J175*(1+I176)</f>
        <v/>
      </c>
      <c r="K176" s="18" t="n">
        <v>3432.1917</v>
      </c>
      <c r="L176" s="40">
        <f>+(K176/K175-1)/(F176-F175)*30</f>
        <v/>
      </c>
      <c r="M176" s="34">
        <f>+M175*(1+L176)</f>
        <v/>
      </c>
    </row>
    <row r="177">
      <c r="A177" s="32" t="n">
        <v>44012</v>
      </c>
      <c r="B177" s="18" t="n">
        <v>52040.51</v>
      </c>
      <c r="C177" s="40">
        <f>B177/B176-1</f>
        <v/>
      </c>
      <c r="D177" s="34">
        <f>B177/$B$124*100</f>
        <v/>
      </c>
      <c r="F177" s="32" t="n">
        <v>44012</v>
      </c>
      <c r="G177" s="19" t="n">
        <v>960.7683</v>
      </c>
      <c r="H177" s="19">
        <f>+G177+$S$138+$S$140+$S$142</f>
        <v/>
      </c>
      <c r="I177" s="40">
        <f>+(((H177)/H176)-1)/(F177-F176)*30</f>
        <v/>
      </c>
      <c r="J177" s="33">
        <f>+J176*(1+I177)</f>
        <v/>
      </c>
      <c r="K177" s="18" t="n">
        <v>3417.6192</v>
      </c>
      <c r="L177" s="40">
        <f>+(K177/K176-1)/(F177-F176)*30</f>
        <v/>
      </c>
      <c r="M177" s="34">
        <f>+M176*(1+L177)</f>
        <v/>
      </c>
    </row>
    <row r="178">
      <c r="A178" s="32" t="n">
        <v>44043</v>
      </c>
      <c r="B178" s="18" t="n">
        <v>51737.69</v>
      </c>
      <c r="C178" s="40">
        <f>B178/B177-1</f>
        <v/>
      </c>
      <c r="D178" s="18">
        <f>B178/$B$124*100</f>
        <v/>
      </c>
      <c r="F178" s="32" t="n">
        <v>44043</v>
      </c>
      <c r="G178" s="19" t="n">
        <v>960.421</v>
      </c>
      <c r="H178" s="19">
        <f>+G178+$S$138+$S$140+$S$142</f>
        <v/>
      </c>
      <c r="I178" s="40">
        <f>+(((H178)/H177)-1)/(F178-F177)*30</f>
        <v/>
      </c>
      <c r="J178" s="33">
        <f>+J177*(1+I178)</f>
        <v/>
      </c>
      <c r="K178" s="18" t="n">
        <v>3404.7151</v>
      </c>
      <c r="L178" s="40">
        <f>+(K178/K177-1)/(F178-F177)*30</f>
        <v/>
      </c>
      <c r="M178" s="34">
        <f>+M177*(1+L178)</f>
        <v/>
      </c>
    </row>
    <row r="179">
      <c r="A179" s="32" t="n">
        <v>44074</v>
      </c>
      <c r="B179" s="34" t="n">
        <v>52816.98714285714</v>
      </c>
      <c r="C179" s="40">
        <f>B179/B178-1</f>
        <v/>
      </c>
      <c r="D179" s="34">
        <f>B179/$B$124*100</f>
        <v/>
      </c>
      <c r="F179" s="32" t="n">
        <v>44074</v>
      </c>
      <c r="G179" s="19" t="n">
        <v>981.4247</v>
      </c>
      <c r="H179" s="19">
        <f>+G179+$S$138+$S$140+$S$142</f>
        <v/>
      </c>
      <c r="I179" s="40">
        <f>+(((H179)/H178)-1)/(F179-F178)*30</f>
        <v/>
      </c>
      <c r="J179" s="33">
        <f>+J178*(1+I179)</f>
        <v/>
      </c>
      <c r="K179" s="18" t="n">
        <v>3478.3145</v>
      </c>
      <c r="L179" s="40">
        <f>+(K179/K178-1)/(F179-F178)*30</f>
        <v/>
      </c>
      <c r="M179" s="34">
        <f>+M178*(1+L179)</f>
        <v/>
      </c>
    </row>
    <row r="180">
      <c r="A180" s="32" t="n">
        <v>44104</v>
      </c>
      <c r="B180" s="18" t="n">
        <v>51374.22</v>
      </c>
      <c r="C180" s="40">
        <f>B180/B179-1</f>
        <v/>
      </c>
      <c r="D180" s="18">
        <f>B180/$B$124*100</f>
        <v/>
      </c>
      <c r="F180" s="32" t="n">
        <v>44104</v>
      </c>
      <c r="G180" s="19" t="n">
        <v>964.5432</v>
      </c>
      <c r="H180" s="19">
        <f>+G180+$S$138+$S$140+$S$142</f>
        <v/>
      </c>
      <c r="I180" s="40">
        <f>+(((H180)/H179)-1)/(F180-F179)*30</f>
        <v/>
      </c>
      <c r="J180" s="33">
        <f>+J179*(1+I180)</f>
        <v/>
      </c>
      <c r="K180" s="18" t="n">
        <v>3421.9854</v>
      </c>
      <c r="L180" s="40">
        <f>+(K180/K179-1)/(F180-F179)*30</f>
        <v/>
      </c>
      <c r="M180" s="34">
        <f>+M179*(1+L180)</f>
        <v/>
      </c>
    </row>
    <row r="181">
      <c r="A181" s="32" t="n">
        <v>44135</v>
      </c>
      <c r="F181" s="32" t="n">
        <v>44135</v>
      </c>
      <c r="G181" s="19" t="n">
        <v>966.0821</v>
      </c>
      <c r="H181" s="19">
        <f>+G181+$S$138+$S$140+$S$142</f>
        <v/>
      </c>
      <c r="I181" s="40">
        <f>+(((H181)/H180)-1)/(F181-F180)*30</f>
        <v/>
      </c>
      <c r="J181" s="33">
        <f>+J180*(1+I181)</f>
        <v/>
      </c>
    </row>
    <row r="182">
      <c r="A182" s="32" t="n">
        <v>44165</v>
      </c>
      <c r="F182" s="32" t="n">
        <v>44165</v>
      </c>
      <c r="G182" s="19" t="n">
        <v>968.157</v>
      </c>
      <c r="H182" s="19">
        <f>+G182+$S$138+$S$140+$S$142</f>
        <v/>
      </c>
      <c r="I182" s="40">
        <f>+(((H182)/H181)-1)/(F182-F181)*30</f>
        <v/>
      </c>
      <c r="J182" s="33">
        <f>+J181*(1+I182)</f>
        <v/>
      </c>
    </row>
    <row r="183">
      <c r="A183" s="32" t="n">
        <v>44196</v>
      </c>
      <c r="F183" s="32" t="n">
        <v>44196</v>
      </c>
      <c r="G183" s="19" t="n">
        <v>996.1008</v>
      </c>
      <c r="H183" s="19">
        <f>+G183+$S$138+$S$140+$S$142</f>
        <v/>
      </c>
      <c r="I183" s="40">
        <f>+(((H183)/H182)-1)/(F183-F182)*30</f>
        <v/>
      </c>
      <c r="J183" s="33">
        <f>+J182*(1+I183)</f>
        <v/>
      </c>
    </row>
    <row r="184">
      <c r="A184" s="32" t="n">
        <v>44227</v>
      </c>
      <c r="F184" s="32" t="n">
        <v>44227</v>
      </c>
      <c r="G184" s="19" t="n">
        <v>1004.1758</v>
      </c>
      <c r="H184" s="19">
        <f>+G184+$S$138+$S$140+$S$142</f>
        <v/>
      </c>
      <c r="I184" s="40">
        <f>+(((H184)/H183)-1)/(F184-F183)*30</f>
        <v/>
      </c>
      <c r="J184" s="33">
        <f>+J183*(1+I184)</f>
        <v/>
      </c>
    </row>
    <row r="185">
      <c r="A185" s="32" t="n">
        <v>44255</v>
      </c>
      <c r="F185" s="32" t="n">
        <v>44255</v>
      </c>
      <c r="G185" s="19" t="n">
        <v>997.1747</v>
      </c>
      <c r="H185" s="19">
        <f>+G185+$S$138+$S$140+$S$142</f>
        <v/>
      </c>
      <c r="I185" s="40">
        <f>+(((H185)/H184)-1)/(F185-F184)*30</f>
        <v/>
      </c>
      <c r="J185" s="33">
        <f>+J184*(1+I185)</f>
        <v/>
      </c>
    </row>
    <row r="186">
      <c r="A186" s="32" t="n">
        <v>44286</v>
      </c>
      <c r="F186" s="32" t="n">
        <v>44286</v>
      </c>
      <c r="G186" s="19" t="n">
        <v>981.2175</v>
      </c>
      <c r="H186" s="19">
        <f>+G186+$S$138+$S$140+$S$142</f>
        <v/>
      </c>
      <c r="I186" s="40">
        <f>+(((H186)/H185)-1)/(F186-F185)*30</f>
        <v/>
      </c>
      <c r="J186" s="33">
        <f>+J185*(1+I186)</f>
        <v/>
      </c>
    </row>
    <row r="187">
      <c r="A187" s="32" t="n">
        <v>44316</v>
      </c>
      <c r="F187" s="32" t="n">
        <v>44316</v>
      </c>
      <c r="G187" s="19" t="n">
        <v>957.5214999999999</v>
      </c>
      <c r="H187" s="19">
        <f>+G187+$S$138+$S$140+$S$142</f>
        <v/>
      </c>
      <c r="I187" s="40">
        <f>+(((H187)/H186)-1)/(F187-F186)*30</f>
        <v/>
      </c>
      <c r="J187" s="33">
        <f>+J186*(1+I187)</f>
        <v/>
      </c>
    </row>
    <row r="188">
      <c r="A188" s="32" t="n">
        <v>44347</v>
      </c>
      <c r="F188" s="32" t="n">
        <v>44347</v>
      </c>
      <c r="G188" s="19" t="n">
        <v>956.5385</v>
      </c>
      <c r="H188" s="19">
        <f>+G188+$S$138+$S$140+$S$142</f>
        <v/>
      </c>
      <c r="I188" s="40">
        <f>+(((H188)/H187)-1)/(F188-F187)*30</f>
        <v/>
      </c>
      <c r="J188" s="33">
        <f>+J187*(1+I188)</f>
        <v/>
      </c>
    </row>
    <row r="189">
      <c r="A189" s="32" t="n">
        <v>44377</v>
      </c>
      <c r="F189" s="32" t="n">
        <v>44377</v>
      </c>
      <c r="G189" s="19" t="n">
        <v>940.7175</v>
      </c>
      <c r="H189" s="19">
        <f>+G189+$S$138+$S$140+$S$142</f>
        <v/>
      </c>
      <c r="I189" s="40">
        <f>+(((H189)/H188)-1)/(F189-F188)*30</f>
        <v/>
      </c>
      <c r="J189" s="33">
        <f>+J188*(1+I189)</f>
        <v/>
      </c>
    </row>
    <row r="190">
      <c r="A190" s="32" t="n">
        <v>44408</v>
      </c>
      <c r="F190" s="32" t="n">
        <v>44408</v>
      </c>
    </row>
    <row r="191">
      <c r="A191" s="32" t="n">
        <v>44439</v>
      </c>
      <c r="F191" s="32" t="n">
        <v>44439</v>
      </c>
    </row>
    <row r="192">
      <c r="A192" s="32" t="n">
        <v>44469</v>
      </c>
      <c r="F192" s="32" t="n">
        <v>44469</v>
      </c>
    </row>
    <row r="193">
      <c r="A193" s="32" t="n">
        <v>44500</v>
      </c>
      <c r="F193" s="32" t="n">
        <v>44500</v>
      </c>
    </row>
    <row r="194">
      <c r="A194" s="32" t="n">
        <v>44530</v>
      </c>
      <c r="F194" s="32" t="n">
        <v>44530</v>
      </c>
    </row>
    <row r="195">
      <c r="A195" s="32" t="n">
        <v>44561</v>
      </c>
      <c r="F195" s="32" t="n">
        <v>44561</v>
      </c>
    </row>
    <row r="196">
      <c r="A196" s="82" t="n">
        <v>46144</v>
      </c>
      <c r="B196" t="n">
        <v>19991.53842678169</v>
      </c>
      <c r="F196" s="82" t="n">
        <v>46144</v>
      </c>
      <c r="G196" t="n">
        <v>1433.6717</v>
      </c>
    </row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</sheetData>
  <mergeCells count="5">
    <mergeCell ref="AC45:AC47"/>
    <mergeCell ref="AC39:AC41"/>
    <mergeCell ref="AC48:AC50"/>
    <mergeCell ref="AC42:AC44"/>
    <mergeCell ref="AV28:AV29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topLeftCell="H1" zoomScaleNormal="100" workbookViewId="0">
      <selection activeCell="T3" sqref="T3:T4"/>
    </sheetView>
  </sheetViews>
  <sheetFormatPr baseColWidth="10" defaultRowHeight="15"/>
  <cols>
    <col width="14.28515625" bestFit="1" customWidth="1" min="1" max="1"/>
    <col width="15.28515625" bestFit="1" customWidth="1" min="2" max="2"/>
    <col width="11.5703125" customWidth="1" min="9" max="10"/>
    <col width="15.7109375" bestFit="1" customWidth="1" min="11" max="11"/>
    <col width="12.140625" bestFit="1" customWidth="1" min="12" max="12"/>
    <col width="11.5703125" customWidth="1" min="13" max="13"/>
    <col width="16.140625" bestFit="1" customWidth="1" min="14" max="14"/>
    <col width="34.85546875" customWidth="1" min="15" max="15"/>
  </cols>
  <sheetData>
    <row r="1">
      <c r="B1" s="3" t="n"/>
      <c r="C1" s="1" t="n"/>
      <c r="J1" s="2" t="inlineStr">
        <is>
          <t>Duración</t>
        </is>
      </c>
      <c r="K1" s="3" t="n"/>
      <c r="L1" s="4" t="n"/>
      <c r="N1" s="2" t="inlineStr">
        <is>
          <t>Instrumentos</t>
        </is>
      </c>
      <c r="O1" s="3" t="n"/>
      <c r="P1" s="4" t="n"/>
      <c r="R1" s="2" t="inlineStr">
        <is>
          <t>Moneda</t>
        </is>
      </c>
      <c r="S1" s="3" t="n"/>
      <c r="T1" s="4" t="n"/>
    </row>
    <row r="2">
      <c r="C2" s="1" t="n"/>
      <c r="O2" s="11" t="inlineStr">
        <is>
          <t>Financiamiento Mesa Renta Fija</t>
        </is>
      </c>
      <c r="P2" s="12" t="n">
        <v>0</v>
      </c>
    </row>
    <row r="3">
      <c r="C3" s="1" t="n"/>
      <c r="K3" s="11" t="inlineStr">
        <is>
          <t>Menor a 1 año</t>
        </is>
      </c>
      <c r="L3" s="12" t="n">
        <v>0.187243372572339</v>
      </c>
      <c r="O3" s="11" t="inlineStr">
        <is>
          <t>Depósitos</t>
        </is>
      </c>
      <c r="P3" s="12" t="n">
        <v>0</v>
      </c>
      <c r="S3" s="11" t="inlineStr">
        <is>
          <t>Pesos</t>
        </is>
      </c>
      <c r="T3" s="12" t="n">
        <v>0.187243372572339</v>
      </c>
    </row>
    <row r="4">
      <c r="C4" s="1" t="n"/>
      <c r="K4" s="11" t="inlineStr">
        <is>
          <t>1-2 años</t>
        </is>
      </c>
      <c r="L4" s="12" t="n">
        <v>0</v>
      </c>
      <c r="O4" s="11" t="inlineStr">
        <is>
          <t>Efect Comercio</t>
        </is>
      </c>
      <c r="P4" s="12" t="n">
        <v>0</v>
      </c>
      <c r="S4" s="11" t="inlineStr">
        <is>
          <t>UF</t>
        </is>
      </c>
      <c r="T4" s="12" t="n">
        <v>0.812756627427661</v>
      </c>
    </row>
    <row r="5">
      <c r="A5" s="3" t="n"/>
      <c r="B5" s="3" t="n"/>
      <c r="C5" s="1" t="n"/>
      <c r="K5" s="11" t="inlineStr">
        <is>
          <t>2-4 años</t>
        </is>
      </c>
      <c r="L5" s="12" t="n">
        <v>0.217224028661355</v>
      </c>
      <c r="O5" s="11" t="inlineStr">
        <is>
          <t>Bono</t>
        </is>
      </c>
      <c r="P5" s="12" t="n">
        <v>1</v>
      </c>
    </row>
    <row r="6">
      <c r="A6" s="3" t="n"/>
      <c r="B6" s="3" t="n"/>
      <c r="C6" s="1" t="n"/>
      <c r="K6" s="11" t="inlineStr">
        <is>
          <t>Mayor a 4 años</t>
        </is>
      </c>
      <c r="L6" s="12" t="n">
        <v>0.595532598766306</v>
      </c>
      <c r="O6" s="3" t="inlineStr">
        <is>
          <t>Pactos</t>
        </is>
      </c>
      <c r="P6" s="5" t="n">
        <v>0</v>
      </c>
    </row>
    <row r="7">
      <c r="B7" s="3" t="n"/>
      <c r="C7" s="1" t="n"/>
    </row>
    <row r="8">
      <c r="C8" s="1" t="n"/>
    </row>
    <row r="9">
      <c r="C9" s="1" t="n"/>
    </row>
    <row r="10">
      <c r="C10" s="1" t="n"/>
    </row>
    <row r="11">
      <c r="C11" s="1" t="n"/>
    </row>
    <row r="12" hidden="1">
      <c r="C12" s="1" t="n"/>
    </row>
    <row r="13">
      <c r="C13" s="1" t="n"/>
    </row>
    <row r="14" hidden="1">
      <c r="A14" s="3" t="inlineStr">
        <is>
          <t>Facturas</t>
        </is>
      </c>
      <c r="B14" s="5" t="n">
        <v>0</v>
      </c>
      <c r="C14" s="1" t="n"/>
    </row>
    <row r="15">
      <c r="A15" s="3" t="n"/>
      <c r="B15" s="5" t="n"/>
      <c r="C15" s="1" t="n"/>
    </row>
    <row r="16">
      <c r="B16" s="3" t="n"/>
      <c r="C16" s="1" t="n"/>
    </row>
    <row r="17">
      <c r="C17" s="1" t="n"/>
    </row>
    <row r="18">
      <c r="C18" s="1" t="n"/>
    </row>
    <row r="19">
      <c r="C19" s="1" t="n"/>
    </row>
    <row r="20">
      <c r="C20" s="1" t="n"/>
    </row>
    <row r="21">
      <c r="C21" s="1" t="n"/>
      <c r="N21" s="6" t="n"/>
    </row>
    <row r="22">
      <c r="A22" s="1" t="n"/>
      <c r="B22" s="1" t="n"/>
      <c r="C22" s="1" t="n"/>
    </row>
    <row r="23">
      <c r="A23" s="1" t="n"/>
      <c r="B23" s="1" t="n"/>
      <c r="C23" s="1" t="n"/>
    </row>
    <row r="24">
      <c r="A24" s="1" t="n"/>
      <c r="B24" s="1" t="n"/>
      <c r="C24" s="1" t="n"/>
    </row>
  </sheetData>
  <autoFilter ref="K1:T24">
    <sortState ref="K2:T24">
      <sortCondition descending="1" ref="P1:P24"/>
    </sortState>
  </autoFilter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5:X19"/>
  <sheetViews>
    <sheetView showGridLines="0" topLeftCell="A3" zoomScale="85" zoomScaleNormal="85" workbookViewId="0">
      <selection activeCell="Q6" sqref="C6:Q19"/>
    </sheetView>
  </sheetViews>
  <sheetFormatPr baseColWidth="10" defaultRowHeight="15"/>
  <cols>
    <col width="11.5703125" customWidth="1" style="7" min="3" max="3"/>
    <col width="18.85546875" customWidth="1" min="4" max="4"/>
    <col width="10.140625" customWidth="1" min="5" max="17"/>
    <col width="18.42578125" bestFit="1" customWidth="1" min="19" max="19"/>
    <col width="16" bestFit="1" customWidth="1" min="24" max="24"/>
  </cols>
  <sheetData>
    <row r="5">
      <c r="B5" s="14" t="n"/>
      <c r="C5" s="15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</row>
    <row r="6" ht="19.9" customHeight="1">
      <c r="B6" s="14" t="n"/>
      <c r="C6" s="8" t="inlineStr">
        <is>
          <t>Año</t>
        </is>
      </c>
      <c r="D6" s="9" t="inlineStr">
        <is>
          <t>Fondo</t>
        </is>
      </c>
      <c r="E6" s="13" t="inlineStr">
        <is>
          <t>Ene</t>
        </is>
      </c>
      <c r="F6" s="13" t="inlineStr">
        <is>
          <t>Feb</t>
        </is>
      </c>
      <c r="G6" s="13" t="inlineStr">
        <is>
          <t>Mar</t>
        </is>
      </c>
      <c r="H6" s="13" t="inlineStr">
        <is>
          <t>Abr</t>
        </is>
      </c>
      <c r="I6" s="13" t="inlineStr">
        <is>
          <t>May</t>
        </is>
      </c>
      <c r="J6" s="13" t="inlineStr">
        <is>
          <t>Jun</t>
        </is>
      </c>
      <c r="K6" s="13" t="inlineStr">
        <is>
          <t>Jul</t>
        </is>
      </c>
      <c r="L6" s="13" t="inlineStr">
        <is>
          <t>Ago</t>
        </is>
      </c>
      <c r="M6" s="13" t="inlineStr">
        <is>
          <t>Sep</t>
        </is>
      </c>
      <c r="N6" s="13" t="inlineStr">
        <is>
          <t>Oct</t>
        </is>
      </c>
      <c r="O6" s="13" t="inlineStr">
        <is>
          <t>Nov</t>
        </is>
      </c>
      <c r="P6" s="13" t="inlineStr">
        <is>
          <t>Dic</t>
        </is>
      </c>
      <c r="Q6" s="13" t="inlineStr">
        <is>
          <t>Total Año</t>
        </is>
      </c>
      <c r="R6" s="13" t="n"/>
      <c r="S6" s="8" t="inlineStr">
        <is>
          <t>Rentabilidad</t>
        </is>
      </c>
      <c r="T6" s="13" t="inlineStr">
        <is>
          <t>Mensual</t>
        </is>
      </c>
      <c r="U6" s="13" t="inlineStr">
        <is>
          <t>Trimestral</t>
        </is>
      </c>
      <c r="V6" s="13" t="inlineStr">
        <is>
          <t>Semestral</t>
        </is>
      </c>
      <c r="W6" s="13" t="inlineStr">
        <is>
          <t>Anual</t>
        </is>
      </c>
      <c r="X6" s="13" t="inlineStr">
        <is>
          <t>Acum. 2020 (*)</t>
        </is>
      </c>
    </row>
    <row r="7" ht="19.9" customHeight="1">
      <c r="B7" s="14" t="n"/>
      <c r="C7" s="15" t="n"/>
      <c r="D7" s="14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5" t="n"/>
      <c r="T7" s="16" t="n"/>
      <c r="U7" s="16" t="n"/>
      <c r="V7" s="16" t="n"/>
      <c r="W7" s="16" t="n"/>
      <c r="X7" s="16" t="n"/>
    </row>
    <row r="8" ht="19.9" customHeight="1">
      <c r="B8" s="14" t="n"/>
      <c r="C8" s="8" t="n">
        <v>2017</v>
      </c>
      <c r="D8" s="9" t="inlineStr">
        <is>
          <t>FONDO E</t>
        </is>
      </c>
      <c r="E8" s="17" t="n">
        <v>0.006219973298632553</v>
      </c>
      <c r="F8" s="17" t="n">
        <v>0.01080223463089292</v>
      </c>
      <c r="G8" s="17" t="n">
        <v>0.007701823134397712</v>
      </c>
      <c r="H8" s="17" t="n">
        <v>0.009250460819875128</v>
      </c>
      <c r="I8" s="17" t="n">
        <v>-9.206640704606528e-05</v>
      </c>
      <c r="J8" s="17" t="n">
        <v>-0.002233969338787611</v>
      </c>
      <c r="K8" s="17" t="n">
        <v>-0.002617738351840981</v>
      </c>
      <c r="L8" s="17" t="n">
        <v>-0.001332651633205617</v>
      </c>
      <c r="M8" s="17" t="n">
        <v>0.002805469178980946</v>
      </c>
      <c r="N8" s="17" t="n">
        <v>-0.01019265744395292</v>
      </c>
      <c r="O8" s="17" t="n">
        <v>-0.002334071743185451</v>
      </c>
      <c r="P8" s="17" t="n">
        <v>0.008533904127413505</v>
      </c>
      <c r="Q8" s="10" t="n">
        <v>0.0139306363482965</v>
      </c>
      <c r="R8" s="14" t="n"/>
      <c r="S8" s="15" t="inlineStr">
        <is>
          <t>ICP (Bechmark)</t>
        </is>
      </c>
      <c r="T8" s="17" t="n">
        <v>-0.02731634689716034</v>
      </c>
      <c r="U8" s="17" t="n">
        <v>-0.01280329497155197</v>
      </c>
      <c r="V8" s="17" t="n">
        <v>0.08604641182786454</v>
      </c>
      <c r="W8" s="17" t="n">
        <v>0.01055119987442432</v>
      </c>
      <c r="X8" s="10" t="n">
        <v>0.01327117592592793</v>
      </c>
    </row>
    <row r="9" ht="19.9" customHeight="1">
      <c r="B9" s="14" t="n"/>
      <c r="C9" s="8" t="n"/>
      <c r="D9" s="9" t="inlineStr">
        <is>
          <t>Competencia</t>
        </is>
      </c>
      <c r="E9" s="17" t="n">
        <v>0.005252135141682611</v>
      </c>
      <c r="F9" s="17" t="n">
        <v>0.009693871150754534</v>
      </c>
      <c r="G9" s="17" t="n">
        <v>0.001986341294785824</v>
      </c>
      <c r="H9" s="17" t="n">
        <v>0.004686867422554197</v>
      </c>
      <c r="I9" s="17" t="n">
        <v>-0.00262180779643014</v>
      </c>
      <c r="J9" s="17" t="n">
        <v>-0.0005422324107946519</v>
      </c>
      <c r="K9" s="17" t="n">
        <v>-0.0034045908806504</v>
      </c>
      <c r="L9" s="17" t="n">
        <v>0.004230113473384573</v>
      </c>
      <c r="M9" s="17" t="n">
        <v>-0.005863122488931172</v>
      </c>
      <c r="N9" s="17" t="n">
        <v>-0.007356909687541293</v>
      </c>
      <c r="O9" s="17" t="n">
        <v>0.0007762749462600915</v>
      </c>
      <c r="P9" s="17" t="n">
        <v>0.007619064389486145</v>
      </c>
      <c r="Q9" s="10" t="n">
        <v>0.0139306363482965</v>
      </c>
      <c r="R9" s="14" t="n"/>
      <c r="S9" s="15" t="inlineStr">
        <is>
          <t>Competencia</t>
        </is>
      </c>
      <c r="T9" s="17" t="n">
        <v>-0.01619436655311068</v>
      </c>
      <c r="U9" s="17" t="n">
        <v>0.001277556024966042</v>
      </c>
      <c r="V9" s="17" t="n">
        <v>0.04742075365030129</v>
      </c>
      <c r="W9" s="17" t="n">
        <v>-0.009390451201126471</v>
      </c>
      <c r="X9" s="10" t="n">
        <v>0.02406743373802526</v>
      </c>
    </row>
    <row r="10" ht="19.9" customHeight="1">
      <c r="B10" s="14" t="n"/>
      <c r="C10" s="8" t="n"/>
      <c r="D10" s="9" t="inlineStr">
        <is>
          <t>FIP Extra</t>
        </is>
      </c>
      <c r="E10" s="17" t="n">
        <v>0.006525712205003881</v>
      </c>
      <c r="F10" s="17" t="n">
        <v>0.003846566433506021</v>
      </c>
      <c r="G10" s="17" t="n">
        <v>0.003043496362381656</v>
      </c>
      <c r="H10" s="17" t="n">
        <v>0.005876083737026416</v>
      </c>
      <c r="I10" s="17" t="n">
        <v>-0.002059229960391365</v>
      </c>
      <c r="J10" s="17" t="n">
        <v>-0.003150290622491614</v>
      </c>
      <c r="K10" s="17" t="n">
        <v>-0.002580154816654928</v>
      </c>
      <c r="L10" s="17" t="n">
        <v>0.001667622533538947</v>
      </c>
      <c r="M10" s="17" t="n">
        <v>-0.00441707342117037</v>
      </c>
      <c r="N10" s="17" t="n">
        <v>-0.007466037130435702</v>
      </c>
      <c r="O10" s="17" t="n">
        <v>0.003220612359231323</v>
      </c>
      <c r="P10" s="17" t="n">
        <v>0.008686497181600736</v>
      </c>
      <c r="Q10" s="10" t="n">
        <v>0.01313508472202862</v>
      </c>
      <c r="R10" s="14" t="n"/>
      <c r="S10" s="15" t="inlineStr">
        <is>
          <t>FIP Extra</t>
        </is>
      </c>
      <c r="T10" s="17" t="n">
        <v>-0.0158122504778957</v>
      </c>
      <c r="U10" s="17" t="n">
        <v>0.003605564000886075</v>
      </c>
      <c r="V10" s="17" t="n">
        <v>0.01841618162522973</v>
      </c>
      <c r="W10" s="17" t="n">
        <v>-0.07690160785612576</v>
      </c>
      <c r="X10" s="10" t="n">
        <v>-0.01735214632114627</v>
      </c>
    </row>
    <row r="11" ht="19.9" customHeight="1">
      <c r="B11" s="14" t="n"/>
      <c r="C11" s="8" t="n">
        <v>2018</v>
      </c>
      <c r="D11" s="9" t="inlineStr">
        <is>
          <t>FONDO E</t>
        </is>
      </c>
      <c r="E11" s="17" t="n">
        <v>0.005190662512462696</v>
      </c>
      <c r="F11" s="17" t="n">
        <v>0.00216792425402601</v>
      </c>
      <c r="G11" s="17" t="n">
        <v>0.006117767004986785</v>
      </c>
      <c r="H11" s="17" t="n">
        <v>0.01191783392330659</v>
      </c>
      <c r="I11" s="17" t="n">
        <v>-0.002539468125565048</v>
      </c>
      <c r="J11" s="17" t="n">
        <v>0.005392448428517493</v>
      </c>
      <c r="K11" s="17" t="n">
        <v>0.006660295863793575</v>
      </c>
      <c r="L11" s="17" t="n">
        <v>0.008717309083698277</v>
      </c>
      <c r="M11" s="17" t="n">
        <v>0.0005250574270860842</v>
      </c>
      <c r="N11" s="17" t="n">
        <v>-0.004054845885288594</v>
      </c>
      <c r="O11" s="17" t="n">
        <v>0.007372697446878851</v>
      </c>
      <c r="P11" s="17" t="n">
        <v>0.01039575938871429</v>
      </c>
      <c r="Q11" s="10" t="n">
        <v>0.05928262274220031</v>
      </c>
      <c r="R11" s="14" t="n"/>
      <c r="S11" s="14" t="n"/>
      <c r="T11" s="14" t="n"/>
      <c r="U11" s="14" t="n"/>
      <c r="V11" s="14" t="n"/>
      <c r="W11" s="14" t="n"/>
      <c r="X11" s="14" t="n"/>
    </row>
    <row r="12" ht="19.9" customHeight="1">
      <c r="B12" s="14" t="n"/>
      <c r="C12" s="8" t="n"/>
      <c r="D12" s="9" t="inlineStr">
        <is>
          <t>Competencia</t>
        </is>
      </c>
      <c r="E12" s="17" t="n">
        <v>0.005079332951298021</v>
      </c>
      <c r="F12" s="17" t="n">
        <v>0.007202656812061368</v>
      </c>
      <c r="G12" s="17" t="n">
        <v>0.002376623095205316</v>
      </c>
      <c r="H12" s="17" t="n">
        <v>0.0001354221034932657</v>
      </c>
      <c r="I12" s="17" t="n">
        <v>0.005809103494592311</v>
      </c>
      <c r="J12" s="17" t="n">
        <v>0.004038638356105739</v>
      </c>
      <c r="K12" s="17" t="n">
        <v>0.003630449014915629</v>
      </c>
      <c r="L12" s="17" t="n">
        <v>0.00216401736537285</v>
      </c>
      <c r="M12" s="17" t="n">
        <v>0.0004086499719564429</v>
      </c>
      <c r="N12" s="17" t="n">
        <v>-0.00461147871772574</v>
      </c>
      <c r="O12" s="17" t="n">
        <v>0.002498608298370009</v>
      </c>
      <c r="P12" s="17" t="n">
        <v>0.003025109563920887</v>
      </c>
      <c r="Q12" s="10" t="n">
        <v>0.03227498902547099</v>
      </c>
      <c r="R12" s="14" t="n"/>
      <c r="S12" s="14" t="n"/>
      <c r="T12" s="14" t="n"/>
      <c r="U12" s="14" t="n"/>
      <c r="V12" s="14" t="n"/>
      <c r="W12" s="14" t="n"/>
      <c r="X12" s="14" t="n"/>
    </row>
    <row r="13" ht="19.9" customHeight="1">
      <c r="B13" s="14" t="n"/>
      <c r="C13" s="8" t="n"/>
      <c r="D13" s="9" t="inlineStr">
        <is>
          <t>FIP Extra</t>
        </is>
      </c>
      <c r="E13" s="17" t="n">
        <v>0.0005301841329845067</v>
      </c>
      <c r="F13" s="17" t="n">
        <v>0.003221669914025838</v>
      </c>
      <c r="G13" s="17" t="n">
        <v>0.007072135033814249</v>
      </c>
      <c r="H13" s="17" t="n">
        <v>0.003897213474634231</v>
      </c>
      <c r="I13" s="17" t="n">
        <v>0.005327657078313254</v>
      </c>
      <c r="J13" s="17" t="n">
        <v>0.004733461212999668</v>
      </c>
      <c r="K13" s="17" t="n">
        <v>0.003422597599572358</v>
      </c>
      <c r="L13" s="17" t="n">
        <v>0.003064279139590731</v>
      </c>
      <c r="M13" s="17" t="n">
        <v>0.001578120230033786</v>
      </c>
      <c r="N13" s="17" t="n">
        <v>0.001126238791773634</v>
      </c>
      <c r="O13" s="17" t="n">
        <v>0.003104120319662673</v>
      </c>
      <c r="P13" s="17" t="n">
        <v>0.006851877210485302</v>
      </c>
      <c r="Q13" s="10" t="n">
        <v>0.04495334839249221</v>
      </c>
      <c r="R13" s="14" t="n"/>
      <c r="S13" s="14" t="n"/>
      <c r="T13" s="14" t="n"/>
      <c r="U13" s="14" t="n"/>
      <c r="V13" s="14" t="n"/>
      <c r="W13" s="14" t="n"/>
      <c r="X13" s="14" t="n"/>
    </row>
    <row r="14" ht="19.9" customHeight="1">
      <c r="B14" s="14" t="n"/>
      <c r="C14" s="8" t="n">
        <v>2019</v>
      </c>
      <c r="D14" s="9" t="inlineStr">
        <is>
          <t>FONDO E</t>
        </is>
      </c>
      <c r="E14" s="17" t="n">
        <v>0.007639677039139592</v>
      </c>
      <c r="F14" s="17" t="n">
        <v>0.007153941693313071</v>
      </c>
      <c r="G14" s="17" t="n">
        <v>0.01880301064290069</v>
      </c>
      <c r="H14" s="17" t="n">
        <v>0.008508856852633029</v>
      </c>
      <c r="I14" s="17" t="n">
        <v>0.01641287953421622</v>
      </c>
      <c r="J14" s="17" t="n">
        <v>0.02345814847025096</v>
      </c>
      <c r="K14" s="17" t="n">
        <v>0.02930095689561285</v>
      </c>
      <c r="L14" s="17" t="n">
        <v>0.02496099743689717</v>
      </c>
      <c r="M14" s="17" t="n">
        <v>-0.0003099093515147588</v>
      </c>
      <c r="N14" s="17" t="n">
        <v>-0.03209697032642234</v>
      </c>
      <c r="O14" s="17" t="n">
        <v>-0.02188794555469575</v>
      </c>
      <c r="P14" s="17" t="n">
        <v>0.02407505984949632</v>
      </c>
      <c r="Q14" s="10" t="n">
        <v>0.1091202999913476</v>
      </c>
      <c r="R14" s="14" t="n"/>
      <c r="S14" s="14" t="n"/>
      <c r="T14" s="14" t="n"/>
      <c r="U14" s="78">
        <f>(+M19+L19+K19)/3</f>
        <v/>
      </c>
      <c r="V14" s="14" t="n"/>
      <c r="W14" s="14" t="n"/>
      <c r="X14" s="14" t="n"/>
    </row>
    <row r="15" ht="19.9" customHeight="1">
      <c r="B15" s="14" t="n"/>
      <c r="C15" s="8" t="n"/>
      <c r="D15" s="9" t="inlineStr">
        <is>
          <t>Competencia</t>
        </is>
      </c>
      <c r="E15" s="17" t="n">
        <v>0.005501992710928456</v>
      </c>
      <c r="F15" s="17" t="n">
        <v>0.001544398234683791</v>
      </c>
      <c r="G15" s="17" t="n">
        <v>0.0105437378814257</v>
      </c>
      <c r="H15" s="17" t="n">
        <v>0.007995275464260265</v>
      </c>
      <c r="I15" s="17" t="n">
        <v>0.01305746660783263</v>
      </c>
      <c r="J15" s="17" t="n">
        <v>0.01286637999488782</v>
      </c>
      <c r="K15" s="17" t="n">
        <v>0.01659893006220102</v>
      </c>
      <c r="L15" s="17" t="n">
        <v>0.01216710644231524</v>
      </c>
      <c r="M15" s="17" t="n">
        <v>0.001706897390160611</v>
      </c>
      <c r="N15" s="17" t="n">
        <v>-0.03044211357434282</v>
      </c>
      <c r="O15" s="17" t="n">
        <v>-0.02363263674693572</v>
      </c>
      <c r="P15" s="17" t="n">
        <v>0.02300585889764364</v>
      </c>
      <c r="Q15" s="10" t="n">
        <v>0.05223736711771609</v>
      </c>
      <c r="R15" s="14" t="n"/>
      <c r="S15" s="14" t="n"/>
      <c r="T15" s="14" t="n"/>
      <c r="U15" s="14" t="n"/>
      <c r="V15" s="14" t="n"/>
      <c r="W15" s="14" t="n"/>
      <c r="X15" s="14" t="n"/>
    </row>
    <row r="16" ht="19.9" customHeight="1">
      <c r="B16" s="14" t="n"/>
      <c r="C16" s="8" t="n"/>
      <c r="D16" s="9" t="inlineStr">
        <is>
          <t>FIP Extra</t>
        </is>
      </c>
      <c r="E16" s="17" t="n">
        <v>0.0001030252017057116</v>
      </c>
      <c r="F16" s="17" t="n">
        <v>8.304527264714678e-05</v>
      </c>
      <c r="G16" s="17" t="n">
        <v>0.005518816296617739</v>
      </c>
      <c r="H16" s="17" t="n">
        <v>0.001079346302808259</v>
      </c>
      <c r="I16" s="17" t="n">
        <v>0.008895185583815217</v>
      </c>
      <c r="J16" s="17" t="n">
        <v>0.01219152279375502</v>
      </c>
      <c r="K16" s="17" t="n">
        <v>0.01061362315854731</v>
      </c>
      <c r="L16" s="17" t="n">
        <v>0.0064515317571591</v>
      </c>
      <c r="M16" s="17" t="n">
        <v>0.002240672432357593</v>
      </c>
      <c r="N16" s="17" t="n">
        <v>-0.00839045285743974</v>
      </c>
      <c r="O16" s="17" t="n">
        <v>-0.06326542187810114</v>
      </c>
      <c r="P16" s="17" t="n">
        <v>0.003113844436269117</v>
      </c>
      <c r="Q16" s="10" t="n">
        <v>-0.02258468817507142</v>
      </c>
      <c r="R16" s="14" t="n"/>
      <c r="S16" s="14" t="n"/>
      <c r="T16" s="14" t="n"/>
      <c r="U16" s="14" t="n"/>
      <c r="V16" s="14" t="n"/>
      <c r="W16" s="14" t="n"/>
      <c r="X16" s="14" t="n"/>
    </row>
    <row r="17" ht="19.9" customHeight="1">
      <c r="B17" s="14" t="n"/>
      <c r="C17" s="8" t="n">
        <v>2020</v>
      </c>
      <c r="D17" s="9" t="inlineStr">
        <is>
          <t>FONDO E</t>
        </is>
      </c>
      <c r="E17" s="17" t="n">
        <v>0.00788126547417356</v>
      </c>
      <c r="F17" s="17" t="n">
        <v>-0.0257642389054562</v>
      </c>
      <c r="G17" s="17" t="n">
        <v>-0.02257318992031421</v>
      </c>
      <c r="H17" s="17" t="n">
        <v>0.05230986288865469</v>
      </c>
      <c r="I17" s="17" t="n">
        <v>0.04207973948513777</v>
      </c>
      <c r="J17" s="17" t="n">
        <v>0.00322903953327569</v>
      </c>
      <c r="K17" s="17" t="n">
        <v>-0.005818928369456744</v>
      </c>
      <c r="L17" s="17" t="n">
        <v>0.02086094572171926</v>
      </c>
      <c r="M17" s="17" t="n">
        <v>-0.02731634689716034</v>
      </c>
      <c r="N17" s="17" t="n"/>
      <c r="O17" s="17" t="n"/>
      <c r="P17" s="17" t="n"/>
      <c r="Q17" s="10" t="n">
        <v>0.01327117592592793</v>
      </c>
      <c r="R17" s="14" t="n"/>
      <c r="S17" s="14" t="n"/>
      <c r="T17" s="14" t="n"/>
      <c r="U17" s="14" t="n"/>
      <c r="V17" s="14" t="n"/>
      <c r="W17" s="14" t="n"/>
      <c r="X17" s="14" t="n"/>
    </row>
    <row r="18">
      <c r="C18" s="8" t="n"/>
      <c r="D18" s="9" t="inlineStr">
        <is>
          <t>Competencia</t>
        </is>
      </c>
      <c r="E18" s="17" t="n">
        <v>0.008942001242969698</v>
      </c>
      <c r="F18" s="17" t="n">
        <v>-0.01679949271860406</v>
      </c>
      <c r="G18" s="17" t="n">
        <v>-0.01555711332204303</v>
      </c>
      <c r="H18" s="17" t="n">
        <v>-0.01633833365115245</v>
      </c>
      <c r="I18" s="17" t="n">
        <v>0.06580064350030661</v>
      </c>
      <c r="J18" s="17" t="n">
        <v>-0.004245829275794755</v>
      </c>
      <c r="K18" s="17" t="n">
        <v>-0.003653958495340179</v>
      </c>
      <c r="L18" s="17" t="n">
        <v>0.02091958466846507</v>
      </c>
      <c r="M18" s="17" t="n">
        <v>-0.01619436655311068</v>
      </c>
      <c r="N18" s="17" t="n"/>
      <c r="O18" s="17" t="n"/>
      <c r="P18" s="17" t="n"/>
      <c r="Q18" s="10" t="n">
        <v>0.02406743373802526</v>
      </c>
    </row>
    <row r="19">
      <c r="C19" s="8" t="n"/>
      <c r="D19" s="9" t="inlineStr">
        <is>
          <t>FIP Extra</t>
        </is>
      </c>
      <c r="E19" s="17" t="n">
        <v>-0.00462462058919787</v>
      </c>
      <c r="F19" s="17" t="n">
        <v>-0.020618083149879</v>
      </c>
      <c r="G19" s="17" t="n">
        <v>-0.00241150302124664</v>
      </c>
      <c r="H19" s="17" t="n">
        <v>0.008933457506288711</v>
      </c>
      <c r="I19" s="17" t="n">
        <v>0.005926714770118402</v>
      </c>
      <c r="J19" s="17" t="n">
        <v>-0.0003497460005968955</v>
      </c>
      <c r="K19" s="17" t="n">
        <v>-0.0003210200084362426</v>
      </c>
      <c r="L19" s="17" t="n">
        <v>0.01942080436467217</v>
      </c>
      <c r="M19" s="17" t="n">
        <v>-0.0158122504778957</v>
      </c>
      <c r="N19" s="17" t="n">
        <v>0.0002</v>
      </c>
      <c r="O19" s="17" t="n">
        <v>0.0025</v>
      </c>
      <c r="P19" s="17" t="n">
        <v>-0.0027</v>
      </c>
      <c r="Q19" s="10" t="n">
        <v>-0.01735214632114627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NCABEZAS</dc:creator>
  <dcterms:created xmlns:dcterms="http://purl.org/dc/terms/" xmlns:xsi="http://www.w3.org/2001/XMLSchema-instance" xsi:type="dcterms:W3CDTF">2018-12-10T21:02:38Z</dcterms:created>
  <dcterms:modified xmlns:dcterms="http://purl.org/dc/terms/" xmlns:xsi="http://www.w3.org/2001/XMLSchema-instance" xsi:type="dcterms:W3CDTF">2026-05-20T17:03:05Z</dcterms:modified>
  <cp:lastModifiedBy>Antolin Goicoechea</cp:lastModifiedBy>
</cp:coreProperties>
</file>