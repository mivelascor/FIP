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theme/themeOverride2.xml" ContentType="application/vnd.openxmlformats-officedocument.themeOverride+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4.xml" ContentType="application/vnd.openxmlformats-officedocument.themeOverride+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5.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27" documentId="13_ncr:1_{F633D73B-E232-4A61-807C-EA1E41318A4E}" xr6:coauthVersionLast="47" xr6:coauthVersionMax="47" xr10:uidLastSave="{2092785E-226E-44C0-81FB-CAA01F7D1570}"/>
  <bookViews>
    <workbookView xWindow="-120" yWindow="-120" windowWidth="20730" windowHeight="11040" firstSheet="3"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6" i="2" l="1"/>
  <c r="H27" i="2"/>
  <c r="H28" i="2"/>
  <c r="AQ33" i="3"/>
  <c r="AQ20" i="3"/>
  <c r="AQ9" i="3"/>
  <c r="AH57" i="3"/>
  <c r="AH58" i="3"/>
  <c r="AH59" i="3"/>
  <c r="AH33" i="3"/>
  <c r="AH20" i="3"/>
  <c r="AH9" i="3"/>
  <c r="S39" i="3"/>
  <c r="S25" i="3"/>
  <c r="S11" i="3"/>
  <c r="C249" i="3"/>
  <c r="D249" i="3"/>
  <c r="H249" i="3"/>
  <c r="I249" i="3"/>
  <c r="J249" i="3"/>
  <c r="L249" i="3"/>
  <c r="M249" i="3"/>
  <c r="F26" i="2"/>
  <c r="G26" i="2"/>
  <c r="F27" i="2"/>
  <c r="G27" i="2"/>
  <c r="F28" i="2"/>
  <c r="G28" i="2"/>
  <c r="E26" i="2"/>
  <c r="E27" i="2"/>
  <c r="E28" i="2"/>
  <c r="P23" i="2"/>
  <c r="P24" i="2"/>
  <c r="P25" i="2"/>
  <c r="AF57" i="3"/>
  <c r="AG57" i="3"/>
  <c r="AF58" i="3"/>
  <c r="AG58" i="3"/>
  <c r="AF59" i="3"/>
  <c r="AG59" i="3"/>
  <c r="AE59" i="3"/>
  <c r="AE58" i="3"/>
  <c r="AE57" i="3"/>
  <c r="AQ57" i="3"/>
  <c r="AF9" i="3"/>
  <c r="AG9" i="3"/>
  <c r="AE9" i="3"/>
  <c r="AQ8" i="3"/>
  <c r="AP8" i="3"/>
  <c r="AP54" i="3"/>
  <c r="AP55" i="3"/>
  <c r="AP56" i="3"/>
  <c r="AQ58" i="3"/>
  <c r="AF33" i="3"/>
  <c r="AG33" i="3"/>
  <c r="AE33" i="3"/>
  <c r="AP32" i="3"/>
  <c r="AQ59" i="3"/>
  <c r="AF20" i="3"/>
  <c r="AG20" i="3"/>
  <c r="AE20" i="3"/>
  <c r="AQ19" i="3"/>
  <c r="AP19" i="3"/>
  <c r="R39" i="3"/>
  <c r="Q39" i="3"/>
  <c r="P39" i="3"/>
  <c r="AA38" i="3"/>
  <c r="R25" i="3"/>
  <c r="Q25" i="3"/>
  <c r="P25" i="3"/>
  <c r="AA24" i="3"/>
  <c r="R11" i="3"/>
  <c r="Q11" i="3"/>
  <c r="P11" i="3"/>
  <c r="AA10" i="3"/>
  <c r="C245" i="3"/>
  <c r="C246" i="3"/>
  <c r="C247" i="3"/>
  <c r="C248" i="3"/>
  <c r="L245" i="3"/>
  <c r="L246" i="3"/>
  <c r="L247" i="3"/>
  <c r="L248" i="3"/>
  <c r="H245" i="3"/>
  <c r="H246" i="3"/>
  <c r="I246" i="3"/>
  <c r="H247" i="3"/>
  <c r="I247" i="3" s="1"/>
  <c r="H248" i="3"/>
  <c r="Z38" i="3"/>
  <c r="Z10" i="3"/>
  <c r="H244" i="3"/>
  <c r="L244" i="3"/>
  <c r="C244" i="3"/>
  <c r="Y38" i="3"/>
  <c r="Y10" i="3"/>
  <c r="AN8" i="3" s="1"/>
  <c r="AN54" i="3" s="1"/>
  <c r="N23" i="2" s="1"/>
  <c r="H243" i="3"/>
  <c r="Y24" i="3" s="1"/>
  <c r="AN19" i="3" s="1"/>
  <c r="AN56" i="3" s="1"/>
  <c r="N25" i="2" s="1"/>
  <c r="L243" i="3"/>
  <c r="C243" i="3"/>
  <c r="X38" i="3"/>
  <c r="X10" i="3"/>
  <c r="H242" i="3"/>
  <c r="X24" i="3" s="1"/>
  <c r="L242" i="3"/>
  <c r="C242" i="3"/>
  <c r="W38" i="3"/>
  <c r="W10" i="3"/>
  <c r="H241" i="3"/>
  <c r="W24" i="3" s="1"/>
  <c r="L241" i="3"/>
  <c r="C241" i="3"/>
  <c r="V38" i="3"/>
  <c r="AK32" i="3" s="1"/>
  <c r="AK55" i="3" s="1"/>
  <c r="K24" i="2" s="1"/>
  <c r="V10" i="3"/>
  <c r="H240" i="3"/>
  <c r="V24" i="3" s="1"/>
  <c r="L240" i="3"/>
  <c r="C240" i="3"/>
  <c r="U38" i="3"/>
  <c r="U10" i="3"/>
  <c r="Q27" i="2" l="1"/>
  <c r="BB31" i="3"/>
  <c r="Q28" i="2"/>
  <c r="BB32" i="3"/>
  <c r="Q26" i="2"/>
  <c r="BB30" i="3"/>
  <c r="AN32" i="3"/>
  <c r="AN55" i="3" s="1"/>
  <c r="N24" i="2" s="1"/>
  <c r="AO32" i="3"/>
  <c r="AO55" i="3" s="1"/>
  <c r="O24" i="2" s="1"/>
  <c r="I245" i="3"/>
  <c r="AO8" i="3"/>
  <c r="AO54" i="3" s="1"/>
  <c r="O23" i="2" s="1"/>
  <c r="I248" i="3"/>
  <c r="AK8" i="3"/>
  <c r="AK54" i="3" s="1"/>
  <c r="K23" i="2" s="1"/>
  <c r="AL32" i="3"/>
  <c r="AL55" i="3" s="1"/>
  <c r="L24" i="2" s="1"/>
  <c r="I244" i="3"/>
  <c r="Z24" i="3"/>
  <c r="AL8" i="3"/>
  <c r="AL54" i="3" s="1"/>
  <c r="L23" i="2" s="1"/>
  <c r="AM32" i="3"/>
  <c r="AM55" i="3" s="1"/>
  <c r="M24" i="2" s="1"/>
  <c r="I242" i="3"/>
  <c r="I243" i="3"/>
  <c r="I241" i="3"/>
  <c r="AM8" i="3"/>
  <c r="AM54" i="3" s="1"/>
  <c r="M23" i="2" s="1"/>
  <c r="AM19" i="3"/>
  <c r="AM56" i="3" s="1"/>
  <c r="M25" i="2" s="1"/>
  <c r="AL19" i="3"/>
  <c r="AL56" i="3" s="1"/>
  <c r="L25" i="2" s="1"/>
  <c r="H239" i="3"/>
  <c r="I240" i="3" s="1"/>
  <c r="AO19" i="3" l="1"/>
  <c r="AO56" i="3" s="1"/>
  <c r="O25" i="2" s="1"/>
  <c r="U24" i="3"/>
  <c r="AK19" i="3" s="1"/>
  <c r="AK56" i="3" s="1"/>
  <c r="K25" i="2" s="1"/>
  <c r="L239" i="3"/>
  <c r="C239" i="3"/>
  <c r="T38" i="3" l="1"/>
  <c r="AJ32" i="3" s="1"/>
  <c r="AJ55" i="3" s="1"/>
  <c r="J24" i="2" s="1"/>
  <c r="T10" i="3"/>
  <c r="AJ8" i="3" s="1"/>
  <c r="AJ54" i="3" s="1"/>
  <c r="J23" i="2" s="1"/>
  <c r="L238" i="3"/>
  <c r="H238" i="3"/>
  <c r="C238" i="3"/>
  <c r="S38" i="3"/>
  <c r="S10" i="3"/>
  <c r="L237" i="3"/>
  <c r="H237" i="3"/>
  <c r="I238" i="3" l="1"/>
  <c r="I239" i="3"/>
  <c r="T24" i="3"/>
  <c r="AI8" i="3"/>
  <c r="AI54" i="3" s="1"/>
  <c r="I23" i="2" s="1"/>
  <c r="AI32" i="3"/>
  <c r="AI55" i="3" s="1"/>
  <c r="I24" i="2" s="1"/>
  <c r="S24" i="3"/>
  <c r="C237" i="3"/>
  <c r="R38" i="3"/>
  <c r="AH32" i="3" s="1"/>
  <c r="AH55" i="3" s="1"/>
  <c r="H24" i="2" s="1"/>
  <c r="R10" i="3"/>
  <c r="AH8" i="3" s="1"/>
  <c r="AH54" i="3" s="1"/>
  <c r="H23" i="2" s="1"/>
  <c r="H236" i="3"/>
  <c r="C236" i="3"/>
  <c r="L236" i="3"/>
  <c r="Q38" i="3"/>
  <c r="Q10" i="3"/>
  <c r="H235" i="3"/>
  <c r="L235" i="3"/>
  <c r="C235" i="3"/>
  <c r="P38" i="3"/>
  <c r="P10" i="3"/>
  <c r="H234" i="3"/>
  <c r="C234" i="3"/>
  <c r="L234" i="3"/>
  <c r="AA37" i="3"/>
  <c r="AA9" i="3"/>
  <c r="L233" i="3"/>
  <c r="H233" i="3"/>
  <c r="AA23" i="3" s="1"/>
  <c r="AF8" i="3" l="1"/>
  <c r="AF54" i="3" s="1"/>
  <c r="F23" i="2" s="1"/>
  <c r="AF32" i="3"/>
  <c r="AF55" i="3" s="1"/>
  <c r="F24" i="2" s="1"/>
  <c r="AE32" i="3"/>
  <c r="R24" i="3"/>
  <c r="I237" i="3"/>
  <c r="AG8" i="3"/>
  <c r="AG54" i="3" s="1"/>
  <c r="G23" i="2" s="1"/>
  <c r="AH19" i="3"/>
  <c r="AH56" i="3" s="1"/>
  <c r="H25" i="2" s="1"/>
  <c r="I234" i="3"/>
  <c r="AG32" i="3"/>
  <c r="AG55" i="3" s="1"/>
  <c r="G24" i="2" s="1"/>
  <c r="AJ19" i="3"/>
  <c r="AJ56" i="3" s="1"/>
  <c r="J25" i="2" s="1"/>
  <c r="AI19" i="3"/>
  <c r="AI56" i="3" s="1"/>
  <c r="I25" i="2" s="1"/>
  <c r="P24" i="3"/>
  <c r="AE8" i="3"/>
  <c r="I235" i="3"/>
  <c r="Q24" i="3"/>
  <c r="I236" i="3"/>
  <c r="C233" i="3"/>
  <c r="Z37" i="3"/>
  <c r="Z9" i="3"/>
  <c r="AP7" i="3" s="1"/>
  <c r="AP51" i="3" s="1"/>
  <c r="P20" i="2" s="1"/>
  <c r="H232" i="3"/>
  <c r="I233" i="3" s="1"/>
  <c r="L232" i="3"/>
  <c r="C232" i="3"/>
  <c r="Y37" i="3"/>
  <c r="Y9" i="3"/>
  <c r="L231" i="3"/>
  <c r="H231" i="3"/>
  <c r="C231" i="3"/>
  <c r="X37" i="3"/>
  <c r="X9" i="3"/>
  <c r="L230" i="3"/>
  <c r="H230" i="3"/>
  <c r="X23" i="3" s="1"/>
  <c r="C230" i="3"/>
  <c r="W37" i="3"/>
  <c r="W9" i="3"/>
  <c r="C229" i="3"/>
  <c r="H229" i="3"/>
  <c r="W23" i="3" s="1"/>
  <c r="L229" i="3"/>
  <c r="V37" i="3"/>
  <c r="V9" i="3"/>
  <c r="C228" i="3"/>
  <c r="H228" i="3"/>
  <c r="L228" i="3"/>
  <c r="U37" i="3"/>
  <c r="U9" i="3"/>
  <c r="H227" i="3"/>
  <c r="U23" i="3" s="1"/>
  <c r="L227" i="3"/>
  <c r="C227" i="3"/>
  <c r="T37" i="3"/>
  <c r="T9" i="3"/>
  <c r="H226" i="3"/>
  <c r="L226" i="3"/>
  <c r="S37" i="3"/>
  <c r="S9" i="3"/>
  <c r="H225" i="3"/>
  <c r="L225" i="3"/>
  <c r="C225" i="3"/>
  <c r="C226" i="3"/>
  <c r="R37" i="3"/>
  <c r="R9" i="3"/>
  <c r="L224" i="3"/>
  <c r="H224" i="3"/>
  <c r="C224" i="3"/>
  <c r="Q37" i="3"/>
  <c r="Q9" i="3"/>
  <c r="L223" i="3"/>
  <c r="H223" i="3"/>
  <c r="C223" i="3"/>
  <c r="P37" i="3"/>
  <c r="P9" i="3"/>
  <c r="L222" i="3"/>
  <c r="H222" i="3"/>
  <c r="P23" i="3" s="1"/>
  <c r="C222" i="3"/>
  <c r="AA36" i="3"/>
  <c r="AA8" i="3"/>
  <c r="L221" i="3"/>
  <c r="Z36" i="3"/>
  <c r="Z8" i="3"/>
  <c r="H221" i="3"/>
  <c r="AA22" i="3" s="1"/>
  <c r="H220" i="3"/>
  <c r="L220" i="3"/>
  <c r="C220" i="3"/>
  <c r="C221" i="3"/>
  <c r="Y36" i="3"/>
  <c r="Y8" i="3"/>
  <c r="L219" i="3"/>
  <c r="H219" i="3"/>
  <c r="Y22" i="3" s="1"/>
  <c r="C219" i="3"/>
  <c r="X36" i="3"/>
  <c r="X8" i="3"/>
  <c r="H218" i="3"/>
  <c r="X22" i="3" s="1"/>
  <c r="L218" i="3"/>
  <c r="C218" i="3"/>
  <c r="W36" i="3"/>
  <c r="W8" i="3"/>
  <c r="C217" i="3"/>
  <c r="H217" i="3"/>
  <c r="L217" i="3"/>
  <c r="V36" i="3"/>
  <c r="V8" i="3"/>
  <c r="H216" i="3"/>
  <c r="V22" i="3" s="1"/>
  <c r="C216" i="3"/>
  <c r="L216" i="3"/>
  <c r="U36" i="3"/>
  <c r="U8" i="3"/>
  <c r="H215" i="3"/>
  <c r="U22" i="3" s="1"/>
  <c r="C215" i="3"/>
  <c r="L215" i="3"/>
  <c r="T36" i="3"/>
  <c r="T8" i="3"/>
  <c r="L214" i="3"/>
  <c r="H214" i="3"/>
  <c r="C214" i="3"/>
  <c r="S36" i="3"/>
  <c r="S8" i="3"/>
  <c r="L213" i="3"/>
  <c r="H213" i="3"/>
  <c r="R36" i="3"/>
  <c r="R8" i="3"/>
  <c r="L212" i="3"/>
  <c r="H212" i="3"/>
  <c r="R22" i="3" s="1"/>
  <c r="C212" i="3"/>
  <c r="C213" i="3"/>
  <c r="L209" i="3"/>
  <c r="L210" i="3"/>
  <c r="L211" i="3"/>
  <c r="H211" i="3"/>
  <c r="Q22" i="3" s="1"/>
  <c r="H210" i="3"/>
  <c r="P22" i="3" s="1"/>
  <c r="C210" i="3"/>
  <c r="C211" i="3"/>
  <c r="Q8" i="3"/>
  <c r="P8" i="3"/>
  <c r="Q36" i="3"/>
  <c r="P36" i="3"/>
  <c r="AA35" i="3"/>
  <c r="AW21" i="3"/>
  <c r="AQ54" i="3" l="1"/>
  <c r="AQ32" i="3"/>
  <c r="AQ55" i="3" s="1"/>
  <c r="AE55" i="3"/>
  <c r="E24" i="2" s="1"/>
  <c r="AE54" i="3"/>
  <c r="E23" i="2" s="1"/>
  <c r="AM18" i="3"/>
  <c r="AM53" i="3" s="1"/>
  <c r="M22" i="2" s="1"/>
  <c r="AF19" i="3"/>
  <c r="AF56" i="3" s="1"/>
  <c r="F25" i="2" s="1"/>
  <c r="AE19" i="3"/>
  <c r="AG19" i="3"/>
  <c r="AG56" i="3" s="1"/>
  <c r="G25" i="2" s="1"/>
  <c r="AO7" i="3"/>
  <c r="AO51" i="3" s="1"/>
  <c r="O20" i="2" s="1"/>
  <c r="AM7" i="3"/>
  <c r="AM51" i="3" s="1"/>
  <c r="M20" i="2" s="1"/>
  <c r="AI30" i="3"/>
  <c r="AI49" i="3" s="1"/>
  <c r="I18" i="2" s="1"/>
  <c r="AO30" i="3"/>
  <c r="AO49" i="3" s="1"/>
  <c r="O18" i="2" s="1"/>
  <c r="I226" i="3"/>
  <c r="AF7" i="3"/>
  <c r="AF51" i="3" s="1"/>
  <c r="F20" i="2" s="1"/>
  <c r="AF31" i="3"/>
  <c r="AF52" i="3" s="1"/>
  <c r="F21" i="2" s="1"/>
  <c r="AG7" i="3"/>
  <c r="AG51" i="3" s="1"/>
  <c r="G20" i="2" s="1"/>
  <c r="AN31" i="3"/>
  <c r="AN52" i="3" s="1"/>
  <c r="N21" i="2" s="1"/>
  <c r="AE7" i="3"/>
  <c r="AE51" i="3" s="1"/>
  <c r="E20" i="2" s="1"/>
  <c r="AH31" i="3"/>
  <c r="AH52" i="3" s="1"/>
  <c r="H21" i="2" s="1"/>
  <c r="AL7" i="3"/>
  <c r="AL51" i="3" s="1"/>
  <c r="L20" i="2" s="1"/>
  <c r="AJ31" i="3"/>
  <c r="AJ52" i="3" s="1"/>
  <c r="J21" i="2" s="1"/>
  <c r="AI7" i="3"/>
  <c r="AI51" i="3" s="1"/>
  <c r="I20" i="2" s="1"/>
  <c r="I228" i="3"/>
  <c r="I231" i="3"/>
  <c r="AO31" i="3"/>
  <c r="AO52" i="3" s="1"/>
  <c r="O21" i="2" s="1"/>
  <c r="I225" i="3"/>
  <c r="Y23" i="3"/>
  <c r="AN18" i="3" s="1"/>
  <c r="AN53" i="3" s="1"/>
  <c r="N22" i="2" s="1"/>
  <c r="AI31" i="3"/>
  <c r="AI52" i="3" s="1"/>
  <c r="I21" i="2" s="1"/>
  <c r="AN7" i="3"/>
  <c r="AN51" i="3" s="1"/>
  <c r="N20" i="2" s="1"/>
  <c r="AE18" i="3"/>
  <c r="AE53" i="3" s="1"/>
  <c r="E22" i="2" s="1"/>
  <c r="AK7" i="3"/>
  <c r="AK51" i="3" s="1"/>
  <c r="K20" i="2" s="1"/>
  <c r="AP31" i="3"/>
  <c r="AP52" i="3" s="1"/>
  <c r="P21" i="2" s="1"/>
  <c r="T23" i="3"/>
  <c r="AJ18" i="3" s="1"/>
  <c r="AJ53" i="3" s="1"/>
  <c r="J22" i="2" s="1"/>
  <c r="AM31" i="3"/>
  <c r="AM52" i="3" s="1"/>
  <c r="M21" i="2" s="1"/>
  <c r="I232" i="3"/>
  <c r="AK31" i="3"/>
  <c r="AK52" i="3" s="1"/>
  <c r="K21" i="2" s="1"/>
  <c r="AJ7" i="3"/>
  <c r="AJ51" i="3" s="1"/>
  <c r="J20" i="2" s="1"/>
  <c r="Z23" i="3"/>
  <c r="AG31" i="3"/>
  <c r="AG52" i="3" s="1"/>
  <c r="G21" i="2" s="1"/>
  <c r="AL31" i="3"/>
  <c r="AL52" i="3" s="1"/>
  <c r="L21" i="2" s="1"/>
  <c r="AP30" i="3"/>
  <c r="AP49" i="3" s="1"/>
  <c r="P18" i="2" s="1"/>
  <c r="I224" i="3"/>
  <c r="AE31" i="3"/>
  <c r="AE52" i="3" s="1"/>
  <c r="E21" i="2" s="1"/>
  <c r="I223" i="3"/>
  <c r="AH7" i="3"/>
  <c r="AH51" i="3" s="1"/>
  <c r="H20" i="2" s="1"/>
  <c r="R23" i="3"/>
  <c r="I229" i="3"/>
  <c r="I222" i="3"/>
  <c r="S23" i="3"/>
  <c r="Q23" i="3"/>
  <c r="AF18" i="3" s="1"/>
  <c r="AF53" i="3" s="1"/>
  <c r="F22" i="2" s="1"/>
  <c r="I227" i="3"/>
  <c r="V23" i="3"/>
  <c r="AK18" i="3" s="1"/>
  <c r="AK53" i="3" s="1"/>
  <c r="K22" i="2" s="1"/>
  <c r="I230" i="3"/>
  <c r="P15" i="1"/>
  <c r="AI6" i="3"/>
  <c r="AI48" i="3" s="1"/>
  <c r="I17" i="2" s="1"/>
  <c r="AL30" i="3"/>
  <c r="AL49" i="3" s="1"/>
  <c r="L18" i="2" s="1"/>
  <c r="AK17" i="3"/>
  <c r="AK50" i="3" s="1"/>
  <c r="K19" i="2" s="1"/>
  <c r="AH30" i="3"/>
  <c r="AH49" i="3" s="1"/>
  <c r="H18" i="2" s="1"/>
  <c r="AK6" i="3"/>
  <c r="AK48" i="3" s="1"/>
  <c r="K17" i="2" s="1"/>
  <c r="AG30" i="3"/>
  <c r="AG49" i="3" s="1"/>
  <c r="G18" i="2" s="1"/>
  <c r="I214" i="3"/>
  <c r="AM6" i="3"/>
  <c r="AM48" i="3" s="1"/>
  <c r="M17" i="2" s="1"/>
  <c r="AK30" i="3"/>
  <c r="AK49" i="3" s="1"/>
  <c r="K18" i="2" s="1"/>
  <c r="AO6" i="3"/>
  <c r="AO48" i="3" s="1"/>
  <c r="O17" i="2" s="1"/>
  <c r="I220" i="3"/>
  <c r="I221" i="3"/>
  <c r="AH6" i="3"/>
  <c r="AH48" i="3" s="1"/>
  <c r="H17" i="2" s="1"/>
  <c r="AE30" i="3"/>
  <c r="AE49" i="3" s="1"/>
  <c r="E18" i="2" s="1"/>
  <c r="AJ6" i="3"/>
  <c r="AJ48" i="3" s="1"/>
  <c r="J17" i="2" s="1"/>
  <c r="I213" i="3"/>
  <c r="AJ30" i="3"/>
  <c r="AJ49" i="3" s="1"/>
  <c r="J18" i="2" s="1"/>
  <c r="AL6" i="3"/>
  <c r="AL48" i="3" s="1"/>
  <c r="L17" i="2" s="1"/>
  <c r="AG6" i="3"/>
  <c r="AG48" i="3" s="1"/>
  <c r="G17" i="2" s="1"/>
  <c r="AN6" i="3"/>
  <c r="AN48" i="3" s="1"/>
  <c r="N17" i="2" s="1"/>
  <c r="AM30" i="3"/>
  <c r="AM49" i="3" s="1"/>
  <c r="M18" i="2" s="1"/>
  <c r="AN30" i="3"/>
  <c r="AN49" i="3" s="1"/>
  <c r="N18" i="2" s="1"/>
  <c r="Z22" i="3"/>
  <c r="AO17" i="3" s="1"/>
  <c r="AO50" i="3" s="1"/>
  <c r="O19" i="2" s="1"/>
  <c r="AG17" i="3"/>
  <c r="AG50" i="3" s="1"/>
  <c r="G19" i="2" s="1"/>
  <c r="I217" i="3"/>
  <c r="AN17" i="3"/>
  <c r="AN50" i="3" s="1"/>
  <c r="N19" i="2" s="1"/>
  <c r="AP6" i="3"/>
  <c r="AP48" i="3" s="1"/>
  <c r="P17" i="2" s="1"/>
  <c r="I212" i="3"/>
  <c r="I215" i="3"/>
  <c r="I216" i="3"/>
  <c r="I219" i="3"/>
  <c r="AF30" i="3"/>
  <c r="AF49" i="3" s="1"/>
  <c r="F18" i="2" s="1"/>
  <c r="I218" i="3"/>
  <c r="S22" i="3"/>
  <c r="AH17" i="3" s="1"/>
  <c r="AH50" i="3" s="1"/>
  <c r="H19" i="2" s="1"/>
  <c r="T22" i="3"/>
  <c r="W22" i="3"/>
  <c r="AF6" i="3"/>
  <c r="AF48" i="3" s="1"/>
  <c r="F17" i="2" s="1"/>
  <c r="I211" i="3"/>
  <c r="AF17" i="3"/>
  <c r="AF50" i="3" s="1"/>
  <c r="F19" i="2" s="1"/>
  <c r="AA7" i="3"/>
  <c r="H209" i="3"/>
  <c r="AA21" i="3" s="1"/>
  <c r="AE17" i="3" s="1"/>
  <c r="AE50" i="3" s="1"/>
  <c r="E19" i="2" s="1"/>
  <c r="C209" i="3"/>
  <c r="Z7" i="3"/>
  <c r="C208" i="3"/>
  <c r="Z35" i="3"/>
  <c r="AP29" i="3" s="1"/>
  <c r="AP46" i="3" s="1"/>
  <c r="P15" i="2" s="1"/>
  <c r="H208" i="3"/>
  <c r="L208" i="3"/>
  <c r="Y7" i="3"/>
  <c r="X7" i="3"/>
  <c r="C206" i="3"/>
  <c r="C207" i="3"/>
  <c r="Y35" i="3"/>
  <c r="H207" i="3"/>
  <c r="Y21" i="3" s="1"/>
  <c r="L207" i="3"/>
  <c r="X35" i="3"/>
  <c r="H206" i="3"/>
  <c r="X21" i="3" s="1"/>
  <c r="L206" i="3"/>
  <c r="W7" i="3"/>
  <c r="C204" i="3"/>
  <c r="C205" i="3"/>
  <c r="W35" i="3"/>
  <c r="H205" i="3"/>
  <c r="L205" i="3"/>
  <c r="V35" i="3"/>
  <c r="V7" i="3"/>
  <c r="H204" i="3"/>
  <c r="L204" i="3"/>
  <c r="U7" i="3"/>
  <c r="T7" i="3"/>
  <c r="C202" i="3"/>
  <c r="C203" i="3"/>
  <c r="U35" i="3"/>
  <c r="H203" i="3"/>
  <c r="L203" i="3"/>
  <c r="S7" i="3"/>
  <c r="C201" i="3"/>
  <c r="T35" i="3"/>
  <c r="H202" i="3"/>
  <c r="L202" i="3"/>
  <c r="S35" i="3"/>
  <c r="H201" i="3"/>
  <c r="L201" i="3"/>
  <c r="R35" i="3"/>
  <c r="R7" i="3"/>
  <c r="H200" i="3"/>
  <c r="R21" i="3" s="1"/>
  <c r="L200" i="3"/>
  <c r="C200" i="3"/>
  <c r="AQ56" i="3" l="1"/>
  <c r="Q24" i="2"/>
  <c r="AE56" i="3"/>
  <c r="E25" i="2" s="1"/>
  <c r="Q23" i="2"/>
  <c r="AI18" i="3"/>
  <c r="AI53" i="3" s="1"/>
  <c r="I22" i="2" s="1"/>
  <c r="AH18" i="3"/>
  <c r="AH53" i="3" s="1"/>
  <c r="H22" i="2" s="1"/>
  <c r="AG18" i="3"/>
  <c r="AG53" i="3" s="1"/>
  <c r="G22" i="2" s="1"/>
  <c r="AQ7" i="3"/>
  <c r="AQ51" i="3" s="1"/>
  <c r="AP18" i="3"/>
  <c r="AP53" i="3" s="1"/>
  <c r="P22" i="2" s="1"/>
  <c r="AO18" i="3"/>
  <c r="AO53" i="3" s="1"/>
  <c r="O22" i="2" s="1"/>
  <c r="AQ31" i="3"/>
  <c r="AQ52" i="3" s="1"/>
  <c r="AL18" i="3"/>
  <c r="AL53" i="3" s="1"/>
  <c r="L22" i="2" s="1"/>
  <c r="AQ30" i="3"/>
  <c r="AQ49" i="3" s="1"/>
  <c r="Q18" i="2" s="1"/>
  <c r="I209" i="3"/>
  <c r="AP5" i="3"/>
  <c r="AP45" i="3" s="1"/>
  <c r="P14" i="2" s="1"/>
  <c r="I210" i="3"/>
  <c r="I204" i="3"/>
  <c r="AI17" i="3"/>
  <c r="AI50" i="3" s="1"/>
  <c r="I19" i="2" s="1"/>
  <c r="AP17" i="3"/>
  <c r="AP50" i="3" s="1"/>
  <c r="P19" i="2" s="1"/>
  <c r="AL17" i="3"/>
  <c r="AL50" i="3" s="1"/>
  <c r="L19" i="2" s="1"/>
  <c r="AM17" i="3"/>
  <c r="AM50" i="3" s="1"/>
  <c r="M19" i="2" s="1"/>
  <c r="AN5" i="3"/>
  <c r="AN45" i="3" s="1"/>
  <c r="N14" i="2" s="1"/>
  <c r="AJ17" i="3"/>
  <c r="AJ50" i="3" s="1"/>
  <c r="J19" i="2" s="1"/>
  <c r="AE6" i="3"/>
  <c r="AE48" i="3" s="1"/>
  <c r="E17" i="2" s="1"/>
  <c r="AL29" i="3"/>
  <c r="AL46" i="3" s="1"/>
  <c r="L15" i="2" s="1"/>
  <c r="I201" i="3"/>
  <c r="AJ29" i="3"/>
  <c r="AJ46" i="3" s="1"/>
  <c r="J15" i="2" s="1"/>
  <c r="AH29" i="3"/>
  <c r="AH46" i="3" s="1"/>
  <c r="H15" i="2" s="1"/>
  <c r="AH5" i="3"/>
  <c r="AH45" i="3" s="1"/>
  <c r="H14" i="2" s="1"/>
  <c r="AK5" i="3"/>
  <c r="AK45" i="3" s="1"/>
  <c r="K14" i="2" s="1"/>
  <c r="AL5" i="3"/>
  <c r="AL45" i="3" s="1"/>
  <c r="L14" i="2" s="1"/>
  <c r="I206" i="3"/>
  <c r="AI29" i="3"/>
  <c r="AI46" i="3" s="1"/>
  <c r="I15" i="2" s="1"/>
  <c r="AI5" i="3"/>
  <c r="AI45" i="3" s="1"/>
  <c r="I14" i="2" s="1"/>
  <c r="AM29" i="3"/>
  <c r="AM46" i="3" s="1"/>
  <c r="M15" i="2" s="1"/>
  <c r="V21" i="3"/>
  <c r="I208" i="3"/>
  <c r="AO5" i="3"/>
  <c r="AO45" i="3" s="1"/>
  <c r="O14" i="2" s="1"/>
  <c r="S21" i="3"/>
  <c r="AH16" i="3" s="1"/>
  <c r="AH47" i="3" s="1"/>
  <c r="H16" i="2" s="1"/>
  <c r="AJ5" i="3"/>
  <c r="AJ45" i="3" s="1"/>
  <c r="J14" i="2" s="1"/>
  <c r="Z21" i="3"/>
  <c r="AO16" i="3" s="1"/>
  <c r="AO47" i="3" s="1"/>
  <c r="O16" i="2" s="1"/>
  <c r="I203" i="3"/>
  <c r="I205" i="3"/>
  <c r="I207" i="3"/>
  <c r="AM5" i="3"/>
  <c r="AM45" i="3" s="1"/>
  <c r="M14" i="2" s="1"/>
  <c r="U21" i="3"/>
  <c r="AK29" i="3"/>
  <c r="AK46" i="3" s="1"/>
  <c r="K15" i="2" s="1"/>
  <c r="W21" i="3"/>
  <c r="I202" i="3"/>
  <c r="AO29" i="3"/>
  <c r="AO46" i="3" s="1"/>
  <c r="O15" i="2" s="1"/>
  <c r="T21" i="3"/>
  <c r="AN29" i="3"/>
  <c r="AN46" i="3" s="1"/>
  <c r="N15" i="2" s="1"/>
  <c r="AN16" i="3"/>
  <c r="AN47" i="3" s="1"/>
  <c r="N16" i="2" s="1"/>
  <c r="Q35" i="3"/>
  <c r="AG29" i="3" s="1"/>
  <c r="AG46" i="3" s="1"/>
  <c r="G15" i="2" s="1"/>
  <c r="Q7" i="3"/>
  <c r="L199" i="3"/>
  <c r="H199" i="3"/>
  <c r="C199" i="3"/>
  <c r="P35" i="3"/>
  <c r="P7" i="3"/>
  <c r="H198" i="3"/>
  <c r="G197" i="3"/>
  <c r="H197" i="3" s="1"/>
  <c r="C198" i="3"/>
  <c r="L198" i="3"/>
  <c r="AA34" i="3"/>
  <c r="AA6" i="3"/>
  <c r="L197" i="3"/>
  <c r="C197" i="3"/>
  <c r="Z34" i="3"/>
  <c r="Z6" i="3"/>
  <c r="C196" i="3"/>
  <c r="L196" i="3"/>
  <c r="H196" i="3"/>
  <c r="Z20" i="3" s="1"/>
  <c r="Y34" i="3"/>
  <c r="Y6" i="3"/>
  <c r="L195" i="3"/>
  <c r="H195" i="3"/>
  <c r="Y20" i="3" s="1"/>
  <c r="C195" i="3"/>
  <c r="X34" i="3"/>
  <c r="X6" i="3"/>
  <c r="L194" i="3"/>
  <c r="H194" i="3"/>
  <c r="X20" i="3" s="1"/>
  <c r="C194" i="3"/>
  <c r="W34" i="3"/>
  <c r="W6" i="3"/>
  <c r="C193" i="3"/>
  <c r="L193" i="3"/>
  <c r="H193" i="3"/>
  <c r="V34" i="3"/>
  <c r="V6" i="3"/>
  <c r="C192" i="3"/>
  <c r="L192" i="3"/>
  <c r="H192" i="3"/>
  <c r="V20" i="3" s="1"/>
  <c r="Q25" i="2" l="1"/>
  <c r="AQ18" i="3"/>
  <c r="AQ53" i="3" s="1"/>
  <c r="Q22" i="2" s="1"/>
  <c r="Q20" i="2"/>
  <c r="Q21" i="2"/>
  <c r="AQ6" i="3"/>
  <c r="AQ48" i="3" s="1"/>
  <c r="AQ17" i="3"/>
  <c r="AQ50" i="3" s="1"/>
  <c r="I199" i="3"/>
  <c r="AE29" i="3"/>
  <c r="AE46" i="3" s="1"/>
  <c r="E15" i="2" s="1"/>
  <c r="AI16" i="3"/>
  <c r="AI47" i="3" s="1"/>
  <c r="I16" i="2" s="1"/>
  <c r="AN4" i="3"/>
  <c r="AN42" i="3" s="1"/>
  <c r="N11" i="2" s="1"/>
  <c r="AF5" i="3"/>
  <c r="AF45" i="3" s="1"/>
  <c r="F14" i="2" s="1"/>
  <c r="AL16" i="3"/>
  <c r="AL47" i="3" s="1"/>
  <c r="L16" i="2" s="1"/>
  <c r="AJ16" i="3"/>
  <c r="AJ47" i="3" s="1"/>
  <c r="J16" i="2" s="1"/>
  <c r="AG5" i="3"/>
  <c r="AG45" i="3" s="1"/>
  <c r="G14" i="2" s="1"/>
  <c r="AM16" i="3"/>
  <c r="AM47" i="3" s="1"/>
  <c r="M16" i="2" s="1"/>
  <c r="Q21" i="3"/>
  <c r="AG16" i="3" s="1"/>
  <c r="AG47" i="3" s="1"/>
  <c r="G16" i="2" s="1"/>
  <c r="I200" i="3"/>
  <c r="I198" i="3"/>
  <c r="AK16" i="3"/>
  <c r="AK47" i="3" s="1"/>
  <c r="K16" i="2" s="1"/>
  <c r="AE5" i="3"/>
  <c r="AE45" i="3" s="1"/>
  <c r="E14" i="2" s="1"/>
  <c r="AP16" i="3"/>
  <c r="AP47" i="3" s="1"/>
  <c r="P16" i="2" s="1"/>
  <c r="AF29" i="3"/>
  <c r="AF46" i="3" s="1"/>
  <c r="F15" i="2" s="1"/>
  <c r="P21" i="3"/>
  <c r="AO28" i="3"/>
  <c r="AO43" i="3" s="1"/>
  <c r="O12" i="2" s="1"/>
  <c r="AL4" i="3"/>
  <c r="AL42" i="3" s="1"/>
  <c r="L11" i="2" s="1"/>
  <c r="AM28" i="3"/>
  <c r="AM43" i="3" s="1"/>
  <c r="M12" i="2" s="1"/>
  <c r="AN15" i="3"/>
  <c r="AN44" i="3" s="1"/>
  <c r="N13" i="2" s="1"/>
  <c r="AO4" i="3"/>
  <c r="AO42" i="3" s="1"/>
  <c r="O11" i="2" s="1"/>
  <c r="AO15" i="3"/>
  <c r="AO44" i="3" s="1"/>
  <c r="O13" i="2" s="1"/>
  <c r="I195" i="3"/>
  <c r="I193" i="3"/>
  <c r="I194" i="3"/>
  <c r="AL28" i="3"/>
  <c r="AL43" i="3" s="1"/>
  <c r="L12" i="2" s="1"/>
  <c r="AN28" i="3"/>
  <c r="AN43" i="3" s="1"/>
  <c r="N12" i="2" s="1"/>
  <c r="I197" i="3"/>
  <c r="AA20" i="3"/>
  <c r="I196" i="3"/>
  <c r="AP4" i="3"/>
  <c r="AP42" i="3" s="1"/>
  <c r="P11" i="2" s="1"/>
  <c r="AM4" i="3"/>
  <c r="AM42" i="3" s="1"/>
  <c r="M11" i="2" s="1"/>
  <c r="W20" i="3"/>
  <c r="AP28" i="3"/>
  <c r="AP43" i="3" s="1"/>
  <c r="P12" i="2" s="1"/>
  <c r="U34" i="3"/>
  <c r="U6" i="3"/>
  <c r="AK4" i="3" s="1"/>
  <c r="AK42" i="3" s="1"/>
  <c r="K11" i="2" s="1"/>
  <c r="L191" i="3"/>
  <c r="H191" i="3"/>
  <c r="I192" i="3" s="1"/>
  <c r="C191" i="3"/>
  <c r="T34" i="3"/>
  <c r="T6" i="3"/>
  <c r="C190" i="3"/>
  <c r="L190" i="3"/>
  <c r="H190" i="3"/>
  <c r="T20" i="3" s="1"/>
  <c r="S34" i="3"/>
  <c r="S6" i="3"/>
  <c r="C189" i="3"/>
  <c r="L189" i="3"/>
  <c r="H189" i="3"/>
  <c r="R34" i="3"/>
  <c r="R6" i="3"/>
  <c r="C188" i="3"/>
  <c r="L188" i="3"/>
  <c r="H188" i="3"/>
  <c r="C178" i="3"/>
  <c r="D178" i="3" s="1"/>
  <c r="C179" i="3"/>
  <c r="C180" i="3"/>
  <c r="C181" i="3"/>
  <c r="C182" i="3"/>
  <c r="C183" i="3"/>
  <c r="C184" i="3"/>
  <c r="C185" i="3"/>
  <c r="C186" i="3"/>
  <c r="C187" i="3"/>
  <c r="C177" i="3"/>
  <c r="Q6" i="3"/>
  <c r="P6" i="3"/>
  <c r="P34" i="3"/>
  <c r="H186" i="3"/>
  <c r="P20" i="3" s="1"/>
  <c r="H187" i="3"/>
  <c r="H185" i="3"/>
  <c r="Q34" i="3"/>
  <c r="X5" i="3"/>
  <c r="AA33" i="3"/>
  <c r="Z33" i="3"/>
  <c r="Y33" i="3"/>
  <c r="X33" i="3"/>
  <c r="L183" i="3"/>
  <c r="L184" i="3"/>
  <c r="L185" i="3"/>
  <c r="L186" i="3"/>
  <c r="L187" i="3"/>
  <c r="H184" i="3"/>
  <c r="Z19" i="3" s="1"/>
  <c r="H183" i="3"/>
  <c r="AA5" i="3"/>
  <c r="Z5" i="3"/>
  <c r="Y5" i="3"/>
  <c r="W33" i="3"/>
  <c r="W5" i="3"/>
  <c r="H181" i="3"/>
  <c r="W19" i="3" s="1"/>
  <c r="L181" i="3"/>
  <c r="H182" i="3"/>
  <c r="L182" i="3"/>
  <c r="Q17" i="2" l="1"/>
  <c r="Q19" i="2"/>
  <c r="AQ29" i="3"/>
  <c r="AQ46" i="3" s="1"/>
  <c r="AE16" i="3"/>
  <c r="AE47" i="3" s="1"/>
  <c r="E16" i="2" s="1"/>
  <c r="AQ5" i="3"/>
  <c r="AQ45" i="3" s="1"/>
  <c r="AF16" i="3"/>
  <c r="AF47" i="3" s="1"/>
  <c r="F16" i="2" s="1"/>
  <c r="U20" i="3"/>
  <c r="AK15" i="3" s="1"/>
  <c r="AK44" i="3" s="1"/>
  <c r="K13" i="2" s="1"/>
  <c r="AH28" i="3"/>
  <c r="AH43" i="3" s="1"/>
  <c r="H12" i="2" s="1"/>
  <c r="I189" i="3"/>
  <c r="D179" i="3"/>
  <c r="D180" i="3" s="1"/>
  <c r="D181" i="3" s="1"/>
  <c r="D182" i="3" s="1"/>
  <c r="D183" i="3" s="1"/>
  <c r="D184" i="3" s="1"/>
  <c r="D185" i="3" s="1"/>
  <c r="D186" i="3" s="1"/>
  <c r="D187" i="3" s="1"/>
  <c r="D188" i="3" s="1"/>
  <c r="D189" i="3" s="1"/>
  <c r="D190" i="3" s="1"/>
  <c r="D191" i="3" s="1"/>
  <c r="D192" i="3" s="1"/>
  <c r="D193" i="3" s="1"/>
  <c r="D194" i="3" s="1"/>
  <c r="D195" i="3" s="1"/>
  <c r="D196" i="3" s="1"/>
  <c r="D197" i="3" s="1"/>
  <c r="D198" i="3" s="1"/>
  <c r="D199" i="3" s="1"/>
  <c r="D200" i="3" s="1"/>
  <c r="D201" i="3" s="1"/>
  <c r="D202" i="3" s="1"/>
  <c r="D203" i="3" s="1"/>
  <c r="D204" i="3" s="1"/>
  <c r="D205" i="3" s="1"/>
  <c r="D206" i="3" s="1"/>
  <c r="D207" i="3" s="1"/>
  <c r="D208" i="3" s="1"/>
  <c r="D209" i="3" s="1"/>
  <c r="D210" i="3" s="1"/>
  <c r="D211" i="3" s="1"/>
  <c r="D212" i="3" s="1"/>
  <c r="D213" i="3" s="1"/>
  <c r="D214" i="3" s="1"/>
  <c r="D215" i="3" s="1"/>
  <c r="D216" i="3" s="1"/>
  <c r="D217" i="3" s="1"/>
  <c r="D218" i="3" s="1"/>
  <c r="D219" i="3" s="1"/>
  <c r="D220" i="3" s="1"/>
  <c r="D221" i="3" s="1"/>
  <c r="D222" i="3" s="1"/>
  <c r="D223" i="3" s="1"/>
  <c r="D224" i="3" s="1"/>
  <c r="D225" i="3" s="1"/>
  <c r="D226" i="3" s="1"/>
  <c r="D227" i="3" s="1"/>
  <c r="D228" i="3" s="1"/>
  <c r="D229" i="3" s="1"/>
  <c r="D230" i="3" s="1"/>
  <c r="D231" i="3" s="1"/>
  <c r="D232" i="3" s="1"/>
  <c r="D233" i="3" s="1"/>
  <c r="D234" i="3" s="1"/>
  <c r="D235" i="3" s="1"/>
  <c r="D236" i="3" s="1"/>
  <c r="D237" i="3" s="1"/>
  <c r="D238" i="3" s="1"/>
  <c r="D239" i="3" s="1"/>
  <c r="D240" i="3" s="1"/>
  <c r="D241" i="3" s="1"/>
  <c r="D242" i="3" s="1"/>
  <c r="D243" i="3" s="1"/>
  <c r="D244" i="3" s="1"/>
  <c r="D245" i="3" s="1"/>
  <c r="D246" i="3" s="1"/>
  <c r="D247" i="3" s="1"/>
  <c r="D248" i="3" s="1"/>
  <c r="AI28" i="3"/>
  <c r="AI43" i="3" s="1"/>
  <c r="I12" i="2" s="1"/>
  <c r="AI4" i="3"/>
  <c r="AI42" i="3" s="1"/>
  <c r="I11" i="2" s="1"/>
  <c r="AJ28" i="3"/>
  <c r="AJ43" i="3" s="1"/>
  <c r="J12" i="2" s="1"/>
  <c r="AK28" i="3"/>
  <c r="AK43" i="3" s="1"/>
  <c r="K12" i="2" s="1"/>
  <c r="I188" i="3"/>
  <c r="I182" i="3"/>
  <c r="I191" i="3"/>
  <c r="AE4" i="3"/>
  <c r="AE42" i="3" s="1"/>
  <c r="E11" i="2" s="1"/>
  <c r="AG4" i="3"/>
  <c r="AG42" i="3" s="1"/>
  <c r="G11" i="2" s="1"/>
  <c r="AG28" i="3"/>
  <c r="AG43" i="3" s="1"/>
  <c r="G12" i="2" s="1"/>
  <c r="I190" i="3"/>
  <c r="R20" i="3"/>
  <c r="AH4" i="3"/>
  <c r="AH42" i="3" s="1"/>
  <c r="H11" i="2" s="1"/>
  <c r="AN27" i="3"/>
  <c r="AN40" i="3" s="1"/>
  <c r="N9" i="2" s="1"/>
  <c r="AJ4" i="3"/>
  <c r="AJ42" i="3" s="1"/>
  <c r="J11" i="2" s="1"/>
  <c r="AP15" i="3"/>
  <c r="AP44" i="3" s="1"/>
  <c r="P13" i="2" s="1"/>
  <c r="S20" i="3"/>
  <c r="AI15" i="3" s="1"/>
  <c r="AI44" i="3" s="1"/>
  <c r="I13" i="2" s="1"/>
  <c r="AM15" i="3"/>
  <c r="AM44" i="3" s="1"/>
  <c r="M13" i="2" s="1"/>
  <c r="AL15" i="3"/>
  <c r="AL44" i="3" s="1"/>
  <c r="L13" i="2" s="1"/>
  <c r="AF4" i="3"/>
  <c r="AF42" i="3" s="1"/>
  <c r="F11" i="2" s="1"/>
  <c r="AO3" i="3"/>
  <c r="AO39" i="3" s="1"/>
  <c r="O8" i="2" s="1"/>
  <c r="AF28" i="3"/>
  <c r="AF43" i="3" s="1"/>
  <c r="F12" i="2" s="1"/>
  <c r="AO27" i="3"/>
  <c r="AO40" i="3" s="1"/>
  <c r="O9" i="2" s="1"/>
  <c r="AP3" i="3"/>
  <c r="AP39" i="3" s="1"/>
  <c r="P8" i="2" s="1"/>
  <c r="AM3" i="3"/>
  <c r="AM39" i="3" s="1"/>
  <c r="I187" i="3"/>
  <c r="AE28" i="3"/>
  <c r="AE43" i="3" s="1"/>
  <c r="E12" i="2" s="1"/>
  <c r="I185" i="3"/>
  <c r="Q20" i="3"/>
  <c r="AN3" i="3"/>
  <c r="AN39" i="3" s="1"/>
  <c r="N8" i="2" s="1"/>
  <c r="I183" i="3"/>
  <c r="AP27" i="3"/>
  <c r="AP40" i="3" s="1"/>
  <c r="P9" i="2" s="1"/>
  <c r="I184" i="3"/>
  <c r="Y19" i="3"/>
  <c r="AO14" i="3" s="1"/>
  <c r="AO41" i="3" s="1"/>
  <c r="X19" i="3"/>
  <c r="AM14" i="3" s="1"/>
  <c r="AM41" i="3" s="1"/>
  <c r="I186" i="3"/>
  <c r="AA19" i="3"/>
  <c r="AP14" i="3" s="1"/>
  <c r="AP41" i="3" s="1"/>
  <c r="AM27" i="3"/>
  <c r="AM40" i="3" s="1"/>
  <c r="L7" i="1"/>
  <c r="L180" i="3"/>
  <c r="H180" i="3"/>
  <c r="L179" i="3"/>
  <c r="H179" i="3"/>
  <c r="L178" i="3"/>
  <c r="M178" i="3" s="1"/>
  <c r="H178" i="3"/>
  <c r="H177" i="3"/>
  <c r="S19" i="3" s="1"/>
  <c r="F145" i="3"/>
  <c r="F144" i="3"/>
  <c r="F143" i="3"/>
  <c r="F142" i="3"/>
  <c r="F141" i="3"/>
  <c r="F140" i="3"/>
  <c r="F139" i="3"/>
  <c r="F138" i="3"/>
  <c r="F137" i="3"/>
  <c r="F136" i="3"/>
  <c r="F135" i="3"/>
  <c r="A134" i="3"/>
  <c r="P16" i="3" s="1"/>
  <c r="F133" i="3"/>
  <c r="F132" i="3"/>
  <c r="F131" i="3"/>
  <c r="F130" i="3"/>
  <c r="Q137" i="3"/>
  <c r="V33" i="3"/>
  <c r="U33" i="3"/>
  <c r="T33" i="3"/>
  <c r="S33" i="3"/>
  <c r="R33" i="3"/>
  <c r="Q33" i="3"/>
  <c r="P33" i="3"/>
  <c r="AW23" i="3"/>
  <c r="AW22" i="3"/>
  <c r="BB21" i="3"/>
  <c r="BA20" i="3"/>
  <c r="AZ20" i="3"/>
  <c r="AZ23" i="3" s="1"/>
  <c r="AY20" i="3"/>
  <c r="AX20" i="3"/>
  <c r="AX23" i="3" s="1"/>
  <c r="R19" i="3"/>
  <c r="Q19" i="3"/>
  <c r="P19" i="3"/>
  <c r="AA18" i="3"/>
  <c r="Z18" i="3"/>
  <c r="Y18" i="3"/>
  <c r="X18" i="3"/>
  <c r="W18" i="3"/>
  <c r="V18" i="3"/>
  <c r="U18" i="3"/>
  <c r="T18" i="3"/>
  <c r="S18" i="3"/>
  <c r="R18" i="3"/>
  <c r="Q18" i="3"/>
  <c r="P18" i="3"/>
  <c r="AA17" i="3"/>
  <c r="Z17" i="3"/>
  <c r="Y17" i="3"/>
  <c r="X17" i="3"/>
  <c r="W17" i="3"/>
  <c r="V17" i="3"/>
  <c r="U17" i="3"/>
  <c r="T17" i="3"/>
  <c r="S17" i="3"/>
  <c r="R17" i="3"/>
  <c r="Q17" i="3"/>
  <c r="P17" i="3"/>
  <c r="AA16" i="3"/>
  <c r="Z16" i="3"/>
  <c r="Y16" i="3"/>
  <c r="X16" i="3"/>
  <c r="W16" i="3"/>
  <c r="V16" i="3"/>
  <c r="U16" i="3"/>
  <c r="T16" i="3"/>
  <c r="S16" i="3"/>
  <c r="R16" i="3"/>
  <c r="T15" i="3"/>
  <c r="V5" i="3"/>
  <c r="U5" i="3"/>
  <c r="T5" i="3"/>
  <c r="S5" i="3"/>
  <c r="R5" i="3"/>
  <c r="Q5" i="3"/>
  <c r="P5" i="3"/>
  <c r="AA4" i="3"/>
  <c r="Z4" i="3"/>
  <c r="Y4" i="3"/>
  <c r="X4" i="3"/>
  <c r="W4" i="3"/>
  <c r="V4" i="3"/>
  <c r="U4" i="3"/>
  <c r="T4" i="3"/>
  <c r="S4" i="3"/>
  <c r="R4" i="3"/>
  <c r="Q4" i="3"/>
  <c r="P4" i="3"/>
  <c r="AA3" i="3"/>
  <c r="Z3" i="3"/>
  <c r="Y3" i="3"/>
  <c r="X3" i="3"/>
  <c r="W3" i="3"/>
  <c r="V3" i="3"/>
  <c r="U3" i="3"/>
  <c r="T3" i="3"/>
  <c r="S3" i="3"/>
  <c r="R3" i="3"/>
  <c r="Q3" i="3"/>
  <c r="P3" i="3"/>
  <c r="N3" i="3"/>
  <c r="AZ32" i="3" l="1"/>
  <c r="AQ16" i="3"/>
  <c r="AQ47" i="3" s="1"/>
  <c r="Q14" i="2"/>
  <c r="AJ15" i="3"/>
  <c r="AJ44" i="3" s="1"/>
  <c r="J13" i="2" s="1"/>
  <c r="Q15" i="2"/>
  <c r="AH15" i="3"/>
  <c r="AH44" i="3" s="1"/>
  <c r="H13" i="2" s="1"/>
  <c r="AQ28" i="3"/>
  <c r="AQ43" i="3" s="1"/>
  <c r="U15" i="3"/>
  <c r="AG15" i="3"/>
  <c r="AG44" i="3" s="1"/>
  <c r="G13" i="2" s="1"/>
  <c r="AQ4" i="3"/>
  <c r="AQ42" i="3" s="1"/>
  <c r="Q11" i="2" s="1"/>
  <c r="Q16" i="3"/>
  <c r="BB23" i="3"/>
  <c r="BB22" i="3"/>
  <c r="M179" i="3"/>
  <c r="M180" i="3" s="1"/>
  <c r="M181" i="3" s="1"/>
  <c r="M182" i="3" s="1"/>
  <c r="M183" i="3" s="1"/>
  <c r="M184" i="3" s="1"/>
  <c r="M185" i="3" s="1"/>
  <c r="M186" i="3" s="1"/>
  <c r="M187" i="3" s="1"/>
  <c r="M188" i="3" s="1"/>
  <c r="M189" i="3" s="1"/>
  <c r="M190" i="3" s="1"/>
  <c r="M191" i="3" s="1"/>
  <c r="M192" i="3" s="1"/>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6" i="3" s="1"/>
  <c r="M217" i="3" s="1"/>
  <c r="M218" i="3" s="1"/>
  <c r="M219" i="3" s="1"/>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BA23" i="3"/>
  <c r="BA32" i="3" s="1"/>
  <c r="W4" i="2" s="1"/>
  <c r="BA22" i="3"/>
  <c r="V4" i="2"/>
  <c r="X2" i="2"/>
  <c r="AF15" i="3"/>
  <c r="AF44" i="3" s="1"/>
  <c r="F13" i="2" s="1"/>
  <c r="AE15" i="3"/>
  <c r="Y15" i="3"/>
  <c r="V15" i="3"/>
  <c r="Z15" i="3"/>
  <c r="F134" i="3"/>
  <c r="W15" i="3"/>
  <c r="AA15" i="3"/>
  <c r="X15" i="3"/>
  <c r="AY23" i="3"/>
  <c r="AY32" i="3" s="1"/>
  <c r="U4" i="2" s="1"/>
  <c r="I178" i="3"/>
  <c r="J178" i="3" s="1"/>
  <c r="T19" i="3"/>
  <c r="AI14" i="3" s="1"/>
  <c r="AI41" i="3" s="1"/>
  <c r="I181" i="3"/>
  <c r="V19" i="3"/>
  <c r="AL14" i="3" s="1"/>
  <c r="AL41" i="3" s="1"/>
  <c r="AN14" i="3"/>
  <c r="AN41" i="3" s="1"/>
  <c r="AH3" i="3"/>
  <c r="AI3" i="3"/>
  <c r="AI39" i="3" s="1"/>
  <c r="I179" i="3"/>
  <c r="U19" i="3"/>
  <c r="AX32" i="3"/>
  <c r="T4" i="2" s="1"/>
  <c r="AJ27" i="3"/>
  <c r="AJ40" i="3" s="1"/>
  <c r="AK3" i="3"/>
  <c r="AK39" i="3" s="1"/>
  <c r="AL3" i="3"/>
  <c r="AL39" i="3" s="1"/>
  <c r="AL27" i="3"/>
  <c r="AL40" i="3" s="1"/>
  <c r="AK27" i="3"/>
  <c r="AK40" i="3" s="1"/>
  <c r="I180" i="3"/>
  <c r="AJ3" i="3"/>
  <c r="AJ39" i="3" s="1"/>
  <c r="AI27" i="3"/>
  <c r="AI40" i="3" s="1"/>
  <c r="AX22" i="3"/>
  <c r="AX31" i="3" s="1"/>
  <c r="T3" i="2" s="1"/>
  <c r="AY21" i="3"/>
  <c r="AY30" i="3" s="1"/>
  <c r="U2" i="2" s="1"/>
  <c r="AY22" i="3"/>
  <c r="AY31" i="3" s="1"/>
  <c r="U3" i="2" s="1"/>
  <c r="AZ21" i="3"/>
  <c r="AZ30" i="3" s="1"/>
  <c r="V2" i="2" s="1"/>
  <c r="BA21" i="3"/>
  <c r="AX21" i="3"/>
  <c r="AX30" i="3" s="1"/>
  <c r="T2" i="2" s="1"/>
  <c r="AZ22" i="3"/>
  <c r="AZ31" i="3" s="1"/>
  <c r="V3" i="2" s="1"/>
  <c r="BA30" i="3" l="1"/>
  <c r="W2" i="2" s="1"/>
  <c r="BA31" i="3"/>
  <c r="W3" i="2" s="1"/>
  <c r="X3" i="2"/>
  <c r="Q12" i="2"/>
  <c r="Q16" i="2"/>
  <c r="AQ3" i="3"/>
  <c r="AQ39" i="3" s="1"/>
  <c r="J179" i="3"/>
  <c r="J180" i="3" s="1"/>
  <c r="J181" i="3" s="1"/>
  <c r="J182" i="3" s="1"/>
  <c r="J183" i="3" s="1"/>
  <c r="J184" i="3" s="1"/>
  <c r="J185" i="3" s="1"/>
  <c r="J186" i="3" s="1"/>
  <c r="J187" i="3" s="1"/>
  <c r="J188" i="3" s="1"/>
  <c r="J189" i="3" s="1"/>
  <c r="J190" i="3" s="1"/>
  <c r="J191" i="3" s="1"/>
  <c r="J192" i="3" s="1"/>
  <c r="J193" i="3" s="1"/>
  <c r="J194" i="3" s="1"/>
  <c r="J195" i="3" s="1"/>
  <c r="J196" i="3" s="1"/>
  <c r="J197" i="3" s="1"/>
  <c r="J198" i="3" s="1"/>
  <c r="J199" i="3" s="1"/>
  <c r="J200" i="3" s="1"/>
  <c r="J201" i="3" s="1"/>
  <c r="J202" i="3" s="1"/>
  <c r="J203" i="3" s="1"/>
  <c r="J204" i="3" s="1"/>
  <c r="J205" i="3" s="1"/>
  <c r="J206" i="3" s="1"/>
  <c r="J207" i="3" s="1"/>
  <c r="J208" i="3" s="1"/>
  <c r="J209" i="3" s="1"/>
  <c r="J210" i="3" s="1"/>
  <c r="J211" i="3" s="1"/>
  <c r="J212" i="3" s="1"/>
  <c r="J213" i="3" s="1"/>
  <c r="J214" i="3" s="1"/>
  <c r="J215" i="3" s="1"/>
  <c r="J216" i="3" s="1"/>
  <c r="J217" i="3" s="1"/>
  <c r="J218" i="3" s="1"/>
  <c r="J219" i="3" s="1"/>
  <c r="J220" i="3" s="1"/>
  <c r="J221" i="3" s="1"/>
  <c r="J222" i="3" s="1"/>
  <c r="J223" i="3" s="1"/>
  <c r="J224" i="3" s="1"/>
  <c r="J225" i="3" s="1"/>
  <c r="J226" i="3" s="1"/>
  <c r="J227" i="3" s="1"/>
  <c r="J228" i="3" s="1"/>
  <c r="J229" i="3" s="1"/>
  <c r="J230" i="3" s="1"/>
  <c r="J231" i="3" s="1"/>
  <c r="J232" i="3" s="1"/>
  <c r="J233" i="3" s="1"/>
  <c r="J234" i="3" s="1"/>
  <c r="J235" i="3" s="1"/>
  <c r="J236" i="3" s="1"/>
  <c r="J237" i="3" s="1"/>
  <c r="J238" i="3" s="1"/>
  <c r="J239" i="3" s="1"/>
  <c r="J240" i="3" s="1"/>
  <c r="J241" i="3" s="1"/>
  <c r="J242" i="3" s="1"/>
  <c r="J243" i="3" s="1"/>
  <c r="J244" i="3" s="1"/>
  <c r="J245" i="3" s="1"/>
  <c r="J246" i="3" s="1"/>
  <c r="J247" i="3" s="1"/>
  <c r="J248" i="3" s="1"/>
  <c r="AE44" i="3"/>
  <c r="E13" i="2" s="1"/>
  <c r="AQ15" i="3"/>
  <c r="AQ44" i="3" s="1"/>
  <c r="AQ27" i="3"/>
  <c r="AQ40" i="3" s="1"/>
  <c r="AJ14" i="3"/>
  <c r="AJ41" i="3" s="1"/>
  <c r="AK14" i="3"/>
  <c r="AK41" i="3" s="1"/>
  <c r="X4" i="2" l="1"/>
  <c r="Q13" i="2"/>
  <c r="AQ14" i="3"/>
  <c r="AQ41" i="3" s="1"/>
</calcChain>
</file>

<file path=xl/sharedStrings.xml><?xml version="1.0" encoding="utf-8"?>
<sst xmlns="http://schemas.openxmlformats.org/spreadsheetml/2006/main" count="222" uniqueCount="72">
  <si>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</si>
  <si>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</si>
  <si>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</si>
  <si>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</si>
  <si>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</si>
  <si>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</si>
  <si>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</si>
  <si>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</si>
  <si>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</si>
  <si>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</si>
  <si>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</si>
  <si>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</si>
  <si>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</si>
  <si>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</si>
  <si>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</si>
  <si>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</si>
  <si>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</si>
  <si>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</si>
  <si>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</si>
  <si>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Fondo LIQUIDEZ I</t>
  </si>
  <si>
    <t>8730-0</t>
  </si>
  <si>
    <t>Competencia Relevante (*)</t>
  </si>
  <si>
    <t>SERIE E</t>
  </si>
  <si>
    <t>BCI EFICIENTE</t>
  </si>
  <si>
    <t>(*) Acum a Mar</t>
  </si>
  <si>
    <t>LIQUIDEZ I</t>
  </si>
  <si>
    <t>FONDO Alto Patrimonio</t>
  </si>
  <si>
    <t>Ingresar mes actual==&gt;</t>
  </si>
  <si>
    <t>(*)</t>
  </si>
  <si>
    <t>Competencia</t>
  </si>
  <si>
    <t>FIP LIQUIDEZ I</t>
  </si>
  <si>
    <t>Rentabilidad</t>
  </si>
  <si>
    <t>Mensual</t>
  </si>
  <si>
    <t>Trimestral</t>
  </si>
  <si>
    <t>Semestral</t>
  </si>
  <si>
    <t>Anual</t>
  </si>
  <si>
    <t>Acum. 2026</t>
  </si>
  <si>
    <t>ICP (Bechmark)</t>
  </si>
  <si>
    <t>Año</t>
  </si>
  <si>
    <t>Fondo</t>
  </si>
  <si>
    <t>DIVIDENDO 2016</t>
  </si>
  <si>
    <t>Dividendo 2017</t>
  </si>
  <si>
    <t>Dividendo 2018</t>
  </si>
  <si>
    <t>Dividendo 2019</t>
  </si>
  <si>
    <t>Dividendo 2020</t>
  </si>
  <si>
    <t>Dividendo 2021</t>
  </si>
  <si>
    <t>Dividendo 2022</t>
  </si>
  <si>
    <t>Dividendo 2023</t>
  </si>
  <si>
    <t>Acum
2026 (*)</t>
  </si>
  <si>
    <t>ICP (Benchmark)</t>
  </si>
  <si>
    <t>Total
Año</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</si>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</sst>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_ * #,##0.000_ ;_ * \-#,##0.000_ ;_ * &quot;-&quot;_ ;_ @_ "/>
    <numFmt numFmtId="171" formatCode="[$$-1004]#,##0"/>
  </numFmts>
  <fonts count="29">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0"/>
      <color theme="1"/>
      <name val="Be Vietnam Pro Light"/>
    </font>
    <font>
      <sz val="10"/>
      <color theme="1"/>
      <name val="Be Vietnam Pro Medium"/>
    </font>
    <font>
      <sz val="10"/>
      <color theme="0"/>
      <name val="Be Vietnam Pro Light"/>
    </font>
    <font>
      <sz val="9"/>
      <color theme="1"/>
      <name val="Be Vietnam Pro Light"/>
    </font>
    <font>
      <sz val="7"/>
      <color rgb="FF000000"/>
      <name val="Arial"/>
      <family val="2"/>
    </font>
    <font>
      <sz val="11"/>
      <color rgb="FF000000"/>
      <name val="Aptos Narrow"/>
    </font>
    <font>
      <sz val="8.8000000000000007"/>
      <color rgb="FF666666"/>
      <name val="Muli"/>
      <charset val="1"/>
    </font>
    <font>
      <sz val="11"/>
      <color rgb="FF000000"/>
      <name val="Aptos Narrow"/>
      <family val="2"/>
    </font>
  </fonts>
  <fills count="17">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rgb="FFF8F8F8"/>
        <bgColor indexed="64"/>
      </patternFill>
    </fill>
    <fill>
      <patternFill patternType="solid">
        <fgColor rgb="FFDAF2D0"/>
        <bgColor rgb="FFDAF2D0"/>
      </patternFill>
    </fill>
  </fills>
  <borders count="5">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83">
    <xf numFmtId="0" fontId="0" fillId="0" borderId="0"/>
    <xf numFmtId="0" fontId="7" fillId="0" borderId="0"/>
    <xf numFmtId="0" fontId="5" fillId="0" borderId="0"/>
    <xf numFmtId="9" fontId="5" fillId="0" borderId="0" applyFont="0" applyFill="0" applyBorder="0" applyAlignment="0" applyProtection="0"/>
    <xf numFmtId="9" fontId="7" fillId="0" borderId="0" applyFont="0" applyFill="0" applyBorder="0" applyAlignment="0" applyProtection="0"/>
    <xf numFmtId="164" fontId="7" fillId="0" borderId="0" applyFont="0" applyFill="0" applyBorder="0" applyAlignment="0" applyProtection="0"/>
    <xf numFmtId="9" fontId="5"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71" fontId="25" fillId="14" borderId="2">
      <alignment vertical="center"/>
    </xf>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cellStyleXfs>
  <cellXfs count="98">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6" fillId="0" borderId="0" xfId="0" applyFont="1"/>
    <xf numFmtId="0" fontId="6" fillId="0" borderId="0" xfId="1" applyFont="1"/>
    <xf numFmtId="165" fontId="6" fillId="0" borderId="0" xfId="1" applyNumberFormat="1" applyFont="1"/>
    <xf numFmtId="166" fontId="6" fillId="0" borderId="0" xfId="1" applyNumberFormat="1" applyFont="1"/>
    <xf numFmtId="0" fontId="6" fillId="4" borderId="0" xfId="1" applyFont="1" applyFill="1"/>
    <xf numFmtId="0" fontId="8" fillId="5" borderId="0" xfId="1" applyFont="1" applyFill="1"/>
    <xf numFmtId="0" fontId="9" fillId="5" borderId="0" xfId="1" applyFont="1" applyFill="1" applyAlignment="1">
      <alignment horizontal="center"/>
    </xf>
    <xf numFmtId="0" fontId="6" fillId="6" borderId="0" xfId="1" applyFont="1" applyFill="1"/>
    <xf numFmtId="0" fontId="6" fillId="0" borderId="0" xfId="1" applyFont="1" applyAlignment="1">
      <alignment horizontal="center"/>
    </xf>
    <xf numFmtId="165" fontId="6" fillId="0" borderId="0" xfId="1" applyNumberFormat="1" applyFont="1" applyAlignment="1">
      <alignment horizontal="center"/>
    </xf>
    <xf numFmtId="0" fontId="6" fillId="0" borderId="1" xfId="2" applyFont="1" applyBorder="1"/>
    <xf numFmtId="10" fontId="6" fillId="0" borderId="0" xfId="3" applyNumberFormat="1" applyFont="1"/>
    <xf numFmtId="0" fontId="9" fillId="4" borderId="0" xfId="1" applyFont="1" applyFill="1" applyAlignment="1">
      <alignment horizontal="center"/>
    </xf>
    <xf numFmtId="10" fontId="10" fillId="4" borderId="0" xfId="4" applyNumberFormat="1" applyFont="1" applyFill="1" applyBorder="1" applyAlignment="1">
      <alignment horizontal="center"/>
    </xf>
    <xf numFmtId="10" fontId="11" fillId="4" borderId="0" xfId="4" applyNumberFormat="1" applyFont="1" applyFill="1" applyBorder="1" applyAlignment="1">
      <alignment horizontal="center"/>
    </xf>
    <xf numFmtId="14" fontId="6" fillId="0" borderId="0" xfId="1" applyNumberFormat="1" applyFont="1"/>
    <xf numFmtId="4" fontId="6" fillId="0" borderId="0" xfId="1" applyNumberFormat="1" applyFont="1"/>
    <xf numFmtId="2" fontId="6" fillId="0" borderId="0" xfId="1" applyNumberFormat="1" applyFont="1"/>
    <xf numFmtId="167" fontId="6" fillId="0" borderId="0" xfId="1" applyNumberFormat="1" applyFont="1"/>
    <xf numFmtId="0" fontId="9" fillId="6" borderId="0" xfId="1" applyFont="1" applyFill="1" applyAlignment="1">
      <alignment horizontal="center"/>
    </xf>
    <xf numFmtId="10" fontId="10" fillId="6" borderId="0" xfId="4" applyNumberFormat="1" applyFont="1" applyFill="1" applyBorder="1" applyAlignment="1">
      <alignment horizontal="center"/>
    </xf>
    <xf numFmtId="10" fontId="11" fillId="6" borderId="0" xfId="4" applyNumberFormat="1" applyFont="1" applyFill="1" applyBorder="1" applyAlignment="1">
      <alignment horizontal="center"/>
    </xf>
    <xf numFmtId="168" fontId="6" fillId="0" borderId="0" xfId="1" applyNumberFormat="1" applyFont="1"/>
    <xf numFmtId="10" fontId="6" fillId="0" borderId="0" xfId="4" applyNumberFormat="1" applyFont="1" applyFill="1" applyBorder="1"/>
    <xf numFmtId="0" fontId="10" fillId="6" borderId="0" xfId="1" applyFont="1" applyFill="1" applyAlignment="1">
      <alignment horizontal="left"/>
    </xf>
    <xf numFmtId="10" fontId="10" fillId="0" borderId="0" xfId="4" applyNumberFormat="1" applyFont="1" applyFill="1" applyBorder="1" applyAlignment="1">
      <alignment horizontal="center"/>
    </xf>
    <xf numFmtId="0" fontId="6" fillId="2" borderId="0" xfId="1" applyFont="1" applyFill="1"/>
    <xf numFmtId="0" fontId="8" fillId="5" borderId="0" xfId="1" applyFont="1" applyFill="1" applyAlignment="1">
      <alignment horizontal="right"/>
    </xf>
    <xf numFmtId="0" fontId="6" fillId="2" borderId="0" xfId="1" applyFont="1" applyFill="1" applyAlignment="1">
      <alignment horizontal="right"/>
    </xf>
    <xf numFmtId="14" fontId="6" fillId="2" borderId="0" xfId="1" applyNumberFormat="1" applyFont="1" applyFill="1"/>
    <xf numFmtId="0" fontId="6" fillId="0" borderId="0" xfId="1" applyFont="1" applyAlignment="1">
      <alignment horizontal="right"/>
    </xf>
    <xf numFmtId="4" fontId="6" fillId="2" borderId="0" xfId="1" applyNumberFormat="1" applyFont="1" applyFill="1"/>
    <xf numFmtId="169" fontId="6" fillId="0" borderId="0" xfId="5" quotePrefix="1" applyNumberFormat="1" applyFont="1" applyFill="1" applyBorder="1"/>
    <xf numFmtId="0" fontId="6" fillId="3" borderId="0" xfId="1" applyFont="1" applyFill="1"/>
    <xf numFmtId="0" fontId="12" fillId="7" borderId="0" xfId="1" applyFont="1" applyFill="1" applyAlignment="1">
      <alignment horizontal="center"/>
    </xf>
    <xf numFmtId="0" fontId="13" fillId="8" borderId="0" xfId="1" applyFont="1" applyFill="1" applyAlignment="1">
      <alignment horizontal="center"/>
    </xf>
    <xf numFmtId="0" fontId="13" fillId="7" borderId="0" xfId="1" applyFont="1" applyFill="1" applyAlignment="1">
      <alignment horizontal="center"/>
    </xf>
    <xf numFmtId="0" fontId="9" fillId="0" borderId="0" xfId="1" applyFont="1" applyAlignment="1">
      <alignment horizontal="center"/>
    </xf>
    <xf numFmtId="10" fontId="14" fillId="8" borderId="0" xfId="4" applyNumberFormat="1" applyFont="1" applyFill="1" applyBorder="1" applyAlignment="1">
      <alignment horizontal="center"/>
    </xf>
    <xf numFmtId="10" fontId="14" fillId="7" borderId="0" xfId="4" applyNumberFormat="1" applyFont="1" applyFill="1" applyBorder="1" applyAlignment="1">
      <alignment horizontal="center"/>
    </xf>
    <xf numFmtId="0" fontId="6" fillId="7" borderId="0" xfId="1" applyFont="1" applyFill="1"/>
    <xf numFmtId="0" fontId="15" fillId="6" borderId="0" xfId="1" applyFont="1" applyFill="1" applyAlignment="1">
      <alignment horizontal="left"/>
    </xf>
    <xf numFmtId="0" fontId="16" fillId="9" borderId="0" xfId="1" applyFont="1" applyFill="1" applyAlignment="1">
      <alignment horizontal="center"/>
    </xf>
    <xf numFmtId="0" fontId="17" fillId="5" borderId="0" xfId="1" applyFont="1" applyFill="1" applyAlignment="1">
      <alignment horizontal="center"/>
    </xf>
    <xf numFmtId="0" fontId="17" fillId="10" borderId="0" xfId="1" applyFont="1" applyFill="1" applyAlignment="1">
      <alignment horizontal="center"/>
    </xf>
    <xf numFmtId="10" fontId="18" fillId="10" borderId="0" xfId="4" applyNumberFormat="1" applyFont="1" applyFill="1" applyBorder="1" applyAlignment="1">
      <alignment horizontal="center"/>
    </xf>
    <xf numFmtId="10" fontId="17" fillId="8" borderId="0" xfId="4" applyNumberFormat="1" applyFont="1" applyFill="1" applyBorder="1" applyAlignment="1">
      <alignment horizontal="center"/>
    </xf>
    <xf numFmtId="10" fontId="11" fillId="0" borderId="0" xfId="4" applyNumberFormat="1" applyFont="1" applyFill="1" applyBorder="1" applyAlignment="1">
      <alignment horizontal="center"/>
    </xf>
    <xf numFmtId="0" fontId="19" fillId="7" borderId="0" xfId="1" applyFont="1" applyFill="1" applyAlignment="1">
      <alignment horizontal="left"/>
    </xf>
    <xf numFmtId="0" fontId="10" fillId="0" borderId="0" xfId="1" applyFont="1" applyAlignment="1">
      <alignment horizontal="left"/>
    </xf>
    <xf numFmtId="165" fontId="6" fillId="0" borderId="0" xfId="4" applyNumberFormat="1" applyFont="1" applyFill="1" applyBorder="1"/>
    <xf numFmtId="0" fontId="20" fillId="0" borderId="0" xfId="1" applyFont="1"/>
    <xf numFmtId="2" fontId="6" fillId="2" borderId="0" xfId="1" applyNumberFormat="1" applyFont="1" applyFill="1"/>
    <xf numFmtId="169" fontId="6" fillId="2" borderId="0" xfId="5" quotePrefix="1" applyNumberFormat="1" applyFont="1" applyFill="1" applyBorder="1"/>
    <xf numFmtId="10" fontId="10" fillId="8" borderId="0" xfId="4" applyNumberFormat="1" applyFont="1" applyFill="1" applyBorder="1" applyAlignment="1">
      <alignment horizontal="center"/>
    </xf>
    <xf numFmtId="10" fontId="6" fillId="0" borderId="0" xfId="6" applyNumberFormat="1" applyFont="1" applyFill="1" applyBorder="1"/>
    <xf numFmtId="10" fontId="10" fillId="3" borderId="0" xfId="4" applyNumberFormat="1" applyFont="1" applyFill="1" applyBorder="1" applyAlignment="1">
      <alignment horizontal="center"/>
    </xf>
    <xf numFmtId="164" fontId="6" fillId="0" borderId="0" xfId="7" applyFont="1" applyFill="1" applyBorder="1"/>
    <xf numFmtId="164" fontId="6" fillId="0" borderId="0" xfId="1" applyNumberFormat="1" applyFont="1"/>
    <xf numFmtId="14" fontId="0" fillId="0" borderId="0" xfId="0" applyNumberFormat="1"/>
    <xf numFmtId="10" fontId="0" fillId="0" borderId="0" xfId="0" applyNumberFormat="1"/>
    <xf numFmtId="170" fontId="6" fillId="0" borderId="0" xfId="7" applyNumberFormat="1" applyFont="1" applyFill="1" applyBorder="1"/>
    <xf numFmtId="0" fontId="16" fillId="11" borderId="0" xfId="1" applyFont="1" applyFill="1" applyAlignment="1">
      <alignment horizontal="center" vertical="center"/>
    </xf>
    <xf numFmtId="167" fontId="6" fillId="12" borderId="0" xfId="1" applyNumberFormat="1" applyFont="1" applyFill="1"/>
    <xf numFmtId="169" fontId="6" fillId="0" borderId="0" xfId="8" applyNumberFormat="1" applyFont="1" applyFill="1" applyBorder="1"/>
    <xf numFmtId="169" fontId="6" fillId="0" borderId="0" xfId="9" applyNumberFormat="1" applyFont="1" applyFill="1" applyBorder="1"/>
    <xf numFmtId="10" fontId="6" fillId="6" borderId="0" xfId="6" applyNumberFormat="1" applyFont="1" applyFill="1" applyBorder="1"/>
    <xf numFmtId="10" fontId="6" fillId="0" borderId="0" xfId="1" applyNumberFormat="1" applyFont="1"/>
    <xf numFmtId="14" fontId="6" fillId="12" borderId="0" xfId="1" applyNumberFormat="1" applyFont="1" applyFill="1"/>
    <xf numFmtId="0" fontId="21" fillId="0" borderId="0" xfId="0" applyFont="1" applyAlignment="1">
      <alignment vertical="center"/>
    </xf>
    <xf numFmtId="0" fontId="21" fillId="0" borderId="0" xfId="0" applyFont="1" applyAlignment="1">
      <alignment horizontal="left"/>
    </xf>
    <xf numFmtId="0" fontId="21" fillId="0" borderId="0" xfId="0" applyFont="1"/>
    <xf numFmtId="0" fontId="21" fillId="0" borderId="0" xfId="0" applyFont="1" applyAlignment="1">
      <alignment horizontal="right"/>
    </xf>
    <xf numFmtId="0" fontId="22" fillId="0" borderId="0" xfId="0" applyFont="1" applyAlignment="1">
      <alignment horizontal="left" vertical="center"/>
    </xf>
    <xf numFmtId="0" fontId="22" fillId="0" borderId="0" xfId="0" applyFont="1" applyAlignment="1">
      <alignment horizontal="center" vertical="center"/>
    </xf>
    <xf numFmtId="0" fontId="22" fillId="0" borderId="0" xfId="0" applyFont="1" applyAlignment="1">
      <alignment horizontal="center" vertical="center" wrapText="1"/>
    </xf>
    <xf numFmtId="10" fontId="21" fillId="0" borderId="0" xfId="0" applyNumberFormat="1" applyFont="1" applyAlignment="1">
      <alignment horizontal="center"/>
    </xf>
    <xf numFmtId="0" fontId="21" fillId="0" borderId="0" xfId="0" applyFont="1" applyAlignment="1">
      <alignment horizontal="center"/>
    </xf>
    <xf numFmtId="0" fontId="22" fillId="0" borderId="0" xfId="0" applyFont="1" applyAlignment="1">
      <alignment vertical="center"/>
    </xf>
    <xf numFmtId="0" fontId="23" fillId="13" borderId="0" xfId="0" applyFont="1" applyFill="1"/>
    <xf numFmtId="10" fontId="23" fillId="13" borderId="0" xfId="0" applyNumberFormat="1" applyFont="1" applyFill="1"/>
    <xf numFmtId="0" fontId="24" fillId="0" borderId="0" xfId="0" applyFont="1" applyAlignment="1">
      <alignment vertical="center" wrapText="1"/>
    </xf>
    <xf numFmtId="14" fontId="26" fillId="0" borderId="0" xfId="0" applyNumberFormat="1" applyFont="1"/>
    <xf numFmtId="2" fontId="26" fillId="0" borderId="0" xfId="0" applyNumberFormat="1" applyFont="1"/>
    <xf numFmtId="0" fontId="27" fillId="15" borderId="3" xfId="0" applyFont="1" applyFill="1" applyBorder="1" applyAlignment="1">
      <alignment wrapText="1"/>
    </xf>
    <xf numFmtId="0" fontId="27" fillId="15" borderId="3" xfId="0" applyFont="1" applyFill="1" applyBorder="1"/>
    <xf numFmtId="165" fontId="28" fillId="16" borderId="4" xfId="0" applyNumberFormat="1" applyFont="1" applyFill="1" applyBorder="1"/>
    <xf numFmtId="165" fontId="28" fillId="0" borderId="4" xfId="0" applyNumberFormat="1" applyFont="1" applyBorder="1"/>
    <xf numFmtId="0" fontId="9" fillId="7" borderId="0" xfId="1" applyFont="1" applyFill="1" applyAlignment="1">
      <alignment horizontal="center" vertical="center"/>
    </xf>
    <xf numFmtId="0" fontId="16" fillId="11" borderId="0" xfId="1" applyFont="1" applyFill="1" applyAlignment="1">
      <alignment horizontal="center" vertical="center"/>
    </xf>
  </cellXfs>
  <cellStyles count="83">
    <cellStyle name="EstiloDetalle" xfId="42" xr:uid="{31AD2CB4-F485-4BF9-8B1A-3359E3A3AA77}"/>
    <cellStyle name="Millares [0]" xfId="7" builtinId="6"/>
    <cellStyle name="Millares [0] 10" xfId="41" xr:uid="{C478ACC4-3F0C-46D9-9B92-481F7C338792}"/>
    <cellStyle name="Millares [0] 11" xfId="29" xr:uid="{3E6BB4D3-6CBE-436E-8C3A-6358691D791F}"/>
    <cellStyle name="Millares [0] 12" xfId="25" xr:uid="{848CFCB0-FBDB-4962-B3EA-AE95731D985C}"/>
    <cellStyle name="Millares [0] 2" xfId="5" xr:uid="{00000000-0005-0000-0000-000001000000}"/>
    <cellStyle name="Millares [0] 2 10" xfId="61" xr:uid="{49FE40C3-C7C1-4C8D-9EC2-AE9F9CFCA257}"/>
    <cellStyle name="Millares [0] 2 11" xfId="47" xr:uid="{3EFF0FFB-ED2D-49B2-B498-8AF6C7EDC67B}"/>
    <cellStyle name="Millares [0] 2 12" xfId="40" xr:uid="{76E62867-5740-4C9A-9053-AB471662B7B0}"/>
    <cellStyle name="Millares [0] 2 13" xfId="28" xr:uid="{DF76117A-12DC-45D5-9874-0A8AB4D92D82}"/>
    <cellStyle name="Millares [0] 2 14" xfId="24" xr:uid="{F3595CD4-4157-4602-BC22-8CCD9CCC79E4}"/>
    <cellStyle name="Millares [0] 2 15" xfId="14" xr:uid="{334568A4-7312-41CC-9DB4-8A2938C59D98}"/>
    <cellStyle name="Millares [0] 2 2" xfId="8" xr:uid="{00000000-0005-0000-0000-000002000000}"/>
    <cellStyle name="Millares [0] 2 2 10" xfId="15" xr:uid="{58BE84AF-D321-48B1-B7C3-619DD69ADB33}"/>
    <cellStyle name="Millares [0] 2 2 2" xfId="11" xr:uid="{A178C537-0C29-4115-BFC0-B6DEA17376F4}"/>
    <cellStyle name="Millares [0] 2 2 2 2" xfId="80" xr:uid="{1722A4A3-2098-4F57-91CA-C301CB6AFD1E}"/>
    <cellStyle name="Millares [0] 2 2 2 3" xfId="58" xr:uid="{595E30AA-B7C5-4DBE-8428-CDA62F31B0D7}"/>
    <cellStyle name="Millares [0] 2 2 2 4" xfId="37" xr:uid="{E686D9CC-1B74-4C1D-BAD2-7DEE7F836E1F}"/>
    <cellStyle name="Millares [0] 2 2 2 5" xfId="21" xr:uid="{DD8C6B87-7692-4400-B1D8-536DD8D39358}"/>
    <cellStyle name="Millares [0] 2 2 3" xfId="18" xr:uid="{43AD25C8-BAB6-409A-BE4C-B9B4C87DA100}"/>
    <cellStyle name="Millares [0] 2 2 3 2" xfId="77" xr:uid="{0216786E-E37C-4729-AC1A-A2F8C5D3CE58}"/>
    <cellStyle name="Millares [0] 2 2 3 3" xfId="55" xr:uid="{8B555A89-0C41-4C10-B499-7A7660236DEE}"/>
    <cellStyle name="Millares [0] 2 2 3 4" xfId="34" xr:uid="{1EA88A42-1D72-4434-8411-18F0AF9DA2BA}"/>
    <cellStyle name="Millares [0] 2 2 4" xfId="74" xr:uid="{21AF3898-7BF8-473C-B363-CE5AF769AC70}"/>
    <cellStyle name="Millares [0] 2 2 5" xfId="65" xr:uid="{3BBD21EE-0D29-4A64-B01C-7713C2D69735}"/>
    <cellStyle name="Millares [0] 2 2 6" xfId="52" xr:uid="{B09485AD-6506-486C-B6AF-ED65C473268A}"/>
    <cellStyle name="Millares [0] 2 2 7" xfId="45" xr:uid="{68A9B4A5-0810-4031-B0B3-6281C56C0819}"/>
    <cellStyle name="Millares [0] 2 2 8" xfId="31" xr:uid="{C69D051D-AC79-429E-9136-F436A78C9D6F}"/>
    <cellStyle name="Millares [0] 2 2 9" xfId="26" xr:uid="{DE55A5B0-803E-498F-B223-449284899C7A}"/>
    <cellStyle name="Millares [0] 2 3" xfId="12" xr:uid="{DABB2B77-6D82-43E2-B84E-9579B2CC9134}"/>
    <cellStyle name="Millares [0] 2 3 2" xfId="81" xr:uid="{73F7C9CA-71AD-4584-A901-D53C6B4BEF40}"/>
    <cellStyle name="Millares [0] 2 3 3" xfId="63" xr:uid="{D45F5BB3-CF22-4786-8262-5AA06F721AE5}"/>
    <cellStyle name="Millares [0] 2 3 4" xfId="59" xr:uid="{D9619D95-2070-4A2D-B04E-BFB177E396C8}"/>
    <cellStyle name="Millares [0] 2 3 5" xfId="43" xr:uid="{7AD2DA99-F7CC-4240-80DB-DBF1FD683679}"/>
    <cellStyle name="Millares [0] 2 3 6" xfId="38" xr:uid="{69413F46-898B-4A66-8C49-5294D1301E29}"/>
    <cellStyle name="Millares [0] 2 3 7" xfId="22" xr:uid="{A7C490D4-AB7A-46E7-A34D-E6F0B54CEC94}"/>
    <cellStyle name="Millares [0] 2 4" xfId="10" xr:uid="{24DE8563-1FA3-4B89-9684-C7C7F7DF6986}"/>
    <cellStyle name="Millares [0] 2 4 2" xfId="79" xr:uid="{6F49BE06-0AFA-4E03-8456-E536F94E6ED9}"/>
    <cellStyle name="Millares [0] 2 4 3" xfId="57" xr:uid="{DA7DC373-4CD7-4C6E-81E4-82023570CBA2}"/>
    <cellStyle name="Millares [0] 2 4 4" xfId="36" xr:uid="{CA0B306B-771C-4059-8909-9BCE5A2B49C7}"/>
    <cellStyle name="Millares [0] 2 4 5" xfId="20" xr:uid="{096BC3D5-F135-4E0B-865D-24290F8A53C2}"/>
    <cellStyle name="Millares [0] 2 5" xfId="16" xr:uid="{EDB29F8C-9B4D-4866-BB7D-0A2A88376BEE}"/>
    <cellStyle name="Millares [0] 2 5 2" xfId="75" xr:uid="{4687F2B7-A9DD-4CD3-8612-00D0518B6691}"/>
    <cellStyle name="Millares [0] 2 5 3" xfId="53" xr:uid="{396DE2F6-4D1F-4F9F-8B28-CDC8C0CC2040}"/>
    <cellStyle name="Millares [0] 2 5 4" xfId="32" xr:uid="{DAE12A4A-EB59-4BA6-AA7A-D98C2A295FBB}"/>
    <cellStyle name="Millares [0] 2 6" xfId="30" xr:uid="{9FD008DF-301F-4BF3-B944-4D36B7E5041E}"/>
    <cellStyle name="Millares [0] 2 6 2" xfId="73" xr:uid="{5E4F6CF5-37D7-48E9-ADBD-77986E44C5F2}"/>
    <cellStyle name="Millares [0] 2 6 3" xfId="51" xr:uid="{3D673F29-4600-4C0F-A557-C671EDBEB4A4}"/>
    <cellStyle name="Millares [0] 2 7" xfId="49" xr:uid="{5F8082CD-2C2C-4BAB-BDE1-03149BAD139D}"/>
    <cellStyle name="Millares [0] 2 7 2" xfId="71" xr:uid="{B49C02D2-3C01-47B8-80CB-CACC5B9EABB8}"/>
    <cellStyle name="Millares [0] 2 8" xfId="69" xr:uid="{9A6CAF2E-766B-45C2-9E7D-8005B576E692}"/>
    <cellStyle name="Millares [0] 2 9" xfId="67" xr:uid="{13E0721C-CE53-46EC-A992-87BADE58AA81}"/>
    <cellStyle name="Millares [0] 3" xfId="9" xr:uid="{00000000-0005-0000-0000-000003000000}"/>
    <cellStyle name="Millares [0] 3 2" xfId="13" xr:uid="{A87B7C59-C157-4107-94F0-D48E6E8487E2}"/>
    <cellStyle name="Millares [0] 3 2 2" xfId="82" xr:uid="{F2449CAC-2BD1-4ACF-BF47-0F297E3A48D4}"/>
    <cellStyle name="Millares [0] 3 2 3" xfId="60" xr:uid="{F9D0E365-0F8E-4182-963A-96ADD876ED91}"/>
    <cellStyle name="Millares [0] 3 2 4" xfId="39" xr:uid="{CF373533-5587-4BA2-ADB0-97A9465EC841}"/>
    <cellStyle name="Millares [0] 3 2 5" xfId="23" xr:uid="{6AC0A7AB-AADE-445D-944A-7CC6E9A6D585}"/>
    <cellStyle name="Millares [0] 3 3" xfId="78" xr:uid="{C0EB4F2F-1136-40DA-9C8D-4421594579DC}"/>
    <cellStyle name="Millares [0] 3 4" xfId="66" xr:uid="{9F408F3C-A359-4F6B-91FB-DAF5E0FAAC1D}"/>
    <cellStyle name="Millares [0] 3 5" xfId="56" xr:uid="{1073701E-2E43-47FF-B0D7-FEF9D7E02EC3}"/>
    <cellStyle name="Millares [0] 3 6" xfId="46" xr:uid="{C4577448-A580-4958-81C6-95390CE238B9}"/>
    <cellStyle name="Millares [0] 3 7" xfId="35" xr:uid="{695B308E-7AC5-47B6-8570-661FD73CD2AB}"/>
    <cellStyle name="Millares [0] 3 8" xfId="27" xr:uid="{DE67B341-C159-468E-AD9B-D0F108B0A7A2}"/>
    <cellStyle name="Millares [0] 3 9" xfId="19" xr:uid="{8CF1C6AB-32FF-48D5-96E6-E720494BEE1F}"/>
    <cellStyle name="Millares [0] 4" xfId="17" xr:uid="{0154F5A9-6DC6-4B92-B6B2-D60AF09C408B}"/>
    <cellStyle name="Millares [0] 4 2" xfId="76" xr:uid="{C69FA71C-E82F-443A-B248-3723F7ABF6B4}"/>
    <cellStyle name="Millares [0] 4 3" xfId="64" xr:uid="{25406A03-6D30-4225-A603-F5C12AE29653}"/>
    <cellStyle name="Millares [0] 4 4" xfId="54" xr:uid="{86944391-15B7-4B3C-AA4A-6AB2085554AB}"/>
    <cellStyle name="Millares [0] 4 5" xfId="44" xr:uid="{F15B56B6-82FC-4B02-A2EA-88616A2177B2}"/>
    <cellStyle name="Millares [0] 4 6" xfId="33" xr:uid="{5FA424D1-8F32-4D9C-A91F-B77160F21F41}"/>
    <cellStyle name="Millares [0] 5" xfId="50" xr:uid="{3AFA9321-D83A-49BD-8506-464A2E05DBF2}"/>
    <cellStyle name="Millares [0] 5 2" xfId="72" xr:uid="{89840BE9-C6F7-40DE-A677-13ABC3C4D3CF}"/>
    <cellStyle name="Millares [0] 6" xfId="70" xr:uid="{D10862BD-41E2-48BD-84E5-A85590D44112}"/>
    <cellStyle name="Millares [0] 7" xfId="68" xr:uid="{1F3E1BDA-0D8B-423E-9F2E-F392E137CDDC}"/>
    <cellStyle name="Millares [0] 8" xfId="62" xr:uid="{52ECCA7A-898C-4A2F-8F27-1F636187922F}"/>
    <cellStyle name="Millares [0] 9" xfId="48" xr:uid="{0DB48408-F596-4216-94D9-D1F1CF88F07F}"/>
    <cellStyle name="Normal" xfId="0" builtinId="0"/>
    <cellStyle name="Normal 2" xfId="1" xr:uid="{00000000-0005-0000-0000-000005000000}"/>
    <cellStyle name="Normal 54" xfId="2" xr:uid="{00000000-0005-0000-0000-000006000000}"/>
    <cellStyle name="Porcentaje" xfId="6" builtinId="5"/>
    <cellStyle name="Porcentaje 2" xfId="4" xr:uid="{00000000-0005-0000-0000-000008000000}"/>
    <cellStyle name="Porcentaje 29" xfId="3" xr:uid="{00000000-0005-0000-0000-000009000000}"/>
  </cellStyles>
  <dxfs count="0"/>
  <tableStyles count="1" defaultTableStyle="TableStyleMedium2" defaultPivotStyle="PivotStyleLight16">
    <tableStyle name="Invisible" pivot="0" table="0" count="0" xr9:uid="{D290D95F-703B-4D96-98E8-822D69B505C9}"/>
  </tableStyles>
  <colors>
    <mruColors>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1" Type="http://schemas.openxmlformats.org/officeDocument/2006/relationships/themeOverride" Target="../theme/themeOverrid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(2)'!$A$3:$A$187</c:f>
              <c:numCache>
                <c:formatCode>dd\-mm\-yyyy</c:formatCode>
                <c:ptCount val="185"/>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9" formatCode="m/d/yyyy">
                  <c:v>38960</c:v>
                </c:pt>
                <c:pt idx="10" formatCode="m/d/yyyy">
                  <c:v>38989</c:v>
                </c:pt>
                <c:pt idx="11" formatCode="m/d/yyyy">
                  <c:v>39021</c:v>
                </c:pt>
                <c:pt idx="12" formatCode="m/d/yyyy">
                  <c:v>39051</c:v>
                </c:pt>
                <c:pt idx="13" formatCode="m/d/yyyy">
                  <c:v>39080</c:v>
                </c:pt>
                <c:pt idx="14" formatCode="m/d/yyyy">
                  <c:v>39113</c:v>
                </c:pt>
                <c:pt idx="15" formatCode="m/d/yyyy">
                  <c:v>39141</c:v>
                </c:pt>
                <c:pt idx="16" formatCode="m/d/yyyy">
                  <c:v>39171</c:v>
                </c:pt>
                <c:pt idx="17" formatCode="m/d/yyyy">
                  <c:v>39202</c:v>
                </c:pt>
                <c:pt idx="18" formatCode="m/d/yyyy">
                  <c:v>39233</c:v>
                </c:pt>
                <c:pt idx="19" formatCode="m/d/yyyy">
                  <c:v>39262</c:v>
                </c:pt>
                <c:pt idx="20" formatCode="m/d/yyyy">
                  <c:v>39294</c:v>
                </c:pt>
                <c:pt idx="21" formatCode="m/d/yyyy">
                  <c:v>39325</c:v>
                </c:pt>
                <c:pt idx="23" formatCode="m/d/yyyy">
                  <c:v>39353</c:v>
                </c:pt>
                <c:pt idx="24" formatCode="m/d/yyyy">
                  <c:v>39386</c:v>
                </c:pt>
                <c:pt idx="25" formatCode="m/d/yyyy">
                  <c:v>39416</c:v>
                </c:pt>
                <c:pt idx="26" formatCode="m/d/yyyy">
                  <c:v>39447</c:v>
                </c:pt>
                <c:pt idx="27" formatCode="m/d/yyyy">
                  <c:v>39478</c:v>
                </c:pt>
                <c:pt idx="28" formatCode="m/d/yyyy">
                  <c:v>39507</c:v>
                </c:pt>
                <c:pt idx="29" formatCode="m/d/yyyy">
                  <c:v>39538</c:v>
                </c:pt>
                <c:pt idx="30" formatCode="m/d/yyyy">
                  <c:v>39568</c:v>
                </c:pt>
                <c:pt idx="31" formatCode="m/d/yyyy">
                  <c:v>39598</c:v>
                </c:pt>
                <c:pt idx="32" formatCode="m/d/yyyy">
                  <c:v>39629</c:v>
                </c:pt>
                <c:pt idx="33" formatCode="m/d/yyyy">
                  <c:v>39660</c:v>
                </c:pt>
                <c:pt idx="34"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pt idx="153" formatCode="m/d/yyyy">
                  <c:v>43312</c:v>
                </c:pt>
                <c:pt idx="154" formatCode="m/d/yyyy">
                  <c:v>43343</c:v>
                </c:pt>
                <c:pt idx="155" formatCode="m/d/yyyy">
                  <c:v>43373</c:v>
                </c:pt>
                <c:pt idx="156" formatCode="m/d/yyyy">
                  <c:v>43404</c:v>
                </c:pt>
                <c:pt idx="157" formatCode="m/d/yyyy">
                  <c:v>43434</c:v>
                </c:pt>
                <c:pt idx="158" formatCode="m/d/yyyy">
                  <c:v>43465</c:v>
                </c:pt>
                <c:pt idx="159" formatCode="m/d/yyyy">
                  <c:v>43496</c:v>
                </c:pt>
                <c:pt idx="160" formatCode="m/d/yyyy">
                  <c:v>43524</c:v>
                </c:pt>
                <c:pt idx="161" formatCode="m/d/yyyy">
                  <c:v>43555</c:v>
                </c:pt>
                <c:pt idx="162" formatCode="m/d/yyyy">
                  <c:v>43585</c:v>
                </c:pt>
                <c:pt idx="163" formatCode="m/d/yyyy">
                  <c:v>43616</c:v>
                </c:pt>
                <c:pt idx="164" formatCode="m/d/yyyy">
                  <c:v>43646</c:v>
                </c:pt>
                <c:pt idx="165" formatCode="m/d/yyyy">
                  <c:v>43677</c:v>
                </c:pt>
                <c:pt idx="166" formatCode="m/d/yyyy">
                  <c:v>43708</c:v>
                </c:pt>
                <c:pt idx="167" formatCode="m/d/yyyy">
                  <c:v>43738</c:v>
                </c:pt>
                <c:pt idx="168" formatCode="m/d/yyyy">
                  <c:v>43769</c:v>
                </c:pt>
                <c:pt idx="169" formatCode="m/d/yyyy">
                  <c:v>43799</c:v>
                </c:pt>
                <c:pt idx="170" formatCode="m/d/yyyy">
                  <c:v>43830</c:v>
                </c:pt>
                <c:pt idx="171" formatCode="m/d/yyyy">
                  <c:v>43861</c:v>
                </c:pt>
                <c:pt idx="172" formatCode="m/d/yyyy">
                  <c:v>43890</c:v>
                </c:pt>
                <c:pt idx="173" formatCode="m/d/yyyy">
                  <c:v>43921</c:v>
                </c:pt>
                <c:pt idx="174" formatCode="m/d/yyyy">
                  <c:v>43951</c:v>
                </c:pt>
                <c:pt idx="175" formatCode="m/d/yyyy">
                  <c:v>43982</c:v>
                </c:pt>
                <c:pt idx="176" formatCode="m/d/yyyy">
                  <c:v>44012</c:v>
                </c:pt>
                <c:pt idx="177" formatCode="m/d/yyyy">
                  <c:v>44043</c:v>
                </c:pt>
                <c:pt idx="178" formatCode="m/d/yyyy">
                  <c:v>44074</c:v>
                </c:pt>
                <c:pt idx="179" formatCode="m/d/yyyy">
                  <c:v>44104</c:v>
                </c:pt>
                <c:pt idx="180" formatCode="m/d/yyyy">
                  <c:v>44135</c:v>
                </c:pt>
                <c:pt idx="181" formatCode="m/d/yyyy">
                  <c:v>44165</c:v>
                </c:pt>
                <c:pt idx="182" formatCode="m/d/yyyy">
                  <c:v>44196</c:v>
                </c:pt>
                <c:pt idx="183" formatCode="m/d/yyyy">
                  <c:v>44227</c:v>
                </c:pt>
                <c:pt idx="184" formatCode="m/d/yyyy">
                  <c:v>44255</c:v>
                </c:pt>
              </c:numCache>
            </c:numRef>
          </c:cat>
          <c:val>
            <c:numRef>
              <c:f>'Datos ICP (2)'!$D$3:$D$187</c:f>
              <c:numCache>
                <c:formatCode>0.00</c:formatCode>
                <c:ptCount val="185"/>
                <c:pt idx="0">
                  <c:v>100</c:v>
                </c:pt>
                <c:pt idx="1">
                  <c:v>100.39906364750199</c:v>
                </c:pt>
                <c:pt idx="2">
                  <c:v>100.74836987384441</c:v>
                </c:pt>
                <c:pt idx="3">
                  <c:v>101.14597275301878</c:v>
                </c:pt>
                <c:pt idx="4">
                  <c:v>101.51262560325168</c:v>
                </c:pt>
                <c:pt idx="5">
                  <c:v>101.97167205020661</c:v>
                </c:pt>
                <c:pt idx="6">
                  <c:v>102.39109515627483</c:v>
                </c:pt>
                <c:pt idx="7">
                  <c:v>102.83096901892974</c:v>
                </c:pt>
                <c:pt idx="9">
                  <c:v>103.28809820745468</c:v>
                </c:pt>
                <c:pt idx="10">
                  <c:v>103.72295067898338</c:v>
                </c:pt>
                <c:pt idx="11">
                  <c:v>104.19861336566501</c:v>
                </c:pt>
                <c:pt idx="12">
                  <c:v>104.65501217002613</c:v>
                </c:pt>
                <c:pt idx="13">
                  <c:v>105.10675477534296</c:v>
                </c:pt>
                <c:pt idx="14">
                  <c:v>105.60652013943034</c:v>
                </c:pt>
                <c:pt idx="15">
                  <c:v>106.02146964249522</c:v>
                </c:pt>
                <c:pt idx="16">
                  <c:v>106.46718657846061</c:v>
                </c:pt>
                <c:pt idx="17">
                  <c:v>106.93353686705365</c:v>
                </c:pt>
                <c:pt idx="18">
                  <c:v>107.40098273189243</c:v>
                </c:pt>
                <c:pt idx="19">
                  <c:v>107.84332164110018</c:v>
                </c:pt>
                <c:pt idx="20">
                  <c:v>108.33906989228662</c:v>
                </c:pt>
                <c:pt idx="21">
                  <c:v>108.84988231685159</c:v>
                </c:pt>
                <c:pt idx="23">
                  <c:v>109.33494869964231</c:v>
                </c:pt>
                <c:pt idx="24">
                  <c:v>109.91277387123692</c:v>
                </c:pt>
                <c:pt idx="25">
                  <c:v>110.4418458998972</c:v>
                </c:pt>
                <c:pt idx="26">
                  <c:v>110.9508323640527</c:v>
                </c:pt>
                <c:pt idx="27">
                  <c:v>111.59484860049264</c:v>
                </c:pt>
                <c:pt idx="28">
                  <c:v>112.15852257891343</c:v>
                </c:pt>
                <c:pt idx="29">
                  <c:v>112.76629350122431</c:v>
                </c:pt>
                <c:pt idx="30">
                  <c:v>113.35726558776753</c:v>
                </c:pt>
                <c:pt idx="31">
                  <c:v>113.9534416614779</c:v>
                </c:pt>
                <c:pt idx="32">
                  <c:v>114.59937515634786</c:v>
                </c:pt>
                <c:pt idx="33">
                  <c:v>115.2993570793398</c:v>
                </c:pt>
                <c:pt idx="34">
                  <c:v>115.99075698840697</c:v>
                </c:pt>
                <c:pt idx="35">
                  <c:v>116.83362031344437</c:v>
                </c:pt>
                <c:pt idx="36">
                  <c:v>117.640877410496</c:v>
                </c:pt>
                <c:pt idx="37">
                  <c:v>118.42202327369138</c:v>
                </c:pt>
                <c:pt idx="38">
                  <c:v>119.29300638903548</c:v>
                </c:pt>
                <c:pt idx="39">
                  <c:v>120.06748749673611</c:v>
                </c:pt>
                <c:pt idx="40">
                  <c:v>120.62376633549832</c:v>
                </c:pt>
                <c:pt idx="41">
                  <c:v>120.98065029754027</c:v>
                </c:pt>
                <c:pt idx="42">
                  <c:v>121.17639325344149</c:v>
                </c:pt>
                <c:pt idx="43">
                  <c:v>121.30731461480453</c:v>
                </c:pt>
                <c:pt idx="44">
                  <c:v>121.41796781562182</c:v>
                </c:pt>
                <c:pt idx="45">
                  <c:v>121.47512037644002</c:v>
                </c:pt>
                <c:pt idx="46">
                  <c:v>121.5183043401253</c:v>
                </c:pt>
                <c:pt idx="47">
                  <c:v>121.56377075432249</c:v>
                </c:pt>
                <c:pt idx="48">
                  <c:v>121.60658952592591</c:v>
                </c:pt>
                <c:pt idx="49">
                  <c:v>121.65013868169312</c:v>
                </c:pt>
                <c:pt idx="50">
                  <c:v>121.69569639391081</c:v>
                </c:pt>
                <c:pt idx="51">
                  <c:v>121.73906295363706</c:v>
                </c:pt>
                <c:pt idx="52">
                  <c:v>121.77813850640091</c:v>
                </c:pt>
                <c:pt idx="53">
                  <c:v>121.82616126517148</c:v>
                </c:pt>
                <c:pt idx="54">
                  <c:v>121.87034950708198</c:v>
                </c:pt>
                <c:pt idx="55">
                  <c:v>121.91481164305395</c:v>
                </c:pt>
                <c:pt idx="56">
                  <c:v>121.98237217820645</c:v>
                </c:pt>
                <c:pt idx="57">
                  <c:v>122.10188128700995</c:v>
                </c:pt>
                <c:pt idx="58">
                  <c:v>122.29561568646068</c:v>
                </c:pt>
                <c:pt idx="59">
                  <c:v>122.52002622079149</c:v>
                </c:pt>
                <c:pt idx="60">
                  <c:v>122.78387749996807</c:v>
                </c:pt>
                <c:pt idx="61">
                  <c:v>123.09730360426326</c:v>
                </c:pt>
                <c:pt idx="62">
                  <c:v>123.46167400398424</c:v>
                </c:pt>
                <c:pt idx="63">
                  <c:v>123.7738219359928</c:v>
                </c:pt>
                <c:pt idx="64">
                  <c:v>124.09500837202847</c:v>
                </c:pt>
                <c:pt idx="65">
                  <c:v>124.49315903932572</c:v>
                </c:pt>
                <c:pt idx="66">
                  <c:v>124.92253362962586</c:v>
                </c:pt>
                <c:pt idx="67">
                  <c:v>125.45315772463421</c:v>
                </c:pt>
                <c:pt idx="68">
                  <c:v>125.98889450878927</c:v>
                </c:pt>
                <c:pt idx="69">
                  <c:v>126.52207494837097</c:v>
                </c:pt>
                <c:pt idx="70">
                  <c:v>127.13276740733707</c:v>
                </c:pt>
                <c:pt idx="71">
                  <c:v>127.68913754411977</c:v>
                </c:pt>
                <c:pt idx="72">
                  <c:v>128.21172741332623</c:v>
                </c:pt>
                <c:pt idx="73">
                  <c:v>128.82944981986901</c:v>
                </c:pt>
                <c:pt idx="74">
                  <c:v>129.39330639433075</c:v>
                </c:pt>
                <c:pt idx="75">
                  <c:v>129.9753312748673</c:v>
                </c:pt>
                <c:pt idx="76">
                  <c:v>130.49837763417614</c:v>
                </c:pt>
                <c:pt idx="77">
                  <c:v>131.04315292235836</c:v>
                </c:pt>
                <c:pt idx="78">
                  <c:v>131.60801377504532</c:v>
                </c:pt>
                <c:pt idx="79">
                  <c:v>132.17716563469472</c:v>
                </c:pt>
                <c:pt idx="80">
                  <c:v>132.71198943864499</c:v>
                </c:pt>
                <c:pt idx="81">
                  <c:v>133.30067907467631</c:v>
                </c:pt>
                <c:pt idx="82">
                  <c:v>133.87330025910379</c:v>
                </c:pt>
                <c:pt idx="83">
                  <c:v>134.39689440653549</c:v>
                </c:pt>
                <c:pt idx="84">
                  <c:v>135.01662536952875</c:v>
                </c:pt>
                <c:pt idx="85">
                  <c:v>135.58102973211334</c:v>
                </c:pt>
                <c:pt idx="86">
                  <c:v>136.10891488650745</c:v>
                </c:pt>
                <c:pt idx="87">
                  <c:v>136.75147035461978</c:v>
                </c:pt>
                <c:pt idx="88">
                  <c:v>137.28428560211958</c:v>
                </c:pt>
                <c:pt idx="89">
                  <c:v>137.81901810804939</c:v>
                </c:pt>
                <c:pt idx="90">
                  <c:v>138.45134819786838</c:v>
                </c:pt>
                <c:pt idx="91">
                  <c:v>139.05035451021351</c:v>
                </c:pt>
                <c:pt idx="92">
                  <c:v>139.59229955976096</c:v>
                </c:pt>
                <c:pt idx="93">
                  <c:v>140.23622449818046</c:v>
                </c:pt>
                <c:pt idx="94">
                  <c:v>140.82199259755649</c:v>
                </c:pt>
                <c:pt idx="95">
                  <c:v>141.42967222184689</c:v>
                </c:pt>
                <c:pt idx="96">
                  <c:v>142.00822777760533</c:v>
                </c:pt>
                <c:pt idx="97">
                  <c:v>142.5624067618966</c:v>
                </c:pt>
                <c:pt idx="98">
                  <c:v>143.11585536202404</c:v>
                </c:pt>
                <c:pt idx="99">
                  <c:v>143.68893303655392</c:v>
                </c:pt>
                <c:pt idx="100">
                  <c:v>144.18212494316697</c:v>
                </c:pt>
                <c:pt idx="101">
                  <c:v>144.69394164595724</c:v>
                </c:pt>
                <c:pt idx="102">
                  <c:v>145.17690817427697</c:v>
                </c:pt>
                <c:pt idx="103">
                  <c:v>145.66142676894481</c:v>
                </c:pt>
                <c:pt idx="104">
                  <c:v>146.163839775626</c:v>
                </c:pt>
                <c:pt idx="105">
                  <c:v>146.65365365548143</c:v>
                </c:pt>
                <c:pt idx="106">
                  <c:v>147.08613237847777</c:v>
                </c:pt>
                <c:pt idx="107">
                  <c:v>147.52271951239555</c:v>
                </c:pt>
                <c:pt idx="108">
                  <c:v>147.91064480139943</c:v>
                </c:pt>
                <c:pt idx="109">
                  <c:v>148.26898953176899</c:v>
                </c:pt>
                <c:pt idx="110">
                  <c:v>148.66504034459524</c:v>
                </c:pt>
                <c:pt idx="111">
                  <c:v>149.04995279892341</c:v>
                </c:pt>
                <c:pt idx="112">
                  <c:v>149.39798085297915</c:v>
                </c:pt>
                <c:pt idx="113">
                  <c:v>149.79713579850164</c:v>
                </c:pt>
                <c:pt idx="114">
                  <c:v>150.17237066265929</c:v>
                </c:pt>
                <c:pt idx="115">
                  <c:v>150.53555418811408</c:v>
                </c:pt>
                <c:pt idx="116">
                  <c:v>150.93735677623039</c:v>
                </c:pt>
                <c:pt idx="117">
                  <c:v>151.3274732177257</c:v>
                </c:pt>
                <c:pt idx="118">
                  <c:v>151.71850263942576</c:v>
                </c:pt>
                <c:pt idx="119">
                  <c:v>152.09866759668921</c:v>
                </c:pt>
                <c:pt idx="120">
                  <c:v>152.4945358134745</c:v>
                </c:pt>
                <c:pt idx="121">
                  <c:v>152.92190184732414</c:v>
                </c:pt>
                <c:pt idx="122">
                  <c:v>153.34890268909191</c:v>
                </c:pt>
                <c:pt idx="123">
                  <c:v>153.79690207556919</c:v>
                </c:pt>
                <c:pt idx="124">
                  <c:v>154.26106121167084</c:v>
                </c:pt>
                <c:pt idx="125">
                  <c:v>154.72668111610005</c:v>
                </c:pt>
                <c:pt idx="126">
                  <c:v>155.16345084605877</c:v>
                </c:pt>
                <c:pt idx="127">
                  <c:v>155.64696516250137</c:v>
                </c:pt>
                <c:pt idx="128">
                  <c:v>156.10153800645296</c:v>
                </c:pt>
                <c:pt idx="129">
                  <c:v>156.56907516931219</c:v>
                </c:pt>
                <c:pt idx="130">
                  <c:v>157.0451943460962</c:v>
                </c:pt>
                <c:pt idx="131">
                  <c:v>157.50378430294876</c:v>
                </c:pt>
                <c:pt idx="132">
                  <c:v>157.97917309556894</c:v>
                </c:pt>
                <c:pt idx="133">
                  <c:v>158.44050199303578</c:v>
                </c:pt>
                <c:pt idx="134">
                  <c:v>158.92219034906887</c:v>
                </c:pt>
                <c:pt idx="135">
                  <c:v>159.38251496831046</c:v>
                </c:pt>
                <c:pt idx="136">
                  <c:v>159.78121342373058</c:v>
                </c:pt>
                <c:pt idx="137">
                  <c:v>160.21296176256305</c:v>
                </c:pt>
                <c:pt idx="138">
                  <c:v>160.57422802958786</c:v>
                </c:pt>
                <c:pt idx="139">
                  <c:v>160.96562264336987</c:v>
                </c:pt>
                <c:pt idx="140">
                  <c:v>161.30159935872271</c:v>
                </c:pt>
                <c:pt idx="141">
                  <c:v>161.64944481673749</c:v>
                </c:pt>
                <c:pt idx="142">
                  <c:v>161.9976554668342</c:v>
                </c:pt>
                <c:pt idx="143">
                  <c:v>162.33501717315767</c:v>
                </c:pt>
                <c:pt idx="144">
                  <c:v>162.68531215706184</c:v>
                </c:pt>
                <c:pt idx="145">
                  <c:v>163.0246668991723</c:v>
                </c:pt>
                <c:pt idx="146">
                  <c:v>163.1718393081801</c:v>
                </c:pt>
                <c:pt idx="147">
                  <c:v>163.72729646475804</c:v>
                </c:pt>
                <c:pt idx="148">
                  <c:v>164.04528747007708</c:v>
                </c:pt>
                <c:pt idx="149">
                  <c:v>164.3987934053614</c:v>
                </c:pt>
                <c:pt idx="150">
                  <c:v>164.74043059798379</c:v>
                </c:pt>
                <c:pt idx="151">
                  <c:v>165.09302355306332</c:v>
                </c:pt>
                <c:pt idx="152">
                  <c:v>165.43769640486653</c:v>
                </c:pt>
                <c:pt idx="153">
                  <c:v>165.79410105230099</c:v>
                </c:pt>
                <c:pt idx="154">
                  <c:v>166.14979814007674</c:v>
                </c:pt>
                <c:pt idx="155">
                  <c:v>166.49015716041248</c:v>
                </c:pt>
                <c:pt idx="156">
                  <c:v>166.86904394538919</c:v>
                </c:pt>
                <c:pt idx="157">
                  <c:v>167.25167394920547</c:v>
                </c:pt>
                <c:pt idx="174">
                  <c:v>100</c:v>
                </c:pt>
                <c:pt idx="175">
                  <c:v>100.03739412054273</c:v>
                </c:pt>
                <c:pt idx="176">
                  <c:v>100.07645710429094</c:v>
                </c:pt>
                <c:pt idx="177">
                  <c:v>100.1179430877295</c:v>
                </c:pt>
                <c:pt idx="178">
                  <c:v>100.15861004369647</c:v>
                </c:pt>
                <c:pt idx="179">
                  <c:v>100.19814767944474</c:v>
                </c:pt>
                <c:pt idx="180">
                  <c:v>100.23426149370853</c:v>
                </c:pt>
                <c:pt idx="181">
                  <c:v>100.26729722308247</c:v>
                </c:pt>
                <c:pt idx="182">
                  <c:v>100.30514977493286</c:v>
                </c:pt>
                <c:pt idx="183">
                  <c:v>100.33154392501844</c:v>
                </c:pt>
                <c:pt idx="184">
                  <c:v>100.35725461237379</c:v>
                </c:pt>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I</c:v>
                </c:pt>
              </c:strCache>
            </c:strRef>
          </c:tx>
          <c:spPr>
            <a:ln>
              <a:solidFill>
                <a:srgbClr val="C0504D">
                  <a:lumMod val="50000"/>
                </a:srgbClr>
              </a:solidFill>
            </a:ln>
          </c:spPr>
          <c:marker>
            <c:symbol val="none"/>
          </c:marker>
          <c:cat>
            <c:numRef>
              <c:f>'Datos ICP (2)'!$A$3:$A$187</c:f>
              <c:numCache>
                <c:formatCode>dd\-mm\-yyyy</c:formatCode>
                <c:ptCount val="185"/>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9" formatCode="m/d/yyyy">
                  <c:v>38960</c:v>
                </c:pt>
                <c:pt idx="10" formatCode="m/d/yyyy">
                  <c:v>38989</c:v>
                </c:pt>
                <c:pt idx="11" formatCode="m/d/yyyy">
                  <c:v>39021</c:v>
                </c:pt>
                <c:pt idx="12" formatCode="m/d/yyyy">
                  <c:v>39051</c:v>
                </c:pt>
                <c:pt idx="13" formatCode="m/d/yyyy">
                  <c:v>39080</c:v>
                </c:pt>
                <c:pt idx="14" formatCode="m/d/yyyy">
                  <c:v>39113</c:v>
                </c:pt>
                <c:pt idx="15" formatCode="m/d/yyyy">
                  <c:v>39141</c:v>
                </c:pt>
                <c:pt idx="16" formatCode="m/d/yyyy">
                  <c:v>39171</c:v>
                </c:pt>
                <c:pt idx="17" formatCode="m/d/yyyy">
                  <c:v>39202</c:v>
                </c:pt>
                <c:pt idx="18" formatCode="m/d/yyyy">
                  <c:v>39233</c:v>
                </c:pt>
                <c:pt idx="19" formatCode="m/d/yyyy">
                  <c:v>39262</c:v>
                </c:pt>
                <c:pt idx="20" formatCode="m/d/yyyy">
                  <c:v>39294</c:v>
                </c:pt>
                <c:pt idx="21" formatCode="m/d/yyyy">
                  <c:v>39325</c:v>
                </c:pt>
                <c:pt idx="23" formatCode="m/d/yyyy">
                  <c:v>39353</c:v>
                </c:pt>
                <c:pt idx="24" formatCode="m/d/yyyy">
                  <c:v>39386</c:v>
                </c:pt>
                <c:pt idx="25" formatCode="m/d/yyyy">
                  <c:v>39416</c:v>
                </c:pt>
                <c:pt idx="26" formatCode="m/d/yyyy">
                  <c:v>39447</c:v>
                </c:pt>
                <c:pt idx="27" formatCode="m/d/yyyy">
                  <c:v>39478</c:v>
                </c:pt>
                <c:pt idx="28" formatCode="m/d/yyyy">
                  <c:v>39507</c:v>
                </c:pt>
                <c:pt idx="29" formatCode="m/d/yyyy">
                  <c:v>39538</c:v>
                </c:pt>
                <c:pt idx="30" formatCode="m/d/yyyy">
                  <c:v>39568</c:v>
                </c:pt>
                <c:pt idx="31" formatCode="m/d/yyyy">
                  <c:v>39598</c:v>
                </c:pt>
                <c:pt idx="32" formatCode="m/d/yyyy">
                  <c:v>39629</c:v>
                </c:pt>
                <c:pt idx="33" formatCode="m/d/yyyy">
                  <c:v>39660</c:v>
                </c:pt>
                <c:pt idx="34"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pt idx="153" formatCode="m/d/yyyy">
                  <c:v>43312</c:v>
                </c:pt>
                <c:pt idx="154" formatCode="m/d/yyyy">
                  <c:v>43343</c:v>
                </c:pt>
                <c:pt idx="155" formatCode="m/d/yyyy">
                  <c:v>43373</c:v>
                </c:pt>
                <c:pt idx="156" formatCode="m/d/yyyy">
                  <c:v>43404</c:v>
                </c:pt>
                <c:pt idx="157" formatCode="m/d/yyyy">
                  <c:v>43434</c:v>
                </c:pt>
                <c:pt idx="158" formatCode="m/d/yyyy">
                  <c:v>43465</c:v>
                </c:pt>
                <c:pt idx="159" formatCode="m/d/yyyy">
                  <c:v>43496</c:v>
                </c:pt>
                <c:pt idx="160" formatCode="m/d/yyyy">
                  <c:v>43524</c:v>
                </c:pt>
                <c:pt idx="161" formatCode="m/d/yyyy">
                  <c:v>43555</c:v>
                </c:pt>
                <c:pt idx="162" formatCode="m/d/yyyy">
                  <c:v>43585</c:v>
                </c:pt>
                <c:pt idx="163" formatCode="m/d/yyyy">
                  <c:v>43616</c:v>
                </c:pt>
                <c:pt idx="164" formatCode="m/d/yyyy">
                  <c:v>43646</c:v>
                </c:pt>
                <c:pt idx="165" formatCode="m/d/yyyy">
                  <c:v>43677</c:v>
                </c:pt>
                <c:pt idx="166" formatCode="m/d/yyyy">
                  <c:v>43708</c:v>
                </c:pt>
                <c:pt idx="167" formatCode="m/d/yyyy">
                  <c:v>43738</c:v>
                </c:pt>
                <c:pt idx="168" formatCode="m/d/yyyy">
                  <c:v>43769</c:v>
                </c:pt>
                <c:pt idx="169" formatCode="m/d/yyyy">
                  <c:v>43799</c:v>
                </c:pt>
                <c:pt idx="170" formatCode="m/d/yyyy">
                  <c:v>43830</c:v>
                </c:pt>
                <c:pt idx="171" formatCode="m/d/yyyy">
                  <c:v>43861</c:v>
                </c:pt>
                <c:pt idx="172" formatCode="m/d/yyyy">
                  <c:v>43890</c:v>
                </c:pt>
                <c:pt idx="173" formatCode="m/d/yyyy">
                  <c:v>43921</c:v>
                </c:pt>
                <c:pt idx="174" formatCode="m/d/yyyy">
                  <c:v>43951</c:v>
                </c:pt>
                <c:pt idx="175" formatCode="m/d/yyyy">
                  <c:v>43982</c:v>
                </c:pt>
                <c:pt idx="176" formatCode="m/d/yyyy">
                  <c:v>44012</c:v>
                </c:pt>
                <c:pt idx="177" formatCode="m/d/yyyy">
                  <c:v>44043</c:v>
                </c:pt>
                <c:pt idx="178" formatCode="m/d/yyyy">
                  <c:v>44074</c:v>
                </c:pt>
                <c:pt idx="179" formatCode="m/d/yyyy">
                  <c:v>44104</c:v>
                </c:pt>
                <c:pt idx="180" formatCode="m/d/yyyy">
                  <c:v>44135</c:v>
                </c:pt>
                <c:pt idx="181" formatCode="m/d/yyyy">
                  <c:v>44165</c:v>
                </c:pt>
                <c:pt idx="182" formatCode="m/d/yyyy">
                  <c:v>44196</c:v>
                </c:pt>
                <c:pt idx="183" formatCode="m/d/yyyy">
                  <c:v>44227</c:v>
                </c:pt>
                <c:pt idx="184" formatCode="m/d/yyyy">
                  <c:v>44255</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a:pPr>
            <a:r>
              <a:rPr lang="en-US"/>
              <a:t>FIP Liquidez I</a:t>
            </a:r>
          </a:p>
        </c:rich>
      </c:tx>
      <c:overlay val="0"/>
    </c:title>
    <c:autoTitleDeleted val="0"/>
    <c:plotArea>
      <c:layout>
        <c:manualLayout>
          <c:layoutTarget val="inner"/>
          <c:xMode val="edge"/>
          <c:yMode val="edge"/>
          <c:x val="0.11710405816416561"/>
          <c:y val="0.14340706974253017"/>
          <c:w val="0.81769346174321256"/>
          <c:h val="0.65335359636709611"/>
        </c:manualLayout>
      </c:layout>
      <c:lineChart>
        <c:grouping val="standard"/>
        <c:varyColors val="0"/>
        <c:ser>
          <c:idx val="0"/>
          <c:order val="0"/>
          <c:tx>
            <c:v>ICP Nom</c:v>
          </c:tx>
          <c:spPr>
            <a:ln w="38100">
              <a:solidFill>
                <a:sysClr val="window" lastClr="FFFFFF">
                  <a:lumMod val="75000"/>
                </a:sysClr>
              </a:solidFill>
            </a:ln>
          </c:spPr>
          <c:marker>
            <c:symbol val="none"/>
          </c:marker>
          <c:cat>
            <c:numRef>
              <c:extLst>
                <c:ext xmlns:c15="http://schemas.microsoft.com/office/drawing/2012/chart" uri="{02D57815-91ED-43cb-92C2-25804820EDAC}">
                  <c15:fullRef>
                    <c15:sqref>'Datos ICP (2)'!$A$177:$A$244</c15:sqref>
                  </c15:fullRef>
                </c:ext>
              </c:extLst>
              <c:f>('Datos ICP (2)'!$A$177:$A$180,'Datos ICP (2)'!$A$183:$A$244)</c:f>
              <c:numCache>
                <c:formatCode>m/d/yyyy</c:formatCode>
                <c:ptCount val="66"/>
                <c:pt idx="0">
                  <c:v>43951</c:v>
                </c:pt>
                <c:pt idx="1">
                  <c:v>43982</c:v>
                </c:pt>
                <c:pt idx="2">
                  <c:v>44012</c:v>
                </c:pt>
                <c:pt idx="3">
                  <c:v>44043</c:v>
                </c:pt>
                <c:pt idx="4">
                  <c:v>44135</c:v>
                </c:pt>
                <c:pt idx="5">
                  <c:v>44165</c:v>
                </c:pt>
                <c:pt idx="6">
                  <c:v>44196</c:v>
                </c:pt>
                <c:pt idx="7">
                  <c:v>44227</c:v>
                </c:pt>
                <c:pt idx="8">
                  <c:v>44255</c:v>
                </c:pt>
                <c:pt idx="9">
                  <c:v>44286</c:v>
                </c:pt>
                <c:pt idx="10">
                  <c:v>44316</c:v>
                </c:pt>
                <c:pt idx="11">
                  <c:v>44347</c:v>
                </c:pt>
                <c:pt idx="12">
                  <c:v>44377</c:v>
                </c:pt>
                <c:pt idx="13">
                  <c:v>44408</c:v>
                </c:pt>
                <c:pt idx="14">
                  <c:v>44439</c:v>
                </c:pt>
                <c:pt idx="15">
                  <c:v>44469</c:v>
                </c:pt>
                <c:pt idx="16">
                  <c:v>44500</c:v>
                </c:pt>
                <c:pt idx="17">
                  <c:v>44530</c:v>
                </c:pt>
                <c:pt idx="18">
                  <c:v>44561</c:v>
                </c:pt>
                <c:pt idx="19">
                  <c:v>44592</c:v>
                </c:pt>
                <c:pt idx="20">
                  <c:v>44620</c:v>
                </c:pt>
                <c:pt idx="21">
                  <c:v>44651</c:v>
                </c:pt>
                <c:pt idx="22">
                  <c:v>44681</c:v>
                </c:pt>
                <c:pt idx="23">
                  <c:v>44712</c:v>
                </c:pt>
                <c:pt idx="24">
                  <c:v>44742</c:v>
                </c:pt>
                <c:pt idx="25">
                  <c:v>44773</c:v>
                </c:pt>
                <c:pt idx="26">
                  <c:v>44804</c:v>
                </c:pt>
                <c:pt idx="27">
                  <c:v>44834</c:v>
                </c:pt>
                <c:pt idx="28">
                  <c:v>44862</c:v>
                </c:pt>
                <c:pt idx="29">
                  <c:v>44895</c:v>
                </c:pt>
                <c:pt idx="30">
                  <c:v>44925</c:v>
                </c:pt>
                <c:pt idx="31">
                  <c:v>44957</c:v>
                </c:pt>
                <c:pt idx="32">
                  <c:v>44985</c:v>
                </c:pt>
                <c:pt idx="33">
                  <c:v>45016</c:v>
                </c:pt>
                <c:pt idx="34">
                  <c:v>45044</c:v>
                </c:pt>
                <c:pt idx="35">
                  <c:v>45077</c:v>
                </c:pt>
                <c:pt idx="36">
                  <c:v>45107</c:v>
                </c:pt>
                <c:pt idx="37">
                  <c:v>45138</c:v>
                </c:pt>
                <c:pt idx="38">
                  <c:v>45169</c:v>
                </c:pt>
                <c:pt idx="39">
                  <c:v>45199</c:v>
                </c:pt>
                <c:pt idx="40">
                  <c:v>45230</c:v>
                </c:pt>
                <c:pt idx="41">
                  <c:v>45260</c:v>
                </c:pt>
                <c:pt idx="42">
                  <c:v>45291</c:v>
                </c:pt>
                <c:pt idx="43">
                  <c:v>45322</c:v>
                </c:pt>
                <c:pt idx="44">
                  <c:v>45351</c:v>
                </c:pt>
                <c:pt idx="45">
                  <c:v>45379</c:v>
                </c:pt>
                <c:pt idx="46">
                  <c:v>45412</c:v>
                </c:pt>
                <c:pt idx="47">
                  <c:v>45443</c:v>
                </c:pt>
                <c:pt idx="48">
                  <c:v>45473</c:v>
                </c:pt>
                <c:pt idx="49">
                  <c:v>45504</c:v>
                </c:pt>
                <c:pt idx="50">
                  <c:v>45535</c:v>
                </c:pt>
                <c:pt idx="51">
                  <c:v>45565</c:v>
                </c:pt>
                <c:pt idx="52">
                  <c:v>45596</c:v>
                </c:pt>
                <c:pt idx="53">
                  <c:v>45626</c:v>
                </c:pt>
                <c:pt idx="54">
                  <c:v>45657</c:v>
                </c:pt>
                <c:pt idx="55">
                  <c:v>45688</c:v>
                </c:pt>
                <c:pt idx="56">
                  <c:v>45716</c:v>
                </c:pt>
                <c:pt idx="57">
                  <c:v>45747</c:v>
                </c:pt>
                <c:pt idx="58">
                  <c:v>45777</c:v>
                </c:pt>
                <c:pt idx="59">
                  <c:v>45808</c:v>
                </c:pt>
                <c:pt idx="60">
                  <c:v>45838</c:v>
                </c:pt>
                <c:pt idx="61">
                  <c:v>45869</c:v>
                </c:pt>
                <c:pt idx="62">
                  <c:v>45900</c:v>
                </c:pt>
                <c:pt idx="63">
                  <c:v>45930</c:v>
                </c:pt>
                <c:pt idx="64">
                  <c:v>45961</c:v>
                </c:pt>
                <c:pt idx="65">
                  <c:v>45991</c:v>
                </c:pt>
              </c:numCache>
            </c:numRef>
          </c:cat>
          <c:val>
            <c:numRef>
              <c:extLst>
                <c:ext xmlns:c15="http://schemas.microsoft.com/office/drawing/2012/chart" uri="{02D57815-91ED-43cb-92C2-25804820EDAC}">
                  <c15:fullRef>
                    <c15:sqref>'Datos ICP (2)'!$D$177:$D$244</c15:sqref>
                  </c15:fullRef>
                </c:ext>
              </c:extLst>
              <c:f>('Datos ICP (2)'!$D$177:$D$180,'Datos ICP (2)'!$D$183:$D$244)</c:f>
              <c:numCache>
                <c:formatCode>0.00</c:formatCode>
                <c:ptCount val="66"/>
                <c:pt idx="0">
                  <c:v>100</c:v>
                </c:pt>
                <c:pt idx="1">
                  <c:v>100.03739412054273</c:v>
                </c:pt>
                <c:pt idx="2">
                  <c:v>100.07645710429094</c:v>
                </c:pt>
                <c:pt idx="3">
                  <c:v>100.1179430877295</c:v>
                </c:pt>
                <c:pt idx="4">
                  <c:v>100.23426149370853</c:v>
                </c:pt>
                <c:pt idx="5">
                  <c:v>100.26729722308247</c:v>
                </c:pt>
                <c:pt idx="6">
                  <c:v>100.30514977493286</c:v>
                </c:pt>
                <c:pt idx="7">
                  <c:v>100.33154392501844</c:v>
                </c:pt>
                <c:pt idx="8">
                  <c:v>100.35725461237379</c:v>
                </c:pt>
                <c:pt idx="9">
                  <c:v>100.38242133672259</c:v>
                </c:pt>
                <c:pt idx="10">
                  <c:v>100.41196812003471</c:v>
                </c:pt>
                <c:pt idx="11">
                  <c:v>100.43554893907834</c:v>
                </c:pt>
                <c:pt idx="12">
                  <c:v>100.46292839162756</c:v>
                </c:pt>
                <c:pt idx="13">
                  <c:v>100.51172649425293</c:v>
                </c:pt>
                <c:pt idx="14">
                  <c:v>100.57290216119378</c:v>
                </c:pt>
                <c:pt idx="15">
                  <c:v>100.69837793460731</c:v>
                </c:pt>
                <c:pt idx="16">
                  <c:v>100.9002637721742</c:v>
                </c:pt>
                <c:pt idx="17">
                  <c:v>101.11631716442736</c:v>
                </c:pt>
                <c:pt idx="18">
                  <c:v>101.42799951695973</c:v>
                </c:pt>
                <c:pt idx="19">
                  <c:v>101.76522021497863</c:v>
                </c:pt>
                <c:pt idx="20">
                  <c:v>102.23256570071932</c:v>
                </c:pt>
                <c:pt idx="21">
                  <c:v>102.71056690776282</c:v>
                </c:pt>
                <c:pt idx="22">
                  <c:v>103.27058968971508</c:v>
                </c:pt>
                <c:pt idx="23">
                  <c:v>103.98147104102294</c:v>
                </c:pt>
                <c:pt idx="24">
                  <c:v>104.74673686320376</c:v>
                </c:pt>
                <c:pt idx="25">
                  <c:v>105.5160522519664</c:v>
                </c:pt>
                <c:pt idx="26">
                  <c:v>106.43260637832275</c:v>
                </c:pt>
                <c:pt idx="27">
                  <c:v>107.36919590917969</c:v>
                </c:pt>
                <c:pt idx="28">
                  <c:v>108.35887936617698</c:v>
                </c:pt>
                <c:pt idx="29">
                  <c:v>109.3795450431421</c:v>
                </c:pt>
                <c:pt idx="30">
                  <c:v>110.40953406967955</c:v>
                </c:pt>
                <c:pt idx="31">
                  <c:v>111.44948394160906</c:v>
                </c:pt>
                <c:pt idx="32">
                  <c:v>112.49854504328033</c:v>
                </c:pt>
                <c:pt idx="33">
                  <c:v>113.55804375965019</c:v>
                </c:pt>
                <c:pt idx="34">
                  <c:v>114.62693852329501</c:v>
                </c:pt>
                <c:pt idx="35">
                  <c:v>115.70668918086265</c:v>
                </c:pt>
                <c:pt idx="36">
                  <c:v>116.79607577410901</c:v>
                </c:pt>
                <c:pt idx="37">
                  <c:v>117.89601553991351</c:v>
                </c:pt>
                <c:pt idx="38">
                  <c:v>118.90726373969223</c:v>
                </c:pt>
                <c:pt idx="39">
                  <c:v>119.83418690035607</c:v>
                </c:pt>
                <c:pt idx="40">
                  <c:v>120.81529878702591</c:v>
                </c:pt>
                <c:pt idx="41">
                  <c:v>121.72462894382126</c:v>
                </c:pt>
                <c:pt idx="42">
                  <c:v>122.55886868219443</c:v>
                </c:pt>
                <c:pt idx="43">
                  <c:v>123.43147501674549</c:v>
                </c:pt>
                <c:pt idx="44">
                  <c:v>124.2119202034706</c:v>
                </c:pt>
                <c:pt idx="45">
                  <c:v>124.96349348968617</c:v>
                </c:pt>
                <c:pt idx="46">
                  <c:v>125.65565309782072</c:v>
                </c:pt>
                <c:pt idx="47">
                  <c:v>126.32618238235382</c:v>
                </c:pt>
                <c:pt idx="48">
                  <c:v>126.90899442274352</c:v>
                </c:pt>
                <c:pt idx="49">
                  <c:v>127.55799273512112</c:v>
                </c:pt>
                <c:pt idx="50">
                  <c:v>128.15081052833671</c:v>
                </c:pt>
                <c:pt idx="51">
                  <c:v>128.76350512744523</c:v>
                </c:pt>
                <c:pt idx="52">
                  <c:v>129.32555041508672</c:v>
                </c:pt>
                <c:pt idx="53">
                  <c:v>129.89255572972544</c:v>
                </c:pt>
                <c:pt idx="54">
                  <c:v>130.4514621331931</c:v>
                </c:pt>
                <c:pt idx="55">
                  <c:v>131.0138043227584</c:v>
                </c:pt>
                <c:pt idx="56">
                  <c:v>131.56073029949374</c:v>
                </c:pt>
                <c:pt idx="57">
                  <c:v>132.10994993116319</c:v>
                </c:pt>
                <c:pt idx="58">
                  <c:v>132.66160362143117</c:v>
                </c:pt>
                <c:pt idx="59">
                  <c:v>133.19750004782119</c:v>
                </c:pt>
                <c:pt idx="60">
                  <c:v>133.77218947099729</c:v>
                </c:pt>
                <c:pt idx="61">
                  <c:v>134.32966505874435</c:v>
                </c:pt>
                <c:pt idx="62">
                  <c:v>134.82797716046119</c:v>
                </c:pt>
                <c:pt idx="63">
                  <c:v>135.3983060786577</c:v>
                </c:pt>
                <c:pt idx="64">
                  <c:v>135.91799843619722</c:v>
                </c:pt>
                <c:pt idx="65">
                  <c:v>136.43889596287019</c:v>
                </c:pt>
              </c:numCache>
            </c:numRef>
          </c:val>
          <c:smooth val="0"/>
          <c:extLst>
            <c:ext xmlns:c16="http://schemas.microsoft.com/office/drawing/2014/chart" uri="{C3380CC4-5D6E-409C-BE32-E72D297353CC}">
              <c16:uniqueId val="{00000000-3E4B-48AE-9D1A-0240C4D15A4E}"/>
            </c:ext>
          </c:extLst>
        </c:ser>
        <c:ser>
          <c:idx val="1"/>
          <c:order val="1"/>
          <c:tx>
            <c:strRef>
              <c:f>'Datos ICP (2)'!$J$2</c:f>
              <c:strCache>
                <c:ptCount val="1"/>
                <c:pt idx="0">
                  <c:v>Fondo LIQUIDEZ I</c:v>
                </c:pt>
              </c:strCache>
            </c:strRef>
          </c:tx>
          <c:spPr>
            <a:ln w="38100">
              <a:solidFill>
                <a:sysClr val="windowText" lastClr="000000"/>
              </a:solidFill>
            </a:ln>
          </c:spPr>
          <c:marker>
            <c:symbol val="none"/>
          </c:marker>
          <c:cat>
            <c:numRef>
              <c:extLst>
                <c:ext xmlns:c15="http://schemas.microsoft.com/office/drawing/2012/chart" uri="{02D57815-91ED-43cb-92C2-25804820EDAC}">
                  <c15:fullRef>
                    <c15:sqref>'Datos ICP (2)'!$A$177:$A$244</c15:sqref>
                  </c15:fullRef>
                </c:ext>
              </c:extLst>
              <c:f>('Datos ICP (2)'!$A$177:$A$180,'Datos ICP (2)'!$A$183:$A$244)</c:f>
              <c:numCache>
                <c:formatCode>m/d/yyyy</c:formatCode>
                <c:ptCount val="66"/>
                <c:pt idx="0">
                  <c:v>43951</c:v>
                </c:pt>
                <c:pt idx="1">
                  <c:v>43982</c:v>
                </c:pt>
                <c:pt idx="2">
                  <c:v>44012</c:v>
                </c:pt>
                <c:pt idx="3">
                  <c:v>44043</c:v>
                </c:pt>
                <c:pt idx="4">
                  <c:v>44135</c:v>
                </c:pt>
                <c:pt idx="5">
                  <c:v>44165</c:v>
                </c:pt>
                <c:pt idx="6">
                  <c:v>44196</c:v>
                </c:pt>
                <c:pt idx="7">
                  <c:v>44227</c:v>
                </c:pt>
                <c:pt idx="8">
                  <c:v>44255</c:v>
                </c:pt>
                <c:pt idx="9">
                  <c:v>44286</c:v>
                </c:pt>
                <c:pt idx="10">
                  <c:v>44316</c:v>
                </c:pt>
                <c:pt idx="11">
                  <c:v>44347</c:v>
                </c:pt>
                <c:pt idx="12">
                  <c:v>44377</c:v>
                </c:pt>
                <c:pt idx="13">
                  <c:v>44408</c:v>
                </c:pt>
                <c:pt idx="14">
                  <c:v>44439</c:v>
                </c:pt>
                <c:pt idx="15">
                  <c:v>44469</c:v>
                </c:pt>
                <c:pt idx="16">
                  <c:v>44500</c:v>
                </c:pt>
                <c:pt idx="17">
                  <c:v>44530</c:v>
                </c:pt>
                <c:pt idx="18">
                  <c:v>44561</c:v>
                </c:pt>
                <c:pt idx="19">
                  <c:v>44592</c:v>
                </c:pt>
                <c:pt idx="20">
                  <c:v>44620</c:v>
                </c:pt>
                <c:pt idx="21">
                  <c:v>44651</c:v>
                </c:pt>
                <c:pt idx="22">
                  <c:v>44681</c:v>
                </c:pt>
                <c:pt idx="23">
                  <c:v>44712</c:v>
                </c:pt>
                <c:pt idx="24">
                  <c:v>44742</c:v>
                </c:pt>
                <c:pt idx="25">
                  <c:v>44773</c:v>
                </c:pt>
                <c:pt idx="26">
                  <c:v>44804</c:v>
                </c:pt>
                <c:pt idx="27">
                  <c:v>44834</c:v>
                </c:pt>
                <c:pt idx="28">
                  <c:v>44862</c:v>
                </c:pt>
                <c:pt idx="29">
                  <c:v>44895</c:v>
                </c:pt>
                <c:pt idx="30">
                  <c:v>44925</c:v>
                </c:pt>
                <c:pt idx="31">
                  <c:v>44957</c:v>
                </c:pt>
                <c:pt idx="32">
                  <c:v>44985</c:v>
                </c:pt>
                <c:pt idx="33">
                  <c:v>45016</c:v>
                </c:pt>
                <c:pt idx="34">
                  <c:v>45044</c:v>
                </c:pt>
                <c:pt idx="35">
                  <c:v>45077</c:v>
                </c:pt>
                <c:pt idx="36">
                  <c:v>45107</c:v>
                </c:pt>
                <c:pt idx="37">
                  <c:v>45138</c:v>
                </c:pt>
                <c:pt idx="38">
                  <c:v>45169</c:v>
                </c:pt>
                <c:pt idx="39">
                  <c:v>45199</c:v>
                </c:pt>
                <c:pt idx="40">
                  <c:v>45230</c:v>
                </c:pt>
                <c:pt idx="41">
                  <c:v>45260</c:v>
                </c:pt>
                <c:pt idx="42">
                  <c:v>45291</c:v>
                </c:pt>
                <c:pt idx="43">
                  <c:v>45322</c:v>
                </c:pt>
                <c:pt idx="44">
                  <c:v>45351</c:v>
                </c:pt>
                <c:pt idx="45">
                  <c:v>45379</c:v>
                </c:pt>
                <c:pt idx="46">
                  <c:v>45412</c:v>
                </c:pt>
                <c:pt idx="47">
                  <c:v>45443</c:v>
                </c:pt>
                <c:pt idx="48">
                  <c:v>45473</c:v>
                </c:pt>
                <c:pt idx="49">
                  <c:v>45504</c:v>
                </c:pt>
                <c:pt idx="50">
                  <c:v>45535</c:v>
                </c:pt>
                <c:pt idx="51">
                  <c:v>45565</c:v>
                </c:pt>
                <c:pt idx="52">
                  <c:v>45596</c:v>
                </c:pt>
                <c:pt idx="53">
                  <c:v>45626</c:v>
                </c:pt>
                <c:pt idx="54">
                  <c:v>45657</c:v>
                </c:pt>
                <c:pt idx="55">
                  <c:v>45688</c:v>
                </c:pt>
                <c:pt idx="56">
                  <c:v>45716</c:v>
                </c:pt>
                <c:pt idx="57">
                  <c:v>45747</c:v>
                </c:pt>
                <c:pt idx="58">
                  <c:v>45777</c:v>
                </c:pt>
                <c:pt idx="59">
                  <c:v>45808</c:v>
                </c:pt>
                <c:pt idx="60">
                  <c:v>45838</c:v>
                </c:pt>
                <c:pt idx="61">
                  <c:v>45869</c:v>
                </c:pt>
                <c:pt idx="62">
                  <c:v>45900</c:v>
                </c:pt>
                <c:pt idx="63">
                  <c:v>45930</c:v>
                </c:pt>
                <c:pt idx="64">
                  <c:v>45961</c:v>
                </c:pt>
                <c:pt idx="65">
                  <c:v>45991</c:v>
                </c:pt>
              </c:numCache>
            </c:numRef>
          </c:cat>
          <c:val>
            <c:numRef>
              <c:extLst>
                <c:ext xmlns:c15="http://schemas.microsoft.com/office/drawing/2012/chart" uri="{02D57815-91ED-43cb-92C2-25804820EDAC}">
                  <c15:fullRef>
                    <c15:sqref>'Datos ICP (2)'!$J$177:$J$244</c15:sqref>
                  </c15:fullRef>
                </c:ext>
              </c:extLst>
              <c:f>('Datos ICP (2)'!$J$177:$J$180,'Datos ICP (2)'!$J$183:$J$244)</c:f>
              <c:numCache>
                <c:formatCode>#,##0.00</c:formatCode>
                <c:ptCount val="66"/>
                <c:pt idx="0">
                  <c:v>100</c:v>
                </c:pt>
                <c:pt idx="1">
                  <c:v>100.17943583870399</c:v>
                </c:pt>
                <c:pt idx="2">
                  <c:v>100.4659841453439</c:v>
                </c:pt>
                <c:pt idx="3">
                  <c:v>100.69636670405497</c:v>
                </c:pt>
                <c:pt idx="4">
                  <c:v>101.40026167096198</c:v>
                </c:pt>
                <c:pt idx="5">
                  <c:v>101.65310480004422</c:v>
                </c:pt>
                <c:pt idx="6">
                  <c:v>101.85744099422691</c:v>
                </c:pt>
                <c:pt idx="7">
                  <c:v>102.04863459350419</c:v>
                </c:pt>
                <c:pt idx="8">
                  <c:v>102.22781765139206</c:v>
                </c:pt>
                <c:pt idx="9">
                  <c:v>102.38104012596047</c:v>
                </c:pt>
                <c:pt idx="10">
                  <c:v>102.53827251746209</c:v>
                </c:pt>
                <c:pt idx="11">
                  <c:v>102.71425965030268</c:v>
                </c:pt>
                <c:pt idx="12">
                  <c:v>102.86233693603189</c:v>
                </c:pt>
                <c:pt idx="13">
                  <c:v>103.03262610482021</c:v>
                </c:pt>
                <c:pt idx="14">
                  <c:v>103.15201734654634</c:v>
                </c:pt>
                <c:pt idx="15">
                  <c:v>103.3084964094691</c:v>
                </c:pt>
                <c:pt idx="16">
                  <c:v>103.45669717360585</c:v>
                </c:pt>
                <c:pt idx="17">
                  <c:v>103.62507203954847</c:v>
                </c:pt>
                <c:pt idx="18">
                  <c:v>103.86720179907805</c:v>
                </c:pt>
                <c:pt idx="19">
                  <c:v>104.21107109546311</c:v>
                </c:pt>
                <c:pt idx="20">
                  <c:v>104.66876224876553</c:v>
                </c:pt>
                <c:pt idx="21">
                  <c:v>105.14119925264839</c:v>
                </c:pt>
                <c:pt idx="22">
                  <c:v>105.80706245337414</c:v>
                </c:pt>
                <c:pt idx="23">
                  <c:v>106.64220707283049</c:v>
                </c:pt>
                <c:pt idx="24">
                  <c:v>107.47419146825378</c:v>
                </c:pt>
                <c:pt idx="25">
                  <c:v>108.32774060465044</c:v>
                </c:pt>
                <c:pt idx="26">
                  <c:v>109.24759978075578</c:v>
                </c:pt>
                <c:pt idx="27">
                  <c:v>110.19714523021209</c:v>
                </c:pt>
                <c:pt idx="28">
                  <c:v>111.2887352596983</c:v>
                </c:pt>
                <c:pt idx="29">
                  <c:v>112.40811050956657</c:v>
                </c:pt>
                <c:pt idx="30">
                  <c:v>113.53316297014797</c:v>
                </c:pt>
                <c:pt idx="31">
                  <c:v>114.7301718304866</c:v>
                </c:pt>
                <c:pt idx="32">
                  <c:v>115.98689434339633</c:v>
                </c:pt>
                <c:pt idx="33">
                  <c:v>117.18812541692191</c:v>
                </c:pt>
                <c:pt idx="34">
                  <c:v>118.42485138075774</c:v>
                </c:pt>
                <c:pt idx="35">
                  <c:v>119.64428373261588</c:v>
                </c:pt>
                <c:pt idx="36">
                  <c:v>120.87581344018324</c:v>
                </c:pt>
                <c:pt idx="37">
                  <c:v>122.13178845674481</c:v>
                </c:pt>
                <c:pt idx="38">
                  <c:v>123.27385682489825</c:v>
                </c:pt>
                <c:pt idx="39">
                  <c:v>124.41663260687365</c:v>
                </c:pt>
                <c:pt idx="40">
                  <c:v>125.52125182148011</c:v>
                </c:pt>
                <c:pt idx="41">
                  <c:v>126.6082478371831</c:v>
                </c:pt>
                <c:pt idx="42">
                  <c:v>127.62170486560653</c:v>
                </c:pt>
                <c:pt idx="43">
                  <c:v>128.6568981622361</c:v>
                </c:pt>
                <c:pt idx="44">
                  <c:v>129.54973238723326</c:v>
                </c:pt>
                <c:pt idx="45">
                  <c:v>130.39131290150146</c:v>
                </c:pt>
                <c:pt idx="46">
                  <c:v>131.22120806544274</c:v>
                </c:pt>
                <c:pt idx="47">
                  <c:v>131.98423821262955</c:v>
                </c:pt>
                <c:pt idx="48">
                  <c:v>132.70181678711694</c:v>
                </c:pt>
                <c:pt idx="49">
                  <c:v>133.35401198791408</c:v>
                </c:pt>
                <c:pt idx="50">
                  <c:v>134.06255370626496</c:v>
                </c:pt>
                <c:pt idx="51">
                  <c:v>134.77057975434613</c:v>
                </c:pt>
                <c:pt idx="52">
                  <c:v>135.42093507969679</c:v>
                </c:pt>
                <c:pt idx="53">
                  <c:v>136.0991925785589</c:v>
                </c:pt>
                <c:pt idx="54">
                  <c:v>136.73375467111859</c:v>
                </c:pt>
                <c:pt idx="55">
                  <c:v>137.34869983024359</c:v>
                </c:pt>
                <c:pt idx="56">
                  <c:v>138.0396877709309</c:v>
                </c:pt>
                <c:pt idx="57">
                  <c:v>138.83734783006466</c:v>
                </c:pt>
                <c:pt idx="58">
                  <c:v>139.71302590968276</c:v>
                </c:pt>
                <c:pt idx="59">
                  <c:v>140.57344998525207</c:v>
                </c:pt>
                <c:pt idx="60">
                  <c:v>141.38528217952174</c:v>
                </c:pt>
                <c:pt idx="61">
                  <c:v>142.14657167712909</c:v>
                </c:pt>
                <c:pt idx="62">
                  <c:v>142.95095679143606</c:v>
                </c:pt>
                <c:pt idx="63">
                  <c:v>143.72073235589451</c:v>
                </c:pt>
                <c:pt idx="64">
                  <c:v>144.49739606688433</c:v>
                </c:pt>
                <c:pt idx="65">
                  <c:v>145.29810409128513</c:v>
                </c:pt>
              </c:numCache>
            </c:numRef>
          </c:val>
          <c:smooth val="0"/>
          <c:extLst>
            <c:ext xmlns:c16="http://schemas.microsoft.com/office/drawing/2014/chart" uri="{C3380CC4-5D6E-409C-BE32-E72D297353CC}">
              <c16:uniqueId val="{00000001-3E4B-48AE-9D1A-0240C4D15A4E}"/>
            </c:ext>
          </c:extLst>
        </c:ser>
        <c:ser>
          <c:idx val="2"/>
          <c:order val="2"/>
          <c:tx>
            <c:v>Competencia Relevante</c:v>
          </c:tx>
          <c:spPr>
            <a:ln w="38100">
              <a:solidFill>
                <a:sysClr val="window" lastClr="FFFFFF">
                  <a:lumMod val="65000"/>
                </a:sysClr>
              </a:solidFill>
            </a:ln>
          </c:spPr>
          <c:marker>
            <c:symbol val="none"/>
          </c:marker>
          <c:cat>
            <c:numRef>
              <c:extLst>
                <c:ext xmlns:c15="http://schemas.microsoft.com/office/drawing/2012/chart" uri="{02D57815-91ED-43cb-92C2-25804820EDAC}">
                  <c15:fullRef>
                    <c15:sqref>'Datos ICP (2)'!$A$177:$A$244</c15:sqref>
                  </c15:fullRef>
                </c:ext>
              </c:extLst>
              <c:f>('Datos ICP (2)'!$A$177:$A$180,'Datos ICP (2)'!$A$183:$A$244)</c:f>
              <c:numCache>
                <c:formatCode>m/d/yyyy</c:formatCode>
                <c:ptCount val="66"/>
                <c:pt idx="0">
                  <c:v>43951</c:v>
                </c:pt>
                <c:pt idx="1">
                  <c:v>43982</c:v>
                </c:pt>
                <c:pt idx="2">
                  <c:v>44012</c:v>
                </c:pt>
                <c:pt idx="3">
                  <c:v>44043</c:v>
                </c:pt>
                <c:pt idx="4">
                  <c:v>44135</c:v>
                </c:pt>
                <c:pt idx="5">
                  <c:v>44165</c:v>
                </c:pt>
                <c:pt idx="6">
                  <c:v>44196</c:v>
                </c:pt>
                <c:pt idx="7">
                  <c:v>44227</c:v>
                </c:pt>
                <c:pt idx="8">
                  <c:v>44255</c:v>
                </c:pt>
                <c:pt idx="9">
                  <c:v>44286</c:v>
                </c:pt>
                <c:pt idx="10">
                  <c:v>44316</c:v>
                </c:pt>
                <c:pt idx="11">
                  <c:v>44347</c:v>
                </c:pt>
                <c:pt idx="12">
                  <c:v>44377</c:v>
                </c:pt>
                <c:pt idx="13">
                  <c:v>44408</c:v>
                </c:pt>
                <c:pt idx="14">
                  <c:v>44439</c:v>
                </c:pt>
                <c:pt idx="15">
                  <c:v>44469</c:v>
                </c:pt>
                <c:pt idx="16">
                  <c:v>44500</c:v>
                </c:pt>
                <c:pt idx="17">
                  <c:v>44530</c:v>
                </c:pt>
                <c:pt idx="18">
                  <c:v>44561</c:v>
                </c:pt>
                <c:pt idx="19">
                  <c:v>44592</c:v>
                </c:pt>
                <c:pt idx="20">
                  <c:v>44620</c:v>
                </c:pt>
                <c:pt idx="21">
                  <c:v>44651</c:v>
                </c:pt>
                <c:pt idx="22">
                  <c:v>44681</c:v>
                </c:pt>
                <c:pt idx="23">
                  <c:v>44712</c:v>
                </c:pt>
                <c:pt idx="24">
                  <c:v>44742</c:v>
                </c:pt>
                <c:pt idx="25">
                  <c:v>44773</c:v>
                </c:pt>
                <c:pt idx="26">
                  <c:v>44804</c:v>
                </c:pt>
                <c:pt idx="27">
                  <c:v>44834</c:v>
                </c:pt>
                <c:pt idx="28">
                  <c:v>44862</c:v>
                </c:pt>
                <c:pt idx="29">
                  <c:v>44895</c:v>
                </c:pt>
                <c:pt idx="30">
                  <c:v>44925</c:v>
                </c:pt>
                <c:pt idx="31">
                  <c:v>44957</c:v>
                </c:pt>
                <c:pt idx="32">
                  <c:v>44985</c:v>
                </c:pt>
                <c:pt idx="33">
                  <c:v>45016</c:v>
                </c:pt>
                <c:pt idx="34">
                  <c:v>45044</c:v>
                </c:pt>
                <c:pt idx="35">
                  <c:v>45077</c:v>
                </c:pt>
                <c:pt idx="36">
                  <c:v>45107</c:v>
                </c:pt>
                <c:pt idx="37">
                  <c:v>45138</c:v>
                </c:pt>
                <c:pt idx="38">
                  <c:v>45169</c:v>
                </c:pt>
                <c:pt idx="39">
                  <c:v>45199</c:v>
                </c:pt>
                <c:pt idx="40">
                  <c:v>45230</c:v>
                </c:pt>
                <c:pt idx="41">
                  <c:v>45260</c:v>
                </c:pt>
                <c:pt idx="42">
                  <c:v>45291</c:v>
                </c:pt>
                <c:pt idx="43">
                  <c:v>45322</c:v>
                </c:pt>
                <c:pt idx="44">
                  <c:v>45351</c:v>
                </c:pt>
                <c:pt idx="45">
                  <c:v>45379</c:v>
                </c:pt>
                <c:pt idx="46">
                  <c:v>45412</c:v>
                </c:pt>
                <c:pt idx="47">
                  <c:v>45443</c:v>
                </c:pt>
                <c:pt idx="48">
                  <c:v>45473</c:v>
                </c:pt>
                <c:pt idx="49">
                  <c:v>45504</c:v>
                </c:pt>
                <c:pt idx="50">
                  <c:v>45535</c:v>
                </c:pt>
                <c:pt idx="51">
                  <c:v>45565</c:v>
                </c:pt>
                <c:pt idx="52">
                  <c:v>45596</c:v>
                </c:pt>
                <c:pt idx="53">
                  <c:v>45626</c:v>
                </c:pt>
                <c:pt idx="54">
                  <c:v>45657</c:v>
                </c:pt>
                <c:pt idx="55">
                  <c:v>45688</c:v>
                </c:pt>
                <c:pt idx="56">
                  <c:v>45716</c:v>
                </c:pt>
                <c:pt idx="57">
                  <c:v>45747</c:v>
                </c:pt>
                <c:pt idx="58">
                  <c:v>45777</c:v>
                </c:pt>
                <c:pt idx="59">
                  <c:v>45808</c:v>
                </c:pt>
                <c:pt idx="60">
                  <c:v>45838</c:v>
                </c:pt>
                <c:pt idx="61">
                  <c:v>45869</c:v>
                </c:pt>
                <c:pt idx="62">
                  <c:v>45900</c:v>
                </c:pt>
                <c:pt idx="63">
                  <c:v>45930</c:v>
                </c:pt>
                <c:pt idx="64">
                  <c:v>45961</c:v>
                </c:pt>
                <c:pt idx="65">
                  <c:v>45991</c:v>
                </c:pt>
              </c:numCache>
            </c:numRef>
          </c:cat>
          <c:val>
            <c:numRef>
              <c:extLst>
                <c:ext xmlns:c15="http://schemas.microsoft.com/office/drawing/2012/chart" uri="{02D57815-91ED-43cb-92C2-25804820EDAC}">
                  <c15:fullRef>
                    <c15:sqref>'Datos ICP (2)'!$M$177:$M$244</c15:sqref>
                  </c15:fullRef>
                </c:ext>
              </c:extLst>
              <c:f>('Datos ICP (2)'!$M$177:$M$180,'Datos ICP (2)'!$M$183:$M$244)</c:f>
              <c:numCache>
                <c:formatCode>0.00</c:formatCode>
                <c:ptCount val="66"/>
                <c:pt idx="0">
                  <c:v>100</c:v>
                </c:pt>
                <c:pt idx="1">
                  <c:v>100.01551054345764</c:v>
                </c:pt>
                <c:pt idx="2">
                  <c:v>100.03153802217841</c:v>
                </c:pt>
                <c:pt idx="3">
                  <c:v>100.04122897779281</c:v>
                </c:pt>
                <c:pt idx="4">
                  <c:v>100.07337651212923</c:v>
                </c:pt>
                <c:pt idx="5">
                  <c:v>100.07947457240068</c:v>
                </c:pt>
                <c:pt idx="6">
                  <c:v>100.08534631562246</c:v>
                </c:pt>
                <c:pt idx="7">
                  <c:v>100.0901798857163</c:v>
                </c:pt>
                <c:pt idx="8">
                  <c:v>100.09602517467988</c:v>
                </c:pt>
                <c:pt idx="9">
                  <c:v>100.10125941606772</c:v>
                </c:pt>
                <c:pt idx="10">
                  <c:v>100.10789181203386</c:v>
                </c:pt>
                <c:pt idx="11">
                  <c:v>100.11371223094356</c:v>
                </c:pt>
                <c:pt idx="12">
                  <c:v>100.11971237581393</c:v>
                </c:pt>
                <c:pt idx="13">
                  <c:v>100.12570844172792</c:v>
                </c:pt>
                <c:pt idx="14">
                  <c:v>100.13172028514985</c:v>
                </c:pt>
                <c:pt idx="15">
                  <c:v>100.119928069325</c:v>
                </c:pt>
                <c:pt idx="16">
                  <c:v>100.21898118225624</c:v>
                </c:pt>
                <c:pt idx="17">
                  <c:v>100.34517943123258</c:v>
                </c:pt>
                <c:pt idx="18">
                  <c:v>100.52221670414909</c:v>
                </c:pt>
                <c:pt idx="19">
                  <c:v>100.77238740819395</c:v>
                </c:pt>
                <c:pt idx="20">
                  <c:v>101.12872701968868</c:v>
                </c:pt>
                <c:pt idx="21">
                  <c:v>101.49989619616925</c:v>
                </c:pt>
                <c:pt idx="22">
                  <c:v>101.96391446729609</c:v>
                </c:pt>
                <c:pt idx="23">
                  <c:v>102.50766763876489</c:v>
                </c:pt>
                <c:pt idx="24">
                  <c:v>103.11078087575736</c:v>
                </c:pt>
                <c:pt idx="25">
                  <c:v>103.7605650845988</c:v>
                </c:pt>
                <c:pt idx="26">
                  <c:v>104.46651736347746</c:v>
                </c:pt>
                <c:pt idx="27">
                  <c:v>105.23285714541495</c:v>
                </c:pt>
                <c:pt idx="28">
                  <c:v>106.04941745274057</c:v>
                </c:pt>
                <c:pt idx="29">
                  <c:v>106.89220226685718</c:v>
                </c:pt>
                <c:pt idx="30">
                  <c:v>107.73966202666986</c:v>
                </c:pt>
                <c:pt idx="31">
                  <c:v>108.59228465821339</c:v>
                </c:pt>
                <c:pt idx="32">
                  <c:v>109.45184326335857</c:v>
                </c:pt>
                <c:pt idx="33">
                  <c:v>110.32149591790521</c:v>
                </c:pt>
                <c:pt idx="34">
                  <c:v>111.20306463905536</c:v>
                </c:pt>
                <c:pt idx="35">
                  <c:v>112.09522422422265</c:v>
                </c:pt>
                <c:pt idx="36">
                  <c:v>112.99231012499939</c:v>
                </c:pt>
                <c:pt idx="37">
                  <c:v>113.88944779132359</c:v>
                </c:pt>
                <c:pt idx="38">
                  <c:v>114.72667692367317</c:v>
                </c:pt>
                <c:pt idx="39">
                  <c:v>115.50507707558606</c:v>
                </c:pt>
                <c:pt idx="40">
                  <c:v>116.25132363665001</c:v>
                </c:pt>
                <c:pt idx="41">
                  <c:v>116.96854399362712</c:v>
                </c:pt>
                <c:pt idx="42">
                  <c:v>117.65921138488059</c:v>
                </c:pt>
                <c:pt idx="43">
                  <c:v>118.32781134349207</c:v>
                </c:pt>
                <c:pt idx="44">
                  <c:v>118.95024551145147</c:v>
                </c:pt>
                <c:pt idx="45">
                  <c:v>119.51740234930378</c:v>
                </c:pt>
                <c:pt idx="46">
                  <c:v>120.03025413408884</c:v>
                </c:pt>
                <c:pt idx="47">
                  <c:v>120.51437837518493</c:v>
                </c:pt>
                <c:pt idx="48">
                  <c:v>120.95427913092723</c:v>
                </c:pt>
                <c:pt idx="49">
                  <c:v>121.37966277578117</c:v>
                </c:pt>
                <c:pt idx="50">
                  <c:v>121.80578402452423</c:v>
                </c:pt>
                <c:pt idx="51">
                  <c:v>122.21693278420545</c:v>
                </c:pt>
                <c:pt idx="52">
                  <c:v>122.62034481901102</c:v>
                </c:pt>
                <c:pt idx="53">
                  <c:v>123.01522826351189</c:v>
                </c:pt>
                <c:pt idx="54">
                  <c:v>123.3997329032282</c:v>
                </c:pt>
                <c:pt idx="55">
                  <c:v>123.76040369213104</c:v>
                </c:pt>
                <c:pt idx="56">
                  <c:v>124.12666434721423</c:v>
                </c:pt>
                <c:pt idx="57">
                  <c:v>124.49457901442754</c:v>
                </c:pt>
                <c:pt idx="58">
                  <c:v>124.86506861773171</c:v>
                </c:pt>
                <c:pt idx="59">
                  <c:v>125.23842675588135</c:v>
                </c:pt>
                <c:pt idx="60">
                  <c:v>125.61377289055439</c:v>
                </c:pt>
                <c:pt idx="61">
                  <c:v>125.97244675342699</c:v>
                </c:pt>
                <c:pt idx="62">
                  <c:v>126.3382393095884</c:v>
                </c:pt>
                <c:pt idx="63">
                  <c:v>126.68713688206121</c:v>
                </c:pt>
                <c:pt idx="64">
                  <c:v>127.038411059081</c:v>
                </c:pt>
                <c:pt idx="65">
                  <c:v>127.39348542052289</c:v>
                </c:pt>
              </c:numCache>
            </c:numRef>
          </c:val>
          <c:smooth val="0"/>
          <c:extLst>
            <c:ext xmlns:c16="http://schemas.microsoft.com/office/drawing/2014/chart" uri="{C3380CC4-5D6E-409C-BE32-E72D297353CC}">
              <c16:uniqueId val="{00000002-3E4B-48AE-9D1A-0240C4D15A4E}"/>
            </c:ext>
          </c:extLst>
        </c:ser>
        <c:dLbls>
          <c:showLegendKey val="0"/>
          <c:showVal val="0"/>
          <c:showCatName val="0"/>
          <c:showSerName val="0"/>
          <c:showPercent val="0"/>
          <c:showBubbleSize val="0"/>
        </c:dLbls>
        <c:smooth val="0"/>
        <c:axId val="231479168"/>
        <c:axId val="231480704"/>
      </c:lineChart>
      <c:dateAx>
        <c:axId val="231479168"/>
        <c:scaling>
          <c:orientation val="minMax"/>
        </c:scaling>
        <c:delete val="1"/>
        <c:axPos val="b"/>
        <c:numFmt formatCode="mmm/yyyy" sourceLinked="0"/>
        <c:majorTickMark val="out"/>
        <c:minorTickMark val="none"/>
        <c:tickLblPos val="nextTo"/>
        <c:crossAx val="231480704"/>
        <c:crosses val="autoZero"/>
        <c:auto val="1"/>
        <c:lblOffset val="100"/>
        <c:baseTimeUnit val="months"/>
        <c:majorUnit val="2"/>
        <c:majorTimeUnit val="months"/>
        <c:minorUnit val="2"/>
        <c:minorTimeUnit val="months"/>
      </c:dateAx>
      <c:valAx>
        <c:axId val="231480704"/>
        <c:scaling>
          <c:orientation val="minMax"/>
        </c:scaling>
        <c:delete val="0"/>
        <c:axPos val="l"/>
        <c:majorGridlines>
          <c:spPr>
            <a:ln>
              <a:solidFill>
                <a:schemeClr val="bg1">
                  <a:lumMod val="85000"/>
                </a:schemeClr>
              </a:solidFill>
            </a:ln>
          </c:spPr>
        </c:majorGridlines>
        <c:title>
          <c:tx>
            <c:rich>
              <a:bodyPr/>
              <a:lstStyle/>
              <a:p>
                <a:pPr>
                  <a:defRPr/>
                </a:pPr>
                <a:r>
                  <a:rPr lang="en-US"/>
                  <a:t>Indices</a:t>
                </a:r>
              </a:p>
            </c:rich>
          </c:tx>
          <c:overlay val="0"/>
        </c:title>
        <c:numFmt formatCode="0" sourceLinked="0"/>
        <c:majorTickMark val="out"/>
        <c:minorTickMark val="none"/>
        <c:tickLblPos val="nextTo"/>
        <c:crossAx val="231479168"/>
        <c:crosses val="autoZero"/>
        <c:crossBetween val="between"/>
      </c:valAx>
      <c:spPr>
        <a:noFill/>
        <a:ln>
          <a:noFill/>
        </a:ln>
      </c:spPr>
    </c:plotArea>
    <c:legend>
      <c:legendPos val="r"/>
      <c:layout>
        <c:manualLayout>
          <c:xMode val="edge"/>
          <c:yMode val="edge"/>
          <c:x val="0.66567738600024573"/>
          <c:y val="0.63517427768082213"/>
          <c:w val="0.29651802366921176"/>
          <c:h val="0.16979289815909474"/>
        </c:manualLayout>
      </c:layout>
      <c:overlay val="1"/>
    </c:legend>
    <c:plotVisOnly val="1"/>
    <c:dispBlanksAs val="gap"/>
    <c:showDLblsOverMax val="0"/>
  </c:chart>
  <c:spPr>
    <a:noFill/>
    <a:ln>
      <a:noFill/>
    </a:ln>
  </c:spPr>
  <c:txPr>
    <a:bodyPr/>
    <a:lstStyle/>
    <a:p>
      <a:pPr>
        <a:defRPr>
          <a:latin typeface="Be Vietnam Pro Medium" pitchFamily="2" charset="0"/>
        </a:defRPr>
      </a:pPr>
      <a:endParaRPr lang="es-CL"/>
    </a:p>
  </c:tx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0.78100000000000003</c:v>
                </c:pt>
                <c:pt idx="1">
                  <c:v>0.1923</c:v>
                </c:pt>
                <c:pt idx="2">
                  <c:v>2.6700000000000002E-2</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explosion val="2"/>
          <c:dPt>
            <c:idx val="0"/>
            <c:bubble3D val="0"/>
            <c:spPr>
              <a:solidFill>
                <a:schemeClr val="accent3">
                  <a:shade val="55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8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0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93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94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B161-4879-822D-04B59AFEABE4}"/>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B161-4879-822D-04B59AFEABE4}"/>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B161-4879-822D-04B59AFEABE4}"/>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B161-4879-822D-04B59AFEABE4}"/>
              </c:ext>
            </c:extLst>
          </c:dPt>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0.33450000000000002</c:v>
                </c:pt>
                <c:pt idx="3">
                  <c:v>0.5504</c:v>
                </c:pt>
                <c:pt idx="4">
                  <c:v>0.11509999999999999</c:v>
                </c:pt>
                <c:pt idx="5">
                  <c:v>0</c:v>
                </c:pt>
                <c:pt idx="6">
                  <c:v>0</c:v>
                </c:pt>
                <c:pt idx="7">
                  <c:v>0</c:v>
                </c:pt>
                <c:pt idx="8">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0.95834236641326986</c:v>
                </c:pt>
                <c:pt idx="1">
                  <c:v>4.1657633586730108E-2</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16</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283643</xdr:colOff>
      <xdr:row>250</xdr:row>
      <xdr:rowOff>173184</xdr:rowOff>
    </xdr:from>
    <xdr:to>
      <xdr:col>10</xdr:col>
      <xdr:colOff>569168</xdr:colOff>
      <xdr:row>279</xdr:row>
      <xdr:rowOff>89400</xdr:rowOff>
    </xdr:to>
    <xdr:graphicFrame macro="">
      <xdr:nvGraphicFramePr>
        <xdr:cNvPr id="3" name="34 Gráfico">
          <a:extLst>
            <a:ext uri="{FF2B5EF4-FFF2-40B4-BE49-F238E27FC236}">
              <a16:creationId xmlns:a16="http://schemas.microsoft.com/office/drawing/2014/main" id="{00000000-0008-0000-00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CABEZAS\Desktop\fondos%20fin\Copia%20de%20Factsheet%20Vantrust%20Alto%20Patrimonio%20Noviembre%202018%20(0000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6174F-27A0-4567-BE20-33C23B576086}">
  <dimension ref="A2:A4"/>
  <sheetViews>
    <sheetView showGridLines="0" workbookViewId="0">
      <selection activeCell="A3" sqref="A3"/>
    </sheetView>
  </sheetViews>
  <sheetFormatPr defaultColWidth="11.42578125" defaultRowHeight="15"/>
  <cols>
    <col min="1" max="1" width="69.140625" customWidth="1"/>
  </cols>
  <sheetData>
    <row r="2" spans="1:1" ht="204">
      <c r="A2" s="89" t="s">
        <v>0</v>
      </c>
    </row>
    <row r="3" spans="1:1">
      <c r="A3" s="89"/>
    </row>
    <row r="4" spans="1:1">
      <c r="A4" s="7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V49" zoomScale="80" zoomScaleNormal="80" workbookViewId="0">
      <selection activeCell="AW20" sqref="AW20"/>
    </sheetView>
  </sheetViews>
  <sheetFormatPr defaultColWidth="12.28515625" defaultRowHeight="15"/>
  <cols>
    <col min="1" max="1" width="14.42578125" style="9" customWidth="1"/>
    <col min="2" max="2" width="15" style="9" customWidth="1"/>
    <col min="3" max="4" width="12.28515625" style="9" bestFit="1" customWidth="1"/>
    <col min="5" max="5" width="12.28515625" style="9"/>
    <col min="6" max="6" width="16.140625" style="9" customWidth="1"/>
    <col min="7" max="7" width="14.140625" style="10" bestFit="1" customWidth="1"/>
    <col min="8" max="8" width="14.5703125" style="10" customWidth="1"/>
    <col min="9" max="9" width="12.28515625" style="11" bestFit="1" customWidth="1"/>
    <col min="10" max="12" width="12.28515625" style="9" bestFit="1" customWidth="1"/>
    <col min="13" max="15" width="11.85546875" style="9" bestFit="1" customWidth="1"/>
    <col min="16" max="17" width="13.42578125" style="9" customWidth="1"/>
    <col min="18" max="18" width="12.85546875" style="9" bestFit="1" customWidth="1"/>
    <col min="19" max="19" width="14.140625" style="9" bestFit="1" customWidth="1"/>
    <col min="20" max="20" width="13.85546875" style="9" customWidth="1"/>
    <col min="21" max="21" width="15" style="9" customWidth="1"/>
    <col min="22" max="22" width="14.7109375" style="9" customWidth="1"/>
    <col min="23" max="23" width="13.85546875" style="9" customWidth="1"/>
    <col min="24" max="25" width="15" style="9" customWidth="1"/>
    <col min="26" max="26" width="13.42578125" style="9" customWidth="1"/>
    <col min="27" max="27" width="14.140625" style="9" customWidth="1"/>
    <col min="28" max="28" width="5.5703125" style="9" bestFit="1" customWidth="1"/>
    <col min="29" max="29" width="9.140625" style="9" customWidth="1"/>
    <col min="30" max="30" width="12.28515625" style="9" bestFit="1" customWidth="1"/>
    <col min="31" max="31" width="8.85546875" style="9" customWidth="1"/>
    <col min="32" max="32" width="11.5703125" style="9" bestFit="1" customWidth="1"/>
    <col min="33" max="34" width="7.85546875" style="9" bestFit="1" customWidth="1"/>
    <col min="35" max="35" width="7.42578125" style="9" customWidth="1"/>
    <col min="36" max="36" width="7.5703125" style="9" customWidth="1"/>
    <col min="37" max="37" width="10.5703125" style="9" bestFit="1" customWidth="1"/>
    <col min="38" max="38" width="8.140625" style="9" bestFit="1" customWidth="1"/>
    <col min="39" max="39" width="7.5703125" style="9" customWidth="1"/>
    <col min="40" max="40" width="7.85546875" style="9" customWidth="1"/>
    <col min="41" max="41" width="7.5703125" style="9" customWidth="1"/>
    <col min="42" max="42" width="9.42578125" style="9" customWidth="1"/>
    <col min="43" max="43" width="10.28515625" style="9" customWidth="1"/>
    <col min="44" max="44" width="3.85546875" style="9" customWidth="1"/>
    <col min="45" max="45" width="11.7109375" style="9" customWidth="1"/>
    <col min="46" max="46" width="12.28515625" style="9"/>
    <col min="47" max="47" width="12.7109375" style="9" customWidth="1"/>
    <col min="48" max="48" width="11.7109375" style="9" customWidth="1"/>
    <col min="49" max="49" width="14.28515625" style="9" bestFit="1" customWidth="1"/>
    <col min="50" max="50" width="15.28515625" style="9" customWidth="1"/>
    <col min="51" max="51" width="15" style="9" customWidth="1"/>
    <col min="52" max="52" width="15.28515625" style="9" customWidth="1"/>
    <col min="53" max="53" width="14.42578125" style="9" customWidth="1"/>
    <col min="54" max="54" width="14.5703125" style="9" customWidth="1"/>
    <col min="55" max="16384" width="12.28515625" style="9"/>
  </cols>
  <sheetData>
    <row r="1" spans="1:45" ht="15.75">
      <c r="A1" s="9" t="s">
        <v>1</v>
      </c>
      <c r="F1" s="9" t="s">
        <v>2</v>
      </c>
      <c r="AC1" s="12"/>
      <c r="AD1" s="13" t="s">
        <v>3</v>
      </c>
      <c r="AE1" s="14" t="s">
        <v>4</v>
      </c>
      <c r="AF1" s="14" t="s">
        <v>5</v>
      </c>
      <c r="AG1" s="14" t="s">
        <v>6</v>
      </c>
      <c r="AH1" s="14" t="s">
        <v>7</v>
      </c>
      <c r="AI1" s="14" t="s">
        <v>8</v>
      </c>
      <c r="AJ1" s="14" t="s">
        <v>9</v>
      </c>
      <c r="AK1" s="14" t="s">
        <v>10</v>
      </c>
      <c r="AL1" s="14" t="s">
        <v>11</v>
      </c>
      <c r="AM1" s="14" t="s">
        <v>12</v>
      </c>
      <c r="AN1" s="14" t="s">
        <v>13</v>
      </c>
      <c r="AO1" s="14" t="s">
        <v>14</v>
      </c>
      <c r="AP1" s="14" t="s">
        <v>15</v>
      </c>
      <c r="AQ1" s="14" t="s">
        <v>16</v>
      </c>
      <c r="AR1" s="15"/>
      <c r="AS1" s="15"/>
    </row>
    <row r="2" spans="1:45">
      <c r="A2" s="16" t="s">
        <v>17</v>
      </c>
      <c r="B2" s="16" t="s">
        <v>3</v>
      </c>
      <c r="C2" s="16"/>
      <c r="D2" s="16" t="s">
        <v>18</v>
      </c>
      <c r="E2" s="16"/>
      <c r="F2" s="16"/>
      <c r="G2" s="17"/>
      <c r="H2" s="17"/>
      <c r="J2" s="9" t="s">
        <v>19</v>
      </c>
      <c r="K2" s="18" t="s">
        <v>20</v>
      </c>
      <c r="L2" s="19"/>
      <c r="M2" s="9" t="s">
        <v>21</v>
      </c>
      <c r="P2" s="9" t="s">
        <v>4</v>
      </c>
      <c r="Q2" s="9" t="s">
        <v>5</v>
      </c>
      <c r="R2" s="9" t="s">
        <v>6</v>
      </c>
      <c r="S2" s="9" t="s">
        <v>7</v>
      </c>
      <c r="T2" s="9" t="s">
        <v>8</v>
      </c>
      <c r="U2" s="9" t="s">
        <v>9</v>
      </c>
      <c r="V2" s="9" t="s">
        <v>10</v>
      </c>
      <c r="W2" s="9" t="s">
        <v>11</v>
      </c>
      <c r="X2" s="9" t="s">
        <v>12</v>
      </c>
      <c r="Y2" s="9" t="s">
        <v>13</v>
      </c>
      <c r="Z2" s="9" t="s">
        <v>14</v>
      </c>
      <c r="AA2" s="9" t="s">
        <v>15</v>
      </c>
      <c r="AC2" s="12"/>
      <c r="AD2" s="27">
        <v>2019</v>
      </c>
      <c r="AE2" s="28"/>
      <c r="AF2" s="28"/>
      <c r="AG2" s="28"/>
      <c r="AH2" s="28"/>
      <c r="AI2" s="28"/>
      <c r="AJ2" s="28"/>
      <c r="AK2" s="28"/>
      <c r="AL2" s="28"/>
      <c r="AM2" s="28"/>
      <c r="AN2" s="28"/>
      <c r="AO2" s="28"/>
      <c r="AP2" s="28"/>
      <c r="AQ2" s="29"/>
      <c r="AR2" s="15"/>
      <c r="AS2" s="15"/>
    </row>
    <row r="3" spans="1:45">
      <c r="A3" s="23">
        <v>38717</v>
      </c>
      <c r="B3" s="24">
        <v>10953.14</v>
      </c>
      <c r="C3"/>
      <c r="D3" s="25">
        <v>100</v>
      </c>
      <c r="E3" s="25"/>
      <c r="F3" s="25"/>
      <c r="K3" s="18" t="s">
        <v>22</v>
      </c>
      <c r="L3" s="19"/>
      <c r="N3" s="24">
        <f>B3</f>
        <v>10953.14</v>
      </c>
      <c r="O3" s="9">
        <v>2018</v>
      </c>
      <c r="P3" s="9">
        <f>+B150</f>
        <v>17933.28</v>
      </c>
      <c r="Q3" s="9">
        <f>+B151</f>
        <v>17968.11</v>
      </c>
      <c r="R3" s="9">
        <f>+B152</f>
        <v>18006.830000000002</v>
      </c>
      <c r="S3" s="9">
        <f>+B153</f>
        <v>18044.25</v>
      </c>
      <c r="T3" s="24">
        <f>+B154</f>
        <v>18082.87</v>
      </c>
      <c r="U3" s="25">
        <f>+B155</f>
        <v>18120.622499999998</v>
      </c>
      <c r="V3" s="24">
        <f>+B156</f>
        <v>18159.66</v>
      </c>
      <c r="W3" s="24">
        <f>+B157</f>
        <v>18198.62</v>
      </c>
      <c r="X3" s="24">
        <f>+B158</f>
        <v>18235.900000000001</v>
      </c>
      <c r="Y3" s="34">
        <f>+B159</f>
        <v>18277.400000000001</v>
      </c>
      <c r="Z3" s="60">
        <f>+B160</f>
        <v>18319.310000000001</v>
      </c>
      <c r="AA3" s="9">
        <f>+B161</f>
        <v>18362.684000000001</v>
      </c>
      <c r="AC3" s="12"/>
      <c r="AD3" s="27">
        <v>2020</v>
      </c>
      <c r="AE3" s="28"/>
      <c r="AF3" s="28"/>
      <c r="AG3" s="28"/>
      <c r="AH3" s="28">
        <f>+S5/R5-1</f>
        <v>4.8443129828124043E-4</v>
      </c>
      <c r="AI3" s="28">
        <f t="shared" ref="AI3:AK3" si="0">+T5/S5-1</f>
        <v>3.8640591227490084E-4</v>
      </c>
      <c r="AJ3" s="28">
        <f t="shared" si="0"/>
        <v>3.904838194919158E-4</v>
      </c>
      <c r="AK3" s="28">
        <f t="shared" si="0"/>
        <v>4.2836098312815096E-4</v>
      </c>
      <c r="AL3" s="28">
        <f t="shared" ref="AL3" si="1">+W5/V5-1</f>
        <v>4.1973016893726012E-4</v>
      </c>
      <c r="AM3" s="28">
        <f t="shared" ref="AM3" si="2">+X5/W5-1</f>
        <v>3.9475024394830527E-4</v>
      </c>
      <c r="AN3" s="28">
        <f>+Y5/X5-1</f>
        <v>3.7243810326681448E-4</v>
      </c>
      <c r="AO3" s="28">
        <f>+Z5/Y5-1</f>
        <v>3.2958520252091006E-4</v>
      </c>
      <c r="AP3" s="28">
        <f>+AA5/Z5-1</f>
        <v>3.9010030849562227E-4</v>
      </c>
      <c r="AQ3" s="29">
        <f>+(AA5/AA4-1)/COUNTA(AE3:AP3)*12</f>
        <v>1.0351900904976988E-2</v>
      </c>
      <c r="AR3" s="15"/>
      <c r="AS3" s="15"/>
    </row>
    <row r="4" spans="1:45">
      <c r="A4" s="30">
        <v>38748</v>
      </c>
      <c r="B4" s="26">
        <v>10996.85</v>
      </c>
      <c r="C4" s="31">
        <v>3.8619062661483482E-3</v>
      </c>
      <c r="D4" s="25">
        <v>100.39906364750199</v>
      </c>
      <c r="E4" s="25"/>
      <c r="F4" s="25"/>
      <c r="K4" s="18" t="s">
        <v>23</v>
      </c>
      <c r="L4" s="19"/>
      <c r="O4" s="9">
        <v>2019</v>
      </c>
      <c r="P4" s="9">
        <f>+B162</f>
        <v>18407.689999999999</v>
      </c>
      <c r="Q4" s="9">
        <f>+B163</f>
        <v>18449.16</v>
      </c>
      <c r="R4" s="9">
        <f>+B164</f>
        <v>18496.82</v>
      </c>
      <c r="S4" s="9">
        <f>+B165</f>
        <v>18543.07</v>
      </c>
      <c r="T4" s="9">
        <f>+B166</f>
        <v>18591.02</v>
      </c>
      <c r="U4" s="25">
        <f>+B167</f>
        <v>18632.310000000001</v>
      </c>
      <c r="V4" s="25">
        <f>+B168</f>
        <v>18672.310000000001</v>
      </c>
      <c r="W4" s="25">
        <f>+B169</f>
        <v>18712.55</v>
      </c>
      <c r="X4" s="9">
        <f>+B170</f>
        <v>18744.77</v>
      </c>
      <c r="Y4" s="25">
        <f>+B171</f>
        <v>18776.101999999999</v>
      </c>
      <c r="Z4" s="9">
        <f>+B172</f>
        <v>18802.79</v>
      </c>
      <c r="AA4" s="25">
        <f>+B173</f>
        <v>18830.68</v>
      </c>
      <c r="AD4" s="27">
        <v>2021</v>
      </c>
      <c r="AE4" s="74">
        <f t="shared" ref="AE4:AE9" si="3">+P6/AA5-1</f>
        <v>2.7190981868452369E-4</v>
      </c>
      <c r="AF4" s="74">
        <f t="shared" ref="AF4:AP7" si="4">+Q6/P6-1</f>
        <v>2.391734502720233E-4</v>
      </c>
      <c r="AG4" s="74">
        <f t="shared" si="4"/>
        <v>2.591303963113134E-4</v>
      </c>
      <c r="AH4" s="74">
        <f>+S6/R6-1</f>
        <v>2.943422057235523E-4</v>
      </c>
      <c r="AI4" s="74">
        <f t="shared" ref="AI4:AP5" si="5">+T6/S6-1</f>
        <v>2.4266874558165341E-4</v>
      </c>
      <c r="AJ4" s="74">
        <f t="shared" si="5"/>
        <v>2.7260718777788462E-4</v>
      </c>
      <c r="AK4" s="74">
        <f t="shared" si="5"/>
        <v>5.0192351401157076E-4</v>
      </c>
      <c r="AL4" s="74">
        <f t="shared" si="5"/>
        <v>6.2893015614950976E-4</v>
      </c>
      <c r="AM4" s="74">
        <f t="shared" si="5"/>
        <v>1.2476101486305069E-3</v>
      </c>
      <c r="AN4" s="74">
        <f t="shared" si="5"/>
        <v>2.0716854607256696E-3</v>
      </c>
      <c r="AO4" s="74">
        <f t="shared" si="5"/>
        <v>2.1412569618350918E-3</v>
      </c>
      <c r="AP4" s="74">
        <f t="shared" si="5"/>
        <v>3.1851611422883952E-3</v>
      </c>
      <c r="AQ4" s="29">
        <f>+(AA6/AA5-1)/COUNTA(AE4:AP4)*12</f>
        <v>1.1410200201508403E-2</v>
      </c>
      <c r="AR4" s="15"/>
      <c r="AS4" s="15"/>
    </row>
    <row r="5" spans="1:45">
      <c r="A5" s="23">
        <v>38776</v>
      </c>
      <c r="B5" s="26">
        <v>11035.11</v>
      </c>
      <c r="C5" s="31">
        <v>3.7276908517308582E-3</v>
      </c>
      <c r="D5" s="25">
        <v>100.74836987384441</v>
      </c>
      <c r="E5" s="25"/>
      <c r="F5" s="25"/>
      <c r="O5" s="9">
        <v>2020</v>
      </c>
      <c r="P5" s="9">
        <f>+B174</f>
        <v>18861.86</v>
      </c>
      <c r="Q5" s="25">
        <f>+B175</f>
        <v>18887.886699999999</v>
      </c>
      <c r="R5" s="25">
        <f>+B176</f>
        <v>18908.77</v>
      </c>
      <c r="S5" s="25">
        <f>+B177</f>
        <v>18917.93</v>
      </c>
      <c r="T5" s="9">
        <f>+B178</f>
        <v>18925.240000000002</v>
      </c>
      <c r="U5" s="25">
        <f>+B179</f>
        <v>18932.63</v>
      </c>
      <c r="V5" s="25">
        <f>+B180</f>
        <v>18940.740000000002</v>
      </c>
      <c r="W5" s="25">
        <f>+B181</f>
        <v>18948.689999999999</v>
      </c>
      <c r="X5" s="25">
        <f>+B182</f>
        <v>18956.169999999998</v>
      </c>
      <c r="Y5" s="25">
        <f>+B183</f>
        <v>18963.23</v>
      </c>
      <c r="Z5" s="25">
        <f>+B184</f>
        <v>18969.48</v>
      </c>
      <c r="AA5" s="25">
        <f>+B185</f>
        <v>18976.88</v>
      </c>
      <c r="AD5" s="27">
        <v>2022</v>
      </c>
      <c r="AE5" s="74">
        <f t="shared" si="3"/>
        <v>3.4355541823989366E-3</v>
      </c>
      <c r="AF5" s="74">
        <f t="shared" si="4"/>
        <v>4.2862298052634973E-3</v>
      </c>
      <c r="AG5" s="74">
        <f t="shared" si="4"/>
        <v>4.8314798442756768E-3</v>
      </c>
      <c r="AH5" s="74">
        <f>+S7/R7-1</f>
        <v>5.4524358964465058E-3</v>
      </c>
      <c r="AI5" s="74">
        <f t="shared" si="5"/>
        <v>7.1131325826505609E-3</v>
      </c>
      <c r="AJ5" s="74">
        <f t="shared" si="5"/>
        <v>7.3596364286758753E-3</v>
      </c>
      <c r="AK5" s="74">
        <f t="shared" ref="AK5" si="6">+V7/U7-1</f>
        <v>7.5893460632852072E-3</v>
      </c>
      <c r="AL5" s="74">
        <f t="shared" ref="AL5" si="7">+W7/V7-1</f>
        <v>8.9759416728991681E-3</v>
      </c>
      <c r="AM5" s="74">
        <f t="shared" si="5"/>
        <v>8.7998364667287721E-3</v>
      </c>
      <c r="AN5" s="74">
        <f t="shared" si="5"/>
        <v>8.6030686179809912E-3</v>
      </c>
      <c r="AO5" s="74">
        <f t="shared" si="5"/>
        <v>1.036123897948027E-2</v>
      </c>
      <c r="AP5" s="74">
        <f t="shared" si="5"/>
        <v>9.416651222412753E-3</v>
      </c>
      <c r="AQ5" s="29">
        <f>+(AA7/AA6-1)/COUNTA(AE5:AP5)*12</f>
        <v>8.9685991181348346E-2</v>
      </c>
      <c r="AR5" s="15"/>
      <c r="AS5" s="15"/>
    </row>
    <row r="6" spans="1:45">
      <c r="A6" s="23">
        <v>38807</v>
      </c>
      <c r="B6" s="26">
        <v>11078.66</v>
      </c>
      <c r="C6" s="31">
        <v>3.8191881449593569E-3</v>
      </c>
      <c r="D6" s="25">
        <v>101.14597275301878</v>
      </c>
      <c r="E6" s="25"/>
      <c r="F6" s="25"/>
      <c r="O6" s="9">
        <v>2021</v>
      </c>
      <c r="P6" s="9">
        <f>+B186</f>
        <v>18982.04</v>
      </c>
      <c r="Q6" s="9">
        <f>+B187</f>
        <v>18986.580000000002</v>
      </c>
      <c r="R6" s="25">
        <f>+B188</f>
        <v>18991.5</v>
      </c>
      <c r="S6" s="9">
        <f>+B189</f>
        <v>18997.09</v>
      </c>
      <c r="T6" s="9">
        <f>+B190</f>
        <v>19001.7</v>
      </c>
      <c r="U6" s="9">
        <f>+B191</f>
        <v>19006.88</v>
      </c>
      <c r="V6" s="9">
        <f>+B192</f>
        <v>19016.419999999998</v>
      </c>
      <c r="W6" s="9">
        <f>+B193</f>
        <v>19028.38</v>
      </c>
      <c r="X6" s="9">
        <f>+B194</f>
        <v>19052.12</v>
      </c>
      <c r="Y6" s="9">
        <f>+B195</f>
        <v>19091.59</v>
      </c>
      <c r="Z6" s="9">
        <f>+B196</f>
        <v>19132.47</v>
      </c>
      <c r="AA6" s="9">
        <f>+B197</f>
        <v>19193.41</v>
      </c>
      <c r="AD6" s="27">
        <v>2023</v>
      </c>
      <c r="AE6" s="74">
        <f t="shared" si="3"/>
        <v>1.004695720110016E-2</v>
      </c>
      <c r="AF6" s="74">
        <f t="shared" si="4"/>
        <v>8.7853587137844968E-3</v>
      </c>
      <c r="AG6" s="74">
        <f t="shared" si="4"/>
        <v>9.7318177744223355E-3</v>
      </c>
      <c r="AH6" s="74">
        <f t="shared" si="4"/>
        <v>8.7852439132070081E-3</v>
      </c>
      <c r="AI6" s="74">
        <f t="shared" si="4"/>
        <v>1.036166313630571E-2</v>
      </c>
      <c r="AJ6" s="74">
        <f t="shared" si="4"/>
        <v>9.4150701308506335E-3</v>
      </c>
      <c r="AK6" s="74">
        <f t="shared" si="4"/>
        <v>9.7315292241744178E-3</v>
      </c>
      <c r="AL6" s="74">
        <f t="shared" si="4"/>
        <v>8.8633739513521714E-3</v>
      </c>
      <c r="AM6" s="74">
        <f t="shared" si="4"/>
        <v>7.7953451413450559E-3</v>
      </c>
      <c r="AN6" s="74">
        <f t="shared" si="4"/>
        <v>8.4601535041790576E-3</v>
      </c>
      <c r="AO6" s="74">
        <f t="shared" si="4"/>
        <v>7.5266143106456074E-3</v>
      </c>
      <c r="AP6" s="74">
        <f t="shared" si="4"/>
        <v>7.0819499482732695E-3</v>
      </c>
      <c r="AQ6" s="29">
        <f>+(AA8/AA7-1)/COUNTA(AE6:AP6)*12</f>
        <v>0.11194279263621576</v>
      </c>
      <c r="AR6" s="15"/>
      <c r="AS6" s="15"/>
    </row>
    <row r="7" spans="1:45">
      <c r="A7" s="23">
        <v>38835</v>
      </c>
      <c r="B7" s="26">
        <v>11118.82</v>
      </c>
      <c r="C7" s="31">
        <v>3.8839147901074756E-3</v>
      </c>
      <c r="D7" s="25">
        <v>101.51262560325168</v>
      </c>
      <c r="E7" s="25"/>
      <c r="F7" s="25"/>
      <c r="O7" s="9">
        <v>2022</v>
      </c>
      <c r="P7" s="9">
        <f>+B198</f>
        <v>19259.349999999999</v>
      </c>
      <c r="Q7" s="25">
        <f>+B199</f>
        <v>19341.900000000001</v>
      </c>
      <c r="R7" s="25">
        <f>+B200</f>
        <v>19435.349999999999</v>
      </c>
      <c r="S7" s="9">
        <f>+B201</f>
        <v>19541.32</v>
      </c>
      <c r="T7" s="9">
        <f>+B202</f>
        <v>19680.32</v>
      </c>
      <c r="U7" s="9">
        <f>+B203</f>
        <v>19825.16</v>
      </c>
      <c r="V7" s="9">
        <f>+B204</f>
        <v>19975.62</v>
      </c>
      <c r="W7" s="9">
        <f>+B205</f>
        <v>20154.919999999998</v>
      </c>
      <c r="X7" s="9">
        <f>+B206</f>
        <v>20332.28</v>
      </c>
      <c r="Y7" s="9">
        <f>+B207</f>
        <v>20507.2</v>
      </c>
      <c r="Z7" s="9">
        <f>+B208</f>
        <v>20719.68</v>
      </c>
      <c r="AA7" s="9">
        <f>+B209</f>
        <v>20914.79</v>
      </c>
      <c r="AD7" s="27">
        <v>2024</v>
      </c>
      <c r="AE7" s="74">
        <f t="shared" si="3"/>
        <v>7.3572253241631635E-3</v>
      </c>
      <c r="AF7" s="74">
        <f t="shared" si="4"/>
        <v>6.1121391206355735E-3</v>
      </c>
      <c r="AG7" s="74">
        <f t="shared" ref="AG7:AP8" si="8">+R9/Q9-1</f>
        <v>5.6473517140609442E-3</v>
      </c>
      <c r="AH7" s="74">
        <f t="shared" si="8"/>
        <v>6.0927839618283297E-3</v>
      </c>
      <c r="AI7" s="74">
        <f t="shared" si="8"/>
        <v>5.5141192903180869E-3</v>
      </c>
      <c r="AJ7" s="74">
        <f t="shared" si="8"/>
        <v>4.6135490632155385E-3</v>
      </c>
      <c r="AK7" s="74">
        <f t="shared" si="8"/>
        <v>5.2843503528434699E-3</v>
      </c>
      <c r="AL7" s="74">
        <f t="shared" si="8"/>
        <v>4.8023520375928275E-3</v>
      </c>
      <c r="AM7" s="74">
        <f t="shared" si="8"/>
        <v>4.7810434954138614E-3</v>
      </c>
      <c r="AN7" s="74">
        <f t="shared" si="8"/>
        <v>4.510440516418468E-3</v>
      </c>
      <c r="AO7" s="74">
        <f t="shared" si="8"/>
        <v>4.3843255475723986E-3</v>
      </c>
      <c r="AP7" s="74">
        <f t="shared" si="8"/>
        <v>4.4462641732778696E-3</v>
      </c>
      <c r="AQ7" s="29">
        <f>+(AA9/AA8-1)/COUNTA(AE7:AP7)*12</f>
        <v>6.5425125934971851E-2</v>
      </c>
      <c r="AR7" s="15"/>
      <c r="AS7" s="15"/>
    </row>
    <row r="8" spans="1:45">
      <c r="A8" s="23">
        <v>38868</v>
      </c>
      <c r="B8" s="26">
        <v>11169.1</v>
      </c>
      <c r="C8" s="31">
        <v>4.1109659936119673E-3</v>
      </c>
      <c r="D8" s="25">
        <v>101.97167205020661</v>
      </c>
      <c r="E8" s="25"/>
      <c r="F8" s="25"/>
      <c r="O8" s="9">
        <v>2023</v>
      </c>
      <c r="P8" s="9">
        <f>+B210</f>
        <v>21124.92</v>
      </c>
      <c r="Q8" s="25">
        <f>+B211</f>
        <v>21310.51</v>
      </c>
      <c r="R8" s="25">
        <f>+B212</f>
        <v>21517.9</v>
      </c>
      <c r="S8" s="9">
        <f>+B213</f>
        <v>21706.94</v>
      </c>
      <c r="T8" s="9">
        <f>+B214</f>
        <v>21931.86</v>
      </c>
      <c r="U8" s="9">
        <f>+B215</f>
        <v>22138.35</v>
      </c>
      <c r="V8" s="9">
        <f>+B216</f>
        <v>22353.79</v>
      </c>
      <c r="W8" s="9">
        <f>+B217</f>
        <v>22551.919999999998</v>
      </c>
      <c r="X8" s="9">
        <f>+B218</f>
        <v>22727.72</v>
      </c>
      <c r="Y8" s="25">
        <f>+B219</f>
        <v>22920</v>
      </c>
      <c r="Z8" s="9">
        <f>+B220</f>
        <v>23092.51</v>
      </c>
      <c r="AA8" s="9">
        <f>+B221</f>
        <v>23256.05</v>
      </c>
      <c r="AD8" s="27">
        <v>2025</v>
      </c>
      <c r="AE8" s="74">
        <f t="shared" si="3"/>
        <v>4.4544301743754122E-3</v>
      </c>
      <c r="AF8" s="74">
        <f t="shared" ref="AF8:AL8" si="9">+Q10/P10-1</f>
        <v>3.8962630509944418E-3</v>
      </c>
      <c r="AG8" s="74">
        <f t="shared" si="9"/>
        <v>4.3138020854180947E-3</v>
      </c>
      <c r="AH8" s="74">
        <f t="shared" si="9"/>
        <v>4.175716443427735E-3</v>
      </c>
      <c r="AI8" s="74">
        <f t="shared" si="9"/>
        <v>4.1742269465041559E-3</v>
      </c>
      <c r="AJ8" s="74">
        <f t="shared" si="9"/>
        <v>4.3145661365249222E-3</v>
      </c>
      <c r="AK8" s="74">
        <f t="shared" si="9"/>
        <v>4.3062620834468657E-3</v>
      </c>
      <c r="AL8" s="74">
        <f t="shared" si="9"/>
        <v>3.8332746894158554E-3</v>
      </c>
      <c r="AM8" s="74">
        <f>+X10/W10-1</f>
        <v>4.230048764417349E-3</v>
      </c>
      <c r="AN8" s="74">
        <f>+Y10/X10-1</f>
        <v>3.9661902107710478E-3</v>
      </c>
      <c r="AO8" s="74">
        <f>+Z10/Y10-1</f>
        <v>3.8324396523354842E-3</v>
      </c>
      <c r="AP8" s="74">
        <f t="shared" si="8"/>
        <v>4.1394620357759759E-3</v>
      </c>
      <c r="AQ8" s="29">
        <f>+(AA10/P10-1)/COUNTA(AE8:AP8)*12</f>
        <v>4.6121516637569471E-2</v>
      </c>
      <c r="AR8" s="15"/>
      <c r="AS8" s="15"/>
    </row>
    <row r="9" spans="1:45">
      <c r="A9" s="23">
        <v>38898</v>
      </c>
      <c r="B9" s="26">
        <v>11215.04</v>
      </c>
      <c r="C9" s="31">
        <v>4.1131335559714266E-3</v>
      </c>
      <c r="D9" s="25">
        <v>102.39109515627483</v>
      </c>
      <c r="E9" s="25"/>
      <c r="F9" s="25"/>
      <c r="O9" s="9">
        <v>2024</v>
      </c>
      <c r="P9" s="9">
        <f>+B222</f>
        <v>23427.15</v>
      </c>
      <c r="Q9" s="25">
        <f>+B223</f>
        <v>23570.34</v>
      </c>
      <c r="R9" s="25">
        <f>+B224</f>
        <v>23703.45</v>
      </c>
      <c r="S9" s="9">
        <f>+B225</f>
        <v>23847.87</v>
      </c>
      <c r="T9" s="9">
        <f>+B226</f>
        <v>23979.37</v>
      </c>
      <c r="U9" s="25">
        <f>+B227</f>
        <v>24090</v>
      </c>
      <c r="V9" s="9">
        <f>+B228</f>
        <v>24217.3</v>
      </c>
      <c r="W9" s="9">
        <f>+B229</f>
        <v>24333.599999999999</v>
      </c>
      <c r="X9" s="9">
        <f>+B230</f>
        <v>24449.94</v>
      </c>
      <c r="Y9" s="25">
        <f>+B231</f>
        <v>24560.22</v>
      </c>
      <c r="Z9" s="9">
        <f>+B232</f>
        <v>24667.9</v>
      </c>
      <c r="AA9" s="9">
        <f>+B233</f>
        <v>24777.58</v>
      </c>
      <c r="AD9" s="27">
        <v>2026</v>
      </c>
      <c r="AE9" s="74">
        <f t="shared" si="3"/>
        <v>3.8823436327337646E-3</v>
      </c>
      <c r="AF9" s="74">
        <f t="shared" ref="AF9" si="10">+Q11/P11-1</f>
        <v>3.6312646105696178E-3</v>
      </c>
      <c r="AG9" s="74">
        <f t="shared" ref="AG9" si="11">+R11/Q11-1</f>
        <v>3.881928086548303E-3</v>
      </c>
      <c r="AH9" s="74">
        <f>+S11/R11-1</f>
        <v>3.7564119506456883E-3</v>
      </c>
      <c r="AQ9" s="29">
        <f>+(S11/P11-1)/COUNTA(AE9:AP9)*12</f>
        <v>3.393592966266068E-2</v>
      </c>
      <c r="AR9" s="15"/>
      <c r="AS9" s="15"/>
    </row>
    <row r="10" spans="1:45">
      <c r="A10" s="23">
        <v>38929</v>
      </c>
      <c r="B10" s="26">
        <v>11263.22</v>
      </c>
      <c r="C10" s="31">
        <v>4.1574355911001525E-3</v>
      </c>
      <c r="D10" s="25">
        <v>102.83096901892974</v>
      </c>
      <c r="E10" s="25"/>
      <c r="F10" s="25"/>
      <c r="O10" s="9">
        <v>2025</v>
      </c>
      <c r="P10" s="9">
        <f>+B234</f>
        <v>24887.95</v>
      </c>
      <c r="Q10" s="25">
        <f>+B235</f>
        <v>24984.92</v>
      </c>
      <c r="R10" s="25">
        <f>+B236</f>
        <v>25092.7</v>
      </c>
      <c r="S10" s="9">
        <f>+B237</f>
        <v>25197.48</v>
      </c>
      <c r="T10" s="9">
        <f>+B238</f>
        <v>25302.66</v>
      </c>
      <c r="U10" s="25">
        <f>+B239</f>
        <v>25411.83</v>
      </c>
      <c r="V10" s="9">
        <f>+B240</f>
        <v>25521.26</v>
      </c>
      <c r="W10" s="9">
        <f>+B241</f>
        <v>25619.09</v>
      </c>
      <c r="X10" s="9">
        <f>+B242</f>
        <v>25727.46</v>
      </c>
      <c r="Y10" s="25">
        <f>+B243</f>
        <v>25829.5</v>
      </c>
      <c r="Z10" s="9">
        <f>+B244</f>
        <v>25928.49</v>
      </c>
      <c r="AA10" s="9">
        <f>+B245</f>
        <v>26035.82</v>
      </c>
      <c r="AR10" s="15"/>
      <c r="AS10" s="15"/>
    </row>
    <row r="11" spans="1:45">
      <c r="A11" s="23"/>
      <c r="B11" s="26"/>
      <c r="C11" s="31"/>
      <c r="D11" s="25"/>
      <c r="E11" s="25"/>
      <c r="F11" s="25"/>
      <c r="O11" s="9">
        <v>2026</v>
      </c>
      <c r="P11" s="9">
        <f>+B246</f>
        <v>26136.9</v>
      </c>
      <c r="Q11" s="25">
        <f>+B247</f>
        <v>26231.81</v>
      </c>
      <c r="R11" s="25">
        <f>+B248</f>
        <v>26333.64</v>
      </c>
      <c r="S11" s="9">
        <f>+B249</f>
        <v>26432.560000000001</v>
      </c>
      <c r="U11" s="25"/>
      <c r="Y11" s="25"/>
      <c r="AD11" s="32" t="s">
        <v>24</v>
      </c>
      <c r="AR11" s="15"/>
      <c r="AS11" s="15"/>
    </row>
    <row r="12" spans="1:45">
      <c r="A12" s="23">
        <v>38960</v>
      </c>
      <c r="B12" s="26">
        <v>11313.29</v>
      </c>
      <c r="C12" s="31">
        <v>4.3020413975469376E-3</v>
      </c>
      <c r="D12" s="25">
        <v>103.28809820745468</v>
      </c>
      <c r="E12" s="25"/>
      <c r="F12" s="25"/>
      <c r="P12" s="16">
        <v>31</v>
      </c>
      <c r="Q12" s="16">
        <v>28</v>
      </c>
      <c r="R12" s="16">
        <v>31</v>
      </c>
      <c r="S12" s="16">
        <v>30</v>
      </c>
      <c r="T12" s="16">
        <v>31</v>
      </c>
      <c r="U12" s="16">
        <v>30</v>
      </c>
      <c r="V12" s="16">
        <v>31</v>
      </c>
      <c r="W12" s="16">
        <v>31</v>
      </c>
      <c r="X12" s="16">
        <v>30</v>
      </c>
      <c r="Y12" s="16">
        <v>31</v>
      </c>
      <c r="Z12" s="16">
        <v>30</v>
      </c>
      <c r="AA12" s="16">
        <v>31</v>
      </c>
      <c r="AR12" s="15"/>
      <c r="AS12" s="15"/>
    </row>
    <row r="13" spans="1:45" ht="15.75">
      <c r="A13" s="23">
        <v>38989</v>
      </c>
      <c r="B13" s="26">
        <v>11360.92</v>
      </c>
      <c r="C13" s="31">
        <v>4.3552683430815734E-3</v>
      </c>
      <c r="D13" s="25">
        <v>103.72295067898338</v>
      </c>
      <c r="E13" s="25"/>
      <c r="F13" s="25"/>
      <c r="P13" s="16">
        <v>1</v>
      </c>
      <c r="Q13" s="16">
        <v>2</v>
      </c>
      <c r="R13" s="16">
        <v>3</v>
      </c>
      <c r="S13" s="16">
        <v>4</v>
      </c>
      <c r="T13" s="16">
        <v>5</v>
      </c>
      <c r="U13" s="16">
        <v>6</v>
      </c>
      <c r="V13" s="16">
        <v>7</v>
      </c>
      <c r="W13" s="16">
        <v>8</v>
      </c>
      <c r="X13" s="16">
        <v>9</v>
      </c>
      <c r="Y13" s="16">
        <v>10</v>
      </c>
      <c r="Z13" s="16">
        <v>11</v>
      </c>
      <c r="AA13" s="16">
        <v>12</v>
      </c>
      <c r="AD13" s="35" t="s">
        <v>25</v>
      </c>
      <c r="AE13" s="14" t="s">
        <v>4</v>
      </c>
      <c r="AF13" s="14" t="s">
        <v>5</v>
      </c>
      <c r="AG13" s="14" t="s">
        <v>6</v>
      </c>
      <c r="AH13" s="14" t="s">
        <v>7</v>
      </c>
      <c r="AI13" s="14" t="s">
        <v>8</v>
      </c>
      <c r="AJ13" s="14" t="s">
        <v>9</v>
      </c>
      <c r="AK13" s="14" t="s">
        <v>10</v>
      </c>
      <c r="AL13" s="14" t="s">
        <v>11</v>
      </c>
      <c r="AM13" s="14" t="s">
        <v>12</v>
      </c>
      <c r="AN13" s="14" t="s">
        <v>13</v>
      </c>
      <c r="AO13" s="14" t="s">
        <v>14</v>
      </c>
      <c r="AP13" s="14" t="s">
        <v>15</v>
      </c>
      <c r="AQ13" s="14" t="s">
        <v>16</v>
      </c>
      <c r="AR13" s="15"/>
      <c r="AS13" s="15"/>
    </row>
    <row r="14" spans="1:45">
      <c r="A14" s="23">
        <v>39021</v>
      </c>
      <c r="B14" s="26">
        <v>11413.02</v>
      </c>
      <c r="C14" s="31">
        <v>4.2992776993412002E-3</v>
      </c>
      <c r="D14" s="25">
        <v>104.19861336566501</v>
      </c>
      <c r="E14" s="25"/>
      <c r="F14" s="25"/>
      <c r="O14" s="38" t="s">
        <v>26</v>
      </c>
      <c r="P14" s="9" t="s">
        <v>4</v>
      </c>
      <c r="Q14" s="9" t="s">
        <v>5</v>
      </c>
      <c r="R14" s="9" t="s">
        <v>6</v>
      </c>
      <c r="S14" s="9" t="s">
        <v>7</v>
      </c>
      <c r="T14" s="9" t="s">
        <v>8</v>
      </c>
      <c r="U14" s="9" t="s">
        <v>9</v>
      </c>
      <c r="V14" s="9" t="s">
        <v>10</v>
      </c>
      <c r="W14" s="9" t="s">
        <v>11</v>
      </c>
      <c r="X14" s="9" t="s">
        <v>12</v>
      </c>
      <c r="Y14" s="9" t="s">
        <v>13</v>
      </c>
      <c r="Z14" s="9" t="s">
        <v>14</v>
      </c>
      <c r="AA14" s="9" t="s">
        <v>15</v>
      </c>
      <c r="AD14" s="27">
        <v>2020</v>
      </c>
      <c r="AE14" s="64"/>
      <c r="AF14" s="64"/>
      <c r="AG14" s="64"/>
      <c r="AH14" s="64"/>
      <c r="AI14" s="64">
        <f t="shared" ref="AI14:AP14" si="12">+(T19/S19-1)</f>
        <v>1.8541703332746184E-3</v>
      </c>
      <c r="AJ14" s="64">
        <f t="shared" si="12"/>
        <v>2.8603505723596712E-3</v>
      </c>
      <c r="AK14" s="64">
        <f t="shared" si="12"/>
        <v>2.3695779159478292E-3</v>
      </c>
      <c r="AL14" s="64">
        <f t="shared" si="12"/>
        <v>2.0442516741108196E-3</v>
      </c>
      <c r="AM14" s="64">
        <f t="shared" si="12"/>
        <v>2.4028526257324767E-3</v>
      </c>
      <c r="AN14" s="64">
        <f t="shared" si="12"/>
        <v>2.6794176831088645E-3</v>
      </c>
      <c r="AO14" s="64">
        <f t="shared" si="12"/>
        <v>2.4935155483394311E-3</v>
      </c>
      <c r="AP14" s="64">
        <f t="shared" si="12"/>
        <v>2.0771367590863843E-3</v>
      </c>
      <c r="AQ14" s="29">
        <f>+(AA19/S19-1)/COUNTA(AE14:AP14)*12</f>
        <v>2.8403869462823028E-2</v>
      </c>
      <c r="AR14" s="15"/>
      <c r="AS14" s="15"/>
    </row>
    <row r="15" spans="1:45">
      <c r="A15" s="23">
        <v>39051</v>
      </c>
      <c r="B15" s="26">
        <v>11463.01</v>
      </c>
      <c r="C15" s="31">
        <v>4.3800852009372448E-3</v>
      </c>
      <c r="D15" s="25">
        <v>104.65501217002613</v>
      </c>
      <c r="E15" s="25"/>
      <c r="F15" s="25"/>
      <c r="O15" s="9">
        <v>2016</v>
      </c>
      <c r="P15" s="26"/>
      <c r="Q15" s="26"/>
      <c r="R15" s="26"/>
      <c r="S15" s="26"/>
      <c r="T15" s="26">
        <f>'[1]Cuota Liquidez '!B2</f>
        <v>999.94839999999999</v>
      </c>
      <c r="U15" s="40">
        <f t="shared" ref="U15:AA18" si="13">LOOKUP(DATE($O15,U$13,U$12),$A$2:$A$2942,$H$2:$H$2942)</f>
        <v>0</v>
      </c>
      <c r="V15" s="40">
        <f t="shared" si="13"/>
        <v>0</v>
      </c>
      <c r="W15" s="40">
        <f t="shared" si="13"/>
        <v>0</v>
      </c>
      <c r="X15" s="40">
        <f t="shared" si="13"/>
        <v>0</v>
      </c>
      <c r="Y15" s="40">
        <f t="shared" si="13"/>
        <v>0</v>
      </c>
      <c r="Z15" s="40">
        <f t="shared" si="13"/>
        <v>0</v>
      </c>
      <c r="AA15" s="40">
        <f t="shared" si="13"/>
        <v>0</v>
      </c>
      <c r="AD15" s="27">
        <v>2021</v>
      </c>
      <c r="AE15" s="64">
        <f t="shared" ref="AE15:AE20" si="14">(+P20/AA19)-1</f>
        <v>1.939639532711146E-3</v>
      </c>
      <c r="AF15" s="64">
        <f t="shared" ref="AF15:AP15" si="15">+(Q20/P20)-1</f>
        <v>1.6388021394064811E-3</v>
      </c>
      <c r="AG15" s="64">
        <f t="shared" si="15"/>
        <v>1.5487945847312279E-3</v>
      </c>
      <c r="AH15" s="64">
        <f t="shared" si="15"/>
        <v>1.5357569263623194E-3</v>
      </c>
      <c r="AI15" s="64">
        <f t="shared" si="15"/>
        <v>1.7735170111332632E-3</v>
      </c>
      <c r="AJ15" s="64">
        <f t="shared" si="15"/>
        <v>1.4416429250754259E-3</v>
      </c>
      <c r="AK15" s="64">
        <f t="shared" si="15"/>
        <v>1.7106890593396873E-3</v>
      </c>
      <c r="AL15" s="64">
        <f t="shared" si="15"/>
        <v>1.1973969260781203E-3</v>
      </c>
      <c r="AM15" s="64">
        <f t="shared" si="15"/>
        <v>1.5169753044872447E-3</v>
      </c>
      <c r="AN15" s="64">
        <f t="shared" si="15"/>
        <v>1.4823639384022869E-3</v>
      </c>
      <c r="AO15" s="64">
        <f t="shared" si="15"/>
        <v>1.6274912165432642E-3</v>
      </c>
      <c r="AP15" s="64">
        <f t="shared" si="15"/>
        <v>2.4144808451220801E-3</v>
      </c>
      <c r="AQ15" s="29">
        <f>+(AA20/AA19-1)/COUNTA(AE15:AP15)*12</f>
        <v>2.0008221056701192E-2</v>
      </c>
      <c r="AR15" s="15"/>
      <c r="AS15" s="15"/>
    </row>
    <row r="16" spans="1:45">
      <c r="A16" s="23">
        <v>39080</v>
      </c>
      <c r="B16" s="26">
        <v>11512.49</v>
      </c>
      <c r="C16" s="31">
        <v>4.4653373674585772E-3</v>
      </c>
      <c r="D16" s="25">
        <v>105.10675477534296</v>
      </c>
      <c r="E16" s="25"/>
      <c r="F16" s="25"/>
      <c r="O16" s="9">
        <v>2017</v>
      </c>
      <c r="P16" s="40">
        <f t="shared" ref="P16:T18" si="16">LOOKUP(DATE($O16,P$13,P$12),$A$2:$A$2942,$H$2:$H$2942)</f>
        <v>0</v>
      </c>
      <c r="Q16" s="40">
        <f t="shared" si="16"/>
        <v>0</v>
      </c>
      <c r="R16" s="40">
        <f t="shared" si="16"/>
        <v>0</v>
      </c>
      <c r="S16" s="40">
        <f t="shared" si="16"/>
        <v>0</v>
      </c>
      <c r="T16" s="40">
        <f t="shared" si="16"/>
        <v>0</v>
      </c>
      <c r="U16" s="40">
        <f t="shared" si="13"/>
        <v>0</v>
      </c>
      <c r="V16" s="40">
        <f t="shared" si="13"/>
        <v>0</v>
      </c>
      <c r="W16" s="40">
        <f t="shared" si="13"/>
        <v>0</v>
      </c>
      <c r="X16" s="40">
        <f t="shared" si="13"/>
        <v>0</v>
      </c>
      <c r="Y16" s="40">
        <f t="shared" si="13"/>
        <v>0</v>
      </c>
      <c r="Z16" s="40">
        <f t="shared" si="13"/>
        <v>0</v>
      </c>
      <c r="AA16" s="40">
        <f t="shared" si="13"/>
        <v>0</v>
      </c>
      <c r="AD16" s="27">
        <v>2022</v>
      </c>
      <c r="AE16" s="64">
        <f t="shared" si="14"/>
        <v>3.4210183783704995E-3</v>
      </c>
      <c r="AF16" s="64">
        <f t="shared" ref="AF16:AP20" si="17">(+Q21/P21)-1</f>
        <v>4.0991653310769038E-3</v>
      </c>
      <c r="AG16" s="64">
        <f t="shared" si="17"/>
        <v>4.6640935989290533E-3</v>
      </c>
      <c r="AH16" s="64">
        <f t="shared" si="17"/>
        <v>6.3330379095802858E-3</v>
      </c>
      <c r="AI16" s="64">
        <f t="shared" si="17"/>
        <v>8.1561925397797275E-3</v>
      </c>
      <c r="AJ16" s="64">
        <f t="shared" si="17"/>
        <v>7.8016426915761272E-3</v>
      </c>
      <c r="AK16" s="64">
        <f t="shared" si="17"/>
        <v>8.2066286075488382E-3</v>
      </c>
      <c r="AL16" s="64">
        <f t="shared" si="17"/>
        <v>8.7744943570011724E-3</v>
      </c>
      <c r="AM16" s="64">
        <f t="shared" si="17"/>
        <v>8.6916824842093732E-3</v>
      </c>
      <c r="AN16" s="64">
        <f t="shared" si="17"/>
        <v>9.2454061194180426E-3</v>
      </c>
      <c r="AO16" s="64">
        <f t="shared" si="17"/>
        <v>1.1064127667384849E-2</v>
      </c>
      <c r="AP16" s="64">
        <f t="shared" si="17"/>
        <v>1.0008641329182888E-2</v>
      </c>
      <c r="AQ16" s="29">
        <f>+(AA21/AA20-1)/COUNTA(AE16:AP16)*12</f>
        <v>9.4278709768367497E-2</v>
      </c>
      <c r="AR16" s="15"/>
      <c r="AS16" s="15"/>
    </row>
    <row r="17" spans="1:56">
      <c r="A17" s="23">
        <v>39113</v>
      </c>
      <c r="B17" s="26">
        <v>11567.23</v>
      </c>
      <c r="C17" s="31">
        <v>4.3225780316538927E-3</v>
      </c>
      <c r="D17" s="25">
        <v>105.60652013943034</v>
      </c>
      <c r="E17" s="25"/>
      <c r="F17" s="25"/>
      <c r="O17" s="9">
        <v>2018</v>
      </c>
      <c r="P17" s="40">
        <f t="shared" si="16"/>
        <v>0</v>
      </c>
      <c r="Q17" s="40">
        <f t="shared" si="16"/>
        <v>0</v>
      </c>
      <c r="R17" s="40">
        <f t="shared" si="16"/>
        <v>0</v>
      </c>
      <c r="S17" s="40">
        <f t="shared" si="16"/>
        <v>0</v>
      </c>
      <c r="T17" s="40">
        <f t="shared" si="16"/>
        <v>0</v>
      </c>
      <c r="U17" s="40">
        <f t="shared" si="13"/>
        <v>0</v>
      </c>
      <c r="V17" s="40">
        <f t="shared" si="13"/>
        <v>0</v>
      </c>
      <c r="W17" s="40">
        <f t="shared" si="13"/>
        <v>0</v>
      </c>
      <c r="X17" s="40">
        <f t="shared" si="13"/>
        <v>0</v>
      </c>
      <c r="Y17" s="61">
        <f t="shared" si="13"/>
        <v>0</v>
      </c>
      <c r="Z17" s="61">
        <f t="shared" si="13"/>
        <v>0</v>
      </c>
      <c r="AA17" s="61">
        <f t="shared" si="13"/>
        <v>0</v>
      </c>
      <c r="AD17" s="27">
        <v>2023</v>
      </c>
      <c r="AE17" s="64">
        <f t="shared" si="14"/>
        <v>1.1246136526325667E-2</v>
      </c>
      <c r="AF17" s="64">
        <f t="shared" si="17"/>
        <v>1.0223474726265502E-2</v>
      </c>
      <c r="AG17" s="64">
        <f t="shared" si="17"/>
        <v>1.0701830722657402E-2</v>
      </c>
      <c r="AH17" s="64">
        <f t="shared" si="17"/>
        <v>9.8497826647554465E-3</v>
      </c>
      <c r="AI17" s="64">
        <f t="shared" si="17"/>
        <v>1.1326808278873557E-2</v>
      </c>
      <c r="AJ17" s="64">
        <f t="shared" si="17"/>
        <v>1.0293259896307472E-2</v>
      </c>
      <c r="AK17" s="64">
        <f t="shared" si="17"/>
        <v>1.0736977179385931E-2</v>
      </c>
      <c r="AL17" s="64">
        <f t="shared" si="17"/>
        <v>9.662818572222065E-3</v>
      </c>
      <c r="AM17" s="64">
        <f t="shared" si="17"/>
        <v>9.2702200726844097E-3</v>
      </c>
      <c r="AN17" s="64">
        <f t="shared" si="17"/>
        <v>9.1743349034369981E-3</v>
      </c>
      <c r="AO17" s="64">
        <f t="shared" si="17"/>
        <v>8.659856398253174E-3</v>
      </c>
      <c r="AP17" s="64">
        <f t="shared" si="17"/>
        <v>8.271490580278984E-3</v>
      </c>
      <c r="AQ17" s="29">
        <f>+(AA22/AA21-1)/COUNTA(AE17:AP17)*12</f>
        <v>0.12616890961449245</v>
      </c>
      <c r="AR17" s="15"/>
      <c r="AS17" s="15"/>
    </row>
    <row r="18" spans="1:56">
      <c r="A18" s="23">
        <v>39141</v>
      </c>
      <c r="B18" s="26">
        <v>11612.68</v>
      </c>
      <c r="C18" s="31">
        <v>4.2098608371605416E-3</v>
      </c>
      <c r="D18" s="25">
        <v>106.02146964249522</v>
      </c>
      <c r="E18" s="25"/>
      <c r="F18" s="25"/>
      <c r="O18" s="9">
        <v>2019</v>
      </c>
      <c r="P18" s="40">
        <f t="shared" si="16"/>
        <v>0</v>
      </c>
      <c r="Q18" s="40">
        <f t="shared" si="16"/>
        <v>0</v>
      </c>
      <c r="R18" s="40">
        <f t="shared" si="16"/>
        <v>0</v>
      </c>
      <c r="S18" s="40">
        <f t="shared" si="16"/>
        <v>0</v>
      </c>
      <c r="T18" s="40">
        <f t="shared" si="16"/>
        <v>0</v>
      </c>
      <c r="U18" s="40">
        <f t="shared" si="13"/>
        <v>0</v>
      </c>
      <c r="V18" s="40">
        <f t="shared" si="13"/>
        <v>0</v>
      </c>
      <c r="W18" s="40">
        <f t="shared" si="13"/>
        <v>0</v>
      </c>
      <c r="X18" s="40">
        <f t="shared" si="13"/>
        <v>0</v>
      </c>
      <c r="Y18" s="40">
        <f t="shared" si="13"/>
        <v>0</v>
      </c>
      <c r="Z18" s="40">
        <f t="shared" si="13"/>
        <v>0</v>
      </c>
      <c r="AA18" s="40">
        <f t="shared" si="13"/>
        <v>0</v>
      </c>
      <c r="AD18" s="27">
        <v>2024</v>
      </c>
      <c r="AE18" s="64">
        <f t="shared" si="14"/>
        <v>8.3818010500409379E-3</v>
      </c>
      <c r="AF18" s="64">
        <f t="shared" si="17"/>
        <v>6.7083312009870166E-3</v>
      </c>
      <c r="AG18" s="64">
        <f t="shared" si="17"/>
        <v>6.0631167056561797E-3</v>
      </c>
      <c r="AH18" s="64">
        <f t="shared" si="17"/>
        <v>7.0011157953828729E-3</v>
      </c>
      <c r="AI18" s="64">
        <f t="shared" si="17"/>
        <v>6.0086665642731241E-3</v>
      </c>
      <c r="AJ18" s="64">
        <f t="shared" si="17"/>
        <v>5.4368505224946517E-3</v>
      </c>
      <c r="AK18" s="64">
        <f t="shared" si="17"/>
        <v>5.0785667984096783E-3</v>
      </c>
      <c r="AL18" s="64">
        <f t="shared" si="17"/>
        <v>5.4903468198286287E-3</v>
      </c>
      <c r="AM18" s="64">
        <f t="shared" si="17"/>
        <v>5.2813110634344351E-3</v>
      </c>
      <c r="AN18" s="64">
        <f t="shared" si="17"/>
        <v>4.9865025246653705E-3</v>
      </c>
      <c r="AO18" s="64">
        <f t="shared" si="17"/>
        <v>5.00851288955384E-3</v>
      </c>
      <c r="AP18" s="64">
        <f t="shared" si="17"/>
        <v>4.8179136840449388E-3</v>
      </c>
      <c r="AQ18" s="29">
        <f>+(AA23/AA22-1)/COUNTA(AE18:AP18)*12</f>
        <v>7.2564025610246219E-2</v>
      </c>
      <c r="AR18" s="32"/>
      <c r="AS18" s="15"/>
    </row>
    <row r="19" spans="1:56">
      <c r="A19" s="23">
        <v>39171</v>
      </c>
      <c r="B19" s="26">
        <v>11661.5</v>
      </c>
      <c r="C19" s="31">
        <v>4.2040252551520663E-3</v>
      </c>
      <c r="D19" s="25">
        <v>106.46718657846061</v>
      </c>
      <c r="E19" s="25"/>
      <c r="F19" s="25"/>
      <c r="O19" s="9">
        <v>2020</v>
      </c>
      <c r="P19" s="40">
        <f>LOOKUP(DATE($O19,P$13,P$12),$A$2:$A$2942,$H$2:$H$2942)</f>
        <v>0</v>
      </c>
      <c r="Q19" s="40">
        <f t="shared" ref="Q19:X19" si="18">LOOKUP(DATE($O19,Q$13,Q$12)+1,$A$2:$A$2942,$H$2:$H$2942)</f>
        <v>0</v>
      </c>
      <c r="R19" s="40">
        <f t="shared" si="18"/>
        <v>0</v>
      </c>
      <c r="S19" s="40">
        <f t="shared" si="18"/>
        <v>1000.016</v>
      </c>
      <c r="T19" s="40">
        <f t="shared" si="18"/>
        <v>1001.8702</v>
      </c>
      <c r="U19" s="40">
        <f t="shared" si="18"/>
        <v>1004.7359</v>
      </c>
      <c r="V19" s="40">
        <f t="shared" si="18"/>
        <v>1007.1167</v>
      </c>
      <c r="W19" s="40">
        <f t="shared" si="18"/>
        <v>1009.1755000000001</v>
      </c>
      <c r="X19" s="40">
        <f t="shared" si="18"/>
        <v>1011.6004</v>
      </c>
      <c r="Y19" s="40">
        <f>+H183</f>
        <v>1014.3108999999999</v>
      </c>
      <c r="Z19" s="40">
        <f>+H184</f>
        <v>1016.8401</v>
      </c>
      <c r="AA19" s="40">
        <f>+H185</f>
        <v>1018.952215949823</v>
      </c>
      <c r="AD19" s="27">
        <v>2025</v>
      </c>
      <c r="AE19" s="64">
        <f t="shared" si="14"/>
        <v>4.6473040444494629E-3</v>
      </c>
      <c r="AF19" s="64">
        <f t="shared" ref="AF19:AP19" si="19">(+Q24/P24)-1</f>
        <v>4.6955091586007303E-3</v>
      </c>
      <c r="AG19" s="64">
        <f t="shared" si="19"/>
        <v>5.9710996241846281E-3</v>
      </c>
      <c r="AH19" s="64">
        <f t="shared" si="19"/>
        <v>6.3072227560116989E-3</v>
      </c>
      <c r="AI19" s="64">
        <f t="shared" si="19"/>
        <v>6.3637937286036284E-3</v>
      </c>
      <c r="AJ19" s="64">
        <f t="shared" si="19"/>
        <v>5.7751459778132563E-3</v>
      </c>
      <c r="AK19" s="64">
        <f t="shared" si="19"/>
        <v>5.5639865908774233E-3</v>
      </c>
      <c r="AL19" s="64">
        <f t="shared" si="19"/>
        <v>5.847470970587354E-3</v>
      </c>
      <c r="AM19" s="64">
        <f t="shared" si="19"/>
        <v>5.3848927054160889E-3</v>
      </c>
      <c r="AN19" s="64">
        <f t="shared" si="19"/>
        <v>5.584110853045221E-3</v>
      </c>
      <c r="AO19" s="64">
        <f t="shared" si="19"/>
        <v>5.5413318592272276E-3</v>
      </c>
      <c r="AP19" s="64">
        <f t="shared" si="19"/>
        <v>5.7011549308800813E-3</v>
      </c>
      <c r="AQ19" s="29">
        <f>+(AA24/P24-1)/COUNTA(AE19:AP19)*12</f>
        <v>6.4554574328310688E-2</v>
      </c>
      <c r="AR19" s="32"/>
      <c r="AS19" s="15"/>
      <c r="AV19" s="34"/>
      <c r="AW19" s="34"/>
      <c r="AX19" s="34">
        <v>-1</v>
      </c>
      <c r="AY19" s="34">
        <v>-3</v>
      </c>
      <c r="AZ19" s="34">
        <v>-6</v>
      </c>
      <c r="BA19" s="34">
        <v>-12</v>
      </c>
      <c r="BB19" s="34"/>
    </row>
    <row r="20" spans="1:56">
      <c r="A20" s="23">
        <v>39202</v>
      </c>
      <c r="B20" s="26">
        <v>11712.58</v>
      </c>
      <c r="C20" s="31">
        <v>4.2389279307565274E-3</v>
      </c>
      <c r="D20" s="25">
        <v>106.93353686705365</v>
      </c>
      <c r="E20" s="25"/>
      <c r="F20" s="25"/>
      <c r="O20" s="9">
        <v>2021</v>
      </c>
      <c r="P20" s="26">
        <f>+H186</f>
        <v>1020.928615949823</v>
      </c>
      <c r="Q20" s="26">
        <f>+H187</f>
        <v>1022.601715949823</v>
      </c>
      <c r="R20" s="26">
        <f>+H188</f>
        <v>1024.185515949823</v>
      </c>
      <c r="S20" s="26">
        <f>+H189</f>
        <v>1025.7584159498228</v>
      </c>
      <c r="T20" s="26">
        <f>+H190</f>
        <v>1027.577615949823</v>
      </c>
      <c r="U20" s="26">
        <f>+H191</f>
        <v>1029.0590159498229</v>
      </c>
      <c r="V20" s="26">
        <f>+H192</f>
        <v>1030.819415949823</v>
      </c>
      <c r="W20" s="26">
        <f>+H193</f>
        <v>1032.0537159498228</v>
      </c>
      <c r="X20" s="26">
        <f>+H194</f>
        <v>1033.619315949823</v>
      </c>
      <c r="Y20" s="26">
        <f>+H195</f>
        <v>1035.1515159498231</v>
      </c>
      <c r="Z20" s="26">
        <f>+H196</f>
        <v>1036.8362159498229</v>
      </c>
      <c r="AA20" s="26">
        <f>+H197</f>
        <v>1039.3396371327626</v>
      </c>
      <c r="AD20" s="27">
        <v>2026</v>
      </c>
      <c r="AE20" s="64">
        <f t="shared" si="14"/>
        <v>5.8056411235423155E-3</v>
      </c>
      <c r="AF20" s="64">
        <f t="shared" ref="AF20" si="20">(+Q25/P25)-1</f>
        <v>5.4082719657579936E-3</v>
      </c>
      <c r="AG20" s="64">
        <f t="shared" ref="AG20" si="21">(+R25/Q25)-1</f>
        <v>5.9197766414931241E-3</v>
      </c>
      <c r="AH20" s="64">
        <f t="shared" si="17"/>
        <v>5.8670743376949552E-3</v>
      </c>
      <c r="AI20" s="28"/>
      <c r="AJ20" s="28"/>
      <c r="AK20" s="28"/>
      <c r="AL20" s="28"/>
      <c r="AM20" s="28"/>
      <c r="AN20" s="28"/>
      <c r="AO20" s="28"/>
      <c r="AP20" s="28"/>
      <c r="AQ20" s="29">
        <f>+(S25/P25-1)/COUNTA(AE20:AP20)*12</f>
        <v>5.1881367147406765E-2</v>
      </c>
      <c r="AR20" s="32"/>
      <c r="AS20" s="15"/>
      <c r="AV20" s="36" t="s">
        <v>27</v>
      </c>
      <c r="AW20" s="76">
        <v>46142</v>
      </c>
      <c r="AX20" s="37">
        <f>EOMONTH($AW20,AX19)</f>
        <v>46112</v>
      </c>
      <c r="AY20" s="37">
        <f>EOMONTH($AW20,AY19)</f>
        <v>46053</v>
      </c>
      <c r="AZ20" s="37">
        <f>EOMONTH($AW20,AZ19)</f>
        <v>45961</v>
      </c>
      <c r="BA20" s="37">
        <f>EOMONTH($AW20,BA19)</f>
        <v>45777</v>
      </c>
      <c r="BB20" s="37">
        <v>43100</v>
      </c>
    </row>
    <row r="21" spans="1:56">
      <c r="A21" s="23">
        <v>39233</v>
      </c>
      <c r="B21" s="26">
        <v>11763.78</v>
      </c>
      <c r="C21" s="31">
        <v>4.2303563430751683E-3</v>
      </c>
      <c r="D21" s="25">
        <v>107.40098273189243</v>
      </c>
      <c r="E21" s="25"/>
      <c r="F21" s="25"/>
      <c r="O21" s="9">
        <v>2022</v>
      </c>
      <c r="P21" s="26">
        <f>+H198</f>
        <v>1042.8952371327628</v>
      </c>
      <c r="Q21" s="26">
        <f>+H199</f>
        <v>1047.1702371327626</v>
      </c>
      <c r="R21" s="26">
        <f>+H200</f>
        <v>1052.0543371327626</v>
      </c>
      <c r="S21" s="26">
        <f>+H201</f>
        <v>1058.7170371327627</v>
      </c>
      <c r="T21" s="26">
        <f>+H202</f>
        <v>1067.3521371327627</v>
      </c>
      <c r="U21" s="26">
        <f>+H203</f>
        <v>1075.6792371327626</v>
      </c>
      <c r="V21" s="26">
        <f>+H204</f>
        <v>1084.5069371327627</v>
      </c>
      <c r="W21" s="26">
        <f>+H205</f>
        <v>1094.0229371327628</v>
      </c>
      <c r="X21" s="26">
        <f>+H206</f>
        <v>1103.5318371327628</v>
      </c>
      <c r="Y21" s="26">
        <f>+H207</f>
        <v>1113.7344371327627</v>
      </c>
      <c r="Z21" s="26">
        <f>+H208</f>
        <v>1126.0569371327626</v>
      </c>
      <c r="AA21" s="26">
        <f>+H209</f>
        <v>1137.3272371327628</v>
      </c>
      <c r="AD21" s="32" t="s">
        <v>24</v>
      </c>
      <c r="AR21" s="32" t="s">
        <v>28</v>
      </c>
      <c r="AS21" s="15"/>
      <c r="AV21" s="34" t="s">
        <v>3</v>
      </c>
      <c r="AW21" s="39">
        <f>LOOKUP(AW20,$A$3:$A$2973,$B$3:$B$2973)</f>
        <v>26432.560000000001</v>
      </c>
      <c r="AX21" s="39">
        <f>LOOKUP(AX20,$A$3:$A$2972,$B$3:$B$2972)</f>
        <v>26333.64</v>
      </c>
      <c r="AY21" s="39">
        <f>LOOKUP(AY20,$A$3:$A$2972,$B$3:$B$2972)</f>
        <v>26136.9</v>
      </c>
      <c r="AZ21" s="39">
        <f>LOOKUP(AZ20,$A$3:$A$2972,$B$3:$B$2972)</f>
        <v>25829.5</v>
      </c>
      <c r="BA21" s="39">
        <f>LOOKUP(BA20,$A$3:$A$2972,$B$3:$B$2972)</f>
        <v>25197.48</v>
      </c>
      <c r="BB21" s="39">
        <f>LOOKUP(BB20,$A$3:$A$2972,$B$3:$B$2972)</f>
        <v>17872.439999999999</v>
      </c>
    </row>
    <row r="22" spans="1:56" ht="15.75">
      <c r="A22" s="23">
        <v>39262</v>
      </c>
      <c r="B22" s="26">
        <v>11812.23</v>
      </c>
      <c r="C22" s="31">
        <v>4.2605939294319117E-3</v>
      </c>
      <c r="D22" s="25">
        <v>107.84332164110018</v>
      </c>
      <c r="E22" s="25"/>
      <c r="F22" s="25"/>
      <c r="O22" s="9">
        <v>2023</v>
      </c>
      <c r="P22" s="26">
        <f>+H210</f>
        <v>1150.1177745166667</v>
      </c>
      <c r="Q22" s="26">
        <f>+H211</f>
        <v>1161.8759745166667</v>
      </c>
      <c r="R22" s="26">
        <f>+H212</f>
        <v>1174.3101745166666</v>
      </c>
      <c r="S22" s="26">
        <f>+H213</f>
        <v>1185.8768745166667</v>
      </c>
      <c r="T22" s="26">
        <f>+H214</f>
        <v>1199.3090745166667</v>
      </c>
      <c r="U22" s="26">
        <f>+H215</f>
        <v>1211.6538745166667</v>
      </c>
      <c r="V22" s="26">
        <f>+H216</f>
        <v>1224.6633745166666</v>
      </c>
      <c r="W22" s="26">
        <f>+H217</f>
        <v>1236.4970745166665</v>
      </c>
      <c r="X22" s="26">
        <f>+H218</f>
        <v>1247.9596745166666</v>
      </c>
      <c r="Y22" s="26">
        <f>+H219</f>
        <v>1259.4088745166666</v>
      </c>
      <c r="Z22" s="26">
        <f>+H220</f>
        <v>1270.3151745166667</v>
      </c>
      <c r="AA22" s="26">
        <f>+H221</f>
        <v>1280.8225745166667</v>
      </c>
      <c r="AD22" s="35" t="s">
        <v>29</v>
      </c>
      <c r="AE22" s="14" t="s">
        <v>4</v>
      </c>
      <c r="AF22" s="14" t="s">
        <v>5</v>
      </c>
      <c r="AG22" s="14" t="s">
        <v>6</v>
      </c>
      <c r="AH22" s="14" t="s">
        <v>7</v>
      </c>
      <c r="AI22" s="14" t="s">
        <v>8</v>
      </c>
      <c r="AJ22" s="14" t="s">
        <v>9</v>
      </c>
      <c r="AK22" s="14" t="s">
        <v>10</v>
      </c>
      <c r="AL22" s="14" t="s">
        <v>11</v>
      </c>
      <c r="AM22" s="14" t="s">
        <v>12</v>
      </c>
      <c r="AN22" s="14" t="s">
        <v>13</v>
      </c>
      <c r="AO22" s="14" t="s">
        <v>14</v>
      </c>
      <c r="AP22" s="14" t="s">
        <v>15</v>
      </c>
      <c r="AQ22" s="14" t="s">
        <v>16</v>
      </c>
      <c r="AR22" s="32"/>
      <c r="AS22" s="15"/>
      <c r="AV22" s="34" t="s">
        <v>29</v>
      </c>
      <c r="AW22" s="39">
        <f t="shared" ref="AW22:BB22" si="22">LOOKUP(AW20,$F$2:$F$2973,$K$2:$K$2973)</f>
        <v>6351.9305000000004</v>
      </c>
      <c r="AX22" s="39">
        <f t="shared" si="22"/>
        <v>6335.4773999999998</v>
      </c>
      <c r="AY22" s="39">
        <f t="shared" si="22"/>
        <v>6303.0823</v>
      </c>
      <c r="AZ22" s="39">
        <f t="shared" si="22"/>
        <v>6250.6981999999998</v>
      </c>
      <c r="BA22" s="39">
        <f t="shared" si="22"/>
        <v>6141.4105</v>
      </c>
      <c r="BB22" s="39">
        <f t="shared" si="22"/>
        <v>0</v>
      </c>
    </row>
    <row r="23" spans="1:56">
      <c r="A23" s="23">
        <v>39294</v>
      </c>
      <c r="B23" s="26">
        <v>11866.53</v>
      </c>
      <c r="C23" s="31">
        <v>4.3096223151768004E-3</v>
      </c>
      <c r="D23" s="25">
        <v>108.33906989228662</v>
      </c>
      <c r="E23" s="25"/>
      <c r="F23" s="25"/>
      <c r="O23" s="9">
        <v>2024</v>
      </c>
      <c r="P23" s="26">
        <f>+H222</f>
        <v>1291.5581745166667</v>
      </c>
      <c r="Q23" s="26">
        <f>+H223</f>
        <v>1300.2223745166666</v>
      </c>
      <c r="R23" s="26">
        <f>+H224</f>
        <v>1308.1057745166665</v>
      </c>
      <c r="S23" s="26">
        <f>+H225</f>
        <v>1317.2639745166666</v>
      </c>
      <c r="T23" s="26">
        <f>+H226</f>
        <v>1325.1789745166666</v>
      </c>
      <c r="U23" s="26">
        <f>+H227</f>
        <v>1332.3837745166666</v>
      </c>
      <c r="V23" s="26">
        <f>+H228</f>
        <v>1339.1503745166667</v>
      </c>
      <c r="W23" s="26">
        <f>+H229</f>
        <v>1346.5027745166667</v>
      </c>
      <c r="X23" s="26">
        <f>+H230</f>
        <v>1353.6140745166667</v>
      </c>
      <c r="Y23" s="26">
        <f>+H231</f>
        <v>1360.3638745166666</v>
      </c>
      <c r="Z23" s="26">
        <f>+H232</f>
        <v>1367.1772745166666</v>
      </c>
      <c r="AA23" s="26">
        <f>+H233</f>
        <v>1373.7642166160756</v>
      </c>
      <c r="AD23" s="20">
        <v>2016</v>
      </c>
      <c r="AE23" s="21"/>
      <c r="AF23" s="21"/>
      <c r="AG23" s="21"/>
      <c r="AH23" s="21"/>
      <c r="AI23" s="21"/>
      <c r="AJ23" s="21"/>
      <c r="AK23" s="21"/>
      <c r="AL23" s="21"/>
      <c r="AM23" s="21"/>
      <c r="AN23" s="21"/>
      <c r="AO23" s="21"/>
      <c r="AP23" s="21"/>
      <c r="AQ23" s="22"/>
      <c r="AR23" s="32"/>
      <c r="AS23" s="15"/>
      <c r="AV23" s="34" t="s">
        <v>30</v>
      </c>
      <c r="AW23" s="39">
        <f t="shared" ref="AW23:BB23" si="23">LOOKUP(AW20,$F$2:$F$2971,$H$2:$H$2971)</f>
        <v>1503.3296166160756</v>
      </c>
      <c r="AX23" s="39">
        <f t="shared" si="23"/>
        <v>1494.5609166160755</v>
      </c>
      <c r="AY23" s="39">
        <f t="shared" si="23"/>
        <v>1477.7733166160756</v>
      </c>
      <c r="AZ23" s="39">
        <f t="shared" si="23"/>
        <v>1452.8637166160756</v>
      </c>
      <c r="BA23" s="39">
        <f t="shared" si="23"/>
        <v>1403.7067166160755</v>
      </c>
      <c r="BB23" s="39">
        <f t="shared" si="23"/>
        <v>0</v>
      </c>
    </row>
    <row r="24" spans="1:56">
      <c r="A24" s="23">
        <v>39325</v>
      </c>
      <c r="B24" s="26">
        <v>11922.48</v>
      </c>
      <c r="C24" s="31">
        <v>4.5628470404002561E-3</v>
      </c>
      <c r="D24" s="25">
        <v>108.84988231685159</v>
      </c>
      <c r="E24" s="25"/>
      <c r="F24" s="25"/>
      <c r="O24" s="9">
        <v>2025</v>
      </c>
      <c r="P24" s="26">
        <f>+H234</f>
        <v>1380.1485166160755</v>
      </c>
      <c r="Q24" s="26">
        <f>+H235</f>
        <v>1386.6290166160757</v>
      </c>
      <c r="R24" s="26">
        <f>+H236</f>
        <v>1394.9087166160755</v>
      </c>
      <c r="S24" s="26">
        <f>+H237</f>
        <v>1403.7067166160755</v>
      </c>
      <c r="T24" s="26">
        <f>+H238</f>
        <v>1412.6396166160755</v>
      </c>
      <c r="U24" s="26">
        <f>+H239</f>
        <v>1420.7978166160756</v>
      </c>
      <c r="V24" s="26">
        <f>+H240</f>
        <v>1428.7031166160755</v>
      </c>
      <c r="W24" s="26">
        <f>+H241</f>
        <v>1437.0574166160757</v>
      </c>
      <c r="X24" s="26">
        <f>+H242</f>
        <v>1444.7958166160756</v>
      </c>
      <c r="Y24" s="26">
        <f>+H243</f>
        <v>1452.8637166160756</v>
      </c>
      <c r="Z24" s="26">
        <f>+H244</f>
        <v>1460.9145166160756</v>
      </c>
      <c r="AA24" s="26">
        <f>+H245</f>
        <v>1469.2434166160756</v>
      </c>
      <c r="AD24" s="27">
        <v>2017</v>
      </c>
      <c r="AE24" s="28"/>
      <c r="AF24" s="28"/>
      <c r="AG24" s="28"/>
      <c r="AH24" s="28"/>
      <c r="AI24" s="28"/>
      <c r="AJ24" s="28"/>
      <c r="AK24" s="28"/>
      <c r="AL24" s="28"/>
      <c r="AM24" s="28"/>
      <c r="AN24" s="28"/>
      <c r="AO24" s="28"/>
      <c r="AP24" s="28"/>
      <c r="AQ24" s="29"/>
      <c r="AR24" s="32"/>
      <c r="AS24" s="15"/>
      <c r="AV24" s="34"/>
      <c r="AW24" s="34"/>
      <c r="AX24" s="34"/>
      <c r="AY24" s="34"/>
      <c r="AZ24" s="34"/>
      <c r="BA24" s="34"/>
      <c r="BB24" s="34"/>
    </row>
    <row r="25" spans="1:56">
      <c r="A25" s="23"/>
      <c r="B25" s="26"/>
      <c r="C25" s="31"/>
      <c r="D25" s="25"/>
      <c r="E25" s="25"/>
      <c r="F25" s="25"/>
      <c r="O25" s="9">
        <v>2026</v>
      </c>
      <c r="P25" s="26">
        <f>+H246</f>
        <v>1477.7733166160756</v>
      </c>
      <c r="Q25" s="26">
        <f>+H247</f>
        <v>1485.7655166160755</v>
      </c>
      <c r="R25" s="26">
        <f>+H248</f>
        <v>1494.5609166160755</v>
      </c>
      <c r="S25" s="26">
        <f>+H249</f>
        <v>1503.3296166160756</v>
      </c>
      <c r="T25" s="26"/>
      <c r="U25" s="26"/>
      <c r="V25" s="26"/>
      <c r="W25" s="26"/>
      <c r="X25" s="26"/>
      <c r="Y25" s="26"/>
      <c r="Z25" s="26"/>
      <c r="AA25" s="26"/>
      <c r="AD25" s="20">
        <v>2018</v>
      </c>
      <c r="AE25" s="21"/>
      <c r="AF25" s="21"/>
      <c r="AG25" s="21"/>
      <c r="AH25" s="21"/>
      <c r="AI25" s="21"/>
      <c r="AJ25" s="21"/>
      <c r="AK25" s="33"/>
      <c r="AL25" s="33"/>
      <c r="AM25" s="33"/>
      <c r="AN25" s="62"/>
      <c r="AO25" s="62"/>
      <c r="AP25" s="62"/>
      <c r="AQ25" s="22"/>
      <c r="AR25" s="32"/>
      <c r="AS25" s="15"/>
      <c r="AV25" s="34"/>
      <c r="AW25" s="34"/>
      <c r="AX25" s="34"/>
      <c r="AY25" s="34"/>
      <c r="AZ25" s="34"/>
      <c r="BA25" s="34"/>
      <c r="BB25" s="34"/>
    </row>
    <row r="26" spans="1:56">
      <c r="A26" s="23">
        <v>39353</v>
      </c>
      <c r="B26" s="26">
        <v>11975.61</v>
      </c>
      <c r="C26" s="31">
        <v>4.7745938764419994E-3</v>
      </c>
      <c r="D26" s="25">
        <v>109.33494869964231</v>
      </c>
      <c r="E26" s="25"/>
      <c r="F26" s="25"/>
      <c r="P26" s="16">
        <v>31</v>
      </c>
      <c r="Q26" s="16">
        <v>28</v>
      </c>
      <c r="R26" s="16">
        <v>31</v>
      </c>
      <c r="S26" s="16">
        <v>30</v>
      </c>
      <c r="T26" s="16">
        <v>31</v>
      </c>
      <c r="U26" s="16">
        <v>30</v>
      </c>
      <c r="V26" s="16">
        <v>31</v>
      </c>
      <c r="W26" s="16">
        <v>31</v>
      </c>
      <c r="X26" s="16">
        <v>30</v>
      </c>
      <c r="Y26" s="16">
        <v>31</v>
      </c>
      <c r="Z26" s="16">
        <v>30</v>
      </c>
      <c r="AA26" s="16">
        <v>31</v>
      </c>
      <c r="AD26" s="27">
        <v>2019</v>
      </c>
      <c r="AE26" s="28"/>
      <c r="AF26" s="28"/>
      <c r="AG26" s="28"/>
      <c r="AH26" s="28"/>
      <c r="AI26" s="28"/>
      <c r="AJ26" s="28"/>
      <c r="AK26" s="28"/>
      <c r="AL26" s="28"/>
      <c r="AM26" s="28"/>
      <c r="AN26" s="28"/>
      <c r="AO26" s="28"/>
      <c r="AP26" s="28"/>
      <c r="AQ26" s="29"/>
      <c r="AR26" s="32"/>
      <c r="AS26" s="15"/>
    </row>
    <row r="27" spans="1:56">
      <c r="A27" s="23">
        <v>39386</v>
      </c>
      <c r="B27" s="26">
        <v>12038.9</v>
      </c>
      <c r="C27" s="31">
        <v>4.8044620387907326E-3</v>
      </c>
      <c r="D27" s="25">
        <v>109.91277387123692</v>
      </c>
      <c r="E27" s="25"/>
      <c r="F27" s="25"/>
      <c r="P27" s="16">
        <v>1</v>
      </c>
      <c r="Q27" s="16">
        <v>2</v>
      </c>
      <c r="R27" s="16">
        <v>3</v>
      </c>
      <c r="S27" s="16">
        <v>4</v>
      </c>
      <c r="T27" s="16">
        <v>5</v>
      </c>
      <c r="U27" s="16">
        <v>6</v>
      </c>
      <c r="V27" s="16">
        <v>7</v>
      </c>
      <c r="W27" s="16">
        <v>8</v>
      </c>
      <c r="X27" s="16">
        <v>9</v>
      </c>
      <c r="Y27" s="16">
        <v>10</v>
      </c>
      <c r="Z27" s="16">
        <v>11</v>
      </c>
      <c r="AA27" s="16">
        <v>12</v>
      </c>
      <c r="AD27" s="27">
        <v>2020</v>
      </c>
      <c r="AE27" s="28"/>
      <c r="AF27" s="28"/>
      <c r="AG27" s="28"/>
      <c r="AH27" s="28"/>
      <c r="AI27" s="28">
        <f t="shared" ref="AI27:AP27" si="24">+(T33/S33-1)</f>
        <v>1.602756157288443E-4</v>
      </c>
      <c r="AJ27" s="28">
        <f t="shared" si="24"/>
        <v>1.6024993157248701E-4</v>
      </c>
      <c r="AK27" s="28">
        <f t="shared" si="24"/>
        <v>1.0010830250339886E-4</v>
      </c>
      <c r="AL27" s="28">
        <f t="shared" si="24"/>
        <v>1.9147109225836623E-4</v>
      </c>
      <c r="AM27" s="28">
        <f t="shared" si="24"/>
        <v>7.0870692213009789E-5</v>
      </c>
      <c r="AN27" s="28">
        <f t="shared" si="24"/>
        <v>6.7319329227988334E-5</v>
      </c>
      <c r="AO27" s="28">
        <f t="shared" si="24"/>
        <v>6.0935890083824162E-5</v>
      </c>
      <c r="AP27" s="28">
        <f t="shared" si="24"/>
        <v>6.0626497308868821E-5</v>
      </c>
      <c r="AQ27" s="29">
        <f>+(AA33/S33-1)/COUNTA(AE27:AP27)*12</f>
        <v>1.3082699811081122E-3</v>
      </c>
      <c r="AR27" s="15"/>
      <c r="AS27" s="15"/>
    </row>
    <row r="28" spans="1:56">
      <c r="A28" s="23">
        <v>39416</v>
      </c>
      <c r="B28" s="26">
        <v>12096.85</v>
      </c>
      <c r="C28" s="31">
        <v>4.8135627009113779E-3</v>
      </c>
      <c r="D28" s="25">
        <v>110.4418458998972</v>
      </c>
      <c r="E28" s="25"/>
      <c r="F28" s="25"/>
      <c r="O28" s="38" t="s">
        <v>29</v>
      </c>
      <c r="P28" s="9" t="s">
        <v>4</v>
      </c>
      <c r="Q28" s="9" t="s">
        <v>5</v>
      </c>
      <c r="R28" s="9" t="s">
        <v>6</v>
      </c>
      <c r="S28" s="9" t="s">
        <v>7</v>
      </c>
      <c r="T28" s="9" t="s">
        <v>8</v>
      </c>
      <c r="U28" s="9" t="s">
        <v>9</v>
      </c>
      <c r="V28" s="9" t="s">
        <v>10</v>
      </c>
      <c r="W28" s="9" t="s">
        <v>11</v>
      </c>
      <c r="X28" s="9" t="s">
        <v>12</v>
      </c>
      <c r="Y28" s="9" t="s">
        <v>13</v>
      </c>
      <c r="Z28" s="9" t="s">
        <v>14</v>
      </c>
      <c r="AA28" s="9" t="s">
        <v>15</v>
      </c>
      <c r="AD28" s="27">
        <v>2021</v>
      </c>
      <c r="AE28" s="28">
        <f t="shared" ref="AE28:AE33" si="25">+(P34/AA33)-1</f>
        <v>4.9904299488812143E-5</v>
      </c>
      <c r="AF28" s="28">
        <f t="shared" ref="AF28:AP33" si="26">+(Q34/P34)-1</f>
        <v>5.4506876088211698E-5</v>
      </c>
      <c r="AG28" s="28">
        <f t="shared" si="26"/>
        <v>5.403527354186366E-5</v>
      </c>
      <c r="AH28" s="28">
        <f t="shared" si="26"/>
        <v>6.6256868343383957E-5</v>
      </c>
      <c r="AI28" s="28">
        <f t="shared" si="26"/>
        <v>6.0079507863797232E-5</v>
      </c>
      <c r="AJ28" s="28">
        <f t="shared" si="26"/>
        <v>5.9933297214431747E-5</v>
      </c>
      <c r="AK28" s="28">
        <f t="shared" si="26"/>
        <v>6.1885263458627549E-5</v>
      </c>
      <c r="AL28" s="28">
        <f t="shared" si="26"/>
        <v>6.2044386994530853E-5</v>
      </c>
      <c r="AM28" s="28">
        <f t="shared" si="26"/>
        <v>-1.177670351739657E-4</v>
      </c>
      <c r="AN28" s="28">
        <f t="shared" si="26"/>
        <v>1.0223227816485991E-3</v>
      </c>
      <c r="AO28" s="28">
        <f t="shared" si="26"/>
        <v>1.2592250239187308E-3</v>
      </c>
      <c r="AP28" s="28">
        <f t="shared" si="26"/>
        <v>1.8230922141349026E-3</v>
      </c>
      <c r="AQ28" s="29">
        <f>+(AA34/AA33-1)/COUNTA(AE28:AP28)*12</f>
        <v>4.4624510187976085E-3</v>
      </c>
      <c r="AV28" s="41"/>
      <c r="AW28" s="41"/>
      <c r="AX28" s="41"/>
      <c r="AY28" s="41"/>
      <c r="AZ28" s="41"/>
      <c r="BA28" s="41"/>
      <c r="BB28" s="41"/>
      <c r="BC28" s="41"/>
    </row>
    <row r="29" spans="1:56">
      <c r="A29" s="23">
        <v>39447</v>
      </c>
      <c r="B29" s="26">
        <v>12152.6</v>
      </c>
      <c r="C29" s="31">
        <v>4.4599720508417809E-3</v>
      </c>
      <c r="D29" s="25">
        <v>110.9508323640527</v>
      </c>
      <c r="E29" s="25"/>
      <c r="F29" s="25"/>
      <c r="O29" s="9">
        <v>2016</v>
      </c>
      <c r="P29" s="26"/>
      <c r="Q29" s="26"/>
      <c r="R29" s="26"/>
      <c r="S29" s="26"/>
      <c r="T29" s="26"/>
      <c r="U29" s="40"/>
      <c r="V29" s="40"/>
      <c r="W29" s="40"/>
      <c r="X29" s="40"/>
      <c r="Y29" s="40"/>
      <c r="Z29" s="40"/>
      <c r="AA29" s="40"/>
      <c r="AD29" s="27">
        <v>2022</v>
      </c>
      <c r="AE29" s="28">
        <f t="shared" si="25"/>
        <v>2.5716675973617154E-3</v>
      </c>
      <c r="AF29" s="28">
        <f t="shared" si="26"/>
        <v>3.3003449253206085E-3</v>
      </c>
      <c r="AG29" s="28">
        <f t="shared" si="26"/>
        <v>3.7926066476499098E-3</v>
      </c>
      <c r="AH29" s="28">
        <f t="shared" si="26"/>
        <v>4.5716132579094459E-3</v>
      </c>
      <c r="AI29" s="28">
        <f t="shared" si="26"/>
        <v>5.5105600851037551E-3</v>
      </c>
      <c r="AJ29" s="28">
        <f t="shared" si="26"/>
        <v>5.8835914511081722E-3</v>
      </c>
      <c r="AK29" s="28">
        <f t="shared" si="26"/>
        <v>6.5118669140771246E-3</v>
      </c>
      <c r="AL29" s="28">
        <f t="shared" si="26"/>
        <v>7.0304553653228741E-3</v>
      </c>
      <c r="AM29" s="28">
        <f t="shared" si="26"/>
        <v>7.3357454740365924E-3</v>
      </c>
      <c r="AN29" s="28">
        <f t="shared" si="26"/>
        <v>7.242252792307724E-3</v>
      </c>
      <c r="AO29" s="28">
        <f t="shared" si="26"/>
        <v>8.7418046963003704E-3</v>
      </c>
      <c r="AP29" s="28">
        <f t="shared" si="26"/>
        <v>7.9281719511867799E-3</v>
      </c>
      <c r="AQ29" s="29">
        <f>+(AA35/AA34-1)/COUNTA(AE29:AP29)*12</f>
        <v>7.2716429569050778E-2</v>
      </c>
      <c r="AV29" s="42"/>
      <c r="AW29" s="43" t="s">
        <v>31</v>
      </c>
      <c r="AX29" s="43" t="s">
        <v>32</v>
      </c>
      <c r="AY29" s="43" t="s">
        <v>33</v>
      </c>
      <c r="AZ29" s="43" t="s">
        <v>34</v>
      </c>
      <c r="BA29" s="43" t="s">
        <v>35</v>
      </c>
      <c r="BB29" s="43" t="s">
        <v>36</v>
      </c>
      <c r="BC29" s="44"/>
      <c r="BD29" s="45"/>
    </row>
    <row r="30" spans="1:56">
      <c r="A30" s="23">
        <v>39478</v>
      </c>
      <c r="B30" s="26">
        <v>12223.14</v>
      </c>
      <c r="C30" s="31">
        <v>5.6172766427787044E-3</v>
      </c>
      <c r="D30" s="25">
        <v>111.59484860049264</v>
      </c>
      <c r="E30" s="25"/>
      <c r="F30" s="25"/>
      <c r="O30" s="9">
        <v>2017</v>
      </c>
      <c r="P30" s="40"/>
      <c r="Q30" s="40"/>
      <c r="R30" s="40"/>
      <c r="S30" s="40"/>
      <c r="T30" s="40"/>
      <c r="U30" s="10"/>
      <c r="V30" s="10"/>
      <c r="W30" s="10"/>
      <c r="X30" s="10"/>
      <c r="Y30" s="10"/>
      <c r="Z30" s="10"/>
      <c r="AA30" s="10"/>
      <c r="AD30" s="27">
        <v>2023</v>
      </c>
      <c r="AE30" s="28">
        <f t="shared" si="25"/>
        <v>8.4413123561493109E-3</v>
      </c>
      <c r="AF30" s="28">
        <f t="shared" si="26"/>
        <v>7.3877688517240969E-3</v>
      </c>
      <c r="AG30" s="28">
        <f t="shared" si="26"/>
        <v>8.2103786429854608E-3</v>
      </c>
      <c r="AH30" s="28">
        <f t="shared" si="26"/>
        <v>7.4581790813075255E-3</v>
      </c>
      <c r="AI30" s="28">
        <f t="shared" si="26"/>
        <v>8.8250764209547583E-3</v>
      </c>
      <c r="AJ30" s="28">
        <f t="shared" si="26"/>
        <v>8.0028913540715063E-3</v>
      </c>
      <c r="AK30" s="28">
        <f t="shared" si="26"/>
        <v>8.20447209350883E-3</v>
      </c>
      <c r="AL30" s="28">
        <f t="shared" si="26"/>
        <v>7.5962855810813856E-3</v>
      </c>
      <c r="AM30" s="28">
        <f t="shared" si="26"/>
        <v>6.7848226130593492E-3</v>
      </c>
      <c r="AN30" s="28">
        <f t="shared" si="26"/>
        <v>6.6760826965912567E-3</v>
      </c>
      <c r="AO30" s="28">
        <f t="shared" si="26"/>
        <v>6.1695672319295181E-3</v>
      </c>
      <c r="AP30" s="28">
        <f t="shared" si="26"/>
        <v>6.1015518639564448E-3</v>
      </c>
      <c r="AQ30" s="29">
        <f>+(AA36/AA35-1)/COUNTA(AE30:AP30)*12</f>
        <v>9.364840576365796E-2</v>
      </c>
      <c r="AV30" s="96"/>
      <c r="AW30" s="43" t="s">
        <v>37</v>
      </c>
      <c r="AX30" s="46">
        <f>$AW21/AX21-1</f>
        <v>3.7564119506456883E-3</v>
      </c>
      <c r="AY30" s="46">
        <f>$AW21/AY21-1</f>
        <v>1.1311976554220227E-2</v>
      </c>
      <c r="AZ30" s="46">
        <f>$AW21/AZ21-1</f>
        <v>2.3347722565283835E-2</v>
      </c>
      <c r="BA30" s="46">
        <f>$AW21/BA21-1</f>
        <v>4.9016012712382429E-2</v>
      </c>
      <c r="BB30" s="46">
        <f>+AQ57</f>
        <v>3.393592966266068E-2</v>
      </c>
      <c r="BC30" s="47"/>
      <c r="BD30" s="33"/>
    </row>
    <row r="31" spans="1:56">
      <c r="A31" s="23">
        <v>39507</v>
      </c>
      <c r="B31" s="26">
        <v>12284.88</v>
      </c>
      <c r="C31" s="31">
        <v>5.2252502644361907E-3</v>
      </c>
      <c r="D31" s="25">
        <v>112.15852257891343</v>
      </c>
      <c r="E31" s="25"/>
      <c r="F31" s="25"/>
      <c r="O31" s="9">
        <v>2018</v>
      </c>
      <c r="P31" s="40"/>
      <c r="Q31" s="40"/>
      <c r="R31" s="40"/>
      <c r="S31" s="40"/>
      <c r="T31" s="26"/>
      <c r="U31" s="26"/>
      <c r="V31" s="26"/>
      <c r="W31" s="26"/>
      <c r="X31" s="26"/>
      <c r="Y31" s="26"/>
      <c r="Z31" s="26"/>
      <c r="AA31" s="26"/>
      <c r="AD31" s="27">
        <v>2024</v>
      </c>
      <c r="AE31" s="28">
        <f t="shared" si="25"/>
        <v>5.8719297517517699E-3</v>
      </c>
      <c r="AF31" s="28">
        <f t="shared" si="26"/>
        <v>5.0849107705890351E-3</v>
      </c>
      <c r="AG31" s="28">
        <f t="shared" si="26"/>
        <v>4.4501495538697977E-3</v>
      </c>
      <c r="AH31" s="28">
        <f t="shared" si="26"/>
        <v>4.7201240336098849E-3</v>
      </c>
      <c r="AI31" s="28">
        <f t="shared" si="26"/>
        <v>4.1677968559530321E-3</v>
      </c>
      <c r="AJ31" s="28">
        <f t="shared" si="26"/>
        <v>3.6501931277677091E-3</v>
      </c>
      <c r="AK31" s="28">
        <f t="shared" si="26"/>
        <v>3.6341260750816229E-3</v>
      </c>
      <c r="AL31" s="28">
        <f t="shared" si="26"/>
        <v>3.6276694159318446E-3</v>
      </c>
      <c r="AM31" s="28">
        <f t="shared" si="26"/>
        <v>3.3754452875442986E-3</v>
      </c>
      <c r="AN31" s="28">
        <f t="shared" si="26"/>
        <v>3.4108129956791355E-3</v>
      </c>
      <c r="AO31" s="28">
        <f t="shared" si="26"/>
        <v>3.220374604913312E-3</v>
      </c>
      <c r="AP31" s="28">
        <f t="shared" si="26"/>
        <v>3.2298559019789952E-3</v>
      </c>
      <c r="AQ31" s="29">
        <f>+(AA37/AA36-1)/COUNTA(AE31:AP31)*12</f>
        <v>4.9529562919770731E-2</v>
      </c>
      <c r="AR31" s="15"/>
      <c r="AS31" s="15"/>
      <c r="AV31" s="96"/>
      <c r="AW31" s="43" t="s">
        <v>29</v>
      </c>
      <c r="AX31" s="46">
        <f>$AW22/AX22-1</f>
        <v>2.5969787217614559E-3</v>
      </c>
      <c r="AY31" s="46">
        <f>($AW22)/AY22-1</f>
        <v>7.749890874818588E-3</v>
      </c>
      <c r="AZ31" s="46">
        <f>($AW22)/AZ22-1</f>
        <v>1.6195358784079517E-2</v>
      </c>
      <c r="BA31" s="46">
        <f>($AW22)/BA22-1</f>
        <v>3.4278770324830177E-2</v>
      </c>
      <c r="BB31" s="46">
        <f t="shared" ref="BB31:BB32" si="27">+AQ58</f>
        <v>2.3249672624455764E-2</v>
      </c>
      <c r="BC31" s="47"/>
      <c r="BD31" s="33"/>
    </row>
    <row r="32" spans="1:56">
      <c r="A32" s="23">
        <v>39538</v>
      </c>
      <c r="B32" s="26">
        <v>12351.45</v>
      </c>
      <c r="C32" s="31">
        <v>5.2440545324954563E-3</v>
      </c>
      <c r="D32" s="25">
        <v>112.76629350122431</v>
      </c>
      <c r="E32" s="25"/>
      <c r="F32" s="25"/>
      <c r="O32" s="9">
        <v>2019</v>
      </c>
      <c r="R32" s="24"/>
      <c r="S32" s="24"/>
      <c r="T32" s="24"/>
      <c r="X32" s="69"/>
      <c r="Y32" s="69"/>
      <c r="AD32" s="27">
        <v>2025</v>
      </c>
      <c r="AE32" s="28">
        <f t="shared" si="25"/>
        <v>3.0202103340466468E-3</v>
      </c>
      <c r="AF32" s="28">
        <f t="shared" si="26"/>
        <v>2.7621377102811095E-3</v>
      </c>
      <c r="AG32" s="28">
        <f t="shared" si="26"/>
        <v>3.0628269232331196E-3</v>
      </c>
      <c r="AH32" s="28">
        <f t="shared" si="26"/>
        <v>2.975949685819046E-3</v>
      </c>
      <c r="AI32" s="28">
        <f t="shared" si="26"/>
        <v>3.0897625227950254E-3</v>
      </c>
      <c r="AJ32" s="28">
        <f t="shared" si="26"/>
        <v>2.9970524574272073E-3</v>
      </c>
      <c r="AK32" s="28">
        <f t="shared" si="26"/>
        <v>2.9505495279136262E-3</v>
      </c>
      <c r="AL32" s="28">
        <f t="shared" si="26"/>
        <v>3.0005421908383401E-3</v>
      </c>
      <c r="AM32" s="28">
        <f t="shared" si="26"/>
        <v>2.7616149661373601E-3</v>
      </c>
      <c r="AN32" s="28">
        <f t="shared" si="26"/>
        <v>2.8651947244786591E-3</v>
      </c>
      <c r="AO32" s="28">
        <f t="shared" si="26"/>
        <v>2.7950157631990713E-3</v>
      </c>
      <c r="AP32" s="28">
        <f t="shared" si="26"/>
        <v>2.8377664992760288E-3</v>
      </c>
      <c r="AQ32" s="29">
        <f>+(Z38/P38-1)/COUNTA(AE32:AP32)*12</f>
        <v>2.9648883099268719E-2</v>
      </c>
      <c r="AR32" s="32"/>
      <c r="AS32" s="15"/>
      <c r="AV32" s="48"/>
      <c r="AW32" s="43" t="s">
        <v>30</v>
      </c>
      <c r="AX32" s="46">
        <f>+AW23/AX23-1</f>
        <v>5.8670743376949552E-3</v>
      </c>
      <c r="AY32" s="46">
        <f>+AW23/AY23-1</f>
        <v>1.7293789049135588E-2</v>
      </c>
      <c r="AZ32" s="46">
        <f>($AW23)/AZ23-1</f>
        <v>3.4735467217491101E-2</v>
      </c>
      <c r="BA32" s="46">
        <f>($AW23)/BA23-1</f>
        <v>7.0971306769950893E-2</v>
      </c>
      <c r="BB32" s="46">
        <f t="shared" si="27"/>
        <v>5.1881367147406765E-2</v>
      </c>
      <c r="BC32" s="48"/>
      <c r="BD32" s="33"/>
    </row>
    <row r="33" spans="1:62">
      <c r="A33" s="23">
        <v>39568</v>
      </c>
      <c r="B33" s="26">
        <v>12416.18</v>
      </c>
      <c r="C33" s="31">
        <v>5.2406802440199129E-3</v>
      </c>
      <c r="D33" s="25">
        <v>113.35726558776753</v>
      </c>
      <c r="E33" s="25"/>
      <c r="F33" s="25"/>
      <c r="O33" s="9">
        <v>2020</v>
      </c>
      <c r="P33" s="9">
        <f>+K174</f>
        <v>4885.3887000000004</v>
      </c>
      <c r="Q33" s="9">
        <f>+K175</f>
        <v>4887.7164000000002</v>
      </c>
      <c r="R33" s="9">
        <f>+K176</f>
        <v>4892.3527999999997</v>
      </c>
      <c r="S33" s="9">
        <f>+K177</f>
        <v>4903.1163999999999</v>
      </c>
      <c r="T33" s="9">
        <f>+K178</f>
        <v>4903.9022500000001</v>
      </c>
      <c r="U33" s="9">
        <f>+K179</f>
        <v>4904.6881000000003</v>
      </c>
      <c r="V33" s="9">
        <f>+K180</f>
        <v>4905.1791000000003</v>
      </c>
      <c r="W33" s="9">
        <f>+K181</f>
        <v>4906.1183000000001</v>
      </c>
      <c r="X33" s="9">
        <f>+K182</f>
        <v>4906.4660000000003</v>
      </c>
      <c r="Y33" s="9">
        <f>+K183</f>
        <v>4906.7963</v>
      </c>
      <c r="Z33" s="9">
        <f>+K184</f>
        <v>4907.0953</v>
      </c>
      <c r="AA33" s="9">
        <f>+K185</f>
        <v>4907.3927999999996</v>
      </c>
      <c r="AD33" s="27">
        <v>2026</v>
      </c>
      <c r="AE33" s="28">
        <f t="shared" si="25"/>
        <v>2.7244381547273377E-3</v>
      </c>
      <c r="AF33" s="28">
        <f>+(Q39/P39)-1</f>
        <v>2.4452163666022209E-3</v>
      </c>
      <c r="AG33" s="28">
        <f>+(R39/Q39)-1</f>
        <v>2.6877762515176151E-3</v>
      </c>
      <c r="AH33" s="28">
        <f t="shared" si="26"/>
        <v>2.5969787217614559E-3</v>
      </c>
      <c r="AQ33" s="29">
        <f>+(S39/P39-1)/COUNTA(AE33:AP33)*12</f>
        <v>2.3249672624455764E-2</v>
      </c>
      <c r="AR33" s="32"/>
      <c r="AS33" s="32"/>
      <c r="AV33" s="48"/>
      <c r="AW33" s="49"/>
      <c r="AX33" s="15"/>
      <c r="AY33" s="15"/>
      <c r="AZ33" s="15"/>
      <c r="BA33" s="15"/>
      <c r="BB33" s="15"/>
      <c r="BC33" s="48"/>
      <c r="BD33" s="33"/>
    </row>
    <row r="34" spans="1:62">
      <c r="A34" s="23">
        <v>39598</v>
      </c>
      <c r="B34" s="26">
        <v>12481.48</v>
      </c>
      <c r="C34" s="31">
        <v>5.2592665376951508E-3</v>
      </c>
      <c r="D34" s="25">
        <v>113.9534416614779</v>
      </c>
      <c r="E34" s="25"/>
      <c r="F34" s="25"/>
      <c r="O34" s="9">
        <v>2021</v>
      </c>
      <c r="P34" s="9">
        <f>+K186</f>
        <v>4907.6377000000002</v>
      </c>
      <c r="Q34" s="9">
        <f>+K187</f>
        <v>4907.9052000000001</v>
      </c>
      <c r="R34" s="9">
        <f>+K188</f>
        <v>4908.1704</v>
      </c>
      <c r="S34" s="9">
        <f>+K189</f>
        <v>4908.4956000000002</v>
      </c>
      <c r="T34" s="9">
        <f>+K190</f>
        <v>4908.7905000000001</v>
      </c>
      <c r="U34" s="9">
        <f>+K191</f>
        <v>4909.0847000000003</v>
      </c>
      <c r="V34" s="9">
        <f>+K192</f>
        <v>4909.3885</v>
      </c>
      <c r="W34" s="9">
        <f>+K193</f>
        <v>4909.6931000000004</v>
      </c>
      <c r="X34" s="24">
        <f>+K194</f>
        <v>4909.1148999999996</v>
      </c>
      <c r="Y34" s="24">
        <f>+K195</f>
        <v>4914.1336000000001</v>
      </c>
      <c r="Z34" s="24">
        <f>+K196</f>
        <v>4920.3216000000002</v>
      </c>
      <c r="AA34" s="24">
        <f>+K197</f>
        <v>4929.2918</v>
      </c>
      <c r="AD34" s="32"/>
      <c r="AE34" s="15"/>
      <c r="AF34" s="15"/>
      <c r="AG34" s="15"/>
      <c r="AH34" s="15"/>
      <c r="AI34" s="15"/>
      <c r="AJ34" s="15"/>
      <c r="AK34" s="15"/>
      <c r="AL34" s="15"/>
      <c r="AM34" s="15"/>
      <c r="AN34" s="15"/>
      <c r="AO34" s="15"/>
      <c r="AP34" s="15"/>
      <c r="AQ34" s="15"/>
      <c r="AR34" s="15"/>
      <c r="AS34" s="15"/>
      <c r="BD34" s="33"/>
    </row>
    <row r="35" spans="1:62">
      <c r="A35" s="23">
        <v>39629</v>
      </c>
      <c r="B35" s="26">
        <v>12552.23</v>
      </c>
      <c r="C35" s="31">
        <v>5.4855467408899648E-3</v>
      </c>
      <c r="D35" s="25">
        <v>114.59937515634786</v>
      </c>
      <c r="E35" s="25"/>
      <c r="F35" s="25"/>
      <c r="O35" s="9">
        <v>2022</v>
      </c>
      <c r="P35" s="9">
        <f>+K198</f>
        <v>4941.9683000000005</v>
      </c>
      <c r="Q35" s="24">
        <f>+K199</f>
        <v>4958.2785000000003</v>
      </c>
      <c r="R35" s="9">
        <f>+K200</f>
        <v>4977.0833000000002</v>
      </c>
      <c r="S35" s="9">
        <f>+K201</f>
        <v>4999.8365999999996</v>
      </c>
      <c r="T35" s="9">
        <f>+K202</f>
        <v>5027.3885</v>
      </c>
      <c r="U35" s="24">
        <f>+K203</f>
        <v>5056.9675999999999</v>
      </c>
      <c r="V35" s="9">
        <f>+K204</f>
        <v>5089.8978999999999</v>
      </c>
      <c r="W35" s="24">
        <f>+K205</f>
        <v>5125.6822000000002</v>
      </c>
      <c r="X35" s="24">
        <f>+K206</f>
        <v>5163.2829000000002</v>
      </c>
      <c r="Y35" s="24">
        <f>+K207</f>
        <v>5200.6767</v>
      </c>
      <c r="Z35" s="24">
        <f>+K208</f>
        <v>5246.14</v>
      </c>
      <c r="AA35" s="24">
        <f>+K209</f>
        <v>5287.7322999999997</v>
      </c>
      <c r="AD35" s="32" t="s">
        <v>24</v>
      </c>
      <c r="AE35" s="15"/>
      <c r="AF35" s="15"/>
      <c r="AG35" s="15"/>
      <c r="AH35" s="15"/>
      <c r="AI35" s="15"/>
      <c r="AJ35" s="15"/>
      <c r="AK35" s="15"/>
      <c r="AL35" s="15"/>
      <c r="AM35" s="15"/>
      <c r="AN35" s="15"/>
      <c r="AO35" s="15"/>
      <c r="AP35" s="15"/>
      <c r="AQ35" s="15"/>
      <c r="AR35" s="32" t="s">
        <v>28</v>
      </c>
      <c r="AS35" s="15"/>
    </row>
    <row r="36" spans="1:62">
      <c r="A36" s="23">
        <v>39660</v>
      </c>
      <c r="B36" s="26">
        <v>12628.9</v>
      </c>
      <c r="C36" s="31">
        <v>5.9110432324413755E-3</v>
      </c>
      <c r="D36" s="25">
        <v>115.2993570793398</v>
      </c>
      <c r="E36" s="25"/>
      <c r="F36" s="25"/>
      <c r="O36" s="9">
        <v>2023</v>
      </c>
      <c r="P36" s="9">
        <f>+K210</f>
        <v>5332.3676999999998</v>
      </c>
      <c r="Q36" s="9">
        <f>+K211</f>
        <v>5371.7619999999997</v>
      </c>
      <c r="R36" s="9">
        <f>+K212</f>
        <v>5415.8662000000004</v>
      </c>
      <c r="S36" s="9">
        <f>+K213</f>
        <v>5456.2587000000003</v>
      </c>
      <c r="T36" s="24">
        <f>+K214</f>
        <v>5504.4106000000002</v>
      </c>
      <c r="U36" s="9">
        <f>+K215</f>
        <v>5548.4618</v>
      </c>
      <c r="V36" s="9">
        <f>+K216</f>
        <v>5593.9840000000004</v>
      </c>
      <c r="W36" s="24">
        <f>+K217</f>
        <v>5636.4775</v>
      </c>
      <c r="X36" s="9">
        <f>+K218</f>
        <v>5674.72</v>
      </c>
      <c r="Y36" s="9">
        <f>+K219</f>
        <v>5712.6049000000003</v>
      </c>
      <c r="Z36" s="9">
        <f>+K220</f>
        <v>5747.8491999999997</v>
      </c>
      <c r="AA36" s="9">
        <f>+K221</f>
        <v>5782.92</v>
      </c>
      <c r="AD36" s="32"/>
      <c r="AE36" s="15"/>
      <c r="AF36" s="15"/>
      <c r="AG36" s="15"/>
      <c r="AH36" s="15"/>
      <c r="AI36" s="15"/>
      <c r="AJ36" s="15"/>
      <c r="AK36" s="15"/>
      <c r="AL36" s="15"/>
      <c r="AM36" s="15"/>
      <c r="AN36" s="15"/>
      <c r="AO36" s="15"/>
      <c r="AP36" s="15"/>
      <c r="AQ36" s="15"/>
      <c r="AR36" s="15"/>
      <c r="AS36" s="15"/>
    </row>
    <row r="37" spans="1:62">
      <c r="A37" s="23">
        <v>39689</v>
      </c>
      <c r="B37" s="26">
        <v>12704.63</v>
      </c>
      <c r="C37" s="31">
        <v>6.203341487409488E-3</v>
      </c>
      <c r="D37" s="25">
        <v>115.99075698840697</v>
      </c>
      <c r="E37" s="25"/>
      <c r="F37" s="25"/>
      <c r="O37" s="9">
        <v>2024</v>
      </c>
      <c r="P37" s="9">
        <f>+K222</f>
        <v>5816.8769000000002</v>
      </c>
      <c r="Q37" s="9">
        <f>+K223</f>
        <v>5846.4552000000003</v>
      </c>
      <c r="R37" s="9">
        <f>+K224</f>
        <v>5872.4727999999996</v>
      </c>
      <c r="S37" s="9">
        <f>+K225</f>
        <v>5900.1916000000001</v>
      </c>
      <c r="T37" s="9">
        <f>+K226</f>
        <v>5924.7824000000001</v>
      </c>
      <c r="U37" s="9">
        <f>+K227</f>
        <v>5946.4089999999997</v>
      </c>
      <c r="V37" s="9">
        <f>+K228</f>
        <v>5968.0190000000002</v>
      </c>
      <c r="W37" s="9">
        <f>+K229</f>
        <v>5989.6689999999999</v>
      </c>
      <c r="X37" s="9">
        <f>+K230</f>
        <v>6009.8868000000002</v>
      </c>
      <c r="Y37" s="9">
        <f>+K231</f>
        <v>6030.3854000000001</v>
      </c>
      <c r="Z37" s="9">
        <f>+K232</f>
        <v>6049.8055000000004</v>
      </c>
      <c r="AA37" s="9">
        <f>+K233</f>
        <v>6069.3455000000004</v>
      </c>
      <c r="AC37" s="50" t="s">
        <v>38</v>
      </c>
      <c r="AD37" s="51" t="s">
        <v>39</v>
      </c>
      <c r="AE37" s="51" t="s">
        <v>4</v>
      </c>
      <c r="AF37" s="51" t="s">
        <v>5</v>
      </c>
      <c r="AG37" s="51" t="s">
        <v>6</v>
      </c>
      <c r="AH37" s="51" t="s">
        <v>7</v>
      </c>
      <c r="AI37" s="51" t="s">
        <v>8</v>
      </c>
      <c r="AJ37" s="51" t="s">
        <v>9</v>
      </c>
      <c r="AK37" s="51" t="s">
        <v>10</v>
      </c>
      <c r="AL37" s="51" t="s">
        <v>11</v>
      </c>
      <c r="AM37" s="51" t="s">
        <v>12</v>
      </c>
      <c r="AN37" s="51" t="s">
        <v>13</v>
      </c>
      <c r="AO37" s="51" t="s">
        <v>14</v>
      </c>
      <c r="AP37" s="51" t="s">
        <v>15</v>
      </c>
      <c r="AQ37" s="51" t="s">
        <v>16</v>
      </c>
      <c r="AR37" s="32"/>
      <c r="AS37" s="15"/>
    </row>
    <row r="38" spans="1:62">
      <c r="A38" s="23">
        <v>39721</v>
      </c>
      <c r="B38" s="26">
        <v>12796.95</v>
      </c>
      <c r="C38" s="31">
        <v>6.812477026092098E-3</v>
      </c>
      <c r="D38" s="25">
        <v>116.83362031344437</v>
      </c>
      <c r="E38" s="25"/>
      <c r="F38" s="25"/>
      <c r="O38" s="9">
        <v>2025</v>
      </c>
      <c r="P38" s="9">
        <f>+K234</f>
        <v>6087.6761999999999</v>
      </c>
      <c r="Q38" s="9">
        <f>+K235</f>
        <v>6104.4912000000004</v>
      </c>
      <c r="R38" s="9">
        <f>+K236</f>
        <v>6123.1881999999996</v>
      </c>
      <c r="S38" s="9">
        <f>+K237</f>
        <v>6141.4105</v>
      </c>
      <c r="T38" s="9">
        <f>+K238</f>
        <v>6160.3860000000004</v>
      </c>
      <c r="U38" s="9">
        <f>+K239</f>
        <v>6178.8490000000002</v>
      </c>
      <c r="V38" s="9">
        <f>+K240</f>
        <v>6197.08</v>
      </c>
      <c r="W38" s="9">
        <f>+K241</f>
        <v>6215.6746000000003</v>
      </c>
      <c r="X38" s="9">
        <f>+K242</f>
        <v>6232.8398999999999</v>
      </c>
      <c r="Y38" s="9">
        <f>+K243</f>
        <v>6250.6981999999998</v>
      </c>
      <c r="Z38" s="9">
        <f>+K244</f>
        <v>6268.1689999999999</v>
      </c>
      <c r="AA38" s="9">
        <f>+K245</f>
        <v>6285.9566000000004</v>
      </c>
      <c r="AC38" s="70"/>
      <c r="AD38" s="52" t="s">
        <v>30</v>
      </c>
      <c r="AE38" s="53"/>
      <c r="AF38" s="53"/>
      <c r="AG38" s="53"/>
      <c r="AH38" s="53"/>
      <c r="AI38" s="53"/>
      <c r="AJ38" s="53"/>
      <c r="AK38" s="53"/>
      <c r="AL38" s="53"/>
      <c r="AM38" s="53"/>
      <c r="AN38" s="53"/>
      <c r="AO38" s="53"/>
      <c r="AP38" s="53"/>
      <c r="AQ38" s="54"/>
      <c r="AR38" s="32"/>
      <c r="AS38" s="15"/>
    </row>
    <row r="39" spans="1:62">
      <c r="A39" s="23">
        <v>39752</v>
      </c>
      <c r="B39" s="26">
        <v>12885.37</v>
      </c>
      <c r="C39" s="31">
        <v>6.6865731237118345E-3</v>
      </c>
      <c r="D39" s="25">
        <v>117.640877410496</v>
      </c>
      <c r="E39" s="25"/>
      <c r="F39" s="25"/>
      <c r="O39" s="9">
        <v>2026</v>
      </c>
      <c r="P39" s="9">
        <f>+K246</f>
        <v>6303.0823</v>
      </c>
      <c r="Q39" s="9">
        <f>+K247</f>
        <v>6318.4947000000002</v>
      </c>
      <c r="R39" s="9">
        <f>+K248</f>
        <v>6335.4773999999998</v>
      </c>
      <c r="S39" s="9">
        <f>+K249</f>
        <v>6351.9305000000004</v>
      </c>
      <c r="AC39" s="70">
        <v>2020</v>
      </c>
      <c r="AD39" s="52" t="s">
        <v>3</v>
      </c>
      <c r="AE39" s="53"/>
      <c r="AF39" s="53"/>
      <c r="AG39" s="53"/>
      <c r="AH39" s="53"/>
      <c r="AI39" s="53">
        <f t="shared" ref="AI39:AQ39" si="28">+AI3</f>
        <v>3.8640591227490084E-4</v>
      </c>
      <c r="AJ39" s="53">
        <f t="shared" si="28"/>
        <v>3.904838194919158E-4</v>
      </c>
      <c r="AK39" s="53">
        <f t="shared" si="28"/>
        <v>4.2836098312815096E-4</v>
      </c>
      <c r="AL39" s="53">
        <f t="shared" si="28"/>
        <v>4.1973016893726012E-4</v>
      </c>
      <c r="AM39" s="53">
        <f t="shared" si="28"/>
        <v>3.9475024394830527E-4</v>
      </c>
      <c r="AN39" s="53">
        <f t="shared" si="28"/>
        <v>3.7243810326681448E-4</v>
      </c>
      <c r="AO39" s="53">
        <f t="shared" si="28"/>
        <v>3.2958520252091006E-4</v>
      </c>
      <c r="AP39" s="53">
        <f t="shared" si="28"/>
        <v>3.9010030849562227E-4</v>
      </c>
      <c r="AQ39" s="54">
        <f t="shared" si="28"/>
        <v>1.0351900904976988E-2</v>
      </c>
      <c r="AR39" s="15"/>
      <c r="AS39" s="15"/>
    </row>
    <row r="40" spans="1:62">
      <c r="A40" s="23">
        <v>39780</v>
      </c>
      <c r="B40" s="26">
        <v>12970.93</v>
      </c>
      <c r="C40" s="31">
        <v>7.1143807722579E-3</v>
      </c>
      <c r="D40" s="25">
        <v>118.42202327369138</v>
      </c>
      <c r="E40" s="25"/>
      <c r="F40" s="25"/>
      <c r="AC40" s="70"/>
      <c r="AD40" s="52" t="s">
        <v>29</v>
      </c>
      <c r="AE40" s="53"/>
      <c r="AF40" s="53"/>
      <c r="AG40" s="53"/>
      <c r="AH40" s="53"/>
      <c r="AI40" s="53">
        <f t="shared" ref="AI40:AQ40" si="29">+AI27</f>
        <v>1.602756157288443E-4</v>
      </c>
      <c r="AJ40" s="53">
        <f t="shared" si="29"/>
        <v>1.6024993157248701E-4</v>
      </c>
      <c r="AK40" s="53">
        <f t="shared" si="29"/>
        <v>1.0010830250339886E-4</v>
      </c>
      <c r="AL40" s="53">
        <f t="shared" si="29"/>
        <v>1.9147109225836623E-4</v>
      </c>
      <c r="AM40" s="53">
        <f t="shared" si="29"/>
        <v>7.0870692213009789E-5</v>
      </c>
      <c r="AN40" s="53">
        <f t="shared" si="29"/>
        <v>6.7319329227988334E-5</v>
      </c>
      <c r="AO40" s="53">
        <f t="shared" si="29"/>
        <v>6.0935890083824162E-5</v>
      </c>
      <c r="AP40" s="53">
        <f t="shared" si="29"/>
        <v>6.0626497308868821E-5</v>
      </c>
      <c r="AQ40" s="54">
        <f t="shared" si="29"/>
        <v>1.3082699811081122E-3</v>
      </c>
      <c r="AR40" s="32" t="s">
        <v>28</v>
      </c>
      <c r="AS40" s="15"/>
      <c r="BE40" s="45"/>
      <c r="BF40" s="45"/>
      <c r="BG40" s="45"/>
      <c r="BH40" s="45"/>
      <c r="BI40" s="45"/>
      <c r="BJ40" s="45"/>
    </row>
    <row r="41" spans="1:62" ht="15" customHeight="1">
      <c r="A41" s="23">
        <v>39813</v>
      </c>
      <c r="B41" s="26">
        <v>13066.33</v>
      </c>
      <c r="C41" s="31">
        <v>6.6862802225647385E-3</v>
      </c>
      <c r="D41" s="25">
        <v>119.29300638903548</v>
      </c>
      <c r="E41" s="25"/>
      <c r="F41" s="25"/>
      <c r="AC41" s="70"/>
      <c r="AD41" s="52" t="s">
        <v>30</v>
      </c>
      <c r="AE41" s="53"/>
      <c r="AF41" s="53"/>
      <c r="AG41" s="53"/>
      <c r="AH41" s="53"/>
      <c r="AI41" s="53">
        <f t="shared" ref="AI41:AQ41" si="30">+AI14</f>
        <v>1.8541703332746184E-3</v>
      </c>
      <c r="AJ41" s="53">
        <f t="shared" si="30"/>
        <v>2.8603505723596712E-3</v>
      </c>
      <c r="AK41" s="53">
        <f t="shared" si="30"/>
        <v>2.3695779159478292E-3</v>
      </c>
      <c r="AL41" s="53">
        <f t="shared" si="30"/>
        <v>2.0442516741108196E-3</v>
      </c>
      <c r="AM41" s="53">
        <f t="shared" si="30"/>
        <v>2.4028526257324767E-3</v>
      </c>
      <c r="AN41" s="53">
        <f t="shared" si="30"/>
        <v>2.6794176831088645E-3</v>
      </c>
      <c r="AO41" s="53">
        <f t="shared" si="30"/>
        <v>2.4935155483394311E-3</v>
      </c>
      <c r="AP41" s="53">
        <f t="shared" si="30"/>
        <v>2.0771367590863843E-3</v>
      </c>
      <c r="AQ41" s="54">
        <f t="shared" si="30"/>
        <v>2.8403869462823028E-2</v>
      </c>
      <c r="AR41" s="15"/>
      <c r="AS41" s="15"/>
      <c r="BE41" s="33"/>
      <c r="BF41" s="33"/>
      <c r="BG41" s="33"/>
      <c r="BH41" s="33"/>
      <c r="BI41" s="33"/>
      <c r="BJ41" s="55"/>
    </row>
    <row r="42" spans="1:62" ht="15" customHeight="1">
      <c r="A42" s="23">
        <v>39843</v>
      </c>
      <c r="B42" s="26">
        <v>13151.16</v>
      </c>
      <c r="C42" s="31">
        <v>6.492259111778198E-3</v>
      </c>
      <c r="D42" s="25">
        <v>120.06748749673611</v>
      </c>
      <c r="E42" s="25"/>
      <c r="F42" s="25"/>
      <c r="AC42" s="70">
        <v>2021</v>
      </c>
      <c r="AD42" s="52" t="s">
        <v>3</v>
      </c>
      <c r="AE42" s="75">
        <f t="shared" ref="AE42:AQ42" si="31">+AE4</f>
        <v>2.7190981868452369E-4</v>
      </c>
      <c r="AF42" s="75">
        <f t="shared" si="31"/>
        <v>2.391734502720233E-4</v>
      </c>
      <c r="AG42" s="75">
        <f t="shared" si="31"/>
        <v>2.591303963113134E-4</v>
      </c>
      <c r="AH42" s="75">
        <f t="shared" si="31"/>
        <v>2.943422057235523E-4</v>
      </c>
      <c r="AI42" s="75">
        <f t="shared" si="31"/>
        <v>2.4266874558165341E-4</v>
      </c>
      <c r="AJ42" s="75">
        <f t="shared" si="31"/>
        <v>2.7260718777788462E-4</v>
      </c>
      <c r="AK42" s="75">
        <f t="shared" si="31"/>
        <v>5.0192351401157076E-4</v>
      </c>
      <c r="AL42" s="75">
        <f t="shared" si="31"/>
        <v>6.2893015614950976E-4</v>
      </c>
      <c r="AM42" s="75">
        <f t="shared" si="31"/>
        <v>1.2476101486305069E-3</v>
      </c>
      <c r="AN42" s="75">
        <f t="shared" si="31"/>
        <v>2.0716854607256696E-3</v>
      </c>
      <c r="AO42" s="75">
        <f t="shared" si="31"/>
        <v>2.1412569618350918E-3</v>
      </c>
      <c r="AP42" s="75">
        <f t="shared" si="31"/>
        <v>3.1851611422883952E-3</v>
      </c>
      <c r="AQ42" s="75">
        <f t="shared" si="31"/>
        <v>1.1410200201508403E-2</v>
      </c>
      <c r="AR42" s="15"/>
      <c r="AS42" s="15"/>
      <c r="BE42" s="33"/>
      <c r="BF42" s="33"/>
      <c r="BG42" s="33"/>
      <c r="BH42" s="33"/>
      <c r="BI42" s="33"/>
      <c r="BJ42" s="55"/>
    </row>
    <row r="43" spans="1:62" ht="15" customHeight="1">
      <c r="A43" s="23">
        <v>39871</v>
      </c>
      <c r="B43" s="26">
        <v>13212.09</v>
      </c>
      <c r="C43" s="31">
        <v>4.9639836225202315E-3</v>
      </c>
      <c r="D43" s="25">
        <v>120.62376633549832</v>
      </c>
      <c r="E43" s="25"/>
      <c r="F43" s="25"/>
      <c r="AC43" s="70"/>
      <c r="AD43" s="52" t="s">
        <v>29</v>
      </c>
      <c r="AE43" s="75">
        <f t="shared" ref="AE43:AQ43" si="32">+AE28</f>
        <v>4.9904299488812143E-5</v>
      </c>
      <c r="AF43" s="75">
        <f t="shared" si="32"/>
        <v>5.4506876088211698E-5</v>
      </c>
      <c r="AG43" s="75">
        <f t="shared" si="32"/>
        <v>5.403527354186366E-5</v>
      </c>
      <c r="AH43" s="75">
        <f t="shared" si="32"/>
        <v>6.6256868343383957E-5</v>
      </c>
      <c r="AI43" s="75">
        <f t="shared" si="32"/>
        <v>6.0079507863797232E-5</v>
      </c>
      <c r="AJ43" s="75">
        <f t="shared" si="32"/>
        <v>5.9933297214431747E-5</v>
      </c>
      <c r="AK43" s="75">
        <f t="shared" si="32"/>
        <v>6.1885263458627549E-5</v>
      </c>
      <c r="AL43" s="75">
        <f t="shared" si="32"/>
        <v>6.2044386994530853E-5</v>
      </c>
      <c r="AM43" s="75">
        <f t="shared" si="32"/>
        <v>-1.177670351739657E-4</v>
      </c>
      <c r="AN43" s="75">
        <f t="shared" si="32"/>
        <v>1.0223227816485991E-3</v>
      </c>
      <c r="AO43" s="75">
        <f t="shared" si="32"/>
        <v>1.2592250239187308E-3</v>
      </c>
      <c r="AP43" s="75">
        <f t="shared" si="32"/>
        <v>1.8230922141349026E-3</v>
      </c>
      <c r="AQ43" s="75">
        <f t="shared" si="32"/>
        <v>4.4624510187976085E-3</v>
      </c>
      <c r="AR43" s="15"/>
      <c r="AS43" s="15"/>
      <c r="BE43" s="33"/>
      <c r="BF43" s="33"/>
      <c r="BG43" s="33"/>
      <c r="BH43" s="33"/>
      <c r="BI43" s="33"/>
      <c r="BJ43" s="55"/>
    </row>
    <row r="44" spans="1:62">
      <c r="A44" s="23">
        <v>39903</v>
      </c>
      <c r="B44" s="26">
        <v>13251.18</v>
      </c>
      <c r="C44" s="31">
        <v>2.773737917316707E-3</v>
      </c>
      <c r="D44" s="25">
        <v>120.98065029754027</v>
      </c>
      <c r="E44" s="25"/>
      <c r="F44" s="25"/>
      <c r="AC44" s="70"/>
      <c r="AD44" s="52" t="s">
        <v>30</v>
      </c>
      <c r="AE44" s="75">
        <f t="shared" ref="AE44:AQ44" si="33">+AE15</f>
        <v>1.939639532711146E-3</v>
      </c>
      <c r="AF44" s="75">
        <f t="shared" si="33"/>
        <v>1.6388021394064811E-3</v>
      </c>
      <c r="AG44" s="75">
        <f t="shared" si="33"/>
        <v>1.5487945847312279E-3</v>
      </c>
      <c r="AH44" s="75">
        <f t="shared" si="33"/>
        <v>1.5357569263623194E-3</v>
      </c>
      <c r="AI44" s="75">
        <f t="shared" si="33"/>
        <v>1.7735170111332632E-3</v>
      </c>
      <c r="AJ44" s="75">
        <f t="shared" si="33"/>
        <v>1.4416429250754259E-3</v>
      </c>
      <c r="AK44" s="75">
        <f t="shared" si="33"/>
        <v>1.7106890593396873E-3</v>
      </c>
      <c r="AL44" s="75">
        <f t="shared" si="33"/>
        <v>1.1973969260781203E-3</v>
      </c>
      <c r="AM44" s="75">
        <f t="shared" si="33"/>
        <v>1.5169753044872447E-3</v>
      </c>
      <c r="AN44" s="75">
        <f t="shared" si="33"/>
        <v>1.4823639384022869E-3</v>
      </c>
      <c r="AO44" s="75">
        <f t="shared" si="33"/>
        <v>1.6274912165432642E-3</v>
      </c>
      <c r="AP44" s="75">
        <f t="shared" si="33"/>
        <v>2.4144808451220801E-3</v>
      </c>
      <c r="AQ44" s="75">
        <f t="shared" si="33"/>
        <v>2.0008221056701192E-2</v>
      </c>
      <c r="AR44" s="15"/>
      <c r="AS44" s="15"/>
      <c r="BE44" s="33"/>
      <c r="BF44" s="33"/>
      <c r="BG44" s="33"/>
      <c r="BH44" s="33"/>
      <c r="BI44" s="33"/>
      <c r="BJ44" s="55"/>
    </row>
    <row r="45" spans="1:62">
      <c r="A45" s="23">
        <v>39933</v>
      </c>
      <c r="B45" s="26">
        <v>13272.62</v>
      </c>
      <c r="C45" s="31">
        <v>1.6179691167126364E-3</v>
      </c>
      <c r="D45" s="25">
        <v>121.17639325344149</v>
      </c>
      <c r="E45" s="25"/>
      <c r="F45" s="25"/>
      <c r="AC45" s="70">
        <v>2022</v>
      </c>
      <c r="AD45" s="52" t="s">
        <v>3</v>
      </c>
      <c r="AE45" s="75">
        <f t="shared" ref="AE45:AQ45" si="34">+AE5</f>
        <v>3.4355541823989366E-3</v>
      </c>
      <c r="AF45" s="75">
        <f t="shared" si="34"/>
        <v>4.2862298052634973E-3</v>
      </c>
      <c r="AG45" s="75">
        <f t="shared" si="34"/>
        <v>4.8314798442756768E-3</v>
      </c>
      <c r="AH45" s="75">
        <f t="shared" si="34"/>
        <v>5.4524358964465058E-3</v>
      </c>
      <c r="AI45" s="75">
        <f t="shared" si="34"/>
        <v>7.1131325826505609E-3</v>
      </c>
      <c r="AJ45" s="75">
        <f t="shared" si="34"/>
        <v>7.3596364286758753E-3</v>
      </c>
      <c r="AK45" s="75">
        <f t="shared" si="34"/>
        <v>7.5893460632852072E-3</v>
      </c>
      <c r="AL45" s="75">
        <f t="shared" si="34"/>
        <v>8.9759416728991681E-3</v>
      </c>
      <c r="AM45" s="75">
        <f t="shared" si="34"/>
        <v>8.7998364667287721E-3</v>
      </c>
      <c r="AN45" s="75">
        <f t="shared" si="34"/>
        <v>8.6030686179809912E-3</v>
      </c>
      <c r="AO45" s="75">
        <f t="shared" si="34"/>
        <v>1.036123897948027E-2</v>
      </c>
      <c r="AP45" s="75">
        <f t="shared" si="34"/>
        <v>9.416651222412753E-3</v>
      </c>
      <c r="AQ45" s="75">
        <f t="shared" si="34"/>
        <v>8.9685991181348346E-2</v>
      </c>
      <c r="AR45" s="15"/>
      <c r="AS45" s="15"/>
      <c r="BE45" s="33"/>
      <c r="BF45" s="33"/>
      <c r="BG45" s="33"/>
      <c r="BH45" s="33"/>
      <c r="BI45" s="33"/>
      <c r="BJ45" s="55"/>
    </row>
    <row r="46" spans="1:62">
      <c r="A46" s="23">
        <v>39962</v>
      </c>
      <c r="B46" s="26">
        <v>13286.96</v>
      </c>
      <c r="C46" s="31">
        <v>1.1176755424791784E-3</v>
      </c>
      <c r="D46" s="25">
        <v>121.30731461480453</v>
      </c>
      <c r="E46" s="25"/>
      <c r="F46" s="25"/>
      <c r="AC46" s="70"/>
      <c r="AD46" s="52" t="s">
        <v>29</v>
      </c>
      <c r="AE46" s="75">
        <f t="shared" ref="AE46:AQ46" si="35">+AE29</f>
        <v>2.5716675973617154E-3</v>
      </c>
      <c r="AF46" s="75">
        <f t="shared" si="35"/>
        <v>3.3003449253206085E-3</v>
      </c>
      <c r="AG46" s="75">
        <f t="shared" si="35"/>
        <v>3.7926066476499098E-3</v>
      </c>
      <c r="AH46" s="75">
        <f t="shared" si="35"/>
        <v>4.5716132579094459E-3</v>
      </c>
      <c r="AI46" s="75">
        <f t="shared" si="35"/>
        <v>5.5105600851037551E-3</v>
      </c>
      <c r="AJ46" s="75">
        <f t="shared" si="35"/>
        <v>5.8835914511081722E-3</v>
      </c>
      <c r="AK46" s="75">
        <f t="shared" si="35"/>
        <v>6.5118669140771246E-3</v>
      </c>
      <c r="AL46" s="75">
        <f t="shared" si="35"/>
        <v>7.0304553653228741E-3</v>
      </c>
      <c r="AM46" s="75">
        <f t="shared" si="35"/>
        <v>7.3357454740365924E-3</v>
      </c>
      <c r="AN46" s="75">
        <f t="shared" si="35"/>
        <v>7.242252792307724E-3</v>
      </c>
      <c r="AO46" s="75">
        <f t="shared" si="35"/>
        <v>8.7418046963003704E-3</v>
      </c>
      <c r="AP46" s="75">
        <f t="shared" si="35"/>
        <v>7.9281719511867799E-3</v>
      </c>
      <c r="AQ46" s="75">
        <f t="shared" si="35"/>
        <v>7.2716429569050778E-2</v>
      </c>
      <c r="AR46" s="15"/>
      <c r="AS46" s="15"/>
      <c r="BD46" s="33"/>
      <c r="BE46" s="33"/>
      <c r="BF46" s="33"/>
      <c r="BG46" s="33"/>
      <c r="BH46" s="33"/>
      <c r="BI46" s="33"/>
      <c r="BJ46" s="55"/>
    </row>
    <row r="47" spans="1:62" ht="15.75" customHeight="1">
      <c r="A47" s="23">
        <v>39994</v>
      </c>
      <c r="B47" s="26">
        <v>13299.08</v>
      </c>
      <c r="C47" s="31">
        <v>8.5516175257552285E-4</v>
      </c>
      <c r="D47" s="25">
        <v>121.41796781562182</v>
      </c>
      <c r="E47" s="25"/>
      <c r="F47" s="25"/>
      <c r="AC47" s="70"/>
      <c r="AD47" s="52" t="s">
        <v>30</v>
      </c>
      <c r="AE47" s="75">
        <f t="shared" ref="AE47:AQ47" si="36">+AE16</f>
        <v>3.4210183783704995E-3</v>
      </c>
      <c r="AF47" s="75">
        <f t="shared" si="36"/>
        <v>4.0991653310769038E-3</v>
      </c>
      <c r="AG47" s="75">
        <f t="shared" si="36"/>
        <v>4.6640935989290533E-3</v>
      </c>
      <c r="AH47" s="75">
        <f t="shared" si="36"/>
        <v>6.3330379095802858E-3</v>
      </c>
      <c r="AI47" s="75">
        <f t="shared" si="36"/>
        <v>8.1561925397797275E-3</v>
      </c>
      <c r="AJ47" s="75">
        <f t="shared" si="36"/>
        <v>7.8016426915761272E-3</v>
      </c>
      <c r="AK47" s="75">
        <f t="shared" si="36"/>
        <v>8.2066286075488382E-3</v>
      </c>
      <c r="AL47" s="75">
        <f t="shared" si="36"/>
        <v>8.7744943570011724E-3</v>
      </c>
      <c r="AM47" s="75">
        <f t="shared" si="36"/>
        <v>8.6916824842093732E-3</v>
      </c>
      <c r="AN47" s="75">
        <f t="shared" si="36"/>
        <v>9.2454061194180426E-3</v>
      </c>
      <c r="AO47" s="75">
        <f t="shared" si="36"/>
        <v>1.1064127667384849E-2</v>
      </c>
      <c r="AP47" s="75">
        <f t="shared" si="36"/>
        <v>1.0008641329182888E-2</v>
      </c>
      <c r="AQ47" s="75">
        <f t="shared" si="36"/>
        <v>9.4278709768367497E-2</v>
      </c>
      <c r="AR47" s="15"/>
      <c r="AS47" s="15"/>
      <c r="BD47" s="33"/>
      <c r="BE47" s="33"/>
      <c r="BF47" s="33"/>
      <c r="BG47" s="33"/>
      <c r="BH47" s="33"/>
      <c r="BI47" s="33"/>
      <c r="BJ47" s="55"/>
    </row>
    <row r="48" spans="1:62">
      <c r="A48" s="23">
        <v>40025</v>
      </c>
      <c r="B48" s="26">
        <v>13305.34</v>
      </c>
      <c r="C48" s="31">
        <v>4.5552508264703405E-4</v>
      </c>
      <c r="D48" s="25">
        <v>121.47512037644002</v>
      </c>
      <c r="E48" s="25"/>
      <c r="F48" s="25"/>
      <c r="AC48" s="97">
        <v>2023</v>
      </c>
      <c r="AD48" s="52" t="s">
        <v>3</v>
      </c>
      <c r="AE48" s="75">
        <f t="shared" ref="AE48:AQ48" si="37">+AE6</f>
        <v>1.004695720110016E-2</v>
      </c>
      <c r="AF48" s="75">
        <f t="shared" si="37"/>
        <v>8.7853587137844968E-3</v>
      </c>
      <c r="AG48" s="75">
        <f t="shared" si="37"/>
        <v>9.7318177744223355E-3</v>
      </c>
      <c r="AH48" s="75">
        <f t="shared" si="37"/>
        <v>8.7852439132070081E-3</v>
      </c>
      <c r="AI48" s="75">
        <f t="shared" si="37"/>
        <v>1.036166313630571E-2</v>
      </c>
      <c r="AJ48" s="75">
        <f t="shared" si="37"/>
        <v>9.4150701308506335E-3</v>
      </c>
      <c r="AK48" s="75">
        <f t="shared" si="37"/>
        <v>9.7315292241744178E-3</v>
      </c>
      <c r="AL48" s="75">
        <f t="shared" si="37"/>
        <v>8.8633739513521714E-3</v>
      </c>
      <c r="AM48" s="75">
        <f t="shared" si="37"/>
        <v>7.7953451413450559E-3</v>
      </c>
      <c r="AN48" s="75">
        <f t="shared" si="37"/>
        <v>8.4601535041790576E-3</v>
      </c>
      <c r="AO48" s="75">
        <f t="shared" si="37"/>
        <v>7.5266143106456074E-3</v>
      </c>
      <c r="AP48" s="75">
        <f t="shared" si="37"/>
        <v>7.0819499482732695E-3</v>
      </c>
      <c r="AQ48" s="75">
        <f t="shared" si="37"/>
        <v>0.11194279263621576</v>
      </c>
      <c r="AR48" s="15"/>
      <c r="AS48" s="15"/>
      <c r="BD48" s="33"/>
      <c r="BE48" s="33"/>
      <c r="BF48" s="33"/>
      <c r="BG48" s="33"/>
      <c r="BH48" s="33"/>
      <c r="BI48" s="33"/>
      <c r="BJ48" s="55"/>
    </row>
    <row r="49" spans="1:63">
      <c r="A49" s="23">
        <v>40056</v>
      </c>
      <c r="B49" s="26">
        <v>13310.07</v>
      </c>
      <c r="C49" s="31">
        <v>3.4402873995243246E-4</v>
      </c>
      <c r="D49" s="25">
        <v>121.5183043401253</v>
      </c>
      <c r="E49" s="25"/>
      <c r="F49" s="25"/>
      <c r="AC49" s="97"/>
      <c r="AD49" s="52" t="s">
        <v>29</v>
      </c>
      <c r="AE49" s="75">
        <f t="shared" ref="AE49:AQ49" si="38">+AE30</f>
        <v>8.4413123561493109E-3</v>
      </c>
      <c r="AF49" s="75">
        <f t="shared" si="38"/>
        <v>7.3877688517240969E-3</v>
      </c>
      <c r="AG49" s="75">
        <f t="shared" si="38"/>
        <v>8.2103786429854608E-3</v>
      </c>
      <c r="AH49" s="75">
        <f t="shared" si="38"/>
        <v>7.4581790813075255E-3</v>
      </c>
      <c r="AI49" s="75">
        <f t="shared" si="38"/>
        <v>8.8250764209547583E-3</v>
      </c>
      <c r="AJ49" s="75">
        <f t="shared" si="38"/>
        <v>8.0028913540715063E-3</v>
      </c>
      <c r="AK49" s="75">
        <f t="shared" si="38"/>
        <v>8.20447209350883E-3</v>
      </c>
      <c r="AL49" s="75">
        <f t="shared" si="38"/>
        <v>7.5962855810813856E-3</v>
      </c>
      <c r="AM49" s="75">
        <f t="shared" si="38"/>
        <v>6.7848226130593492E-3</v>
      </c>
      <c r="AN49" s="75">
        <f t="shared" si="38"/>
        <v>6.6760826965912567E-3</v>
      </c>
      <c r="AO49" s="75">
        <f t="shared" si="38"/>
        <v>6.1695672319295181E-3</v>
      </c>
      <c r="AP49" s="75">
        <f t="shared" si="38"/>
        <v>6.1015518639564448E-3</v>
      </c>
      <c r="AQ49" s="75">
        <f t="shared" si="38"/>
        <v>9.364840576365796E-2</v>
      </c>
      <c r="AR49" s="15"/>
      <c r="AS49" s="15"/>
      <c r="BD49" s="33"/>
      <c r="BE49" s="33"/>
      <c r="BF49" s="33"/>
      <c r="BG49" s="33"/>
      <c r="BH49" s="33"/>
      <c r="BI49" s="33"/>
      <c r="BJ49" s="55"/>
    </row>
    <row r="50" spans="1:63">
      <c r="A50" s="23">
        <v>40086</v>
      </c>
      <c r="B50" s="26">
        <v>13315.05</v>
      </c>
      <c r="C50" s="31">
        <v>3.7415280310315602E-4</v>
      </c>
      <c r="D50" s="25">
        <v>121.56377075432249</v>
      </c>
      <c r="E50" s="25"/>
      <c r="F50" s="25"/>
      <c r="AC50" s="97"/>
      <c r="AD50" s="52" t="s">
        <v>30</v>
      </c>
      <c r="AE50" s="75">
        <f t="shared" ref="AE50:AQ50" si="39">+AE17</f>
        <v>1.1246136526325667E-2</v>
      </c>
      <c r="AF50" s="75">
        <f t="shared" si="39"/>
        <v>1.0223474726265502E-2</v>
      </c>
      <c r="AG50" s="75">
        <f t="shared" si="39"/>
        <v>1.0701830722657402E-2</v>
      </c>
      <c r="AH50" s="75">
        <f t="shared" si="39"/>
        <v>9.8497826647554465E-3</v>
      </c>
      <c r="AI50" s="75">
        <f t="shared" si="39"/>
        <v>1.1326808278873557E-2</v>
      </c>
      <c r="AJ50" s="75">
        <f t="shared" si="39"/>
        <v>1.0293259896307472E-2</v>
      </c>
      <c r="AK50" s="75">
        <f t="shared" si="39"/>
        <v>1.0736977179385931E-2</v>
      </c>
      <c r="AL50" s="75">
        <f t="shared" si="39"/>
        <v>9.662818572222065E-3</v>
      </c>
      <c r="AM50" s="75">
        <f t="shared" si="39"/>
        <v>9.2702200726844097E-3</v>
      </c>
      <c r="AN50" s="75">
        <f t="shared" si="39"/>
        <v>9.1743349034369981E-3</v>
      </c>
      <c r="AO50" s="75">
        <f t="shared" si="39"/>
        <v>8.659856398253174E-3</v>
      </c>
      <c r="AP50" s="75">
        <f t="shared" si="39"/>
        <v>8.271490580278984E-3</v>
      </c>
      <c r="AQ50" s="75">
        <f t="shared" si="39"/>
        <v>0.12616890961449245</v>
      </c>
      <c r="AR50" s="15"/>
      <c r="AS50" s="15"/>
      <c r="BD50" s="33"/>
      <c r="BE50" s="33"/>
      <c r="BF50" s="33"/>
      <c r="BG50" s="33"/>
      <c r="BH50" s="33"/>
      <c r="BI50" s="33"/>
      <c r="BJ50" s="55"/>
    </row>
    <row r="51" spans="1:63">
      <c r="A51" s="23">
        <v>40116</v>
      </c>
      <c r="B51" s="26">
        <v>13319.74</v>
      </c>
      <c r="C51" s="31">
        <v>3.522329995007123E-4</v>
      </c>
      <c r="D51" s="25">
        <v>121.60658952592591</v>
      </c>
      <c r="E51" s="25"/>
      <c r="F51" s="25"/>
      <c r="AC51" s="97">
        <v>2024</v>
      </c>
      <c r="AD51" s="52" t="s">
        <v>3</v>
      </c>
      <c r="AE51" s="75">
        <f t="shared" ref="AE51:AQ51" si="40">+AE7</f>
        <v>7.3572253241631635E-3</v>
      </c>
      <c r="AF51" s="75">
        <f t="shared" si="40"/>
        <v>6.1121391206355735E-3</v>
      </c>
      <c r="AG51" s="75">
        <f t="shared" si="40"/>
        <v>5.6473517140609442E-3</v>
      </c>
      <c r="AH51" s="75">
        <f t="shared" si="40"/>
        <v>6.0927839618283297E-3</v>
      </c>
      <c r="AI51" s="75">
        <f t="shared" si="40"/>
        <v>5.5141192903180869E-3</v>
      </c>
      <c r="AJ51" s="75">
        <f t="shared" si="40"/>
        <v>4.6135490632155385E-3</v>
      </c>
      <c r="AK51" s="75">
        <f t="shared" si="40"/>
        <v>5.2843503528434699E-3</v>
      </c>
      <c r="AL51" s="75">
        <f t="shared" si="40"/>
        <v>4.8023520375928275E-3</v>
      </c>
      <c r="AM51" s="75">
        <f t="shared" si="40"/>
        <v>4.7810434954138614E-3</v>
      </c>
      <c r="AN51" s="75">
        <f t="shared" si="40"/>
        <v>4.510440516418468E-3</v>
      </c>
      <c r="AO51" s="75">
        <f t="shared" si="40"/>
        <v>4.3843255475723986E-3</v>
      </c>
      <c r="AP51" s="75">
        <f t="shared" si="40"/>
        <v>4.4462641732778696E-3</v>
      </c>
      <c r="AQ51" s="75">
        <f t="shared" si="40"/>
        <v>6.5425125934971851E-2</v>
      </c>
      <c r="AR51" s="56" t="s">
        <v>28</v>
      </c>
      <c r="AS51" s="15"/>
      <c r="BD51" s="33"/>
      <c r="BE51" s="33"/>
      <c r="BF51" s="33"/>
      <c r="BG51" s="33"/>
      <c r="BH51" s="33"/>
      <c r="BI51" s="33"/>
      <c r="BJ51" s="55"/>
      <c r="BK51" s="57"/>
    </row>
    <row r="52" spans="1:63">
      <c r="A52" s="23">
        <v>40147</v>
      </c>
      <c r="B52" s="26">
        <v>13324.51</v>
      </c>
      <c r="C52" s="31">
        <v>3.4656299839617581E-4</v>
      </c>
      <c r="D52" s="25">
        <v>121.65013868169312</v>
      </c>
      <c r="E52" s="25"/>
      <c r="F52" s="25"/>
      <c r="AC52" s="97"/>
      <c r="AD52" s="52" t="s">
        <v>29</v>
      </c>
      <c r="AE52" s="75">
        <f t="shared" ref="AE52:AQ52" si="41">+AE31</f>
        <v>5.8719297517517699E-3</v>
      </c>
      <c r="AF52" s="75">
        <f t="shared" si="41"/>
        <v>5.0849107705890351E-3</v>
      </c>
      <c r="AG52" s="75">
        <f t="shared" si="41"/>
        <v>4.4501495538697977E-3</v>
      </c>
      <c r="AH52" s="75">
        <f t="shared" si="41"/>
        <v>4.7201240336098849E-3</v>
      </c>
      <c r="AI52" s="75">
        <f t="shared" si="41"/>
        <v>4.1677968559530321E-3</v>
      </c>
      <c r="AJ52" s="75">
        <f t="shared" si="41"/>
        <v>3.6501931277677091E-3</v>
      </c>
      <c r="AK52" s="75">
        <f t="shared" si="41"/>
        <v>3.6341260750816229E-3</v>
      </c>
      <c r="AL52" s="75">
        <f t="shared" si="41"/>
        <v>3.6276694159318446E-3</v>
      </c>
      <c r="AM52" s="75">
        <f t="shared" si="41"/>
        <v>3.3754452875442986E-3</v>
      </c>
      <c r="AN52" s="75">
        <f t="shared" si="41"/>
        <v>3.4108129956791355E-3</v>
      </c>
      <c r="AO52" s="75">
        <f t="shared" si="41"/>
        <v>3.220374604913312E-3</v>
      </c>
      <c r="AP52" s="75">
        <f t="shared" si="41"/>
        <v>3.2298559019789952E-3</v>
      </c>
      <c r="AQ52" s="75">
        <f t="shared" si="41"/>
        <v>4.9529562919770731E-2</v>
      </c>
      <c r="AR52" s="56"/>
      <c r="AS52" s="15"/>
      <c r="BD52" s="33"/>
      <c r="BE52" s="33"/>
      <c r="BF52" s="33"/>
      <c r="BG52" s="33"/>
      <c r="BH52" s="33"/>
      <c r="BI52" s="33"/>
      <c r="BJ52" s="55"/>
      <c r="BK52" s="57"/>
    </row>
    <row r="53" spans="1:63">
      <c r="A53" s="23">
        <v>40178</v>
      </c>
      <c r="B53" s="26">
        <v>13329.5</v>
      </c>
      <c r="C53" s="31">
        <v>3.6241724896941336E-4</v>
      </c>
      <c r="D53" s="25">
        <v>121.69569639391081</v>
      </c>
      <c r="E53" s="25"/>
      <c r="F53" s="25"/>
      <c r="AC53" s="97"/>
      <c r="AD53" s="52" t="s">
        <v>30</v>
      </c>
      <c r="AE53" s="75">
        <f t="shared" ref="AE53:AQ53" si="42">+AE18</f>
        <v>8.3818010500409379E-3</v>
      </c>
      <c r="AF53" s="75">
        <f t="shared" si="42"/>
        <v>6.7083312009870166E-3</v>
      </c>
      <c r="AG53" s="75">
        <f t="shared" si="42"/>
        <v>6.0631167056561797E-3</v>
      </c>
      <c r="AH53" s="75">
        <f t="shared" si="42"/>
        <v>7.0011157953828729E-3</v>
      </c>
      <c r="AI53" s="75">
        <f t="shared" si="42"/>
        <v>6.0086665642731241E-3</v>
      </c>
      <c r="AJ53" s="75">
        <f t="shared" si="42"/>
        <v>5.4368505224946517E-3</v>
      </c>
      <c r="AK53" s="75">
        <f t="shared" si="42"/>
        <v>5.0785667984096783E-3</v>
      </c>
      <c r="AL53" s="75">
        <f t="shared" si="42"/>
        <v>5.4903468198286287E-3</v>
      </c>
      <c r="AM53" s="75">
        <f t="shared" si="42"/>
        <v>5.2813110634344351E-3</v>
      </c>
      <c r="AN53" s="75">
        <f t="shared" si="42"/>
        <v>4.9865025246653705E-3</v>
      </c>
      <c r="AO53" s="75">
        <f t="shared" si="42"/>
        <v>5.00851288955384E-3</v>
      </c>
      <c r="AP53" s="75">
        <f t="shared" si="42"/>
        <v>4.8179136840449388E-3</v>
      </c>
      <c r="AQ53" s="75">
        <f t="shared" si="42"/>
        <v>7.2564025610246219E-2</v>
      </c>
      <c r="AR53" s="15"/>
      <c r="AS53" s="15"/>
    </row>
    <row r="54" spans="1:63">
      <c r="A54" s="23">
        <v>40207</v>
      </c>
      <c r="B54" s="26">
        <v>13334.25</v>
      </c>
      <c r="C54" s="31">
        <v>3.6864046689279314E-4</v>
      </c>
      <c r="D54" s="25">
        <v>121.73906295363706</v>
      </c>
      <c r="E54" s="25"/>
      <c r="F54" s="25"/>
      <c r="AC54" s="97">
        <v>2025</v>
      </c>
      <c r="AD54" s="52" t="s">
        <v>3</v>
      </c>
      <c r="AE54" s="75">
        <f t="shared" ref="AE54:AQ54" si="43">+AE8</f>
        <v>4.4544301743754122E-3</v>
      </c>
      <c r="AF54" s="75">
        <f t="shared" si="43"/>
        <v>3.8962630509944418E-3</v>
      </c>
      <c r="AG54" s="75">
        <f t="shared" si="43"/>
        <v>4.3138020854180947E-3</v>
      </c>
      <c r="AH54" s="75">
        <f t="shared" si="43"/>
        <v>4.175716443427735E-3</v>
      </c>
      <c r="AI54" s="75">
        <f t="shared" si="43"/>
        <v>4.1742269465041559E-3</v>
      </c>
      <c r="AJ54" s="75">
        <f t="shared" si="43"/>
        <v>4.3145661365249222E-3</v>
      </c>
      <c r="AK54" s="75">
        <f t="shared" si="43"/>
        <v>4.3062620834468657E-3</v>
      </c>
      <c r="AL54" s="75">
        <f t="shared" si="43"/>
        <v>3.8332746894158554E-3</v>
      </c>
      <c r="AM54" s="75">
        <f t="shared" si="43"/>
        <v>4.230048764417349E-3</v>
      </c>
      <c r="AN54" s="75">
        <f t="shared" si="43"/>
        <v>3.9661902107710478E-3</v>
      </c>
      <c r="AO54" s="75">
        <f t="shared" si="43"/>
        <v>3.8324396523354842E-3</v>
      </c>
      <c r="AP54" s="75">
        <f t="shared" si="43"/>
        <v>4.1394620357759759E-3</v>
      </c>
      <c r="AQ54" s="75">
        <f t="shared" si="43"/>
        <v>4.6121516637569471E-2</v>
      </c>
      <c r="AR54" s="15"/>
      <c r="AS54" s="15"/>
    </row>
    <row r="55" spans="1:63">
      <c r="A55" s="23">
        <v>40235</v>
      </c>
      <c r="B55" s="26">
        <v>13338.53</v>
      </c>
      <c r="C55" s="31">
        <v>3.4390492796473486E-4</v>
      </c>
      <c r="D55" s="25">
        <v>121.77813850640091</v>
      </c>
      <c r="E55" s="25"/>
      <c r="F55" s="25"/>
      <c r="AC55" s="97"/>
      <c r="AD55" s="52" t="s">
        <v>29</v>
      </c>
      <c r="AE55" s="75">
        <f t="shared" ref="AE55:AQ55" si="44">+AE32</f>
        <v>3.0202103340466468E-3</v>
      </c>
      <c r="AF55" s="75">
        <f t="shared" si="44"/>
        <v>2.7621377102811095E-3</v>
      </c>
      <c r="AG55" s="75">
        <f t="shared" si="44"/>
        <v>3.0628269232331196E-3</v>
      </c>
      <c r="AH55" s="75">
        <f t="shared" si="44"/>
        <v>2.975949685819046E-3</v>
      </c>
      <c r="AI55" s="75">
        <f t="shared" si="44"/>
        <v>3.0897625227950254E-3</v>
      </c>
      <c r="AJ55" s="75">
        <f t="shared" si="44"/>
        <v>2.9970524574272073E-3</v>
      </c>
      <c r="AK55" s="75">
        <f t="shared" si="44"/>
        <v>2.9505495279136262E-3</v>
      </c>
      <c r="AL55" s="75">
        <f t="shared" si="44"/>
        <v>3.0005421908383401E-3</v>
      </c>
      <c r="AM55" s="75">
        <f t="shared" si="44"/>
        <v>2.7616149661373601E-3</v>
      </c>
      <c r="AN55" s="75">
        <f t="shared" si="44"/>
        <v>2.8651947244786591E-3</v>
      </c>
      <c r="AO55" s="75">
        <f t="shared" si="44"/>
        <v>2.7950157631990713E-3</v>
      </c>
      <c r="AP55" s="75">
        <f t="shared" si="44"/>
        <v>2.8377664992760288E-3</v>
      </c>
      <c r="AQ55" s="75">
        <f t="shared" si="44"/>
        <v>2.9648883099268719E-2</v>
      </c>
      <c r="AS55" s="15"/>
    </row>
    <row r="56" spans="1:63">
      <c r="A56" s="23">
        <v>40268</v>
      </c>
      <c r="B56" s="26">
        <v>13343.79</v>
      </c>
      <c r="C56" s="31">
        <v>3.58496639571185E-4</v>
      </c>
      <c r="D56" s="25">
        <v>121.82616126517148</v>
      </c>
      <c r="E56" s="25"/>
      <c r="F56" s="25"/>
      <c r="AC56" s="97"/>
      <c r="AD56" s="52" t="s">
        <v>30</v>
      </c>
      <c r="AE56" s="75">
        <f t="shared" ref="AE56:AJ56" si="45">+AE19</f>
        <v>4.6473040444494629E-3</v>
      </c>
      <c r="AF56" s="75">
        <f t="shared" si="45"/>
        <v>4.6955091586007303E-3</v>
      </c>
      <c r="AG56" s="75">
        <f t="shared" si="45"/>
        <v>5.9710996241846281E-3</v>
      </c>
      <c r="AH56" s="75">
        <f t="shared" si="45"/>
        <v>6.3072227560116989E-3</v>
      </c>
      <c r="AI56" s="75">
        <f t="shared" si="45"/>
        <v>6.3637937286036284E-3</v>
      </c>
      <c r="AJ56" s="75">
        <f t="shared" si="45"/>
        <v>5.7751459778132563E-3</v>
      </c>
      <c r="AK56" s="75">
        <f t="shared" ref="AK56:AL56" si="46">+AK19</f>
        <v>5.5639865908774233E-3</v>
      </c>
      <c r="AL56" s="75">
        <f t="shared" si="46"/>
        <v>5.847470970587354E-3</v>
      </c>
      <c r="AM56" s="75">
        <f t="shared" ref="AM56:AN56" si="47">+AM19</f>
        <v>5.3848927054160889E-3</v>
      </c>
      <c r="AN56" s="75">
        <f t="shared" si="47"/>
        <v>5.584110853045221E-3</v>
      </c>
      <c r="AO56" s="75">
        <f t="shared" ref="AO56:AP56" si="48">+AO19</f>
        <v>5.5413318592272276E-3</v>
      </c>
      <c r="AP56" s="75">
        <f t="shared" si="48"/>
        <v>5.7011549308800813E-3</v>
      </c>
      <c r="AQ56" s="75">
        <f>+AQ19</f>
        <v>6.4554574328310688E-2</v>
      </c>
      <c r="AS56" s="15"/>
    </row>
    <row r="57" spans="1:63">
      <c r="A57" s="23">
        <v>40298</v>
      </c>
      <c r="B57" s="26">
        <v>13348.63</v>
      </c>
      <c r="C57" s="31">
        <v>3.6271554033739939E-4</v>
      </c>
      <c r="D57" s="25">
        <v>121.87034950708198</v>
      </c>
      <c r="E57" s="25"/>
      <c r="F57" s="25"/>
      <c r="AC57" s="97">
        <v>2026</v>
      </c>
      <c r="AD57" s="52" t="s">
        <v>3</v>
      </c>
      <c r="AE57" s="75">
        <f>+AE9</f>
        <v>3.8823436327337646E-3</v>
      </c>
      <c r="AF57" s="75">
        <f t="shared" ref="AF57:AQ57" si="49">+AF9</f>
        <v>3.6312646105696178E-3</v>
      </c>
      <c r="AG57" s="75">
        <f t="shared" si="49"/>
        <v>3.881928086548303E-3</v>
      </c>
      <c r="AH57" s="75">
        <f>+AH9</f>
        <v>3.7564119506456883E-3</v>
      </c>
      <c r="AI57" s="75"/>
      <c r="AJ57" s="75"/>
      <c r="AK57" s="75"/>
      <c r="AL57" s="75"/>
      <c r="AM57" s="75"/>
      <c r="AN57" s="75"/>
      <c r="AO57" s="75"/>
      <c r="AP57" s="75"/>
      <c r="AQ57" s="75">
        <f t="shared" si="49"/>
        <v>3.393592966266068E-2</v>
      </c>
      <c r="AS57" s="15"/>
    </row>
    <row r="58" spans="1:63">
      <c r="A58" s="23">
        <v>40329</v>
      </c>
      <c r="B58" s="26">
        <v>13353.5</v>
      </c>
      <c r="C58" s="31">
        <v>3.5306269076350988E-4</v>
      </c>
      <c r="D58" s="25">
        <v>121.91481164305395</v>
      </c>
      <c r="E58" s="25"/>
      <c r="F58" s="25"/>
      <c r="AC58" s="97"/>
      <c r="AD58" s="52" t="s">
        <v>29</v>
      </c>
      <c r="AE58" s="75">
        <f>+AE33</f>
        <v>2.7244381547273377E-3</v>
      </c>
      <c r="AF58" s="75">
        <f t="shared" ref="AF58:AQ58" si="50">+AF33</f>
        <v>2.4452163666022209E-3</v>
      </c>
      <c r="AG58" s="75">
        <f t="shared" si="50"/>
        <v>2.6877762515176151E-3</v>
      </c>
      <c r="AH58" s="75">
        <f>+AH33</f>
        <v>2.5969787217614559E-3</v>
      </c>
      <c r="AI58" s="75"/>
      <c r="AJ58" s="75"/>
      <c r="AK58" s="75"/>
      <c r="AL58" s="75"/>
      <c r="AM58" s="75"/>
      <c r="AN58" s="75"/>
      <c r="AO58" s="75"/>
      <c r="AP58" s="75"/>
      <c r="AQ58" s="75">
        <f t="shared" si="50"/>
        <v>2.3249672624455764E-2</v>
      </c>
      <c r="AS58" s="15"/>
    </row>
    <row r="59" spans="1:63">
      <c r="A59" s="23">
        <v>40359</v>
      </c>
      <c r="B59" s="26">
        <v>13360.9</v>
      </c>
      <c r="C59" s="31">
        <v>5.5416183023182519E-4</v>
      </c>
      <c r="D59" s="25">
        <v>121.98237217820645</v>
      </c>
      <c r="E59" s="25"/>
      <c r="F59" s="25"/>
      <c r="AC59" s="97"/>
      <c r="AD59" s="52" t="s">
        <v>30</v>
      </c>
      <c r="AE59" s="75">
        <f>+AE20</f>
        <v>5.8056411235423155E-3</v>
      </c>
      <c r="AF59" s="75">
        <f t="shared" ref="AF59:AQ59" si="51">+AF20</f>
        <v>5.4082719657579936E-3</v>
      </c>
      <c r="AG59" s="75">
        <f t="shared" si="51"/>
        <v>5.9197766414931241E-3</v>
      </c>
      <c r="AH59" s="75">
        <f>+AH20</f>
        <v>5.8670743376949552E-3</v>
      </c>
      <c r="AI59" s="75"/>
      <c r="AJ59" s="75"/>
      <c r="AK59" s="75"/>
      <c r="AL59" s="75"/>
      <c r="AM59" s="75"/>
      <c r="AN59" s="75"/>
      <c r="AO59" s="75"/>
      <c r="AP59" s="75"/>
      <c r="AQ59" s="75">
        <f t="shared" si="51"/>
        <v>5.1881367147406765E-2</v>
      </c>
      <c r="AS59" s="48"/>
    </row>
    <row r="60" spans="1:63">
      <c r="A60" s="23">
        <v>40389</v>
      </c>
      <c r="B60" s="26">
        <v>13373.99</v>
      </c>
      <c r="C60" s="31">
        <v>9.7972441976224012E-4</v>
      </c>
      <c r="D60" s="25">
        <v>122.10188128700995</v>
      </c>
      <c r="E60" s="25"/>
      <c r="F60" s="25"/>
      <c r="AC60" s="70"/>
      <c r="AD60" s="52"/>
      <c r="AE60" s="75"/>
      <c r="AF60" s="75"/>
      <c r="AG60" s="75"/>
      <c r="AH60" s="75"/>
      <c r="AI60" s="75"/>
      <c r="AJ60" s="75"/>
      <c r="AK60" s="75"/>
      <c r="AL60" s="75"/>
      <c r="AM60" s="75"/>
      <c r="AN60" s="75"/>
      <c r="AO60" s="75"/>
      <c r="AP60" s="75"/>
      <c r="AQ60" s="75"/>
      <c r="AS60" s="48"/>
    </row>
    <row r="61" spans="1:63">
      <c r="A61" s="23">
        <v>40421</v>
      </c>
      <c r="B61" s="26">
        <v>13395.21</v>
      </c>
      <c r="C61" s="31">
        <v>1.4874955043334137E-3</v>
      </c>
      <c r="D61" s="25">
        <v>122.29561568646068</v>
      </c>
      <c r="E61" s="25"/>
      <c r="F61" s="25"/>
      <c r="AB61" s="10"/>
      <c r="AD61" s="23">
        <v>43008</v>
      </c>
      <c r="AE61" s="63">
        <v>3.112100000000062E-3</v>
      </c>
      <c r="AS61" s="48"/>
    </row>
    <row r="62" spans="1:63">
      <c r="A62" s="23">
        <v>40451</v>
      </c>
      <c r="B62" s="26">
        <v>13419.79</v>
      </c>
      <c r="C62" s="31">
        <v>1.8349842966256527E-3</v>
      </c>
      <c r="D62" s="25">
        <v>122.52002622079149</v>
      </c>
      <c r="E62" s="25"/>
      <c r="F62" s="25"/>
      <c r="AB62" s="10"/>
      <c r="AD62" s="23">
        <v>43039</v>
      </c>
      <c r="AE62" s="63">
        <v>2.6635494773488786E-3</v>
      </c>
      <c r="AS62" s="48"/>
    </row>
    <row r="63" spans="1:63">
      <c r="A63" s="23">
        <v>40480</v>
      </c>
      <c r="B63" s="26">
        <v>13448.69</v>
      </c>
      <c r="C63" s="31">
        <v>2.2277957944302094E-3</v>
      </c>
      <c r="D63" s="25">
        <v>122.78387749996807</v>
      </c>
      <c r="E63" s="25"/>
      <c r="F63" s="25"/>
      <c r="AB63" s="10"/>
      <c r="AD63" s="23">
        <v>43069</v>
      </c>
      <c r="AE63" s="63">
        <v>2.704019294682336E-3</v>
      </c>
      <c r="AS63" s="15"/>
    </row>
    <row r="64" spans="1:63">
      <c r="A64" s="23">
        <v>40512</v>
      </c>
      <c r="B64" s="26">
        <v>13483.02</v>
      </c>
      <c r="C64" s="31">
        <v>2.3931234194557449E-3</v>
      </c>
      <c r="D64" s="25">
        <v>123.09730360426326</v>
      </c>
      <c r="E64" s="25"/>
      <c r="F64" s="25"/>
      <c r="AB64" s="10"/>
      <c r="AD64" s="23">
        <v>43100</v>
      </c>
      <c r="AE64" s="63">
        <v>3.0096544691444525E-3</v>
      </c>
      <c r="AS64" s="15"/>
    </row>
    <row r="65" spans="1:46">
      <c r="A65" s="23">
        <v>40543</v>
      </c>
      <c r="B65" s="26">
        <v>13522.93</v>
      </c>
      <c r="C65" s="31">
        <v>2.864534847917051E-3</v>
      </c>
      <c r="D65" s="25">
        <v>123.46167400398424</v>
      </c>
      <c r="E65" s="25"/>
      <c r="F65" s="25"/>
      <c r="AB65" s="10"/>
      <c r="AD65" s="23">
        <v>43131</v>
      </c>
      <c r="AE65" s="63">
        <v>4.7372723993422561E-3</v>
      </c>
    </row>
    <row r="66" spans="1:46">
      <c r="A66" s="23">
        <v>40574</v>
      </c>
      <c r="B66" s="26">
        <v>13557.12</v>
      </c>
      <c r="C66" s="31">
        <v>2.4467402237675485E-3</v>
      </c>
      <c r="D66" s="25">
        <v>123.7738219359928</v>
      </c>
      <c r="E66" s="25"/>
      <c r="F66" s="25"/>
      <c r="O66" s="10"/>
      <c r="P66" s="10"/>
      <c r="Q66" s="10"/>
      <c r="R66" s="10"/>
      <c r="S66" s="10"/>
      <c r="T66" s="10"/>
      <c r="U66" s="10"/>
      <c r="V66" s="10"/>
      <c r="W66" s="10"/>
      <c r="X66" s="10"/>
      <c r="Y66" s="10"/>
      <c r="Z66" s="10"/>
      <c r="AA66" s="10"/>
      <c r="AB66" s="10"/>
      <c r="AD66" s="23">
        <v>43159</v>
      </c>
      <c r="AE66" s="63">
        <v>3.7815230195404575E-3</v>
      </c>
    </row>
    <row r="67" spans="1:46" s="10" customFormat="1">
      <c r="A67" s="23">
        <v>40602</v>
      </c>
      <c r="B67" s="26">
        <v>13592.3</v>
      </c>
      <c r="C67" s="31">
        <v>2.780299734962648E-3</v>
      </c>
      <c r="D67" s="25">
        <v>124.09500837202847</v>
      </c>
      <c r="E67" s="25"/>
      <c r="F67" s="25"/>
      <c r="I67" s="11"/>
      <c r="N67" s="9"/>
      <c r="AC67" s="9"/>
      <c r="AD67" s="23">
        <v>43190</v>
      </c>
      <c r="AE67" s="63">
        <v>3.0052751190857313E-3</v>
      </c>
      <c r="AF67" s="9"/>
      <c r="AG67" s="9"/>
      <c r="AH67" s="9"/>
      <c r="AI67" s="9"/>
      <c r="AJ67" s="9"/>
      <c r="AK67" s="9"/>
      <c r="AL67" s="9"/>
      <c r="AM67" s="9"/>
      <c r="AN67" s="9"/>
      <c r="AO67" s="9"/>
      <c r="AP67" s="9"/>
      <c r="AQ67" s="9"/>
      <c r="AR67" s="9"/>
      <c r="AS67" s="9"/>
      <c r="AT67" s="9"/>
    </row>
    <row r="68" spans="1:46" s="10" customFormat="1">
      <c r="A68" s="23">
        <v>40633</v>
      </c>
      <c r="B68" s="26">
        <v>13635.91</v>
      </c>
      <c r="C68" s="31">
        <v>3.1049363100028021E-3</v>
      </c>
      <c r="D68" s="25">
        <v>124.49315903932572</v>
      </c>
      <c r="E68" s="25"/>
      <c r="F68" s="25"/>
      <c r="I68" s="11"/>
      <c r="AC68" s="9"/>
      <c r="AD68" s="23">
        <v>43220</v>
      </c>
      <c r="AE68" s="63">
        <v>3.1613025457599697E-3</v>
      </c>
      <c r="AF68" s="9"/>
      <c r="AG68" s="9"/>
      <c r="AH68" s="9"/>
      <c r="AI68" s="9"/>
      <c r="AJ68" s="9"/>
      <c r="AK68" s="9"/>
      <c r="AL68" s="9"/>
      <c r="AM68" s="9"/>
      <c r="AN68" s="9"/>
      <c r="AO68" s="9"/>
      <c r="AP68" s="9"/>
      <c r="AQ68" s="9"/>
      <c r="AS68" s="9"/>
    </row>
    <row r="69" spans="1:46" s="10" customFormat="1">
      <c r="A69" s="23">
        <v>40662</v>
      </c>
      <c r="B69" s="26">
        <v>13682.94</v>
      </c>
      <c r="C69" s="31">
        <v>3.5679117959807392E-3</v>
      </c>
      <c r="D69" s="25">
        <v>124.92253362962586</v>
      </c>
      <c r="E69" s="25"/>
      <c r="F69" s="25"/>
      <c r="I69" s="11"/>
      <c r="AC69" s="9"/>
      <c r="AD69" s="23">
        <v>43251</v>
      </c>
      <c r="AE69" s="63">
        <v>3.1006786638901416E-3</v>
      </c>
      <c r="AF69" s="9"/>
      <c r="AG69" s="9"/>
      <c r="AH69" s="9"/>
      <c r="AI69" s="9"/>
      <c r="AJ69" s="9"/>
      <c r="AK69" s="9"/>
      <c r="AL69" s="9"/>
      <c r="AM69" s="9"/>
      <c r="AN69" s="9"/>
      <c r="AO69" s="9"/>
      <c r="AP69" s="9"/>
      <c r="AQ69" s="9"/>
      <c r="AS69" s="9"/>
    </row>
    <row r="70" spans="1:46" s="10" customFormat="1">
      <c r="A70" s="23">
        <v>40694</v>
      </c>
      <c r="B70" s="26">
        <v>13741.06</v>
      </c>
      <c r="C70" s="31">
        <v>3.982148573332886E-3</v>
      </c>
      <c r="D70" s="25">
        <v>125.45315772463421</v>
      </c>
      <c r="E70" s="25"/>
      <c r="F70" s="25"/>
      <c r="I70" s="11"/>
      <c r="AC70" s="9"/>
      <c r="AD70" s="23">
        <v>43281</v>
      </c>
      <c r="AE70" s="63">
        <v>2.8770914084554899E-3</v>
      </c>
      <c r="AF70" s="9"/>
      <c r="AG70" s="9"/>
      <c r="AH70" s="9"/>
      <c r="AI70" s="9"/>
      <c r="AJ70" s="9"/>
      <c r="AK70" s="9"/>
      <c r="AL70" s="9"/>
      <c r="AM70" s="9"/>
      <c r="AN70" s="9"/>
      <c r="AO70" s="9"/>
      <c r="AP70" s="9"/>
      <c r="AQ70" s="9"/>
      <c r="AS70" s="9"/>
    </row>
    <row r="71" spans="1:46" s="10" customFormat="1">
      <c r="A71" s="23">
        <v>40724</v>
      </c>
      <c r="B71" s="26">
        <v>13799.74</v>
      </c>
      <c r="C71" s="31">
        <v>4.2704129084656373E-3</v>
      </c>
      <c r="D71" s="25">
        <v>125.98889450878927</v>
      </c>
      <c r="E71" s="25"/>
      <c r="F71" s="25"/>
      <c r="I71" s="11"/>
      <c r="AC71" s="9"/>
      <c r="AD71" s="23">
        <v>43312</v>
      </c>
      <c r="AE71" s="63">
        <v>2.7902540578691208E-3</v>
      </c>
      <c r="AF71" s="9"/>
      <c r="AG71" s="9"/>
      <c r="AH71" s="9"/>
      <c r="AI71" s="9"/>
      <c r="AJ71" s="9"/>
      <c r="AK71" s="9"/>
      <c r="AL71" s="9"/>
      <c r="AM71" s="9"/>
      <c r="AN71" s="9"/>
      <c r="AO71" s="9"/>
      <c r="AP71" s="9"/>
      <c r="AQ71" s="9"/>
      <c r="AS71" s="9"/>
    </row>
    <row r="72" spans="1:46" s="10" customFormat="1">
      <c r="A72" s="23">
        <v>40753</v>
      </c>
      <c r="B72" s="26">
        <v>13858.14</v>
      </c>
      <c r="C72" s="31">
        <v>4.3778935765055932E-3</v>
      </c>
      <c r="D72" s="25">
        <v>126.52207494837097</v>
      </c>
      <c r="E72" s="25"/>
      <c r="F72" s="25"/>
      <c r="I72" s="11"/>
      <c r="AC72" s="9"/>
      <c r="AD72" s="23">
        <v>43343</v>
      </c>
      <c r="AE72" s="63">
        <v>2.697220022070491E-3</v>
      </c>
      <c r="AS72" s="9"/>
    </row>
    <row r="73" spans="1:46" s="10" customFormat="1">
      <c r="A73" s="23">
        <v>40786</v>
      </c>
      <c r="B73" s="26">
        <v>13925.03</v>
      </c>
      <c r="C73" s="31">
        <v>4.3879691581331795E-3</v>
      </c>
      <c r="D73" s="25">
        <v>127.13276740733707</v>
      </c>
      <c r="E73" s="25"/>
      <c r="F73" s="25"/>
      <c r="I73" s="11"/>
      <c r="AC73" s="9"/>
      <c r="AD73" s="23">
        <v>43373</v>
      </c>
      <c r="AE73" s="63">
        <v>2.9467867740671227E-3</v>
      </c>
      <c r="AS73" s="9"/>
    </row>
    <row r="74" spans="1:46" s="10" customFormat="1">
      <c r="A74" s="23">
        <v>40816</v>
      </c>
      <c r="B74" s="26">
        <v>13985.97</v>
      </c>
      <c r="C74" s="31">
        <v>4.3762921875212246E-3</v>
      </c>
      <c r="D74" s="25">
        <v>127.68913754411977</v>
      </c>
      <c r="E74" s="25"/>
      <c r="F74" s="25"/>
      <c r="I74" s="11"/>
      <c r="AC74" s="9"/>
      <c r="AD74" s="23">
        <v>43404</v>
      </c>
      <c r="AE74" s="63">
        <v>2.7341157981280824E-3</v>
      </c>
      <c r="AS74" s="9"/>
    </row>
    <row r="75" spans="1:46" s="10" customFormat="1">
      <c r="A75" s="23">
        <v>40847</v>
      </c>
      <c r="B75" s="26">
        <v>14043.21</v>
      </c>
      <c r="C75" s="31">
        <v>3.9606511659252518E-3</v>
      </c>
      <c r="D75" s="25">
        <v>128.21172741332623</v>
      </c>
      <c r="E75" s="25"/>
      <c r="F75" s="25"/>
      <c r="I75" s="11"/>
      <c r="AC75" s="9"/>
      <c r="AD75" s="23">
        <v>43434</v>
      </c>
      <c r="AE75" s="63">
        <v>2.8440928865518522E-3</v>
      </c>
      <c r="AS75" s="9"/>
    </row>
    <row r="76" spans="1:46" s="10" customFormat="1">
      <c r="A76" s="23">
        <v>40877</v>
      </c>
      <c r="B76" s="26">
        <v>14110.87</v>
      </c>
      <c r="C76" s="31">
        <v>4.8179867708308954E-3</v>
      </c>
      <c r="D76" s="25">
        <v>128.82944981986901</v>
      </c>
      <c r="E76" s="25"/>
      <c r="F76" s="25"/>
      <c r="I76" s="11"/>
      <c r="AD76" s="23">
        <v>43465</v>
      </c>
      <c r="AE76" s="63">
        <v>2.626598915806536E-3</v>
      </c>
      <c r="AS76" s="9"/>
    </row>
    <row r="77" spans="1:46" s="10" customFormat="1">
      <c r="A77" s="23">
        <v>40907</v>
      </c>
      <c r="B77" s="26">
        <v>14172.63</v>
      </c>
      <c r="C77" s="31">
        <v>4.3767676975265957E-3</v>
      </c>
      <c r="D77" s="25">
        <v>129.39330639433075</v>
      </c>
      <c r="E77" s="25"/>
      <c r="F77" s="25"/>
      <c r="I77" s="11"/>
      <c r="AD77" s="23">
        <v>43496</v>
      </c>
      <c r="AE77" s="63">
        <v>2.8143032822894052E-3</v>
      </c>
      <c r="AS77" s="9"/>
    </row>
    <row r="78" spans="1:46" s="10" customFormat="1">
      <c r="A78" s="23">
        <v>40939</v>
      </c>
      <c r="B78" s="26">
        <v>14236.38</v>
      </c>
      <c r="C78" s="31">
        <v>4.2169749016237462E-3</v>
      </c>
      <c r="D78" s="25">
        <v>129.9753312748673</v>
      </c>
      <c r="E78" s="25"/>
      <c r="F78" s="25"/>
      <c r="I78" s="11"/>
      <c r="AD78" s="23">
        <v>43524</v>
      </c>
      <c r="AE78" s="63">
        <v>2.8236063868719574E-3</v>
      </c>
      <c r="AS78" s="9"/>
    </row>
    <row r="79" spans="1:46" s="10" customFormat="1">
      <c r="A79" s="23">
        <v>40968</v>
      </c>
      <c r="B79" s="26">
        <v>14293.67</v>
      </c>
      <c r="C79" s="31">
        <v>4.1629625818769339E-3</v>
      </c>
      <c r="D79" s="25">
        <v>130.49837763417614</v>
      </c>
      <c r="E79" s="25"/>
      <c r="F79" s="25"/>
      <c r="I79" s="11"/>
      <c r="AD79" s="23">
        <v>43555</v>
      </c>
      <c r="AE79" s="63">
        <v>2.8653627940388206E-3</v>
      </c>
      <c r="AS79" s="9"/>
    </row>
    <row r="80" spans="1:46" s="10" customFormat="1">
      <c r="A80" s="23">
        <v>40998</v>
      </c>
      <c r="B80" s="26">
        <v>14353.34</v>
      </c>
      <c r="C80" s="31">
        <v>4.1745751790827068E-3</v>
      </c>
      <c r="D80" s="25">
        <v>131.04315292235836</v>
      </c>
      <c r="E80" s="25"/>
      <c r="F80" s="25"/>
      <c r="I80" s="11"/>
      <c r="AD80" s="23">
        <v>43585</v>
      </c>
      <c r="AE80" s="63">
        <v>2.932409051613627E-3</v>
      </c>
    </row>
    <row r="81" spans="1:9" s="10" customFormat="1">
      <c r="A81" s="23">
        <v>41029</v>
      </c>
      <c r="B81" s="26">
        <v>14415.21</v>
      </c>
      <c r="C81" s="31">
        <v>4.1714467537442316E-3</v>
      </c>
      <c r="D81" s="25">
        <v>131.60801377504532</v>
      </c>
      <c r="E81" s="25"/>
      <c r="F81" s="25"/>
      <c r="I81" s="11"/>
    </row>
    <row r="82" spans="1:9" s="10" customFormat="1">
      <c r="A82" s="23">
        <v>41060</v>
      </c>
      <c r="B82" s="26">
        <v>14477.55</v>
      </c>
      <c r="C82" s="31">
        <v>4.1850956217817379E-3</v>
      </c>
      <c r="D82" s="25">
        <v>132.17716563469472</v>
      </c>
      <c r="E82" s="25"/>
      <c r="F82" s="25"/>
      <c r="I82" s="11"/>
    </row>
    <row r="83" spans="1:9" s="10" customFormat="1">
      <c r="A83" s="23">
        <v>41089</v>
      </c>
      <c r="B83" s="26">
        <v>14536.13</v>
      </c>
      <c r="C83" s="31">
        <v>4.1857911041577357E-3</v>
      </c>
      <c r="D83" s="25">
        <v>132.71198943864499</v>
      </c>
      <c r="E83" s="25"/>
      <c r="F83" s="25"/>
      <c r="I83" s="11"/>
    </row>
    <row r="84" spans="1:9" s="10" customFormat="1">
      <c r="A84" s="23">
        <v>41121</v>
      </c>
      <c r="B84" s="26">
        <v>14600.61</v>
      </c>
      <c r="C84" s="31">
        <v>4.1586034247079878E-3</v>
      </c>
      <c r="D84" s="25">
        <v>133.30067907467631</v>
      </c>
      <c r="E84" s="25"/>
      <c r="F84" s="25"/>
      <c r="I84" s="11"/>
    </row>
    <row r="85" spans="1:9" s="10" customFormat="1">
      <c r="A85" s="23">
        <v>41152</v>
      </c>
      <c r="B85" s="26">
        <v>14663.33</v>
      </c>
      <c r="C85" s="31">
        <v>4.1571396122181033E-3</v>
      </c>
      <c r="D85" s="25">
        <v>133.87330025910379</v>
      </c>
      <c r="E85" s="25"/>
      <c r="F85" s="25"/>
      <c r="I85" s="11"/>
    </row>
    <row r="86" spans="1:9" s="10" customFormat="1">
      <c r="A86" s="23">
        <v>41180</v>
      </c>
      <c r="B86" s="26">
        <v>14720.68</v>
      </c>
      <c r="C86" s="31">
        <v>4.1904825555606961E-3</v>
      </c>
      <c r="D86" s="25">
        <v>134.39689440653549</v>
      </c>
      <c r="E86" s="25"/>
      <c r="F86" s="25"/>
      <c r="I86" s="11"/>
    </row>
    <row r="87" spans="1:9" s="10" customFormat="1">
      <c r="A87" s="23">
        <v>41213</v>
      </c>
      <c r="B87" s="26">
        <v>14788.56</v>
      </c>
      <c r="C87" s="31">
        <v>4.192000023714196E-3</v>
      </c>
      <c r="D87" s="25">
        <v>135.01662536952875</v>
      </c>
      <c r="E87" s="25"/>
      <c r="F87" s="25"/>
      <c r="I87" s="11"/>
    </row>
    <row r="88" spans="1:9" s="10" customFormat="1">
      <c r="A88" s="23">
        <v>41243</v>
      </c>
      <c r="B88" s="26">
        <v>14850.38</v>
      </c>
      <c r="C88" s="31">
        <v>4.1802582536771826E-3</v>
      </c>
      <c r="D88" s="25">
        <v>135.58102973211334</v>
      </c>
      <c r="E88" s="25"/>
      <c r="F88" s="25"/>
      <c r="I88" s="11"/>
    </row>
    <row r="89" spans="1:9" s="10" customFormat="1">
      <c r="A89" s="23">
        <v>41274</v>
      </c>
      <c r="B89" s="26">
        <v>14908.2</v>
      </c>
      <c r="C89" s="31">
        <v>3.767906188910832E-3</v>
      </c>
      <c r="D89" s="25">
        <v>136.10891488650745</v>
      </c>
      <c r="E89" s="25"/>
      <c r="F89" s="25"/>
      <c r="I89" s="11"/>
    </row>
    <row r="90" spans="1:9" s="10" customFormat="1">
      <c r="A90" s="23">
        <v>41305</v>
      </c>
      <c r="B90" s="26">
        <v>14978.58</v>
      </c>
      <c r="C90" s="31">
        <v>4.5686050240374559E-3</v>
      </c>
      <c r="D90" s="25">
        <v>136.75147035461978</v>
      </c>
      <c r="E90" s="25"/>
      <c r="F90" s="25"/>
      <c r="I90" s="11"/>
    </row>
    <row r="91" spans="1:9" s="10" customFormat="1">
      <c r="A91" s="23">
        <v>41333</v>
      </c>
      <c r="B91" s="26">
        <v>15036.94</v>
      </c>
      <c r="C91" s="31">
        <v>4.1745326612116105E-3</v>
      </c>
      <c r="D91" s="25">
        <v>137.28428560211958</v>
      </c>
      <c r="E91" s="25"/>
      <c r="F91" s="25"/>
      <c r="I91" s="11"/>
    </row>
    <row r="92" spans="1:9" s="10" customFormat="1">
      <c r="A92" s="23">
        <v>41362</v>
      </c>
      <c r="B92" s="26">
        <v>15095.51</v>
      </c>
      <c r="C92" s="31">
        <v>4.0293873070195892E-3</v>
      </c>
      <c r="D92" s="25">
        <v>137.81901810804939</v>
      </c>
      <c r="E92" s="25"/>
      <c r="F92" s="25"/>
      <c r="I92" s="11"/>
    </row>
    <row r="93" spans="1:9" s="10" customFormat="1">
      <c r="A93" s="23">
        <v>41394</v>
      </c>
      <c r="B93" s="26">
        <v>15164.77</v>
      </c>
      <c r="C93" s="31">
        <v>4.3013617956598471E-3</v>
      </c>
      <c r="D93" s="25">
        <v>138.45134819786838</v>
      </c>
      <c r="E93" s="25"/>
      <c r="F93" s="25"/>
      <c r="I93" s="11"/>
    </row>
    <row r="94" spans="1:9" s="10" customFormat="1">
      <c r="A94" s="23">
        <v>41425</v>
      </c>
      <c r="B94" s="26">
        <v>15230.38</v>
      </c>
      <c r="C94" s="31">
        <v>4.1869113997177049E-3</v>
      </c>
      <c r="D94" s="25">
        <v>139.05035451021351</v>
      </c>
      <c r="E94" s="25"/>
      <c r="F94" s="25"/>
      <c r="I94" s="11"/>
    </row>
    <row r="95" spans="1:9" s="10" customFormat="1">
      <c r="A95" s="23">
        <v>41453</v>
      </c>
      <c r="B95" s="26">
        <v>15289.74</v>
      </c>
      <c r="C95" s="31">
        <v>4.1758642922896348E-3</v>
      </c>
      <c r="D95" s="25">
        <v>139.59229955976096</v>
      </c>
      <c r="E95" s="25"/>
      <c r="F95" s="25"/>
      <c r="I95" s="11"/>
    </row>
    <row r="96" spans="1:9" s="10" customFormat="1">
      <c r="A96" s="23">
        <v>41486</v>
      </c>
      <c r="B96" s="26">
        <v>15360.27</v>
      </c>
      <c r="C96" s="31">
        <v>4.1935429783752035E-3</v>
      </c>
      <c r="D96" s="25">
        <v>140.23622449818046</v>
      </c>
      <c r="E96" s="25"/>
      <c r="F96" s="25"/>
      <c r="I96" s="11"/>
    </row>
    <row r="97" spans="1:28" s="10" customFormat="1">
      <c r="A97" s="23">
        <v>41516</v>
      </c>
      <c r="B97" s="26">
        <v>15424.43</v>
      </c>
      <c r="C97" s="31">
        <v>4.1770099093310087E-3</v>
      </c>
      <c r="D97" s="25">
        <v>140.82199259755649</v>
      </c>
      <c r="E97" s="25"/>
      <c r="F97" s="25"/>
      <c r="I97" s="11"/>
    </row>
    <row r="98" spans="1:28" s="10" customFormat="1">
      <c r="A98" s="23">
        <v>41547</v>
      </c>
      <c r="B98" s="26">
        <v>15490.99</v>
      </c>
      <c r="C98" s="31">
        <v>4.1760313493467392E-3</v>
      </c>
      <c r="D98" s="25">
        <v>141.42967222184689</v>
      </c>
      <c r="E98" s="25"/>
      <c r="F98" s="25"/>
      <c r="I98" s="11"/>
    </row>
    <row r="99" spans="1:28" s="10" customFormat="1">
      <c r="A99" s="23">
        <v>41578</v>
      </c>
      <c r="B99" s="26">
        <v>15554.36</v>
      </c>
      <c r="C99" s="31">
        <v>3.958804856991985E-3</v>
      </c>
      <c r="D99" s="25">
        <v>142.00822777760533</v>
      </c>
      <c r="E99" s="25"/>
      <c r="F99" s="25"/>
      <c r="I99" s="11"/>
    </row>
    <row r="100" spans="1:28" s="10" customFormat="1">
      <c r="A100" s="23">
        <v>41607</v>
      </c>
      <c r="B100" s="26">
        <v>15615.06</v>
      </c>
      <c r="C100" s="31">
        <v>4.037009780426537E-3</v>
      </c>
      <c r="D100" s="25">
        <v>142.5624067618966</v>
      </c>
      <c r="E100" s="25"/>
      <c r="F100" s="25"/>
      <c r="I100" s="11"/>
    </row>
    <row r="101" spans="1:28" s="10" customFormat="1">
      <c r="A101" s="23">
        <v>41639</v>
      </c>
      <c r="B101" s="26">
        <v>15675.68</v>
      </c>
      <c r="C101" s="31">
        <v>3.6395153140621889E-3</v>
      </c>
      <c r="D101" s="25">
        <v>143.11585536202404</v>
      </c>
      <c r="E101" s="25"/>
      <c r="F101" s="25"/>
      <c r="I101" s="11"/>
    </row>
    <row r="102" spans="1:28" s="10" customFormat="1">
      <c r="A102" s="23">
        <v>41670</v>
      </c>
      <c r="B102" s="26">
        <v>15738.45</v>
      </c>
      <c r="C102" s="31">
        <v>3.8751212891769038E-3</v>
      </c>
      <c r="D102" s="25">
        <v>143.68893303655392</v>
      </c>
      <c r="E102" s="25"/>
      <c r="F102" s="25"/>
      <c r="I102" s="11"/>
    </row>
    <row r="103" spans="1:28" s="10" customFormat="1">
      <c r="A103" s="23">
        <v>41698</v>
      </c>
      <c r="B103" s="26">
        <v>15792.47</v>
      </c>
      <c r="C103" s="31">
        <v>3.6775267849482279E-3</v>
      </c>
      <c r="D103" s="25">
        <v>144.18212494316697</v>
      </c>
      <c r="E103" s="25"/>
      <c r="F103" s="25"/>
      <c r="I103" s="11"/>
    </row>
    <row r="104" spans="1:28" s="10" customFormat="1">
      <c r="A104" s="23">
        <v>41729</v>
      </c>
      <c r="B104" s="26">
        <v>15848.53</v>
      </c>
      <c r="C104" s="31">
        <v>3.4352835815568226E-3</v>
      </c>
      <c r="D104" s="25">
        <v>144.69394164595724</v>
      </c>
      <c r="E104" s="25"/>
      <c r="F104" s="25"/>
      <c r="I104" s="11"/>
    </row>
    <row r="105" spans="1:28" s="10" customFormat="1">
      <c r="A105" s="23">
        <v>41759</v>
      </c>
      <c r="B105" s="26">
        <v>15901.43</v>
      </c>
      <c r="C105" s="31">
        <v>3.3378489992446081E-3</v>
      </c>
      <c r="D105" s="25">
        <v>145.17690817427697</v>
      </c>
      <c r="E105" s="25"/>
      <c r="F105" s="25"/>
      <c r="I105" s="11"/>
    </row>
    <row r="106" spans="1:28" s="10" customFormat="1">
      <c r="A106" s="23">
        <v>41789</v>
      </c>
      <c r="B106" s="26">
        <v>15954.5</v>
      </c>
      <c r="C106" s="31">
        <v>3.3374356897462043E-3</v>
      </c>
      <c r="D106" s="25">
        <v>145.66142676894481</v>
      </c>
      <c r="E106" s="25"/>
      <c r="F106" s="25"/>
      <c r="I106" s="11"/>
    </row>
    <row r="107" spans="1:28" s="10" customFormat="1">
      <c r="A107" s="23">
        <v>41820</v>
      </c>
      <c r="B107" s="26">
        <v>16009.53</v>
      </c>
      <c r="C107" s="31">
        <v>3.3379196282979163E-3</v>
      </c>
      <c r="D107" s="25">
        <v>146.163839775626</v>
      </c>
      <c r="E107" s="25"/>
      <c r="F107" s="25"/>
      <c r="I107" s="11"/>
    </row>
    <row r="108" spans="1:28" s="10" customFormat="1">
      <c r="A108" s="23">
        <v>41851</v>
      </c>
      <c r="B108" s="26">
        <v>16063.18</v>
      </c>
      <c r="C108" s="31">
        <v>3.2430280488378181E-3</v>
      </c>
      <c r="D108" s="25">
        <v>146.65365365548143</v>
      </c>
      <c r="E108" s="25"/>
      <c r="F108" s="25"/>
      <c r="I108" s="11"/>
    </row>
    <row r="109" spans="1:28" s="10" customFormat="1">
      <c r="A109" s="23">
        <v>41880</v>
      </c>
      <c r="B109" s="26">
        <v>16110.55</v>
      </c>
      <c r="C109" s="31">
        <v>3.0506691872881088E-3</v>
      </c>
      <c r="D109" s="25">
        <v>147.08613237847777</v>
      </c>
      <c r="E109" s="25"/>
      <c r="F109" s="25"/>
      <c r="I109" s="11"/>
      <c r="AB109" s="9"/>
    </row>
    <row r="110" spans="1:28" s="10" customFormat="1">
      <c r="A110" s="23">
        <v>41912</v>
      </c>
      <c r="B110" s="26">
        <v>16158.37</v>
      </c>
      <c r="C110" s="31">
        <v>2.7827262259823987E-3</v>
      </c>
      <c r="D110" s="25">
        <v>147.52271951239555</v>
      </c>
      <c r="E110" s="25"/>
      <c r="F110" s="25"/>
      <c r="I110" s="11"/>
      <c r="AB110" s="9"/>
    </row>
    <row r="111" spans="1:28" s="10" customFormat="1">
      <c r="A111" s="23">
        <v>41943</v>
      </c>
      <c r="B111" s="26">
        <v>16200.86</v>
      </c>
      <c r="C111" s="31">
        <v>2.5447712138483617E-3</v>
      </c>
      <c r="D111" s="25">
        <v>147.91064480139943</v>
      </c>
      <c r="E111" s="25"/>
      <c r="F111" s="25"/>
      <c r="I111" s="11"/>
      <c r="AB111" s="9"/>
    </row>
    <row r="112" spans="1:28" s="10" customFormat="1">
      <c r="A112" s="23">
        <v>41971</v>
      </c>
      <c r="B112" s="26">
        <v>16240.11</v>
      </c>
      <c r="C112" s="31">
        <v>2.5957616712057874E-3</v>
      </c>
      <c r="D112" s="25">
        <v>148.26898953176899</v>
      </c>
      <c r="E112" s="25"/>
      <c r="F112" s="25"/>
      <c r="I112" s="11"/>
      <c r="AB112" s="9"/>
    </row>
    <row r="113" spans="1:46" s="10" customFormat="1">
      <c r="A113" s="23">
        <v>42004</v>
      </c>
      <c r="B113" s="26">
        <v>16283.49</v>
      </c>
      <c r="C113" s="31">
        <v>2.4283310664990391E-3</v>
      </c>
      <c r="D113" s="25">
        <v>148.66504034459524</v>
      </c>
      <c r="E113" s="25"/>
      <c r="F113" s="25"/>
      <c r="I113" s="11"/>
      <c r="AB113" s="9"/>
    </row>
    <row r="114" spans="1:46" s="10" customFormat="1">
      <c r="A114" s="23">
        <v>42034</v>
      </c>
      <c r="B114" s="26">
        <v>16325.65</v>
      </c>
      <c r="C114" s="31">
        <v>2.5891255498666776E-3</v>
      </c>
      <c r="D114" s="25">
        <v>149.04995279892341</v>
      </c>
      <c r="E114" s="25"/>
      <c r="F114" s="25"/>
      <c r="I114" s="11"/>
      <c r="O114" s="9"/>
      <c r="P114" s="9"/>
      <c r="Q114" s="9"/>
      <c r="R114" s="9"/>
      <c r="S114" s="9"/>
      <c r="T114" s="9"/>
      <c r="U114" s="9"/>
      <c r="V114" s="9"/>
      <c r="W114" s="9"/>
      <c r="X114" s="9"/>
      <c r="Y114" s="9"/>
      <c r="Z114" s="9"/>
      <c r="AA114" s="9"/>
      <c r="AB114" s="9"/>
    </row>
    <row r="115" spans="1:46">
      <c r="A115" s="23">
        <v>42062</v>
      </c>
      <c r="B115" s="26">
        <v>16363.77</v>
      </c>
      <c r="C115" s="31">
        <v>2.5017599386766604E-3</v>
      </c>
      <c r="D115" s="25">
        <v>149.39798085297915</v>
      </c>
      <c r="E115" s="25"/>
      <c r="F115" s="25"/>
      <c r="N115" s="10"/>
      <c r="AC115" s="10"/>
      <c r="AD115" s="10"/>
      <c r="AE115" s="10"/>
      <c r="AF115" s="10"/>
      <c r="AG115" s="10"/>
      <c r="AH115" s="10"/>
      <c r="AI115" s="10"/>
      <c r="AJ115" s="10"/>
      <c r="AK115" s="10"/>
      <c r="AL115" s="10"/>
      <c r="AM115" s="10"/>
      <c r="AN115" s="10"/>
      <c r="AO115" s="10"/>
      <c r="AP115" s="10"/>
      <c r="AQ115" s="10"/>
      <c r="AR115" s="10"/>
      <c r="AS115" s="10"/>
      <c r="AT115" s="10"/>
    </row>
    <row r="116" spans="1:46">
      <c r="A116" s="23">
        <v>42094</v>
      </c>
      <c r="B116" s="26">
        <v>16407.490000000002</v>
      </c>
      <c r="C116" s="31">
        <v>2.5047712110351505E-3</v>
      </c>
      <c r="D116" s="25">
        <v>149.79713579850164</v>
      </c>
      <c r="E116" s="25"/>
      <c r="F116" s="25"/>
      <c r="AC116" s="10"/>
      <c r="AD116" s="10"/>
      <c r="AE116" s="10"/>
      <c r="AF116" s="10"/>
      <c r="AG116" s="10"/>
      <c r="AH116" s="10"/>
      <c r="AI116" s="10"/>
      <c r="AJ116" s="10"/>
      <c r="AK116" s="10"/>
      <c r="AL116" s="10"/>
      <c r="AM116" s="10"/>
      <c r="AN116" s="10"/>
      <c r="AO116" s="10"/>
      <c r="AP116" s="10"/>
      <c r="AQ116" s="10"/>
      <c r="AS116" s="10"/>
    </row>
    <row r="117" spans="1:46">
      <c r="A117" s="23">
        <v>42124</v>
      </c>
      <c r="B117" s="26">
        <v>16448.59</v>
      </c>
      <c r="C117" s="31">
        <v>2.5049535303691695E-3</v>
      </c>
      <c r="D117" s="25">
        <v>150.17237066265929</v>
      </c>
      <c r="E117" s="25"/>
      <c r="F117" s="25"/>
      <c r="AC117" s="10"/>
      <c r="AD117" s="10"/>
      <c r="AE117" s="10"/>
      <c r="AF117" s="10"/>
      <c r="AG117" s="10"/>
      <c r="AH117" s="10"/>
      <c r="AI117" s="10"/>
      <c r="AJ117" s="10"/>
      <c r="AK117" s="10"/>
      <c r="AL117" s="10"/>
      <c r="AM117" s="10"/>
      <c r="AN117" s="10"/>
      <c r="AO117" s="10"/>
      <c r="AP117" s="10"/>
      <c r="AQ117" s="10"/>
      <c r="AS117" s="10"/>
    </row>
    <row r="118" spans="1:46">
      <c r="A118" s="23">
        <v>42153</v>
      </c>
      <c r="B118" s="26">
        <v>16488.37</v>
      </c>
      <c r="C118" s="31">
        <v>2.5018390109991843E-3</v>
      </c>
      <c r="D118" s="25">
        <v>150.53555418811408</v>
      </c>
      <c r="E118" s="25"/>
      <c r="F118" s="25"/>
      <c r="AC118" s="10"/>
      <c r="AD118" s="10"/>
      <c r="AE118" s="10"/>
      <c r="AF118" s="10"/>
      <c r="AG118" s="10"/>
      <c r="AH118" s="10"/>
      <c r="AI118" s="10"/>
      <c r="AJ118" s="10"/>
      <c r="AK118" s="10"/>
      <c r="AL118" s="10"/>
      <c r="AM118" s="10"/>
      <c r="AN118" s="10"/>
      <c r="AO118" s="10"/>
      <c r="AP118" s="10"/>
      <c r="AQ118" s="10"/>
      <c r="AS118" s="10"/>
    </row>
    <row r="119" spans="1:46">
      <c r="A119" s="23">
        <v>42185</v>
      </c>
      <c r="B119" s="26">
        <v>16532.38</v>
      </c>
      <c r="C119" s="31">
        <v>2.5023319466994237E-3</v>
      </c>
      <c r="D119" s="25">
        <v>150.93735677623039</v>
      </c>
      <c r="E119" s="25"/>
      <c r="F119" s="25"/>
      <c r="AC119" s="10"/>
      <c r="AD119" s="10"/>
      <c r="AE119" s="10"/>
      <c r="AF119" s="10"/>
      <c r="AG119" s="10"/>
      <c r="AH119" s="10"/>
      <c r="AI119" s="10"/>
      <c r="AJ119" s="10"/>
      <c r="AK119" s="10"/>
      <c r="AL119" s="10"/>
      <c r="AM119" s="10"/>
      <c r="AN119" s="10"/>
      <c r="AO119" s="10"/>
      <c r="AP119" s="10"/>
      <c r="AQ119" s="10"/>
      <c r="AS119" s="10"/>
    </row>
    <row r="120" spans="1:46">
      <c r="A120" s="23">
        <v>42216</v>
      </c>
      <c r="B120" s="26">
        <v>16575.11</v>
      </c>
      <c r="C120" s="31">
        <v>2.5012498444402483E-3</v>
      </c>
      <c r="D120" s="25">
        <v>151.3274732177257</v>
      </c>
      <c r="E120" s="25"/>
      <c r="F120" s="25"/>
      <c r="AC120" s="10"/>
      <c r="AS120" s="10"/>
    </row>
    <row r="121" spans="1:46">
      <c r="A121" s="23">
        <v>42247</v>
      </c>
      <c r="B121" s="26">
        <v>16617.939999999999</v>
      </c>
      <c r="C121" s="31">
        <v>2.5006402429167945E-3</v>
      </c>
      <c r="D121" s="25">
        <v>151.71850263942576</v>
      </c>
      <c r="E121" s="25"/>
      <c r="F121" s="25"/>
      <c r="AC121" s="10"/>
      <c r="AS121" s="10"/>
    </row>
    <row r="122" spans="1:46">
      <c r="A122" s="23">
        <v>42277</v>
      </c>
      <c r="B122" s="26">
        <v>16659.580000000002</v>
      </c>
      <c r="C122" s="31">
        <v>2.5057257397729238E-3</v>
      </c>
      <c r="D122" s="25">
        <v>152.09866759668921</v>
      </c>
      <c r="E122" s="25"/>
      <c r="F122" s="25"/>
      <c r="AC122" s="10"/>
      <c r="AS122" s="10"/>
    </row>
    <row r="123" spans="1:46">
      <c r="A123" s="23">
        <v>42307</v>
      </c>
      <c r="B123" s="26">
        <v>16702.939999999999</v>
      </c>
      <c r="C123" s="31">
        <v>2.6027066708762536E-3</v>
      </c>
      <c r="D123" s="25">
        <v>152.4945358134745</v>
      </c>
      <c r="E123" s="25"/>
      <c r="F123" s="25"/>
      <c r="AC123" s="10"/>
      <c r="AS123" s="10"/>
    </row>
    <row r="124" spans="1:46">
      <c r="A124" s="23">
        <v>42338</v>
      </c>
      <c r="B124" s="26">
        <v>16749.75</v>
      </c>
      <c r="C124" s="31">
        <v>2.712097391237853E-3</v>
      </c>
      <c r="D124" s="25">
        <v>152.92190184732414</v>
      </c>
      <c r="E124" s="25"/>
      <c r="F124" s="23"/>
      <c r="AS124" s="10"/>
    </row>
    <row r="125" spans="1:46">
      <c r="A125" s="23">
        <v>42369</v>
      </c>
      <c r="B125" s="26">
        <v>16796.52</v>
      </c>
      <c r="C125" s="31">
        <v>2.7022069178693799E-3</v>
      </c>
      <c r="D125" s="25">
        <v>153.34890268909191</v>
      </c>
      <c r="E125" s="25"/>
      <c r="F125" s="23">
        <v>42369</v>
      </c>
      <c r="K125" s="10"/>
      <c r="AS125" s="10"/>
    </row>
    <row r="126" spans="1:46">
      <c r="A126" s="23">
        <v>42398</v>
      </c>
      <c r="B126" s="26">
        <v>16845.59</v>
      </c>
      <c r="C126" s="31">
        <v>3.0221777466712088E-3</v>
      </c>
      <c r="D126" s="25">
        <v>153.79690207556919</v>
      </c>
      <c r="E126" s="25"/>
      <c r="F126" s="23">
        <v>42400</v>
      </c>
      <c r="K126" s="10"/>
      <c r="AS126" s="10"/>
    </row>
    <row r="127" spans="1:46">
      <c r="A127" s="23">
        <v>42429</v>
      </c>
      <c r="B127" s="26">
        <v>16896.43</v>
      </c>
      <c r="C127" s="31">
        <v>2.9206457001506431E-3</v>
      </c>
      <c r="D127" s="25">
        <v>154.26106121167084</v>
      </c>
      <c r="E127" s="25"/>
      <c r="F127" s="23">
        <v>42428</v>
      </c>
      <c r="K127" s="10"/>
      <c r="AS127" s="10"/>
    </row>
    <row r="128" spans="1:46">
      <c r="A128" s="23">
        <v>42460</v>
      </c>
      <c r="B128" s="26">
        <v>16947.43</v>
      </c>
      <c r="C128" s="31">
        <v>2.9210217016066354E-3</v>
      </c>
      <c r="D128" s="25">
        <v>154.72668111610005</v>
      </c>
      <c r="E128" s="25"/>
      <c r="F128" s="23">
        <v>42460</v>
      </c>
      <c r="K128" s="10"/>
    </row>
    <row r="129" spans="1:19">
      <c r="A129" s="23">
        <v>42489</v>
      </c>
      <c r="B129" s="26">
        <v>16995.27</v>
      </c>
      <c r="C129" s="31">
        <v>2.920186433719699E-3</v>
      </c>
      <c r="D129" s="25">
        <v>155.16345084605877</v>
      </c>
      <c r="F129" s="23">
        <v>42490</v>
      </c>
      <c r="K129" s="10"/>
    </row>
    <row r="130" spans="1:19">
      <c r="A130" s="23">
        <v>42521</v>
      </c>
      <c r="B130" s="26">
        <v>17048.23</v>
      </c>
      <c r="C130" s="31">
        <v>2.9214010721807099E-3</v>
      </c>
      <c r="D130" s="25">
        <v>155.64696516250137</v>
      </c>
      <c r="F130" s="23">
        <f t="shared" ref="F130:F145" si="52">+A130</f>
        <v>42521</v>
      </c>
      <c r="G130" s="58"/>
      <c r="H130" s="58"/>
      <c r="J130" s="24"/>
      <c r="K130" s="10"/>
      <c r="L130" s="31"/>
    </row>
    <row r="131" spans="1:19">
      <c r="A131" s="23">
        <v>42551</v>
      </c>
      <c r="B131" s="26">
        <v>17098.02</v>
      </c>
      <c r="C131" s="31">
        <v>2.9205377918999353E-3</v>
      </c>
      <c r="D131" s="25">
        <v>156.10153800645296</v>
      </c>
      <c r="F131" s="23">
        <f t="shared" si="52"/>
        <v>42551</v>
      </c>
      <c r="H131" s="58"/>
      <c r="I131" s="31"/>
      <c r="J131" s="24"/>
      <c r="K131" s="10"/>
      <c r="L131" s="31"/>
      <c r="M131" s="25"/>
    </row>
    <row r="132" spans="1:19">
      <c r="A132" s="23">
        <v>42582</v>
      </c>
      <c r="B132" s="71">
        <v>17149.23</v>
      </c>
      <c r="C132" s="31">
        <v>2.8984680399326843E-3</v>
      </c>
      <c r="D132" s="25">
        <v>156.56907516931219</v>
      </c>
      <c r="F132" s="23">
        <f t="shared" si="52"/>
        <v>42582</v>
      </c>
      <c r="H132" s="58"/>
      <c r="I132" s="31"/>
      <c r="J132" s="24"/>
      <c r="K132" s="10"/>
      <c r="L132" s="31"/>
      <c r="M132" s="25"/>
    </row>
    <row r="133" spans="1:19">
      <c r="A133" s="23">
        <v>42613</v>
      </c>
      <c r="B133" s="26">
        <v>17201.38</v>
      </c>
      <c r="C133" s="31">
        <v>2.9428576055883799E-3</v>
      </c>
      <c r="D133" s="25">
        <v>157.0451943460962</v>
      </c>
      <c r="F133" s="23">
        <f t="shared" si="52"/>
        <v>42613</v>
      </c>
      <c r="H133" s="58"/>
      <c r="I133" s="31"/>
      <c r="J133" s="24"/>
      <c r="K133" s="10"/>
      <c r="L133" s="31"/>
      <c r="M133" s="25"/>
    </row>
    <row r="134" spans="1:19">
      <c r="A134" s="23">
        <f>+A133+30</f>
        <v>42643</v>
      </c>
      <c r="B134" s="26">
        <v>17251.61</v>
      </c>
      <c r="C134" s="31">
        <v>2.9201145489490266E-3</v>
      </c>
      <c r="D134" s="25">
        <v>157.50378430294876</v>
      </c>
      <c r="F134" s="23">
        <f t="shared" si="52"/>
        <v>42643</v>
      </c>
      <c r="H134" s="58"/>
      <c r="I134" s="31"/>
      <c r="J134" s="24"/>
      <c r="K134" s="10"/>
      <c r="L134" s="31"/>
      <c r="M134" s="25"/>
    </row>
    <row r="135" spans="1:19">
      <c r="A135" s="23">
        <v>42674</v>
      </c>
      <c r="B135" s="26">
        <v>17303.68</v>
      </c>
      <c r="C135" s="31">
        <v>2.920905502770276E-3</v>
      </c>
      <c r="D135" s="25">
        <v>157.97917309556894</v>
      </c>
      <c r="F135" s="23">
        <f t="shared" si="52"/>
        <v>42674</v>
      </c>
      <c r="H135" s="58"/>
      <c r="I135" s="31"/>
      <c r="J135" s="24"/>
      <c r="K135" s="10"/>
      <c r="L135" s="31"/>
      <c r="M135" s="25"/>
      <c r="S135" s="9" t="s">
        <v>40</v>
      </c>
    </row>
    <row r="136" spans="1:19">
      <c r="A136" s="23">
        <v>42704</v>
      </c>
      <c r="B136" s="26">
        <v>17354.21</v>
      </c>
      <c r="C136" s="31">
        <v>2.9201880756000165E-3</v>
      </c>
      <c r="D136" s="25">
        <v>158.44050199303578</v>
      </c>
      <c r="F136" s="23">
        <f t="shared" si="52"/>
        <v>42704</v>
      </c>
      <c r="H136" s="58"/>
      <c r="I136" s="31"/>
      <c r="J136" s="24"/>
      <c r="K136" s="10"/>
      <c r="L136" s="31"/>
      <c r="M136" s="25"/>
    </row>
    <row r="137" spans="1:19">
      <c r="A137" s="23">
        <v>42735</v>
      </c>
      <c r="B137" s="26">
        <v>17406.97</v>
      </c>
      <c r="C137" s="31">
        <v>2.9421140182199269E-3</v>
      </c>
      <c r="D137" s="25">
        <v>158.92219034906887</v>
      </c>
      <c r="F137" s="23">
        <f t="shared" si="52"/>
        <v>42735</v>
      </c>
      <c r="H137" s="58"/>
      <c r="I137" s="31"/>
      <c r="J137" s="24"/>
      <c r="K137" s="10"/>
      <c r="L137" s="31"/>
      <c r="M137" s="25"/>
      <c r="Q137" s="10">
        <f>+G137+S136</f>
        <v>0</v>
      </c>
      <c r="S137" s="9" t="s">
        <v>41</v>
      </c>
    </row>
    <row r="138" spans="1:19">
      <c r="A138" s="23">
        <v>42766</v>
      </c>
      <c r="B138" s="26">
        <v>17457.39</v>
      </c>
      <c r="C138" s="31">
        <v>2.8031040661927633E-3</v>
      </c>
      <c r="D138" s="25">
        <v>159.38251496831046</v>
      </c>
      <c r="F138" s="23">
        <f t="shared" si="52"/>
        <v>42766</v>
      </c>
      <c r="I138" s="31"/>
      <c r="J138" s="24"/>
      <c r="K138" s="10"/>
      <c r="L138" s="31"/>
      <c r="M138" s="25"/>
      <c r="S138" s="9">
        <v>3.1855000000000002</v>
      </c>
    </row>
    <row r="139" spans="1:19">
      <c r="A139" s="23">
        <v>42794</v>
      </c>
      <c r="B139" s="26">
        <v>17501.060000000001</v>
      </c>
      <c r="C139" s="31">
        <v>2.6801993719728829E-3</v>
      </c>
      <c r="D139" s="25">
        <v>159.78121342373058</v>
      </c>
      <c r="F139" s="23">
        <f t="shared" si="52"/>
        <v>42794</v>
      </c>
      <c r="I139" s="31"/>
      <c r="J139" s="24"/>
      <c r="K139" s="10"/>
      <c r="L139" s="31"/>
      <c r="M139" s="25"/>
      <c r="S139" s="9" t="s">
        <v>42</v>
      </c>
    </row>
    <row r="140" spans="1:19">
      <c r="A140" s="23">
        <v>42825</v>
      </c>
      <c r="B140" s="26">
        <v>17548.349999999999</v>
      </c>
      <c r="C140" s="31">
        <v>2.6149568157032219E-3</v>
      </c>
      <c r="D140" s="25">
        <v>160.21296176256305</v>
      </c>
      <c r="F140" s="23">
        <f t="shared" si="52"/>
        <v>42825</v>
      </c>
      <c r="I140" s="31"/>
      <c r="J140" s="24"/>
      <c r="K140" s="10"/>
      <c r="L140" s="31"/>
      <c r="M140" s="25"/>
      <c r="S140" s="9">
        <v>15.196203464402029</v>
      </c>
    </row>
    <row r="141" spans="1:19">
      <c r="A141" s="23">
        <v>42855</v>
      </c>
      <c r="B141" s="26">
        <v>17587.919999999998</v>
      </c>
      <c r="C141" s="31">
        <v>2.254912855054636E-3</v>
      </c>
      <c r="D141" s="25">
        <v>160.57422802958786</v>
      </c>
      <c r="F141" s="23">
        <f t="shared" si="52"/>
        <v>42855</v>
      </c>
      <c r="I141" s="31"/>
      <c r="J141" s="24"/>
      <c r="K141" s="10"/>
      <c r="L141" s="31"/>
      <c r="M141" s="25"/>
      <c r="S141" s="9" t="s">
        <v>43</v>
      </c>
    </row>
    <row r="142" spans="1:19">
      <c r="A142" s="23">
        <v>42886</v>
      </c>
      <c r="B142" s="26">
        <v>17630.79</v>
      </c>
      <c r="C142" s="31">
        <v>2.3588404299198615E-3</v>
      </c>
      <c r="D142" s="25">
        <v>160.96562264336987</v>
      </c>
      <c r="F142" s="23">
        <f t="shared" si="52"/>
        <v>42886</v>
      </c>
      <c r="I142" s="31"/>
      <c r="J142" s="24"/>
      <c r="K142" s="10"/>
      <c r="L142" s="31"/>
      <c r="M142" s="25"/>
      <c r="S142" s="9">
        <v>55.842163300000003</v>
      </c>
    </row>
    <row r="143" spans="1:19">
      <c r="A143" s="23">
        <v>42916</v>
      </c>
      <c r="B143" s="26">
        <v>17667.59</v>
      </c>
      <c r="C143" s="31">
        <v>2.0872575760926271E-3</v>
      </c>
      <c r="D143" s="25">
        <v>161.30159935872271</v>
      </c>
      <c r="F143" s="23">
        <f t="shared" si="52"/>
        <v>42916</v>
      </c>
      <c r="I143" s="31"/>
      <c r="J143" s="24"/>
      <c r="K143" s="10"/>
      <c r="L143" s="31"/>
      <c r="M143" s="25"/>
      <c r="S143" s="9" t="s">
        <v>44</v>
      </c>
    </row>
    <row r="144" spans="1:19">
      <c r="A144" s="23">
        <v>42947</v>
      </c>
      <c r="B144" s="26">
        <v>17705.689999999999</v>
      </c>
      <c r="C144" s="31">
        <v>2.0869268384615313E-3</v>
      </c>
      <c r="D144" s="25">
        <v>161.64944481673749</v>
      </c>
      <c r="F144" s="23">
        <f t="shared" si="52"/>
        <v>42947</v>
      </c>
      <c r="I144" s="31"/>
      <c r="J144" s="24"/>
      <c r="K144" s="10"/>
      <c r="L144" s="31"/>
      <c r="M144" s="25"/>
      <c r="S144" s="9">
        <v>11.007015949822962</v>
      </c>
    </row>
    <row r="145" spans="1:44">
      <c r="A145" s="23">
        <v>42978</v>
      </c>
      <c r="B145" s="26">
        <v>17743.830000000002</v>
      </c>
      <c r="C145" s="31">
        <v>2.0846223682533241E-3</v>
      </c>
      <c r="D145" s="25">
        <v>161.9976554668342</v>
      </c>
      <c r="F145" s="23">
        <f t="shared" si="52"/>
        <v>42978</v>
      </c>
      <c r="I145" s="31"/>
      <c r="J145" s="24"/>
      <c r="K145" s="10"/>
      <c r="L145" s="31"/>
      <c r="M145" s="25"/>
      <c r="S145" s="9" t="s">
        <v>45</v>
      </c>
    </row>
    <row r="146" spans="1:44">
      <c r="A146" s="23">
        <v>43008</v>
      </c>
      <c r="B146" s="26">
        <v>17780.7817</v>
      </c>
      <c r="C146" s="31">
        <v>2.0825098076344695E-3</v>
      </c>
      <c r="D146" s="25">
        <v>162.33501717315767</v>
      </c>
      <c r="F146" s="23">
        <v>43008</v>
      </c>
      <c r="I146" s="31"/>
      <c r="J146" s="24"/>
      <c r="K146" s="10"/>
      <c r="L146" s="31"/>
      <c r="M146" s="25"/>
      <c r="S146" s="9">
        <v>10.89562118293977</v>
      </c>
    </row>
    <row r="147" spans="1:44">
      <c r="A147" s="23">
        <v>43039</v>
      </c>
      <c r="B147" s="9">
        <v>17819.150000000001</v>
      </c>
      <c r="C147" s="31">
        <v>2.0882441238917289E-3</v>
      </c>
      <c r="D147" s="25">
        <v>162.68531215706184</v>
      </c>
      <c r="F147" s="23">
        <v>43039</v>
      </c>
      <c r="I147" s="31"/>
      <c r="J147" s="24"/>
      <c r="K147" s="10"/>
      <c r="L147" s="31"/>
      <c r="M147" s="25"/>
      <c r="S147" s="9" t="s">
        <v>46</v>
      </c>
    </row>
    <row r="148" spans="1:44">
      <c r="A148" s="23">
        <v>43069</v>
      </c>
      <c r="B148" s="9">
        <v>17856.32</v>
      </c>
      <c r="C148" s="31">
        <v>2.0859580844203585E-3</v>
      </c>
      <c r="D148" s="25">
        <v>163.0246668991723</v>
      </c>
      <c r="F148" s="23">
        <v>43069</v>
      </c>
      <c r="I148" s="31"/>
      <c r="J148" s="24"/>
      <c r="K148" s="10"/>
      <c r="L148" s="31"/>
      <c r="M148" s="25"/>
      <c r="S148" s="9">
        <v>32.858537383903929</v>
      </c>
      <c r="AR148" s="59"/>
    </row>
    <row r="149" spans="1:44">
      <c r="A149" s="23">
        <v>43100</v>
      </c>
      <c r="B149" s="9">
        <v>17872.439999999999</v>
      </c>
      <c r="C149" s="31">
        <v>8.7364025734307325E-4</v>
      </c>
      <c r="D149" s="25">
        <v>163.1718393081801</v>
      </c>
      <c r="F149" s="23">
        <v>43100</v>
      </c>
      <c r="I149" s="31"/>
      <c r="J149" s="24"/>
      <c r="K149" s="10"/>
      <c r="L149" s="31"/>
      <c r="M149" s="25"/>
      <c r="S149" s="9" t="s">
        <v>47</v>
      </c>
    </row>
    <row r="150" spans="1:44">
      <c r="A150" s="23">
        <v>43131</v>
      </c>
      <c r="B150" s="9">
        <v>17933.28</v>
      </c>
      <c r="C150" s="31">
        <v>3.2943134432030716E-3</v>
      </c>
      <c r="D150" s="25">
        <v>163.72729646475804</v>
      </c>
      <c r="F150" s="23">
        <v>43131</v>
      </c>
      <c r="I150" s="31"/>
      <c r="J150" s="24"/>
      <c r="K150" s="10"/>
      <c r="L150" s="31"/>
      <c r="M150" s="25"/>
      <c r="S150" s="9">
        <v>24.625442099408861</v>
      </c>
    </row>
    <row r="151" spans="1:44">
      <c r="A151" s="23">
        <v>43159</v>
      </c>
      <c r="B151" s="9">
        <v>17968.11</v>
      </c>
      <c r="C151" s="31">
        <v>2.0809275906504988E-3</v>
      </c>
      <c r="D151" s="25">
        <v>164.04528747007708</v>
      </c>
      <c r="F151" s="23">
        <v>43159</v>
      </c>
      <c r="I151" s="31"/>
      <c r="J151" s="24"/>
      <c r="K151" s="10"/>
      <c r="L151" s="31"/>
      <c r="M151" s="25"/>
    </row>
    <row r="152" spans="1:44">
      <c r="A152" s="23">
        <v>43190</v>
      </c>
      <c r="B152" s="9">
        <v>18006.830000000002</v>
      </c>
      <c r="C152" s="31">
        <v>2.0854150905095488E-3</v>
      </c>
      <c r="D152" s="25">
        <v>164.3987934053614</v>
      </c>
      <c r="F152" s="23">
        <v>43190</v>
      </c>
      <c r="I152" s="31"/>
      <c r="J152" s="24"/>
      <c r="K152" s="10"/>
      <c r="L152" s="31"/>
      <c r="M152" s="25"/>
      <c r="AD152" s="59"/>
      <c r="AE152" s="59"/>
      <c r="AF152" s="59"/>
      <c r="AG152" s="59"/>
      <c r="AH152" s="59"/>
      <c r="AI152" s="59"/>
      <c r="AJ152" s="59"/>
      <c r="AK152" s="59"/>
      <c r="AL152" s="59"/>
      <c r="AM152" s="59"/>
      <c r="AN152" s="59"/>
      <c r="AO152" s="59"/>
      <c r="AP152" s="59"/>
      <c r="AQ152" s="59"/>
    </row>
    <row r="153" spans="1:44">
      <c r="A153" s="23">
        <v>43220</v>
      </c>
      <c r="B153" s="9">
        <v>18044.25</v>
      </c>
      <c r="C153" s="31">
        <v>2.0781003652501351E-3</v>
      </c>
      <c r="D153" s="25">
        <v>164.74043059798379</v>
      </c>
      <c r="F153" s="23">
        <v>43220</v>
      </c>
      <c r="I153" s="31"/>
      <c r="J153" s="24"/>
      <c r="K153" s="10"/>
      <c r="L153" s="31"/>
      <c r="M153" s="25"/>
    </row>
    <row r="154" spans="1:44">
      <c r="A154" s="23">
        <v>43251</v>
      </c>
      <c r="B154" s="24">
        <v>18082.87</v>
      </c>
      <c r="C154" s="31">
        <v>2.0712522575549652E-3</v>
      </c>
      <c r="D154" s="25">
        <v>165.09302355306332</v>
      </c>
      <c r="F154" s="23">
        <v>43251</v>
      </c>
      <c r="I154" s="31"/>
      <c r="J154" s="24"/>
      <c r="K154" s="10"/>
      <c r="L154" s="31"/>
      <c r="M154" s="25"/>
    </row>
    <row r="155" spans="1:44">
      <c r="A155" s="23">
        <v>43281</v>
      </c>
      <c r="B155" s="25">
        <v>18120.622499999998</v>
      </c>
      <c r="C155" s="31">
        <v>2.0877493450983664E-3</v>
      </c>
      <c r="D155" s="25">
        <v>165.43769640486653</v>
      </c>
      <c r="F155" s="23">
        <v>43281</v>
      </c>
      <c r="I155" s="31"/>
      <c r="J155" s="24"/>
      <c r="L155" s="31"/>
      <c r="M155" s="25"/>
    </row>
    <row r="156" spans="1:44">
      <c r="A156" s="23">
        <v>43312</v>
      </c>
      <c r="B156" s="24">
        <v>18159.66</v>
      </c>
      <c r="C156" s="31">
        <v>2.0848194263996837E-3</v>
      </c>
      <c r="D156" s="25">
        <v>165.79410105230099</v>
      </c>
      <c r="F156" s="23">
        <v>43312</v>
      </c>
      <c r="I156" s="31"/>
      <c r="J156" s="24"/>
      <c r="L156" s="31"/>
      <c r="M156" s="25"/>
    </row>
    <row r="157" spans="1:44">
      <c r="A157" s="23">
        <v>43343</v>
      </c>
      <c r="B157" s="24">
        <v>18198.62</v>
      </c>
      <c r="C157" s="31">
        <v>2.0762076936710386E-3</v>
      </c>
      <c r="D157" s="25">
        <v>166.14979814007674</v>
      </c>
      <c r="F157" s="23">
        <v>43343</v>
      </c>
      <c r="I157" s="31"/>
      <c r="J157" s="24"/>
      <c r="L157" s="31"/>
      <c r="M157" s="25"/>
    </row>
    <row r="158" spans="1:44">
      <c r="A158" s="23">
        <v>43373</v>
      </c>
      <c r="B158" s="72">
        <v>18235.900000000001</v>
      </c>
      <c r="C158" s="31">
        <v>2.0485069747047113E-3</v>
      </c>
      <c r="D158" s="25">
        <v>166.49015716041248</v>
      </c>
      <c r="F158" s="23">
        <v>43373</v>
      </c>
      <c r="I158" s="31"/>
      <c r="J158" s="24"/>
      <c r="L158" s="31"/>
      <c r="M158" s="25"/>
    </row>
    <row r="159" spans="1:44">
      <c r="A159" s="23">
        <v>43404</v>
      </c>
      <c r="B159" s="9">
        <v>18277.400000000001</v>
      </c>
      <c r="C159" s="31">
        <v>2.2023201664069722E-3</v>
      </c>
      <c r="D159" s="25">
        <v>166.86904394538919</v>
      </c>
      <c r="F159" s="23">
        <v>43404</v>
      </c>
      <c r="I159" s="31"/>
      <c r="J159" s="24"/>
      <c r="K159" s="9">
        <v>4807.6121000000003</v>
      </c>
      <c r="L159" s="31"/>
      <c r="M159" s="25"/>
    </row>
    <row r="160" spans="1:44">
      <c r="A160" s="23">
        <v>43434</v>
      </c>
      <c r="B160" s="25">
        <v>18319.310000000001</v>
      </c>
      <c r="C160" s="31">
        <v>2.2929957214921082E-3</v>
      </c>
      <c r="D160" s="25">
        <v>167.25167394920547</v>
      </c>
      <c r="F160" s="23">
        <v>43434</v>
      </c>
      <c r="I160" s="31"/>
      <c r="J160" s="24"/>
      <c r="K160" s="24">
        <v>4812.5415000000003</v>
      </c>
      <c r="L160" s="31"/>
      <c r="M160" s="25"/>
    </row>
    <row r="161" spans="1:18">
      <c r="A161" s="23">
        <v>43465</v>
      </c>
      <c r="B161" s="9">
        <v>18362.684000000001</v>
      </c>
      <c r="C161" s="31">
        <v>2.2912892848953219E-3</v>
      </c>
      <c r="D161" s="25"/>
      <c r="F161" s="23">
        <v>43465</v>
      </c>
      <c r="I161" s="31"/>
      <c r="J161" s="24"/>
      <c r="K161" s="24">
        <v>4819.2415000000001</v>
      </c>
      <c r="L161" s="31"/>
      <c r="M161" s="25"/>
    </row>
    <row r="162" spans="1:18">
      <c r="A162" s="23">
        <v>43496</v>
      </c>
      <c r="B162" s="9">
        <v>18407.689999999999</v>
      </c>
      <c r="C162" s="31">
        <v>2.3718860243080522E-3</v>
      </c>
      <c r="D162" s="25"/>
      <c r="F162" s="23">
        <v>43496</v>
      </c>
      <c r="I162" s="31"/>
      <c r="J162" s="24"/>
      <c r="K162" s="9">
        <v>4825.82</v>
      </c>
      <c r="L162" s="31"/>
      <c r="M162" s="25"/>
    </row>
    <row r="163" spans="1:18">
      <c r="A163" s="23">
        <v>43524</v>
      </c>
      <c r="B163" s="9">
        <v>18449.16</v>
      </c>
      <c r="C163" s="31">
        <v>2.4137815693954707E-3</v>
      </c>
      <c r="D163" s="25"/>
      <c r="F163" s="23">
        <v>43524</v>
      </c>
      <c r="I163" s="31"/>
      <c r="J163" s="24"/>
      <c r="K163" s="9">
        <v>4832.1058000000003</v>
      </c>
      <c r="L163" s="31"/>
      <c r="M163" s="25"/>
    </row>
    <row r="164" spans="1:18">
      <c r="A164" s="23">
        <v>43555</v>
      </c>
      <c r="B164" s="9">
        <v>18496.82</v>
      </c>
      <c r="C164" s="31">
        <v>2.4999826900066083E-3</v>
      </c>
      <c r="D164" s="25"/>
      <c r="F164" s="23">
        <v>43555</v>
      </c>
      <c r="I164" s="31"/>
      <c r="J164" s="24"/>
      <c r="K164" s="24">
        <v>4839.1072999999997</v>
      </c>
      <c r="L164" s="31"/>
      <c r="M164" s="25"/>
    </row>
    <row r="165" spans="1:18">
      <c r="A165" s="23">
        <v>43585</v>
      </c>
      <c r="B165" s="9">
        <v>18543.07</v>
      </c>
      <c r="C165" s="31">
        <v>2.5004298036095385E-3</v>
      </c>
      <c r="D165" s="73"/>
      <c r="F165" s="23">
        <v>43585</v>
      </c>
      <c r="I165" s="31"/>
      <c r="J165" s="24"/>
      <c r="K165" s="24">
        <v>4845.9628000000002</v>
      </c>
      <c r="L165" s="31"/>
      <c r="M165" s="25"/>
    </row>
    <row r="166" spans="1:18">
      <c r="A166" s="23">
        <v>43616</v>
      </c>
      <c r="B166" s="9">
        <v>18591.02</v>
      </c>
      <c r="C166" s="31">
        <v>2.5024564867873636E-3</v>
      </c>
      <c r="D166" s="73"/>
      <c r="F166" s="23">
        <v>43616</v>
      </c>
      <c r="I166" s="31"/>
      <c r="J166" s="24"/>
      <c r="K166" s="24">
        <v>4852.5891000000001</v>
      </c>
      <c r="L166" s="31"/>
      <c r="M166" s="25"/>
    </row>
    <row r="167" spans="1:18">
      <c r="A167" s="23">
        <v>43646</v>
      </c>
      <c r="B167" s="9">
        <v>18632.310000000001</v>
      </c>
      <c r="C167" s="31">
        <v>2.2209647453448333E-3</v>
      </c>
      <c r="D167" s="73"/>
      <c r="F167" s="23">
        <v>43646</v>
      </c>
      <c r="I167" s="31"/>
      <c r="J167" s="24"/>
      <c r="K167" s="9">
        <v>4858.4076999999997</v>
      </c>
      <c r="L167" s="31"/>
      <c r="M167" s="25"/>
    </row>
    <row r="168" spans="1:18">
      <c r="A168" s="23">
        <v>43677</v>
      </c>
      <c r="B168" s="9">
        <v>18672.310000000001</v>
      </c>
      <c r="C168" s="31">
        <v>2.0775565358966928E-3</v>
      </c>
      <c r="D168" s="73"/>
      <c r="F168" s="23">
        <v>43677</v>
      </c>
      <c r="I168" s="31"/>
      <c r="J168" s="24"/>
      <c r="K168" s="9">
        <v>4863.4466000000002</v>
      </c>
      <c r="L168" s="31"/>
      <c r="M168" s="25"/>
    </row>
    <row r="169" spans="1:18">
      <c r="A169" s="23">
        <v>43708</v>
      </c>
      <c r="B169" s="9">
        <v>18712.55</v>
      </c>
      <c r="C169" s="31">
        <v>2.0855446103813656E-3</v>
      </c>
      <c r="D169" s="73"/>
      <c r="F169" s="23">
        <v>43708</v>
      </c>
      <c r="I169" s="31"/>
      <c r="J169" s="24"/>
      <c r="K169" s="9">
        <v>4868.1252999999997</v>
      </c>
      <c r="L169" s="31"/>
      <c r="M169" s="25"/>
    </row>
    <row r="170" spans="1:18">
      <c r="A170" s="23">
        <v>43738</v>
      </c>
      <c r="B170" s="9">
        <v>18744.77</v>
      </c>
      <c r="C170" s="31">
        <v>1.7218390866022837E-3</v>
      </c>
      <c r="D170" s="73"/>
      <c r="F170" s="23">
        <v>43738</v>
      </c>
      <c r="I170" s="31"/>
      <c r="J170" s="24"/>
      <c r="K170" s="9">
        <v>4873.326</v>
      </c>
      <c r="L170" s="31"/>
      <c r="M170" s="25"/>
    </row>
    <row r="171" spans="1:18">
      <c r="A171" s="23">
        <v>43769</v>
      </c>
      <c r="B171" s="9">
        <v>18776.101999999999</v>
      </c>
      <c r="C171" s="31">
        <v>1.6175866827163087E-3</v>
      </c>
      <c r="D171" s="73"/>
      <c r="F171" s="23">
        <v>43769</v>
      </c>
      <c r="I171" s="31"/>
      <c r="J171" s="24"/>
      <c r="K171" s="9">
        <v>4876.4951000000001</v>
      </c>
      <c r="L171" s="31"/>
      <c r="M171" s="25"/>
    </row>
    <row r="172" spans="1:18">
      <c r="A172" s="23">
        <v>43799</v>
      </c>
      <c r="B172" s="9">
        <v>18802.79</v>
      </c>
      <c r="C172" s="31">
        <v>1.4213812856365138E-3</v>
      </c>
      <c r="D172" s="73"/>
      <c r="F172" s="23">
        <v>43799</v>
      </c>
      <c r="I172" s="31"/>
      <c r="J172" s="24"/>
      <c r="K172" s="9">
        <v>4879.8683000000001</v>
      </c>
      <c r="L172" s="31"/>
      <c r="M172" s="25"/>
    </row>
    <row r="173" spans="1:18">
      <c r="A173" s="23">
        <v>43830</v>
      </c>
      <c r="B173" s="9">
        <v>18830.68</v>
      </c>
      <c r="C173" s="31">
        <v>1.435442430652211E-3</v>
      </c>
      <c r="D173" s="73"/>
      <c r="F173" s="23">
        <v>43830</v>
      </c>
      <c r="I173" s="31"/>
      <c r="J173" s="24"/>
      <c r="K173" s="9">
        <v>4882.8959000000004</v>
      </c>
      <c r="L173" s="31"/>
      <c r="M173" s="25"/>
    </row>
    <row r="174" spans="1:18">
      <c r="A174" s="23">
        <v>43861</v>
      </c>
      <c r="B174" s="9">
        <v>18861.86</v>
      </c>
      <c r="C174" s="31">
        <v>1.6023953223350568E-3</v>
      </c>
      <c r="D174" s="73"/>
      <c r="F174" s="23">
        <v>43861</v>
      </c>
      <c r="I174" s="31"/>
      <c r="J174" s="24"/>
      <c r="K174" s="9">
        <v>4885.3887000000004</v>
      </c>
      <c r="L174" s="31"/>
      <c r="M174" s="25"/>
    </row>
    <row r="175" spans="1:18">
      <c r="A175" s="23">
        <v>43890</v>
      </c>
      <c r="B175" s="9">
        <v>18887.886699999999</v>
      </c>
      <c r="C175" s="31">
        <v>1.4274399456784069E-3</v>
      </c>
      <c r="D175" s="73"/>
      <c r="F175" s="23">
        <v>43890</v>
      </c>
      <c r="I175" s="31"/>
      <c r="J175" s="24"/>
      <c r="K175" s="9">
        <v>4887.7164000000002</v>
      </c>
      <c r="L175" s="31"/>
      <c r="M175" s="25"/>
      <c r="Q175" s="23"/>
    </row>
    <row r="176" spans="1:18">
      <c r="A176" s="23">
        <v>43921</v>
      </c>
      <c r="B176" s="9">
        <v>18908.77</v>
      </c>
      <c r="C176" s="31">
        <v>1.0971343018007309E-3</v>
      </c>
      <c r="D176" s="73"/>
      <c r="F176" s="23">
        <v>43921</v>
      </c>
      <c r="I176" s="31"/>
      <c r="J176" s="24"/>
      <c r="K176" s="9">
        <v>4892.3527999999997</v>
      </c>
      <c r="L176" s="31"/>
      <c r="M176" s="25"/>
      <c r="Q176" s="23"/>
      <c r="R176" s="65"/>
    </row>
    <row r="177" spans="1:17">
      <c r="A177" s="23">
        <v>43951</v>
      </c>
      <c r="B177" s="9">
        <v>18917.93</v>
      </c>
      <c r="C177" s="31">
        <f t="shared" ref="C177:C218" si="53">(B177/B176-1)/(A177-A176)*30</f>
        <v>4.8443129828124043E-4</v>
      </c>
      <c r="D177" s="25">
        <v>100</v>
      </c>
      <c r="F177" s="23">
        <v>43951</v>
      </c>
      <c r="G177" s="10">
        <v>1000.016</v>
      </c>
      <c r="H177" s="10">
        <f t="shared" ref="H177:H184" si="54">+G177</f>
        <v>1000.016</v>
      </c>
      <c r="I177" s="31"/>
      <c r="J177" s="24">
        <v>100</v>
      </c>
      <c r="K177" s="9">
        <v>4903.1163999999999</v>
      </c>
      <c r="L177" s="31"/>
      <c r="M177" s="25">
        <v>100</v>
      </c>
      <c r="Q177" s="66"/>
    </row>
    <row r="178" spans="1:17">
      <c r="A178" s="23">
        <v>43982</v>
      </c>
      <c r="B178" s="9">
        <v>18925.240000000002</v>
      </c>
      <c r="C178" s="31">
        <f t="shared" si="53"/>
        <v>3.739412054273234E-4</v>
      </c>
      <c r="D178" s="25">
        <f>+D177*(1+C178)</f>
        <v>100.03739412054273</v>
      </c>
      <c r="F178" s="23">
        <v>43982</v>
      </c>
      <c r="G178" s="10">
        <v>1001.8702</v>
      </c>
      <c r="H178" s="10">
        <f t="shared" si="54"/>
        <v>1001.8702</v>
      </c>
      <c r="I178" s="31">
        <f>+(H178/H177-1)/(F178-F177)*30</f>
        <v>1.7943583870399533E-3</v>
      </c>
      <c r="J178" s="24">
        <f>+J177*(1+I178)</f>
        <v>100.17943583870399</v>
      </c>
      <c r="K178" s="9">
        <v>4903.9022500000001</v>
      </c>
      <c r="L178" s="31">
        <f>+(K178/K177-1)/(F178-F177)*30</f>
        <v>1.5510543457630094E-4</v>
      </c>
      <c r="M178" s="25">
        <f>+M177*(1+L178)</f>
        <v>100.01551054345764</v>
      </c>
      <c r="Q178" s="66"/>
    </row>
    <row r="179" spans="1:17">
      <c r="A179" s="23">
        <v>44012</v>
      </c>
      <c r="B179" s="9">
        <v>18932.63</v>
      </c>
      <c r="C179" s="31">
        <f t="shared" si="53"/>
        <v>3.904838194919158E-4</v>
      </c>
      <c r="D179" s="25">
        <f>+D178*(1+C179)</f>
        <v>100.07645710429094</v>
      </c>
      <c r="F179" s="23">
        <v>44012</v>
      </c>
      <c r="G179" s="10">
        <v>1004.7359</v>
      </c>
      <c r="H179" s="10">
        <f t="shared" si="54"/>
        <v>1004.7359</v>
      </c>
      <c r="I179" s="31">
        <f>+(H179/H178-1)/(F179-F178)*30</f>
        <v>2.8603505723596712E-3</v>
      </c>
      <c r="J179" s="24">
        <f t="shared" ref="J179:J202" si="55">+J178*(1+I179)</f>
        <v>100.4659841453439</v>
      </c>
      <c r="K179" s="9">
        <v>4904.6881000000003</v>
      </c>
      <c r="L179" s="31">
        <f>+(K179/K178-1)/(F179-F178)*30</f>
        <v>1.6024993157248701E-4</v>
      </c>
      <c r="M179" s="25">
        <f t="shared" ref="M179:M202" si="56">+M178*(1+L179)</f>
        <v>100.03153802217841</v>
      </c>
    </row>
    <row r="180" spans="1:17">
      <c r="A180" s="23">
        <v>44043</v>
      </c>
      <c r="B180" s="9">
        <v>18940.740000000002</v>
      </c>
      <c r="C180" s="31">
        <f t="shared" si="53"/>
        <v>4.1454288689821064E-4</v>
      </c>
      <c r="D180" s="25">
        <f t="shared" ref="D180:D218" si="57">+D179*(1+C180)</f>
        <v>100.1179430877295</v>
      </c>
      <c r="F180" s="23">
        <v>44043</v>
      </c>
      <c r="G180" s="10">
        <v>1007.1167</v>
      </c>
      <c r="H180" s="10">
        <f t="shared" si="54"/>
        <v>1007.1167</v>
      </c>
      <c r="I180" s="31">
        <f>+(H180/H179-1)/(F180-F179)*30</f>
        <v>2.2931399186591895E-3</v>
      </c>
      <c r="J180" s="24">
        <f t="shared" si="55"/>
        <v>100.69636670405497</v>
      </c>
      <c r="K180" s="9">
        <v>4905.1791000000003</v>
      </c>
      <c r="L180" s="31">
        <f>+(K180/K179-1)/(F180-F179)*30</f>
        <v>9.6879002422644068E-5</v>
      </c>
      <c r="M180" s="25">
        <f t="shared" si="56"/>
        <v>100.04122897779281</v>
      </c>
    </row>
    <row r="181" spans="1:17">
      <c r="A181" s="23">
        <v>44074</v>
      </c>
      <c r="B181" s="9">
        <v>18948.689999999999</v>
      </c>
      <c r="C181" s="31">
        <f t="shared" si="53"/>
        <v>4.0619048606831625E-4</v>
      </c>
      <c r="D181" s="25">
        <f t="shared" si="57"/>
        <v>100.15861004369647</v>
      </c>
      <c r="F181" s="23">
        <v>44074</v>
      </c>
      <c r="G181" s="10">
        <v>1009.1755000000001</v>
      </c>
      <c r="H181" s="10">
        <f t="shared" si="54"/>
        <v>1009.1755000000001</v>
      </c>
      <c r="I181" s="31">
        <f>+(H181/H180-1)/(F181-F180)*30</f>
        <v>1.9783080717201483E-3</v>
      </c>
      <c r="J181" s="24">
        <f t="shared" si="55"/>
        <v>100.8955751390985</v>
      </c>
      <c r="K181" s="9">
        <v>4906.1183000000001</v>
      </c>
      <c r="L181" s="31">
        <f>+(K181/K180-1)/(F181-F180)*30</f>
        <v>1.8529460541132214E-4</v>
      </c>
      <c r="M181" s="25">
        <f t="shared" si="56"/>
        <v>100.05976607784112</v>
      </c>
    </row>
    <row r="182" spans="1:17">
      <c r="A182" s="23">
        <v>44104</v>
      </c>
      <c r="B182" s="9">
        <v>18956.169999999998</v>
      </c>
      <c r="C182" s="31">
        <f t="shared" si="53"/>
        <v>3.9475024394830527E-4</v>
      </c>
      <c r="D182" s="25">
        <f t="shared" si="57"/>
        <v>100.19814767944474</v>
      </c>
      <c r="F182" s="23">
        <v>44104</v>
      </c>
      <c r="G182" s="10">
        <v>1011.6004</v>
      </c>
      <c r="H182" s="10">
        <f t="shared" si="54"/>
        <v>1011.6004</v>
      </c>
      <c r="I182" s="31">
        <f>+(H182/H181-1)/(F182-F181)*30</f>
        <v>2.4028526257324767E-3</v>
      </c>
      <c r="J182" s="24">
        <f t="shared" si="55"/>
        <v>101.13801233674627</v>
      </c>
      <c r="K182" s="9">
        <v>4906.4660000000003</v>
      </c>
      <c r="L182" s="31">
        <f>+(K182/K181-1)/(F182-F181)*30</f>
        <v>7.0870692213009789E-5</v>
      </c>
      <c r="M182" s="25">
        <f t="shared" si="56"/>
        <v>100.06685738272573</v>
      </c>
    </row>
    <row r="183" spans="1:17">
      <c r="A183" s="23">
        <v>44135</v>
      </c>
      <c r="B183" s="9">
        <v>18963.23</v>
      </c>
      <c r="C183" s="31">
        <f t="shared" si="53"/>
        <v>3.6042397090336884E-4</v>
      </c>
      <c r="D183" s="25">
        <f t="shared" si="57"/>
        <v>100.23426149370853</v>
      </c>
      <c r="F183" s="23">
        <v>44135</v>
      </c>
      <c r="G183" s="10">
        <v>1014.3108999999999</v>
      </c>
      <c r="H183" s="10">
        <f t="shared" si="54"/>
        <v>1014.3108999999999</v>
      </c>
      <c r="I183" s="31">
        <f t="shared" ref="I183:I202" si="58">+(H183/H182-1)/(F183-F182)*30</f>
        <v>2.5929848546214821E-3</v>
      </c>
      <c r="J183" s="24">
        <f t="shared" si="55"/>
        <v>101.40026167096198</v>
      </c>
      <c r="K183" s="9">
        <v>4906.7963</v>
      </c>
      <c r="L183" s="31">
        <f t="shared" ref="L183:L202" si="59">+(K183/K182-1)/(F183-F182)*30</f>
        <v>6.5147737962569353E-5</v>
      </c>
      <c r="M183" s="25">
        <f t="shared" si="56"/>
        <v>100.07337651212923</v>
      </c>
    </row>
    <row r="184" spans="1:17">
      <c r="A184" s="23">
        <v>44165</v>
      </c>
      <c r="B184" s="9">
        <v>18969.48</v>
      </c>
      <c r="C184" s="31">
        <f t="shared" si="53"/>
        <v>3.2958520252091006E-4</v>
      </c>
      <c r="D184" s="25">
        <f t="shared" si="57"/>
        <v>100.26729722308247</v>
      </c>
      <c r="F184" s="23">
        <v>44165</v>
      </c>
      <c r="G184" s="10">
        <v>1016.8401</v>
      </c>
      <c r="H184" s="10">
        <f t="shared" si="54"/>
        <v>1016.8401</v>
      </c>
      <c r="I184" s="31">
        <f t="shared" si="58"/>
        <v>2.4935155483394311E-3</v>
      </c>
      <c r="J184" s="24">
        <f t="shared" si="55"/>
        <v>101.65310480004422</v>
      </c>
      <c r="K184" s="9">
        <v>4907.0953</v>
      </c>
      <c r="L184" s="31">
        <f t="shared" si="59"/>
        <v>6.0935890083824162E-5</v>
      </c>
      <c r="M184" s="25">
        <f t="shared" si="56"/>
        <v>100.07947457240068</v>
      </c>
    </row>
    <row r="185" spans="1:17">
      <c r="A185" s="23">
        <v>44196</v>
      </c>
      <c r="B185" s="9">
        <v>18976.88</v>
      </c>
      <c r="C185" s="31">
        <f t="shared" si="53"/>
        <v>3.7751642757640868E-4</v>
      </c>
      <c r="D185" s="25">
        <f t="shared" si="57"/>
        <v>100.30514977493286</v>
      </c>
      <c r="F185" s="23">
        <v>44196</v>
      </c>
      <c r="G185" s="10">
        <v>1007.9452</v>
      </c>
      <c r="H185" s="10">
        <f>+G185+$S$144</f>
        <v>1018.952215949823</v>
      </c>
      <c r="I185" s="31">
        <f t="shared" si="58"/>
        <v>2.0101323475029526E-3</v>
      </c>
      <c r="J185" s="24">
        <f t="shared" si="55"/>
        <v>101.85744099422691</v>
      </c>
      <c r="K185" s="9">
        <v>4907.3927999999996</v>
      </c>
      <c r="L185" s="31">
        <f t="shared" si="59"/>
        <v>5.8670803847292406E-5</v>
      </c>
      <c r="M185" s="25">
        <f t="shared" si="56"/>
        <v>100.08534631562246</v>
      </c>
    </row>
    <row r="186" spans="1:17">
      <c r="A186" s="23">
        <v>44227</v>
      </c>
      <c r="B186" s="9">
        <v>18982.04</v>
      </c>
      <c r="C186" s="31">
        <f t="shared" si="53"/>
        <v>2.6313853421082938E-4</v>
      </c>
      <c r="D186" s="25">
        <f t="shared" si="57"/>
        <v>100.33154392501844</v>
      </c>
      <c r="F186" s="23">
        <v>44227</v>
      </c>
      <c r="G186" s="10">
        <v>1009.9216</v>
      </c>
      <c r="H186" s="10">
        <f t="shared" ref="H186:H196" si="60">+G186+$S$144</f>
        <v>1020.928615949823</v>
      </c>
      <c r="I186" s="31">
        <f t="shared" si="58"/>
        <v>1.8770705155269152E-3</v>
      </c>
      <c r="J186" s="24">
        <f t="shared" si="55"/>
        <v>102.04863459350419</v>
      </c>
      <c r="K186" s="9">
        <v>4907.6377000000002</v>
      </c>
      <c r="L186" s="31">
        <f t="shared" si="59"/>
        <v>4.8294483376269819E-5</v>
      </c>
      <c r="M186" s="25">
        <f t="shared" si="56"/>
        <v>100.0901798857163</v>
      </c>
    </row>
    <row r="187" spans="1:17">
      <c r="A187" s="23">
        <v>44255</v>
      </c>
      <c r="B187" s="9">
        <v>18986.580000000002</v>
      </c>
      <c r="C187" s="31">
        <f t="shared" si="53"/>
        <v>2.562572681485964E-4</v>
      </c>
      <c r="D187" s="25">
        <f t="shared" si="57"/>
        <v>100.35725461237379</v>
      </c>
      <c r="F187" s="23">
        <v>44255</v>
      </c>
      <c r="G187" s="10">
        <v>1011.5947</v>
      </c>
      <c r="H187" s="10">
        <f t="shared" si="60"/>
        <v>1022.601715949823</v>
      </c>
      <c r="I187" s="31">
        <f t="shared" si="58"/>
        <v>1.7558594350783727E-3</v>
      </c>
      <c r="J187" s="24">
        <f t="shared" si="55"/>
        <v>102.22781765139206</v>
      </c>
      <c r="K187" s="9">
        <v>4907.9052000000001</v>
      </c>
      <c r="L187" s="31">
        <f t="shared" si="59"/>
        <v>5.8400224380226818E-5</v>
      </c>
      <c r="M187" s="25">
        <f t="shared" si="56"/>
        <v>100.09602517467988</v>
      </c>
    </row>
    <row r="188" spans="1:17">
      <c r="A188" s="23">
        <v>44286</v>
      </c>
      <c r="B188" s="25">
        <v>18991.5</v>
      </c>
      <c r="C188" s="31">
        <f t="shared" si="53"/>
        <v>2.5077135126901301E-4</v>
      </c>
      <c r="D188" s="25">
        <f t="shared" si="57"/>
        <v>100.38242133672259</v>
      </c>
      <c r="F188" s="23">
        <v>44286</v>
      </c>
      <c r="G188" s="10">
        <v>1013.1785</v>
      </c>
      <c r="H188" s="10">
        <f t="shared" si="60"/>
        <v>1024.185515949823</v>
      </c>
      <c r="I188" s="31">
        <f t="shared" si="58"/>
        <v>1.4988334690947368E-3</v>
      </c>
      <c r="J188" s="24">
        <f t="shared" si="55"/>
        <v>102.38104012596047</v>
      </c>
      <c r="K188" s="9">
        <v>4908.1704</v>
      </c>
      <c r="L188" s="31">
        <f t="shared" si="59"/>
        <v>5.229220020180354E-5</v>
      </c>
      <c r="M188" s="25">
        <f t="shared" si="56"/>
        <v>100.10125941606772</v>
      </c>
    </row>
    <row r="189" spans="1:17">
      <c r="A189" s="23">
        <v>44316</v>
      </c>
      <c r="B189" s="9">
        <v>18997.09</v>
      </c>
      <c r="C189" s="31">
        <f t="shared" si="53"/>
        <v>2.943422057235523E-4</v>
      </c>
      <c r="D189" s="25">
        <f t="shared" si="57"/>
        <v>100.41196812003471</v>
      </c>
      <c r="F189" s="23">
        <v>44316</v>
      </c>
      <c r="G189" s="10">
        <v>1014.7514</v>
      </c>
      <c r="H189" s="10">
        <f t="shared" si="60"/>
        <v>1025.7584159498228</v>
      </c>
      <c r="I189" s="31">
        <f t="shared" si="58"/>
        <v>1.5357569263623194E-3</v>
      </c>
      <c r="J189" s="24">
        <f t="shared" si="55"/>
        <v>102.53827251746209</v>
      </c>
      <c r="K189" s="9">
        <v>4908.4956000000002</v>
      </c>
      <c r="L189" s="31">
        <f t="shared" si="59"/>
        <v>6.6256868343383957E-5</v>
      </c>
      <c r="M189" s="25">
        <f t="shared" si="56"/>
        <v>100.10789181203386</v>
      </c>
    </row>
    <row r="190" spans="1:17">
      <c r="A190" s="23">
        <v>44347</v>
      </c>
      <c r="B190" s="9">
        <v>19001.7</v>
      </c>
      <c r="C190" s="31">
        <f t="shared" si="53"/>
        <v>2.3484072153063233E-4</v>
      </c>
      <c r="D190" s="25">
        <f t="shared" si="57"/>
        <v>100.43554893907834</v>
      </c>
      <c r="F190" s="23">
        <v>44347</v>
      </c>
      <c r="G190" s="10">
        <v>1016.5706</v>
      </c>
      <c r="H190" s="10">
        <f t="shared" si="60"/>
        <v>1027.577615949823</v>
      </c>
      <c r="I190" s="31">
        <f t="shared" si="58"/>
        <v>1.7163067849676741E-3</v>
      </c>
      <c r="J190" s="24">
        <f t="shared" si="55"/>
        <v>102.71425965030268</v>
      </c>
      <c r="K190" s="9">
        <v>4908.7905000000001</v>
      </c>
      <c r="L190" s="31">
        <f t="shared" si="59"/>
        <v>5.8141459223029576E-5</v>
      </c>
      <c r="M190" s="25">
        <f t="shared" si="56"/>
        <v>100.11371223094356</v>
      </c>
    </row>
    <row r="191" spans="1:17">
      <c r="A191" s="23">
        <v>44377</v>
      </c>
      <c r="B191" s="9">
        <v>19006.88</v>
      </c>
      <c r="C191" s="31">
        <f t="shared" si="53"/>
        <v>2.7260718777788462E-4</v>
      </c>
      <c r="D191" s="25">
        <f t="shared" si="57"/>
        <v>100.46292839162756</v>
      </c>
      <c r="F191" s="23">
        <v>44377</v>
      </c>
      <c r="G191" s="10">
        <v>1018.052</v>
      </c>
      <c r="H191" s="10">
        <f t="shared" si="60"/>
        <v>1029.0590159498229</v>
      </c>
      <c r="I191" s="31">
        <f t="shared" si="58"/>
        <v>1.4416429250754259E-3</v>
      </c>
      <c r="J191" s="24">
        <f t="shared" si="55"/>
        <v>102.86233693603189</v>
      </c>
      <c r="K191" s="9">
        <v>4909.0847000000003</v>
      </c>
      <c r="L191" s="31">
        <f t="shared" si="59"/>
        <v>5.9933297214431747E-5</v>
      </c>
      <c r="M191" s="25">
        <f t="shared" si="56"/>
        <v>100.11971237581393</v>
      </c>
    </row>
    <row r="192" spans="1:17">
      <c r="A192" s="23">
        <v>44408</v>
      </c>
      <c r="B192" s="9">
        <v>19016.419999999998</v>
      </c>
      <c r="C192" s="31">
        <f t="shared" si="53"/>
        <v>4.8573243291442333E-4</v>
      </c>
      <c r="D192" s="25">
        <f t="shared" si="57"/>
        <v>100.51172649425293</v>
      </c>
      <c r="F192" s="23">
        <v>44408</v>
      </c>
      <c r="G192" s="10">
        <v>1019.8124</v>
      </c>
      <c r="H192" s="10">
        <f t="shared" si="60"/>
        <v>1030.819415949823</v>
      </c>
      <c r="I192" s="31">
        <f t="shared" si="58"/>
        <v>1.6555055412964714E-3</v>
      </c>
      <c r="J192" s="24">
        <f t="shared" si="55"/>
        <v>103.03262610482021</v>
      </c>
      <c r="K192" s="9">
        <v>4909.3885</v>
      </c>
      <c r="L192" s="31">
        <f t="shared" si="59"/>
        <v>5.9888964637381502E-5</v>
      </c>
      <c r="M192" s="25">
        <f t="shared" si="56"/>
        <v>100.12570844172792</v>
      </c>
    </row>
    <row r="193" spans="1:13">
      <c r="A193" s="23">
        <v>44439</v>
      </c>
      <c r="B193" s="9">
        <v>19028.38</v>
      </c>
      <c r="C193" s="31">
        <f t="shared" si="53"/>
        <v>6.0864208659629974E-4</v>
      </c>
      <c r="D193" s="25">
        <f t="shared" si="57"/>
        <v>100.57290216119378</v>
      </c>
      <c r="F193" s="23">
        <v>44439</v>
      </c>
      <c r="G193" s="10">
        <v>1021.0467</v>
      </c>
      <c r="H193" s="10">
        <f t="shared" si="60"/>
        <v>1032.0537159498228</v>
      </c>
      <c r="I193" s="31">
        <f t="shared" si="58"/>
        <v>1.1587712187852777E-3</v>
      </c>
      <c r="J193" s="24">
        <f t="shared" si="55"/>
        <v>103.15201734654634</v>
      </c>
      <c r="K193" s="9">
        <v>4909.6931000000004</v>
      </c>
      <c r="L193" s="31">
        <f t="shared" si="59"/>
        <v>6.0042955155997608E-5</v>
      </c>
      <c r="M193" s="25">
        <f t="shared" si="56"/>
        <v>100.13172028514985</v>
      </c>
    </row>
    <row r="194" spans="1:13">
      <c r="A194" s="23">
        <v>44469</v>
      </c>
      <c r="B194" s="9">
        <v>19052.12</v>
      </c>
      <c r="C194" s="31">
        <f t="shared" si="53"/>
        <v>1.2476101486305069E-3</v>
      </c>
      <c r="D194" s="25">
        <f t="shared" si="57"/>
        <v>100.69837793460731</v>
      </c>
      <c r="F194" s="23">
        <v>44469</v>
      </c>
      <c r="G194" s="10">
        <v>1022.6123</v>
      </c>
      <c r="H194" s="10">
        <f t="shared" si="60"/>
        <v>1033.619315949823</v>
      </c>
      <c r="I194" s="31">
        <f t="shared" si="58"/>
        <v>1.5169753044872447E-3</v>
      </c>
      <c r="J194" s="24">
        <f t="shared" si="55"/>
        <v>103.3084964094691</v>
      </c>
      <c r="K194" s="24">
        <v>4909.1148999999996</v>
      </c>
      <c r="L194" s="31">
        <f t="shared" si="59"/>
        <v>-1.177670351739657E-4</v>
      </c>
      <c r="M194" s="25">
        <f t="shared" si="56"/>
        <v>100.119928069325</v>
      </c>
    </row>
    <row r="195" spans="1:13">
      <c r="A195" s="23">
        <v>44500</v>
      </c>
      <c r="B195" s="9">
        <v>19091.59</v>
      </c>
      <c r="C195" s="31">
        <f t="shared" si="53"/>
        <v>2.0048568974764544E-3</v>
      </c>
      <c r="D195" s="25">
        <f t="shared" si="57"/>
        <v>100.9002637721742</v>
      </c>
      <c r="F195" s="23">
        <v>44500</v>
      </c>
      <c r="G195" s="10">
        <v>1024.1445000000001</v>
      </c>
      <c r="H195" s="10">
        <f t="shared" si="60"/>
        <v>1035.1515159498231</v>
      </c>
      <c r="I195" s="31">
        <f t="shared" si="58"/>
        <v>1.4345457468409226E-3</v>
      </c>
      <c r="J195" s="24">
        <f t="shared" si="55"/>
        <v>103.45669717360585</v>
      </c>
      <c r="K195" s="24">
        <v>4914.1336000000001</v>
      </c>
      <c r="L195" s="31">
        <f t="shared" si="59"/>
        <v>9.8934462740187011E-4</v>
      </c>
      <c r="M195" s="25">
        <f t="shared" si="56"/>
        <v>100.21898118225624</v>
      </c>
    </row>
    <row r="196" spans="1:13">
      <c r="A196" s="23">
        <v>44530</v>
      </c>
      <c r="B196" s="9">
        <v>19132.47</v>
      </c>
      <c r="C196" s="31">
        <f t="shared" si="53"/>
        <v>2.1412569618350918E-3</v>
      </c>
      <c r="D196" s="25">
        <f t="shared" si="57"/>
        <v>101.11631716442736</v>
      </c>
      <c r="F196" s="23">
        <v>44530</v>
      </c>
      <c r="G196" s="10">
        <v>1025.8291999999999</v>
      </c>
      <c r="H196" s="10">
        <f t="shared" si="60"/>
        <v>1036.8362159498229</v>
      </c>
      <c r="I196" s="31">
        <f t="shared" si="58"/>
        <v>1.6274912165432642E-3</v>
      </c>
      <c r="J196" s="24">
        <f t="shared" si="55"/>
        <v>103.62507203954847</v>
      </c>
      <c r="K196" s="24">
        <v>4920.3216000000002</v>
      </c>
      <c r="L196" s="31">
        <f t="shared" si="59"/>
        <v>1.2592250239187308E-3</v>
      </c>
      <c r="M196" s="25">
        <f t="shared" si="56"/>
        <v>100.34517943123258</v>
      </c>
    </row>
    <row r="197" spans="1:13">
      <c r="A197" s="23">
        <v>44561</v>
      </c>
      <c r="B197" s="9">
        <v>19193.41</v>
      </c>
      <c r="C197" s="31">
        <f t="shared" si="53"/>
        <v>3.0824140086661892E-3</v>
      </c>
      <c r="D197" s="25">
        <f t="shared" si="57"/>
        <v>101.42799951695973</v>
      </c>
      <c r="F197" s="23">
        <v>44561</v>
      </c>
      <c r="G197" s="10">
        <f>1017.437</f>
        <v>1017.437</v>
      </c>
      <c r="H197" s="10">
        <f t="shared" ref="H197:H202" si="61">+G197+$S$144+$S$146</f>
        <v>1039.3396371327626</v>
      </c>
      <c r="I197" s="31">
        <f t="shared" si="58"/>
        <v>2.3365943662471745E-3</v>
      </c>
      <c r="J197" s="24">
        <f t="shared" si="55"/>
        <v>103.86720179907805</v>
      </c>
      <c r="K197" s="24">
        <v>4929.2918</v>
      </c>
      <c r="L197" s="31">
        <f t="shared" si="59"/>
        <v>1.7642827878724863E-3</v>
      </c>
      <c r="M197" s="25">
        <f t="shared" si="56"/>
        <v>100.52221670414909</v>
      </c>
    </row>
    <row r="198" spans="1:13">
      <c r="A198" s="23">
        <v>44592</v>
      </c>
      <c r="B198" s="9">
        <v>19259.349999999999</v>
      </c>
      <c r="C198" s="31">
        <f t="shared" si="53"/>
        <v>3.3247298539344551E-3</v>
      </c>
      <c r="D198" s="25">
        <f t="shared" si="57"/>
        <v>101.76522021497863</v>
      </c>
      <c r="F198" s="23">
        <v>44592</v>
      </c>
      <c r="G198" s="10">
        <v>1020.9926</v>
      </c>
      <c r="H198" s="10">
        <f t="shared" si="61"/>
        <v>1042.8952371327628</v>
      </c>
      <c r="I198" s="31">
        <f t="shared" si="58"/>
        <v>3.3106629468101609E-3</v>
      </c>
      <c r="J198" s="24">
        <f t="shared" si="55"/>
        <v>104.21107109546311</v>
      </c>
      <c r="K198" s="9">
        <v>4941.9683000000005</v>
      </c>
      <c r="L198" s="31">
        <f t="shared" si="59"/>
        <v>2.4887105780919826E-3</v>
      </c>
      <c r="M198" s="25">
        <f t="shared" si="56"/>
        <v>100.77238740819395</v>
      </c>
    </row>
    <row r="199" spans="1:13">
      <c r="A199" s="23">
        <v>44620</v>
      </c>
      <c r="B199" s="25">
        <v>19341.900000000001</v>
      </c>
      <c r="C199" s="31">
        <f t="shared" si="53"/>
        <v>4.5923890770680322E-3</v>
      </c>
      <c r="D199" s="25">
        <f t="shared" si="57"/>
        <v>102.23256570071932</v>
      </c>
      <c r="F199" s="23">
        <v>44620</v>
      </c>
      <c r="G199" s="10">
        <v>1025.2675999999999</v>
      </c>
      <c r="H199" s="10">
        <f t="shared" si="61"/>
        <v>1047.1702371327626</v>
      </c>
      <c r="I199" s="31">
        <f t="shared" si="58"/>
        <v>4.3919628547252542E-3</v>
      </c>
      <c r="J199" s="24">
        <f t="shared" si="55"/>
        <v>104.66876224876553</v>
      </c>
      <c r="K199" s="24">
        <v>4958.2785000000003</v>
      </c>
      <c r="L199" s="31">
        <f t="shared" si="59"/>
        <v>3.5360838485577945E-3</v>
      </c>
      <c r="M199" s="25">
        <f t="shared" si="56"/>
        <v>101.12872701968868</v>
      </c>
    </row>
    <row r="200" spans="1:13">
      <c r="A200" s="23">
        <v>44651</v>
      </c>
      <c r="B200" s="9">
        <v>19435.349999999999</v>
      </c>
      <c r="C200" s="31">
        <f t="shared" si="53"/>
        <v>4.6756256557506544E-3</v>
      </c>
      <c r="D200" s="25">
        <f t="shared" si="57"/>
        <v>102.71056690776282</v>
      </c>
      <c r="F200" s="23">
        <v>44651</v>
      </c>
      <c r="G200" s="10">
        <v>1030.1516999999999</v>
      </c>
      <c r="H200" s="10">
        <f t="shared" si="61"/>
        <v>1052.0543371327626</v>
      </c>
      <c r="I200" s="31">
        <f t="shared" si="58"/>
        <v>4.5136389667055354E-3</v>
      </c>
      <c r="J200" s="24">
        <f t="shared" si="55"/>
        <v>105.14119925264839</v>
      </c>
      <c r="K200" s="9">
        <v>4977.0833000000002</v>
      </c>
      <c r="L200" s="31">
        <f t="shared" si="59"/>
        <v>3.6702644977257191E-3</v>
      </c>
      <c r="M200" s="25">
        <f t="shared" si="56"/>
        <v>101.49989619616925</v>
      </c>
    </row>
    <row r="201" spans="1:13">
      <c r="A201" s="23">
        <v>44681</v>
      </c>
      <c r="B201" s="9">
        <v>19541.32</v>
      </c>
      <c r="C201" s="31">
        <f t="shared" si="53"/>
        <v>5.4524358964465058E-3</v>
      </c>
      <c r="D201" s="25">
        <f t="shared" si="57"/>
        <v>103.27058968971508</v>
      </c>
      <c r="F201" s="23">
        <v>44681</v>
      </c>
      <c r="G201" s="10">
        <v>1036.8144</v>
      </c>
      <c r="H201" s="10">
        <f t="shared" si="61"/>
        <v>1058.7170371327627</v>
      </c>
      <c r="I201" s="31">
        <f t="shared" si="58"/>
        <v>6.3330379095802858E-3</v>
      </c>
      <c r="J201" s="24">
        <f t="shared" si="55"/>
        <v>105.80706245337414</v>
      </c>
      <c r="K201" s="9">
        <v>4999.8365999999996</v>
      </c>
      <c r="L201" s="31">
        <f t="shared" si="59"/>
        <v>4.5716132579094459E-3</v>
      </c>
      <c r="M201" s="25">
        <f t="shared" si="56"/>
        <v>101.96391446729609</v>
      </c>
    </row>
    <row r="202" spans="1:13">
      <c r="A202" s="23">
        <v>44712</v>
      </c>
      <c r="B202" s="9">
        <v>19680.32</v>
      </c>
      <c r="C202" s="31">
        <f t="shared" si="53"/>
        <v>6.8836766928876397E-3</v>
      </c>
      <c r="D202" s="25">
        <f t="shared" si="57"/>
        <v>103.98147104102294</v>
      </c>
      <c r="F202" s="23">
        <v>44712</v>
      </c>
      <c r="G202" s="10">
        <v>1045.4494999999999</v>
      </c>
      <c r="H202" s="10">
        <f t="shared" si="61"/>
        <v>1067.3521371327627</v>
      </c>
      <c r="I202" s="31">
        <f t="shared" si="58"/>
        <v>7.8930895546255424E-3</v>
      </c>
      <c r="J202" s="24">
        <f t="shared" si="55"/>
        <v>106.64220707283049</v>
      </c>
      <c r="K202" s="9">
        <v>5027.3885</v>
      </c>
      <c r="L202" s="31">
        <f t="shared" si="59"/>
        <v>5.3328000823584729E-3</v>
      </c>
      <c r="M202" s="25">
        <f t="shared" si="56"/>
        <v>102.50766763876489</v>
      </c>
    </row>
    <row r="203" spans="1:13">
      <c r="A203" s="23">
        <v>44742</v>
      </c>
      <c r="B203" s="9">
        <v>19825.16</v>
      </c>
      <c r="C203" s="31">
        <f t="shared" si="53"/>
        <v>7.3596364286758744E-3</v>
      </c>
      <c r="D203" s="25">
        <f t="shared" si="57"/>
        <v>104.74673686320376</v>
      </c>
      <c r="F203" s="23">
        <v>44742</v>
      </c>
      <c r="G203" s="10">
        <v>1053.7765999999999</v>
      </c>
      <c r="H203" s="10">
        <f t="shared" ref="H203:H204" si="62">+G203+$S$144+$S$146</f>
        <v>1075.6792371327626</v>
      </c>
      <c r="I203" s="31">
        <f t="shared" ref="I203:I204" si="63">+(H203/H202-1)/(F203-F202)*30</f>
        <v>7.8016426915761264E-3</v>
      </c>
      <c r="J203" s="24">
        <f t="shared" ref="J203:J204" si="64">+J202*(1+I203)</f>
        <v>107.47419146825378</v>
      </c>
      <c r="K203" s="24">
        <v>5056.9675999999999</v>
      </c>
      <c r="L203" s="31">
        <f t="shared" ref="L203:L204" si="65">+(K203/K202-1)/(F203-F202)*30</f>
        <v>5.8835914511081722E-3</v>
      </c>
      <c r="M203" s="25">
        <f t="shared" ref="M203:M204" si="66">+M202*(1+L203)</f>
        <v>103.11078087575736</v>
      </c>
    </row>
    <row r="204" spans="1:13">
      <c r="A204" s="23">
        <v>44773</v>
      </c>
      <c r="B204" s="9">
        <v>19975.62</v>
      </c>
      <c r="C204" s="31">
        <f t="shared" si="53"/>
        <v>7.3445284483405222E-3</v>
      </c>
      <c r="D204" s="25">
        <f t="shared" si="57"/>
        <v>105.5160522519664</v>
      </c>
      <c r="F204" s="23">
        <v>44773</v>
      </c>
      <c r="G204" s="10">
        <v>1062.6043</v>
      </c>
      <c r="H204" s="10">
        <f t="shared" si="62"/>
        <v>1084.5069371327627</v>
      </c>
      <c r="I204" s="31">
        <f t="shared" si="63"/>
        <v>7.9418986524666165E-3</v>
      </c>
      <c r="J204" s="24">
        <f t="shared" si="64"/>
        <v>108.32774060465044</v>
      </c>
      <c r="K204" s="9">
        <v>5089.8978999999999</v>
      </c>
      <c r="L204" s="31">
        <f t="shared" si="65"/>
        <v>6.3018066910423788E-3</v>
      </c>
      <c r="M204" s="25">
        <f t="shared" si="66"/>
        <v>103.7605650845988</v>
      </c>
    </row>
    <row r="205" spans="1:13">
      <c r="A205" s="23">
        <v>44804</v>
      </c>
      <c r="B205" s="9">
        <v>20154.919999999998</v>
      </c>
      <c r="C205" s="31">
        <f t="shared" si="53"/>
        <v>8.6863951673217758E-3</v>
      </c>
      <c r="D205" s="25">
        <f t="shared" si="57"/>
        <v>106.43260637832275</v>
      </c>
      <c r="F205" s="23">
        <v>44804</v>
      </c>
      <c r="G205" s="10">
        <v>1072.1203</v>
      </c>
      <c r="H205" s="10">
        <f t="shared" ref="H205:H209" si="67">+G205+$S$144+$S$146</f>
        <v>1094.0229371327628</v>
      </c>
      <c r="I205" s="31">
        <f t="shared" ref="I205:I217" si="68">+(H205/H204-1)/(F205-F204)*30</f>
        <v>8.4914461519366175E-3</v>
      </c>
      <c r="J205" s="24">
        <f t="shared" ref="J205:J217" si="69">+J204*(1+I205)</f>
        <v>109.24759978075578</v>
      </c>
      <c r="K205" s="24">
        <v>5125.6822000000002</v>
      </c>
      <c r="L205" s="31">
        <f t="shared" ref="L205:L218" si="70">+(K205/K204-1)/(F205-F204)*30</f>
        <v>6.8036664825705234E-3</v>
      </c>
      <c r="M205" s="25">
        <f t="shared" ref="M205:M218" si="71">+M204*(1+L205)</f>
        <v>104.46651736347746</v>
      </c>
    </row>
    <row r="206" spans="1:13">
      <c r="A206" s="23">
        <v>44834</v>
      </c>
      <c r="B206" s="9">
        <v>20332.28</v>
      </c>
      <c r="C206" s="31">
        <f t="shared" si="53"/>
        <v>8.7998364667287721E-3</v>
      </c>
      <c r="D206" s="25">
        <f t="shared" si="57"/>
        <v>107.36919590917969</v>
      </c>
      <c r="F206" s="23">
        <v>44834</v>
      </c>
      <c r="G206" s="10">
        <v>1081.6292000000001</v>
      </c>
      <c r="H206" s="10">
        <f t="shared" si="67"/>
        <v>1103.5318371327628</v>
      </c>
      <c r="I206" s="31">
        <f t="shared" si="68"/>
        <v>8.6916824842093732E-3</v>
      </c>
      <c r="J206" s="24">
        <f t="shared" si="69"/>
        <v>110.19714523021209</v>
      </c>
      <c r="K206" s="24">
        <v>5163.2829000000002</v>
      </c>
      <c r="L206" s="31">
        <f t="shared" si="70"/>
        <v>7.3357454740365924E-3</v>
      </c>
      <c r="M206" s="25">
        <f t="shared" si="71"/>
        <v>105.23285714541495</v>
      </c>
    </row>
    <row r="207" spans="1:13">
      <c r="A207" s="23">
        <v>44862</v>
      </c>
      <c r="B207" s="9">
        <v>20507.2</v>
      </c>
      <c r="C207" s="31">
        <f t="shared" si="53"/>
        <v>9.2175735192653475E-3</v>
      </c>
      <c r="D207" s="25">
        <f t="shared" si="57"/>
        <v>108.35887936617698</v>
      </c>
      <c r="F207" s="23">
        <v>44862</v>
      </c>
      <c r="G207" s="10">
        <v>1091.8317999999999</v>
      </c>
      <c r="H207" s="10">
        <f t="shared" si="67"/>
        <v>1113.7344371327627</v>
      </c>
      <c r="I207" s="31">
        <f t="shared" si="68"/>
        <v>9.9057922708050469E-3</v>
      </c>
      <c r="J207" s="24">
        <f t="shared" si="69"/>
        <v>111.2887352596983</v>
      </c>
      <c r="K207" s="24">
        <v>5200.6767</v>
      </c>
      <c r="L207" s="31">
        <f t="shared" si="70"/>
        <v>7.7595565631868469E-3</v>
      </c>
      <c r="M207" s="25">
        <f t="shared" si="71"/>
        <v>106.04941745274057</v>
      </c>
    </row>
    <row r="208" spans="1:13">
      <c r="A208" s="23">
        <v>44895</v>
      </c>
      <c r="B208" s="9">
        <v>20719.68</v>
      </c>
      <c r="C208" s="31">
        <f t="shared" si="53"/>
        <v>9.4193081631638812E-3</v>
      </c>
      <c r="D208" s="25">
        <f t="shared" si="57"/>
        <v>109.3795450431421</v>
      </c>
      <c r="F208" s="23">
        <v>44895</v>
      </c>
      <c r="G208" s="10">
        <v>1104.1542999999999</v>
      </c>
      <c r="H208" s="10">
        <f t="shared" si="67"/>
        <v>1126.0569371327626</v>
      </c>
      <c r="I208" s="31">
        <f t="shared" si="68"/>
        <v>1.0058297879440773E-2</v>
      </c>
      <c r="J208" s="24">
        <f t="shared" si="69"/>
        <v>112.40811050956657</v>
      </c>
      <c r="K208" s="9">
        <v>5246.14</v>
      </c>
      <c r="L208" s="31">
        <f t="shared" si="70"/>
        <v>7.9470951784548823E-3</v>
      </c>
      <c r="M208" s="25">
        <f t="shared" si="71"/>
        <v>106.89220226685718</v>
      </c>
    </row>
    <row r="209" spans="1:13">
      <c r="A209" s="23">
        <v>44925</v>
      </c>
      <c r="B209" s="9">
        <v>20914.79</v>
      </c>
      <c r="C209" s="31">
        <f t="shared" si="53"/>
        <v>9.416651222412753E-3</v>
      </c>
      <c r="D209" s="25">
        <f t="shared" si="57"/>
        <v>110.40953406967955</v>
      </c>
      <c r="F209" s="23">
        <v>44925</v>
      </c>
      <c r="G209" s="10">
        <v>1115.4246000000001</v>
      </c>
      <c r="H209" s="10">
        <f t="shared" si="67"/>
        <v>1137.3272371327628</v>
      </c>
      <c r="I209" s="31">
        <f t="shared" si="68"/>
        <v>1.0008641329182888E-2</v>
      </c>
      <c r="J209" s="24">
        <f t="shared" si="69"/>
        <v>113.53316297014797</v>
      </c>
      <c r="K209" s="9">
        <v>5287.7322999999997</v>
      </c>
      <c r="L209" s="31">
        <f t="shared" si="70"/>
        <v>7.9281719511867799E-3</v>
      </c>
      <c r="M209" s="25">
        <f t="shared" si="71"/>
        <v>107.73966202666986</v>
      </c>
    </row>
    <row r="210" spans="1:13">
      <c r="A210" s="23">
        <v>44957</v>
      </c>
      <c r="B210" s="9">
        <v>21124.92</v>
      </c>
      <c r="C210" s="31">
        <f t="shared" si="53"/>
        <v>9.4190223760313996E-3</v>
      </c>
      <c r="D210" s="25">
        <f t="shared" si="57"/>
        <v>111.44948394160906</v>
      </c>
      <c r="F210" s="23">
        <v>44957</v>
      </c>
      <c r="G210" s="10">
        <v>1095.3566000000001</v>
      </c>
      <c r="H210" s="10">
        <f t="shared" ref="H210:H217" si="72">+G210+$S$144+$S$146+$S$148</f>
        <v>1150.1177745166667</v>
      </c>
      <c r="I210" s="31">
        <f t="shared" si="68"/>
        <v>1.0543252993430313E-2</v>
      </c>
      <c r="J210" s="24">
        <f t="shared" si="69"/>
        <v>114.7301718304866</v>
      </c>
      <c r="K210" s="9">
        <v>5332.3676999999998</v>
      </c>
      <c r="L210" s="31">
        <f t="shared" si="70"/>
        <v>7.9137303338899789E-3</v>
      </c>
      <c r="M210" s="25">
        <f t="shared" si="71"/>
        <v>108.59228465821339</v>
      </c>
    </row>
    <row r="211" spans="1:13">
      <c r="A211" s="23">
        <v>44985</v>
      </c>
      <c r="B211" s="9">
        <v>21310.51</v>
      </c>
      <c r="C211" s="31">
        <f t="shared" si="53"/>
        <v>9.4128843361976754E-3</v>
      </c>
      <c r="D211" s="25">
        <f t="shared" si="57"/>
        <v>112.49854504328033</v>
      </c>
      <c r="F211" s="23">
        <v>44985</v>
      </c>
      <c r="G211" s="10">
        <v>1107.1148000000001</v>
      </c>
      <c r="H211" s="10">
        <f t="shared" si="72"/>
        <v>1161.8759745166667</v>
      </c>
      <c r="I211" s="31">
        <f t="shared" si="68"/>
        <v>1.0953722920998754E-2</v>
      </c>
      <c r="J211" s="24">
        <f t="shared" si="69"/>
        <v>115.98689434339633</v>
      </c>
      <c r="K211" s="9">
        <v>5371.7619999999997</v>
      </c>
      <c r="L211" s="31">
        <f t="shared" si="70"/>
        <v>7.9154666268472455E-3</v>
      </c>
      <c r="M211" s="25">
        <f t="shared" si="71"/>
        <v>109.45184326335857</v>
      </c>
    </row>
    <row r="212" spans="1:13">
      <c r="A212" s="23">
        <v>45016</v>
      </c>
      <c r="B212" s="9">
        <v>21517.9</v>
      </c>
      <c r="C212" s="31">
        <f t="shared" si="53"/>
        <v>9.4178881687958082E-3</v>
      </c>
      <c r="D212" s="25">
        <f t="shared" si="57"/>
        <v>113.55804375965019</v>
      </c>
      <c r="F212" s="23">
        <v>45016</v>
      </c>
      <c r="G212" s="10">
        <v>1119.549</v>
      </c>
      <c r="H212" s="10">
        <f t="shared" si="72"/>
        <v>1174.3101745166666</v>
      </c>
      <c r="I212" s="31">
        <f t="shared" si="68"/>
        <v>1.0356610376765227E-2</v>
      </c>
      <c r="J212" s="24">
        <f t="shared" si="69"/>
        <v>117.18812541692191</v>
      </c>
      <c r="K212" s="9">
        <v>5415.8662000000004</v>
      </c>
      <c r="L212" s="31">
        <f t="shared" si="70"/>
        <v>7.9455277190181878E-3</v>
      </c>
      <c r="M212" s="25">
        <f t="shared" si="71"/>
        <v>110.32149591790521</v>
      </c>
    </row>
    <row r="213" spans="1:13">
      <c r="A213" s="23">
        <v>45044</v>
      </c>
      <c r="B213" s="9">
        <v>21706.94</v>
      </c>
      <c r="C213" s="31">
        <f t="shared" si="53"/>
        <v>9.4127613355789383E-3</v>
      </c>
      <c r="D213" s="25">
        <f t="shared" si="57"/>
        <v>114.62693852329501</v>
      </c>
      <c r="F213" s="23">
        <v>45044</v>
      </c>
      <c r="G213" s="10">
        <v>1131.1157000000001</v>
      </c>
      <c r="H213" s="10">
        <f t="shared" si="72"/>
        <v>1185.8768745166667</v>
      </c>
      <c r="I213" s="31">
        <f t="shared" si="68"/>
        <v>1.0553338569380837E-2</v>
      </c>
      <c r="J213" s="24">
        <f t="shared" si="69"/>
        <v>118.42485138075774</v>
      </c>
      <c r="K213" s="9">
        <v>5456.2587000000003</v>
      </c>
      <c r="L213" s="31">
        <f t="shared" si="70"/>
        <v>7.9909061585437761E-3</v>
      </c>
      <c r="M213" s="25">
        <f t="shared" si="71"/>
        <v>111.20306463905536</v>
      </c>
    </row>
    <row r="214" spans="1:13">
      <c r="A214" s="23">
        <v>45077</v>
      </c>
      <c r="B214" s="9">
        <v>21931.86</v>
      </c>
      <c r="C214" s="31">
        <f t="shared" si="53"/>
        <v>9.4196937602779168E-3</v>
      </c>
      <c r="D214" s="25">
        <f t="shared" si="57"/>
        <v>115.70668918086265</v>
      </c>
      <c r="F214" s="23">
        <v>45077</v>
      </c>
      <c r="G214" s="10">
        <v>1144.5479</v>
      </c>
      <c r="H214" s="10">
        <f t="shared" si="72"/>
        <v>1199.3090745166667</v>
      </c>
      <c r="I214" s="31">
        <f t="shared" si="68"/>
        <v>1.0297098435339597E-2</v>
      </c>
      <c r="J214" s="24">
        <f t="shared" si="69"/>
        <v>119.64428373261588</v>
      </c>
      <c r="K214" s="24">
        <v>5504.4106000000002</v>
      </c>
      <c r="L214" s="31">
        <f t="shared" si="70"/>
        <v>8.0227967463225077E-3</v>
      </c>
      <c r="M214" s="25">
        <f t="shared" si="71"/>
        <v>112.09522422422265</v>
      </c>
    </row>
    <row r="215" spans="1:13">
      <c r="A215" s="23">
        <v>45107</v>
      </c>
      <c r="B215" s="9">
        <v>22138.35</v>
      </c>
      <c r="C215" s="31">
        <f t="shared" si="53"/>
        <v>9.4150701308506335E-3</v>
      </c>
      <c r="D215" s="25">
        <f t="shared" si="57"/>
        <v>116.79607577410901</v>
      </c>
      <c r="F215" s="23">
        <v>45107</v>
      </c>
      <c r="G215" s="10">
        <v>1156.8927000000001</v>
      </c>
      <c r="H215" s="10">
        <f t="shared" si="72"/>
        <v>1211.6538745166667</v>
      </c>
      <c r="I215" s="31">
        <f t="shared" si="68"/>
        <v>1.0293259896307472E-2</v>
      </c>
      <c r="J215" s="24">
        <f t="shared" si="69"/>
        <v>120.87581344018324</v>
      </c>
      <c r="K215" s="9">
        <v>5548.4618</v>
      </c>
      <c r="L215" s="31">
        <f t="shared" si="70"/>
        <v>8.0028913540715063E-3</v>
      </c>
      <c r="M215" s="25">
        <f t="shared" si="71"/>
        <v>112.99231012499939</v>
      </c>
    </row>
    <row r="216" spans="1:13">
      <c r="A216" s="23">
        <v>45138</v>
      </c>
      <c r="B216" s="9">
        <v>22353.79</v>
      </c>
      <c r="C216" s="31">
        <f t="shared" si="53"/>
        <v>9.4176089266204046E-3</v>
      </c>
      <c r="D216" s="25">
        <f t="shared" si="57"/>
        <v>117.89601553991351</v>
      </c>
      <c r="F216" s="23">
        <v>45138</v>
      </c>
      <c r="G216" s="10">
        <v>1169.9022</v>
      </c>
      <c r="H216" s="10">
        <f t="shared" si="72"/>
        <v>1224.6633745166666</v>
      </c>
      <c r="I216" s="31">
        <f t="shared" si="68"/>
        <v>1.0390623076825095E-2</v>
      </c>
      <c r="J216" s="24">
        <f t="shared" si="69"/>
        <v>122.13178845674481</v>
      </c>
      <c r="K216" s="9">
        <v>5593.9840000000004</v>
      </c>
      <c r="L216" s="31">
        <f t="shared" si="70"/>
        <v>7.9398117033956418E-3</v>
      </c>
      <c r="M216" s="25">
        <f t="shared" si="71"/>
        <v>113.88944779132359</v>
      </c>
    </row>
    <row r="217" spans="1:13">
      <c r="A217" s="23">
        <v>45169</v>
      </c>
      <c r="B217" s="9">
        <v>22551.919999999998</v>
      </c>
      <c r="C217" s="31">
        <f t="shared" si="53"/>
        <v>8.5774586625988747E-3</v>
      </c>
      <c r="D217" s="25">
        <f t="shared" si="57"/>
        <v>118.90726373969223</v>
      </c>
      <c r="F217" s="23">
        <v>45169</v>
      </c>
      <c r="G217" s="10">
        <v>1181.7358999999999</v>
      </c>
      <c r="H217" s="10">
        <f t="shared" si="72"/>
        <v>1236.4970745166665</v>
      </c>
      <c r="I217" s="31">
        <f t="shared" si="68"/>
        <v>9.3511147473116767E-3</v>
      </c>
      <c r="J217" s="24">
        <f t="shared" si="69"/>
        <v>123.27385682489825</v>
      </c>
      <c r="K217" s="24">
        <v>5636.4775</v>
      </c>
      <c r="L217" s="31">
        <f t="shared" si="70"/>
        <v>7.3512441107239221E-3</v>
      </c>
      <c r="M217" s="25">
        <f t="shared" si="71"/>
        <v>114.72667692367317</v>
      </c>
    </row>
    <row r="218" spans="1:13">
      <c r="A218" s="23">
        <v>45199</v>
      </c>
      <c r="B218" s="9">
        <v>22727.72</v>
      </c>
      <c r="C218" s="31">
        <f t="shared" si="53"/>
        <v>7.7953451413450559E-3</v>
      </c>
      <c r="D218" s="25">
        <f t="shared" si="57"/>
        <v>119.83418690035607</v>
      </c>
      <c r="F218" s="23">
        <v>45199</v>
      </c>
      <c r="G218" s="10">
        <v>1193.1985</v>
      </c>
      <c r="H218" s="10">
        <f t="shared" ref="H218" si="73">+G218+$S$144+$S$146+$S$148</f>
        <v>1247.9596745166666</v>
      </c>
      <c r="I218" s="31">
        <f t="shared" ref="I218" si="74">+(H218/H217-1)/(F218-F217)*30</f>
        <v>9.2702200726844097E-3</v>
      </c>
      <c r="J218" s="24">
        <f t="shared" ref="J218" si="75">+J217*(1+I218)</f>
        <v>124.41663260687365</v>
      </c>
      <c r="K218" s="9">
        <v>5674.72</v>
      </c>
      <c r="L218" s="31">
        <f t="shared" si="70"/>
        <v>6.7848226130593492E-3</v>
      </c>
      <c r="M218" s="25">
        <f t="shared" si="71"/>
        <v>115.50507707558606</v>
      </c>
    </row>
    <row r="219" spans="1:13">
      <c r="A219" s="23">
        <v>45230</v>
      </c>
      <c r="B219" s="25">
        <v>22920</v>
      </c>
      <c r="C219" s="31">
        <f t="shared" ref="C219:C221" si="76">(B219/B218-1)/(A219-A218)*30</f>
        <v>8.1872453266248948E-3</v>
      </c>
      <c r="D219" s="25">
        <f t="shared" ref="D219:D221" si="77">+D218*(1+C219)</f>
        <v>120.81529878702591</v>
      </c>
      <c r="F219" s="23">
        <v>45230</v>
      </c>
      <c r="G219" s="10">
        <v>1204.6477</v>
      </c>
      <c r="H219" s="10">
        <f t="shared" ref="H219:H221" si="78">+G219+$S$144+$S$146+$S$148</f>
        <v>1259.4088745166666</v>
      </c>
      <c r="I219" s="31">
        <f t="shared" ref="I219:I221" si="79">+(H219/H218-1)/(F219-F218)*30</f>
        <v>8.8783886162293532E-3</v>
      </c>
      <c r="J219" s="24">
        <f t="shared" ref="J219:J221" si="80">+J218*(1+I219)</f>
        <v>125.52125182148011</v>
      </c>
      <c r="K219" s="9">
        <v>5712.6049000000003</v>
      </c>
      <c r="L219" s="31">
        <f t="shared" ref="L219:L221" si="81">+(K219/K218-1)/(F219-F218)*30</f>
        <v>6.4607251902496039E-3</v>
      </c>
      <c r="M219" s="25">
        <f t="shared" ref="M219:M221" si="82">+M218*(1+L219)</f>
        <v>116.25132363665001</v>
      </c>
    </row>
    <row r="220" spans="1:13">
      <c r="A220" s="23">
        <v>45260</v>
      </c>
      <c r="B220" s="9">
        <v>23092.51</v>
      </c>
      <c r="C220" s="31">
        <f t="shared" si="76"/>
        <v>7.5266143106456082E-3</v>
      </c>
      <c r="D220" s="25">
        <f t="shared" si="77"/>
        <v>121.72462894382126</v>
      </c>
      <c r="F220" s="23">
        <v>45260</v>
      </c>
      <c r="G220" s="10">
        <v>1215.5540000000001</v>
      </c>
      <c r="H220" s="10">
        <f t="shared" si="78"/>
        <v>1270.3151745166667</v>
      </c>
      <c r="I220" s="31">
        <f t="shared" si="79"/>
        <v>8.659856398253174E-3</v>
      </c>
      <c r="J220" s="24">
        <f t="shared" si="80"/>
        <v>126.6082478371831</v>
      </c>
      <c r="K220" s="9">
        <v>5747.8491999999997</v>
      </c>
      <c r="L220" s="31">
        <f t="shared" si="81"/>
        <v>6.1695672319295181E-3</v>
      </c>
      <c r="M220" s="25">
        <f t="shared" si="82"/>
        <v>116.96854399362712</v>
      </c>
    </row>
    <row r="221" spans="1:13">
      <c r="A221" s="23">
        <v>45291</v>
      </c>
      <c r="B221" s="9">
        <v>23256.05</v>
      </c>
      <c r="C221" s="31">
        <f t="shared" si="76"/>
        <v>6.8534999499418742E-3</v>
      </c>
      <c r="D221" s="25">
        <f t="shared" si="77"/>
        <v>122.55886868219443</v>
      </c>
      <c r="F221" s="23">
        <v>45291</v>
      </c>
      <c r="G221" s="10">
        <v>1226.0614</v>
      </c>
      <c r="H221" s="10">
        <f t="shared" si="78"/>
        <v>1280.8225745166667</v>
      </c>
      <c r="I221" s="31">
        <f t="shared" si="79"/>
        <v>8.0046683034957905E-3</v>
      </c>
      <c r="J221" s="24">
        <f t="shared" si="80"/>
        <v>127.62170486560653</v>
      </c>
      <c r="K221" s="9">
        <v>5782.92</v>
      </c>
      <c r="L221" s="31">
        <f t="shared" si="81"/>
        <v>5.9047276102804306E-3</v>
      </c>
      <c r="M221" s="25">
        <f t="shared" si="82"/>
        <v>117.65921138488059</v>
      </c>
    </row>
    <row r="222" spans="1:13">
      <c r="A222" s="23">
        <v>45322</v>
      </c>
      <c r="B222" s="9">
        <v>23427.15</v>
      </c>
      <c r="C222" s="31">
        <f t="shared" ref="C222" si="83">(B222/B221-1)/(A222-A221)*30</f>
        <v>7.11989547499661E-3</v>
      </c>
      <c r="D222" s="25">
        <f t="shared" ref="D222" si="84">+D221*(1+C222)</f>
        <v>123.43147501674549</v>
      </c>
      <c r="F222" s="23">
        <v>45322</v>
      </c>
      <c r="G222" s="10">
        <v>1236.797</v>
      </c>
      <c r="H222" s="10">
        <f t="shared" ref="H222" si="85">+G222+$S$144+$S$146+$S$148</f>
        <v>1291.5581745166667</v>
      </c>
      <c r="I222" s="31">
        <f t="shared" ref="I222" si="86">+(H222/H221-1)/(F222-F221)*30</f>
        <v>8.1114203710073596E-3</v>
      </c>
      <c r="J222" s="24">
        <f t="shared" ref="J222" si="87">+J221*(1+I222)</f>
        <v>128.6568981622361</v>
      </c>
      <c r="K222" s="9">
        <v>5816.8769000000002</v>
      </c>
      <c r="L222" s="31">
        <f t="shared" ref="L222" si="88">+(K222/K221-1)/(F222-F221)*30</f>
        <v>5.6825126629855838E-3</v>
      </c>
      <c r="M222" s="25">
        <f t="shared" ref="M222" si="89">+M221*(1+L222)</f>
        <v>118.32781134349207</v>
      </c>
    </row>
    <row r="223" spans="1:13">
      <c r="A223" s="23">
        <v>45351</v>
      </c>
      <c r="B223" s="9">
        <v>23570.34</v>
      </c>
      <c r="C223" s="31">
        <f t="shared" ref="C223" si="90">(B223/B222-1)/(A223-A222)*30</f>
        <v>6.3229025385885236E-3</v>
      </c>
      <c r="D223" s="25">
        <f t="shared" ref="D223" si="91">+D222*(1+C223)</f>
        <v>124.2119202034706</v>
      </c>
      <c r="F223" s="23">
        <v>45351</v>
      </c>
      <c r="G223" s="10">
        <v>1245.4612</v>
      </c>
      <c r="H223" s="10">
        <f t="shared" ref="H223" si="92">+G223+$S$144+$S$146+$S$148</f>
        <v>1300.2223745166666</v>
      </c>
      <c r="I223" s="31">
        <f t="shared" ref="I223" si="93">+(H223/H222-1)/(F223-F222)*30</f>
        <v>6.9396529665382931E-3</v>
      </c>
      <c r="J223" s="24">
        <f t="shared" ref="J223" si="94">+J222*(1+I223)</f>
        <v>129.54973238723326</v>
      </c>
      <c r="K223" s="9">
        <v>5846.4552000000003</v>
      </c>
      <c r="L223" s="31">
        <f t="shared" ref="L223" si="95">+(K223/K222-1)/(F223-F222)*30</f>
        <v>5.2602525212990022E-3</v>
      </c>
      <c r="M223" s="25">
        <f t="shared" ref="M223" si="96">+M222*(1+L223)</f>
        <v>118.95024551145147</v>
      </c>
    </row>
    <row r="224" spans="1:13">
      <c r="A224" s="23">
        <v>45379</v>
      </c>
      <c r="B224" s="9">
        <v>23703.45</v>
      </c>
      <c r="C224" s="31">
        <f t="shared" ref="C224" si="97">(B224/B223-1)/(A224-A223)*30</f>
        <v>6.0507339793510117E-3</v>
      </c>
      <c r="D224" s="25">
        <f t="shared" ref="D224" si="98">+D223*(1+C224)</f>
        <v>124.96349348968617</v>
      </c>
      <c r="F224" s="23">
        <v>45379</v>
      </c>
      <c r="G224" s="10">
        <v>1253.3445999999999</v>
      </c>
      <c r="H224" s="10">
        <f t="shared" ref="H224" si="99">+G224+$S$144+$S$146+$S$148</f>
        <v>1308.1057745166665</v>
      </c>
      <c r="I224" s="31">
        <f t="shared" ref="I224" si="100">+(H224/H223-1)/(F224-F223)*30</f>
        <v>6.4961964703459073E-3</v>
      </c>
      <c r="J224" s="24">
        <f t="shared" ref="J224" si="101">+J223*(1+I224)</f>
        <v>130.39131290150146</v>
      </c>
      <c r="K224" s="9">
        <v>5872.4727999999996</v>
      </c>
      <c r="L224" s="31">
        <f t="shared" ref="L224" si="102">+(K224/K223-1)/(F224-F223)*30</f>
        <v>4.7680173791462112E-3</v>
      </c>
      <c r="M224" s="25">
        <f t="shared" ref="M224" si="103">+M223*(1+L224)</f>
        <v>119.51740234930378</v>
      </c>
    </row>
    <row r="225" spans="1:13">
      <c r="A225" s="23">
        <v>45412</v>
      </c>
      <c r="B225" s="9">
        <v>23847.87</v>
      </c>
      <c r="C225" s="31">
        <f t="shared" ref="C225:C226" si="104">(B225/B224-1)/(A225-A224)*30</f>
        <v>5.5388945107530275E-3</v>
      </c>
      <c r="D225" s="25">
        <f t="shared" ref="D225:D226" si="105">+D224*(1+C225)</f>
        <v>125.65565309782072</v>
      </c>
      <c r="F225" s="23">
        <v>45412</v>
      </c>
      <c r="G225" s="10">
        <v>1262.5028</v>
      </c>
      <c r="H225" s="10">
        <f t="shared" ref="H225" si="106">+G225+$S$144+$S$146+$S$148</f>
        <v>1317.2639745166666</v>
      </c>
      <c r="I225" s="31">
        <f t="shared" ref="I225" si="107">+(H225/H224-1)/(F225-F224)*30</f>
        <v>6.3646507230753395E-3</v>
      </c>
      <c r="J225" s="24">
        <f t="shared" ref="J225" si="108">+J224*(1+I225)</f>
        <v>131.22120806544274</v>
      </c>
      <c r="K225" s="9">
        <v>5900.1916000000001</v>
      </c>
      <c r="L225" s="31">
        <f t="shared" ref="L225" si="109">+(K225/K224-1)/(F225-F224)*30</f>
        <v>4.2910218487362591E-3</v>
      </c>
      <c r="M225" s="25">
        <f t="shared" ref="M225" si="110">+M224*(1+L225)</f>
        <v>120.03025413408884</v>
      </c>
    </row>
    <row r="226" spans="1:13">
      <c r="A226" s="23">
        <v>45443</v>
      </c>
      <c r="B226" s="9">
        <v>23979.37</v>
      </c>
      <c r="C226" s="31">
        <f t="shared" si="104"/>
        <v>5.3362444745013744E-3</v>
      </c>
      <c r="D226" s="25">
        <f t="shared" si="105"/>
        <v>126.32618238235382</v>
      </c>
      <c r="F226" s="23">
        <v>45443</v>
      </c>
      <c r="G226" s="10">
        <v>1270.4177999999999</v>
      </c>
      <c r="H226" s="10">
        <f t="shared" ref="H226" si="111">+G226+$S$144+$S$146+$S$148</f>
        <v>1325.1789745166666</v>
      </c>
      <c r="I226" s="31">
        <f t="shared" ref="I226" si="112">+(H226/H225-1)/(F226-F225)*30</f>
        <v>5.8148386105868937E-3</v>
      </c>
      <c r="J226" s="24">
        <f t="shared" ref="J226" si="113">+J225*(1+I226)</f>
        <v>131.98423821262955</v>
      </c>
      <c r="K226" s="9">
        <v>5924.7824000000001</v>
      </c>
      <c r="L226" s="31">
        <f t="shared" ref="L226" si="114">+(K226/K225-1)/(F226-F225)*30</f>
        <v>4.0333517960835794E-3</v>
      </c>
      <c r="M226" s="25">
        <f t="shared" ref="M226" si="115">+M225*(1+L226)</f>
        <v>120.51437837518493</v>
      </c>
    </row>
    <row r="227" spans="1:13">
      <c r="A227" s="23">
        <v>45473</v>
      </c>
      <c r="B227" s="25">
        <v>24090</v>
      </c>
      <c r="C227" s="31">
        <f t="shared" ref="C227" si="116">(B227/B226-1)/(A227-A226)*30</f>
        <v>4.6135490632155385E-3</v>
      </c>
      <c r="D227" s="25">
        <f t="shared" ref="D227" si="117">+D226*(1+C227)</f>
        <v>126.90899442274352</v>
      </c>
      <c r="F227" s="23">
        <v>45473</v>
      </c>
      <c r="G227" s="10">
        <v>1277.6225999999999</v>
      </c>
      <c r="H227" s="10">
        <f t="shared" ref="H227" si="118">+G227+$S$144+$S$146+$S$148</f>
        <v>1332.3837745166666</v>
      </c>
      <c r="I227" s="31">
        <f t="shared" ref="I227" si="119">+(H227/H226-1)/(F227-F226)*30</f>
        <v>5.4368505224946517E-3</v>
      </c>
      <c r="J227" s="24">
        <f t="shared" ref="J227" si="120">+J226*(1+I227)</f>
        <v>132.70181678711694</v>
      </c>
      <c r="K227" s="9">
        <v>5946.4089999999997</v>
      </c>
      <c r="L227" s="31">
        <f t="shared" ref="L227" si="121">+(K227/K226-1)/(F227-F226)*30</f>
        <v>3.6501931277677091E-3</v>
      </c>
      <c r="M227" s="25">
        <f t="shared" ref="M227" si="122">+M226*(1+L227)</f>
        <v>120.95427913092723</v>
      </c>
    </row>
    <row r="228" spans="1:13">
      <c r="A228" s="23">
        <v>45504</v>
      </c>
      <c r="B228" s="9">
        <v>24217.3</v>
      </c>
      <c r="C228" s="31">
        <f t="shared" ref="C228" si="123">(B228/B227-1)/(A228-A227)*30</f>
        <v>5.1138874382356155E-3</v>
      </c>
      <c r="D228" s="25">
        <f t="shared" ref="D228" si="124">+D227*(1+C228)</f>
        <v>127.55799273512112</v>
      </c>
      <c r="F228" s="23">
        <v>45504</v>
      </c>
      <c r="G228" s="10">
        <v>1284.3892000000001</v>
      </c>
      <c r="H228" s="10">
        <f t="shared" ref="H228" si="125">+G228+$S$144+$S$146+$S$148</f>
        <v>1339.1503745166667</v>
      </c>
      <c r="I228" s="31">
        <f t="shared" ref="I228" si="126">+(H228/H227-1)/(F228-F227)*30</f>
        <v>4.9147420629771085E-3</v>
      </c>
      <c r="J228" s="24">
        <f t="shared" ref="J228" si="127">+J227*(1+I228)</f>
        <v>133.35401198791408</v>
      </c>
      <c r="K228" s="9">
        <v>5968.0190000000002</v>
      </c>
      <c r="L228" s="31">
        <f t="shared" ref="L228" si="128">+(K228/K227-1)/(F228-F227)*30</f>
        <v>3.516896201691893E-3</v>
      </c>
      <c r="M228" s="25">
        <f t="shared" ref="M228" si="129">+M227*(1+L228)</f>
        <v>121.37966277578117</v>
      </c>
    </row>
    <row r="229" spans="1:13">
      <c r="A229" s="23">
        <v>45535</v>
      </c>
      <c r="B229" s="9">
        <v>24333.599999999999</v>
      </c>
      <c r="C229" s="31">
        <f t="shared" ref="C229" si="130">(B229/B228-1)/(A229-A228)*30</f>
        <v>4.6474374557349948E-3</v>
      </c>
      <c r="D229" s="25">
        <f t="shared" ref="D229" si="131">+D228*(1+C229)</f>
        <v>128.15081052833671</v>
      </c>
      <c r="F229" s="23">
        <v>45535</v>
      </c>
      <c r="G229" s="10">
        <v>1291.7416000000001</v>
      </c>
      <c r="H229" s="10">
        <f t="shared" ref="H229" si="132">+G229+$S$144+$S$146+$S$148</f>
        <v>1346.5027745166667</v>
      </c>
      <c r="I229" s="31">
        <f t="shared" ref="I229" si="133">+(H229/H228-1)/(F229-F228)*30</f>
        <v>5.3132388578986727E-3</v>
      </c>
      <c r="J229" s="24">
        <f t="shared" ref="J229" si="134">+J228*(1+I229)</f>
        <v>134.06255370626496</v>
      </c>
      <c r="K229" s="9">
        <v>5989.6689999999999</v>
      </c>
      <c r="L229" s="31">
        <f t="shared" ref="L229:L234" si="135">+(K229/K228-1)/(F229-F228)*30</f>
        <v>3.5106478218695273E-3</v>
      </c>
      <c r="M229" s="25">
        <f t="shared" ref="M229:M234" si="136">+M228*(1+L229)</f>
        <v>121.80578402452423</v>
      </c>
    </row>
    <row r="230" spans="1:13">
      <c r="A230" s="23">
        <v>45565</v>
      </c>
      <c r="B230" s="9">
        <v>24449.94</v>
      </c>
      <c r="C230" s="31">
        <f t="shared" ref="C230" si="137">(B230/B229-1)/(A230-A229)*30</f>
        <v>4.7810434954138614E-3</v>
      </c>
      <c r="D230" s="25">
        <f t="shared" ref="D230" si="138">+D229*(1+C230)</f>
        <v>128.76350512744523</v>
      </c>
      <c r="F230" s="23">
        <v>45565</v>
      </c>
      <c r="G230" s="10">
        <v>1298.8529000000001</v>
      </c>
      <c r="H230" s="10">
        <f t="shared" ref="H230" si="139">+G230+$S$144+$S$146+$S$148</f>
        <v>1353.6140745166667</v>
      </c>
      <c r="I230" s="31">
        <f t="shared" ref="I230" si="140">+(H230/H229-1)/(F230-F229)*30</f>
        <v>5.2813110634344351E-3</v>
      </c>
      <c r="J230" s="24">
        <f t="shared" ref="J230" si="141">+J229*(1+I230)</f>
        <v>134.77057975434613</v>
      </c>
      <c r="K230" s="9">
        <v>6009.8868000000002</v>
      </c>
      <c r="L230" s="31">
        <f t="shared" si="135"/>
        <v>3.3754452875442986E-3</v>
      </c>
      <c r="M230" s="25">
        <f t="shared" si="136"/>
        <v>122.21693278420545</v>
      </c>
    </row>
    <row r="231" spans="1:13">
      <c r="A231" s="23">
        <v>45596</v>
      </c>
      <c r="B231" s="9">
        <v>24560.22</v>
      </c>
      <c r="C231" s="31">
        <f t="shared" ref="C231" si="142">(B231/B230-1)/(A231-A230)*30</f>
        <v>4.3649424352436789E-3</v>
      </c>
      <c r="D231" s="25">
        <f t="shared" ref="D231" si="143">+D230*(1+C231)</f>
        <v>129.32555041508672</v>
      </c>
      <c r="F231" s="23">
        <v>45596</v>
      </c>
      <c r="G231" s="10">
        <v>1305.6026999999999</v>
      </c>
      <c r="H231" s="10">
        <f t="shared" ref="H231" si="144">+G231+$S$144+$S$146+$S$148</f>
        <v>1360.3638745166666</v>
      </c>
      <c r="I231" s="31">
        <f t="shared" ref="I231" si="145">+(H231/H230-1)/(F231-F230)*30</f>
        <v>4.8256476045148745E-3</v>
      </c>
      <c r="J231" s="24">
        <f t="shared" ref="J231" si="146">+J230*(1+I231)</f>
        <v>135.42093507969679</v>
      </c>
      <c r="K231" s="9">
        <v>6030.3854000000001</v>
      </c>
      <c r="L231" s="31">
        <f t="shared" si="135"/>
        <v>3.3007867700120667E-3</v>
      </c>
      <c r="M231" s="25">
        <f t="shared" si="136"/>
        <v>122.62034481901102</v>
      </c>
    </row>
    <row r="232" spans="1:13">
      <c r="A232" s="23">
        <v>45626</v>
      </c>
      <c r="B232" s="9">
        <v>24667.9</v>
      </c>
      <c r="C232" s="31">
        <f t="shared" ref="C232" si="147">(B232/B231-1)/(A232-A231)*30</f>
        <v>4.3843255475723986E-3</v>
      </c>
      <c r="D232" s="25">
        <f t="shared" ref="D232" si="148">+D231*(1+C232)</f>
        <v>129.89255572972544</v>
      </c>
      <c r="F232" s="23">
        <v>45626</v>
      </c>
      <c r="G232" s="10">
        <v>1312.4160999999999</v>
      </c>
      <c r="H232" s="10">
        <f t="shared" ref="H232" si="149">+G232+$S$144+$S$146+$S$148</f>
        <v>1367.1772745166666</v>
      </c>
      <c r="I232" s="31">
        <f t="shared" ref="I232" si="150">+(H232/H231-1)/(F232-F231)*30</f>
        <v>5.00851288955384E-3</v>
      </c>
      <c r="J232" s="24">
        <f t="shared" ref="J232" si="151">+J231*(1+I232)</f>
        <v>136.0991925785589</v>
      </c>
      <c r="K232" s="9">
        <v>6049.8055000000004</v>
      </c>
      <c r="L232" s="31">
        <f t="shared" si="135"/>
        <v>3.220374604913312E-3</v>
      </c>
      <c r="M232" s="25">
        <f t="shared" si="136"/>
        <v>123.01522826351189</v>
      </c>
    </row>
    <row r="233" spans="1:13">
      <c r="A233" s="23">
        <v>45657</v>
      </c>
      <c r="B233" s="9">
        <v>24777.58</v>
      </c>
      <c r="C233" s="31">
        <f t="shared" ref="C233" si="152">(B233/B232-1)/(A233-A232)*30</f>
        <v>4.3028362967205188E-3</v>
      </c>
      <c r="D233" s="25">
        <f t="shared" ref="D233" si="153">+D232*(1+C233)</f>
        <v>130.4514621331931</v>
      </c>
      <c r="F233" s="23">
        <v>45657</v>
      </c>
      <c r="G233" s="10">
        <v>1294.3776</v>
      </c>
      <c r="H233" s="10">
        <f t="shared" ref="H233:H239" si="154">+G233+$S$144+$S$146+$S$148+$S$150</f>
        <v>1373.7642166160756</v>
      </c>
      <c r="I233" s="31">
        <f t="shared" ref="I233" si="155">+(H233/H232-1)/(F233-F232)*30</f>
        <v>4.6624971135918762E-3</v>
      </c>
      <c r="J233" s="24">
        <f t="shared" ref="J233" si="156">+J232*(1+I233)</f>
        <v>136.73375467111859</v>
      </c>
      <c r="K233" s="9">
        <v>6069.3455000000004</v>
      </c>
      <c r="L233" s="31">
        <f t="shared" si="135"/>
        <v>3.1256670019151563E-3</v>
      </c>
      <c r="M233" s="25">
        <f t="shared" si="136"/>
        <v>123.3997329032282</v>
      </c>
    </row>
    <row r="234" spans="1:13">
      <c r="A234" s="23">
        <v>45688</v>
      </c>
      <c r="B234" s="9">
        <v>24887.95</v>
      </c>
      <c r="C234" s="31">
        <f t="shared" ref="C234" si="157">(B234/B233-1)/(A234-A233)*30</f>
        <v>4.3107388784278181E-3</v>
      </c>
      <c r="D234" s="25">
        <f t="shared" ref="D234" si="158">+D233*(1+C234)</f>
        <v>131.0138043227584</v>
      </c>
      <c r="F234" s="23">
        <v>45688</v>
      </c>
      <c r="G234" s="10">
        <v>1300.7619</v>
      </c>
      <c r="H234" s="10">
        <f t="shared" si="154"/>
        <v>1380.1485166160755</v>
      </c>
      <c r="I234" s="31">
        <f t="shared" ref="I234" si="159">+(H234/H233-1)/(F234-F233)*30</f>
        <v>4.4973910107575449E-3</v>
      </c>
      <c r="J234" s="24">
        <f t="shared" ref="J234" si="160">+J233*(1+I234)</f>
        <v>137.34869983024359</v>
      </c>
      <c r="K234" s="9">
        <v>6087.6761999999999</v>
      </c>
      <c r="L234" s="31">
        <f t="shared" si="135"/>
        <v>2.9227841942386906E-3</v>
      </c>
      <c r="M234" s="25">
        <f t="shared" si="136"/>
        <v>123.76040369213104</v>
      </c>
    </row>
    <row r="235" spans="1:13">
      <c r="A235" s="23">
        <v>45716</v>
      </c>
      <c r="B235" s="9">
        <v>24984.92</v>
      </c>
      <c r="C235" s="31">
        <f t="shared" ref="C235" si="161">(B235/B234-1)/(A235-A234)*30</f>
        <v>4.1745675546369021E-3</v>
      </c>
      <c r="D235" s="25">
        <f t="shared" ref="D235" si="162">+D234*(1+C235)</f>
        <v>131.56073029949374</v>
      </c>
      <c r="F235" s="23">
        <v>45716</v>
      </c>
      <c r="G235" s="10">
        <v>1307.2424000000001</v>
      </c>
      <c r="H235" s="10">
        <f t="shared" si="154"/>
        <v>1386.6290166160757</v>
      </c>
      <c r="I235" s="31">
        <f t="shared" ref="I235" si="163">+(H235/H234-1)/(F235-F234)*30</f>
        <v>5.0309026699293545E-3</v>
      </c>
      <c r="J235" s="24">
        <f t="shared" ref="J235" si="164">+J234*(1+I235)</f>
        <v>138.0396877709309</v>
      </c>
      <c r="K235" s="9">
        <v>6104.4912000000004</v>
      </c>
      <c r="L235" s="31">
        <f t="shared" ref="L235" si="165">+(K235/K234-1)/(F235-F234)*30</f>
        <v>2.9594332610154745E-3</v>
      </c>
      <c r="M235" s="25">
        <f t="shared" ref="M235" si="166">+M234*(1+L235)</f>
        <v>124.12666434721423</v>
      </c>
    </row>
    <row r="236" spans="1:13">
      <c r="A236" s="23">
        <v>45747</v>
      </c>
      <c r="B236" s="9">
        <v>25092.7</v>
      </c>
      <c r="C236" s="31">
        <f t="shared" ref="C236" si="167">(B236/B235-1)/(A236-A235)*30</f>
        <v>4.1746471794368665E-3</v>
      </c>
      <c r="D236" s="25">
        <f t="shared" ref="D236" si="168">+D235*(1+C236)</f>
        <v>132.10994993116319</v>
      </c>
      <c r="F236" s="23">
        <v>45747</v>
      </c>
      <c r="G236" s="10">
        <v>1315.5220999999999</v>
      </c>
      <c r="H236" s="10">
        <f t="shared" si="154"/>
        <v>1394.9087166160755</v>
      </c>
      <c r="I236" s="31">
        <f t="shared" ref="I236:I237" si="169">+(H236/H235-1)/(F236-F235)*30</f>
        <v>5.7784835072754465E-3</v>
      </c>
      <c r="J236" s="24">
        <f t="shared" ref="J236:J237" si="170">+J235*(1+I236)</f>
        <v>138.83734783006466</v>
      </c>
      <c r="K236" s="9">
        <v>6123.1881999999996</v>
      </c>
      <c r="L236" s="31">
        <f t="shared" ref="L236" si="171">+(K236/K235-1)/(F236-F235)*30</f>
        <v>2.9640260547417283E-3</v>
      </c>
      <c r="M236" s="25">
        <f t="shared" ref="M236" si="172">+M235*(1+L236)</f>
        <v>124.49457901442754</v>
      </c>
    </row>
    <row r="237" spans="1:13">
      <c r="A237" s="23">
        <v>45777</v>
      </c>
      <c r="B237" s="9">
        <v>25197.48</v>
      </c>
      <c r="C237" s="31">
        <f t="shared" ref="C237" si="173">(B237/B236-1)/(A237-A236)*30</f>
        <v>4.175716443427735E-3</v>
      </c>
      <c r="D237" s="25">
        <f t="shared" ref="D237" si="174">+D236*(1+C237)</f>
        <v>132.66160362143117</v>
      </c>
      <c r="F237" s="23">
        <v>45777</v>
      </c>
      <c r="G237" s="10">
        <v>1324.3200999999999</v>
      </c>
      <c r="H237" s="10">
        <f t="shared" si="154"/>
        <v>1403.7067166160755</v>
      </c>
      <c r="I237" s="31">
        <f t="shared" si="169"/>
        <v>6.3072227560116989E-3</v>
      </c>
      <c r="J237" s="24">
        <f t="shared" si="170"/>
        <v>139.71302590968276</v>
      </c>
      <c r="K237" s="9">
        <v>6141.4105</v>
      </c>
      <c r="L237" s="31">
        <f t="shared" ref="L237" si="175">+(K237/K236-1)/(F237-F236)*30</f>
        <v>2.975949685819046E-3</v>
      </c>
      <c r="M237" s="25">
        <f t="shared" ref="M237" si="176">+M236*(1+L237)</f>
        <v>124.86506861773171</v>
      </c>
    </row>
    <row r="238" spans="1:13">
      <c r="A238" s="23">
        <v>45808</v>
      </c>
      <c r="B238" s="9">
        <v>25302.66</v>
      </c>
      <c r="C238" s="31">
        <f t="shared" ref="C238" si="177">(B238/B237-1)/(A238-A237)*30</f>
        <v>4.039574464358861E-3</v>
      </c>
      <c r="D238" s="25">
        <f t="shared" ref="D238" si="178">+D237*(1+C238)</f>
        <v>133.19750004782119</v>
      </c>
      <c r="F238" s="23">
        <v>45808</v>
      </c>
      <c r="G238" s="10">
        <v>1333.2529999999999</v>
      </c>
      <c r="H238" s="10">
        <f t="shared" si="154"/>
        <v>1412.6396166160755</v>
      </c>
      <c r="I238" s="31">
        <f t="shared" ref="I238" si="179">+(H238/H237-1)/(F238-F237)*30</f>
        <v>6.1585100599389946E-3</v>
      </c>
      <c r="J238" s="24">
        <f t="shared" ref="J238" si="180">+J237*(1+I238)</f>
        <v>140.57344998525207</v>
      </c>
      <c r="K238" s="9">
        <v>6160.3860000000004</v>
      </c>
      <c r="L238" s="31">
        <f t="shared" ref="L238" si="181">+(K238/K237-1)/(F238-F237)*30</f>
        <v>2.9900927639951859E-3</v>
      </c>
      <c r="M238" s="25">
        <f t="shared" ref="M238" si="182">+M237*(1+L238)</f>
        <v>125.23842675588135</v>
      </c>
    </row>
    <row r="239" spans="1:13">
      <c r="A239" s="23">
        <v>45838</v>
      </c>
      <c r="B239" s="9">
        <v>25411.83</v>
      </c>
      <c r="C239" s="31">
        <f t="shared" ref="C239:C244" si="183">(B239/B238-1)/(A239-A238)*30</f>
        <v>4.3145661365249222E-3</v>
      </c>
      <c r="D239" s="25">
        <f t="shared" ref="D239" si="184">+D238*(1+C239)</f>
        <v>133.77218947099729</v>
      </c>
      <c r="F239" s="23">
        <v>45838</v>
      </c>
      <c r="G239" s="10">
        <v>1341.4112</v>
      </c>
      <c r="H239" s="10">
        <f t="shared" si="154"/>
        <v>1420.7978166160756</v>
      </c>
      <c r="I239" s="31">
        <f t="shared" ref="I239" si="185">+(H239/H238-1)/(F239-F238)*30</f>
        <v>5.7751459778132563E-3</v>
      </c>
      <c r="J239" s="24">
        <f t="shared" ref="J239" si="186">+J238*(1+I239)</f>
        <v>141.38528217952174</v>
      </c>
      <c r="K239" s="9">
        <v>6178.8490000000002</v>
      </c>
      <c r="L239" s="31">
        <f t="shared" ref="L239" si="187">+(K239/K238-1)/(F239-F238)*30</f>
        <v>2.9970524574272073E-3</v>
      </c>
      <c r="M239" s="25">
        <f t="shared" ref="M239" si="188">+M238*(1+L239)</f>
        <v>125.61377289055439</v>
      </c>
    </row>
    <row r="240" spans="1:13">
      <c r="A240" s="23">
        <v>45869</v>
      </c>
      <c r="B240" s="9">
        <v>25521.26</v>
      </c>
      <c r="C240" s="31">
        <f t="shared" si="183"/>
        <v>4.1673504033356758E-3</v>
      </c>
      <c r="D240" s="25">
        <f t="shared" ref="D240" si="189">+D239*(1+C240)</f>
        <v>134.32966505874435</v>
      </c>
      <c r="F240" s="23">
        <v>45869</v>
      </c>
      <c r="G240" s="10">
        <v>1349.3164999999999</v>
      </c>
      <c r="H240" s="10">
        <f t="shared" ref="H240" si="190">+G240+$S$144+$S$146+$S$148+$S$150</f>
        <v>1428.7031166160755</v>
      </c>
      <c r="I240" s="31">
        <f t="shared" ref="I240" si="191">+(H240/H239-1)/(F240-F239)*30</f>
        <v>5.3845031524620227E-3</v>
      </c>
      <c r="J240" s="24">
        <f t="shared" ref="J240" si="192">+J239*(1+I240)</f>
        <v>142.14657167712909</v>
      </c>
      <c r="K240" s="9">
        <v>6197.08</v>
      </c>
      <c r="L240" s="31">
        <f t="shared" ref="L240" si="193">+(K240/K239-1)/(F240-F239)*30</f>
        <v>2.8553705108841547E-3</v>
      </c>
      <c r="M240" s="25">
        <f t="shared" ref="M240" si="194">+M239*(1+L240)</f>
        <v>125.97244675342699</v>
      </c>
    </row>
    <row r="241" spans="1:13">
      <c r="A241" s="23">
        <v>45900</v>
      </c>
      <c r="B241" s="9">
        <v>25619.09</v>
      </c>
      <c r="C241" s="31">
        <f t="shared" si="183"/>
        <v>3.7096206671766341E-3</v>
      </c>
      <c r="D241" s="25">
        <f t="shared" ref="D241" si="195">+D240*(1+C241)</f>
        <v>134.82797716046119</v>
      </c>
      <c r="F241" s="23">
        <v>45900</v>
      </c>
      <c r="G241" s="10">
        <v>1357.6708000000001</v>
      </c>
      <c r="H241" s="10">
        <f t="shared" ref="H241" si="196">+G241+$S$144+$S$146+$S$148+$S$150</f>
        <v>1437.0574166160757</v>
      </c>
      <c r="I241" s="31">
        <f t="shared" ref="I241" si="197">+(H241/H240-1)/(F241-F240)*30</f>
        <v>5.6588428747619554E-3</v>
      </c>
      <c r="J241" s="24">
        <f t="shared" ref="J241" si="198">+J240*(1+I241)</f>
        <v>142.95095679143606</v>
      </c>
      <c r="K241" s="9">
        <v>6215.6746000000003</v>
      </c>
      <c r="L241" s="31">
        <f t="shared" ref="L241" si="199">+(K241/K240-1)/(F241-F240)*30</f>
        <v>2.9037505072629097E-3</v>
      </c>
      <c r="M241" s="25">
        <f t="shared" ref="M241" si="200">+M240*(1+L241)</f>
        <v>126.3382393095884</v>
      </c>
    </row>
    <row r="242" spans="1:13">
      <c r="A242" s="23">
        <v>45930</v>
      </c>
      <c r="B242" s="9">
        <v>25727.46</v>
      </c>
      <c r="C242" s="31">
        <f t="shared" si="183"/>
        <v>4.230048764417349E-3</v>
      </c>
      <c r="D242" s="25">
        <f t="shared" ref="D242" si="201">+D241*(1+C242)</f>
        <v>135.3983060786577</v>
      </c>
      <c r="F242" s="23">
        <v>45930</v>
      </c>
      <c r="G242" s="10">
        <v>1365.4092000000001</v>
      </c>
      <c r="H242" s="10">
        <f t="shared" ref="H242" si="202">+G242+$S$144+$S$146+$S$148+$S$150</f>
        <v>1444.7958166160756</v>
      </c>
      <c r="I242" s="31">
        <f t="shared" ref="I242" si="203">+(H242/H241-1)/(F242-F241)*30</f>
        <v>5.3848927054160889E-3</v>
      </c>
      <c r="J242" s="24">
        <f t="shared" ref="J242" si="204">+J241*(1+I242)</f>
        <v>143.72073235589451</v>
      </c>
      <c r="K242" s="9">
        <v>6232.8398999999999</v>
      </c>
      <c r="L242" s="31">
        <f t="shared" ref="L242" si="205">+(K242/K241-1)/(F242-F241)*30</f>
        <v>2.7616149661373601E-3</v>
      </c>
      <c r="M242" s="25">
        <f t="shared" ref="M242" si="206">+M241*(1+L242)</f>
        <v>126.68713688206121</v>
      </c>
    </row>
    <row r="243" spans="1:13">
      <c r="A243" s="23">
        <v>45961</v>
      </c>
      <c r="B243" s="9">
        <v>25829.5</v>
      </c>
      <c r="C243" s="31">
        <f t="shared" si="183"/>
        <v>3.8382485910687558E-3</v>
      </c>
      <c r="D243" s="25">
        <f t="shared" ref="D243" si="207">+D242*(1+C243)</f>
        <v>135.91799843619722</v>
      </c>
      <c r="F243" s="23">
        <v>45961</v>
      </c>
      <c r="G243" s="10">
        <v>1373.4771000000001</v>
      </c>
      <c r="H243" s="10">
        <f t="shared" ref="H243" si="208">+G243+$S$144+$S$146+$S$148+$S$150</f>
        <v>1452.8637166160756</v>
      </c>
      <c r="I243" s="31">
        <f t="shared" ref="I243" si="209">+(H243/H242-1)/(F243-F242)*30</f>
        <v>5.4039782448824722E-3</v>
      </c>
      <c r="J243" s="24">
        <f t="shared" ref="J243" si="210">+J242*(1+I243)</f>
        <v>144.49739606688433</v>
      </c>
      <c r="K243" s="9">
        <v>6250.6981999999998</v>
      </c>
      <c r="L243" s="31">
        <f t="shared" ref="L243" si="211">+(K243/K242-1)/(F243-F242)*30</f>
        <v>2.7727690882051537E-3</v>
      </c>
      <c r="M243" s="25">
        <f t="shared" ref="M243" si="212">+M242*(1+L243)</f>
        <v>127.038411059081</v>
      </c>
    </row>
    <row r="244" spans="1:13">
      <c r="A244" s="23">
        <v>45991</v>
      </c>
      <c r="B244" s="9">
        <v>25928.49</v>
      </c>
      <c r="C244" s="31">
        <f t="shared" si="183"/>
        <v>3.8324396523354842E-3</v>
      </c>
      <c r="D244" s="25">
        <f t="shared" ref="D244:D248" si="213">+D243*(1+C244)</f>
        <v>136.43889596287019</v>
      </c>
      <c r="F244" s="23">
        <v>45991</v>
      </c>
      <c r="G244" s="10">
        <v>1381.5279</v>
      </c>
      <c r="H244" s="10">
        <f t="shared" ref="H244:H249" si="214">+G244+$S$144+$S$146+$S$148+$S$150</f>
        <v>1460.9145166160756</v>
      </c>
      <c r="I244" s="31">
        <f t="shared" ref="I244:I249" si="215">+(H244/H243-1)/(F244-F243)*30</f>
        <v>5.5413318592272276E-3</v>
      </c>
      <c r="J244" s="24">
        <f t="shared" ref="J244:J249" si="216">+J243*(1+I244)</f>
        <v>145.29810409128513</v>
      </c>
      <c r="K244" s="9">
        <v>6268.1689999999999</v>
      </c>
      <c r="L244" s="31">
        <f t="shared" ref="L244:L248" si="217">+(K244/K243-1)/(F244-F243)*30</f>
        <v>2.7950157631990713E-3</v>
      </c>
      <c r="M244" s="25">
        <f t="shared" ref="M244:M248" si="218">+M243*(1+L244)</f>
        <v>127.39348542052289</v>
      </c>
    </row>
    <row r="245" spans="1:13">
      <c r="A245" s="23">
        <v>46022</v>
      </c>
      <c r="B245" s="9">
        <v>26035.82</v>
      </c>
      <c r="C245" s="31">
        <f t="shared" ref="C245:C247" si="219">(B245/B244-1)/(A245-A244)*30</f>
        <v>4.0059310023638477E-3</v>
      </c>
      <c r="D245" s="25">
        <f t="shared" si="213"/>
        <v>136.98546076613616</v>
      </c>
      <c r="F245" s="23">
        <v>46022</v>
      </c>
      <c r="G245" s="94">
        <v>1389.8568</v>
      </c>
      <c r="H245" s="10">
        <f t="shared" si="214"/>
        <v>1469.2434166160756</v>
      </c>
      <c r="I245" s="31">
        <f t="shared" si="215"/>
        <v>5.5172467073033044E-3</v>
      </c>
      <c r="J245" s="24">
        <f t="shared" si="216"/>
        <v>146.09974957766016</v>
      </c>
      <c r="K245" s="9">
        <v>6285.9566000000004</v>
      </c>
      <c r="L245" s="31">
        <f t="shared" si="217"/>
        <v>2.7462256444606729E-3</v>
      </c>
      <c r="M245" s="25">
        <f t="shared" si="218"/>
        <v>127.74333667712195</v>
      </c>
    </row>
    <row r="246" spans="1:13">
      <c r="A246" s="23">
        <v>46053</v>
      </c>
      <c r="B246" s="9">
        <v>26136.9</v>
      </c>
      <c r="C246" s="31">
        <f t="shared" si="219"/>
        <v>3.7571067413552559E-3</v>
      </c>
      <c r="D246" s="25">
        <f t="shared" si="213"/>
        <v>137.50012976424827</v>
      </c>
      <c r="F246" s="23">
        <v>46053</v>
      </c>
      <c r="G246" s="94">
        <v>1398.3867</v>
      </c>
      <c r="H246" s="10">
        <f t="shared" si="214"/>
        <v>1477.7733166160756</v>
      </c>
      <c r="I246" s="31">
        <f t="shared" si="215"/>
        <v>5.6183623776215955E-3</v>
      </c>
      <c r="J246" s="24">
        <f t="shared" si="216"/>
        <v>146.92059091406722</v>
      </c>
      <c r="K246" s="9">
        <v>6303.0823</v>
      </c>
      <c r="L246" s="31">
        <f t="shared" si="217"/>
        <v>2.6365530529619398E-3</v>
      </c>
      <c r="M246" s="25">
        <f t="shared" si="218"/>
        <v>128.08013876143355</v>
      </c>
    </row>
    <row r="247" spans="1:13">
      <c r="A247" s="90">
        <v>46081</v>
      </c>
      <c r="B247" s="91">
        <v>26231.81</v>
      </c>
      <c r="C247" s="31">
        <f t="shared" si="219"/>
        <v>3.8906406541817334E-3</v>
      </c>
      <c r="D247" s="25">
        <f t="shared" si="213"/>
        <v>138.03509335906432</v>
      </c>
      <c r="F247" s="90">
        <v>46081</v>
      </c>
      <c r="G247" s="94">
        <v>1406.3788999999999</v>
      </c>
      <c r="H247" s="10">
        <f t="shared" si="214"/>
        <v>1485.7655166160755</v>
      </c>
      <c r="I247" s="31">
        <f t="shared" si="215"/>
        <v>5.7945771061692795E-3</v>
      </c>
      <c r="J247" s="24">
        <f t="shared" si="216"/>
        <v>147.77193360660274</v>
      </c>
      <c r="K247" s="92">
        <v>6318.4947000000002</v>
      </c>
      <c r="L247" s="31">
        <f t="shared" si="217"/>
        <v>2.6198746785023792E-3</v>
      </c>
      <c r="M247" s="25">
        <f t="shared" si="218"/>
        <v>128.4156926737937</v>
      </c>
    </row>
    <row r="248" spans="1:13">
      <c r="A248" s="90">
        <v>46112</v>
      </c>
      <c r="B248" s="91">
        <v>26333.64</v>
      </c>
      <c r="C248" s="31">
        <f>(B248/B247-1)/(A248-A247)*30</f>
        <v>3.7567045998854547E-3</v>
      </c>
      <c r="D248" s="25">
        <f t="shared" si="213"/>
        <v>138.55365042923194</v>
      </c>
      <c r="F248" s="90">
        <v>46112</v>
      </c>
      <c r="G248" s="95">
        <v>1415.1742999999999</v>
      </c>
      <c r="H248" s="10">
        <f t="shared" si="214"/>
        <v>1494.5609166160755</v>
      </c>
      <c r="I248" s="31">
        <f t="shared" si="215"/>
        <v>5.7288161046707654E-3</v>
      </c>
      <c r="J248" s="24">
        <f t="shared" si="216"/>
        <v>148.61849183966658</v>
      </c>
      <c r="K248" s="93">
        <v>6335.4773999999998</v>
      </c>
      <c r="L248" s="31">
        <f t="shared" si="217"/>
        <v>2.6010737917912404E-3</v>
      </c>
      <c r="M248" s="25">
        <f t="shared" si="218"/>
        <v>128.74971136646221</v>
      </c>
    </row>
    <row r="249" spans="1:13">
      <c r="A249" s="23">
        <v>46142</v>
      </c>
      <c r="B249" s="9">
        <v>26432.560000000001</v>
      </c>
      <c r="C249" s="31">
        <f t="shared" ref="C249" si="220">(B249/B248-1)/(A249-A248)*30</f>
        <v>3.7564119506456883E-3</v>
      </c>
      <c r="D249" s="25">
        <f t="shared" ref="D249" si="221">+D248*(1+C249)</f>
        <v>139.07411501750988</v>
      </c>
      <c r="F249" s="23">
        <v>46142</v>
      </c>
      <c r="G249" s="94">
        <v>1423.943</v>
      </c>
      <c r="H249" s="10">
        <f t="shared" si="214"/>
        <v>1503.3296166160756</v>
      </c>
      <c r="I249" s="31">
        <f t="shared" si="215"/>
        <v>5.8670743376949552E-3</v>
      </c>
      <c r="J249" s="24">
        <f t="shared" si="216"/>
        <v>149.49044757924602</v>
      </c>
      <c r="K249" s="9">
        <v>6351.9305000000004</v>
      </c>
      <c r="L249" s="31">
        <f t="shared" ref="L249" si="222">+(K249/K248-1)/(F249-F248)*30</f>
        <v>2.5969787217614559E-3</v>
      </c>
      <c r="M249" s="25">
        <f t="shared" ref="M249" si="223">+M248*(1+L249)</f>
        <v>129.08407162731385</v>
      </c>
    </row>
  </sheetData>
  <mergeCells count="5">
    <mergeCell ref="AV30:AV31"/>
    <mergeCell ref="AC51:AC53"/>
    <mergeCell ref="AC48:AC50"/>
    <mergeCell ref="AC54:AC56"/>
    <mergeCell ref="AC57:AC59"/>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28"/>
  <sheetViews>
    <sheetView showGridLines="0" tabSelected="1" zoomScale="70" zoomScaleNormal="70" workbookViewId="0">
      <selection activeCell="E26" sqref="E26:H28"/>
    </sheetView>
  </sheetViews>
  <sheetFormatPr defaultColWidth="11.42578125" defaultRowHeight="15"/>
  <cols>
    <col min="3" max="3" width="7.7109375" style="7" customWidth="1"/>
    <col min="4" max="4" width="15.28515625" customWidth="1"/>
    <col min="5" max="16" width="7.28515625" customWidth="1"/>
    <col min="17" max="17" width="10.140625" customWidth="1"/>
    <col min="19" max="19" width="17" customWidth="1"/>
    <col min="20" max="20" width="9" bestFit="1" customWidth="1"/>
    <col min="21" max="21" width="11.140625" bestFit="1" customWidth="1"/>
    <col min="22" max="22" width="10.85546875" bestFit="1" customWidth="1"/>
    <col min="23" max="23" width="6.85546875" bestFit="1" customWidth="1"/>
    <col min="24" max="24" width="12.28515625" customWidth="1"/>
  </cols>
  <sheetData>
    <row r="1" spans="2:24" ht="25.5">
      <c r="C1" s="78"/>
      <c r="D1" s="79"/>
      <c r="E1" s="79"/>
      <c r="F1" s="79"/>
      <c r="G1" s="79"/>
      <c r="H1" s="79"/>
      <c r="I1" s="79"/>
      <c r="J1" s="79"/>
      <c r="K1" s="79"/>
      <c r="L1" s="79"/>
      <c r="M1" s="79"/>
      <c r="N1" s="79"/>
      <c r="O1" s="79"/>
      <c r="P1" s="79"/>
      <c r="Q1" s="79"/>
      <c r="R1" s="79"/>
      <c r="S1" s="81" t="s">
        <v>31</v>
      </c>
      <c r="T1" s="82" t="s">
        <v>32</v>
      </c>
      <c r="U1" s="82" t="s">
        <v>33</v>
      </c>
      <c r="V1" s="82" t="s">
        <v>34</v>
      </c>
      <c r="W1" s="82" t="s">
        <v>35</v>
      </c>
      <c r="X1" s="83" t="s">
        <v>48</v>
      </c>
    </row>
    <row r="2" spans="2:24">
      <c r="C2" s="78"/>
      <c r="D2" s="79"/>
      <c r="E2" s="79"/>
      <c r="F2" s="79"/>
      <c r="G2" s="79"/>
      <c r="H2" s="79"/>
      <c r="I2" s="79"/>
      <c r="J2" s="79"/>
      <c r="K2" s="79"/>
      <c r="L2" s="79"/>
      <c r="M2" s="79"/>
      <c r="N2" s="79"/>
      <c r="O2" s="79"/>
      <c r="P2" s="79"/>
      <c r="Q2" s="79"/>
      <c r="R2" s="79"/>
      <c r="S2" s="78" t="s">
        <v>49</v>
      </c>
      <c r="T2" s="84">
        <f>+'Datos ICP (2)'!AX30</f>
        <v>3.7564119506456883E-3</v>
      </c>
      <c r="U2" s="84">
        <f>+'Datos ICP (2)'!AY30</f>
        <v>1.1311976554220227E-2</v>
      </c>
      <c r="V2" s="84">
        <f>+'Datos ICP (2)'!AZ30</f>
        <v>2.3347722565283835E-2</v>
      </c>
      <c r="W2" s="84">
        <f>+'Datos ICP (2)'!BA30</f>
        <v>4.9016012712382429E-2</v>
      </c>
      <c r="X2" s="84">
        <f>+'Datos ICP (2)'!BB30</f>
        <v>3.393592966266068E-2</v>
      </c>
    </row>
    <row r="3" spans="2:24">
      <c r="C3" s="78"/>
      <c r="D3" s="79"/>
      <c r="E3" s="79"/>
      <c r="F3" s="79"/>
      <c r="G3" s="79"/>
      <c r="H3" s="79"/>
      <c r="I3" s="79"/>
      <c r="J3" s="79"/>
      <c r="K3" s="79"/>
      <c r="L3" s="79"/>
      <c r="M3" s="79"/>
      <c r="N3" s="79"/>
      <c r="O3" s="79"/>
      <c r="P3" s="79"/>
      <c r="Q3" s="79"/>
      <c r="R3" s="79"/>
      <c r="S3" s="78" t="s">
        <v>29</v>
      </c>
      <c r="T3" s="84">
        <f>+'Datos ICP (2)'!AX31</f>
        <v>2.5969787217614559E-3</v>
      </c>
      <c r="U3" s="84">
        <f>+'Datos ICP (2)'!AY31</f>
        <v>7.749890874818588E-3</v>
      </c>
      <c r="V3" s="84">
        <f>+'Datos ICP (2)'!AZ31</f>
        <v>1.6195358784079517E-2</v>
      </c>
      <c r="W3" s="84">
        <f>+'Datos ICP (2)'!BA31</f>
        <v>3.4278770324830177E-2</v>
      </c>
      <c r="X3" s="84">
        <f>+'Datos ICP (2)'!BB31</f>
        <v>2.3249672624455764E-2</v>
      </c>
    </row>
    <row r="4" spans="2:24">
      <c r="C4" s="78"/>
      <c r="D4" s="79"/>
      <c r="E4" s="79"/>
      <c r="F4" s="79"/>
      <c r="G4" s="79"/>
      <c r="H4" s="79"/>
      <c r="I4" s="79"/>
      <c r="J4" s="79"/>
      <c r="K4" s="79"/>
      <c r="L4" s="79"/>
      <c r="M4" s="79"/>
      <c r="N4" s="79"/>
      <c r="O4" s="79"/>
      <c r="P4" s="79"/>
      <c r="Q4" s="79"/>
      <c r="R4" s="79"/>
      <c r="S4" s="78" t="s">
        <v>30</v>
      </c>
      <c r="T4" s="84">
        <f>+'Datos ICP (2)'!AX32</f>
        <v>5.8670743376949552E-3</v>
      </c>
      <c r="U4" s="84">
        <f>+'Datos ICP (2)'!AY32</f>
        <v>1.7293789049135588E-2</v>
      </c>
      <c r="V4" s="84">
        <f>+'Datos ICP (2)'!AZ32</f>
        <v>3.4735467217491101E-2</v>
      </c>
      <c r="W4" s="84">
        <f>+'Datos ICP (2)'!BA32</f>
        <v>7.0971306769950893E-2</v>
      </c>
      <c r="X4" s="84">
        <f>+'Datos ICP (2)'!BB32</f>
        <v>5.1881367147406765E-2</v>
      </c>
    </row>
    <row r="5" spans="2:24">
      <c r="B5" s="8"/>
      <c r="C5" s="78"/>
      <c r="D5" s="79"/>
      <c r="E5" s="79"/>
      <c r="F5" s="79"/>
      <c r="G5" s="79"/>
      <c r="H5" s="79"/>
      <c r="I5" s="79"/>
      <c r="J5" s="79"/>
      <c r="K5" s="79"/>
      <c r="L5" s="79"/>
      <c r="M5" s="79"/>
      <c r="N5" s="79"/>
      <c r="O5" s="79"/>
      <c r="P5" s="79"/>
      <c r="Q5" s="79"/>
      <c r="R5" s="79"/>
      <c r="S5" s="79"/>
      <c r="T5" s="79"/>
      <c r="U5" s="79"/>
      <c r="V5" s="79"/>
      <c r="W5" s="79"/>
      <c r="X5" s="79"/>
    </row>
    <row r="6" spans="2:24" ht="25.5">
      <c r="B6" s="8"/>
      <c r="C6" s="81" t="s">
        <v>38</v>
      </c>
      <c r="D6" s="86" t="s">
        <v>39</v>
      </c>
      <c r="E6" s="82" t="s">
        <v>4</v>
      </c>
      <c r="F6" s="82" t="s">
        <v>5</v>
      </c>
      <c r="G6" s="82" t="s">
        <v>6</v>
      </c>
      <c r="H6" s="82" t="s">
        <v>7</v>
      </c>
      <c r="I6" s="82" t="s">
        <v>8</v>
      </c>
      <c r="J6" s="82" t="s">
        <v>9</v>
      </c>
      <c r="K6" s="82" t="s">
        <v>10</v>
      </c>
      <c r="L6" s="82" t="s">
        <v>11</v>
      </c>
      <c r="M6" s="82" t="s">
        <v>12</v>
      </c>
      <c r="N6" s="82" t="s">
        <v>13</v>
      </c>
      <c r="O6" s="82" t="s">
        <v>14</v>
      </c>
      <c r="P6" s="82" t="s">
        <v>15</v>
      </c>
      <c r="Q6" s="83" t="s">
        <v>50</v>
      </c>
      <c r="R6" s="80"/>
      <c r="S6" s="79"/>
      <c r="T6" s="79"/>
      <c r="U6" s="79"/>
      <c r="V6" s="79"/>
      <c r="W6" s="79"/>
      <c r="X6" s="79"/>
    </row>
    <row r="7" spans="2:24" ht="10.15" customHeight="1">
      <c r="B7" s="8"/>
      <c r="C7" s="78"/>
      <c r="D7" s="79"/>
      <c r="E7" s="85"/>
      <c r="F7" s="85"/>
      <c r="G7" s="85"/>
      <c r="H7" s="85"/>
      <c r="I7" s="85"/>
      <c r="J7" s="85"/>
      <c r="K7" s="85"/>
      <c r="L7" s="85"/>
      <c r="M7" s="85"/>
      <c r="N7" s="85"/>
      <c r="O7" s="85"/>
      <c r="P7" s="85"/>
      <c r="Q7" s="85"/>
      <c r="R7" s="80"/>
      <c r="S7" s="79"/>
      <c r="T7" s="79"/>
      <c r="U7" s="79"/>
      <c r="V7" s="79"/>
      <c r="W7" s="79"/>
      <c r="X7" s="79"/>
    </row>
    <row r="8" spans="2:24" ht="15" customHeight="1">
      <c r="C8" s="78">
        <v>2020</v>
      </c>
      <c r="D8" s="79" t="s">
        <v>3</v>
      </c>
      <c r="E8" s="84"/>
      <c r="F8" s="84"/>
      <c r="G8" s="84"/>
      <c r="H8" s="84"/>
      <c r="I8" s="84">
        <v>4.5618098808919427E-4</v>
      </c>
      <c r="J8" s="84">
        <v>4.5597298188360114E-4</v>
      </c>
      <c r="K8" s="84">
        <v>4.5576516528234023E-4</v>
      </c>
      <c r="L8" s="84">
        <v>2.708007149561098E-4</v>
      </c>
      <c r="M8" s="84">
        <v>3.8102375065629523E-4</v>
      </c>
      <c r="N8" s="84">
        <f>+'Datos ICP (2)'!AN39</f>
        <v>3.7243810326681448E-4</v>
      </c>
      <c r="O8" s="84">
        <f>+'Datos ICP (2)'!AO39</f>
        <v>3.2958520252091006E-4</v>
      </c>
      <c r="P8" s="84">
        <f>+'Datos ICP (2)'!AP39</f>
        <v>3.9010030849562227E-4</v>
      </c>
      <c r="Q8" s="84">
        <v>4.9573490293135514E-3</v>
      </c>
      <c r="R8" s="79"/>
      <c r="S8" s="79"/>
      <c r="T8" s="79"/>
      <c r="U8" s="79"/>
      <c r="V8" s="79"/>
      <c r="W8" s="79"/>
      <c r="X8" s="79"/>
    </row>
    <row r="9" spans="2:24" ht="15" customHeight="1">
      <c r="C9" s="78"/>
      <c r="D9" s="79" t="s">
        <v>29</v>
      </c>
      <c r="E9" s="84"/>
      <c r="F9" s="84"/>
      <c r="G9" s="84"/>
      <c r="H9" s="84"/>
      <c r="I9" s="84">
        <v>3.205512314576886E-4</v>
      </c>
      <c r="J9" s="84">
        <v>1.0010830250339886E-4</v>
      </c>
      <c r="K9" s="84">
        <v>9.0333093036187861E-5</v>
      </c>
      <c r="L9" s="84">
        <v>1.0112886393898179E-4</v>
      </c>
      <c r="M9" s="84">
        <v>7.0870692213009789E-5</v>
      </c>
      <c r="N9" s="84">
        <f>+'Datos ICP (2)'!AN40</f>
        <v>6.7319329227988334E-5</v>
      </c>
      <c r="O9" s="84">
        <f>+'Datos ICP (2)'!AO40</f>
        <v>6.0935890083824162E-5</v>
      </c>
      <c r="P9" s="84">
        <f>+'Datos ICP (2)'!AP40</f>
        <v>6.0626497308868821E-5</v>
      </c>
      <c r="Q9" s="84">
        <v>1.639577636786349E-3</v>
      </c>
      <c r="R9" s="79"/>
      <c r="S9" s="79"/>
      <c r="T9" s="79"/>
      <c r="U9" s="79"/>
      <c r="V9" s="79"/>
      <c r="W9" s="79"/>
      <c r="X9" s="79"/>
    </row>
    <row r="10" spans="2:24" ht="15" customHeight="1">
      <c r="C10" s="78"/>
      <c r="D10" s="78" t="s">
        <v>30</v>
      </c>
      <c r="E10" s="84"/>
      <c r="F10" s="84"/>
      <c r="G10" s="84"/>
      <c r="H10" s="84"/>
      <c r="I10" s="84">
        <v>1.8541703332746184E-3</v>
      </c>
      <c r="J10" s="84">
        <v>2.8603505723596712E-3</v>
      </c>
      <c r="K10" s="84">
        <v>2.3695779159478292E-3</v>
      </c>
      <c r="L10" s="84">
        <v>2.0442516741108196E-3</v>
      </c>
      <c r="M10" s="84">
        <v>2.4028526257324767E-3</v>
      </c>
      <c r="N10" s="84">
        <v>2.5000000000000001E-3</v>
      </c>
      <c r="O10" s="84">
        <v>2.5000000000000001E-3</v>
      </c>
      <c r="P10" s="84">
        <v>2E-3</v>
      </c>
      <c r="Q10" s="84">
        <v>2.7802115166157295E-2</v>
      </c>
      <c r="R10" s="79"/>
      <c r="S10" s="79"/>
      <c r="T10" s="79"/>
      <c r="U10" s="79"/>
      <c r="V10" s="79"/>
      <c r="W10" s="79"/>
      <c r="X10" s="79"/>
    </row>
    <row r="11" spans="2:24" ht="15" customHeight="1">
      <c r="C11" s="78">
        <v>2021</v>
      </c>
      <c r="D11" s="79" t="s">
        <v>3</v>
      </c>
      <c r="E11" s="84">
        <f>+'Datos ICP (2)'!AE42</f>
        <v>2.7190981868452369E-4</v>
      </c>
      <c r="F11" s="84">
        <f>+'Datos ICP (2)'!AF42</f>
        <v>2.391734502720233E-4</v>
      </c>
      <c r="G11" s="84">
        <f>+'Datos ICP (2)'!AG42</f>
        <v>2.591303963113134E-4</v>
      </c>
      <c r="H11" s="84">
        <f>+'Datos ICP (2)'!AH42</f>
        <v>2.943422057235523E-4</v>
      </c>
      <c r="I11" s="84">
        <f>+'Datos ICP (2)'!AI42</f>
        <v>2.4266874558165341E-4</v>
      </c>
      <c r="J11" s="84">
        <f>+'Datos ICP (2)'!AJ42</f>
        <v>2.7260718777788462E-4</v>
      </c>
      <c r="K11" s="84">
        <f>+'Datos ICP (2)'!AK42</f>
        <v>5.0192351401157076E-4</v>
      </c>
      <c r="L11" s="84">
        <f>+'Datos ICP (2)'!AL42</f>
        <v>6.2893015614950976E-4</v>
      </c>
      <c r="M11" s="84">
        <f>+'Datos ICP (2)'!AM42</f>
        <v>1.2476101486305069E-3</v>
      </c>
      <c r="N11" s="84">
        <f>+'Datos ICP (2)'!AN42</f>
        <v>2.0716854607256696E-3</v>
      </c>
      <c r="O11" s="84">
        <f>+'Datos ICP (2)'!AO42</f>
        <v>2.1412569618350918E-3</v>
      </c>
      <c r="P11" s="84">
        <f>+'Datos ICP (2)'!AP42</f>
        <v>3.1851611422883952E-3</v>
      </c>
      <c r="Q11" s="84">
        <f>+'Datos ICP (2)'!AQ42</f>
        <v>1.1410200201508403E-2</v>
      </c>
      <c r="R11" s="79"/>
      <c r="S11" s="79"/>
      <c r="T11" s="79"/>
      <c r="U11" s="79"/>
      <c r="V11" s="79"/>
      <c r="W11" s="79"/>
      <c r="X11" s="79"/>
    </row>
    <row r="12" spans="2:24" ht="15" customHeight="1">
      <c r="C12" s="78"/>
      <c r="D12" s="79" t="s">
        <v>29</v>
      </c>
      <c r="E12" s="84">
        <f>+'Datos ICP (2)'!AE43</f>
        <v>4.9904299488812143E-5</v>
      </c>
      <c r="F12" s="84">
        <f>+'Datos ICP (2)'!AF43</f>
        <v>5.4506876088211698E-5</v>
      </c>
      <c r="G12" s="84">
        <f>+'Datos ICP (2)'!AG43</f>
        <v>5.403527354186366E-5</v>
      </c>
      <c r="H12" s="84">
        <f>+'Datos ICP (2)'!AH43</f>
        <v>6.6256868343383957E-5</v>
      </c>
      <c r="I12" s="84">
        <f>+'Datos ICP (2)'!AI43</f>
        <v>6.0079507863797232E-5</v>
      </c>
      <c r="J12" s="84">
        <f>+'Datos ICP (2)'!AJ43</f>
        <v>5.9933297214431747E-5</v>
      </c>
      <c r="K12" s="84">
        <f>+'Datos ICP (2)'!AK43</f>
        <v>6.1885263458627549E-5</v>
      </c>
      <c r="L12" s="84">
        <f>+'Datos ICP (2)'!AL43</f>
        <v>6.2044386994530853E-5</v>
      </c>
      <c r="M12" s="84">
        <f>+'Datos ICP (2)'!AM43</f>
        <v>-1.177670351739657E-4</v>
      </c>
      <c r="N12" s="84">
        <f>+'Datos ICP (2)'!AN43</f>
        <v>1.0223227816485991E-3</v>
      </c>
      <c r="O12" s="84">
        <f>+'Datos ICP (2)'!AO43</f>
        <v>1.2592250239187308E-3</v>
      </c>
      <c r="P12" s="84">
        <f>+'Datos ICP (2)'!AP43</f>
        <v>1.8230922141349026E-3</v>
      </c>
      <c r="Q12" s="84">
        <f>+'Datos ICP (2)'!AQ43</f>
        <v>4.4624510187976085E-3</v>
      </c>
      <c r="R12" s="79"/>
      <c r="S12" s="79"/>
      <c r="T12" s="79"/>
      <c r="U12" s="79"/>
      <c r="V12" s="79"/>
      <c r="W12" s="79"/>
      <c r="X12" s="79"/>
    </row>
    <row r="13" spans="2:24" ht="15" customHeight="1">
      <c r="C13" s="78"/>
      <c r="D13" s="78" t="s">
        <v>30</v>
      </c>
      <c r="E13" s="84">
        <f>+'Datos ICP (2)'!AE44</f>
        <v>1.939639532711146E-3</v>
      </c>
      <c r="F13" s="84">
        <f>+'Datos ICP (2)'!AF44</f>
        <v>1.6388021394064811E-3</v>
      </c>
      <c r="G13" s="84">
        <f>+'Datos ICP (2)'!AG44</f>
        <v>1.5487945847312279E-3</v>
      </c>
      <c r="H13" s="84">
        <f>+'Datos ICP (2)'!AH44</f>
        <v>1.5357569263623194E-3</v>
      </c>
      <c r="I13" s="84">
        <f>+'Datos ICP (2)'!AI44</f>
        <v>1.7735170111332632E-3</v>
      </c>
      <c r="J13" s="84">
        <f>+'Datos ICP (2)'!AJ44</f>
        <v>1.4416429250754259E-3</v>
      </c>
      <c r="K13" s="84">
        <f>+'Datos ICP (2)'!AK44</f>
        <v>1.7106890593396873E-3</v>
      </c>
      <c r="L13" s="84">
        <f>+'Datos ICP (2)'!AL44</f>
        <v>1.1973969260781203E-3</v>
      </c>
      <c r="M13" s="84">
        <f>+'Datos ICP (2)'!AM44</f>
        <v>1.5169753044872447E-3</v>
      </c>
      <c r="N13" s="84">
        <f>+'Datos ICP (2)'!AN44</f>
        <v>1.4823639384022869E-3</v>
      </c>
      <c r="O13" s="84">
        <f>+'Datos ICP (2)'!AO44</f>
        <v>1.6274912165432642E-3</v>
      </c>
      <c r="P13" s="84">
        <f>+'Datos ICP (2)'!AP44</f>
        <v>2.4144808451220801E-3</v>
      </c>
      <c r="Q13" s="84">
        <f>+'Datos ICP (2)'!AQ44</f>
        <v>2.0008221056701192E-2</v>
      </c>
      <c r="R13" s="79"/>
      <c r="S13" s="79"/>
      <c r="T13" s="79"/>
      <c r="U13" s="79"/>
      <c r="V13" s="79"/>
      <c r="W13" s="79"/>
      <c r="X13" s="79"/>
    </row>
    <row r="14" spans="2:24" ht="15" customHeight="1">
      <c r="C14" s="78">
        <v>2022</v>
      </c>
      <c r="D14" s="79" t="s">
        <v>3</v>
      </c>
      <c r="E14" s="84">
        <f>+'Datos ICP (2)'!AE45</f>
        <v>3.4355541823989366E-3</v>
      </c>
      <c r="F14" s="84">
        <f>+'Datos ICP (2)'!AF45</f>
        <v>4.2862298052634973E-3</v>
      </c>
      <c r="G14" s="84">
        <f>+'Datos ICP (2)'!AG45</f>
        <v>4.8314798442756768E-3</v>
      </c>
      <c r="H14" s="84">
        <f>+'Datos ICP (2)'!AH45</f>
        <v>5.4524358964465058E-3</v>
      </c>
      <c r="I14" s="84">
        <f>+'Datos ICP (2)'!AI45</f>
        <v>7.1131325826505609E-3</v>
      </c>
      <c r="J14" s="84">
        <f>+'Datos ICP (2)'!AJ45</f>
        <v>7.3596364286758753E-3</v>
      </c>
      <c r="K14" s="84">
        <f>+'Datos ICP (2)'!AK45</f>
        <v>7.5893460632852072E-3</v>
      </c>
      <c r="L14" s="84">
        <f>+'Datos ICP (2)'!AL45</f>
        <v>8.9759416728991681E-3</v>
      </c>
      <c r="M14" s="84">
        <f>+'Datos ICP (2)'!AM45</f>
        <v>8.7998364667287721E-3</v>
      </c>
      <c r="N14" s="84">
        <f>+'Datos ICP (2)'!AN45</f>
        <v>8.6030686179809912E-3</v>
      </c>
      <c r="O14" s="84">
        <f>+'Datos ICP (2)'!AO45</f>
        <v>1.036123897948027E-2</v>
      </c>
      <c r="P14" s="84">
        <f>+'Datos ICP (2)'!AP45</f>
        <v>9.416651222412753E-3</v>
      </c>
      <c r="Q14" s="84">
        <f>+'Datos ICP (2)'!AQ45</f>
        <v>8.9685991181348346E-2</v>
      </c>
      <c r="R14" s="79"/>
      <c r="S14" s="79"/>
      <c r="T14" s="79"/>
      <c r="U14" s="79"/>
      <c r="V14" s="79"/>
      <c r="W14" s="79"/>
      <c r="X14" s="79"/>
    </row>
    <row r="15" spans="2:24" ht="15" customHeight="1">
      <c r="C15" s="78"/>
      <c r="D15" s="79" t="s">
        <v>29</v>
      </c>
      <c r="E15" s="84">
        <f>+'Datos ICP (2)'!AE46</f>
        <v>2.5716675973617154E-3</v>
      </c>
      <c r="F15" s="84">
        <f>+'Datos ICP (2)'!AF46</f>
        <v>3.3003449253206085E-3</v>
      </c>
      <c r="G15" s="84">
        <f>+'Datos ICP (2)'!AG46</f>
        <v>3.7926066476499098E-3</v>
      </c>
      <c r="H15" s="84">
        <f>+'Datos ICP (2)'!AH46</f>
        <v>4.5716132579094459E-3</v>
      </c>
      <c r="I15" s="84">
        <f>+'Datos ICP (2)'!AI46</f>
        <v>5.5105600851037551E-3</v>
      </c>
      <c r="J15" s="84">
        <f>+'Datos ICP (2)'!AJ46</f>
        <v>5.8835914511081722E-3</v>
      </c>
      <c r="K15" s="84">
        <f>+'Datos ICP (2)'!AK46</f>
        <v>6.5118669140771246E-3</v>
      </c>
      <c r="L15" s="84">
        <f>+'Datos ICP (2)'!AL46</f>
        <v>7.0304553653228741E-3</v>
      </c>
      <c r="M15" s="84">
        <f>+'Datos ICP (2)'!AM46</f>
        <v>7.3357454740365924E-3</v>
      </c>
      <c r="N15" s="84">
        <f>+'Datos ICP (2)'!AN46</f>
        <v>7.242252792307724E-3</v>
      </c>
      <c r="O15" s="84">
        <f>+'Datos ICP (2)'!AO46</f>
        <v>8.7418046963003704E-3</v>
      </c>
      <c r="P15" s="84">
        <f>+'Datos ICP (2)'!AP46</f>
        <v>7.9281719511867799E-3</v>
      </c>
      <c r="Q15" s="84">
        <f>+'Datos ICP (2)'!AQ46</f>
        <v>7.2716429569050778E-2</v>
      </c>
      <c r="R15" s="79"/>
      <c r="S15" s="79"/>
      <c r="T15" s="79"/>
      <c r="U15" s="79"/>
      <c r="V15" s="79"/>
      <c r="W15" s="79"/>
      <c r="X15" s="79"/>
    </row>
    <row r="16" spans="2:24" ht="15" customHeight="1">
      <c r="C16" s="78"/>
      <c r="D16" s="78" t="s">
        <v>30</v>
      </c>
      <c r="E16" s="84">
        <f>+'Datos ICP (2)'!AE47</f>
        <v>3.4210183783704995E-3</v>
      </c>
      <c r="F16" s="84">
        <f>+'Datos ICP (2)'!AF47</f>
        <v>4.0991653310769038E-3</v>
      </c>
      <c r="G16" s="84">
        <f>+'Datos ICP (2)'!AG47</f>
        <v>4.6640935989290533E-3</v>
      </c>
      <c r="H16" s="84">
        <f>+'Datos ICP (2)'!AH47</f>
        <v>6.3330379095802858E-3</v>
      </c>
      <c r="I16" s="84">
        <f>+'Datos ICP (2)'!AI47</f>
        <v>8.1561925397797275E-3</v>
      </c>
      <c r="J16" s="84">
        <f>+'Datos ICP (2)'!AJ47</f>
        <v>7.8016426915761272E-3</v>
      </c>
      <c r="K16" s="84">
        <f>+'Datos ICP (2)'!AK47</f>
        <v>8.2066286075488382E-3</v>
      </c>
      <c r="L16" s="84">
        <f>+'Datos ICP (2)'!AL47</f>
        <v>8.7744943570011724E-3</v>
      </c>
      <c r="M16" s="84">
        <f>+'Datos ICP (2)'!AM47</f>
        <v>8.6916824842093732E-3</v>
      </c>
      <c r="N16" s="84">
        <f>+'Datos ICP (2)'!AN47</f>
        <v>9.2454061194180426E-3</v>
      </c>
      <c r="O16" s="84">
        <f>+'Datos ICP (2)'!AO47</f>
        <v>1.1064127667384849E-2</v>
      </c>
      <c r="P16" s="84">
        <f>+'Datos ICP (2)'!AP47</f>
        <v>1.0008641329182888E-2</v>
      </c>
      <c r="Q16" s="84">
        <f>+'Datos ICP (2)'!AQ47</f>
        <v>9.4278709768367497E-2</v>
      </c>
      <c r="R16" s="79"/>
      <c r="S16" s="79"/>
      <c r="T16" s="79"/>
      <c r="U16" s="79"/>
      <c r="V16" s="79"/>
      <c r="W16" s="79"/>
      <c r="X16" s="79"/>
    </row>
    <row r="17" spans="3:24" ht="15" customHeight="1">
      <c r="C17" s="78">
        <v>2023</v>
      </c>
      <c r="D17" s="79" t="s">
        <v>3</v>
      </c>
      <c r="E17" s="84">
        <f>+'Datos ICP (2)'!AE48</f>
        <v>1.004695720110016E-2</v>
      </c>
      <c r="F17" s="84">
        <f>+'Datos ICP (2)'!AF48</f>
        <v>8.7853587137844968E-3</v>
      </c>
      <c r="G17" s="84">
        <f>+'Datos ICP (2)'!AG48</f>
        <v>9.7318177744223355E-3</v>
      </c>
      <c r="H17" s="84">
        <f>+'Datos ICP (2)'!AH48</f>
        <v>8.7852439132070081E-3</v>
      </c>
      <c r="I17" s="84">
        <f>+'Datos ICP (2)'!AI48</f>
        <v>1.036166313630571E-2</v>
      </c>
      <c r="J17" s="84">
        <f>+'Datos ICP (2)'!AJ48</f>
        <v>9.4150701308506335E-3</v>
      </c>
      <c r="K17" s="84">
        <f>+'Datos ICP (2)'!AK48</f>
        <v>9.7315292241744178E-3</v>
      </c>
      <c r="L17" s="84">
        <f>+'Datos ICP (2)'!AL48</f>
        <v>8.8633739513521714E-3</v>
      </c>
      <c r="M17" s="84">
        <f>+'Datos ICP (2)'!AM48</f>
        <v>7.7953451413450559E-3</v>
      </c>
      <c r="N17" s="84">
        <f>+'Datos ICP (2)'!AN48</f>
        <v>8.4601535041790576E-3</v>
      </c>
      <c r="O17" s="84">
        <f>+'Datos ICP (2)'!AO48</f>
        <v>7.5266143106456074E-3</v>
      </c>
      <c r="P17" s="84">
        <f>+'Datos ICP (2)'!AP48</f>
        <v>7.0819499482732695E-3</v>
      </c>
      <c r="Q17" s="84">
        <f>+'Datos ICP (2)'!AQ48</f>
        <v>0.11194279263621576</v>
      </c>
      <c r="R17" s="79"/>
      <c r="S17" s="79"/>
      <c r="T17" s="79"/>
      <c r="U17" s="79"/>
      <c r="V17" s="79"/>
      <c r="W17" s="79"/>
      <c r="X17" s="79"/>
    </row>
    <row r="18" spans="3:24" ht="15" customHeight="1">
      <c r="C18" s="78"/>
      <c r="D18" s="79" t="s">
        <v>29</v>
      </c>
      <c r="E18" s="84">
        <f>+'Datos ICP (2)'!AE49</f>
        <v>8.4413123561493109E-3</v>
      </c>
      <c r="F18" s="84">
        <f>+'Datos ICP (2)'!AF49</f>
        <v>7.3877688517240969E-3</v>
      </c>
      <c r="G18" s="84">
        <f>+'Datos ICP (2)'!AG49</f>
        <v>8.2103786429854608E-3</v>
      </c>
      <c r="H18" s="84">
        <f>+'Datos ICP (2)'!AH49</f>
        <v>7.4581790813075255E-3</v>
      </c>
      <c r="I18" s="84">
        <f>+'Datos ICP (2)'!AI49</f>
        <v>8.8250764209547583E-3</v>
      </c>
      <c r="J18" s="84">
        <f>+'Datos ICP (2)'!AJ49</f>
        <v>8.0028913540715063E-3</v>
      </c>
      <c r="K18" s="84">
        <f>+'Datos ICP (2)'!AK49</f>
        <v>8.20447209350883E-3</v>
      </c>
      <c r="L18" s="84">
        <f>+'Datos ICP (2)'!AL49</f>
        <v>7.5962855810813856E-3</v>
      </c>
      <c r="M18" s="84">
        <f>+'Datos ICP (2)'!AM49</f>
        <v>6.7848226130593492E-3</v>
      </c>
      <c r="N18" s="84">
        <f>+'Datos ICP (2)'!AN49</f>
        <v>6.6760826965912567E-3</v>
      </c>
      <c r="O18" s="84">
        <f>+'Datos ICP (2)'!AO49</f>
        <v>6.1695672319295181E-3</v>
      </c>
      <c r="P18" s="84">
        <f>+'Datos ICP (2)'!AP49</f>
        <v>6.1015518639564448E-3</v>
      </c>
      <c r="Q18" s="84">
        <f>+'Datos ICP (2)'!AQ49</f>
        <v>9.364840576365796E-2</v>
      </c>
      <c r="R18" s="79"/>
      <c r="S18" s="79"/>
      <c r="T18" s="79"/>
      <c r="U18" s="79"/>
      <c r="V18" s="79"/>
      <c r="W18" s="79"/>
      <c r="X18" s="79"/>
    </row>
    <row r="19" spans="3:24" ht="15" customHeight="1">
      <c r="C19" s="78"/>
      <c r="D19" s="78" t="s">
        <v>30</v>
      </c>
      <c r="E19" s="84">
        <f>+'Datos ICP (2)'!AE50</f>
        <v>1.1246136526325667E-2</v>
      </c>
      <c r="F19" s="84">
        <f>+'Datos ICP (2)'!AF50</f>
        <v>1.0223474726265502E-2</v>
      </c>
      <c r="G19" s="84">
        <f>+'Datos ICP (2)'!AG50</f>
        <v>1.0701830722657402E-2</v>
      </c>
      <c r="H19" s="84">
        <f>+'Datos ICP (2)'!AH50</f>
        <v>9.8497826647554465E-3</v>
      </c>
      <c r="I19" s="84">
        <f>+'Datos ICP (2)'!AI50</f>
        <v>1.1326808278873557E-2</v>
      </c>
      <c r="J19" s="84">
        <f>+'Datos ICP (2)'!AJ50</f>
        <v>1.0293259896307472E-2</v>
      </c>
      <c r="K19" s="84">
        <f>+'Datos ICP (2)'!AK50</f>
        <v>1.0736977179385931E-2</v>
      </c>
      <c r="L19" s="84">
        <f>+'Datos ICP (2)'!AL50</f>
        <v>9.662818572222065E-3</v>
      </c>
      <c r="M19" s="84">
        <f>+'Datos ICP (2)'!AM50</f>
        <v>9.2702200726844097E-3</v>
      </c>
      <c r="N19" s="84">
        <f>+'Datos ICP (2)'!AN50</f>
        <v>9.1743349034369981E-3</v>
      </c>
      <c r="O19" s="84">
        <f>+'Datos ICP (2)'!AO50</f>
        <v>8.659856398253174E-3</v>
      </c>
      <c r="P19" s="84">
        <f>+'Datos ICP (2)'!AP50</f>
        <v>8.271490580278984E-3</v>
      </c>
      <c r="Q19" s="84">
        <f>+'Datos ICP (2)'!AQ50</f>
        <v>0.12616890961449245</v>
      </c>
      <c r="R19" s="79"/>
      <c r="S19" s="79"/>
      <c r="T19" s="79"/>
      <c r="U19" s="79"/>
      <c r="V19" s="79"/>
      <c r="W19" s="79"/>
      <c r="X19" s="79"/>
    </row>
    <row r="20" spans="3:24" ht="15" customHeight="1">
      <c r="C20" s="78">
        <v>2024</v>
      </c>
      <c r="D20" s="79" t="s">
        <v>3</v>
      </c>
      <c r="E20" s="84">
        <f>+'Datos ICP (2)'!AE51</f>
        <v>7.3572253241631635E-3</v>
      </c>
      <c r="F20" s="84">
        <f>+'Datos ICP (2)'!AF51</f>
        <v>6.1121391206355735E-3</v>
      </c>
      <c r="G20" s="84">
        <f>+'Datos ICP (2)'!AG51</f>
        <v>5.6473517140609442E-3</v>
      </c>
      <c r="H20" s="84">
        <f>+'Datos ICP (2)'!AH51</f>
        <v>6.0927839618283297E-3</v>
      </c>
      <c r="I20" s="84">
        <f>+'Datos ICP (2)'!AI51</f>
        <v>5.5141192903180869E-3</v>
      </c>
      <c r="J20" s="84">
        <f>+'Datos ICP (2)'!AJ51</f>
        <v>4.6135490632155385E-3</v>
      </c>
      <c r="K20" s="84">
        <f>+'Datos ICP (2)'!AK51</f>
        <v>5.2843503528434699E-3</v>
      </c>
      <c r="L20" s="84">
        <f>+'Datos ICP (2)'!AL51</f>
        <v>4.8023520375928275E-3</v>
      </c>
      <c r="M20" s="84">
        <f>+'Datos ICP (2)'!AM51</f>
        <v>4.7810434954138614E-3</v>
      </c>
      <c r="N20" s="84">
        <f>+'Datos ICP (2)'!AN51</f>
        <v>4.510440516418468E-3</v>
      </c>
      <c r="O20" s="84">
        <f>+'Datos ICP (2)'!AO51</f>
        <v>4.3843255475723986E-3</v>
      </c>
      <c r="P20" s="84">
        <f>+'Datos ICP (2)'!AP51</f>
        <v>4.4462641732778696E-3</v>
      </c>
      <c r="Q20" s="84">
        <f>+'Datos ICP (2)'!AQ51</f>
        <v>6.5425125934971851E-2</v>
      </c>
      <c r="R20" s="79"/>
      <c r="S20" s="79"/>
      <c r="T20" s="79"/>
      <c r="U20" s="79"/>
      <c r="V20" s="79"/>
      <c r="W20" s="79"/>
      <c r="X20" s="79"/>
    </row>
    <row r="21" spans="3:24" ht="15" customHeight="1">
      <c r="C21" s="78"/>
      <c r="D21" s="79" t="s">
        <v>29</v>
      </c>
      <c r="E21" s="84">
        <f>+'Datos ICP (2)'!AE52</f>
        <v>5.8719297517517699E-3</v>
      </c>
      <c r="F21" s="84">
        <f>+'Datos ICP (2)'!AF52</f>
        <v>5.0849107705890351E-3</v>
      </c>
      <c r="G21" s="84">
        <f>+'Datos ICP (2)'!AG52</f>
        <v>4.4501495538697977E-3</v>
      </c>
      <c r="H21" s="84">
        <f>+'Datos ICP (2)'!AH52</f>
        <v>4.7201240336098849E-3</v>
      </c>
      <c r="I21" s="84">
        <f>+'Datos ICP (2)'!AI52</f>
        <v>4.1677968559530321E-3</v>
      </c>
      <c r="J21" s="84">
        <f>+'Datos ICP (2)'!AJ52</f>
        <v>3.6501931277677091E-3</v>
      </c>
      <c r="K21" s="84">
        <f>+'Datos ICP (2)'!AK52</f>
        <v>3.6341260750816229E-3</v>
      </c>
      <c r="L21" s="84">
        <f>+'Datos ICP (2)'!AL52</f>
        <v>3.6276694159318446E-3</v>
      </c>
      <c r="M21" s="84">
        <f>+'Datos ICP (2)'!AM52</f>
        <v>3.3754452875442986E-3</v>
      </c>
      <c r="N21" s="84">
        <f>+'Datos ICP (2)'!AN52</f>
        <v>3.4108129956791355E-3</v>
      </c>
      <c r="O21" s="84">
        <f>+'Datos ICP (2)'!AO52</f>
        <v>3.220374604913312E-3</v>
      </c>
      <c r="P21" s="84">
        <f>+'Datos ICP (2)'!AP52</f>
        <v>3.2298559019789952E-3</v>
      </c>
      <c r="Q21" s="84">
        <f>+'Datos ICP (2)'!AQ52</f>
        <v>4.9529562919770731E-2</v>
      </c>
      <c r="R21" s="79"/>
      <c r="S21" s="79"/>
      <c r="T21" s="79"/>
      <c r="U21" s="79"/>
      <c r="V21" s="79"/>
      <c r="W21" s="79"/>
      <c r="X21" s="79"/>
    </row>
    <row r="22" spans="3:24" ht="15" customHeight="1">
      <c r="C22" s="78"/>
      <c r="D22" s="78" t="s">
        <v>30</v>
      </c>
      <c r="E22" s="84">
        <f>+'Datos ICP (2)'!AE53</f>
        <v>8.3818010500409379E-3</v>
      </c>
      <c r="F22" s="84">
        <f>+'Datos ICP (2)'!AF53</f>
        <v>6.7083312009870166E-3</v>
      </c>
      <c r="G22" s="84">
        <f>+'Datos ICP (2)'!AG53</f>
        <v>6.0631167056561797E-3</v>
      </c>
      <c r="H22" s="84">
        <f>+'Datos ICP (2)'!AH53</f>
        <v>7.0011157953828729E-3</v>
      </c>
      <c r="I22" s="84">
        <f>+'Datos ICP (2)'!AI53</f>
        <v>6.0086665642731241E-3</v>
      </c>
      <c r="J22" s="84">
        <f>+'Datos ICP (2)'!AJ53</f>
        <v>5.4368505224946517E-3</v>
      </c>
      <c r="K22" s="84">
        <f>+'Datos ICP (2)'!AK53</f>
        <v>5.0785667984096783E-3</v>
      </c>
      <c r="L22" s="84">
        <f>+'Datos ICP (2)'!AL53</f>
        <v>5.4903468198286287E-3</v>
      </c>
      <c r="M22" s="84">
        <f>+'Datos ICP (2)'!AM53</f>
        <v>5.2813110634344351E-3</v>
      </c>
      <c r="N22" s="84">
        <f>+'Datos ICP (2)'!AN53</f>
        <v>4.9865025246653705E-3</v>
      </c>
      <c r="O22" s="84">
        <f>+'Datos ICP (2)'!AO53</f>
        <v>5.00851288955384E-3</v>
      </c>
      <c r="P22" s="84">
        <f>+'Datos ICP (2)'!AP53</f>
        <v>4.8179136840449388E-3</v>
      </c>
      <c r="Q22" s="84">
        <f>+'Datos ICP (2)'!AQ53</f>
        <v>7.2564025610246219E-2</v>
      </c>
      <c r="R22" s="79"/>
      <c r="S22" s="79"/>
      <c r="T22" s="79"/>
      <c r="U22" s="79"/>
      <c r="V22" s="79"/>
      <c r="W22" s="79"/>
      <c r="X22" s="79"/>
    </row>
    <row r="23" spans="3:24">
      <c r="C23" s="78">
        <v>2025</v>
      </c>
      <c r="D23" s="79" t="s">
        <v>3</v>
      </c>
      <c r="E23" s="84">
        <f>+'Datos ICP (2)'!AE54</f>
        <v>4.4544301743754122E-3</v>
      </c>
      <c r="F23" s="84">
        <f>+'Datos ICP (2)'!AF54</f>
        <v>3.8962630509944418E-3</v>
      </c>
      <c r="G23" s="84">
        <f>+'Datos ICP (2)'!AG54</f>
        <v>4.3138020854180947E-3</v>
      </c>
      <c r="H23" s="84">
        <f>+'Datos ICP (2)'!AH54</f>
        <v>4.175716443427735E-3</v>
      </c>
      <c r="I23" s="84">
        <f>+'Datos ICP (2)'!AI54</f>
        <v>4.1742269465041559E-3</v>
      </c>
      <c r="J23" s="84">
        <f>+'Datos ICP (2)'!AJ54</f>
        <v>4.3145661365249222E-3</v>
      </c>
      <c r="K23" s="84">
        <f>+'Datos ICP (2)'!AK54</f>
        <v>4.3062620834468657E-3</v>
      </c>
      <c r="L23" s="84">
        <f>+'Datos ICP (2)'!AL54</f>
        <v>3.8332746894158554E-3</v>
      </c>
      <c r="M23" s="84">
        <f>+'Datos ICP (2)'!AM54</f>
        <v>4.230048764417349E-3</v>
      </c>
      <c r="N23" s="84">
        <f>+'Datos ICP (2)'!AN54</f>
        <v>3.9661902107710478E-3</v>
      </c>
      <c r="O23" s="84">
        <f>+'Datos ICP (2)'!AO54</f>
        <v>3.8324396523354842E-3</v>
      </c>
      <c r="P23" s="84">
        <f>+'Datos ICP (2)'!AP54</f>
        <v>4.1394620357759759E-3</v>
      </c>
      <c r="Q23" s="84">
        <f>+'Datos ICP (2)'!AQ54</f>
        <v>4.6121516637569471E-2</v>
      </c>
    </row>
    <row r="24" spans="3:24">
      <c r="C24" s="78"/>
      <c r="D24" s="79" t="s">
        <v>29</v>
      </c>
      <c r="E24" s="84">
        <f>+'Datos ICP (2)'!AE55</f>
        <v>3.0202103340466468E-3</v>
      </c>
      <c r="F24" s="84">
        <f>+'Datos ICP (2)'!AF55</f>
        <v>2.7621377102811095E-3</v>
      </c>
      <c r="G24" s="84">
        <f>+'Datos ICP (2)'!AG55</f>
        <v>3.0628269232331196E-3</v>
      </c>
      <c r="H24" s="84">
        <f>+'Datos ICP (2)'!AH55</f>
        <v>2.975949685819046E-3</v>
      </c>
      <c r="I24" s="84">
        <f>+'Datos ICP (2)'!AI55</f>
        <v>3.0897625227950254E-3</v>
      </c>
      <c r="J24" s="84">
        <f>+'Datos ICP (2)'!AJ55</f>
        <v>2.9970524574272073E-3</v>
      </c>
      <c r="K24" s="84">
        <f>+'Datos ICP (2)'!AK55</f>
        <v>2.9505495279136262E-3</v>
      </c>
      <c r="L24" s="84">
        <f>+'Datos ICP (2)'!AL55</f>
        <v>3.0005421908383401E-3</v>
      </c>
      <c r="M24" s="84">
        <f>+'Datos ICP (2)'!AM55</f>
        <v>2.7616149661373601E-3</v>
      </c>
      <c r="N24" s="84">
        <f>+'Datos ICP (2)'!AN55</f>
        <v>2.8651947244786591E-3</v>
      </c>
      <c r="O24" s="84">
        <f>+'Datos ICP (2)'!AO55</f>
        <v>2.7950157631990713E-3</v>
      </c>
      <c r="P24" s="84">
        <f>+'Datos ICP (2)'!AP55</f>
        <v>2.8377664992760288E-3</v>
      </c>
      <c r="Q24" s="84">
        <f>+'Datos ICP (2)'!AQ55</f>
        <v>2.9648883099268719E-2</v>
      </c>
    </row>
    <row r="25" spans="3:24">
      <c r="C25" s="78"/>
      <c r="D25" s="78" t="s">
        <v>30</v>
      </c>
      <c r="E25" s="84">
        <f>+'Datos ICP (2)'!AE56</f>
        <v>4.6473040444494629E-3</v>
      </c>
      <c r="F25" s="84">
        <f>+'Datos ICP (2)'!AF56</f>
        <v>4.6955091586007303E-3</v>
      </c>
      <c r="G25" s="84">
        <f>+'Datos ICP (2)'!AG56</f>
        <v>5.9710996241846281E-3</v>
      </c>
      <c r="H25" s="84">
        <f>+'Datos ICP (2)'!AH56</f>
        <v>6.3072227560116989E-3</v>
      </c>
      <c r="I25" s="84">
        <f>+'Datos ICP (2)'!AI56</f>
        <v>6.3637937286036284E-3</v>
      </c>
      <c r="J25" s="84">
        <f>+'Datos ICP (2)'!AJ56</f>
        <v>5.7751459778132563E-3</v>
      </c>
      <c r="K25" s="84">
        <f>+'Datos ICP (2)'!AK56</f>
        <v>5.5639865908774233E-3</v>
      </c>
      <c r="L25" s="84">
        <f>+'Datos ICP (2)'!AL56</f>
        <v>5.847470970587354E-3</v>
      </c>
      <c r="M25" s="84">
        <f>+'Datos ICP (2)'!AM56</f>
        <v>5.3848927054160889E-3</v>
      </c>
      <c r="N25" s="84">
        <f>+'Datos ICP (2)'!AN56</f>
        <v>5.584110853045221E-3</v>
      </c>
      <c r="O25" s="84">
        <f>+'Datos ICP (2)'!AO56</f>
        <v>5.5413318592272276E-3</v>
      </c>
      <c r="P25" s="84">
        <f>+'Datos ICP (2)'!AP56</f>
        <v>5.7011549308800813E-3</v>
      </c>
      <c r="Q25" s="84">
        <f>+'Datos ICP (2)'!AQ56</f>
        <v>6.4554574328310688E-2</v>
      </c>
    </row>
    <row r="26" spans="3:24">
      <c r="C26" s="78">
        <v>2026</v>
      </c>
      <c r="D26" s="79" t="s">
        <v>3</v>
      </c>
      <c r="E26" s="84">
        <f>+'Datos ICP (2)'!AE57</f>
        <v>3.8823436327337646E-3</v>
      </c>
      <c r="F26" s="84">
        <f>+'Datos ICP (2)'!AF57</f>
        <v>3.6312646105696178E-3</v>
      </c>
      <c r="G26" s="84">
        <f>+'Datos ICP (2)'!AG57</f>
        <v>3.881928086548303E-3</v>
      </c>
      <c r="H26" s="84">
        <f>+'Datos ICP (2)'!AH57</f>
        <v>3.7564119506456883E-3</v>
      </c>
      <c r="I26" s="84"/>
      <c r="J26" s="84"/>
      <c r="K26" s="84"/>
      <c r="L26" s="84"/>
      <c r="M26" s="84"/>
      <c r="N26" s="84"/>
      <c r="O26" s="84"/>
      <c r="P26" s="84"/>
      <c r="Q26" s="84">
        <f>+'Datos ICP (2)'!AQ57</f>
        <v>3.393592966266068E-2</v>
      </c>
    </row>
    <row r="27" spans="3:24">
      <c r="C27" s="78"/>
      <c r="D27" s="79" t="s">
        <v>29</v>
      </c>
      <c r="E27" s="84">
        <f>+'Datos ICP (2)'!AE58</f>
        <v>2.7244381547273377E-3</v>
      </c>
      <c r="F27" s="84">
        <f>+'Datos ICP (2)'!AF58</f>
        <v>2.4452163666022209E-3</v>
      </c>
      <c r="G27" s="84">
        <f>+'Datos ICP (2)'!AG58</f>
        <v>2.6877762515176151E-3</v>
      </c>
      <c r="H27" s="84">
        <f>+'Datos ICP (2)'!AH58</f>
        <v>2.5969787217614559E-3</v>
      </c>
      <c r="I27" s="84"/>
      <c r="J27" s="84"/>
      <c r="K27" s="84"/>
      <c r="L27" s="84"/>
      <c r="M27" s="84"/>
      <c r="N27" s="84"/>
      <c r="O27" s="84"/>
      <c r="P27" s="84"/>
      <c r="Q27" s="84">
        <f>+'Datos ICP (2)'!AQ58</f>
        <v>2.3249672624455764E-2</v>
      </c>
    </row>
    <row r="28" spans="3:24">
      <c r="C28" s="78"/>
      <c r="D28" s="78" t="s">
        <v>30</v>
      </c>
      <c r="E28" s="84">
        <f>+'Datos ICP (2)'!AE59</f>
        <v>5.8056411235423155E-3</v>
      </c>
      <c r="F28" s="84">
        <f>+'Datos ICP (2)'!AF59</f>
        <v>5.4082719657579936E-3</v>
      </c>
      <c r="G28" s="84">
        <f>+'Datos ICP (2)'!AG59</f>
        <v>5.9197766414931241E-3</v>
      </c>
      <c r="H28" s="84">
        <f>+'Datos ICP (2)'!AH59</f>
        <v>5.8670743376949552E-3</v>
      </c>
      <c r="I28" s="84"/>
      <c r="J28" s="84"/>
      <c r="K28" s="84"/>
      <c r="L28" s="84"/>
      <c r="M28" s="84"/>
      <c r="N28" s="84"/>
      <c r="O28" s="84"/>
      <c r="P28" s="84"/>
      <c r="Q28" s="84">
        <f>+'Datos ICP (2)'!AQ59</f>
        <v>5.1881367147406765E-2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F1" zoomScaleNormal="100" workbookViewId="0">
      <selection activeCell="P8" sqref="P8"/>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42.140625" bestFit="1" customWidth="1"/>
    <col min="16" max="16" width="8" bestFit="1" customWidth="1"/>
    <col min="17" max="17" width="5" customWidth="1"/>
    <col min="19" max="19" width="28.7109375" customWidth="1"/>
  </cols>
  <sheetData>
    <row r="1" spans="1:20">
      <c r="B1" s="3"/>
      <c r="C1" s="1"/>
      <c r="J1" s="2" t="s">
        <v>51</v>
      </c>
      <c r="K1" s="3"/>
      <c r="L1" s="4"/>
      <c r="N1" s="2" t="s">
        <v>52</v>
      </c>
      <c r="O1" s="3"/>
      <c r="P1" s="4"/>
      <c r="R1" s="2" t="s">
        <v>53</v>
      </c>
      <c r="S1" s="3"/>
      <c r="T1" s="4"/>
    </row>
    <row r="2" spans="1:20">
      <c r="C2" s="1"/>
      <c r="O2" s="87" t="s">
        <v>54</v>
      </c>
      <c r="P2" s="88">
        <v>0</v>
      </c>
    </row>
    <row r="3" spans="1:20">
      <c r="C3" s="1"/>
      <c r="K3" s="87" t="s">
        <v>55</v>
      </c>
      <c r="L3" s="88">
        <v>0.78100000000000003</v>
      </c>
      <c r="O3" s="87" t="s">
        <v>56</v>
      </c>
      <c r="P3" s="88">
        <v>0</v>
      </c>
      <c r="S3" s="87" t="s">
        <v>57</v>
      </c>
      <c r="T3" s="88">
        <v>0.95834236641326986</v>
      </c>
    </row>
    <row r="4" spans="1:20">
      <c r="C4" s="1"/>
      <c r="K4" s="87" t="s">
        <v>58</v>
      </c>
      <c r="L4" s="88">
        <v>0.1923</v>
      </c>
      <c r="O4" s="87" t="s">
        <v>59</v>
      </c>
      <c r="P4" s="88">
        <v>0</v>
      </c>
      <c r="S4" s="87" t="s">
        <v>60</v>
      </c>
      <c r="T4" s="88">
        <v>4.1657633586730108E-2</v>
      </c>
    </row>
    <row r="5" spans="1:20">
      <c r="A5" s="3"/>
      <c r="B5" s="3"/>
      <c r="C5" s="1"/>
      <c r="K5" s="87" t="s">
        <v>61</v>
      </c>
      <c r="L5" s="88">
        <v>2.6700000000000002E-2</v>
      </c>
      <c r="O5" s="87" t="s">
        <v>62</v>
      </c>
      <c r="P5" s="88">
        <v>0.33450000000000002</v>
      </c>
    </row>
    <row r="6" spans="1:20">
      <c r="A6" s="3"/>
      <c r="B6" s="3"/>
      <c r="C6" s="1"/>
      <c r="K6" s="87" t="s">
        <v>63</v>
      </c>
      <c r="L6" s="88">
        <v>0</v>
      </c>
      <c r="O6" s="87" t="s">
        <v>64</v>
      </c>
      <c r="P6" s="88">
        <v>0.5504</v>
      </c>
    </row>
    <row r="7" spans="1:20">
      <c r="B7" s="3"/>
      <c r="C7" s="1"/>
      <c r="L7" s="68">
        <f>SUM(L3:L6)</f>
        <v>1</v>
      </c>
      <c r="O7" s="87" t="s">
        <v>65</v>
      </c>
      <c r="P7" s="88">
        <v>0.11509999999999999</v>
      </c>
      <c r="Q7" s="68"/>
    </row>
    <row r="8" spans="1:20">
      <c r="C8" s="1"/>
      <c r="O8" s="87" t="s">
        <v>66</v>
      </c>
      <c r="P8" s="88">
        <v>0</v>
      </c>
    </row>
    <row r="9" spans="1:20">
      <c r="C9" s="1"/>
      <c r="O9" s="87" t="s">
        <v>67</v>
      </c>
      <c r="P9" s="88">
        <v>0</v>
      </c>
    </row>
    <row r="10" spans="1:20">
      <c r="C10" s="1"/>
      <c r="O10" s="87" t="s">
        <v>68</v>
      </c>
      <c r="P10" s="88">
        <v>0</v>
      </c>
    </row>
    <row r="11" spans="1:20">
      <c r="C11" s="1"/>
      <c r="O11" s="87" t="s">
        <v>69</v>
      </c>
      <c r="P11" s="88">
        <v>0</v>
      </c>
    </row>
    <row r="12" spans="1:20" hidden="1">
      <c r="C12" s="1"/>
      <c r="O12" s="87"/>
      <c r="P12" s="88"/>
    </row>
    <row r="13" spans="1:20">
      <c r="C13" s="1"/>
      <c r="O13" s="87" t="s">
        <v>70</v>
      </c>
      <c r="P13" s="88">
        <v>0</v>
      </c>
    </row>
    <row r="14" spans="1:20" hidden="1">
      <c r="A14" s="3" t="s">
        <v>71</v>
      </c>
      <c r="B14" s="5">
        <v>0</v>
      </c>
      <c r="C14" s="1"/>
    </row>
    <row r="15" spans="1:20">
      <c r="A15" s="3"/>
      <c r="B15" s="5"/>
      <c r="C15" s="1"/>
      <c r="P15" s="68">
        <f>SUM(P2:P14)</f>
        <v>1</v>
      </c>
    </row>
    <row r="16" spans="1:20">
      <c r="B16" s="3"/>
      <c r="C16" s="1"/>
    </row>
    <row r="17" spans="1:15">
      <c r="C17" s="1"/>
    </row>
    <row r="18" spans="1:15">
      <c r="C18" s="1"/>
    </row>
    <row r="19" spans="1:15">
      <c r="C19" s="1"/>
    </row>
    <row r="20" spans="1:15">
      <c r="C20" s="1"/>
    </row>
    <row r="21" spans="1:15">
      <c r="C21" s="1"/>
      <c r="N21" s="6"/>
      <c r="O21" s="67"/>
    </row>
    <row r="22" spans="1:15">
      <c r="A22" s="1"/>
      <c r="B22" s="1"/>
      <c r="C22" s="1"/>
    </row>
    <row r="23" spans="1:15">
      <c r="A23" s="1"/>
      <c r="B23" s="1"/>
      <c r="C23" s="1"/>
    </row>
    <row r="24" spans="1:15">
      <c r="A24" s="1"/>
      <c r="B24" s="1"/>
      <c r="C24" s="1"/>
    </row>
  </sheetData>
  <autoFilter ref="K1:T24" xr:uid="{00000000-0009-0000-0000-000001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2026-05-12T18:18:06Z</dcterms:modified>
  <cp:category/>
  <cp:contentStatus/>
</cp:coreProperties>
</file>