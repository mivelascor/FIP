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yyyy-mm-dd h:mm:ss"/>
    <numFmt numFmtId="172" formatCode="[$$-1004]#,##0"/>
  </numFmts>
  <fonts count="29">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Be Vietnam Pro Light"/>
      <color theme="1"/>
      <sz val="10"/>
    </font>
    <font>
      <name val="Be Vietnam Pro Medium"/>
      <color theme="1"/>
      <sz val="10"/>
    </font>
    <font>
      <name val="Be Vietnam Pro Light"/>
      <color theme="0"/>
      <sz val="10"/>
    </font>
    <font>
      <name val="Be Vietnam Pro Light"/>
      <color theme="1"/>
      <sz val="9"/>
    </font>
    <font>
      <name val="Arial"/>
      <family val="2"/>
      <color rgb="FF000000"/>
      <sz val="7"/>
    </font>
    <font>
      <name val="Aptos Narrow"/>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rgb="FFF8F8F8"/>
        <bgColor indexed="64"/>
      </patternFill>
    </fill>
    <fill>
      <patternFill patternType="solid">
        <fgColor rgb="FFDAF2D0"/>
        <bgColor rgb="FFDAF2D0"/>
      </patternFill>
    </fill>
  </fills>
  <borders count="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83">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72" fontId="25" fillId="14" borderId="2" applyAlignment="1">
      <alignment vertical="center"/>
    </xf>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cellStyleXfs>
  <cellXfs count="1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0" fontId="20" fillId="0" borderId="0" pivotButton="0" quotePrefix="0" xfId="1"/>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166" fontId="6" fillId="12" borderId="0" pivotButton="0" quotePrefix="0" xfId="1"/>
    <xf numFmtId="168" fontId="6" fillId="0" borderId="0" pivotButton="0" quotePrefix="0" xfId="8"/>
    <xf numFmtId="168" fontId="6" fillId="0" borderId="0" pivotButton="0" quotePrefix="0" xfId="9"/>
    <xf numFmtId="10" fontId="6" fillId="6" borderId="0" pivotButton="0" quotePrefix="0" xfId="6"/>
    <xf numFmtId="10" fontId="6" fillId="0" borderId="0" pivotButton="0" quotePrefix="0" xfId="1"/>
    <xf numFmtId="14" fontId="6" fillId="12" borderId="0" pivotButton="0" quotePrefix="0" xfId="1"/>
    <xf numFmtId="0" fontId="21" fillId="0" borderId="0" applyAlignment="1" pivotButton="0" quotePrefix="0" xfId="0">
      <alignment vertical="center"/>
    </xf>
    <xf numFmtId="0" fontId="21" fillId="0" borderId="0" applyAlignment="1" pivotButton="0" quotePrefix="0" xfId="0">
      <alignment horizontal="left"/>
    </xf>
    <xf numFmtId="0" fontId="21" fillId="0" borderId="0" pivotButton="0" quotePrefix="0" xfId="0"/>
    <xf numFmtId="0" fontId="21" fillId="0" borderId="0" applyAlignment="1" pivotButton="0" quotePrefix="0" xfId="0">
      <alignment horizontal="right"/>
    </xf>
    <xf numFmtId="0" fontId="22" fillId="0" borderId="0" applyAlignment="1" pivotButton="0" quotePrefix="0" xfId="0">
      <alignment horizontal="left"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10" fontId="21" fillId="0" borderId="0" applyAlignment="1" pivotButton="0" quotePrefix="0" xfId="0">
      <alignment horizontal="center"/>
    </xf>
    <xf numFmtId="0" fontId="21" fillId="0" borderId="0" applyAlignment="1" pivotButton="0" quotePrefix="0" xfId="0">
      <alignment horizontal="center"/>
    </xf>
    <xf numFmtId="0" fontId="22" fillId="0" borderId="0" applyAlignment="1" pivotButton="0" quotePrefix="0" xfId="0">
      <alignment vertical="center"/>
    </xf>
    <xf numFmtId="0" fontId="23" fillId="13" borderId="0" pivotButton="0" quotePrefix="0" xfId="0"/>
    <xf numFmtId="10" fontId="23" fillId="13" borderId="0" pivotButton="0" quotePrefix="0" xfId="0"/>
    <xf numFmtId="0" fontId="24" fillId="0" borderId="0" applyAlignment="1" pivotButton="0" quotePrefix="0" xfId="0">
      <alignment vertical="center" wrapText="1"/>
    </xf>
    <xf numFmtId="14" fontId="26" fillId="0" borderId="0" pivotButton="0" quotePrefix="0" xfId="0"/>
    <xf numFmtId="2" fontId="26" fillId="0" borderId="0" pivotButton="0" quotePrefix="0" xfId="0"/>
    <xf numFmtId="0" fontId="27" fillId="15" borderId="3" applyAlignment="1" pivotButton="0" quotePrefix="0" xfId="0">
      <alignment wrapText="1"/>
    </xf>
    <xf numFmtId="0" fontId="27" fillId="15" borderId="3" pivotButton="0" quotePrefix="0" xfId="0"/>
    <xf numFmtId="164" fontId="28" fillId="16" borderId="4" pivotButton="0" quotePrefix="0" xfId="0"/>
    <xf numFmtId="164" fontId="28" fillId="0" borderId="4" pivotButton="0" quotePrefix="0" xfId="0"/>
    <xf numFmtId="0" fontId="9" fillId="7" borderId="0" applyAlignment="1" pivotButton="0" quotePrefix="0" xfId="1">
      <alignment horizontal="center" vertical="center"/>
    </xf>
    <xf numFmtId="0" fontId="16" fillId="11"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7" fontId="6" fillId="0" borderId="0" pivotButton="0" quotePrefix="0" xfId="1"/>
    <xf numFmtId="166" fontId="6" fillId="0" borderId="0" pivotButton="0" quotePrefix="0" xfId="1"/>
    <xf numFmtId="168" fontId="6" fillId="0" borderId="0" pivotButton="0" quotePrefix="1" xfId="5"/>
    <xf numFmtId="168" fontId="6" fillId="2" borderId="0" pivotButton="0" quotePrefix="1" xfId="5"/>
    <xf numFmtId="164" fontId="6" fillId="0" borderId="0" pivotButton="0" quotePrefix="0" xfId="4"/>
    <xf numFmtId="166" fontId="6" fillId="12" borderId="0" pivotButton="0" quotePrefix="0" xfId="1"/>
    <xf numFmtId="168" fontId="6" fillId="0" borderId="0" pivotButton="0" quotePrefix="0" xfId="8"/>
    <xf numFmtId="168" fontId="6" fillId="0" borderId="0" pivotButton="0" quotePrefix="0" xfId="9"/>
    <xf numFmtId="169" fontId="6" fillId="0" borderId="0" pivotButton="0" quotePrefix="0" xfId="7"/>
    <xf numFmtId="169" fontId="6" fillId="0" borderId="0" pivotButton="0" quotePrefix="0" xfId="1"/>
    <xf numFmtId="164" fontId="28" fillId="16" borderId="4" pivotButton="0" quotePrefix="0" xfId="0"/>
    <xf numFmtId="164" fontId="28" fillId="0" borderId="4" pivotButton="0" quotePrefix="0" xfId="0"/>
    <xf numFmtId="171" fontId="6" fillId="2" borderId="0" pivotButton="0" quotePrefix="0" xfId="1"/>
    <xf numFmtId="171" fontId="0" fillId="0" borderId="0" pivotButton="0" quotePrefix="0" xfId="0"/>
    <xf numFmtId="171" fontId="6" fillId="2" borderId="0" pivotButton="0" quotePrefix="0" xfId="1"/>
    <xf numFmtId="171" fontId="0" fillId="0" borderId="0" pivotButton="0" quotePrefix="0" xfId="0"/>
  </cellXfs>
  <cellStyles count="83">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2" xfId="8"/>
    <cellStyle name="Millares [0] 3" xfId="9"/>
    <cellStyle name="Millares [0] 2 4" xfId="10"/>
    <cellStyle name="Millares [0] 2 2 2" xfId="11"/>
    <cellStyle name="Millares [0] 2 3" xfId="12"/>
    <cellStyle name="Millares [0] 3 2" xfId="13"/>
    <cellStyle name="Millares [0] 2 15" xfId="14"/>
    <cellStyle name="Millares [0] 2 2 10" xfId="15"/>
    <cellStyle name="Millares [0] 2 5" xfId="16"/>
    <cellStyle name="Millares [0] 4" xfId="17"/>
    <cellStyle name="Millares [0] 2 2 3" xfId="18"/>
    <cellStyle name="Millares [0] 3 9" xfId="19"/>
    <cellStyle name="Millares [0] 2 4 5" xfId="20"/>
    <cellStyle name="Millares [0] 2 2 2 5" xfId="21"/>
    <cellStyle name="Millares [0] 2 3 7" xfId="22"/>
    <cellStyle name="Millares [0] 3 2 5" xfId="23"/>
    <cellStyle name="Millares [0] 2 14" xfId="24"/>
    <cellStyle name="Millares [0] 12" xfId="25"/>
    <cellStyle name="Millares [0] 2 2 9" xfId="26"/>
    <cellStyle name="Millares [0] 3 8" xfId="27"/>
    <cellStyle name="Millares [0] 2 13" xfId="28"/>
    <cellStyle name="Millares [0] 11" xfId="29"/>
    <cellStyle name="Millares [0] 2 6" xfId="30"/>
    <cellStyle name="Millares [0] 2 2 8" xfId="31"/>
    <cellStyle name="Millares [0] 2 5 4" xfId="32"/>
    <cellStyle name="Millares [0] 4 6" xfId="33"/>
    <cellStyle name="Millares [0] 2 2 3 4" xfId="34"/>
    <cellStyle name="Millares [0] 3 7" xfId="35"/>
    <cellStyle name="Millares [0] 2 4 4" xfId="36"/>
    <cellStyle name="Millares [0] 2 2 2 4" xfId="37"/>
    <cellStyle name="Millares [0] 2 3 6" xfId="38"/>
    <cellStyle name="Millares [0] 3 2 4" xfId="39"/>
    <cellStyle name="Millares [0] 2 12" xfId="40"/>
    <cellStyle name="Millares [0] 10" xfId="41"/>
    <cellStyle name="EstiloDetalle" xfId="42"/>
    <cellStyle name="Millares [0] 2 3 5" xfId="43"/>
    <cellStyle name="Millares [0] 4 5" xfId="44"/>
    <cellStyle name="Millares [0] 2 2 7" xfId="45"/>
    <cellStyle name="Millares [0] 3 6" xfId="46"/>
    <cellStyle name="Millares [0] 2 11" xfId="47"/>
    <cellStyle name="Millares [0] 9" xfId="48"/>
    <cellStyle name="Millares [0] 2 7" xfId="49"/>
    <cellStyle name="Millares [0] 5" xfId="50"/>
    <cellStyle name="Millares [0] 2 6 3" xfId="51"/>
    <cellStyle name="Millares [0] 2 2 6" xfId="52"/>
    <cellStyle name="Millares [0] 2 5 3" xfId="53"/>
    <cellStyle name="Millares [0] 4 4" xfId="54"/>
    <cellStyle name="Millares [0] 2 2 3 3" xfId="55"/>
    <cellStyle name="Millares [0] 3 5" xfId="56"/>
    <cellStyle name="Millares [0] 2 4 3" xfId="57"/>
    <cellStyle name="Millares [0] 2 2 2 3" xfId="58"/>
    <cellStyle name="Millares [0] 2 3 4" xfId="59"/>
    <cellStyle name="Millares [0] 3 2 3" xfId="60"/>
    <cellStyle name="Millares [0] 2 10" xfId="61"/>
    <cellStyle name="Millares [0] 8" xfId="62"/>
    <cellStyle name="Millares [0] 2 3 3" xfId="63"/>
    <cellStyle name="Millares [0] 4 3" xfId="64"/>
    <cellStyle name="Millares [0] 2 2 5" xfId="65"/>
    <cellStyle name="Millares [0] 3 4" xfId="66"/>
    <cellStyle name="Millares [0] 2 9" xfId="67"/>
    <cellStyle name="Millares [0] 7" xfId="68"/>
    <cellStyle name="Millares [0] 2 8" xfId="69"/>
    <cellStyle name="Millares [0] 6" xfId="70"/>
    <cellStyle name="Millares [0] 2 7 2" xfId="71"/>
    <cellStyle name="Millares [0] 5 2" xfId="72"/>
    <cellStyle name="Millares [0] 2 6 2" xfId="73"/>
    <cellStyle name="Millares [0] 2 2 4" xfId="74"/>
    <cellStyle name="Millares [0] 2 5 2" xfId="75"/>
    <cellStyle name="Millares [0] 4 2" xfId="76"/>
    <cellStyle name="Millares [0] 2 2 3 2" xfId="77"/>
    <cellStyle name="Millares [0] 3 3" xfId="78"/>
    <cellStyle name="Millares [0] 2 4 2" xfId="79"/>
    <cellStyle name="Millares [0] 2 2 2 2" xfId="80"/>
    <cellStyle name="Millares [0] 2 3 2" xfId="81"/>
    <cellStyle name="Millares [0] 3 2 2" xfId="82"/>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9">
                  <formatCode>m/d/yyyy</formatCode>
                  <v>38960</v>
                </pt>
                <pt idx="10">
                  <formatCode>m/d/yyyy</formatCode>
                  <v>38989</v>
                </pt>
                <pt idx="11">
                  <formatCode>m/d/yyyy</formatCode>
                  <v>39021</v>
                </pt>
                <pt idx="12">
                  <formatCode>m/d/yyyy</formatCode>
                  <v>39051</v>
                </pt>
                <pt idx="13">
                  <formatCode>m/d/yyyy</formatCode>
                  <v>39080</v>
                </pt>
                <pt idx="14">
                  <formatCode>m/d/yyyy</formatCode>
                  <v>39113</v>
                </pt>
                <pt idx="15">
                  <formatCode>m/d/yyyy</formatCode>
                  <v>39141</v>
                </pt>
                <pt idx="16">
                  <formatCode>m/d/yyyy</formatCode>
                  <v>39171</v>
                </pt>
                <pt idx="17">
                  <formatCode>m/d/yyyy</formatCode>
                  <v>39202</v>
                </pt>
                <pt idx="18">
                  <formatCode>m/d/yyyy</formatCode>
                  <v>39233</v>
                </pt>
                <pt idx="19">
                  <formatCode>m/d/yyyy</formatCode>
                  <v>39262</v>
                </pt>
                <pt idx="20">
                  <formatCode>m/d/yyyy</formatCode>
                  <v>39294</v>
                </pt>
                <pt idx="21">
                  <formatCode>m/d/yyyy</formatCode>
                  <v>39325</v>
                </pt>
                <pt idx="23">
                  <formatCode>m/d/yyyy</formatCode>
                  <v>39353</v>
                </pt>
                <pt idx="24">
                  <formatCode>m/d/yyyy</formatCode>
                  <v>39386</v>
                </pt>
                <pt idx="25">
                  <formatCode>m/d/yyyy</formatCode>
                  <v>39416</v>
                </pt>
                <pt idx="26">
                  <formatCode>m/d/yyyy</formatCode>
                  <v>39447</v>
                </pt>
                <pt idx="27">
                  <formatCode>m/d/yyyy</formatCode>
                  <v>39478</v>
                </pt>
                <pt idx="28">
                  <formatCode>m/d/yyyy</formatCode>
                  <v>39507</v>
                </pt>
                <pt idx="29">
                  <formatCode>m/d/yyyy</formatCode>
                  <v>39538</v>
                </pt>
                <pt idx="30">
                  <formatCode>m/d/yyyy</formatCode>
                  <v>39568</v>
                </pt>
                <pt idx="31">
                  <formatCode>m/d/yyyy</formatCode>
                  <v>39598</v>
                </pt>
                <pt idx="32">
                  <formatCode>m/d/yyyy</formatCode>
                  <v>39629</v>
                </pt>
                <pt idx="33">
                  <formatCode>m/d/yyyy</formatCode>
                  <v>39660</v>
                </pt>
                <pt idx="34">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(2)'!$D$3:$D$187</f>
              <numCache>
                <formatCode>0.00</formatCode>
                <ptCount val="185"/>
                <pt idx="0">
                  <v>100</v>
                </pt>
                <pt idx="1">
                  <v>100.399063647502</v>
                </pt>
                <pt idx="2">
                  <v>100.7483698738444</v>
                </pt>
                <pt idx="3">
                  <v>101.1459727530188</v>
                </pt>
                <pt idx="4">
                  <v>101.5126256032517</v>
                </pt>
                <pt idx="5">
                  <v>101.9716720502066</v>
                </pt>
                <pt idx="6">
                  <v>102.3910951562748</v>
                </pt>
                <pt idx="7">
                  <v>102.8309690189297</v>
                </pt>
                <pt idx="9">
                  <v>103.2880982074547</v>
                </pt>
                <pt idx="10">
                  <v>103.7229506789834</v>
                </pt>
                <pt idx="11">
                  <v>104.198613365665</v>
                </pt>
                <pt idx="12">
                  <v>104.6550121700261</v>
                </pt>
                <pt idx="13">
                  <v>105.106754775343</v>
                </pt>
                <pt idx="14">
                  <v>105.6065201394303</v>
                </pt>
                <pt idx="15">
                  <v>106.0214696424952</v>
                </pt>
                <pt idx="16">
                  <v>106.4671865784606</v>
                </pt>
                <pt idx="17">
                  <v>106.9335368670536</v>
                </pt>
                <pt idx="18">
                  <v>107.4009827318924</v>
                </pt>
                <pt idx="19">
                  <v>107.8433216411002</v>
                </pt>
                <pt idx="20">
                  <v>108.3390698922866</v>
                </pt>
                <pt idx="21">
                  <v>108.8498823168516</v>
                </pt>
                <pt idx="23">
                  <v>109.3349486996423</v>
                </pt>
                <pt idx="24">
                  <v>109.9127738712369</v>
                </pt>
                <pt idx="25">
                  <v>110.4418458998972</v>
                </pt>
                <pt idx="26">
                  <v>110.9508323640527</v>
                </pt>
                <pt idx="27">
                  <v>111.5948486004926</v>
                </pt>
                <pt idx="28">
                  <v>112.1585225789134</v>
                </pt>
                <pt idx="29">
                  <v>112.7662935012243</v>
                </pt>
                <pt idx="30">
                  <v>113.3572655877675</v>
                </pt>
                <pt idx="31">
                  <v>113.9534416614779</v>
                </pt>
                <pt idx="32">
                  <v>114.5993751563479</v>
                </pt>
                <pt idx="33">
                  <v>115.2993570793398</v>
                </pt>
                <pt idx="34">
                  <v>115.990756988407</v>
                </pt>
                <pt idx="35">
                  <v>116.8336203134444</v>
                </pt>
                <pt idx="36">
                  <v>117.640877410496</v>
                </pt>
                <pt idx="37">
                  <v>118.4220232736914</v>
                </pt>
                <pt idx="38">
                  <v>119.2930063890355</v>
                </pt>
                <pt idx="39">
                  <v>120.0674874967361</v>
                </pt>
                <pt idx="40">
                  <v>120.6237663354983</v>
                </pt>
                <pt idx="41">
                  <v>120.9806502975403</v>
                </pt>
                <pt idx="42">
                  <v>121.1763932534415</v>
                </pt>
                <pt idx="43">
                  <v>121.3073146148045</v>
                </pt>
                <pt idx="44">
                  <v>121.4179678156218</v>
                </pt>
                <pt idx="45">
                  <v>121.47512037644</v>
                </pt>
                <pt idx="46">
                  <v>121.5183043401253</v>
                </pt>
                <pt idx="47">
                  <v>121.5637707543225</v>
                </pt>
                <pt idx="48">
                  <v>121.6065895259259</v>
                </pt>
                <pt idx="49">
                  <v>121.6501386816931</v>
                </pt>
                <pt idx="50">
                  <v>121.6956963939108</v>
                </pt>
                <pt idx="51">
                  <v>121.7390629536371</v>
                </pt>
                <pt idx="52">
                  <v>121.7781385064009</v>
                </pt>
                <pt idx="53">
                  <v>121.8261612651715</v>
                </pt>
                <pt idx="54">
                  <v>121.870349507082</v>
                </pt>
                <pt idx="55">
                  <v>121.914811643054</v>
                </pt>
                <pt idx="56">
                  <v>121.9823721782064</v>
                </pt>
                <pt idx="57">
                  <v>122.1018812870099</v>
                </pt>
                <pt idx="58">
                  <v>122.2956156864607</v>
                </pt>
                <pt idx="59">
                  <v>122.5200262207915</v>
                </pt>
                <pt idx="60">
                  <v>122.7838774999681</v>
                </pt>
                <pt idx="61">
                  <v>123.0973036042633</v>
                </pt>
                <pt idx="62">
                  <v>123.4616740039842</v>
                </pt>
                <pt idx="63">
                  <v>123.7738219359928</v>
                </pt>
                <pt idx="64">
                  <v>124.0950083720285</v>
                </pt>
                <pt idx="65">
                  <v>124.4931590393257</v>
                </pt>
                <pt idx="66">
                  <v>124.9225336296259</v>
                </pt>
                <pt idx="67">
                  <v>125.4531577246342</v>
                </pt>
                <pt idx="68">
                  <v>125.9888945087893</v>
                </pt>
                <pt idx="69">
                  <v>126.522074948371</v>
                </pt>
                <pt idx="70">
                  <v>127.1327674073371</v>
                </pt>
                <pt idx="71">
                  <v>127.6891375441198</v>
                </pt>
                <pt idx="72">
                  <v>128.2117274133262</v>
                </pt>
                <pt idx="73">
                  <v>128.829449819869</v>
                </pt>
                <pt idx="74">
                  <v>129.3933063943308</v>
                </pt>
                <pt idx="75">
                  <v>129.9753312748673</v>
                </pt>
                <pt idx="76">
                  <v>130.4983776341761</v>
                </pt>
                <pt idx="77">
                  <v>131.0431529223584</v>
                </pt>
                <pt idx="78">
                  <v>131.6080137750453</v>
                </pt>
                <pt idx="79">
                  <v>132.1771656346947</v>
                </pt>
                <pt idx="80">
                  <v>132.711989438645</v>
                </pt>
                <pt idx="81">
                  <v>133.3006790746763</v>
                </pt>
                <pt idx="82">
                  <v>133.8733002591038</v>
                </pt>
                <pt idx="83">
                  <v>134.3968944065355</v>
                </pt>
                <pt idx="84">
                  <v>135.0166253695288</v>
                </pt>
                <pt idx="85">
                  <v>135.5810297321133</v>
                </pt>
                <pt idx="86">
                  <v>136.1089148865074</v>
                </pt>
                <pt idx="87">
                  <v>136.7514703546198</v>
                </pt>
                <pt idx="88">
                  <v>137.2842856021196</v>
                </pt>
                <pt idx="89">
                  <v>137.8190181080494</v>
                </pt>
                <pt idx="90">
                  <v>138.4513481978684</v>
                </pt>
                <pt idx="91">
                  <v>139.0503545102135</v>
                </pt>
                <pt idx="92">
                  <v>139.592299559761</v>
                </pt>
                <pt idx="93">
                  <v>140.2362244981805</v>
                </pt>
                <pt idx="94">
                  <v>140.8219925975565</v>
                </pt>
                <pt idx="95">
                  <v>141.4296722218469</v>
                </pt>
                <pt idx="96">
                  <v>142.0082277776053</v>
                </pt>
                <pt idx="97">
                  <v>142.5624067618966</v>
                </pt>
                <pt idx="98">
                  <v>143.115855362024</v>
                </pt>
                <pt idx="99">
                  <v>143.6889330365539</v>
                </pt>
                <pt idx="100">
                  <v>144.182124943167</v>
                </pt>
                <pt idx="101">
                  <v>144.6939416459572</v>
                </pt>
                <pt idx="102">
                  <v>145.176908174277</v>
                </pt>
                <pt idx="103">
                  <v>145.6614267689448</v>
                </pt>
                <pt idx="104">
                  <v>146.163839775626</v>
                </pt>
                <pt idx="105">
                  <v>146.6536536554814</v>
                </pt>
                <pt idx="106">
                  <v>147.0861323784778</v>
                </pt>
                <pt idx="107">
                  <v>147.5227195123956</v>
                </pt>
                <pt idx="108">
                  <v>147.9106448013994</v>
                </pt>
                <pt idx="109">
                  <v>148.268989531769</v>
                </pt>
                <pt idx="110">
                  <v>148.6650403445952</v>
                </pt>
                <pt idx="111">
                  <v>149.0499527989234</v>
                </pt>
                <pt idx="112">
                  <v>149.3979808529791</v>
                </pt>
                <pt idx="113">
                  <v>149.7971357985016</v>
                </pt>
                <pt idx="114">
                  <v>150.1723706626593</v>
                </pt>
                <pt idx="115">
                  <v>150.5355541881141</v>
                </pt>
                <pt idx="116">
                  <v>150.9373567762304</v>
                </pt>
                <pt idx="117">
                  <v>151.3274732177257</v>
                </pt>
                <pt idx="118">
                  <v>151.7185026394258</v>
                </pt>
                <pt idx="119">
                  <v>152.0986675966892</v>
                </pt>
                <pt idx="120">
                  <v>152.4945358134745</v>
                </pt>
                <pt idx="121">
                  <v>152.9219018473241</v>
                </pt>
                <pt idx="122">
                  <v>153.3489026890919</v>
                </pt>
                <pt idx="123">
                  <v>153.7969020755692</v>
                </pt>
                <pt idx="124">
                  <v>154.2610612116708</v>
                </pt>
                <pt idx="125">
                  <v>154.7266811161001</v>
                </pt>
                <pt idx="126">
                  <v>155.1634508460588</v>
                </pt>
                <pt idx="127">
                  <v>155.6469651625014</v>
                </pt>
                <pt idx="128">
                  <v>156.101538006453</v>
                </pt>
                <pt idx="129">
                  <v>156.5690751693122</v>
                </pt>
                <pt idx="130">
                  <v>157.0451943460962</v>
                </pt>
                <pt idx="131">
                  <v>157.5037843029488</v>
                </pt>
                <pt idx="132">
                  <v>157.9791730955689</v>
                </pt>
                <pt idx="133">
                  <v>158.4405019930358</v>
                </pt>
                <pt idx="134">
                  <v>158.9221903490689</v>
                </pt>
                <pt idx="135">
                  <v>159.3825149683105</v>
                </pt>
                <pt idx="136">
                  <v>159.7812134237306</v>
                </pt>
                <pt idx="137">
                  <v>160.2129617625631</v>
                </pt>
                <pt idx="138">
                  <v>160.5742280295879</v>
                </pt>
                <pt idx="139">
                  <v>160.9656226433699</v>
                </pt>
                <pt idx="140">
                  <v>161.3015993587227</v>
                </pt>
                <pt idx="141">
                  <v>161.6494448167375</v>
                </pt>
                <pt idx="142">
                  <v>161.9976554668342</v>
                </pt>
                <pt idx="143">
                  <v>162.3350171731577</v>
                </pt>
                <pt idx="144">
                  <v>162.6853121570618</v>
                </pt>
                <pt idx="145">
                  <v>163.0246668991723</v>
                </pt>
                <pt idx="146">
                  <v>163.1718393081801</v>
                </pt>
                <pt idx="147">
                  <v>163.727296464758</v>
                </pt>
                <pt idx="148">
                  <v>164.0452874700771</v>
                </pt>
                <pt idx="149">
                  <v>164.3987934053614</v>
                </pt>
                <pt idx="150">
                  <v>164.7404305979838</v>
                </pt>
                <pt idx="151">
                  <v>165.0930235530633</v>
                </pt>
                <pt idx="152">
                  <v>165.4376964048665</v>
                </pt>
                <pt idx="153">
                  <v>165.794101052301</v>
                </pt>
                <pt idx="154">
                  <v>166.1497981400767</v>
                </pt>
                <pt idx="155">
                  <v>166.4901571604125</v>
                </pt>
                <pt idx="156">
                  <v>166.8690439453892</v>
                </pt>
                <pt idx="157">
                  <v>167.2516739492055</v>
                </pt>
                <pt idx="174">
                  <v>100</v>
                </pt>
                <pt idx="175">
                  <v>100.0373941205427</v>
                </pt>
                <pt idx="176">
                  <v>100.0764571042909</v>
                </pt>
                <pt idx="177">
                  <v>100.1179430877295</v>
                </pt>
                <pt idx="178">
                  <v>100.1586100436965</v>
                </pt>
                <pt idx="179">
                  <v>100.1981476794447</v>
                </pt>
                <pt idx="180">
                  <v>100.2342614937085</v>
                </pt>
                <pt idx="181">
                  <v>100.2672972230825</v>
                </pt>
                <pt idx="182">
                  <v>100.3051497749329</v>
                </pt>
                <pt idx="183">
                  <v>100.3315439250184</v>
                </pt>
                <pt idx="184">
                  <v>100.3572546123738</v>
                </pt>
              </numCache>
            </numRef>
          </val>
          <smooth val="0"/>
        </ser>
        <ser>
          <idx val="1"/>
          <order val="1"/>
          <tx>
            <strRef>
              <f>'Datos ICP (2)'!$J$2</f>
              <strCache>
                <ptCount val="1"/>
                <pt idx="0">
                  <v>Fondo LIQUIDEZ I</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9">
                  <formatCode>m/d/yyyy</formatCode>
                  <v>38960</v>
                </pt>
                <pt idx="10">
                  <formatCode>m/d/yyyy</formatCode>
                  <v>38989</v>
                </pt>
                <pt idx="11">
                  <formatCode>m/d/yyyy</formatCode>
                  <v>39021</v>
                </pt>
                <pt idx="12">
                  <formatCode>m/d/yyyy</formatCode>
                  <v>39051</v>
                </pt>
                <pt idx="13">
                  <formatCode>m/d/yyyy</formatCode>
                  <v>39080</v>
                </pt>
                <pt idx="14">
                  <formatCode>m/d/yyyy</formatCode>
                  <v>39113</v>
                </pt>
                <pt idx="15">
                  <formatCode>m/d/yyyy</formatCode>
                  <v>39141</v>
                </pt>
                <pt idx="16">
                  <formatCode>m/d/yyyy</formatCode>
                  <v>39171</v>
                </pt>
                <pt idx="17">
                  <formatCode>m/d/yyyy</formatCode>
                  <v>39202</v>
                </pt>
                <pt idx="18">
                  <formatCode>m/d/yyyy</formatCode>
                  <v>39233</v>
                </pt>
                <pt idx="19">
                  <formatCode>m/d/yyyy</formatCode>
                  <v>39262</v>
                </pt>
                <pt idx="20">
                  <formatCode>m/d/yyyy</formatCode>
                  <v>39294</v>
                </pt>
                <pt idx="21">
                  <formatCode>m/d/yyyy</formatCode>
                  <v>39325</v>
                </pt>
                <pt idx="23">
                  <formatCode>m/d/yyyy</formatCode>
                  <v>39353</v>
                </pt>
                <pt idx="24">
                  <formatCode>m/d/yyyy</formatCode>
                  <v>39386</v>
                </pt>
                <pt idx="25">
                  <formatCode>m/d/yyyy</formatCode>
                  <v>39416</v>
                </pt>
                <pt idx="26">
                  <formatCode>m/d/yyyy</formatCode>
                  <v>39447</v>
                </pt>
                <pt idx="27">
                  <formatCode>m/d/yyyy</formatCode>
                  <v>39478</v>
                </pt>
                <pt idx="28">
                  <formatCode>m/d/yyyy</formatCode>
                  <v>39507</v>
                </pt>
                <pt idx="29">
                  <formatCode>m/d/yyyy</formatCode>
                  <v>39538</v>
                </pt>
                <pt idx="30">
                  <formatCode>m/d/yyyy</formatCode>
                  <v>39568</v>
                </pt>
                <pt idx="31">
                  <formatCode>m/d/yyyy</formatCode>
                  <v>39598</v>
                </pt>
                <pt idx="32">
                  <formatCode>m/d/yyyy</formatCode>
                  <v>39629</v>
                </pt>
                <pt idx="33">
                  <formatCode>m/d/yyyy</formatCode>
                  <v>39660</v>
                </pt>
                <pt idx="34">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FIP Liquidez I</a:t>
            </a:r>
          </a:p>
        </rich>
      </tx>
      <overlay val="0"/>
    </title>
    <plotArea>
      <layout>
        <manualLayout>
          <layoutTarget val="inner"/>
          <xMode val="edge"/>
          <yMode val="edge"/>
          <wMode val="factor"/>
          <hMode val="factor"/>
          <x val="0.1171040581641656"/>
          <y val="0.1434070697425302"/>
          <w val="0.8176934617432126"/>
          <h val="0.6533535963670961"/>
        </manualLayout>
      </layout>
      <lineChart>
        <grouping val="standard"/>
        <varyColors val="0"/>
        <ser>
          <idx val="0"/>
          <order val="0"/>
          <tx>
            <v>ICP Nom</v>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(2)'!$A$177:$A$180,'Datos ICP (2)'!$A$183:$A$244)</f>
              <numCache>
                <formatCode>m/d/yyyy</formatCode>
                <ptCount val="66"/>
                <pt idx="0">
                  <v>43951</v>
                </pt>
                <pt idx="1">
                  <v>43982</v>
                </pt>
                <pt idx="2">
                  <v>44012</v>
                </pt>
                <pt idx="3">
                  <v>44043</v>
                </pt>
                <pt idx="4">
                  <v>44135</v>
                </pt>
                <pt idx="5">
                  <v>44165</v>
                </pt>
                <pt idx="6">
                  <v>44196</v>
                </pt>
                <pt idx="7">
                  <v>44227</v>
                </pt>
                <pt idx="8">
                  <v>44255</v>
                </pt>
                <pt idx="9">
                  <v>44286</v>
                </pt>
                <pt idx="10">
                  <v>44316</v>
                </pt>
                <pt idx="11">
                  <v>44347</v>
                </pt>
                <pt idx="12">
                  <v>44377</v>
                </pt>
                <pt idx="13">
                  <v>44408</v>
                </pt>
                <pt idx="14">
                  <v>44439</v>
                </pt>
                <pt idx="15">
                  <v>44469</v>
                </pt>
                <pt idx="16">
                  <v>44500</v>
                </pt>
                <pt idx="17">
                  <v>44530</v>
                </pt>
                <pt idx="18">
                  <v>44561</v>
                </pt>
                <pt idx="19">
                  <v>44592</v>
                </pt>
                <pt idx="20">
                  <v>44620</v>
                </pt>
                <pt idx="21">
                  <v>44651</v>
                </pt>
                <pt idx="22">
                  <v>44681</v>
                </pt>
                <pt idx="23">
                  <v>44712</v>
                </pt>
                <pt idx="24">
                  <v>44742</v>
                </pt>
                <pt idx="25">
                  <v>44773</v>
                </pt>
                <pt idx="26">
                  <v>44804</v>
                </pt>
                <pt idx="27">
                  <v>44834</v>
                </pt>
                <pt idx="28">
                  <v>44862</v>
                </pt>
                <pt idx="29">
                  <v>44895</v>
                </pt>
                <pt idx="30">
                  <v>44925</v>
                </pt>
                <pt idx="31">
                  <v>44957</v>
                </pt>
                <pt idx="32">
                  <v>44985</v>
                </pt>
                <pt idx="33">
                  <v>45016</v>
                </pt>
                <pt idx="34">
                  <v>45044</v>
                </pt>
                <pt idx="35">
                  <v>45077</v>
                </pt>
                <pt idx="36">
                  <v>45107</v>
                </pt>
                <pt idx="37">
                  <v>45138</v>
                </pt>
                <pt idx="38">
                  <v>45169</v>
                </pt>
                <pt idx="39">
                  <v>45199</v>
                </pt>
                <pt idx="40">
                  <v>45230</v>
                </pt>
                <pt idx="41">
                  <v>45260</v>
                </pt>
                <pt idx="42">
                  <v>45291</v>
                </pt>
                <pt idx="43">
                  <v>45322</v>
                </pt>
                <pt idx="44">
                  <v>45351</v>
                </pt>
                <pt idx="45">
                  <v>45379</v>
                </pt>
                <pt idx="46">
                  <v>45412</v>
                </pt>
                <pt idx="47">
                  <v>45443</v>
                </pt>
                <pt idx="48">
                  <v>45473</v>
                </pt>
                <pt idx="49">
                  <v>45504</v>
                </pt>
                <pt idx="50">
                  <v>45535</v>
                </pt>
                <pt idx="51">
                  <v>45565</v>
                </pt>
                <pt idx="52">
                  <v>45596</v>
                </pt>
                <pt idx="53">
                  <v>45626</v>
                </pt>
                <pt idx="54">
                  <v>45657</v>
                </pt>
                <pt idx="55">
                  <v>45688</v>
                </pt>
                <pt idx="56">
                  <v>45716</v>
                </pt>
                <pt idx="57">
                  <v>45747</v>
                </pt>
                <pt idx="58">
                  <v>45777</v>
                </pt>
                <pt idx="59">
                  <v>45808</v>
                </pt>
                <pt idx="60">
                  <v>45838</v>
                </pt>
                <pt idx="61">
                  <v>45869</v>
                </pt>
                <pt idx="62">
                  <v>45900</v>
                </pt>
                <pt idx="63">
                  <v>45930</v>
                </pt>
                <pt idx="64">
                  <v>45961</v>
                </pt>
                <pt idx="65">
                  <v>45991</v>
                </pt>
              </numCache>
            </numRef>
          </cat>
          <val>
            <numRef>
              <f>('Datos ICP (2)'!$D$177:$D$180,'Datos ICP (2)'!$D$183:$D$244)</f>
              <numCache>
                <formatCode>0.00</formatCode>
                <ptCount val="66"/>
                <pt idx="0">
                  <v>100</v>
                </pt>
                <pt idx="1">
                  <v>100.0373941205427</v>
                </pt>
                <pt idx="2">
                  <v>100.0764571042909</v>
                </pt>
                <pt idx="3">
                  <v>100.1179430877295</v>
                </pt>
                <pt idx="4">
                  <v>100.2342614937085</v>
                </pt>
                <pt idx="5">
                  <v>100.2672972230825</v>
                </pt>
                <pt idx="6">
                  <v>100.3051497749329</v>
                </pt>
                <pt idx="7">
                  <v>100.3315439250184</v>
                </pt>
                <pt idx="8">
                  <v>100.3572546123738</v>
                </pt>
                <pt idx="9">
                  <v>100.3824213367226</v>
                </pt>
                <pt idx="10">
                  <v>100.4119681200347</v>
                </pt>
                <pt idx="11">
                  <v>100.4355489390783</v>
                </pt>
                <pt idx="12">
                  <v>100.4629283916276</v>
                </pt>
                <pt idx="13">
                  <v>100.5117264942529</v>
                </pt>
                <pt idx="14">
                  <v>100.5729021611938</v>
                </pt>
                <pt idx="15">
                  <v>100.6983779346073</v>
                </pt>
                <pt idx="16">
                  <v>100.9002637721742</v>
                </pt>
                <pt idx="17">
                  <v>101.1163171644274</v>
                </pt>
                <pt idx="18">
                  <v>101.4279995169597</v>
                </pt>
                <pt idx="19">
                  <v>101.7652202149786</v>
                </pt>
                <pt idx="20">
                  <v>102.2325657007193</v>
                </pt>
                <pt idx="21">
                  <v>102.7105669077628</v>
                </pt>
                <pt idx="22">
                  <v>103.2705896897151</v>
                </pt>
                <pt idx="23">
                  <v>103.9814710410229</v>
                </pt>
                <pt idx="24">
                  <v>104.7467368632038</v>
                </pt>
                <pt idx="25">
                  <v>105.5160522519664</v>
                </pt>
                <pt idx="26">
                  <v>106.4326063783227</v>
                </pt>
                <pt idx="27">
                  <v>107.3691959091797</v>
                </pt>
                <pt idx="28">
                  <v>108.358879366177</v>
                </pt>
                <pt idx="29">
                  <v>109.3795450431421</v>
                </pt>
                <pt idx="30">
                  <v>110.4095340696796</v>
                </pt>
                <pt idx="31">
                  <v>111.4494839416091</v>
                </pt>
                <pt idx="32">
                  <v>112.4985450432803</v>
                </pt>
                <pt idx="33">
                  <v>113.5580437596502</v>
                </pt>
                <pt idx="34">
                  <v>114.626938523295</v>
                </pt>
                <pt idx="35">
                  <v>115.7066891808627</v>
                </pt>
                <pt idx="36">
                  <v>116.796075774109</v>
                </pt>
                <pt idx="37">
                  <v>117.8960155399135</v>
                </pt>
                <pt idx="38">
                  <v>118.9072637396922</v>
                </pt>
                <pt idx="39">
                  <v>119.8341869003561</v>
                </pt>
                <pt idx="40">
                  <v>120.8152987870259</v>
                </pt>
                <pt idx="41">
                  <v>121.7246289438213</v>
                </pt>
                <pt idx="42">
                  <v>122.5588686821944</v>
                </pt>
                <pt idx="43">
                  <v>123.4314750167455</v>
                </pt>
                <pt idx="44">
                  <v>124.2119202034706</v>
                </pt>
                <pt idx="45">
                  <v>124.9634934896862</v>
                </pt>
                <pt idx="46">
                  <v>125.6556530978207</v>
                </pt>
                <pt idx="47">
                  <v>126.3261823823538</v>
                </pt>
                <pt idx="48">
                  <v>126.9089944227435</v>
                </pt>
                <pt idx="49">
                  <v>127.5579927351211</v>
                </pt>
                <pt idx="50">
                  <v>128.1508105283367</v>
                </pt>
                <pt idx="51">
                  <v>128.7635051274452</v>
                </pt>
                <pt idx="52">
                  <v>129.3255504150867</v>
                </pt>
                <pt idx="53">
                  <v>129.8925557297254</v>
                </pt>
                <pt idx="54">
                  <v>130.4514621331931</v>
                </pt>
                <pt idx="55">
                  <v>131.0138043227584</v>
                </pt>
                <pt idx="56">
                  <v>131.5607302994937</v>
                </pt>
                <pt idx="57">
                  <v>132.1099499311632</v>
                </pt>
                <pt idx="58">
                  <v>132.6616036214312</v>
                </pt>
                <pt idx="59">
                  <v>133.1975000478212</v>
                </pt>
                <pt idx="60">
                  <v>133.7721894709973</v>
                </pt>
                <pt idx="61">
                  <v>134.3296650587444</v>
                </pt>
                <pt idx="62">
                  <v>134.8279771604612</v>
                </pt>
                <pt idx="63">
                  <v>135.3983060786577</v>
                </pt>
                <pt idx="64">
                  <v>135.9179984361972</v>
                </pt>
                <pt idx="65">
                  <v>136.4388959628702</v>
                </pt>
              </numCache>
            </numRef>
          </val>
          <smooth val="0"/>
        </ser>
        <ser>
          <idx val="1"/>
          <order val="1"/>
          <tx>
            <strRef>
              <f>'Datos ICP (2)'!$J$2</f>
              <strCache>
                <ptCount val="1"/>
                <pt idx="0">
                  <v>Fondo LIQUIDEZ I</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(2)'!$A$177:$A$180,'Datos ICP (2)'!$A$183:$A$244)</f>
              <numCache>
                <formatCode>m/d/yyyy</formatCode>
                <ptCount val="66"/>
                <pt idx="0">
                  <v>43951</v>
                </pt>
                <pt idx="1">
                  <v>43982</v>
                </pt>
                <pt idx="2">
                  <v>44012</v>
                </pt>
                <pt idx="3">
                  <v>44043</v>
                </pt>
                <pt idx="4">
                  <v>44135</v>
                </pt>
                <pt idx="5">
                  <v>44165</v>
                </pt>
                <pt idx="6">
                  <v>44196</v>
                </pt>
                <pt idx="7">
                  <v>44227</v>
                </pt>
                <pt idx="8">
                  <v>44255</v>
                </pt>
                <pt idx="9">
                  <v>44286</v>
                </pt>
                <pt idx="10">
                  <v>44316</v>
                </pt>
                <pt idx="11">
                  <v>44347</v>
                </pt>
                <pt idx="12">
                  <v>44377</v>
                </pt>
                <pt idx="13">
                  <v>44408</v>
                </pt>
                <pt idx="14">
                  <v>44439</v>
                </pt>
                <pt idx="15">
                  <v>44469</v>
                </pt>
                <pt idx="16">
                  <v>44500</v>
                </pt>
                <pt idx="17">
                  <v>44530</v>
                </pt>
                <pt idx="18">
                  <v>44561</v>
                </pt>
                <pt idx="19">
                  <v>44592</v>
                </pt>
                <pt idx="20">
                  <v>44620</v>
                </pt>
                <pt idx="21">
                  <v>44651</v>
                </pt>
                <pt idx="22">
                  <v>44681</v>
                </pt>
                <pt idx="23">
                  <v>44712</v>
                </pt>
                <pt idx="24">
                  <v>44742</v>
                </pt>
                <pt idx="25">
                  <v>44773</v>
                </pt>
                <pt idx="26">
                  <v>44804</v>
                </pt>
                <pt idx="27">
                  <v>44834</v>
                </pt>
                <pt idx="28">
                  <v>44862</v>
                </pt>
                <pt idx="29">
                  <v>44895</v>
                </pt>
                <pt idx="30">
                  <v>44925</v>
                </pt>
                <pt idx="31">
                  <v>44957</v>
                </pt>
                <pt idx="32">
                  <v>44985</v>
                </pt>
                <pt idx="33">
                  <v>45016</v>
                </pt>
                <pt idx="34">
                  <v>45044</v>
                </pt>
                <pt idx="35">
                  <v>45077</v>
                </pt>
                <pt idx="36">
                  <v>45107</v>
                </pt>
                <pt idx="37">
                  <v>45138</v>
                </pt>
                <pt idx="38">
                  <v>45169</v>
                </pt>
                <pt idx="39">
                  <v>45199</v>
                </pt>
                <pt idx="40">
                  <v>45230</v>
                </pt>
                <pt idx="41">
                  <v>45260</v>
                </pt>
                <pt idx="42">
                  <v>45291</v>
                </pt>
                <pt idx="43">
                  <v>45322</v>
                </pt>
                <pt idx="44">
                  <v>45351</v>
                </pt>
                <pt idx="45">
                  <v>45379</v>
                </pt>
                <pt idx="46">
                  <v>45412</v>
                </pt>
                <pt idx="47">
                  <v>45443</v>
                </pt>
                <pt idx="48">
                  <v>45473</v>
                </pt>
                <pt idx="49">
                  <v>45504</v>
                </pt>
                <pt idx="50">
                  <v>45535</v>
                </pt>
                <pt idx="51">
                  <v>45565</v>
                </pt>
                <pt idx="52">
                  <v>45596</v>
                </pt>
                <pt idx="53">
                  <v>45626</v>
                </pt>
                <pt idx="54">
                  <v>45657</v>
                </pt>
                <pt idx="55">
                  <v>45688</v>
                </pt>
                <pt idx="56">
                  <v>45716</v>
                </pt>
                <pt idx="57">
                  <v>45747</v>
                </pt>
                <pt idx="58">
                  <v>45777</v>
                </pt>
                <pt idx="59">
                  <v>45808</v>
                </pt>
                <pt idx="60">
                  <v>45838</v>
                </pt>
                <pt idx="61">
                  <v>45869</v>
                </pt>
                <pt idx="62">
                  <v>45900</v>
                </pt>
                <pt idx="63">
                  <v>45930</v>
                </pt>
                <pt idx="64">
                  <v>45961</v>
                </pt>
                <pt idx="65">
                  <v>45991</v>
                </pt>
              </numCache>
            </numRef>
          </cat>
          <val>
            <numRef>
              <f>('Datos ICP (2)'!$J$177:$J$180,'Datos ICP (2)'!$J$183:$J$244)</f>
              <numCache>
                <formatCode>#,##0.00</formatCode>
                <ptCount val="66"/>
                <pt idx="0">
                  <v>100</v>
                </pt>
                <pt idx="1">
                  <v>100.179435838704</v>
                </pt>
                <pt idx="2">
                  <v>100.4659841453439</v>
                </pt>
                <pt idx="3">
                  <v>100.696366704055</v>
                </pt>
                <pt idx="4">
                  <v>101.400261670962</v>
                </pt>
                <pt idx="5">
                  <v>101.6531048000442</v>
                </pt>
                <pt idx="6">
                  <v>101.8574409942269</v>
                </pt>
                <pt idx="7">
                  <v>102.0486345935042</v>
                </pt>
                <pt idx="8">
                  <v>102.2278176513921</v>
                </pt>
                <pt idx="9">
                  <v>102.3810401259605</v>
                </pt>
                <pt idx="10">
                  <v>102.5382725174621</v>
                </pt>
                <pt idx="11">
                  <v>102.7142596503027</v>
                </pt>
                <pt idx="12">
                  <v>102.8623369360319</v>
                </pt>
                <pt idx="13">
                  <v>103.0326261048202</v>
                </pt>
                <pt idx="14">
                  <v>103.1520173465463</v>
                </pt>
                <pt idx="15">
                  <v>103.3084964094691</v>
                </pt>
                <pt idx="16">
                  <v>103.4566971736058</v>
                </pt>
                <pt idx="17">
                  <v>103.6250720395485</v>
                </pt>
                <pt idx="18">
                  <v>103.867201799078</v>
                </pt>
                <pt idx="19">
                  <v>104.2110710954631</v>
                </pt>
                <pt idx="20">
                  <v>104.6687622487655</v>
                </pt>
                <pt idx="21">
                  <v>105.1411992526484</v>
                </pt>
                <pt idx="22">
                  <v>105.8070624533741</v>
                </pt>
                <pt idx="23">
                  <v>106.6422070728305</v>
                </pt>
                <pt idx="24">
                  <v>107.4741914682538</v>
                </pt>
                <pt idx="25">
                  <v>108.3277406046504</v>
                </pt>
                <pt idx="26">
                  <v>109.2475997807558</v>
                </pt>
                <pt idx="27">
                  <v>110.1971452302121</v>
                </pt>
                <pt idx="28">
                  <v>111.2887352596983</v>
                </pt>
                <pt idx="29">
                  <v>112.4081105095666</v>
                </pt>
                <pt idx="30">
                  <v>113.533162970148</v>
                </pt>
                <pt idx="31">
                  <v>114.7301718304866</v>
                </pt>
                <pt idx="32">
                  <v>115.9868943433963</v>
                </pt>
                <pt idx="33">
                  <v>117.1881254169219</v>
                </pt>
                <pt idx="34">
                  <v>118.4248513807577</v>
                </pt>
                <pt idx="35">
                  <v>119.6442837326159</v>
                </pt>
                <pt idx="36">
                  <v>120.8758134401832</v>
                </pt>
                <pt idx="37">
                  <v>122.1317884567448</v>
                </pt>
                <pt idx="38">
                  <v>123.2738568248982</v>
                </pt>
                <pt idx="39">
                  <v>124.4166326068736</v>
                </pt>
                <pt idx="40">
                  <v>125.5212518214801</v>
                </pt>
                <pt idx="41">
                  <v>126.6082478371831</v>
                </pt>
                <pt idx="42">
                  <v>127.6217048656065</v>
                </pt>
                <pt idx="43">
                  <v>128.6568981622361</v>
                </pt>
                <pt idx="44">
                  <v>129.5497323872333</v>
                </pt>
                <pt idx="45">
                  <v>130.3913129015015</v>
                </pt>
                <pt idx="46">
                  <v>131.2212080654427</v>
                </pt>
                <pt idx="47">
                  <v>131.9842382126295</v>
                </pt>
                <pt idx="48">
                  <v>132.7018167871169</v>
                </pt>
                <pt idx="49">
                  <v>133.3540119879141</v>
                </pt>
                <pt idx="50">
                  <v>134.062553706265</v>
                </pt>
                <pt idx="51">
                  <v>134.7705797543461</v>
                </pt>
                <pt idx="52">
                  <v>135.4209350796968</v>
                </pt>
                <pt idx="53">
                  <v>136.0991925785589</v>
                </pt>
                <pt idx="54">
                  <v>136.7337546711186</v>
                </pt>
                <pt idx="55">
                  <v>137.3486998302436</v>
                </pt>
                <pt idx="56">
                  <v>138.0396877709309</v>
                </pt>
                <pt idx="57">
                  <v>138.8373478300647</v>
                </pt>
                <pt idx="58">
                  <v>139.7130259096828</v>
                </pt>
                <pt idx="59">
                  <v>140.5734499852521</v>
                </pt>
                <pt idx="60">
                  <v>141.3852821795217</v>
                </pt>
                <pt idx="61">
                  <v>142.1465716771291</v>
                </pt>
                <pt idx="62">
                  <v>142.9509567914361</v>
                </pt>
                <pt idx="63">
                  <v>143.7207323558945</v>
                </pt>
                <pt idx="64">
                  <v>144.4973960668843</v>
                </pt>
                <pt idx="65">
                  <v>145.2981040912851</v>
                </pt>
              </numCache>
            </numRef>
          </val>
          <smooth val="0"/>
        </ser>
        <ser>
          <idx val="2"/>
          <order val="2"/>
          <tx>
            <v>Competencia Relevante</v>
          </tx>
          <spPr>
            <a:ln xmlns:a="http://schemas.openxmlformats.org/drawingml/2006/main" w="38100">
              <a:solidFill>
                <a:sysClr val="window" lastClr="FFFFFF">
                  <a:lumMod val="65000"/>
                </a:sysClr>
              </a:solidFill>
              <a:prstDash val="solid"/>
            </a:ln>
          </spPr>
          <marker>
            <symbol val="none"/>
            <spPr>
              <a:ln xmlns:a="http://schemas.openxmlformats.org/drawingml/2006/main">
                <a:prstDash val="solid"/>
              </a:ln>
            </spPr>
          </marker>
          <cat>
            <numRef>
              <f>('Datos ICP (2)'!$A$177:$A$180,'Datos ICP (2)'!$A$183:$A$244)</f>
              <numCache>
                <formatCode>m/d/yyyy</formatCode>
                <ptCount val="66"/>
                <pt idx="0">
                  <v>43951</v>
                </pt>
                <pt idx="1">
                  <v>43982</v>
                </pt>
                <pt idx="2">
                  <v>44012</v>
                </pt>
                <pt idx="3">
                  <v>44043</v>
                </pt>
                <pt idx="4">
                  <v>44135</v>
                </pt>
                <pt idx="5">
                  <v>44165</v>
                </pt>
                <pt idx="6">
                  <v>44196</v>
                </pt>
                <pt idx="7">
                  <v>44227</v>
                </pt>
                <pt idx="8">
                  <v>44255</v>
                </pt>
                <pt idx="9">
                  <v>44286</v>
                </pt>
                <pt idx="10">
                  <v>44316</v>
                </pt>
                <pt idx="11">
                  <v>44347</v>
                </pt>
                <pt idx="12">
                  <v>44377</v>
                </pt>
                <pt idx="13">
                  <v>44408</v>
                </pt>
                <pt idx="14">
                  <v>44439</v>
                </pt>
                <pt idx="15">
                  <v>44469</v>
                </pt>
                <pt idx="16">
                  <v>44500</v>
                </pt>
                <pt idx="17">
                  <v>44530</v>
                </pt>
                <pt idx="18">
                  <v>44561</v>
                </pt>
                <pt idx="19">
                  <v>44592</v>
                </pt>
                <pt idx="20">
                  <v>44620</v>
                </pt>
                <pt idx="21">
                  <v>44651</v>
                </pt>
                <pt idx="22">
                  <v>44681</v>
                </pt>
                <pt idx="23">
                  <v>44712</v>
                </pt>
                <pt idx="24">
                  <v>44742</v>
                </pt>
                <pt idx="25">
                  <v>44773</v>
                </pt>
                <pt idx="26">
                  <v>44804</v>
                </pt>
                <pt idx="27">
                  <v>44834</v>
                </pt>
                <pt idx="28">
                  <v>44862</v>
                </pt>
                <pt idx="29">
                  <v>44895</v>
                </pt>
                <pt idx="30">
                  <v>44925</v>
                </pt>
                <pt idx="31">
                  <v>44957</v>
                </pt>
                <pt idx="32">
                  <v>44985</v>
                </pt>
                <pt idx="33">
                  <v>45016</v>
                </pt>
                <pt idx="34">
                  <v>45044</v>
                </pt>
                <pt idx="35">
                  <v>45077</v>
                </pt>
                <pt idx="36">
                  <v>45107</v>
                </pt>
                <pt idx="37">
                  <v>45138</v>
                </pt>
                <pt idx="38">
                  <v>45169</v>
                </pt>
                <pt idx="39">
                  <v>45199</v>
                </pt>
                <pt idx="40">
                  <v>45230</v>
                </pt>
                <pt idx="41">
                  <v>45260</v>
                </pt>
                <pt idx="42">
                  <v>45291</v>
                </pt>
                <pt idx="43">
                  <v>45322</v>
                </pt>
                <pt idx="44">
                  <v>45351</v>
                </pt>
                <pt idx="45">
                  <v>45379</v>
                </pt>
                <pt idx="46">
                  <v>45412</v>
                </pt>
                <pt idx="47">
                  <v>45443</v>
                </pt>
                <pt idx="48">
                  <v>45473</v>
                </pt>
                <pt idx="49">
                  <v>45504</v>
                </pt>
                <pt idx="50">
                  <v>45535</v>
                </pt>
                <pt idx="51">
                  <v>45565</v>
                </pt>
                <pt idx="52">
                  <v>45596</v>
                </pt>
                <pt idx="53">
                  <v>45626</v>
                </pt>
                <pt idx="54">
                  <v>45657</v>
                </pt>
                <pt idx="55">
                  <v>45688</v>
                </pt>
                <pt idx="56">
                  <v>45716</v>
                </pt>
                <pt idx="57">
                  <v>45747</v>
                </pt>
                <pt idx="58">
                  <v>45777</v>
                </pt>
                <pt idx="59">
                  <v>45808</v>
                </pt>
                <pt idx="60">
                  <v>45838</v>
                </pt>
                <pt idx="61">
                  <v>45869</v>
                </pt>
                <pt idx="62">
                  <v>45900</v>
                </pt>
                <pt idx="63">
                  <v>45930</v>
                </pt>
                <pt idx="64">
                  <v>45961</v>
                </pt>
                <pt idx="65">
                  <v>45991</v>
                </pt>
              </numCache>
            </numRef>
          </cat>
          <val>
            <numRef>
              <f>('Datos ICP (2)'!$M$177:$M$180,'Datos ICP (2)'!$M$183:$M$244)</f>
              <numCache>
                <formatCode>0.00</formatCode>
                <ptCount val="66"/>
                <pt idx="0">
                  <v>100</v>
                </pt>
                <pt idx="1">
                  <v>100.0155105434576</v>
                </pt>
                <pt idx="2">
                  <v>100.0315380221784</v>
                </pt>
                <pt idx="3">
                  <v>100.0412289777928</v>
                </pt>
                <pt idx="4">
                  <v>100.0733765121292</v>
                </pt>
                <pt idx="5">
                  <v>100.0794745724007</v>
                </pt>
                <pt idx="6">
                  <v>100.0853463156225</v>
                </pt>
                <pt idx="7">
                  <v>100.0901798857163</v>
                </pt>
                <pt idx="8">
                  <v>100.0960251746799</v>
                </pt>
                <pt idx="9">
                  <v>100.1012594160677</v>
                </pt>
                <pt idx="10">
                  <v>100.1078918120339</v>
                </pt>
                <pt idx="11">
                  <v>100.1137122309436</v>
                </pt>
                <pt idx="12">
                  <v>100.1197123758139</v>
                </pt>
                <pt idx="13">
                  <v>100.1257084417279</v>
                </pt>
                <pt idx="14">
                  <v>100.1317202851499</v>
                </pt>
                <pt idx="15">
                  <v>100.119928069325</v>
                </pt>
                <pt idx="16">
                  <v>100.2189811822562</v>
                </pt>
                <pt idx="17">
                  <v>100.3451794312326</v>
                </pt>
                <pt idx="18">
                  <v>100.5222167041491</v>
                </pt>
                <pt idx="19">
                  <v>100.7723874081939</v>
                </pt>
                <pt idx="20">
                  <v>101.1287270196887</v>
                </pt>
                <pt idx="21">
                  <v>101.4998961961692</v>
                </pt>
                <pt idx="22">
                  <v>101.9639144672961</v>
                </pt>
                <pt idx="23">
                  <v>102.5076676387649</v>
                </pt>
                <pt idx="24">
                  <v>103.1107808757574</v>
                </pt>
                <pt idx="25">
                  <v>103.7605650845988</v>
                </pt>
                <pt idx="26">
                  <v>104.4665173634775</v>
                </pt>
                <pt idx="27">
                  <v>105.232857145415</v>
                </pt>
                <pt idx="28">
                  <v>106.0494174527406</v>
                </pt>
                <pt idx="29">
                  <v>106.8922022668572</v>
                </pt>
                <pt idx="30">
                  <v>107.7396620266699</v>
                </pt>
                <pt idx="31">
                  <v>108.5922846582134</v>
                </pt>
                <pt idx="32">
                  <v>109.4518432633586</v>
                </pt>
                <pt idx="33">
                  <v>110.3214959179052</v>
                </pt>
                <pt idx="34">
                  <v>111.2030646390554</v>
                </pt>
                <pt idx="35">
                  <v>112.0952242242226</v>
                </pt>
                <pt idx="36">
                  <v>112.9923101249994</v>
                </pt>
                <pt idx="37">
                  <v>113.8894477913236</v>
                </pt>
                <pt idx="38">
                  <v>114.7266769236732</v>
                </pt>
                <pt idx="39">
                  <v>115.5050770755861</v>
                </pt>
                <pt idx="40">
                  <v>116.25132363665</v>
                </pt>
                <pt idx="41">
                  <v>116.9685439936271</v>
                </pt>
                <pt idx="42">
                  <v>117.6592113848806</v>
                </pt>
                <pt idx="43">
                  <v>118.3278113434921</v>
                </pt>
                <pt idx="44">
                  <v>118.9502455114515</v>
                </pt>
                <pt idx="45">
                  <v>119.5174023493038</v>
                </pt>
                <pt idx="46">
                  <v>120.0302541340888</v>
                </pt>
                <pt idx="47">
                  <v>120.5143783751849</v>
                </pt>
                <pt idx="48">
                  <v>120.9542791309272</v>
                </pt>
                <pt idx="49">
                  <v>121.3796627757812</v>
                </pt>
                <pt idx="50">
                  <v>121.8057840245242</v>
                </pt>
                <pt idx="51">
                  <v>122.2169327842055</v>
                </pt>
                <pt idx="52">
                  <v>122.620344819011</v>
                </pt>
                <pt idx="53">
                  <v>123.0152282635119</v>
                </pt>
                <pt idx="54">
                  <v>123.3997329032282</v>
                </pt>
                <pt idx="55">
                  <v>123.760403692131</v>
                </pt>
                <pt idx="56">
                  <v>124.1266643472142</v>
                </pt>
                <pt idx="57">
                  <v>124.4945790144275</v>
                </pt>
                <pt idx="58">
                  <v>124.8650686177317</v>
                </pt>
                <pt idx="59">
                  <v>125.2384267558813</v>
                </pt>
                <pt idx="60">
                  <v>125.6137728905544</v>
                </pt>
                <pt idx="61">
                  <v>125.972446753427</v>
                </pt>
                <pt idx="62">
                  <v>126.3382393095884</v>
                </pt>
                <pt idx="63">
                  <v>126.6871368820612</v>
                </pt>
                <pt idx="64">
                  <v>127.038411059081</v>
                </pt>
                <pt idx="65">
                  <v>127.3934854205229</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Indices</a:t>
                </a:r>
              </a:p>
            </rich>
          </tx>
          <overlay val="0"/>
        </title>
        <numFmt formatCode="0" sourceLinked="0"/>
        <majorTickMark val="out"/>
        <minorTickMark val="none"/>
        <tickLblPos val="nextTo"/>
        <crossAx val="231479168"/>
        <crosses val="autoZero"/>
        <crossBetween val="between"/>
      </valAx>
    </plotArea>
    <legend>
      <legendPos val="r"/>
      <layout>
        <manualLayout>
          <xMode val="edge"/>
          <yMode val="edge"/>
          <wMode val="factor"/>
          <hMode val="factor"/>
          <x val="0.6656773860002457"/>
          <y val="0.6351742776808221"/>
          <w val="0.2965180236692118"/>
          <h val="0.1697928981590947"/>
        </manualLayout>
      </layout>
      <overlay val="1"/>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0.781</v>
                </pt>
                <pt idx="1">
                  <v>0.1923</v>
                </pt>
                <pt idx="2">
                  <v>0.0267</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0.3345</v>
                </pt>
                <pt idx="3">
                  <v>0.5504</v>
                </pt>
                <pt idx="4">
                  <v>0.1151</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0.9583423664132699</v>
                </pt>
                <pt idx="1">
                  <v>0.04165763358673011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16</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283643</colOff>
      <row>250</row>
      <rowOff>173184</rowOff>
    </from>
    <to>
      <col>10</col>
      <colOff>569168</colOff>
      <row>279</row>
      <rowOff>89400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9.140625" customWidth="1" min="1" max="1"/>
  </cols>
  <sheetData>
    <row r="2" ht="204" customHeight="1">
      <c r="A2" s="89"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89" t="n"/>
    </row>
    <row r="4">
      <c r="A4" s="7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V49" zoomScale="80" zoomScaleNormal="80" workbookViewId="0">
      <selection activeCell="AW20" sqref="AW20"/>
    </sheetView>
  </sheetViews>
  <sheetFormatPr baseColWidth="8" defaultColWidth="12.28515625" defaultRowHeight="15"/>
  <cols>
    <col width="14.42578125" customWidth="1" style="9" min="1" max="1"/>
    <col width="15" customWidth="1" style="9" min="2" max="2"/>
    <col width="12.28515625" bestFit="1" customWidth="1" style="9" min="3" max="4"/>
    <col width="12.28515625" customWidth="1" style="9" min="5" max="5"/>
    <col width="16.140625" customWidth="1" style="9" min="6" max="6"/>
    <col width="14.140625" bestFit="1" customWidth="1" style="98" min="7" max="7"/>
    <col width="14.5703125" customWidth="1" style="98" min="8" max="8"/>
    <col width="12.28515625" bestFit="1" customWidth="1" style="99" min="9" max="9"/>
    <col width="12.28515625" bestFit="1" customWidth="1" style="9" min="10" max="12"/>
    <col width="11.85546875" bestFit="1" customWidth="1" style="9" min="13" max="15"/>
    <col width="13.42578125" customWidth="1" style="9" min="16" max="17"/>
    <col width="12.85546875" bestFit="1" customWidth="1" style="9" min="18" max="18"/>
    <col width="14.140625" bestFit="1" customWidth="1" style="9" min="19" max="19"/>
    <col width="13.85546875" customWidth="1" style="9" min="20" max="20"/>
    <col width="15" customWidth="1" style="9" min="21" max="21"/>
    <col width="14.7109375" customWidth="1" style="9" min="22" max="22"/>
    <col width="13.85546875" customWidth="1" style="9" min="23" max="23"/>
    <col width="15" customWidth="1" style="9" min="24" max="25"/>
    <col width="13.42578125" customWidth="1" style="9" min="26" max="26"/>
    <col width="14.140625" customWidth="1" style="9" min="27" max="27"/>
    <col width="5.5703125" bestFit="1" customWidth="1" style="9" min="28" max="28"/>
    <col width="9.140625" customWidth="1" style="9" min="29" max="29"/>
    <col width="12.28515625" bestFit="1" customWidth="1" style="9" min="30" max="30"/>
    <col width="8.85546875" customWidth="1" style="9" min="31" max="31"/>
    <col width="11.5703125" bestFit="1" customWidth="1" style="9" min="32" max="32"/>
    <col width="7.85546875" bestFit="1" customWidth="1" style="9" min="33" max="34"/>
    <col width="7.42578125" customWidth="1" style="9" min="35" max="35"/>
    <col width="7.5703125" customWidth="1" style="9" min="36" max="36"/>
    <col width="10.5703125" bestFit="1" customWidth="1" style="9" min="37" max="37"/>
    <col width="8.140625" bestFit="1" customWidth="1" style="9" min="38" max="38"/>
    <col width="7.5703125" customWidth="1" style="9" min="39" max="39"/>
    <col width="7.85546875" customWidth="1" style="9" min="40" max="40"/>
    <col width="7.5703125" customWidth="1" style="9" min="41" max="41"/>
    <col width="9.42578125" customWidth="1" style="9" min="42" max="42"/>
    <col width="10.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5.28515625" customWidth="1" style="9" min="50" max="50"/>
    <col width="15" customWidth="1" style="9" min="51" max="51"/>
    <col width="15.28515625" customWidth="1" style="9" min="52" max="52"/>
    <col width="14.42578125" customWidth="1" style="9" min="53" max="53"/>
    <col width="14.5703125"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0" t="n"/>
      <c r="H2" s="100" t="n"/>
      <c r="J2" s="9" t="inlineStr">
        <is>
          <t>Fondo LIQUIDEZ I</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7" t="n">
        <v>2019</v>
      </c>
      <c r="AE2" s="28" t="n"/>
      <c r="AF2" s="28" t="n"/>
      <c r="AG2" s="28" t="n"/>
      <c r="AH2" s="28" t="n"/>
      <c r="AI2" s="28" t="n"/>
      <c r="AJ2" s="28" t="n"/>
      <c r="AK2" s="28" t="n"/>
      <c r="AL2" s="28" t="n"/>
      <c r="AM2" s="28" t="n"/>
      <c r="AN2" s="28" t="n"/>
      <c r="AO2" s="28" t="n"/>
      <c r="AP2" s="28" t="n"/>
      <c r="AQ2" s="29" t="n"/>
      <c r="AR2" s="15" t="n"/>
      <c r="AS2" s="15" t="n"/>
    </row>
    <row r="3">
      <c r="A3" s="23" t="n">
        <v>38717</v>
      </c>
      <c r="B3" s="24" t="n">
        <v>10953.14</v>
      </c>
      <c r="D3" s="25" t="n">
        <v>100</v>
      </c>
      <c r="E3" s="25" t="n"/>
      <c r="F3" s="25" t="n"/>
      <c r="K3" s="18" t="inlineStr">
        <is>
          <t>SERIE E</t>
        </is>
      </c>
      <c r="L3" s="19" t="n"/>
      <c r="N3" s="24">
        <f>B3</f>
        <v/>
      </c>
      <c r="O3" s="9" t="n">
        <v>2018</v>
      </c>
      <c r="P3" s="9">
        <f>+B150</f>
        <v/>
      </c>
      <c r="Q3" s="9">
        <f>+B151</f>
        <v/>
      </c>
      <c r="R3" s="9">
        <f>+B152</f>
        <v/>
      </c>
      <c r="S3" s="9">
        <f>+B153</f>
        <v/>
      </c>
      <c r="T3" s="24">
        <f>+B154</f>
        <v/>
      </c>
      <c r="U3" s="25">
        <f>+B155</f>
        <v/>
      </c>
      <c r="V3" s="24">
        <f>+B156</f>
        <v/>
      </c>
      <c r="W3" s="24">
        <f>+B157</f>
        <v/>
      </c>
      <c r="X3" s="24">
        <f>+B158</f>
        <v/>
      </c>
      <c r="Y3" s="34">
        <f>+B159</f>
        <v/>
      </c>
      <c r="Z3" s="60">
        <f>+B160</f>
        <v/>
      </c>
      <c r="AA3" s="9">
        <f>+B161</f>
        <v/>
      </c>
      <c r="AC3" s="12" t="n"/>
      <c r="AD3" s="27" t="n">
        <v>2020</v>
      </c>
      <c r="AE3" s="28" t="n"/>
      <c r="AF3" s="28" t="n"/>
      <c r="AG3" s="28" t="n"/>
      <c r="AH3" s="28">
        <f>+S5/R5-1</f>
        <v/>
      </c>
      <c r="AI3" s="28">
        <f>+T5/S5-1</f>
        <v/>
      </c>
      <c r="AJ3" s="28">
        <f>+U5/T5-1</f>
        <v/>
      </c>
      <c r="AK3" s="28">
        <f>+V5/U5-1</f>
        <v/>
      </c>
      <c r="AL3" s="28">
        <f>+W5/V5-1</f>
        <v/>
      </c>
      <c r="AM3" s="28">
        <f>+X5/W5-1</f>
        <v/>
      </c>
      <c r="AN3" s="28">
        <f>+Y5/X5-1</f>
        <v/>
      </c>
      <c r="AO3" s="28">
        <f>+Z5/Y5-1</f>
        <v/>
      </c>
      <c r="AP3" s="28">
        <f>+AA5/Z5-1</f>
        <v/>
      </c>
      <c r="AQ3" s="29">
        <f>+(AA5/AA4-1)/COUNTA(AE3:AP3)*12</f>
        <v/>
      </c>
      <c r="AR3" s="15" t="n"/>
      <c r="AS3" s="15" t="n"/>
    </row>
    <row r="4">
      <c r="A4" s="101" t="n">
        <v>38748</v>
      </c>
      <c r="B4" s="102" t="n">
        <v>10996.85</v>
      </c>
      <c r="C4" s="31" t="n">
        <v>0.003861906266148348</v>
      </c>
      <c r="D4" s="25" t="n">
        <v>100.399063647502</v>
      </c>
      <c r="E4" s="25" t="n"/>
      <c r="F4" s="25" t="n"/>
      <c r="K4" s="18" t="inlineStr">
        <is>
          <t>BCI EFICIENTE</t>
        </is>
      </c>
      <c r="L4" s="19" t="n"/>
      <c r="O4" s="9" t="n">
        <v>2019</v>
      </c>
      <c r="P4" s="9">
        <f>+B162</f>
        <v/>
      </c>
      <c r="Q4" s="9">
        <f>+B163</f>
        <v/>
      </c>
      <c r="R4" s="9">
        <f>+B164</f>
        <v/>
      </c>
      <c r="S4" s="9">
        <f>+B165</f>
        <v/>
      </c>
      <c r="T4" s="9">
        <f>+B166</f>
        <v/>
      </c>
      <c r="U4" s="25">
        <f>+B167</f>
        <v/>
      </c>
      <c r="V4" s="25">
        <f>+B168</f>
        <v/>
      </c>
      <c r="W4" s="25">
        <f>+B169</f>
        <v/>
      </c>
      <c r="X4" s="9">
        <f>+B170</f>
        <v/>
      </c>
      <c r="Y4" s="25">
        <f>+B171</f>
        <v/>
      </c>
      <c r="Z4" s="9">
        <f>+B172</f>
        <v/>
      </c>
      <c r="AA4" s="25">
        <f>+B173</f>
        <v/>
      </c>
      <c r="AD4" s="27" t="n">
        <v>2021</v>
      </c>
      <c r="AE4" s="74">
        <f>+P6/AA5-1</f>
        <v/>
      </c>
      <c r="AF4" s="74">
        <f>+Q6/P6-1</f>
        <v/>
      </c>
      <c r="AG4" s="74">
        <f>+R6/Q6-1</f>
        <v/>
      </c>
      <c r="AH4" s="74">
        <f>+S6/R6-1</f>
        <v/>
      </c>
      <c r="AI4" s="74">
        <f>+T6/S6-1</f>
        <v/>
      </c>
      <c r="AJ4" s="74">
        <f>+U6/T6-1</f>
        <v/>
      </c>
      <c r="AK4" s="74">
        <f>+V6/U6-1</f>
        <v/>
      </c>
      <c r="AL4" s="74">
        <f>+W6/V6-1</f>
        <v/>
      </c>
      <c r="AM4" s="74">
        <f>+X6/W6-1</f>
        <v/>
      </c>
      <c r="AN4" s="74">
        <f>+Y6/X6-1</f>
        <v/>
      </c>
      <c r="AO4" s="74">
        <f>+Z6/Y6-1</f>
        <v/>
      </c>
      <c r="AP4" s="74">
        <f>+AA6/Z6-1</f>
        <v/>
      </c>
      <c r="AQ4" s="29">
        <f>+(AA6/AA5-1)/COUNTA(AE4:AP4)*12</f>
        <v/>
      </c>
      <c r="AR4" s="15" t="n"/>
      <c r="AS4" s="15" t="n"/>
    </row>
    <row r="5">
      <c r="A5" s="23" t="n">
        <v>38776</v>
      </c>
      <c r="B5" s="102" t="n">
        <v>11035.11</v>
      </c>
      <c r="C5" s="31" t="n">
        <v>0.003727690851730858</v>
      </c>
      <c r="D5" s="25" t="n">
        <v>100.7483698738444</v>
      </c>
      <c r="E5" s="25" t="n"/>
      <c r="F5" s="25" t="n"/>
      <c r="O5" s="9" t="n">
        <v>2020</v>
      </c>
      <c r="P5" s="9">
        <f>+B174</f>
        <v/>
      </c>
      <c r="Q5" s="25">
        <f>+B175</f>
        <v/>
      </c>
      <c r="R5" s="25">
        <f>+B176</f>
        <v/>
      </c>
      <c r="S5" s="25">
        <f>+B177</f>
        <v/>
      </c>
      <c r="T5" s="9">
        <f>+B178</f>
        <v/>
      </c>
      <c r="U5" s="25">
        <f>+B179</f>
        <v/>
      </c>
      <c r="V5" s="25">
        <f>+B180</f>
        <v/>
      </c>
      <c r="W5" s="25">
        <f>+B181</f>
        <v/>
      </c>
      <c r="X5" s="25">
        <f>+B182</f>
        <v/>
      </c>
      <c r="Y5" s="25">
        <f>+B183</f>
        <v/>
      </c>
      <c r="Z5" s="25">
        <f>+B184</f>
        <v/>
      </c>
      <c r="AA5" s="25">
        <f>+B185</f>
        <v/>
      </c>
      <c r="AD5" s="27" t="n">
        <v>2022</v>
      </c>
      <c r="AE5" s="74">
        <f>+P7/AA6-1</f>
        <v/>
      </c>
      <c r="AF5" s="74">
        <f>+Q7/P7-1</f>
        <v/>
      </c>
      <c r="AG5" s="74">
        <f>+R7/Q7-1</f>
        <v/>
      </c>
      <c r="AH5" s="74">
        <f>+S7/R7-1</f>
        <v/>
      </c>
      <c r="AI5" s="74">
        <f>+T7/S7-1</f>
        <v/>
      </c>
      <c r="AJ5" s="74">
        <f>+U7/T7-1</f>
        <v/>
      </c>
      <c r="AK5" s="74">
        <f>+V7/U7-1</f>
        <v/>
      </c>
      <c r="AL5" s="74">
        <f>+W7/V7-1</f>
        <v/>
      </c>
      <c r="AM5" s="74">
        <f>+X7/W7-1</f>
        <v/>
      </c>
      <c r="AN5" s="74">
        <f>+Y7/X7-1</f>
        <v/>
      </c>
      <c r="AO5" s="74">
        <f>+Z7/Y7-1</f>
        <v/>
      </c>
      <c r="AP5" s="74">
        <f>+AA7/Z7-1</f>
        <v/>
      </c>
      <c r="AQ5" s="29">
        <f>+(AA7/AA6-1)/COUNTA(AE5:AP5)*12</f>
        <v/>
      </c>
      <c r="AR5" s="15" t="n"/>
      <c r="AS5" s="15" t="n"/>
    </row>
    <row r="6">
      <c r="A6" s="23" t="n">
        <v>38807</v>
      </c>
      <c r="B6" s="102" t="n">
        <v>11078.66</v>
      </c>
      <c r="C6" s="31" t="n">
        <v>0.003819188144959357</v>
      </c>
      <c r="D6" s="25" t="n">
        <v>101.1459727530188</v>
      </c>
      <c r="E6" s="25" t="n"/>
      <c r="F6" s="25" t="n"/>
      <c r="O6" s="9" t="n">
        <v>2021</v>
      </c>
      <c r="P6" s="9">
        <f>+B186</f>
        <v/>
      </c>
      <c r="Q6" s="9">
        <f>+B187</f>
        <v/>
      </c>
      <c r="R6" s="25">
        <f>+B188</f>
        <v/>
      </c>
      <c r="S6" s="9">
        <f>+B189</f>
        <v/>
      </c>
      <c r="T6" s="9">
        <f>+B190</f>
        <v/>
      </c>
      <c r="U6" s="9">
        <f>+B191</f>
        <v/>
      </c>
      <c r="V6" s="9">
        <f>+B192</f>
        <v/>
      </c>
      <c r="W6" s="9">
        <f>+B193</f>
        <v/>
      </c>
      <c r="X6" s="9">
        <f>+B194</f>
        <v/>
      </c>
      <c r="Y6" s="9">
        <f>+B195</f>
        <v/>
      </c>
      <c r="Z6" s="9">
        <f>+B196</f>
        <v/>
      </c>
      <c r="AA6" s="9">
        <f>+B197</f>
        <v/>
      </c>
      <c r="AD6" s="27" t="n">
        <v>2023</v>
      </c>
      <c r="AE6" s="74">
        <f>+P8/AA7-1</f>
        <v/>
      </c>
      <c r="AF6" s="74">
        <f>+Q8/P8-1</f>
        <v/>
      </c>
      <c r="AG6" s="74">
        <f>+R8/Q8-1</f>
        <v/>
      </c>
      <c r="AH6" s="74">
        <f>+S8/R8-1</f>
        <v/>
      </c>
      <c r="AI6" s="74">
        <f>+T8/S8-1</f>
        <v/>
      </c>
      <c r="AJ6" s="74">
        <f>+U8/T8-1</f>
        <v/>
      </c>
      <c r="AK6" s="74">
        <f>+V8/U8-1</f>
        <v/>
      </c>
      <c r="AL6" s="74">
        <f>+W8/V8-1</f>
        <v/>
      </c>
      <c r="AM6" s="74">
        <f>+X8/W8-1</f>
        <v/>
      </c>
      <c r="AN6" s="74">
        <f>+Y8/X8-1</f>
        <v/>
      </c>
      <c r="AO6" s="74">
        <f>+Z8/Y8-1</f>
        <v/>
      </c>
      <c r="AP6" s="74">
        <f>+AA8/Z8-1</f>
        <v/>
      </c>
      <c r="AQ6" s="29">
        <f>+(AA8/AA7-1)/COUNTA(AE6:AP6)*12</f>
        <v/>
      </c>
      <c r="AR6" s="15" t="n"/>
      <c r="AS6" s="15" t="n"/>
    </row>
    <row r="7">
      <c r="A7" s="23" t="n">
        <v>38835</v>
      </c>
      <c r="B7" s="102" t="n">
        <v>11118.82</v>
      </c>
      <c r="C7" s="31" t="n">
        <v>0.003883914790107476</v>
      </c>
      <c r="D7" s="25" t="n">
        <v>101.5126256032517</v>
      </c>
      <c r="E7" s="25" t="n"/>
      <c r="F7" s="25" t="n"/>
      <c r="O7" s="9" t="n">
        <v>2022</v>
      </c>
      <c r="P7" s="9">
        <f>+B198</f>
        <v/>
      </c>
      <c r="Q7" s="25">
        <f>+B199</f>
        <v/>
      </c>
      <c r="R7" s="25">
        <f>+B200</f>
        <v/>
      </c>
      <c r="S7" s="9">
        <f>+B201</f>
        <v/>
      </c>
      <c r="T7" s="9">
        <f>+B202</f>
        <v/>
      </c>
      <c r="U7" s="9">
        <f>+B203</f>
        <v/>
      </c>
      <c r="V7" s="9">
        <f>+B204</f>
        <v/>
      </c>
      <c r="W7" s="9">
        <f>+B205</f>
        <v/>
      </c>
      <c r="X7" s="9">
        <f>+B206</f>
        <v/>
      </c>
      <c r="Y7" s="9">
        <f>+B207</f>
        <v/>
      </c>
      <c r="Z7" s="9">
        <f>+B208</f>
        <v/>
      </c>
      <c r="AA7" s="9">
        <f>+B209</f>
        <v/>
      </c>
      <c r="AD7" s="27" t="n">
        <v>2024</v>
      </c>
      <c r="AE7" s="74">
        <f>+P9/AA8-1</f>
        <v/>
      </c>
      <c r="AF7" s="74">
        <f>+Q9/P9-1</f>
        <v/>
      </c>
      <c r="AG7" s="74">
        <f>+R9/Q9-1</f>
        <v/>
      </c>
      <c r="AH7" s="74">
        <f>+S9/R9-1</f>
        <v/>
      </c>
      <c r="AI7" s="74">
        <f>+T9/S9-1</f>
        <v/>
      </c>
      <c r="AJ7" s="74">
        <f>+U9/T9-1</f>
        <v/>
      </c>
      <c r="AK7" s="74">
        <f>+V9/U9-1</f>
        <v/>
      </c>
      <c r="AL7" s="74">
        <f>+W9/V9-1</f>
        <v/>
      </c>
      <c r="AM7" s="74">
        <f>+X9/W9-1</f>
        <v/>
      </c>
      <c r="AN7" s="74">
        <f>+Y9/X9-1</f>
        <v/>
      </c>
      <c r="AO7" s="74">
        <f>+Z9/Y9-1</f>
        <v/>
      </c>
      <c r="AP7" s="74">
        <f>+AA9/Z9-1</f>
        <v/>
      </c>
      <c r="AQ7" s="29">
        <f>+(AA9/AA8-1)/COUNTA(AE7:AP7)*12</f>
        <v/>
      </c>
      <c r="AR7" s="15" t="n"/>
      <c r="AS7" s="15" t="n"/>
    </row>
    <row r="8">
      <c r="A8" s="23" t="n">
        <v>38868</v>
      </c>
      <c r="B8" s="102" t="n">
        <v>11169.1</v>
      </c>
      <c r="C8" s="31" t="n">
        <v>0.004110965993611967</v>
      </c>
      <c r="D8" s="25" t="n">
        <v>101.9716720502066</v>
      </c>
      <c r="E8" s="25" t="n"/>
      <c r="F8" s="25" t="n"/>
      <c r="O8" s="9" t="n">
        <v>2023</v>
      </c>
      <c r="P8" s="9">
        <f>+B210</f>
        <v/>
      </c>
      <c r="Q8" s="25">
        <f>+B211</f>
        <v/>
      </c>
      <c r="R8" s="25">
        <f>+B212</f>
        <v/>
      </c>
      <c r="S8" s="9">
        <f>+B213</f>
        <v/>
      </c>
      <c r="T8" s="9">
        <f>+B214</f>
        <v/>
      </c>
      <c r="U8" s="9">
        <f>+B215</f>
        <v/>
      </c>
      <c r="V8" s="9">
        <f>+B216</f>
        <v/>
      </c>
      <c r="W8" s="9">
        <f>+B217</f>
        <v/>
      </c>
      <c r="X8" s="9">
        <f>+B218</f>
        <v/>
      </c>
      <c r="Y8" s="25">
        <f>+B219</f>
        <v/>
      </c>
      <c r="Z8" s="9">
        <f>+B220</f>
        <v/>
      </c>
      <c r="AA8" s="9">
        <f>+B221</f>
        <v/>
      </c>
      <c r="AD8" s="27" t="n">
        <v>2025</v>
      </c>
      <c r="AE8" s="74">
        <f>+P10/AA9-1</f>
        <v/>
      </c>
      <c r="AF8" s="74">
        <f>+Q10/P10-1</f>
        <v/>
      </c>
      <c r="AG8" s="74">
        <f>+R10/Q10-1</f>
        <v/>
      </c>
      <c r="AH8" s="74">
        <f>+S10/R10-1</f>
        <v/>
      </c>
      <c r="AI8" s="74">
        <f>+T10/S10-1</f>
        <v/>
      </c>
      <c r="AJ8" s="74">
        <f>+U10/T10-1</f>
        <v/>
      </c>
      <c r="AK8" s="74">
        <f>+V10/U10-1</f>
        <v/>
      </c>
      <c r="AL8" s="74">
        <f>+W10/V10-1</f>
        <v/>
      </c>
      <c r="AM8" s="74">
        <f>+X10/W10-1</f>
        <v/>
      </c>
      <c r="AN8" s="74">
        <f>+Y10/X10-1</f>
        <v/>
      </c>
      <c r="AO8" s="74">
        <f>+Z10/Y10-1</f>
        <v/>
      </c>
      <c r="AP8" s="74">
        <f>+AA10/Z10-1</f>
        <v/>
      </c>
      <c r="AQ8" s="29">
        <f>+(AA10/P10-1)/COUNTA(AE8:AP8)*12</f>
        <v/>
      </c>
      <c r="AR8" s="15" t="n"/>
      <c r="AS8" s="15" t="n"/>
    </row>
    <row r="9">
      <c r="A9" s="23" t="n">
        <v>38898</v>
      </c>
      <c r="B9" s="102" t="n">
        <v>11215.04</v>
      </c>
      <c r="C9" s="31" t="n">
        <v>0.004113133555971427</v>
      </c>
      <c r="D9" s="25" t="n">
        <v>102.3910951562748</v>
      </c>
      <c r="E9" s="25" t="n"/>
      <c r="F9" s="25" t="n"/>
      <c r="O9" s="9" t="n">
        <v>2024</v>
      </c>
      <c r="P9" s="9">
        <f>+B222</f>
        <v/>
      </c>
      <c r="Q9" s="25">
        <f>+B223</f>
        <v/>
      </c>
      <c r="R9" s="25">
        <f>+B224</f>
        <v/>
      </c>
      <c r="S9" s="9">
        <f>+B225</f>
        <v/>
      </c>
      <c r="T9" s="9">
        <f>+B226</f>
        <v/>
      </c>
      <c r="U9" s="25">
        <f>+B227</f>
        <v/>
      </c>
      <c r="V9" s="9">
        <f>+B228</f>
        <v/>
      </c>
      <c r="W9" s="9">
        <f>+B229</f>
        <v/>
      </c>
      <c r="X9" s="9">
        <f>+B230</f>
        <v/>
      </c>
      <c r="Y9" s="25">
        <f>+B231</f>
        <v/>
      </c>
      <c r="Z9" s="9">
        <f>+B232</f>
        <v/>
      </c>
      <c r="AA9" s="9">
        <f>+B233</f>
        <v/>
      </c>
      <c r="AD9" s="27" t="n">
        <v>2026</v>
      </c>
      <c r="AE9" s="74">
        <f>+P11/AA10-1</f>
        <v/>
      </c>
      <c r="AF9" s="74">
        <f>+Q11/P11-1</f>
        <v/>
      </c>
      <c r="AG9" s="74">
        <f>+R11/Q11-1</f>
        <v/>
      </c>
      <c r="AH9" s="74">
        <f>+S11/R11-1</f>
        <v/>
      </c>
      <c r="AI9">
        <f>+T11/S11-1</f>
        <v/>
      </c>
      <c r="AJ9">
        <f>+U11/T11-1</f>
        <v/>
      </c>
      <c r="AQ9" s="29">
        <f>+(U11/P11-1)/COUNTA(AE9:AJ9)*12</f>
        <v/>
      </c>
      <c r="AR9" s="15" t="n"/>
      <c r="AS9" s="15" t="n"/>
    </row>
    <row r="10">
      <c r="A10" s="23" t="n">
        <v>38929</v>
      </c>
      <c r="B10" s="102" t="n">
        <v>11263.22</v>
      </c>
      <c r="C10" s="31" t="n">
        <v>0.004157435591100152</v>
      </c>
      <c r="D10" s="25" t="n">
        <v>102.8309690189297</v>
      </c>
      <c r="E10" s="25" t="n"/>
      <c r="F10" s="25" t="n"/>
      <c r="O10" s="9" t="n">
        <v>2025</v>
      </c>
      <c r="P10" s="9">
        <f>+B234</f>
        <v/>
      </c>
      <c r="Q10" s="25">
        <f>+B235</f>
        <v/>
      </c>
      <c r="R10" s="25">
        <f>+B236</f>
        <v/>
      </c>
      <c r="S10" s="9">
        <f>+B237</f>
        <v/>
      </c>
      <c r="T10" s="9">
        <f>+B238</f>
        <v/>
      </c>
      <c r="U10" s="25">
        <f>+B239</f>
        <v/>
      </c>
      <c r="V10" s="9">
        <f>+B240</f>
        <v/>
      </c>
      <c r="W10" s="9">
        <f>+B241</f>
        <v/>
      </c>
      <c r="X10" s="9">
        <f>+B242</f>
        <v/>
      </c>
      <c r="Y10" s="25">
        <f>+B243</f>
        <v/>
      </c>
      <c r="Z10" s="9">
        <f>+B244</f>
        <v/>
      </c>
      <c r="AA10" s="9">
        <f>+B245</f>
        <v/>
      </c>
      <c r="AR10" s="15" t="n"/>
      <c r="AS10" s="15" t="n"/>
    </row>
    <row r="11">
      <c r="A11" s="23" t="n"/>
      <c r="B11" s="102" t="n"/>
      <c r="C11" s="31" t="n"/>
      <c r="D11" s="25" t="n"/>
      <c r="E11" s="25" t="n"/>
      <c r="F11" s="25" t="n"/>
      <c r="O11" s="9" t="n">
        <v>2026</v>
      </c>
      <c r="P11" s="9">
        <f>+B246</f>
        <v/>
      </c>
      <c r="Q11" s="25">
        <f>+B247</f>
        <v/>
      </c>
      <c r="R11" s="25">
        <f>+B248</f>
        <v/>
      </c>
      <c r="S11" s="9">
        <f>+B249</f>
        <v/>
      </c>
      <c r="T11">
        <f>+B250</f>
        <v/>
      </c>
      <c r="U11" s="25">
        <f>+B251</f>
        <v/>
      </c>
      <c r="Y11" s="25" t="n"/>
      <c r="AD11" s="32" t="inlineStr">
        <is>
          <t>(*) Acum a Mar</t>
        </is>
      </c>
      <c r="AR11" s="15" t="n"/>
      <c r="AS11" s="15" t="n"/>
    </row>
    <row r="12">
      <c r="A12" s="23" t="n">
        <v>38960</v>
      </c>
      <c r="B12" s="102" t="n">
        <v>11313.29</v>
      </c>
      <c r="C12" s="31" t="n">
        <v>0.004302041397546938</v>
      </c>
      <c r="D12" s="25" t="n">
        <v>103.2880982074547</v>
      </c>
      <c r="E12" s="25" t="n"/>
      <c r="F12" s="25" t="n"/>
      <c r="P12" s="16" t="n">
        <v>31</v>
      </c>
      <c r="Q12" s="16" t="n">
        <v>28</v>
      </c>
      <c r="R12" s="16" t="n">
        <v>31</v>
      </c>
      <c r="S12" s="16" t="n">
        <v>30</v>
      </c>
      <c r="T12" s="16" t="n">
        <v>31</v>
      </c>
      <c r="U12" s="16" t="n">
        <v>30</v>
      </c>
      <c r="V12" s="16" t="n">
        <v>31</v>
      </c>
      <c r="W12" s="16" t="n">
        <v>31</v>
      </c>
      <c r="X12" s="16" t="n">
        <v>30</v>
      </c>
      <c r="Y12" s="16" t="n">
        <v>31</v>
      </c>
      <c r="Z12" s="16" t="n">
        <v>30</v>
      </c>
      <c r="AA12" s="16" t="n">
        <v>31</v>
      </c>
      <c r="AR12" s="15" t="n"/>
      <c r="AS12" s="15" t="n"/>
    </row>
    <row r="13" ht="15.75" customHeight="1">
      <c r="A13" s="23" t="n">
        <v>38989</v>
      </c>
      <c r="B13" s="102" t="n">
        <v>11360.92</v>
      </c>
      <c r="C13" s="31" t="n">
        <v>0.004355268343081573</v>
      </c>
      <c r="D13" s="25" t="n">
        <v>103.7229506789834</v>
      </c>
      <c r="E13" s="25" t="n"/>
      <c r="F13" s="25" t="n"/>
      <c r="P13" s="16" t="n">
        <v>1</v>
      </c>
      <c r="Q13" s="16" t="n">
        <v>2</v>
      </c>
      <c r="R13" s="16" t="n">
        <v>3</v>
      </c>
      <c r="S13" s="16" t="n">
        <v>4</v>
      </c>
      <c r="T13" s="16" t="n">
        <v>5</v>
      </c>
      <c r="U13" s="16" t="n">
        <v>6</v>
      </c>
      <c r="V13" s="16" t="n">
        <v>7</v>
      </c>
      <c r="W13" s="16" t="n">
        <v>8</v>
      </c>
      <c r="X13" s="16" t="n">
        <v>9</v>
      </c>
      <c r="Y13" s="16" t="n">
        <v>10</v>
      </c>
      <c r="Z13" s="16" t="n">
        <v>11</v>
      </c>
      <c r="AA13" s="16" t="n">
        <v>12</v>
      </c>
      <c r="AD13" s="35" t="inlineStr">
        <is>
          <t>LIQUIDEZ I</t>
        </is>
      </c>
      <c r="AE13" s="14" t="inlineStr">
        <is>
          <t>Ene</t>
        </is>
      </c>
      <c r="AF13" s="14" t="inlineStr">
        <is>
          <t>Feb</t>
        </is>
      </c>
      <c r="AG13" s="14" t="inlineStr">
        <is>
          <t>Mar</t>
        </is>
      </c>
      <c r="AH13" s="14" t="inlineStr">
        <is>
          <t>Abr</t>
        </is>
      </c>
      <c r="AI13" s="14" t="inlineStr">
        <is>
          <t>May</t>
        </is>
      </c>
      <c r="AJ13" s="14" t="inlineStr">
        <is>
          <t>Jun</t>
        </is>
      </c>
      <c r="AK13" s="14" t="inlineStr">
        <is>
          <t>Jul</t>
        </is>
      </c>
      <c r="AL13" s="14" t="inlineStr">
        <is>
          <t>Ago</t>
        </is>
      </c>
      <c r="AM13" s="14" t="inlineStr">
        <is>
          <t>Sep</t>
        </is>
      </c>
      <c r="AN13" s="14" t="inlineStr">
        <is>
          <t>Oct</t>
        </is>
      </c>
      <c r="AO13" s="14" t="inlineStr">
        <is>
          <t>Nov</t>
        </is>
      </c>
      <c r="AP13" s="14" t="inlineStr">
        <is>
          <t>Dic</t>
        </is>
      </c>
      <c r="AQ13" s="14" t="inlineStr">
        <is>
          <t>Total Año</t>
        </is>
      </c>
      <c r="AR13" s="15" t="n"/>
      <c r="AS13" s="15" t="n"/>
    </row>
    <row r="14">
      <c r="A14" s="23" t="n">
        <v>39021</v>
      </c>
      <c r="B14" s="102" t="n">
        <v>11413.02</v>
      </c>
      <c r="C14" s="31" t="n">
        <v>0.0042992776993412</v>
      </c>
      <c r="D14" s="25" t="n">
        <v>104.198613365665</v>
      </c>
      <c r="E14" s="25" t="n"/>
      <c r="F14" s="25" t="n"/>
      <c r="O14" s="38" t="inlineStr">
        <is>
          <t>FONDO Alto Patrimonio</t>
        </is>
      </c>
      <c r="P14" s="9" t="inlineStr">
        <is>
          <t>Ene</t>
        </is>
      </c>
      <c r="Q14" s="9" t="inlineStr">
        <is>
          <t>Feb</t>
        </is>
      </c>
      <c r="R14" s="9" t="inlineStr">
        <is>
          <t>Mar</t>
        </is>
      </c>
      <c r="S14" s="9" t="inlineStr">
        <is>
          <t>Abr</t>
        </is>
      </c>
      <c r="T14" s="9" t="inlineStr">
        <is>
          <t>May</t>
        </is>
      </c>
      <c r="U14" s="9" t="inlineStr">
        <is>
          <t>Jun</t>
        </is>
      </c>
      <c r="V14" s="9" t="inlineStr">
        <is>
          <t>Jul</t>
        </is>
      </c>
      <c r="W14" s="9" t="inlineStr">
        <is>
          <t>Ago</t>
        </is>
      </c>
      <c r="X14" s="9" t="inlineStr">
        <is>
          <t>Sep</t>
        </is>
      </c>
      <c r="Y14" s="9" t="inlineStr">
        <is>
          <t>Oct</t>
        </is>
      </c>
      <c r="Z14" s="9" t="inlineStr">
        <is>
          <t>Nov</t>
        </is>
      </c>
      <c r="AA14" s="9" t="inlineStr">
        <is>
          <t>Dic</t>
        </is>
      </c>
      <c r="AD14" s="27" t="n">
        <v>2020</v>
      </c>
      <c r="AE14" s="64" t="n"/>
      <c r="AF14" s="64" t="n"/>
      <c r="AG14" s="64" t="n"/>
      <c r="AH14" s="64" t="n"/>
      <c r="AI14" s="64">
        <f>+(T19/S19-1)</f>
        <v/>
      </c>
      <c r="AJ14" s="64">
        <f>+(U19/T19-1)</f>
        <v/>
      </c>
      <c r="AK14" s="64">
        <f>+(V19/U19-1)</f>
        <v/>
      </c>
      <c r="AL14" s="64">
        <f>+(W19/V19-1)</f>
        <v/>
      </c>
      <c r="AM14" s="64">
        <f>+(X19/W19-1)</f>
        <v/>
      </c>
      <c r="AN14" s="64">
        <f>+(Y19/X19-1)</f>
        <v/>
      </c>
      <c r="AO14" s="64">
        <f>+(Z19/Y19-1)</f>
        <v/>
      </c>
      <c r="AP14" s="64">
        <f>+(AA19/Z19-1)</f>
        <v/>
      </c>
      <c r="AQ14" s="29">
        <f>+(AA19/S19-1)/COUNTA(AE14:AP14)*12</f>
        <v/>
      </c>
      <c r="AR14" s="15" t="n"/>
      <c r="AS14" s="15" t="n"/>
    </row>
    <row r="15">
      <c r="A15" s="23" t="n">
        <v>39051</v>
      </c>
      <c r="B15" s="102" t="n">
        <v>11463.01</v>
      </c>
      <c r="C15" s="31" t="n">
        <v>0.004380085200937245</v>
      </c>
      <c r="D15" s="25" t="n">
        <v>104.6550121700261</v>
      </c>
      <c r="E15" s="25" t="n"/>
      <c r="F15" s="25" t="n"/>
      <c r="O15" s="9" t="n">
        <v>2016</v>
      </c>
      <c r="P15" s="102" t="n"/>
      <c r="Q15" s="102" t="n"/>
      <c r="R15" s="102" t="n"/>
      <c r="S15" s="102" t="n"/>
      <c r="T15" s="102">
        <f>'[1]Cuota Liquidez '!B2</f>
        <v/>
      </c>
      <c r="U15" s="103">
        <f>LOOKUP(DATE($O15,U$13,U$12),$A$2:$A$2942,$H$2:$H$2942)</f>
        <v/>
      </c>
      <c r="V15" s="103">
        <f>LOOKUP(DATE($O15,V$13,V$12),$A$2:$A$2942,$H$2:$H$2942)</f>
        <v/>
      </c>
      <c r="W15" s="103">
        <f>LOOKUP(DATE($O15,W$13,W$12),$A$2:$A$2942,$H$2:$H$2942)</f>
        <v/>
      </c>
      <c r="X15" s="103">
        <f>LOOKUP(DATE($O15,X$13,X$12),$A$2:$A$2942,$H$2:$H$2942)</f>
        <v/>
      </c>
      <c r="Y15" s="103">
        <f>LOOKUP(DATE($O15,Y$13,Y$12),$A$2:$A$2942,$H$2:$H$2942)</f>
        <v/>
      </c>
      <c r="Z15" s="103">
        <f>LOOKUP(DATE($O15,Z$13,Z$12),$A$2:$A$2942,$H$2:$H$2942)</f>
        <v/>
      </c>
      <c r="AA15" s="103">
        <f>LOOKUP(DATE($O15,AA$13,AA$12),$A$2:$A$2942,$H$2:$H$2942)</f>
        <v/>
      </c>
      <c r="AD15" s="27" t="n">
        <v>2021</v>
      </c>
      <c r="AE15" s="64">
        <f>(+P20/AA19)-1</f>
        <v/>
      </c>
      <c r="AF15" s="64">
        <f>+(Q20/P20)-1</f>
        <v/>
      </c>
      <c r="AG15" s="64">
        <f>+(R20/Q20)-1</f>
        <v/>
      </c>
      <c r="AH15" s="64">
        <f>+(S20/R20)-1</f>
        <v/>
      </c>
      <c r="AI15" s="64">
        <f>+(T20/S20)-1</f>
        <v/>
      </c>
      <c r="AJ15" s="64">
        <f>+(U20/T20)-1</f>
        <v/>
      </c>
      <c r="AK15" s="64">
        <f>+(V20/U20)-1</f>
        <v/>
      </c>
      <c r="AL15" s="64">
        <f>+(W20/V20)-1</f>
        <v/>
      </c>
      <c r="AM15" s="64">
        <f>+(X20/W20)-1</f>
        <v/>
      </c>
      <c r="AN15" s="64">
        <f>+(Y20/X20)-1</f>
        <v/>
      </c>
      <c r="AO15" s="64">
        <f>+(Z20/Y20)-1</f>
        <v/>
      </c>
      <c r="AP15" s="64">
        <f>+(AA20/Z20)-1</f>
        <v/>
      </c>
      <c r="AQ15" s="29">
        <f>+(AA20/AA19-1)/COUNTA(AE15:AP15)*12</f>
        <v/>
      </c>
      <c r="AR15" s="15" t="n"/>
      <c r="AS15" s="15" t="n"/>
    </row>
    <row r="16">
      <c r="A16" s="23" t="n">
        <v>39080</v>
      </c>
      <c r="B16" s="102" t="n">
        <v>11512.49</v>
      </c>
      <c r="C16" s="31" t="n">
        <v>0.004465337367458577</v>
      </c>
      <c r="D16" s="25" t="n">
        <v>105.106754775343</v>
      </c>
      <c r="E16" s="25" t="n"/>
      <c r="F16" s="25" t="n"/>
      <c r="O16" s="9" t="n">
        <v>2017</v>
      </c>
      <c r="P16" s="103">
        <f>LOOKUP(DATE($O16,P$13,P$12),$A$2:$A$2942,$H$2:$H$2942)</f>
        <v/>
      </c>
      <c r="Q16" s="103">
        <f>LOOKUP(DATE($O16,Q$13,Q$12),$A$2:$A$2942,$H$2:$H$2942)</f>
        <v/>
      </c>
      <c r="R16" s="103">
        <f>LOOKUP(DATE($O16,R$13,R$12),$A$2:$A$2942,$H$2:$H$2942)</f>
        <v/>
      </c>
      <c r="S16" s="103">
        <f>LOOKUP(DATE($O16,S$13,S$12),$A$2:$A$2942,$H$2:$H$2942)</f>
        <v/>
      </c>
      <c r="T16" s="103">
        <f>LOOKUP(DATE($O16,T$13,T$12),$A$2:$A$2942,$H$2:$H$2942)</f>
        <v/>
      </c>
      <c r="U16" s="103">
        <f>LOOKUP(DATE($O16,U$13,U$12),$A$2:$A$2942,$H$2:$H$2942)</f>
        <v/>
      </c>
      <c r="V16" s="103">
        <f>LOOKUP(DATE($O16,V$13,V$12),$A$2:$A$2942,$H$2:$H$2942)</f>
        <v/>
      </c>
      <c r="W16" s="103">
        <f>LOOKUP(DATE($O16,W$13,W$12),$A$2:$A$2942,$H$2:$H$2942)</f>
        <v/>
      </c>
      <c r="X16" s="103">
        <f>LOOKUP(DATE($O16,X$13,X$12),$A$2:$A$2942,$H$2:$H$2942)</f>
        <v/>
      </c>
      <c r="Y16" s="103">
        <f>LOOKUP(DATE($O16,Y$13,Y$12),$A$2:$A$2942,$H$2:$H$2942)</f>
        <v/>
      </c>
      <c r="Z16" s="103">
        <f>LOOKUP(DATE($O16,Z$13,Z$12),$A$2:$A$2942,$H$2:$H$2942)</f>
        <v/>
      </c>
      <c r="AA16" s="103">
        <f>LOOKUP(DATE($O16,AA$13,AA$12),$A$2:$A$2942,$H$2:$H$2942)</f>
        <v/>
      </c>
      <c r="AD16" s="27" t="n">
        <v>2022</v>
      </c>
      <c r="AE16" s="64">
        <f>(+P21/AA20)-1</f>
        <v/>
      </c>
      <c r="AF16" s="64">
        <f>(+Q21/P21)-1</f>
        <v/>
      </c>
      <c r="AG16" s="64">
        <f>(+R21/Q21)-1</f>
        <v/>
      </c>
      <c r="AH16" s="64">
        <f>(+S21/R21)-1</f>
        <v/>
      </c>
      <c r="AI16" s="64">
        <f>(+T21/S21)-1</f>
        <v/>
      </c>
      <c r="AJ16" s="64">
        <f>(+U21/T21)-1</f>
        <v/>
      </c>
      <c r="AK16" s="64">
        <f>(+V21/U21)-1</f>
        <v/>
      </c>
      <c r="AL16" s="64">
        <f>(+W21/V21)-1</f>
        <v/>
      </c>
      <c r="AM16" s="64">
        <f>(+X21/W21)-1</f>
        <v/>
      </c>
      <c r="AN16" s="64">
        <f>(+Y21/X21)-1</f>
        <v/>
      </c>
      <c r="AO16" s="64">
        <f>(+Z21/Y21)-1</f>
        <v/>
      </c>
      <c r="AP16" s="64">
        <f>(+AA21/Z21)-1</f>
        <v/>
      </c>
      <c r="AQ16" s="29">
        <f>+(AA21/AA20-1)/COUNTA(AE16:AP16)*12</f>
        <v/>
      </c>
      <c r="AR16" s="15" t="n"/>
      <c r="AS16" s="15" t="n"/>
    </row>
    <row r="17">
      <c r="A17" s="23" t="n">
        <v>39113</v>
      </c>
      <c r="B17" s="102" t="n">
        <v>11567.23</v>
      </c>
      <c r="C17" s="31" t="n">
        <v>0.004322578031653893</v>
      </c>
      <c r="D17" s="25" t="n">
        <v>105.6065201394303</v>
      </c>
      <c r="E17" s="25" t="n"/>
      <c r="F17" s="25" t="n"/>
      <c r="O17" s="9" t="n">
        <v>2018</v>
      </c>
      <c r="P17" s="103">
        <f>LOOKUP(DATE($O17,P$13,P$12),$A$2:$A$2942,$H$2:$H$2942)</f>
        <v/>
      </c>
      <c r="Q17" s="103">
        <f>LOOKUP(DATE($O17,Q$13,Q$12),$A$2:$A$2942,$H$2:$H$2942)</f>
        <v/>
      </c>
      <c r="R17" s="103">
        <f>LOOKUP(DATE($O17,R$13,R$12),$A$2:$A$2942,$H$2:$H$2942)</f>
        <v/>
      </c>
      <c r="S17" s="103">
        <f>LOOKUP(DATE($O17,S$13,S$12),$A$2:$A$2942,$H$2:$H$2942)</f>
        <v/>
      </c>
      <c r="T17" s="103">
        <f>LOOKUP(DATE($O17,T$13,T$12),$A$2:$A$2942,$H$2:$H$2942)</f>
        <v/>
      </c>
      <c r="U17" s="103">
        <f>LOOKUP(DATE($O17,U$13,U$12),$A$2:$A$2942,$H$2:$H$2942)</f>
        <v/>
      </c>
      <c r="V17" s="103">
        <f>LOOKUP(DATE($O17,V$13,V$12),$A$2:$A$2942,$H$2:$H$2942)</f>
        <v/>
      </c>
      <c r="W17" s="103">
        <f>LOOKUP(DATE($O17,W$13,W$12),$A$2:$A$2942,$H$2:$H$2942)</f>
        <v/>
      </c>
      <c r="X17" s="103">
        <f>LOOKUP(DATE($O17,X$13,X$12),$A$2:$A$2942,$H$2:$H$2942)</f>
        <v/>
      </c>
      <c r="Y17" s="104">
        <f>LOOKUP(DATE($O17,Y$13,Y$12),$A$2:$A$2942,$H$2:$H$2942)</f>
        <v/>
      </c>
      <c r="Z17" s="104">
        <f>LOOKUP(DATE($O17,Z$13,Z$12),$A$2:$A$2942,$H$2:$H$2942)</f>
        <v/>
      </c>
      <c r="AA17" s="104">
        <f>LOOKUP(DATE($O17,AA$13,AA$12),$A$2:$A$2942,$H$2:$H$2942)</f>
        <v/>
      </c>
      <c r="AD17" s="27" t="n">
        <v>2023</v>
      </c>
      <c r="AE17" s="64">
        <f>(+P22/AA21)-1</f>
        <v/>
      </c>
      <c r="AF17" s="64">
        <f>(+Q22/P22)-1</f>
        <v/>
      </c>
      <c r="AG17" s="64">
        <f>(+R22/Q22)-1</f>
        <v/>
      </c>
      <c r="AH17" s="64">
        <f>(+S22/R22)-1</f>
        <v/>
      </c>
      <c r="AI17" s="64">
        <f>(+T22/S22)-1</f>
        <v/>
      </c>
      <c r="AJ17" s="64">
        <f>(+U22/T22)-1</f>
        <v/>
      </c>
      <c r="AK17" s="64">
        <f>(+V22/U22)-1</f>
        <v/>
      </c>
      <c r="AL17" s="64">
        <f>(+W22/V22)-1</f>
        <v/>
      </c>
      <c r="AM17" s="64">
        <f>(+X22/W22)-1</f>
        <v/>
      </c>
      <c r="AN17" s="64">
        <f>(+Y22/X22)-1</f>
        <v/>
      </c>
      <c r="AO17" s="64">
        <f>(+Z22/Y22)-1</f>
        <v/>
      </c>
      <c r="AP17" s="64">
        <f>(+AA22/Z22)-1</f>
        <v/>
      </c>
      <c r="AQ17" s="29">
        <f>+(AA22/AA21-1)/COUNTA(AE17:AP17)*12</f>
        <v/>
      </c>
      <c r="AR17" s="15" t="n"/>
      <c r="AS17" s="15" t="n"/>
    </row>
    <row r="18">
      <c r="A18" s="23" t="n">
        <v>39141</v>
      </c>
      <c r="B18" s="102" t="n">
        <v>11612.68</v>
      </c>
      <c r="C18" s="31" t="n">
        <v>0.004209860837160542</v>
      </c>
      <c r="D18" s="25" t="n">
        <v>106.0214696424952</v>
      </c>
      <c r="E18" s="25" t="n"/>
      <c r="F18" s="25" t="n"/>
      <c r="O18" s="9" t="n">
        <v>2019</v>
      </c>
      <c r="P18" s="103">
        <f>LOOKUP(DATE($O18,P$13,P$12),$A$2:$A$2942,$H$2:$H$2942)</f>
        <v/>
      </c>
      <c r="Q18" s="103">
        <f>LOOKUP(DATE($O18,Q$13,Q$12),$A$2:$A$2942,$H$2:$H$2942)</f>
        <v/>
      </c>
      <c r="R18" s="103">
        <f>LOOKUP(DATE($O18,R$13,R$12),$A$2:$A$2942,$H$2:$H$2942)</f>
        <v/>
      </c>
      <c r="S18" s="103">
        <f>LOOKUP(DATE($O18,S$13,S$12),$A$2:$A$2942,$H$2:$H$2942)</f>
        <v/>
      </c>
      <c r="T18" s="103">
        <f>LOOKUP(DATE($O18,T$13,T$12),$A$2:$A$2942,$H$2:$H$2942)</f>
        <v/>
      </c>
      <c r="U18" s="103">
        <f>LOOKUP(DATE($O18,U$13,U$12),$A$2:$A$2942,$H$2:$H$2942)</f>
        <v/>
      </c>
      <c r="V18" s="103">
        <f>LOOKUP(DATE($O18,V$13,V$12),$A$2:$A$2942,$H$2:$H$2942)</f>
        <v/>
      </c>
      <c r="W18" s="103">
        <f>LOOKUP(DATE($O18,W$13,W$12),$A$2:$A$2942,$H$2:$H$2942)</f>
        <v/>
      </c>
      <c r="X18" s="103">
        <f>LOOKUP(DATE($O18,X$13,X$12),$A$2:$A$2942,$H$2:$H$2942)</f>
        <v/>
      </c>
      <c r="Y18" s="103">
        <f>LOOKUP(DATE($O18,Y$13,Y$12),$A$2:$A$2942,$H$2:$H$2942)</f>
        <v/>
      </c>
      <c r="Z18" s="103">
        <f>LOOKUP(DATE($O18,Z$13,Z$12),$A$2:$A$2942,$H$2:$H$2942)</f>
        <v/>
      </c>
      <c r="AA18" s="103">
        <f>LOOKUP(DATE($O18,AA$13,AA$12),$A$2:$A$2942,$H$2:$H$2942)</f>
        <v/>
      </c>
      <c r="AD18" s="27" t="n">
        <v>2024</v>
      </c>
      <c r="AE18" s="64">
        <f>(+P23/AA22)-1</f>
        <v/>
      </c>
      <c r="AF18" s="64">
        <f>(+Q23/P23)-1</f>
        <v/>
      </c>
      <c r="AG18" s="64">
        <f>(+R23/Q23)-1</f>
        <v/>
      </c>
      <c r="AH18" s="64">
        <f>(+S23/R23)-1</f>
        <v/>
      </c>
      <c r="AI18" s="64">
        <f>(+T23/S23)-1</f>
        <v/>
      </c>
      <c r="AJ18" s="64">
        <f>(+U23/T23)-1</f>
        <v/>
      </c>
      <c r="AK18" s="64">
        <f>(+V23/U23)-1</f>
        <v/>
      </c>
      <c r="AL18" s="64">
        <f>(+W23/V23)-1</f>
        <v/>
      </c>
      <c r="AM18" s="64">
        <f>(+X23/W23)-1</f>
        <v/>
      </c>
      <c r="AN18" s="64">
        <f>(+Y23/X23)-1</f>
        <v/>
      </c>
      <c r="AO18" s="64">
        <f>(+Z23/Y23)-1</f>
        <v/>
      </c>
      <c r="AP18" s="64">
        <f>(+AA23/Z23)-1</f>
        <v/>
      </c>
      <c r="AQ18" s="29">
        <f>+(AA23/AA22-1)/COUNTA(AE18:AP18)*12</f>
        <v/>
      </c>
      <c r="AR18" s="32" t="n"/>
      <c r="AS18" s="15" t="n"/>
    </row>
    <row r="19">
      <c r="A19" s="23" t="n">
        <v>39171</v>
      </c>
      <c r="B19" s="102" t="n">
        <v>11661.5</v>
      </c>
      <c r="C19" s="31" t="n">
        <v>0.004204025255152066</v>
      </c>
      <c r="D19" s="25" t="n">
        <v>106.4671865784606</v>
      </c>
      <c r="E19" s="25" t="n"/>
      <c r="F19" s="25" t="n"/>
      <c r="O19" s="9" t="n">
        <v>2020</v>
      </c>
      <c r="P19" s="103">
        <f>LOOKUP(DATE($O19,P$13,P$12),$A$2:$A$2942,$H$2:$H$2942)</f>
        <v/>
      </c>
      <c r="Q19" s="103">
        <f>LOOKUP(DATE($O19,Q$13,Q$12)+1,$A$2:$A$2942,$H$2:$H$2942)</f>
        <v/>
      </c>
      <c r="R19" s="103">
        <f>LOOKUP(DATE($O19,R$13,R$12)+1,$A$2:$A$2942,$H$2:$H$2942)</f>
        <v/>
      </c>
      <c r="S19" s="103">
        <f>LOOKUP(DATE($O19,S$13,S$12)+1,$A$2:$A$2942,$H$2:$H$2942)</f>
        <v/>
      </c>
      <c r="T19" s="103">
        <f>LOOKUP(DATE($O19,T$13,T$12)+1,$A$2:$A$2942,$H$2:$H$2942)</f>
        <v/>
      </c>
      <c r="U19" s="103">
        <f>LOOKUP(DATE($O19,U$13,U$12)+1,$A$2:$A$2942,$H$2:$H$2942)</f>
        <v/>
      </c>
      <c r="V19" s="103">
        <f>LOOKUP(DATE($O19,V$13,V$12)+1,$A$2:$A$2942,$H$2:$H$2942)</f>
        <v/>
      </c>
      <c r="W19" s="103">
        <f>LOOKUP(DATE($O19,W$13,W$12)+1,$A$2:$A$2942,$H$2:$H$2942)</f>
        <v/>
      </c>
      <c r="X19" s="103">
        <f>LOOKUP(DATE($O19,X$13,X$12)+1,$A$2:$A$2942,$H$2:$H$2942)</f>
        <v/>
      </c>
      <c r="Y19" s="103">
        <f>+G183</f>
        <v/>
      </c>
      <c r="Z19" s="103">
        <f>+G184</f>
        <v/>
      </c>
      <c r="AA19" s="103">
        <f>+G185</f>
        <v/>
      </c>
      <c r="AD19" s="27" t="n">
        <v>2025</v>
      </c>
      <c r="AE19" s="64">
        <f>(+P24/AA23)-1</f>
        <v/>
      </c>
      <c r="AF19" s="64">
        <f>(+Q24/P24)-1</f>
        <v/>
      </c>
      <c r="AG19" s="64">
        <f>(+R24/Q24)-1</f>
        <v/>
      </c>
      <c r="AH19" s="64">
        <f>(+S24/R24)-1</f>
        <v/>
      </c>
      <c r="AI19" s="64">
        <f>(+T24/S24)-1</f>
        <v/>
      </c>
      <c r="AJ19" s="64">
        <f>(+U24/T24)-1</f>
        <v/>
      </c>
      <c r="AK19" s="64">
        <f>(+V24/U24)-1</f>
        <v/>
      </c>
      <c r="AL19" s="64">
        <f>(+W24/V24)-1</f>
        <v/>
      </c>
      <c r="AM19" s="64">
        <f>(+X24/W24)-1</f>
        <v/>
      </c>
      <c r="AN19" s="64">
        <f>(+Y24/X24)-1</f>
        <v/>
      </c>
      <c r="AO19" s="64">
        <f>(+Z24/Y24)-1</f>
        <v/>
      </c>
      <c r="AP19" s="64">
        <f>(+AA24/Z24)-1</f>
        <v/>
      </c>
      <c r="AQ19" s="29">
        <f>+(AA24/P24-1)/COUNTA(AE19:AP19)*12</f>
        <v/>
      </c>
      <c r="AR19" s="32" t="n"/>
      <c r="AS19" s="15" t="n"/>
      <c r="AV19" s="34" t="n"/>
      <c r="AW19" s="115" t="n">
        <v>46203</v>
      </c>
      <c r="AX19" s="34" t="n">
        <v>-1</v>
      </c>
      <c r="AY19" s="34" t="n">
        <v>-3</v>
      </c>
      <c r="AZ19" s="34" t="n">
        <v>-6</v>
      </c>
      <c r="BA19" s="34" t="n">
        <v>-12</v>
      </c>
      <c r="BB19" s="34" t="n"/>
    </row>
    <row r="20">
      <c r="A20" s="23" t="n">
        <v>39202</v>
      </c>
      <c r="B20" s="102" t="n">
        <v>11712.58</v>
      </c>
      <c r="C20" s="31" t="n">
        <v>0.004238927930756527</v>
      </c>
      <c r="D20" s="25" t="n">
        <v>106.9335368670536</v>
      </c>
      <c r="E20" s="25" t="n"/>
      <c r="F20" s="25" t="n"/>
      <c r="O20" s="9" t="n">
        <v>2021</v>
      </c>
      <c r="P20" s="102">
        <f>+G186</f>
        <v/>
      </c>
      <c r="Q20" s="102">
        <f>+G187</f>
        <v/>
      </c>
      <c r="R20" s="102">
        <f>+G188</f>
        <v/>
      </c>
      <c r="S20" s="102">
        <f>+G189</f>
        <v/>
      </c>
      <c r="T20" s="102">
        <f>+G190</f>
        <v/>
      </c>
      <c r="U20" s="102">
        <f>+G191</f>
        <v/>
      </c>
      <c r="V20" s="102">
        <f>+G192</f>
        <v/>
      </c>
      <c r="W20" s="102">
        <f>+G193</f>
        <v/>
      </c>
      <c r="X20" s="102">
        <f>+G194</f>
        <v/>
      </c>
      <c r="Y20" s="102">
        <f>+G195</f>
        <v/>
      </c>
      <c r="Z20" s="102">
        <f>+G196</f>
        <v/>
      </c>
      <c r="AA20" s="102">
        <f>+G197</f>
        <v/>
      </c>
      <c r="AD20" s="27" t="n">
        <v>2026</v>
      </c>
      <c r="AE20" s="64">
        <f>(+P25/AA24)-1</f>
        <v/>
      </c>
      <c r="AF20" s="64">
        <f>(+Q25/P25)-1</f>
        <v/>
      </c>
      <c r="AG20" s="64">
        <f>(+R25/Q25)-1</f>
        <v/>
      </c>
      <c r="AH20" s="64">
        <f>(+S25/R25)-1</f>
        <v/>
      </c>
      <c r="AI20" s="28">
        <f>+T25/S25-1</f>
        <v/>
      </c>
      <c r="AJ20" s="28">
        <f>+U25/T25-1</f>
        <v/>
      </c>
      <c r="AK20" s="28" t="n"/>
      <c r="AL20" s="28" t="n"/>
      <c r="AM20" s="28" t="n"/>
      <c r="AN20" s="28" t="n"/>
      <c r="AO20" s="28" t="n"/>
      <c r="AP20" s="28" t="n"/>
      <c r="AQ20" s="29">
        <f>+(U25/P25-1)/COUNTA(AE20:AJ20)*12</f>
        <v/>
      </c>
      <c r="AR20" s="32" t="n"/>
      <c r="AS20" s="15" t="n"/>
      <c r="AV20" s="36" t="inlineStr">
        <is>
          <t>Ingresar mes actual==&gt;</t>
        </is>
      </c>
      <c r="AW20" s="76" t="n">
        <v>46142</v>
      </c>
      <c r="AX20" s="37">
        <f>EOMONTH($AW20,AX19)</f>
        <v/>
      </c>
      <c r="AY20" s="37">
        <f>EOMONTH($AW20,AY19)</f>
        <v/>
      </c>
      <c r="AZ20" s="37">
        <f>EOMONTH($AW20,AZ19)</f>
        <v/>
      </c>
      <c r="BA20" s="37">
        <f>EOMONTH($AW20,BA19)</f>
        <v/>
      </c>
      <c r="BB20" s="37" t="n">
        <v>43100</v>
      </c>
    </row>
    <row r="21">
      <c r="A21" s="23" t="n">
        <v>39233</v>
      </c>
      <c r="B21" s="102" t="n">
        <v>11763.78</v>
      </c>
      <c r="C21" s="31" t="n">
        <v>0.004230356343075168</v>
      </c>
      <c r="D21" s="25" t="n">
        <v>107.4009827318924</v>
      </c>
      <c r="E21" s="25" t="n"/>
      <c r="F21" s="25" t="n"/>
      <c r="O21" s="9" t="n">
        <v>2022</v>
      </c>
      <c r="P21" s="102">
        <f>+G198</f>
        <v/>
      </c>
      <c r="Q21" s="102">
        <f>+G199</f>
        <v/>
      </c>
      <c r="R21" s="102">
        <f>+G200</f>
        <v/>
      </c>
      <c r="S21" s="102">
        <f>+G201</f>
        <v/>
      </c>
      <c r="T21" s="102">
        <f>+G202</f>
        <v/>
      </c>
      <c r="U21" s="102">
        <f>+G203</f>
        <v/>
      </c>
      <c r="V21" s="102">
        <f>+G204</f>
        <v/>
      </c>
      <c r="W21" s="102">
        <f>+G205</f>
        <v/>
      </c>
      <c r="X21" s="102">
        <f>+G206</f>
        <v/>
      </c>
      <c r="Y21" s="102">
        <f>+G207</f>
        <v/>
      </c>
      <c r="Z21" s="102">
        <f>+G208</f>
        <v/>
      </c>
      <c r="AA21" s="102">
        <f>+G209</f>
        <v/>
      </c>
      <c r="AD21" s="32" t="inlineStr">
        <is>
          <t>(*) Acum a Mar</t>
        </is>
      </c>
      <c r="AR21" s="32" t="inlineStr">
        <is>
          <t>(*)</t>
        </is>
      </c>
      <c r="AS21" s="15" t="n"/>
      <c r="AV21" s="34" t="inlineStr">
        <is>
          <t>ICP</t>
        </is>
      </c>
      <c r="AW21" s="39">
        <f>LOOKUP(AW20,$A$3:$A$2973,$B$3:$B$2973)</f>
        <v/>
      </c>
      <c r="AX21" s="39">
        <f>LOOKUP(AX20,$A$3:$A$2972,$B$3:$B$2972)</f>
        <v/>
      </c>
      <c r="AY21" s="39">
        <f>LOOKUP(AY20,$A$3:$A$2972,$B$3:$B$2972)</f>
        <v/>
      </c>
      <c r="AZ21" s="39">
        <f>LOOKUP(AZ20,$A$3:$A$2972,$B$3:$B$2972)</f>
        <v/>
      </c>
      <c r="BA21" s="39">
        <f>LOOKUP(BA20,$A$3:$A$2972,$B$3:$B$2972)</f>
        <v/>
      </c>
      <c r="BB21" s="39">
        <f>LOOKUP(BB20,$A$3:$A$2972,$B$3:$B$2972)</f>
        <v/>
      </c>
    </row>
    <row r="22" ht="15.75" customHeight="1">
      <c r="A22" s="23" t="n">
        <v>39262</v>
      </c>
      <c r="B22" s="102" t="n">
        <v>11812.23</v>
      </c>
      <c r="C22" s="31" t="n">
        <v>0.004260593929431912</v>
      </c>
      <c r="D22" s="25" t="n">
        <v>107.8433216411002</v>
      </c>
      <c r="E22" s="25" t="n"/>
      <c r="F22" s="25" t="n"/>
      <c r="O22" s="9" t="n">
        <v>2023</v>
      </c>
      <c r="P22" s="102">
        <f>+G210</f>
        <v/>
      </c>
      <c r="Q22" s="102">
        <f>+G211</f>
        <v/>
      </c>
      <c r="R22" s="102">
        <f>+G212</f>
        <v/>
      </c>
      <c r="S22" s="102">
        <f>+G213</f>
        <v/>
      </c>
      <c r="T22" s="102">
        <f>+G214</f>
        <v/>
      </c>
      <c r="U22" s="102">
        <f>+G215</f>
        <v/>
      </c>
      <c r="V22" s="102">
        <f>+G216</f>
        <v/>
      </c>
      <c r="W22" s="102">
        <f>+G217</f>
        <v/>
      </c>
      <c r="X22" s="102">
        <f>+G218</f>
        <v/>
      </c>
      <c r="Y22" s="102">
        <f>+G219</f>
        <v/>
      </c>
      <c r="Z22" s="102">
        <f>+G220</f>
        <v/>
      </c>
      <c r="AA22" s="102">
        <f>+G221</f>
        <v/>
      </c>
      <c r="AD22" s="35" t="inlineStr">
        <is>
          <t>Competencia</t>
        </is>
      </c>
      <c r="AE22" s="14" t="inlineStr">
        <is>
          <t>Ene</t>
        </is>
      </c>
      <c r="AF22" s="14" t="inlineStr">
        <is>
          <t>Feb</t>
        </is>
      </c>
      <c r="AG22" s="14" t="inlineStr">
        <is>
          <t>Mar</t>
        </is>
      </c>
      <c r="AH22" s="14" t="inlineStr">
        <is>
          <t>Abr</t>
        </is>
      </c>
      <c r="AI22" s="14" t="inlineStr">
        <is>
          <t>May</t>
        </is>
      </c>
      <c r="AJ22" s="14" t="inlineStr">
        <is>
          <t>Jun</t>
        </is>
      </c>
      <c r="AK22" s="14" t="inlineStr">
        <is>
          <t>Jul</t>
        </is>
      </c>
      <c r="AL22" s="14" t="inlineStr">
        <is>
          <t>Ago</t>
        </is>
      </c>
      <c r="AM22" s="14" t="inlineStr">
        <is>
          <t>Sep</t>
        </is>
      </c>
      <c r="AN22" s="14" t="inlineStr">
        <is>
          <t>Oct</t>
        </is>
      </c>
      <c r="AO22" s="14" t="inlineStr">
        <is>
          <t>Nov</t>
        </is>
      </c>
      <c r="AP22" s="14" t="inlineStr">
        <is>
          <t>Dic</t>
        </is>
      </c>
      <c r="AQ22" s="14" t="inlineStr">
        <is>
          <t>Total Año</t>
        </is>
      </c>
      <c r="AR22" s="32" t="n"/>
      <c r="AS22" s="15" t="n"/>
      <c r="AV22" s="34" t="inlineStr">
        <is>
          <t>Competencia</t>
        </is>
      </c>
      <c r="AW22" s="39">
        <f>LOOKUP(AW20,$F$2:$F$2973,$K$2:$K$2973)</f>
        <v/>
      </c>
      <c r="AX22" s="39">
        <f>LOOKUP(AX20,$F$2:$F$2973,$K$2:$K$2973)</f>
        <v/>
      </c>
      <c r="AY22" s="39">
        <f>LOOKUP(AY20,$F$2:$F$2973,$K$2:$K$2973)</f>
        <v/>
      </c>
      <c r="AZ22" s="39">
        <f>LOOKUP(AZ20,$F$2:$F$2973,$K$2:$K$2973)</f>
        <v/>
      </c>
      <c r="BA22" s="39">
        <f>LOOKUP(BA20,$F$2:$F$2973,$K$2:$K$2973)</f>
        <v/>
      </c>
      <c r="BB22" s="39">
        <f>LOOKUP(BB20,$F$2:$F$2973,$K$2:$K$2973)</f>
        <v/>
      </c>
    </row>
    <row r="23">
      <c r="A23" s="23" t="n">
        <v>39294</v>
      </c>
      <c r="B23" s="102" t="n">
        <v>11866.53</v>
      </c>
      <c r="C23" s="31" t="n">
        <v>0.0043096223151768</v>
      </c>
      <c r="D23" s="25" t="n">
        <v>108.3390698922866</v>
      </c>
      <c r="E23" s="25" t="n"/>
      <c r="F23" s="25" t="n"/>
      <c r="O23" s="9" t="n">
        <v>2024</v>
      </c>
      <c r="P23" s="102">
        <f>+G222</f>
        <v/>
      </c>
      <c r="Q23" s="102">
        <f>+G223</f>
        <v/>
      </c>
      <c r="R23" s="102">
        <f>+G224</f>
        <v/>
      </c>
      <c r="S23" s="102">
        <f>+G225</f>
        <v/>
      </c>
      <c r="T23" s="102">
        <f>+G226</f>
        <v/>
      </c>
      <c r="U23" s="102">
        <f>+G227</f>
        <v/>
      </c>
      <c r="V23" s="102">
        <f>+G228</f>
        <v/>
      </c>
      <c r="W23" s="102">
        <f>+G229</f>
        <v/>
      </c>
      <c r="X23" s="102">
        <f>+G230</f>
        <v/>
      </c>
      <c r="Y23" s="102">
        <f>+G231</f>
        <v/>
      </c>
      <c r="Z23" s="102">
        <f>+G232</f>
        <v/>
      </c>
      <c r="AA23" s="102">
        <f>+G233</f>
        <v/>
      </c>
      <c r="AD23" s="20" t="n">
        <v>2016</v>
      </c>
      <c r="AE23" s="21" t="n"/>
      <c r="AF23" s="21" t="n"/>
      <c r="AG23" s="21" t="n"/>
      <c r="AH23" s="21" t="n"/>
      <c r="AI23" s="21" t="n"/>
      <c r="AJ23" s="21" t="n"/>
      <c r="AK23" s="21" t="n"/>
      <c r="AL23" s="21" t="n"/>
      <c r="AM23" s="21" t="n"/>
      <c r="AN23" s="21" t="n"/>
      <c r="AO23" s="21" t="n"/>
      <c r="AP23" s="21" t="n"/>
      <c r="AQ23" s="22" t="n"/>
      <c r="AR23" s="32" t="n"/>
      <c r="AS23" s="15" t="n"/>
      <c r="AV23" s="34" t="inlineStr">
        <is>
          <t>FIP LIQUIDEZ I</t>
        </is>
      </c>
      <c r="AW23" s="39">
        <f>LOOKUP(AW20,$F$2:$F$2971,$H$2:$H$2971)</f>
        <v/>
      </c>
      <c r="AX23" s="39">
        <f>LOOKUP(AX20,$F$2:$F$2971,$H$2:$H$2971)</f>
        <v/>
      </c>
      <c r="AY23" s="39">
        <f>LOOKUP(AY20,$F$2:$F$2971,$H$2:$H$2971)</f>
        <v/>
      </c>
      <c r="AZ23" s="39">
        <f>LOOKUP(AZ20,$F$2:$F$2971,$H$2:$H$2971)</f>
        <v/>
      </c>
      <c r="BA23" s="39">
        <f>LOOKUP(BA20,$F$2:$F$2971,$H$2:$H$2971)</f>
        <v/>
      </c>
      <c r="BB23" s="39">
        <f>LOOKUP(BB20,$F$2:$F$2971,$H$2:$H$2971)</f>
        <v/>
      </c>
    </row>
    <row r="24">
      <c r="A24" s="23" t="n">
        <v>39325</v>
      </c>
      <c r="B24" s="102" t="n">
        <v>11922.48</v>
      </c>
      <c r="C24" s="31" t="n">
        <v>0.004562847040400256</v>
      </c>
      <c r="D24" s="25" t="n">
        <v>108.8498823168516</v>
      </c>
      <c r="E24" s="25" t="n"/>
      <c r="F24" s="25" t="n"/>
      <c r="O24" s="9" t="n">
        <v>2025</v>
      </c>
      <c r="P24" s="102">
        <f>+G234</f>
        <v/>
      </c>
      <c r="Q24" s="102">
        <f>+G235</f>
        <v/>
      </c>
      <c r="R24" s="102">
        <f>+G236</f>
        <v/>
      </c>
      <c r="S24" s="102">
        <f>+G237</f>
        <v/>
      </c>
      <c r="T24" s="102">
        <f>+G238</f>
        <v/>
      </c>
      <c r="U24" s="102">
        <f>+G239</f>
        <v/>
      </c>
      <c r="V24" s="102">
        <f>+G240</f>
        <v/>
      </c>
      <c r="W24" s="102">
        <f>+G241</f>
        <v/>
      </c>
      <c r="X24" s="102">
        <f>+G242</f>
        <v/>
      </c>
      <c r="Y24" s="102">
        <f>+G243</f>
        <v/>
      </c>
      <c r="Z24" s="102">
        <f>+G244</f>
        <v/>
      </c>
      <c r="AA24" s="102">
        <f>+G245</f>
        <v/>
      </c>
      <c r="AD24" s="27" t="n">
        <v>2017</v>
      </c>
      <c r="AE24" s="28" t="n"/>
      <c r="AF24" s="28" t="n"/>
      <c r="AG24" s="28" t="n"/>
      <c r="AH24" s="28" t="n"/>
      <c r="AI24" s="28" t="n"/>
      <c r="AJ24" s="28" t="n"/>
      <c r="AK24" s="28" t="n"/>
      <c r="AL24" s="28" t="n"/>
      <c r="AM24" s="28" t="n"/>
      <c r="AN24" s="28" t="n"/>
      <c r="AO24" s="28" t="n"/>
      <c r="AP24" s="28" t="n"/>
      <c r="AQ24" s="29" t="n"/>
      <c r="AR24" s="32" t="n"/>
      <c r="AS24" s="15" t="n"/>
      <c r="AV24" s="34" t="n"/>
      <c r="AW24" s="34" t="n"/>
      <c r="AX24" s="34" t="n"/>
      <c r="AY24" s="34" t="n"/>
      <c r="AZ24" s="34" t="n"/>
      <c r="BA24" s="34" t="n"/>
      <c r="BB24" s="34" t="n"/>
    </row>
    <row r="25">
      <c r="A25" s="23" t="n"/>
      <c r="B25" s="102" t="n"/>
      <c r="C25" s="31" t="n"/>
      <c r="D25" s="25" t="n"/>
      <c r="E25" s="25" t="n"/>
      <c r="F25" s="25" t="n"/>
      <c r="O25" s="9" t="n">
        <v>2026</v>
      </c>
      <c r="P25" s="102">
        <f>+G246</f>
        <v/>
      </c>
      <c r="Q25" s="102">
        <f>+G247</f>
        <v/>
      </c>
      <c r="R25" s="102">
        <f>+G248</f>
        <v/>
      </c>
      <c r="S25" s="102">
        <f>+G249</f>
        <v/>
      </c>
      <c r="T25" s="102">
        <f>+G250</f>
        <v/>
      </c>
      <c r="U25" s="102">
        <f>+G251</f>
        <v/>
      </c>
      <c r="V25" s="102" t="n"/>
      <c r="W25" s="102" t="n"/>
      <c r="X25" s="102" t="n"/>
      <c r="Y25" s="102" t="n"/>
      <c r="Z25" s="102" t="n"/>
      <c r="AA25" s="102" t="n"/>
      <c r="AD25" s="20" t="n">
        <v>2018</v>
      </c>
      <c r="AE25" s="21" t="n"/>
      <c r="AF25" s="21" t="n"/>
      <c r="AG25" s="21" t="n"/>
      <c r="AH25" s="21" t="n"/>
      <c r="AI25" s="21" t="n"/>
      <c r="AJ25" s="21" t="n"/>
      <c r="AK25" s="33" t="n"/>
      <c r="AL25" s="33" t="n"/>
      <c r="AM25" s="33" t="n"/>
      <c r="AN25" s="62" t="n"/>
      <c r="AO25" s="62" t="n"/>
      <c r="AP25" s="62" t="n"/>
      <c r="AQ25" s="22" t="n"/>
      <c r="AR25" s="32" t="n"/>
      <c r="AS25" s="15" t="n"/>
      <c r="AV25" s="34" t="n"/>
      <c r="AW25" s="34" t="n"/>
      <c r="AX25" s="34" t="n"/>
      <c r="AY25" s="34" t="n"/>
      <c r="AZ25" s="34" t="n"/>
      <c r="BA25" s="34" t="n"/>
      <c r="BB25" s="34" t="n"/>
    </row>
    <row r="26">
      <c r="A26" s="23" t="n">
        <v>39353</v>
      </c>
      <c r="B26" s="102" t="n">
        <v>11975.61</v>
      </c>
      <c r="C26" s="31" t="n">
        <v>0.004774593876441999</v>
      </c>
      <c r="D26" s="25" t="n">
        <v>109.3349486996423</v>
      </c>
      <c r="E26" s="25" t="n"/>
      <c r="F26" s="25" t="n"/>
      <c r="P26" s="16" t="n">
        <v>31</v>
      </c>
      <c r="Q26" s="16" t="n">
        <v>28</v>
      </c>
      <c r="R26" s="16" t="n">
        <v>31</v>
      </c>
      <c r="S26" s="16" t="n">
        <v>30</v>
      </c>
      <c r="T26" s="16" t="n">
        <v>31</v>
      </c>
      <c r="U26" s="16" t="n">
        <v>30</v>
      </c>
      <c r="V26" s="16" t="n">
        <v>31</v>
      </c>
      <c r="W26" s="16" t="n">
        <v>31</v>
      </c>
      <c r="X26" s="16" t="n">
        <v>30</v>
      </c>
      <c r="Y26" s="16" t="n">
        <v>31</v>
      </c>
      <c r="Z26" s="16" t="n">
        <v>30</v>
      </c>
      <c r="AA26" s="16" t="n">
        <v>31</v>
      </c>
      <c r="AD26" s="27" t="n">
        <v>2019</v>
      </c>
      <c r="AE26" s="28" t="n"/>
      <c r="AF26" s="28" t="n"/>
      <c r="AG26" s="28" t="n"/>
      <c r="AH26" s="28" t="n"/>
      <c r="AI26" s="28" t="n"/>
      <c r="AJ26" s="28" t="n"/>
      <c r="AK26" s="28" t="n"/>
      <c r="AL26" s="28" t="n"/>
      <c r="AM26" s="28" t="n"/>
      <c r="AN26" s="28" t="n"/>
      <c r="AO26" s="28" t="n"/>
      <c r="AP26" s="28" t="n"/>
      <c r="AQ26" s="29" t="n"/>
      <c r="AR26" s="32" t="n"/>
      <c r="AS26" s="15" t="n"/>
    </row>
    <row r="27">
      <c r="A27" s="23" t="n">
        <v>39386</v>
      </c>
      <c r="B27" s="102" t="n">
        <v>12038.9</v>
      </c>
      <c r="C27" s="31" t="n">
        <v>0.004804462038790733</v>
      </c>
      <c r="D27" s="25" t="n">
        <v>109.9127738712369</v>
      </c>
      <c r="E27" s="25" t="n"/>
      <c r="F27" s="25" t="n"/>
      <c r="P27" s="16" t="n">
        <v>1</v>
      </c>
      <c r="Q27" s="16" t="n">
        <v>2</v>
      </c>
      <c r="R27" s="16" t="n">
        <v>3</v>
      </c>
      <c r="S27" s="16" t="n">
        <v>4</v>
      </c>
      <c r="T27" s="16" t="n">
        <v>5</v>
      </c>
      <c r="U27" s="16" t="n">
        <v>6</v>
      </c>
      <c r="V27" s="16" t="n">
        <v>7</v>
      </c>
      <c r="W27" s="16" t="n">
        <v>8</v>
      </c>
      <c r="X27" s="16" t="n">
        <v>9</v>
      </c>
      <c r="Y27" s="16" t="n">
        <v>10</v>
      </c>
      <c r="Z27" s="16" t="n">
        <v>11</v>
      </c>
      <c r="AA27" s="16" t="n">
        <v>12</v>
      </c>
      <c r="AD27" s="27" t="n">
        <v>2020</v>
      </c>
      <c r="AE27" s="28" t="n"/>
      <c r="AF27" s="28" t="n"/>
      <c r="AG27" s="28" t="n"/>
      <c r="AH27" s="28" t="n"/>
      <c r="AI27" s="28">
        <f>+(T33/S33-1)</f>
        <v/>
      </c>
      <c r="AJ27" s="28">
        <f>+(U33/T33-1)</f>
        <v/>
      </c>
      <c r="AK27" s="28">
        <f>+(V33/U33-1)</f>
        <v/>
      </c>
      <c r="AL27" s="28">
        <f>+(W33/V33-1)</f>
        <v/>
      </c>
      <c r="AM27" s="28">
        <f>+(X33/W33-1)</f>
        <v/>
      </c>
      <c r="AN27" s="28">
        <f>+(Y33/X33-1)</f>
        <v/>
      </c>
      <c r="AO27" s="28">
        <f>+(Z33/Y33-1)</f>
        <v/>
      </c>
      <c r="AP27" s="28">
        <f>+(AA33/Z33-1)</f>
        <v/>
      </c>
      <c r="AQ27" s="29">
        <f>+(AA33/S33-1)/COUNTA(AE27:AP27)*12</f>
        <v/>
      </c>
      <c r="AR27" s="15" t="n"/>
      <c r="AS27" s="15" t="n"/>
    </row>
    <row r="28">
      <c r="A28" s="23" t="n">
        <v>39416</v>
      </c>
      <c r="B28" s="102" t="n">
        <v>12096.85</v>
      </c>
      <c r="C28" s="31" t="n">
        <v>0.004813562700911378</v>
      </c>
      <c r="D28" s="25" t="n">
        <v>110.4418458998972</v>
      </c>
      <c r="E28" s="25" t="n"/>
      <c r="F28" s="25" t="n"/>
      <c r="O28" s="38" t="inlineStr">
        <is>
          <t>Competencia</t>
        </is>
      </c>
      <c r="P28" s="9" t="inlineStr">
        <is>
          <t>Ene</t>
        </is>
      </c>
      <c r="Q28" s="9" t="inlineStr">
        <is>
          <t>Feb</t>
        </is>
      </c>
      <c r="R28" s="9" t="inlineStr">
        <is>
          <t>Mar</t>
        </is>
      </c>
      <c r="S28" s="9" t="inlineStr">
        <is>
          <t>Abr</t>
        </is>
      </c>
      <c r="T28" s="9" t="inlineStr">
        <is>
          <t>May</t>
        </is>
      </c>
      <c r="U28" s="9" t="inlineStr">
        <is>
          <t>Jun</t>
        </is>
      </c>
      <c r="V28" s="9" t="inlineStr">
        <is>
          <t>Jul</t>
        </is>
      </c>
      <c r="W28" s="9" t="inlineStr">
        <is>
          <t>Ago</t>
        </is>
      </c>
      <c r="X28" s="9" t="inlineStr">
        <is>
          <t>Sep</t>
        </is>
      </c>
      <c r="Y28" s="9" t="inlineStr">
        <is>
          <t>Oct</t>
        </is>
      </c>
      <c r="Z28" s="9" t="inlineStr">
        <is>
          <t>Nov</t>
        </is>
      </c>
      <c r="AA28" s="9" t="inlineStr">
        <is>
          <t>Dic</t>
        </is>
      </c>
      <c r="AD28" s="27" t="n">
        <v>2021</v>
      </c>
      <c r="AE28" s="28">
        <f>+(P34/AA33)-1</f>
        <v/>
      </c>
      <c r="AF28" s="28">
        <f>+(Q34/P34)-1</f>
        <v/>
      </c>
      <c r="AG28" s="28">
        <f>+(R34/Q34)-1</f>
        <v/>
      </c>
      <c r="AH28" s="28">
        <f>+(S34/R34)-1</f>
        <v/>
      </c>
      <c r="AI28" s="28">
        <f>+(T34/S34)-1</f>
        <v/>
      </c>
      <c r="AJ28" s="28">
        <f>+(U34/T34)-1</f>
        <v/>
      </c>
      <c r="AK28" s="28">
        <f>+(V34/U34)-1</f>
        <v/>
      </c>
      <c r="AL28" s="28">
        <f>+(W34/V34)-1</f>
        <v/>
      </c>
      <c r="AM28" s="28">
        <f>+(X34/W34)-1</f>
        <v/>
      </c>
      <c r="AN28" s="28">
        <f>+(Y34/X34)-1</f>
        <v/>
      </c>
      <c r="AO28" s="28">
        <f>+(Z34/Y34)-1</f>
        <v/>
      </c>
      <c r="AP28" s="28">
        <f>+(AA34/Z34)-1</f>
        <v/>
      </c>
      <c r="AQ28" s="29">
        <f>+(AA34/AA33-1)/COUNTA(AE28:AP28)*12</f>
        <v/>
      </c>
      <c r="AV28" s="41" t="n"/>
      <c r="AW28" s="41" t="n"/>
      <c r="AX28" s="41" t="n"/>
      <c r="AY28" s="41" t="n"/>
      <c r="AZ28" s="41" t="n"/>
      <c r="BA28" s="41" t="n"/>
      <c r="BB28" s="41" t="n"/>
      <c r="BC28" s="41" t="n"/>
    </row>
    <row r="29">
      <c r="A29" s="23" t="n">
        <v>39447</v>
      </c>
      <c r="B29" s="102" t="n">
        <v>12152.6</v>
      </c>
      <c r="C29" s="31" t="n">
        <v>0.004459972050841781</v>
      </c>
      <c r="D29" s="25" t="n">
        <v>110.9508323640527</v>
      </c>
      <c r="E29" s="25" t="n"/>
      <c r="F29" s="25" t="n"/>
      <c r="O29" s="9" t="n">
        <v>2016</v>
      </c>
      <c r="P29" s="102" t="n"/>
      <c r="Q29" s="102" t="n"/>
      <c r="R29" s="102" t="n"/>
      <c r="S29" s="102" t="n"/>
      <c r="T29" s="102" t="n"/>
      <c r="U29" s="103" t="n"/>
      <c r="V29" s="103" t="n"/>
      <c r="W29" s="103" t="n"/>
      <c r="X29" s="103" t="n"/>
      <c r="Y29" s="103" t="n"/>
      <c r="Z29" s="103" t="n"/>
      <c r="AA29" s="103" t="n"/>
      <c r="AD29" s="27" t="n">
        <v>2022</v>
      </c>
      <c r="AE29" s="28">
        <f>+(P35/AA34)-1</f>
        <v/>
      </c>
      <c r="AF29" s="28">
        <f>+(Q35/P35)-1</f>
        <v/>
      </c>
      <c r="AG29" s="28">
        <f>+(R35/Q35)-1</f>
        <v/>
      </c>
      <c r="AH29" s="28">
        <f>+(S35/R35)-1</f>
        <v/>
      </c>
      <c r="AI29" s="28">
        <f>+(T35/S35)-1</f>
        <v/>
      </c>
      <c r="AJ29" s="28">
        <f>+(U35/T35)-1</f>
        <v/>
      </c>
      <c r="AK29" s="28">
        <f>+(V35/U35)-1</f>
        <v/>
      </c>
      <c r="AL29" s="28">
        <f>+(W35/V35)-1</f>
        <v/>
      </c>
      <c r="AM29" s="28">
        <f>+(X35/W35)-1</f>
        <v/>
      </c>
      <c r="AN29" s="28">
        <f>+(Y35/X35)-1</f>
        <v/>
      </c>
      <c r="AO29" s="28">
        <f>+(Z35/Y35)-1</f>
        <v/>
      </c>
      <c r="AP29" s="28">
        <f>+(AA35/Z35)-1</f>
        <v/>
      </c>
      <c r="AQ29" s="29">
        <f>+(AA35/AA34-1)/COUNTA(AE29:AP29)*12</f>
        <v/>
      </c>
      <c r="AV29" s="42" t="n"/>
      <c r="AW29" s="43" t="inlineStr">
        <is>
          <t>Rentabilidad</t>
        </is>
      </c>
      <c r="AX29" s="43" t="inlineStr">
        <is>
          <t>Mensual</t>
        </is>
      </c>
      <c r="AY29" s="43" t="inlineStr">
        <is>
          <t>Trimestral</t>
        </is>
      </c>
      <c r="AZ29" s="43" t="inlineStr">
        <is>
          <t>Semestral</t>
        </is>
      </c>
      <c r="BA29" s="43" t="inlineStr">
        <is>
          <t>Anual</t>
        </is>
      </c>
      <c r="BB29" s="43" t="inlineStr">
        <is>
          <t>Acum. 2026</t>
        </is>
      </c>
      <c r="BC29" s="44" t="n"/>
      <c r="BD29" s="45" t="n"/>
    </row>
    <row r="30">
      <c r="A30" s="23" t="n">
        <v>39478</v>
      </c>
      <c r="B30" s="102" t="n">
        <v>12223.14</v>
      </c>
      <c r="C30" s="31" t="n">
        <v>0.005617276642778704</v>
      </c>
      <c r="D30" s="25" t="n">
        <v>111.5948486004926</v>
      </c>
      <c r="E30" s="25" t="n"/>
      <c r="F30" s="25" t="n"/>
      <c r="O30" s="9" t="n">
        <v>2017</v>
      </c>
      <c r="P30" s="103" t="n"/>
      <c r="Q30" s="103" t="n"/>
      <c r="R30" s="103" t="n"/>
      <c r="S30" s="103" t="n"/>
      <c r="T30" s="103" t="n"/>
      <c r="U30" s="98" t="n"/>
      <c r="V30" s="98" t="n"/>
      <c r="W30" s="98" t="n"/>
      <c r="X30" s="98" t="n"/>
      <c r="Y30" s="98" t="n"/>
      <c r="Z30" s="98" t="n"/>
      <c r="AA30" s="98" t="n"/>
      <c r="AD30" s="27" t="n">
        <v>2023</v>
      </c>
      <c r="AE30" s="28">
        <f>+(P36/AA35)-1</f>
        <v/>
      </c>
      <c r="AF30" s="28">
        <f>+(Q36/P36)-1</f>
        <v/>
      </c>
      <c r="AG30" s="28">
        <f>+(R36/Q36)-1</f>
        <v/>
      </c>
      <c r="AH30" s="28">
        <f>+(S36/R36)-1</f>
        <v/>
      </c>
      <c r="AI30" s="28">
        <f>+(T36/S36)-1</f>
        <v/>
      </c>
      <c r="AJ30" s="28">
        <f>+(U36/T36)-1</f>
        <v/>
      </c>
      <c r="AK30" s="28">
        <f>+(V36/U36)-1</f>
        <v/>
      </c>
      <c r="AL30" s="28">
        <f>+(W36/V36)-1</f>
        <v/>
      </c>
      <c r="AM30" s="28">
        <f>+(X36/W36)-1</f>
        <v/>
      </c>
      <c r="AN30" s="28">
        <f>+(Y36/X36)-1</f>
        <v/>
      </c>
      <c r="AO30" s="28">
        <f>+(Z36/Y36)-1</f>
        <v/>
      </c>
      <c r="AP30" s="28">
        <f>+(AA36/Z36)-1</f>
        <v/>
      </c>
      <c r="AQ30" s="29">
        <f>+(AA36/AA35-1)/COUNTA(AE30:AP30)*12</f>
        <v/>
      </c>
      <c r="AV30" s="96" t="n"/>
      <c r="AW30" s="43" t="inlineStr">
        <is>
          <t>ICP (Bechmark)</t>
        </is>
      </c>
      <c r="AX30" s="46">
        <f>$AW21/AX21-1</f>
        <v/>
      </c>
      <c r="AY30" s="46">
        <f>$AW21/AY21-1</f>
        <v/>
      </c>
      <c r="AZ30" s="46">
        <f>$AW21/AZ21-1</f>
        <v/>
      </c>
      <c r="BA30" s="46">
        <f>$AW21/BA21-1</f>
        <v/>
      </c>
      <c r="BB30" s="46">
        <f>+AQ57</f>
        <v/>
      </c>
      <c r="BC30" s="47" t="n"/>
      <c r="BD30" s="33" t="n"/>
    </row>
    <row r="31">
      <c r="A31" s="23" t="n">
        <v>39507</v>
      </c>
      <c r="B31" s="102" t="n">
        <v>12284.88</v>
      </c>
      <c r="C31" s="31" t="n">
        <v>0.005225250264436191</v>
      </c>
      <c r="D31" s="25" t="n">
        <v>112.1585225789134</v>
      </c>
      <c r="E31" s="25" t="n"/>
      <c r="F31" s="25" t="n"/>
      <c r="O31" s="9" t="n">
        <v>2018</v>
      </c>
      <c r="P31" s="103" t="n"/>
      <c r="Q31" s="103" t="n"/>
      <c r="R31" s="103" t="n"/>
      <c r="S31" s="103" t="n"/>
      <c r="T31" s="102" t="n"/>
      <c r="U31" s="102" t="n"/>
      <c r="V31" s="102" t="n"/>
      <c r="W31" s="102" t="n"/>
      <c r="X31" s="102" t="n"/>
      <c r="Y31" s="102" t="n"/>
      <c r="Z31" s="102" t="n"/>
      <c r="AA31" s="102" t="n"/>
      <c r="AD31" s="27" t="n">
        <v>2024</v>
      </c>
      <c r="AE31" s="28">
        <f>+(P37/AA36)-1</f>
        <v/>
      </c>
      <c r="AF31" s="28">
        <f>+(Q37/P37)-1</f>
        <v/>
      </c>
      <c r="AG31" s="28">
        <f>+(R37/Q37)-1</f>
        <v/>
      </c>
      <c r="AH31" s="28">
        <f>+(S37/R37)-1</f>
        <v/>
      </c>
      <c r="AI31" s="28">
        <f>+(T37/S37)-1</f>
        <v/>
      </c>
      <c r="AJ31" s="28">
        <f>+(U37/T37)-1</f>
        <v/>
      </c>
      <c r="AK31" s="28">
        <f>+(V37/U37)-1</f>
        <v/>
      </c>
      <c r="AL31" s="28">
        <f>+(W37/V37)-1</f>
        <v/>
      </c>
      <c r="AM31" s="28">
        <f>+(X37/W37)-1</f>
        <v/>
      </c>
      <c r="AN31" s="28">
        <f>+(Y37/X37)-1</f>
        <v/>
      </c>
      <c r="AO31" s="28">
        <f>+(Z37/Y37)-1</f>
        <v/>
      </c>
      <c r="AP31" s="28">
        <f>+(AA37/Z37)-1</f>
        <v/>
      </c>
      <c r="AQ31" s="29">
        <f>+(AA37/AA36-1)/COUNTA(AE31:AP31)*12</f>
        <v/>
      </c>
      <c r="AR31" s="15" t="n"/>
      <c r="AS31" s="15" t="n"/>
      <c r="AW31" s="43" t="inlineStr">
        <is>
          <t>Competencia</t>
        </is>
      </c>
      <c r="AX31" s="46">
        <f>$AW22/AX22-1</f>
        <v/>
      </c>
      <c r="AY31" s="46">
        <f>($AW22)/AY22-1</f>
        <v/>
      </c>
      <c r="AZ31" s="46">
        <f>($AW22)/AZ22-1</f>
        <v/>
      </c>
      <c r="BA31" s="46">
        <f>($AW22)/BA22-1</f>
        <v/>
      </c>
      <c r="BB31" s="46">
        <f>+AQ58</f>
        <v/>
      </c>
      <c r="BC31" s="47" t="n"/>
      <c r="BD31" s="33" t="n"/>
    </row>
    <row r="32">
      <c r="A32" s="23" t="n">
        <v>39538</v>
      </c>
      <c r="B32" s="102" t="n">
        <v>12351.45</v>
      </c>
      <c r="C32" s="31" t="n">
        <v>0.005244054532495456</v>
      </c>
      <c r="D32" s="25" t="n">
        <v>112.7662935012243</v>
      </c>
      <c r="E32" s="25" t="n"/>
      <c r="F32" s="25" t="n"/>
      <c r="O32" s="9" t="n">
        <v>2019</v>
      </c>
      <c r="R32" s="24" t="n"/>
      <c r="S32" s="24" t="n"/>
      <c r="T32" s="24" t="n"/>
      <c r="X32" s="69" t="n"/>
      <c r="Y32" s="69" t="n"/>
      <c r="AD32" s="27" t="n">
        <v>2025</v>
      </c>
      <c r="AE32" s="28">
        <f>+(P38/AA37)-1</f>
        <v/>
      </c>
      <c r="AF32" s="28">
        <f>+(Q38/P38)-1</f>
        <v/>
      </c>
      <c r="AG32" s="28">
        <f>+(R38/Q38)-1</f>
        <v/>
      </c>
      <c r="AH32" s="28">
        <f>+(S38/R38)-1</f>
        <v/>
      </c>
      <c r="AI32" s="28">
        <f>+(T38/S38)-1</f>
        <v/>
      </c>
      <c r="AJ32" s="28">
        <f>+(U38/T38)-1</f>
        <v/>
      </c>
      <c r="AK32" s="28">
        <f>+(V38/U38)-1</f>
        <v/>
      </c>
      <c r="AL32" s="28">
        <f>+(W38/V38)-1</f>
        <v/>
      </c>
      <c r="AM32" s="28">
        <f>+(X38/W38)-1</f>
        <v/>
      </c>
      <c r="AN32" s="28">
        <f>+(Y38/X38)-1</f>
        <v/>
      </c>
      <c r="AO32" s="28">
        <f>+(Z38/Y38)-1</f>
        <v/>
      </c>
      <c r="AP32" s="28">
        <f>+(AA38/Z38)-1</f>
        <v/>
      </c>
      <c r="AQ32" s="29">
        <f>+(Z38/P38-1)/COUNTA(AE32:AP32)*12</f>
        <v/>
      </c>
      <c r="AR32" s="32" t="n"/>
      <c r="AS32" s="15" t="n"/>
      <c r="AV32" s="48" t="n"/>
      <c r="AW32" s="43" t="inlineStr">
        <is>
          <t>FIP LIQUIDEZ I</t>
        </is>
      </c>
      <c r="AX32" s="46">
        <f>+AW23/AX23-1</f>
        <v/>
      </c>
      <c r="AY32" s="46">
        <f>+AW23/AY23-1</f>
        <v/>
      </c>
      <c r="AZ32" s="46">
        <f>($AW23)/AZ23-1</f>
        <v/>
      </c>
      <c r="BA32" s="46">
        <f>($AW23)/BA23-1</f>
        <v/>
      </c>
      <c r="BB32" s="46">
        <f>+AQ59</f>
        <v/>
      </c>
      <c r="BC32" s="48" t="n"/>
      <c r="BD32" s="33" t="n"/>
    </row>
    <row r="33">
      <c r="A33" s="23" t="n">
        <v>39568</v>
      </c>
      <c r="B33" s="102" t="n">
        <v>12416.18</v>
      </c>
      <c r="C33" s="31" t="n">
        <v>0.005240680244019913</v>
      </c>
      <c r="D33" s="25" t="n">
        <v>113.3572655877675</v>
      </c>
      <c r="E33" s="25" t="n"/>
      <c r="F33" s="25" t="n"/>
      <c r="O33" s="9" t="n">
        <v>2020</v>
      </c>
      <c r="P33" s="9">
        <f>+K174</f>
        <v/>
      </c>
      <c r="Q33" s="9">
        <f>+K175</f>
        <v/>
      </c>
      <c r="R33" s="9">
        <f>+K176</f>
        <v/>
      </c>
      <c r="S33" s="9">
        <f>+K177</f>
        <v/>
      </c>
      <c r="T33" s="9">
        <f>+K178</f>
        <v/>
      </c>
      <c r="U33" s="9">
        <f>+K179</f>
        <v/>
      </c>
      <c r="V33" s="9">
        <f>+K180</f>
        <v/>
      </c>
      <c r="W33" s="9">
        <f>+K181</f>
        <v/>
      </c>
      <c r="X33" s="9">
        <f>+K182</f>
        <v/>
      </c>
      <c r="Y33" s="9">
        <f>+K183</f>
        <v/>
      </c>
      <c r="Z33" s="9">
        <f>+K184</f>
        <v/>
      </c>
      <c r="AA33" s="9">
        <f>+K185</f>
        <v/>
      </c>
      <c r="AD33" s="27" t="n">
        <v>2026</v>
      </c>
      <c r="AE33" s="28">
        <f>+(P39/AA38)-1</f>
        <v/>
      </c>
      <c r="AF33" s="28">
        <f>+(Q39/P39)-1</f>
        <v/>
      </c>
      <c r="AG33" s="28">
        <f>+(R39/Q39)-1</f>
        <v/>
      </c>
      <c r="AH33" s="28">
        <f>+(S39/R39)-1</f>
        <v/>
      </c>
      <c r="AI33">
        <f>+T39/S39-1</f>
        <v/>
      </c>
      <c r="AJ33">
        <f>+U39/T39-1</f>
        <v/>
      </c>
      <c r="AQ33" s="29">
        <f>+(U39/P39-1)/COUNTA(AE33:AJ33)*12</f>
        <v/>
      </c>
      <c r="AR33" s="32" t="n"/>
      <c r="AS33" s="32" t="n"/>
      <c r="AV33" s="48" t="n"/>
      <c r="AW33" s="49" t="n"/>
      <c r="AX33" s="15" t="n"/>
      <c r="AY33" s="15" t="n"/>
      <c r="AZ33" s="15" t="n"/>
      <c r="BA33" s="15" t="n"/>
      <c r="BB33" s="15" t="n"/>
      <c r="BC33" s="48" t="n"/>
      <c r="BD33" s="33" t="n"/>
    </row>
    <row r="34">
      <c r="A34" s="23" t="n">
        <v>39598</v>
      </c>
      <c r="B34" s="102" t="n">
        <v>12481.48</v>
      </c>
      <c r="C34" s="31" t="n">
        <v>0.005259266537695151</v>
      </c>
      <c r="D34" s="25" t="n">
        <v>113.9534416614779</v>
      </c>
      <c r="E34" s="25" t="n"/>
      <c r="F34" s="25" t="n"/>
      <c r="O34" s="9" t="n">
        <v>2021</v>
      </c>
      <c r="P34" s="9">
        <f>+K186</f>
        <v/>
      </c>
      <c r="Q34" s="9">
        <f>+K187</f>
        <v/>
      </c>
      <c r="R34" s="9">
        <f>+K188</f>
        <v/>
      </c>
      <c r="S34" s="9">
        <f>+K189</f>
        <v/>
      </c>
      <c r="T34" s="9">
        <f>+K190</f>
        <v/>
      </c>
      <c r="U34" s="9">
        <f>+K191</f>
        <v/>
      </c>
      <c r="V34" s="9">
        <f>+K192</f>
        <v/>
      </c>
      <c r="W34" s="9">
        <f>+K193</f>
        <v/>
      </c>
      <c r="X34" s="24">
        <f>+K194</f>
        <v/>
      </c>
      <c r="Y34" s="24">
        <f>+K195</f>
        <v/>
      </c>
      <c r="Z34" s="24">
        <f>+K196</f>
        <v/>
      </c>
      <c r="AA34" s="24">
        <f>+K197</f>
        <v/>
      </c>
      <c r="AD34" s="32" t="n"/>
      <c r="AE34" s="15" t="n"/>
      <c r="AF34" s="15" t="n"/>
      <c r="AG34" s="15" t="n"/>
      <c r="AH34" s="15" t="n"/>
      <c r="AI34" s="15" t="n"/>
      <c r="AJ34" s="15" t="n"/>
      <c r="AK34" s="15" t="n"/>
      <c r="AL34" s="15" t="n"/>
      <c r="AM34" s="15" t="n"/>
      <c r="AN34" s="15" t="n"/>
      <c r="AO34" s="15" t="n"/>
      <c r="AP34" s="15" t="n"/>
      <c r="AQ34" s="15" t="n"/>
      <c r="AR34" s="15" t="n"/>
      <c r="AS34" s="15" t="n"/>
      <c r="BD34" s="33" t="n"/>
    </row>
    <row r="35">
      <c r="A35" s="23" t="n">
        <v>39629</v>
      </c>
      <c r="B35" s="102" t="n">
        <v>12552.23</v>
      </c>
      <c r="C35" s="31" t="n">
        <v>0.005485546740889965</v>
      </c>
      <c r="D35" s="25" t="n">
        <v>114.5993751563479</v>
      </c>
      <c r="E35" s="25" t="n"/>
      <c r="F35" s="25" t="n"/>
      <c r="O35" s="9" t="n">
        <v>2022</v>
      </c>
      <c r="P35" s="9">
        <f>+K198</f>
        <v/>
      </c>
      <c r="Q35" s="24">
        <f>+K199</f>
        <v/>
      </c>
      <c r="R35" s="9">
        <f>+K200</f>
        <v/>
      </c>
      <c r="S35" s="9">
        <f>+K201</f>
        <v/>
      </c>
      <c r="T35" s="9">
        <f>+K202</f>
        <v/>
      </c>
      <c r="U35" s="24">
        <f>+K203</f>
        <v/>
      </c>
      <c r="V35" s="9">
        <f>+K204</f>
        <v/>
      </c>
      <c r="W35" s="24">
        <f>+K205</f>
        <v/>
      </c>
      <c r="X35" s="24">
        <f>+K206</f>
        <v/>
      </c>
      <c r="Y35" s="24">
        <f>+K207</f>
        <v/>
      </c>
      <c r="Z35" s="24">
        <f>+K208</f>
        <v/>
      </c>
      <c r="AA35" s="24">
        <f>+K209</f>
        <v/>
      </c>
      <c r="AD35" s="32" t="inlineStr">
        <is>
          <t>(*) Acum a Mar</t>
        </is>
      </c>
      <c r="AE35" s="15" t="n"/>
      <c r="AF35" s="15" t="n"/>
      <c r="AG35" s="15" t="n"/>
      <c r="AH35" s="15" t="n"/>
      <c r="AI35" s="15" t="n"/>
      <c r="AJ35" s="15" t="n"/>
      <c r="AK35" s="15" t="n"/>
      <c r="AL35" s="15" t="n"/>
      <c r="AM35" s="15" t="n"/>
      <c r="AN35" s="15" t="n"/>
      <c r="AO35" s="15" t="n"/>
      <c r="AP35" s="15" t="n"/>
      <c r="AQ35" s="15" t="n"/>
      <c r="AR35" s="32" t="inlineStr">
        <is>
          <t>(*)</t>
        </is>
      </c>
      <c r="AS35" s="15" t="n"/>
    </row>
    <row r="36">
      <c r="A36" s="23" t="n">
        <v>39660</v>
      </c>
      <c r="B36" s="102" t="n">
        <v>12628.9</v>
      </c>
      <c r="C36" s="31" t="n">
        <v>0.005911043232441376</v>
      </c>
      <c r="D36" s="25" t="n">
        <v>115.2993570793398</v>
      </c>
      <c r="E36" s="25" t="n"/>
      <c r="F36" s="25" t="n"/>
      <c r="O36" s="9" t="n">
        <v>2023</v>
      </c>
      <c r="P36" s="9">
        <f>+K210</f>
        <v/>
      </c>
      <c r="Q36" s="9">
        <f>+K211</f>
        <v/>
      </c>
      <c r="R36" s="9">
        <f>+K212</f>
        <v/>
      </c>
      <c r="S36" s="9">
        <f>+K213</f>
        <v/>
      </c>
      <c r="T36" s="24">
        <f>+K214</f>
        <v/>
      </c>
      <c r="U36" s="9">
        <f>+K215</f>
        <v/>
      </c>
      <c r="V36" s="9">
        <f>+K216</f>
        <v/>
      </c>
      <c r="W36" s="24">
        <f>+K217</f>
        <v/>
      </c>
      <c r="X36" s="9">
        <f>+K218</f>
        <v/>
      </c>
      <c r="Y36" s="9">
        <f>+K219</f>
        <v/>
      </c>
      <c r="Z36" s="9">
        <f>+K220</f>
        <v/>
      </c>
      <c r="AA36" s="9">
        <f>+K221</f>
        <v/>
      </c>
      <c r="AD36" s="32" t="n"/>
      <c r="AE36" s="15" t="n"/>
      <c r="AF36" s="15" t="n"/>
      <c r="AG36" s="15" t="n"/>
      <c r="AH36" s="15" t="n"/>
      <c r="AI36" s="15" t="n"/>
      <c r="AJ36" s="15" t="n"/>
      <c r="AK36" s="15" t="n"/>
      <c r="AL36" s="15" t="n"/>
      <c r="AM36" s="15" t="n"/>
      <c r="AN36" s="15" t="n"/>
      <c r="AO36" s="15" t="n"/>
      <c r="AP36" s="15" t="n"/>
      <c r="AQ36" s="15" t="n"/>
      <c r="AR36" s="15" t="n"/>
      <c r="AS36" s="15" t="n"/>
    </row>
    <row r="37">
      <c r="A37" s="23" t="n">
        <v>39689</v>
      </c>
      <c r="B37" s="102" t="n">
        <v>12704.63</v>
      </c>
      <c r="C37" s="31" t="n">
        <v>0.006203341487409488</v>
      </c>
      <c r="D37" s="25" t="n">
        <v>115.990756988407</v>
      </c>
      <c r="E37" s="25" t="n"/>
      <c r="F37" s="25" t="n"/>
      <c r="O37" s="9" t="n">
        <v>2024</v>
      </c>
      <c r="P37" s="9">
        <f>+K222</f>
        <v/>
      </c>
      <c r="Q37" s="9">
        <f>+K223</f>
        <v/>
      </c>
      <c r="R37" s="9">
        <f>+K224</f>
        <v/>
      </c>
      <c r="S37" s="9">
        <f>+K225</f>
        <v/>
      </c>
      <c r="T37" s="9">
        <f>+K226</f>
        <v/>
      </c>
      <c r="U37" s="9">
        <f>+K227</f>
        <v/>
      </c>
      <c r="V37" s="9">
        <f>+K228</f>
        <v/>
      </c>
      <c r="W37" s="9">
        <f>+K229</f>
        <v/>
      </c>
      <c r="X37" s="9">
        <f>+K230</f>
        <v/>
      </c>
      <c r="Y37" s="9">
        <f>+K231</f>
        <v/>
      </c>
      <c r="Z37" s="9">
        <f>+K232</f>
        <v/>
      </c>
      <c r="AA37" s="9">
        <f>+K233</f>
        <v/>
      </c>
      <c r="AC37" s="50" t="inlineStr">
        <is>
          <t>Año</t>
        </is>
      </c>
      <c r="AD37" s="51" t="inlineStr">
        <is>
          <t>Fondo</t>
        </is>
      </c>
      <c r="AE37" s="51" t="inlineStr">
        <is>
          <t>Ene</t>
        </is>
      </c>
      <c r="AF37" s="51" t="inlineStr">
        <is>
          <t>Feb</t>
        </is>
      </c>
      <c r="AG37" s="51" t="inlineStr">
        <is>
          <t>Mar</t>
        </is>
      </c>
      <c r="AH37" s="51" t="inlineStr">
        <is>
          <t>Abr</t>
        </is>
      </c>
      <c r="AI37" s="51" t="inlineStr">
        <is>
          <t>May</t>
        </is>
      </c>
      <c r="AJ37" s="51" t="inlineStr">
        <is>
          <t>Jun</t>
        </is>
      </c>
      <c r="AK37" s="51" t="inlineStr">
        <is>
          <t>Jul</t>
        </is>
      </c>
      <c r="AL37" s="51" t="inlineStr">
        <is>
          <t>Ago</t>
        </is>
      </c>
      <c r="AM37" s="51" t="inlineStr">
        <is>
          <t>Sep</t>
        </is>
      </c>
      <c r="AN37" s="51" t="inlineStr">
        <is>
          <t>Oct</t>
        </is>
      </c>
      <c r="AO37" s="51" t="inlineStr">
        <is>
          <t>Nov</t>
        </is>
      </c>
      <c r="AP37" s="51" t="inlineStr">
        <is>
          <t>Dic</t>
        </is>
      </c>
      <c r="AQ37" s="51" t="inlineStr">
        <is>
          <t>Total Año</t>
        </is>
      </c>
      <c r="AR37" s="32" t="n"/>
      <c r="AS37" s="15" t="n"/>
    </row>
    <row r="38">
      <c r="A38" s="23" t="n">
        <v>39721</v>
      </c>
      <c r="B38" s="102" t="n">
        <v>12796.95</v>
      </c>
      <c r="C38" s="31" t="n">
        <v>0.006812477026092098</v>
      </c>
      <c r="D38" s="25" t="n">
        <v>116.8336203134444</v>
      </c>
      <c r="E38" s="25" t="n"/>
      <c r="F38" s="25" t="n"/>
      <c r="O38" s="9" t="n">
        <v>2025</v>
      </c>
      <c r="P38" s="9">
        <f>+K234</f>
        <v/>
      </c>
      <c r="Q38" s="9">
        <f>+K235</f>
        <v/>
      </c>
      <c r="R38" s="9">
        <f>+K236</f>
        <v/>
      </c>
      <c r="S38" s="9">
        <f>+K237</f>
        <v/>
      </c>
      <c r="T38" s="9">
        <f>+K238</f>
        <v/>
      </c>
      <c r="U38" s="9">
        <f>+K239</f>
        <v/>
      </c>
      <c r="V38" s="9">
        <f>+K240</f>
        <v/>
      </c>
      <c r="W38" s="9">
        <f>+K241</f>
        <v/>
      </c>
      <c r="X38" s="9">
        <f>+K242</f>
        <v/>
      </c>
      <c r="Y38" s="9">
        <f>+K243</f>
        <v/>
      </c>
      <c r="Z38" s="9">
        <f>+K244</f>
        <v/>
      </c>
      <c r="AA38" s="9">
        <f>+K245</f>
        <v/>
      </c>
      <c r="AC38" s="97" t="n"/>
      <c r="AD38" s="52" t="inlineStr">
        <is>
          <t>FIP LIQUIDEZ I</t>
        </is>
      </c>
      <c r="AE38" s="53" t="n"/>
      <c r="AF38" s="53" t="n"/>
      <c r="AG38" s="53" t="n"/>
      <c r="AH38" s="53" t="n"/>
      <c r="AI38" s="53" t="n"/>
      <c r="AJ38" s="53" t="n"/>
      <c r="AK38" s="53" t="n"/>
      <c r="AL38" s="53" t="n"/>
      <c r="AM38" s="53" t="n"/>
      <c r="AN38" s="53" t="n"/>
      <c r="AO38" s="53" t="n"/>
      <c r="AP38" s="53" t="n"/>
      <c r="AQ38" s="54" t="n"/>
      <c r="AR38" s="32" t="n"/>
      <c r="AS38" s="15" t="n"/>
    </row>
    <row r="39">
      <c r="A39" s="23" t="n">
        <v>39752</v>
      </c>
      <c r="B39" s="102" t="n">
        <v>12885.37</v>
      </c>
      <c r="C39" s="31" t="n">
        <v>0.006686573123711835</v>
      </c>
      <c r="D39" s="25" t="n">
        <v>117.640877410496</v>
      </c>
      <c r="E39" s="25" t="n"/>
      <c r="F39" s="25" t="n"/>
      <c r="O39" s="9" t="n">
        <v>2026</v>
      </c>
      <c r="P39" s="9">
        <f>+K246</f>
        <v/>
      </c>
      <c r="Q39" s="9">
        <f>+K247</f>
        <v/>
      </c>
      <c r="R39" s="9">
        <f>+K248</f>
        <v/>
      </c>
      <c r="S39" s="9">
        <f>+K249</f>
        <v/>
      </c>
      <c r="T39">
        <f>+K250</f>
        <v/>
      </c>
      <c r="U39">
        <f>+K251</f>
        <v/>
      </c>
      <c r="AC39" s="97" t="n">
        <v>2020</v>
      </c>
      <c r="AD39" s="52" t="inlineStr">
        <is>
          <t>ICP</t>
        </is>
      </c>
      <c r="AE39" s="53" t="n"/>
      <c r="AF39" s="53" t="n"/>
      <c r="AG39" s="53" t="n"/>
      <c r="AH39" s="53" t="n"/>
      <c r="AI39" s="53">
        <f>+AI3</f>
        <v/>
      </c>
      <c r="AJ39" s="53">
        <f>+AJ3</f>
        <v/>
      </c>
      <c r="AK39" s="53">
        <f>+AK3</f>
        <v/>
      </c>
      <c r="AL39" s="53">
        <f>+AL3</f>
        <v/>
      </c>
      <c r="AM39" s="53">
        <f>+AM3</f>
        <v/>
      </c>
      <c r="AN39" s="53">
        <f>+AN3</f>
        <v/>
      </c>
      <c r="AO39" s="53">
        <f>+AO3</f>
        <v/>
      </c>
      <c r="AP39" s="53">
        <f>+AP3</f>
        <v/>
      </c>
      <c r="AQ39" s="54">
        <f>+AQ3</f>
        <v/>
      </c>
      <c r="AR39" s="15" t="n"/>
      <c r="AS39" s="15" t="n"/>
    </row>
    <row r="40">
      <c r="A40" s="23" t="n">
        <v>39780</v>
      </c>
      <c r="B40" s="102" t="n">
        <v>12970.93</v>
      </c>
      <c r="C40" s="31" t="n">
        <v>0.0071143807722579</v>
      </c>
      <c r="D40" s="25" t="n">
        <v>118.4220232736914</v>
      </c>
      <c r="E40" s="25" t="n"/>
      <c r="F40" s="25" t="n"/>
      <c r="AC40" s="97" t="n"/>
      <c r="AD40" s="52" t="inlineStr">
        <is>
          <t>Competencia</t>
        </is>
      </c>
      <c r="AE40" s="53" t="n"/>
      <c r="AF40" s="53" t="n"/>
      <c r="AG40" s="53" t="n"/>
      <c r="AH40" s="53" t="n"/>
      <c r="AI40" s="53">
        <f>+AI27</f>
        <v/>
      </c>
      <c r="AJ40" s="53">
        <f>+AJ27</f>
        <v/>
      </c>
      <c r="AK40" s="53">
        <f>+AK27</f>
        <v/>
      </c>
      <c r="AL40" s="53">
        <f>+AL27</f>
        <v/>
      </c>
      <c r="AM40" s="53">
        <f>+AM27</f>
        <v/>
      </c>
      <c r="AN40" s="53">
        <f>+AN27</f>
        <v/>
      </c>
      <c r="AO40" s="53">
        <f>+AO27</f>
        <v/>
      </c>
      <c r="AP40" s="53">
        <f>+AP27</f>
        <v/>
      </c>
      <c r="AQ40" s="54">
        <f>+AQ27</f>
        <v/>
      </c>
      <c r="AR40" s="32" t="inlineStr">
        <is>
          <t>(*)</t>
        </is>
      </c>
      <c r="AS40" s="15" t="n"/>
      <c r="BE40" s="45" t="n"/>
      <c r="BF40" s="45" t="n"/>
      <c r="BG40" s="45" t="n"/>
      <c r="BH40" s="45" t="n"/>
      <c r="BI40" s="45" t="n"/>
      <c r="BJ40" s="45" t="n"/>
    </row>
    <row r="41" ht="15" customHeight="1">
      <c r="A41" s="23" t="n">
        <v>39813</v>
      </c>
      <c r="B41" s="102" t="n">
        <v>13066.33</v>
      </c>
      <c r="C41" s="31" t="n">
        <v>0.006686280222564739</v>
      </c>
      <c r="D41" s="25" t="n">
        <v>119.2930063890355</v>
      </c>
      <c r="E41" s="25" t="n"/>
      <c r="F41" s="25" t="n"/>
      <c r="AC41" s="97" t="n"/>
      <c r="AD41" s="52" t="inlineStr">
        <is>
          <t>FIP LIQUIDEZ I</t>
        </is>
      </c>
      <c r="AE41" s="53" t="n"/>
      <c r="AF41" s="53" t="n"/>
      <c r="AG41" s="53" t="n"/>
      <c r="AH41" s="53" t="n"/>
      <c r="AI41" s="53">
        <f>+AI14</f>
        <v/>
      </c>
      <c r="AJ41" s="53">
        <f>+AJ14</f>
        <v/>
      </c>
      <c r="AK41" s="53">
        <f>+AK14</f>
        <v/>
      </c>
      <c r="AL41" s="53">
        <f>+AL14</f>
        <v/>
      </c>
      <c r="AM41" s="53">
        <f>+AM14</f>
        <v/>
      </c>
      <c r="AN41" s="53">
        <f>+AN14</f>
        <v/>
      </c>
      <c r="AO41" s="53">
        <f>+AO14</f>
        <v/>
      </c>
      <c r="AP41" s="53">
        <f>+AP14</f>
        <v/>
      </c>
      <c r="AQ41" s="54">
        <f>+AQ14</f>
        <v/>
      </c>
      <c r="AR41" s="15" t="n"/>
      <c r="AS41" s="15" t="n"/>
      <c r="BE41" s="33" t="n"/>
      <c r="BF41" s="33" t="n"/>
      <c r="BG41" s="33" t="n"/>
      <c r="BH41" s="33" t="n"/>
      <c r="BI41" s="33" t="n"/>
      <c r="BJ41" s="55" t="n"/>
    </row>
    <row r="42" ht="15" customHeight="1">
      <c r="A42" s="23" t="n">
        <v>39843</v>
      </c>
      <c r="B42" s="102" t="n">
        <v>13151.16</v>
      </c>
      <c r="C42" s="31" t="n">
        <v>0.006492259111778198</v>
      </c>
      <c r="D42" s="25" t="n">
        <v>120.0674874967361</v>
      </c>
      <c r="E42" s="25" t="n"/>
      <c r="F42" s="25" t="n"/>
      <c r="AC42" s="97" t="n">
        <v>2021</v>
      </c>
      <c r="AD42" s="52" t="inlineStr">
        <is>
          <t>ICP</t>
        </is>
      </c>
      <c r="AE42" s="75">
        <f>+AE4</f>
        <v/>
      </c>
      <c r="AF42" s="75">
        <f>+AF4</f>
        <v/>
      </c>
      <c r="AG42" s="75">
        <f>+AG4</f>
        <v/>
      </c>
      <c r="AH42" s="75">
        <f>+AH4</f>
        <v/>
      </c>
      <c r="AI42" s="75">
        <f>+AI4</f>
        <v/>
      </c>
      <c r="AJ42" s="75">
        <f>+AJ4</f>
        <v/>
      </c>
      <c r="AK42" s="75">
        <f>+AK4</f>
        <v/>
      </c>
      <c r="AL42" s="75">
        <f>+AL4</f>
        <v/>
      </c>
      <c r="AM42" s="75">
        <f>+AM4</f>
        <v/>
      </c>
      <c r="AN42" s="75">
        <f>+AN4</f>
        <v/>
      </c>
      <c r="AO42" s="75">
        <f>+AO4</f>
        <v/>
      </c>
      <c r="AP42" s="75">
        <f>+AP4</f>
        <v/>
      </c>
      <c r="AQ42" s="75">
        <f>+AQ4</f>
        <v/>
      </c>
      <c r="AR42" s="15" t="n"/>
      <c r="AS42" s="15" t="n"/>
      <c r="BE42" s="33" t="n"/>
      <c r="BF42" s="33" t="n"/>
      <c r="BG42" s="33" t="n"/>
      <c r="BH42" s="33" t="n"/>
      <c r="BI42" s="33" t="n"/>
      <c r="BJ42" s="55" t="n"/>
    </row>
    <row r="43" ht="15" customHeight="1">
      <c r="A43" s="23" t="n">
        <v>39871</v>
      </c>
      <c r="B43" s="102" t="n">
        <v>13212.09</v>
      </c>
      <c r="C43" s="31" t="n">
        <v>0.004963983622520231</v>
      </c>
      <c r="D43" s="25" t="n">
        <v>120.6237663354983</v>
      </c>
      <c r="E43" s="25" t="n"/>
      <c r="F43" s="25" t="n"/>
      <c r="AC43" s="97" t="n"/>
      <c r="AD43" s="52" t="inlineStr">
        <is>
          <t>Competencia</t>
        </is>
      </c>
      <c r="AE43" s="75">
        <f>+AE28</f>
        <v/>
      </c>
      <c r="AF43" s="75">
        <f>+AF28</f>
        <v/>
      </c>
      <c r="AG43" s="75">
        <f>+AG28</f>
        <v/>
      </c>
      <c r="AH43" s="75">
        <f>+AH28</f>
        <v/>
      </c>
      <c r="AI43" s="75">
        <f>+AI28</f>
        <v/>
      </c>
      <c r="AJ43" s="75">
        <f>+AJ28</f>
        <v/>
      </c>
      <c r="AK43" s="75">
        <f>+AK28</f>
        <v/>
      </c>
      <c r="AL43" s="75">
        <f>+AL28</f>
        <v/>
      </c>
      <c r="AM43" s="75">
        <f>+AM28</f>
        <v/>
      </c>
      <c r="AN43" s="75">
        <f>+AN28</f>
        <v/>
      </c>
      <c r="AO43" s="75">
        <f>+AO28</f>
        <v/>
      </c>
      <c r="AP43" s="75">
        <f>+AP28</f>
        <v/>
      </c>
      <c r="AQ43" s="75">
        <f>+AQ28</f>
        <v/>
      </c>
      <c r="AR43" s="15" t="n"/>
      <c r="AS43" s="15" t="n"/>
      <c r="BE43" s="33" t="n"/>
      <c r="BF43" s="33" t="n"/>
      <c r="BG43" s="33" t="n"/>
      <c r="BH43" s="33" t="n"/>
      <c r="BI43" s="33" t="n"/>
      <c r="BJ43" s="55" t="n"/>
    </row>
    <row r="44">
      <c r="A44" s="23" t="n">
        <v>39903</v>
      </c>
      <c r="B44" s="102" t="n">
        <v>13251.18</v>
      </c>
      <c r="C44" s="31" t="n">
        <v>0.002773737917316707</v>
      </c>
      <c r="D44" s="25" t="n">
        <v>120.9806502975403</v>
      </c>
      <c r="E44" s="25" t="n"/>
      <c r="F44" s="25" t="n"/>
      <c r="AC44" s="97" t="n"/>
      <c r="AD44" s="52" t="inlineStr">
        <is>
          <t>FIP LIQUIDEZ I</t>
        </is>
      </c>
      <c r="AE44" s="75">
        <f>+AE15</f>
        <v/>
      </c>
      <c r="AF44" s="75">
        <f>+AF15</f>
        <v/>
      </c>
      <c r="AG44" s="75">
        <f>+AG15</f>
        <v/>
      </c>
      <c r="AH44" s="75">
        <f>+AH15</f>
        <v/>
      </c>
      <c r="AI44" s="75">
        <f>+AI15</f>
        <v/>
      </c>
      <c r="AJ44" s="75">
        <f>+AJ15</f>
        <v/>
      </c>
      <c r="AK44" s="75">
        <f>+AK15</f>
        <v/>
      </c>
      <c r="AL44" s="75">
        <f>+AL15</f>
        <v/>
      </c>
      <c r="AM44" s="75">
        <f>+AM15</f>
        <v/>
      </c>
      <c r="AN44" s="75">
        <f>+AN15</f>
        <v/>
      </c>
      <c r="AO44" s="75">
        <f>+AO15</f>
        <v/>
      </c>
      <c r="AP44" s="75">
        <f>+AP15</f>
        <v/>
      </c>
      <c r="AQ44" s="75">
        <f>+AQ15</f>
        <v/>
      </c>
      <c r="AR44" s="15" t="n"/>
      <c r="AS44" s="15" t="n"/>
      <c r="BE44" s="33" t="n"/>
      <c r="BF44" s="33" t="n"/>
      <c r="BG44" s="33" t="n"/>
      <c r="BH44" s="33" t="n"/>
      <c r="BI44" s="33" t="n"/>
      <c r="BJ44" s="55" t="n"/>
    </row>
    <row r="45">
      <c r="A45" s="23" t="n">
        <v>39933</v>
      </c>
      <c r="B45" s="102" t="n">
        <v>13272.62</v>
      </c>
      <c r="C45" s="31" t="n">
        <v>0.001617969116712636</v>
      </c>
      <c r="D45" s="25" t="n">
        <v>121.1763932534415</v>
      </c>
      <c r="E45" s="25" t="n"/>
      <c r="F45" s="25" t="n"/>
      <c r="AC45" s="97" t="n">
        <v>2022</v>
      </c>
      <c r="AD45" s="52" t="inlineStr">
        <is>
          <t>ICP</t>
        </is>
      </c>
      <c r="AE45" s="75">
        <f>+AE5</f>
        <v/>
      </c>
      <c r="AF45" s="75">
        <f>+AF5</f>
        <v/>
      </c>
      <c r="AG45" s="75">
        <f>+AG5</f>
        <v/>
      </c>
      <c r="AH45" s="75">
        <f>+AH5</f>
        <v/>
      </c>
      <c r="AI45" s="75">
        <f>+AI5</f>
        <v/>
      </c>
      <c r="AJ45" s="75">
        <f>+AJ5</f>
        <v/>
      </c>
      <c r="AK45" s="75">
        <f>+AK5</f>
        <v/>
      </c>
      <c r="AL45" s="75">
        <f>+AL5</f>
        <v/>
      </c>
      <c r="AM45" s="75">
        <f>+AM5</f>
        <v/>
      </c>
      <c r="AN45" s="75">
        <f>+AN5</f>
        <v/>
      </c>
      <c r="AO45" s="75">
        <f>+AO5</f>
        <v/>
      </c>
      <c r="AP45" s="75">
        <f>+AP5</f>
        <v/>
      </c>
      <c r="AQ45" s="75">
        <f>+AQ5</f>
        <v/>
      </c>
      <c r="AR45" s="15" t="n"/>
      <c r="AS45" s="15" t="n"/>
      <c r="BE45" s="33" t="n"/>
      <c r="BF45" s="33" t="n"/>
      <c r="BG45" s="33" t="n"/>
      <c r="BH45" s="33" t="n"/>
      <c r="BI45" s="33" t="n"/>
      <c r="BJ45" s="55" t="n"/>
    </row>
    <row r="46">
      <c r="A46" s="23" t="n">
        <v>39962</v>
      </c>
      <c r="B46" s="102" t="n">
        <v>13286.96</v>
      </c>
      <c r="C46" s="31" t="n">
        <v>0.001117675542479178</v>
      </c>
      <c r="D46" s="25" t="n">
        <v>121.3073146148045</v>
      </c>
      <c r="E46" s="25" t="n"/>
      <c r="F46" s="25" t="n"/>
      <c r="AC46" s="97" t="n"/>
      <c r="AD46" s="52" t="inlineStr">
        <is>
          <t>Competencia</t>
        </is>
      </c>
      <c r="AE46" s="75">
        <f>+AE29</f>
        <v/>
      </c>
      <c r="AF46" s="75">
        <f>+AF29</f>
        <v/>
      </c>
      <c r="AG46" s="75">
        <f>+AG29</f>
        <v/>
      </c>
      <c r="AH46" s="75">
        <f>+AH29</f>
        <v/>
      </c>
      <c r="AI46" s="75">
        <f>+AI29</f>
        <v/>
      </c>
      <c r="AJ46" s="75">
        <f>+AJ29</f>
        <v/>
      </c>
      <c r="AK46" s="75">
        <f>+AK29</f>
        <v/>
      </c>
      <c r="AL46" s="75">
        <f>+AL29</f>
        <v/>
      </c>
      <c r="AM46" s="75">
        <f>+AM29</f>
        <v/>
      </c>
      <c r="AN46" s="75">
        <f>+AN29</f>
        <v/>
      </c>
      <c r="AO46" s="75">
        <f>+AO29</f>
        <v/>
      </c>
      <c r="AP46" s="75">
        <f>+AP29</f>
        <v/>
      </c>
      <c r="AQ46" s="75">
        <f>+AQ29</f>
        <v/>
      </c>
      <c r="AR46" s="15" t="n"/>
      <c r="AS46" s="15" t="n"/>
      <c r="BD46" s="33" t="n"/>
      <c r="BE46" s="33" t="n"/>
      <c r="BF46" s="33" t="n"/>
      <c r="BG46" s="33" t="n"/>
      <c r="BH46" s="33" t="n"/>
      <c r="BI46" s="33" t="n"/>
      <c r="BJ46" s="55" t="n"/>
    </row>
    <row r="47" ht="15.75" customHeight="1">
      <c r="A47" s="23" t="n">
        <v>39994</v>
      </c>
      <c r="B47" s="102" t="n">
        <v>13299.08</v>
      </c>
      <c r="C47" s="31" t="n">
        <v>0.0008551617525755228</v>
      </c>
      <c r="D47" s="25" t="n">
        <v>121.4179678156218</v>
      </c>
      <c r="E47" s="25" t="n"/>
      <c r="F47" s="25" t="n"/>
      <c r="AC47" s="97" t="n"/>
      <c r="AD47" s="52" t="inlineStr">
        <is>
          <t>FIP LIQUIDEZ I</t>
        </is>
      </c>
      <c r="AE47" s="75">
        <f>+AE16</f>
        <v/>
      </c>
      <c r="AF47" s="75">
        <f>+AF16</f>
        <v/>
      </c>
      <c r="AG47" s="75">
        <f>+AG16</f>
        <v/>
      </c>
      <c r="AH47" s="75">
        <f>+AH16</f>
        <v/>
      </c>
      <c r="AI47" s="75">
        <f>+AI16</f>
        <v/>
      </c>
      <c r="AJ47" s="75">
        <f>+AJ16</f>
        <v/>
      </c>
      <c r="AK47" s="75">
        <f>+AK16</f>
        <v/>
      </c>
      <c r="AL47" s="75">
        <f>+AL16</f>
        <v/>
      </c>
      <c r="AM47" s="75">
        <f>+AM16</f>
        <v/>
      </c>
      <c r="AN47" s="75">
        <f>+AN16</f>
        <v/>
      </c>
      <c r="AO47" s="75">
        <f>+AO16</f>
        <v/>
      </c>
      <c r="AP47" s="75">
        <f>+AP16</f>
        <v/>
      </c>
      <c r="AQ47" s="75">
        <f>+AQ16</f>
        <v/>
      </c>
      <c r="AR47" s="15" t="n"/>
      <c r="AS47" s="15" t="n"/>
      <c r="BD47" s="33" t="n"/>
      <c r="BE47" s="33" t="n"/>
      <c r="BF47" s="33" t="n"/>
      <c r="BG47" s="33" t="n"/>
      <c r="BH47" s="33" t="n"/>
      <c r="BI47" s="33" t="n"/>
      <c r="BJ47" s="55" t="n"/>
    </row>
    <row r="48">
      <c r="A48" s="23" t="n">
        <v>40025</v>
      </c>
      <c r="B48" s="102" t="n">
        <v>13305.34</v>
      </c>
      <c r="C48" s="31" t="n">
        <v>0.000455525082647034</v>
      </c>
      <c r="D48" s="25" t="n">
        <v>121.47512037644</v>
      </c>
      <c r="E48" s="25" t="n"/>
      <c r="F48" s="25" t="n"/>
      <c r="AC48" s="97" t="n">
        <v>2023</v>
      </c>
      <c r="AD48" s="52" t="inlineStr">
        <is>
          <t>ICP</t>
        </is>
      </c>
      <c r="AE48" s="75">
        <f>+AE6</f>
        <v/>
      </c>
      <c r="AF48" s="75">
        <f>+AF6</f>
        <v/>
      </c>
      <c r="AG48" s="75">
        <f>+AG6</f>
        <v/>
      </c>
      <c r="AH48" s="75">
        <f>+AH6</f>
        <v/>
      </c>
      <c r="AI48" s="75">
        <f>+AI6</f>
        <v/>
      </c>
      <c r="AJ48" s="75">
        <f>+AJ6</f>
        <v/>
      </c>
      <c r="AK48" s="75">
        <f>+AK6</f>
        <v/>
      </c>
      <c r="AL48" s="75">
        <f>+AL6</f>
        <v/>
      </c>
      <c r="AM48" s="75">
        <f>+AM6</f>
        <v/>
      </c>
      <c r="AN48" s="75">
        <f>+AN6</f>
        <v/>
      </c>
      <c r="AO48" s="75">
        <f>+AO6</f>
        <v/>
      </c>
      <c r="AP48" s="75">
        <f>+AP6</f>
        <v/>
      </c>
      <c r="AQ48" s="75">
        <f>+AQ6</f>
        <v/>
      </c>
      <c r="AR48" s="15" t="n"/>
      <c r="AS48" s="15" t="n"/>
      <c r="BD48" s="33" t="n"/>
      <c r="BE48" s="33" t="n"/>
      <c r="BF48" s="33" t="n"/>
      <c r="BG48" s="33" t="n"/>
      <c r="BH48" s="33" t="n"/>
      <c r="BI48" s="33" t="n"/>
      <c r="BJ48" s="55" t="n"/>
    </row>
    <row r="49">
      <c r="A49" s="23" t="n">
        <v>40056</v>
      </c>
      <c r="B49" s="102" t="n">
        <v>13310.07</v>
      </c>
      <c r="C49" s="31" t="n">
        <v>0.0003440287399524325</v>
      </c>
      <c r="D49" s="25" t="n">
        <v>121.5183043401253</v>
      </c>
      <c r="E49" s="25" t="n"/>
      <c r="F49" s="25" t="n"/>
      <c r="AD49" s="52" t="inlineStr">
        <is>
          <t>Competencia</t>
        </is>
      </c>
      <c r="AE49" s="75">
        <f>+AE30</f>
        <v/>
      </c>
      <c r="AF49" s="75">
        <f>+AF30</f>
        <v/>
      </c>
      <c r="AG49" s="75">
        <f>+AG30</f>
        <v/>
      </c>
      <c r="AH49" s="75">
        <f>+AH30</f>
        <v/>
      </c>
      <c r="AI49" s="75">
        <f>+AI30</f>
        <v/>
      </c>
      <c r="AJ49" s="75">
        <f>+AJ30</f>
        <v/>
      </c>
      <c r="AK49" s="75">
        <f>+AK30</f>
        <v/>
      </c>
      <c r="AL49" s="75">
        <f>+AL30</f>
        <v/>
      </c>
      <c r="AM49" s="75">
        <f>+AM30</f>
        <v/>
      </c>
      <c r="AN49" s="75">
        <f>+AN30</f>
        <v/>
      </c>
      <c r="AO49" s="75">
        <f>+AO30</f>
        <v/>
      </c>
      <c r="AP49" s="75">
        <f>+AP30</f>
        <v/>
      </c>
      <c r="AQ49" s="75">
        <f>+AQ30</f>
        <v/>
      </c>
      <c r="AR49" s="15" t="n"/>
      <c r="AS49" s="15" t="n"/>
      <c r="BD49" s="33" t="n"/>
      <c r="BE49" s="33" t="n"/>
      <c r="BF49" s="33" t="n"/>
      <c r="BG49" s="33" t="n"/>
      <c r="BH49" s="33" t="n"/>
      <c r="BI49" s="33" t="n"/>
      <c r="BJ49" s="55" t="n"/>
    </row>
    <row r="50">
      <c r="A50" s="23" t="n">
        <v>40086</v>
      </c>
      <c r="B50" s="102" t="n">
        <v>13315.05</v>
      </c>
      <c r="C50" s="31" t="n">
        <v>0.000374152803103156</v>
      </c>
      <c r="D50" s="25" t="n">
        <v>121.5637707543225</v>
      </c>
      <c r="E50" s="25" t="n"/>
      <c r="F50" s="25" t="n"/>
      <c r="AD50" s="52" t="inlineStr">
        <is>
          <t>FIP LIQUIDEZ I</t>
        </is>
      </c>
      <c r="AE50" s="75">
        <f>+AE17</f>
        <v/>
      </c>
      <c r="AF50" s="75">
        <f>+AF17</f>
        <v/>
      </c>
      <c r="AG50" s="75">
        <f>+AG17</f>
        <v/>
      </c>
      <c r="AH50" s="75">
        <f>+AH17</f>
        <v/>
      </c>
      <c r="AI50" s="75">
        <f>+AI17</f>
        <v/>
      </c>
      <c r="AJ50" s="75">
        <f>+AJ17</f>
        <v/>
      </c>
      <c r="AK50" s="75">
        <f>+AK17</f>
        <v/>
      </c>
      <c r="AL50" s="75">
        <f>+AL17</f>
        <v/>
      </c>
      <c r="AM50" s="75">
        <f>+AM17</f>
        <v/>
      </c>
      <c r="AN50" s="75">
        <f>+AN17</f>
        <v/>
      </c>
      <c r="AO50" s="75">
        <f>+AO17</f>
        <v/>
      </c>
      <c r="AP50" s="75">
        <f>+AP17</f>
        <v/>
      </c>
      <c r="AQ50" s="75">
        <f>+AQ17</f>
        <v/>
      </c>
      <c r="AR50" s="15" t="n"/>
      <c r="AS50" s="15" t="n"/>
      <c r="BD50" s="33" t="n"/>
      <c r="BE50" s="33" t="n"/>
      <c r="BF50" s="33" t="n"/>
      <c r="BG50" s="33" t="n"/>
      <c r="BH50" s="33" t="n"/>
      <c r="BI50" s="33" t="n"/>
      <c r="BJ50" s="55" t="n"/>
    </row>
    <row r="51">
      <c r="A51" s="23" t="n">
        <v>40116</v>
      </c>
      <c r="B51" s="102" t="n">
        <v>13319.74</v>
      </c>
      <c r="C51" s="31" t="n">
        <v>0.0003522329995007123</v>
      </c>
      <c r="D51" s="25" t="n">
        <v>121.6065895259259</v>
      </c>
      <c r="E51" s="25" t="n"/>
      <c r="F51" s="25" t="n"/>
      <c r="AC51" s="97" t="n">
        <v>2024</v>
      </c>
      <c r="AD51" s="52" t="inlineStr">
        <is>
          <t>ICP</t>
        </is>
      </c>
      <c r="AE51" s="75">
        <f>+AE7</f>
        <v/>
      </c>
      <c r="AF51" s="75">
        <f>+AF7</f>
        <v/>
      </c>
      <c r="AG51" s="75">
        <f>+AG7</f>
        <v/>
      </c>
      <c r="AH51" s="75">
        <f>+AH7</f>
        <v/>
      </c>
      <c r="AI51" s="75">
        <f>+AI7</f>
        <v/>
      </c>
      <c r="AJ51" s="75">
        <f>+AJ7</f>
        <v/>
      </c>
      <c r="AK51" s="75">
        <f>+AK7</f>
        <v/>
      </c>
      <c r="AL51" s="75">
        <f>+AL7</f>
        <v/>
      </c>
      <c r="AM51" s="75">
        <f>+AM7</f>
        <v/>
      </c>
      <c r="AN51" s="75">
        <f>+AN7</f>
        <v/>
      </c>
      <c r="AO51" s="75">
        <f>+AO7</f>
        <v/>
      </c>
      <c r="AP51" s="75">
        <f>+AP7</f>
        <v/>
      </c>
      <c r="AQ51" s="75">
        <f>+AQ7</f>
        <v/>
      </c>
      <c r="AR51" s="56" t="inlineStr">
        <is>
          <t>(*)</t>
        </is>
      </c>
      <c r="AS51" s="15" t="n"/>
      <c r="BD51" s="33" t="n"/>
      <c r="BE51" s="33" t="n"/>
      <c r="BF51" s="33" t="n"/>
      <c r="BG51" s="33" t="n"/>
      <c r="BH51" s="33" t="n"/>
      <c r="BI51" s="33" t="n"/>
      <c r="BJ51" s="55" t="n"/>
      <c r="BK51" s="57" t="n"/>
    </row>
    <row r="52">
      <c r="A52" s="23" t="n">
        <v>40147</v>
      </c>
      <c r="B52" s="102" t="n">
        <v>13324.51</v>
      </c>
      <c r="C52" s="31" t="n">
        <v>0.0003465629983961758</v>
      </c>
      <c r="D52" s="25" t="n">
        <v>121.6501386816931</v>
      </c>
      <c r="E52" s="25" t="n"/>
      <c r="F52" s="25" t="n"/>
      <c r="AD52" s="52" t="inlineStr">
        <is>
          <t>Competencia</t>
        </is>
      </c>
      <c r="AE52" s="75">
        <f>+AE31</f>
        <v/>
      </c>
      <c r="AF52" s="75">
        <f>+AF31</f>
        <v/>
      </c>
      <c r="AG52" s="75">
        <f>+AG31</f>
        <v/>
      </c>
      <c r="AH52" s="75">
        <f>+AH31</f>
        <v/>
      </c>
      <c r="AI52" s="75">
        <f>+AI31</f>
        <v/>
      </c>
      <c r="AJ52" s="75">
        <f>+AJ31</f>
        <v/>
      </c>
      <c r="AK52" s="75">
        <f>+AK31</f>
        <v/>
      </c>
      <c r="AL52" s="75">
        <f>+AL31</f>
        <v/>
      </c>
      <c r="AM52" s="75">
        <f>+AM31</f>
        <v/>
      </c>
      <c r="AN52" s="75">
        <f>+AN31</f>
        <v/>
      </c>
      <c r="AO52" s="75">
        <f>+AO31</f>
        <v/>
      </c>
      <c r="AP52" s="75">
        <f>+AP31</f>
        <v/>
      </c>
      <c r="AQ52" s="75">
        <f>+AQ31</f>
        <v/>
      </c>
      <c r="AR52" s="56" t="n"/>
      <c r="AS52" s="15" t="n"/>
      <c r="BD52" s="33" t="n"/>
      <c r="BE52" s="33" t="n"/>
      <c r="BF52" s="33" t="n"/>
      <c r="BG52" s="33" t="n"/>
      <c r="BH52" s="33" t="n"/>
      <c r="BI52" s="33" t="n"/>
      <c r="BJ52" s="55" t="n"/>
      <c r="BK52" s="57" t="n"/>
    </row>
    <row r="53">
      <c r="A53" s="23" t="n">
        <v>40178</v>
      </c>
      <c r="B53" s="102" t="n">
        <v>13329.5</v>
      </c>
      <c r="C53" s="31" t="n">
        <v>0.0003624172489694134</v>
      </c>
      <c r="D53" s="25" t="n">
        <v>121.6956963939108</v>
      </c>
      <c r="E53" s="25" t="n"/>
      <c r="F53" s="25" t="n"/>
      <c r="AD53" s="52" t="inlineStr">
        <is>
          <t>FIP LIQUIDEZ I</t>
        </is>
      </c>
      <c r="AE53" s="75">
        <f>+AE18</f>
        <v/>
      </c>
      <c r="AF53" s="75">
        <f>+AF18</f>
        <v/>
      </c>
      <c r="AG53" s="75">
        <f>+AG18</f>
        <v/>
      </c>
      <c r="AH53" s="75">
        <f>+AH18</f>
        <v/>
      </c>
      <c r="AI53" s="75">
        <f>+AI18</f>
        <v/>
      </c>
      <c r="AJ53" s="75">
        <f>+AJ18</f>
        <v/>
      </c>
      <c r="AK53" s="75">
        <f>+AK18</f>
        <v/>
      </c>
      <c r="AL53" s="75">
        <f>+AL18</f>
        <v/>
      </c>
      <c r="AM53" s="75">
        <f>+AM18</f>
        <v/>
      </c>
      <c r="AN53" s="75">
        <f>+AN18</f>
        <v/>
      </c>
      <c r="AO53" s="75">
        <f>+AO18</f>
        <v/>
      </c>
      <c r="AP53" s="75">
        <f>+AP18</f>
        <v/>
      </c>
      <c r="AQ53" s="75">
        <f>+AQ18</f>
        <v/>
      </c>
      <c r="AR53" s="15" t="n"/>
      <c r="AS53" s="15" t="n"/>
    </row>
    <row r="54">
      <c r="A54" s="23" t="n">
        <v>40207</v>
      </c>
      <c r="B54" s="102" t="n">
        <v>13334.25</v>
      </c>
      <c r="C54" s="31" t="n">
        <v>0.0003686404668927931</v>
      </c>
      <c r="D54" s="25" t="n">
        <v>121.7390629536371</v>
      </c>
      <c r="E54" s="25" t="n"/>
      <c r="F54" s="25" t="n"/>
      <c r="AC54" s="97" t="n">
        <v>2025</v>
      </c>
      <c r="AD54" s="52" t="inlineStr">
        <is>
          <t>ICP</t>
        </is>
      </c>
      <c r="AE54" s="75">
        <f>+AE8</f>
        <v/>
      </c>
      <c r="AF54" s="75">
        <f>+AF8</f>
        <v/>
      </c>
      <c r="AG54" s="75">
        <f>+AG8</f>
        <v/>
      </c>
      <c r="AH54" s="75">
        <f>+AH8</f>
        <v/>
      </c>
      <c r="AI54" s="75">
        <f>+AI8</f>
        <v/>
      </c>
      <c r="AJ54" s="75">
        <f>+AJ8</f>
        <v/>
      </c>
      <c r="AK54" s="75">
        <f>+AK8</f>
        <v/>
      </c>
      <c r="AL54" s="75">
        <f>+AL8</f>
        <v/>
      </c>
      <c r="AM54" s="75">
        <f>+AM8</f>
        <v/>
      </c>
      <c r="AN54" s="75">
        <f>+AN8</f>
        <v/>
      </c>
      <c r="AO54" s="75">
        <f>+AO8</f>
        <v/>
      </c>
      <c r="AP54" s="75">
        <f>+AP8</f>
        <v/>
      </c>
      <c r="AQ54" s="75">
        <f>+AQ8</f>
        <v/>
      </c>
      <c r="AR54" s="15" t="n"/>
      <c r="AS54" s="15" t="n"/>
    </row>
    <row r="55">
      <c r="A55" s="23" t="n">
        <v>40235</v>
      </c>
      <c r="B55" s="102" t="n">
        <v>13338.53</v>
      </c>
      <c r="C55" s="31" t="n">
        <v>0.0003439049279647349</v>
      </c>
      <c r="D55" s="25" t="n">
        <v>121.7781385064009</v>
      </c>
      <c r="E55" s="25" t="n"/>
      <c r="F55" s="25" t="n"/>
      <c r="AD55" s="52" t="inlineStr">
        <is>
          <t>Competencia</t>
        </is>
      </c>
      <c r="AE55" s="75">
        <f>+AE32</f>
        <v/>
      </c>
      <c r="AF55" s="75">
        <f>+AF32</f>
        <v/>
      </c>
      <c r="AG55" s="75">
        <f>+AG32</f>
        <v/>
      </c>
      <c r="AH55" s="75">
        <f>+AH32</f>
        <v/>
      </c>
      <c r="AI55" s="75">
        <f>+AI32</f>
        <v/>
      </c>
      <c r="AJ55" s="75">
        <f>+AJ32</f>
        <v/>
      </c>
      <c r="AK55" s="75">
        <f>+AK32</f>
        <v/>
      </c>
      <c r="AL55" s="75">
        <f>+AL32</f>
        <v/>
      </c>
      <c r="AM55" s="75">
        <f>+AM32</f>
        <v/>
      </c>
      <c r="AN55" s="75">
        <f>+AN32</f>
        <v/>
      </c>
      <c r="AO55" s="75">
        <f>+AO32</f>
        <v/>
      </c>
      <c r="AP55" s="75">
        <f>+AP32</f>
        <v/>
      </c>
      <c r="AQ55" s="75">
        <f>+AQ32</f>
        <v/>
      </c>
      <c r="AS55" s="15" t="n"/>
    </row>
    <row r="56">
      <c r="A56" s="23" t="n">
        <v>40268</v>
      </c>
      <c r="B56" s="102" t="n">
        <v>13343.79</v>
      </c>
      <c r="C56" s="31" t="n">
        <v>0.000358496639571185</v>
      </c>
      <c r="D56" s="25" t="n">
        <v>121.8261612651715</v>
      </c>
      <c r="E56" s="25" t="n"/>
      <c r="F56" s="25" t="n"/>
      <c r="AD56" s="52" t="inlineStr">
        <is>
          <t>FIP LIQUIDEZ I</t>
        </is>
      </c>
      <c r="AE56" s="75">
        <f>+AE19</f>
        <v/>
      </c>
      <c r="AF56" s="75">
        <f>+AF19</f>
        <v/>
      </c>
      <c r="AG56" s="75">
        <f>+AG19</f>
        <v/>
      </c>
      <c r="AH56" s="75">
        <f>+AH19</f>
        <v/>
      </c>
      <c r="AI56" s="75">
        <f>+AI19</f>
        <v/>
      </c>
      <c r="AJ56" s="75">
        <f>+AJ19</f>
        <v/>
      </c>
      <c r="AK56" s="75">
        <f>+AK19</f>
        <v/>
      </c>
      <c r="AL56" s="75">
        <f>+AL19</f>
        <v/>
      </c>
      <c r="AM56" s="75">
        <f>+AM19</f>
        <v/>
      </c>
      <c r="AN56" s="75">
        <f>+AN19</f>
        <v/>
      </c>
      <c r="AO56" s="75">
        <f>+AO19</f>
        <v/>
      </c>
      <c r="AP56" s="75">
        <f>+AP19</f>
        <v/>
      </c>
      <c r="AQ56" s="75">
        <f>+AQ19</f>
        <v/>
      </c>
      <c r="AS56" s="15" t="n"/>
    </row>
    <row r="57">
      <c r="A57" s="23" t="n">
        <v>40298</v>
      </c>
      <c r="B57" s="102" t="n">
        <v>13348.63</v>
      </c>
      <c r="C57" s="31" t="n">
        <v>0.0003627155403373994</v>
      </c>
      <c r="D57" s="25" t="n">
        <v>121.870349507082</v>
      </c>
      <c r="E57" s="25" t="n"/>
      <c r="F57" s="25" t="n"/>
      <c r="AC57" s="97" t="n">
        <v>2026</v>
      </c>
      <c r="AD57" s="52" t="inlineStr">
        <is>
          <t>ICP</t>
        </is>
      </c>
      <c r="AE57" s="75">
        <f>+AE9</f>
        <v/>
      </c>
      <c r="AF57" s="75">
        <f>+AF9</f>
        <v/>
      </c>
      <c r="AG57" s="75">
        <f>+AG9</f>
        <v/>
      </c>
      <c r="AH57" s="75">
        <f>+AH9</f>
        <v/>
      </c>
      <c r="AI57" s="75" t="n"/>
      <c r="AJ57" s="75" t="n"/>
      <c r="AK57" s="75" t="n"/>
      <c r="AL57" s="75" t="n"/>
      <c r="AM57" s="75" t="n"/>
      <c r="AN57" s="75" t="n"/>
      <c r="AO57" s="75" t="n"/>
      <c r="AP57" s="75" t="n"/>
      <c r="AQ57" s="75">
        <f>+AQ9</f>
        <v/>
      </c>
      <c r="AS57" s="15" t="n"/>
    </row>
    <row r="58">
      <c r="A58" s="23" t="n">
        <v>40329</v>
      </c>
      <c r="B58" s="102" t="n">
        <v>13353.5</v>
      </c>
      <c r="C58" s="31" t="n">
        <v>0.0003530626907635099</v>
      </c>
      <c r="D58" s="25" t="n">
        <v>121.914811643054</v>
      </c>
      <c r="E58" s="25" t="n"/>
      <c r="F58" s="25" t="n"/>
      <c r="AD58" s="52" t="inlineStr">
        <is>
          <t>Competencia</t>
        </is>
      </c>
      <c r="AE58" s="75">
        <f>+AE33</f>
        <v/>
      </c>
      <c r="AF58" s="75">
        <f>+AF33</f>
        <v/>
      </c>
      <c r="AG58" s="75">
        <f>+AG33</f>
        <v/>
      </c>
      <c r="AH58" s="75">
        <f>+AH33</f>
        <v/>
      </c>
      <c r="AI58" s="75" t="n"/>
      <c r="AJ58" s="75" t="n"/>
      <c r="AK58" s="75" t="n"/>
      <c r="AL58" s="75" t="n"/>
      <c r="AM58" s="75" t="n"/>
      <c r="AN58" s="75" t="n"/>
      <c r="AO58" s="75" t="n"/>
      <c r="AP58" s="75" t="n"/>
      <c r="AQ58" s="75">
        <f>+AQ33</f>
        <v/>
      </c>
      <c r="AS58" s="15" t="n"/>
    </row>
    <row r="59">
      <c r="A59" s="23" t="n">
        <v>40359</v>
      </c>
      <c r="B59" s="102" t="n">
        <v>13360.9</v>
      </c>
      <c r="C59" s="31" t="n">
        <v>0.0005541618302318252</v>
      </c>
      <c r="D59" s="25" t="n">
        <v>121.9823721782064</v>
      </c>
      <c r="E59" s="25" t="n"/>
      <c r="F59" s="25" t="n"/>
      <c r="AD59" s="52" t="inlineStr">
        <is>
          <t>FIP LIQUIDEZ I</t>
        </is>
      </c>
      <c r="AE59" s="75">
        <f>+AE20</f>
        <v/>
      </c>
      <c r="AF59" s="75">
        <f>+AF20</f>
        <v/>
      </c>
      <c r="AG59" s="75">
        <f>+AG20</f>
        <v/>
      </c>
      <c r="AH59" s="75">
        <f>+AH20</f>
        <v/>
      </c>
      <c r="AI59" s="75" t="n"/>
      <c r="AJ59" s="75" t="n"/>
      <c r="AK59" s="75" t="n"/>
      <c r="AL59" s="75" t="n"/>
      <c r="AM59" s="75" t="n"/>
      <c r="AN59" s="75" t="n"/>
      <c r="AO59" s="75" t="n"/>
      <c r="AP59" s="75" t="n"/>
      <c r="AQ59" s="75">
        <f>+AQ20</f>
        <v/>
      </c>
      <c r="AS59" s="48" t="n"/>
    </row>
    <row r="60">
      <c r="A60" s="23" t="n">
        <v>40389</v>
      </c>
      <c r="B60" s="102" t="n">
        <v>13373.99</v>
      </c>
      <c r="C60" s="31" t="n">
        <v>0.0009797244197622401</v>
      </c>
      <c r="D60" s="25" t="n">
        <v>122.1018812870099</v>
      </c>
      <c r="E60" s="25" t="n"/>
      <c r="F60" s="25" t="n"/>
      <c r="AC60" s="97" t="n"/>
      <c r="AD60" s="52" t="n"/>
      <c r="AE60" s="75" t="n"/>
      <c r="AF60" s="75" t="n"/>
      <c r="AG60" s="75" t="n"/>
      <c r="AH60" s="75" t="n"/>
      <c r="AI60" s="75" t="n"/>
      <c r="AJ60" s="75" t="n"/>
      <c r="AK60" s="75" t="n"/>
      <c r="AL60" s="75" t="n"/>
      <c r="AM60" s="75" t="n"/>
      <c r="AN60" s="75" t="n"/>
      <c r="AO60" s="75" t="n"/>
      <c r="AP60" s="75" t="n"/>
      <c r="AQ60" s="75" t="n"/>
      <c r="AS60" s="48" t="n"/>
    </row>
    <row r="61">
      <c r="A61" s="23" t="n">
        <v>40421</v>
      </c>
      <c r="B61" s="102" t="n">
        <v>13395.21</v>
      </c>
      <c r="C61" s="31" t="n">
        <v>0.001487495504333414</v>
      </c>
      <c r="D61" s="25" t="n">
        <v>122.2956156864607</v>
      </c>
      <c r="E61" s="25" t="n"/>
      <c r="F61" s="25" t="n"/>
      <c r="AB61" s="98" t="n"/>
      <c r="AD61" s="23" t="n">
        <v>43008</v>
      </c>
      <c r="AE61" s="63" t="n">
        <v>0.003112100000000062</v>
      </c>
      <c r="AS61" s="48" t="n"/>
    </row>
    <row r="62">
      <c r="A62" s="23" t="n">
        <v>40451</v>
      </c>
      <c r="B62" s="102" t="n">
        <v>13419.79</v>
      </c>
      <c r="C62" s="31" t="n">
        <v>0.001834984296625653</v>
      </c>
      <c r="D62" s="25" t="n">
        <v>122.5200262207915</v>
      </c>
      <c r="E62" s="25" t="n"/>
      <c r="F62" s="25" t="n"/>
      <c r="AB62" s="98" t="n"/>
      <c r="AD62" s="23" t="n">
        <v>43039</v>
      </c>
      <c r="AE62" s="63" t="n">
        <v>0.002663549477348879</v>
      </c>
      <c r="AS62" s="48" t="n"/>
    </row>
    <row r="63">
      <c r="A63" s="23" t="n">
        <v>40480</v>
      </c>
      <c r="B63" s="102" t="n">
        <v>13448.69</v>
      </c>
      <c r="C63" s="31" t="n">
        <v>0.002227795794430209</v>
      </c>
      <c r="D63" s="25" t="n">
        <v>122.7838774999681</v>
      </c>
      <c r="E63" s="25" t="n"/>
      <c r="F63" s="25" t="n"/>
      <c r="AB63" s="98" t="n"/>
      <c r="AD63" s="23" t="n">
        <v>43069</v>
      </c>
      <c r="AE63" s="63" t="n">
        <v>0.002704019294682336</v>
      </c>
      <c r="AS63" s="15" t="n"/>
    </row>
    <row r="64">
      <c r="A64" s="23" t="n">
        <v>40512</v>
      </c>
      <c r="B64" s="102" t="n">
        <v>13483.02</v>
      </c>
      <c r="C64" s="31" t="n">
        <v>0.002393123419455745</v>
      </c>
      <c r="D64" s="25" t="n">
        <v>123.0973036042633</v>
      </c>
      <c r="E64" s="25" t="n"/>
      <c r="F64" s="25" t="n"/>
      <c r="AB64" s="98" t="n"/>
      <c r="AD64" s="23" t="n">
        <v>43100</v>
      </c>
      <c r="AE64" s="63" t="n">
        <v>0.003009654469144453</v>
      </c>
      <c r="AS64" s="15" t="n"/>
    </row>
    <row r="65">
      <c r="A65" s="23" t="n">
        <v>40543</v>
      </c>
      <c r="B65" s="102" t="n">
        <v>13522.93</v>
      </c>
      <c r="C65" s="31" t="n">
        <v>0.002864534847917051</v>
      </c>
      <c r="D65" s="25" t="n">
        <v>123.4616740039842</v>
      </c>
      <c r="E65" s="25" t="n"/>
      <c r="F65" s="25" t="n"/>
      <c r="AB65" s="98" t="n"/>
      <c r="AD65" s="23" t="n">
        <v>43131</v>
      </c>
      <c r="AE65" s="63" t="n">
        <v>0.004737272399342256</v>
      </c>
    </row>
    <row r="66">
      <c r="A66" s="23" t="n">
        <v>40574</v>
      </c>
      <c r="B66" s="102" t="n">
        <v>13557.12</v>
      </c>
      <c r="C66" s="31" t="n">
        <v>0.002446740223767549</v>
      </c>
      <c r="D66" s="25" t="n">
        <v>123.7738219359928</v>
      </c>
      <c r="E66" s="25" t="n"/>
      <c r="F66" s="25" t="n"/>
      <c r="O66" s="98" t="n"/>
      <c r="P66" s="98" t="n"/>
      <c r="Q66" s="98" t="n"/>
      <c r="R66" s="98" t="n"/>
      <c r="S66" s="98" t="n"/>
      <c r="T66" s="98" t="n"/>
      <c r="U66" s="98" t="n"/>
      <c r="V66" s="98" t="n"/>
      <c r="W66" s="98" t="n"/>
      <c r="X66" s="98" t="n"/>
      <c r="Y66" s="98" t="n"/>
      <c r="Z66" s="98" t="n"/>
      <c r="AA66" s="98" t="n"/>
      <c r="AB66" s="98" t="n"/>
      <c r="AD66" s="23" t="n">
        <v>43159</v>
      </c>
      <c r="AE66" s="63" t="n">
        <v>0.003781523019540458</v>
      </c>
    </row>
    <row r="67" customFormat="1" s="98">
      <c r="A67" s="23" t="n">
        <v>40602</v>
      </c>
      <c r="B67" s="102" t="n">
        <v>13592.3</v>
      </c>
      <c r="C67" s="31" t="n">
        <v>0.002780299734962648</v>
      </c>
      <c r="D67" s="25" t="n">
        <v>124.0950083720285</v>
      </c>
      <c r="E67" s="25" t="n"/>
      <c r="F67" s="25" t="n"/>
      <c r="I67" s="99" t="n"/>
      <c r="N67" s="9" t="n"/>
      <c r="AC67" s="9" t="n"/>
      <c r="AD67" s="23" t="n">
        <v>43190</v>
      </c>
      <c r="AE67" s="63" t="n">
        <v>0.003005275119085731</v>
      </c>
      <c r="AF67" s="9" t="n"/>
      <c r="AG67" s="9" t="n"/>
      <c r="AH67" s="9" t="n"/>
      <c r="AI67" s="9" t="n"/>
      <c r="AJ67" s="9" t="n"/>
      <c r="AK67" s="9" t="n"/>
      <c r="AL67" s="9" t="n"/>
      <c r="AM67" s="9" t="n"/>
      <c r="AN67" s="9" t="n"/>
      <c r="AO67" s="9" t="n"/>
      <c r="AP67" s="9" t="n"/>
      <c r="AQ67" s="9" t="n"/>
      <c r="AR67" s="9" t="n"/>
      <c r="AS67" s="9" t="n"/>
      <c r="AT67" s="9" t="n"/>
    </row>
    <row r="68" customFormat="1" s="98">
      <c r="A68" s="23" t="n">
        <v>40633</v>
      </c>
      <c r="B68" s="102" t="n">
        <v>13635.91</v>
      </c>
      <c r="C68" s="31" t="n">
        <v>0.003104936310002802</v>
      </c>
      <c r="D68" s="25" t="n">
        <v>124.4931590393257</v>
      </c>
      <c r="E68" s="25" t="n"/>
      <c r="F68" s="25" t="n"/>
      <c r="I68" s="99" t="n"/>
      <c r="AC68" s="9" t="n"/>
      <c r="AD68" s="23" t="n">
        <v>43220</v>
      </c>
      <c r="AE68" s="63" t="n">
        <v>0.00316130254575997</v>
      </c>
      <c r="AF68" s="9" t="n"/>
      <c r="AG68" s="9" t="n"/>
      <c r="AH68" s="9" t="n"/>
      <c r="AI68" s="9" t="n"/>
      <c r="AJ68" s="9" t="n"/>
      <c r="AK68" s="9" t="n"/>
      <c r="AL68" s="9" t="n"/>
      <c r="AM68" s="9" t="n"/>
      <c r="AN68" s="9" t="n"/>
      <c r="AO68" s="9" t="n"/>
      <c r="AP68" s="9" t="n"/>
      <c r="AQ68" s="9" t="n"/>
      <c r="AS68" s="9" t="n"/>
    </row>
    <row r="69" customFormat="1" s="98">
      <c r="A69" s="23" t="n">
        <v>40662</v>
      </c>
      <c r="B69" s="102" t="n">
        <v>13682.94</v>
      </c>
      <c r="C69" s="31" t="n">
        <v>0.003567911795980739</v>
      </c>
      <c r="D69" s="25" t="n">
        <v>124.9225336296259</v>
      </c>
      <c r="E69" s="25" t="n"/>
      <c r="F69" s="25" t="n"/>
      <c r="I69" s="99" t="n"/>
      <c r="AC69" s="9" t="n"/>
      <c r="AD69" s="23" t="n">
        <v>43251</v>
      </c>
      <c r="AE69" s="63" t="n">
        <v>0.003100678663890142</v>
      </c>
      <c r="AF69" s="9" t="n"/>
      <c r="AG69" s="9" t="n"/>
      <c r="AH69" s="9" t="n"/>
      <c r="AI69" s="9" t="n"/>
      <c r="AJ69" s="9" t="n"/>
      <c r="AK69" s="9" t="n"/>
      <c r="AL69" s="9" t="n"/>
      <c r="AM69" s="9" t="n"/>
      <c r="AN69" s="9" t="n"/>
      <c r="AO69" s="9" t="n"/>
      <c r="AP69" s="9" t="n"/>
      <c r="AQ69" s="9" t="n"/>
      <c r="AS69" s="9" t="n"/>
    </row>
    <row r="70" customFormat="1" s="98">
      <c r="A70" s="23" t="n">
        <v>40694</v>
      </c>
      <c r="B70" s="102" t="n">
        <v>13741.06</v>
      </c>
      <c r="C70" s="31" t="n">
        <v>0.003982148573332886</v>
      </c>
      <c r="D70" s="25" t="n">
        <v>125.4531577246342</v>
      </c>
      <c r="E70" s="25" t="n"/>
      <c r="F70" s="25" t="n"/>
      <c r="I70" s="99" t="n"/>
      <c r="AC70" s="9" t="n"/>
      <c r="AD70" s="23" t="n">
        <v>43281</v>
      </c>
      <c r="AE70" s="63" t="n">
        <v>0.00287709140845549</v>
      </c>
      <c r="AF70" s="9" t="n"/>
      <c r="AG70" s="9" t="n"/>
      <c r="AH70" s="9" t="n"/>
      <c r="AI70" s="9" t="n"/>
      <c r="AJ70" s="9" t="n"/>
      <c r="AK70" s="9" t="n"/>
      <c r="AL70" s="9" t="n"/>
      <c r="AM70" s="9" t="n"/>
      <c r="AN70" s="9" t="n"/>
      <c r="AO70" s="9" t="n"/>
      <c r="AP70" s="9" t="n"/>
      <c r="AQ70" s="9" t="n"/>
      <c r="AS70" s="9" t="n"/>
    </row>
    <row r="71" customFormat="1" s="98">
      <c r="A71" s="23" t="n">
        <v>40724</v>
      </c>
      <c r="B71" s="102" t="n">
        <v>13799.74</v>
      </c>
      <c r="C71" s="31" t="n">
        <v>0.004270412908465637</v>
      </c>
      <c r="D71" s="25" t="n">
        <v>125.9888945087893</v>
      </c>
      <c r="E71" s="25" t="n"/>
      <c r="F71" s="25" t="n"/>
      <c r="I71" s="99" t="n"/>
      <c r="AC71" s="9" t="n"/>
      <c r="AD71" s="23" t="n">
        <v>43312</v>
      </c>
      <c r="AE71" s="63" t="n">
        <v>0.002790254057869121</v>
      </c>
      <c r="AF71" s="9" t="n"/>
      <c r="AG71" s="9" t="n"/>
      <c r="AH71" s="9" t="n"/>
      <c r="AI71" s="9" t="n"/>
      <c r="AJ71" s="9" t="n"/>
      <c r="AK71" s="9" t="n"/>
      <c r="AL71" s="9" t="n"/>
      <c r="AM71" s="9" t="n"/>
      <c r="AN71" s="9" t="n"/>
      <c r="AO71" s="9" t="n"/>
      <c r="AP71" s="9" t="n"/>
      <c r="AQ71" s="9" t="n"/>
      <c r="AS71" s="9" t="n"/>
    </row>
    <row r="72" customFormat="1" s="98">
      <c r="A72" s="23" t="n">
        <v>40753</v>
      </c>
      <c r="B72" s="102" t="n">
        <v>13858.14</v>
      </c>
      <c r="C72" s="31" t="n">
        <v>0.004377893576505593</v>
      </c>
      <c r="D72" s="25" t="n">
        <v>126.522074948371</v>
      </c>
      <c r="E72" s="25" t="n"/>
      <c r="F72" s="25" t="n"/>
      <c r="I72" s="99" t="n"/>
      <c r="AC72" s="9" t="n"/>
      <c r="AD72" s="23" t="n">
        <v>43343</v>
      </c>
      <c r="AE72" s="63" t="n">
        <v>0.002697220022070491</v>
      </c>
      <c r="AS72" s="9" t="n"/>
    </row>
    <row r="73" customFormat="1" s="98">
      <c r="A73" s="23" t="n">
        <v>40786</v>
      </c>
      <c r="B73" s="102" t="n">
        <v>13925.03</v>
      </c>
      <c r="C73" s="31" t="n">
        <v>0.00438796915813318</v>
      </c>
      <c r="D73" s="25" t="n">
        <v>127.1327674073371</v>
      </c>
      <c r="E73" s="25" t="n"/>
      <c r="F73" s="25" t="n"/>
      <c r="I73" s="99" t="n"/>
      <c r="AC73" s="9" t="n"/>
      <c r="AD73" s="23" t="n">
        <v>43373</v>
      </c>
      <c r="AE73" s="63" t="n">
        <v>0.002946786774067123</v>
      </c>
      <c r="AS73" s="9" t="n"/>
    </row>
    <row r="74" customFormat="1" s="98">
      <c r="A74" s="23" t="n">
        <v>40816</v>
      </c>
      <c r="B74" s="102" t="n">
        <v>13985.97</v>
      </c>
      <c r="C74" s="31" t="n">
        <v>0.004376292187521225</v>
      </c>
      <c r="D74" s="25" t="n">
        <v>127.6891375441198</v>
      </c>
      <c r="E74" s="25" t="n"/>
      <c r="F74" s="25" t="n"/>
      <c r="I74" s="99" t="n"/>
      <c r="AC74" s="9" t="n"/>
      <c r="AD74" s="23" t="n">
        <v>43404</v>
      </c>
      <c r="AE74" s="63" t="n">
        <v>0.002734115798128082</v>
      </c>
      <c r="AS74" s="9" t="n"/>
    </row>
    <row r="75" customFormat="1" s="98">
      <c r="A75" s="23" t="n">
        <v>40847</v>
      </c>
      <c r="B75" s="102" t="n">
        <v>14043.21</v>
      </c>
      <c r="C75" s="31" t="n">
        <v>0.003960651165925252</v>
      </c>
      <c r="D75" s="25" t="n">
        <v>128.2117274133262</v>
      </c>
      <c r="E75" s="25" t="n"/>
      <c r="F75" s="25" t="n"/>
      <c r="I75" s="99" t="n"/>
      <c r="AC75" s="9" t="n"/>
      <c r="AD75" s="23" t="n">
        <v>43434</v>
      </c>
      <c r="AE75" s="63" t="n">
        <v>0.002844092886551852</v>
      </c>
      <c r="AS75" s="9" t="n"/>
    </row>
    <row r="76" customFormat="1" s="98">
      <c r="A76" s="23" t="n">
        <v>40877</v>
      </c>
      <c r="B76" s="102" t="n">
        <v>14110.87</v>
      </c>
      <c r="C76" s="31" t="n">
        <v>0.004817986770830895</v>
      </c>
      <c r="D76" s="25" t="n">
        <v>128.829449819869</v>
      </c>
      <c r="E76" s="25" t="n"/>
      <c r="F76" s="25" t="n"/>
      <c r="I76" s="99" t="n"/>
      <c r="AD76" s="23" t="n">
        <v>43465</v>
      </c>
      <c r="AE76" s="63" t="n">
        <v>0.002626598915806536</v>
      </c>
      <c r="AS76" s="9" t="n"/>
    </row>
    <row r="77" customFormat="1" s="98">
      <c r="A77" s="23" t="n">
        <v>40907</v>
      </c>
      <c r="B77" s="102" t="n">
        <v>14172.63</v>
      </c>
      <c r="C77" s="31" t="n">
        <v>0.004376767697526596</v>
      </c>
      <c r="D77" s="25" t="n">
        <v>129.3933063943308</v>
      </c>
      <c r="E77" s="25" t="n"/>
      <c r="F77" s="25" t="n"/>
      <c r="I77" s="99" t="n"/>
      <c r="AD77" s="23" t="n">
        <v>43496</v>
      </c>
      <c r="AE77" s="63" t="n">
        <v>0.002814303282289405</v>
      </c>
      <c r="AS77" s="9" t="n"/>
    </row>
    <row r="78" customFormat="1" s="98">
      <c r="A78" s="23" t="n">
        <v>40939</v>
      </c>
      <c r="B78" s="102" t="n">
        <v>14236.38</v>
      </c>
      <c r="C78" s="31" t="n">
        <v>0.004216974901623746</v>
      </c>
      <c r="D78" s="25" t="n">
        <v>129.9753312748673</v>
      </c>
      <c r="E78" s="25" t="n"/>
      <c r="F78" s="25" t="n"/>
      <c r="I78" s="99" t="n"/>
      <c r="AD78" s="23" t="n">
        <v>43524</v>
      </c>
      <c r="AE78" s="63" t="n">
        <v>0.002823606386871957</v>
      </c>
      <c r="AS78" s="9" t="n"/>
    </row>
    <row r="79" customFormat="1" s="98">
      <c r="A79" s="23" t="n">
        <v>40968</v>
      </c>
      <c r="B79" s="102" t="n">
        <v>14293.67</v>
      </c>
      <c r="C79" s="31" t="n">
        <v>0.004162962581876934</v>
      </c>
      <c r="D79" s="25" t="n">
        <v>130.4983776341761</v>
      </c>
      <c r="E79" s="25" t="n"/>
      <c r="F79" s="25" t="n"/>
      <c r="I79" s="99" t="n"/>
      <c r="AD79" s="23" t="n">
        <v>43555</v>
      </c>
      <c r="AE79" s="63" t="n">
        <v>0.002865362794038821</v>
      </c>
      <c r="AS79" s="9" t="n"/>
    </row>
    <row r="80" customFormat="1" s="98">
      <c r="A80" s="23" t="n">
        <v>40998</v>
      </c>
      <c r="B80" s="102" t="n">
        <v>14353.34</v>
      </c>
      <c r="C80" s="31" t="n">
        <v>0.004174575179082707</v>
      </c>
      <c r="D80" s="25" t="n">
        <v>131.0431529223584</v>
      </c>
      <c r="E80" s="25" t="n"/>
      <c r="F80" s="25" t="n"/>
      <c r="I80" s="99" t="n"/>
      <c r="AD80" s="23" t="n">
        <v>43585</v>
      </c>
      <c r="AE80" s="63" t="n">
        <v>0.002932409051613627</v>
      </c>
    </row>
    <row r="81" customFormat="1" s="98">
      <c r="A81" s="23" t="n">
        <v>41029</v>
      </c>
      <c r="B81" s="102" t="n">
        <v>14415.21</v>
      </c>
      <c r="C81" s="31" t="n">
        <v>0.004171446753744232</v>
      </c>
      <c r="D81" s="25" t="n">
        <v>131.6080137750453</v>
      </c>
      <c r="E81" s="25" t="n"/>
      <c r="F81" s="25" t="n"/>
      <c r="I81" s="99" t="n"/>
    </row>
    <row r="82" customFormat="1" s="98">
      <c r="A82" s="23" t="n">
        <v>41060</v>
      </c>
      <c r="B82" s="102" t="n">
        <v>14477.55</v>
      </c>
      <c r="C82" s="31" t="n">
        <v>0.004185095621781738</v>
      </c>
      <c r="D82" s="25" t="n">
        <v>132.1771656346947</v>
      </c>
      <c r="E82" s="25" t="n"/>
      <c r="F82" s="25" t="n"/>
      <c r="I82" s="99" t="n"/>
    </row>
    <row r="83" customFormat="1" s="98">
      <c r="A83" s="23" t="n">
        <v>41089</v>
      </c>
      <c r="B83" s="102" t="n">
        <v>14536.13</v>
      </c>
      <c r="C83" s="31" t="n">
        <v>0.004185791104157736</v>
      </c>
      <c r="D83" s="25" t="n">
        <v>132.711989438645</v>
      </c>
      <c r="E83" s="25" t="n"/>
      <c r="F83" s="25" t="n"/>
      <c r="I83" s="99" t="n"/>
    </row>
    <row r="84" customFormat="1" s="98">
      <c r="A84" s="23" t="n">
        <v>41121</v>
      </c>
      <c r="B84" s="102" t="n">
        <v>14600.61</v>
      </c>
      <c r="C84" s="31" t="n">
        <v>0.004158603424707988</v>
      </c>
      <c r="D84" s="25" t="n">
        <v>133.3006790746763</v>
      </c>
      <c r="E84" s="25" t="n"/>
      <c r="F84" s="25" t="n"/>
      <c r="I84" s="99" t="n"/>
    </row>
    <row r="85" customFormat="1" s="98">
      <c r="A85" s="23" t="n">
        <v>41152</v>
      </c>
      <c r="B85" s="102" t="n">
        <v>14663.33</v>
      </c>
      <c r="C85" s="31" t="n">
        <v>0.004157139612218103</v>
      </c>
      <c r="D85" s="25" t="n">
        <v>133.8733002591038</v>
      </c>
      <c r="E85" s="25" t="n"/>
      <c r="F85" s="25" t="n"/>
      <c r="I85" s="99" t="n"/>
    </row>
    <row r="86" customFormat="1" s="98">
      <c r="A86" s="23" t="n">
        <v>41180</v>
      </c>
      <c r="B86" s="102" t="n">
        <v>14720.68</v>
      </c>
      <c r="C86" s="31" t="n">
        <v>0.004190482555560696</v>
      </c>
      <c r="D86" s="25" t="n">
        <v>134.3968944065355</v>
      </c>
      <c r="E86" s="25" t="n"/>
      <c r="F86" s="25" t="n"/>
      <c r="I86" s="99" t="n"/>
    </row>
    <row r="87" customFormat="1" s="98">
      <c r="A87" s="23" t="n">
        <v>41213</v>
      </c>
      <c r="B87" s="102" t="n">
        <v>14788.56</v>
      </c>
      <c r="C87" s="31" t="n">
        <v>0.004192000023714196</v>
      </c>
      <c r="D87" s="25" t="n">
        <v>135.0166253695288</v>
      </c>
      <c r="E87" s="25" t="n"/>
      <c r="F87" s="25" t="n"/>
      <c r="I87" s="99" t="n"/>
    </row>
    <row r="88" customFormat="1" s="98">
      <c r="A88" s="23" t="n">
        <v>41243</v>
      </c>
      <c r="B88" s="102" t="n">
        <v>14850.38</v>
      </c>
      <c r="C88" s="31" t="n">
        <v>0.004180258253677183</v>
      </c>
      <c r="D88" s="25" t="n">
        <v>135.5810297321133</v>
      </c>
      <c r="E88" s="25" t="n"/>
      <c r="F88" s="25" t="n"/>
      <c r="I88" s="99" t="n"/>
    </row>
    <row r="89" customFormat="1" s="98">
      <c r="A89" s="23" t="n">
        <v>41274</v>
      </c>
      <c r="B89" s="102" t="n">
        <v>14908.2</v>
      </c>
      <c r="C89" s="31" t="n">
        <v>0.003767906188910832</v>
      </c>
      <c r="D89" s="25" t="n">
        <v>136.1089148865074</v>
      </c>
      <c r="E89" s="25" t="n"/>
      <c r="F89" s="25" t="n"/>
      <c r="I89" s="99" t="n"/>
    </row>
    <row r="90" customFormat="1" s="98">
      <c r="A90" s="23" t="n">
        <v>41305</v>
      </c>
      <c r="B90" s="102" t="n">
        <v>14978.58</v>
      </c>
      <c r="C90" s="31" t="n">
        <v>0.004568605024037456</v>
      </c>
      <c r="D90" s="25" t="n">
        <v>136.7514703546198</v>
      </c>
      <c r="E90" s="25" t="n"/>
      <c r="F90" s="25" t="n"/>
      <c r="I90" s="99" t="n"/>
    </row>
    <row r="91" customFormat="1" s="98">
      <c r="A91" s="23" t="n">
        <v>41333</v>
      </c>
      <c r="B91" s="102" t="n">
        <v>15036.94</v>
      </c>
      <c r="C91" s="31" t="n">
        <v>0.004174532661211611</v>
      </c>
      <c r="D91" s="25" t="n">
        <v>137.2842856021196</v>
      </c>
      <c r="E91" s="25" t="n"/>
      <c r="F91" s="25" t="n"/>
      <c r="I91" s="99" t="n"/>
    </row>
    <row r="92" customFormat="1" s="98">
      <c r="A92" s="23" t="n">
        <v>41362</v>
      </c>
      <c r="B92" s="102" t="n">
        <v>15095.51</v>
      </c>
      <c r="C92" s="31" t="n">
        <v>0.004029387307019589</v>
      </c>
      <c r="D92" s="25" t="n">
        <v>137.8190181080494</v>
      </c>
      <c r="E92" s="25" t="n"/>
      <c r="F92" s="25" t="n"/>
      <c r="I92" s="99" t="n"/>
    </row>
    <row r="93" customFormat="1" s="98">
      <c r="A93" s="23" t="n">
        <v>41394</v>
      </c>
      <c r="B93" s="102" t="n">
        <v>15164.77</v>
      </c>
      <c r="C93" s="31" t="n">
        <v>0.004301361795659847</v>
      </c>
      <c r="D93" s="25" t="n">
        <v>138.4513481978684</v>
      </c>
      <c r="E93" s="25" t="n"/>
      <c r="F93" s="25" t="n"/>
      <c r="I93" s="99" t="n"/>
    </row>
    <row r="94" customFormat="1" s="98">
      <c r="A94" s="23" t="n">
        <v>41425</v>
      </c>
      <c r="B94" s="102" t="n">
        <v>15230.38</v>
      </c>
      <c r="C94" s="31" t="n">
        <v>0.004186911399717705</v>
      </c>
      <c r="D94" s="25" t="n">
        <v>139.0503545102135</v>
      </c>
      <c r="E94" s="25" t="n"/>
      <c r="F94" s="25" t="n"/>
      <c r="I94" s="99" t="n"/>
    </row>
    <row r="95" customFormat="1" s="98">
      <c r="A95" s="23" t="n">
        <v>41453</v>
      </c>
      <c r="B95" s="102" t="n">
        <v>15289.74</v>
      </c>
      <c r="C95" s="31" t="n">
        <v>0.004175864292289635</v>
      </c>
      <c r="D95" s="25" t="n">
        <v>139.592299559761</v>
      </c>
      <c r="E95" s="25" t="n"/>
      <c r="F95" s="25" t="n"/>
      <c r="I95" s="99" t="n"/>
    </row>
    <row r="96" customFormat="1" s="98">
      <c r="A96" s="23" t="n">
        <v>41486</v>
      </c>
      <c r="B96" s="102" t="n">
        <v>15360.27</v>
      </c>
      <c r="C96" s="31" t="n">
        <v>0.004193542978375204</v>
      </c>
      <c r="D96" s="25" t="n">
        <v>140.2362244981805</v>
      </c>
      <c r="E96" s="25" t="n"/>
      <c r="F96" s="25" t="n"/>
      <c r="I96" s="99" t="n"/>
    </row>
    <row r="97" customFormat="1" s="98">
      <c r="A97" s="23" t="n">
        <v>41516</v>
      </c>
      <c r="B97" s="102" t="n">
        <v>15424.43</v>
      </c>
      <c r="C97" s="31" t="n">
        <v>0.004177009909331009</v>
      </c>
      <c r="D97" s="25" t="n">
        <v>140.8219925975565</v>
      </c>
      <c r="E97" s="25" t="n"/>
      <c r="F97" s="25" t="n"/>
      <c r="I97" s="99" t="n"/>
    </row>
    <row r="98" customFormat="1" s="98">
      <c r="A98" s="23" t="n">
        <v>41547</v>
      </c>
      <c r="B98" s="102" t="n">
        <v>15490.99</v>
      </c>
      <c r="C98" s="31" t="n">
        <v>0.004176031349346739</v>
      </c>
      <c r="D98" s="25" t="n">
        <v>141.4296722218469</v>
      </c>
      <c r="E98" s="25" t="n"/>
      <c r="F98" s="25" t="n"/>
      <c r="I98" s="99" t="n"/>
    </row>
    <row r="99" customFormat="1" s="98">
      <c r="A99" s="23" t="n">
        <v>41578</v>
      </c>
      <c r="B99" s="102" t="n">
        <v>15554.36</v>
      </c>
      <c r="C99" s="31" t="n">
        <v>0.003958804856991985</v>
      </c>
      <c r="D99" s="25" t="n">
        <v>142.0082277776053</v>
      </c>
      <c r="E99" s="25" t="n"/>
      <c r="F99" s="25" t="n"/>
      <c r="I99" s="99" t="n"/>
    </row>
    <row r="100" customFormat="1" s="98">
      <c r="A100" s="23" t="n">
        <v>41607</v>
      </c>
      <c r="B100" s="102" t="n">
        <v>15615.06</v>
      </c>
      <c r="C100" s="31" t="n">
        <v>0.004037009780426537</v>
      </c>
      <c r="D100" s="25" t="n">
        <v>142.5624067618966</v>
      </c>
      <c r="E100" s="25" t="n"/>
      <c r="F100" s="25" t="n"/>
      <c r="I100" s="99" t="n"/>
    </row>
    <row r="101" customFormat="1" s="98">
      <c r="A101" s="23" t="n">
        <v>41639</v>
      </c>
      <c r="B101" s="102" t="n">
        <v>15675.68</v>
      </c>
      <c r="C101" s="31" t="n">
        <v>0.003639515314062189</v>
      </c>
      <c r="D101" s="25" t="n">
        <v>143.115855362024</v>
      </c>
      <c r="E101" s="25" t="n"/>
      <c r="F101" s="25" t="n"/>
      <c r="I101" s="99" t="n"/>
    </row>
    <row r="102" customFormat="1" s="98">
      <c r="A102" s="23" t="n">
        <v>41670</v>
      </c>
      <c r="B102" s="102" t="n">
        <v>15738.45</v>
      </c>
      <c r="C102" s="31" t="n">
        <v>0.003875121289176904</v>
      </c>
      <c r="D102" s="25" t="n">
        <v>143.6889330365539</v>
      </c>
      <c r="E102" s="25" t="n"/>
      <c r="F102" s="25" t="n"/>
      <c r="I102" s="99" t="n"/>
    </row>
    <row r="103" customFormat="1" s="98">
      <c r="A103" s="23" t="n">
        <v>41698</v>
      </c>
      <c r="B103" s="102" t="n">
        <v>15792.47</v>
      </c>
      <c r="C103" s="31" t="n">
        <v>0.003677526784948228</v>
      </c>
      <c r="D103" s="25" t="n">
        <v>144.182124943167</v>
      </c>
      <c r="E103" s="25" t="n"/>
      <c r="F103" s="25" t="n"/>
      <c r="I103" s="99" t="n"/>
    </row>
    <row r="104" customFormat="1" s="98">
      <c r="A104" s="23" t="n">
        <v>41729</v>
      </c>
      <c r="B104" s="102" t="n">
        <v>15848.53</v>
      </c>
      <c r="C104" s="31" t="n">
        <v>0.003435283581556823</v>
      </c>
      <c r="D104" s="25" t="n">
        <v>144.6939416459572</v>
      </c>
      <c r="E104" s="25" t="n"/>
      <c r="F104" s="25" t="n"/>
      <c r="I104" s="99" t="n"/>
    </row>
    <row r="105" customFormat="1" s="98">
      <c r="A105" s="23" t="n">
        <v>41759</v>
      </c>
      <c r="B105" s="102" t="n">
        <v>15901.43</v>
      </c>
      <c r="C105" s="31" t="n">
        <v>0.003337848999244608</v>
      </c>
      <c r="D105" s="25" t="n">
        <v>145.176908174277</v>
      </c>
      <c r="E105" s="25" t="n"/>
      <c r="F105" s="25" t="n"/>
      <c r="I105" s="99" t="n"/>
    </row>
    <row r="106" customFormat="1" s="98">
      <c r="A106" s="23" t="n">
        <v>41789</v>
      </c>
      <c r="B106" s="102" t="n">
        <v>15954.5</v>
      </c>
      <c r="C106" s="31" t="n">
        <v>0.003337435689746204</v>
      </c>
      <c r="D106" s="25" t="n">
        <v>145.6614267689448</v>
      </c>
      <c r="E106" s="25" t="n"/>
      <c r="F106" s="25" t="n"/>
      <c r="I106" s="99" t="n"/>
    </row>
    <row r="107" customFormat="1" s="98">
      <c r="A107" s="23" t="n">
        <v>41820</v>
      </c>
      <c r="B107" s="102" t="n">
        <v>16009.53</v>
      </c>
      <c r="C107" s="31" t="n">
        <v>0.003337919628297916</v>
      </c>
      <c r="D107" s="25" t="n">
        <v>146.163839775626</v>
      </c>
      <c r="E107" s="25" t="n"/>
      <c r="F107" s="25" t="n"/>
      <c r="I107" s="99" t="n"/>
    </row>
    <row r="108" customFormat="1" s="98">
      <c r="A108" s="23" t="n">
        <v>41851</v>
      </c>
      <c r="B108" s="102" t="n">
        <v>16063.18</v>
      </c>
      <c r="C108" s="31" t="n">
        <v>0.003243028048837818</v>
      </c>
      <c r="D108" s="25" t="n">
        <v>146.6536536554814</v>
      </c>
      <c r="E108" s="25" t="n"/>
      <c r="F108" s="25" t="n"/>
      <c r="I108" s="99" t="n"/>
    </row>
    <row r="109" customFormat="1" s="98">
      <c r="A109" s="23" t="n">
        <v>41880</v>
      </c>
      <c r="B109" s="102" t="n">
        <v>16110.55</v>
      </c>
      <c r="C109" s="31" t="n">
        <v>0.003050669187288109</v>
      </c>
      <c r="D109" s="25" t="n">
        <v>147.0861323784778</v>
      </c>
      <c r="E109" s="25" t="n"/>
      <c r="F109" s="25" t="n"/>
      <c r="I109" s="99" t="n"/>
      <c r="AB109" s="9" t="n"/>
    </row>
    <row r="110" customFormat="1" s="98">
      <c r="A110" s="23" t="n">
        <v>41912</v>
      </c>
      <c r="B110" s="102" t="n">
        <v>16158.37</v>
      </c>
      <c r="C110" s="31" t="n">
        <v>0.002782726225982399</v>
      </c>
      <c r="D110" s="25" t="n">
        <v>147.5227195123956</v>
      </c>
      <c r="E110" s="25" t="n"/>
      <c r="F110" s="25" t="n"/>
      <c r="I110" s="99" t="n"/>
      <c r="AB110" s="9" t="n"/>
    </row>
    <row r="111" customFormat="1" s="98">
      <c r="A111" s="23" t="n">
        <v>41943</v>
      </c>
      <c r="B111" s="102" t="n">
        <v>16200.86</v>
      </c>
      <c r="C111" s="31" t="n">
        <v>0.002544771213848362</v>
      </c>
      <c r="D111" s="25" t="n">
        <v>147.9106448013994</v>
      </c>
      <c r="E111" s="25" t="n"/>
      <c r="F111" s="25" t="n"/>
      <c r="I111" s="99" t="n"/>
      <c r="AB111" s="9" t="n"/>
    </row>
    <row r="112" customFormat="1" s="98">
      <c r="A112" s="23" t="n">
        <v>41971</v>
      </c>
      <c r="B112" s="102" t="n">
        <v>16240.11</v>
      </c>
      <c r="C112" s="31" t="n">
        <v>0.002595761671205787</v>
      </c>
      <c r="D112" s="25" t="n">
        <v>148.268989531769</v>
      </c>
      <c r="E112" s="25" t="n"/>
      <c r="F112" s="25" t="n"/>
      <c r="I112" s="99" t="n"/>
      <c r="AB112" s="9" t="n"/>
    </row>
    <row r="113" customFormat="1" s="98">
      <c r="A113" s="23" t="n">
        <v>42004</v>
      </c>
      <c r="B113" s="102" t="n">
        <v>16283.49</v>
      </c>
      <c r="C113" s="31" t="n">
        <v>0.002428331066499039</v>
      </c>
      <c r="D113" s="25" t="n">
        <v>148.6650403445952</v>
      </c>
      <c r="E113" s="25" t="n"/>
      <c r="F113" s="25" t="n"/>
      <c r="I113" s="99" t="n"/>
      <c r="AB113" s="9" t="n"/>
    </row>
    <row r="114" customFormat="1" s="98">
      <c r="A114" s="23" t="n">
        <v>42034</v>
      </c>
      <c r="B114" s="102" t="n">
        <v>16325.65</v>
      </c>
      <c r="C114" s="31" t="n">
        <v>0.002589125549866678</v>
      </c>
      <c r="D114" s="25" t="n">
        <v>149.0499527989234</v>
      </c>
      <c r="E114" s="25" t="n"/>
      <c r="F114" s="25" t="n"/>
      <c r="I114" s="99" t="n"/>
      <c r="O114" s="9" t="n"/>
      <c r="P114" s="9" t="n"/>
      <c r="Q114" s="9" t="n"/>
      <c r="R114" s="9" t="n"/>
      <c r="S114" s="9" t="n"/>
      <c r="T114" s="9" t="n"/>
      <c r="U114" s="9" t="n"/>
      <c r="V114" s="9" t="n"/>
      <c r="W114" s="9" t="n"/>
      <c r="X114" s="9" t="n"/>
      <c r="Y114" s="9" t="n"/>
      <c r="Z114" s="9" t="n"/>
      <c r="AA114" s="9" t="n"/>
      <c r="AB114" s="9" t="n"/>
    </row>
    <row r="115">
      <c r="A115" s="23" t="n">
        <v>42062</v>
      </c>
      <c r="B115" s="102" t="n">
        <v>16363.77</v>
      </c>
      <c r="C115" s="31" t="n">
        <v>0.00250175993867666</v>
      </c>
      <c r="D115" s="25" t="n">
        <v>149.3979808529791</v>
      </c>
      <c r="E115" s="25" t="n"/>
      <c r="F115" s="25" t="n"/>
      <c r="N115" s="98" t="n"/>
      <c r="AC115" s="98" t="n"/>
      <c r="AD115" s="98" t="n"/>
      <c r="AE115" s="98" t="n"/>
      <c r="AF115" s="98" t="n"/>
      <c r="AG115" s="98" t="n"/>
      <c r="AH115" s="98" t="n"/>
      <c r="AI115" s="98" t="n"/>
      <c r="AJ115" s="98" t="n"/>
      <c r="AK115" s="98" t="n"/>
      <c r="AL115" s="98" t="n"/>
      <c r="AM115" s="98" t="n"/>
      <c r="AN115" s="98" t="n"/>
      <c r="AO115" s="98" t="n"/>
      <c r="AP115" s="98" t="n"/>
      <c r="AQ115" s="98" t="n"/>
      <c r="AR115" s="98" t="n"/>
      <c r="AS115" s="98" t="n"/>
      <c r="AT115" s="98" t="n"/>
    </row>
    <row r="116">
      <c r="A116" s="23" t="n">
        <v>42094</v>
      </c>
      <c r="B116" s="102" t="n">
        <v>16407.49</v>
      </c>
      <c r="C116" s="31" t="n">
        <v>0.002504771211035151</v>
      </c>
      <c r="D116" s="25" t="n">
        <v>149.7971357985016</v>
      </c>
      <c r="E116" s="25" t="n"/>
      <c r="F116" s="25" t="n"/>
      <c r="AC116" s="98" t="n"/>
      <c r="AD116" s="98" t="n"/>
      <c r="AE116" s="98" t="n"/>
      <c r="AF116" s="98" t="n"/>
      <c r="AG116" s="98" t="n"/>
      <c r="AH116" s="98" t="n"/>
      <c r="AI116" s="98" t="n"/>
      <c r="AJ116" s="98" t="n"/>
      <c r="AK116" s="98" t="n"/>
      <c r="AL116" s="98" t="n"/>
      <c r="AM116" s="98" t="n"/>
      <c r="AN116" s="98" t="n"/>
      <c r="AO116" s="98" t="n"/>
      <c r="AP116" s="98" t="n"/>
      <c r="AQ116" s="98" t="n"/>
      <c r="AS116" s="98" t="n"/>
    </row>
    <row r="117">
      <c r="A117" s="23" t="n">
        <v>42124</v>
      </c>
      <c r="B117" s="102" t="n">
        <v>16448.59</v>
      </c>
      <c r="C117" s="31" t="n">
        <v>0.002504953530369169</v>
      </c>
      <c r="D117" s="25" t="n">
        <v>150.1723706626593</v>
      </c>
      <c r="E117" s="25" t="n"/>
      <c r="F117" s="25" t="n"/>
      <c r="AC117" s="98" t="n"/>
      <c r="AD117" s="98" t="n"/>
      <c r="AE117" s="98" t="n"/>
      <c r="AF117" s="98" t="n"/>
      <c r="AG117" s="98" t="n"/>
      <c r="AH117" s="98" t="n"/>
      <c r="AI117" s="98" t="n"/>
      <c r="AJ117" s="98" t="n"/>
      <c r="AK117" s="98" t="n"/>
      <c r="AL117" s="98" t="n"/>
      <c r="AM117" s="98" t="n"/>
      <c r="AN117" s="98" t="n"/>
      <c r="AO117" s="98" t="n"/>
      <c r="AP117" s="98" t="n"/>
      <c r="AQ117" s="98" t="n"/>
      <c r="AS117" s="98" t="n"/>
    </row>
    <row r="118">
      <c r="A118" s="23" t="n">
        <v>42153</v>
      </c>
      <c r="B118" s="102" t="n">
        <v>16488.37</v>
      </c>
      <c r="C118" s="31" t="n">
        <v>0.002501839010999184</v>
      </c>
      <c r="D118" s="25" t="n">
        <v>150.5355541881141</v>
      </c>
      <c r="E118" s="25" t="n"/>
      <c r="F118" s="25" t="n"/>
      <c r="AC118" s="98" t="n"/>
      <c r="AD118" s="98" t="n"/>
      <c r="AE118" s="98" t="n"/>
      <c r="AF118" s="98" t="n"/>
      <c r="AG118" s="98" t="n"/>
      <c r="AH118" s="98" t="n"/>
      <c r="AI118" s="98" t="n"/>
      <c r="AJ118" s="98" t="n"/>
      <c r="AK118" s="98" t="n"/>
      <c r="AL118" s="98" t="n"/>
      <c r="AM118" s="98" t="n"/>
      <c r="AN118" s="98" t="n"/>
      <c r="AO118" s="98" t="n"/>
      <c r="AP118" s="98" t="n"/>
      <c r="AQ118" s="98" t="n"/>
      <c r="AS118" s="98" t="n"/>
    </row>
    <row r="119">
      <c r="A119" s="23" t="n">
        <v>42185</v>
      </c>
      <c r="B119" s="102" t="n">
        <v>16532.38</v>
      </c>
      <c r="C119" s="31" t="n">
        <v>0.002502331946699424</v>
      </c>
      <c r="D119" s="25" t="n">
        <v>150.9373567762304</v>
      </c>
      <c r="E119" s="25" t="n"/>
      <c r="F119" s="25" t="n"/>
      <c r="AC119" s="98" t="n"/>
      <c r="AD119" s="98" t="n"/>
      <c r="AE119" s="98" t="n"/>
      <c r="AF119" s="98" t="n"/>
      <c r="AG119" s="98" t="n"/>
      <c r="AH119" s="98" t="n"/>
      <c r="AI119" s="98" t="n"/>
      <c r="AJ119" s="98" t="n"/>
      <c r="AK119" s="98" t="n"/>
      <c r="AL119" s="98" t="n"/>
      <c r="AM119" s="98" t="n"/>
      <c r="AN119" s="98" t="n"/>
      <c r="AO119" s="98" t="n"/>
      <c r="AP119" s="98" t="n"/>
      <c r="AQ119" s="98" t="n"/>
      <c r="AS119" s="98" t="n"/>
    </row>
    <row r="120">
      <c r="A120" s="23" t="n">
        <v>42216</v>
      </c>
      <c r="B120" s="102" t="n">
        <v>16575.11</v>
      </c>
      <c r="C120" s="31" t="n">
        <v>0.002501249844440248</v>
      </c>
      <c r="D120" s="25" t="n">
        <v>151.3274732177257</v>
      </c>
      <c r="E120" s="25" t="n"/>
      <c r="F120" s="25" t="n"/>
      <c r="AC120" s="98" t="n"/>
      <c r="AS120" s="98" t="n"/>
    </row>
    <row r="121">
      <c r="A121" s="23" t="n">
        <v>42247</v>
      </c>
      <c r="B121" s="102" t="n">
        <v>16617.94</v>
      </c>
      <c r="C121" s="31" t="n">
        <v>0.002500640242916794</v>
      </c>
      <c r="D121" s="25" t="n">
        <v>151.7185026394258</v>
      </c>
      <c r="E121" s="25" t="n"/>
      <c r="F121" s="25" t="n"/>
      <c r="AC121" s="98" t="n"/>
      <c r="AS121" s="98" t="n"/>
    </row>
    <row r="122">
      <c r="A122" s="23" t="n">
        <v>42277</v>
      </c>
      <c r="B122" s="102" t="n">
        <v>16659.58</v>
      </c>
      <c r="C122" s="31" t="n">
        <v>0.002505725739772924</v>
      </c>
      <c r="D122" s="25" t="n">
        <v>152.0986675966892</v>
      </c>
      <c r="E122" s="25" t="n"/>
      <c r="F122" s="25" t="n"/>
      <c r="AC122" s="98" t="n"/>
      <c r="AS122" s="98" t="n"/>
    </row>
    <row r="123">
      <c r="A123" s="23" t="n">
        <v>42307</v>
      </c>
      <c r="B123" s="102" t="n">
        <v>16702.94</v>
      </c>
      <c r="C123" s="31" t="n">
        <v>0.002602706670876254</v>
      </c>
      <c r="D123" s="25" t="n">
        <v>152.4945358134745</v>
      </c>
      <c r="E123" s="25" t="n"/>
      <c r="F123" s="25" t="n"/>
      <c r="AC123" s="98" t="n"/>
      <c r="AS123" s="98" t="n"/>
    </row>
    <row r="124">
      <c r="A124" s="23" t="n">
        <v>42338</v>
      </c>
      <c r="B124" s="102" t="n">
        <v>16749.75</v>
      </c>
      <c r="C124" s="31" t="n">
        <v>0.002712097391237853</v>
      </c>
      <c r="D124" s="25" t="n">
        <v>152.9219018473241</v>
      </c>
      <c r="E124" s="25" t="n"/>
      <c r="F124" s="23" t="n"/>
      <c r="AS124" s="98" t="n"/>
    </row>
    <row r="125">
      <c r="A125" s="23" t="n">
        <v>42369</v>
      </c>
      <c r="B125" s="102" t="n">
        <v>16796.52</v>
      </c>
      <c r="C125" s="31" t="n">
        <v>0.00270220691786938</v>
      </c>
      <c r="D125" s="25" t="n">
        <v>153.3489026890919</v>
      </c>
      <c r="E125" s="25" t="n"/>
      <c r="F125" s="23" t="n">
        <v>42369</v>
      </c>
      <c r="K125" s="98" t="n"/>
      <c r="AS125" s="98" t="n"/>
    </row>
    <row r="126">
      <c r="A126" s="23" t="n">
        <v>42398</v>
      </c>
      <c r="B126" s="102" t="n">
        <v>16845.59</v>
      </c>
      <c r="C126" s="31" t="n">
        <v>0.003022177746671209</v>
      </c>
      <c r="D126" s="25" t="n">
        <v>153.7969020755692</v>
      </c>
      <c r="E126" s="25" t="n"/>
      <c r="F126" s="23" t="n">
        <v>42400</v>
      </c>
      <c r="K126" s="98" t="n"/>
      <c r="AS126" s="98" t="n"/>
    </row>
    <row r="127">
      <c r="A127" s="23" t="n">
        <v>42429</v>
      </c>
      <c r="B127" s="102" t="n">
        <v>16896.43</v>
      </c>
      <c r="C127" s="31" t="n">
        <v>0.002920645700150643</v>
      </c>
      <c r="D127" s="25" t="n">
        <v>154.2610612116708</v>
      </c>
      <c r="E127" s="25" t="n"/>
      <c r="F127" s="23" t="n">
        <v>42428</v>
      </c>
      <c r="K127" s="98" t="n"/>
      <c r="AS127" s="98" t="n"/>
    </row>
    <row r="128">
      <c r="A128" s="23" t="n">
        <v>42460</v>
      </c>
      <c r="B128" s="102" t="n">
        <v>16947.43</v>
      </c>
      <c r="C128" s="31" t="n">
        <v>0.002921021701606635</v>
      </c>
      <c r="D128" s="25" t="n">
        <v>154.7266811161001</v>
      </c>
      <c r="E128" s="25" t="n"/>
      <c r="F128" s="23" t="n">
        <v>42460</v>
      </c>
      <c r="K128" s="98" t="n"/>
    </row>
    <row r="129">
      <c r="A129" s="23" t="n">
        <v>42489</v>
      </c>
      <c r="B129" s="102" t="n">
        <v>16995.27</v>
      </c>
      <c r="C129" s="31" t="n">
        <v>0.002920186433719699</v>
      </c>
      <c r="D129" s="25" t="n">
        <v>155.1634508460588</v>
      </c>
      <c r="F129" s="23" t="n">
        <v>42490</v>
      </c>
      <c r="K129" s="98" t="n"/>
    </row>
    <row r="130">
      <c r="A130" s="23" t="n">
        <v>42521</v>
      </c>
      <c r="B130" s="102" t="n">
        <v>17048.23</v>
      </c>
      <c r="C130" s="31" t="n">
        <v>0.00292140107218071</v>
      </c>
      <c r="D130" s="25" t="n">
        <v>155.6469651625014</v>
      </c>
      <c r="F130" s="23">
        <f>+A130</f>
        <v/>
      </c>
      <c r="G130" s="105" t="n"/>
      <c r="H130" s="105" t="n"/>
      <c r="J130" s="24" t="n"/>
      <c r="K130" s="98" t="n"/>
      <c r="L130" s="31" t="n"/>
    </row>
    <row r="131">
      <c r="A131" s="23" t="n">
        <v>42551</v>
      </c>
      <c r="B131" s="102" t="n">
        <v>17098.02</v>
      </c>
      <c r="C131" s="31" t="n">
        <v>0.002920537791899935</v>
      </c>
      <c r="D131" s="25" t="n">
        <v>156.101538006453</v>
      </c>
      <c r="F131" s="23">
        <f>+A131</f>
        <v/>
      </c>
      <c r="H131" s="105" t="n"/>
      <c r="I131" s="31" t="n"/>
      <c r="J131" s="24" t="n"/>
      <c r="K131" s="98" t="n"/>
      <c r="L131" s="31" t="n"/>
      <c r="M131" s="25" t="n"/>
    </row>
    <row r="132">
      <c r="A132" s="23" t="n">
        <v>42582</v>
      </c>
      <c r="B132" s="106" t="n">
        <v>17149.23</v>
      </c>
      <c r="C132" s="31" t="n">
        <v>0.002898468039932684</v>
      </c>
      <c r="D132" s="25" t="n">
        <v>156.5690751693122</v>
      </c>
      <c r="F132" s="23">
        <f>+A132</f>
        <v/>
      </c>
      <c r="H132" s="105" t="n"/>
      <c r="I132" s="31" t="n"/>
      <c r="J132" s="24" t="n"/>
      <c r="K132" s="98" t="n"/>
      <c r="L132" s="31" t="n"/>
      <c r="M132" s="25" t="n"/>
    </row>
    <row r="133">
      <c r="A133" s="23" t="n">
        <v>42613</v>
      </c>
      <c r="B133" s="102" t="n">
        <v>17201.38</v>
      </c>
      <c r="C133" s="31" t="n">
        <v>0.00294285760558838</v>
      </c>
      <c r="D133" s="25" t="n">
        <v>157.0451943460962</v>
      </c>
      <c r="F133" s="23">
        <f>+A133</f>
        <v/>
      </c>
      <c r="H133" s="105" t="n"/>
      <c r="I133" s="31" t="n"/>
      <c r="J133" s="24" t="n"/>
      <c r="K133" s="98" t="n"/>
      <c r="L133" s="31" t="n"/>
      <c r="M133" s="25" t="n"/>
    </row>
    <row r="134">
      <c r="A134" s="23">
        <f>+A133+30</f>
        <v/>
      </c>
      <c r="B134" s="102" t="n">
        <v>17251.61</v>
      </c>
      <c r="C134" s="31" t="n">
        <v>0.002920114548949027</v>
      </c>
      <c r="D134" s="25" t="n">
        <v>157.5037843029488</v>
      </c>
      <c r="F134" s="23">
        <f>+A134</f>
        <v/>
      </c>
      <c r="H134" s="105" t="n"/>
      <c r="I134" s="31" t="n"/>
      <c r="J134" s="24" t="n"/>
      <c r="K134" s="98" t="n"/>
      <c r="L134" s="31" t="n"/>
      <c r="M134" s="25" t="n"/>
    </row>
    <row r="135">
      <c r="A135" s="23" t="n">
        <v>42674</v>
      </c>
      <c r="B135" s="102" t="n">
        <v>17303.68</v>
      </c>
      <c r="C135" s="31" t="n">
        <v>0.002920905502770276</v>
      </c>
      <c r="D135" s="25" t="n">
        <v>157.9791730955689</v>
      </c>
      <c r="F135" s="23">
        <f>+A135</f>
        <v/>
      </c>
      <c r="H135" s="105" t="n"/>
      <c r="I135" s="31" t="n"/>
      <c r="J135" s="24" t="n"/>
      <c r="K135" s="98" t="n"/>
      <c r="L135" s="31" t="n"/>
      <c r="M135" s="25" t="n"/>
      <c r="S135" s="9" t="inlineStr">
        <is>
          <t>DIVIDENDO 2016</t>
        </is>
      </c>
    </row>
    <row r="136">
      <c r="A136" s="23" t="n">
        <v>42704</v>
      </c>
      <c r="B136" s="102" t="n">
        <v>17354.21</v>
      </c>
      <c r="C136" s="31" t="n">
        <v>0.002920188075600016</v>
      </c>
      <c r="D136" s="25" t="n">
        <v>158.4405019930358</v>
      </c>
      <c r="F136" s="23">
        <f>+A136</f>
        <v/>
      </c>
      <c r="H136" s="105" t="n"/>
      <c r="I136" s="31" t="n"/>
      <c r="J136" s="24" t="n"/>
      <c r="K136" s="98" t="n"/>
      <c r="L136" s="31" t="n"/>
      <c r="M136" s="25" t="n"/>
    </row>
    <row r="137">
      <c r="A137" s="23" t="n">
        <v>42735</v>
      </c>
      <c r="B137" s="102" t="n">
        <v>17406.97</v>
      </c>
      <c r="C137" s="31" t="n">
        <v>0.002942114018219927</v>
      </c>
      <c r="D137" s="25" t="n">
        <v>158.9221903490689</v>
      </c>
      <c r="F137" s="23">
        <f>+A137</f>
        <v/>
      </c>
      <c r="H137" s="105" t="n"/>
      <c r="I137" s="31" t="n"/>
      <c r="J137" s="24" t="n"/>
      <c r="K137" s="98" t="n"/>
      <c r="L137" s="31" t="n"/>
      <c r="M137" s="25" t="n"/>
      <c r="Q137" s="98">
        <f>+G137+S136</f>
        <v/>
      </c>
      <c r="S137" s="9" t="inlineStr">
        <is>
          <t>Dividendo 2017</t>
        </is>
      </c>
    </row>
    <row r="138">
      <c r="A138" s="23" t="n">
        <v>42766</v>
      </c>
      <c r="B138" s="102" t="n">
        <v>17457.39</v>
      </c>
      <c r="C138" s="31" t="n">
        <v>0.002803104066192763</v>
      </c>
      <c r="D138" s="25" t="n">
        <v>159.3825149683105</v>
      </c>
      <c r="F138" s="23">
        <f>+A138</f>
        <v/>
      </c>
      <c r="I138" s="31" t="n"/>
      <c r="J138" s="24" t="n"/>
      <c r="K138" s="98" t="n"/>
      <c r="L138" s="31" t="n"/>
      <c r="M138" s="25" t="n"/>
      <c r="S138" s="9" t="n">
        <v>3.1855</v>
      </c>
    </row>
    <row r="139">
      <c r="A139" s="23" t="n">
        <v>42794</v>
      </c>
      <c r="B139" s="102" t="n">
        <v>17501.06</v>
      </c>
      <c r="C139" s="31" t="n">
        <v>0.002680199371972883</v>
      </c>
      <c r="D139" s="25" t="n">
        <v>159.7812134237306</v>
      </c>
      <c r="F139" s="23">
        <f>+A139</f>
        <v/>
      </c>
      <c r="I139" s="31" t="n"/>
      <c r="J139" s="24" t="n"/>
      <c r="K139" s="98" t="n"/>
      <c r="L139" s="31" t="n"/>
      <c r="M139" s="25" t="n"/>
      <c r="S139" s="9" t="inlineStr">
        <is>
          <t>Dividendo 2018</t>
        </is>
      </c>
    </row>
    <row r="140">
      <c r="A140" s="23" t="n">
        <v>42825</v>
      </c>
      <c r="B140" s="102" t="n">
        <v>17548.35</v>
      </c>
      <c r="C140" s="31" t="n">
        <v>0.002614956815703222</v>
      </c>
      <c r="D140" s="25" t="n">
        <v>160.2129617625631</v>
      </c>
      <c r="F140" s="23">
        <f>+A140</f>
        <v/>
      </c>
      <c r="I140" s="31" t="n"/>
      <c r="J140" s="24" t="n"/>
      <c r="K140" s="98" t="n"/>
      <c r="L140" s="31" t="n"/>
      <c r="M140" s="25" t="n"/>
      <c r="S140" s="9" t="n">
        <v>15.19620346440203</v>
      </c>
    </row>
    <row r="141">
      <c r="A141" s="23" t="n">
        <v>42855</v>
      </c>
      <c r="B141" s="102" t="n">
        <v>17587.92</v>
      </c>
      <c r="C141" s="31" t="n">
        <v>0.002254912855054636</v>
      </c>
      <c r="D141" s="25" t="n">
        <v>160.5742280295879</v>
      </c>
      <c r="F141" s="23">
        <f>+A141</f>
        <v/>
      </c>
      <c r="I141" s="31" t="n"/>
      <c r="J141" s="24" t="n"/>
      <c r="K141" s="98" t="n"/>
      <c r="L141" s="31" t="n"/>
      <c r="M141" s="25" t="n"/>
      <c r="S141" s="9" t="inlineStr">
        <is>
          <t>Dividendo 2019</t>
        </is>
      </c>
    </row>
    <row r="142">
      <c r="A142" s="23" t="n">
        <v>42886</v>
      </c>
      <c r="B142" s="102" t="n">
        <v>17630.79</v>
      </c>
      <c r="C142" s="31" t="n">
        <v>0.002358840429919861</v>
      </c>
      <c r="D142" s="25" t="n">
        <v>160.9656226433699</v>
      </c>
      <c r="F142" s="23">
        <f>+A142</f>
        <v/>
      </c>
      <c r="I142" s="31" t="n"/>
      <c r="J142" s="24" t="n"/>
      <c r="K142" s="98" t="n"/>
      <c r="L142" s="31" t="n"/>
      <c r="M142" s="25" t="n"/>
      <c r="S142" s="9" t="n">
        <v>55.8421633</v>
      </c>
    </row>
    <row r="143">
      <c r="A143" s="23" t="n">
        <v>42916</v>
      </c>
      <c r="B143" s="102" t="n">
        <v>17667.59</v>
      </c>
      <c r="C143" s="31" t="n">
        <v>0.002087257576092627</v>
      </c>
      <c r="D143" s="25" t="n">
        <v>161.3015993587227</v>
      </c>
      <c r="F143" s="23">
        <f>+A143</f>
        <v/>
      </c>
      <c r="I143" s="31" t="n"/>
      <c r="J143" s="24" t="n"/>
      <c r="K143" s="98" t="n"/>
      <c r="L143" s="31" t="n"/>
      <c r="M143" s="25" t="n"/>
      <c r="S143" s="9" t="inlineStr">
        <is>
          <t>Dividendo 2020</t>
        </is>
      </c>
    </row>
    <row r="144">
      <c r="A144" s="23" t="n">
        <v>42947</v>
      </c>
      <c r="B144" s="102" t="n">
        <v>17705.69</v>
      </c>
      <c r="C144" s="31" t="n">
        <v>0.002086926838461531</v>
      </c>
      <c r="D144" s="25" t="n">
        <v>161.6494448167375</v>
      </c>
      <c r="F144" s="23">
        <f>+A144</f>
        <v/>
      </c>
      <c r="I144" s="31" t="n"/>
      <c r="J144" s="24" t="n"/>
      <c r="K144" s="98" t="n"/>
      <c r="L144" s="31" t="n"/>
      <c r="M144" s="25" t="n"/>
      <c r="S144" s="9" t="n">
        <v>11.00701594982296</v>
      </c>
    </row>
    <row r="145">
      <c r="A145" s="23" t="n">
        <v>42978</v>
      </c>
      <c r="B145" s="102" t="n">
        <v>17743.83</v>
      </c>
      <c r="C145" s="31" t="n">
        <v>0.002084622368253324</v>
      </c>
      <c r="D145" s="25" t="n">
        <v>161.9976554668342</v>
      </c>
      <c r="F145" s="23">
        <f>+A145</f>
        <v/>
      </c>
      <c r="I145" s="31" t="n"/>
      <c r="J145" s="24" t="n"/>
      <c r="K145" s="98" t="n"/>
      <c r="L145" s="31" t="n"/>
      <c r="M145" s="25" t="n"/>
      <c r="S145" s="9" t="inlineStr">
        <is>
          <t>Dividendo 2021</t>
        </is>
      </c>
    </row>
    <row r="146">
      <c r="A146" s="23" t="n">
        <v>43008</v>
      </c>
      <c r="B146" s="102" t="n">
        <v>17780.7817</v>
      </c>
      <c r="C146" s="31" t="n">
        <v>0.002082509807634469</v>
      </c>
      <c r="D146" s="25" t="n">
        <v>162.3350171731577</v>
      </c>
      <c r="F146" s="23" t="n">
        <v>43008</v>
      </c>
      <c r="I146" s="31" t="n"/>
      <c r="J146" s="24" t="n"/>
      <c r="K146" s="98" t="n"/>
      <c r="L146" s="31" t="n"/>
      <c r="M146" s="25" t="n"/>
      <c r="S146" s="9" t="n">
        <v>10.89562118293977</v>
      </c>
    </row>
    <row r="147">
      <c r="A147" s="23" t="n">
        <v>43039</v>
      </c>
      <c r="B147" s="9" t="n">
        <v>17819.15</v>
      </c>
      <c r="C147" s="31" t="n">
        <v>0.002088244123891729</v>
      </c>
      <c r="D147" s="25" t="n">
        <v>162.6853121570618</v>
      </c>
      <c r="F147" s="23" t="n">
        <v>43039</v>
      </c>
      <c r="I147" s="31" t="n"/>
      <c r="J147" s="24" t="n"/>
      <c r="K147" s="98" t="n"/>
      <c r="L147" s="31" t="n"/>
      <c r="M147" s="25" t="n"/>
      <c r="S147" s="9" t="inlineStr">
        <is>
          <t>Dividendo 2022</t>
        </is>
      </c>
    </row>
    <row r="148">
      <c r="A148" s="23" t="n">
        <v>43069</v>
      </c>
      <c r="B148" s="9" t="n">
        <v>17856.32</v>
      </c>
      <c r="C148" s="31" t="n">
        <v>0.002085958084420358</v>
      </c>
      <c r="D148" s="25" t="n">
        <v>163.0246668991723</v>
      </c>
      <c r="F148" s="23" t="n">
        <v>43069</v>
      </c>
      <c r="I148" s="31" t="n"/>
      <c r="J148" s="24" t="n"/>
      <c r="K148" s="98" t="n"/>
      <c r="L148" s="31" t="n"/>
      <c r="M148" s="25" t="n"/>
      <c r="S148" s="9" t="n">
        <v>32.85853738390393</v>
      </c>
      <c r="AR148" s="59" t="n"/>
    </row>
    <row r="149">
      <c r="A149" s="23" t="n">
        <v>43100</v>
      </c>
      <c r="B149" s="9" t="n">
        <v>17872.44</v>
      </c>
      <c r="C149" s="31" t="n">
        <v>0.0008736402573430732</v>
      </c>
      <c r="D149" s="25" t="n">
        <v>163.1718393081801</v>
      </c>
      <c r="F149" s="23" t="n">
        <v>43100</v>
      </c>
      <c r="I149" s="31" t="n"/>
      <c r="J149" s="24" t="n"/>
      <c r="K149" s="98" t="n"/>
      <c r="L149" s="31" t="n"/>
      <c r="M149" s="25" t="n"/>
      <c r="S149" s="9" t="inlineStr">
        <is>
          <t>Dividendo 2023</t>
        </is>
      </c>
    </row>
    <row r="150">
      <c r="A150" s="23" t="n">
        <v>43131</v>
      </c>
      <c r="B150" s="9" t="n">
        <v>17933.28</v>
      </c>
      <c r="C150" s="31" t="n">
        <v>0.003294313443203072</v>
      </c>
      <c r="D150" s="25" t="n">
        <v>163.727296464758</v>
      </c>
      <c r="F150" s="23" t="n">
        <v>43131</v>
      </c>
      <c r="I150" s="31" t="n"/>
      <c r="J150" s="24" t="n"/>
      <c r="K150" s="98" t="n"/>
      <c r="L150" s="31" t="n"/>
      <c r="M150" s="25" t="n"/>
      <c r="S150" s="9" t="n">
        <v>24.62544209940886</v>
      </c>
    </row>
    <row r="151">
      <c r="A151" s="23" t="n">
        <v>43159</v>
      </c>
      <c r="B151" s="9" t="n">
        <v>17968.11</v>
      </c>
      <c r="C151" s="31" t="n">
        <v>0.002080927590650499</v>
      </c>
      <c r="D151" s="25" t="n">
        <v>164.0452874700771</v>
      </c>
      <c r="F151" s="23" t="n">
        <v>43159</v>
      </c>
      <c r="I151" s="31" t="n"/>
      <c r="J151" s="24" t="n"/>
      <c r="K151" s="98" t="n"/>
      <c r="L151" s="31" t="n"/>
      <c r="M151" s="25" t="n"/>
    </row>
    <row r="152">
      <c r="A152" s="23" t="n">
        <v>43190</v>
      </c>
      <c r="B152" s="9" t="n">
        <v>18006.83</v>
      </c>
      <c r="C152" s="31" t="n">
        <v>0.002085415090509549</v>
      </c>
      <c r="D152" s="25" t="n">
        <v>164.3987934053614</v>
      </c>
      <c r="F152" s="23" t="n">
        <v>43190</v>
      </c>
      <c r="I152" s="31" t="n"/>
      <c r="J152" s="24" t="n"/>
      <c r="K152" s="98" t="n"/>
      <c r="L152" s="31" t="n"/>
      <c r="M152" s="25" t="n"/>
      <c r="AD152" s="59" t="n"/>
      <c r="AE152" s="59" t="n"/>
      <c r="AF152" s="59" t="n"/>
      <c r="AG152" s="59" t="n"/>
      <c r="AH152" s="59" t="n"/>
      <c r="AI152" s="59" t="n"/>
      <c r="AJ152" s="59" t="n"/>
      <c r="AK152" s="59" t="n"/>
      <c r="AL152" s="59" t="n"/>
      <c r="AM152" s="59" t="n"/>
      <c r="AN152" s="59" t="n"/>
      <c r="AO152" s="59" t="n"/>
      <c r="AP152" s="59" t="n"/>
      <c r="AQ152" s="59" t="n"/>
    </row>
    <row r="153">
      <c r="A153" s="23" t="n">
        <v>43220</v>
      </c>
      <c r="B153" s="9" t="n">
        <v>18044.25</v>
      </c>
      <c r="C153" s="31" t="n">
        <v>0.002078100365250135</v>
      </c>
      <c r="D153" s="25" t="n">
        <v>164.7404305979838</v>
      </c>
      <c r="F153" s="23" t="n">
        <v>43220</v>
      </c>
      <c r="I153" s="31" t="n"/>
      <c r="J153" s="24" t="n"/>
      <c r="K153" s="98" t="n"/>
      <c r="L153" s="31" t="n"/>
      <c r="M153" s="25" t="n"/>
    </row>
    <row r="154">
      <c r="A154" s="23" t="n">
        <v>43251</v>
      </c>
      <c r="B154" s="24" t="n">
        <v>18082.87</v>
      </c>
      <c r="C154" s="31" t="n">
        <v>0.002071252257554965</v>
      </c>
      <c r="D154" s="25" t="n">
        <v>165.0930235530633</v>
      </c>
      <c r="F154" s="23" t="n">
        <v>43251</v>
      </c>
      <c r="I154" s="31" t="n"/>
      <c r="J154" s="24" t="n"/>
      <c r="K154" s="98" t="n"/>
      <c r="L154" s="31" t="n"/>
      <c r="M154" s="25" t="n"/>
    </row>
    <row r="155">
      <c r="A155" s="23" t="n">
        <v>43281</v>
      </c>
      <c r="B155" s="25" t="n">
        <v>18120.6225</v>
      </c>
      <c r="C155" s="31" t="n">
        <v>0.002087749345098366</v>
      </c>
      <c r="D155" s="25" t="n">
        <v>165.4376964048665</v>
      </c>
      <c r="F155" s="23" t="n">
        <v>43281</v>
      </c>
      <c r="I155" s="31" t="n"/>
      <c r="J155" s="24" t="n"/>
      <c r="L155" s="31" t="n"/>
      <c r="M155" s="25" t="n"/>
    </row>
    <row r="156">
      <c r="A156" s="23" t="n">
        <v>43312</v>
      </c>
      <c r="B156" s="24" t="n">
        <v>18159.66</v>
      </c>
      <c r="C156" s="31" t="n">
        <v>0.002084819426399684</v>
      </c>
      <c r="D156" s="25" t="n">
        <v>165.794101052301</v>
      </c>
      <c r="F156" s="23" t="n">
        <v>43312</v>
      </c>
      <c r="I156" s="31" t="n"/>
      <c r="J156" s="24" t="n"/>
      <c r="L156" s="31" t="n"/>
      <c r="M156" s="25" t="n"/>
    </row>
    <row r="157">
      <c r="A157" s="23" t="n">
        <v>43343</v>
      </c>
      <c r="B157" s="24" t="n">
        <v>18198.62</v>
      </c>
      <c r="C157" s="31" t="n">
        <v>0.002076207693671039</v>
      </c>
      <c r="D157" s="25" t="n">
        <v>166.1497981400767</v>
      </c>
      <c r="F157" s="23" t="n">
        <v>43343</v>
      </c>
      <c r="I157" s="31" t="n"/>
      <c r="J157" s="24" t="n"/>
      <c r="L157" s="31" t="n"/>
      <c r="M157" s="25" t="n"/>
    </row>
    <row r="158">
      <c r="A158" s="23" t="n">
        <v>43373</v>
      </c>
      <c r="B158" s="107" t="n">
        <v>18235.9</v>
      </c>
      <c r="C158" s="31" t="n">
        <v>0.002048506974704711</v>
      </c>
      <c r="D158" s="25" t="n">
        <v>166.4901571604125</v>
      </c>
      <c r="F158" s="23" t="n">
        <v>43373</v>
      </c>
      <c r="I158" s="31" t="n"/>
      <c r="J158" s="24" t="n"/>
      <c r="L158" s="31" t="n"/>
      <c r="M158" s="25" t="n"/>
    </row>
    <row r="159">
      <c r="A159" s="23" t="n">
        <v>43404</v>
      </c>
      <c r="B159" s="9" t="n">
        <v>18277.4</v>
      </c>
      <c r="C159" s="31" t="n">
        <v>0.002202320166406972</v>
      </c>
      <c r="D159" s="25" t="n">
        <v>166.8690439453892</v>
      </c>
      <c r="F159" s="23" t="n">
        <v>43404</v>
      </c>
      <c r="I159" s="31" t="n"/>
      <c r="J159" s="24" t="n"/>
      <c r="K159" s="9" t="n">
        <v>4807.6121</v>
      </c>
      <c r="L159" s="31" t="n"/>
      <c r="M159" s="25" t="n"/>
    </row>
    <row r="160">
      <c r="A160" s="23" t="n">
        <v>43434</v>
      </c>
      <c r="B160" s="25" t="n">
        <v>18319.31</v>
      </c>
      <c r="C160" s="31" t="n">
        <v>0.002292995721492108</v>
      </c>
      <c r="D160" s="25" t="n">
        <v>167.2516739492055</v>
      </c>
      <c r="F160" s="23" t="n">
        <v>43434</v>
      </c>
      <c r="I160" s="31" t="n"/>
      <c r="J160" s="24" t="n"/>
      <c r="K160" s="24" t="n">
        <v>4812.5415</v>
      </c>
      <c r="L160" s="31" t="n"/>
      <c r="M160" s="25" t="n"/>
    </row>
    <row r="161">
      <c r="A161" s="23" t="n">
        <v>43465</v>
      </c>
      <c r="B161" s="9" t="n">
        <v>18362.684</v>
      </c>
      <c r="C161" s="31" t="n">
        <v>0.002291289284895322</v>
      </c>
      <c r="D161" s="25" t="n"/>
      <c r="F161" s="23" t="n">
        <v>43465</v>
      </c>
      <c r="I161" s="31" t="n"/>
      <c r="J161" s="24" t="n"/>
      <c r="K161" s="24" t="n">
        <v>4819.2415</v>
      </c>
      <c r="L161" s="31" t="n"/>
      <c r="M161" s="25" t="n"/>
    </row>
    <row r="162">
      <c r="A162" s="23" t="n">
        <v>43496</v>
      </c>
      <c r="B162" s="9" t="n">
        <v>18407.69</v>
      </c>
      <c r="C162" s="31" t="n">
        <v>0.002371886024308052</v>
      </c>
      <c r="D162" s="25" t="n"/>
      <c r="F162" s="23" t="n">
        <v>43496</v>
      </c>
      <c r="I162" s="31" t="n"/>
      <c r="J162" s="24" t="n"/>
      <c r="K162" s="9" t="n">
        <v>4825.82</v>
      </c>
      <c r="L162" s="31" t="n"/>
      <c r="M162" s="25" t="n"/>
    </row>
    <row r="163">
      <c r="A163" s="23" t="n">
        <v>43524</v>
      </c>
      <c r="B163" s="9" t="n">
        <v>18449.16</v>
      </c>
      <c r="C163" s="31" t="n">
        <v>0.002413781569395471</v>
      </c>
      <c r="D163" s="25" t="n"/>
      <c r="F163" s="23" t="n">
        <v>43524</v>
      </c>
      <c r="I163" s="31" t="n"/>
      <c r="J163" s="24" t="n"/>
      <c r="K163" s="9" t="n">
        <v>4832.1058</v>
      </c>
      <c r="L163" s="31" t="n"/>
      <c r="M163" s="25" t="n"/>
    </row>
    <row r="164">
      <c r="A164" s="23" t="n">
        <v>43555</v>
      </c>
      <c r="B164" s="9" t="n">
        <v>18496.82</v>
      </c>
      <c r="C164" s="31" t="n">
        <v>0.002499982690006608</v>
      </c>
      <c r="D164" s="25" t="n"/>
      <c r="F164" s="23" t="n">
        <v>43555</v>
      </c>
      <c r="I164" s="31" t="n"/>
      <c r="J164" s="24" t="n"/>
      <c r="K164" s="24" t="n">
        <v>4839.1073</v>
      </c>
      <c r="L164" s="31" t="n"/>
      <c r="M164" s="25" t="n"/>
    </row>
    <row r="165">
      <c r="A165" s="23" t="n">
        <v>43585</v>
      </c>
      <c r="B165" s="9" t="n">
        <v>18543.07</v>
      </c>
      <c r="C165" s="31" t="n">
        <v>0.002500429803609538</v>
      </c>
      <c r="D165" s="108" t="n"/>
      <c r="F165" s="23" t="n">
        <v>43585</v>
      </c>
      <c r="I165" s="31" t="n"/>
      <c r="J165" s="24" t="n"/>
      <c r="K165" s="24" t="n">
        <v>4845.9628</v>
      </c>
      <c r="L165" s="31" t="n"/>
      <c r="M165" s="25" t="n"/>
    </row>
    <row r="166">
      <c r="A166" s="23" t="n">
        <v>43616</v>
      </c>
      <c r="B166" s="9" t="n">
        <v>18591.02</v>
      </c>
      <c r="C166" s="31" t="n">
        <v>0.002502456486787364</v>
      </c>
      <c r="D166" s="108" t="n"/>
      <c r="F166" s="23" t="n">
        <v>43616</v>
      </c>
      <c r="I166" s="31" t="n"/>
      <c r="J166" s="24" t="n"/>
      <c r="K166" s="24" t="n">
        <v>4852.5891</v>
      </c>
      <c r="L166" s="31" t="n"/>
      <c r="M166" s="25" t="n"/>
    </row>
    <row r="167">
      <c r="A167" s="23" t="n">
        <v>43646</v>
      </c>
      <c r="B167" s="9" t="n">
        <v>18632.31</v>
      </c>
      <c r="C167" s="31" t="n">
        <v>0.002220964745344833</v>
      </c>
      <c r="D167" s="108" t="n"/>
      <c r="F167" s="23" t="n">
        <v>43646</v>
      </c>
      <c r="I167" s="31" t="n"/>
      <c r="J167" s="24" t="n"/>
      <c r="K167" s="9" t="n">
        <v>4858.4077</v>
      </c>
      <c r="L167" s="31" t="n"/>
      <c r="M167" s="25" t="n"/>
    </row>
    <row r="168">
      <c r="A168" s="23" t="n">
        <v>43677</v>
      </c>
      <c r="B168" s="9" t="n">
        <v>18672.31</v>
      </c>
      <c r="C168" s="31" t="n">
        <v>0.002077556535896693</v>
      </c>
      <c r="D168" s="108" t="n"/>
      <c r="F168" s="23" t="n">
        <v>43677</v>
      </c>
      <c r="I168" s="31" t="n"/>
      <c r="J168" s="24" t="n"/>
      <c r="K168" s="9" t="n">
        <v>4863.4466</v>
      </c>
      <c r="L168" s="31" t="n"/>
      <c r="M168" s="25" t="n"/>
    </row>
    <row r="169">
      <c r="A169" s="23" t="n">
        <v>43708</v>
      </c>
      <c r="B169" s="9" t="n">
        <v>18712.55</v>
      </c>
      <c r="C169" s="31" t="n">
        <v>0.002085544610381366</v>
      </c>
      <c r="D169" s="108" t="n"/>
      <c r="F169" s="23" t="n">
        <v>43708</v>
      </c>
      <c r="I169" s="31" t="n"/>
      <c r="J169" s="24" t="n"/>
      <c r="K169" s="9" t="n">
        <v>4868.1253</v>
      </c>
      <c r="L169" s="31" t="n"/>
      <c r="M169" s="25" t="n"/>
    </row>
    <row r="170">
      <c r="A170" s="23" t="n">
        <v>43738</v>
      </c>
      <c r="B170" s="9" t="n">
        <v>18744.77</v>
      </c>
      <c r="C170" s="31" t="n">
        <v>0.001721839086602284</v>
      </c>
      <c r="D170" s="108" t="n"/>
      <c r="F170" s="23" t="n">
        <v>43738</v>
      </c>
      <c r="I170" s="31" t="n"/>
      <c r="J170" s="24" t="n"/>
      <c r="K170" s="9" t="n">
        <v>4873.326</v>
      </c>
      <c r="L170" s="31" t="n"/>
      <c r="M170" s="25" t="n"/>
    </row>
    <row r="171">
      <c r="A171" s="23" t="n">
        <v>43769</v>
      </c>
      <c r="B171" s="9" t="n">
        <v>18776.102</v>
      </c>
      <c r="C171" s="31" t="n">
        <v>0.001617586682716309</v>
      </c>
      <c r="D171" s="108" t="n"/>
      <c r="F171" s="23" t="n">
        <v>43769</v>
      </c>
      <c r="I171" s="31" t="n"/>
      <c r="J171" s="24" t="n"/>
      <c r="K171" s="9" t="n">
        <v>4876.4951</v>
      </c>
      <c r="L171" s="31" t="n"/>
      <c r="M171" s="25" t="n"/>
    </row>
    <row r="172">
      <c r="A172" s="23" t="n">
        <v>43799</v>
      </c>
      <c r="B172" s="9" t="n">
        <v>18802.79</v>
      </c>
      <c r="C172" s="31" t="n">
        <v>0.001421381285636514</v>
      </c>
      <c r="D172" s="108" t="n"/>
      <c r="F172" s="23" t="n">
        <v>43799</v>
      </c>
      <c r="I172" s="31" t="n"/>
      <c r="J172" s="24" t="n"/>
      <c r="K172" s="9" t="n">
        <v>4879.8683</v>
      </c>
      <c r="L172" s="31" t="n"/>
      <c r="M172" s="25" t="n"/>
    </row>
    <row r="173">
      <c r="A173" s="23" t="n">
        <v>43830</v>
      </c>
      <c r="B173" s="9" t="n">
        <v>18830.68</v>
      </c>
      <c r="C173" s="31" t="n">
        <v>0.001435442430652211</v>
      </c>
      <c r="D173" s="108" t="n"/>
      <c r="F173" s="23" t="n">
        <v>43830</v>
      </c>
      <c r="I173" s="31" t="n"/>
      <c r="J173" s="24" t="n"/>
      <c r="K173" s="9" t="n">
        <v>4882.8959</v>
      </c>
      <c r="L173" s="31" t="n"/>
      <c r="M173" s="25" t="n"/>
    </row>
    <row r="174">
      <c r="A174" s="23" t="n">
        <v>43861</v>
      </c>
      <c r="B174" s="9" t="n">
        <v>18861.86</v>
      </c>
      <c r="C174" s="31" t="n">
        <v>0.001602395322335057</v>
      </c>
      <c r="D174" s="108" t="n"/>
      <c r="F174" s="23" t="n">
        <v>43861</v>
      </c>
      <c r="I174" s="31" t="n"/>
      <c r="J174" s="24" t="n"/>
      <c r="K174" s="9" t="n">
        <v>4885.3887</v>
      </c>
      <c r="L174" s="31" t="n"/>
      <c r="M174" s="25" t="n"/>
    </row>
    <row r="175">
      <c r="A175" s="23" t="n">
        <v>43890</v>
      </c>
      <c r="B175" s="9" t="n">
        <v>18887.8867</v>
      </c>
      <c r="C175" s="31" t="n">
        <v>0.001427439945678407</v>
      </c>
      <c r="D175" s="108" t="n"/>
      <c r="F175" s="23" t="n">
        <v>43890</v>
      </c>
      <c r="I175" s="31" t="n"/>
      <c r="J175" s="24" t="n"/>
      <c r="K175" s="9" t="n">
        <v>4887.7164</v>
      </c>
      <c r="L175" s="31" t="n"/>
      <c r="M175" s="25" t="n"/>
      <c r="Q175" s="23" t="n"/>
    </row>
    <row r="176">
      <c r="A176" s="23" t="n">
        <v>43921</v>
      </c>
      <c r="B176" s="9" t="n">
        <v>18908.77</v>
      </c>
      <c r="C176" s="31" t="n">
        <v>0.001097134301800731</v>
      </c>
      <c r="D176" s="108" t="n"/>
      <c r="F176" s="23" t="n">
        <v>43921</v>
      </c>
      <c r="I176" s="31" t="n"/>
      <c r="J176" s="24" t="n"/>
      <c r="K176" s="9" t="n">
        <v>4892.3528</v>
      </c>
      <c r="L176" s="31" t="n"/>
      <c r="M176" s="25" t="n"/>
      <c r="Q176" s="23" t="n"/>
      <c r="R176" s="109" t="n"/>
    </row>
    <row r="177">
      <c r="A177" s="23" t="n">
        <v>43951</v>
      </c>
      <c r="B177" s="9" t="n">
        <v>18917.93</v>
      </c>
      <c r="C177" s="31">
        <f>(B177/B176-1)/(A177-A176)*30</f>
        <v/>
      </c>
      <c r="D177" s="25" t="n">
        <v>100</v>
      </c>
      <c r="F177" s="23" t="n">
        <v>43951</v>
      </c>
      <c r="G177" s="98" t="n">
        <v>1000.016</v>
      </c>
      <c r="H177" s="98">
        <f>+G177</f>
        <v/>
      </c>
      <c r="I177" s="31" t="n"/>
      <c r="J177" s="24" t="n">
        <v>100</v>
      </c>
      <c r="K177" s="9" t="n">
        <v>4903.1164</v>
      </c>
      <c r="L177" s="31" t="n"/>
      <c r="M177" s="25" t="n">
        <v>100</v>
      </c>
      <c r="Q177" s="110" t="n"/>
    </row>
    <row r="178">
      <c r="A178" s="23" t="n">
        <v>43982</v>
      </c>
      <c r="B178" s="9" t="n">
        <v>18925.24</v>
      </c>
      <c r="C178" s="31">
        <f>(B178/B177-1)/(A178-A177)*30</f>
        <v/>
      </c>
      <c r="D178" s="25">
        <f>+D177*(1+C178)</f>
        <v/>
      </c>
      <c r="F178" s="23" t="n">
        <v>43982</v>
      </c>
      <c r="G178" s="98" t="n">
        <v>1001.8702</v>
      </c>
      <c r="H178" s="98">
        <f>+G178</f>
        <v/>
      </c>
      <c r="I178" s="31">
        <f>+(H178/H177-1)/(F178-F177)*30</f>
        <v/>
      </c>
      <c r="J178" s="24">
        <f>+J177*(1+I178)</f>
        <v/>
      </c>
      <c r="K178" s="9" t="n">
        <v>4903.90225</v>
      </c>
      <c r="L178" s="31">
        <f>+(K178/K177-1)/(F178-F177)*30</f>
        <v/>
      </c>
      <c r="M178" s="25">
        <f>+M177*(1+L178)</f>
        <v/>
      </c>
      <c r="Q178" s="110" t="n"/>
    </row>
    <row r="179">
      <c r="A179" s="23" t="n">
        <v>44012</v>
      </c>
      <c r="B179" s="9" t="n">
        <v>18932.63</v>
      </c>
      <c r="C179" s="31">
        <f>(B179/B178-1)/(A179-A178)*30</f>
        <v/>
      </c>
      <c r="D179" s="25">
        <f>+D178*(1+C179)</f>
        <v/>
      </c>
      <c r="F179" s="23" t="n">
        <v>44012</v>
      </c>
      <c r="G179" s="98" t="n">
        <v>1004.7359</v>
      </c>
      <c r="H179" s="98">
        <f>+G179</f>
        <v/>
      </c>
      <c r="I179" s="31">
        <f>+(H179/H178-1)/(F179-F178)*30</f>
        <v/>
      </c>
      <c r="J179" s="24">
        <f>+J178*(1+I179)</f>
        <v/>
      </c>
      <c r="K179" s="9" t="n">
        <v>4904.6881</v>
      </c>
      <c r="L179" s="31">
        <f>+(K179/K178-1)/(F179-F178)*30</f>
        <v/>
      </c>
      <c r="M179" s="25">
        <f>+M178*(1+L179)</f>
        <v/>
      </c>
    </row>
    <row r="180">
      <c r="A180" s="23" t="n">
        <v>44043</v>
      </c>
      <c r="B180" s="9" t="n">
        <v>18940.74</v>
      </c>
      <c r="C180" s="31">
        <f>(B180/B179-1)/(A180-A179)*30</f>
        <v/>
      </c>
      <c r="D180" s="25">
        <f>+D179*(1+C180)</f>
        <v/>
      </c>
      <c r="F180" s="23" t="n">
        <v>44043</v>
      </c>
      <c r="G180" s="98" t="n">
        <v>1007.1167</v>
      </c>
      <c r="H180" s="98">
        <f>+G180</f>
        <v/>
      </c>
      <c r="I180" s="31">
        <f>+(H180/H179-1)/(F180-F179)*30</f>
        <v/>
      </c>
      <c r="J180" s="24">
        <f>+J179*(1+I180)</f>
        <v/>
      </c>
      <c r="K180" s="9" t="n">
        <v>4905.1791</v>
      </c>
      <c r="L180" s="31">
        <f>+(K180/K179-1)/(F180-F179)*30</f>
        <v/>
      </c>
      <c r="M180" s="25">
        <f>+M179*(1+L180)</f>
        <v/>
      </c>
    </row>
    <row r="181">
      <c r="A181" s="23" t="n">
        <v>44074</v>
      </c>
      <c r="B181" s="9" t="n">
        <v>18948.69</v>
      </c>
      <c r="C181" s="31">
        <f>(B181/B180-1)/(A181-A180)*30</f>
        <v/>
      </c>
      <c r="D181" s="25">
        <f>+D180*(1+C181)</f>
        <v/>
      </c>
      <c r="F181" s="23" t="n">
        <v>44074</v>
      </c>
      <c r="G181" s="98" t="n">
        <v>1009.1755</v>
      </c>
      <c r="H181" s="98">
        <f>+G181</f>
        <v/>
      </c>
      <c r="I181" s="31">
        <f>+(H181/H180-1)/(F181-F180)*30</f>
        <v/>
      </c>
      <c r="J181" s="24">
        <f>+J180*(1+I181)</f>
        <v/>
      </c>
      <c r="K181" s="9" t="n">
        <v>4906.1183</v>
      </c>
      <c r="L181" s="31">
        <f>+(K181/K180-1)/(F181-F180)*30</f>
        <v/>
      </c>
      <c r="M181" s="25">
        <f>+M180*(1+L181)</f>
        <v/>
      </c>
    </row>
    <row r="182">
      <c r="A182" s="23" t="n">
        <v>44104</v>
      </c>
      <c r="B182" s="9" t="n">
        <v>18956.17</v>
      </c>
      <c r="C182" s="31">
        <f>(B182/B181-1)/(A182-A181)*30</f>
        <v/>
      </c>
      <c r="D182" s="25">
        <f>+D181*(1+C182)</f>
        <v/>
      </c>
      <c r="F182" s="23" t="n">
        <v>44104</v>
      </c>
      <c r="G182" s="98" t="n">
        <v>1011.6004</v>
      </c>
      <c r="H182" s="98">
        <f>+G182</f>
        <v/>
      </c>
      <c r="I182" s="31">
        <f>+(H182/H181-1)/(F182-F181)*30</f>
        <v/>
      </c>
      <c r="J182" s="24">
        <f>+J181*(1+I182)</f>
        <v/>
      </c>
      <c r="K182" s="9" t="n">
        <v>4906.466</v>
      </c>
      <c r="L182" s="31">
        <f>+(K182/K181-1)/(F182-F181)*30</f>
        <v/>
      </c>
      <c r="M182" s="25">
        <f>+M181*(1+L182)</f>
        <v/>
      </c>
    </row>
    <row r="183">
      <c r="A183" s="23" t="n">
        <v>44135</v>
      </c>
      <c r="B183" s="9" t="n">
        <v>18963.23</v>
      </c>
      <c r="C183" s="31">
        <f>(B183/B182-1)/(A183-A182)*30</f>
        <v/>
      </c>
      <c r="D183" s="25">
        <f>+D182*(1+C183)</f>
        <v/>
      </c>
      <c r="F183" s="23" t="n">
        <v>44135</v>
      </c>
      <c r="G183" s="98" t="n">
        <v>1014.3109</v>
      </c>
      <c r="H183" s="98">
        <f>+G183</f>
        <v/>
      </c>
      <c r="I183" s="31">
        <f>+(H183/H182-1)/(F183-F182)*30</f>
        <v/>
      </c>
      <c r="J183" s="24">
        <f>+J182*(1+I183)</f>
        <v/>
      </c>
      <c r="K183" s="9" t="n">
        <v>4906.7963</v>
      </c>
      <c r="L183" s="31">
        <f>+(K183/K182-1)/(F183-F182)*30</f>
        <v/>
      </c>
      <c r="M183" s="25">
        <f>+M182*(1+L183)</f>
        <v/>
      </c>
    </row>
    <row r="184">
      <c r="A184" s="23" t="n">
        <v>44165</v>
      </c>
      <c r="B184" s="9" t="n">
        <v>18969.48</v>
      </c>
      <c r="C184" s="31">
        <f>(B184/B183-1)/(A184-A183)*30</f>
        <v/>
      </c>
      <c r="D184" s="25">
        <f>+D183*(1+C184)</f>
        <v/>
      </c>
      <c r="F184" s="23" t="n">
        <v>44165</v>
      </c>
      <c r="G184" s="98" t="n">
        <v>1016.8401</v>
      </c>
      <c r="H184" s="98">
        <f>+G184</f>
        <v/>
      </c>
      <c r="I184" s="31">
        <f>+(H184/H183-1)/(F184-F183)*30</f>
        <v/>
      </c>
      <c r="J184" s="24">
        <f>+J183*(1+I184)</f>
        <v/>
      </c>
      <c r="K184" s="9" t="n">
        <v>4907.0953</v>
      </c>
      <c r="L184" s="31">
        <f>+(K184/K183-1)/(F184-F183)*30</f>
        <v/>
      </c>
      <c r="M184" s="25">
        <f>+M183*(1+L184)</f>
        <v/>
      </c>
    </row>
    <row r="185">
      <c r="A185" s="23" t="n">
        <v>44196</v>
      </c>
      <c r="B185" s="9" t="n">
        <v>18976.88</v>
      </c>
      <c r="C185" s="31">
        <f>(B185/B184-1)/(A185-A184)*30</f>
        <v/>
      </c>
      <c r="D185" s="25">
        <f>+D184*(1+C185)</f>
        <v/>
      </c>
      <c r="F185" s="23" t="n">
        <v>44196</v>
      </c>
      <c r="G185" s="98" t="n">
        <v>1007.9452</v>
      </c>
      <c r="H185" s="98">
        <f>+G185+$S$144</f>
        <v/>
      </c>
      <c r="I185" s="31">
        <f>+(H185/H184-1)/(F185-F184)*30</f>
        <v/>
      </c>
      <c r="J185" s="24">
        <f>+J184*(1+I185)</f>
        <v/>
      </c>
      <c r="K185" s="9" t="n">
        <v>4907.3928</v>
      </c>
      <c r="L185" s="31">
        <f>+(K185/K184-1)/(F185-F184)*30</f>
        <v/>
      </c>
      <c r="M185" s="25">
        <f>+M184*(1+L185)</f>
        <v/>
      </c>
    </row>
    <row r="186">
      <c r="A186" s="23" t="n">
        <v>44227</v>
      </c>
      <c r="B186" s="9" t="n">
        <v>18982.04</v>
      </c>
      <c r="C186" s="31">
        <f>(B186/B185-1)/(A186-A185)*30</f>
        <v/>
      </c>
      <c r="D186" s="25">
        <f>+D185*(1+C186)</f>
        <v/>
      </c>
      <c r="F186" s="23" t="n">
        <v>44227</v>
      </c>
      <c r="G186" s="98" t="n">
        <v>1009.9216</v>
      </c>
      <c r="H186" s="98">
        <f>+G186+$S$144</f>
        <v/>
      </c>
      <c r="I186" s="31">
        <f>+(H186/H185-1)/(F186-F185)*30</f>
        <v/>
      </c>
      <c r="J186" s="24">
        <f>+J185*(1+I186)</f>
        <v/>
      </c>
      <c r="K186" s="9" t="n">
        <v>4907.6377</v>
      </c>
      <c r="L186" s="31">
        <f>+(K186/K185-1)/(F186-F185)*30</f>
        <v/>
      </c>
      <c r="M186" s="25">
        <f>+M185*(1+L186)</f>
        <v/>
      </c>
    </row>
    <row r="187">
      <c r="A187" s="23" t="n">
        <v>44255</v>
      </c>
      <c r="B187" s="9" t="n">
        <v>18986.58</v>
      </c>
      <c r="C187" s="31">
        <f>(B187/B186-1)/(A187-A186)*30</f>
        <v/>
      </c>
      <c r="D187" s="25">
        <f>+D186*(1+C187)</f>
        <v/>
      </c>
      <c r="F187" s="23" t="n">
        <v>44255</v>
      </c>
      <c r="G187" s="98" t="n">
        <v>1011.5947</v>
      </c>
      <c r="H187" s="98">
        <f>+G187+$S$144</f>
        <v/>
      </c>
      <c r="I187" s="31">
        <f>+(H187/H186-1)/(F187-F186)*30</f>
        <v/>
      </c>
      <c r="J187" s="24">
        <f>+J186*(1+I187)</f>
        <v/>
      </c>
      <c r="K187" s="9" t="n">
        <v>4907.9052</v>
      </c>
      <c r="L187" s="31">
        <f>+(K187/K186-1)/(F187-F186)*30</f>
        <v/>
      </c>
      <c r="M187" s="25">
        <f>+M186*(1+L187)</f>
        <v/>
      </c>
    </row>
    <row r="188">
      <c r="A188" s="23" t="n">
        <v>44286</v>
      </c>
      <c r="B188" s="25" t="n">
        <v>18991.5</v>
      </c>
      <c r="C188" s="31">
        <f>(B188/B187-1)/(A188-A187)*30</f>
        <v/>
      </c>
      <c r="D188" s="25">
        <f>+D187*(1+C188)</f>
        <v/>
      </c>
      <c r="F188" s="23" t="n">
        <v>44286</v>
      </c>
      <c r="G188" s="98" t="n">
        <v>1013.1785</v>
      </c>
      <c r="H188" s="98">
        <f>+G188+$S$144</f>
        <v/>
      </c>
      <c r="I188" s="31">
        <f>+(H188/H187-1)/(F188-F187)*30</f>
        <v/>
      </c>
      <c r="J188" s="24">
        <f>+J187*(1+I188)</f>
        <v/>
      </c>
      <c r="K188" s="9" t="n">
        <v>4908.1704</v>
      </c>
      <c r="L188" s="31">
        <f>+(K188/K187-1)/(F188-F187)*30</f>
        <v/>
      </c>
      <c r="M188" s="25">
        <f>+M187*(1+L188)</f>
        <v/>
      </c>
    </row>
    <row r="189">
      <c r="A189" s="23" t="n">
        <v>44316</v>
      </c>
      <c r="B189" s="9" t="n">
        <v>18997.09</v>
      </c>
      <c r="C189" s="31">
        <f>(B189/B188-1)/(A189-A188)*30</f>
        <v/>
      </c>
      <c r="D189" s="25">
        <f>+D188*(1+C189)</f>
        <v/>
      </c>
      <c r="F189" s="23" t="n">
        <v>44316</v>
      </c>
      <c r="G189" s="98" t="n">
        <v>1014.7514</v>
      </c>
      <c r="H189" s="98">
        <f>+G189+$S$144</f>
        <v/>
      </c>
      <c r="I189" s="31">
        <f>+(H189/H188-1)/(F189-F188)*30</f>
        <v/>
      </c>
      <c r="J189" s="24">
        <f>+J188*(1+I189)</f>
        <v/>
      </c>
      <c r="K189" s="9" t="n">
        <v>4908.4956</v>
      </c>
      <c r="L189" s="31">
        <f>+(K189/K188-1)/(F189-F188)*30</f>
        <v/>
      </c>
      <c r="M189" s="25">
        <f>+M188*(1+L189)</f>
        <v/>
      </c>
    </row>
    <row r="190">
      <c r="A190" s="23" t="n">
        <v>44347</v>
      </c>
      <c r="B190" s="9" t="n">
        <v>19001.7</v>
      </c>
      <c r="C190" s="31">
        <f>(B190/B189-1)/(A190-A189)*30</f>
        <v/>
      </c>
      <c r="D190" s="25">
        <f>+D189*(1+C190)</f>
        <v/>
      </c>
      <c r="F190" s="23" t="n">
        <v>44347</v>
      </c>
      <c r="G190" s="98" t="n">
        <v>1016.5706</v>
      </c>
      <c r="H190" s="98">
        <f>+G190+$S$144</f>
        <v/>
      </c>
      <c r="I190" s="31">
        <f>+(H190/H189-1)/(F190-F189)*30</f>
        <v/>
      </c>
      <c r="J190" s="24">
        <f>+J189*(1+I190)</f>
        <v/>
      </c>
      <c r="K190" s="9" t="n">
        <v>4908.7905</v>
      </c>
      <c r="L190" s="31">
        <f>+(K190/K189-1)/(F190-F189)*30</f>
        <v/>
      </c>
      <c r="M190" s="25">
        <f>+M189*(1+L190)</f>
        <v/>
      </c>
    </row>
    <row r="191">
      <c r="A191" s="23" t="n">
        <v>44377</v>
      </c>
      <c r="B191" s="9" t="n">
        <v>19006.88</v>
      </c>
      <c r="C191" s="31">
        <f>(B191/B190-1)/(A191-A190)*30</f>
        <v/>
      </c>
      <c r="D191" s="25">
        <f>+D190*(1+C191)</f>
        <v/>
      </c>
      <c r="F191" s="23" t="n">
        <v>44377</v>
      </c>
      <c r="G191" s="98" t="n">
        <v>1018.052</v>
      </c>
      <c r="H191" s="98">
        <f>+G191+$S$144</f>
        <v/>
      </c>
      <c r="I191" s="31">
        <f>+(H191/H190-1)/(F191-F190)*30</f>
        <v/>
      </c>
      <c r="J191" s="24">
        <f>+J190*(1+I191)</f>
        <v/>
      </c>
      <c r="K191" s="9" t="n">
        <v>4909.0847</v>
      </c>
      <c r="L191" s="31">
        <f>+(K191/K190-1)/(F191-F190)*30</f>
        <v/>
      </c>
      <c r="M191" s="25">
        <f>+M190*(1+L191)</f>
        <v/>
      </c>
    </row>
    <row r="192">
      <c r="A192" s="23" t="n">
        <v>44408</v>
      </c>
      <c r="B192" s="9" t="n">
        <v>19016.42</v>
      </c>
      <c r="C192" s="31">
        <f>(B192/B191-1)/(A192-A191)*30</f>
        <v/>
      </c>
      <c r="D192" s="25">
        <f>+D191*(1+C192)</f>
        <v/>
      </c>
      <c r="F192" s="23" t="n">
        <v>44408</v>
      </c>
      <c r="G192" s="98" t="n">
        <v>1019.8124</v>
      </c>
      <c r="H192" s="98">
        <f>+G192+$S$144</f>
        <v/>
      </c>
      <c r="I192" s="31">
        <f>+(H192/H191-1)/(F192-F191)*30</f>
        <v/>
      </c>
      <c r="J192" s="24">
        <f>+J191*(1+I192)</f>
        <v/>
      </c>
      <c r="K192" s="9" t="n">
        <v>4909.3885</v>
      </c>
      <c r="L192" s="31">
        <f>+(K192/K191-1)/(F192-F191)*30</f>
        <v/>
      </c>
      <c r="M192" s="25">
        <f>+M191*(1+L192)</f>
        <v/>
      </c>
    </row>
    <row r="193">
      <c r="A193" s="23" t="n">
        <v>44439</v>
      </c>
      <c r="B193" s="9" t="n">
        <v>19028.38</v>
      </c>
      <c r="C193" s="31">
        <f>(B193/B192-1)/(A193-A192)*30</f>
        <v/>
      </c>
      <c r="D193" s="25">
        <f>+D192*(1+C193)</f>
        <v/>
      </c>
      <c r="F193" s="23" t="n">
        <v>44439</v>
      </c>
      <c r="G193" s="98" t="n">
        <v>1021.0467</v>
      </c>
      <c r="H193" s="98">
        <f>+G193+$S$144</f>
        <v/>
      </c>
      <c r="I193" s="31">
        <f>+(H193/H192-1)/(F193-F192)*30</f>
        <v/>
      </c>
      <c r="J193" s="24">
        <f>+J192*(1+I193)</f>
        <v/>
      </c>
      <c r="K193" s="9" t="n">
        <v>4909.6931</v>
      </c>
      <c r="L193" s="31">
        <f>+(K193/K192-1)/(F193-F192)*30</f>
        <v/>
      </c>
      <c r="M193" s="25">
        <f>+M192*(1+L193)</f>
        <v/>
      </c>
    </row>
    <row r="194">
      <c r="A194" s="23" t="n">
        <v>44469</v>
      </c>
      <c r="B194" s="9" t="n">
        <v>19052.12</v>
      </c>
      <c r="C194" s="31">
        <f>(B194/B193-1)/(A194-A193)*30</f>
        <v/>
      </c>
      <c r="D194" s="25">
        <f>+D193*(1+C194)</f>
        <v/>
      </c>
      <c r="F194" s="23" t="n">
        <v>44469</v>
      </c>
      <c r="G194" s="98" t="n">
        <v>1022.6123</v>
      </c>
      <c r="H194" s="98">
        <f>+G194+$S$144</f>
        <v/>
      </c>
      <c r="I194" s="31">
        <f>+(H194/H193-1)/(F194-F193)*30</f>
        <v/>
      </c>
      <c r="J194" s="24">
        <f>+J193*(1+I194)</f>
        <v/>
      </c>
      <c r="K194" s="24" t="n">
        <v>4909.1149</v>
      </c>
      <c r="L194" s="31">
        <f>+(K194/K193-1)/(F194-F193)*30</f>
        <v/>
      </c>
      <c r="M194" s="25">
        <f>+M193*(1+L194)</f>
        <v/>
      </c>
    </row>
    <row r="195">
      <c r="A195" s="23" t="n">
        <v>44500</v>
      </c>
      <c r="B195" s="9" t="n">
        <v>19091.59</v>
      </c>
      <c r="C195" s="31">
        <f>(B195/B194-1)/(A195-A194)*30</f>
        <v/>
      </c>
      <c r="D195" s="25">
        <f>+D194*(1+C195)</f>
        <v/>
      </c>
      <c r="F195" s="23" t="n">
        <v>44500</v>
      </c>
      <c r="G195" s="98" t="n">
        <v>1024.1445</v>
      </c>
      <c r="H195" s="98">
        <f>+G195+$S$144</f>
        <v/>
      </c>
      <c r="I195" s="31">
        <f>+(H195/H194-1)/(F195-F194)*30</f>
        <v/>
      </c>
      <c r="J195" s="24">
        <f>+J194*(1+I195)</f>
        <v/>
      </c>
      <c r="K195" s="24" t="n">
        <v>4914.1336</v>
      </c>
      <c r="L195" s="31">
        <f>+(K195/K194-1)/(F195-F194)*30</f>
        <v/>
      </c>
      <c r="M195" s="25">
        <f>+M194*(1+L195)</f>
        <v/>
      </c>
    </row>
    <row r="196">
      <c r="A196" s="23" t="n">
        <v>44530</v>
      </c>
      <c r="B196" s="9" t="n">
        <v>19132.47</v>
      </c>
      <c r="C196" s="31">
        <f>(B196/B195-1)/(A196-A195)*30</f>
        <v/>
      </c>
      <c r="D196" s="25">
        <f>+D195*(1+C196)</f>
        <v/>
      </c>
      <c r="F196" s="23" t="n">
        <v>44530</v>
      </c>
      <c r="G196" s="98" t="n">
        <v>1025.8292</v>
      </c>
      <c r="H196" s="98">
        <f>+G196+$S$144</f>
        <v/>
      </c>
      <c r="I196" s="31">
        <f>+(H196/H195-1)/(F196-F195)*30</f>
        <v/>
      </c>
      <c r="J196" s="24">
        <f>+J195*(1+I196)</f>
        <v/>
      </c>
      <c r="K196" s="24" t="n">
        <v>4920.3216</v>
      </c>
      <c r="L196" s="31">
        <f>+(K196/K195-1)/(F196-F195)*30</f>
        <v/>
      </c>
      <c r="M196" s="25">
        <f>+M195*(1+L196)</f>
        <v/>
      </c>
    </row>
    <row r="197">
      <c r="A197" s="23" t="n">
        <v>44561</v>
      </c>
      <c r="B197" s="9" t="n">
        <v>19193.41</v>
      </c>
      <c r="C197" s="31">
        <f>(B197/B196-1)/(A197-A196)*30</f>
        <v/>
      </c>
      <c r="D197" s="25">
        <f>+D196*(1+C197)</f>
        <v/>
      </c>
      <c r="F197" s="23" t="n">
        <v>44561</v>
      </c>
      <c r="G197" s="98">
        <f>1017.437</f>
        <v/>
      </c>
      <c r="H197" s="98">
        <f>+G197+$S$144+$S$146</f>
        <v/>
      </c>
      <c r="I197" s="31">
        <f>+(H197/H196-1)/(F197-F196)*30</f>
        <v/>
      </c>
      <c r="J197" s="24">
        <f>+J196*(1+I197)</f>
        <v/>
      </c>
      <c r="K197" s="24" t="n">
        <v>4929.2918</v>
      </c>
      <c r="L197" s="31">
        <f>+(K197/K196-1)/(F197-F196)*30</f>
        <v/>
      </c>
      <c r="M197" s="25">
        <f>+M196*(1+L197)</f>
        <v/>
      </c>
    </row>
    <row r="198">
      <c r="A198" s="23" t="n">
        <v>44592</v>
      </c>
      <c r="B198" s="9" t="n">
        <v>19259.35</v>
      </c>
      <c r="C198" s="31">
        <f>(B198/B197-1)/(A198-A197)*30</f>
        <v/>
      </c>
      <c r="D198" s="25">
        <f>+D197*(1+C198)</f>
        <v/>
      </c>
      <c r="F198" s="23" t="n">
        <v>44592</v>
      </c>
      <c r="G198" s="98" t="n">
        <v>1020.9926</v>
      </c>
      <c r="H198" s="98">
        <f>+G198+$S$144+$S$146</f>
        <v/>
      </c>
      <c r="I198" s="31">
        <f>+(H198/H197-1)/(F198-F197)*30</f>
        <v/>
      </c>
      <c r="J198" s="24">
        <f>+J197*(1+I198)</f>
        <v/>
      </c>
      <c r="K198" s="9" t="n">
        <v>4941.9683</v>
      </c>
      <c r="L198" s="31">
        <f>+(K198/K197-1)/(F198-F197)*30</f>
        <v/>
      </c>
      <c r="M198" s="25">
        <f>+M197*(1+L198)</f>
        <v/>
      </c>
    </row>
    <row r="199">
      <c r="A199" s="23" t="n">
        <v>44620</v>
      </c>
      <c r="B199" s="25" t="n">
        <v>19341.9</v>
      </c>
      <c r="C199" s="31">
        <f>(B199/B198-1)/(A199-A198)*30</f>
        <v/>
      </c>
      <c r="D199" s="25">
        <f>+D198*(1+C199)</f>
        <v/>
      </c>
      <c r="F199" s="23" t="n">
        <v>44620</v>
      </c>
      <c r="G199" s="98" t="n">
        <v>1025.2676</v>
      </c>
      <c r="H199" s="98">
        <f>+G199+$S$144+$S$146</f>
        <v/>
      </c>
      <c r="I199" s="31">
        <f>+(H199/H198-1)/(F199-F198)*30</f>
        <v/>
      </c>
      <c r="J199" s="24">
        <f>+J198*(1+I199)</f>
        <v/>
      </c>
      <c r="K199" s="24" t="n">
        <v>4958.2785</v>
      </c>
      <c r="L199" s="31">
        <f>+(K199/K198-1)/(F199-F198)*30</f>
        <v/>
      </c>
      <c r="M199" s="25">
        <f>+M198*(1+L199)</f>
        <v/>
      </c>
    </row>
    <row r="200">
      <c r="A200" s="23" t="n">
        <v>44651</v>
      </c>
      <c r="B200" s="9" t="n">
        <v>19435.35</v>
      </c>
      <c r="C200" s="31">
        <f>(B200/B199-1)/(A200-A199)*30</f>
        <v/>
      </c>
      <c r="D200" s="25">
        <f>+D199*(1+C200)</f>
        <v/>
      </c>
      <c r="F200" s="23" t="n">
        <v>44651</v>
      </c>
      <c r="G200" s="98" t="n">
        <v>1030.1517</v>
      </c>
      <c r="H200" s="98">
        <f>+G200+$S$144+$S$146</f>
        <v/>
      </c>
      <c r="I200" s="31">
        <f>+(H200/H199-1)/(F200-F199)*30</f>
        <v/>
      </c>
      <c r="J200" s="24">
        <f>+J199*(1+I200)</f>
        <v/>
      </c>
      <c r="K200" s="9" t="n">
        <v>4977.0833</v>
      </c>
      <c r="L200" s="31">
        <f>+(K200/K199-1)/(F200-F199)*30</f>
        <v/>
      </c>
      <c r="M200" s="25">
        <f>+M199*(1+L200)</f>
        <v/>
      </c>
    </row>
    <row r="201">
      <c r="A201" s="23" t="n">
        <v>44681</v>
      </c>
      <c r="B201" s="9" t="n">
        <v>19541.32</v>
      </c>
      <c r="C201" s="31">
        <f>(B201/B200-1)/(A201-A200)*30</f>
        <v/>
      </c>
      <c r="D201" s="25">
        <f>+D200*(1+C201)</f>
        <v/>
      </c>
      <c r="F201" s="23" t="n">
        <v>44681</v>
      </c>
      <c r="G201" s="98" t="n">
        <v>1036.8144</v>
      </c>
      <c r="H201" s="98">
        <f>+G201+$S$144+$S$146</f>
        <v/>
      </c>
      <c r="I201" s="31">
        <f>+(H201/H200-1)/(F201-F200)*30</f>
        <v/>
      </c>
      <c r="J201" s="24">
        <f>+J200*(1+I201)</f>
        <v/>
      </c>
      <c r="K201" s="9" t="n">
        <v>4999.8366</v>
      </c>
      <c r="L201" s="31">
        <f>+(K201/K200-1)/(F201-F200)*30</f>
        <v/>
      </c>
      <c r="M201" s="25">
        <f>+M200*(1+L201)</f>
        <v/>
      </c>
    </row>
    <row r="202">
      <c r="A202" s="23" t="n">
        <v>44712</v>
      </c>
      <c r="B202" s="9" t="n">
        <v>19680.32</v>
      </c>
      <c r="C202" s="31">
        <f>(B202/B201-1)/(A202-A201)*30</f>
        <v/>
      </c>
      <c r="D202" s="25">
        <f>+D201*(1+C202)</f>
        <v/>
      </c>
      <c r="F202" s="23" t="n">
        <v>44712</v>
      </c>
      <c r="G202" s="98" t="n">
        <v>1045.4495</v>
      </c>
      <c r="H202" s="98">
        <f>+G202+$S$144+$S$146</f>
        <v/>
      </c>
      <c r="I202" s="31">
        <f>+(H202/H201-1)/(F202-F201)*30</f>
        <v/>
      </c>
      <c r="J202" s="24">
        <f>+J201*(1+I202)</f>
        <v/>
      </c>
      <c r="K202" s="9" t="n">
        <v>5027.3885</v>
      </c>
      <c r="L202" s="31">
        <f>+(K202/K201-1)/(F202-F201)*30</f>
        <v/>
      </c>
      <c r="M202" s="25">
        <f>+M201*(1+L202)</f>
        <v/>
      </c>
    </row>
    <row r="203">
      <c r="A203" s="23" t="n">
        <v>44742</v>
      </c>
      <c r="B203" s="9" t="n">
        <v>19825.16</v>
      </c>
      <c r="C203" s="31">
        <f>(B203/B202-1)/(A203-A202)*30</f>
        <v/>
      </c>
      <c r="D203" s="25">
        <f>+D202*(1+C203)</f>
        <v/>
      </c>
      <c r="F203" s="23" t="n">
        <v>44742</v>
      </c>
      <c r="G203" s="98" t="n">
        <v>1053.7766</v>
      </c>
      <c r="H203" s="98">
        <f>+G203+$S$144+$S$146</f>
        <v/>
      </c>
      <c r="I203" s="31">
        <f>+(H203/H202-1)/(F203-F202)*30</f>
        <v/>
      </c>
      <c r="J203" s="24">
        <f>+J202*(1+I203)</f>
        <v/>
      </c>
      <c r="K203" s="24" t="n">
        <v>5056.9676</v>
      </c>
      <c r="L203" s="31">
        <f>+(K203/K202-1)/(F203-F202)*30</f>
        <v/>
      </c>
      <c r="M203" s="25">
        <f>+M202*(1+L203)</f>
        <v/>
      </c>
    </row>
    <row r="204">
      <c r="A204" s="23" t="n">
        <v>44773</v>
      </c>
      <c r="B204" s="9" t="n">
        <v>19975.62</v>
      </c>
      <c r="C204" s="31">
        <f>(B204/B203-1)/(A204-A203)*30</f>
        <v/>
      </c>
      <c r="D204" s="25">
        <f>+D203*(1+C204)</f>
        <v/>
      </c>
      <c r="F204" s="23" t="n">
        <v>44773</v>
      </c>
      <c r="G204" s="98" t="n">
        <v>1062.6043</v>
      </c>
      <c r="H204" s="98">
        <f>+G204+$S$144+$S$146</f>
        <v/>
      </c>
      <c r="I204" s="31">
        <f>+(H204/H203-1)/(F204-F203)*30</f>
        <v/>
      </c>
      <c r="J204" s="24">
        <f>+J203*(1+I204)</f>
        <v/>
      </c>
      <c r="K204" s="9" t="n">
        <v>5089.8979</v>
      </c>
      <c r="L204" s="31">
        <f>+(K204/K203-1)/(F204-F203)*30</f>
        <v/>
      </c>
      <c r="M204" s="25">
        <f>+M203*(1+L204)</f>
        <v/>
      </c>
    </row>
    <row r="205">
      <c r="A205" s="23" t="n">
        <v>44804</v>
      </c>
      <c r="B205" s="9" t="n">
        <v>20154.92</v>
      </c>
      <c r="C205" s="31">
        <f>(B205/B204-1)/(A205-A204)*30</f>
        <v/>
      </c>
      <c r="D205" s="25">
        <f>+D204*(1+C205)</f>
        <v/>
      </c>
      <c r="F205" s="23" t="n">
        <v>44804</v>
      </c>
      <c r="G205" s="98" t="n">
        <v>1072.1203</v>
      </c>
      <c r="H205" s="98">
        <f>+G205+$S$144+$S$146</f>
        <v/>
      </c>
      <c r="I205" s="31">
        <f>+(H205/H204-1)/(F205-F204)*30</f>
        <v/>
      </c>
      <c r="J205" s="24">
        <f>+J204*(1+I205)</f>
        <v/>
      </c>
      <c r="K205" s="24" t="n">
        <v>5125.6822</v>
      </c>
      <c r="L205" s="31">
        <f>+(K205/K204-1)/(F205-F204)*30</f>
        <v/>
      </c>
      <c r="M205" s="25">
        <f>+M204*(1+L205)</f>
        <v/>
      </c>
    </row>
    <row r="206">
      <c r="A206" s="23" t="n">
        <v>44834</v>
      </c>
      <c r="B206" s="9" t="n">
        <v>20332.28</v>
      </c>
      <c r="C206" s="31">
        <f>(B206/B205-1)/(A206-A205)*30</f>
        <v/>
      </c>
      <c r="D206" s="25">
        <f>+D205*(1+C206)</f>
        <v/>
      </c>
      <c r="F206" s="23" t="n">
        <v>44834</v>
      </c>
      <c r="G206" s="98" t="n">
        <v>1081.6292</v>
      </c>
      <c r="H206" s="98">
        <f>+G206+$S$144+$S$146</f>
        <v/>
      </c>
      <c r="I206" s="31">
        <f>+(H206/H205-1)/(F206-F205)*30</f>
        <v/>
      </c>
      <c r="J206" s="24">
        <f>+J205*(1+I206)</f>
        <v/>
      </c>
      <c r="K206" s="24" t="n">
        <v>5163.2829</v>
      </c>
      <c r="L206" s="31">
        <f>+(K206/K205-1)/(F206-F205)*30</f>
        <v/>
      </c>
      <c r="M206" s="25">
        <f>+M205*(1+L206)</f>
        <v/>
      </c>
    </row>
    <row r="207">
      <c r="A207" s="23" t="n">
        <v>44862</v>
      </c>
      <c r="B207" s="9" t="n">
        <v>20507.2</v>
      </c>
      <c r="C207" s="31">
        <f>(B207/B206-1)/(A207-A206)*30</f>
        <v/>
      </c>
      <c r="D207" s="25">
        <f>+D206*(1+C207)</f>
        <v/>
      </c>
      <c r="F207" s="23" t="n">
        <v>44862</v>
      </c>
      <c r="G207" s="98" t="n">
        <v>1091.8318</v>
      </c>
      <c r="H207" s="98">
        <f>+G207+$S$144+$S$146</f>
        <v/>
      </c>
      <c r="I207" s="31">
        <f>+(H207/H206-1)/(F207-F206)*30</f>
        <v/>
      </c>
      <c r="J207" s="24">
        <f>+J206*(1+I207)</f>
        <v/>
      </c>
      <c r="K207" s="24" t="n">
        <v>5200.6767</v>
      </c>
      <c r="L207" s="31">
        <f>+(K207/K206-1)/(F207-F206)*30</f>
        <v/>
      </c>
      <c r="M207" s="25">
        <f>+M206*(1+L207)</f>
        <v/>
      </c>
    </row>
    <row r="208">
      <c r="A208" s="23" t="n">
        <v>44895</v>
      </c>
      <c r="B208" s="9" t="n">
        <v>20719.68</v>
      </c>
      <c r="C208" s="31">
        <f>(B208/B207-1)/(A208-A207)*30</f>
        <v/>
      </c>
      <c r="D208" s="25">
        <f>+D207*(1+C208)</f>
        <v/>
      </c>
      <c r="F208" s="23" t="n">
        <v>44895</v>
      </c>
      <c r="G208" s="98" t="n">
        <v>1104.1543</v>
      </c>
      <c r="H208" s="98">
        <f>+G208+$S$144+$S$146</f>
        <v/>
      </c>
      <c r="I208" s="31">
        <f>+(H208/H207-1)/(F208-F207)*30</f>
        <v/>
      </c>
      <c r="J208" s="24">
        <f>+J207*(1+I208)</f>
        <v/>
      </c>
      <c r="K208" s="9" t="n">
        <v>5246.14</v>
      </c>
      <c r="L208" s="31">
        <f>+(K208/K207-1)/(F208-F207)*30</f>
        <v/>
      </c>
      <c r="M208" s="25">
        <f>+M207*(1+L208)</f>
        <v/>
      </c>
    </row>
    <row r="209">
      <c r="A209" s="23" t="n">
        <v>44925</v>
      </c>
      <c r="B209" s="9" t="n">
        <v>20914.79</v>
      </c>
      <c r="C209" s="31">
        <f>(B209/B208-1)/(A209-A208)*30</f>
        <v/>
      </c>
      <c r="D209" s="25">
        <f>+D208*(1+C209)</f>
        <v/>
      </c>
      <c r="F209" s="23" t="n">
        <v>44925</v>
      </c>
      <c r="G209" s="98" t="n">
        <v>1115.4246</v>
      </c>
      <c r="H209" s="98">
        <f>+G209+$S$144+$S$146</f>
        <v/>
      </c>
      <c r="I209" s="31">
        <f>+(H209/H208-1)/(F209-F208)*30</f>
        <v/>
      </c>
      <c r="J209" s="24">
        <f>+J208*(1+I209)</f>
        <v/>
      </c>
      <c r="K209" s="9" t="n">
        <v>5287.7323</v>
      </c>
      <c r="L209" s="31">
        <f>+(K209/K208-1)/(F209-F208)*30</f>
        <v/>
      </c>
      <c r="M209" s="25">
        <f>+M208*(1+L209)</f>
        <v/>
      </c>
    </row>
    <row r="210">
      <c r="A210" s="23" t="n">
        <v>44957</v>
      </c>
      <c r="B210" s="9" t="n">
        <v>21124.92</v>
      </c>
      <c r="C210" s="31">
        <f>(B210/B209-1)/(A210-A209)*30</f>
        <v/>
      </c>
      <c r="D210" s="25">
        <f>+D209*(1+C210)</f>
        <v/>
      </c>
      <c r="F210" s="23" t="n">
        <v>44957</v>
      </c>
      <c r="G210" s="98" t="n">
        <v>1095.3566</v>
      </c>
      <c r="H210" s="98">
        <f>+G210+$S$144+$S$146+$S$148</f>
        <v/>
      </c>
      <c r="I210" s="31">
        <f>+(H210/H209-1)/(F210-F209)*30</f>
        <v/>
      </c>
      <c r="J210" s="24">
        <f>+J209*(1+I210)</f>
        <v/>
      </c>
      <c r="K210" s="9" t="n">
        <v>5332.3677</v>
      </c>
      <c r="L210" s="31">
        <f>+(K210/K209-1)/(F210-F209)*30</f>
        <v/>
      </c>
      <c r="M210" s="25">
        <f>+M209*(1+L210)</f>
        <v/>
      </c>
    </row>
    <row r="211">
      <c r="A211" s="23" t="n">
        <v>44985</v>
      </c>
      <c r="B211" s="9" t="n">
        <v>21310.51</v>
      </c>
      <c r="C211" s="31">
        <f>(B211/B210-1)/(A211-A210)*30</f>
        <v/>
      </c>
      <c r="D211" s="25">
        <f>+D210*(1+C211)</f>
        <v/>
      </c>
      <c r="F211" s="23" t="n">
        <v>44985</v>
      </c>
      <c r="G211" s="98" t="n">
        <v>1107.1148</v>
      </c>
      <c r="H211" s="98">
        <f>+G211+$S$144+$S$146+$S$148</f>
        <v/>
      </c>
      <c r="I211" s="31">
        <f>+(H211/H210-1)/(F211-F210)*30</f>
        <v/>
      </c>
      <c r="J211" s="24">
        <f>+J210*(1+I211)</f>
        <v/>
      </c>
      <c r="K211" s="9" t="n">
        <v>5371.762</v>
      </c>
      <c r="L211" s="31">
        <f>+(K211/K210-1)/(F211-F210)*30</f>
        <v/>
      </c>
      <c r="M211" s="25">
        <f>+M210*(1+L211)</f>
        <v/>
      </c>
    </row>
    <row r="212">
      <c r="A212" s="23" t="n">
        <v>45016</v>
      </c>
      <c r="B212" s="9" t="n">
        <v>21517.9</v>
      </c>
      <c r="C212" s="31">
        <f>(B212/B211-1)/(A212-A211)*30</f>
        <v/>
      </c>
      <c r="D212" s="25">
        <f>+D211*(1+C212)</f>
        <v/>
      </c>
      <c r="F212" s="23" t="n">
        <v>45016</v>
      </c>
      <c r="G212" s="98" t="n">
        <v>1119.549</v>
      </c>
      <c r="H212" s="98">
        <f>+G212+$S$144+$S$146+$S$148</f>
        <v/>
      </c>
      <c r="I212" s="31">
        <f>+(H212/H211-1)/(F212-F211)*30</f>
        <v/>
      </c>
      <c r="J212" s="24">
        <f>+J211*(1+I212)</f>
        <v/>
      </c>
      <c r="K212" s="9" t="n">
        <v>5415.8662</v>
      </c>
      <c r="L212" s="31">
        <f>+(K212/K211-1)/(F212-F211)*30</f>
        <v/>
      </c>
      <c r="M212" s="25">
        <f>+M211*(1+L212)</f>
        <v/>
      </c>
    </row>
    <row r="213">
      <c r="A213" s="23" t="n">
        <v>45044</v>
      </c>
      <c r="B213" s="9" t="n">
        <v>21706.94</v>
      </c>
      <c r="C213" s="31">
        <f>(B213/B212-1)/(A213-A212)*30</f>
        <v/>
      </c>
      <c r="D213" s="25">
        <f>+D212*(1+C213)</f>
        <v/>
      </c>
      <c r="F213" s="23" t="n">
        <v>45044</v>
      </c>
      <c r="G213" s="98" t="n">
        <v>1131.1157</v>
      </c>
      <c r="H213" s="98">
        <f>+G213+$S$144+$S$146+$S$148</f>
        <v/>
      </c>
      <c r="I213" s="31">
        <f>+(H213/H212-1)/(F213-F212)*30</f>
        <v/>
      </c>
      <c r="J213" s="24">
        <f>+J212*(1+I213)</f>
        <v/>
      </c>
      <c r="K213" s="9" t="n">
        <v>5456.2587</v>
      </c>
      <c r="L213" s="31">
        <f>+(K213/K212-1)/(F213-F212)*30</f>
        <v/>
      </c>
      <c r="M213" s="25">
        <f>+M212*(1+L213)</f>
        <v/>
      </c>
    </row>
    <row r="214">
      <c r="A214" s="23" t="n">
        <v>45077</v>
      </c>
      <c r="B214" s="9" t="n">
        <v>21931.86</v>
      </c>
      <c r="C214" s="31">
        <f>(B214/B213-1)/(A214-A213)*30</f>
        <v/>
      </c>
      <c r="D214" s="25">
        <f>+D213*(1+C214)</f>
        <v/>
      </c>
      <c r="F214" s="23" t="n">
        <v>45077</v>
      </c>
      <c r="G214" s="98" t="n">
        <v>1144.5479</v>
      </c>
      <c r="H214" s="98">
        <f>+G214+$S$144+$S$146+$S$148</f>
        <v/>
      </c>
      <c r="I214" s="31">
        <f>+(H214/H213-1)/(F214-F213)*30</f>
        <v/>
      </c>
      <c r="J214" s="24">
        <f>+J213*(1+I214)</f>
        <v/>
      </c>
      <c r="K214" s="24" t="n">
        <v>5504.4106</v>
      </c>
      <c r="L214" s="31">
        <f>+(K214/K213-1)/(F214-F213)*30</f>
        <v/>
      </c>
      <c r="M214" s="25">
        <f>+M213*(1+L214)</f>
        <v/>
      </c>
    </row>
    <row r="215">
      <c r="A215" s="23" t="n">
        <v>45107</v>
      </c>
      <c r="B215" s="9" t="n">
        <v>22138.35</v>
      </c>
      <c r="C215" s="31">
        <f>(B215/B214-1)/(A215-A214)*30</f>
        <v/>
      </c>
      <c r="D215" s="25">
        <f>+D214*(1+C215)</f>
        <v/>
      </c>
      <c r="F215" s="23" t="n">
        <v>45107</v>
      </c>
      <c r="G215" s="98" t="n">
        <v>1156.8927</v>
      </c>
      <c r="H215" s="98">
        <f>+G215+$S$144+$S$146+$S$148</f>
        <v/>
      </c>
      <c r="I215" s="31">
        <f>+(H215/H214-1)/(F215-F214)*30</f>
        <v/>
      </c>
      <c r="J215" s="24">
        <f>+J214*(1+I215)</f>
        <v/>
      </c>
      <c r="K215" s="9" t="n">
        <v>5548.4618</v>
      </c>
      <c r="L215" s="31">
        <f>+(K215/K214-1)/(F215-F214)*30</f>
        <v/>
      </c>
      <c r="M215" s="25">
        <f>+M214*(1+L215)</f>
        <v/>
      </c>
    </row>
    <row r="216">
      <c r="A216" s="23" t="n">
        <v>45138</v>
      </c>
      <c r="B216" s="9" t="n">
        <v>22353.79</v>
      </c>
      <c r="C216" s="31">
        <f>(B216/B215-1)/(A216-A215)*30</f>
        <v/>
      </c>
      <c r="D216" s="25">
        <f>+D215*(1+C216)</f>
        <v/>
      </c>
      <c r="F216" s="23" t="n">
        <v>45138</v>
      </c>
      <c r="G216" s="98" t="n">
        <v>1169.9022</v>
      </c>
      <c r="H216" s="98">
        <f>+G216+$S$144+$S$146+$S$148</f>
        <v/>
      </c>
      <c r="I216" s="31">
        <f>+(H216/H215-1)/(F216-F215)*30</f>
        <v/>
      </c>
      <c r="J216" s="24">
        <f>+J215*(1+I216)</f>
        <v/>
      </c>
      <c r="K216" s="9" t="n">
        <v>5593.984</v>
      </c>
      <c r="L216" s="31">
        <f>+(K216/K215-1)/(F216-F215)*30</f>
        <v/>
      </c>
      <c r="M216" s="25">
        <f>+M215*(1+L216)</f>
        <v/>
      </c>
    </row>
    <row r="217">
      <c r="A217" s="23" t="n">
        <v>45169</v>
      </c>
      <c r="B217" s="9" t="n">
        <v>22551.92</v>
      </c>
      <c r="C217" s="31">
        <f>(B217/B216-1)/(A217-A216)*30</f>
        <v/>
      </c>
      <c r="D217" s="25">
        <f>+D216*(1+C217)</f>
        <v/>
      </c>
      <c r="F217" s="23" t="n">
        <v>45169</v>
      </c>
      <c r="G217" s="98" t="n">
        <v>1181.7359</v>
      </c>
      <c r="H217" s="98">
        <f>+G217+$S$144+$S$146+$S$148</f>
        <v/>
      </c>
      <c r="I217" s="31">
        <f>+(H217/H216-1)/(F217-F216)*30</f>
        <v/>
      </c>
      <c r="J217" s="24">
        <f>+J216*(1+I217)</f>
        <v/>
      </c>
      <c r="K217" s="24" t="n">
        <v>5636.4775</v>
      </c>
      <c r="L217" s="31">
        <f>+(K217/K216-1)/(F217-F216)*30</f>
        <v/>
      </c>
      <c r="M217" s="25">
        <f>+M216*(1+L217)</f>
        <v/>
      </c>
    </row>
    <row r="218">
      <c r="A218" s="23" t="n">
        <v>45199</v>
      </c>
      <c r="B218" s="9" t="n">
        <v>22727.72</v>
      </c>
      <c r="C218" s="31">
        <f>(B218/B217-1)/(A218-A217)*30</f>
        <v/>
      </c>
      <c r="D218" s="25">
        <f>+D217*(1+C218)</f>
        <v/>
      </c>
      <c r="F218" s="23" t="n">
        <v>45199</v>
      </c>
      <c r="G218" s="98" t="n">
        <v>1193.1985</v>
      </c>
      <c r="H218" s="98">
        <f>+G218+$S$144+$S$146+$S$148</f>
        <v/>
      </c>
      <c r="I218" s="31">
        <f>+(H218/H217-1)/(F218-F217)*30</f>
        <v/>
      </c>
      <c r="J218" s="24">
        <f>+J217*(1+I218)</f>
        <v/>
      </c>
      <c r="K218" s="9" t="n">
        <v>5674.72</v>
      </c>
      <c r="L218" s="31">
        <f>+(K218/K217-1)/(F218-F217)*30</f>
        <v/>
      </c>
      <c r="M218" s="25">
        <f>+M217*(1+L218)</f>
        <v/>
      </c>
    </row>
    <row r="219">
      <c r="A219" s="23" t="n">
        <v>45230</v>
      </c>
      <c r="B219" s="25" t="n">
        <v>22920</v>
      </c>
      <c r="C219" s="31">
        <f>(B219/B218-1)/(A219-A218)*30</f>
        <v/>
      </c>
      <c r="D219" s="25">
        <f>+D218*(1+C219)</f>
        <v/>
      </c>
      <c r="F219" s="23" t="n">
        <v>45230</v>
      </c>
      <c r="G219" s="98" t="n">
        <v>1204.6477</v>
      </c>
      <c r="H219" s="98">
        <f>+G219+$S$144+$S$146+$S$148</f>
        <v/>
      </c>
      <c r="I219" s="31">
        <f>+(H219/H218-1)/(F219-F218)*30</f>
        <v/>
      </c>
      <c r="J219" s="24">
        <f>+J218*(1+I219)</f>
        <v/>
      </c>
      <c r="K219" s="9" t="n">
        <v>5712.6049</v>
      </c>
      <c r="L219" s="31">
        <f>+(K219/K218-1)/(F219-F218)*30</f>
        <v/>
      </c>
      <c r="M219" s="25">
        <f>+M218*(1+L219)</f>
        <v/>
      </c>
    </row>
    <row r="220">
      <c r="A220" s="23" t="n">
        <v>45260</v>
      </c>
      <c r="B220" s="9" t="n">
        <v>23092.51</v>
      </c>
      <c r="C220" s="31">
        <f>(B220/B219-1)/(A220-A219)*30</f>
        <v/>
      </c>
      <c r="D220" s="25">
        <f>+D219*(1+C220)</f>
        <v/>
      </c>
      <c r="F220" s="23" t="n">
        <v>45260</v>
      </c>
      <c r="G220" s="98" t="n">
        <v>1215.554</v>
      </c>
      <c r="H220" s="98">
        <f>+G220+$S$144+$S$146+$S$148</f>
        <v/>
      </c>
      <c r="I220" s="31">
        <f>+(H220/H219-1)/(F220-F219)*30</f>
        <v/>
      </c>
      <c r="J220" s="24">
        <f>+J219*(1+I220)</f>
        <v/>
      </c>
      <c r="K220" s="9" t="n">
        <v>5747.8492</v>
      </c>
      <c r="L220" s="31">
        <f>+(K220/K219-1)/(F220-F219)*30</f>
        <v/>
      </c>
      <c r="M220" s="25">
        <f>+M219*(1+L220)</f>
        <v/>
      </c>
    </row>
    <row r="221">
      <c r="A221" s="23" t="n">
        <v>45291</v>
      </c>
      <c r="B221" s="9" t="n">
        <v>23256.05</v>
      </c>
      <c r="C221" s="31">
        <f>(B221/B220-1)/(A221-A220)*30</f>
        <v/>
      </c>
      <c r="D221" s="25">
        <f>+D220*(1+C221)</f>
        <v/>
      </c>
      <c r="F221" s="23" t="n">
        <v>45291</v>
      </c>
      <c r="G221" s="98" t="n">
        <v>1226.0614</v>
      </c>
      <c r="H221" s="98">
        <f>+G221+$S$144+$S$146+$S$148</f>
        <v/>
      </c>
      <c r="I221" s="31">
        <f>+(H221/H220-1)/(F221-F220)*30</f>
        <v/>
      </c>
      <c r="J221" s="24">
        <f>+J220*(1+I221)</f>
        <v/>
      </c>
      <c r="K221" s="9" t="n">
        <v>5782.92</v>
      </c>
      <c r="L221" s="31">
        <f>+(K221/K220-1)/(F221-F220)*30</f>
        <v/>
      </c>
      <c r="M221" s="25">
        <f>+M220*(1+L221)</f>
        <v/>
      </c>
    </row>
    <row r="222">
      <c r="A222" s="23" t="n">
        <v>45322</v>
      </c>
      <c r="B222" s="9" t="n">
        <v>23427.15</v>
      </c>
      <c r="C222" s="31">
        <f>(B222/B221-1)/(A222-A221)*30</f>
        <v/>
      </c>
      <c r="D222" s="25">
        <f>+D221*(1+C222)</f>
        <v/>
      </c>
      <c r="F222" s="23" t="n">
        <v>45322</v>
      </c>
      <c r="G222" s="98" t="n">
        <v>1236.797</v>
      </c>
      <c r="H222" s="98">
        <f>+G222+$S$144+$S$146+$S$148</f>
        <v/>
      </c>
      <c r="I222" s="31">
        <f>+(H222/H221-1)/(F222-F221)*30</f>
        <v/>
      </c>
      <c r="J222" s="24">
        <f>+J221*(1+I222)</f>
        <v/>
      </c>
      <c r="K222" s="9" t="n">
        <v>5816.8769</v>
      </c>
      <c r="L222" s="31">
        <f>+(K222/K221-1)/(F222-F221)*30</f>
        <v/>
      </c>
      <c r="M222" s="25">
        <f>+M221*(1+L222)</f>
        <v/>
      </c>
    </row>
    <row r="223">
      <c r="A223" s="23" t="n">
        <v>45351</v>
      </c>
      <c r="B223" s="9" t="n">
        <v>23570.34</v>
      </c>
      <c r="C223" s="31">
        <f>(B223/B222-1)/(A223-A222)*30</f>
        <v/>
      </c>
      <c r="D223" s="25">
        <f>+D222*(1+C223)</f>
        <v/>
      </c>
      <c r="F223" s="23" t="n">
        <v>45351</v>
      </c>
      <c r="G223" s="98" t="n">
        <v>1245.4612</v>
      </c>
      <c r="H223" s="98">
        <f>+G223+$S$144+$S$146+$S$148</f>
        <v/>
      </c>
      <c r="I223" s="31">
        <f>+(H223/H222-1)/(F223-F222)*30</f>
        <v/>
      </c>
      <c r="J223" s="24">
        <f>+J222*(1+I223)</f>
        <v/>
      </c>
      <c r="K223" s="9" t="n">
        <v>5846.4552</v>
      </c>
      <c r="L223" s="31">
        <f>+(K223/K222-1)/(F223-F222)*30</f>
        <v/>
      </c>
      <c r="M223" s="25">
        <f>+M222*(1+L223)</f>
        <v/>
      </c>
    </row>
    <row r="224">
      <c r="A224" s="23" t="n">
        <v>45379</v>
      </c>
      <c r="B224" s="9" t="n">
        <v>23703.45</v>
      </c>
      <c r="C224" s="31">
        <f>(B224/B223-1)/(A224-A223)*30</f>
        <v/>
      </c>
      <c r="D224" s="25">
        <f>+D223*(1+C224)</f>
        <v/>
      </c>
      <c r="F224" s="23" t="n">
        <v>45379</v>
      </c>
      <c r="G224" s="98" t="n">
        <v>1253.3446</v>
      </c>
      <c r="H224" s="98">
        <f>+G224+$S$144+$S$146+$S$148</f>
        <v/>
      </c>
      <c r="I224" s="31">
        <f>+(H224/H223-1)/(F224-F223)*30</f>
        <v/>
      </c>
      <c r="J224" s="24">
        <f>+J223*(1+I224)</f>
        <v/>
      </c>
      <c r="K224" s="9" t="n">
        <v>5872.4728</v>
      </c>
      <c r="L224" s="31">
        <f>+(K224/K223-1)/(F224-F223)*30</f>
        <v/>
      </c>
      <c r="M224" s="25">
        <f>+M223*(1+L224)</f>
        <v/>
      </c>
    </row>
    <row r="225">
      <c r="A225" s="23" t="n">
        <v>45412</v>
      </c>
      <c r="B225" s="9" t="n">
        <v>23847.87</v>
      </c>
      <c r="C225" s="31">
        <f>(B225/B224-1)/(A225-A224)*30</f>
        <v/>
      </c>
      <c r="D225" s="25">
        <f>+D224*(1+C225)</f>
        <v/>
      </c>
      <c r="F225" s="23" t="n">
        <v>45412</v>
      </c>
      <c r="G225" s="98" t="n">
        <v>1262.5028</v>
      </c>
      <c r="H225" s="98">
        <f>+G225+$S$144+$S$146+$S$148</f>
        <v/>
      </c>
      <c r="I225" s="31">
        <f>+(H225/H224-1)/(F225-F224)*30</f>
        <v/>
      </c>
      <c r="J225" s="24">
        <f>+J224*(1+I225)</f>
        <v/>
      </c>
      <c r="K225" s="9" t="n">
        <v>5900.1916</v>
      </c>
      <c r="L225" s="31">
        <f>+(K225/K224-1)/(F225-F224)*30</f>
        <v/>
      </c>
      <c r="M225" s="25">
        <f>+M224*(1+L225)</f>
        <v/>
      </c>
    </row>
    <row r="226">
      <c r="A226" s="23" t="n">
        <v>45443</v>
      </c>
      <c r="B226" s="9" t="n">
        <v>23979.37</v>
      </c>
      <c r="C226" s="31">
        <f>(B226/B225-1)/(A226-A225)*30</f>
        <v/>
      </c>
      <c r="D226" s="25">
        <f>+D225*(1+C226)</f>
        <v/>
      </c>
      <c r="F226" s="23" t="n">
        <v>45443</v>
      </c>
      <c r="G226" s="98" t="n">
        <v>1270.4178</v>
      </c>
      <c r="H226" s="98">
        <f>+G226+$S$144+$S$146+$S$148</f>
        <v/>
      </c>
      <c r="I226" s="31">
        <f>+(H226/H225-1)/(F226-F225)*30</f>
        <v/>
      </c>
      <c r="J226" s="24">
        <f>+J225*(1+I226)</f>
        <v/>
      </c>
      <c r="K226" s="9" t="n">
        <v>5924.7824</v>
      </c>
      <c r="L226" s="31">
        <f>+(K226/K225-1)/(F226-F225)*30</f>
        <v/>
      </c>
      <c r="M226" s="25">
        <f>+M225*(1+L226)</f>
        <v/>
      </c>
    </row>
    <row r="227">
      <c r="A227" s="23" t="n">
        <v>45473</v>
      </c>
      <c r="B227" s="25" t="n">
        <v>24090</v>
      </c>
      <c r="C227" s="31">
        <f>(B227/B226-1)/(A227-A226)*30</f>
        <v/>
      </c>
      <c r="D227" s="25">
        <f>+D226*(1+C227)</f>
        <v/>
      </c>
      <c r="F227" s="23" t="n">
        <v>45473</v>
      </c>
      <c r="G227" s="98" t="n">
        <v>1277.6226</v>
      </c>
      <c r="H227" s="98">
        <f>+G227+$S$144+$S$146+$S$148</f>
        <v/>
      </c>
      <c r="I227" s="31">
        <f>+(H227/H226-1)/(F227-F226)*30</f>
        <v/>
      </c>
      <c r="J227" s="24">
        <f>+J226*(1+I227)</f>
        <v/>
      </c>
      <c r="K227" s="9" t="n">
        <v>5946.409</v>
      </c>
      <c r="L227" s="31">
        <f>+(K227/K226-1)/(F227-F226)*30</f>
        <v/>
      </c>
      <c r="M227" s="25">
        <f>+M226*(1+L227)</f>
        <v/>
      </c>
    </row>
    <row r="228">
      <c r="A228" s="23" t="n">
        <v>45504</v>
      </c>
      <c r="B228" s="9" t="n">
        <v>24217.3</v>
      </c>
      <c r="C228" s="31">
        <f>(B228/B227-1)/(A228-A227)*30</f>
        <v/>
      </c>
      <c r="D228" s="25">
        <f>+D227*(1+C228)</f>
        <v/>
      </c>
      <c r="F228" s="23" t="n">
        <v>45504</v>
      </c>
      <c r="G228" s="98" t="n">
        <v>1284.3892</v>
      </c>
      <c r="H228" s="98">
        <f>+G228+$S$144+$S$146+$S$148</f>
        <v/>
      </c>
      <c r="I228" s="31">
        <f>+(H228/H227-1)/(F228-F227)*30</f>
        <v/>
      </c>
      <c r="J228" s="24">
        <f>+J227*(1+I228)</f>
        <v/>
      </c>
      <c r="K228" s="9" t="n">
        <v>5968.019</v>
      </c>
      <c r="L228" s="31">
        <f>+(K228/K227-1)/(F228-F227)*30</f>
        <v/>
      </c>
      <c r="M228" s="25">
        <f>+M227*(1+L228)</f>
        <v/>
      </c>
    </row>
    <row r="229">
      <c r="A229" s="23" t="n">
        <v>45535</v>
      </c>
      <c r="B229" s="9" t="n">
        <v>24333.6</v>
      </c>
      <c r="C229" s="31">
        <f>(B229/B228-1)/(A229-A228)*30</f>
        <v/>
      </c>
      <c r="D229" s="25">
        <f>+D228*(1+C229)</f>
        <v/>
      </c>
      <c r="F229" s="23" t="n">
        <v>45535</v>
      </c>
      <c r="G229" s="98" t="n">
        <v>1291.7416</v>
      </c>
      <c r="H229" s="98">
        <f>+G229+$S$144+$S$146+$S$148</f>
        <v/>
      </c>
      <c r="I229" s="31">
        <f>+(H229/H228-1)/(F229-F228)*30</f>
        <v/>
      </c>
      <c r="J229" s="24">
        <f>+J228*(1+I229)</f>
        <v/>
      </c>
      <c r="K229" s="9" t="n">
        <v>5989.669</v>
      </c>
      <c r="L229" s="31">
        <f>+(K229/K228-1)/(F229-F228)*30</f>
        <v/>
      </c>
      <c r="M229" s="25">
        <f>+M228*(1+L229)</f>
        <v/>
      </c>
    </row>
    <row r="230">
      <c r="A230" s="23" t="n">
        <v>45565</v>
      </c>
      <c r="B230" s="9" t="n">
        <v>24449.94</v>
      </c>
      <c r="C230" s="31">
        <f>(B230/B229-1)/(A230-A229)*30</f>
        <v/>
      </c>
      <c r="D230" s="25">
        <f>+D229*(1+C230)</f>
        <v/>
      </c>
      <c r="F230" s="23" t="n">
        <v>45565</v>
      </c>
      <c r="G230" s="98" t="n">
        <v>1298.8529</v>
      </c>
      <c r="H230" s="98">
        <f>+G230+$S$144+$S$146+$S$148</f>
        <v/>
      </c>
      <c r="I230" s="31">
        <f>+(H230/H229-1)/(F230-F229)*30</f>
        <v/>
      </c>
      <c r="J230" s="24">
        <f>+J229*(1+I230)</f>
        <v/>
      </c>
      <c r="K230" s="9" t="n">
        <v>6009.8868</v>
      </c>
      <c r="L230" s="31">
        <f>+(K230/K229-1)/(F230-F229)*30</f>
        <v/>
      </c>
      <c r="M230" s="25">
        <f>+M229*(1+L230)</f>
        <v/>
      </c>
    </row>
    <row r="231">
      <c r="A231" s="23" t="n">
        <v>45596</v>
      </c>
      <c r="B231" s="9" t="n">
        <v>24560.22</v>
      </c>
      <c r="C231" s="31">
        <f>(B231/B230-1)/(A231-A230)*30</f>
        <v/>
      </c>
      <c r="D231" s="25">
        <f>+D230*(1+C231)</f>
        <v/>
      </c>
      <c r="F231" s="23" t="n">
        <v>45596</v>
      </c>
      <c r="G231" s="98" t="n">
        <v>1305.6027</v>
      </c>
      <c r="H231" s="98">
        <f>+G231+$S$144+$S$146+$S$148</f>
        <v/>
      </c>
      <c r="I231" s="31">
        <f>+(H231/H230-1)/(F231-F230)*30</f>
        <v/>
      </c>
      <c r="J231" s="24">
        <f>+J230*(1+I231)</f>
        <v/>
      </c>
      <c r="K231" s="9" t="n">
        <v>6030.3854</v>
      </c>
      <c r="L231" s="31">
        <f>+(K231/K230-1)/(F231-F230)*30</f>
        <v/>
      </c>
      <c r="M231" s="25">
        <f>+M230*(1+L231)</f>
        <v/>
      </c>
    </row>
    <row r="232">
      <c r="A232" s="23" t="n">
        <v>45626</v>
      </c>
      <c r="B232" s="9" t="n">
        <v>24667.9</v>
      </c>
      <c r="C232" s="31">
        <f>(B232/B231-1)/(A232-A231)*30</f>
        <v/>
      </c>
      <c r="D232" s="25">
        <f>+D231*(1+C232)</f>
        <v/>
      </c>
      <c r="F232" s="23" t="n">
        <v>45626</v>
      </c>
      <c r="G232" s="98" t="n">
        <v>1312.4161</v>
      </c>
      <c r="H232" s="98">
        <f>+G232+$S$144+$S$146+$S$148</f>
        <v/>
      </c>
      <c r="I232" s="31">
        <f>+(H232/H231-1)/(F232-F231)*30</f>
        <v/>
      </c>
      <c r="J232" s="24">
        <f>+J231*(1+I232)</f>
        <v/>
      </c>
      <c r="K232" s="9" t="n">
        <v>6049.8055</v>
      </c>
      <c r="L232" s="31">
        <f>+(K232/K231-1)/(F232-F231)*30</f>
        <v/>
      </c>
      <c r="M232" s="25">
        <f>+M231*(1+L232)</f>
        <v/>
      </c>
    </row>
    <row r="233">
      <c r="A233" s="23" t="n">
        <v>45657</v>
      </c>
      <c r="B233" s="9" t="n">
        <v>24777.58</v>
      </c>
      <c r="C233" s="31">
        <f>(B233/B232-1)/(A233-A232)*30</f>
        <v/>
      </c>
      <c r="D233" s="25">
        <f>+D232*(1+C233)</f>
        <v/>
      </c>
      <c r="F233" s="23" t="n">
        <v>45657</v>
      </c>
      <c r="G233" s="98" t="n">
        <v>1294.3776</v>
      </c>
      <c r="H233" s="98">
        <f>+G233+$S$144+$S$146+$S$148+$S$150</f>
        <v/>
      </c>
      <c r="I233" s="31">
        <f>+(H233/H232-1)/(F233-F232)*30</f>
        <v/>
      </c>
      <c r="J233" s="24">
        <f>+J232*(1+I233)</f>
        <v/>
      </c>
      <c r="K233" s="9" t="n">
        <v>6069.3455</v>
      </c>
      <c r="L233" s="31">
        <f>+(K233/K232-1)/(F233-F232)*30</f>
        <v/>
      </c>
      <c r="M233" s="25">
        <f>+M232*(1+L233)</f>
        <v/>
      </c>
    </row>
    <row r="234">
      <c r="A234" s="23" t="n">
        <v>45688</v>
      </c>
      <c r="B234" s="9" t="n">
        <v>24887.95</v>
      </c>
      <c r="C234" s="31">
        <f>(B234/B233-1)/(A234-A233)*30</f>
        <v/>
      </c>
      <c r="D234" s="25">
        <f>+D233*(1+C234)</f>
        <v/>
      </c>
      <c r="F234" s="23" t="n">
        <v>45688</v>
      </c>
      <c r="G234" s="98" t="n">
        <v>1300.7619</v>
      </c>
      <c r="H234" s="98">
        <f>+G234+$S$144+$S$146+$S$148+$S$150</f>
        <v/>
      </c>
      <c r="I234" s="31">
        <f>+(H234/H233-1)/(F234-F233)*30</f>
        <v/>
      </c>
      <c r="J234" s="24">
        <f>+J233*(1+I234)</f>
        <v/>
      </c>
      <c r="K234" s="9" t="n">
        <v>6087.6762</v>
      </c>
      <c r="L234" s="31">
        <f>+(K234/K233-1)/(F234-F233)*30</f>
        <v/>
      </c>
      <c r="M234" s="25">
        <f>+M233*(1+L234)</f>
        <v/>
      </c>
    </row>
    <row r="235">
      <c r="A235" s="23" t="n">
        <v>45716</v>
      </c>
      <c r="B235" s="9" t="n">
        <v>24984.92</v>
      </c>
      <c r="C235" s="31">
        <f>(B235/B234-1)/(A235-A234)*30</f>
        <v/>
      </c>
      <c r="D235" s="25">
        <f>+D234*(1+C235)</f>
        <v/>
      </c>
      <c r="F235" s="23" t="n">
        <v>45716</v>
      </c>
      <c r="G235" s="98" t="n">
        <v>1307.2424</v>
      </c>
      <c r="H235" s="98">
        <f>+G235+$S$144+$S$146+$S$148+$S$150</f>
        <v/>
      </c>
      <c r="I235" s="31">
        <f>+(H235/H234-1)/(F235-F234)*30</f>
        <v/>
      </c>
      <c r="J235" s="24">
        <f>+J234*(1+I235)</f>
        <v/>
      </c>
      <c r="K235" s="9" t="n">
        <v>6104.4912</v>
      </c>
      <c r="L235" s="31">
        <f>+(K235/K234-1)/(F235-F234)*30</f>
        <v/>
      </c>
      <c r="M235" s="25">
        <f>+M234*(1+L235)</f>
        <v/>
      </c>
    </row>
    <row r="236">
      <c r="A236" s="23" t="n">
        <v>45747</v>
      </c>
      <c r="B236" s="9" t="n">
        <v>25092.7</v>
      </c>
      <c r="C236" s="31">
        <f>(B236/B235-1)/(A236-A235)*30</f>
        <v/>
      </c>
      <c r="D236" s="25">
        <f>+D235*(1+C236)</f>
        <v/>
      </c>
      <c r="F236" s="23" t="n">
        <v>45747</v>
      </c>
      <c r="G236" s="98" t="n">
        <v>1315.5221</v>
      </c>
      <c r="H236" s="98">
        <f>+G236+$S$144+$S$146+$S$148+$S$150</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98" t="n">
        <v>1324.3201</v>
      </c>
      <c r="H237" s="98">
        <f>+G237+$S$144+$S$146+$S$148+$S$150</f>
        <v/>
      </c>
      <c r="I237" s="31">
        <f>+(H237/H236-1)/(F237-F236)*30</f>
        <v/>
      </c>
      <c r="J237" s="24">
        <f>+J236*(1+I237)</f>
        <v/>
      </c>
      <c r="K237" s="9" t="n">
        <v>6141.4105</v>
      </c>
      <c r="L237" s="31">
        <f>+(K237/K236-1)/(F237-F236)*30</f>
        <v/>
      </c>
      <c r="M237" s="25">
        <f>+M236*(1+L237)</f>
        <v/>
      </c>
    </row>
    <row r="238">
      <c r="A238" s="23" t="n">
        <v>45808</v>
      </c>
      <c r="B238" s="9" t="n">
        <v>25302.66</v>
      </c>
      <c r="C238" s="31">
        <f>(B238/B237-1)/(A238-A237)*30</f>
        <v/>
      </c>
      <c r="D238" s="25">
        <f>+D237*(1+C238)</f>
        <v/>
      </c>
      <c r="F238" s="23" t="n">
        <v>45808</v>
      </c>
      <c r="G238" s="98" t="n">
        <v>1333.253</v>
      </c>
      <c r="H238" s="98">
        <f>+G238+$S$144+$S$146+$S$148+$S$150</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98" t="n">
        <v>1341.4112</v>
      </c>
      <c r="H239" s="98">
        <f>+G239+$S$144+$S$146+$S$148+$S$150</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98" t="n">
        <v>1349.3165</v>
      </c>
      <c r="H240" s="98">
        <f>+G240+$S$144+$S$146+$S$148+$S$150</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98" t="n">
        <v>1357.6708</v>
      </c>
      <c r="H241" s="98">
        <f>+G241+$S$144+$S$146+$S$148+$S$150</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98" t="n">
        <v>1365.4092</v>
      </c>
      <c r="H242" s="98">
        <f>+G242+$S$144+$S$146+$S$148+$S$150</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98" t="n">
        <v>1373.4771</v>
      </c>
      <c r="H243" s="98">
        <f>+G243+$S$144+$S$146+$S$148+$S$150</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98" t="n">
        <v>1381.5279</v>
      </c>
      <c r="H244" s="98">
        <f>+G244+$S$144+$S$146+$S$148+$S$150</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111" t="n">
        <v>1389.8568</v>
      </c>
      <c r="H245" s="98">
        <f>+G245+$S$144+$S$146+$S$148+$S$150</f>
        <v/>
      </c>
      <c r="I245" s="31">
        <f>+(H245/H244-1)/(F245-F244)*30</f>
        <v/>
      </c>
      <c r="J245" s="24">
        <f>+J244*(1+I245)</f>
        <v/>
      </c>
      <c r="K245" s="9" t="n">
        <v>6285.9566</v>
      </c>
      <c r="L245" s="31">
        <f>+(K245/K244-1)/(F245-F244)*30</f>
        <v/>
      </c>
      <c r="M245" s="25">
        <f>+M244*(1+L245)</f>
        <v/>
      </c>
    </row>
    <row r="246">
      <c r="A246" s="23" t="n">
        <v>46053</v>
      </c>
      <c r="B246" s="9" t="n">
        <v>26136.9</v>
      </c>
      <c r="C246" s="31">
        <f>(B246/B245-1)/(A246-A245)*30</f>
        <v/>
      </c>
      <c r="D246" s="25">
        <f>+D245*(1+C246)</f>
        <v/>
      </c>
      <c r="F246" s="23" t="n">
        <v>46053</v>
      </c>
      <c r="G246" s="111" t="n">
        <v>1398.3867</v>
      </c>
      <c r="H246" s="98">
        <f>+G246+$S$144+$S$146+$S$148+$S$150</f>
        <v/>
      </c>
      <c r="I246" s="31">
        <f>+(H246/H245-1)/(F246-F245)*30</f>
        <v/>
      </c>
      <c r="J246" s="24">
        <f>+J245*(1+I246)</f>
        <v/>
      </c>
      <c r="K246" s="9" t="n">
        <v>6303.0823</v>
      </c>
      <c r="L246" s="31">
        <f>+(K246/K245-1)/(F246-F245)*30</f>
        <v/>
      </c>
      <c r="M246" s="25">
        <f>+M245*(1+L246)</f>
        <v/>
      </c>
    </row>
    <row r="247">
      <c r="A247" s="90" t="n">
        <v>46081</v>
      </c>
      <c r="B247" s="91" t="n">
        <v>26231.81</v>
      </c>
      <c r="C247" s="31">
        <f>(B247/B246-1)/(A247-A246)*30</f>
        <v/>
      </c>
      <c r="D247" s="25">
        <f>+D246*(1+C247)</f>
        <v/>
      </c>
      <c r="F247" s="90" t="n">
        <v>46081</v>
      </c>
      <c r="G247" s="111" t="n">
        <v>1406.3789</v>
      </c>
      <c r="H247" s="98">
        <f>+G247+$S$144+$S$146+$S$148+$S$150</f>
        <v/>
      </c>
      <c r="I247" s="31">
        <f>+(H247/H246-1)/(F247-F246)*30</f>
        <v/>
      </c>
      <c r="J247" s="24">
        <f>+J246*(1+I247)</f>
        <v/>
      </c>
      <c r="K247" s="92" t="n">
        <v>6318.4947</v>
      </c>
      <c r="L247" s="31">
        <f>+(K247/K246-1)/(F247-F246)*30</f>
        <v/>
      </c>
      <c r="M247" s="25">
        <f>+M246*(1+L247)</f>
        <v/>
      </c>
    </row>
    <row r="248">
      <c r="A248" s="90" t="n">
        <v>46112</v>
      </c>
      <c r="B248" s="91" t="n">
        <v>26333.64</v>
      </c>
      <c r="C248" s="31">
        <f>(B248/B247-1)/(A248-A247)*30</f>
        <v/>
      </c>
      <c r="D248" s="25">
        <f>+D247*(1+C248)</f>
        <v/>
      </c>
      <c r="F248" s="90" t="n">
        <v>46112</v>
      </c>
      <c r="G248" s="112" t="n">
        <v>1415.1743</v>
      </c>
      <c r="H248" s="98">
        <f>+G248+$S$144+$S$146+$S$148+$S$150</f>
        <v/>
      </c>
      <c r="I248" s="31">
        <f>+(H248/H247-1)/(F248-F247)*30</f>
        <v/>
      </c>
      <c r="J248" s="24">
        <f>+J247*(1+I248)</f>
        <v/>
      </c>
      <c r="K248" s="93" t="n">
        <v>6335.4774</v>
      </c>
      <c r="L248" s="31">
        <f>+(K248/K247-1)/(F248-F247)*30</f>
        <v/>
      </c>
      <c r="M248" s="25">
        <f>+M247*(1+L248)</f>
        <v/>
      </c>
    </row>
    <row r="249">
      <c r="A249" s="23" t="n">
        <v>46142</v>
      </c>
      <c r="B249" s="9" t="n">
        <v>26432.56</v>
      </c>
      <c r="C249" s="31">
        <f>(B249/B248-1)/(A249-A248)*30</f>
        <v/>
      </c>
      <c r="D249" s="25">
        <f>+D248*(1+C249)</f>
        <v/>
      </c>
      <c r="F249" s="23" t="n">
        <v>46142</v>
      </c>
      <c r="G249" s="111" t="n">
        <v>1423.943</v>
      </c>
      <c r="H249" s="98">
        <f>+G249+$S$144+$S$146+$S$148+$S$150</f>
        <v/>
      </c>
      <c r="I249" s="31">
        <f>+(H249/H248-1)/(F249-F248)*30</f>
        <v/>
      </c>
      <c r="J249" s="24">
        <f>+J248*(1+I249)</f>
        <v/>
      </c>
      <c r="K249" s="9" t="n">
        <v>6351.9305</v>
      </c>
      <c r="L249" s="31">
        <f>+(K249/K248-1)/(F249-F248)*30</f>
        <v/>
      </c>
      <c r="M249" s="25">
        <f>+M248*(1+L249)</f>
        <v/>
      </c>
    </row>
    <row r="250">
      <c r="A250" s="116" t="n">
        <v>46173</v>
      </c>
      <c r="B250" t="n">
        <v>26535.18</v>
      </c>
      <c r="C250">
        <f>(B250/B249-1)/(A250-A249)*30</f>
        <v/>
      </c>
      <c r="D250">
        <f>+D249*(1+C250)</f>
        <v/>
      </c>
      <c r="F250" s="116" t="n">
        <v>46173</v>
      </c>
      <c r="G250" t="n">
        <v>1432.9144</v>
      </c>
      <c r="H250">
        <f>+G250+$S$148+$S$150+$S$152+$S$154+$S$156+$S$158</f>
        <v/>
      </c>
      <c r="I250">
        <f>+(H250/H249-1)/(F250-F249)*30</f>
        <v/>
      </c>
      <c r="J250">
        <f>+J249*(1+I250)</f>
        <v/>
      </c>
      <c r="K250" t="n">
        <v>6368.94</v>
      </c>
      <c r="L250">
        <f>+(K250/K249-1)/(F250-F249)*30</f>
        <v/>
      </c>
      <c r="M250">
        <f>+M249*(1+L250)</f>
        <v/>
      </c>
    </row>
    <row r="251">
      <c r="A251" s="116" t="n">
        <v>46203</v>
      </c>
      <c r="B251" t="n">
        <v>26634.69</v>
      </c>
      <c r="C251">
        <f>(B251/B250-1)/(A251-A250)*30</f>
        <v/>
      </c>
      <c r="D251">
        <f>+D250*(1+C251)</f>
        <v/>
      </c>
      <c r="F251" s="116" t="n">
        <v>46203</v>
      </c>
      <c r="G251" t="n">
        <v>1441.5792</v>
      </c>
      <c r="H251">
        <f>+G251+$S$148+$S$150+$S$152+$S$154+$S$156+$S$158</f>
        <v/>
      </c>
      <c r="I251">
        <f>+(H251/H250-1)/(F251-F250)*30</f>
        <v/>
      </c>
      <c r="J251">
        <f>+J250*(1+I251)</f>
        <v/>
      </c>
      <c r="K251" t="n">
        <v>6385.6713</v>
      </c>
      <c r="L251">
        <f>+(K251/K250-1)/(F251-F250)*30</f>
        <v/>
      </c>
      <c r="M251">
        <f>+M250*(1+L251)</f>
        <v/>
      </c>
    </row>
  </sheetData>
  <mergeCells count="5">
    <mergeCell ref="AC57:AC59"/>
    <mergeCell ref="AV30:AV31"/>
    <mergeCell ref="AC54:AC56"/>
    <mergeCell ref="AC48:AC50"/>
    <mergeCell ref="AC51:AC53"/>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8"/>
  <sheetViews>
    <sheetView showGridLines="0" tabSelected="1" zoomScale="70" zoomScaleNormal="70" workbookViewId="0">
      <selection activeCell="E26" sqref="E26:H28"/>
    </sheetView>
  </sheetViews>
  <sheetFormatPr baseColWidth="8" defaultColWidth="11.42578125" defaultRowHeight="15"/>
  <cols>
    <col width="7.7109375" customWidth="1" style="7" min="3" max="3"/>
    <col width="15.28515625" customWidth="1" min="4" max="4"/>
    <col width="7.28515625" customWidth="1" min="5" max="16"/>
    <col width="10.140625" customWidth="1" min="17" max="17"/>
    <col width="17" customWidth="1" min="19" max="19"/>
    <col width="9" bestFit="1" customWidth="1" min="20" max="20"/>
    <col width="11.140625" bestFit="1" customWidth="1" min="21" max="21"/>
    <col width="10.85546875" bestFit="1" customWidth="1" min="22" max="22"/>
    <col width="6.85546875" bestFit="1" customWidth="1" min="23" max="23"/>
    <col width="12.28515625" customWidth="1" min="24" max="24"/>
  </cols>
  <sheetData>
    <row r="1" ht="25.5" customHeight="1">
      <c r="C1" s="78" t="n"/>
      <c r="D1" s="79" t="n"/>
      <c r="E1" s="79" t="n"/>
      <c r="F1" s="79" t="n"/>
      <c r="G1" s="79" t="n"/>
      <c r="H1" s="79" t="n"/>
      <c r="I1" s="79" t="n"/>
      <c r="J1" s="79" t="n"/>
      <c r="K1" s="79" t="n"/>
      <c r="L1" s="79" t="n"/>
      <c r="M1" s="79" t="n"/>
      <c r="N1" s="79" t="n"/>
      <c r="O1" s="79" t="n"/>
      <c r="P1" s="79" t="n"/>
      <c r="Q1" s="79" t="n"/>
      <c r="R1" s="79" t="n"/>
      <c r="S1" s="81" t="inlineStr">
        <is>
          <t>Rentabilidad</t>
        </is>
      </c>
      <c r="T1" s="82" t="inlineStr">
        <is>
          <t>Mensual</t>
        </is>
      </c>
      <c r="U1" s="82" t="inlineStr">
        <is>
          <t>Trimestral</t>
        </is>
      </c>
      <c r="V1" s="82" t="inlineStr">
        <is>
          <t>Semestral</t>
        </is>
      </c>
      <c r="W1" s="82" t="inlineStr">
        <is>
          <t>Anual</t>
        </is>
      </c>
      <c r="X1" s="83" t="inlineStr">
        <is>
          <t>Acum
2026 (*)</t>
        </is>
      </c>
    </row>
    <row r="2">
      <c r="C2" s="78" t="n"/>
      <c r="D2" s="79" t="n"/>
      <c r="E2" s="79" t="n"/>
      <c r="F2" s="79" t="n"/>
      <c r="G2" s="79" t="n"/>
      <c r="H2" s="79" t="n"/>
      <c r="I2" s="79" t="n"/>
      <c r="J2" s="79" t="n"/>
      <c r="K2" s="79" t="n"/>
      <c r="L2" s="79" t="n"/>
      <c r="M2" s="79" t="n"/>
      <c r="N2" s="79" t="n"/>
      <c r="O2" s="79" t="n"/>
      <c r="P2" s="79" t="n"/>
      <c r="Q2" s="79" t="n"/>
      <c r="R2" s="79" t="n"/>
      <c r="S2" s="78" t="inlineStr">
        <is>
          <t>ICP (Benchmark)</t>
        </is>
      </c>
      <c r="T2" s="84">
        <f>+'Datos ICP (2)'!AX30</f>
        <v/>
      </c>
      <c r="U2" s="84">
        <f>+'Datos ICP (2)'!AY30</f>
        <v/>
      </c>
      <c r="V2" s="84">
        <f>+'Datos ICP (2)'!AZ30</f>
        <v/>
      </c>
      <c r="W2" s="84">
        <f>+'Datos ICP (2)'!BA30</f>
        <v/>
      </c>
      <c r="X2" s="84">
        <f>+'Datos ICP (2)'!BB30</f>
        <v/>
      </c>
    </row>
    <row r="3">
      <c r="C3" s="78" t="n"/>
      <c r="D3" s="79" t="n"/>
      <c r="E3" s="79" t="n"/>
      <c r="F3" s="79" t="n"/>
      <c r="G3" s="79" t="n"/>
      <c r="H3" s="79" t="n"/>
      <c r="I3" s="79" t="n"/>
      <c r="J3" s="79" t="n"/>
      <c r="K3" s="79" t="n"/>
      <c r="L3" s="79" t="n"/>
      <c r="M3" s="79" t="n"/>
      <c r="N3" s="79" t="n"/>
      <c r="O3" s="79" t="n"/>
      <c r="P3" s="79" t="n"/>
      <c r="Q3" s="79" t="n"/>
      <c r="R3" s="79" t="n"/>
      <c r="S3" s="78" t="inlineStr">
        <is>
          <t>Competencia</t>
        </is>
      </c>
      <c r="T3" s="84">
        <f>+'Datos ICP (2)'!AX31</f>
        <v/>
      </c>
      <c r="U3" s="84">
        <f>+'Datos ICP (2)'!AY31</f>
        <v/>
      </c>
      <c r="V3" s="84">
        <f>+'Datos ICP (2)'!AZ31</f>
        <v/>
      </c>
      <c r="W3" s="84">
        <f>+'Datos ICP (2)'!BA31</f>
        <v/>
      </c>
      <c r="X3" s="84">
        <f>+'Datos ICP (2)'!BB31</f>
        <v/>
      </c>
    </row>
    <row r="4">
      <c r="C4" s="78" t="n"/>
      <c r="D4" s="79" t="n"/>
      <c r="E4" s="79" t="n"/>
      <c r="F4" s="79" t="n"/>
      <c r="G4" s="79" t="n"/>
      <c r="H4" s="79" t="n"/>
      <c r="I4" s="79" t="n"/>
      <c r="J4" s="79" t="n"/>
      <c r="K4" s="79" t="n"/>
      <c r="L4" s="79" t="n"/>
      <c r="M4" s="79" t="n"/>
      <c r="N4" s="79" t="n"/>
      <c r="O4" s="79" t="n"/>
      <c r="P4" s="79" t="n"/>
      <c r="Q4" s="79" t="n"/>
      <c r="R4" s="79" t="n"/>
      <c r="S4" s="78" t="inlineStr">
        <is>
          <t>FIP LIQUIDEZ I</t>
        </is>
      </c>
      <c r="T4" s="84">
        <f>+'Datos ICP (2)'!AX32</f>
        <v/>
      </c>
      <c r="U4" s="84">
        <f>+'Datos ICP (2)'!AY32</f>
        <v/>
      </c>
      <c r="V4" s="84">
        <f>+'Datos ICP (2)'!AZ32</f>
        <v/>
      </c>
      <c r="W4" s="84">
        <f>+'Datos ICP (2)'!BA32</f>
        <v/>
      </c>
      <c r="X4" s="84">
        <f>+'Datos ICP (2)'!BB32</f>
        <v/>
      </c>
    </row>
    <row r="5">
      <c r="B5" s="8" t="n"/>
      <c r="C5" s="78" t="n"/>
      <c r="D5" s="79" t="n"/>
      <c r="E5" s="79" t="n"/>
      <c r="F5" s="79" t="n"/>
      <c r="G5" s="79" t="n"/>
      <c r="H5" s="79" t="n"/>
      <c r="I5" s="79" t="n"/>
      <c r="J5" s="79" t="n"/>
      <c r="K5" s="79" t="n"/>
      <c r="L5" s="79" t="n"/>
      <c r="M5" s="79" t="n"/>
      <c r="N5" s="79" t="n"/>
      <c r="O5" s="79" t="n"/>
      <c r="P5" s="79" t="n"/>
      <c r="Q5" s="79" t="n"/>
      <c r="R5" s="79" t="n"/>
      <c r="S5" s="79" t="n"/>
      <c r="T5" s="79" t="n"/>
      <c r="U5" s="79" t="n"/>
      <c r="V5" s="79" t="n"/>
      <c r="W5" s="79" t="n"/>
      <c r="X5" s="79" t="n"/>
    </row>
    <row r="6" ht="25.5" customHeight="1">
      <c r="B6" s="8" t="n"/>
      <c r="C6" s="81" t="inlineStr">
        <is>
          <t>Año</t>
        </is>
      </c>
      <c r="D6" s="86" t="inlineStr">
        <is>
          <t>Fondo</t>
        </is>
      </c>
      <c r="E6" s="82" t="inlineStr">
        <is>
          <t>Ene</t>
        </is>
      </c>
      <c r="F6" s="82" t="inlineStr">
        <is>
          <t>Feb</t>
        </is>
      </c>
      <c r="G6" s="82" t="inlineStr">
        <is>
          <t>Mar</t>
        </is>
      </c>
      <c r="H6" s="82" t="inlineStr">
        <is>
          <t>Abr</t>
        </is>
      </c>
      <c r="I6" s="82" t="inlineStr">
        <is>
          <t>May</t>
        </is>
      </c>
      <c r="J6" s="82" t="inlineStr">
        <is>
          <t>Jun</t>
        </is>
      </c>
      <c r="K6" s="82" t="inlineStr">
        <is>
          <t>Jul</t>
        </is>
      </c>
      <c r="L6" s="82" t="inlineStr">
        <is>
          <t>Ago</t>
        </is>
      </c>
      <c r="M6" s="82" t="inlineStr">
        <is>
          <t>Sep</t>
        </is>
      </c>
      <c r="N6" s="82" t="inlineStr">
        <is>
          <t>Oct</t>
        </is>
      </c>
      <c r="O6" s="82" t="inlineStr">
        <is>
          <t>Nov</t>
        </is>
      </c>
      <c r="P6" s="82" t="inlineStr">
        <is>
          <t>Dic</t>
        </is>
      </c>
      <c r="Q6" s="83" t="inlineStr">
        <is>
          <t>Total
Año</t>
        </is>
      </c>
      <c r="R6" s="80" t="n"/>
      <c r="S6" s="79" t="n"/>
      <c r="T6" s="79" t="n"/>
      <c r="U6" s="79" t="n"/>
      <c r="V6" s="79" t="n"/>
      <c r="W6" s="79" t="n"/>
      <c r="X6" s="79" t="n"/>
    </row>
    <row r="7" ht="10.15" customHeight="1">
      <c r="B7" s="8" t="n"/>
      <c r="C7" s="78" t="n"/>
      <c r="D7" s="79" t="n"/>
      <c r="E7" s="85" t="n"/>
      <c r="F7" s="85" t="n"/>
      <c r="G7" s="85" t="n"/>
      <c r="H7" s="85" t="n"/>
      <c r="I7" s="85" t="n"/>
      <c r="J7" s="85" t="n"/>
      <c r="K7" s="85" t="n"/>
      <c r="L7" s="85" t="n"/>
      <c r="M7" s="85" t="n"/>
      <c r="N7" s="85" t="n"/>
      <c r="O7" s="85" t="n"/>
      <c r="P7" s="85" t="n"/>
      <c r="Q7" s="85" t="n"/>
      <c r="R7" s="80" t="n"/>
      <c r="S7" s="79" t="n"/>
      <c r="T7" s="79" t="n"/>
      <c r="U7" s="79" t="n"/>
      <c r="V7" s="79" t="n"/>
      <c r="W7" s="79" t="n"/>
      <c r="X7" s="79" t="n"/>
    </row>
    <row r="8" ht="15" customHeight="1">
      <c r="C8" s="78" t="n">
        <v>2020</v>
      </c>
      <c r="D8" s="79" t="inlineStr">
        <is>
          <t>ICP</t>
        </is>
      </c>
      <c r="E8" s="84" t="n"/>
      <c r="F8" s="84" t="n"/>
      <c r="G8" s="84" t="n"/>
      <c r="H8" s="84" t="n"/>
      <c r="I8" s="84" t="n">
        <v>0.0004561809880891943</v>
      </c>
      <c r="J8" s="84" t="n">
        <v>0.0004559729818836011</v>
      </c>
      <c r="K8" s="84" t="n">
        <v>0.0004557651652823402</v>
      </c>
      <c r="L8" s="84" t="n">
        <v>0.0002708007149561098</v>
      </c>
      <c r="M8" s="84" t="n">
        <v>0.0003810237506562952</v>
      </c>
      <c r="N8" s="84">
        <f>+'Datos ICP (2)'!AN39</f>
        <v/>
      </c>
      <c r="O8" s="84">
        <f>+'Datos ICP (2)'!AO39</f>
        <v/>
      </c>
      <c r="P8" s="84">
        <f>+'Datos ICP (2)'!AP39</f>
        <v/>
      </c>
      <c r="Q8" s="84" t="n">
        <v>0.004957349029313551</v>
      </c>
      <c r="R8" s="79" t="n"/>
      <c r="S8" s="79" t="n"/>
      <c r="T8" s="79" t="n"/>
      <c r="U8" s="79" t="n"/>
      <c r="V8" s="79" t="n"/>
      <c r="W8" s="79" t="n"/>
      <c r="X8" s="79" t="n"/>
    </row>
    <row r="9" ht="15" customHeight="1">
      <c r="C9" s="78" t="n"/>
      <c r="D9" s="79" t="inlineStr">
        <is>
          <t>Competencia</t>
        </is>
      </c>
      <c r="E9" s="84" t="n"/>
      <c r="F9" s="84" t="n"/>
      <c r="G9" s="84" t="n"/>
      <c r="H9" s="84" t="n"/>
      <c r="I9" s="84" t="n">
        <v>0.0003205512314576886</v>
      </c>
      <c r="J9" s="84" t="n">
        <v>0.0001001083025033989</v>
      </c>
      <c r="K9" s="84" t="n">
        <v>9.033309303618786e-05</v>
      </c>
      <c r="L9" s="84" t="n">
        <v>0.0001011288639389818</v>
      </c>
      <c r="M9" s="84" t="n">
        <v>7.087069221300979e-05</v>
      </c>
      <c r="N9" s="84">
        <f>+'Datos ICP (2)'!AN40</f>
        <v/>
      </c>
      <c r="O9" s="84">
        <f>+'Datos ICP (2)'!AO40</f>
        <v/>
      </c>
      <c r="P9" s="84">
        <f>+'Datos ICP (2)'!AP40</f>
        <v/>
      </c>
      <c r="Q9" s="84" t="n">
        <v>0.001639577636786349</v>
      </c>
      <c r="R9" s="79" t="n"/>
      <c r="S9" s="79" t="n"/>
      <c r="T9" s="79" t="n"/>
      <c r="U9" s="79" t="n"/>
      <c r="V9" s="79" t="n"/>
      <c r="W9" s="79" t="n"/>
      <c r="X9" s="79" t="n"/>
    </row>
    <row r="10" ht="15" customHeight="1">
      <c r="C10" s="78" t="n"/>
      <c r="D10" s="78" t="inlineStr">
        <is>
          <t>FIP LIQUIDEZ I</t>
        </is>
      </c>
      <c r="E10" s="84" t="n"/>
      <c r="F10" s="84" t="n"/>
      <c r="G10" s="84" t="n"/>
      <c r="H10" s="84" t="n"/>
      <c r="I10" s="84" t="n">
        <v>0.001854170333274618</v>
      </c>
      <c r="J10" s="84" t="n">
        <v>0.002860350572359671</v>
      </c>
      <c r="K10" s="84" t="n">
        <v>0.002369577915947829</v>
      </c>
      <c r="L10" s="84" t="n">
        <v>0.00204425167411082</v>
      </c>
      <c r="M10" s="84" t="n">
        <v>0.002402852625732477</v>
      </c>
      <c r="N10" s="84" t="n">
        <v>0.0025</v>
      </c>
      <c r="O10" s="84" t="n">
        <v>0.0025</v>
      </c>
      <c r="P10" s="84" t="n">
        <v>0.002</v>
      </c>
      <c r="Q10" s="84" t="n">
        <v>0.0278021151661573</v>
      </c>
      <c r="R10" s="79" t="n"/>
      <c r="S10" s="79" t="n"/>
      <c r="T10" s="79" t="n"/>
      <c r="U10" s="79" t="n"/>
      <c r="V10" s="79" t="n"/>
      <c r="W10" s="79" t="n"/>
      <c r="X10" s="79" t="n"/>
    </row>
    <row r="11" ht="15" customHeight="1">
      <c r="C11" s="78" t="n">
        <v>2021</v>
      </c>
      <c r="D11" s="79" t="inlineStr">
        <is>
          <t>ICP</t>
        </is>
      </c>
      <c r="E11" s="84">
        <f>+'Datos ICP (2)'!AE42</f>
        <v/>
      </c>
      <c r="F11" s="84">
        <f>+'Datos ICP (2)'!AF42</f>
        <v/>
      </c>
      <c r="G11" s="84">
        <f>+'Datos ICP (2)'!AG42</f>
        <v/>
      </c>
      <c r="H11" s="84">
        <f>+'Datos ICP (2)'!AH42</f>
        <v/>
      </c>
      <c r="I11" s="84">
        <f>+'Datos ICP (2)'!AI42</f>
        <v/>
      </c>
      <c r="J11" s="84">
        <f>+'Datos ICP (2)'!AJ42</f>
        <v/>
      </c>
      <c r="K11" s="84">
        <f>+'Datos ICP (2)'!AK42</f>
        <v/>
      </c>
      <c r="L11" s="84">
        <f>+'Datos ICP (2)'!AL42</f>
        <v/>
      </c>
      <c r="M11" s="84">
        <f>+'Datos ICP (2)'!AM42</f>
        <v/>
      </c>
      <c r="N11" s="84">
        <f>+'Datos ICP (2)'!AN42</f>
        <v/>
      </c>
      <c r="O11" s="84">
        <f>+'Datos ICP (2)'!AO42</f>
        <v/>
      </c>
      <c r="P11" s="84">
        <f>+'Datos ICP (2)'!AP42</f>
        <v/>
      </c>
      <c r="Q11" s="84">
        <f>+'Datos ICP (2)'!AQ42</f>
        <v/>
      </c>
      <c r="R11" s="79" t="n"/>
      <c r="S11" s="79" t="n"/>
      <c r="T11" s="79" t="n"/>
      <c r="U11" s="79" t="n"/>
      <c r="V11" s="79" t="n"/>
      <c r="W11" s="79" t="n"/>
      <c r="X11" s="79" t="n"/>
    </row>
    <row r="12" ht="15" customHeight="1">
      <c r="C12" s="78" t="n"/>
      <c r="D12" s="79" t="inlineStr">
        <is>
          <t>Competencia</t>
        </is>
      </c>
      <c r="E12" s="84">
        <f>+'Datos ICP (2)'!AE43</f>
        <v/>
      </c>
      <c r="F12" s="84">
        <f>+'Datos ICP (2)'!AF43</f>
        <v/>
      </c>
      <c r="G12" s="84">
        <f>+'Datos ICP (2)'!AG43</f>
        <v/>
      </c>
      <c r="H12" s="84">
        <f>+'Datos ICP (2)'!AH43</f>
        <v/>
      </c>
      <c r="I12" s="84">
        <f>+'Datos ICP (2)'!AI43</f>
        <v/>
      </c>
      <c r="J12" s="84">
        <f>+'Datos ICP (2)'!AJ43</f>
        <v/>
      </c>
      <c r="K12" s="84">
        <f>+'Datos ICP (2)'!AK43</f>
        <v/>
      </c>
      <c r="L12" s="84">
        <f>+'Datos ICP (2)'!AL43</f>
        <v/>
      </c>
      <c r="M12" s="84">
        <f>+'Datos ICP (2)'!AM43</f>
        <v/>
      </c>
      <c r="N12" s="84">
        <f>+'Datos ICP (2)'!AN43</f>
        <v/>
      </c>
      <c r="O12" s="84">
        <f>+'Datos ICP (2)'!AO43</f>
        <v/>
      </c>
      <c r="P12" s="84">
        <f>+'Datos ICP (2)'!AP43</f>
        <v/>
      </c>
      <c r="Q12" s="84">
        <f>+'Datos ICP (2)'!AQ43</f>
        <v/>
      </c>
      <c r="R12" s="79" t="n"/>
      <c r="S12" s="79" t="n"/>
      <c r="T12" s="79" t="n"/>
      <c r="U12" s="79" t="n"/>
      <c r="V12" s="79" t="n"/>
      <c r="W12" s="79" t="n"/>
      <c r="X12" s="79" t="n"/>
    </row>
    <row r="13" ht="15" customHeight="1">
      <c r="C13" s="78" t="n"/>
      <c r="D13" s="78" t="inlineStr">
        <is>
          <t>FIP LIQUIDEZ I</t>
        </is>
      </c>
      <c r="E13" s="84">
        <f>+'Datos ICP (2)'!AE44</f>
        <v/>
      </c>
      <c r="F13" s="84">
        <f>+'Datos ICP (2)'!AF44</f>
        <v/>
      </c>
      <c r="G13" s="84">
        <f>+'Datos ICP (2)'!AG44</f>
        <v/>
      </c>
      <c r="H13" s="84">
        <f>+'Datos ICP (2)'!AH44</f>
        <v/>
      </c>
      <c r="I13" s="84">
        <f>+'Datos ICP (2)'!AI44</f>
        <v/>
      </c>
      <c r="J13" s="84">
        <f>+'Datos ICP (2)'!AJ44</f>
        <v/>
      </c>
      <c r="K13" s="84">
        <f>+'Datos ICP (2)'!AK44</f>
        <v/>
      </c>
      <c r="L13" s="84">
        <f>+'Datos ICP (2)'!AL44</f>
        <v/>
      </c>
      <c r="M13" s="84">
        <f>+'Datos ICP (2)'!AM44</f>
        <v/>
      </c>
      <c r="N13" s="84">
        <f>+'Datos ICP (2)'!AN44</f>
        <v/>
      </c>
      <c r="O13" s="84">
        <f>+'Datos ICP (2)'!AO44</f>
        <v/>
      </c>
      <c r="P13" s="84">
        <f>+'Datos ICP (2)'!AP44</f>
        <v/>
      </c>
      <c r="Q13" s="84">
        <f>+'Datos ICP (2)'!AQ44</f>
        <v/>
      </c>
      <c r="R13" s="79" t="n"/>
      <c r="S13" s="79" t="n"/>
      <c r="T13" s="79" t="n"/>
      <c r="U13" s="79" t="n"/>
      <c r="V13" s="79" t="n"/>
      <c r="W13" s="79" t="n"/>
      <c r="X13" s="79" t="n"/>
    </row>
    <row r="14" ht="15" customHeight="1">
      <c r="C14" s="78" t="n">
        <v>2022</v>
      </c>
      <c r="D14" s="79" t="inlineStr">
        <is>
          <t>ICP</t>
        </is>
      </c>
      <c r="E14" s="84">
        <f>+'Datos ICP (2)'!AE45</f>
        <v/>
      </c>
      <c r="F14" s="84">
        <f>+'Datos ICP (2)'!AF45</f>
        <v/>
      </c>
      <c r="G14" s="84">
        <f>+'Datos ICP (2)'!AG45</f>
        <v/>
      </c>
      <c r="H14" s="84">
        <f>+'Datos ICP (2)'!AH45</f>
        <v/>
      </c>
      <c r="I14" s="84">
        <f>+'Datos ICP (2)'!AI45</f>
        <v/>
      </c>
      <c r="J14" s="84">
        <f>+'Datos ICP (2)'!AJ45</f>
        <v/>
      </c>
      <c r="K14" s="84">
        <f>+'Datos ICP (2)'!AK45</f>
        <v/>
      </c>
      <c r="L14" s="84">
        <f>+'Datos ICP (2)'!AL45</f>
        <v/>
      </c>
      <c r="M14" s="84">
        <f>+'Datos ICP (2)'!AM45</f>
        <v/>
      </c>
      <c r="N14" s="84">
        <f>+'Datos ICP (2)'!AN45</f>
        <v/>
      </c>
      <c r="O14" s="84">
        <f>+'Datos ICP (2)'!AO45</f>
        <v/>
      </c>
      <c r="P14" s="84">
        <f>+'Datos ICP (2)'!AP45</f>
        <v/>
      </c>
      <c r="Q14" s="84">
        <f>+'Datos ICP (2)'!AQ45</f>
        <v/>
      </c>
      <c r="R14" s="79" t="n"/>
      <c r="S14" s="79" t="n"/>
      <c r="T14" s="79" t="n"/>
      <c r="U14" s="79" t="n"/>
      <c r="V14" s="79" t="n"/>
      <c r="W14" s="79" t="n"/>
      <c r="X14" s="79" t="n"/>
    </row>
    <row r="15" ht="15" customHeight="1">
      <c r="C15" s="78" t="n"/>
      <c r="D15" s="79" t="inlineStr">
        <is>
          <t>Competencia</t>
        </is>
      </c>
      <c r="E15" s="84">
        <f>+'Datos ICP (2)'!AE46</f>
        <v/>
      </c>
      <c r="F15" s="84">
        <f>+'Datos ICP (2)'!AF46</f>
        <v/>
      </c>
      <c r="G15" s="84">
        <f>+'Datos ICP (2)'!AG46</f>
        <v/>
      </c>
      <c r="H15" s="84">
        <f>+'Datos ICP (2)'!AH46</f>
        <v/>
      </c>
      <c r="I15" s="84">
        <f>+'Datos ICP (2)'!AI46</f>
        <v/>
      </c>
      <c r="J15" s="84">
        <f>+'Datos ICP (2)'!AJ46</f>
        <v/>
      </c>
      <c r="K15" s="84">
        <f>+'Datos ICP (2)'!AK46</f>
        <v/>
      </c>
      <c r="L15" s="84">
        <f>+'Datos ICP (2)'!AL46</f>
        <v/>
      </c>
      <c r="M15" s="84">
        <f>+'Datos ICP (2)'!AM46</f>
        <v/>
      </c>
      <c r="N15" s="84">
        <f>+'Datos ICP (2)'!AN46</f>
        <v/>
      </c>
      <c r="O15" s="84">
        <f>+'Datos ICP (2)'!AO46</f>
        <v/>
      </c>
      <c r="P15" s="84">
        <f>+'Datos ICP (2)'!AP46</f>
        <v/>
      </c>
      <c r="Q15" s="84">
        <f>+'Datos ICP (2)'!AQ46</f>
        <v/>
      </c>
      <c r="R15" s="79" t="n"/>
      <c r="S15" s="79" t="n"/>
      <c r="T15" s="79" t="n"/>
      <c r="U15" s="79" t="n"/>
      <c r="V15" s="79" t="n"/>
      <c r="W15" s="79" t="n"/>
      <c r="X15" s="79" t="n"/>
    </row>
    <row r="16" ht="15" customHeight="1">
      <c r="C16" s="78" t="n"/>
      <c r="D16" s="78" t="inlineStr">
        <is>
          <t>FIP LIQUIDEZ I</t>
        </is>
      </c>
      <c r="E16" s="84">
        <f>+'Datos ICP (2)'!AE47</f>
        <v/>
      </c>
      <c r="F16" s="84">
        <f>+'Datos ICP (2)'!AF47</f>
        <v/>
      </c>
      <c r="G16" s="84">
        <f>+'Datos ICP (2)'!AG47</f>
        <v/>
      </c>
      <c r="H16" s="84">
        <f>+'Datos ICP (2)'!AH47</f>
        <v/>
      </c>
      <c r="I16" s="84">
        <f>+'Datos ICP (2)'!AI47</f>
        <v/>
      </c>
      <c r="J16" s="84">
        <f>+'Datos ICP (2)'!AJ47</f>
        <v/>
      </c>
      <c r="K16" s="84">
        <f>+'Datos ICP (2)'!AK47</f>
        <v/>
      </c>
      <c r="L16" s="84">
        <f>+'Datos ICP (2)'!AL47</f>
        <v/>
      </c>
      <c r="M16" s="84">
        <f>+'Datos ICP (2)'!AM47</f>
        <v/>
      </c>
      <c r="N16" s="84">
        <f>+'Datos ICP (2)'!AN47</f>
        <v/>
      </c>
      <c r="O16" s="84">
        <f>+'Datos ICP (2)'!AO47</f>
        <v/>
      </c>
      <c r="P16" s="84">
        <f>+'Datos ICP (2)'!AP47</f>
        <v/>
      </c>
      <c r="Q16" s="84">
        <f>+'Datos ICP (2)'!AQ47</f>
        <v/>
      </c>
      <c r="R16" s="79" t="n"/>
      <c r="S16" s="79" t="n"/>
      <c r="T16" s="79" t="n"/>
      <c r="U16" s="79" t="n"/>
      <c r="V16" s="79" t="n"/>
      <c r="W16" s="79" t="n"/>
      <c r="X16" s="79" t="n"/>
    </row>
    <row r="17" ht="15" customHeight="1">
      <c r="C17" s="78" t="n">
        <v>2023</v>
      </c>
      <c r="D17" s="79" t="inlineStr">
        <is>
          <t>ICP</t>
        </is>
      </c>
      <c r="E17" s="84">
        <f>+'Datos ICP (2)'!AE48</f>
        <v/>
      </c>
      <c r="F17" s="84">
        <f>+'Datos ICP (2)'!AF48</f>
        <v/>
      </c>
      <c r="G17" s="84">
        <f>+'Datos ICP (2)'!AG48</f>
        <v/>
      </c>
      <c r="H17" s="84">
        <f>+'Datos ICP (2)'!AH48</f>
        <v/>
      </c>
      <c r="I17" s="84">
        <f>+'Datos ICP (2)'!AI48</f>
        <v/>
      </c>
      <c r="J17" s="84">
        <f>+'Datos ICP (2)'!AJ48</f>
        <v/>
      </c>
      <c r="K17" s="84">
        <f>+'Datos ICP (2)'!AK48</f>
        <v/>
      </c>
      <c r="L17" s="84">
        <f>+'Datos ICP (2)'!AL48</f>
        <v/>
      </c>
      <c r="M17" s="84">
        <f>+'Datos ICP (2)'!AM48</f>
        <v/>
      </c>
      <c r="N17" s="84">
        <f>+'Datos ICP (2)'!AN48</f>
        <v/>
      </c>
      <c r="O17" s="84">
        <f>+'Datos ICP (2)'!AO48</f>
        <v/>
      </c>
      <c r="P17" s="84">
        <f>+'Datos ICP (2)'!AP48</f>
        <v/>
      </c>
      <c r="Q17" s="84">
        <f>+'Datos ICP (2)'!AQ48</f>
        <v/>
      </c>
      <c r="R17" s="79" t="n"/>
      <c r="S17" s="79" t="n"/>
      <c r="T17" s="79" t="n"/>
      <c r="U17" s="79" t="n"/>
      <c r="V17" s="79" t="n"/>
      <c r="W17" s="79" t="n"/>
      <c r="X17" s="79" t="n"/>
    </row>
    <row r="18" ht="15" customHeight="1">
      <c r="C18" s="78" t="n"/>
      <c r="D18" s="79" t="inlineStr">
        <is>
          <t>Competencia</t>
        </is>
      </c>
      <c r="E18" s="84">
        <f>+'Datos ICP (2)'!AE49</f>
        <v/>
      </c>
      <c r="F18" s="84">
        <f>+'Datos ICP (2)'!AF49</f>
        <v/>
      </c>
      <c r="G18" s="84">
        <f>+'Datos ICP (2)'!AG49</f>
        <v/>
      </c>
      <c r="H18" s="84">
        <f>+'Datos ICP (2)'!AH49</f>
        <v/>
      </c>
      <c r="I18" s="84">
        <f>+'Datos ICP (2)'!AI49</f>
        <v/>
      </c>
      <c r="J18" s="84">
        <f>+'Datos ICP (2)'!AJ49</f>
        <v/>
      </c>
      <c r="K18" s="84">
        <f>+'Datos ICP (2)'!AK49</f>
        <v/>
      </c>
      <c r="L18" s="84">
        <f>+'Datos ICP (2)'!AL49</f>
        <v/>
      </c>
      <c r="M18" s="84">
        <f>+'Datos ICP (2)'!AM49</f>
        <v/>
      </c>
      <c r="N18" s="84">
        <f>+'Datos ICP (2)'!AN49</f>
        <v/>
      </c>
      <c r="O18" s="84">
        <f>+'Datos ICP (2)'!AO49</f>
        <v/>
      </c>
      <c r="P18" s="84">
        <f>+'Datos ICP (2)'!AP49</f>
        <v/>
      </c>
      <c r="Q18" s="84">
        <f>+'Datos ICP (2)'!AQ49</f>
        <v/>
      </c>
      <c r="R18" s="79" t="n"/>
      <c r="S18" s="79" t="n"/>
      <c r="T18" s="79" t="n"/>
      <c r="U18" s="79" t="n"/>
      <c r="V18" s="79" t="n"/>
      <c r="W18" s="79" t="n"/>
      <c r="X18" s="79" t="n"/>
    </row>
    <row r="19" ht="15" customHeight="1">
      <c r="C19" s="78" t="n"/>
      <c r="D19" s="78" t="inlineStr">
        <is>
          <t>FIP LIQUIDEZ I</t>
        </is>
      </c>
      <c r="E19" s="84">
        <f>+'Datos ICP (2)'!AE50</f>
        <v/>
      </c>
      <c r="F19" s="84">
        <f>+'Datos ICP (2)'!AF50</f>
        <v/>
      </c>
      <c r="G19" s="84">
        <f>+'Datos ICP (2)'!AG50</f>
        <v/>
      </c>
      <c r="H19" s="84">
        <f>+'Datos ICP (2)'!AH50</f>
        <v/>
      </c>
      <c r="I19" s="84">
        <f>+'Datos ICP (2)'!AI50</f>
        <v/>
      </c>
      <c r="J19" s="84">
        <f>+'Datos ICP (2)'!AJ50</f>
        <v/>
      </c>
      <c r="K19" s="84">
        <f>+'Datos ICP (2)'!AK50</f>
        <v/>
      </c>
      <c r="L19" s="84">
        <f>+'Datos ICP (2)'!AL50</f>
        <v/>
      </c>
      <c r="M19" s="84">
        <f>+'Datos ICP (2)'!AM50</f>
        <v/>
      </c>
      <c r="N19" s="84">
        <f>+'Datos ICP (2)'!AN50</f>
        <v/>
      </c>
      <c r="O19" s="84">
        <f>+'Datos ICP (2)'!AO50</f>
        <v/>
      </c>
      <c r="P19" s="84">
        <f>+'Datos ICP (2)'!AP50</f>
        <v/>
      </c>
      <c r="Q19" s="84">
        <f>+'Datos ICP (2)'!AQ50</f>
        <v/>
      </c>
      <c r="R19" s="79" t="n"/>
      <c r="S19" s="79" t="n"/>
      <c r="T19" s="79" t="n"/>
      <c r="U19" s="79" t="n"/>
      <c r="V19" s="79" t="n"/>
      <c r="W19" s="79" t="n"/>
      <c r="X19" s="79" t="n"/>
    </row>
    <row r="20" ht="15" customHeight="1">
      <c r="C20" s="78" t="n">
        <v>2024</v>
      </c>
      <c r="D20" s="79" t="inlineStr">
        <is>
          <t>ICP</t>
        </is>
      </c>
      <c r="E20" s="84">
        <f>+'Datos ICP (2)'!AE51</f>
        <v/>
      </c>
      <c r="F20" s="84">
        <f>+'Datos ICP (2)'!AF51</f>
        <v/>
      </c>
      <c r="G20" s="84">
        <f>+'Datos ICP (2)'!AG51</f>
        <v/>
      </c>
      <c r="H20" s="84">
        <f>+'Datos ICP (2)'!AH51</f>
        <v/>
      </c>
      <c r="I20" s="84">
        <f>+'Datos ICP (2)'!AI51</f>
        <v/>
      </c>
      <c r="J20" s="84">
        <f>+'Datos ICP (2)'!AJ51</f>
        <v/>
      </c>
      <c r="K20" s="84">
        <f>+'Datos ICP (2)'!AK51</f>
        <v/>
      </c>
      <c r="L20" s="84">
        <f>+'Datos ICP (2)'!AL51</f>
        <v/>
      </c>
      <c r="M20" s="84">
        <f>+'Datos ICP (2)'!AM51</f>
        <v/>
      </c>
      <c r="N20" s="84">
        <f>+'Datos ICP (2)'!AN51</f>
        <v/>
      </c>
      <c r="O20" s="84">
        <f>+'Datos ICP (2)'!AO51</f>
        <v/>
      </c>
      <c r="P20" s="84">
        <f>+'Datos ICP (2)'!AP51</f>
        <v/>
      </c>
      <c r="Q20" s="84">
        <f>+'Datos ICP (2)'!AQ51</f>
        <v/>
      </c>
      <c r="R20" s="79" t="n"/>
      <c r="S20" s="79" t="n"/>
      <c r="T20" s="79" t="n"/>
      <c r="U20" s="79" t="n"/>
      <c r="V20" s="79" t="n"/>
      <c r="W20" s="79" t="n"/>
      <c r="X20" s="79" t="n"/>
    </row>
    <row r="21" ht="15" customHeight="1">
      <c r="C21" s="78" t="n"/>
      <c r="D21" s="79" t="inlineStr">
        <is>
          <t>Competencia</t>
        </is>
      </c>
      <c r="E21" s="84">
        <f>+'Datos ICP (2)'!AE52</f>
        <v/>
      </c>
      <c r="F21" s="84">
        <f>+'Datos ICP (2)'!AF52</f>
        <v/>
      </c>
      <c r="G21" s="84">
        <f>+'Datos ICP (2)'!AG52</f>
        <v/>
      </c>
      <c r="H21" s="84">
        <f>+'Datos ICP (2)'!AH52</f>
        <v/>
      </c>
      <c r="I21" s="84">
        <f>+'Datos ICP (2)'!AI52</f>
        <v/>
      </c>
      <c r="J21" s="84">
        <f>+'Datos ICP (2)'!AJ52</f>
        <v/>
      </c>
      <c r="K21" s="84">
        <f>+'Datos ICP (2)'!AK52</f>
        <v/>
      </c>
      <c r="L21" s="84">
        <f>+'Datos ICP (2)'!AL52</f>
        <v/>
      </c>
      <c r="M21" s="84">
        <f>+'Datos ICP (2)'!AM52</f>
        <v/>
      </c>
      <c r="N21" s="84">
        <f>+'Datos ICP (2)'!AN52</f>
        <v/>
      </c>
      <c r="O21" s="84">
        <f>+'Datos ICP (2)'!AO52</f>
        <v/>
      </c>
      <c r="P21" s="84">
        <f>+'Datos ICP (2)'!AP52</f>
        <v/>
      </c>
      <c r="Q21" s="84">
        <f>+'Datos ICP (2)'!AQ52</f>
        <v/>
      </c>
      <c r="R21" s="79" t="n"/>
      <c r="S21" s="79" t="n"/>
      <c r="T21" s="79" t="n"/>
      <c r="U21" s="79" t="n"/>
      <c r="V21" s="79" t="n"/>
      <c r="W21" s="79" t="n"/>
      <c r="X21" s="79" t="n"/>
    </row>
    <row r="22" ht="15" customHeight="1">
      <c r="C22" s="78" t="n"/>
      <c r="D22" s="78" t="inlineStr">
        <is>
          <t>FIP LIQUIDEZ I</t>
        </is>
      </c>
      <c r="E22" s="84">
        <f>+'Datos ICP (2)'!AE53</f>
        <v/>
      </c>
      <c r="F22" s="84">
        <f>+'Datos ICP (2)'!AF53</f>
        <v/>
      </c>
      <c r="G22" s="84">
        <f>+'Datos ICP (2)'!AG53</f>
        <v/>
      </c>
      <c r="H22" s="84">
        <f>+'Datos ICP (2)'!AH53</f>
        <v/>
      </c>
      <c r="I22" s="84">
        <f>+'Datos ICP (2)'!AI53</f>
        <v/>
      </c>
      <c r="J22" s="84">
        <f>+'Datos ICP (2)'!AJ53</f>
        <v/>
      </c>
      <c r="K22" s="84">
        <f>+'Datos ICP (2)'!AK53</f>
        <v/>
      </c>
      <c r="L22" s="84">
        <f>+'Datos ICP (2)'!AL53</f>
        <v/>
      </c>
      <c r="M22" s="84">
        <f>+'Datos ICP (2)'!AM53</f>
        <v/>
      </c>
      <c r="N22" s="84">
        <f>+'Datos ICP (2)'!AN53</f>
        <v/>
      </c>
      <c r="O22" s="84">
        <f>+'Datos ICP (2)'!AO53</f>
        <v/>
      </c>
      <c r="P22" s="84">
        <f>+'Datos ICP (2)'!AP53</f>
        <v/>
      </c>
      <c r="Q22" s="84">
        <f>+'Datos ICP (2)'!AQ53</f>
        <v/>
      </c>
      <c r="R22" s="79" t="n"/>
      <c r="S22" s="79" t="n"/>
      <c r="T22" s="79" t="n"/>
      <c r="U22" s="79" t="n"/>
      <c r="V22" s="79" t="n"/>
      <c r="W22" s="79" t="n"/>
      <c r="X22" s="79" t="n"/>
    </row>
    <row r="23">
      <c r="C23" s="78" t="n">
        <v>2025</v>
      </c>
      <c r="D23" s="79" t="inlineStr">
        <is>
          <t>ICP</t>
        </is>
      </c>
      <c r="E23" s="84">
        <f>+'Datos ICP (2)'!AE54</f>
        <v/>
      </c>
      <c r="F23" s="84">
        <f>+'Datos ICP (2)'!AF54</f>
        <v/>
      </c>
      <c r="G23" s="84">
        <f>+'Datos ICP (2)'!AG54</f>
        <v/>
      </c>
      <c r="H23" s="84">
        <f>+'Datos ICP (2)'!AH54</f>
        <v/>
      </c>
      <c r="I23" s="84">
        <f>+'Datos ICP (2)'!AI54</f>
        <v/>
      </c>
      <c r="J23" s="84">
        <f>+'Datos ICP (2)'!AJ54</f>
        <v/>
      </c>
      <c r="K23" s="84">
        <f>+'Datos ICP (2)'!AK54</f>
        <v/>
      </c>
      <c r="L23" s="84">
        <f>+'Datos ICP (2)'!AL54</f>
        <v/>
      </c>
      <c r="M23" s="84">
        <f>+'Datos ICP (2)'!AM54</f>
        <v/>
      </c>
      <c r="N23" s="84">
        <f>+'Datos ICP (2)'!AN54</f>
        <v/>
      </c>
      <c r="O23" s="84">
        <f>+'Datos ICP (2)'!AO54</f>
        <v/>
      </c>
      <c r="P23" s="84">
        <f>+'Datos ICP (2)'!AP54</f>
        <v/>
      </c>
      <c r="Q23" s="84">
        <f>+'Datos ICP (2)'!AQ54</f>
        <v/>
      </c>
    </row>
    <row r="24">
      <c r="C24" s="78" t="n"/>
      <c r="D24" s="79" t="inlineStr">
        <is>
          <t>Competencia</t>
        </is>
      </c>
      <c r="E24" s="84">
        <f>+'Datos ICP (2)'!AE55</f>
        <v/>
      </c>
      <c r="F24" s="84">
        <f>+'Datos ICP (2)'!AF55</f>
        <v/>
      </c>
      <c r="G24" s="84">
        <f>+'Datos ICP (2)'!AG55</f>
        <v/>
      </c>
      <c r="H24" s="84">
        <f>+'Datos ICP (2)'!AH55</f>
        <v/>
      </c>
      <c r="I24" s="84">
        <f>+'Datos ICP (2)'!AI55</f>
        <v/>
      </c>
      <c r="J24" s="84">
        <f>+'Datos ICP (2)'!AJ55</f>
        <v/>
      </c>
      <c r="K24" s="84">
        <f>+'Datos ICP (2)'!AK55</f>
        <v/>
      </c>
      <c r="L24" s="84">
        <f>+'Datos ICP (2)'!AL55</f>
        <v/>
      </c>
      <c r="M24" s="84">
        <f>+'Datos ICP (2)'!AM55</f>
        <v/>
      </c>
      <c r="N24" s="84">
        <f>+'Datos ICP (2)'!AN55</f>
        <v/>
      </c>
      <c r="O24" s="84">
        <f>+'Datos ICP (2)'!AO55</f>
        <v/>
      </c>
      <c r="P24" s="84">
        <f>+'Datos ICP (2)'!AP55</f>
        <v/>
      </c>
      <c r="Q24" s="84">
        <f>+'Datos ICP (2)'!AQ55</f>
        <v/>
      </c>
    </row>
    <row r="25">
      <c r="C25" s="78" t="n"/>
      <c r="D25" s="78" t="inlineStr">
        <is>
          <t>FIP LIQUIDEZ I</t>
        </is>
      </c>
      <c r="E25" s="84">
        <f>+'Datos ICP (2)'!AE56</f>
        <v/>
      </c>
      <c r="F25" s="84">
        <f>+'Datos ICP (2)'!AF56</f>
        <v/>
      </c>
      <c r="G25" s="84">
        <f>+'Datos ICP (2)'!AG56</f>
        <v/>
      </c>
      <c r="H25" s="84">
        <f>+'Datos ICP (2)'!AH56</f>
        <v/>
      </c>
      <c r="I25" s="84">
        <f>+'Datos ICP (2)'!AI56</f>
        <v/>
      </c>
      <c r="J25" s="84">
        <f>+'Datos ICP (2)'!AJ56</f>
        <v/>
      </c>
      <c r="K25" s="84">
        <f>+'Datos ICP (2)'!AK56</f>
        <v/>
      </c>
      <c r="L25" s="84">
        <f>+'Datos ICP (2)'!AL56</f>
        <v/>
      </c>
      <c r="M25" s="84">
        <f>+'Datos ICP (2)'!AM56</f>
        <v/>
      </c>
      <c r="N25" s="84">
        <f>+'Datos ICP (2)'!AN56</f>
        <v/>
      </c>
      <c r="O25" s="84">
        <f>+'Datos ICP (2)'!AO56</f>
        <v/>
      </c>
      <c r="P25" s="84">
        <f>+'Datos ICP (2)'!AP56</f>
        <v/>
      </c>
      <c r="Q25" s="84">
        <f>+'Datos ICP (2)'!AQ56</f>
        <v/>
      </c>
    </row>
    <row r="26">
      <c r="C26" s="78" t="n">
        <v>2026</v>
      </c>
      <c r="D26" s="79" t="inlineStr">
        <is>
          <t>ICP</t>
        </is>
      </c>
      <c r="E26" s="84">
        <f>+'Datos ICP (2)'!AE57</f>
        <v/>
      </c>
      <c r="F26" s="84">
        <f>+'Datos ICP (2)'!AF57</f>
        <v/>
      </c>
      <c r="G26" s="84">
        <f>+'Datos ICP (2)'!AG57</f>
        <v/>
      </c>
      <c r="H26" s="84">
        <f>+'Datos ICP (2)'!AH57</f>
        <v/>
      </c>
      <c r="I26" s="84" t="n"/>
      <c r="J26" s="84" t="n"/>
      <c r="K26" s="84" t="n"/>
      <c r="L26" s="84" t="n"/>
      <c r="M26" s="84" t="n"/>
      <c r="N26" s="84" t="n"/>
      <c r="O26" s="84" t="n"/>
      <c r="P26" s="84" t="n"/>
      <c r="Q26" s="84">
        <f>+'Datos ICP (2)'!AQ57</f>
        <v/>
      </c>
    </row>
    <row r="27">
      <c r="C27" s="78" t="n"/>
      <c r="D27" s="79" t="inlineStr">
        <is>
          <t>Competencia</t>
        </is>
      </c>
      <c r="E27" s="84">
        <f>+'Datos ICP (2)'!AE58</f>
        <v/>
      </c>
      <c r="F27" s="84">
        <f>+'Datos ICP (2)'!AF58</f>
        <v/>
      </c>
      <c r="G27" s="84">
        <f>+'Datos ICP (2)'!AG58</f>
        <v/>
      </c>
      <c r="H27" s="84">
        <f>+'Datos ICP (2)'!AH58</f>
        <v/>
      </c>
      <c r="I27" s="84" t="n"/>
      <c r="J27" s="84" t="n"/>
      <c r="K27" s="84" t="n"/>
      <c r="L27" s="84" t="n"/>
      <c r="M27" s="84" t="n"/>
      <c r="N27" s="84" t="n"/>
      <c r="O27" s="84" t="n"/>
      <c r="P27" s="84" t="n"/>
      <c r="Q27" s="84">
        <f>+'Datos ICP (2)'!AQ58</f>
        <v/>
      </c>
    </row>
    <row r="28">
      <c r="C28" s="78" t="n"/>
      <c r="D28" s="78" t="inlineStr">
        <is>
          <t>FIP LIQUIDEZ I</t>
        </is>
      </c>
      <c r="E28" s="84">
        <f>+'Datos ICP (2)'!AE59</f>
        <v/>
      </c>
      <c r="F28" s="84">
        <f>+'Datos ICP (2)'!AF59</f>
        <v/>
      </c>
      <c r="G28" s="84">
        <f>+'Datos ICP (2)'!AG59</f>
        <v/>
      </c>
      <c r="H28" s="84">
        <f>+'Datos ICP (2)'!AH59</f>
        <v/>
      </c>
      <c r="I28" s="84" t="n"/>
      <c r="J28" s="84" t="n"/>
      <c r="K28" s="84" t="n"/>
      <c r="L28" s="84" t="n"/>
      <c r="M28" s="84" t="n"/>
      <c r="N28" s="84" t="n"/>
      <c r="O28" s="84" t="n"/>
      <c r="P28" s="84" t="n"/>
      <c r="Q28" s="84">
        <f>+'Datos ICP (2)'!AQ59</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F1" zoomScaleNormal="100" workbookViewId="0">
      <selection activeCell="P8" sqref="P8"/>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87" t="inlineStr">
        <is>
          <t>Bono</t>
        </is>
      </c>
      <c r="P2" s="88" t="n">
        <v>0</v>
      </c>
    </row>
    <row r="3">
      <c r="C3" s="1" t="n"/>
      <c r="K3" s="87" t="inlineStr">
        <is>
          <t>Menos de 1 mes</t>
        </is>
      </c>
      <c r="L3" s="88" t="n">
        <v>0.781</v>
      </c>
      <c r="O3" s="87" t="inlineStr">
        <is>
          <t>Depósitos</t>
        </is>
      </c>
      <c r="P3" s="88" t="n">
        <v>0</v>
      </c>
      <c r="S3" s="87" t="inlineStr">
        <is>
          <t>Pesos</t>
        </is>
      </c>
      <c r="T3" s="88" t="n">
        <v>0.9583423664132699</v>
      </c>
    </row>
    <row r="4">
      <c r="C4" s="1" t="n"/>
      <c r="K4" s="87" t="inlineStr">
        <is>
          <t>1-3 meses</t>
        </is>
      </c>
      <c r="L4" s="88" t="n">
        <v>0.1923</v>
      </c>
      <c r="O4" s="87" t="inlineStr">
        <is>
          <t>Factoring</t>
        </is>
      </c>
      <c r="P4" s="88" t="n">
        <v>0</v>
      </c>
      <c r="S4" s="87" t="inlineStr">
        <is>
          <t>UF</t>
        </is>
      </c>
      <c r="T4" s="88" t="n">
        <v>0.04165763358673011</v>
      </c>
    </row>
    <row r="5">
      <c r="A5" s="3" t="n"/>
      <c r="B5" s="3" t="n"/>
      <c r="C5" s="1" t="n"/>
      <c r="K5" s="87" t="inlineStr">
        <is>
          <t>3-4 meses</t>
        </is>
      </c>
      <c r="L5" s="88" t="n">
        <v>0.0267</v>
      </c>
      <c r="O5" s="87" t="inlineStr">
        <is>
          <t>Financiamiento Inmobiliario</t>
        </is>
      </c>
      <c r="P5" s="88" t="n">
        <v>0.3345</v>
      </c>
    </row>
    <row r="6">
      <c r="A6" s="3" t="n"/>
      <c r="B6" s="3" t="n"/>
      <c r="C6" s="1" t="n"/>
      <c r="K6" s="87" t="inlineStr">
        <is>
          <t>Más de 4 meses</t>
        </is>
      </c>
      <c r="L6" s="88" t="n">
        <v>0</v>
      </c>
      <c r="O6" s="87" t="inlineStr">
        <is>
          <t>Financiamiento Mesa Moneda Extranjera</t>
        </is>
      </c>
      <c r="P6" s="88" t="n">
        <v>0.5504</v>
      </c>
    </row>
    <row r="7">
      <c r="B7" s="3" t="n"/>
      <c r="C7" s="1" t="n"/>
      <c r="L7" s="68">
        <f>SUM(L3:L6)</f>
        <v/>
      </c>
      <c r="O7" s="87" t="inlineStr">
        <is>
          <t>Garantías</t>
        </is>
      </c>
      <c r="P7" s="88" t="n">
        <v>0.1151</v>
      </c>
      <c r="Q7" s="68" t="n"/>
    </row>
    <row r="8">
      <c r="C8" s="1" t="n"/>
      <c r="O8" s="87" t="inlineStr">
        <is>
          <t>Nota Estructurada</t>
        </is>
      </c>
      <c r="P8" s="88" t="n">
        <v>0</v>
      </c>
    </row>
    <row r="9">
      <c r="C9" s="1" t="n"/>
      <c r="O9" s="87" t="inlineStr">
        <is>
          <t>Financiamiento Mesa Renta Fija</t>
        </is>
      </c>
      <c r="P9" s="88" t="n">
        <v>0</v>
      </c>
    </row>
    <row r="10">
      <c r="C10" s="1" t="n"/>
      <c r="O10" s="87" t="inlineStr">
        <is>
          <t>Simultánea</t>
        </is>
      </c>
      <c r="P10" s="88" t="n">
        <v>0</v>
      </c>
    </row>
    <row r="11">
      <c r="C11" s="1" t="n"/>
      <c r="O11" s="87" t="inlineStr">
        <is>
          <t>Efectos de Comercio</t>
        </is>
      </c>
      <c r="P11" s="88" t="n">
        <v>0</v>
      </c>
    </row>
    <row r="12" hidden="1">
      <c r="C12" s="1" t="n"/>
      <c r="O12" s="87" t="n"/>
      <c r="P12" s="88" t="n"/>
    </row>
    <row r="13">
      <c r="C13" s="1" t="n"/>
      <c r="O13" s="87" t="inlineStr">
        <is>
          <t>Pagaré</t>
        </is>
      </c>
      <c r="P13" s="88" t="n">
        <v>0</v>
      </c>
    </row>
    <row r="14" hidden="1">
      <c r="A14" s="3" t="inlineStr">
        <is>
          <t>Facturas</t>
        </is>
      </c>
      <c r="B14" s="5" t="n">
        <v>0</v>
      </c>
      <c r="C14" s="1" t="n"/>
    </row>
    <row r="15">
      <c r="A15" s="3" t="n"/>
      <c r="B15" s="5" t="n"/>
      <c r="C15" s="1" t="n"/>
      <c r="P15" s="68">
        <f>SUM(P2:P14)</f>
        <v/>
      </c>
    </row>
    <row r="16">
      <c r="B16" s="3" t="n"/>
      <c r="C16" s="1" t="n"/>
    </row>
    <row r="17">
      <c r="C17" s="1" t="n"/>
    </row>
    <row r="18">
      <c r="C18" s="1" t="n"/>
    </row>
    <row r="19">
      <c r="C19" s="1" t="n"/>
    </row>
    <row r="20">
      <c r="C20" s="1" t="n"/>
    </row>
    <row r="21">
      <c r="C21" s="1" t="n"/>
      <c r="N21" s="6" t="n"/>
      <c r="O21" s="67"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2026-07-02T16:09:22Z</dcterms:modified>
  <cp:lastModifiedBy>María Isabel Velasco Retamal</cp:lastModifiedBy>
</cp:coreProperties>
</file>