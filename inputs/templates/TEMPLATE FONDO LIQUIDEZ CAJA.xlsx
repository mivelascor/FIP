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theme/themeOverride2.xml" ContentType="application/vnd.openxmlformats-officedocument.themeOverride+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5.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40" documentId="13_ncr:1_{7A3AFB5D-0557-415D-8AED-64662EA20C4B}" xr6:coauthVersionLast="47" xr6:coauthVersionMax="47" xr10:uidLastSave="{7512CF92-479B-4388-895C-42DBEB82F299}"/>
  <bookViews>
    <workbookView xWindow="-4260" yWindow="-16320" windowWidth="29040" windowHeight="15720" activeTab="2" xr2:uid="{00000000-000D-0000-FFFF-FFFF00000000}"/>
  </bookViews>
  <sheets>
    <sheet name="Comentario" sheetId="4" r:id="rId1"/>
    <sheet name="Datos ICP (2)" sheetId="3" r:id="rId2"/>
    <sheet name="rentabilidad" sheetId="2" r:id="rId3"/>
    <sheet name="composición" sheetId="1" r:id="rId4"/>
  </sheet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8" i="2" l="1"/>
  <c r="H39" i="2"/>
  <c r="H40" i="2"/>
  <c r="AH87" i="3"/>
  <c r="AH88" i="3"/>
  <c r="AH89" i="3"/>
  <c r="AQ51" i="3"/>
  <c r="AQ38" i="3"/>
  <c r="AQ22" i="3"/>
  <c r="AH51" i="3"/>
  <c r="AH38" i="3"/>
  <c r="AH22" i="3"/>
  <c r="S51" i="3"/>
  <c r="S37" i="3"/>
  <c r="S23" i="3"/>
  <c r="L249" i="3"/>
  <c r="M249" i="3"/>
  <c r="H249" i="3"/>
  <c r="I249" i="3"/>
  <c r="J249" i="3"/>
  <c r="C249" i="3"/>
  <c r="D249" i="3"/>
  <c r="AQ89" i="3"/>
  <c r="AQ37" i="3"/>
  <c r="AQ21" i="3"/>
  <c r="F38" i="2"/>
  <c r="G38" i="2"/>
  <c r="F40" i="2"/>
  <c r="G40" i="2"/>
  <c r="E38" i="2"/>
  <c r="E40" i="2"/>
  <c r="P35" i="2"/>
  <c r="P37" i="2"/>
  <c r="BB21" i="3"/>
  <c r="AP84" i="3"/>
  <c r="AP86" i="3"/>
  <c r="AF87" i="3"/>
  <c r="AG87" i="3"/>
  <c r="AQ87" i="3"/>
  <c r="AF89" i="3"/>
  <c r="AG89" i="3"/>
  <c r="AE89" i="3"/>
  <c r="AE87" i="3"/>
  <c r="AF38" i="3"/>
  <c r="AG38" i="3"/>
  <c r="AE38" i="3"/>
  <c r="AP37" i="3"/>
  <c r="AF22" i="3"/>
  <c r="AG22" i="3"/>
  <c r="AE22" i="3"/>
  <c r="AP21" i="3"/>
  <c r="R37" i="3"/>
  <c r="Q37" i="3"/>
  <c r="P37" i="3"/>
  <c r="AA36" i="3"/>
  <c r="R23" i="3"/>
  <c r="Q23" i="3"/>
  <c r="P23" i="3"/>
  <c r="AA22" i="3"/>
  <c r="L245" i="3"/>
  <c r="AA50" i="3" s="1"/>
  <c r="AP50" i="3" s="1"/>
  <c r="AP85" i="3" s="1"/>
  <c r="P36" i="2" s="1"/>
  <c r="L246" i="3"/>
  <c r="P51" i="3" s="1"/>
  <c r="AE51" i="3" s="1"/>
  <c r="L247" i="3"/>
  <c r="Q51" i="3" s="1"/>
  <c r="AF51" i="3" s="1"/>
  <c r="AF88" i="3" s="1"/>
  <c r="F39" i="2" s="1"/>
  <c r="L248" i="3"/>
  <c r="R51" i="3" s="1"/>
  <c r="AG51" i="3" s="1"/>
  <c r="AG88" i="3" s="1"/>
  <c r="G39" i="2" s="1"/>
  <c r="H245" i="3"/>
  <c r="I245" i="3" s="1"/>
  <c r="H246" i="3"/>
  <c r="I246" i="3" s="1"/>
  <c r="H247" i="3"/>
  <c r="I247" i="3" s="1"/>
  <c r="H248" i="3"/>
  <c r="I248" i="3" s="1"/>
  <c r="D245" i="3"/>
  <c r="D246" i="3"/>
  <c r="D247" i="3"/>
  <c r="D248" i="3"/>
  <c r="C245" i="3"/>
  <c r="C246" i="3"/>
  <c r="C247" i="3"/>
  <c r="C248" i="3"/>
  <c r="Z22" i="3"/>
  <c r="AO21" i="3" s="1"/>
  <c r="AO84" i="3" s="1"/>
  <c r="O35" i="2" s="1"/>
  <c r="H244" i="3"/>
  <c r="L244" i="3"/>
  <c r="C244" i="3"/>
  <c r="D244" i="3"/>
  <c r="Y22" i="3"/>
  <c r="H243" i="3"/>
  <c r="L243" i="3"/>
  <c r="Y50" i="3" s="1"/>
  <c r="AN50" i="3" s="1"/>
  <c r="AN85" i="3" s="1"/>
  <c r="N36" i="2" s="1"/>
  <c r="C243" i="3"/>
  <c r="D243" i="3"/>
  <c r="X22" i="3"/>
  <c r="H242" i="3"/>
  <c r="L242" i="3"/>
  <c r="X50" i="3" s="1"/>
  <c r="AM50" i="3" s="1"/>
  <c r="AM85" i="3" s="1"/>
  <c r="M36" i="2" s="1"/>
  <c r="C242" i="3"/>
  <c r="D242" i="3"/>
  <c r="W22" i="3"/>
  <c r="H241" i="3"/>
  <c r="L241" i="3"/>
  <c r="W50" i="3" s="1"/>
  <c r="AL50" i="3" s="1"/>
  <c r="AL85" i="3" s="1"/>
  <c r="L36" i="2" s="1"/>
  <c r="C241" i="3"/>
  <c r="D241" i="3"/>
  <c r="V22" i="3"/>
  <c r="H240" i="3"/>
  <c r="L240" i="3"/>
  <c r="V50" i="3" s="1"/>
  <c r="AK50" i="3" s="1"/>
  <c r="AK85" i="3" s="1"/>
  <c r="K36" i="2" s="1"/>
  <c r="C240" i="3"/>
  <c r="D240" i="3"/>
  <c r="U22" i="3"/>
  <c r="H239" i="3"/>
  <c r="L239" i="3"/>
  <c r="U50" i="3" s="1"/>
  <c r="AJ50" i="3" s="1"/>
  <c r="AJ85" i="3" s="1"/>
  <c r="J36" i="2" s="1"/>
  <c r="C239" i="3"/>
  <c r="D239" i="3"/>
  <c r="T22" i="3"/>
  <c r="H238" i="3"/>
  <c r="L238" i="3"/>
  <c r="T50" i="3" s="1"/>
  <c r="AI50" i="3" s="1"/>
  <c r="AI85" i="3" s="1"/>
  <c r="I36" i="2" s="1"/>
  <c r="C238" i="3"/>
  <c r="D238" i="3"/>
  <c r="S22" i="3"/>
  <c r="H237" i="3"/>
  <c r="L237" i="3"/>
  <c r="S50" i="3" s="1"/>
  <c r="AH50" i="3" s="1"/>
  <c r="AH85" i="3" s="1"/>
  <c r="H36" i="2" s="1"/>
  <c r="C237" i="3"/>
  <c r="D237" i="3"/>
  <c r="R22" i="3"/>
  <c r="H236" i="3"/>
  <c r="C236" i="3"/>
  <c r="D236" i="3"/>
  <c r="L236" i="3"/>
  <c r="R50" i="3" s="1"/>
  <c r="AG50" i="3" s="1"/>
  <c r="AG85" i="3" s="1"/>
  <c r="G36" i="2" s="1"/>
  <c r="Q22" i="3"/>
  <c r="H235" i="3"/>
  <c r="L235" i="3"/>
  <c r="Q50" i="3" s="1"/>
  <c r="AF50" i="3" s="1"/>
  <c r="AF85" i="3" s="1"/>
  <c r="F36" i="2" s="1"/>
  <c r="C235" i="3"/>
  <c r="D235" i="3"/>
  <c r="P22" i="3"/>
  <c r="H234" i="3"/>
  <c r="C234" i="3"/>
  <c r="D234" i="3"/>
  <c r="L234" i="3"/>
  <c r="P50" i="3" s="1"/>
  <c r="AE50" i="3" s="1"/>
  <c r="AA21" i="3"/>
  <c r="L233" i="3"/>
  <c r="AA49" i="3" s="1"/>
  <c r="AP49" i="3" s="1"/>
  <c r="AP82" i="3" s="1"/>
  <c r="P33" i="2" s="1"/>
  <c r="H233" i="3"/>
  <c r="C233" i="3"/>
  <c r="D233" i="3"/>
  <c r="Z21" i="3"/>
  <c r="H232" i="3"/>
  <c r="L232" i="3"/>
  <c r="Z49" i="3" s="1"/>
  <c r="AO49" i="3" s="1"/>
  <c r="AO82" i="3" s="1"/>
  <c r="O33" i="2" s="1"/>
  <c r="C232" i="3"/>
  <c r="D232" i="3"/>
  <c r="Y21" i="3"/>
  <c r="L231" i="3"/>
  <c r="Y49" i="3" s="1"/>
  <c r="AN49" i="3" s="1"/>
  <c r="AN82" i="3" s="1"/>
  <c r="N33" i="2" s="1"/>
  <c r="H231" i="3"/>
  <c r="C231" i="3"/>
  <c r="D231" i="3"/>
  <c r="X21" i="3"/>
  <c r="L230" i="3"/>
  <c r="X49" i="3" s="1"/>
  <c r="AM49" i="3" s="1"/>
  <c r="AM82" i="3" s="1"/>
  <c r="M33" i="2" s="1"/>
  <c r="H230" i="3"/>
  <c r="C230" i="3"/>
  <c r="D230" i="3"/>
  <c r="W21" i="3"/>
  <c r="L229" i="3"/>
  <c r="W49" i="3" s="1"/>
  <c r="AL49" i="3" s="1"/>
  <c r="AL82" i="3" s="1"/>
  <c r="L33" i="2" s="1"/>
  <c r="H229" i="3"/>
  <c r="C229" i="3"/>
  <c r="D229" i="3"/>
  <c r="V21" i="3"/>
  <c r="C228" i="3"/>
  <c r="D228" i="3"/>
  <c r="L228" i="3"/>
  <c r="V49" i="3" s="1"/>
  <c r="AK49" i="3" s="1"/>
  <c r="AK82" i="3" s="1"/>
  <c r="K33" i="2" s="1"/>
  <c r="H228" i="3"/>
  <c r="U21" i="3"/>
  <c r="L227" i="3"/>
  <c r="H227" i="3"/>
  <c r="C227" i="3"/>
  <c r="D227" i="3"/>
  <c r="T21" i="3"/>
  <c r="H226" i="3"/>
  <c r="L226" i="3"/>
  <c r="T49" i="3" s="1"/>
  <c r="AI49" i="3" s="1"/>
  <c r="AI82" i="3" s="1"/>
  <c r="I33" i="2" s="1"/>
  <c r="S21" i="3"/>
  <c r="H225" i="3"/>
  <c r="C225" i="3"/>
  <c r="D225" i="3"/>
  <c r="C226" i="3"/>
  <c r="D226" i="3"/>
  <c r="L225" i="3"/>
  <c r="R21" i="3"/>
  <c r="L224" i="3"/>
  <c r="H224" i="3"/>
  <c r="Q38" i="2" l="1"/>
  <c r="BB29" i="3"/>
  <c r="AQ88" i="3"/>
  <c r="AE88" i="3"/>
  <c r="E39" i="2" s="1"/>
  <c r="BB30" i="3"/>
  <c r="Q39" i="2"/>
  <c r="BB31" i="3"/>
  <c r="Q40" i="2"/>
  <c r="AF21" i="3"/>
  <c r="AF84" i="3" s="1"/>
  <c r="F35" i="2" s="1"/>
  <c r="AK21" i="3"/>
  <c r="AK84" i="3" s="1"/>
  <c r="K35" i="2" s="1"/>
  <c r="I238" i="3"/>
  <c r="AI21" i="3"/>
  <c r="AI84" i="3" s="1"/>
  <c r="I35" i="2" s="1"/>
  <c r="AN21" i="3"/>
  <c r="AN84" i="3" s="1"/>
  <c r="N35" i="2" s="1"/>
  <c r="AL21" i="3"/>
  <c r="AL84" i="3" s="1"/>
  <c r="L35" i="2" s="1"/>
  <c r="AE21" i="3"/>
  <c r="I239" i="3"/>
  <c r="U36" i="3" s="1"/>
  <c r="AJ37" i="3" s="1"/>
  <c r="AJ86" i="3" s="1"/>
  <c r="J37" i="2" s="1"/>
  <c r="I244" i="3"/>
  <c r="AJ21" i="3"/>
  <c r="AJ84" i="3" s="1"/>
  <c r="J35" i="2" s="1"/>
  <c r="AG21" i="3"/>
  <c r="AG84" i="3" s="1"/>
  <c r="G35" i="2" s="1"/>
  <c r="AH21" i="3"/>
  <c r="AH84" i="3" s="1"/>
  <c r="H35" i="2" s="1"/>
  <c r="Z50" i="3"/>
  <c r="AO50" i="3" s="1"/>
  <c r="AM21" i="3"/>
  <c r="AM84" i="3" s="1"/>
  <c r="M35" i="2" s="1"/>
  <c r="I243" i="3"/>
  <c r="Y36" i="3" s="1"/>
  <c r="AN37" i="3" s="1"/>
  <c r="AN86" i="3" s="1"/>
  <c r="N37" i="2" s="1"/>
  <c r="I242" i="3"/>
  <c r="I241" i="3"/>
  <c r="I240" i="3"/>
  <c r="I237" i="3"/>
  <c r="I236" i="3"/>
  <c r="I235" i="3"/>
  <c r="I234" i="3"/>
  <c r="AP20" i="3"/>
  <c r="AP81" i="3" s="1"/>
  <c r="P32" i="2" s="1"/>
  <c r="AK20" i="3"/>
  <c r="AK81" i="3" s="1"/>
  <c r="K32" i="2" s="1"/>
  <c r="AI20" i="3"/>
  <c r="AI81" i="3" s="1"/>
  <c r="I32" i="2" s="1"/>
  <c r="T36" i="3"/>
  <c r="AI37" i="3" s="1"/>
  <c r="AI86" i="3" s="1"/>
  <c r="I37" i="2" s="1"/>
  <c r="AE85" i="3"/>
  <c r="E36" i="2" s="1"/>
  <c r="AM20" i="3"/>
  <c r="AM81" i="3" s="1"/>
  <c r="M32" i="2" s="1"/>
  <c r="AJ20" i="3"/>
  <c r="AJ81" i="3" s="1"/>
  <c r="J32" i="2" s="1"/>
  <c r="AH20" i="3"/>
  <c r="AH81" i="3" s="1"/>
  <c r="H32" i="2" s="1"/>
  <c r="I228" i="3"/>
  <c r="V35" i="3" s="1"/>
  <c r="AK36" i="3" s="1"/>
  <c r="AK83" i="3" s="1"/>
  <c r="K34" i="2" s="1"/>
  <c r="I229" i="3"/>
  <c r="W35" i="3" s="1"/>
  <c r="AL36" i="3" s="1"/>
  <c r="AL83" i="3" s="1"/>
  <c r="L34" i="2" s="1"/>
  <c r="I231" i="3"/>
  <c r="AN20" i="3"/>
  <c r="AN81" i="3" s="1"/>
  <c r="N32" i="2" s="1"/>
  <c r="I232" i="3"/>
  <c r="Z35" i="3" s="1"/>
  <c r="AO36" i="3" s="1"/>
  <c r="AO83" i="3" s="1"/>
  <c r="O34" i="2" s="1"/>
  <c r="AO20" i="3"/>
  <c r="AO81" i="3" s="1"/>
  <c r="O32" i="2" s="1"/>
  <c r="I225" i="3"/>
  <c r="S35" i="3" s="1"/>
  <c r="AH36" i="3" s="1"/>
  <c r="AH83" i="3" s="1"/>
  <c r="H34" i="2" s="1"/>
  <c r="I226" i="3"/>
  <c r="T35" i="3" s="1"/>
  <c r="AI36" i="3" s="1"/>
  <c r="AI83" i="3" s="1"/>
  <c r="I34" i="2" s="1"/>
  <c r="AL20" i="3"/>
  <c r="AL81" i="3" s="1"/>
  <c r="L32" i="2" s="1"/>
  <c r="I227" i="3"/>
  <c r="S49" i="3"/>
  <c r="AH49" i="3" s="1"/>
  <c r="AH82" i="3" s="1"/>
  <c r="H33" i="2" s="1"/>
  <c r="I230" i="3"/>
  <c r="I233" i="3"/>
  <c r="R49" i="3"/>
  <c r="AG49" i="3" s="1"/>
  <c r="AG82" i="3" s="1"/>
  <c r="G33" i="2" s="1"/>
  <c r="U49" i="3"/>
  <c r="AJ49" i="3" s="1"/>
  <c r="AJ82" i="3" s="1"/>
  <c r="J33" i="2" s="1"/>
  <c r="Y35" i="3"/>
  <c r="AN36" i="3" s="1"/>
  <c r="AN83" i="3" s="1"/>
  <c r="N34" i="2" s="1"/>
  <c r="Q21" i="3"/>
  <c r="AG20" i="3" s="1"/>
  <c r="AG81" i="3" s="1"/>
  <c r="G32" i="2" s="1"/>
  <c r="L223" i="3"/>
  <c r="Q49" i="3" s="1"/>
  <c r="AF49" i="3" s="1"/>
  <c r="AF82" i="3" s="1"/>
  <c r="F33" i="2" s="1"/>
  <c r="H223" i="3"/>
  <c r="I224" i="3" s="1"/>
  <c r="C223" i="3"/>
  <c r="D223" i="3"/>
  <c r="C224" i="3"/>
  <c r="D224" i="3"/>
  <c r="P21" i="3"/>
  <c r="L222" i="3"/>
  <c r="P49" i="3" s="1"/>
  <c r="AE49" i="3" s="1"/>
  <c r="H222" i="3"/>
  <c r="D222" i="3"/>
  <c r="C222" i="3"/>
  <c r="AA20" i="3"/>
  <c r="L221" i="3"/>
  <c r="AA48" i="3" s="1"/>
  <c r="AP48" i="3" s="1"/>
  <c r="AP79" i="3" s="1"/>
  <c r="P30" i="2" s="1"/>
  <c r="Z20" i="3"/>
  <c r="H221" i="3"/>
  <c r="H220" i="3"/>
  <c r="L220" i="3"/>
  <c r="C220" i="3"/>
  <c r="D220" i="3"/>
  <c r="C221" i="3"/>
  <c r="D221" i="3"/>
  <c r="Y20" i="3"/>
  <c r="L219" i="3"/>
  <c r="Y48" i="3" s="1"/>
  <c r="AN48" i="3" s="1"/>
  <c r="AN79" i="3" s="1"/>
  <c r="N30" i="2" s="1"/>
  <c r="H219" i="3"/>
  <c r="C219" i="3"/>
  <c r="D219" i="3"/>
  <c r="X20" i="3"/>
  <c r="H218" i="3"/>
  <c r="D218" i="3"/>
  <c r="C218" i="3"/>
  <c r="L218" i="3"/>
  <c r="X48" i="3" s="1"/>
  <c r="AM48" i="3" s="1"/>
  <c r="AM79" i="3" s="1"/>
  <c r="M30" i="2" s="1"/>
  <c r="W20" i="3"/>
  <c r="D217" i="3"/>
  <c r="D216" i="3"/>
  <c r="D215" i="3"/>
  <c r="D214" i="3"/>
  <c r="D213" i="3"/>
  <c r="D212" i="3"/>
  <c r="D211" i="3"/>
  <c r="D210" i="3"/>
  <c r="C217" i="3"/>
  <c r="H217" i="3"/>
  <c r="L217" i="3"/>
  <c r="W48" i="3" s="1"/>
  <c r="AL48" i="3" s="1"/>
  <c r="AL79" i="3" s="1"/>
  <c r="L30" i="2" s="1"/>
  <c r="V20" i="3"/>
  <c r="H216" i="3"/>
  <c r="L216" i="3"/>
  <c r="V48" i="3" s="1"/>
  <c r="AK48" i="3" s="1"/>
  <c r="AK79" i="3" s="1"/>
  <c r="K30" i="2" s="1"/>
  <c r="C216" i="3"/>
  <c r="U20" i="3"/>
  <c r="H215" i="3"/>
  <c r="L215" i="3"/>
  <c r="U48" i="3" s="1"/>
  <c r="AJ48" i="3" s="1"/>
  <c r="AJ79" i="3" s="1"/>
  <c r="J30" i="2" s="1"/>
  <c r="C215" i="3"/>
  <c r="AO85" i="3" l="1"/>
  <c r="O36" i="2" s="1"/>
  <c r="AQ50" i="3"/>
  <c r="AQ85" i="3" s="1"/>
  <c r="Q36" i="2" s="1"/>
  <c r="Z36" i="3"/>
  <c r="AO37" i="3" s="1"/>
  <c r="AO86" i="3" s="1"/>
  <c r="O37" i="2" s="1"/>
  <c r="AE84" i="3"/>
  <c r="E35" i="2" s="1"/>
  <c r="AQ84" i="3"/>
  <c r="Q35" i="2" s="1"/>
  <c r="X36" i="3"/>
  <c r="AM37" i="3" s="1"/>
  <c r="AM86" i="3" s="1"/>
  <c r="M37" i="2" s="1"/>
  <c r="W36" i="3"/>
  <c r="AL37" i="3" s="1"/>
  <c r="AL86" i="3" s="1"/>
  <c r="L37" i="2" s="1"/>
  <c r="V36" i="3"/>
  <c r="AK37" i="3" s="1"/>
  <c r="AK86" i="3" s="1"/>
  <c r="K37" i="2" s="1"/>
  <c r="S36" i="3"/>
  <c r="AH37" i="3" s="1"/>
  <c r="AH86" i="3" s="1"/>
  <c r="H37" i="2" s="1"/>
  <c r="R36" i="3"/>
  <c r="AG37" i="3" s="1"/>
  <c r="AG86" i="3" s="1"/>
  <c r="G37" i="2" s="1"/>
  <c r="Q36" i="3"/>
  <c r="AF37" i="3" s="1"/>
  <c r="AF86" i="3" s="1"/>
  <c r="F37" i="2" s="1"/>
  <c r="P36" i="3"/>
  <c r="AE37" i="3" s="1"/>
  <c r="AE20" i="3"/>
  <c r="AE81" i="3" s="1"/>
  <c r="E32" i="2" s="1"/>
  <c r="I222" i="3"/>
  <c r="P35" i="3" s="1"/>
  <c r="AE36" i="3" s="1"/>
  <c r="AE83" i="3"/>
  <c r="E34" i="2" s="1"/>
  <c r="AQ49" i="3"/>
  <c r="AQ82" i="3" s="1"/>
  <c r="Q33" i="2" s="1"/>
  <c r="AE82" i="3"/>
  <c r="E33" i="2" s="1"/>
  <c r="R35" i="3"/>
  <c r="AG36" i="3" s="1"/>
  <c r="AG83" i="3" s="1"/>
  <c r="G34" i="2" s="1"/>
  <c r="AA35" i="3"/>
  <c r="AP36" i="3" s="1"/>
  <c r="AP83" i="3" s="1"/>
  <c r="P34" i="2" s="1"/>
  <c r="AF20" i="3"/>
  <c r="AF81" i="3" s="1"/>
  <c r="F32" i="2" s="1"/>
  <c r="X35" i="3"/>
  <c r="AM36" i="3" s="1"/>
  <c r="AM83" i="3" s="1"/>
  <c r="M34" i="2" s="1"/>
  <c r="AP19" i="3"/>
  <c r="AP78" i="3" s="1"/>
  <c r="P29" i="2" s="1"/>
  <c r="I223" i="3"/>
  <c r="U35" i="3"/>
  <c r="AJ36" i="3" s="1"/>
  <c r="AJ83" i="3" s="1"/>
  <c r="J34" i="2" s="1"/>
  <c r="I217" i="3"/>
  <c r="W34" i="3" s="1"/>
  <c r="AL35" i="3" s="1"/>
  <c r="AL80" i="3" s="1"/>
  <c r="L31" i="2" s="1"/>
  <c r="AL19" i="3"/>
  <c r="AL78" i="3" s="1"/>
  <c r="L29" i="2" s="1"/>
  <c r="I219" i="3"/>
  <c r="Y34" i="3" s="1"/>
  <c r="AN35" i="3" s="1"/>
  <c r="AN80" i="3" s="1"/>
  <c r="N31" i="2" s="1"/>
  <c r="I216" i="3"/>
  <c r="V34" i="3" s="1"/>
  <c r="AK35" i="3" s="1"/>
  <c r="AK80" i="3" s="1"/>
  <c r="K31" i="2" s="1"/>
  <c r="I218" i="3"/>
  <c r="X34" i="3" s="1"/>
  <c r="AM35" i="3" s="1"/>
  <c r="AM80" i="3" s="1"/>
  <c r="M31" i="2" s="1"/>
  <c r="I220" i="3"/>
  <c r="Z34" i="3" s="1"/>
  <c r="AO35" i="3" s="1"/>
  <c r="AO80" i="3" s="1"/>
  <c r="O31" i="2" s="1"/>
  <c r="AN19" i="3"/>
  <c r="AN78" i="3" s="1"/>
  <c r="N29" i="2" s="1"/>
  <c r="AK19" i="3"/>
  <c r="AK78" i="3" s="1"/>
  <c r="K29" i="2" s="1"/>
  <c r="AO19" i="3"/>
  <c r="AO78" i="3" s="1"/>
  <c r="O29" i="2" s="1"/>
  <c r="AM19" i="3"/>
  <c r="AM78" i="3" s="1"/>
  <c r="M29" i="2" s="1"/>
  <c r="I221" i="3"/>
  <c r="Z48" i="3"/>
  <c r="AO48" i="3" s="1"/>
  <c r="AO79" i="3" s="1"/>
  <c r="O30" i="2" s="1"/>
  <c r="T20" i="3"/>
  <c r="C214" i="3"/>
  <c r="H214" i="3"/>
  <c r="L214" i="3"/>
  <c r="T48" i="3" s="1"/>
  <c r="AI48" i="3" s="1"/>
  <c r="AI79" i="3" s="1"/>
  <c r="I30" i="2" s="1"/>
  <c r="S20" i="3"/>
  <c r="L213" i="3"/>
  <c r="S48" i="3" s="1"/>
  <c r="AH48" i="3" s="1"/>
  <c r="AH79" i="3" s="1"/>
  <c r="H30" i="2" s="1"/>
  <c r="AQ86" i="3" l="1"/>
  <c r="AE86" i="3"/>
  <c r="E37" i="2" s="1"/>
  <c r="Q35" i="3"/>
  <c r="AF36" i="3" s="1"/>
  <c r="AQ20" i="3"/>
  <c r="AQ81" i="3" s="1"/>
  <c r="AI19" i="3"/>
  <c r="AI78" i="3" s="1"/>
  <c r="I29" i="2" s="1"/>
  <c r="AA34" i="3"/>
  <c r="AP35" i="3" s="1"/>
  <c r="AP80" i="3" s="1"/>
  <c r="P31" i="2" s="1"/>
  <c r="AJ19" i="3"/>
  <c r="AJ78" i="3" s="1"/>
  <c r="J29" i="2" s="1"/>
  <c r="I215" i="3"/>
  <c r="U34" i="3" s="1"/>
  <c r="AJ35" i="3" s="1"/>
  <c r="AJ80" i="3" s="1"/>
  <c r="J31" i="2" s="1"/>
  <c r="H213" i="3"/>
  <c r="I214" i="3" s="1"/>
  <c r="T34" i="3" s="1"/>
  <c r="AI35" i="3" s="1"/>
  <c r="AI80" i="3" s="1"/>
  <c r="I31" i="2" s="1"/>
  <c r="C213" i="3"/>
  <c r="P28" i="2"/>
  <c r="O28" i="2"/>
  <c r="N28" i="2"/>
  <c r="M28" i="2"/>
  <c r="L28" i="2"/>
  <c r="K28" i="2"/>
  <c r="R20" i="3"/>
  <c r="AH19" i="3" s="1"/>
  <c r="AH78" i="3" s="1"/>
  <c r="H212" i="3"/>
  <c r="C212" i="3"/>
  <c r="L212" i="3"/>
  <c r="Q20" i="3"/>
  <c r="P20" i="3"/>
  <c r="C210" i="3"/>
  <c r="C211" i="3"/>
  <c r="H211" i="3"/>
  <c r="H210" i="3"/>
  <c r="Q37" i="2" l="1"/>
  <c r="I212" i="3"/>
  <c r="R34" i="3" s="1"/>
  <c r="AG35" i="3" s="1"/>
  <c r="AG80" i="3" s="1"/>
  <c r="G31" i="2" s="1"/>
  <c r="Q32" i="2"/>
  <c r="AF83" i="3"/>
  <c r="F34" i="2" s="1"/>
  <c r="AQ36" i="3"/>
  <c r="AQ83" i="3" s="1"/>
  <c r="I28" i="2"/>
  <c r="AG19" i="3"/>
  <c r="AG78" i="3" s="1"/>
  <c r="G29" i="2" s="1"/>
  <c r="H29" i="2"/>
  <c r="H28" i="2"/>
  <c r="I213" i="3"/>
  <c r="S34" i="3" s="1"/>
  <c r="AH35" i="3" s="1"/>
  <c r="AH80" i="3" s="1"/>
  <c r="H31" i="2" s="1"/>
  <c r="J28" i="2"/>
  <c r="AF19" i="3"/>
  <c r="AF78" i="3" s="1"/>
  <c r="R48" i="3"/>
  <c r="AG48" i="3" s="1"/>
  <c r="AG79" i="3" s="1"/>
  <c r="G30" i="2" s="1"/>
  <c r="I211" i="3"/>
  <c r="Q34" i="3" s="1"/>
  <c r="AF35" i="3" s="1"/>
  <c r="AF80" i="3" s="1"/>
  <c r="F31" i="2" s="1"/>
  <c r="L211" i="3"/>
  <c r="Q48" i="3" s="1"/>
  <c r="AF48" i="3" s="1"/>
  <c r="AF79" i="3" s="1"/>
  <c r="F30" i="2" s="1"/>
  <c r="L209" i="3"/>
  <c r="AA47" i="3" s="1"/>
  <c r="AP47" i="3" s="1"/>
  <c r="AP76" i="3" s="1"/>
  <c r="L210" i="3"/>
  <c r="P48" i="3" s="1"/>
  <c r="AE48" i="3" s="1"/>
  <c r="L7" i="1"/>
  <c r="AA19" i="3"/>
  <c r="AE19" i="3" s="1"/>
  <c r="AE78" i="3" s="1"/>
  <c r="H209" i="3"/>
  <c r="C209" i="3"/>
  <c r="Z19" i="3"/>
  <c r="C208" i="3"/>
  <c r="H208" i="3"/>
  <c r="L208" i="3"/>
  <c r="Z47" i="3" s="1"/>
  <c r="AO47" i="3" s="1"/>
  <c r="AO76" i="3" s="1"/>
  <c r="Y19" i="3"/>
  <c r="C206" i="3"/>
  <c r="C207" i="3"/>
  <c r="H207" i="3"/>
  <c r="L207" i="3"/>
  <c r="X19" i="3"/>
  <c r="H206" i="3"/>
  <c r="L206" i="3"/>
  <c r="X47" i="3" s="1"/>
  <c r="AM47" i="3" s="1"/>
  <c r="AM76" i="3" s="1"/>
  <c r="P15" i="1"/>
  <c r="W19" i="3"/>
  <c r="C204" i="3"/>
  <c r="C205" i="3"/>
  <c r="H205" i="3"/>
  <c r="L205" i="3"/>
  <c r="W47" i="3" s="1"/>
  <c r="AL47" i="3" s="1"/>
  <c r="AL76" i="3" s="1"/>
  <c r="V19" i="3"/>
  <c r="H204" i="3"/>
  <c r="L204" i="3"/>
  <c r="V47" i="3" s="1"/>
  <c r="AK47" i="3" s="1"/>
  <c r="AK76" i="3" s="1"/>
  <c r="U19" i="3"/>
  <c r="T19" i="3"/>
  <c r="C202" i="3"/>
  <c r="C203" i="3"/>
  <c r="H203" i="3"/>
  <c r="L203" i="3"/>
  <c r="U47" i="3" s="1"/>
  <c r="AJ47" i="3" s="1"/>
  <c r="AJ76" i="3" s="1"/>
  <c r="J26" i="2" s="1"/>
  <c r="S19" i="3"/>
  <c r="C201" i="3"/>
  <c r="H202" i="3"/>
  <c r="L202" i="3"/>
  <c r="T47" i="3" s="1"/>
  <c r="AI47" i="3" s="1"/>
  <c r="AI76" i="3" s="1"/>
  <c r="H201" i="3"/>
  <c r="L201" i="3"/>
  <c r="S47" i="3" s="1"/>
  <c r="AH47" i="3" s="1"/>
  <c r="AH76" i="3" s="1"/>
  <c r="H26" i="2" s="1"/>
  <c r="R19" i="3"/>
  <c r="H200" i="3"/>
  <c r="C200" i="3"/>
  <c r="L200" i="3"/>
  <c r="R47" i="3" s="1"/>
  <c r="AG47" i="3" s="1"/>
  <c r="AG76" i="3" s="1"/>
  <c r="Q19" i="3"/>
  <c r="H199" i="3"/>
  <c r="C199" i="3"/>
  <c r="L199" i="3"/>
  <c r="Q47" i="3" s="1"/>
  <c r="AF47" i="3" s="1"/>
  <c r="AF76" i="3" s="1"/>
  <c r="P19" i="3"/>
  <c r="H198" i="3"/>
  <c r="G197" i="3"/>
  <c r="H197" i="3" s="1"/>
  <c r="L197" i="3"/>
  <c r="L198" i="3"/>
  <c r="C198" i="3"/>
  <c r="G28" i="2" l="1"/>
  <c r="Q34" i="2"/>
  <c r="AO18" i="3"/>
  <c r="AO75" i="3" s="1"/>
  <c r="O25" i="2" s="1"/>
  <c r="AQ48" i="3"/>
  <c r="AQ79" i="3" s="1"/>
  <c r="AE79" i="3"/>
  <c r="E30" i="2" s="1"/>
  <c r="E29" i="2"/>
  <c r="E28" i="2"/>
  <c r="AQ19" i="3"/>
  <c r="AQ78" i="3" s="1"/>
  <c r="I210" i="3"/>
  <c r="P34" i="3" s="1"/>
  <c r="AE35" i="3" s="1"/>
  <c r="AE80" i="3" s="1"/>
  <c r="E31" i="2" s="1"/>
  <c r="F28" i="2"/>
  <c r="F29" i="2"/>
  <c r="I209" i="3"/>
  <c r="AA33" i="3" s="1"/>
  <c r="AP34" i="3" s="1"/>
  <c r="AP77" i="3" s="1"/>
  <c r="AI18" i="3"/>
  <c r="AI75" i="3" s="1"/>
  <c r="I25" i="2" s="1"/>
  <c r="I200" i="3"/>
  <c r="R33" i="3" s="1"/>
  <c r="AG34" i="3" s="1"/>
  <c r="AG77" i="3" s="1"/>
  <c r="G27" i="2" s="1"/>
  <c r="AH18" i="3"/>
  <c r="AH75" i="3" s="1"/>
  <c r="H25" i="2" s="1"/>
  <c r="AN18" i="3"/>
  <c r="AN75" i="3" s="1"/>
  <c r="N25" i="2" s="1"/>
  <c r="I203" i="3"/>
  <c r="U33" i="3" s="1"/>
  <c r="AJ34" i="3" s="1"/>
  <c r="AJ77" i="3" s="1"/>
  <c r="J27" i="2" s="1"/>
  <c r="AJ18" i="3"/>
  <c r="AJ75" i="3" s="1"/>
  <c r="J25" i="2" s="1"/>
  <c r="I201" i="3"/>
  <c r="S33" i="3" s="1"/>
  <c r="AH34" i="3" s="1"/>
  <c r="AH77" i="3" s="1"/>
  <c r="H27" i="2" s="1"/>
  <c r="I198" i="3"/>
  <c r="P33" i="3" s="1"/>
  <c r="AE34" i="3" s="1"/>
  <c r="AE77" i="3" s="1"/>
  <c r="E27" i="2" s="1"/>
  <c r="I204" i="3"/>
  <c r="V33" i="3" s="1"/>
  <c r="AK34" i="3" s="1"/>
  <c r="AK77" i="3" s="1"/>
  <c r="K27" i="2" s="1"/>
  <c r="I199" i="3"/>
  <c r="Q33" i="3" s="1"/>
  <c r="AF34" i="3" s="1"/>
  <c r="AF77" i="3" s="1"/>
  <c r="F27" i="2" s="1"/>
  <c r="AL18" i="3"/>
  <c r="AL75" i="3" s="1"/>
  <c r="L25" i="2" s="1"/>
  <c r="I206" i="3"/>
  <c r="X33" i="3" s="1"/>
  <c r="AM34" i="3" s="1"/>
  <c r="AM77" i="3" s="1"/>
  <c r="M27" i="2" s="1"/>
  <c r="AF18" i="3"/>
  <c r="AF75" i="3" s="1"/>
  <c r="F25" i="2" s="1"/>
  <c r="AM18" i="3"/>
  <c r="AM75" i="3" s="1"/>
  <c r="M25" i="2" s="1"/>
  <c r="AP18" i="3"/>
  <c r="AP75" i="3" s="1"/>
  <c r="P25" i="2" s="1"/>
  <c r="I202" i="3"/>
  <c r="I205" i="3"/>
  <c r="AG18" i="3"/>
  <c r="AG75" i="3" s="1"/>
  <c r="G25" i="2" s="1"/>
  <c r="AK18" i="3"/>
  <c r="AK75" i="3" s="1"/>
  <c r="K25" i="2" s="1"/>
  <c r="I207" i="3"/>
  <c r="Y33" i="3" s="1"/>
  <c r="AN34" i="3" s="1"/>
  <c r="AN77" i="3" s="1"/>
  <c r="N27" i="2" s="1"/>
  <c r="I208" i="3"/>
  <c r="Z33" i="3" s="1"/>
  <c r="AO34" i="3" s="1"/>
  <c r="AO77" i="3" s="1"/>
  <c r="O27" i="2" s="1"/>
  <c r="Y47" i="3"/>
  <c r="AN47" i="3" s="1"/>
  <c r="AN76" i="3" s="1"/>
  <c r="N26" i="2" s="1"/>
  <c r="P47" i="3"/>
  <c r="AE47" i="3" s="1"/>
  <c r="P27" i="2"/>
  <c r="P26" i="2"/>
  <c r="O26" i="2"/>
  <c r="M26" i="2"/>
  <c r="L26" i="2"/>
  <c r="K26" i="2"/>
  <c r="I26" i="2"/>
  <c r="G26" i="2"/>
  <c r="F26" i="2"/>
  <c r="AA46" i="3"/>
  <c r="AP46" i="3" s="1"/>
  <c r="AP73" i="3" s="1"/>
  <c r="P23" i="2" s="1"/>
  <c r="AA18" i="3"/>
  <c r="C197" i="3"/>
  <c r="Z18" i="3"/>
  <c r="C196" i="3"/>
  <c r="L196" i="3"/>
  <c r="Z46" i="3" s="1"/>
  <c r="AO46" i="3" s="1"/>
  <c r="AO73" i="3" s="1"/>
  <c r="O23" i="2" s="1"/>
  <c r="H196" i="3"/>
  <c r="Y18" i="3"/>
  <c r="C195" i="3"/>
  <c r="AQ47" i="3" l="1"/>
  <c r="AQ76" i="3" s="1"/>
  <c r="Q29" i="2"/>
  <c r="X2" i="2"/>
  <c r="Q28" i="2"/>
  <c r="AQ35" i="3"/>
  <c r="AQ80" i="3" s="1"/>
  <c r="X3" i="2"/>
  <c r="Q30" i="2"/>
  <c r="AP17" i="3"/>
  <c r="AP72" i="3" s="1"/>
  <c r="P22" i="2" s="1"/>
  <c r="AE18" i="3"/>
  <c r="AE75" i="3" s="1"/>
  <c r="E25" i="2" s="1"/>
  <c r="W33" i="3"/>
  <c r="AL34" i="3" s="1"/>
  <c r="AL77" i="3" s="1"/>
  <c r="L27" i="2" s="1"/>
  <c r="T33" i="3"/>
  <c r="AI34" i="3" s="1"/>
  <c r="AE76" i="3"/>
  <c r="E26" i="2" s="1"/>
  <c r="AO17" i="3"/>
  <c r="AO72" i="3" s="1"/>
  <c r="O22" i="2" s="1"/>
  <c r="I197" i="3"/>
  <c r="AA32" i="3" s="1"/>
  <c r="AP33" i="3" s="1"/>
  <c r="AP74" i="3" s="1"/>
  <c r="P24" i="2" s="1"/>
  <c r="L195" i="3"/>
  <c r="Y46" i="3" s="1"/>
  <c r="AN46" i="3" s="1"/>
  <c r="AN73" i="3" s="1"/>
  <c r="N23" i="2" s="1"/>
  <c r="H195" i="3"/>
  <c r="I196" i="3" s="1"/>
  <c r="Z32" i="3" s="1"/>
  <c r="AO33" i="3" s="1"/>
  <c r="AO74" i="3" s="1"/>
  <c r="O24" i="2" s="1"/>
  <c r="X18" i="3"/>
  <c r="AN17" i="3" s="1"/>
  <c r="AN72" i="3" s="1"/>
  <c r="N22" i="2" s="1"/>
  <c r="L194" i="3"/>
  <c r="X46" i="3" s="1"/>
  <c r="AM46" i="3" s="1"/>
  <c r="AM73" i="3" s="1"/>
  <c r="M23" i="2" s="1"/>
  <c r="H194" i="3"/>
  <c r="C194" i="3"/>
  <c r="W18" i="3"/>
  <c r="C193" i="3"/>
  <c r="L193" i="3"/>
  <c r="W46" i="3" s="1"/>
  <c r="AL46" i="3" s="1"/>
  <c r="AL73" i="3" s="1"/>
  <c r="L23" i="2" s="1"/>
  <c r="H193" i="3"/>
  <c r="AQ34" i="3" l="1"/>
  <c r="AQ77" i="3" s="1"/>
  <c r="Q31" i="2"/>
  <c r="X4" i="2"/>
  <c r="AI77" i="3"/>
  <c r="I27" i="2" s="1"/>
  <c r="AQ18" i="3"/>
  <c r="AQ75" i="3" s="1"/>
  <c r="Q26" i="2"/>
  <c r="I194" i="3"/>
  <c r="X32" i="3" s="1"/>
  <c r="AM33" i="3" s="1"/>
  <c r="AM74" i="3" s="1"/>
  <c r="M24" i="2" s="1"/>
  <c r="I195" i="3"/>
  <c r="Y32" i="3" s="1"/>
  <c r="AN33" i="3" s="1"/>
  <c r="AN74" i="3" s="1"/>
  <c r="N24" i="2" s="1"/>
  <c r="AM17" i="3"/>
  <c r="AM72" i="3" s="1"/>
  <c r="M22" i="2" s="1"/>
  <c r="V18" i="3"/>
  <c r="AL17" i="3" s="1"/>
  <c r="AL72" i="3" s="1"/>
  <c r="L22" i="2" s="1"/>
  <c r="C192" i="3"/>
  <c r="L192" i="3"/>
  <c r="V46" i="3" s="1"/>
  <c r="AK46" i="3" s="1"/>
  <c r="AK73" i="3" s="1"/>
  <c r="K23" i="2" s="1"/>
  <c r="H192" i="3"/>
  <c r="U18" i="3"/>
  <c r="L191" i="3"/>
  <c r="U46" i="3" s="1"/>
  <c r="AJ46" i="3" s="1"/>
  <c r="AJ73" i="3" s="1"/>
  <c r="J23" i="2" s="1"/>
  <c r="C191" i="3"/>
  <c r="H191" i="3"/>
  <c r="T18" i="3"/>
  <c r="C190" i="3"/>
  <c r="L190" i="3"/>
  <c r="T46" i="3" s="1"/>
  <c r="AI46" i="3" s="1"/>
  <c r="AI73" i="3" s="1"/>
  <c r="I23" i="2" s="1"/>
  <c r="H190" i="3"/>
  <c r="S18" i="3"/>
  <c r="C189" i="3"/>
  <c r="L189" i="3"/>
  <c r="S46" i="3" s="1"/>
  <c r="AH46" i="3" s="1"/>
  <c r="AH73" i="3" s="1"/>
  <c r="H23" i="2" s="1"/>
  <c r="H189" i="3"/>
  <c r="L188" i="3"/>
  <c r="R46" i="3" s="1"/>
  <c r="AG46" i="3" s="1"/>
  <c r="AG73" i="3" s="1"/>
  <c r="G23" i="2" s="1"/>
  <c r="R18" i="3"/>
  <c r="C188" i="3"/>
  <c r="H188" i="3"/>
  <c r="Z17" i="3"/>
  <c r="Y17" i="3"/>
  <c r="AA17" i="3"/>
  <c r="Q18" i="3"/>
  <c r="P18" i="3"/>
  <c r="C183" i="3"/>
  <c r="C184" i="3"/>
  <c r="C185" i="3"/>
  <c r="C186" i="3"/>
  <c r="C187" i="3"/>
  <c r="L186" i="3"/>
  <c r="L187" i="3"/>
  <c r="L183" i="3"/>
  <c r="L184" i="3"/>
  <c r="L185" i="3"/>
  <c r="H186" i="3"/>
  <c r="H187" i="3"/>
  <c r="H185" i="3"/>
  <c r="H183" i="3"/>
  <c r="H184" i="3"/>
  <c r="X17" i="3"/>
  <c r="W17" i="3"/>
  <c r="AH17" i="3" l="1"/>
  <c r="AH72" i="3" s="1"/>
  <c r="H22" i="2" s="1"/>
  <c r="AJ17" i="3"/>
  <c r="AJ72" i="3" s="1"/>
  <c r="J22" i="2" s="1"/>
  <c r="Q25" i="2"/>
  <c r="Q27" i="2"/>
  <c r="AP16" i="3"/>
  <c r="AP69" i="3" s="1"/>
  <c r="P19" i="2" s="1"/>
  <c r="I184" i="3"/>
  <c r="Z31" i="3" s="1"/>
  <c r="AO32" i="3" s="1"/>
  <c r="AO71" i="3" s="1"/>
  <c r="O21" i="2" s="1"/>
  <c r="I192" i="3"/>
  <c r="V32" i="3" s="1"/>
  <c r="AK33" i="3" s="1"/>
  <c r="AK74" i="3" s="1"/>
  <c r="K24" i="2" s="1"/>
  <c r="I191" i="3"/>
  <c r="U32" i="3" s="1"/>
  <c r="AJ33" i="3" s="1"/>
  <c r="AJ74" i="3" s="1"/>
  <c r="J24" i="2" s="1"/>
  <c r="AF17" i="3"/>
  <c r="AF72" i="3" s="1"/>
  <c r="F22" i="2" s="1"/>
  <c r="AI17" i="3"/>
  <c r="AI72" i="3" s="1"/>
  <c r="I22" i="2" s="1"/>
  <c r="AO16" i="3"/>
  <c r="AO69" i="3" s="1"/>
  <c r="O19" i="2" s="1"/>
  <c r="I188" i="3"/>
  <c r="R32" i="3" s="1"/>
  <c r="AG33" i="3" s="1"/>
  <c r="AG74" i="3" s="1"/>
  <c r="G24" i="2" s="1"/>
  <c r="I190" i="3"/>
  <c r="T32" i="3" s="1"/>
  <c r="AI33" i="3" s="1"/>
  <c r="AI74" i="3" s="1"/>
  <c r="I24" i="2" s="1"/>
  <c r="I189" i="3"/>
  <c r="S32" i="3" s="1"/>
  <c r="AH33" i="3" s="1"/>
  <c r="AH74" i="3" s="1"/>
  <c r="H24" i="2" s="1"/>
  <c r="AE17" i="3"/>
  <c r="AE72" i="3" s="1"/>
  <c r="E22" i="2" s="1"/>
  <c r="I187" i="3"/>
  <c r="Q32" i="3" s="1"/>
  <c r="AF33" i="3" s="1"/>
  <c r="AF74" i="3" s="1"/>
  <c r="F24" i="2" s="1"/>
  <c r="AN16" i="3"/>
  <c r="AN69" i="3" s="1"/>
  <c r="N19" i="2" s="1"/>
  <c r="I193" i="3"/>
  <c r="W32" i="3" s="1"/>
  <c r="AL33" i="3" s="1"/>
  <c r="AL74" i="3" s="1"/>
  <c r="L24" i="2" s="1"/>
  <c r="AK17" i="3"/>
  <c r="AK72" i="3" s="1"/>
  <c r="K22" i="2" s="1"/>
  <c r="AG17" i="3"/>
  <c r="AG72" i="3" s="1"/>
  <c r="G22" i="2" s="1"/>
  <c r="I186" i="3"/>
  <c r="P32" i="3" s="1"/>
  <c r="AE33" i="3" s="1"/>
  <c r="AE74" i="3" s="1"/>
  <c r="E24" i="2" s="1"/>
  <c r="I185" i="3"/>
  <c r="AA31" i="3" s="1"/>
  <c r="AP32" i="3" s="1"/>
  <c r="AP71" i="3" s="1"/>
  <c r="P21" i="2" s="1"/>
  <c r="AM16" i="3"/>
  <c r="AM69" i="3" s="1"/>
  <c r="C181" i="3"/>
  <c r="H181" i="3"/>
  <c r="L181" i="3"/>
  <c r="W45" i="3" s="1"/>
  <c r="AL45" i="3" s="1"/>
  <c r="AL70" i="3" s="1"/>
  <c r="C182" i="3"/>
  <c r="H182" i="3"/>
  <c r="I183" i="3" s="1"/>
  <c r="Y31" i="3" s="1"/>
  <c r="AN32" i="3" s="1"/>
  <c r="AN71" i="3" s="1"/>
  <c r="N21" i="2" s="1"/>
  <c r="L182" i="3"/>
  <c r="AQ33" i="3" l="1"/>
  <c r="AQ74" i="3" s="1"/>
  <c r="AQ17" i="3"/>
  <c r="AQ72" i="3" s="1"/>
  <c r="X45" i="3"/>
  <c r="AM45" i="3" s="1"/>
  <c r="AM70" i="3" s="1"/>
  <c r="AA45" i="3"/>
  <c r="AP45" i="3" s="1"/>
  <c r="AP70" i="3" s="1"/>
  <c r="P20" i="2" s="1"/>
  <c r="P46" i="3"/>
  <c r="AE46" i="3" s="1"/>
  <c r="Z45" i="3"/>
  <c r="AO45" i="3" s="1"/>
  <c r="AO70" i="3" s="1"/>
  <c r="O20" i="2" s="1"/>
  <c r="Y45" i="3"/>
  <c r="AN45" i="3" s="1"/>
  <c r="AN70" i="3" s="1"/>
  <c r="N20" i="2" s="1"/>
  <c r="Q46" i="3"/>
  <c r="AF46" i="3" s="1"/>
  <c r="AF73" i="3" s="1"/>
  <c r="F23" i="2" s="1"/>
  <c r="I182" i="3"/>
  <c r="L179" i="3"/>
  <c r="U45" i="3" s="1"/>
  <c r="AJ45" i="3" s="1"/>
  <c r="AJ70" i="3" s="1"/>
  <c r="C178" i="3"/>
  <c r="H178" i="3"/>
  <c r="L178" i="3"/>
  <c r="C179" i="3"/>
  <c r="H179" i="3"/>
  <c r="C180" i="3"/>
  <c r="H180" i="3"/>
  <c r="I181" i="3" s="1"/>
  <c r="L180" i="3"/>
  <c r="V45" i="3" s="1"/>
  <c r="AK45" i="3" s="1"/>
  <c r="AK70" i="3" s="1"/>
  <c r="V17" i="3"/>
  <c r="AL16" i="3" s="1"/>
  <c r="AL69" i="3" s="1"/>
  <c r="U17" i="3"/>
  <c r="T17" i="3"/>
  <c r="Q22" i="2" l="1"/>
  <c r="Q24" i="2"/>
  <c r="AQ46" i="3"/>
  <c r="AQ73" i="3" s="1"/>
  <c r="AE73" i="3"/>
  <c r="E23" i="2" s="1"/>
  <c r="AK16" i="3"/>
  <c r="AK69" i="3" s="1"/>
  <c r="W31" i="3"/>
  <c r="AL32" i="3" s="1"/>
  <c r="AL71" i="3" s="1"/>
  <c r="X31" i="3"/>
  <c r="AM32" i="3" s="1"/>
  <c r="AM71" i="3" s="1"/>
  <c r="I179" i="3"/>
  <c r="U31" i="3" s="1"/>
  <c r="AJ32" i="3" s="1"/>
  <c r="AJ71" i="3" s="1"/>
  <c r="T45" i="3"/>
  <c r="AI45" i="3" s="1"/>
  <c r="AI70" i="3" s="1"/>
  <c r="AJ16" i="3"/>
  <c r="AJ69" i="3" s="1"/>
  <c r="I180" i="3"/>
  <c r="V31" i="3" s="1"/>
  <c r="AK32" i="3" s="1"/>
  <c r="AK71" i="3" s="1"/>
  <c r="S17" i="3"/>
  <c r="AI16" i="3" s="1"/>
  <c r="AI69" i="3" s="1"/>
  <c r="C177" i="3"/>
  <c r="H177" i="3"/>
  <c r="I178" i="3" s="1"/>
  <c r="T31" i="3" s="1"/>
  <c r="AI32" i="3" s="1"/>
  <c r="AI71" i="3" s="1"/>
  <c r="L177" i="3"/>
  <c r="S45" i="3" s="1"/>
  <c r="AH45" i="3" s="1"/>
  <c r="AH70" i="3" s="1"/>
  <c r="Q23" i="2" l="1"/>
  <c r="R17" i="3"/>
  <c r="AH16" i="3" s="1"/>
  <c r="AH69" i="3" s="1"/>
  <c r="C176" i="3"/>
  <c r="H176" i="3"/>
  <c r="I177" i="3" s="1"/>
  <c r="L176" i="3"/>
  <c r="S31" i="3" l="1"/>
  <c r="AH32" i="3" s="1"/>
  <c r="AH71" i="3" s="1"/>
  <c r="R45" i="3"/>
  <c r="AG45" i="3" s="1"/>
  <c r="AG70" i="3" s="1"/>
  <c r="Q17" i="3"/>
  <c r="AG16" i="3" s="1"/>
  <c r="AG69" i="3" s="1"/>
  <c r="H175" i="3"/>
  <c r="C175" i="3"/>
  <c r="L175" i="3"/>
  <c r="Q45" i="3" s="1"/>
  <c r="AF45" i="3" s="1"/>
  <c r="AF70" i="3" s="1"/>
  <c r="I176" i="3" l="1"/>
  <c r="P17" i="3"/>
  <c r="AF16" i="3" s="1"/>
  <c r="AF69" i="3" s="1"/>
  <c r="H174" i="3"/>
  <c r="I175" i="3" s="1"/>
  <c r="C174" i="3"/>
  <c r="L174" i="3"/>
  <c r="P45" i="3" s="1"/>
  <c r="AE45" i="3" s="1"/>
  <c r="AQ45" i="3" s="1"/>
  <c r="Q31" i="3" l="1"/>
  <c r="AF32" i="3" s="1"/>
  <c r="AF71" i="3" s="1"/>
  <c r="R31" i="3"/>
  <c r="AG32" i="3" s="1"/>
  <c r="AG71" i="3" s="1"/>
  <c r="AE70" i="3"/>
  <c r="AQ70" i="3"/>
  <c r="Q20" i="2" s="1"/>
  <c r="AA16" i="3"/>
  <c r="C173" i="3"/>
  <c r="H173" i="3"/>
  <c r="L173" i="3"/>
  <c r="AA44" i="3" s="1"/>
  <c r="AP44" i="3" s="1"/>
  <c r="AP67" i="3" s="1"/>
  <c r="AE16" i="3" l="1"/>
  <c r="AQ16" i="3" s="1"/>
  <c r="I174" i="3"/>
  <c r="P31" i="3" s="1"/>
  <c r="AE32" i="3" s="1"/>
  <c r="AQ32" i="3" s="1"/>
  <c r="Z16" i="3"/>
  <c r="AP15" i="3" s="1"/>
  <c r="AP66" i="3" s="1"/>
  <c r="C172" i="3"/>
  <c r="H172" i="3"/>
  <c r="I173" i="3" s="1"/>
  <c r="L172" i="3"/>
  <c r="Z44" i="3" s="1"/>
  <c r="AO44" i="3" s="1"/>
  <c r="AO67" i="3" s="1"/>
  <c r="AE69" i="3" l="1"/>
  <c r="AQ69" i="3"/>
  <c r="Q19" i="2" s="1"/>
  <c r="AQ71" i="3"/>
  <c r="Q21" i="2" s="1"/>
  <c r="AE71" i="3"/>
  <c r="AA30" i="3"/>
  <c r="AP31" i="3" s="1"/>
  <c r="AP68" i="3" s="1"/>
  <c r="Y16" i="3"/>
  <c r="AO15" i="3" s="1"/>
  <c r="AO66" i="3" s="1"/>
  <c r="C171" i="3" l="1"/>
  <c r="H171" i="3"/>
  <c r="L171" i="3"/>
  <c r="Y44" i="3" l="1"/>
  <c r="AN44" i="3" s="1"/>
  <c r="AN67" i="3" s="1"/>
  <c r="I172" i="3"/>
  <c r="X16" i="3"/>
  <c r="AN15" i="3" s="1"/>
  <c r="AN66" i="3" s="1"/>
  <c r="C170" i="3"/>
  <c r="H170" i="3"/>
  <c r="L170" i="3"/>
  <c r="X44" i="3" l="1"/>
  <c r="AM44" i="3" s="1"/>
  <c r="AM67" i="3" s="1"/>
  <c r="I171" i="3"/>
  <c r="Z30" i="3"/>
  <c r="AO31" i="3" s="1"/>
  <c r="AO68" i="3" s="1"/>
  <c r="W16" i="3"/>
  <c r="AM15" i="3" s="1"/>
  <c r="AM66" i="3" s="1"/>
  <c r="C169" i="3"/>
  <c r="H169" i="3"/>
  <c r="I170" i="3" s="1"/>
  <c r="L169" i="3"/>
  <c r="X30" i="3" l="1"/>
  <c r="AM31" i="3" s="1"/>
  <c r="AM68" i="3" s="1"/>
  <c r="Y30" i="3"/>
  <c r="AN31" i="3" s="1"/>
  <c r="AN68" i="3" s="1"/>
  <c r="W44" i="3"/>
  <c r="AL44" i="3" s="1"/>
  <c r="AL67" i="3" s="1"/>
  <c r="V16" i="3" l="1"/>
  <c r="H168" i="3"/>
  <c r="L168" i="3"/>
  <c r="V44" i="3" s="1"/>
  <c r="AK44" i="3" s="1"/>
  <c r="AK67" i="3" s="1"/>
  <c r="C168" i="3"/>
  <c r="I169" i="3" l="1"/>
  <c r="AL15" i="3"/>
  <c r="AL66" i="3" s="1"/>
  <c r="U16" i="3"/>
  <c r="AK15" i="3" s="1"/>
  <c r="AK66" i="3" s="1"/>
  <c r="L167" i="3"/>
  <c r="U44" i="3" s="1"/>
  <c r="AJ44" i="3" s="1"/>
  <c r="AJ67" i="3" s="1"/>
  <c r="H167" i="3"/>
  <c r="C167" i="3"/>
  <c r="W30" i="3" l="1"/>
  <c r="AL31" i="3" s="1"/>
  <c r="AL68" i="3" s="1"/>
  <c r="I168" i="3"/>
  <c r="T16" i="3"/>
  <c r="AJ15" i="3" s="1"/>
  <c r="AJ66" i="3" s="1"/>
  <c r="H166" i="3"/>
  <c r="I167" i="3" s="1"/>
  <c r="L166" i="3"/>
  <c r="T44" i="3" s="1"/>
  <c r="AI44" i="3" s="1"/>
  <c r="AI67" i="3" s="1"/>
  <c r="C166" i="3"/>
  <c r="U30" i="3" l="1"/>
  <c r="AJ31" i="3" s="1"/>
  <c r="AJ68" i="3" s="1"/>
  <c r="V30" i="3"/>
  <c r="AK31" i="3" s="1"/>
  <c r="AK68" i="3" s="1"/>
  <c r="S16" i="3"/>
  <c r="AI15" i="3" s="1"/>
  <c r="AI66" i="3" s="1"/>
  <c r="R16" i="3"/>
  <c r="Y28" i="3"/>
  <c r="L161" i="3"/>
  <c r="AA43" i="3" s="1"/>
  <c r="AP43" i="3" s="1"/>
  <c r="L162" i="3"/>
  <c r="L163" i="3"/>
  <c r="Q44" i="3" s="1"/>
  <c r="AF44" i="3" s="1"/>
  <c r="L164" i="3"/>
  <c r="R44" i="3" s="1"/>
  <c r="AG44" i="3" s="1"/>
  <c r="L165" i="3"/>
  <c r="S44" i="3" s="1"/>
  <c r="AH44" i="3" s="1"/>
  <c r="AH67" i="3" s="1"/>
  <c r="L160" i="3"/>
  <c r="Z43" i="3" s="1"/>
  <c r="AO43" i="3" s="1"/>
  <c r="C4"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P44" i="3" l="1"/>
  <c r="AE44" i="3" s="1"/>
  <c r="AQ44" i="3" s="1"/>
  <c r="AQ43" i="3"/>
  <c r="AH15" i="3"/>
  <c r="AH66" i="3" s="1"/>
  <c r="H162" i="3"/>
  <c r="H165" i="3"/>
  <c r="I166" i="3" s="1"/>
  <c r="T30" i="3" s="1"/>
  <c r="AI31" i="3" s="1"/>
  <c r="AI68" i="3" s="1"/>
  <c r="H164" i="3" l="1"/>
  <c r="I165" i="3" l="1"/>
  <c r="S30" i="3" s="1"/>
  <c r="AH31" i="3" s="1"/>
  <c r="AH68" i="3" s="1"/>
  <c r="AG67" i="3"/>
  <c r="Q16" i="3"/>
  <c r="AG15" i="3" s="1"/>
  <c r="AG66" i="3" s="1"/>
  <c r="H163" i="3"/>
  <c r="I163" i="3" s="1"/>
  <c r="Q30" i="3" s="1"/>
  <c r="AF31" i="3" s="1"/>
  <c r="I164" i="3" l="1"/>
  <c r="R30" i="3" s="1"/>
  <c r="AG31" i="3" s="1"/>
  <c r="AG68" i="3" s="1"/>
  <c r="AF67" i="3"/>
  <c r="AF68" i="3"/>
  <c r="P16" i="3"/>
  <c r="AF15" i="3" s="1"/>
  <c r="AF66" i="3" s="1"/>
  <c r="AE67" i="3" l="1"/>
  <c r="AQ67" i="3"/>
  <c r="AA15" i="3"/>
  <c r="H161" i="3"/>
  <c r="I162" i="3" l="1"/>
  <c r="AE15" i="3"/>
  <c r="AE66" i="3" s="1"/>
  <c r="H159" i="3"/>
  <c r="P30" i="3" l="1"/>
  <c r="AE31" i="3" s="1"/>
  <c r="AQ15" i="3"/>
  <c r="AQ66" i="3" s="1"/>
  <c r="Q149" i="3"/>
  <c r="AE68" i="3" l="1"/>
  <c r="AQ31" i="3"/>
  <c r="AQ68" i="3" s="1"/>
  <c r="H160" i="3"/>
  <c r="X28" i="3"/>
  <c r="F145" i="3"/>
  <c r="F144" i="3"/>
  <c r="F143" i="3"/>
  <c r="F142" i="3"/>
  <c r="F141" i="3"/>
  <c r="F140" i="3"/>
  <c r="BB22" i="3" s="1"/>
  <c r="F139" i="3"/>
  <c r="F138" i="3"/>
  <c r="F137" i="3"/>
  <c r="F136" i="3"/>
  <c r="F135" i="3"/>
  <c r="F134" i="3"/>
  <c r="F133" i="3"/>
  <c r="F132" i="3"/>
  <c r="F131" i="3"/>
  <c r="F130" i="3"/>
  <c r="X29" i="3"/>
  <c r="W29" i="3"/>
  <c r="V29" i="3"/>
  <c r="U29" i="3"/>
  <c r="T29" i="3"/>
  <c r="S29" i="3"/>
  <c r="R29" i="3"/>
  <c r="Q29" i="3"/>
  <c r="P29" i="3"/>
  <c r="AW22" i="3"/>
  <c r="AA28" i="3"/>
  <c r="V28" i="3"/>
  <c r="U28" i="3"/>
  <c r="T28" i="3"/>
  <c r="S28" i="3"/>
  <c r="R28" i="3"/>
  <c r="AW21" i="3"/>
  <c r="Z27" i="3"/>
  <c r="V27" i="3"/>
  <c r="AW20" i="3"/>
  <c r="BA19" i="3"/>
  <c r="AZ19" i="3"/>
  <c r="AY19" i="3"/>
  <c r="AY22" i="3" s="1"/>
  <c r="AX19" i="3"/>
  <c r="AX20" i="3" s="1"/>
  <c r="Z15" i="3"/>
  <c r="AP14" i="3" s="1"/>
  <c r="AP63" i="3" s="1"/>
  <c r="Y15" i="3"/>
  <c r="X15" i="3"/>
  <c r="W15" i="3"/>
  <c r="V15" i="3"/>
  <c r="U15" i="3"/>
  <c r="T15" i="3"/>
  <c r="S15" i="3"/>
  <c r="R15" i="3"/>
  <c r="Q15" i="3"/>
  <c r="P15" i="3"/>
  <c r="Z14" i="3"/>
  <c r="Y14" i="3"/>
  <c r="X14" i="3"/>
  <c r="W14" i="3"/>
  <c r="V14" i="3"/>
  <c r="U14" i="3"/>
  <c r="T14" i="3"/>
  <c r="S14" i="3"/>
  <c r="R14" i="3"/>
  <c r="Q14" i="3"/>
  <c r="P14" i="3"/>
  <c r="AA13" i="3"/>
  <c r="AQ12" i="3" s="1"/>
  <c r="AQ59" i="3" s="1"/>
  <c r="Z13" i="3"/>
  <c r="Y13" i="3"/>
  <c r="AM12" i="3"/>
  <c r="AM59" i="3" s="1"/>
  <c r="AL12" i="3"/>
  <c r="AL59" i="3" s="1"/>
  <c r="AK12" i="3"/>
  <c r="AK59" i="3" s="1"/>
  <c r="AJ12" i="3"/>
  <c r="AJ59" i="3" s="1"/>
  <c r="AI12" i="3"/>
  <c r="AI59" i="3" s="1"/>
  <c r="AH12" i="3"/>
  <c r="AH59" i="3" s="1"/>
  <c r="AG12" i="3"/>
  <c r="AG59" i="3" s="1"/>
  <c r="AF12" i="3"/>
  <c r="AF59" i="3" s="1"/>
  <c r="AE12" i="3"/>
  <c r="AE59" i="3" s="1"/>
  <c r="AQ11" i="3"/>
  <c r="AQ58" i="3" s="1"/>
  <c r="AP11" i="3"/>
  <c r="AP58" i="3" s="1"/>
  <c r="AO11" i="3"/>
  <c r="AO58" i="3" s="1"/>
  <c r="AN11" i="3"/>
  <c r="AN58" i="3" s="1"/>
  <c r="AM11" i="3"/>
  <c r="AM58" i="3" s="1"/>
  <c r="AL11" i="3"/>
  <c r="AL58" i="3" s="1"/>
  <c r="AK11" i="3"/>
  <c r="AK58" i="3" s="1"/>
  <c r="AJ11" i="3"/>
  <c r="AJ58" i="3" s="1"/>
  <c r="AI11" i="3"/>
  <c r="AI58" i="3" s="1"/>
  <c r="AH11" i="3"/>
  <c r="AH58" i="3" s="1"/>
  <c r="AG11" i="3"/>
  <c r="AG58" i="3" s="1"/>
  <c r="AF11" i="3"/>
  <c r="AF58" i="3" s="1"/>
  <c r="AE11" i="3"/>
  <c r="AE58" i="3" s="1"/>
  <c r="AQ10" i="3"/>
  <c r="AQ57" i="3" s="1"/>
  <c r="AP10" i="3"/>
  <c r="AP57" i="3" s="1"/>
  <c r="AO10" i="3"/>
  <c r="AO57" i="3" s="1"/>
  <c r="AN10" i="3"/>
  <c r="AN57" i="3" s="1"/>
  <c r="AM10" i="3"/>
  <c r="AM57" i="3" s="1"/>
  <c r="AL10" i="3"/>
  <c r="AL57" i="3" s="1"/>
  <c r="AK10" i="3"/>
  <c r="AK57" i="3" s="1"/>
  <c r="AJ10" i="3"/>
  <c r="AJ57" i="3" s="1"/>
  <c r="AI10" i="3"/>
  <c r="AI57" i="3" s="1"/>
  <c r="AH10" i="3"/>
  <c r="AH57" i="3" s="1"/>
  <c r="AG10" i="3"/>
  <c r="AG57" i="3" s="1"/>
  <c r="AF10" i="3"/>
  <c r="AF57" i="3" s="1"/>
  <c r="AE10" i="3"/>
  <c r="AE57" i="3" s="1"/>
  <c r="AQ9" i="3"/>
  <c r="AQ56" i="3" s="1"/>
  <c r="AP9" i="3"/>
  <c r="AP56" i="3" s="1"/>
  <c r="AO9" i="3"/>
  <c r="AO56" i="3" s="1"/>
  <c r="AN9" i="3"/>
  <c r="AN56" i="3" s="1"/>
  <c r="AM9" i="3"/>
  <c r="AM56" i="3" s="1"/>
  <c r="AL9" i="3"/>
  <c r="AL56" i="3" s="1"/>
  <c r="AK9" i="3"/>
  <c r="AK56" i="3" s="1"/>
  <c r="AJ9" i="3"/>
  <c r="AJ56" i="3" s="1"/>
  <c r="AI9" i="3"/>
  <c r="AI56" i="3" s="1"/>
  <c r="AH9" i="3"/>
  <c r="AH56" i="3" s="1"/>
  <c r="AG9" i="3"/>
  <c r="AG56" i="3" s="1"/>
  <c r="AF9" i="3"/>
  <c r="AF56" i="3" s="1"/>
  <c r="AE9" i="3"/>
  <c r="AE56" i="3" s="1"/>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X29" i="3" l="1"/>
  <c r="T2" i="2" s="1"/>
  <c r="AF14" i="3"/>
  <c r="AF63" i="3" s="1"/>
  <c r="AN14" i="3"/>
  <c r="AN63" i="3" s="1"/>
  <c r="AH14" i="3"/>
  <c r="AH63" i="3" s="1"/>
  <c r="I160" i="3"/>
  <c r="Z29" i="3" s="1"/>
  <c r="AO30" i="3" s="1"/>
  <c r="AO65" i="3" s="1"/>
  <c r="I161" i="3"/>
  <c r="AA29" i="3" s="1"/>
  <c r="AP30" i="3" s="1"/>
  <c r="AP65" i="3" s="1"/>
  <c r="AJ13" i="3"/>
  <c r="AJ60" i="3" s="1"/>
  <c r="AI13" i="3"/>
  <c r="AI60" i="3" s="1"/>
  <c r="AE13" i="3"/>
  <c r="AE60" i="3" s="1"/>
  <c r="AL13" i="3"/>
  <c r="AL60" i="3" s="1"/>
  <c r="AM14" i="3"/>
  <c r="AM63" i="3" s="1"/>
  <c r="AM13" i="3"/>
  <c r="AM60" i="3" s="1"/>
  <c r="AA14" i="3"/>
  <c r="AE14" i="3" s="1"/>
  <c r="AE63" i="3" s="1"/>
  <c r="AG14" i="3"/>
  <c r="AG63" i="3" s="1"/>
  <c r="AK14" i="3"/>
  <c r="AK63" i="3" s="1"/>
  <c r="BB20" i="3"/>
  <c r="W27" i="3"/>
  <c r="AE2" i="3"/>
  <c r="AO12" i="3"/>
  <c r="AO59" i="3" s="1"/>
  <c r="AJ14" i="3"/>
  <c r="AJ63" i="3" s="1"/>
  <c r="AA27" i="3"/>
  <c r="AH13" i="3"/>
  <c r="AH60" i="3" s="1"/>
  <c r="AO64" i="3"/>
  <c r="AP64" i="3"/>
  <c r="AO14" i="3"/>
  <c r="AO63" i="3" s="1"/>
  <c r="X27" i="3"/>
  <c r="P28" i="3"/>
  <c r="AG13" i="3"/>
  <c r="AG60" i="3" s="1"/>
  <c r="AO13" i="3"/>
  <c r="AO60" i="3" s="1"/>
  <c r="AZ22" i="3"/>
  <c r="AZ31" i="3" s="1"/>
  <c r="V4" i="2" s="1"/>
  <c r="U27" i="3"/>
  <c r="Y27" i="3"/>
  <c r="Q28" i="3"/>
  <c r="M160" i="3"/>
  <c r="M161" i="3" s="1"/>
  <c r="M162" i="3" s="1"/>
  <c r="M163" i="3" s="1"/>
  <c r="M164" i="3" s="1"/>
  <c r="M165" i="3" s="1"/>
  <c r="M166" i="3" s="1"/>
  <c r="M167" i="3" s="1"/>
  <c r="M168" i="3" s="1"/>
  <c r="M169" i="3" s="1"/>
  <c r="M170" i="3" s="1"/>
  <c r="M171" i="3" s="1"/>
  <c r="M172" i="3" s="1"/>
  <c r="M173" i="3" s="1"/>
  <c r="M174" i="3" s="1"/>
  <c r="M175" i="3" s="1"/>
  <c r="M176" i="3" s="1"/>
  <c r="M177" i="3" s="1"/>
  <c r="M178" i="3" s="1"/>
  <c r="M179" i="3" s="1"/>
  <c r="M180" i="3" s="1"/>
  <c r="M181" i="3" s="1"/>
  <c r="M182" i="3" s="1"/>
  <c r="M183" i="3" s="1"/>
  <c r="M184" i="3" s="1"/>
  <c r="M185" i="3" s="1"/>
  <c r="M186" i="3" s="1"/>
  <c r="M187" i="3" s="1"/>
  <c r="M188" i="3" s="1"/>
  <c r="M189" i="3" s="1"/>
  <c r="M190" i="3" s="1"/>
  <c r="M191" i="3" s="1"/>
  <c r="M192" i="3" s="1"/>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W28" i="3"/>
  <c r="AQ62" i="3"/>
  <c r="BA22" i="3"/>
  <c r="BA31" i="3" s="1"/>
  <c r="W4" i="2" s="1"/>
  <c r="Z28" i="3"/>
  <c r="AY31" i="3"/>
  <c r="U4" i="2" s="1"/>
  <c r="AQ60" i="3"/>
  <c r="AQ61" i="3"/>
  <c r="AK13" i="3"/>
  <c r="AK60" i="3" s="1"/>
  <c r="AZ20" i="3"/>
  <c r="AZ29" i="3" s="1"/>
  <c r="V2" i="2" s="1"/>
  <c r="AN12" i="3"/>
  <c r="AN59" i="3" s="1"/>
  <c r="AI14" i="3"/>
  <c r="AI63" i="3" s="1"/>
  <c r="BA20" i="3"/>
  <c r="BA29" i="3" s="1"/>
  <c r="W2" i="2" s="1"/>
  <c r="AQ64" i="3"/>
  <c r="AP12" i="3"/>
  <c r="AP59" i="3" s="1"/>
  <c r="AF13" i="3"/>
  <c r="AF60" i="3" s="1"/>
  <c r="AN13" i="3"/>
  <c r="AN60" i="3" s="1"/>
  <c r="AX21" i="3"/>
  <c r="AX30" i="3" s="1"/>
  <c r="AX22" i="3"/>
  <c r="AX31" i="3" s="1"/>
  <c r="AY20" i="3"/>
  <c r="AY29" i="3" s="1"/>
  <c r="U2" i="2" s="1"/>
  <c r="AL14" i="3"/>
  <c r="AL63" i="3" s="1"/>
  <c r="AY21" i="3"/>
  <c r="AY30" i="3" s="1"/>
  <c r="U3" i="2" s="1"/>
  <c r="AZ21" i="3"/>
  <c r="AZ30" i="3" s="1"/>
  <c r="V3" i="2" s="1"/>
  <c r="BA21" i="3"/>
  <c r="BA30" i="3" s="1"/>
  <c r="W3" i="2" s="1"/>
  <c r="T3" i="2" l="1"/>
  <c r="T4" i="2"/>
  <c r="AP13" i="3"/>
  <c r="AP60" i="3" s="1"/>
  <c r="AQ13" i="3"/>
  <c r="AQ14" i="3"/>
  <c r="AQ63" i="3" s="1"/>
  <c r="AQ30" i="3"/>
  <c r="AQ65" i="3" s="1"/>
  <c r="J160" i="3"/>
  <c r="J161" i="3" s="1"/>
  <c r="J162" i="3" s="1"/>
  <c r="J163" i="3" s="1"/>
  <c r="J164" i="3" s="1"/>
  <c r="J165" i="3" s="1"/>
  <c r="J166" i="3" s="1"/>
  <c r="J167" i="3" s="1"/>
  <c r="J168" i="3" s="1"/>
  <c r="J169" i="3" s="1"/>
  <c r="J170" i="3" s="1"/>
  <c r="J171" i="3" s="1"/>
  <c r="J172" i="3" s="1"/>
  <c r="J173" i="3" s="1"/>
  <c r="J174" i="3" s="1"/>
  <c r="J175" i="3" s="1"/>
  <c r="J176" i="3" s="1"/>
  <c r="J177" i="3" s="1"/>
  <c r="J178" i="3" s="1"/>
  <c r="J179" i="3" s="1"/>
  <c r="J180" i="3" s="1"/>
  <c r="J181" i="3" s="1"/>
  <c r="J182" i="3" s="1"/>
  <c r="J183" i="3" s="1"/>
  <c r="J184" i="3" s="1"/>
  <c r="J185" i="3" s="1"/>
  <c r="J186" i="3" s="1"/>
  <c r="J187" i="3" s="1"/>
  <c r="J188" i="3" s="1"/>
  <c r="J189" i="3" s="1"/>
  <c r="J190" i="3" s="1"/>
  <c r="J191" i="3" s="1"/>
  <c r="J192" i="3" s="1"/>
  <c r="J193" i="3" s="1"/>
  <c r="J194" i="3" s="1"/>
  <c r="J195" i="3" s="1"/>
  <c r="J196" i="3" s="1"/>
  <c r="J197" i="3" s="1"/>
  <c r="J198" i="3" s="1"/>
  <c r="J199" i="3" s="1"/>
  <c r="J200" i="3" s="1"/>
  <c r="J201" i="3" s="1"/>
  <c r="J202" i="3" s="1"/>
  <c r="J203" i="3" s="1"/>
  <c r="J204" i="3" s="1"/>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alcChain>
</file>

<file path=xl/sharedStrings.xml><?xml version="1.0" encoding="utf-8"?>
<sst xmlns="http://schemas.openxmlformats.org/spreadsheetml/2006/main" count="245" uniqueCount="70">
  <si>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</si>
  <si>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</si>
  <si>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 Caja</t>
  </si>
  <si>
    <t>ICP</t>
  </si>
  <si>
    <t>Ene</t>
  </si>
  <si>
    <t>Feb</t>
  </si>
  <si>
    <t>Mar</t>
  </si>
  <si>
    <t>Abr</t>
  </si>
  <si>
    <t>May</t>
  </si>
  <si>
    <t>Jun</t>
  </si>
  <si>
    <t>Jul</t>
  </si>
  <si>
    <t>Ago</t>
  </si>
  <si>
    <t>Sep</t>
  </si>
  <si>
    <t>Oct</t>
  </si>
  <si>
    <t>Nov</t>
  </si>
  <si>
    <t>Dic</t>
  </si>
  <si>
    <t>Total Año</t>
  </si>
  <si>
    <t>Fecha</t>
  </si>
  <si>
    <t>ICP Norm.</t>
  </si>
  <si>
    <t>Fondo Liquidez Caja</t>
  </si>
  <si>
    <t>8057-8</t>
  </si>
  <si>
    <t>Competencia Relevante (*)</t>
  </si>
  <si>
    <t>Sant. Money Market UNIV</t>
  </si>
  <si>
    <t>(*)</t>
  </si>
  <si>
    <t>Ingresar mes actual==&gt;</t>
  </si>
  <si>
    <t>Competencia</t>
  </si>
  <si>
    <t>FIP Liquidez Caja</t>
  </si>
  <si>
    <t>(*) Acum a Mar</t>
  </si>
  <si>
    <t>Liquidez Caja</t>
  </si>
  <si>
    <t>Rentabilidad</t>
  </si>
  <si>
    <t>Mensual</t>
  </si>
  <si>
    <t>Trimestral</t>
  </si>
  <si>
    <t>Semestral</t>
  </si>
  <si>
    <t>Anual</t>
  </si>
  <si>
    <t>Acum. 2026</t>
  </si>
  <si>
    <t>ICP (Bechmark)</t>
  </si>
  <si>
    <t>Año</t>
  </si>
  <si>
    <t>Fondo</t>
  </si>
  <si>
    <t>DIVIDENDO 2016</t>
  </si>
  <si>
    <t>Dividendo 2017</t>
  </si>
  <si>
    <t>Dividendo 2018</t>
  </si>
  <si>
    <t>Dividendo 2019</t>
  </si>
  <si>
    <t>Dividendo 2020</t>
  </si>
  <si>
    <t>Dividendo 2021</t>
  </si>
  <si>
    <t>Dividendo 2022</t>
  </si>
  <si>
    <t>Dividendo 2023</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</si>
  <si>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</si>
  <si>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</si>
  <si>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</si>
  <si>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</si>
  <si>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</si>
  <si>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</si>
  <si>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</si>
  <si>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</si>
  <si>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</si>
  <si>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</si>
  <si>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</si>
  <si>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</si>
  <si>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</si>
  <si>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</si>
  <si>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</si>
  <si>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</si>
  <si>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</si>
  <si>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</si>
  <si>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</si>
  <si>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</si>
  <si>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</si>
  <si>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</si>
  <si>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Pagare</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</si>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</sst>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0.000"/>
  </numFmts>
  <fonts count="33">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b/>
      <sz val="7"/>
      <color theme="1"/>
      <name val="Aileron Light"/>
      <family val="3"/>
    </font>
    <font>
      <sz val="11"/>
      <color theme="1"/>
      <name val="Be Vietnam Pro Light"/>
    </font>
    <font>
      <sz val="10"/>
      <color theme="1"/>
      <name val="Be Vietnam Pro Light"/>
    </font>
    <font>
      <sz val="10"/>
      <color theme="1"/>
      <name val="Be Vietnam Pro Medium"/>
    </font>
    <font>
      <sz val="9"/>
      <color theme="1"/>
      <name val="Be Vietnam Pro Light"/>
    </font>
    <font>
      <sz val="8"/>
      <color theme="1"/>
      <name val="Be Vietnam Pro Light"/>
    </font>
    <font>
      <sz val="9"/>
      <color theme="1"/>
      <name val="Be Vietnam Pro Medium"/>
    </font>
    <font>
      <sz val="9"/>
      <color theme="0"/>
      <name val="Be Vietnam Pro Light"/>
    </font>
    <font>
      <sz val="11"/>
      <color rgb="FF000000"/>
      <name val="Aileron Light"/>
      <family val="3"/>
    </font>
    <font>
      <sz val="11"/>
      <color rgb="FF000000"/>
      <name val="Aptos Narrow"/>
    </font>
    <font>
      <sz val="8.8000000000000007"/>
      <color rgb="FF666666"/>
      <name val="Muli"/>
      <charset val="1"/>
    </font>
    <font>
      <sz val="11"/>
      <color rgb="FF000000"/>
      <name val="Aptos Narrow"/>
      <family val="2"/>
    </font>
  </fonts>
  <fills count="1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F8F8F8"/>
        <bgColor rgb="FF000000"/>
      </patternFill>
    </fill>
    <fill>
      <patternFill patternType="solid">
        <fgColor theme="9" tint="0.79998168889431442"/>
        <bgColor theme="9" tint="0.79998168889431442"/>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theme="9" tint="0.39997558519241921"/>
      </top>
      <bottom style="thin">
        <color theme="9" tint="0.39997558519241921"/>
      </bottom>
      <diagonal/>
    </border>
    <border>
      <left/>
      <right/>
      <top style="thin">
        <color rgb="FF8ED973"/>
      </top>
      <bottom style="thin">
        <color rgb="FF8ED973"/>
      </bottom>
      <diagonal/>
    </border>
  </borders>
  <cellStyleXfs count="10">
    <xf numFmtId="0" fontId="0" fillId="0" borderId="0"/>
    <xf numFmtId="0" fontId="7" fillId="0" borderId="0"/>
    <xf numFmtId="0" fontId="5" fillId="0" borderId="0"/>
    <xf numFmtId="9" fontId="5"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9"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cellStyleXfs>
  <cellXfs count="109">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69" fontId="6" fillId="0" borderId="0" xfId="5"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10" fontId="17" fillId="8" borderId="0" xfId="4" applyNumberFormat="1" applyFont="1" applyFill="1" applyBorder="1" applyAlignment="1">
      <alignment horizontal="center"/>
    </xf>
    <xf numFmtId="0" fontId="17" fillId="8" borderId="0" xfId="1" applyFont="1" applyFill="1" applyAlignment="1">
      <alignment horizontal="center"/>
    </xf>
    <xf numFmtId="10" fontId="18" fillId="8" borderId="0" xfId="4" applyNumberFormat="1" applyFont="1" applyFill="1" applyBorder="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0" fontId="20" fillId="0" borderId="0" xfId="1" applyFont="1"/>
    <xf numFmtId="0" fontId="9" fillId="7" borderId="0" xfId="1" applyFont="1" applyFill="1" applyAlignment="1">
      <alignment horizontal="center"/>
    </xf>
    <xf numFmtId="10" fontId="10" fillId="7"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21" fillId="6" borderId="0" xfId="6" applyNumberFormat="1" applyFont="1" applyFill="1" applyBorder="1" applyAlignment="1">
      <alignment horizontal="center"/>
    </xf>
    <xf numFmtId="0" fontId="17" fillId="7" borderId="0" xfId="1" applyFont="1" applyFill="1" applyAlignment="1">
      <alignment horizontal="center"/>
    </xf>
    <xf numFmtId="10" fontId="18" fillId="7" borderId="0" xfId="4" applyNumberFormat="1" applyFont="1" applyFill="1" applyBorder="1" applyAlignment="1">
      <alignment horizontal="center"/>
    </xf>
    <xf numFmtId="10" fontId="17" fillId="7" borderId="0" xfId="4" applyNumberFormat="1" applyFont="1" applyFill="1" applyBorder="1" applyAlignment="1">
      <alignment horizontal="center"/>
    </xf>
    <xf numFmtId="168" fontId="6" fillId="0" borderId="0" xfId="1" applyNumberFormat="1" applyFont="1"/>
    <xf numFmtId="167" fontId="6" fillId="10" borderId="0" xfId="1" applyNumberFormat="1" applyFont="1" applyFill="1"/>
    <xf numFmtId="169" fontId="6" fillId="0" borderId="0" xfId="7" applyNumberFormat="1" applyFont="1" applyFill="1" applyBorder="1"/>
    <xf numFmtId="10" fontId="6" fillId="0" borderId="0" xfId="6" quotePrefix="1" applyNumberFormat="1" applyFont="1" applyFill="1" applyBorder="1"/>
    <xf numFmtId="10" fontId="6" fillId="0" borderId="0" xfId="6" applyNumberFormat="1" applyFont="1" applyFill="1" applyBorder="1"/>
    <xf numFmtId="10" fontId="10" fillId="4" borderId="0" xfId="6" applyNumberFormat="1" applyFont="1" applyFill="1" applyBorder="1" applyAlignment="1">
      <alignment horizontal="center"/>
    </xf>
    <xf numFmtId="170" fontId="0" fillId="0" borderId="0" xfId="0" applyNumberFormat="1"/>
    <xf numFmtId="14" fontId="6" fillId="10" borderId="0" xfId="1" applyNumberFormat="1" applyFont="1" applyFill="1"/>
    <xf numFmtId="171" fontId="6" fillId="0" borderId="0" xfId="1" applyNumberFormat="1" applyFont="1"/>
    <xf numFmtId="10" fontId="0" fillId="0" borderId="0" xfId="0" applyNumberFormat="1"/>
    <xf numFmtId="10" fontId="6" fillId="0" borderId="0" xfId="1" applyNumberFormat="1" applyFont="1"/>
    <xf numFmtId="0" fontId="0" fillId="0" borderId="0" xfId="0" applyAlignment="1">
      <alignment wrapText="1"/>
    </xf>
    <xf numFmtId="0" fontId="22" fillId="0" borderId="0" xfId="0" applyFont="1" applyAlignment="1">
      <alignment vertical="center"/>
    </xf>
    <xf numFmtId="0" fontId="22" fillId="0" borderId="0" xfId="0" applyFont="1" applyAlignment="1">
      <alignment horizontal="left"/>
    </xf>
    <xf numFmtId="0" fontId="22" fillId="0" borderId="0" xfId="0" applyFont="1"/>
    <xf numFmtId="0" fontId="22" fillId="0" borderId="0" xfId="0" applyFont="1" applyAlignment="1">
      <alignment horizontal="right"/>
    </xf>
    <xf numFmtId="0" fontId="23" fillId="0" borderId="0" xfId="0" applyFont="1" applyAlignment="1">
      <alignment horizontal="left"/>
    </xf>
    <xf numFmtId="10" fontId="23" fillId="0" borderId="0" xfId="0" applyNumberFormat="1" applyFont="1" applyAlignment="1">
      <alignment horizontal="center"/>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left"/>
    </xf>
    <xf numFmtId="0" fontId="25" fillId="0" borderId="0" xfId="0" applyFont="1"/>
    <xf numFmtId="0" fontId="26" fillId="0" borderId="0" xfId="0" applyFont="1" applyAlignment="1">
      <alignment horizontal="left"/>
    </xf>
    <xf numFmtId="10" fontId="26" fillId="0" borderId="0" xfId="0" applyNumberFormat="1" applyFont="1" applyAlignment="1">
      <alignment horizontal="center" vertical="center"/>
    </xf>
    <xf numFmtId="0" fontId="27" fillId="0" borderId="0" xfId="0" applyFont="1" applyAlignment="1">
      <alignment horizontal="left" vertical="center"/>
    </xf>
    <xf numFmtId="0" fontId="27" fillId="0" borderId="0" xfId="0" applyFont="1" applyAlignment="1">
      <alignment vertical="center"/>
    </xf>
    <xf numFmtId="0" fontId="27" fillId="0" borderId="0" xfId="0" applyFont="1" applyAlignment="1">
      <alignment horizontal="center" vertical="center"/>
    </xf>
    <xf numFmtId="0" fontId="27" fillId="0" borderId="0" xfId="0" applyFont="1" applyAlignment="1">
      <alignment horizontal="center" vertical="center" wrapText="1"/>
    </xf>
    <xf numFmtId="0" fontId="28" fillId="11" borderId="0" xfId="0" applyFont="1" applyFill="1"/>
    <xf numFmtId="10" fontId="28" fillId="11" borderId="0" xfId="0" applyNumberFormat="1" applyFont="1" applyFill="1"/>
    <xf numFmtId="0" fontId="25" fillId="0" borderId="0" xfId="0" applyFont="1" applyAlignment="1">
      <alignment vertical="center" wrapText="1"/>
    </xf>
    <xf numFmtId="0" fontId="29" fillId="0" borderId="0" xfId="0" applyFont="1"/>
    <xf numFmtId="0" fontId="30" fillId="0" borderId="0" xfId="0" applyFont="1"/>
    <xf numFmtId="0" fontId="31" fillId="12" borderId="2" xfId="0" applyFont="1" applyFill="1" applyBorder="1" applyAlignment="1">
      <alignment wrapText="1"/>
    </xf>
    <xf numFmtId="0" fontId="31" fillId="12" borderId="2" xfId="0" applyFont="1" applyFill="1" applyBorder="1"/>
    <xf numFmtId="165" fontId="0" fillId="13" borderId="3" xfId="0" applyNumberFormat="1" applyFill="1" applyBorder="1"/>
    <xf numFmtId="165" fontId="0" fillId="0" borderId="3" xfId="0" applyNumberFormat="1" applyBorder="1"/>
    <xf numFmtId="3" fontId="32" fillId="14" borderId="4" xfId="0" applyNumberFormat="1" applyFont="1" applyFill="1" applyBorder="1"/>
    <xf numFmtId="0" fontId="16" fillId="3" borderId="0" xfId="1" applyFont="1" applyFill="1" applyAlignment="1">
      <alignment horizontal="center" vertical="center"/>
    </xf>
    <xf numFmtId="0" fontId="9" fillId="7" borderId="0" xfId="1" applyFont="1" applyFill="1" applyAlignment="1">
      <alignment horizontal="center" vertical="center"/>
    </xf>
    <xf numFmtId="0" fontId="16" fillId="2" borderId="0" xfId="1" applyFont="1" applyFill="1" applyAlignment="1">
      <alignment horizontal="center" vertical="center"/>
    </xf>
  </cellXfs>
  <cellStyles count="10">
    <cellStyle name="Millares [0] 2" xfId="5" xr:uid="{00000000-0005-0000-0000-000000000000}"/>
    <cellStyle name="Millares [0] 2 2" xfId="7" xr:uid="{00000000-0005-0000-0000-000001000000}"/>
    <cellStyle name="Millares [0] 2 3" xfId="8" xr:uid="{152E39CE-2DA0-4B4D-BE22-EFAE19906476}"/>
    <cellStyle name="Millares [0] 3" xfId="9" xr:uid="{E9C4D153-BE25-43C7-8BA5-FEA5DCB5DAFB}"/>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A32D8E9B-5AF0-4ACA-B463-1FE0BC00D89E}"/>
  </tableStyles>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(2)'!$D$3:$D$187</c:f>
              <c:numCache>
                <c:formatCode>0.00</c:formatCode>
                <c:ptCount val="185"/>
                <c:pt idx="0">
                  <c:v>100</c:v>
                </c:pt>
                <c:pt idx="1">
                  <c:v>100.39906364750199</c:v>
                </c:pt>
                <c:pt idx="2">
                  <c:v>100.74836987384441</c:v>
                </c:pt>
                <c:pt idx="3">
                  <c:v>101.14597275301878</c:v>
                </c:pt>
                <c:pt idx="4">
                  <c:v>101.51262560325168</c:v>
                </c:pt>
                <c:pt idx="5">
                  <c:v>101.97167205020661</c:v>
                </c:pt>
                <c:pt idx="6">
                  <c:v>102.39109515627483</c:v>
                </c:pt>
                <c:pt idx="7">
                  <c:v>102.83096901892974</c:v>
                </c:pt>
                <c:pt idx="8">
                  <c:v>103.28809820745468</c:v>
                </c:pt>
                <c:pt idx="9">
                  <c:v>103.72295067898338</c:v>
                </c:pt>
                <c:pt idx="10">
                  <c:v>104.19861336566501</c:v>
                </c:pt>
                <c:pt idx="11">
                  <c:v>104.65501217002613</c:v>
                </c:pt>
                <c:pt idx="12">
                  <c:v>105.10675477534296</c:v>
                </c:pt>
                <c:pt idx="13">
                  <c:v>105.60652013943034</c:v>
                </c:pt>
                <c:pt idx="14">
                  <c:v>106.02146964249522</c:v>
                </c:pt>
                <c:pt idx="15">
                  <c:v>106.46718657846061</c:v>
                </c:pt>
                <c:pt idx="16">
                  <c:v>106.93353686705365</c:v>
                </c:pt>
                <c:pt idx="17">
                  <c:v>107.40098273189243</c:v>
                </c:pt>
                <c:pt idx="18">
                  <c:v>107.84332164110018</c:v>
                </c:pt>
                <c:pt idx="19">
                  <c:v>108.33906989228662</c:v>
                </c:pt>
                <c:pt idx="21">
                  <c:v>108.84988231685159</c:v>
                </c:pt>
                <c:pt idx="22">
                  <c:v>109.33494869964231</c:v>
                </c:pt>
                <c:pt idx="23">
                  <c:v>109.91277387123692</c:v>
                </c:pt>
                <c:pt idx="24">
                  <c:v>110.4418458998972</c:v>
                </c:pt>
                <c:pt idx="25">
                  <c:v>110.9508323640527</c:v>
                </c:pt>
                <c:pt idx="26">
                  <c:v>111.59484860049264</c:v>
                </c:pt>
                <c:pt idx="27">
                  <c:v>112.15852257891343</c:v>
                </c:pt>
                <c:pt idx="28">
                  <c:v>112.76629350122431</c:v>
                </c:pt>
                <c:pt idx="29">
                  <c:v>113.35726558776753</c:v>
                </c:pt>
                <c:pt idx="30">
                  <c:v>113.9534416614779</c:v>
                </c:pt>
                <c:pt idx="31">
                  <c:v>114.59937515634786</c:v>
                </c:pt>
                <c:pt idx="32">
                  <c:v>115.2993570793398</c:v>
                </c:pt>
                <c:pt idx="33">
                  <c:v>115.99075698840697</c:v>
                </c:pt>
                <c:pt idx="35">
                  <c:v>116.83362031344437</c:v>
                </c:pt>
                <c:pt idx="36">
                  <c:v>117.640877410496</c:v>
                </c:pt>
                <c:pt idx="37">
                  <c:v>118.42202327369138</c:v>
                </c:pt>
                <c:pt idx="38">
                  <c:v>119.29300638903548</c:v>
                </c:pt>
                <c:pt idx="39">
                  <c:v>120.06748749673611</c:v>
                </c:pt>
                <c:pt idx="40">
                  <c:v>120.62376633549832</c:v>
                </c:pt>
                <c:pt idx="41">
                  <c:v>120.98065029754027</c:v>
                </c:pt>
                <c:pt idx="42">
                  <c:v>121.17639325344149</c:v>
                </c:pt>
                <c:pt idx="43">
                  <c:v>121.30731461480453</c:v>
                </c:pt>
                <c:pt idx="44">
                  <c:v>121.41796781562182</c:v>
                </c:pt>
                <c:pt idx="45">
                  <c:v>121.47512037644002</c:v>
                </c:pt>
                <c:pt idx="46">
                  <c:v>121.5183043401253</c:v>
                </c:pt>
                <c:pt idx="47">
                  <c:v>121.56377075432249</c:v>
                </c:pt>
                <c:pt idx="48">
                  <c:v>121.60658952592591</c:v>
                </c:pt>
                <c:pt idx="49">
                  <c:v>121.65013868169312</c:v>
                </c:pt>
                <c:pt idx="50">
                  <c:v>121.69569639391081</c:v>
                </c:pt>
                <c:pt idx="51">
                  <c:v>121.73906295363706</c:v>
                </c:pt>
                <c:pt idx="52">
                  <c:v>121.77813850640091</c:v>
                </c:pt>
                <c:pt idx="53">
                  <c:v>121.82616126517148</c:v>
                </c:pt>
                <c:pt idx="54">
                  <c:v>121.87034950708198</c:v>
                </c:pt>
                <c:pt idx="55">
                  <c:v>121.91481164305395</c:v>
                </c:pt>
                <c:pt idx="56">
                  <c:v>121.98237217820645</c:v>
                </c:pt>
                <c:pt idx="57">
                  <c:v>122.10188128700995</c:v>
                </c:pt>
                <c:pt idx="58">
                  <c:v>122.29561568646068</c:v>
                </c:pt>
                <c:pt idx="59">
                  <c:v>122.52002622079149</c:v>
                </c:pt>
                <c:pt idx="60">
                  <c:v>122.78387749996807</c:v>
                </c:pt>
                <c:pt idx="61">
                  <c:v>123.09730360426326</c:v>
                </c:pt>
                <c:pt idx="62">
                  <c:v>123.46167400398424</c:v>
                </c:pt>
                <c:pt idx="63">
                  <c:v>123.7738219359928</c:v>
                </c:pt>
                <c:pt idx="64">
                  <c:v>124.09500837202847</c:v>
                </c:pt>
                <c:pt idx="65">
                  <c:v>124.49315903932572</c:v>
                </c:pt>
                <c:pt idx="66">
                  <c:v>124.92253362962586</c:v>
                </c:pt>
                <c:pt idx="67">
                  <c:v>125.45315772463421</c:v>
                </c:pt>
                <c:pt idx="68">
                  <c:v>125.98889450878927</c:v>
                </c:pt>
                <c:pt idx="69">
                  <c:v>126.52207494837097</c:v>
                </c:pt>
                <c:pt idx="70">
                  <c:v>127.13276740733707</c:v>
                </c:pt>
                <c:pt idx="71">
                  <c:v>127.68913754411977</c:v>
                </c:pt>
                <c:pt idx="72">
                  <c:v>128.21172741332623</c:v>
                </c:pt>
                <c:pt idx="73">
                  <c:v>128.82944981986901</c:v>
                </c:pt>
                <c:pt idx="74">
                  <c:v>129.39330639433075</c:v>
                </c:pt>
                <c:pt idx="75">
                  <c:v>129.9753312748673</c:v>
                </c:pt>
                <c:pt idx="76">
                  <c:v>130.49837763417614</c:v>
                </c:pt>
                <c:pt idx="77">
                  <c:v>131.04315292235836</c:v>
                </c:pt>
                <c:pt idx="78">
                  <c:v>131.60801377504532</c:v>
                </c:pt>
                <c:pt idx="79">
                  <c:v>132.17716563469472</c:v>
                </c:pt>
                <c:pt idx="80">
                  <c:v>132.71198943864499</c:v>
                </c:pt>
                <c:pt idx="81">
                  <c:v>133.30067907467631</c:v>
                </c:pt>
                <c:pt idx="82">
                  <c:v>133.87330025910379</c:v>
                </c:pt>
                <c:pt idx="83">
                  <c:v>134.39689440653549</c:v>
                </c:pt>
                <c:pt idx="84">
                  <c:v>135.01662536952875</c:v>
                </c:pt>
                <c:pt idx="85">
                  <c:v>135.58102973211334</c:v>
                </c:pt>
                <c:pt idx="86">
                  <c:v>136.10891488650745</c:v>
                </c:pt>
                <c:pt idx="87">
                  <c:v>136.75147035461978</c:v>
                </c:pt>
                <c:pt idx="88">
                  <c:v>137.28428560211958</c:v>
                </c:pt>
                <c:pt idx="89">
                  <c:v>137.81901810804939</c:v>
                </c:pt>
                <c:pt idx="90">
                  <c:v>138.45134819786838</c:v>
                </c:pt>
                <c:pt idx="91">
                  <c:v>139.05035451021351</c:v>
                </c:pt>
                <c:pt idx="92">
                  <c:v>139.59229955976096</c:v>
                </c:pt>
                <c:pt idx="93">
                  <c:v>140.23622449818046</c:v>
                </c:pt>
                <c:pt idx="94">
                  <c:v>140.82199259755649</c:v>
                </c:pt>
                <c:pt idx="95">
                  <c:v>141.42967222184689</c:v>
                </c:pt>
                <c:pt idx="96">
                  <c:v>142.00822777760533</c:v>
                </c:pt>
                <c:pt idx="97">
                  <c:v>142.5624067618966</c:v>
                </c:pt>
                <c:pt idx="98">
                  <c:v>143.11585536202404</c:v>
                </c:pt>
                <c:pt idx="99">
                  <c:v>143.68893303655392</c:v>
                </c:pt>
                <c:pt idx="100">
                  <c:v>144.18212494316697</c:v>
                </c:pt>
                <c:pt idx="101">
                  <c:v>144.69394164595724</c:v>
                </c:pt>
                <c:pt idx="102">
                  <c:v>145.17690817427697</c:v>
                </c:pt>
                <c:pt idx="103">
                  <c:v>145.66142676894481</c:v>
                </c:pt>
                <c:pt idx="104">
                  <c:v>146.163839775626</c:v>
                </c:pt>
                <c:pt idx="105">
                  <c:v>146.65365365548143</c:v>
                </c:pt>
                <c:pt idx="106">
                  <c:v>147.08613237847777</c:v>
                </c:pt>
                <c:pt idx="107">
                  <c:v>147.52271951239555</c:v>
                </c:pt>
                <c:pt idx="108">
                  <c:v>147.91064480139943</c:v>
                </c:pt>
                <c:pt idx="109">
                  <c:v>148.26898953176899</c:v>
                </c:pt>
                <c:pt idx="110">
                  <c:v>148.66504034459524</c:v>
                </c:pt>
                <c:pt idx="111">
                  <c:v>149.04995279892341</c:v>
                </c:pt>
                <c:pt idx="112">
                  <c:v>149.39798085297915</c:v>
                </c:pt>
                <c:pt idx="113">
                  <c:v>149.79713579850164</c:v>
                </c:pt>
                <c:pt idx="114">
                  <c:v>150.17237066265929</c:v>
                </c:pt>
                <c:pt idx="115">
                  <c:v>150.53555418811408</c:v>
                </c:pt>
                <c:pt idx="116">
                  <c:v>150.93735677623039</c:v>
                </c:pt>
                <c:pt idx="117">
                  <c:v>151.3274732177257</c:v>
                </c:pt>
                <c:pt idx="118">
                  <c:v>151.71850263942576</c:v>
                </c:pt>
                <c:pt idx="119">
                  <c:v>152.09866759668921</c:v>
                </c:pt>
                <c:pt idx="120">
                  <c:v>152.4945358134745</c:v>
                </c:pt>
                <c:pt idx="121">
                  <c:v>152.92190184732414</c:v>
                </c:pt>
                <c:pt idx="122">
                  <c:v>153.34890268909191</c:v>
                </c:pt>
                <c:pt idx="123">
                  <c:v>153.79690207556919</c:v>
                </c:pt>
                <c:pt idx="124">
                  <c:v>154.26106121167084</c:v>
                </c:pt>
                <c:pt idx="125">
                  <c:v>154.72668111610005</c:v>
                </c:pt>
                <c:pt idx="126">
                  <c:v>155.16345084605877</c:v>
                </c:pt>
                <c:pt idx="127">
                  <c:v>155.64696516250137</c:v>
                </c:pt>
                <c:pt idx="128">
                  <c:v>156.10153800645296</c:v>
                </c:pt>
                <c:pt idx="129">
                  <c:v>156.56907516931219</c:v>
                </c:pt>
                <c:pt idx="130">
                  <c:v>157.0451943460962</c:v>
                </c:pt>
                <c:pt idx="131">
                  <c:v>157.50378430294876</c:v>
                </c:pt>
                <c:pt idx="132">
                  <c:v>157.97917309556894</c:v>
                </c:pt>
                <c:pt idx="133">
                  <c:v>158.44050199303578</c:v>
                </c:pt>
                <c:pt idx="134">
                  <c:v>158.92219034906887</c:v>
                </c:pt>
                <c:pt idx="135">
                  <c:v>159.38251496831046</c:v>
                </c:pt>
                <c:pt idx="136">
                  <c:v>159.78121342373058</c:v>
                </c:pt>
                <c:pt idx="137">
                  <c:v>160.21296176256305</c:v>
                </c:pt>
                <c:pt idx="138">
                  <c:v>160.57422802958786</c:v>
                </c:pt>
                <c:pt idx="139">
                  <c:v>160.96562264336987</c:v>
                </c:pt>
                <c:pt idx="140">
                  <c:v>161.30159935872271</c:v>
                </c:pt>
                <c:pt idx="141">
                  <c:v>161.64944481673749</c:v>
                </c:pt>
                <c:pt idx="142">
                  <c:v>161.9976554668342</c:v>
                </c:pt>
                <c:pt idx="143">
                  <c:v>162.33501717315767</c:v>
                </c:pt>
                <c:pt idx="144">
                  <c:v>162.68531215706184</c:v>
                </c:pt>
                <c:pt idx="145">
                  <c:v>163.0246668991723</c:v>
                </c:pt>
                <c:pt idx="146">
                  <c:v>163.1718393081801</c:v>
                </c:pt>
                <c:pt idx="147">
                  <c:v>163.72729646475804</c:v>
                </c:pt>
                <c:pt idx="148">
                  <c:v>164.04528747007708</c:v>
                </c:pt>
                <c:pt idx="149">
                  <c:v>164.3987934053614</c:v>
                </c:pt>
                <c:pt idx="150">
                  <c:v>164.74043059798379</c:v>
                </c:pt>
                <c:pt idx="151">
                  <c:v>165.09302355306332</c:v>
                </c:pt>
                <c:pt idx="152">
                  <c:v>165.43769640486653</c:v>
                </c:pt>
                <c:pt idx="153">
                  <c:v>165.79410105230099</c:v>
                </c:pt>
                <c:pt idx="154">
                  <c:v>166.14979814007674</c:v>
                </c:pt>
                <c:pt idx="155">
                  <c:v>166.49015716041248</c:v>
                </c:pt>
                <c:pt idx="156">
                  <c:v>166.86904394538919</c:v>
                </c:pt>
                <c:pt idx="157">
                  <c:v>167.25167394920547</c:v>
                </c:pt>
                <c:pt idx="158">
                  <c:v>167.64766998321946</c:v>
                </c:pt>
                <c:pt idx="159">
                  <c:v>168.05856585417516</c:v>
                </c:pt>
                <c:pt idx="160">
                  <c:v>168.43717874509045</c:v>
                </c:pt>
                <c:pt idx="161">
                  <c:v>168.8723051106806</c:v>
                </c:pt>
                <c:pt idx="162">
                  <c:v>169.29455845538357</c:v>
                </c:pt>
                <c:pt idx="163">
                  <c:v>170.29455845538399</c:v>
                </c:pt>
                <c:pt idx="164">
                  <c:v>171.29455845538399</c:v>
                </c:pt>
                <c:pt idx="165">
                  <c:v>172.29455845538399</c:v>
                </c:pt>
                <c:pt idx="166">
                  <c:v>173.29455845538399</c:v>
                </c:pt>
                <c:pt idx="167">
                  <c:v>174.29455845538399</c:v>
                </c:pt>
                <c:pt idx="168">
                  <c:v>175.29455845538399</c:v>
                </c:pt>
                <c:pt idx="169">
                  <c:v>176.29455845538399</c:v>
                </c:pt>
                <c:pt idx="170">
                  <c:v>177.29455845538399</c:v>
                </c:pt>
                <c:pt idx="171">
                  <c:v>178.29455845538399</c:v>
                </c:pt>
                <c:pt idx="172">
                  <c:v>179.29455845538399</c:v>
                </c:pt>
                <c:pt idx="173">
                  <c:v>180.29455845538399</c:v>
                </c:pt>
                <c:pt idx="174">
                  <c:v>181.29455845538399</c:v>
                </c:pt>
                <c:pt idx="175">
                  <c:v>182.29455845538399</c:v>
                </c:pt>
                <c:pt idx="176">
                  <c:v>183.29455845538399</c:v>
                </c:pt>
                <c:pt idx="177">
                  <c:v>184.29455845538399</c:v>
                </c:pt>
                <c:pt idx="178">
                  <c:v>185.29455845538399</c:v>
                </c:pt>
                <c:pt idx="179">
                  <c:v>186.29455845538399</c:v>
                </c:pt>
                <c:pt idx="180">
                  <c:v>186.29455845538399</c:v>
                </c:pt>
                <c:pt idx="181">
                  <c:v>186.29455845538399</c:v>
                </c:pt>
                <c:pt idx="182">
                  <c:v>186.29455845538399</c:v>
                </c:pt>
                <c:pt idx="183">
                  <c:v>186.29455845538399</c:v>
                </c:pt>
                <c:pt idx="184">
                  <c:v>186.29455845538399</c:v>
                </c:pt>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Caja</c:v>
                </c:pt>
              </c:strCache>
            </c:strRef>
          </c:tx>
          <c:spPr>
            <a:ln>
              <a:solidFill>
                <a:srgbClr val="C0504D">
                  <a:lumMod val="5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2400">
                <a:latin typeface="Be Vietnam Pro Light" pitchFamily="2" charset="0"/>
              </a:defRPr>
            </a:pPr>
            <a:r>
              <a:rPr lang="en-US" sz="2400">
                <a:latin typeface="Be Vietnam Pro Light" pitchFamily="2" charset="0"/>
              </a:rPr>
              <a:t>FIP Liquidez Caja</a:t>
            </a:r>
          </a:p>
        </c:rich>
      </c:tx>
      <c:overlay val="0"/>
    </c:title>
    <c:autoTitleDeleted val="0"/>
    <c:plotArea>
      <c:layout>
        <c:manualLayout>
          <c:layoutTarget val="inner"/>
          <c:xMode val="edge"/>
          <c:yMode val="edge"/>
          <c:x val="0.1211659854033704"/>
          <c:y val="0.18693171222914259"/>
          <c:w val="0.84170334727850948"/>
          <c:h val="0.65335359636709611"/>
        </c:manualLayout>
      </c:layout>
      <c:lineChart>
        <c:grouping val="standard"/>
        <c:varyColors val="0"/>
        <c:ser>
          <c:idx val="2"/>
          <c:order val="0"/>
          <c:tx>
            <c:strRef>
              <c:f>'Datos ICP (2)'!$D$2</c:f>
              <c:strCache>
                <c:ptCount val="1"/>
                <c:pt idx="0">
                  <c:v>ICP Norm.</c:v>
                </c:pt>
              </c:strCache>
            </c:strRef>
          </c:tx>
          <c:spPr>
            <a:ln w="38100">
              <a:solidFill>
                <a:sysClr val="window" lastClr="FFFFFF">
                  <a:lumMod val="75000"/>
                </a:sysClr>
              </a:solidFill>
            </a:ln>
          </c:spPr>
          <c:marker>
            <c:symbol val="none"/>
          </c:marker>
          <c:cat>
            <c:numRef>
              <c:extLst>
                <c:ext xmlns:c15="http://schemas.microsoft.com/office/drawing/2012/chart" uri="{02D57815-91ED-43cb-92C2-25804820EDAC}">
                  <c15:fullRef>
                    <c15:sqref>'Datos ICP (2)'!$A$159:$A$244</c15:sqref>
                  </c15:fullRef>
                </c:ext>
              </c:extLst>
              <c:f>('Datos ICP (2)'!$A$159:$A$160,'Datos ICP (2)'!$A$166:$A$244)</c:f>
              <c:numCache>
                <c:formatCode>m/d/yyyy</c:formatCode>
                <c:ptCount val="81"/>
                <c:pt idx="0">
                  <c:v>43404</c:v>
                </c:pt>
                <c:pt idx="1">
                  <c:v>43434</c:v>
                </c:pt>
                <c:pt idx="2">
                  <c:v>43616</c:v>
                </c:pt>
                <c:pt idx="3">
                  <c:v>43646</c:v>
                </c:pt>
                <c:pt idx="4">
                  <c:v>43677</c:v>
                </c:pt>
                <c:pt idx="5">
                  <c:v>43708</c:v>
                </c:pt>
                <c:pt idx="6">
                  <c:v>43738</c:v>
                </c:pt>
                <c:pt idx="7">
                  <c:v>43769</c:v>
                </c:pt>
                <c:pt idx="8">
                  <c:v>43799</c:v>
                </c:pt>
                <c:pt idx="9">
                  <c:v>43830</c:v>
                </c:pt>
                <c:pt idx="10">
                  <c:v>43861</c:v>
                </c:pt>
                <c:pt idx="11">
                  <c:v>43890</c:v>
                </c:pt>
                <c:pt idx="12">
                  <c:v>43921</c:v>
                </c:pt>
                <c:pt idx="13">
                  <c:v>43951</c:v>
                </c:pt>
                <c:pt idx="14">
                  <c:v>43982</c:v>
                </c:pt>
                <c:pt idx="15">
                  <c:v>44012</c:v>
                </c:pt>
                <c:pt idx="16">
                  <c:v>44043</c:v>
                </c:pt>
                <c:pt idx="17">
                  <c:v>44074</c:v>
                </c:pt>
                <c:pt idx="18">
                  <c:v>44104</c:v>
                </c:pt>
                <c:pt idx="19">
                  <c:v>44135</c:v>
                </c:pt>
                <c:pt idx="20">
                  <c:v>44165</c:v>
                </c:pt>
                <c:pt idx="21">
                  <c:v>44196</c:v>
                </c:pt>
                <c:pt idx="22">
                  <c:v>44227</c:v>
                </c:pt>
                <c:pt idx="23">
                  <c:v>44255</c:v>
                </c:pt>
                <c:pt idx="24">
                  <c:v>44286</c:v>
                </c:pt>
                <c:pt idx="25">
                  <c:v>44316</c:v>
                </c:pt>
                <c:pt idx="26">
                  <c:v>44347</c:v>
                </c:pt>
                <c:pt idx="27">
                  <c:v>44377</c:v>
                </c:pt>
                <c:pt idx="28">
                  <c:v>44408</c:v>
                </c:pt>
                <c:pt idx="29">
                  <c:v>44439</c:v>
                </c:pt>
                <c:pt idx="30">
                  <c:v>44469</c:v>
                </c:pt>
                <c:pt idx="31">
                  <c:v>44500</c:v>
                </c:pt>
                <c:pt idx="32">
                  <c:v>44530</c:v>
                </c:pt>
                <c:pt idx="33">
                  <c:v>44561</c:v>
                </c:pt>
                <c:pt idx="34">
                  <c:v>44592</c:v>
                </c:pt>
                <c:pt idx="35">
                  <c:v>44620</c:v>
                </c:pt>
                <c:pt idx="36">
                  <c:v>44651</c:v>
                </c:pt>
                <c:pt idx="37">
                  <c:v>44681</c:v>
                </c:pt>
                <c:pt idx="38">
                  <c:v>44712</c:v>
                </c:pt>
                <c:pt idx="39">
                  <c:v>44742</c:v>
                </c:pt>
                <c:pt idx="40">
                  <c:v>44773</c:v>
                </c:pt>
                <c:pt idx="41">
                  <c:v>44804</c:v>
                </c:pt>
                <c:pt idx="42">
                  <c:v>44834</c:v>
                </c:pt>
                <c:pt idx="43">
                  <c:v>44862</c:v>
                </c:pt>
                <c:pt idx="44">
                  <c:v>44895</c:v>
                </c:pt>
                <c:pt idx="45">
                  <c:v>44925</c:v>
                </c:pt>
                <c:pt idx="46">
                  <c:v>44957</c:v>
                </c:pt>
                <c:pt idx="47">
                  <c:v>44985</c:v>
                </c:pt>
                <c:pt idx="48">
                  <c:v>45016</c:v>
                </c:pt>
                <c:pt idx="49">
                  <c:v>45044</c:v>
                </c:pt>
                <c:pt idx="50">
                  <c:v>45077</c:v>
                </c:pt>
                <c:pt idx="51">
                  <c:v>45107</c:v>
                </c:pt>
                <c:pt idx="52">
                  <c:v>45138</c:v>
                </c:pt>
                <c:pt idx="53">
                  <c:v>45169</c:v>
                </c:pt>
                <c:pt idx="54">
                  <c:v>45199</c:v>
                </c:pt>
                <c:pt idx="55">
                  <c:v>45230</c:v>
                </c:pt>
                <c:pt idx="56">
                  <c:v>45260</c:v>
                </c:pt>
                <c:pt idx="57">
                  <c:v>45291</c:v>
                </c:pt>
                <c:pt idx="58">
                  <c:v>45322</c:v>
                </c:pt>
                <c:pt idx="59">
                  <c:v>45351</c:v>
                </c:pt>
                <c:pt idx="60">
                  <c:v>45379</c:v>
                </c:pt>
                <c:pt idx="61">
                  <c:v>45412</c:v>
                </c:pt>
                <c:pt idx="62">
                  <c:v>45443</c:v>
                </c:pt>
                <c:pt idx="63">
                  <c:v>45473</c:v>
                </c:pt>
                <c:pt idx="64">
                  <c:v>45504</c:v>
                </c:pt>
                <c:pt idx="65">
                  <c:v>45535</c:v>
                </c:pt>
                <c:pt idx="66">
                  <c:v>45565</c:v>
                </c:pt>
                <c:pt idx="67">
                  <c:v>45596</c:v>
                </c:pt>
                <c:pt idx="68">
                  <c:v>45626</c:v>
                </c:pt>
                <c:pt idx="69">
                  <c:v>45657</c:v>
                </c:pt>
                <c:pt idx="70">
                  <c:v>45688</c:v>
                </c:pt>
                <c:pt idx="71">
                  <c:v>45716</c:v>
                </c:pt>
                <c:pt idx="72">
                  <c:v>45747</c:v>
                </c:pt>
                <c:pt idx="73">
                  <c:v>45777</c:v>
                </c:pt>
                <c:pt idx="74">
                  <c:v>45808</c:v>
                </c:pt>
                <c:pt idx="75">
                  <c:v>45838</c:v>
                </c:pt>
                <c:pt idx="76">
                  <c:v>45869</c:v>
                </c:pt>
                <c:pt idx="77">
                  <c:v>45900</c:v>
                </c:pt>
                <c:pt idx="78">
                  <c:v>45930</c:v>
                </c:pt>
                <c:pt idx="79">
                  <c:v>45961</c:v>
                </c:pt>
                <c:pt idx="80">
                  <c:v>45991</c:v>
                </c:pt>
              </c:numCache>
            </c:numRef>
          </c:cat>
          <c:val>
            <c:numRef>
              <c:extLst>
                <c:ext xmlns:c15="http://schemas.microsoft.com/office/drawing/2012/chart" uri="{02D57815-91ED-43cb-92C2-25804820EDAC}">
                  <c15:fullRef>
                    <c15:sqref>'Datos ICP (2)'!$D$159:$D$244</c15:sqref>
                  </c15:fullRef>
                </c:ext>
              </c:extLst>
              <c:f>('Datos ICP (2)'!$D$159:$D$160,'Datos ICP (2)'!$D$166:$D$244)</c:f>
              <c:numCache>
                <c:formatCode>0.00</c:formatCode>
                <c:ptCount val="81"/>
                <c:pt idx="0">
                  <c:v>166.86904394538919</c:v>
                </c:pt>
                <c:pt idx="1">
                  <c:v>167.25167394920547</c:v>
                </c:pt>
                <c:pt idx="2">
                  <c:v>170.29455845538399</c:v>
                </c:pt>
                <c:pt idx="3">
                  <c:v>171.29455845538399</c:v>
                </c:pt>
                <c:pt idx="4">
                  <c:v>172.29455845538399</c:v>
                </c:pt>
                <c:pt idx="5">
                  <c:v>173.29455845538399</c:v>
                </c:pt>
                <c:pt idx="6">
                  <c:v>174.29455845538399</c:v>
                </c:pt>
                <c:pt idx="7">
                  <c:v>175.29455845538399</c:v>
                </c:pt>
                <c:pt idx="8">
                  <c:v>176.29455845538399</c:v>
                </c:pt>
                <c:pt idx="9">
                  <c:v>177.29455845538399</c:v>
                </c:pt>
                <c:pt idx="10">
                  <c:v>178.29455845538399</c:v>
                </c:pt>
                <c:pt idx="11">
                  <c:v>179.29455845538399</c:v>
                </c:pt>
                <c:pt idx="12">
                  <c:v>180.29455845538399</c:v>
                </c:pt>
                <c:pt idx="13">
                  <c:v>181.29455845538399</c:v>
                </c:pt>
                <c:pt idx="14">
                  <c:v>182.29455845538399</c:v>
                </c:pt>
                <c:pt idx="15">
                  <c:v>183.29455845538399</c:v>
                </c:pt>
                <c:pt idx="16">
                  <c:v>184.29455845538399</c:v>
                </c:pt>
                <c:pt idx="17">
                  <c:v>185.29455845538399</c:v>
                </c:pt>
                <c:pt idx="18">
                  <c:v>186.29455845538399</c:v>
                </c:pt>
                <c:pt idx="19">
                  <c:v>186.29455845538399</c:v>
                </c:pt>
                <c:pt idx="20">
                  <c:v>186.29455845538399</c:v>
                </c:pt>
                <c:pt idx="21">
                  <c:v>186.29455845538399</c:v>
                </c:pt>
                <c:pt idx="22">
                  <c:v>186.29455845538399</c:v>
                </c:pt>
                <c:pt idx="23">
                  <c:v>186.29455845538399</c:v>
                </c:pt>
                <c:pt idx="24">
                  <c:v>186.29455845538399</c:v>
                </c:pt>
                <c:pt idx="25">
                  <c:v>186.29455845538399</c:v>
                </c:pt>
                <c:pt idx="26">
                  <c:v>186.29455845538399</c:v>
                </c:pt>
                <c:pt idx="27">
                  <c:v>186.29455845538399</c:v>
                </c:pt>
                <c:pt idx="28">
                  <c:v>186.29455845538399</c:v>
                </c:pt>
                <c:pt idx="29">
                  <c:v>186.29455845538399</c:v>
                </c:pt>
                <c:pt idx="30">
                  <c:v>186.29455845538399</c:v>
                </c:pt>
                <c:pt idx="31">
                  <c:v>186.29455845538399</c:v>
                </c:pt>
                <c:pt idx="32">
                  <c:v>186.29455845538399</c:v>
                </c:pt>
                <c:pt idx="33">
                  <c:v>186.29455845538399</c:v>
                </c:pt>
                <c:pt idx="34">
                  <c:v>186.29455845538399</c:v>
                </c:pt>
                <c:pt idx="35">
                  <c:v>186.29455845538399</c:v>
                </c:pt>
                <c:pt idx="36">
                  <c:v>186.29455845538399</c:v>
                </c:pt>
                <c:pt idx="37">
                  <c:v>186.29455845538399</c:v>
                </c:pt>
                <c:pt idx="38">
                  <c:v>186.29455845538399</c:v>
                </c:pt>
                <c:pt idx="39">
                  <c:v>186.29455845538399</c:v>
                </c:pt>
                <c:pt idx="40">
                  <c:v>186.29455845538399</c:v>
                </c:pt>
                <c:pt idx="41">
                  <c:v>186.29455845538399</c:v>
                </c:pt>
                <c:pt idx="42">
                  <c:v>186.29455845538399</c:v>
                </c:pt>
                <c:pt idx="43">
                  <c:v>186.29455845538399</c:v>
                </c:pt>
                <c:pt idx="44">
                  <c:v>186.29455845538399</c:v>
                </c:pt>
                <c:pt idx="45">
                  <c:v>186.29455845538399</c:v>
                </c:pt>
                <c:pt idx="46">
                  <c:v>192.86633787206225</c:v>
                </c:pt>
                <c:pt idx="47">
                  <c:v>194.56073783408229</c:v>
                </c:pt>
                <c:pt idx="48">
                  <c:v>196.45416748074072</c:v>
                </c:pt>
                <c:pt idx="49">
                  <c:v>198.18006525982503</c:v>
                </c:pt>
                <c:pt idx="50">
                  <c:v>200.23354033637847</c:v>
                </c:pt>
                <c:pt idx="51">
                  <c:v>202.11875316119398</c:v>
                </c:pt>
                <c:pt idx="52">
                  <c:v>204.08567771433584</c:v>
                </c:pt>
                <c:pt idx="53">
                  <c:v>205.89456539403312</c:v>
                </c:pt>
                <c:pt idx="54">
                  <c:v>207.49958459400685</c:v>
                </c:pt>
                <c:pt idx="55" formatCode="General">
                  <c:v>209.25506293172555</c:v>
                </c:pt>
                <c:pt idx="56" formatCode="General">
                  <c:v>210.8300450829625</c:v>
                </c:pt>
                <c:pt idx="57" formatCode="General">
                  <c:v>212.32313290983225</c:v>
                </c:pt>
                <c:pt idx="58" formatCode="General">
                  <c:v>213.88524204018208</c:v>
                </c:pt>
                <c:pt idx="59" formatCode="General">
                  <c:v>215.19253839538251</c:v>
                </c:pt>
                <c:pt idx="60" formatCode="General">
                  <c:v>216.40780634594284</c:v>
                </c:pt>
                <c:pt idx="61" formatCode="General">
                  <c:v>217.72633235766185</c:v>
                </c:pt>
                <c:pt idx="62" formatCode="General">
                  <c:v>218.92690132692545</c:v>
                </c:pt>
                <c:pt idx="63" formatCode="General">
                  <c:v>219.93693132745497</c:v>
                </c:pt>
                <c:pt idx="64" formatCode="General">
                  <c:v>221.0991551281185</c:v>
                </c:pt>
                <c:pt idx="65" formatCode="General">
                  <c:v>222.1609511062581</c:v>
                </c:pt>
                <c:pt idx="66" formatCode="General">
                  <c:v>223.22311227647961</c:v>
                </c:pt>
                <c:pt idx="67" formatCode="General">
                  <c:v>224.22994684629251</c:v>
                </c:pt>
                <c:pt idx="68" formatCode="General">
                  <c:v>225.21304393078151</c:v>
                </c:pt>
                <c:pt idx="69" formatCode="General">
                  <c:v>226.21440061936582</c:v>
                </c:pt>
                <c:pt idx="70" formatCode="General">
                  <c:v>227.22205687136295</c:v>
                </c:pt>
                <c:pt idx="71" formatCode="General">
                  <c:v>228.10737377592179</c:v>
                </c:pt>
                <c:pt idx="72" formatCode="General">
                  <c:v>229.09138384061558</c:v>
                </c:pt>
                <c:pt idx="73" formatCode="General">
                  <c:v>230.04800449916644</c:v>
                </c:pt>
                <c:pt idx="74" formatCode="General">
                  <c:v>231.00827707853639</c:v>
                </c:pt>
                <c:pt idx="75" formatCode="General">
                  <c:v>232.00497756807641</c:v>
                </c:pt>
                <c:pt idx="76" formatCode="General">
                  <c:v>233.00405180614874</c:v>
                </c:pt>
                <c:pt idx="77" formatCode="General">
                  <c:v>233.89722034046861</c:v>
                </c:pt>
                <c:pt idx="78" formatCode="General">
                  <c:v>234.88661698837046</c:v>
                </c:pt>
                <c:pt idx="79" formatCode="General">
                  <c:v>235.81822198931084</c:v>
                </c:pt>
                <c:pt idx="80" formatCode="General">
                  <c:v>236.72198109400594</c:v>
                </c:pt>
              </c:numCache>
            </c:numRef>
          </c:val>
          <c:smooth val="0"/>
          <c:extLst>
            <c:ext xmlns:c16="http://schemas.microsoft.com/office/drawing/2014/chart" uri="{C3380CC4-5D6E-409C-BE32-E72D297353CC}">
              <c16:uniqueId val="{00000000-BF7A-4118-97AA-A61AA822C6B2}"/>
            </c:ext>
          </c:extLst>
        </c:ser>
        <c:ser>
          <c:idx val="0"/>
          <c:order val="1"/>
          <c:tx>
            <c:strRef>
              <c:f>'Datos ICP (2)'!$J$2</c:f>
              <c:strCache>
                <c:ptCount val="1"/>
                <c:pt idx="0">
                  <c:v>Fondo Liquidez Caja</c:v>
                </c:pt>
              </c:strCache>
            </c:strRef>
          </c:tx>
          <c:spPr>
            <a:ln w="38100">
              <a:solidFill>
                <a:sysClr val="windowText" lastClr="000000"/>
              </a:solidFill>
            </a:ln>
          </c:spPr>
          <c:marker>
            <c:symbol val="none"/>
          </c:marker>
          <c:cat>
            <c:numRef>
              <c:extLst>
                <c:ext xmlns:c15="http://schemas.microsoft.com/office/drawing/2012/chart" uri="{02D57815-91ED-43cb-92C2-25804820EDAC}">
                  <c15:fullRef>
                    <c15:sqref>'Datos ICP (2)'!$A$159:$A$244</c15:sqref>
                  </c15:fullRef>
                </c:ext>
              </c:extLst>
              <c:f>('Datos ICP (2)'!$A$159:$A$160,'Datos ICP (2)'!$A$166:$A$244)</c:f>
              <c:numCache>
                <c:formatCode>m/d/yyyy</c:formatCode>
                <c:ptCount val="81"/>
                <c:pt idx="0">
                  <c:v>43404</c:v>
                </c:pt>
                <c:pt idx="1">
                  <c:v>43434</c:v>
                </c:pt>
                <c:pt idx="2">
                  <c:v>43616</c:v>
                </c:pt>
                <c:pt idx="3">
                  <c:v>43646</c:v>
                </c:pt>
                <c:pt idx="4">
                  <c:v>43677</c:v>
                </c:pt>
                <c:pt idx="5">
                  <c:v>43708</c:v>
                </c:pt>
                <c:pt idx="6">
                  <c:v>43738</c:v>
                </c:pt>
                <c:pt idx="7">
                  <c:v>43769</c:v>
                </c:pt>
                <c:pt idx="8">
                  <c:v>43799</c:v>
                </c:pt>
                <c:pt idx="9">
                  <c:v>43830</c:v>
                </c:pt>
                <c:pt idx="10">
                  <c:v>43861</c:v>
                </c:pt>
                <c:pt idx="11">
                  <c:v>43890</c:v>
                </c:pt>
                <c:pt idx="12">
                  <c:v>43921</c:v>
                </c:pt>
                <c:pt idx="13">
                  <c:v>43951</c:v>
                </c:pt>
                <c:pt idx="14">
                  <c:v>43982</c:v>
                </c:pt>
                <c:pt idx="15">
                  <c:v>44012</c:v>
                </c:pt>
                <c:pt idx="16">
                  <c:v>44043</c:v>
                </c:pt>
                <c:pt idx="17">
                  <c:v>44074</c:v>
                </c:pt>
                <c:pt idx="18">
                  <c:v>44104</c:v>
                </c:pt>
                <c:pt idx="19">
                  <c:v>44135</c:v>
                </c:pt>
                <c:pt idx="20">
                  <c:v>44165</c:v>
                </c:pt>
                <c:pt idx="21">
                  <c:v>44196</c:v>
                </c:pt>
                <c:pt idx="22">
                  <c:v>44227</c:v>
                </c:pt>
                <c:pt idx="23">
                  <c:v>44255</c:v>
                </c:pt>
                <c:pt idx="24">
                  <c:v>44286</c:v>
                </c:pt>
                <c:pt idx="25">
                  <c:v>44316</c:v>
                </c:pt>
                <c:pt idx="26">
                  <c:v>44347</c:v>
                </c:pt>
                <c:pt idx="27">
                  <c:v>44377</c:v>
                </c:pt>
                <c:pt idx="28">
                  <c:v>44408</c:v>
                </c:pt>
                <c:pt idx="29">
                  <c:v>44439</c:v>
                </c:pt>
                <c:pt idx="30">
                  <c:v>44469</c:v>
                </c:pt>
                <c:pt idx="31">
                  <c:v>44500</c:v>
                </c:pt>
                <c:pt idx="32">
                  <c:v>44530</c:v>
                </c:pt>
                <c:pt idx="33">
                  <c:v>44561</c:v>
                </c:pt>
                <c:pt idx="34">
                  <c:v>44592</c:v>
                </c:pt>
                <c:pt idx="35">
                  <c:v>44620</c:v>
                </c:pt>
                <c:pt idx="36">
                  <c:v>44651</c:v>
                </c:pt>
                <c:pt idx="37">
                  <c:v>44681</c:v>
                </c:pt>
                <c:pt idx="38">
                  <c:v>44712</c:v>
                </c:pt>
                <c:pt idx="39">
                  <c:v>44742</c:v>
                </c:pt>
                <c:pt idx="40">
                  <c:v>44773</c:v>
                </c:pt>
                <c:pt idx="41">
                  <c:v>44804</c:v>
                </c:pt>
                <c:pt idx="42">
                  <c:v>44834</c:v>
                </c:pt>
                <c:pt idx="43">
                  <c:v>44862</c:v>
                </c:pt>
                <c:pt idx="44">
                  <c:v>44895</c:v>
                </c:pt>
                <c:pt idx="45">
                  <c:v>44925</c:v>
                </c:pt>
                <c:pt idx="46">
                  <c:v>44957</c:v>
                </c:pt>
                <c:pt idx="47">
                  <c:v>44985</c:v>
                </c:pt>
                <c:pt idx="48">
                  <c:v>45016</c:v>
                </c:pt>
                <c:pt idx="49">
                  <c:v>45044</c:v>
                </c:pt>
                <c:pt idx="50">
                  <c:v>45077</c:v>
                </c:pt>
                <c:pt idx="51">
                  <c:v>45107</c:v>
                </c:pt>
                <c:pt idx="52">
                  <c:v>45138</c:v>
                </c:pt>
                <c:pt idx="53">
                  <c:v>45169</c:v>
                </c:pt>
                <c:pt idx="54">
                  <c:v>45199</c:v>
                </c:pt>
                <c:pt idx="55">
                  <c:v>45230</c:v>
                </c:pt>
                <c:pt idx="56">
                  <c:v>45260</c:v>
                </c:pt>
                <c:pt idx="57">
                  <c:v>45291</c:v>
                </c:pt>
                <c:pt idx="58">
                  <c:v>45322</c:v>
                </c:pt>
                <c:pt idx="59">
                  <c:v>45351</c:v>
                </c:pt>
                <c:pt idx="60">
                  <c:v>45379</c:v>
                </c:pt>
                <c:pt idx="61">
                  <c:v>45412</c:v>
                </c:pt>
                <c:pt idx="62">
                  <c:v>45443</c:v>
                </c:pt>
                <c:pt idx="63">
                  <c:v>45473</c:v>
                </c:pt>
                <c:pt idx="64">
                  <c:v>45504</c:v>
                </c:pt>
                <c:pt idx="65">
                  <c:v>45535</c:v>
                </c:pt>
                <c:pt idx="66">
                  <c:v>45565</c:v>
                </c:pt>
                <c:pt idx="67">
                  <c:v>45596</c:v>
                </c:pt>
                <c:pt idx="68">
                  <c:v>45626</c:v>
                </c:pt>
                <c:pt idx="69">
                  <c:v>45657</c:v>
                </c:pt>
                <c:pt idx="70">
                  <c:v>45688</c:v>
                </c:pt>
                <c:pt idx="71">
                  <c:v>45716</c:v>
                </c:pt>
                <c:pt idx="72">
                  <c:v>45747</c:v>
                </c:pt>
                <c:pt idx="73">
                  <c:v>45777</c:v>
                </c:pt>
                <c:pt idx="74">
                  <c:v>45808</c:v>
                </c:pt>
                <c:pt idx="75">
                  <c:v>45838</c:v>
                </c:pt>
                <c:pt idx="76">
                  <c:v>45869</c:v>
                </c:pt>
                <c:pt idx="77">
                  <c:v>45900</c:v>
                </c:pt>
                <c:pt idx="78">
                  <c:v>45930</c:v>
                </c:pt>
                <c:pt idx="79">
                  <c:v>45961</c:v>
                </c:pt>
                <c:pt idx="80">
                  <c:v>45991</c:v>
                </c:pt>
              </c:numCache>
            </c:numRef>
          </c:cat>
          <c:val>
            <c:numRef>
              <c:extLst>
                <c:ext xmlns:c15="http://schemas.microsoft.com/office/drawing/2012/chart" uri="{02D57815-91ED-43cb-92C2-25804820EDAC}">
                  <c15:fullRef>
                    <c15:sqref>'Datos ICP (2)'!$J$159:$J$244</c15:sqref>
                  </c15:fullRef>
                </c:ext>
              </c:extLst>
              <c:f>('Datos ICP (2)'!$J$159:$J$160,'Datos ICP (2)'!$J$166:$J$244)</c:f>
              <c:numCache>
                <c:formatCode>#,##0.00</c:formatCode>
                <c:ptCount val="81"/>
                <c:pt idx="0">
                  <c:v>166.86904394538919</c:v>
                </c:pt>
                <c:pt idx="1">
                  <c:v>167.44437503510412</c:v>
                </c:pt>
                <c:pt idx="2">
                  <c:v>169.39022524470411</c:v>
                </c:pt>
                <c:pt idx="3">
                  <c:v>169.72828503394538</c:v>
                </c:pt>
                <c:pt idx="4">
                  <c:v>170.06775923173487</c:v>
                </c:pt>
                <c:pt idx="5">
                  <c:v>170.37427475362654</c:v>
                </c:pt>
                <c:pt idx="6">
                  <c:v>170.56617140044605</c:v>
                </c:pt>
                <c:pt idx="7">
                  <c:v>170.72766157199757</c:v>
                </c:pt>
                <c:pt idx="8">
                  <c:v>170.88191805694132</c:v>
                </c:pt>
                <c:pt idx="9">
                  <c:v>171.10867197408135</c:v>
                </c:pt>
                <c:pt idx="10">
                  <c:v>171.32856483869548</c:v>
                </c:pt>
                <c:pt idx="11">
                  <c:v>171.43649812007152</c:v>
                </c:pt>
                <c:pt idx="12">
                  <c:v>171.55370953852204</c:v>
                </c:pt>
                <c:pt idx="13">
                  <c:v>171.78868501985025</c:v>
                </c:pt>
                <c:pt idx="14">
                  <c:v>172.01530581978932</c:v>
                </c:pt>
                <c:pt idx="15">
                  <c:v>172.23417519347797</c:v>
                </c:pt>
                <c:pt idx="16">
                  <c:v>172.42947148625342</c:v>
                </c:pt>
                <c:pt idx="17">
                  <c:v>172.62700399318211</c:v>
                </c:pt>
                <c:pt idx="18">
                  <c:v>172.81450153658645</c:v>
                </c:pt>
                <c:pt idx="19">
                  <c:v>173.0198545541933</c:v>
                </c:pt>
                <c:pt idx="20">
                  <c:v>173.21403241711468</c:v>
                </c:pt>
                <c:pt idx="21">
                  <c:v>173.63590870866986</c:v>
                </c:pt>
                <c:pt idx="22">
                  <c:v>173.78720576742757</c:v>
                </c:pt>
                <c:pt idx="23">
                  <c:v>173.93852091350033</c:v>
                </c:pt>
                <c:pt idx="24">
                  <c:v>173.97791577458611</c:v>
                </c:pt>
                <c:pt idx="25">
                  <c:v>174.01547160257837</c:v>
                </c:pt>
                <c:pt idx="26">
                  <c:v>174.22877678445582</c:v>
                </c:pt>
                <c:pt idx="27">
                  <c:v>174.44347996100205</c:v>
                </c:pt>
                <c:pt idx="28">
                  <c:v>174.63744306621291</c:v>
                </c:pt>
                <c:pt idx="29">
                  <c:v>174.80743488827449</c:v>
                </c:pt>
                <c:pt idx="30">
                  <c:v>174.92050682239312</c:v>
                </c:pt>
                <c:pt idx="31">
                  <c:v>175.06864374508643</c:v>
                </c:pt>
                <c:pt idx="32">
                  <c:v>175.3217436536149</c:v>
                </c:pt>
                <c:pt idx="33">
                  <c:v>175.61842894564796</c:v>
                </c:pt>
                <c:pt idx="34">
                  <c:v>176.11422617219318</c:v>
                </c:pt>
                <c:pt idx="35">
                  <c:v>176.78759596843719</c:v>
                </c:pt>
                <c:pt idx="36">
                  <c:v>177.45987859700915</c:v>
                </c:pt>
                <c:pt idx="37">
                  <c:v>178.57114882512312</c:v>
                </c:pt>
                <c:pt idx="38">
                  <c:v>179.89032358592115</c:v>
                </c:pt>
                <c:pt idx="39">
                  <c:v>181.01615844962365</c:v>
                </c:pt>
                <c:pt idx="40">
                  <c:v>182.18946649255463</c:v>
                </c:pt>
                <c:pt idx="41">
                  <c:v>183.61042078293613</c:v>
                </c:pt>
                <c:pt idx="42">
                  <c:v>185.10300466813297</c:v>
                </c:pt>
                <c:pt idx="43">
                  <c:v>186.92424692724711</c:v>
                </c:pt>
                <c:pt idx="44">
                  <c:v>188.6014751392625</c:v>
                </c:pt>
                <c:pt idx="45">
                  <c:v>190.39159780666429</c:v>
                </c:pt>
                <c:pt idx="46">
                  <c:v>192.2139222317299</c:v>
                </c:pt>
                <c:pt idx="47">
                  <c:v>193.91221850805098</c:v>
                </c:pt>
                <c:pt idx="48">
                  <c:v>195.76910325641938</c:v>
                </c:pt>
                <c:pt idx="49">
                  <c:v>197.70132720559334</c:v>
                </c:pt>
                <c:pt idx="50">
                  <c:v>199.60240497752187</c:v>
                </c:pt>
                <c:pt idx="51">
                  <c:v>201.54655559034995</c:v>
                </c:pt>
                <c:pt idx="52">
                  <c:v>203.49014396492308</c:v>
                </c:pt>
                <c:pt idx="53">
                  <c:v>205.41179092242226</c:v>
                </c:pt>
                <c:pt idx="54">
                  <c:v>207.31961388938618</c:v>
                </c:pt>
                <c:pt idx="55">
                  <c:v>209.08267415486361</c:v>
                </c:pt>
                <c:pt idx="56">
                  <c:v>210.68726195620209</c:v>
                </c:pt>
                <c:pt idx="57">
                  <c:v>212.30859048603952</c:v>
                </c:pt>
                <c:pt idx="58">
                  <c:v>214.04830781091891</c:v>
                </c:pt>
                <c:pt idx="59">
                  <c:v>215.51066314944615</c:v>
                </c:pt>
                <c:pt idx="60">
                  <c:v>216.71928434459196</c:v>
                </c:pt>
                <c:pt idx="61">
                  <c:v>218.15519409739881</c:v>
                </c:pt>
                <c:pt idx="62">
                  <c:v>219.57958144566075</c:v>
                </c:pt>
                <c:pt idx="63">
                  <c:v>220.91826864189699</c:v>
                </c:pt>
                <c:pt idx="64">
                  <c:v>221.85727000441392</c:v>
                </c:pt>
                <c:pt idx="65">
                  <c:v>222.82185363484703</c:v>
                </c:pt>
                <c:pt idx="66">
                  <c:v>223.91288826720964</c:v>
                </c:pt>
                <c:pt idx="67">
                  <c:v>224.90203074098253</c:v>
                </c:pt>
                <c:pt idx="68">
                  <c:v>225.9582507714519</c:v>
                </c:pt>
                <c:pt idx="69">
                  <c:v>226.96892878961143</c:v>
                </c:pt>
                <c:pt idx="70">
                  <c:v>227.62059677295369</c:v>
                </c:pt>
                <c:pt idx="71">
                  <c:v>228.60980087333425</c:v>
                </c:pt>
                <c:pt idx="72">
                  <c:v>229.54176635640314</c:v>
                </c:pt>
                <c:pt idx="73">
                  <c:v>230.49800583844871</c:v>
                </c:pt>
                <c:pt idx="74">
                  <c:v>231.48810325481992</c:v>
                </c:pt>
                <c:pt idx="75">
                  <c:v>232.71558260355661</c:v>
                </c:pt>
                <c:pt idx="76">
                  <c:v>233.83232529405038</c:v>
                </c:pt>
                <c:pt idx="77">
                  <c:v>235.00219697706964</c:v>
                </c:pt>
                <c:pt idx="78">
                  <c:v>236.12342869903196</c:v>
                </c:pt>
                <c:pt idx="79">
                  <c:v>237.33642589530447</c:v>
                </c:pt>
                <c:pt idx="80">
                  <c:v>238.79712061236677</c:v>
                </c:pt>
              </c:numCache>
            </c:numRef>
          </c:val>
          <c:smooth val="0"/>
          <c:extLst>
            <c:ext xmlns:c16="http://schemas.microsoft.com/office/drawing/2014/chart" uri="{C3380CC4-5D6E-409C-BE32-E72D297353CC}">
              <c16:uniqueId val="{00000001-BF7A-4118-97AA-A61AA822C6B2}"/>
            </c:ext>
          </c:extLst>
        </c:ser>
        <c:ser>
          <c:idx val="1"/>
          <c:order val="2"/>
          <c:tx>
            <c:strRef>
              <c:f>'Datos ICP (2)'!$M$2</c:f>
              <c:strCache>
                <c:ptCount val="1"/>
                <c:pt idx="0">
                  <c:v>Competencia Relevante (*)</c:v>
                </c:pt>
              </c:strCache>
            </c:strRef>
          </c:tx>
          <c:spPr>
            <a:ln w="38100">
              <a:solidFill>
                <a:sysClr val="window" lastClr="FFFFFF">
                  <a:lumMod val="65000"/>
                </a:sysClr>
              </a:solidFill>
            </a:ln>
          </c:spPr>
          <c:marker>
            <c:symbol val="none"/>
          </c:marker>
          <c:cat>
            <c:numRef>
              <c:extLst>
                <c:ext xmlns:c15="http://schemas.microsoft.com/office/drawing/2012/chart" uri="{02D57815-91ED-43cb-92C2-25804820EDAC}">
                  <c15:fullRef>
                    <c15:sqref>'Datos ICP (2)'!$A$159:$A$244</c15:sqref>
                  </c15:fullRef>
                </c:ext>
              </c:extLst>
              <c:f>('Datos ICP (2)'!$A$159:$A$160,'Datos ICP (2)'!$A$166:$A$244)</c:f>
              <c:numCache>
                <c:formatCode>m/d/yyyy</c:formatCode>
                <c:ptCount val="81"/>
                <c:pt idx="0">
                  <c:v>43404</c:v>
                </c:pt>
                <c:pt idx="1">
                  <c:v>43434</c:v>
                </c:pt>
                <c:pt idx="2">
                  <c:v>43616</c:v>
                </c:pt>
                <c:pt idx="3">
                  <c:v>43646</c:v>
                </c:pt>
                <c:pt idx="4">
                  <c:v>43677</c:v>
                </c:pt>
                <c:pt idx="5">
                  <c:v>43708</c:v>
                </c:pt>
                <c:pt idx="6">
                  <c:v>43738</c:v>
                </c:pt>
                <c:pt idx="7">
                  <c:v>43769</c:v>
                </c:pt>
                <c:pt idx="8">
                  <c:v>43799</c:v>
                </c:pt>
                <c:pt idx="9">
                  <c:v>43830</c:v>
                </c:pt>
                <c:pt idx="10">
                  <c:v>43861</c:v>
                </c:pt>
                <c:pt idx="11">
                  <c:v>43890</c:v>
                </c:pt>
                <c:pt idx="12">
                  <c:v>43921</c:v>
                </c:pt>
                <c:pt idx="13">
                  <c:v>43951</c:v>
                </c:pt>
                <c:pt idx="14">
                  <c:v>43982</c:v>
                </c:pt>
                <c:pt idx="15">
                  <c:v>44012</c:v>
                </c:pt>
                <c:pt idx="16">
                  <c:v>44043</c:v>
                </c:pt>
                <c:pt idx="17">
                  <c:v>44074</c:v>
                </c:pt>
                <c:pt idx="18">
                  <c:v>44104</c:v>
                </c:pt>
                <c:pt idx="19">
                  <c:v>44135</c:v>
                </c:pt>
                <c:pt idx="20">
                  <c:v>44165</c:v>
                </c:pt>
                <c:pt idx="21">
                  <c:v>44196</c:v>
                </c:pt>
                <c:pt idx="22">
                  <c:v>44227</c:v>
                </c:pt>
                <c:pt idx="23">
                  <c:v>44255</c:v>
                </c:pt>
                <c:pt idx="24">
                  <c:v>44286</c:v>
                </c:pt>
                <c:pt idx="25">
                  <c:v>44316</c:v>
                </c:pt>
                <c:pt idx="26">
                  <c:v>44347</c:v>
                </c:pt>
                <c:pt idx="27">
                  <c:v>44377</c:v>
                </c:pt>
                <c:pt idx="28">
                  <c:v>44408</c:v>
                </c:pt>
                <c:pt idx="29">
                  <c:v>44439</c:v>
                </c:pt>
                <c:pt idx="30">
                  <c:v>44469</c:v>
                </c:pt>
                <c:pt idx="31">
                  <c:v>44500</c:v>
                </c:pt>
                <c:pt idx="32">
                  <c:v>44530</c:v>
                </c:pt>
                <c:pt idx="33">
                  <c:v>44561</c:v>
                </c:pt>
                <c:pt idx="34">
                  <c:v>44592</c:v>
                </c:pt>
                <c:pt idx="35">
                  <c:v>44620</c:v>
                </c:pt>
                <c:pt idx="36">
                  <c:v>44651</c:v>
                </c:pt>
                <c:pt idx="37">
                  <c:v>44681</c:v>
                </c:pt>
                <c:pt idx="38">
                  <c:v>44712</c:v>
                </c:pt>
                <c:pt idx="39">
                  <c:v>44742</c:v>
                </c:pt>
                <c:pt idx="40">
                  <c:v>44773</c:v>
                </c:pt>
                <c:pt idx="41">
                  <c:v>44804</c:v>
                </c:pt>
                <c:pt idx="42">
                  <c:v>44834</c:v>
                </c:pt>
                <c:pt idx="43">
                  <c:v>44862</c:v>
                </c:pt>
                <c:pt idx="44">
                  <c:v>44895</c:v>
                </c:pt>
                <c:pt idx="45">
                  <c:v>44925</c:v>
                </c:pt>
                <c:pt idx="46">
                  <c:v>44957</c:v>
                </c:pt>
                <c:pt idx="47">
                  <c:v>44985</c:v>
                </c:pt>
                <c:pt idx="48">
                  <c:v>45016</c:v>
                </c:pt>
                <c:pt idx="49">
                  <c:v>45044</c:v>
                </c:pt>
                <c:pt idx="50">
                  <c:v>45077</c:v>
                </c:pt>
                <c:pt idx="51">
                  <c:v>45107</c:v>
                </c:pt>
                <c:pt idx="52">
                  <c:v>45138</c:v>
                </c:pt>
                <c:pt idx="53">
                  <c:v>45169</c:v>
                </c:pt>
                <c:pt idx="54">
                  <c:v>45199</c:v>
                </c:pt>
                <c:pt idx="55">
                  <c:v>45230</c:v>
                </c:pt>
                <c:pt idx="56">
                  <c:v>45260</c:v>
                </c:pt>
                <c:pt idx="57">
                  <c:v>45291</c:v>
                </c:pt>
                <c:pt idx="58">
                  <c:v>45322</c:v>
                </c:pt>
                <c:pt idx="59">
                  <c:v>45351</c:v>
                </c:pt>
                <c:pt idx="60">
                  <c:v>45379</c:v>
                </c:pt>
                <c:pt idx="61">
                  <c:v>45412</c:v>
                </c:pt>
                <c:pt idx="62">
                  <c:v>45443</c:v>
                </c:pt>
                <c:pt idx="63">
                  <c:v>45473</c:v>
                </c:pt>
                <c:pt idx="64">
                  <c:v>45504</c:v>
                </c:pt>
                <c:pt idx="65">
                  <c:v>45535</c:v>
                </c:pt>
                <c:pt idx="66">
                  <c:v>45565</c:v>
                </c:pt>
                <c:pt idx="67">
                  <c:v>45596</c:v>
                </c:pt>
                <c:pt idx="68">
                  <c:v>45626</c:v>
                </c:pt>
                <c:pt idx="69">
                  <c:v>45657</c:v>
                </c:pt>
                <c:pt idx="70">
                  <c:v>45688</c:v>
                </c:pt>
                <c:pt idx="71">
                  <c:v>45716</c:v>
                </c:pt>
                <c:pt idx="72">
                  <c:v>45747</c:v>
                </c:pt>
                <c:pt idx="73">
                  <c:v>45777</c:v>
                </c:pt>
                <c:pt idx="74">
                  <c:v>45808</c:v>
                </c:pt>
                <c:pt idx="75">
                  <c:v>45838</c:v>
                </c:pt>
                <c:pt idx="76">
                  <c:v>45869</c:v>
                </c:pt>
                <c:pt idx="77">
                  <c:v>45900</c:v>
                </c:pt>
                <c:pt idx="78">
                  <c:v>45930</c:v>
                </c:pt>
                <c:pt idx="79">
                  <c:v>45961</c:v>
                </c:pt>
                <c:pt idx="80">
                  <c:v>45991</c:v>
                </c:pt>
              </c:numCache>
            </c:numRef>
          </c:cat>
          <c:val>
            <c:numRef>
              <c:extLst>
                <c:ext xmlns:c15="http://schemas.microsoft.com/office/drawing/2012/chart" uri="{02D57815-91ED-43cb-92C2-25804820EDAC}">
                  <c15:fullRef>
                    <c15:sqref>'Datos ICP (2)'!$M$159:$M$244</c15:sqref>
                  </c15:fullRef>
                </c:ext>
              </c:extLst>
              <c:f>('Datos ICP (2)'!$M$159:$M$160,'Datos ICP (2)'!$M$166:$M$244)</c:f>
              <c:numCache>
                <c:formatCode>0.00</c:formatCode>
                <c:ptCount val="81"/>
                <c:pt idx="0">
                  <c:v>166.86904394538919</c:v>
                </c:pt>
                <c:pt idx="1">
                  <c:v>167.04014016698838</c:v>
                </c:pt>
                <c:pt idx="2">
                  <c:v>168.41557481290332</c:v>
                </c:pt>
                <c:pt idx="3">
                  <c:v>168.61751708401096</c:v>
                </c:pt>
                <c:pt idx="4">
                  <c:v>168.78675748047334</c:v>
                </c:pt>
                <c:pt idx="5">
                  <c:v>168.94389466888882</c:v>
                </c:pt>
                <c:pt idx="6">
                  <c:v>169.12438026834627</c:v>
                </c:pt>
                <c:pt idx="7">
                  <c:v>169.23081325718846</c:v>
                </c:pt>
                <c:pt idx="8">
                  <c:v>169.3478746645257</c:v>
                </c:pt>
                <c:pt idx="9">
                  <c:v>169.44955329939745</c:v>
                </c:pt>
                <c:pt idx="10">
                  <c:v>169.53326958667969</c:v>
                </c:pt>
                <c:pt idx="11">
                  <c:v>169.61683105788666</c:v>
                </c:pt>
                <c:pt idx="12">
                  <c:v>169.77253636096097</c:v>
                </c:pt>
                <c:pt idx="13">
                  <c:v>170.14605064888698</c:v>
                </c:pt>
                <c:pt idx="14">
                  <c:v>170.17244122601431</c:v>
                </c:pt>
                <c:pt idx="15">
                  <c:v>170.19971134807631</c:v>
                </c:pt>
                <c:pt idx="16">
                  <c:v>170.21620012632434</c:v>
                </c:pt>
                <c:pt idx="17">
                  <c:v>170.24774026996135</c:v>
                </c:pt>
                <c:pt idx="18">
                  <c:v>170.25980584516199</c:v>
                </c:pt>
                <c:pt idx="19">
                  <c:v>170.27089788637875</c:v>
                </c:pt>
                <c:pt idx="20">
                  <c:v>170.28127349509683</c:v>
                </c:pt>
                <c:pt idx="21">
                  <c:v>170.29126403429291</c:v>
                </c:pt>
                <c:pt idx="22">
                  <c:v>170.29948816291292</c:v>
                </c:pt>
                <c:pt idx="23">
                  <c:v>170.30943369123347</c:v>
                </c:pt>
                <c:pt idx="24">
                  <c:v>170.3183395462363</c:v>
                </c:pt>
                <c:pt idx="25">
                  <c:v>170.3296243060361</c:v>
                </c:pt>
                <c:pt idx="26">
                  <c:v>170.33952751894216</c:v>
                </c:pt>
                <c:pt idx="27">
                  <c:v>170.34973652847233</c:v>
                </c:pt>
                <c:pt idx="28">
                  <c:v>170.35993859781928</c:v>
                </c:pt>
                <c:pt idx="29">
                  <c:v>170.37016751197291</c:v>
                </c:pt>
                <c:pt idx="30">
                  <c:v>170.35010352246294</c:v>
                </c:pt>
                <c:pt idx="31">
                  <c:v>170.51863848216024</c:v>
                </c:pt>
                <c:pt idx="32">
                  <c:v>170.73335981878154</c:v>
                </c:pt>
                <c:pt idx="33">
                  <c:v>171.03458174682547</c:v>
                </c:pt>
                <c:pt idx="34">
                  <c:v>171.46023731963834</c:v>
                </c:pt>
                <c:pt idx="35">
                  <c:v>172.0665350954942</c:v>
                </c:pt>
                <c:pt idx="36">
                  <c:v>172.69806479050189</c:v>
                </c:pt>
                <c:pt idx="37">
                  <c:v>173.48757355311346</c:v>
                </c:pt>
                <c:pt idx="38">
                  <c:v>174.41274809964568</c:v>
                </c:pt>
                <c:pt idx="39">
                  <c:v>175.43892145332904</c:v>
                </c:pt>
                <c:pt idx="40">
                  <c:v>176.54450362241289</c:v>
                </c:pt>
                <c:pt idx="41">
                  <c:v>177.74565354439076</c:v>
                </c:pt>
                <c:pt idx="42">
                  <c:v>179.0495504179087</c:v>
                </c:pt>
                <c:pt idx="43">
                  <c:v>180.43889553198966</c:v>
                </c:pt>
                <c:pt idx="44">
                  <c:v>181.87286060867766</c:v>
                </c:pt>
                <c:pt idx="45">
                  <c:v>183.31477992083748</c:v>
                </c:pt>
                <c:pt idx="46">
                  <c:v>184.7654836553474</c:v>
                </c:pt>
                <c:pt idx="47">
                  <c:v>186.22798867501459</c:v>
                </c:pt>
                <c:pt idx="48">
                  <c:v>187.7076683210889</c:v>
                </c:pt>
                <c:pt idx="49">
                  <c:v>189.20762268388177</c:v>
                </c:pt>
                <c:pt idx="50">
                  <c:v>190.72559698352941</c:v>
                </c:pt>
                <c:pt idx="51">
                  <c:v>192.25195321462903</c:v>
                </c:pt>
                <c:pt idx="52">
                  <c:v>193.77839752276324</c:v>
                </c:pt>
                <c:pt idx="53">
                  <c:v>195.20290982633799</c:v>
                </c:pt>
                <c:pt idx="54">
                  <c:v>196.52732001664776</c:v>
                </c:pt>
                <c:pt idx="55">
                  <c:v>197.79703577138343</c:v>
                </c:pt>
                <c:pt idx="56">
                  <c:v>199.01735788185135</c:v>
                </c:pt>
                <c:pt idx="57">
                  <c:v>200.19250116986137</c:v>
                </c:pt>
                <c:pt idx="58">
                  <c:v>201.33009759279386</c:v>
                </c:pt>
                <c:pt idx="59">
                  <c:v>202.38914474626972</c:v>
                </c:pt>
                <c:pt idx="60">
                  <c:v>203.26075309678654</c:v>
                </c:pt>
                <c:pt idx="61">
                  <c:v>204.22016906256835</c:v>
                </c:pt>
                <c:pt idx="62">
                  <c:v>205.04386084825333</c:v>
                </c:pt>
                <c:pt idx="63">
                  <c:v>205.79231054001258</c:v>
                </c:pt>
                <c:pt idx="64">
                  <c:v>206.51606073528814</c:v>
                </c:pt>
                <c:pt idx="65">
                  <c:v>207.24106589408956</c:v>
                </c:pt>
                <c:pt idx="66">
                  <c:v>207.94059677334741</c:v>
                </c:pt>
                <c:pt idx="67">
                  <c:v>208.6269643441253</c:v>
                </c:pt>
                <c:pt idx="68">
                  <c:v>209.29882132199927</c:v>
                </c:pt>
                <c:pt idx="69">
                  <c:v>209.95301974134517</c:v>
                </c:pt>
                <c:pt idx="70">
                  <c:v>210.56666710897787</c:v>
                </c:pt>
                <c:pt idx="71">
                  <c:v>211.18982510728134</c:v>
                </c:pt>
                <c:pt idx="72">
                  <c:v>211.81579725139565</c:v>
                </c:pt>
                <c:pt idx="73">
                  <c:v>212.44615040667745</c:v>
                </c:pt>
                <c:pt idx="74">
                  <c:v>213.0813841037471</c:v>
                </c:pt>
                <c:pt idx="75">
                  <c:v>213.72000018960722</c:v>
                </c:pt>
                <c:pt idx="76">
                  <c:v>214.3302499757348</c:v>
                </c:pt>
                <c:pt idx="77">
                  <c:v>214.95261154782361</c:v>
                </c:pt>
                <c:pt idx="78">
                  <c:v>215.54622789688437</c:v>
                </c:pt>
                <c:pt idx="79">
                  <c:v>216.14388781467608</c:v>
                </c:pt>
                <c:pt idx="80">
                  <c:v>216.74801338823724</c:v>
                </c:pt>
              </c:numCache>
            </c:numRef>
          </c:val>
          <c:smooth val="0"/>
          <c:extLst>
            <c:ext xmlns:c16="http://schemas.microsoft.com/office/drawing/2014/chart" uri="{C3380CC4-5D6E-409C-BE32-E72D297353CC}">
              <c16:uniqueId val="{00000002-BF7A-4118-97AA-A61AA822C6B2}"/>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min val="0"/>
        </c:scaling>
        <c:delete val="0"/>
        <c:axPos val="l"/>
        <c:majorGridlines>
          <c:spPr>
            <a:ln>
              <a:solidFill>
                <a:schemeClr val="bg1">
                  <a:lumMod val="85000"/>
                </a:schemeClr>
              </a:solidFill>
            </a:ln>
          </c:spPr>
        </c:majorGridlines>
        <c:title>
          <c:tx>
            <c:rich>
              <a:bodyPr/>
              <a:lstStyle/>
              <a:p>
                <a:pPr>
                  <a:defRPr/>
                </a:pPr>
                <a:r>
                  <a:rPr lang="en-US"/>
                  <a:t>Indice</a:t>
                </a:r>
              </a:p>
            </c:rich>
          </c:tx>
          <c:layout>
            <c:manualLayout>
              <c:xMode val="edge"/>
              <c:yMode val="edge"/>
              <c:x val="3.8652443580279555E-2"/>
              <c:y val="0.47383449536882571"/>
            </c:manualLayout>
          </c:layout>
          <c:overlay val="0"/>
        </c:title>
        <c:numFmt formatCode="0" sourceLinked="0"/>
        <c:majorTickMark val="out"/>
        <c:minorTickMark val="none"/>
        <c:tickLblPos val="nextTo"/>
        <c:txPr>
          <a:bodyPr/>
          <a:lstStyle/>
          <a:p>
            <a:pPr>
              <a:defRPr sz="1600" b="0">
                <a:solidFill>
                  <a:schemeClr val="tx1"/>
                </a:solidFill>
                <a:latin typeface="Aileron" panose="00000500000000000000" pitchFamily="50" charset="0"/>
              </a:defRPr>
            </a:pPr>
            <a:endParaRPr lang="es-CL"/>
          </a:p>
        </c:txPr>
        <c:crossAx val="231479168"/>
        <c:crosses val="autoZero"/>
        <c:crossBetween val="between"/>
      </c:valAx>
      <c:spPr>
        <a:noFill/>
        <a:ln>
          <a:noFill/>
        </a:ln>
      </c:spPr>
    </c:plotArea>
    <c:legend>
      <c:legendPos val="r"/>
      <c:layout>
        <c:manualLayout>
          <c:xMode val="edge"/>
          <c:yMode val="edge"/>
          <c:x val="0.66080756166633603"/>
          <c:y val="0.61029008720054123"/>
          <c:w val="0.32085181727733769"/>
          <c:h val="0.24950946545695363"/>
        </c:manualLayout>
      </c:layout>
      <c:overlay val="1"/>
      <c:txPr>
        <a:bodyPr/>
        <a:lstStyle/>
        <a:p>
          <a:pPr>
            <a:defRPr sz="1600">
              <a:latin typeface="Aileron" panose="00000500000000000000" pitchFamily="50" charset="0"/>
            </a:defRPr>
          </a:pPr>
          <a:endParaRPr lang="es-CL"/>
        </a:p>
      </c:txPr>
    </c:legend>
    <c:plotVisOnly val="1"/>
    <c:dispBlanksAs val="gap"/>
    <c:showDLblsOverMax val="0"/>
  </c:chart>
  <c:spPr>
    <a:noFill/>
    <a:ln>
      <a:noFill/>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chemeClr val="accent3">
                  <a:shade val="58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rgbClr val="FDD900"/>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B52-43B1-90C5-B098219E9130}"/>
              </c:ext>
            </c:extLst>
          </c:dPt>
          <c:cat>
            <c:strRef>
              <c:f>composición!$K$2:$K$6</c:f>
              <c:strCache>
                <c:ptCount val="5"/>
                <c:pt idx="1">
                  <c:v>Menos de 1 mes</c:v>
                </c:pt>
                <c:pt idx="2">
                  <c:v>1-3 meses</c:v>
                </c:pt>
                <c:pt idx="3">
                  <c:v>3-4 meses</c:v>
                </c:pt>
                <c:pt idx="4">
                  <c:v>Más de 4 meses</c:v>
                </c:pt>
              </c:strCache>
            </c:strRef>
          </c:cat>
          <c:val>
            <c:numRef>
              <c:f>composición!$L$2:$L$6</c:f>
              <c:numCache>
                <c:formatCode>0.00%</c:formatCode>
                <c:ptCount val="5"/>
                <c:pt idx="1">
                  <c:v>0.62160000000000004</c:v>
                </c:pt>
                <c:pt idx="2">
                  <c:v>0.25540000000000002</c:v>
                </c:pt>
                <c:pt idx="3">
                  <c:v>0.123</c:v>
                </c:pt>
                <c:pt idx="4">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2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B-8E42-4003-AAD0-FF2A4878E335}"/>
              </c:ext>
            </c:extLst>
          </c:dPt>
          <c:dPt>
            <c:idx val="6"/>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D-8E42-4003-AAD0-FF2A4878E335}"/>
              </c:ext>
            </c:extLst>
          </c:dPt>
          <c:cat>
            <c:strRef>
              <c:f>composición!$O$2:$O$8</c:f>
              <c:strCache>
                <c:ptCount val="7"/>
                <c:pt idx="0">
                  <c:v>Bono</c:v>
                </c:pt>
                <c:pt idx="1">
                  <c:v>Depósitos</c:v>
                </c:pt>
                <c:pt idx="2">
                  <c:v>Factoring</c:v>
                </c:pt>
                <c:pt idx="3">
                  <c:v>Financiamiento Inmobiliario</c:v>
                </c:pt>
                <c:pt idx="4">
                  <c:v>Financiamiento Mesa Moneda Extranjera</c:v>
                </c:pt>
                <c:pt idx="5">
                  <c:v>Garantías</c:v>
                </c:pt>
                <c:pt idx="6">
                  <c:v>Nota Estructurada</c:v>
                </c:pt>
              </c:strCache>
            </c:strRef>
          </c:cat>
          <c:val>
            <c:numRef>
              <c:f>composición!$P$2:$P$8</c:f>
              <c:numCache>
                <c:formatCode>0.00%</c:formatCode>
                <c:ptCount val="7"/>
                <c:pt idx="0">
                  <c:v>0</c:v>
                </c:pt>
                <c:pt idx="1">
                  <c:v>0</c:v>
                </c:pt>
                <c:pt idx="2">
                  <c:v>0</c:v>
                </c:pt>
                <c:pt idx="3">
                  <c:v>0.34300000000000003</c:v>
                </c:pt>
                <c:pt idx="4">
                  <c:v>0.64139999999999997</c:v>
                </c:pt>
                <c:pt idx="5">
                  <c:v>0</c:v>
                </c:pt>
                <c:pt idx="6">
                  <c:v>1.5599999999999999E-2</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244867</xdr:colOff>
      <xdr:row>250</xdr:row>
      <xdr:rowOff>183803</xdr:rowOff>
    </xdr:from>
    <xdr:to>
      <xdr:col>11</xdr:col>
      <xdr:colOff>664028</xdr:colOff>
      <xdr:row>279</xdr:row>
      <xdr:rowOff>82351</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5EBB3-6093-4199-ACE9-E39466FE300E}">
  <dimension ref="A2:C11"/>
  <sheetViews>
    <sheetView showGridLines="0" workbookViewId="0">
      <selection activeCell="A3" sqref="A3"/>
    </sheetView>
  </sheetViews>
  <sheetFormatPr defaultColWidth="11.42578125" defaultRowHeight="15"/>
  <cols>
    <col min="1" max="1" width="70.28515625" customWidth="1"/>
  </cols>
  <sheetData>
    <row r="2" spans="1:3" ht="204">
      <c r="A2" s="98" t="s">
        <v>0</v>
      </c>
    </row>
    <row r="3" spans="1:3">
      <c r="A3" s="98"/>
    </row>
    <row r="4" spans="1:3">
      <c r="A4" s="78"/>
    </row>
    <row r="11" spans="1:3">
      <c r="C11" s="7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L1" zoomScale="96" zoomScaleNormal="80" workbookViewId="0">
      <pane ySplit="2" topLeftCell="AS10" activePane="bottomLeft" state="frozen"/>
      <selection pane="bottomLeft" activeCell="AW19" sqref="AW19"/>
    </sheetView>
  </sheetViews>
  <sheetFormatPr defaultColWidth="12.28515625" defaultRowHeight="15"/>
  <cols>
    <col min="1" max="1" width="13.85546875" style="9" customWidth="1"/>
    <col min="2" max="2" width="18.140625" style="9" bestFit="1" customWidth="1"/>
    <col min="3" max="4" width="12.28515625" style="9" bestFit="1" customWidth="1"/>
    <col min="5" max="5" width="12.28515625" style="9"/>
    <col min="6" max="6" width="16.140625" style="9" customWidth="1"/>
    <col min="7" max="7" width="14.28515625" style="10" customWidth="1"/>
    <col min="8" max="8" width="14.140625" style="10" bestFit="1" customWidth="1"/>
    <col min="9" max="9" width="12.28515625" style="11" bestFit="1" customWidth="1"/>
    <col min="10" max="12" width="12.28515625" style="9" bestFit="1" customWidth="1"/>
    <col min="13" max="15" width="11.85546875" style="9" bestFit="1" customWidth="1"/>
    <col min="16" max="18" width="14.140625" style="9" bestFit="1" customWidth="1"/>
    <col min="19" max="19" width="19.42578125" style="9" bestFit="1" customWidth="1"/>
    <col min="20" max="27" width="14.140625" style="9" bestFit="1" customWidth="1"/>
    <col min="28" max="28" width="5.5703125" style="9" bestFit="1" customWidth="1"/>
    <col min="29" max="29" width="7" style="9" customWidth="1"/>
    <col min="30" max="30" width="13.5703125" style="9" customWidth="1"/>
    <col min="31" max="31" width="7.42578125" style="9" customWidth="1"/>
    <col min="32" max="32" width="7.5703125" style="9" customWidth="1"/>
    <col min="33" max="33" width="8.140625" style="9" customWidth="1"/>
    <col min="34" max="34" width="7.7109375" style="9" customWidth="1"/>
    <col min="35" max="35" width="8.140625" style="9" bestFit="1" customWidth="1"/>
    <col min="36" max="36" width="8.28515625" style="9" bestFit="1" customWidth="1"/>
    <col min="37" max="37" width="7.42578125" style="9" bestFit="1" customWidth="1"/>
    <col min="38" max="38" width="8.140625" style="9" bestFit="1" customWidth="1"/>
    <col min="39" max="39" width="9.140625" style="9" customWidth="1"/>
    <col min="40" max="40" width="7.28515625" style="9" bestFit="1" customWidth="1"/>
    <col min="41" max="41" width="7.140625" style="9" customWidth="1"/>
    <col min="42" max="42" width="7.5703125" style="9" customWidth="1"/>
    <col min="43" max="43" width="9" style="9" bestFit="1"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0" width="14.42578125" style="9" customWidth="1"/>
    <col min="51" max="51" width="14.28515625" style="9" customWidth="1"/>
    <col min="52" max="52" width="14.7109375" style="9" customWidth="1"/>
    <col min="53" max="53" width="14.28515625" style="9" customWidth="1"/>
    <col min="54" max="54" width="14.140625" style="9"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9"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0">
        <v>2006</v>
      </c>
      <c r="AE2" s="21">
        <f>P3/N3-1</f>
        <v>3.9906364750199597E-3</v>
      </c>
      <c r="AF2" s="21">
        <f t="shared" ref="AF2:AP12" si="0">Q3/P3-1</f>
        <v>3.4791781282821344E-3</v>
      </c>
      <c r="AG2" s="21">
        <f t="shared" si="0"/>
        <v>3.9464944164580018E-3</v>
      </c>
      <c r="AH2" s="21">
        <f t="shared" si="0"/>
        <v>3.624987137433644E-3</v>
      </c>
      <c r="AI2" s="21">
        <f t="shared" si="0"/>
        <v>4.5220625929731639E-3</v>
      </c>
      <c r="AJ2" s="21">
        <f t="shared" si="0"/>
        <v>4.1131335559714266E-3</v>
      </c>
      <c r="AK2" s="21">
        <f t="shared" si="0"/>
        <v>4.2960167774701574E-3</v>
      </c>
      <c r="AL2" s="21">
        <f t="shared" si="0"/>
        <v>4.4454427774651695E-3</v>
      </c>
      <c r="AM2" s="21">
        <f t="shared" si="0"/>
        <v>4.2100927316455206E-3</v>
      </c>
      <c r="AN2" s="21">
        <f t="shared" si="0"/>
        <v>4.5858962126306135E-3</v>
      </c>
      <c r="AO2" s="21">
        <f t="shared" si="0"/>
        <v>4.3800852009372448E-3</v>
      </c>
      <c r="AP2" s="21">
        <f t="shared" si="0"/>
        <v>4.3164927885432913E-3</v>
      </c>
      <c r="AQ2" s="22">
        <f>AA3/N3-1</f>
        <v>5.1067547753429698E-2</v>
      </c>
      <c r="AR2" s="15"/>
      <c r="AS2" s="15"/>
    </row>
    <row r="3" spans="1:45">
      <c r="A3" s="23">
        <v>38717</v>
      </c>
      <c r="B3" s="24">
        <v>10953.14</v>
      </c>
      <c r="C3"/>
      <c r="D3" s="25">
        <v>100</v>
      </c>
      <c r="E3" s="25"/>
      <c r="F3" s="25"/>
      <c r="K3" s="18"/>
      <c r="L3" s="19"/>
      <c r="N3" s="24">
        <f>B3</f>
        <v>10953.14</v>
      </c>
      <c r="O3" s="9">
        <v>2006</v>
      </c>
      <c r="P3" s="26">
        <v>10996.85</v>
      </c>
      <c r="Q3" s="26">
        <v>11035.11</v>
      </c>
      <c r="R3" s="26">
        <v>11078.66</v>
      </c>
      <c r="S3" s="26">
        <v>11118.82</v>
      </c>
      <c r="T3" s="26">
        <v>11169.1</v>
      </c>
      <c r="U3" s="26">
        <v>11215.04</v>
      </c>
      <c r="V3" s="26">
        <v>11263.22</v>
      </c>
      <c r="W3" s="26">
        <v>11313.29</v>
      </c>
      <c r="X3" s="26">
        <v>11360.92</v>
      </c>
      <c r="Y3" s="26">
        <v>11413.02</v>
      </c>
      <c r="Z3" s="26">
        <v>11463.01</v>
      </c>
      <c r="AA3" s="26">
        <v>11512.49</v>
      </c>
      <c r="AC3" s="12"/>
      <c r="AD3" s="27">
        <v>2007</v>
      </c>
      <c r="AE3" s="28">
        <f t="shared" ref="AE3:AE13" si="1">P4/AA3-1</f>
        <v>4.7548358348192821E-3</v>
      </c>
      <c r="AF3" s="28">
        <f t="shared" si="0"/>
        <v>3.929203448016505E-3</v>
      </c>
      <c r="AG3" s="28">
        <f t="shared" si="0"/>
        <v>4.2040252551520663E-3</v>
      </c>
      <c r="AH3" s="28">
        <f t="shared" si="0"/>
        <v>4.3802255284484115E-3</v>
      </c>
      <c r="AI3" s="28">
        <f t="shared" si="0"/>
        <v>4.3713682211776739E-3</v>
      </c>
      <c r="AJ3" s="28">
        <f t="shared" si="0"/>
        <v>4.1185741317841806E-3</v>
      </c>
      <c r="AK3" s="28">
        <f t="shared" si="0"/>
        <v>4.5969304695219204E-3</v>
      </c>
      <c r="AL3" s="28">
        <f t="shared" si="0"/>
        <v>4.7149419417469307E-3</v>
      </c>
      <c r="AM3" s="28">
        <f t="shared" si="0"/>
        <v>4.4562876180125333E-3</v>
      </c>
      <c r="AN3" s="28">
        <f t="shared" si="0"/>
        <v>5.2849082426698057E-3</v>
      </c>
      <c r="AO3" s="28">
        <f t="shared" si="0"/>
        <v>4.8135627009113779E-3</v>
      </c>
      <c r="AP3" s="28">
        <f t="shared" si="0"/>
        <v>4.6086377858698402E-3</v>
      </c>
      <c r="AQ3" s="29">
        <f t="shared" ref="AQ3:AQ11" si="2">AA4/AA3-1</f>
        <v>5.5601351228101059E-2</v>
      </c>
      <c r="AR3" s="15"/>
      <c r="AS3" s="15"/>
    </row>
    <row r="4" spans="1:45">
      <c r="A4" s="66">
        <v>38748</v>
      </c>
      <c r="B4" s="26">
        <v>10996.85</v>
      </c>
      <c r="C4" s="30">
        <f t="shared" ref="C4:C69" si="3">+(B4/B3-1)/(A4-A3)*30</f>
        <v>3.8619062661483482E-3</v>
      </c>
      <c r="D4" s="25">
        <v>100.39906364750199</v>
      </c>
      <c r="E4" s="25"/>
      <c r="F4" s="25"/>
      <c r="K4" s="18" t="s">
        <v>22</v>
      </c>
      <c r="L4" s="19"/>
      <c r="O4" s="9">
        <v>2007</v>
      </c>
      <c r="P4" s="26">
        <v>11567.23</v>
      </c>
      <c r="Q4" s="26">
        <v>11612.68</v>
      </c>
      <c r="R4" s="26">
        <v>11661.5</v>
      </c>
      <c r="S4" s="26">
        <v>11712.58</v>
      </c>
      <c r="T4" s="26">
        <v>11763.78</v>
      </c>
      <c r="U4" s="26">
        <v>11812.23</v>
      </c>
      <c r="V4" s="26">
        <v>11866.53</v>
      </c>
      <c r="W4" s="26">
        <v>11922.48</v>
      </c>
      <c r="X4" s="26">
        <v>11975.61</v>
      </c>
      <c r="Y4" s="26">
        <v>12038.9</v>
      </c>
      <c r="Z4" s="26">
        <v>12096.85</v>
      </c>
      <c r="AA4" s="26">
        <v>12152.6</v>
      </c>
      <c r="AC4" s="12"/>
      <c r="AD4" s="20">
        <v>2008</v>
      </c>
      <c r="AE4" s="21">
        <f t="shared" si="1"/>
        <v>5.8045191975379939E-3</v>
      </c>
      <c r="AF4" s="21">
        <f t="shared" si="0"/>
        <v>5.0510752556216509E-3</v>
      </c>
      <c r="AG4" s="21">
        <f t="shared" si="0"/>
        <v>5.4188563502453047E-3</v>
      </c>
      <c r="AH4" s="21">
        <f t="shared" si="0"/>
        <v>5.2406802440199129E-3</v>
      </c>
      <c r="AI4" s="21">
        <f t="shared" si="0"/>
        <v>5.2592665376951508E-3</v>
      </c>
      <c r="AJ4" s="21">
        <f t="shared" si="0"/>
        <v>5.6683982989196302E-3</v>
      </c>
      <c r="AK4" s="21">
        <f t="shared" si="0"/>
        <v>6.108078006856088E-3</v>
      </c>
      <c r="AL4" s="21">
        <f t="shared" si="0"/>
        <v>5.9965634378291721E-3</v>
      </c>
      <c r="AM4" s="21">
        <f t="shared" si="0"/>
        <v>7.2666421611649046E-3</v>
      </c>
      <c r="AN4" s="21">
        <f t="shared" si="0"/>
        <v>6.9094588945022295E-3</v>
      </c>
      <c r="AO4" s="21">
        <f t="shared" si="0"/>
        <v>6.64008872077404E-3</v>
      </c>
      <c r="AP4" s="21">
        <f t="shared" si="0"/>
        <v>7.3549082448212122E-3</v>
      </c>
      <c r="AQ4" s="22">
        <f t="shared" si="2"/>
        <v>7.5188025607688891E-2</v>
      </c>
      <c r="AR4" s="15"/>
      <c r="AS4" s="15"/>
    </row>
    <row r="5" spans="1:45">
      <c r="A5" s="23">
        <v>38776</v>
      </c>
      <c r="B5" s="26">
        <v>11035.11</v>
      </c>
      <c r="C5" s="30">
        <f t="shared" si="3"/>
        <v>3.7276908517308582E-3</v>
      </c>
      <c r="D5" s="25">
        <v>100.74836987384441</v>
      </c>
      <c r="E5" s="25"/>
      <c r="F5" s="25"/>
      <c r="O5" s="9">
        <v>2008</v>
      </c>
      <c r="P5" s="26">
        <v>12223.14</v>
      </c>
      <c r="Q5" s="26">
        <v>12284.88</v>
      </c>
      <c r="R5" s="26">
        <v>12351.45</v>
      </c>
      <c r="S5" s="26">
        <v>12416.18</v>
      </c>
      <c r="T5" s="26">
        <v>12481.48</v>
      </c>
      <c r="U5" s="26">
        <v>12552.23</v>
      </c>
      <c r="V5" s="26">
        <v>12628.9</v>
      </c>
      <c r="W5" s="26">
        <v>12704.63</v>
      </c>
      <c r="X5" s="26">
        <v>12796.95</v>
      </c>
      <c r="Y5" s="26">
        <v>12885.37</v>
      </c>
      <c r="Z5" s="26">
        <v>12970.93</v>
      </c>
      <c r="AA5" s="26">
        <v>13066.33</v>
      </c>
      <c r="AC5" s="12"/>
      <c r="AD5" s="27">
        <v>2009</v>
      </c>
      <c r="AE5" s="28">
        <f t="shared" si="1"/>
        <v>6.492259111778198E-3</v>
      </c>
      <c r="AF5" s="28">
        <f t="shared" si="0"/>
        <v>4.6330513810188823E-3</v>
      </c>
      <c r="AG5" s="28">
        <f t="shared" si="0"/>
        <v>2.9586537784711542E-3</v>
      </c>
      <c r="AH5" s="28">
        <f t="shared" si="0"/>
        <v>1.6179691167126364E-3</v>
      </c>
      <c r="AI5" s="28">
        <f t="shared" si="0"/>
        <v>1.0804196910632058E-3</v>
      </c>
      <c r="AJ5" s="28">
        <f t="shared" si="0"/>
        <v>9.1217253608055771E-4</v>
      </c>
      <c r="AK5" s="28">
        <f t="shared" si="0"/>
        <v>4.7070925206860181E-4</v>
      </c>
      <c r="AL5" s="28">
        <f t="shared" si="0"/>
        <v>3.5549636461751355E-4</v>
      </c>
      <c r="AM5" s="28">
        <f t="shared" si="0"/>
        <v>3.7415280310315602E-4</v>
      </c>
      <c r="AN5" s="28">
        <f t="shared" si="0"/>
        <v>3.522329995007123E-4</v>
      </c>
      <c r="AO5" s="28">
        <f t="shared" si="0"/>
        <v>3.5811509834271504E-4</v>
      </c>
      <c r="AP5" s="28">
        <f t="shared" si="0"/>
        <v>3.7449782393506048E-4</v>
      </c>
      <c r="AQ5" s="29">
        <f t="shared" si="2"/>
        <v>2.0141080165585912E-2</v>
      </c>
      <c r="AR5" s="15"/>
      <c r="AS5" s="15"/>
    </row>
    <row r="6" spans="1:45">
      <c r="A6" s="23">
        <v>38807</v>
      </c>
      <c r="B6" s="26">
        <v>11078.66</v>
      </c>
      <c r="C6" s="30">
        <f t="shared" si="3"/>
        <v>3.8191881449593569E-3</v>
      </c>
      <c r="D6" s="25">
        <v>101.14597275301878</v>
      </c>
      <c r="E6" s="25"/>
      <c r="F6" s="25"/>
      <c r="O6" s="9">
        <v>2009</v>
      </c>
      <c r="P6" s="26">
        <v>13151.16</v>
      </c>
      <c r="Q6" s="26">
        <v>13212.09</v>
      </c>
      <c r="R6" s="26">
        <v>13251.18</v>
      </c>
      <c r="S6" s="26">
        <v>13272.62</v>
      </c>
      <c r="T6" s="26">
        <v>13286.96</v>
      </c>
      <c r="U6" s="26">
        <v>13299.08</v>
      </c>
      <c r="V6" s="26">
        <v>13305.34</v>
      </c>
      <c r="W6" s="26">
        <v>13310.07</v>
      </c>
      <c r="X6" s="26">
        <v>13315.05</v>
      </c>
      <c r="Y6" s="26">
        <v>13319.74</v>
      </c>
      <c r="Z6" s="26">
        <v>13324.51</v>
      </c>
      <c r="AA6" s="26">
        <v>13329.5</v>
      </c>
      <c r="AC6" s="12"/>
      <c r="AD6" s="20">
        <v>2010</v>
      </c>
      <c r="AE6" s="21">
        <f t="shared" si="1"/>
        <v>3.5635245132970006E-4</v>
      </c>
      <c r="AF6" s="21">
        <f t="shared" si="0"/>
        <v>3.2097793276708586E-4</v>
      </c>
      <c r="AG6" s="21">
        <f t="shared" si="0"/>
        <v>3.9434630352830347E-4</v>
      </c>
      <c r="AH6" s="21">
        <f t="shared" si="0"/>
        <v>3.6271554033739939E-4</v>
      </c>
      <c r="AI6" s="21">
        <f t="shared" si="0"/>
        <v>3.6483144712229354E-4</v>
      </c>
      <c r="AJ6" s="21">
        <f t="shared" si="0"/>
        <v>5.5416183023182519E-4</v>
      </c>
      <c r="AK6" s="21">
        <f t="shared" si="0"/>
        <v>9.7972441976224012E-4</v>
      </c>
      <c r="AL6" s="21">
        <f t="shared" si="0"/>
        <v>1.5866618712889746E-3</v>
      </c>
      <c r="AM6" s="21">
        <f t="shared" si="0"/>
        <v>1.8349842966256524E-3</v>
      </c>
      <c r="AN6" s="21">
        <f t="shared" si="0"/>
        <v>2.1535359346158689E-3</v>
      </c>
      <c r="AO6" s="21">
        <f t="shared" si="0"/>
        <v>2.5526649807527946E-3</v>
      </c>
      <c r="AP6" s="21">
        <f t="shared" si="0"/>
        <v>2.9600193428476196E-3</v>
      </c>
      <c r="AQ6" s="22">
        <f t="shared" si="2"/>
        <v>1.4511422033834709E-2</v>
      </c>
      <c r="AR6" s="15"/>
      <c r="AS6" s="15"/>
    </row>
    <row r="7" spans="1:45">
      <c r="A7" s="23">
        <v>38835</v>
      </c>
      <c r="B7" s="26">
        <v>11118.82</v>
      </c>
      <c r="C7" s="30">
        <f t="shared" si="3"/>
        <v>3.8839147901074756E-3</v>
      </c>
      <c r="D7" s="25">
        <v>101.51262560325168</v>
      </c>
      <c r="E7" s="25"/>
      <c r="F7" s="25"/>
      <c r="O7" s="9">
        <v>2010</v>
      </c>
      <c r="P7" s="26">
        <v>13334.25</v>
      </c>
      <c r="Q7" s="26">
        <v>13338.53</v>
      </c>
      <c r="R7" s="26">
        <v>13343.79</v>
      </c>
      <c r="S7" s="26">
        <v>13348.63</v>
      </c>
      <c r="T7" s="26">
        <v>13353.5</v>
      </c>
      <c r="U7" s="26">
        <v>13360.9</v>
      </c>
      <c r="V7" s="26">
        <v>13373.99</v>
      </c>
      <c r="W7" s="26">
        <v>13395.21</v>
      </c>
      <c r="X7" s="26">
        <v>13419.79</v>
      </c>
      <c r="Y7" s="26">
        <v>13448.69</v>
      </c>
      <c r="Z7" s="26">
        <v>13483.02</v>
      </c>
      <c r="AA7" s="26">
        <v>13522.93</v>
      </c>
      <c r="AC7" s="12"/>
      <c r="AD7" s="27">
        <v>2011</v>
      </c>
      <c r="AE7" s="28">
        <f t="shared" si="1"/>
        <v>2.5282982312264668E-3</v>
      </c>
      <c r="AF7" s="28">
        <f t="shared" si="0"/>
        <v>2.5949464192984717E-3</v>
      </c>
      <c r="AG7" s="28">
        <f t="shared" si="0"/>
        <v>3.2084341870028954E-3</v>
      </c>
      <c r="AH7" s="28">
        <f t="shared" si="0"/>
        <v>3.4489814027813814E-3</v>
      </c>
      <c r="AI7" s="28">
        <f t="shared" si="0"/>
        <v>4.2476251448884117E-3</v>
      </c>
      <c r="AJ7" s="28">
        <f t="shared" si="0"/>
        <v>4.2704129084656373E-3</v>
      </c>
      <c r="AK7" s="28">
        <f t="shared" si="0"/>
        <v>4.2319637906220731E-3</v>
      </c>
      <c r="AL7" s="28">
        <f t="shared" si="0"/>
        <v>4.8267660739464979E-3</v>
      </c>
      <c r="AM7" s="28">
        <f t="shared" si="0"/>
        <v>4.3762921875212246E-3</v>
      </c>
      <c r="AN7" s="28">
        <f t="shared" si="0"/>
        <v>4.0926728714560934E-3</v>
      </c>
      <c r="AO7" s="28">
        <f t="shared" si="0"/>
        <v>4.8179867708308954E-3</v>
      </c>
      <c r="AP7" s="28">
        <f t="shared" si="0"/>
        <v>4.3767676975265957E-3</v>
      </c>
      <c r="AQ7" s="29">
        <f t="shared" si="2"/>
        <v>4.8044321755714048E-2</v>
      </c>
      <c r="AR7" s="15"/>
      <c r="AS7" s="15"/>
    </row>
    <row r="8" spans="1:45">
      <c r="A8" s="23">
        <v>38868</v>
      </c>
      <c r="B8" s="26">
        <v>11169.1</v>
      </c>
      <c r="C8" s="30">
        <f t="shared" si="3"/>
        <v>4.1109659936119673E-3</v>
      </c>
      <c r="D8" s="25">
        <v>101.97167205020661</v>
      </c>
      <c r="E8" s="25"/>
      <c r="F8" s="25"/>
      <c r="O8" s="9">
        <v>2011</v>
      </c>
      <c r="P8" s="26">
        <v>13557.12</v>
      </c>
      <c r="Q8" s="26">
        <v>13592.3</v>
      </c>
      <c r="R8" s="26">
        <v>13635.91</v>
      </c>
      <c r="S8" s="26">
        <v>13682.94</v>
      </c>
      <c r="T8" s="26">
        <v>13741.06</v>
      </c>
      <c r="U8" s="26">
        <v>13799.74</v>
      </c>
      <c r="V8" s="26">
        <v>13858.14</v>
      </c>
      <c r="W8" s="26">
        <v>13925.03</v>
      </c>
      <c r="X8" s="26">
        <v>13985.97</v>
      </c>
      <c r="Y8" s="26">
        <v>14043.21</v>
      </c>
      <c r="Z8" s="26">
        <v>14110.87</v>
      </c>
      <c r="AA8" s="26">
        <v>14172.63</v>
      </c>
      <c r="AC8" s="12"/>
      <c r="AD8" s="20">
        <v>2012</v>
      </c>
      <c r="AE8" s="21">
        <f t="shared" si="1"/>
        <v>4.498106561731996E-3</v>
      </c>
      <c r="AF8" s="21">
        <f t="shared" si="0"/>
        <v>4.0241971624810358E-3</v>
      </c>
      <c r="AG8" s="21">
        <f t="shared" si="0"/>
        <v>4.1745751790827068E-3</v>
      </c>
      <c r="AH8" s="21">
        <f t="shared" si="0"/>
        <v>4.3104949788690394E-3</v>
      </c>
      <c r="AI8" s="21">
        <f t="shared" si="0"/>
        <v>4.3245988091744625E-3</v>
      </c>
      <c r="AJ8" s="21">
        <f t="shared" si="0"/>
        <v>4.0462647340191449E-3</v>
      </c>
      <c r="AK8" s="21">
        <f t="shared" si="0"/>
        <v>4.4358436530218537E-3</v>
      </c>
      <c r="AL8" s="21">
        <f t="shared" si="0"/>
        <v>4.295710932625374E-3</v>
      </c>
      <c r="AM8" s="21">
        <f t="shared" si="0"/>
        <v>3.9111170518566496E-3</v>
      </c>
      <c r="AN8" s="21">
        <f t="shared" si="0"/>
        <v>4.6112000260856156E-3</v>
      </c>
      <c r="AO8" s="21">
        <f t="shared" si="0"/>
        <v>4.1802582536771826E-3</v>
      </c>
      <c r="AP8" s="21">
        <f t="shared" si="0"/>
        <v>3.8935030618745259E-3</v>
      </c>
      <c r="AQ8" s="22">
        <f t="shared" si="2"/>
        <v>5.190074107628595E-2</v>
      </c>
      <c r="AR8" s="15"/>
      <c r="AS8" s="15"/>
    </row>
    <row r="9" spans="1:45">
      <c r="A9" s="23">
        <v>38898</v>
      </c>
      <c r="B9" s="26">
        <v>11215.04</v>
      </c>
      <c r="C9" s="30">
        <f t="shared" si="3"/>
        <v>4.1131335559714266E-3</v>
      </c>
      <c r="D9" s="25">
        <v>102.39109515627483</v>
      </c>
      <c r="E9" s="25"/>
      <c r="F9" s="25"/>
      <c r="O9" s="9">
        <v>2012</v>
      </c>
      <c r="P9" s="26">
        <v>14236.38</v>
      </c>
      <c r="Q9" s="26">
        <v>14293.67</v>
      </c>
      <c r="R9" s="26">
        <v>14353.34</v>
      </c>
      <c r="S9" s="26">
        <v>14415.21</v>
      </c>
      <c r="T9" s="26">
        <v>14477.55</v>
      </c>
      <c r="U9" s="26">
        <v>14536.13</v>
      </c>
      <c r="V9" s="26">
        <v>14600.61</v>
      </c>
      <c r="W9" s="26">
        <v>14663.33</v>
      </c>
      <c r="X9" s="26">
        <v>14720.68</v>
      </c>
      <c r="Y9" s="26">
        <v>14788.56</v>
      </c>
      <c r="Z9" s="26">
        <v>14850.38</v>
      </c>
      <c r="AA9" s="26">
        <v>14908.2</v>
      </c>
      <c r="AC9" s="12"/>
      <c r="AD9" s="27">
        <v>2013</v>
      </c>
      <c r="AE9" s="28">
        <f t="shared" si="1"/>
        <v>4.7208918581720383E-3</v>
      </c>
      <c r="AF9" s="28">
        <f t="shared" si="0"/>
        <v>3.8962304837975026E-3</v>
      </c>
      <c r="AG9" s="28">
        <f t="shared" si="0"/>
        <v>3.8950743967856027E-3</v>
      </c>
      <c r="AH9" s="28">
        <f t="shared" si="0"/>
        <v>4.5881192487038369E-3</v>
      </c>
      <c r="AI9" s="28">
        <f t="shared" si="0"/>
        <v>4.3264751130416279E-3</v>
      </c>
      <c r="AJ9" s="28">
        <f t="shared" si="0"/>
        <v>3.8974733394703254E-3</v>
      </c>
      <c r="AK9" s="28">
        <f t="shared" si="0"/>
        <v>4.6128972762127241E-3</v>
      </c>
      <c r="AL9" s="28">
        <f t="shared" si="0"/>
        <v>4.1770099093310087E-3</v>
      </c>
      <c r="AM9" s="28">
        <f t="shared" si="0"/>
        <v>4.3152323943249637E-3</v>
      </c>
      <c r="AN9" s="28">
        <f t="shared" si="0"/>
        <v>4.0907650188917177E-3</v>
      </c>
      <c r="AO9" s="28">
        <f t="shared" si="0"/>
        <v>3.9024427877456525E-3</v>
      </c>
      <c r="AP9" s="28">
        <f t="shared" si="0"/>
        <v>3.8821496683330015E-3</v>
      </c>
      <c r="AQ9" s="29">
        <f t="shared" si="2"/>
        <v>5.1480393340577635E-2</v>
      </c>
      <c r="AR9" s="15"/>
      <c r="AS9" s="15"/>
    </row>
    <row r="10" spans="1:45">
      <c r="A10" s="23">
        <v>38929</v>
      </c>
      <c r="B10" s="26">
        <v>11263.22</v>
      </c>
      <c r="C10" s="30">
        <f t="shared" si="3"/>
        <v>4.1574355911001525E-3</v>
      </c>
      <c r="D10" s="25">
        <v>102.83096901892974</v>
      </c>
      <c r="E10" s="25"/>
      <c r="F10" s="25"/>
      <c r="O10" s="9">
        <v>2013</v>
      </c>
      <c r="P10" s="26">
        <v>14978.58</v>
      </c>
      <c r="Q10" s="26">
        <v>15036.94</v>
      </c>
      <c r="R10" s="26">
        <v>15095.51</v>
      </c>
      <c r="S10" s="26">
        <v>15164.77</v>
      </c>
      <c r="T10" s="26">
        <v>15230.38</v>
      </c>
      <c r="U10" s="26">
        <v>15289.74</v>
      </c>
      <c r="V10" s="26">
        <v>15360.27</v>
      </c>
      <c r="W10" s="26">
        <v>15424.43</v>
      </c>
      <c r="X10" s="26">
        <v>15490.99</v>
      </c>
      <c r="Y10" s="26">
        <v>15554.36</v>
      </c>
      <c r="Z10" s="26">
        <v>15615.06</v>
      </c>
      <c r="AA10" s="26">
        <v>15675.68</v>
      </c>
      <c r="AC10" s="12"/>
      <c r="AD10" s="20">
        <v>2014</v>
      </c>
      <c r="AE10" s="21">
        <f t="shared" si="1"/>
        <v>4.0042919988161341E-3</v>
      </c>
      <c r="AF10" s="21">
        <f t="shared" si="0"/>
        <v>3.432358332618346E-3</v>
      </c>
      <c r="AG10" s="21">
        <f t="shared" si="0"/>
        <v>3.5497930342753836E-3</v>
      </c>
      <c r="AH10" s="21">
        <f t="shared" si="0"/>
        <v>3.3378489992446081E-3</v>
      </c>
      <c r="AI10" s="21">
        <f t="shared" si="0"/>
        <v>3.3374356897462043E-3</v>
      </c>
      <c r="AJ10" s="21">
        <f t="shared" si="0"/>
        <v>3.4491836159078471E-3</v>
      </c>
      <c r="AK10" s="21">
        <f t="shared" si="0"/>
        <v>3.3511289837990788E-3</v>
      </c>
      <c r="AL10" s="21">
        <f t="shared" si="0"/>
        <v>2.9489802143785049E-3</v>
      </c>
      <c r="AM10" s="21">
        <f t="shared" si="0"/>
        <v>2.9682413077145586E-3</v>
      </c>
      <c r="AN10" s="21">
        <f t="shared" si="0"/>
        <v>2.6295969209766401E-3</v>
      </c>
      <c r="AO10" s="21">
        <f t="shared" si="0"/>
        <v>2.4227108931254016E-3</v>
      </c>
      <c r="AP10" s="21">
        <f t="shared" si="0"/>
        <v>2.6711641731489433E-3</v>
      </c>
      <c r="AQ10" s="22">
        <f t="shared" si="2"/>
        <v>3.8774075510599859E-2</v>
      </c>
      <c r="AR10" s="15"/>
      <c r="AS10" s="15"/>
    </row>
    <row r="11" spans="1:45">
      <c r="A11" s="23">
        <v>38960</v>
      </c>
      <c r="B11" s="26">
        <v>11313.29</v>
      </c>
      <c r="C11" s="30">
        <f t="shared" si="3"/>
        <v>4.3020413975469376E-3</v>
      </c>
      <c r="D11" s="25">
        <v>103.28809820745468</v>
      </c>
      <c r="E11" s="25"/>
      <c r="F11" s="25"/>
      <c r="O11" s="9">
        <v>2014</v>
      </c>
      <c r="P11" s="26">
        <v>15738.45</v>
      </c>
      <c r="Q11" s="26">
        <v>15792.47</v>
      </c>
      <c r="R11" s="26">
        <v>15848.53</v>
      </c>
      <c r="S11" s="26">
        <v>15901.43</v>
      </c>
      <c r="T11" s="26">
        <v>15954.5</v>
      </c>
      <c r="U11" s="26">
        <v>16009.53</v>
      </c>
      <c r="V11" s="26">
        <v>16063.18</v>
      </c>
      <c r="W11" s="26">
        <v>16110.55</v>
      </c>
      <c r="X11" s="26">
        <v>16158.37</v>
      </c>
      <c r="Y11" s="26">
        <v>16200.86</v>
      </c>
      <c r="Z11" s="26">
        <v>16240.11</v>
      </c>
      <c r="AA11" s="26">
        <v>16283.49</v>
      </c>
      <c r="AC11" s="12"/>
      <c r="AD11" s="27">
        <v>2015</v>
      </c>
      <c r="AE11" s="28">
        <f t="shared" si="1"/>
        <v>2.5891255498666776E-3</v>
      </c>
      <c r="AF11" s="28">
        <f t="shared" si="0"/>
        <v>2.3349759427648831E-3</v>
      </c>
      <c r="AG11" s="28">
        <f t="shared" si="0"/>
        <v>2.6717559584374939E-3</v>
      </c>
      <c r="AH11" s="28">
        <f t="shared" si="0"/>
        <v>2.5049535303691695E-3</v>
      </c>
      <c r="AI11" s="28">
        <f t="shared" si="0"/>
        <v>2.4184443772992115E-3</v>
      </c>
      <c r="AJ11" s="28">
        <f t="shared" si="0"/>
        <v>2.6691540764793853E-3</v>
      </c>
      <c r="AK11" s="28">
        <f t="shared" si="0"/>
        <v>2.5846248392549231E-3</v>
      </c>
      <c r="AL11" s="28">
        <f t="shared" si="0"/>
        <v>2.5839949176806876E-3</v>
      </c>
      <c r="AM11" s="28">
        <f t="shared" si="0"/>
        <v>2.5057257397729238E-3</v>
      </c>
      <c r="AN11" s="28">
        <f t="shared" si="0"/>
        <v>2.6027066708762536E-3</v>
      </c>
      <c r="AO11" s="28">
        <f t="shared" si="0"/>
        <v>2.8025006376124484E-3</v>
      </c>
      <c r="AP11" s="28">
        <f t="shared" si="0"/>
        <v>2.7922804817983593E-3</v>
      </c>
      <c r="AQ11" s="29">
        <f t="shared" si="2"/>
        <v>3.1506145181407819E-2</v>
      </c>
      <c r="AR11" s="15"/>
      <c r="AS11" s="15"/>
    </row>
    <row r="12" spans="1:45">
      <c r="A12" s="23">
        <v>38989</v>
      </c>
      <c r="B12" s="26">
        <v>11360.92</v>
      </c>
      <c r="C12" s="30">
        <f t="shared" si="3"/>
        <v>4.3552683430815734E-3</v>
      </c>
      <c r="D12" s="25">
        <v>103.72295067898338</v>
      </c>
      <c r="E12" s="25"/>
      <c r="F12" s="25"/>
      <c r="O12" s="9">
        <v>2015</v>
      </c>
      <c r="P12" s="26">
        <v>16325.65</v>
      </c>
      <c r="Q12" s="26">
        <v>16363.77</v>
      </c>
      <c r="R12" s="26">
        <v>16407.490000000002</v>
      </c>
      <c r="S12" s="26">
        <v>16448.59</v>
      </c>
      <c r="T12" s="26">
        <v>16488.37</v>
      </c>
      <c r="U12" s="26">
        <v>16532.38</v>
      </c>
      <c r="V12" s="26">
        <v>16575.11</v>
      </c>
      <c r="W12" s="26">
        <v>16617.939999999999</v>
      </c>
      <c r="X12" s="26">
        <v>16659.580000000002</v>
      </c>
      <c r="Y12" s="26">
        <v>16702.939999999999</v>
      </c>
      <c r="Z12" s="26">
        <v>16749.75</v>
      </c>
      <c r="AA12" s="26">
        <v>16796.52</v>
      </c>
      <c r="AC12" s="12"/>
      <c r="AD12" s="20">
        <v>2016</v>
      </c>
      <c r="AE12" s="21">
        <f t="shared" si="1"/>
        <v>2.9214384884488354E-3</v>
      </c>
      <c r="AF12" s="21">
        <f t="shared" si="0"/>
        <v>3.0180005568223311E-3</v>
      </c>
      <c r="AG12" s="21">
        <f t="shared" si="0"/>
        <v>3.0183890916601896E-3</v>
      </c>
      <c r="AH12" s="21">
        <f t="shared" si="0"/>
        <v>2.8228468859290423E-3</v>
      </c>
      <c r="AI12" s="21">
        <f t="shared" si="0"/>
        <v>3.1161611436594239E-3</v>
      </c>
      <c r="AJ12" s="21">
        <f t="shared" si="0"/>
        <v>2.9205377918999353E-3</v>
      </c>
      <c r="AK12" s="21">
        <f t="shared" si="0"/>
        <v>3.0178932999258556E-3</v>
      </c>
      <c r="AL12" s="21">
        <f t="shared" si="0"/>
        <v>3.0181426760478303E-3</v>
      </c>
      <c r="AM12" s="21">
        <f t="shared" si="0"/>
        <v>2.9247653385948702E-3</v>
      </c>
      <c r="AN12" s="21">
        <f t="shared" si="0"/>
        <v>3.013617796285617E-3</v>
      </c>
      <c r="AO12" s="21">
        <f t="shared" si="0"/>
        <v>2.9201880756000165E-3</v>
      </c>
      <c r="AP12" s="21">
        <f t="shared" si="0"/>
        <v>3.0401844854939242E-3</v>
      </c>
      <c r="AQ12" s="22">
        <f>AA13/AA12-1</f>
        <v>3.6343837890229658E-2</v>
      </c>
      <c r="AR12" s="31"/>
      <c r="AS12" s="15"/>
    </row>
    <row r="13" spans="1:45">
      <c r="A13" s="23">
        <v>39021</v>
      </c>
      <c r="B13" s="26">
        <v>11413.02</v>
      </c>
      <c r="C13" s="30">
        <f t="shared" si="3"/>
        <v>4.2992776993412002E-3</v>
      </c>
      <c r="D13" s="25">
        <v>104.19861336566501</v>
      </c>
      <c r="E13" s="25"/>
      <c r="F13" s="25"/>
      <c r="O13" s="9">
        <v>2016</v>
      </c>
      <c r="P13" s="26">
        <v>16845.59</v>
      </c>
      <c r="Q13" s="26">
        <v>16896.43</v>
      </c>
      <c r="R13" s="26">
        <v>16947.43</v>
      </c>
      <c r="S13" s="26">
        <v>16995.27</v>
      </c>
      <c r="T13" s="26">
        <v>17048.23</v>
      </c>
      <c r="U13" s="26">
        <v>17098.02</v>
      </c>
      <c r="V13" s="26">
        <v>17149.62</v>
      </c>
      <c r="W13" s="26">
        <v>17201.38</v>
      </c>
      <c r="X13" s="26">
        <v>17251.689999999999</v>
      </c>
      <c r="Y13" s="26">
        <f>+B135</f>
        <v>17303.68</v>
      </c>
      <c r="Z13" s="26">
        <f>+B136</f>
        <v>17354.21</v>
      </c>
      <c r="AA13" s="26">
        <f>+B137</f>
        <v>17406.97</v>
      </c>
      <c r="AC13" s="12"/>
      <c r="AD13" s="27">
        <v>2017</v>
      </c>
      <c r="AE13" s="28">
        <f t="shared" si="1"/>
        <v>2.8965408683991889E-3</v>
      </c>
      <c r="AF13" s="28">
        <f t="shared" ref="AF13:AL15" si="4">+Q14/P14-1</f>
        <v>2.5015194138413577E-3</v>
      </c>
      <c r="AG13" s="28">
        <f t="shared" si="4"/>
        <v>2.702122042893329E-3</v>
      </c>
      <c r="AH13" s="28">
        <f t="shared" si="4"/>
        <v>2.254912855054636E-3</v>
      </c>
      <c r="AI13" s="28">
        <f t="shared" si="4"/>
        <v>2.4374684442505234E-3</v>
      </c>
      <c r="AJ13" s="28">
        <f t="shared" si="4"/>
        <v>2.0872575760926271E-3</v>
      </c>
      <c r="AK13" s="28">
        <f t="shared" si="4"/>
        <v>2.1564910664102488E-3</v>
      </c>
      <c r="AL13" s="28">
        <f>+W14/V14-1</f>
        <v>2.1541097805284348E-3</v>
      </c>
      <c r="AM13" s="28">
        <f>+X14/W14-1</f>
        <v>2.0825098076344695E-3</v>
      </c>
      <c r="AN13" s="28">
        <f>+Y14/X14-1</f>
        <v>2.1578522613547868E-3</v>
      </c>
      <c r="AO13" s="28">
        <f>+Z14/Y14-1</f>
        <v>2.0859580844203585E-3</v>
      </c>
      <c r="AP13" s="28">
        <f>+AA14/Z14-1</f>
        <v>9.0276159925450905E-4</v>
      </c>
      <c r="AQ13" s="29">
        <f>AA14/AA13-1</f>
        <v>2.6740437882066592E-2</v>
      </c>
      <c r="AR13" s="31"/>
      <c r="AS13" s="15"/>
    </row>
    <row r="14" spans="1:45">
      <c r="A14" s="23">
        <v>39051</v>
      </c>
      <c r="B14" s="26">
        <v>11463.01</v>
      </c>
      <c r="C14" s="30">
        <f t="shared" si="3"/>
        <v>4.3800852009372448E-3</v>
      </c>
      <c r="D14" s="25">
        <v>104.65501217002613</v>
      </c>
      <c r="E14" s="25"/>
      <c r="F14" s="25"/>
      <c r="O14" s="9">
        <v>2017</v>
      </c>
      <c r="P14" s="26">
        <f>+B138</f>
        <v>17457.39</v>
      </c>
      <c r="Q14" s="26">
        <f>+B139</f>
        <v>17501.060000000001</v>
      </c>
      <c r="R14" s="26">
        <f>+B140</f>
        <v>17548.349999999999</v>
      </c>
      <c r="S14" s="26">
        <f>+B141</f>
        <v>17587.919999999998</v>
      </c>
      <c r="T14" s="26">
        <f>+B142</f>
        <v>17630.79</v>
      </c>
      <c r="U14" s="26">
        <f>+$B143</f>
        <v>17667.59</v>
      </c>
      <c r="V14" s="26">
        <f>+$B144</f>
        <v>17705.689999999999</v>
      </c>
      <c r="W14" s="26">
        <f>+$B145</f>
        <v>17743.830000000002</v>
      </c>
      <c r="X14" s="26">
        <f>+$B146</f>
        <v>17780.7817</v>
      </c>
      <c r="Y14" s="26">
        <f>+$B147</f>
        <v>17819.150000000001</v>
      </c>
      <c r="Z14" s="26">
        <f>+$B148</f>
        <v>17856.32</v>
      </c>
      <c r="AA14" s="26">
        <f>+$B149</f>
        <v>17872.439999999999</v>
      </c>
      <c r="AC14" s="12"/>
      <c r="AD14" s="20">
        <v>2018</v>
      </c>
      <c r="AE14" s="21">
        <f>P15/AA14-1</f>
        <v>3.4041238913098404E-3</v>
      </c>
      <c r="AF14" s="21">
        <f t="shared" si="4"/>
        <v>1.9421990846071324E-3</v>
      </c>
      <c r="AG14" s="21">
        <f t="shared" si="4"/>
        <v>2.154928926859867E-3</v>
      </c>
      <c r="AH14" s="21">
        <f t="shared" si="4"/>
        <v>2.0781003652501351E-3</v>
      </c>
      <c r="AI14" s="21">
        <f t="shared" si="4"/>
        <v>2.1402939994734638E-3</v>
      </c>
      <c r="AJ14" s="21">
        <f t="shared" si="4"/>
        <v>2.0877493450983664E-3</v>
      </c>
      <c r="AK14" s="32">
        <f t="shared" si="4"/>
        <v>2.1543134072796732E-3</v>
      </c>
      <c r="AL14" s="32">
        <f t="shared" si="4"/>
        <v>2.1454146167934063E-3</v>
      </c>
      <c r="AM14" s="32">
        <f>+X15/W15-1</f>
        <v>2.0485069747047113E-3</v>
      </c>
      <c r="AN14" s="32">
        <f>+Y15/X15-1</f>
        <v>2.2757308386205377E-3</v>
      </c>
      <c r="AO14" s="32">
        <f>+Z15/Y15-1</f>
        <v>2.2929957214921082E-3</v>
      </c>
      <c r="AP14" s="32">
        <f>+AA15/Z15-1</f>
        <v>2.3676655943918323E-3</v>
      </c>
      <c r="AQ14" s="22">
        <f>+AA15/AA14-1</f>
        <v>2.7430166222407459E-2</v>
      </c>
      <c r="AR14" s="31"/>
      <c r="AS14" s="15"/>
    </row>
    <row r="15" spans="1:45">
      <c r="A15" s="23">
        <v>39080</v>
      </c>
      <c r="B15" s="26">
        <v>11512.49</v>
      </c>
      <c r="C15" s="30">
        <f t="shared" si="3"/>
        <v>4.4653373674585772E-3</v>
      </c>
      <c r="D15" s="25">
        <v>105.10675477534296</v>
      </c>
      <c r="E15" s="25"/>
      <c r="F15" s="25"/>
      <c r="O15" s="9">
        <v>2018</v>
      </c>
      <c r="P15" s="9">
        <f>+B150</f>
        <v>17933.28</v>
      </c>
      <c r="Q15" s="9">
        <f>+B151</f>
        <v>17968.11</v>
      </c>
      <c r="R15" s="9">
        <f>+B152</f>
        <v>18006.830000000002</v>
      </c>
      <c r="S15" s="9">
        <f>+B153</f>
        <v>18044.25</v>
      </c>
      <c r="T15" s="24">
        <f>+B154</f>
        <v>18082.87</v>
      </c>
      <c r="U15" s="25">
        <f>+B155</f>
        <v>18120.622499999998</v>
      </c>
      <c r="V15" s="24">
        <f>+B156</f>
        <v>18159.66</v>
      </c>
      <c r="W15" s="24">
        <f>+B157</f>
        <v>18198.62</v>
      </c>
      <c r="X15" s="24">
        <f>+B158</f>
        <v>18235.900000000001</v>
      </c>
      <c r="Y15" s="9">
        <f>+B159</f>
        <v>18277.400000000001</v>
      </c>
      <c r="Z15" s="25">
        <f>+B160</f>
        <v>18319.310000000001</v>
      </c>
      <c r="AA15" s="9">
        <f>+B161</f>
        <v>18362.684000000001</v>
      </c>
      <c r="AC15" s="12"/>
      <c r="AD15" s="59">
        <v>2019</v>
      </c>
      <c r="AE15" s="60">
        <f>+P16/AA15-1</f>
        <v>2.4509488917849875E-3</v>
      </c>
      <c r="AF15" s="60">
        <f t="shared" si="4"/>
        <v>2.2528627981024396E-3</v>
      </c>
      <c r="AG15" s="60">
        <f t="shared" si="4"/>
        <v>2.583315446340162E-3</v>
      </c>
      <c r="AH15" s="60">
        <f t="shared" si="4"/>
        <v>2.5004298036095385E-3</v>
      </c>
      <c r="AI15" s="60">
        <f t="shared" si="4"/>
        <v>2.5858717030136091E-3</v>
      </c>
      <c r="AJ15" s="60">
        <f t="shared" ref="AJ15:AP15" si="5">+U16/T16-1</f>
        <v>2.2209647453448333E-3</v>
      </c>
      <c r="AK15" s="60">
        <f t="shared" si="5"/>
        <v>2.1468084204265825E-3</v>
      </c>
      <c r="AL15" s="60">
        <f t="shared" si="5"/>
        <v>2.1550627640607445E-3</v>
      </c>
      <c r="AM15" s="60">
        <f t="shared" si="5"/>
        <v>1.7218390866022837E-3</v>
      </c>
      <c r="AN15" s="60">
        <f t="shared" si="5"/>
        <v>1.6715062388068525E-3</v>
      </c>
      <c r="AO15" s="60">
        <f t="shared" si="5"/>
        <v>1.4213812856365138E-3</v>
      </c>
      <c r="AP15" s="60">
        <f t="shared" si="5"/>
        <v>1.4832905116739514E-3</v>
      </c>
      <c r="AQ15" s="61">
        <f t="shared" ref="AQ15:AQ20" si="6">+(AA16/AA15-1)/COUNTA(AE15:AP15)*12</f>
        <v>2.5486252445448665E-2</v>
      </c>
      <c r="AR15" s="31" t="s">
        <v>23</v>
      </c>
      <c r="AS15" s="15"/>
    </row>
    <row r="16" spans="1:45">
      <c r="A16" s="23">
        <v>39113</v>
      </c>
      <c r="B16" s="26">
        <v>11567.23</v>
      </c>
      <c r="C16" s="30">
        <f t="shared" si="3"/>
        <v>4.3225780316538927E-3</v>
      </c>
      <c r="D16" s="25">
        <v>105.60652013943034</v>
      </c>
      <c r="E16" s="25"/>
      <c r="F16" s="25"/>
      <c r="O16" s="9">
        <v>2019</v>
      </c>
      <c r="P16" s="9">
        <f>+B162</f>
        <v>18407.689999999999</v>
      </c>
      <c r="Q16" s="9">
        <f>+B163</f>
        <v>18449.16</v>
      </c>
      <c r="R16" s="9">
        <f>+B164</f>
        <v>18496.82</v>
      </c>
      <c r="S16" s="24">
        <f>+B165</f>
        <v>18543.07</v>
      </c>
      <c r="T16" s="9">
        <f>+B166</f>
        <v>18591.02</v>
      </c>
      <c r="U16" s="9">
        <f>+B167</f>
        <v>18632.310000000001</v>
      </c>
      <c r="V16" s="9">
        <f>+B168</f>
        <v>18672.310000000001</v>
      </c>
      <c r="W16" s="9">
        <f>+B169</f>
        <v>18712.55</v>
      </c>
      <c r="X16" s="9">
        <f>+B170</f>
        <v>18744.77</v>
      </c>
      <c r="Y16" s="9">
        <f>+B171</f>
        <v>18776.101999999999</v>
      </c>
      <c r="Z16" s="9">
        <f>+B172</f>
        <v>18802.79</v>
      </c>
      <c r="AA16" s="9">
        <f>+B173</f>
        <v>18830.68</v>
      </c>
      <c r="AC16" s="12"/>
      <c r="AD16" s="59">
        <v>2020</v>
      </c>
      <c r="AE16" s="60">
        <f t="shared" ref="AE16:AE22" si="7">+(P17/AA16-1)</f>
        <v>1.6558084997462252E-3</v>
      </c>
      <c r="AF16" s="60">
        <f t="shared" ref="AF16:AP18" si="8">+(Q17/P17-1)</f>
        <v>1.3798586141557934E-3</v>
      </c>
      <c r="AG16" s="60">
        <f t="shared" si="8"/>
        <v>1.1056451328672612E-3</v>
      </c>
      <c r="AH16" s="60">
        <f t="shared" si="8"/>
        <v>4.8443129828124043E-4</v>
      </c>
      <c r="AI16" s="60">
        <f t="shared" ref="AI16:AK16" si="9">+(T17/S17-1)</f>
        <v>3.8640591227490084E-4</v>
      </c>
      <c r="AJ16" s="60">
        <f t="shared" si="9"/>
        <v>3.904838194919158E-4</v>
      </c>
      <c r="AK16" s="60">
        <f t="shared" si="9"/>
        <v>4.2836098312815096E-4</v>
      </c>
      <c r="AL16" s="60">
        <f t="shared" ref="AL16" si="10">+(W17/V17-1)</f>
        <v>4.1973016893726012E-4</v>
      </c>
      <c r="AM16" s="60">
        <f t="shared" ref="AM16" si="11">+(X17/W17-1)</f>
        <v>3.9475024394830527E-4</v>
      </c>
      <c r="AN16" s="60">
        <f t="shared" ref="AN16" si="12">+(Y17/X17-1)</f>
        <v>3.7243810326681448E-4</v>
      </c>
      <c r="AO16" s="60">
        <f t="shared" ref="AO16" si="13">+(Z17/Y17-1)</f>
        <v>3.2958520252091006E-4</v>
      </c>
      <c r="AP16" s="60">
        <f t="shared" ref="AP16" si="14">+(AA17/Z17-1)</f>
        <v>3.9010030849562227E-4</v>
      </c>
      <c r="AQ16" s="61">
        <f t="shared" si="6"/>
        <v>7.7639256787327415E-3</v>
      </c>
      <c r="AR16" s="15"/>
      <c r="AS16" s="15"/>
    </row>
    <row r="17" spans="1:56">
      <c r="A17" s="23">
        <v>39141</v>
      </c>
      <c r="B17" s="26">
        <v>11612.68</v>
      </c>
      <c r="C17" s="30">
        <f t="shared" si="3"/>
        <v>4.2098608371605416E-3</v>
      </c>
      <c r="D17" s="25">
        <v>106.02146964249522</v>
      </c>
      <c r="E17" s="25"/>
      <c r="F17" s="25"/>
      <c r="O17" s="9">
        <v>2020</v>
      </c>
      <c r="P17" s="9">
        <f>+B174</f>
        <v>18861.86</v>
      </c>
      <c r="Q17" s="26">
        <f>+B175</f>
        <v>18887.886699999999</v>
      </c>
      <c r="R17" s="26">
        <f>+B176</f>
        <v>18908.77</v>
      </c>
      <c r="S17" s="24">
        <f>+B177</f>
        <v>18917.93</v>
      </c>
      <c r="T17" s="9">
        <f>+B178</f>
        <v>18925.240000000002</v>
      </c>
      <c r="U17" s="9">
        <f>+B179</f>
        <v>18932.63</v>
      </c>
      <c r="V17" s="9">
        <f>+B180</f>
        <v>18940.740000000002</v>
      </c>
      <c r="W17" s="9">
        <f>+B181</f>
        <v>18948.689999999999</v>
      </c>
      <c r="X17" s="9">
        <f>+B182</f>
        <v>18956.169999999998</v>
      </c>
      <c r="Y17" s="25">
        <f>+B183</f>
        <v>18963.23</v>
      </c>
      <c r="Z17" s="25">
        <f>+B184</f>
        <v>18969.48</v>
      </c>
      <c r="AA17" s="9">
        <f>+B185</f>
        <v>18976.88</v>
      </c>
      <c r="AC17" s="12"/>
      <c r="AD17" s="59">
        <v>2021</v>
      </c>
      <c r="AE17" s="60">
        <f t="shared" si="7"/>
        <v>2.7190981868452369E-4</v>
      </c>
      <c r="AF17" s="60">
        <f t="shared" si="8"/>
        <v>2.391734502720233E-4</v>
      </c>
      <c r="AG17" s="60">
        <f t="shared" si="8"/>
        <v>2.591303963113134E-4</v>
      </c>
      <c r="AH17" s="60">
        <f t="shared" si="8"/>
        <v>2.943422057235523E-4</v>
      </c>
      <c r="AI17" s="60">
        <f t="shared" si="8"/>
        <v>2.4266874558165341E-4</v>
      </c>
      <c r="AJ17" s="60">
        <f t="shared" si="8"/>
        <v>2.7260718777788462E-4</v>
      </c>
      <c r="AK17" s="60">
        <f t="shared" si="8"/>
        <v>5.0192351401157076E-4</v>
      </c>
      <c r="AL17" s="60">
        <f t="shared" si="8"/>
        <v>6.2893015614950976E-4</v>
      </c>
      <c r="AM17" s="60">
        <f t="shared" si="8"/>
        <v>1.2476101486305069E-3</v>
      </c>
      <c r="AN17" s="60">
        <f t="shared" si="8"/>
        <v>2.0716854607256696E-3</v>
      </c>
      <c r="AO17" s="60">
        <f t="shared" si="8"/>
        <v>2.1412569618350918E-3</v>
      </c>
      <c r="AP17" s="60">
        <f t="shared" si="8"/>
        <v>3.1851611422883952E-3</v>
      </c>
      <c r="AQ17" s="61">
        <f t="shared" si="6"/>
        <v>1.1410200201508403E-2</v>
      </c>
      <c r="AR17" s="15"/>
      <c r="AS17" s="15"/>
    </row>
    <row r="18" spans="1:56">
      <c r="A18" s="23">
        <v>39171</v>
      </c>
      <c r="B18" s="26">
        <v>11661.5</v>
      </c>
      <c r="C18" s="30">
        <f t="shared" si="3"/>
        <v>4.2040252551520663E-3</v>
      </c>
      <c r="D18" s="25">
        <v>106.46718657846061</v>
      </c>
      <c r="E18" s="25"/>
      <c r="F18" s="25"/>
      <c r="O18" s="9">
        <v>2021</v>
      </c>
      <c r="P18" s="9">
        <f>+B186</f>
        <v>18982.04</v>
      </c>
      <c r="Q18" s="9">
        <f>+B187</f>
        <v>18986.580000000002</v>
      </c>
      <c r="R18" s="25">
        <f>+B188</f>
        <v>18991.5</v>
      </c>
      <c r="S18" s="9">
        <f>+B189</f>
        <v>18997.09</v>
      </c>
      <c r="T18" s="9">
        <f>+B190</f>
        <v>19001.7</v>
      </c>
      <c r="U18" s="9">
        <f>+B191</f>
        <v>19006.88</v>
      </c>
      <c r="V18" s="9">
        <f>+B192</f>
        <v>19016.419999999998</v>
      </c>
      <c r="W18" s="9">
        <f>+B193</f>
        <v>19028.38</v>
      </c>
      <c r="X18" s="9">
        <f>+B194</f>
        <v>19052.12</v>
      </c>
      <c r="Y18" s="9">
        <f>+B195</f>
        <v>19091.59</v>
      </c>
      <c r="Z18" s="9">
        <f>+B196</f>
        <v>19132.47</v>
      </c>
      <c r="AA18" s="9">
        <f>+B197</f>
        <v>19193.41</v>
      </c>
      <c r="AC18" s="12"/>
      <c r="AD18" s="59">
        <v>2022</v>
      </c>
      <c r="AE18" s="60">
        <f t="shared" si="7"/>
        <v>3.4355541823989366E-3</v>
      </c>
      <c r="AF18" s="60">
        <f t="shared" ref="AF18:AP19" si="15">+(Q19/P19-1)</f>
        <v>4.2862298052634973E-3</v>
      </c>
      <c r="AG18" s="60">
        <f t="shared" si="15"/>
        <v>4.8314798442756768E-3</v>
      </c>
      <c r="AH18" s="60">
        <f t="shared" si="15"/>
        <v>5.4524358964465058E-3</v>
      </c>
      <c r="AI18" s="60">
        <f t="shared" si="8"/>
        <v>7.1131325826505609E-3</v>
      </c>
      <c r="AJ18" s="60">
        <f t="shared" si="8"/>
        <v>7.3596364286758753E-3</v>
      </c>
      <c r="AK18" s="60">
        <f t="shared" ref="AK18" si="16">+(V19/U19-1)</f>
        <v>7.5893460632852072E-3</v>
      </c>
      <c r="AL18" s="60">
        <f t="shared" ref="AL18" si="17">+(W19/V19-1)</f>
        <v>8.9759416728991681E-3</v>
      </c>
      <c r="AM18" s="60">
        <f t="shared" si="8"/>
        <v>8.7998364667287721E-3</v>
      </c>
      <c r="AN18" s="60">
        <f t="shared" si="8"/>
        <v>8.6030686179809912E-3</v>
      </c>
      <c r="AO18" s="60">
        <f t="shared" si="8"/>
        <v>1.036123897948027E-2</v>
      </c>
      <c r="AP18" s="60">
        <f t="shared" si="8"/>
        <v>9.416651222412753E-3</v>
      </c>
      <c r="AQ18" s="61">
        <f t="shared" si="6"/>
        <v>8.9685991181348346E-2</v>
      </c>
      <c r="AR18" s="15"/>
      <c r="AS18" s="15"/>
      <c r="AV18" s="33"/>
      <c r="AW18" s="33"/>
      <c r="AX18" s="33">
        <v>-1</v>
      </c>
      <c r="AY18" s="33">
        <v>-3</v>
      </c>
      <c r="AZ18" s="33">
        <v>-6</v>
      </c>
      <c r="BA18" s="33">
        <v>-12</v>
      </c>
      <c r="BB18" s="33"/>
    </row>
    <row r="19" spans="1:56">
      <c r="A19" s="23">
        <v>39202</v>
      </c>
      <c r="B19" s="26">
        <v>11712.58</v>
      </c>
      <c r="C19" s="30">
        <f t="shared" si="3"/>
        <v>4.2389279307565274E-3</v>
      </c>
      <c r="D19" s="25">
        <v>106.93353686705365</v>
      </c>
      <c r="E19" s="25"/>
      <c r="F19" s="25"/>
      <c r="O19" s="9">
        <v>2022</v>
      </c>
      <c r="P19" s="9">
        <f>+B198</f>
        <v>19259.349999999999</v>
      </c>
      <c r="Q19" s="9">
        <f>+B199</f>
        <v>19341.900000000001</v>
      </c>
      <c r="R19" s="25">
        <f>+B200</f>
        <v>19435.349999999999</v>
      </c>
      <c r="S19" s="9">
        <f>+B201</f>
        <v>19541.32</v>
      </c>
      <c r="T19" s="9">
        <f>+B202</f>
        <v>19680.32</v>
      </c>
      <c r="U19" s="9">
        <f>+B203</f>
        <v>19825.16</v>
      </c>
      <c r="V19" s="9">
        <f>+B204</f>
        <v>19975.62</v>
      </c>
      <c r="W19" s="9">
        <f>+B205</f>
        <v>20154.919999999998</v>
      </c>
      <c r="X19" s="9">
        <f>+B206</f>
        <v>20332.28</v>
      </c>
      <c r="Y19" s="9">
        <f>+B207</f>
        <v>20507.2</v>
      </c>
      <c r="Z19" s="9">
        <f>+B208</f>
        <v>20719.68</v>
      </c>
      <c r="AA19" s="9">
        <f>+B209</f>
        <v>20914.79</v>
      </c>
      <c r="AC19" s="12"/>
      <c r="AD19" s="59">
        <v>2023</v>
      </c>
      <c r="AE19" s="60">
        <f t="shared" si="7"/>
        <v>1.004695720110016E-2</v>
      </c>
      <c r="AF19" s="60">
        <f t="shared" si="15"/>
        <v>8.7853587137844968E-3</v>
      </c>
      <c r="AG19" s="60">
        <f t="shared" si="15"/>
        <v>9.7318177744223355E-3</v>
      </c>
      <c r="AH19" s="60">
        <f t="shared" si="15"/>
        <v>8.7852439132070081E-3</v>
      </c>
      <c r="AI19" s="60">
        <f t="shared" si="15"/>
        <v>1.036166313630571E-2</v>
      </c>
      <c r="AJ19" s="60">
        <f t="shared" si="15"/>
        <v>9.4150701308506335E-3</v>
      </c>
      <c r="AK19" s="60">
        <f t="shared" si="15"/>
        <v>9.7315292241744178E-3</v>
      </c>
      <c r="AL19" s="60">
        <f t="shared" si="15"/>
        <v>8.8633739513521714E-3</v>
      </c>
      <c r="AM19" s="60">
        <f t="shared" si="15"/>
        <v>7.7953451413450559E-3</v>
      </c>
      <c r="AN19" s="60">
        <f t="shared" si="15"/>
        <v>8.4601535041790576E-3</v>
      </c>
      <c r="AO19" s="60">
        <f t="shared" si="15"/>
        <v>7.5266143106456074E-3</v>
      </c>
      <c r="AP19" s="60">
        <f t="shared" si="15"/>
        <v>7.0819499482732695E-3</v>
      </c>
      <c r="AQ19" s="61">
        <f t="shared" si="6"/>
        <v>0.11194279263621576</v>
      </c>
      <c r="AR19" s="15"/>
      <c r="AS19" s="15"/>
      <c r="AV19" s="35" t="s">
        <v>24</v>
      </c>
      <c r="AW19" s="73">
        <v>46142</v>
      </c>
      <c r="AX19" s="36">
        <f>EOMONTH($AW19,AX18)</f>
        <v>46112</v>
      </c>
      <c r="AY19" s="36">
        <f>EOMONTH($AW19,AY18)</f>
        <v>46053</v>
      </c>
      <c r="AZ19" s="36">
        <f>EOMONTH($AW19,AZ18)</f>
        <v>45961</v>
      </c>
      <c r="BA19" s="36">
        <f>EOMONTH($AW19,BA18)</f>
        <v>45777</v>
      </c>
      <c r="BB19" s="36">
        <v>43100</v>
      </c>
    </row>
    <row r="20" spans="1:56">
      <c r="A20" s="23">
        <v>39233</v>
      </c>
      <c r="B20" s="26">
        <v>11763.78</v>
      </c>
      <c r="C20" s="30">
        <f t="shared" si="3"/>
        <v>4.2303563430751683E-3</v>
      </c>
      <c r="D20" s="25">
        <v>107.40098273189243</v>
      </c>
      <c r="E20" s="25"/>
      <c r="F20" s="25"/>
      <c r="O20" s="9">
        <v>2023</v>
      </c>
      <c r="P20" s="9">
        <f>+B210</f>
        <v>21124.92</v>
      </c>
      <c r="Q20" s="9">
        <f>+B211</f>
        <v>21310.51</v>
      </c>
      <c r="R20" s="25">
        <f>+B212</f>
        <v>21517.9</v>
      </c>
      <c r="S20" s="9">
        <f>+B213</f>
        <v>21706.94</v>
      </c>
      <c r="T20" s="9">
        <f>+B214</f>
        <v>21931.86</v>
      </c>
      <c r="U20" s="9">
        <f>+B215</f>
        <v>22138.35</v>
      </c>
      <c r="V20" s="9">
        <f>+B216</f>
        <v>22353.79</v>
      </c>
      <c r="W20" s="9">
        <f>+B217</f>
        <v>22551.919999999998</v>
      </c>
      <c r="X20" s="9">
        <f>+B218</f>
        <v>22727.72</v>
      </c>
      <c r="Y20" s="25">
        <f>+B219</f>
        <v>22920</v>
      </c>
      <c r="Z20" s="9">
        <f>+B220</f>
        <v>23092.51</v>
      </c>
      <c r="AA20" s="9">
        <f>+B221</f>
        <v>23256.05</v>
      </c>
      <c r="AC20" s="12"/>
      <c r="AD20" s="59">
        <v>2024</v>
      </c>
      <c r="AE20" s="60">
        <f t="shared" si="7"/>
        <v>7.3572253241631635E-3</v>
      </c>
      <c r="AF20" s="60">
        <f t="shared" ref="AF20:AP21" si="18">+(Q21/P21-1)</f>
        <v>6.1121391206355735E-3</v>
      </c>
      <c r="AG20" s="60">
        <f t="shared" si="18"/>
        <v>5.6473517140609442E-3</v>
      </c>
      <c r="AH20" s="60">
        <f t="shared" si="18"/>
        <v>6.0927839618283297E-3</v>
      </c>
      <c r="AI20" s="60">
        <f t="shared" si="18"/>
        <v>5.5141192903180869E-3</v>
      </c>
      <c r="AJ20" s="60">
        <f t="shared" si="18"/>
        <v>4.6135490632155385E-3</v>
      </c>
      <c r="AK20" s="60">
        <f t="shared" si="18"/>
        <v>5.2843503528434699E-3</v>
      </c>
      <c r="AL20" s="60">
        <f t="shared" si="18"/>
        <v>4.8023520375928275E-3</v>
      </c>
      <c r="AM20" s="60">
        <f t="shared" si="18"/>
        <v>4.7810434954138614E-3</v>
      </c>
      <c r="AN20" s="60">
        <f t="shared" si="18"/>
        <v>4.510440516418468E-3</v>
      </c>
      <c r="AO20" s="60">
        <f t="shared" si="18"/>
        <v>4.3843255475723986E-3</v>
      </c>
      <c r="AP20" s="60">
        <f t="shared" si="18"/>
        <v>4.4462641732778696E-3</v>
      </c>
      <c r="AQ20" s="61">
        <f t="shared" si="6"/>
        <v>6.5425125934971851E-2</v>
      </c>
      <c r="AV20" s="33" t="s">
        <v>3</v>
      </c>
      <c r="AW20" s="38">
        <f t="shared" ref="AW20:BB20" si="19">LOOKUP(AW19,$A$3:$A$2973,$B$3:$B$2973)</f>
        <v>26432.560000000001</v>
      </c>
      <c r="AX20" s="38">
        <f t="shared" si="19"/>
        <v>26333.64</v>
      </c>
      <c r="AY20" s="38">
        <f t="shared" si="19"/>
        <v>26136.9</v>
      </c>
      <c r="AZ20" s="38">
        <f t="shared" si="19"/>
        <v>25829.5</v>
      </c>
      <c r="BA20" s="38">
        <f t="shared" si="19"/>
        <v>25197.48</v>
      </c>
      <c r="BB20" s="38">
        <f t="shared" si="19"/>
        <v>17872.439999999999</v>
      </c>
    </row>
    <row r="21" spans="1:56">
      <c r="A21" s="23">
        <v>39262</v>
      </c>
      <c r="B21" s="26">
        <v>11812.23</v>
      </c>
      <c r="C21" s="30">
        <f t="shared" si="3"/>
        <v>4.2605939294319117E-3</v>
      </c>
      <c r="D21" s="25">
        <v>107.84332164110018</v>
      </c>
      <c r="E21" s="25"/>
      <c r="F21" s="25"/>
      <c r="O21" s="9">
        <v>2024</v>
      </c>
      <c r="P21" s="9">
        <f>+B222</f>
        <v>23427.15</v>
      </c>
      <c r="Q21" s="9">
        <f>+B223</f>
        <v>23570.34</v>
      </c>
      <c r="R21" s="25">
        <f>+B224</f>
        <v>23703.45</v>
      </c>
      <c r="S21" s="9">
        <f>+B225</f>
        <v>23847.87</v>
      </c>
      <c r="T21" s="9">
        <f>+B226</f>
        <v>23979.37</v>
      </c>
      <c r="U21" s="25">
        <f>+B227</f>
        <v>24090</v>
      </c>
      <c r="V21" s="9">
        <f>+B228</f>
        <v>24217.3</v>
      </c>
      <c r="W21" s="9">
        <f>+B229</f>
        <v>24333.599999999999</v>
      </c>
      <c r="X21" s="9">
        <f>+B230</f>
        <v>24449.94</v>
      </c>
      <c r="Y21" s="25">
        <f>+B231</f>
        <v>24560.22</v>
      </c>
      <c r="Z21" s="9">
        <f>+B232</f>
        <v>24667.9</v>
      </c>
      <c r="AA21" s="9">
        <f>+B233</f>
        <v>24777.58</v>
      </c>
      <c r="AC21" s="12"/>
      <c r="AD21" s="59">
        <v>2025</v>
      </c>
      <c r="AE21" s="60">
        <f t="shared" si="7"/>
        <v>4.4544301743754122E-3</v>
      </c>
      <c r="AF21" s="60">
        <f t="shared" ref="AF21:AL22" si="20">+(Q22/P22-1)</f>
        <v>3.8962630509944418E-3</v>
      </c>
      <c r="AG21" s="60">
        <f t="shared" si="20"/>
        <v>4.3138020854180947E-3</v>
      </c>
      <c r="AH21" s="60">
        <f t="shared" si="20"/>
        <v>4.175716443427735E-3</v>
      </c>
      <c r="AI21" s="60">
        <f t="shared" si="20"/>
        <v>4.1742269465041559E-3</v>
      </c>
      <c r="AJ21" s="60">
        <f t="shared" si="20"/>
        <v>4.3145661365249222E-3</v>
      </c>
      <c r="AK21" s="60">
        <f t="shared" si="20"/>
        <v>4.3062620834468657E-3</v>
      </c>
      <c r="AL21" s="60">
        <f t="shared" si="20"/>
        <v>3.8332746894158554E-3</v>
      </c>
      <c r="AM21" s="60">
        <f>+(X22/W22-1)</f>
        <v>4.230048764417349E-3</v>
      </c>
      <c r="AN21" s="60">
        <f>+(Y22/X22-1)</f>
        <v>3.9661902107710478E-3</v>
      </c>
      <c r="AO21" s="60">
        <f>+(Z22/Y22-1)</f>
        <v>3.8324396523354842E-3</v>
      </c>
      <c r="AP21" s="60">
        <f t="shared" si="18"/>
        <v>4.1394620357759759E-3</v>
      </c>
      <c r="AQ21" s="61">
        <f>+(AA22/P22-1)/COUNTA(AE21:AP21)*12</f>
        <v>4.6121516637569471E-2</v>
      </c>
      <c r="AV21" s="33" t="s">
        <v>25</v>
      </c>
      <c r="AW21" s="38">
        <f t="shared" ref="AW21:BB21" si="21">LOOKUP(AW19,$F$2:$F$2974,$K$2:$K$2974)</f>
        <v>6351.9305000000004</v>
      </c>
      <c r="AX21" s="38">
        <f t="shared" si="21"/>
        <v>6335.4773999999998</v>
      </c>
      <c r="AY21" s="38">
        <f t="shared" si="21"/>
        <v>6303.0823</v>
      </c>
      <c r="AZ21" s="38">
        <f t="shared" si="21"/>
        <v>6250.6981999999998</v>
      </c>
      <c r="BA21" s="38">
        <f t="shared" si="21"/>
        <v>6141.4105</v>
      </c>
      <c r="BB21" s="38">
        <f t="shared" si="21"/>
        <v>0</v>
      </c>
    </row>
    <row r="22" spans="1:56">
      <c r="A22" s="23">
        <v>39294</v>
      </c>
      <c r="B22" s="26">
        <v>11866.53</v>
      </c>
      <c r="C22" s="30">
        <f t="shared" si="3"/>
        <v>4.3096223151768004E-3</v>
      </c>
      <c r="D22" s="25">
        <v>108.33906989228662</v>
      </c>
      <c r="E22" s="25"/>
      <c r="F22" s="25"/>
      <c r="O22" s="9">
        <v>2025</v>
      </c>
      <c r="P22" s="9">
        <f>+B234</f>
        <v>24887.95</v>
      </c>
      <c r="Q22" s="9">
        <f>+B235</f>
        <v>24984.92</v>
      </c>
      <c r="R22" s="25">
        <f>+B236</f>
        <v>25092.7</v>
      </c>
      <c r="S22" s="9">
        <f>+B237</f>
        <v>25197.48</v>
      </c>
      <c r="T22" s="9">
        <f>+B238</f>
        <v>25302.66</v>
      </c>
      <c r="U22" s="25">
        <f>+B239</f>
        <v>25411.83</v>
      </c>
      <c r="V22" s="9">
        <f>+B240</f>
        <v>25521.26</v>
      </c>
      <c r="W22" s="9">
        <f>+B241</f>
        <v>25619.09</v>
      </c>
      <c r="X22" s="9">
        <f>+B242</f>
        <v>25727.46</v>
      </c>
      <c r="Y22" s="25">
        <f>+B243</f>
        <v>25829.5</v>
      </c>
      <c r="Z22" s="9">
        <f>+B244</f>
        <v>25928.49</v>
      </c>
      <c r="AA22" s="9">
        <f>+B245</f>
        <v>26035.82</v>
      </c>
      <c r="AD22" s="59">
        <v>2026</v>
      </c>
      <c r="AE22" s="60">
        <f t="shared" si="7"/>
        <v>3.8823436327337646E-3</v>
      </c>
      <c r="AF22" s="60">
        <f t="shared" ref="AF22" si="22">+(Q23/P23-1)</f>
        <v>3.6312646105696178E-3</v>
      </c>
      <c r="AG22" s="60">
        <f t="shared" ref="AG22" si="23">+(R23/Q23-1)</f>
        <v>3.881928086548303E-3</v>
      </c>
      <c r="AH22" s="60">
        <f t="shared" si="20"/>
        <v>3.7564119506456883E-3</v>
      </c>
      <c r="AI22" s="15"/>
      <c r="AJ22" s="15"/>
      <c r="AK22" s="15"/>
      <c r="AL22" s="15"/>
      <c r="AM22" s="15"/>
      <c r="AN22" s="15"/>
      <c r="AO22" s="15"/>
      <c r="AP22" s="15"/>
      <c r="AQ22" s="61">
        <f>+(S23/P23-1)/COUNTA(AE22:AP22)*12</f>
        <v>3.393592966266068E-2</v>
      </c>
      <c r="AV22" s="33" t="s">
        <v>26</v>
      </c>
      <c r="AW22" s="38">
        <f t="shared" ref="AW22:BB22" si="24">LOOKUP(AW19,$F$2:$F$2972,$H$2:$H$2972)</f>
        <v>1479.4852269491307</v>
      </c>
      <c r="AX22" s="38">
        <f t="shared" si="24"/>
        <v>1471.1227269491308</v>
      </c>
      <c r="AY22" s="38">
        <f t="shared" si="24"/>
        <v>1455.1271269491308</v>
      </c>
      <c r="AZ22" s="38">
        <f t="shared" si="24"/>
        <v>1429.6618269491307</v>
      </c>
      <c r="BA22" s="38">
        <f t="shared" si="24"/>
        <v>1387.5831269491307</v>
      </c>
      <c r="BB22" s="38">
        <f t="shared" si="24"/>
        <v>0</v>
      </c>
    </row>
    <row r="23" spans="1:56">
      <c r="A23" s="23"/>
      <c r="B23" s="26"/>
      <c r="C23" s="30"/>
      <c r="D23" s="25"/>
      <c r="E23" s="25"/>
      <c r="F23" s="25"/>
      <c r="O23" s="9">
        <v>2026</v>
      </c>
      <c r="P23" s="9">
        <f>+B246</f>
        <v>26136.9</v>
      </c>
      <c r="Q23" s="9">
        <f>+B247</f>
        <v>26231.81</v>
      </c>
      <c r="R23" s="25">
        <f>+B248</f>
        <v>26333.64</v>
      </c>
      <c r="S23" s="9">
        <f>+B249</f>
        <v>26432.560000000001</v>
      </c>
      <c r="U23" s="25"/>
      <c r="Y23" s="25"/>
      <c r="AD23" s="31" t="s">
        <v>27</v>
      </c>
      <c r="AE23" s="15"/>
      <c r="AF23" s="15"/>
      <c r="AG23" s="15"/>
      <c r="AH23" s="15"/>
      <c r="AI23" s="15"/>
      <c r="AJ23" s="15"/>
      <c r="AK23" s="15"/>
      <c r="AL23" s="15"/>
      <c r="AM23" s="15"/>
      <c r="AN23" s="15"/>
      <c r="AO23" s="15"/>
      <c r="AP23" s="15"/>
      <c r="AQ23" s="15"/>
      <c r="AV23" s="33"/>
      <c r="AW23" s="38"/>
      <c r="AX23" s="38"/>
      <c r="AY23" s="38"/>
      <c r="AZ23" s="38"/>
      <c r="BA23" s="38"/>
      <c r="BB23" s="38"/>
    </row>
    <row r="24" spans="1:56">
      <c r="A24" s="23">
        <v>39325</v>
      </c>
      <c r="B24" s="26">
        <v>11922.48</v>
      </c>
      <c r="C24" s="30">
        <f>+(B24/B22-1)/(A24-A22)*30</f>
        <v>4.5628470404002561E-3</v>
      </c>
      <c r="D24" s="25">
        <v>108.84988231685159</v>
      </c>
      <c r="E24" s="25"/>
      <c r="F24" s="25"/>
      <c r="P24" s="16">
        <v>31</v>
      </c>
      <c r="Q24" s="16">
        <v>28</v>
      </c>
      <c r="R24" s="16">
        <v>31</v>
      </c>
      <c r="S24" s="16">
        <v>30</v>
      </c>
      <c r="T24" s="16">
        <v>31</v>
      </c>
      <c r="U24" s="16">
        <v>30</v>
      </c>
      <c r="V24" s="16">
        <v>31</v>
      </c>
      <c r="W24" s="16">
        <v>31</v>
      </c>
      <c r="X24" s="16">
        <v>30</v>
      </c>
      <c r="Y24" s="16">
        <v>31</v>
      </c>
      <c r="Z24" s="16">
        <v>30</v>
      </c>
      <c r="AA24" s="16">
        <v>31</v>
      </c>
      <c r="AR24" s="15"/>
      <c r="AS24" s="15"/>
      <c r="AV24" s="33"/>
      <c r="AW24" s="33"/>
      <c r="AX24" s="33"/>
      <c r="AY24" s="33"/>
      <c r="AZ24" s="33"/>
      <c r="BA24" s="33"/>
      <c r="BB24" s="33"/>
    </row>
    <row r="25" spans="1:56">
      <c r="A25" s="23">
        <v>39353</v>
      </c>
      <c r="B25" s="26">
        <v>11975.61</v>
      </c>
      <c r="C25" s="30">
        <f t="shared" si="3"/>
        <v>4.7745938764419994E-3</v>
      </c>
      <c r="D25" s="25">
        <v>109.33494869964231</v>
      </c>
      <c r="E25" s="25"/>
      <c r="F25" s="25"/>
      <c r="P25" s="16">
        <v>1</v>
      </c>
      <c r="Q25" s="16">
        <v>2</v>
      </c>
      <c r="R25" s="16">
        <v>3</v>
      </c>
      <c r="S25" s="16">
        <v>4</v>
      </c>
      <c r="T25" s="16">
        <v>5</v>
      </c>
      <c r="U25" s="16">
        <v>6</v>
      </c>
      <c r="V25" s="16">
        <v>7</v>
      </c>
      <c r="W25" s="16">
        <v>8</v>
      </c>
      <c r="X25" s="16">
        <v>9</v>
      </c>
      <c r="Y25" s="16">
        <v>10</v>
      </c>
      <c r="Z25" s="16">
        <v>11</v>
      </c>
      <c r="AA25" s="16">
        <v>12</v>
      </c>
      <c r="AR25" s="31"/>
      <c r="AS25" s="15"/>
    </row>
    <row r="26" spans="1:56">
      <c r="A26" s="23">
        <v>39386</v>
      </c>
      <c r="B26" s="26">
        <v>12038.9</v>
      </c>
      <c r="C26" s="30">
        <f t="shared" si="3"/>
        <v>4.8044620387907326E-3</v>
      </c>
      <c r="D26" s="25">
        <v>109.91277387123692</v>
      </c>
      <c r="E26" s="25"/>
      <c r="F26" s="25"/>
      <c r="O26" s="37" t="s">
        <v>19</v>
      </c>
      <c r="P26" s="9" t="s">
        <v>4</v>
      </c>
      <c r="Q26" s="9" t="s">
        <v>5</v>
      </c>
      <c r="R26" s="9" t="s">
        <v>6</v>
      </c>
      <c r="S26" s="9" t="s">
        <v>7</v>
      </c>
      <c r="T26" s="9" t="s">
        <v>8</v>
      </c>
      <c r="U26" s="9" t="s">
        <v>9</v>
      </c>
      <c r="V26" s="9" t="s">
        <v>10</v>
      </c>
      <c r="W26" s="9" t="s">
        <v>11</v>
      </c>
      <c r="X26" s="9" t="s">
        <v>12</v>
      </c>
      <c r="Y26" s="9" t="s">
        <v>13</v>
      </c>
      <c r="Z26" s="9" t="s">
        <v>14</v>
      </c>
      <c r="AA26" s="9" t="s">
        <v>15</v>
      </c>
    </row>
    <row r="27" spans="1:56" ht="15.75">
      <c r="A27" s="23">
        <v>39416</v>
      </c>
      <c r="B27" s="26">
        <v>12096.85</v>
      </c>
      <c r="C27" s="30">
        <f t="shared" si="3"/>
        <v>4.8135627009113779E-3</v>
      </c>
      <c r="D27" s="25">
        <v>110.4418458998972</v>
      </c>
      <c r="E27" s="25"/>
      <c r="F27" s="25"/>
      <c r="O27" s="9">
        <v>2016</v>
      </c>
      <c r="P27" s="26"/>
      <c r="Q27" s="26"/>
      <c r="R27" s="26"/>
      <c r="S27" s="26"/>
      <c r="T27" s="26"/>
      <c r="U27" s="39">
        <f t="shared" ref="U27:AA28" si="25">LOOKUP(DATE($O27,U$25,U$24),$A$2:$A$2943,$H$2:$H$2943)</f>
        <v>0</v>
      </c>
      <c r="V27" s="39">
        <f t="shared" si="25"/>
        <v>0</v>
      </c>
      <c r="W27" s="39">
        <f t="shared" si="25"/>
        <v>0</v>
      </c>
      <c r="X27" s="39">
        <f t="shared" si="25"/>
        <v>0</v>
      </c>
      <c r="Y27" s="39">
        <f t="shared" si="25"/>
        <v>0</v>
      </c>
      <c r="Z27" s="39">
        <f t="shared" si="25"/>
        <v>0</v>
      </c>
      <c r="AA27" s="39">
        <f t="shared" si="25"/>
        <v>0</v>
      </c>
      <c r="AD27" s="34" t="s">
        <v>28</v>
      </c>
      <c r="AE27" s="14" t="s">
        <v>4</v>
      </c>
      <c r="AF27" s="14" t="s">
        <v>5</v>
      </c>
      <c r="AG27" s="14" t="s">
        <v>6</v>
      </c>
      <c r="AH27" s="14" t="s">
        <v>7</v>
      </c>
      <c r="AI27" s="14" t="s">
        <v>8</v>
      </c>
      <c r="AJ27" s="14" t="s">
        <v>9</v>
      </c>
      <c r="AK27" s="14" t="s">
        <v>10</v>
      </c>
      <c r="AL27" s="14" t="s">
        <v>11</v>
      </c>
      <c r="AM27" s="14" t="s">
        <v>12</v>
      </c>
      <c r="AN27" s="14" t="s">
        <v>13</v>
      </c>
      <c r="AO27" s="14" t="s">
        <v>14</v>
      </c>
      <c r="AP27" s="14" t="s">
        <v>15</v>
      </c>
      <c r="AQ27" s="14" t="s">
        <v>16</v>
      </c>
      <c r="AR27" s="15"/>
      <c r="AS27" s="15"/>
      <c r="AV27" s="40"/>
      <c r="AW27" s="40"/>
      <c r="AX27" s="40"/>
      <c r="AY27" s="40"/>
      <c r="AZ27" s="40"/>
      <c r="BA27" s="40"/>
      <c r="BB27" s="40"/>
      <c r="BC27" s="40"/>
    </row>
    <row r="28" spans="1:56">
      <c r="A28" s="23">
        <v>39447</v>
      </c>
      <c r="B28" s="26">
        <v>12152.6</v>
      </c>
      <c r="C28" s="30">
        <f t="shared" si="3"/>
        <v>4.4599720508417809E-3</v>
      </c>
      <c r="D28" s="25">
        <v>110.9508323640527</v>
      </c>
      <c r="E28" s="25"/>
      <c r="F28" s="25"/>
      <c r="O28" s="9">
        <v>2017</v>
      </c>
      <c r="P28" s="39">
        <f t="shared" ref="P28:T29" si="26">LOOKUP(DATE($O28,P$25,P$24),$A$2:$A$2943,$H$2:$H$2943)</f>
        <v>0</v>
      </c>
      <c r="Q28" s="39">
        <f t="shared" si="26"/>
        <v>0</v>
      </c>
      <c r="R28" s="39">
        <f t="shared" si="26"/>
        <v>0</v>
      </c>
      <c r="S28" s="39">
        <f t="shared" si="26"/>
        <v>0</v>
      </c>
      <c r="T28" s="39">
        <f t="shared" si="26"/>
        <v>0</v>
      </c>
      <c r="U28" s="39">
        <f t="shared" si="25"/>
        <v>0</v>
      </c>
      <c r="V28" s="39">
        <f t="shared" si="25"/>
        <v>0</v>
      </c>
      <c r="W28" s="39">
        <f t="shared" si="25"/>
        <v>0</v>
      </c>
      <c r="X28" s="39">
        <f t="shared" si="25"/>
        <v>0</v>
      </c>
      <c r="Y28" s="39">
        <f t="shared" si="25"/>
        <v>0</v>
      </c>
      <c r="Z28" s="39">
        <f t="shared" si="25"/>
        <v>0</v>
      </c>
      <c r="AA28" s="39">
        <f t="shared" si="25"/>
        <v>0</v>
      </c>
      <c r="AD28" s="20">
        <v>2016</v>
      </c>
      <c r="AE28" s="21"/>
      <c r="AF28" s="21"/>
      <c r="AG28" s="21"/>
      <c r="AH28" s="21"/>
      <c r="AI28" s="21"/>
      <c r="AJ28" s="21"/>
      <c r="AK28" s="21"/>
      <c r="AL28" s="21"/>
      <c r="AM28" s="21"/>
      <c r="AN28" s="21"/>
      <c r="AO28" s="21"/>
      <c r="AP28" s="21"/>
      <c r="AQ28" s="22"/>
      <c r="AR28" s="31" t="s">
        <v>23</v>
      </c>
      <c r="AS28" s="15"/>
      <c r="AV28" s="41"/>
      <c r="AW28" s="42" t="s">
        <v>29</v>
      </c>
      <c r="AX28" s="42" t="s">
        <v>30</v>
      </c>
      <c r="AY28" s="42" t="s">
        <v>31</v>
      </c>
      <c r="AZ28" s="42" t="s">
        <v>32</v>
      </c>
      <c r="BA28" s="42" t="s">
        <v>33</v>
      </c>
      <c r="BB28" s="42" t="s">
        <v>34</v>
      </c>
      <c r="BC28" s="43"/>
      <c r="BD28" s="44"/>
    </row>
    <row r="29" spans="1:56">
      <c r="A29" s="23">
        <v>39478</v>
      </c>
      <c r="B29" s="26">
        <v>12223.14</v>
      </c>
      <c r="C29" s="30">
        <f t="shared" si="3"/>
        <v>5.6172766427787044E-3</v>
      </c>
      <c r="D29" s="25">
        <v>111.59484860049264</v>
      </c>
      <c r="E29" s="25"/>
      <c r="F29" s="25"/>
      <c r="O29" s="9">
        <v>2018</v>
      </c>
      <c r="P29" s="39">
        <f t="shared" si="26"/>
        <v>0</v>
      </c>
      <c r="Q29" s="39">
        <f t="shared" si="26"/>
        <v>0</v>
      </c>
      <c r="R29" s="39">
        <f t="shared" si="26"/>
        <v>0</v>
      </c>
      <c r="S29" s="39">
        <f t="shared" si="26"/>
        <v>0</v>
      </c>
      <c r="T29" s="39">
        <f t="shared" si="26"/>
        <v>0</v>
      </c>
      <c r="U29" s="39">
        <f>LOOKUP(DATE($O29,U$25,U$24),$A$2:$A$2943,$H$2:$H$2943)</f>
        <v>0</v>
      </c>
      <c r="V29" s="39">
        <f>LOOKUP(DATE($O29,V$25,V$24),$A$2:$A$2943,$H$2:$H$2943)</f>
        <v>0</v>
      </c>
      <c r="W29" s="39">
        <f>LOOKUP(DATE($O29,W$25,W$24),$A$2:$A$2943,$H$2:$H$2943)</f>
        <v>0</v>
      </c>
      <c r="X29" s="39">
        <f>LOOKUP(DATE($O29,X$25,X$24),$A$2:$A$2943,$H$2:$H$2943)</f>
        <v>0</v>
      </c>
      <c r="Y29" s="69"/>
      <c r="Z29" s="69">
        <f>LOOKUP(DATE($O29,Z$25,Z$24),$A$2:$A$2943,$I$2:$I$2943)</f>
        <v>3.4478000000000009E-3</v>
      </c>
      <c r="AA29" s="69">
        <f>LOOKUP(DATE($O29,AA$25,AA$24),$A$2:$A$2943,$I$2:$I$2943)</f>
        <v>2.23337987695951E-3</v>
      </c>
      <c r="AD29" s="27">
        <v>2017</v>
      </c>
      <c r="AE29" s="28"/>
      <c r="AF29" s="28"/>
      <c r="AG29" s="28"/>
      <c r="AH29" s="28"/>
      <c r="AI29" s="28"/>
      <c r="AJ29" s="28"/>
      <c r="AK29" s="28"/>
      <c r="AL29" s="28"/>
      <c r="AM29" s="28"/>
      <c r="AN29" s="28"/>
      <c r="AO29" s="28"/>
      <c r="AP29" s="28"/>
      <c r="AQ29" s="29"/>
      <c r="AR29" s="31"/>
      <c r="AS29" s="31"/>
      <c r="AV29" s="107"/>
      <c r="AW29" s="42" t="s">
        <v>35</v>
      </c>
      <c r="AX29" s="45">
        <f>($AW20/AX20-1)/(AW19-AX19)*30</f>
        <v>3.7564119506456883E-3</v>
      </c>
      <c r="AY29" s="45">
        <f>$AW20/AY20-1</f>
        <v>1.1311976554220227E-2</v>
      </c>
      <c r="AZ29" s="45">
        <f>$AW20/AZ20-1</f>
        <v>2.3347722565283835E-2</v>
      </c>
      <c r="BA29" s="45">
        <f>$AW20/BA20-1</f>
        <v>4.9016012712382429E-2</v>
      </c>
      <c r="BB29" s="45">
        <f>+AQ87</f>
        <v>3.393592966266068E-2</v>
      </c>
      <c r="BC29" s="46"/>
      <c r="BD29" s="32"/>
    </row>
    <row r="30" spans="1:56">
      <c r="A30" s="23">
        <v>39507</v>
      </c>
      <c r="B30" s="26">
        <v>12284.88</v>
      </c>
      <c r="C30" s="30">
        <f t="shared" si="3"/>
        <v>5.2252502644361907E-3</v>
      </c>
      <c r="D30" s="25">
        <v>112.15852257891343</v>
      </c>
      <c r="E30" s="25"/>
      <c r="F30" s="25"/>
      <c r="O30" s="9">
        <v>2019</v>
      </c>
      <c r="P30" s="69">
        <f t="shared" ref="P30:Y30" si="27">LOOKUP(DATE($O30,P$25,P$24),$A$2:$A$2943,$I$2:$I$2943)</f>
        <v>1.7509084939289793E-3</v>
      </c>
      <c r="Q30" s="69">
        <f t="shared" si="27"/>
        <v>1.7394520999606889E-3</v>
      </c>
      <c r="R30" s="69">
        <f t="shared" si="27"/>
        <v>1.8423379148717824E-3</v>
      </c>
      <c r="S30" s="69">
        <f t="shared" si="27"/>
        <v>1.8759017365690411E-3</v>
      </c>
      <c r="T30" s="69">
        <f t="shared" si="27"/>
        <v>2.1231268586599603E-3</v>
      </c>
      <c r="U30" s="69">
        <f t="shared" si="27"/>
        <v>1.9957455558778925E-3</v>
      </c>
      <c r="V30" s="69">
        <f t="shared" si="27"/>
        <v>2.0001038584794456E-3</v>
      </c>
      <c r="W30" s="69">
        <f t="shared" si="27"/>
        <v>1.8023141086607975E-3</v>
      </c>
      <c r="X30" s="69">
        <f t="shared" si="27"/>
        <v>1.1263240715009282E-3</v>
      </c>
      <c r="Y30" s="69">
        <f t="shared" si="27"/>
        <v>9.467889806377604E-4</v>
      </c>
      <c r="Z30" s="69">
        <f>LOOKUP(DATE($O30,Z$25,Z$24),$A$2:$A$2943,$I$2:$I$2943)</f>
        <v>9.0352367931134658E-4</v>
      </c>
      <c r="AA30" s="69">
        <f>LOOKUP(DATE($O30,AA$25,AA$24),$A$2:$A$2943,$I$2:$I$2943)</f>
        <v>1.3269626167495257E-3</v>
      </c>
      <c r="AD30" s="20">
        <v>2018</v>
      </c>
      <c r="AE30" s="21"/>
      <c r="AF30" s="21"/>
      <c r="AG30" s="21"/>
      <c r="AH30" s="21"/>
      <c r="AI30" s="21"/>
      <c r="AJ30" s="21"/>
      <c r="AK30" s="32"/>
      <c r="AL30" s="32"/>
      <c r="AM30" s="32"/>
      <c r="AN30" s="32"/>
      <c r="AO30" s="32">
        <f t="shared" ref="AO30:AP36" si="28">+Z29</f>
        <v>3.4478000000000009E-3</v>
      </c>
      <c r="AP30" s="32">
        <f t="shared" si="28"/>
        <v>2.23337987695951E-3</v>
      </c>
      <c r="AQ30" s="22">
        <f>+(H161/H159-1)/COUNTA(AE30:AP30)*12</f>
        <v>3.4581496769416464E-2</v>
      </c>
      <c r="AR30" s="15"/>
      <c r="AS30" s="15"/>
      <c r="AV30" s="107"/>
      <c r="AW30" s="42" t="s">
        <v>25</v>
      </c>
      <c r="AX30" s="45">
        <f>($AW21/AX21-1)/(AW19-AX19)*30</f>
        <v>2.5969787217614559E-3</v>
      </c>
      <c r="AY30" s="45">
        <f>($AW21)/AY21-1</f>
        <v>7.749890874818588E-3</v>
      </c>
      <c r="AZ30" s="45">
        <f>$AW21/AZ21-1</f>
        <v>1.6195358784079517E-2</v>
      </c>
      <c r="BA30" s="45">
        <f>$AW21/BA21-1</f>
        <v>3.4278770324830177E-2</v>
      </c>
      <c r="BB30" s="45">
        <f t="shared" ref="BB30:BB31" si="29">+AQ88</f>
        <v>2.3249672624455764E-2</v>
      </c>
      <c r="BC30" s="46"/>
      <c r="BD30" s="32"/>
    </row>
    <row r="31" spans="1:56">
      <c r="A31" s="23">
        <v>39538</v>
      </c>
      <c r="B31" s="26">
        <v>12351.45</v>
      </c>
      <c r="C31" s="30">
        <f t="shared" si="3"/>
        <v>5.2440545324954563E-3</v>
      </c>
      <c r="D31" s="25">
        <v>112.76629350122431</v>
      </c>
      <c r="E31" s="25"/>
      <c r="F31" s="25"/>
      <c r="O31" s="9">
        <v>2020</v>
      </c>
      <c r="P31" s="69">
        <f>LOOKUP(DATE($O31,P$25,P$24),$A$2:$A$2943,$I$2:$I$2943)</f>
        <v>1.2851064886262773E-3</v>
      </c>
      <c r="Q31" s="69">
        <f>LOOKUP(DATE($O31,Q$25,Q$24)+1,$A$2:$A$2943,$I$2:$I$2943)</f>
        <v>6.299783195968646E-4</v>
      </c>
      <c r="R31" s="69">
        <f t="shared" ref="R31:X31" si="30">LOOKUP(DATE($O31,R$25,R$24),$A:$A,$I:$I)</f>
        <v>6.8370166059059372E-4</v>
      </c>
      <c r="S31" s="69">
        <f t="shared" si="30"/>
        <v>1.3696904716329339E-3</v>
      </c>
      <c r="T31" s="69">
        <f t="shared" si="30"/>
        <v>1.3191835068352314E-3</v>
      </c>
      <c r="U31" s="69">
        <f t="shared" si="30"/>
        <v>1.2723831326844071E-3</v>
      </c>
      <c r="V31" s="69">
        <f t="shared" si="30"/>
        <v>1.1338997766040205E-3</v>
      </c>
      <c r="W31" s="69">
        <f t="shared" si="30"/>
        <v>1.1455843669070805E-3</v>
      </c>
      <c r="X31" s="69">
        <f t="shared" si="30"/>
        <v>1.0861426026471666E-3</v>
      </c>
      <c r="Y31" s="69">
        <f>+I183</f>
        <v>1.1882857965096793E-3</v>
      </c>
      <c r="Z31" s="69">
        <f>+I184</f>
        <v>1.1222865920312852E-3</v>
      </c>
      <c r="AA31" s="69">
        <f>+I185</f>
        <v>2.4355780283393733E-3</v>
      </c>
      <c r="AD31" s="20">
        <v>2019</v>
      </c>
      <c r="AE31" s="21">
        <f t="shared" ref="AE31:AN38" si="31">+P30</f>
        <v>1.7509084939289793E-3</v>
      </c>
      <c r="AF31" s="21">
        <f t="shared" si="31"/>
        <v>1.7394520999606889E-3</v>
      </c>
      <c r="AG31" s="21">
        <f t="shared" si="31"/>
        <v>1.8423379148717824E-3</v>
      </c>
      <c r="AH31" s="21">
        <f t="shared" si="31"/>
        <v>1.8759017365690411E-3</v>
      </c>
      <c r="AI31" s="21">
        <f t="shared" si="31"/>
        <v>2.1231268586599603E-3</v>
      </c>
      <c r="AJ31" s="71">
        <f t="shared" si="31"/>
        <v>1.9957455558778925E-3</v>
      </c>
      <c r="AK31" s="71">
        <f t="shared" si="31"/>
        <v>2.0001038584794456E-3</v>
      </c>
      <c r="AL31" s="71">
        <f t="shared" si="31"/>
        <v>1.8023141086607975E-3</v>
      </c>
      <c r="AM31" s="71">
        <f t="shared" si="31"/>
        <v>1.1263240715009282E-3</v>
      </c>
      <c r="AN31" s="71">
        <f t="shared" si="31"/>
        <v>9.467889806377604E-4</v>
      </c>
      <c r="AO31" s="71">
        <f t="shared" si="28"/>
        <v>9.0352367931134658E-4</v>
      </c>
      <c r="AP31" s="71">
        <f t="shared" si="28"/>
        <v>1.3269626167495257E-3</v>
      </c>
      <c r="AQ31" s="22">
        <f>+(H173/H161-1)/COUNTA(AE31:AP31)*12</f>
        <v>1.9888570576808373E-2</v>
      </c>
      <c r="AR31" s="15"/>
      <c r="AS31" s="15"/>
      <c r="AV31" s="47"/>
      <c r="AW31" s="42" t="s">
        <v>26</v>
      </c>
      <c r="AX31" s="45">
        <f>($AW22/AX22-1)/(AW19-AX19)*30</f>
        <v>5.6844339678867595E-3</v>
      </c>
      <c r="AY31" s="45">
        <f>+AW22/AY22-1</f>
        <v>1.6739499627822951E-2</v>
      </c>
      <c r="AZ31" s="45">
        <f>$AW22/AZ22-1</f>
        <v>3.4849779899573941E-2</v>
      </c>
      <c r="BA31" s="45">
        <f>$AW22/BA22-1</f>
        <v>6.6231779714750916E-2</v>
      </c>
      <c r="BB31" s="45">
        <f t="shared" si="29"/>
        <v>5.0218498883468854E-2</v>
      </c>
      <c r="BC31" s="47"/>
      <c r="BD31" s="32"/>
    </row>
    <row r="32" spans="1:56">
      <c r="A32" s="23">
        <v>39568</v>
      </c>
      <c r="B32" s="26">
        <v>12416.18</v>
      </c>
      <c r="C32" s="30">
        <f t="shared" si="3"/>
        <v>5.2406802440199129E-3</v>
      </c>
      <c r="D32" s="25">
        <v>113.35726558776753</v>
      </c>
      <c r="E32" s="25"/>
      <c r="F32" s="25"/>
      <c r="O32" s="9">
        <v>2021</v>
      </c>
      <c r="P32" s="69">
        <f>+I186</f>
        <v>8.7134660038301257E-4</v>
      </c>
      <c r="Q32" s="69">
        <f>+I187</f>
        <v>8.7069209384298726E-4</v>
      </c>
      <c r="R32" s="70">
        <f>+I188</f>
        <v>2.2648727193299865E-4</v>
      </c>
      <c r="S32" s="70">
        <f>+I189</f>
        <v>2.1586548973795416E-4</v>
      </c>
      <c r="T32" s="70">
        <f>+I190</f>
        <v>1.2257828566220759E-3</v>
      </c>
      <c r="U32" s="70">
        <f>+I191</f>
        <v>1.2323060547676512E-3</v>
      </c>
      <c r="V32" s="70">
        <f>+I192</f>
        <v>1.1118965595859468E-3</v>
      </c>
      <c r="W32" s="70">
        <f>+I193</f>
        <v>9.7339848246146324E-4</v>
      </c>
      <c r="X32" s="70">
        <f>+I194</f>
        <v>6.468370992966932E-4</v>
      </c>
      <c r="Y32" s="70">
        <f>+I195</f>
        <v>8.4688139420787962E-4</v>
      </c>
      <c r="Z32" s="70">
        <f>+I196</f>
        <v>1.4457181087037529E-3</v>
      </c>
      <c r="AA32" s="70">
        <f>+I197</f>
        <v>1.6922332954845275E-3</v>
      </c>
      <c r="AD32" s="20">
        <v>2020</v>
      </c>
      <c r="AE32" s="21">
        <f t="shared" si="31"/>
        <v>1.2851064886262773E-3</v>
      </c>
      <c r="AF32" s="21">
        <f t="shared" si="31"/>
        <v>6.299783195968646E-4</v>
      </c>
      <c r="AG32" s="21">
        <f t="shared" si="31"/>
        <v>6.8370166059059372E-4</v>
      </c>
      <c r="AH32" s="21">
        <f t="shared" si="31"/>
        <v>1.3696904716329339E-3</v>
      </c>
      <c r="AI32" s="21">
        <f t="shared" si="31"/>
        <v>1.3191835068352314E-3</v>
      </c>
      <c r="AJ32" s="21">
        <f t="shared" si="31"/>
        <v>1.2723831326844071E-3</v>
      </c>
      <c r="AK32" s="21">
        <f t="shared" si="31"/>
        <v>1.1338997766040205E-3</v>
      </c>
      <c r="AL32" s="21">
        <f t="shared" si="31"/>
        <v>1.1455843669070805E-3</v>
      </c>
      <c r="AM32" s="21">
        <f t="shared" si="31"/>
        <v>1.0861426026471666E-3</v>
      </c>
      <c r="AN32" s="21">
        <f t="shared" si="31"/>
        <v>1.1882857965096793E-3</v>
      </c>
      <c r="AO32" s="21">
        <f t="shared" si="28"/>
        <v>1.1222865920312852E-3</v>
      </c>
      <c r="AP32" s="21">
        <f t="shared" si="28"/>
        <v>2.4355780283393733E-3</v>
      </c>
      <c r="AQ32" s="22">
        <f>+(H185/H173-1)/COUNTA(AE32:AP32)*12</f>
        <v>1.505895015857428E-2</v>
      </c>
      <c r="AR32" s="15"/>
      <c r="AS32" s="15"/>
      <c r="AV32" s="47"/>
      <c r="AW32" s="48"/>
      <c r="AX32" s="15"/>
      <c r="AY32" s="15"/>
      <c r="AZ32" s="15"/>
      <c r="BA32" s="15"/>
      <c r="BB32" s="15"/>
      <c r="BC32" s="47"/>
      <c r="BD32" s="32"/>
    </row>
    <row r="33" spans="1:62">
      <c r="A33" s="23">
        <v>39598</v>
      </c>
      <c r="B33" s="26">
        <v>12481.48</v>
      </c>
      <c r="C33" s="30">
        <f t="shared" si="3"/>
        <v>5.2592665376951508E-3</v>
      </c>
      <c r="D33" s="25">
        <v>113.9534416614779</v>
      </c>
      <c r="E33" s="25"/>
      <c r="F33" s="25"/>
      <c r="O33" s="9">
        <v>2022</v>
      </c>
      <c r="P33" s="69">
        <f>+I198</f>
        <v>2.8231503352001007E-3</v>
      </c>
      <c r="Q33" s="69">
        <f>+I199</f>
        <v>3.8234832635588739E-3</v>
      </c>
      <c r="R33" s="70">
        <f>+I200</f>
        <v>3.8027703521235864E-3</v>
      </c>
      <c r="S33" s="70">
        <f>+I201</f>
        <v>6.2620928003536136E-3</v>
      </c>
      <c r="T33" s="70">
        <f>+I202</f>
        <v>7.38739023340171E-3</v>
      </c>
      <c r="U33" s="70">
        <f>+I203</f>
        <v>6.2584514901089516E-3</v>
      </c>
      <c r="V33" s="70">
        <f>+I204</f>
        <v>6.481786228258242E-3</v>
      </c>
      <c r="W33" s="70">
        <f>+I205</f>
        <v>7.7993218693549861E-3</v>
      </c>
      <c r="X33" s="70">
        <f>+I206</f>
        <v>8.1290804673954664E-3</v>
      </c>
      <c r="Y33" s="70">
        <f>+I207</f>
        <v>9.8390745324712856E-3</v>
      </c>
      <c r="Z33" s="70">
        <f>+I208</f>
        <v>8.9727696625050632E-3</v>
      </c>
      <c r="AA33" s="70">
        <f>+I209</f>
        <v>9.4915623861371312E-3</v>
      </c>
      <c r="AD33" s="20">
        <v>2021</v>
      </c>
      <c r="AE33" s="21">
        <f t="shared" si="31"/>
        <v>8.7134660038301257E-4</v>
      </c>
      <c r="AF33" s="21">
        <f t="shared" si="31"/>
        <v>8.7069209384298726E-4</v>
      </c>
      <c r="AG33" s="21">
        <f t="shared" si="31"/>
        <v>2.2648727193299865E-4</v>
      </c>
      <c r="AH33" s="21">
        <f t="shared" si="31"/>
        <v>2.1586548973795416E-4</v>
      </c>
      <c r="AI33" s="21">
        <f t="shared" si="31"/>
        <v>1.2257828566220759E-3</v>
      </c>
      <c r="AJ33" s="21">
        <f t="shared" si="31"/>
        <v>1.2323060547676512E-3</v>
      </c>
      <c r="AK33" s="21">
        <f t="shared" si="31"/>
        <v>1.1118965595859468E-3</v>
      </c>
      <c r="AL33" s="21">
        <f t="shared" si="31"/>
        <v>9.7339848246146324E-4</v>
      </c>
      <c r="AM33" s="21">
        <f t="shared" si="31"/>
        <v>6.468370992966932E-4</v>
      </c>
      <c r="AN33" s="21">
        <f t="shared" si="31"/>
        <v>8.4688139420787962E-4</v>
      </c>
      <c r="AO33" s="21">
        <f t="shared" si="28"/>
        <v>1.4457181087037529E-3</v>
      </c>
      <c r="AP33" s="21">
        <f t="shared" si="28"/>
        <v>1.6922332954845275E-3</v>
      </c>
      <c r="AQ33" s="22">
        <f>+(H197/H185-1)/COUNTA(AE33:AP33)*12</f>
        <v>1.1593010116523805E-2</v>
      </c>
      <c r="AR33" s="31"/>
      <c r="AS33" s="15"/>
      <c r="BD33" s="32"/>
    </row>
    <row r="34" spans="1:62">
      <c r="A34" s="23">
        <v>39629</v>
      </c>
      <c r="B34" s="26">
        <v>12552.23</v>
      </c>
      <c r="C34" s="30">
        <f t="shared" si="3"/>
        <v>5.4855467408899648E-3</v>
      </c>
      <c r="D34" s="25">
        <v>114.59937515634786</v>
      </c>
      <c r="E34" s="25"/>
      <c r="F34" s="25"/>
      <c r="O34" s="9">
        <v>2023</v>
      </c>
      <c r="P34" s="69">
        <f>+I210</f>
        <v>9.5714540245422225E-3</v>
      </c>
      <c r="Q34" s="69">
        <f>+I211</f>
        <v>8.8354488405561257E-3</v>
      </c>
      <c r="R34" s="70">
        <f>+I212</f>
        <v>9.5759037911854212E-3</v>
      </c>
      <c r="S34" s="70">
        <f>+I213</f>
        <v>9.8699126523715819E-3</v>
      </c>
      <c r="T34" s="70">
        <f>+I214</f>
        <v>9.6159079900944161E-3</v>
      </c>
      <c r="U34" s="70">
        <f>+I215</f>
        <v>9.740116172683555E-3</v>
      </c>
      <c r="V34" s="70">
        <f>+I216</f>
        <v>9.6433718198763625E-3</v>
      </c>
      <c r="W34" s="70">
        <f>+I217</f>
        <v>9.4434399625291515E-3</v>
      </c>
      <c r="X34" s="70">
        <f>+I218</f>
        <v>9.2877967637430281E-3</v>
      </c>
      <c r="Y34" s="70">
        <f>+I219</f>
        <v>8.5040688259147203E-3</v>
      </c>
      <c r="Z34" s="70">
        <f>+I220</f>
        <v>7.6744178245491401E-3</v>
      </c>
      <c r="AA34" s="70">
        <f>+I221</f>
        <v>7.6954274064013469E-3</v>
      </c>
      <c r="AD34" s="20">
        <v>2022</v>
      </c>
      <c r="AE34" s="21">
        <f t="shared" si="31"/>
        <v>2.8231503352001007E-3</v>
      </c>
      <c r="AF34" s="21">
        <f t="shared" si="31"/>
        <v>3.8234832635588739E-3</v>
      </c>
      <c r="AG34" s="21">
        <f t="shared" si="31"/>
        <v>3.8027703521235864E-3</v>
      </c>
      <c r="AH34" s="21">
        <f t="shared" si="31"/>
        <v>6.2620928003536136E-3</v>
      </c>
      <c r="AI34" s="21">
        <f t="shared" si="31"/>
        <v>7.38739023340171E-3</v>
      </c>
      <c r="AJ34" s="21">
        <f t="shared" si="31"/>
        <v>6.2584514901089516E-3</v>
      </c>
      <c r="AK34" s="21">
        <f t="shared" si="31"/>
        <v>6.481786228258242E-3</v>
      </c>
      <c r="AL34" s="21">
        <f t="shared" si="31"/>
        <v>7.7993218693549861E-3</v>
      </c>
      <c r="AM34" s="21">
        <f t="shared" si="31"/>
        <v>8.1290804673954664E-3</v>
      </c>
      <c r="AN34" s="21">
        <f t="shared" si="31"/>
        <v>9.8390745324712856E-3</v>
      </c>
      <c r="AO34" s="21">
        <f t="shared" si="28"/>
        <v>8.9727696625050632E-3</v>
      </c>
      <c r="AP34" s="21">
        <f t="shared" si="28"/>
        <v>9.4915623861371312E-3</v>
      </c>
      <c r="AQ34" s="22">
        <f>+(H209/H197-1)/COUNTA(AE34:AP34)*12</f>
        <v>8.5121157008086534E-2</v>
      </c>
    </row>
    <row r="35" spans="1:62">
      <c r="A35" s="23">
        <v>39660</v>
      </c>
      <c r="B35" s="26">
        <v>12628.9</v>
      </c>
      <c r="C35" s="30">
        <f t="shared" si="3"/>
        <v>5.9110432324413755E-3</v>
      </c>
      <c r="D35" s="25">
        <v>115.2993570793398</v>
      </c>
      <c r="E35" s="25"/>
      <c r="F35" s="25"/>
      <c r="O35" s="9">
        <v>2024</v>
      </c>
      <c r="P35" s="69">
        <f>+I222</f>
        <v>8.1942860667891162E-3</v>
      </c>
      <c r="Q35" s="69">
        <f>+I223</f>
        <v>6.8318939471318143E-3</v>
      </c>
      <c r="R35" s="70">
        <f>+I224</f>
        <v>5.6081735236816893E-3</v>
      </c>
      <c r="S35" s="70">
        <f>+I225</f>
        <v>6.6256667335782282E-3</v>
      </c>
      <c r="T35" s="70">
        <f>+I226</f>
        <v>6.5292387566348144E-3</v>
      </c>
      <c r="U35" s="70">
        <f>+I227</f>
        <v>6.096592348990848E-3</v>
      </c>
      <c r="V35" s="70">
        <f>+I228</f>
        <v>4.2504468656643793E-3</v>
      </c>
      <c r="W35" s="70">
        <f>+I229</f>
        <v>4.3477666087477652E-3</v>
      </c>
      <c r="X35" s="70">
        <f>+I230</f>
        <v>4.8964435694469621E-3</v>
      </c>
      <c r="Y35" s="70">
        <f>+I231</f>
        <v>4.4175325566452352E-3</v>
      </c>
      <c r="Z35" s="70">
        <f>+I232</f>
        <v>4.6963561288861921E-3</v>
      </c>
      <c r="AA35" s="70">
        <f>+I233</f>
        <v>4.4728529040604492E-3</v>
      </c>
      <c r="AD35" s="20">
        <v>2023</v>
      </c>
      <c r="AE35" s="21">
        <f t="shared" si="31"/>
        <v>9.5714540245422225E-3</v>
      </c>
      <c r="AF35" s="21">
        <f t="shared" si="31"/>
        <v>8.8354488405561257E-3</v>
      </c>
      <c r="AG35" s="21">
        <f t="shared" si="31"/>
        <v>9.5759037911854212E-3</v>
      </c>
      <c r="AH35" s="21">
        <f t="shared" si="31"/>
        <v>9.8699126523715819E-3</v>
      </c>
      <c r="AI35" s="21">
        <f t="shared" si="31"/>
        <v>9.6159079900944161E-3</v>
      </c>
      <c r="AJ35" s="21">
        <f t="shared" si="31"/>
        <v>9.740116172683555E-3</v>
      </c>
      <c r="AK35" s="21">
        <f t="shared" si="31"/>
        <v>9.6433718198763625E-3</v>
      </c>
      <c r="AL35" s="21">
        <f t="shared" si="31"/>
        <v>9.4434399625291515E-3</v>
      </c>
      <c r="AM35" s="21">
        <f t="shared" si="31"/>
        <v>9.2877967637430281E-3</v>
      </c>
      <c r="AN35" s="21">
        <f t="shared" si="31"/>
        <v>8.5040688259147203E-3</v>
      </c>
      <c r="AO35" s="21">
        <f t="shared" si="28"/>
        <v>7.6744178245491401E-3</v>
      </c>
      <c r="AP35" s="21">
        <f t="shared" si="28"/>
        <v>7.6954274064013469E-3</v>
      </c>
      <c r="AQ35" s="22">
        <f>+(H221/H209-1)/COUNTA(AE35:AP35)*12</f>
        <v>0.11715764540072482</v>
      </c>
      <c r="AR35" s="15"/>
      <c r="AS35" s="15"/>
    </row>
    <row r="36" spans="1:62">
      <c r="A36" s="23">
        <v>39689</v>
      </c>
      <c r="B36" s="26">
        <v>12704.63</v>
      </c>
      <c r="C36" s="30">
        <f t="shared" si="3"/>
        <v>6.203341487409488E-3</v>
      </c>
      <c r="D36" s="25">
        <v>115.99075698840697</v>
      </c>
      <c r="E36" s="25"/>
      <c r="F36" s="25"/>
      <c r="O36" s="9">
        <v>2025</v>
      </c>
      <c r="P36" s="69">
        <f>+I234</f>
        <v>2.8711770673523827E-3</v>
      </c>
      <c r="Q36" s="69">
        <f>+I235</f>
        <v>4.345846177388122E-3</v>
      </c>
      <c r="R36" s="70">
        <f>+I236</f>
        <v>4.0766646027798606E-3</v>
      </c>
      <c r="S36" s="70">
        <f>+I237</f>
        <v>4.1658626977751911E-3</v>
      </c>
      <c r="T36" s="70">
        <f>+I238</f>
        <v>4.2954706387573942E-3</v>
      </c>
      <c r="U36" s="70">
        <f>+I239</f>
        <v>5.3025591012143547E-3</v>
      </c>
      <c r="V36" s="70">
        <f>+I240</f>
        <v>4.7987447939667662E-3</v>
      </c>
      <c r="W36" s="70">
        <f>+I241</f>
        <v>5.0030366056023319E-3</v>
      </c>
      <c r="X36" s="70">
        <f>+I242</f>
        <v>4.7711542121102735E-3</v>
      </c>
      <c r="Y36" s="70">
        <f>+I243</f>
        <v>5.1371318930771813E-3</v>
      </c>
      <c r="Z36" s="70">
        <f>+I244</f>
        <v>6.1545323755176629E-3</v>
      </c>
      <c r="AA36" s="70">
        <f>+I245</f>
        <v>5.5667704339379398E-3</v>
      </c>
      <c r="AD36" s="20">
        <v>2024</v>
      </c>
      <c r="AE36" s="21">
        <f t="shared" si="31"/>
        <v>8.1942860667891162E-3</v>
      </c>
      <c r="AF36" s="21">
        <f t="shared" si="31"/>
        <v>6.8318939471318143E-3</v>
      </c>
      <c r="AG36" s="21">
        <f t="shared" si="31"/>
        <v>5.6081735236816893E-3</v>
      </c>
      <c r="AH36" s="21">
        <f t="shared" si="31"/>
        <v>6.6256667335782282E-3</v>
      </c>
      <c r="AI36" s="21">
        <f t="shared" si="31"/>
        <v>6.5292387566348144E-3</v>
      </c>
      <c r="AJ36" s="21">
        <f t="shared" si="31"/>
        <v>6.096592348990848E-3</v>
      </c>
      <c r="AK36" s="21">
        <f t="shared" si="31"/>
        <v>4.2504468656643793E-3</v>
      </c>
      <c r="AL36" s="21">
        <f t="shared" si="31"/>
        <v>4.3477666087477652E-3</v>
      </c>
      <c r="AM36" s="21">
        <f t="shared" si="31"/>
        <v>4.8964435694469621E-3</v>
      </c>
      <c r="AN36" s="21">
        <f t="shared" si="31"/>
        <v>4.4175325566452352E-3</v>
      </c>
      <c r="AO36" s="21">
        <f t="shared" si="28"/>
        <v>4.6963561288861921E-3</v>
      </c>
      <c r="AP36" s="21">
        <f t="shared" si="28"/>
        <v>4.4728529040604492E-3</v>
      </c>
      <c r="AQ36" s="22">
        <f>+(H233/H221-1)/COUNTA(AE36:AP36)*12</f>
        <v>7.0150649828295331E-2</v>
      </c>
      <c r="AR36" s="31" t="s">
        <v>23</v>
      </c>
      <c r="AS36" s="15"/>
    </row>
    <row r="37" spans="1:62">
      <c r="A37" s="23"/>
      <c r="B37" s="26"/>
      <c r="C37" s="30"/>
      <c r="D37" s="25"/>
      <c r="E37" s="25"/>
      <c r="F37" s="25"/>
      <c r="O37" s="9">
        <v>2026</v>
      </c>
      <c r="P37" s="69">
        <f>+I246</f>
        <v>5.6134622266114783E-3</v>
      </c>
      <c r="Q37" s="69">
        <f>+I247</f>
        <v>5.6382408044709197E-3</v>
      </c>
      <c r="R37" s="70">
        <f>+I248</f>
        <v>5.5163461588434151E-3</v>
      </c>
      <c r="S37" s="70">
        <f>+I249</f>
        <v>5.6844339678867595E-3</v>
      </c>
      <c r="T37" s="70"/>
      <c r="U37" s="70"/>
      <c r="V37" s="70"/>
      <c r="W37" s="70"/>
      <c r="X37" s="70"/>
      <c r="Y37" s="70"/>
      <c r="Z37" s="70"/>
      <c r="AA37" s="70"/>
      <c r="AD37" s="20">
        <v>2025</v>
      </c>
      <c r="AE37" s="21">
        <f t="shared" ref="AE37:AP37" si="32">+P36</f>
        <v>2.8711770673523827E-3</v>
      </c>
      <c r="AF37" s="21">
        <f t="shared" si="32"/>
        <v>4.345846177388122E-3</v>
      </c>
      <c r="AG37" s="21">
        <f t="shared" si="32"/>
        <v>4.0766646027798606E-3</v>
      </c>
      <c r="AH37" s="21">
        <f t="shared" si="32"/>
        <v>4.1658626977751911E-3</v>
      </c>
      <c r="AI37" s="21">
        <f t="shared" si="32"/>
        <v>4.2954706387573942E-3</v>
      </c>
      <c r="AJ37" s="21">
        <f t="shared" si="32"/>
        <v>5.3025591012143547E-3</v>
      </c>
      <c r="AK37" s="21">
        <f t="shared" si="32"/>
        <v>4.7987447939667662E-3</v>
      </c>
      <c r="AL37" s="21">
        <f t="shared" si="32"/>
        <v>5.0030366056023319E-3</v>
      </c>
      <c r="AM37" s="21">
        <f t="shared" si="32"/>
        <v>4.7711542121102735E-3</v>
      </c>
      <c r="AN37" s="21">
        <f t="shared" si="32"/>
        <v>5.1371318930771813E-3</v>
      </c>
      <c r="AO37" s="21">
        <f t="shared" si="32"/>
        <v>6.1545323755176629E-3</v>
      </c>
      <c r="AP37" s="21">
        <f t="shared" si="32"/>
        <v>5.5667704339379398E-3</v>
      </c>
      <c r="AQ37" s="22">
        <f>+(H246/H234-1)/COUNTA(AE37:AP37)*12</f>
        <v>6.1771380774229279E-2</v>
      </c>
      <c r="AR37" s="31"/>
      <c r="AS37" s="15"/>
    </row>
    <row r="38" spans="1:62">
      <c r="A38" s="23">
        <v>39721</v>
      </c>
      <c r="B38" s="26">
        <v>12796.95</v>
      </c>
      <c r="C38" s="30">
        <f>+(B38/B36-1)/(A38-A36)*30</f>
        <v>6.812477026092098E-3</v>
      </c>
      <c r="D38" s="25">
        <v>116.83362031344437</v>
      </c>
      <c r="E38" s="25"/>
      <c r="F38" s="25"/>
      <c r="P38" s="16">
        <v>31</v>
      </c>
      <c r="Q38" s="16">
        <v>28</v>
      </c>
      <c r="R38" s="16">
        <v>31</v>
      </c>
      <c r="S38" s="16">
        <v>30</v>
      </c>
      <c r="T38" s="16">
        <v>31</v>
      </c>
      <c r="U38" s="16">
        <v>30</v>
      </c>
      <c r="V38" s="16">
        <v>31</v>
      </c>
      <c r="W38" s="16">
        <v>31</v>
      </c>
      <c r="X38" s="16">
        <v>30</v>
      </c>
      <c r="Y38" s="16">
        <v>31</v>
      </c>
      <c r="Z38" s="16">
        <v>30</v>
      </c>
      <c r="AA38" s="16">
        <v>31</v>
      </c>
      <c r="AD38" s="20">
        <v>2026</v>
      </c>
      <c r="AE38" s="21">
        <f t="shared" si="31"/>
        <v>5.6134622266114783E-3</v>
      </c>
      <c r="AF38" s="21">
        <f>+Q37</f>
        <v>5.6382408044709197E-3</v>
      </c>
      <c r="AG38" s="21">
        <f>+R37</f>
        <v>5.5163461588434151E-3</v>
      </c>
      <c r="AH38" s="21">
        <f t="shared" si="31"/>
        <v>5.6844339678867595E-3</v>
      </c>
      <c r="AQ38" s="22">
        <f>+(H249/H246-1)/COUNTA(AE38:AP38)*12</f>
        <v>5.0218498883468854E-2</v>
      </c>
      <c r="AR38" s="15"/>
      <c r="AS38" s="15"/>
    </row>
    <row r="39" spans="1:62">
      <c r="A39" s="23">
        <v>39752</v>
      </c>
      <c r="B39" s="26">
        <v>12885.37</v>
      </c>
      <c r="C39" s="30">
        <f t="shared" si="3"/>
        <v>6.6865731237118345E-3</v>
      </c>
      <c r="D39" s="25">
        <v>117.640877410496</v>
      </c>
      <c r="E39" s="25"/>
      <c r="F39" s="25"/>
      <c r="P39" s="16">
        <v>1</v>
      </c>
      <c r="Q39" s="16">
        <v>2</v>
      </c>
      <c r="R39" s="16">
        <v>3</v>
      </c>
      <c r="S39" s="16">
        <v>4</v>
      </c>
      <c r="T39" s="16">
        <v>5</v>
      </c>
      <c r="U39" s="16">
        <v>6</v>
      </c>
      <c r="V39" s="16">
        <v>7</v>
      </c>
      <c r="W39" s="16">
        <v>8</v>
      </c>
      <c r="X39" s="16">
        <v>9</v>
      </c>
      <c r="Y39" s="16">
        <v>10</v>
      </c>
      <c r="Z39" s="16">
        <v>11</v>
      </c>
      <c r="AA39" s="16">
        <v>12</v>
      </c>
      <c r="AD39" s="31" t="s">
        <v>27</v>
      </c>
      <c r="AE39" s="31"/>
      <c r="AF39" s="31"/>
      <c r="AG39" s="31"/>
      <c r="AH39" s="31"/>
      <c r="AI39" s="31"/>
      <c r="AJ39" s="31"/>
      <c r="AK39" s="31"/>
      <c r="AL39" s="31"/>
      <c r="AM39" s="31"/>
      <c r="AN39" s="31"/>
      <c r="AO39" s="31"/>
      <c r="AP39" s="31"/>
      <c r="AQ39" s="31"/>
      <c r="AR39" s="15"/>
      <c r="AS39" s="15"/>
    </row>
    <row r="40" spans="1:62" ht="15.75">
      <c r="A40" s="23">
        <v>39780</v>
      </c>
      <c r="B40" s="26">
        <v>12970.93</v>
      </c>
      <c r="C40" s="30">
        <f t="shared" si="3"/>
        <v>7.1143807722579E-3</v>
      </c>
      <c r="D40" s="25">
        <v>118.42202327369138</v>
      </c>
      <c r="E40" s="25"/>
      <c r="F40" s="25"/>
      <c r="O40" s="37" t="s">
        <v>25</v>
      </c>
      <c r="P40" s="9" t="s">
        <v>4</v>
      </c>
      <c r="Q40" s="9" t="s">
        <v>5</v>
      </c>
      <c r="R40" s="9" t="s">
        <v>6</v>
      </c>
      <c r="S40" s="9" t="s">
        <v>7</v>
      </c>
      <c r="T40" s="9" t="s">
        <v>8</v>
      </c>
      <c r="U40" s="9" t="s">
        <v>9</v>
      </c>
      <c r="V40" s="9" t="s">
        <v>10</v>
      </c>
      <c r="W40" s="9" t="s">
        <v>11</v>
      </c>
      <c r="X40" s="9" t="s">
        <v>12</v>
      </c>
      <c r="Y40" s="9" t="s">
        <v>13</v>
      </c>
      <c r="Z40" s="9" t="s">
        <v>14</v>
      </c>
      <c r="AA40" s="9" t="s">
        <v>15</v>
      </c>
      <c r="AD40" s="34" t="s">
        <v>25</v>
      </c>
      <c r="AE40" s="14" t="s">
        <v>4</v>
      </c>
      <c r="AF40" s="14" t="s">
        <v>5</v>
      </c>
      <c r="AG40" s="14" t="s">
        <v>6</v>
      </c>
      <c r="AH40" s="14" t="s">
        <v>7</v>
      </c>
      <c r="AI40" s="14" t="s">
        <v>8</v>
      </c>
      <c r="AJ40" s="14" t="s">
        <v>9</v>
      </c>
      <c r="AK40" s="14" t="s">
        <v>10</v>
      </c>
      <c r="AL40" s="14" t="s">
        <v>11</v>
      </c>
      <c r="AM40" s="14" t="s">
        <v>12</v>
      </c>
      <c r="AN40" s="14" t="s">
        <v>13</v>
      </c>
      <c r="AO40" s="14" t="s">
        <v>14</v>
      </c>
      <c r="AP40" s="14" t="s">
        <v>15</v>
      </c>
      <c r="AQ40" s="14" t="s">
        <v>16</v>
      </c>
      <c r="AR40" s="15"/>
      <c r="AS40" s="15"/>
      <c r="BE40" s="44"/>
      <c r="BF40" s="44"/>
      <c r="BG40" s="44"/>
      <c r="BH40" s="44"/>
      <c r="BI40" s="44"/>
      <c r="BJ40" s="44"/>
    </row>
    <row r="41" spans="1:62" ht="15" customHeight="1">
      <c r="A41" s="23">
        <v>39813</v>
      </c>
      <c r="B41" s="26">
        <v>13066.33</v>
      </c>
      <c r="C41" s="30">
        <f t="shared" si="3"/>
        <v>6.6862802225647385E-3</v>
      </c>
      <c r="D41" s="25">
        <v>119.29300638903548</v>
      </c>
      <c r="E41" s="25"/>
      <c r="F41" s="25"/>
      <c r="O41" s="9">
        <v>2016</v>
      </c>
      <c r="P41" s="70"/>
      <c r="Q41" s="70"/>
      <c r="R41" s="70"/>
      <c r="S41" s="70"/>
      <c r="T41" s="70"/>
      <c r="U41" s="70"/>
      <c r="V41" s="70"/>
      <c r="W41" s="70"/>
      <c r="X41" s="70"/>
      <c r="Y41" s="70"/>
      <c r="Z41" s="70"/>
      <c r="AA41" s="70"/>
      <c r="AD41" s="20">
        <v>2016</v>
      </c>
      <c r="AE41" s="21"/>
      <c r="AF41" s="21"/>
      <c r="AG41" s="21"/>
      <c r="AH41" s="21"/>
      <c r="AI41" s="21"/>
      <c r="AJ41" s="21"/>
      <c r="AK41" s="21"/>
      <c r="AL41" s="21"/>
      <c r="AM41" s="21"/>
      <c r="AN41" s="21"/>
      <c r="AO41" s="21"/>
      <c r="AP41" s="21"/>
      <c r="AQ41" s="22"/>
      <c r="AR41" s="15"/>
      <c r="AS41" s="15"/>
      <c r="BE41" s="32"/>
      <c r="BF41" s="32"/>
      <c r="BG41" s="32"/>
      <c r="BH41" s="32"/>
      <c r="BI41" s="32"/>
      <c r="BJ41" s="54"/>
    </row>
    <row r="42" spans="1:62" ht="15" customHeight="1">
      <c r="A42" s="23">
        <v>39843</v>
      </c>
      <c r="B42" s="26">
        <v>13151.16</v>
      </c>
      <c r="C42" s="30">
        <f t="shared" si="3"/>
        <v>6.492259111778198E-3</v>
      </c>
      <c r="D42" s="25">
        <v>120.06748749673611</v>
      </c>
      <c r="E42" s="25"/>
      <c r="F42" s="25"/>
      <c r="O42" s="9">
        <v>2017</v>
      </c>
      <c r="P42" s="69"/>
      <c r="Q42" s="69"/>
      <c r="R42" s="69"/>
      <c r="S42" s="69"/>
      <c r="T42" s="69"/>
      <c r="U42" s="69"/>
      <c r="V42" s="69"/>
      <c r="W42" s="69"/>
      <c r="X42" s="69"/>
      <c r="Y42" s="69"/>
      <c r="Z42" s="69"/>
      <c r="AA42" s="69"/>
      <c r="AD42" s="27">
        <v>2017</v>
      </c>
      <c r="AE42" s="28"/>
      <c r="AF42" s="28"/>
      <c r="AG42" s="28"/>
      <c r="AH42" s="28"/>
      <c r="AI42" s="28"/>
      <c r="AJ42" s="28"/>
      <c r="AK42" s="28"/>
      <c r="AL42" s="28"/>
      <c r="AM42" s="28"/>
      <c r="AN42" s="28"/>
      <c r="AO42" s="28"/>
      <c r="AP42" s="28"/>
      <c r="AQ42" s="29"/>
      <c r="AR42" s="15"/>
      <c r="AS42" s="15"/>
      <c r="BE42" s="32"/>
      <c r="BF42" s="32"/>
      <c r="BG42" s="32"/>
      <c r="BH42" s="32"/>
      <c r="BI42" s="32"/>
      <c r="BJ42" s="54"/>
    </row>
    <row r="43" spans="1:62" ht="15" customHeight="1">
      <c r="A43" s="23">
        <v>39871</v>
      </c>
      <c r="B43" s="26">
        <v>13212.09</v>
      </c>
      <c r="C43" s="30">
        <f t="shared" si="3"/>
        <v>4.9639836225202315E-3</v>
      </c>
      <c r="D43" s="25">
        <v>120.62376633549832</v>
      </c>
      <c r="E43" s="25"/>
      <c r="F43" s="25"/>
      <c r="O43" s="9">
        <v>2018</v>
      </c>
      <c r="P43" s="69"/>
      <c r="Q43" s="69"/>
      <c r="R43" s="69"/>
      <c r="S43" s="69"/>
      <c r="T43" s="69"/>
      <c r="U43" s="69"/>
      <c r="V43" s="69"/>
      <c r="W43" s="69"/>
      <c r="X43" s="69"/>
      <c r="Y43" s="69"/>
      <c r="Z43" s="69">
        <f>LOOKUP(DATE($O43,Z$39,Z$38),$A$2:$A$2943,$L$2:$L$2943)</f>
        <v>1.0253323058240227E-3</v>
      </c>
      <c r="AA43" s="69">
        <f>LOOKUP(DATE($O43,AA$39,AA$38),$A$2:$A$2943,$L$2:$L$2943)</f>
        <v>1.3472862452700689E-3</v>
      </c>
      <c r="AD43" s="20">
        <v>2018</v>
      </c>
      <c r="AE43" s="21"/>
      <c r="AF43" s="21"/>
      <c r="AG43" s="21"/>
      <c r="AH43" s="21"/>
      <c r="AI43" s="21"/>
      <c r="AJ43" s="21"/>
      <c r="AK43" s="32"/>
      <c r="AL43" s="32"/>
      <c r="AM43" s="32"/>
      <c r="AN43" s="32"/>
      <c r="AO43" s="32">
        <f t="shared" ref="AO43:AP49" si="33">+Z43</f>
        <v>1.0253323058240227E-3</v>
      </c>
      <c r="AP43" s="32">
        <f t="shared" si="33"/>
        <v>1.3472862452700689E-3</v>
      </c>
      <c r="AQ43" s="22">
        <f>+(K161/K159-1)/COUNTA(AE43:AP43)*12</f>
        <v>1.4513733335515866E-2</v>
      </c>
      <c r="AR43" s="15"/>
      <c r="AS43" s="15"/>
      <c r="BE43" s="32"/>
      <c r="BF43" s="32"/>
      <c r="BG43" s="32"/>
      <c r="BH43" s="32"/>
      <c r="BI43" s="32"/>
      <c r="BJ43" s="54"/>
    </row>
    <row r="44" spans="1:62">
      <c r="A44" s="23">
        <v>39903</v>
      </c>
      <c r="B44" s="26">
        <v>13251.18</v>
      </c>
      <c r="C44" s="30">
        <f t="shared" si="3"/>
        <v>2.773737917316707E-3</v>
      </c>
      <c r="D44" s="25">
        <v>120.98065029754027</v>
      </c>
      <c r="E44" s="25"/>
      <c r="F44" s="25"/>
      <c r="O44" s="9">
        <v>2019</v>
      </c>
      <c r="P44" s="70">
        <f t="shared" ref="P44:Y44" si="34">LOOKUP(DATE($O44,P$39,P$38),$A$2:$A$2943,$L$2:$L$2943)</f>
        <v>1.321015002584915E-3</v>
      </c>
      <c r="Q44" s="70">
        <f t="shared" si="34"/>
        <v>1.3955733355753522E-3</v>
      </c>
      <c r="R44" s="70">
        <f t="shared" si="34"/>
        <v>1.4022137431861147E-3</v>
      </c>
      <c r="S44" s="70">
        <f t="shared" si="34"/>
        <v>1.4166869166138962E-3</v>
      </c>
      <c r="T44" s="70">
        <f t="shared" si="34"/>
        <v>1.3232764368510004E-3</v>
      </c>
      <c r="U44" s="70">
        <f t="shared" si="34"/>
        <v>1.1990712339520204E-3</v>
      </c>
      <c r="V44" s="70">
        <f t="shared" si="34"/>
        <v>1.0036940371863539E-3</v>
      </c>
      <c r="W44" s="70">
        <f t="shared" si="34"/>
        <v>9.3098055061359821E-4</v>
      </c>
      <c r="X44" s="70">
        <f t="shared" si="34"/>
        <v>1.0683167912708402E-3</v>
      </c>
      <c r="Y44" s="70">
        <f t="shared" si="34"/>
        <v>6.2931783503544249E-4</v>
      </c>
      <c r="Z44" s="70">
        <f>LOOKUP(DATE($O44,Z$39,Z$38),$A$2:$A$2943,$L$2:$L$2943)</f>
        <v>6.917263179451183E-4</v>
      </c>
      <c r="AA44" s="70">
        <f>LOOKUP(DATE($O44,AA$39,AA$38),$A$2:$A$2943,$L$2:$L$2943)</f>
        <v>6.004128193114861E-4</v>
      </c>
      <c r="AD44" s="27">
        <v>2019</v>
      </c>
      <c r="AE44" s="60">
        <f t="shared" ref="AE44:AN51" si="35">+P44</f>
        <v>1.321015002584915E-3</v>
      </c>
      <c r="AF44" s="60">
        <f t="shared" si="35"/>
        <v>1.3955733355753522E-3</v>
      </c>
      <c r="AG44" s="60">
        <f t="shared" si="35"/>
        <v>1.4022137431861147E-3</v>
      </c>
      <c r="AH44" s="60">
        <f t="shared" si="35"/>
        <v>1.4166869166138962E-3</v>
      </c>
      <c r="AI44" s="60">
        <f t="shared" si="35"/>
        <v>1.3232764368510004E-3</v>
      </c>
      <c r="AJ44" s="60">
        <f t="shared" si="35"/>
        <v>1.1990712339520204E-3</v>
      </c>
      <c r="AK44" s="60">
        <f t="shared" si="35"/>
        <v>1.0036940371863539E-3</v>
      </c>
      <c r="AL44" s="60">
        <f t="shared" si="35"/>
        <v>9.3098055061359821E-4</v>
      </c>
      <c r="AM44" s="60">
        <f t="shared" si="35"/>
        <v>1.0683167912708402E-3</v>
      </c>
      <c r="AN44" s="60">
        <f t="shared" si="35"/>
        <v>6.2931783503544249E-4</v>
      </c>
      <c r="AO44" s="60">
        <f t="shared" si="33"/>
        <v>6.917263179451183E-4</v>
      </c>
      <c r="AP44" s="60">
        <f t="shared" si="33"/>
        <v>6.004128193114861E-4</v>
      </c>
      <c r="AQ44" s="62">
        <f>+(K173/K161-1)/COUNTA(AE44:AP44)*12</f>
        <v>1.3208385593459049E-2</v>
      </c>
      <c r="AR44" s="15"/>
      <c r="AS44" s="15"/>
      <c r="BE44" s="32"/>
      <c r="BF44" s="32"/>
      <c r="BG44" s="32"/>
      <c r="BH44" s="32"/>
      <c r="BI44" s="32"/>
      <c r="BJ44" s="54"/>
    </row>
    <row r="45" spans="1:62">
      <c r="A45" s="23">
        <v>39933</v>
      </c>
      <c r="B45" s="26">
        <v>13272.62</v>
      </c>
      <c r="C45" s="30">
        <f t="shared" si="3"/>
        <v>1.6179691167126364E-3</v>
      </c>
      <c r="D45" s="25">
        <v>121.17639325344149</v>
      </c>
      <c r="E45" s="25"/>
      <c r="F45" s="25"/>
      <c r="O45" s="9">
        <v>2020</v>
      </c>
      <c r="P45" s="70">
        <f>LOOKUP(DATE($O45,P$39,P$38),$A$2:$A$2943,$L$2:$L$2943)</f>
        <v>4.9404843891394238E-4</v>
      </c>
      <c r="Q45" s="70">
        <f>LOOKUP(DATE($O45,Q$39,Q$38)+1,$A$2:$A$2943,$L$2:$L$2943)</f>
        <v>4.9289128564955866E-4</v>
      </c>
      <c r="R45" s="70">
        <f t="shared" ref="R45:AA45" si="36">LOOKUP(DATE($O45,R$39,R$38),$A:$A,$L:$L)</f>
        <v>9.1798262061139379E-4</v>
      </c>
      <c r="S45" s="70">
        <f t="shared" si="36"/>
        <v>2.2000866331635116E-3</v>
      </c>
      <c r="T45" s="70">
        <f t="shared" si="36"/>
        <v>1.5510543457630094E-4</v>
      </c>
      <c r="U45" s="70">
        <f t="shared" si="36"/>
        <v>1.6024993157248701E-4</v>
      </c>
      <c r="V45" s="70">
        <f t="shared" si="36"/>
        <v>9.6879002422644068E-5</v>
      </c>
      <c r="W45" s="70">
        <f t="shared" si="36"/>
        <v>1.8529460541132214E-4</v>
      </c>
      <c r="X45" s="70">
        <f t="shared" si="36"/>
        <v>7.0870692213009789E-5</v>
      </c>
      <c r="Y45" s="70">
        <f t="shared" si="36"/>
        <v>6.5147737962569353E-5</v>
      </c>
      <c r="Z45" s="70">
        <f t="shared" si="36"/>
        <v>6.0935890083824162E-5</v>
      </c>
      <c r="AA45" s="70">
        <f t="shared" si="36"/>
        <v>5.8670803847292406E-5</v>
      </c>
      <c r="AD45" s="27">
        <v>2020</v>
      </c>
      <c r="AE45" s="60">
        <f t="shared" si="35"/>
        <v>4.9404843891394238E-4</v>
      </c>
      <c r="AF45" s="60">
        <f t="shared" si="35"/>
        <v>4.9289128564955866E-4</v>
      </c>
      <c r="AG45" s="60">
        <f t="shared" si="35"/>
        <v>9.1798262061139379E-4</v>
      </c>
      <c r="AH45" s="60">
        <f t="shared" si="35"/>
        <v>2.2000866331635116E-3</v>
      </c>
      <c r="AI45" s="60">
        <f t="shared" si="35"/>
        <v>1.5510543457630094E-4</v>
      </c>
      <c r="AJ45" s="60">
        <f t="shared" si="35"/>
        <v>1.6024993157248701E-4</v>
      </c>
      <c r="AK45" s="60">
        <f t="shared" si="35"/>
        <v>9.6879002422644068E-5</v>
      </c>
      <c r="AL45" s="60">
        <f t="shared" si="35"/>
        <v>1.8529460541132214E-4</v>
      </c>
      <c r="AM45" s="60">
        <f t="shared" si="35"/>
        <v>7.0870692213009789E-5</v>
      </c>
      <c r="AN45" s="60">
        <f t="shared" si="35"/>
        <v>6.5147737962569353E-5</v>
      </c>
      <c r="AO45" s="60">
        <f t="shared" si="33"/>
        <v>6.0935890083824162E-5</v>
      </c>
      <c r="AP45" s="60">
        <f t="shared" si="33"/>
        <v>5.8670803847292406E-5</v>
      </c>
      <c r="AQ45" s="62">
        <f>+(K185/K173-1)/COUNTA(AE45:AP45)*12</f>
        <v>5.016879430093768E-3</v>
      </c>
      <c r="AR45" s="15"/>
      <c r="AS45" s="15"/>
      <c r="BE45" s="32"/>
      <c r="BF45" s="32"/>
      <c r="BG45" s="32"/>
      <c r="BH45" s="32"/>
      <c r="BI45" s="32"/>
      <c r="BJ45" s="54"/>
    </row>
    <row r="46" spans="1:62">
      <c r="A46" s="23">
        <v>39962</v>
      </c>
      <c r="B46" s="26">
        <v>13286.96</v>
      </c>
      <c r="C46" s="30">
        <f t="shared" si="3"/>
        <v>1.1176755424791784E-3</v>
      </c>
      <c r="D46" s="25">
        <v>121.30731461480453</v>
      </c>
      <c r="E46" s="25"/>
      <c r="F46" s="25"/>
      <c r="O46" s="9">
        <v>2021</v>
      </c>
      <c r="P46" s="70">
        <f>LOOKUP(DATE($O46,P$39,P$38),$A$2:$A$2943,$L$2:$L$2943)</f>
        <v>4.8294483376269819E-5</v>
      </c>
      <c r="Q46" s="70">
        <f t="shared" ref="Q46:AA46" si="37">LOOKUP(DATE($O46,Q$39,Q$38),$A$2:$A$2943,$L$2:$L$2943)</f>
        <v>5.8400224380226818E-5</v>
      </c>
      <c r="R46" s="70">
        <f t="shared" si="37"/>
        <v>5.229220020180354E-5</v>
      </c>
      <c r="S46" s="70">
        <f t="shared" si="37"/>
        <v>6.6256868343383957E-5</v>
      </c>
      <c r="T46" s="70">
        <f t="shared" si="37"/>
        <v>5.8141459223029576E-5</v>
      </c>
      <c r="U46" s="70">
        <f t="shared" si="37"/>
        <v>5.9933297214431747E-5</v>
      </c>
      <c r="V46" s="70">
        <f t="shared" si="37"/>
        <v>5.9888964637381502E-5</v>
      </c>
      <c r="W46" s="70">
        <f t="shared" si="37"/>
        <v>6.0042955155997608E-5</v>
      </c>
      <c r="X46" s="70">
        <f t="shared" si="37"/>
        <v>-1.177670351739657E-4</v>
      </c>
      <c r="Y46" s="70">
        <f t="shared" si="37"/>
        <v>9.8934462740187011E-4</v>
      </c>
      <c r="Z46" s="70">
        <f t="shared" si="37"/>
        <v>1.2592250239187308E-3</v>
      </c>
      <c r="AA46" s="70">
        <f t="shared" si="37"/>
        <v>1.7642827878724863E-3</v>
      </c>
      <c r="AD46" s="27">
        <v>2021</v>
      </c>
      <c r="AE46" s="60">
        <f t="shared" si="35"/>
        <v>4.8294483376269819E-5</v>
      </c>
      <c r="AF46" s="60">
        <f t="shared" si="35"/>
        <v>5.8400224380226818E-5</v>
      </c>
      <c r="AG46" s="60">
        <f t="shared" si="35"/>
        <v>5.229220020180354E-5</v>
      </c>
      <c r="AH46" s="60">
        <f t="shared" si="35"/>
        <v>6.6256868343383957E-5</v>
      </c>
      <c r="AI46" s="60">
        <f t="shared" si="35"/>
        <v>5.8141459223029576E-5</v>
      </c>
      <c r="AJ46" s="60">
        <f t="shared" si="35"/>
        <v>5.9933297214431747E-5</v>
      </c>
      <c r="AK46" s="60">
        <f t="shared" si="35"/>
        <v>5.9888964637381502E-5</v>
      </c>
      <c r="AL46" s="60">
        <f t="shared" si="35"/>
        <v>6.0042955155997608E-5</v>
      </c>
      <c r="AM46" s="60">
        <f t="shared" si="35"/>
        <v>-1.177670351739657E-4</v>
      </c>
      <c r="AN46" s="60">
        <f t="shared" si="35"/>
        <v>9.8934462740187011E-4</v>
      </c>
      <c r="AO46" s="60">
        <f t="shared" si="33"/>
        <v>1.2592250239187308E-3</v>
      </c>
      <c r="AP46" s="60">
        <f t="shared" si="33"/>
        <v>1.7642827878724863E-3</v>
      </c>
      <c r="AQ46" s="62">
        <f>+(K197/K185-1)/COUNTA(AE46:AP46)*12</f>
        <v>4.4624510187976085E-3</v>
      </c>
      <c r="AR46" s="47"/>
      <c r="AS46" s="15"/>
      <c r="BD46" s="32"/>
      <c r="BE46" s="32"/>
      <c r="BF46" s="32"/>
      <c r="BG46" s="32"/>
      <c r="BH46" s="32"/>
      <c r="BI46" s="32"/>
      <c r="BJ46" s="54"/>
    </row>
    <row r="47" spans="1:62" ht="15.75" customHeight="1">
      <c r="A47" s="23">
        <v>39994</v>
      </c>
      <c r="B47" s="26">
        <v>13299.08</v>
      </c>
      <c r="C47" s="30">
        <f t="shared" si="3"/>
        <v>8.5516175257552285E-4</v>
      </c>
      <c r="D47" s="25">
        <v>121.41796781562182</v>
      </c>
      <c r="E47" s="25"/>
      <c r="F47" s="25"/>
      <c r="O47" s="9">
        <v>2022</v>
      </c>
      <c r="P47" s="70">
        <f>LOOKUP(DATE($O47,P$39,P$38),$A$2:$A$2943,$L$2:$L$2943)</f>
        <v>2.4887105780919826E-3</v>
      </c>
      <c r="Q47" s="70">
        <f>LOOKUP(DATE($O47,Q$39,Q$38),$A$2:$A$2943,$L$2:$L$2943)</f>
        <v>3.5360838485577945E-3</v>
      </c>
      <c r="R47" s="70">
        <f>LOOKUP(DATE($O47,R$39,R$38),$A$2:$A$2943,$L$2:$L$2943)</f>
        <v>3.6702644977257191E-3</v>
      </c>
      <c r="S47" s="70">
        <f>LOOKUP(DATE($O47,S$39,S$38),$A$2:$A$2943,$L$2:$L$2943)</f>
        <v>4.5716132579094459E-3</v>
      </c>
      <c r="T47" s="70">
        <f>+L202</f>
        <v>5.3328000823584729E-3</v>
      </c>
      <c r="U47" s="70">
        <f>+L203</f>
        <v>5.8835914511081722E-3</v>
      </c>
      <c r="V47" s="70">
        <f>+L204</f>
        <v>6.3018066910423788E-3</v>
      </c>
      <c r="W47" s="70">
        <f>+L205</f>
        <v>6.8036664825705234E-3</v>
      </c>
      <c r="X47" s="70">
        <f>+L206</f>
        <v>7.3357454740365924E-3</v>
      </c>
      <c r="Y47" s="70">
        <f>+L207</f>
        <v>7.7595565631868469E-3</v>
      </c>
      <c r="Z47" s="70">
        <f>+L208</f>
        <v>7.9470951784548823E-3</v>
      </c>
      <c r="AA47" s="70">
        <f>+L209</f>
        <v>7.9281719511867799E-3</v>
      </c>
      <c r="AD47" s="27">
        <v>2022</v>
      </c>
      <c r="AE47" s="60">
        <f t="shared" si="35"/>
        <v>2.4887105780919826E-3</v>
      </c>
      <c r="AF47" s="60">
        <f t="shared" si="35"/>
        <v>3.5360838485577945E-3</v>
      </c>
      <c r="AG47" s="60">
        <f t="shared" si="35"/>
        <v>3.6702644977257191E-3</v>
      </c>
      <c r="AH47" s="60">
        <f t="shared" si="35"/>
        <v>4.5716132579094459E-3</v>
      </c>
      <c r="AI47" s="60">
        <f t="shared" si="35"/>
        <v>5.3328000823584729E-3</v>
      </c>
      <c r="AJ47" s="60">
        <f t="shared" si="35"/>
        <v>5.8835914511081722E-3</v>
      </c>
      <c r="AK47" s="60">
        <f t="shared" si="35"/>
        <v>6.3018066910423788E-3</v>
      </c>
      <c r="AL47" s="60">
        <f t="shared" si="35"/>
        <v>6.8036664825705234E-3</v>
      </c>
      <c r="AM47" s="60">
        <f t="shared" si="35"/>
        <v>7.3357454740365924E-3</v>
      </c>
      <c r="AN47" s="60">
        <f t="shared" si="35"/>
        <v>7.7595565631868469E-3</v>
      </c>
      <c r="AO47" s="60">
        <f t="shared" si="33"/>
        <v>7.9470951784548823E-3</v>
      </c>
      <c r="AP47" s="60">
        <f t="shared" si="33"/>
        <v>7.9281719511867799E-3</v>
      </c>
      <c r="AQ47" s="62">
        <f>+(K209/K197-1)/COUNTA(AE47:AP47)*12</f>
        <v>7.2716429569050778E-2</v>
      </c>
      <c r="AR47" s="15"/>
      <c r="AS47" s="15"/>
      <c r="BD47" s="32"/>
      <c r="BE47" s="32"/>
      <c r="BF47" s="32"/>
      <c r="BG47" s="32"/>
      <c r="BH47" s="32"/>
      <c r="BI47" s="32"/>
      <c r="BJ47" s="54"/>
    </row>
    <row r="48" spans="1:62">
      <c r="A48" s="23">
        <v>40025</v>
      </c>
      <c r="B48" s="26">
        <v>13305.34</v>
      </c>
      <c r="C48" s="30">
        <f t="shared" si="3"/>
        <v>4.5552508264703405E-4</v>
      </c>
      <c r="D48" s="25">
        <v>121.47512037644002</v>
      </c>
      <c r="E48" s="25"/>
      <c r="F48" s="25"/>
      <c r="O48" s="9">
        <v>2023</v>
      </c>
      <c r="P48" s="76">
        <f>+L210</f>
        <v>7.9137303338899789E-3</v>
      </c>
      <c r="Q48" s="76">
        <f>+L211</f>
        <v>7.9154666268472455E-3</v>
      </c>
      <c r="R48" s="76">
        <f>+L212</f>
        <v>7.9455277190181878E-3</v>
      </c>
      <c r="S48" s="76">
        <f>+L213</f>
        <v>7.9909061585437761E-3</v>
      </c>
      <c r="T48" s="76">
        <f>+L214</f>
        <v>8.0227967463225077E-3</v>
      </c>
      <c r="U48" s="76">
        <f>+L215</f>
        <v>8.0028913540715063E-3</v>
      </c>
      <c r="V48" s="76">
        <f>+L216</f>
        <v>7.9398117033956418E-3</v>
      </c>
      <c r="W48" s="76">
        <f>+L217</f>
        <v>7.3512441107239221E-3</v>
      </c>
      <c r="X48" s="76">
        <f>+L218</f>
        <v>6.7847871299051565E-3</v>
      </c>
      <c r="Y48" s="76">
        <f>+L219</f>
        <v>6.4607595250783471E-3</v>
      </c>
      <c r="Z48" s="76">
        <f>+L220</f>
        <v>6.1695672319295181E-3</v>
      </c>
      <c r="AA48" s="76">
        <f>+L221</f>
        <v>5.9047276102804306E-3</v>
      </c>
      <c r="AD48" s="27">
        <v>2023</v>
      </c>
      <c r="AE48" s="60">
        <f t="shared" si="35"/>
        <v>7.9137303338899789E-3</v>
      </c>
      <c r="AF48" s="60">
        <f t="shared" si="35"/>
        <v>7.9154666268472455E-3</v>
      </c>
      <c r="AG48" s="60">
        <f t="shared" si="35"/>
        <v>7.9455277190181878E-3</v>
      </c>
      <c r="AH48" s="60">
        <f t="shared" si="35"/>
        <v>7.9909061585437761E-3</v>
      </c>
      <c r="AI48" s="60">
        <f t="shared" si="35"/>
        <v>8.0227967463225077E-3</v>
      </c>
      <c r="AJ48" s="60">
        <f t="shared" si="35"/>
        <v>8.0028913540715063E-3</v>
      </c>
      <c r="AK48" s="60">
        <f t="shared" si="35"/>
        <v>7.9398117033956418E-3</v>
      </c>
      <c r="AL48" s="60">
        <f t="shared" si="35"/>
        <v>7.3512441107239221E-3</v>
      </c>
      <c r="AM48" s="60">
        <f t="shared" si="35"/>
        <v>6.7847871299051565E-3</v>
      </c>
      <c r="AN48" s="60">
        <f t="shared" si="35"/>
        <v>6.4607595250783471E-3</v>
      </c>
      <c r="AO48" s="60">
        <f t="shared" si="33"/>
        <v>6.1695672319295181E-3</v>
      </c>
      <c r="AP48" s="60">
        <f t="shared" si="33"/>
        <v>5.9047276102804306E-3</v>
      </c>
      <c r="AQ48" s="62">
        <f>+(K221/K209-1)/COUNTA(AE48:AP48)*12</f>
        <v>9.364840576365796E-2</v>
      </c>
      <c r="AR48" s="47"/>
      <c r="AS48" s="15"/>
      <c r="BD48" s="32"/>
      <c r="BE48" s="32"/>
      <c r="BF48" s="32"/>
      <c r="BG48" s="32"/>
      <c r="BH48" s="32"/>
      <c r="BI48" s="32"/>
      <c r="BJ48" s="54"/>
    </row>
    <row r="49" spans="1:63">
      <c r="A49" s="23">
        <v>40056</v>
      </c>
      <c r="B49" s="26">
        <v>13310.07</v>
      </c>
      <c r="C49" s="30">
        <f t="shared" si="3"/>
        <v>3.4402873995243246E-4</v>
      </c>
      <c r="D49" s="25">
        <v>121.5183043401253</v>
      </c>
      <c r="E49" s="25"/>
      <c r="F49" s="25"/>
      <c r="O49" s="9">
        <v>2024</v>
      </c>
      <c r="P49" s="76">
        <f>+L222</f>
        <v>5.6825126629855838E-3</v>
      </c>
      <c r="Q49" s="76">
        <f>+L223</f>
        <v>5.2602525212990022E-3</v>
      </c>
      <c r="R49" s="76">
        <f>+L224</f>
        <v>4.306596342454643E-3</v>
      </c>
      <c r="S49" s="76">
        <f>+L225</f>
        <v>4.7201240336098849E-3</v>
      </c>
      <c r="T49" s="76">
        <f>+L226</f>
        <v>4.0333517960835794E-3</v>
      </c>
      <c r="U49" s="76">
        <f>+L227</f>
        <v>3.6501931277677091E-3</v>
      </c>
      <c r="V49" s="76">
        <f>+L228</f>
        <v>3.516896201691893E-3</v>
      </c>
      <c r="W49" s="76">
        <f>+L229</f>
        <v>3.5106478218695273E-3</v>
      </c>
      <c r="X49" s="76">
        <f>+L230</f>
        <v>3.3754452875442986E-3</v>
      </c>
      <c r="Y49" s="76">
        <f>+L231</f>
        <v>3.3007867700120667E-3</v>
      </c>
      <c r="Z49" s="76">
        <f>+L232</f>
        <v>3.220374604913312E-3</v>
      </c>
      <c r="AA49" s="76">
        <f>+L233</f>
        <v>3.1256670019151563E-3</v>
      </c>
      <c r="AD49" s="27">
        <v>2024</v>
      </c>
      <c r="AE49" s="60">
        <f t="shared" si="35"/>
        <v>5.6825126629855838E-3</v>
      </c>
      <c r="AF49" s="60">
        <f t="shared" si="35"/>
        <v>5.2602525212990022E-3</v>
      </c>
      <c r="AG49" s="60">
        <f t="shared" si="35"/>
        <v>4.306596342454643E-3</v>
      </c>
      <c r="AH49" s="60">
        <f t="shared" si="35"/>
        <v>4.7201240336098849E-3</v>
      </c>
      <c r="AI49" s="60">
        <f t="shared" si="35"/>
        <v>4.0333517960835794E-3</v>
      </c>
      <c r="AJ49" s="60">
        <f t="shared" si="35"/>
        <v>3.6501931277677091E-3</v>
      </c>
      <c r="AK49" s="60">
        <f t="shared" si="35"/>
        <v>3.516896201691893E-3</v>
      </c>
      <c r="AL49" s="60">
        <f t="shared" si="35"/>
        <v>3.5106478218695273E-3</v>
      </c>
      <c r="AM49" s="60">
        <f t="shared" si="35"/>
        <v>3.3754452875442986E-3</v>
      </c>
      <c r="AN49" s="60">
        <f t="shared" si="35"/>
        <v>3.3007867700120667E-3</v>
      </c>
      <c r="AO49" s="60">
        <f t="shared" si="33"/>
        <v>3.220374604913312E-3</v>
      </c>
      <c r="AP49" s="60">
        <f t="shared" si="33"/>
        <v>3.1256670019151563E-3</v>
      </c>
      <c r="AQ49" s="62">
        <f>+(K233/K221-1)/COUNTA(AE49:AP49)*12</f>
        <v>4.9529562919770731E-2</v>
      </c>
      <c r="AR49" s="15"/>
      <c r="AS49" s="15"/>
      <c r="BD49" s="32"/>
      <c r="BE49" s="32"/>
      <c r="BF49" s="32"/>
      <c r="BG49" s="32"/>
      <c r="BH49" s="32"/>
      <c r="BI49" s="32"/>
      <c r="BJ49" s="54"/>
    </row>
    <row r="50" spans="1:63">
      <c r="A50" s="23">
        <v>40086</v>
      </c>
      <c r="B50" s="26">
        <v>13315.05</v>
      </c>
      <c r="C50" s="30">
        <f t="shared" si="3"/>
        <v>3.7415280310315602E-4</v>
      </c>
      <c r="D50" s="25">
        <v>121.56377075432249</v>
      </c>
      <c r="E50" s="25"/>
      <c r="F50" s="25"/>
      <c r="O50" s="9">
        <v>2025</v>
      </c>
      <c r="P50" s="76">
        <f>+L234</f>
        <v>2.9227841942386906E-3</v>
      </c>
      <c r="Q50" s="76">
        <f>+L235</f>
        <v>2.9594332610154745E-3</v>
      </c>
      <c r="R50" s="76">
        <f>+L236</f>
        <v>2.9640260547417283E-3</v>
      </c>
      <c r="S50" s="76">
        <f>+L237</f>
        <v>2.975949685819046E-3</v>
      </c>
      <c r="T50" s="76">
        <f>+L238</f>
        <v>2.9900927639951859E-3</v>
      </c>
      <c r="U50" s="76">
        <f>+L239</f>
        <v>2.9970524574272073E-3</v>
      </c>
      <c r="V50" s="76">
        <f>+L240</f>
        <v>2.8553705108841547E-3</v>
      </c>
      <c r="W50" s="76">
        <f>+L241</f>
        <v>2.9037505072629097E-3</v>
      </c>
      <c r="X50" s="76">
        <f>+L242</f>
        <v>2.7616149661373601E-3</v>
      </c>
      <c r="Y50" s="76">
        <f>+L243</f>
        <v>2.7727690882051537E-3</v>
      </c>
      <c r="Z50" s="76">
        <f>+L244</f>
        <v>2.7950157631990713E-3</v>
      </c>
      <c r="AA50" s="76">
        <f>+L245</f>
        <v>2.7462256444606729E-3</v>
      </c>
      <c r="AD50" s="27">
        <v>2025</v>
      </c>
      <c r="AE50" s="60">
        <f t="shared" ref="AE50:AP51" si="38">+P50</f>
        <v>2.9227841942386906E-3</v>
      </c>
      <c r="AF50" s="60">
        <f t="shared" si="38"/>
        <v>2.9594332610154745E-3</v>
      </c>
      <c r="AG50" s="60">
        <f t="shared" si="38"/>
        <v>2.9640260547417283E-3</v>
      </c>
      <c r="AH50" s="60">
        <f t="shared" si="38"/>
        <v>2.975949685819046E-3</v>
      </c>
      <c r="AI50" s="60">
        <f t="shared" si="38"/>
        <v>2.9900927639951859E-3</v>
      </c>
      <c r="AJ50" s="60">
        <f t="shared" si="38"/>
        <v>2.9970524574272073E-3</v>
      </c>
      <c r="AK50" s="60">
        <f t="shared" si="38"/>
        <v>2.8553705108841547E-3</v>
      </c>
      <c r="AL50" s="60">
        <f t="shared" si="38"/>
        <v>2.9037505072629097E-3</v>
      </c>
      <c r="AM50" s="60">
        <f t="shared" si="38"/>
        <v>2.7616149661373601E-3</v>
      </c>
      <c r="AN50" s="60">
        <f t="shared" si="38"/>
        <v>2.7727690882051537E-3</v>
      </c>
      <c r="AO50" s="60">
        <f t="shared" si="38"/>
        <v>2.7950157631990713E-3</v>
      </c>
      <c r="AP50" s="60">
        <f t="shared" si="38"/>
        <v>2.7462256444606729E-3</v>
      </c>
      <c r="AQ50" s="62">
        <f>+(K245/K234-1)/COUNTA(AE50:AP50)*12</f>
        <v>3.2570786205744717E-2</v>
      </c>
      <c r="AR50" s="47"/>
      <c r="AS50" s="15"/>
      <c r="BD50" s="32"/>
      <c r="BE50" s="32"/>
      <c r="BF50" s="32"/>
      <c r="BG50" s="32"/>
      <c r="BH50" s="32"/>
      <c r="BI50" s="32"/>
      <c r="BJ50" s="54"/>
    </row>
    <row r="51" spans="1:63">
      <c r="A51" s="23">
        <v>40116</v>
      </c>
      <c r="B51" s="26">
        <v>13319.74</v>
      </c>
      <c r="C51" s="30">
        <f t="shared" si="3"/>
        <v>3.522329995007123E-4</v>
      </c>
      <c r="D51" s="25">
        <v>121.60658952592591</v>
      </c>
      <c r="E51" s="25"/>
      <c r="F51" s="25"/>
      <c r="O51" s="9">
        <v>2026</v>
      </c>
      <c r="P51" s="76">
        <f>+L246</f>
        <v>2.6365530529619398E-3</v>
      </c>
      <c r="Q51" s="76">
        <f>+L247</f>
        <v>2.6198746785023792E-3</v>
      </c>
      <c r="R51" s="76">
        <f>+L248</f>
        <v>2.6010737917912404E-3</v>
      </c>
      <c r="S51" s="76">
        <f>+L249</f>
        <v>2.5969787217614559E-3</v>
      </c>
      <c r="AD51" s="27">
        <v>2026</v>
      </c>
      <c r="AE51" s="60">
        <f t="shared" si="38"/>
        <v>2.6365530529619398E-3</v>
      </c>
      <c r="AF51" s="60">
        <f t="shared" ref="AF51" si="39">+Q51</f>
        <v>2.6198746785023792E-3</v>
      </c>
      <c r="AG51" s="60">
        <f t="shared" ref="AG51" si="40">+R51</f>
        <v>2.6010737917912404E-3</v>
      </c>
      <c r="AH51" s="60">
        <f t="shared" si="35"/>
        <v>2.5969787217614559E-3</v>
      </c>
      <c r="AI51" s="15"/>
      <c r="AJ51" s="15"/>
      <c r="AK51" s="15"/>
      <c r="AL51" s="15"/>
      <c r="AM51" s="15"/>
      <c r="AN51" s="15"/>
      <c r="AO51" s="15"/>
      <c r="AP51" s="15"/>
      <c r="AQ51" s="62">
        <f>+(K249/K246-1)/COUNTA(AE51:AP51)*12</f>
        <v>2.3249672624455764E-2</v>
      </c>
      <c r="AR51" s="47"/>
      <c r="AS51" s="15"/>
      <c r="BD51" s="32"/>
      <c r="BE51" s="32"/>
      <c r="BF51" s="32"/>
      <c r="BG51" s="32"/>
      <c r="BH51" s="32"/>
      <c r="BI51" s="32"/>
      <c r="BJ51" s="54"/>
      <c r="BK51" s="56"/>
    </row>
    <row r="52" spans="1:63">
      <c r="A52" s="23">
        <v>40147</v>
      </c>
      <c r="B52" s="26">
        <v>13324.51</v>
      </c>
      <c r="C52" s="30">
        <f t="shared" si="3"/>
        <v>3.4656299839617581E-4</v>
      </c>
      <c r="D52" s="25">
        <v>121.65013868169312</v>
      </c>
      <c r="E52" s="25"/>
      <c r="F52" s="25"/>
      <c r="AD52" s="31"/>
      <c r="AE52" s="15"/>
      <c r="AF52" s="15"/>
      <c r="AG52" s="15"/>
      <c r="AH52" s="15"/>
      <c r="AI52" s="15"/>
      <c r="AJ52" s="15"/>
      <c r="AK52" s="15"/>
      <c r="AL52" s="15"/>
      <c r="AM52" s="15"/>
      <c r="AN52" s="15"/>
      <c r="AO52" s="15"/>
      <c r="AP52" s="15"/>
      <c r="AQ52" s="15"/>
      <c r="AR52" s="47"/>
      <c r="AS52" s="15"/>
      <c r="BD52" s="32"/>
      <c r="BE52" s="32"/>
      <c r="BF52" s="32"/>
      <c r="BG52" s="32"/>
      <c r="BH52" s="32"/>
      <c r="BI52" s="32"/>
      <c r="BJ52" s="54"/>
      <c r="BK52" s="56"/>
    </row>
    <row r="53" spans="1:63">
      <c r="A53" s="23">
        <v>40178</v>
      </c>
      <c r="B53" s="26">
        <v>13329.5</v>
      </c>
      <c r="C53" s="30">
        <f t="shared" si="3"/>
        <v>3.6241724896941336E-4</v>
      </c>
      <c r="D53" s="25">
        <v>121.69569639391081</v>
      </c>
      <c r="E53" s="25"/>
      <c r="F53" s="25"/>
      <c r="AD53" s="31" t="s">
        <v>27</v>
      </c>
      <c r="AE53" s="15"/>
      <c r="AF53" s="15"/>
      <c r="AG53" s="15"/>
      <c r="AH53" s="15"/>
      <c r="AI53" s="15"/>
      <c r="AJ53" s="15"/>
      <c r="AK53" s="15"/>
      <c r="AL53" s="15"/>
      <c r="AM53" s="15"/>
      <c r="AN53" s="15"/>
      <c r="AO53" s="15"/>
      <c r="AP53" s="15"/>
      <c r="AQ53" s="15"/>
      <c r="AR53" s="15"/>
      <c r="AS53" s="15"/>
    </row>
    <row r="54" spans="1:63">
      <c r="A54" s="23">
        <v>40207</v>
      </c>
      <c r="B54" s="26">
        <v>13334.25</v>
      </c>
      <c r="C54" s="30">
        <f t="shared" si="3"/>
        <v>3.6864046689279314E-4</v>
      </c>
      <c r="D54" s="25">
        <v>121.73906295363706</v>
      </c>
      <c r="E54" s="25"/>
      <c r="F54" s="25"/>
      <c r="AD54" s="31"/>
      <c r="AE54" s="15"/>
      <c r="AF54" s="15"/>
      <c r="AG54" s="15"/>
      <c r="AH54" s="15"/>
      <c r="AI54" s="15"/>
      <c r="AJ54" s="15"/>
      <c r="AK54" s="15"/>
      <c r="AL54" s="15"/>
      <c r="AM54" s="15"/>
      <c r="AN54" s="15"/>
      <c r="AO54" s="15"/>
      <c r="AP54" s="15"/>
      <c r="AQ54" s="15"/>
      <c r="AR54" s="55"/>
      <c r="AS54" s="15"/>
    </row>
    <row r="55" spans="1:63">
      <c r="A55" s="23">
        <v>40235</v>
      </c>
      <c r="B55" s="26">
        <v>13338.53</v>
      </c>
      <c r="C55" s="30">
        <f t="shared" si="3"/>
        <v>3.4390492796473486E-4</v>
      </c>
      <c r="D55" s="25">
        <v>121.77813850640091</v>
      </c>
      <c r="E55" s="25"/>
      <c r="F55" s="25"/>
      <c r="AC55" s="49" t="s">
        <v>36</v>
      </c>
      <c r="AD55" s="50" t="s">
        <v>37</v>
      </c>
      <c r="AE55" s="50" t="s">
        <v>4</v>
      </c>
      <c r="AF55" s="50" t="s">
        <v>5</v>
      </c>
      <c r="AG55" s="50" t="s">
        <v>6</v>
      </c>
      <c r="AH55" s="50" t="s">
        <v>7</v>
      </c>
      <c r="AI55" s="50" t="s">
        <v>8</v>
      </c>
      <c r="AJ55" s="50" t="s">
        <v>9</v>
      </c>
      <c r="AK55" s="50" t="s">
        <v>10</v>
      </c>
      <c r="AL55" s="50" t="s">
        <v>11</v>
      </c>
      <c r="AM55" s="50" t="s">
        <v>12</v>
      </c>
      <c r="AN55" s="50" t="s">
        <v>13</v>
      </c>
      <c r="AO55" s="50" t="s">
        <v>14</v>
      </c>
      <c r="AP55" s="50" t="s">
        <v>15</v>
      </c>
      <c r="AQ55" s="50" t="s">
        <v>16</v>
      </c>
      <c r="AR55" s="15"/>
      <c r="AS55" s="15"/>
    </row>
    <row r="56" spans="1:63">
      <c r="A56" s="23">
        <v>40268</v>
      </c>
      <c r="B56" s="26">
        <v>13343.79</v>
      </c>
      <c r="C56" s="30">
        <f t="shared" si="3"/>
        <v>3.58496639571185E-4</v>
      </c>
      <c r="D56" s="25">
        <v>121.82616126517148</v>
      </c>
      <c r="E56" s="25"/>
      <c r="F56" s="25"/>
      <c r="AC56" s="63">
        <v>2013</v>
      </c>
      <c r="AD56" s="63" t="s">
        <v>3</v>
      </c>
      <c r="AE56" s="64">
        <f t="shared" ref="AE56:AQ56" si="41">AE9</f>
        <v>4.7208918581720383E-3</v>
      </c>
      <c r="AF56" s="64">
        <f t="shared" si="41"/>
        <v>3.8962304837975026E-3</v>
      </c>
      <c r="AG56" s="64">
        <f t="shared" si="41"/>
        <v>3.8950743967856027E-3</v>
      </c>
      <c r="AH56" s="64">
        <f t="shared" si="41"/>
        <v>4.5881192487038369E-3</v>
      </c>
      <c r="AI56" s="64">
        <f t="shared" si="41"/>
        <v>4.3264751130416279E-3</v>
      </c>
      <c r="AJ56" s="64">
        <f t="shared" si="41"/>
        <v>3.8974733394703254E-3</v>
      </c>
      <c r="AK56" s="64">
        <f t="shared" si="41"/>
        <v>4.6128972762127241E-3</v>
      </c>
      <c r="AL56" s="64">
        <f t="shared" si="41"/>
        <v>4.1770099093310087E-3</v>
      </c>
      <c r="AM56" s="64">
        <f t="shared" si="41"/>
        <v>4.3152323943249637E-3</v>
      </c>
      <c r="AN56" s="64">
        <f t="shared" si="41"/>
        <v>4.0907650188917177E-3</v>
      </c>
      <c r="AO56" s="64">
        <f t="shared" si="41"/>
        <v>3.9024427877456525E-3</v>
      </c>
      <c r="AP56" s="64">
        <f t="shared" si="41"/>
        <v>3.8821496683330015E-3</v>
      </c>
      <c r="AQ56" s="65">
        <f t="shared" si="41"/>
        <v>5.1480393340577635E-2</v>
      </c>
      <c r="AR56" s="47"/>
      <c r="AS56" s="47"/>
    </row>
    <row r="57" spans="1:63">
      <c r="A57" s="23">
        <v>40298</v>
      </c>
      <c r="B57" s="26">
        <v>13348.63</v>
      </c>
      <c r="C57" s="30">
        <f t="shared" si="3"/>
        <v>3.6271554033739939E-4</v>
      </c>
      <c r="D57" s="25">
        <v>121.87034950708198</v>
      </c>
      <c r="E57" s="25"/>
      <c r="F57" s="25"/>
      <c r="AC57" s="52">
        <v>2014</v>
      </c>
      <c r="AD57" s="52" t="s">
        <v>3</v>
      </c>
      <c r="AE57" s="53">
        <f t="shared" ref="AE57:AQ57" si="42">AE10</f>
        <v>4.0042919988161341E-3</v>
      </c>
      <c r="AF57" s="53">
        <f t="shared" si="42"/>
        <v>3.432358332618346E-3</v>
      </c>
      <c r="AG57" s="53">
        <f t="shared" si="42"/>
        <v>3.5497930342753836E-3</v>
      </c>
      <c r="AH57" s="53">
        <f t="shared" si="42"/>
        <v>3.3378489992446081E-3</v>
      </c>
      <c r="AI57" s="53">
        <f t="shared" si="42"/>
        <v>3.3374356897462043E-3</v>
      </c>
      <c r="AJ57" s="53">
        <f t="shared" si="42"/>
        <v>3.4491836159078471E-3</v>
      </c>
      <c r="AK57" s="53">
        <f t="shared" si="42"/>
        <v>3.3511289837990788E-3</v>
      </c>
      <c r="AL57" s="53">
        <f t="shared" si="42"/>
        <v>2.9489802143785049E-3</v>
      </c>
      <c r="AM57" s="53">
        <f t="shared" si="42"/>
        <v>2.9682413077145586E-3</v>
      </c>
      <c r="AN57" s="53">
        <f t="shared" si="42"/>
        <v>2.6295969209766401E-3</v>
      </c>
      <c r="AO57" s="53">
        <f t="shared" si="42"/>
        <v>2.4227108931254016E-3</v>
      </c>
      <c r="AP57" s="53">
        <f t="shared" si="42"/>
        <v>2.6711641731489433E-3</v>
      </c>
      <c r="AQ57" s="51">
        <f t="shared" si="42"/>
        <v>3.8774075510599859E-2</v>
      </c>
      <c r="AR57" s="47"/>
      <c r="AS57" s="47"/>
    </row>
    <row r="58" spans="1:63">
      <c r="A58" s="23">
        <v>40329</v>
      </c>
      <c r="B58" s="26">
        <v>13353.5</v>
      </c>
      <c r="C58" s="30">
        <f t="shared" si="3"/>
        <v>3.5306269076350988E-4</v>
      </c>
      <c r="D58" s="25">
        <v>121.91481164305395</v>
      </c>
      <c r="E58" s="25"/>
      <c r="F58" s="25"/>
      <c r="AC58" s="63">
        <v>2015</v>
      </c>
      <c r="AD58" s="63" t="s">
        <v>3</v>
      </c>
      <c r="AE58" s="64">
        <f t="shared" ref="AE58:AQ58" si="43">AE11</f>
        <v>2.5891255498666776E-3</v>
      </c>
      <c r="AF58" s="64">
        <f t="shared" si="43"/>
        <v>2.3349759427648831E-3</v>
      </c>
      <c r="AG58" s="64">
        <f t="shared" si="43"/>
        <v>2.6717559584374939E-3</v>
      </c>
      <c r="AH58" s="64">
        <f t="shared" si="43"/>
        <v>2.5049535303691695E-3</v>
      </c>
      <c r="AI58" s="64">
        <f t="shared" si="43"/>
        <v>2.4184443772992115E-3</v>
      </c>
      <c r="AJ58" s="64">
        <f t="shared" si="43"/>
        <v>2.6691540764793853E-3</v>
      </c>
      <c r="AK58" s="64">
        <f t="shared" si="43"/>
        <v>2.5846248392549231E-3</v>
      </c>
      <c r="AL58" s="64">
        <f t="shared" si="43"/>
        <v>2.5839949176806876E-3</v>
      </c>
      <c r="AM58" s="64">
        <f t="shared" si="43"/>
        <v>2.5057257397729238E-3</v>
      </c>
      <c r="AN58" s="64">
        <f t="shared" si="43"/>
        <v>2.6027066708762536E-3</v>
      </c>
      <c r="AO58" s="64">
        <f t="shared" si="43"/>
        <v>2.8025006376124484E-3</v>
      </c>
      <c r="AP58" s="64">
        <f t="shared" si="43"/>
        <v>2.7922804817983593E-3</v>
      </c>
      <c r="AQ58" s="65">
        <f t="shared" si="43"/>
        <v>3.1506145181407819E-2</v>
      </c>
      <c r="AR58" s="55" t="s">
        <v>23</v>
      </c>
      <c r="AS58" s="47"/>
    </row>
    <row r="59" spans="1:63">
      <c r="A59" s="23">
        <v>40359</v>
      </c>
      <c r="B59" s="26">
        <v>13360.9</v>
      </c>
      <c r="C59" s="30">
        <f t="shared" si="3"/>
        <v>5.5416183023182519E-4</v>
      </c>
      <c r="D59" s="25">
        <v>121.98237217820645</v>
      </c>
      <c r="E59" s="25"/>
      <c r="F59" s="25"/>
      <c r="AC59" s="52">
        <v>2016</v>
      </c>
      <c r="AD59" s="52" t="s">
        <v>3</v>
      </c>
      <c r="AE59" s="53">
        <f t="shared" ref="AE59:AQ59" si="44">AE12</f>
        <v>2.9214384884488354E-3</v>
      </c>
      <c r="AF59" s="53">
        <f t="shared" si="44"/>
        <v>3.0180005568223311E-3</v>
      </c>
      <c r="AG59" s="53">
        <f t="shared" si="44"/>
        <v>3.0183890916601896E-3</v>
      </c>
      <c r="AH59" s="53">
        <f t="shared" si="44"/>
        <v>2.8228468859290423E-3</v>
      </c>
      <c r="AI59" s="53">
        <f t="shared" si="44"/>
        <v>3.1161611436594239E-3</v>
      </c>
      <c r="AJ59" s="53">
        <f t="shared" si="44"/>
        <v>2.9205377918999353E-3</v>
      </c>
      <c r="AK59" s="53">
        <f t="shared" si="44"/>
        <v>3.0178932999258556E-3</v>
      </c>
      <c r="AL59" s="53">
        <f t="shared" si="44"/>
        <v>3.0181426760478303E-3</v>
      </c>
      <c r="AM59" s="53">
        <f t="shared" si="44"/>
        <v>2.9247653385948702E-3</v>
      </c>
      <c r="AN59" s="53">
        <f t="shared" si="44"/>
        <v>3.013617796285617E-3</v>
      </c>
      <c r="AO59" s="53">
        <f t="shared" si="44"/>
        <v>2.9201880756000165E-3</v>
      </c>
      <c r="AP59" s="53">
        <f t="shared" si="44"/>
        <v>3.0401844854939242E-3</v>
      </c>
      <c r="AQ59" s="51">
        <f t="shared" si="44"/>
        <v>3.6343837890229658E-2</v>
      </c>
      <c r="AR59" s="55"/>
      <c r="AS59" s="47"/>
    </row>
    <row r="60" spans="1:63">
      <c r="A60" s="23">
        <v>40389</v>
      </c>
      <c r="B60" s="26">
        <v>13373.99</v>
      </c>
      <c r="C60" s="30">
        <f t="shared" si="3"/>
        <v>9.7972441976224012E-4</v>
      </c>
      <c r="D60" s="25">
        <v>122.10188128700995</v>
      </c>
      <c r="E60" s="25"/>
      <c r="F60" s="25"/>
      <c r="AC60" s="106">
        <v>2017</v>
      </c>
      <c r="AD60" s="63" t="s">
        <v>3</v>
      </c>
      <c r="AE60" s="64">
        <f t="shared" ref="AE60:AP60" si="45">+AE13</f>
        <v>2.8965408683991889E-3</v>
      </c>
      <c r="AF60" s="64">
        <f t="shared" si="45"/>
        <v>2.5015194138413577E-3</v>
      </c>
      <c r="AG60" s="64">
        <f t="shared" si="45"/>
        <v>2.702122042893329E-3</v>
      </c>
      <c r="AH60" s="64">
        <f t="shared" si="45"/>
        <v>2.254912855054636E-3</v>
      </c>
      <c r="AI60" s="64">
        <f t="shared" si="45"/>
        <v>2.4374684442505234E-3</v>
      </c>
      <c r="AJ60" s="64">
        <f t="shared" si="45"/>
        <v>2.0872575760926271E-3</v>
      </c>
      <c r="AK60" s="64">
        <f t="shared" si="45"/>
        <v>2.1564910664102488E-3</v>
      </c>
      <c r="AL60" s="64">
        <f t="shared" si="45"/>
        <v>2.1541097805284348E-3</v>
      </c>
      <c r="AM60" s="64">
        <f t="shared" si="45"/>
        <v>2.0825098076344695E-3</v>
      </c>
      <c r="AN60" s="64">
        <f t="shared" si="45"/>
        <v>2.1578522613547868E-3</v>
      </c>
      <c r="AO60" s="64">
        <f t="shared" si="45"/>
        <v>2.0859580844203585E-3</v>
      </c>
      <c r="AP60" s="64">
        <f t="shared" si="45"/>
        <v>9.0276159925450905E-4</v>
      </c>
      <c r="AQ60" s="65">
        <f>+AQ42</f>
        <v>0</v>
      </c>
      <c r="AR60" s="55"/>
      <c r="AS60" s="15"/>
    </row>
    <row r="61" spans="1:63">
      <c r="A61" s="23">
        <v>40421</v>
      </c>
      <c r="B61" s="26">
        <v>13395.21</v>
      </c>
      <c r="C61" s="30">
        <f t="shared" si="3"/>
        <v>1.4874955043334137E-3</v>
      </c>
      <c r="D61" s="25">
        <v>122.29561568646068</v>
      </c>
      <c r="E61" s="25"/>
      <c r="F61" s="25"/>
      <c r="AC61" s="106"/>
      <c r="AD61" s="63" t="s">
        <v>25</v>
      </c>
      <c r="AE61" s="64"/>
      <c r="AF61" s="64"/>
      <c r="AG61" s="64"/>
      <c r="AH61" s="64"/>
      <c r="AI61" s="64"/>
      <c r="AJ61" s="64"/>
      <c r="AK61" s="64"/>
      <c r="AL61" s="64"/>
      <c r="AM61" s="64"/>
      <c r="AN61" s="64"/>
      <c r="AO61" s="64"/>
      <c r="AP61" s="64"/>
      <c r="AQ61" s="65">
        <f>+AQ42</f>
        <v>0</v>
      </c>
      <c r="AR61" s="55"/>
      <c r="AS61" s="15"/>
    </row>
    <row r="62" spans="1:63">
      <c r="A62" s="23">
        <v>40451</v>
      </c>
      <c r="B62" s="26">
        <v>13419.79</v>
      </c>
      <c r="C62" s="30">
        <f t="shared" si="3"/>
        <v>1.8349842966256527E-3</v>
      </c>
      <c r="D62" s="25">
        <v>122.52002622079149</v>
      </c>
      <c r="E62" s="25"/>
      <c r="F62" s="25"/>
      <c r="AC62" s="106"/>
      <c r="AD62" s="63" t="s">
        <v>26</v>
      </c>
      <c r="AE62" s="64"/>
      <c r="AF62" s="64"/>
      <c r="AG62" s="64"/>
      <c r="AH62" s="64"/>
      <c r="AI62" s="64"/>
      <c r="AJ62" s="64"/>
      <c r="AK62" s="64"/>
      <c r="AL62" s="64"/>
      <c r="AM62" s="64"/>
      <c r="AN62" s="64"/>
      <c r="AO62" s="64"/>
      <c r="AP62" s="64"/>
      <c r="AQ62" s="65">
        <f>+AQ29</f>
        <v>0</v>
      </c>
      <c r="AR62" s="15"/>
    </row>
    <row r="63" spans="1:63">
      <c r="A63" s="23">
        <v>40480</v>
      </c>
      <c r="B63" s="26">
        <v>13448.69</v>
      </c>
      <c r="C63" s="30">
        <f t="shared" si="3"/>
        <v>2.2277957944302094E-3</v>
      </c>
      <c r="D63" s="25">
        <v>122.78387749996807</v>
      </c>
      <c r="E63" s="25"/>
      <c r="F63" s="25"/>
      <c r="AC63" s="108">
        <v>2018</v>
      </c>
      <c r="AD63" s="52" t="s">
        <v>3</v>
      </c>
      <c r="AE63" s="53">
        <f t="shared" ref="AE63:AQ63" si="46">+AE14</f>
        <v>3.4041238913098404E-3</v>
      </c>
      <c r="AF63" s="53">
        <f t="shared" si="46"/>
        <v>1.9421990846071324E-3</v>
      </c>
      <c r="AG63" s="53">
        <f t="shared" si="46"/>
        <v>2.154928926859867E-3</v>
      </c>
      <c r="AH63" s="53">
        <f t="shared" si="46"/>
        <v>2.0781003652501351E-3</v>
      </c>
      <c r="AI63" s="53">
        <f t="shared" si="46"/>
        <v>2.1402939994734638E-3</v>
      </c>
      <c r="AJ63" s="53">
        <f t="shared" si="46"/>
        <v>2.0877493450983664E-3</v>
      </c>
      <c r="AK63" s="53">
        <f t="shared" si="46"/>
        <v>2.1543134072796732E-3</v>
      </c>
      <c r="AL63" s="53">
        <f t="shared" si="46"/>
        <v>2.1454146167934063E-3</v>
      </c>
      <c r="AM63" s="53">
        <f t="shared" si="46"/>
        <v>2.0485069747047113E-3</v>
      </c>
      <c r="AN63" s="53">
        <f t="shared" si="46"/>
        <v>2.2757308386205377E-3</v>
      </c>
      <c r="AO63" s="53">
        <f t="shared" si="46"/>
        <v>2.2929957214921082E-3</v>
      </c>
      <c r="AP63" s="53">
        <f t="shared" si="46"/>
        <v>2.3676655943918323E-3</v>
      </c>
      <c r="AQ63" s="51">
        <f t="shared" si="46"/>
        <v>2.7430166222407459E-2</v>
      </c>
      <c r="AR63" s="15"/>
    </row>
    <row r="64" spans="1:63">
      <c r="A64" s="23">
        <v>40512</v>
      </c>
      <c r="B64" s="26">
        <v>13483.02</v>
      </c>
      <c r="C64" s="30">
        <f t="shared" si="3"/>
        <v>2.3931234194557449E-3</v>
      </c>
      <c r="D64" s="25">
        <v>123.09730360426326</v>
      </c>
      <c r="E64" s="25"/>
      <c r="F64" s="25"/>
      <c r="AC64" s="108"/>
      <c r="AD64" s="52" t="s">
        <v>25</v>
      </c>
      <c r="AE64" s="53"/>
      <c r="AF64" s="53"/>
      <c r="AG64" s="53"/>
      <c r="AH64" s="53"/>
      <c r="AI64" s="53"/>
      <c r="AJ64" s="53"/>
      <c r="AK64" s="53"/>
      <c r="AL64" s="53"/>
      <c r="AM64" s="53"/>
      <c r="AN64" s="53"/>
      <c r="AO64" s="53">
        <f>+AO43</f>
        <v>1.0253323058240227E-3</v>
      </c>
      <c r="AP64" s="53">
        <f>+AP43</f>
        <v>1.3472862452700689E-3</v>
      </c>
      <c r="AQ64" s="51">
        <f>+AQ43</f>
        <v>1.4513733335515866E-2</v>
      </c>
    </row>
    <row r="65" spans="1:46">
      <c r="A65" s="23">
        <v>40543</v>
      </c>
      <c r="B65" s="26">
        <v>13522.93</v>
      </c>
      <c r="C65" s="30">
        <f t="shared" si="3"/>
        <v>2.864534847917051E-3</v>
      </c>
      <c r="D65" s="25">
        <v>123.46167400398424</v>
      </c>
      <c r="E65" s="25"/>
      <c r="F65" s="25"/>
      <c r="AC65" s="108"/>
      <c r="AD65" s="52" t="s">
        <v>26</v>
      </c>
      <c r="AE65" s="53"/>
      <c r="AF65" s="53"/>
      <c r="AG65" s="53"/>
      <c r="AH65" s="53"/>
      <c r="AI65" s="53"/>
      <c r="AJ65" s="53"/>
      <c r="AK65" s="53"/>
      <c r="AL65" s="53"/>
      <c r="AM65" s="53"/>
      <c r="AN65" s="53"/>
      <c r="AO65" s="53">
        <f>+AO30</f>
        <v>3.4478000000000009E-3</v>
      </c>
      <c r="AP65" s="53">
        <f>+AP30</f>
        <v>2.23337987695951E-3</v>
      </c>
      <c r="AQ65" s="51">
        <f>+AQ30</f>
        <v>3.4581496769416464E-2</v>
      </c>
    </row>
    <row r="66" spans="1:46">
      <c r="A66" s="23">
        <v>40574</v>
      </c>
      <c r="B66" s="26">
        <v>13557.12</v>
      </c>
      <c r="C66" s="30">
        <f t="shared" si="3"/>
        <v>2.4467402237675485E-3</v>
      </c>
      <c r="D66" s="25">
        <v>123.7738219359928</v>
      </c>
      <c r="E66" s="25"/>
      <c r="F66" s="25"/>
      <c r="AC66" s="106">
        <v>2019</v>
      </c>
      <c r="AD66" s="63" t="s">
        <v>3</v>
      </c>
      <c r="AE66" s="64">
        <f t="shared" ref="AE66:AQ66" si="47">+AE15</f>
        <v>2.4509488917849875E-3</v>
      </c>
      <c r="AF66" s="64">
        <f t="shared" si="47"/>
        <v>2.2528627981024396E-3</v>
      </c>
      <c r="AG66" s="64">
        <f t="shared" si="47"/>
        <v>2.583315446340162E-3</v>
      </c>
      <c r="AH66" s="64">
        <f t="shared" si="47"/>
        <v>2.5004298036095385E-3</v>
      </c>
      <c r="AI66" s="64">
        <f t="shared" si="47"/>
        <v>2.5858717030136091E-3</v>
      </c>
      <c r="AJ66" s="64">
        <f t="shared" si="47"/>
        <v>2.2209647453448333E-3</v>
      </c>
      <c r="AK66" s="64">
        <f t="shared" si="47"/>
        <v>2.1468084204265825E-3</v>
      </c>
      <c r="AL66" s="64">
        <f t="shared" si="47"/>
        <v>2.1550627640607445E-3</v>
      </c>
      <c r="AM66" s="64">
        <f t="shared" si="47"/>
        <v>1.7218390866022837E-3</v>
      </c>
      <c r="AN66" s="64">
        <f t="shared" si="47"/>
        <v>1.6715062388068525E-3</v>
      </c>
      <c r="AO66" s="64">
        <f t="shared" si="47"/>
        <v>1.4213812856365138E-3</v>
      </c>
      <c r="AP66" s="64">
        <f t="shared" si="47"/>
        <v>1.4832905116739514E-3</v>
      </c>
      <c r="AQ66" s="65">
        <f t="shared" si="47"/>
        <v>2.5486252445448665E-2</v>
      </c>
    </row>
    <row r="67" spans="1:46" s="10" customFormat="1">
      <c r="A67" s="23">
        <v>40602</v>
      </c>
      <c r="B67" s="26">
        <v>13592.3</v>
      </c>
      <c r="C67" s="30">
        <f t="shared" si="3"/>
        <v>2.780299734962648E-3</v>
      </c>
      <c r="D67" s="25">
        <v>124.09500837202847</v>
      </c>
      <c r="E67" s="25"/>
      <c r="F67" s="25"/>
      <c r="I67" s="11"/>
      <c r="N67" s="9"/>
      <c r="O67" s="9"/>
      <c r="P67" s="9"/>
      <c r="Q67" s="9"/>
      <c r="R67" s="9"/>
      <c r="S67" s="9"/>
      <c r="T67" s="9"/>
      <c r="U67" s="9"/>
      <c r="V67" s="9"/>
      <c r="W67" s="9"/>
      <c r="X67" s="9"/>
      <c r="Y67" s="9"/>
      <c r="Z67" s="9"/>
      <c r="AA67" s="9"/>
      <c r="AB67" s="9"/>
      <c r="AC67" s="106"/>
      <c r="AD67" s="63" t="s">
        <v>25</v>
      </c>
      <c r="AE67" s="64">
        <f t="shared" ref="AE67:AQ67" si="48">+AE44</f>
        <v>1.321015002584915E-3</v>
      </c>
      <c r="AF67" s="64">
        <f t="shared" si="48"/>
        <v>1.3955733355753522E-3</v>
      </c>
      <c r="AG67" s="64">
        <f t="shared" si="48"/>
        <v>1.4022137431861147E-3</v>
      </c>
      <c r="AH67" s="64">
        <f t="shared" si="48"/>
        <v>1.4166869166138962E-3</v>
      </c>
      <c r="AI67" s="64">
        <f t="shared" si="48"/>
        <v>1.3232764368510004E-3</v>
      </c>
      <c r="AJ67" s="64">
        <f t="shared" si="48"/>
        <v>1.1990712339520204E-3</v>
      </c>
      <c r="AK67" s="64">
        <f t="shared" si="48"/>
        <v>1.0036940371863539E-3</v>
      </c>
      <c r="AL67" s="64">
        <f t="shared" si="48"/>
        <v>9.3098055061359821E-4</v>
      </c>
      <c r="AM67" s="64">
        <f t="shared" si="48"/>
        <v>1.0683167912708402E-3</v>
      </c>
      <c r="AN67" s="64">
        <f t="shared" si="48"/>
        <v>6.2931783503544249E-4</v>
      </c>
      <c r="AO67" s="64">
        <f t="shared" si="48"/>
        <v>6.917263179451183E-4</v>
      </c>
      <c r="AP67" s="64">
        <f t="shared" si="48"/>
        <v>6.004128193114861E-4</v>
      </c>
      <c r="AQ67" s="65">
        <f t="shared" si="48"/>
        <v>1.3208385593459049E-2</v>
      </c>
      <c r="AR67" s="9"/>
      <c r="AS67" s="9"/>
      <c r="AT67" s="9"/>
    </row>
    <row r="68" spans="1:46" s="10" customFormat="1">
      <c r="A68" s="23">
        <v>40633</v>
      </c>
      <c r="B68" s="26">
        <v>13635.91</v>
      </c>
      <c r="C68" s="30">
        <f t="shared" si="3"/>
        <v>3.1049363100028021E-3</v>
      </c>
      <c r="D68" s="25">
        <v>124.49315903932572</v>
      </c>
      <c r="E68" s="25"/>
      <c r="F68" s="25"/>
      <c r="I68" s="11"/>
      <c r="N68" s="9"/>
      <c r="O68" s="9"/>
      <c r="P68" s="9"/>
      <c r="Q68" s="9"/>
      <c r="R68" s="9"/>
      <c r="S68" s="9"/>
      <c r="T68" s="9"/>
      <c r="U68" s="9"/>
      <c r="V68" s="9"/>
      <c r="W68" s="9"/>
      <c r="X68" s="9"/>
      <c r="Y68" s="9"/>
      <c r="Z68" s="9"/>
      <c r="AA68" s="9"/>
      <c r="AB68" s="9"/>
      <c r="AC68" s="106"/>
      <c r="AD68" s="63" t="s">
        <v>26</v>
      </c>
      <c r="AE68" s="64">
        <f t="shared" ref="AE68:AQ68" si="49">+AE31</f>
        <v>1.7509084939289793E-3</v>
      </c>
      <c r="AF68" s="64">
        <f t="shared" si="49"/>
        <v>1.7394520999606889E-3</v>
      </c>
      <c r="AG68" s="64">
        <f t="shared" si="49"/>
        <v>1.8423379148717824E-3</v>
      </c>
      <c r="AH68" s="64">
        <f t="shared" si="49"/>
        <v>1.8759017365690411E-3</v>
      </c>
      <c r="AI68" s="64">
        <f t="shared" si="49"/>
        <v>2.1231268586599603E-3</v>
      </c>
      <c r="AJ68" s="64">
        <f t="shared" si="49"/>
        <v>1.9957455558778925E-3</v>
      </c>
      <c r="AK68" s="64">
        <f t="shared" si="49"/>
        <v>2.0001038584794456E-3</v>
      </c>
      <c r="AL68" s="64">
        <f t="shared" si="49"/>
        <v>1.8023141086607975E-3</v>
      </c>
      <c r="AM68" s="64">
        <f t="shared" si="49"/>
        <v>1.1263240715009282E-3</v>
      </c>
      <c r="AN68" s="64">
        <f t="shared" si="49"/>
        <v>9.467889806377604E-4</v>
      </c>
      <c r="AO68" s="64">
        <f t="shared" si="49"/>
        <v>9.0352367931134658E-4</v>
      </c>
      <c r="AP68" s="64">
        <f t="shared" si="49"/>
        <v>1.3269626167495257E-3</v>
      </c>
      <c r="AQ68" s="65">
        <f t="shared" si="49"/>
        <v>1.9888570576808373E-2</v>
      </c>
      <c r="AR68" s="9"/>
      <c r="AS68" s="9"/>
      <c r="AT68" s="9"/>
    </row>
    <row r="69" spans="1:46" s="10" customFormat="1">
      <c r="A69" s="23">
        <v>40662</v>
      </c>
      <c r="B69" s="26">
        <v>13682.94</v>
      </c>
      <c r="C69" s="30">
        <f t="shared" si="3"/>
        <v>3.5679117959807392E-3</v>
      </c>
      <c r="D69" s="25">
        <v>124.92253362962586</v>
      </c>
      <c r="E69" s="25"/>
      <c r="F69" s="25"/>
      <c r="I69" s="11"/>
      <c r="O69" s="9"/>
      <c r="P69" s="9"/>
      <c r="Q69" s="9"/>
      <c r="R69" s="9"/>
      <c r="S69" s="9"/>
      <c r="T69" s="9"/>
      <c r="U69" s="9"/>
      <c r="V69" s="9"/>
      <c r="W69" s="9"/>
      <c r="X69" s="9"/>
      <c r="Y69" s="9"/>
      <c r="Z69" s="9"/>
      <c r="AA69" s="9"/>
      <c r="AB69" s="9"/>
      <c r="AC69" s="106">
        <v>2020</v>
      </c>
      <c r="AD69" s="63" t="s">
        <v>3</v>
      </c>
      <c r="AE69" s="64">
        <f t="shared" ref="AE69:AQ69" si="50">+AE16</f>
        <v>1.6558084997462252E-3</v>
      </c>
      <c r="AF69" s="64">
        <f t="shared" si="50"/>
        <v>1.3798586141557934E-3</v>
      </c>
      <c r="AG69" s="64">
        <f t="shared" si="50"/>
        <v>1.1056451328672612E-3</v>
      </c>
      <c r="AH69" s="64">
        <f t="shared" si="50"/>
        <v>4.8443129828124043E-4</v>
      </c>
      <c r="AI69" s="64">
        <f t="shared" si="50"/>
        <v>3.8640591227490084E-4</v>
      </c>
      <c r="AJ69" s="64">
        <f t="shared" si="50"/>
        <v>3.904838194919158E-4</v>
      </c>
      <c r="AK69" s="64">
        <f t="shared" si="50"/>
        <v>4.2836098312815096E-4</v>
      </c>
      <c r="AL69" s="64">
        <f t="shared" si="50"/>
        <v>4.1973016893726012E-4</v>
      </c>
      <c r="AM69" s="64">
        <f t="shared" si="50"/>
        <v>3.9475024394830527E-4</v>
      </c>
      <c r="AN69" s="64">
        <f t="shared" si="50"/>
        <v>3.7243810326681448E-4</v>
      </c>
      <c r="AO69" s="64">
        <f t="shared" si="50"/>
        <v>3.2958520252091006E-4</v>
      </c>
      <c r="AP69" s="64">
        <f t="shared" si="50"/>
        <v>3.9010030849562227E-4</v>
      </c>
      <c r="AQ69" s="65">
        <f t="shared" si="50"/>
        <v>7.7639256787327415E-3</v>
      </c>
      <c r="AR69" s="9"/>
      <c r="AS69" s="9"/>
    </row>
    <row r="70" spans="1:46" s="10" customFormat="1">
      <c r="A70" s="23">
        <v>40694</v>
      </c>
      <c r="B70" s="26">
        <v>13741.06</v>
      </c>
      <c r="C70" s="30">
        <f t="shared" ref="C70:C133" si="51">+(B70/B69-1)/(A70-A69)*30</f>
        <v>3.982148573332886E-3</v>
      </c>
      <c r="D70" s="25">
        <v>125.45315772463421</v>
      </c>
      <c r="E70" s="25"/>
      <c r="F70" s="25"/>
      <c r="I70" s="11"/>
      <c r="O70" s="9"/>
      <c r="P70" s="9"/>
      <c r="Q70" s="9"/>
      <c r="R70" s="9"/>
      <c r="S70" s="9"/>
      <c r="T70" s="9"/>
      <c r="U70" s="9"/>
      <c r="V70" s="9"/>
      <c r="W70" s="9"/>
      <c r="X70" s="9"/>
      <c r="Y70" s="9"/>
      <c r="Z70" s="9"/>
      <c r="AA70" s="9"/>
      <c r="AB70" s="9"/>
      <c r="AC70" s="106"/>
      <c r="AD70" s="63" t="s">
        <v>25</v>
      </c>
      <c r="AE70" s="64">
        <f t="shared" ref="AE70:AQ70" si="52">+AE45</f>
        <v>4.9404843891394238E-4</v>
      </c>
      <c r="AF70" s="64">
        <f t="shared" si="52"/>
        <v>4.9289128564955866E-4</v>
      </c>
      <c r="AG70" s="64">
        <f t="shared" si="52"/>
        <v>9.1798262061139379E-4</v>
      </c>
      <c r="AH70" s="64">
        <f t="shared" si="52"/>
        <v>2.2000866331635116E-3</v>
      </c>
      <c r="AI70" s="64">
        <f t="shared" si="52"/>
        <v>1.5510543457630094E-4</v>
      </c>
      <c r="AJ70" s="64">
        <f t="shared" si="52"/>
        <v>1.6024993157248701E-4</v>
      </c>
      <c r="AK70" s="64">
        <f t="shared" si="52"/>
        <v>9.6879002422644068E-5</v>
      </c>
      <c r="AL70" s="64">
        <f t="shared" si="52"/>
        <v>1.8529460541132214E-4</v>
      </c>
      <c r="AM70" s="64">
        <f t="shared" si="52"/>
        <v>7.0870692213009789E-5</v>
      </c>
      <c r="AN70" s="64">
        <f t="shared" si="52"/>
        <v>6.5147737962569353E-5</v>
      </c>
      <c r="AO70" s="64">
        <f t="shared" si="52"/>
        <v>6.0935890083824162E-5</v>
      </c>
      <c r="AP70" s="64">
        <f t="shared" si="52"/>
        <v>5.8670803847292406E-5</v>
      </c>
      <c r="AQ70" s="65">
        <f t="shared" si="52"/>
        <v>5.016879430093768E-3</v>
      </c>
      <c r="AR70" s="9"/>
      <c r="AS70" s="9"/>
    </row>
    <row r="71" spans="1:46" s="10" customFormat="1">
      <c r="A71" s="23">
        <v>40724</v>
      </c>
      <c r="B71" s="26">
        <v>13799.74</v>
      </c>
      <c r="C71" s="30">
        <f t="shared" si="51"/>
        <v>4.2704129084656373E-3</v>
      </c>
      <c r="D71" s="25">
        <v>125.98889450878927</v>
      </c>
      <c r="E71" s="25"/>
      <c r="F71" s="25"/>
      <c r="I71" s="11"/>
      <c r="O71" s="9"/>
      <c r="P71" s="9"/>
      <c r="Q71" s="9"/>
      <c r="R71" s="9"/>
      <c r="S71" s="9"/>
      <c r="T71" s="9"/>
      <c r="U71" s="9"/>
      <c r="V71" s="9"/>
      <c r="W71" s="9"/>
      <c r="X71" s="9"/>
      <c r="Y71" s="9"/>
      <c r="Z71" s="9"/>
      <c r="AA71" s="9"/>
      <c r="AB71" s="9"/>
      <c r="AC71" s="106"/>
      <c r="AD71" s="63" t="s">
        <v>26</v>
      </c>
      <c r="AE71" s="64">
        <f t="shared" ref="AE71:AQ71" si="53">+AE32</f>
        <v>1.2851064886262773E-3</v>
      </c>
      <c r="AF71" s="64">
        <f t="shared" si="53"/>
        <v>6.299783195968646E-4</v>
      </c>
      <c r="AG71" s="64">
        <f t="shared" si="53"/>
        <v>6.8370166059059372E-4</v>
      </c>
      <c r="AH71" s="64">
        <f t="shared" si="53"/>
        <v>1.3696904716329339E-3</v>
      </c>
      <c r="AI71" s="64">
        <f t="shared" si="53"/>
        <v>1.3191835068352314E-3</v>
      </c>
      <c r="AJ71" s="64">
        <f t="shared" si="53"/>
        <v>1.2723831326844071E-3</v>
      </c>
      <c r="AK71" s="64">
        <f t="shared" si="53"/>
        <v>1.1338997766040205E-3</v>
      </c>
      <c r="AL71" s="64">
        <f t="shared" si="53"/>
        <v>1.1455843669070805E-3</v>
      </c>
      <c r="AM71" s="64">
        <f t="shared" si="53"/>
        <v>1.0861426026471666E-3</v>
      </c>
      <c r="AN71" s="64">
        <f t="shared" si="53"/>
        <v>1.1882857965096793E-3</v>
      </c>
      <c r="AO71" s="64">
        <f t="shared" si="53"/>
        <v>1.1222865920312852E-3</v>
      </c>
      <c r="AP71" s="64">
        <f t="shared" si="53"/>
        <v>2.4355780283393733E-3</v>
      </c>
      <c r="AQ71" s="65">
        <f t="shared" si="53"/>
        <v>1.505895015857428E-2</v>
      </c>
      <c r="AR71" s="9"/>
      <c r="AS71" s="9"/>
    </row>
    <row r="72" spans="1:46" s="10" customFormat="1">
      <c r="A72" s="23">
        <v>40753</v>
      </c>
      <c r="B72" s="26">
        <v>13858.14</v>
      </c>
      <c r="C72" s="30">
        <f t="shared" si="51"/>
        <v>4.3778935765055932E-3</v>
      </c>
      <c r="D72" s="25">
        <v>126.52207494837097</v>
      </c>
      <c r="E72" s="25"/>
      <c r="F72" s="25"/>
      <c r="I72" s="11"/>
      <c r="O72" s="9"/>
      <c r="P72" s="9"/>
      <c r="Q72" s="9"/>
      <c r="R72" s="9"/>
      <c r="S72" s="9"/>
      <c r="T72" s="9"/>
      <c r="U72" s="9"/>
      <c r="V72" s="9"/>
      <c r="W72" s="9"/>
      <c r="X72" s="9"/>
      <c r="Y72" s="9"/>
      <c r="Z72" s="9"/>
      <c r="AA72" s="9"/>
      <c r="AB72" s="9"/>
      <c r="AC72" s="106">
        <v>2021</v>
      </c>
      <c r="AD72" s="63" t="s">
        <v>3</v>
      </c>
      <c r="AE72" s="64">
        <f t="shared" ref="AE72:AQ72" si="54">+AE17</f>
        <v>2.7190981868452369E-4</v>
      </c>
      <c r="AF72" s="64">
        <f t="shared" si="54"/>
        <v>2.391734502720233E-4</v>
      </c>
      <c r="AG72" s="64">
        <f t="shared" si="54"/>
        <v>2.591303963113134E-4</v>
      </c>
      <c r="AH72" s="64">
        <f t="shared" si="54"/>
        <v>2.943422057235523E-4</v>
      </c>
      <c r="AI72" s="64">
        <f t="shared" si="54"/>
        <v>2.4266874558165341E-4</v>
      </c>
      <c r="AJ72" s="64">
        <f t="shared" si="54"/>
        <v>2.7260718777788462E-4</v>
      </c>
      <c r="AK72" s="64">
        <f t="shared" si="54"/>
        <v>5.0192351401157076E-4</v>
      </c>
      <c r="AL72" s="64">
        <f t="shared" si="54"/>
        <v>6.2893015614950976E-4</v>
      </c>
      <c r="AM72" s="64">
        <f t="shared" si="54"/>
        <v>1.2476101486305069E-3</v>
      </c>
      <c r="AN72" s="64">
        <f t="shared" si="54"/>
        <v>2.0716854607256696E-3</v>
      </c>
      <c r="AO72" s="64">
        <f t="shared" si="54"/>
        <v>2.1412569618350918E-3</v>
      </c>
      <c r="AP72" s="64">
        <f t="shared" si="54"/>
        <v>3.1851611422883952E-3</v>
      </c>
      <c r="AQ72" s="65">
        <f t="shared" si="54"/>
        <v>1.1410200201508403E-2</v>
      </c>
      <c r="AR72" s="9"/>
      <c r="AS72" s="9"/>
    </row>
    <row r="73" spans="1:46" s="10" customFormat="1">
      <c r="A73" s="23">
        <v>40786</v>
      </c>
      <c r="B73" s="26">
        <v>13925.03</v>
      </c>
      <c r="C73" s="30">
        <f t="shared" si="51"/>
        <v>4.3879691581331795E-3</v>
      </c>
      <c r="D73" s="25">
        <v>127.13276740733707</v>
      </c>
      <c r="E73" s="25"/>
      <c r="F73" s="25"/>
      <c r="I73" s="11"/>
      <c r="O73" s="9"/>
      <c r="P73" s="9"/>
      <c r="Q73" s="9"/>
      <c r="R73" s="9"/>
      <c r="S73" s="9"/>
      <c r="T73" s="9"/>
      <c r="U73" s="9"/>
      <c r="V73" s="9"/>
      <c r="W73" s="9"/>
      <c r="X73" s="9"/>
      <c r="Y73" s="9"/>
      <c r="Z73" s="9"/>
      <c r="AA73" s="9"/>
      <c r="AB73" s="9"/>
      <c r="AC73" s="106"/>
      <c r="AD73" s="63" t="s">
        <v>25</v>
      </c>
      <c r="AE73" s="64">
        <f t="shared" ref="AE73:AQ73" si="55">+AE46</f>
        <v>4.8294483376269819E-5</v>
      </c>
      <c r="AF73" s="64">
        <f t="shared" si="55"/>
        <v>5.8400224380226818E-5</v>
      </c>
      <c r="AG73" s="64">
        <f t="shared" si="55"/>
        <v>5.229220020180354E-5</v>
      </c>
      <c r="AH73" s="64">
        <f t="shared" si="55"/>
        <v>6.6256868343383957E-5</v>
      </c>
      <c r="AI73" s="64">
        <f t="shared" si="55"/>
        <v>5.8141459223029576E-5</v>
      </c>
      <c r="AJ73" s="64">
        <f t="shared" si="55"/>
        <v>5.9933297214431747E-5</v>
      </c>
      <c r="AK73" s="64">
        <f t="shared" si="55"/>
        <v>5.9888964637381502E-5</v>
      </c>
      <c r="AL73" s="64">
        <f t="shared" si="55"/>
        <v>6.0042955155997608E-5</v>
      </c>
      <c r="AM73" s="64">
        <f t="shared" si="55"/>
        <v>-1.177670351739657E-4</v>
      </c>
      <c r="AN73" s="64">
        <f t="shared" si="55"/>
        <v>9.8934462740187011E-4</v>
      </c>
      <c r="AO73" s="64">
        <f t="shared" si="55"/>
        <v>1.2592250239187308E-3</v>
      </c>
      <c r="AP73" s="64">
        <f t="shared" si="55"/>
        <v>1.7642827878724863E-3</v>
      </c>
      <c r="AQ73" s="65">
        <f t="shared" si="55"/>
        <v>4.4624510187976085E-3</v>
      </c>
      <c r="AR73" s="9"/>
      <c r="AS73" s="9"/>
    </row>
    <row r="74" spans="1:46" s="10" customFormat="1">
      <c r="A74" s="23">
        <v>40816</v>
      </c>
      <c r="B74" s="26">
        <v>13985.97</v>
      </c>
      <c r="C74" s="30">
        <f t="shared" si="51"/>
        <v>4.3762921875212246E-3</v>
      </c>
      <c r="D74" s="25">
        <v>127.68913754411977</v>
      </c>
      <c r="E74" s="25"/>
      <c r="F74" s="25"/>
      <c r="I74" s="11"/>
      <c r="O74" s="9"/>
      <c r="P74" s="9"/>
      <c r="Q74" s="9"/>
      <c r="R74" s="9"/>
      <c r="S74" s="9"/>
      <c r="T74" s="9"/>
      <c r="U74" s="9"/>
      <c r="V74" s="9"/>
      <c r="W74" s="9"/>
      <c r="X74" s="9"/>
      <c r="Y74" s="9"/>
      <c r="Z74" s="9"/>
      <c r="AA74" s="9"/>
      <c r="AB74" s="9"/>
      <c r="AC74" s="106"/>
      <c r="AD74" s="63" t="s">
        <v>26</v>
      </c>
      <c r="AE74" s="64">
        <f t="shared" ref="AE74:AQ74" si="56">+AE33</f>
        <v>8.7134660038301257E-4</v>
      </c>
      <c r="AF74" s="64">
        <f t="shared" si="56"/>
        <v>8.7069209384298726E-4</v>
      </c>
      <c r="AG74" s="64">
        <f t="shared" si="56"/>
        <v>2.2648727193299865E-4</v>
      </c>
      <c r="AH74" s="64">
        <f t="shared" si="56"/>
        <v>2.1586548973795416E-4</v>
      </c>
      <c r="AI74" s="64">
        <f t="shared" si="56"/>
        <v>1.2257828566220759E-3</v>
      </c>
      <c r="AJ74" s="64">
        <f t="shared" si="56"/>
        <v>1.2323060547676512E-3</v>
      </c>
      <c r="AK74" s="64">
        <f t="shared" si="56"/>
        <v>1.1118965595859468E-3</v>
      </c>
      <c r="AL74" s="64">
        <f t="shared" si="56"/>
        <v>9.7339848246146324E-4</v>
      </c>
      <c r="AM74" s="64">
        <f t="shared" si="56"/>
        <v>6.468370992966932E-4</v>
      </c>
      <c r="AN74" s="64">
        <f t="shared" si="56"/>
        <v>8.4688139420787962E-4</v>
      </c>
      <c r="AO74" s="64">
        <f t="shared" si="56"/>
        <v>1.4457181087037529E-3</v>
      </c>
      <c r="AP74" s="64">
        <f t="shared" si="56"/>
        <v>1.6922332954845275E-3</v>
      </c>
      <c r="AQ74" s="65">
        <f t="shared" si="56"/>
        <v>1.1593010116523805E-2</v>
      </c>
      <c r="AR74" s="9"/>
      <c r="AS74" s="9"/>
    </row>
    <row r="75" spans="1:46" s="10" customFormat="1">
      <c r="A75" s="23">
        <v>40847</v>
      </c>
      <c r="B75" s="26">
        <v>14043.21</v>
      </c>
      <c r="C75" s="30">
        <f t="shared" si="51"/>
        <v>3.9606511659252518E-3</v>
      </c>
      <c r="D75" s="25">
        <v>128.21172741332623</v>
      </c>
      <c r="E75" s="25"/>
      <c r="F75" s="25"/>
      <c r="I75" s="11"/>
      <c r="O75" s="9"/>
      <c r="P75" s="9"/>
      <c r="Q75" s="9"/>
      <c r="R75" s="9"/>
      <c r="S75" s="9"/>
      <c r="T75" s="9"/>
      <c r="U75" s="9"/>
      <c r="V75" s="9"/>
      <c r="W75" s="9"/>
      <c r="X75" s="9"/>
      <c r="Y75" s="9"/>
      <c r="Z75" s="9"/>
      <c r="AA75" s="9"/>
      <c r="AC75" s="106">
        <v>2022</v>
      </c>
      <c r="AD75" s="63" t="s">
        <v>3</v>
      </c>
      <c r="AE75" s="64">
        <f t="shared" ref="AE75:AQ75" si="57">+AE18</f>
        <v>3.4355541823989366E-3</v>
      </c>
      <c r="AF75" s="64">
        <f t="shared" si="57"/>
        <v>4.2862298052634973E-3</v>
      </c>
      <c r="AG75" s="64">
        <f t="shared" si="57"/>
        <v>4.8314798442756768E-3</v>
      </c>
      <c r="AH75" s="64">
        <f t="shared" si="57"/>
        <v>5.4524358964465058E-3</v>
      </c>
      <c r="AI75" s="64">
        <f t="shared" si="57"/>
        <v>7.1131325826505609E-3</v>
      </c>
      <c r="AJ75" s="64">
        <f t="shared" si="57"/>
        <v>7.3596364286758753E-3</v>
      </c>
      <c r="AK75" s="64">
        <f t="shared" si="57"/>
        <v>7.5893460632852072E-3</v>
      </c>
      <c r="AL75" s="64">
        <f t="shared" si="57"/>
        <v>8.9759416728991681E-3</v>
      </c>
      <c r="AM75" s="64">
        <f t="shared" si="57"/>
        <v>8.7998364667287721E-3</v>
      </c>
      <c r="AN75" s="64">
        <f t="shared" si="57"/>
        <v>8.6030686179809912E-3</v>
      </c>
      <c r="AO75" s="64">
        <f t="shared" si="57"/>
        <v>1.036123897948027E-2</v>
      </c>
      <c r="AP75" s="64">
        <f t="shared" si="57"/>
        <v>9.416651222412753E-3</v>
      </c>
      <c r="AQ75" s="65">
        <f t="shared" si="57"/>
        <v>8.9685991181348346E-2</v>
      </c>
      <c r="AR75" s="9"/>
      <c r="AS75" s="9"/>
    </row>
    <row r="76" spans="1:46" s="10" customFormat="1">
      <c r="A76" s="23">
        <v>40877</v>
      </c>
      <c r="B76" s="26">
        <v>14110.87</v>
      </c>
      <c r="C76" s="30">
        <f t="shared" si="51"/>
        <v>4.8179867708308954E-3</v>
      </c>
      <c r="D76" s="25">
        <v>128.82944981986901</v>
      </c>
      <c r="E76" s="25"/>
      <c r="F76" s="25"/>
      <c r="I76" s="11"/>
      <c r="O76" s="9"/>
      <c r="P76" s="9"/>
      <c r="Q76" s="9"/>
      <c r="R76" s="9"/>
      <c r="S76" s="9"/>
      <c r="T76" s="9"/>
      <c r="U76" s="9"/>
      <c r="V76" s="9"/>
      <c r="W76" s="9"/>
      <c r="X76" s="9"/>
      <c r="Y76" s="9"/>
      <c r="Z76" s="9"/>
      <c r="AA76" s="9"/>
      <c r="AC76" s="106"/>
      <c r="AD76" s="63" t="s">
        <v>25</v>
      </c>
      <c r="AE76" s="64">
        <f t="shared" ref="AE76:AQ76" si="58">+AE47</f>
        <v>2.4887105780919826E-3</v>
      </c>
      <c r="AF76" s="64">
        <f t="shared" si="58"/>
        <v>3.5360838485577945E-3</v>
      </c>
      <c r="AG76" s="64">
        <f t="shared" si="58"/>
        <v>3.6702644977257191E-3</v>
      </c>
      <c r="AH76" s="64">
        <f t="shared" si="58"/>
        <v>4.5716132579094459E-3</v>
      </c>
      <c r="AI76" s="64">
        <f t="shared" si="58"/>
        <v>5.3328000823584729E-3</v>
      </c>
      <c r="AJ76" s="64">
        <f t="shared" si="58"/>
        <v>5.8835914511081722E-3</v>
      </c>
      <c r="AK76" s="64">
        <f t="shared" si="58"/>
        <v>6.3018066910423788E-3</v>
      </c>
      <c r="AL76" s="64">
        <f t="shared" si="58"/>
        <v>6.8036664825705234E-3</v>
      </c>
      <c r="AM76" s="64">
        <f t="shared" si="58"/>
        <v>7.3357454740365924E-3</v>
      </c>
      <c r="AN76" s="64">
        <f t="shared" si="58"/>
        <v>7.7595565631868469E-3</v>
      </c>
      <c r="AO76" s="64">
        <f t="shared" si="58"/>
        <v>7.9470951784548823E-3</v>
      </c>
      <c r="AP76" s="64">
        <f t="shared" si="58"/>
        <v>7.9281719511867799E-3</v>
      </c>
      <c r="AQ76" s="65">
        <f t="shared" si="58"/>
        <v>7.2716429569050778E-2</v>
      </c>
      <c r="AR76" s="9"/>
      <c r="AS76" s="9"/>
    </row>
    <row r="77" spans="1:46" s="10" customFormat="1">
      <c r="A77" s="23">
        <v>40907</v>
      </c>
      <c r="B77" s="26">
        <v>14172.63</v>
      </c>
      <c r="C77" s="30">
        <f t="shared" si="51"/>
        <v>4.3767676975265957E-3</v>
      </c>
      <c r="D77" s="25">
        <v>129.39330639433075</v>
      </c>
      <c r="E77" s="25"/>
      <c r="F77" s="25"/>
      <c r="I77" s="11"/>
      <c r="O77" s="9"/>
      <c r="P77" s="9"/>
      <c r="Q77" s="9"/>
      <c r="R77" s="9"/>
      <c r="S77" s="9"/>
      <c r="T77" s="9"/>
      <c r="U77" s="9"/>
      <c r="V77" s="9"/>
      <c r="W77" s="9"/>
      <c r="X77" s="9"/>
      <c r="Y77" s="9"/>
      <c r="Z77" s="9"/>
      <c r="AA77" s="9"/>
      <c r="AC77" s="106"/>
      <c r="AD77" s="63" t="s">
        <v>26</v>
      </c>
      <c r="AE77" s="64">
        <f t="shared" ref="AE77:AQ77" si="59">+AE34</f>
        <v>2.8231503352001007E-3</v>
      </c>
      <c r="AF77" s="64">
        <f t="shared" si="59"/>
        <v>3.8234832635588739E-3</v>
      </c>
      <c r="AG77" s="64">
        <f t="shared" si="59"/>
        <v>3.8027703521235864E-3</v>
      </c>
      <c r="AH77" s="64">
        <f t="shared" si="59"/>
        <v>6.2620928003536136E-3</v>
      </c>
      <c r="AI77" s="64">
        <f t="shared" si="59"/>
        <v>7.38739023340171E-3</v>
      </c>
      <c r="AJ77" s="64">
        <f t="shared" si="59"/>
        <v>6.2584514901089516E-3</v>
      </c>
      <c r="AK77" s="64">
        <f t="shared" si="59"/>
        <v>6.481786228258242E-3</v>
      </c>
      <c r="AL77" s="64">
        <f t="shared" si="59"/>
        <v>7.7993218693549861E-3</v>
      </c>
      <c r="AM77" s="64">
        <f t="shared" si="59"/>
        <v>8.1290804673954664E-3</v>
      </c>
      <c r="AN77" s="64">
        <f t="shared" si="59"/>
        <v>9.8390745324712856E-3</v>
      </c>
      <c r="AO77" s="64">
        <f t="shared" si="59"/>
        <v>8.9727696625050632E-3</v>
      </c>
      <c r="AP77" s="64">
        <f t="shared" si="59"/>
        <v>9.4915623861371312E-3</v>
      </c>
      <c r="AQ77" s="65">
        <f t="shared" si="59"/>
        <v>8.5121157008086534E-2</v>
      </c>
      <c r="AR77" s="9"/>
      <c r="AS77" s="9"/>
    </row>
    <row r="78" spans="1:46" s="10" customFormat="1">
      <c r="A78" s="23">
        <v>40939</v>
      </c>
      <c r="B78" s="26">
        <v>14236.38</v>
      </c>
      <c r="C78" s="30">
        <f t="shared" si="51"/>
        <v>4.2169749016237462E-3</v>
      </c>
      <c r="D78" s="25">
        <v>129.9753312748673</v>
      </c>
      <c r="E78" s="25"/>
      <c r="F78" s="25"/>
      <c r="I78" s="11"/>
      <c r="AC78" s="106">
        <v>2023</v>
      </c>
      <c r="AD78" s="63" t="s">
        <v>3</v>
      </c>
      <c r="AE78" s="64">
        <f t="shared" ref="AE78:AQ78" si="60">+AE19</f>
        <v>1.004695720110016E-2</v>
      </c>
      <c r="AF78" s="64">
        <f t="shared" si="60"/>
        <v>8.7853587137844968E-3</v>
      </c>
      <c r="AG78" s="64">
        <f t="shared" si="60"/>
        <v>9.7318177744223355E-3</v>
      </c>
      <c r="AH78" s="64">
        <f t="shared" si="60"/>
        <v>8.7852439132070081E-3</v>
      </c>
      <c r="AI78" s="64">
        <f t="shared" si="60"/>
        <v>1.036166313630571E-2</v>
      </c>
      <c r="AJ78" s="64">
        <f t="shared" si="60"/>
        <v>9.4150701308506335E-3</v>
      </c>
      <c r="AK78" s="64">
        <f t="shared" si="60"/>
        <v>9.7315292241744178E-3</v>
      </c>
      <c r="AL78" s="64">
        <f t="shared" si="60"/>
        <v>8.8633739513521714E-3</v>
      </c>
      <c r="AM78" s="64">
        <f t="shared" si="60"/>
        <v>7.7953451413450559E-3</v>
      </c>
      <c r="AN78" s="64">
        <f t="shared" si="60"/>
        <v>8.4601535041790576E-3</v>
      </c>
      <c r="AO78" s="64">
        <f t="shared" si="60"/>
        <v>7.5266143106456074E-3</v>
      </c>
      <c r="AP78" s="64">
        <f t="shared" si="60"/>
        <v>7.0819499482732695E-3</v>
      </c>
      <c r="AQ78" s="65">
        <f t="shared" si="60"/>
        <v>0.11194279263621576</v>
      </c>
      <c r="AR78" s="9"/>
      <c r="AS78" s="9"/>
    </row>
    <row r="79" spans="1:46" s="10" customFormat="1">
      <c r="A79" s="23">
        <v>40968</v>
      </c>
      <c r="B79" s="26">
        <v>14293.67</v>
      </c>
      <c r="C79" s="30">
        <f t="shared" si="51"/>
        <v>4.1629625818769339E-3</v>
      </c>
      <c r="D79" s="25">
        <v>130.49837763417614</v>
      </c>
      <c r="E79" s="25"/>
      <c r="F79" s="25"/>
      <c r="I79" s="11"/>
      <c r="AC79" s="106"/>
      <c r="AD79" s="63" t="s">
        <v>25</v>
      </c>
      <c r="AE79" s="64">
        <f t="shared" ref="AE79:AQ79" si="61">+AE48</f>
        <v>7.9137303338899789E-3</v>
      </c>
      <c r="AF79" s="64">
        <f t="shared" si="61"/>
        <v>7.9154666268472455E-3</v>
      </c>
      <c r="AG79" s="64">
        <f t="shared" si="61"/>
        <v>7.9455277190181878E-3</v>
      </c>
      <c r="AH79" s="64">
        <f t="shared" si="61"/>
        <v>7.9909061585437761E-3</v>
      </c>
      <c r="AI79" s="64">
        <f t="shared" si="61"/>
        <v>8.0227967463225077E-3</v>
      </c>
      <c r="AJ79" s="64">
        <f t="shared" si="61"/>
        <v>8.0028913540715063E-3</v>
      </c>
      <c r="AK79" s="64">
        <f t="shared" si="61"/>
        <v>7.9398117033956418E-3</v>
      </c>
      <c r="AL79" s="64">
        <f t="shared" si="61"/>
        <v>7.3512441107239221E-3</v>
      </c>
      <c r="AM79" s="64">
        <f t="shared" si="61"/>
        <v>6.7847871299051565E-3</v>
      </c>
      <c r="AN79" s="64">
        <f t="shared" si="61"/>
        <v>6.4607595250783471E-3</v>
      </c>
      <c r="AO79" s="64">
        <f t="shared" si="61"/>
        <v>6.1695672319295181E-3</v>
      </c>
      <c r="AP79" s="64">
        <f t="shared" si="61"/>
        <v>5.9047276102804306E-3</v>
      </c>
      <c r="AQ79" s="65">
        <f t="shared" si="61"/>
        <v>9.364840576365796E-2</v>
      </c>
      <c r="AR79" s="9"/>
      <c r="AS79" s="9"/>
    </row>
    <row r="80" spans="1:46" s="10" customFormat="1">
      <c r="A80" s="23">
        <v>40998</v>
      </c>
      <c r="B80" s="26">
        <v>14353.34</v>
      </c>
      <c r="C80" s="30">
        <f t="shared" si="51"/>
        <v>4.1745751790827068E-3</v>
      </c>
      <c r="D80" s="25">
        <v>131.04315292235836</v>
      </c>
      <c r="E80" s="25"/>
      <c r="F80" s="25"/>
      <c r="I80" s="11"/>
      <c r="AC80" s="106"/>
      <c r="AD80" s="63" t="s">
        <v>26</v>
      </c>
      <c r="AE80" s="64">
        <f t="shared" ref="AE80:AQ80" si="62">+AE35</f>
        <v>9.5714540245422225E-3</v>
      </c>
      <c r="AF80" s="64">
        <f t="shared" si="62"/>
        <v>8.8354488405561257E-3</v>
      </c>
      <c r="AG80" s="64">
        <f t="shared" si="62"/>
        <v>9.5759037911854212E-3</v>
      </c>
      <c r="AH80" s="64">
        <f t="shared" si="62"/>
        <v>9.8699126523715819E-3</v>
      </c>
      <c r="AI80" s="64">
        <f t="shared" si="62"/>
        <v>9.6159079900944161E-3</v>
      </c>
      <c r="AJ80" s="64">
        <f t="shared" si="62"/>
        <v>9.740116172683555E-3</v>
      </c>
      <c r="AK80" s="64">
        <f t="shared" si="62"/>
        <v>9.6433718198763625E-3</v>
      </c>
      <c r="AL80" s="64">
        <f t="shared" si="62"/>
        <v>9.4434399625291515E-3</v>
      </c>
      <c r="AM80" s="64">
        <f t="shared" si="62"/>
        <v>9.2877967637430281E-3</v>
      </c>
      <c r="AN80" s="64">
        <f t="shared" si="62"/>
        <v>8.5040688259147203E-3</v>
      </c>
      <c r="AO80" s="64">
        <f t="shared" si="62"/>
        <v>7.6744178245491401E-3</v>
      </c>
      <c r="AP80" s="64">
        <f t="shared" si="62"/>
        <v>7.6954274064013469E-3</v>
      </c>
      <c r="AQ80" s="65">
        <f t="shared" si="62"/>
        <v>0.11715764540072482</v>
      </c>
    </row>
    <row r="81" spans="1:43" s="10" customFormat="1">
      <c r="A81" s="23">
        <v>41029</v>
      </c>
      <c r="B81" s="26">
        <v>14415.21</v>
      </c>
      <c r="C81" s="30">
        <f t="shared" si="51"/>
        <v>4.1714467537442316E-3</v>
      </c>
      <c r="D81" s="25">
        <v>131.60801377504532</v>
      </c>
      <c r="E81" s="25"/>
      <c r="F81" s="25"/>
      <c r="I81" s="11"/>
      <c r="AC81" s="106">
        <v>2024</v>
      </c>
      <c r="AD81" s="63" t="s">
        <v>3</v>
      </c>
      <c r="AE81" s="64">
        <f t="shared" ref="AE81:AQ81" si="63">+AE20</f>
        <v>7.3572253241631635E-3</v>
      </c>
      <c r="AF81" s="64">
        <f t="shared" si="63"/>
        <v>6.1121391206355735E-3</v>
      </c>
      <c r="AG81" s="64">
        <f t="shared" si="63"/>
        <v>5.6473517140609442E-3</v>
      </c>
      <c r="AH81" s="64">
        <f t="shared" si="63"/>
        <v>6.0927839618283297E-3</v>
      </c>
      <c r="AI81" s="64">
        <f t="shared" si="63"/>
        <v>5.5141192903180869E-3</v>
      </c>
      <c r="AJ81" s="64">
        <f t="shared" si="63"/>
        <v>4.6135490632155385E-3</v>
      </c>
      <c r="AK81" s="64">
        <f t="shared" si="63"/>
        <v>5.2843503528434699E-3</v>
      </c>
      <c r="AL81" s="64">
        <f t="shared" si="63"/>
        <v>4.8023520375928275E-3</v>
      </c>
      <c r="AM81" s="64">
        <f t="shared" si="63"/>
        <v>4.7810434954138614E-3</v>
      </c>
      <c r="AN81" s="64">
        <f t="shared" si="63"/>
        <v>4.510440516418468E-3</v>
      </c>
      <c r="AO81" s="64">
        <f t="shared" si="63"/>
        <v>4.3843255475723986E-3</v>
      </c>
      <c r="AP81" s="64">
        <f t="shared" si="63"/>
        <v>4.4462641732778696E-3</v>
      </c>
      <c r="AQ81" s="76">
        <f t="shared" si="63"/>
        <v>6.5425125934971851E-2</v>
      </c>
    </row>
    <row r="82" spans="1:43" s="10" customFormat="1">
      <c r="A82" s="23">
        <v>41060</v>
      </c>
      <c r="B82" s="26">
        <v>14477.55</v>
      </c>
      <c r="C82" s="30">
        <f t="shared" si="51"/>
        <v>4.1850956217817379E-3</v>
      </c>
      <c r="D82" s="25">
        <v>132.17716563469472</v>
      </c>
      <c r="E82" s="25"/>
      <c r="F82" s="25"/>
      <c r="I82" s="11"/>
      <c r="AC82" s="106"/>
      <c r="AD82" s="63" t="s">
        <v>25</v>
      </c>
      <c r="AE82" s="64">
        <f t="shared" ref="AE82:AQ82" si="64">+AE49</f>
        <v>5.6825126629855838E-3</v>
      </c>
      <c r="AF82" s="64">
        <f t="shared" si="64"/>
        <v>5.2602525212990022E-3</v>
      </c>
      <c r="AG82" s="64">
        <f t="shared" si="64"/>
        <v>4.306596342454643E-3</v>
      </c>
      <c r="AH82" s="64">
        <f t="shared" si="64"/>
        <v>4.7201240336098849E-3</v>
      </c>
      <c r="AI82" s="64">
        <f t="shared" si="64"/>
        <v>4.0333517960835794E-3</v>
      </c>
      <c r="AJ82" s="64">
        <f t="shared" si="64"/>
        <v>3.6501931277677091E-3</v>
      </c>
      <c r="AK82" s="64">
        <f t="shared" si="64"/>
        <v>3.516896201691893E-3</v>
      </c>
      <c r="AL82" s="64">
        <f t="shared" si="64"/>
        <v>3.5106478218695273E-3</v>
      </c>
      <c r="AM82" s="64">
        <f t="shared" si="64"/>
        <v>3.3754452875442986E-3</v>
      </c>
      <c r="AN82" s="64">
        <f t="shared" si="64"/>
        <v>3.3007867700120667E-3</v>
      </c>
      <c r="AO82" s="64">
        <f t="shared" si="64"/>
        <v>3.220374604913312E-3</v>
      </c>
      <c r="AP82" s="64">
        <f t="shared" si="64"/>
        <v>3.1256670019151563E-3</v>
      </c>
      <c r="AQ82" s="76">
        <f t="shared" si="64"/>
        <v>4.9529562919770731E-2</v>
      </c>
    </row>
    <row r="83" spans="1:43" s="10" customFormat="1">
      <c r="A83" s="23">
        <v>41089</v>
      </c>
      <c r="B83" s="26">
        <v>14536.13</v>
      </c>
      <c r="C83" s="30">
        <f t="shared" si="51"/>
        <v>4.1857911041577357E-3</v>
      </c>
      <c r="D83" s="25">
        <v>132.71198943864499</v>
      </c>
      <c r="E83" s="25"/>
      <c r="F83" s="25"/>
      <c r="I83" s="11"/>
      <c r="AC83" s="106"/>
      <c r="AD83" s="63" t="s">
        <v>26</v>
      </c>
      <c r="AE83" s="64">
        <f t="shared" ref="AE83:AQ83" si="65">+AE36</f>
        <v>8.1942860667891162E-3</v>
      </c>
      <c r="AF83" s="64">
        <f t="shared" si="65"/>
        <v>6.8318939471318143E-3</v>
      </c>
      <c r="AG83" s="64">
        <f t="shared" si="65"/>
        <v>5.6081735236816893E-3</v>
      </c>
      <c r="AH83" s="64">
        <f t="shared" si="65"/>
        <v>6.6256667335782282E-3</v>
      </c>
      <c r="AI83" s="64">
        <f t="shared" si="65"/>
        <v>6.5292387566348144E-3</v>
      </c>
      <c r="AJ83" s="64">
        <f t="shared" si="65"/>
        <v>6.096592348990848E-3</v>
      </c>
      <c r="AK83" s="64">
        <f t="shared" si="65"/>
        <v>4.2504468656643793E-3</v>
      </c>
      <c r="AL83" s="64">
        <f t="shared" si="65"/>
        <v>4.3477666087477652E-3</v>
      </c>
      <c r="AM83" s="64">
        <f t="shared" si="65"/>
        <v>4.8964435694469621E-3</v>
      </c>
      <c r="AN83" s="64">
        <f t="shared" si="65"/>
        <v>4.4175325566452352E-3</v>
      </c>
      <c r="AO83" s="64">
        <f t="shared" si="65"/>
        <v>4.6963561288861921E-3</v>
      </c>
      <c r="AP83" s="64">
        <f t="shared" si="65"/>
        <v>4.4728529040604492E-3</v>
      </c>
      <c r="AQ83" s="76">
        <f t="shared" si="65"/>
        <v>7.0150649828295331E-2</v>
      </c>
    </row>
    <row r="84" spans="1:43" s="10" customFormat="1">
      <c r="A84" s="23">
        <v>41121</v>
      </c>
      <c r="B84" s="26">
        <v>14600.61</v>
      </c>
      <c r="C84" s="30">
        <f t="shared" si="51"/>
        <v>4.1586034247079878E-3</v>
      </c>
      <c r="D84" s="25">
        <v>133.30067907467631</v>
      </c>
      <c r="E84" s="25"/>
      <c r="F84" s="25"/>
      <c r="I84" s="11"/>
      <c r="AC84" s="106">
        <v>2025</v>
      </c>
      <c r="AD84" s="63" t="s">
        <v>3</v>
      </c>
      <c r="AE84" s="64">
        <f t="shared" ref="AE84:AJ84" si="66">+AE21</f>
        <v>4.4544301743754122E-3</v>
      </c>
      <c r="AF84" s="64">
        <f t="shared" si="66"/>
        <v>3.8962630509944418E-3</v>
      </c>
      <c r="AG84" s="64">
        <f t="shared" si="66"/>
        <v>4.3138020854180947E-3</v>
      </c>
      <c r="AH84" s="64">
        <f t="shared" si="66"/>
        <v>4.175716443427735E-3</v>
      </c>
      <c r="AI84" s="64">
        <f t="shared" si="66"/>
        <v>4.1742269465041559E-3</v>
      </c>
      <c r="AJ84" s="64">
        <f t="shared" si="66"/>
        <v>4.3145661365249222E-3</v>
      </c>
      <c r="AK84" s="64">
        <f t="shared" ref="AK84:AL84" si="67">+AK21</f>
        <v>4.3062620834468657E-3</v>
      </c>
      <c r="AL84" s="64">
        <f t="shared" si="67"/>
        <v>3.8332746894158554E-3</v>
      </c>
      <c r="AM84" s="64">
        <f t="shared" ref="AM84:AP84" si="68">+AM21</f>
        <v>4.230048764417349E-3</v>
      </c>
      <c r="AN84" s="64">
        <f t="shared" si="68"/>
        <v>3.9661902107710478E-3</v>
      </c>
      <c r="AO84" s="64">
        <f t="shared" ref="AO84" si="69">+AO21</f>
        <v>3.8324396523354842E-3</v>
      </c>
      <c r="AP84" s="64">
        <f t="shared" si="68"/>
        <v>4.1394620357759759E-3</v>
      </c>
      <c r="AQ84" s="76">
        <f>+AQ21</f>
        <v>4.6121516637569471E-2</v>
      </c>
    </row>
    <row r="85" spans="1:43" s="10" customFormat="1">
      <c r="A85" s="23">
        <v>41152</v>
      </c>
      <c r="B85" s="26">
        <v>14663.33</v>
      </c>
      <c r="C85" s="30">
        <f t="shared" si="51"/>
        <v>4.1571396122181033E-3</v>
      </c>
      <c r="D85" s="25">
        <v>133.87330025910379</v>
      </c>
      <c r="E85" s="25"/>
      <c r="F85" s="25"/>
      <c r="I85" s="11"/>
      <c r="AC85" s="106"/>
      <c r="AD85" s="63" t="s">
        <v>25</v>
      </c>
      <c r="AE85" s="64">
        <f t="shared" ref="AE85:AJ85" si="70">+AE50</f>
        <v>2.9227841942386906E-3</v>
      </c>
      <c r="AF85" s="64">
        <f t="shared" si="70"/>
        <v>2.9594332610154745E-3</v>
      </c>
      <c r="AG85" s="64">
        <f t="shared" si="70"/>
        <v>2.9640260547417283E-3</v>
      </c>
      <c r="AH85" s="64">
        <f t="shared" si="70"/>
        <v>2.975949685819046E-3</v>
      </c>
      <c r="AI85" s="64">
        <f t="shared" si="70"/>
        <v>2.9900927639951859E-3</v>
      </c>
      <c r="AJ85" s="64">
        <f t="shared" si="70"/>
        <v>2.9970524574272073E-3</v>
      </c>
      <c r="AK85" s="64">
        <f t="shared" ref="AK85:AL85" si="71">+AK50</f>
        <v>2.8553705108841547E-3</v>
      </c>
      <c r="AL85" s="64">
        <f t="shared" si="71"/>
        <v>2.9037505072629097E-3</v>
      </c>
      <c r="AM85" s="64">
        <f t="shared" ref="AM85:AN85" si="72">+AM50</f>
        <v>2.7616149661373601E-3</v>
      </c>
      <c r="AN85" s="64">
        <f t="shared" si="72"/>
        <v>2.7727690882051537E-3</v>
      </c>
      <c r="AO85" s="64">
        <f t="shared" ref="AO85:AP85" si="73">+AO50</f>
        <v>2.7950157631990713E-3</v>
      </c>
      <c r="AP85" s="64">
        <f t="shared" si="73"/>
        <v>2.7462256444606729E-3</v>
      </c>
      <c r="AQ85" s="76">
        <f>+AQ50</f>
        <v>3.2570786205744717E-2</v>
      </c>
    </row>
    <row r="86" spans="1:43" s="10" customFormat="1">
      <c r="A86" s="23">
        <v>41180</v>
      </c>
      <c r="B86" s="26">
        <v>14720.68</v>
      </c>
      <c r="C86" s="30">
        <f t="shared" si="51"/>
        <v>4.1904825555606961E-3</v>
      </c>
      <c r="D86" s="25">
        <v>134.39689440653549</v>
      </c>
      <c r="E86" s="25"/>
      <c r="F86" s="25"/>
      <c r="I86" s="11"/>
      <c r="AC86" s="106"/>
      <c r="AD86" s="63" t="s">
        <v>26</v>
      </c>
      <c r="AE86" s="64">
        <f t="shared" ref="AE86:AQ86" si="74">+AE37</f>
        <v>2.8711770673523827E-3</v>
      </c>
      <c r="AF86" s="64">
        <f t="shared" si="74"/>
        <v>4.345846177388122E-3</v>
      </c>
      <c r="AG86" s="64">
        <f t="shared" si="74"/>
        <v>4.0766646027798606E-3</v>
      </c>
      <c r="AH86" s="64">
        <f t="shared" si="74"/>
        <v>4.1658626977751911E-3</v>
      </c>
      <c r="AI86" s="64">
        <f t="shared" si="74"/>
        <v>4.2954706387573942E-3</v>
      </c>
      <c r="AJ86" s="64">
        <f t="shared" si="74"/>
        <v>5.3025591012143547E-3</v>
      </c>
      <c r="AK86" s="64">
        <f t="shared" si="74"/>
        <v>4.7987447939667662E-3</v>
      </c>
      <c r="AL86" s="64">
        <f t="shared" si="74"/>
        <v>5.0030366056023319E-3</v>
      </c>
      <c r="AM86" s="64">
        <f t="shared" si="74"/>
        <v>4.7711542121102735E-3</v>
      </c>
      <c r="AN86" s="64">
        <f t="shared" si="74"/>
        <v>5.1371318930771813E-3</v>
      </c>
      <c r="AO86" s="64">
        <f t="shared" si="74"/>
        <v>6.1545323755176629E-3</v>
      </c>
      <c r="AP86" s="64">
        <f t="shared" si="74"/>
        <v>5.5667704339379398E-3</v>
      </c>
      <c r="AQ86" s="76">
        <f t="shared" si="74"/>
        <v>6.1771380774229279E-2</v>
      </c>
    </row>
    <row r="87" spans="1:43" s="10" customFormat="1">
      <c r="A87" s="23">
        <v>41213</v>
      </c>
      <c r="B87" s="26">
        <v>14788.56</v>
      </c>
      <c r="C87" s="30">
        <f t="shared" si="51"/>
        <v>4.192000023714196E-3</v>
      </c>
      <c r="D87" s="25">
        <v>135.01662536952875</v>
      </c>
      <c r="E87" s="25"/>
      <c r="F87" s="25"/>
      <c r="I87" s="11"/>
      <c r="AC87" s="106">
        <v>2026</v>
      </c>
      <c r="AD87" s="63" t="s">
        <v>3</v>
      </c>
      <c r="AE87" s="64">
        <f>+AE22</f>
        <v>3.8823436327337646E-3</v>
      </c>
      <c r="AF87" s="64">
        <f t="shared" ref="AF87:AQ87" si="75">+AF22</f>
        <v>3.6312646105696178E-3</v>
      </c>
      <c r="AG87" s="64">
        <f t="shared" si="75"/>
        <v>3.881928086548303E-3</v>
      </c>
      <c r="AH87" s="64">
        <f>+AH22</f>
        <v>3.7564119506456883E-3</v>
      </c>
      <c r="AI87" s="64"/>
      <c r="AJ87" s="64"/>
      <c r="AK87" s="64"/>
      <c r="AL87" s="64"/>
      <c r="AM87" s="64"/>
      <c r="AN87" s="64"/>
      <c r="AO87" s="64"/>
      <c r="AP87" s="64"/>
      <c r="AQ87" s="64">
        <f t="shared" si="75"/>
        <v>3.393592966266068E-2</v>
      </c>
    </row>
    <row r="88" spans="1:43" s="10" customFormat="1">
      <c r="A88" s="23">
        <v>41243</v>
      </c>
      <c r="B88" s="26">
        <v>14850.38</v>
      </c>
      <c r="C88" s="30">
        <f t="shared" si="51"/>
        <v>4.1802582536771826E-3</v>
      </c>
      <c r="D88" s="25">
        <v>135.58102973211334</v>
      </c>
      <c r="E88" s="25"/>
      <c r="F88" s="25"/>
      <c r="I88" s="11"/>
      <c r="AC88" s="106"/>
      <c r="AD88" s="63" t="s">
        <v>25</v>
      </c>
      <c r="AE88" s="64">
        <f>+AE51</f>
        <v>2.6365530529619398E-3</v>
      </c>
      <c r="AF88" s="64">
        <f t="shared" ref="AF88:AQ88" si="76">+AF51</f>
        <v>2.6198746785023792E-3</v>
      </c>
      <c r="AG88" s="64">
        <f t="shared" si="76"/>
        <v>2.6010737917912404E-3</v>
      </c>
      <c r="AH88" s="64">
        <f>+AH51</f>
        <v>2.5969787217614559E-3</v>
      </c>
      <c r="AI88" s="64"/>
      <c r="AJ88" s="64"/>
      <c r="AK88" s="64"/>
      <c r="AL88" s="64"/>
      <c r="AM88" s="64"/>
      <c r="AN88" s="64"/>
      <c r="AO88" s="64"/>
      <c r="AP88" s="64"/>
      <c r="AQ88" s="64">
        <f t="shared" si="76"/>
        <v>2.3249672624455764E-2</v>
      </c>
    </row>
    <row r="89" spans="1:43" s="10" customFormat="1">
      <c r="A89" s="23">
        <v>41274</v>
      </c>
      <c r="B89" s="26">
        <v>14908.2</v>
      </c>
      <c r="C89" s="30">
        <f t="shared" si="51"/>
        <v>3.767906188910832E-3</v>
      </c>
      <c r="D89" s="25">
        <v>136.10891488650745</v>
      </c>
      <c r="E89" s="25"/>
      <c r="F89" s="25"/>
      <c r="I89" s="11"/>
      <c r="AC89" s="106"/>
      <c r="AD89" s="63" t="s">
        <v>26</v>
      </c>
      <c r="AE89" s="64">
        <f>+AE38</f>
        <v>5.6134622266114783E-3</v>
      </c>
      <c r="AF89" s="64">
        <f t="shared" ref="AF89:AQ89" si="77">+AF38</f>
        <v>5.6382408044709197E-3</v>
      </c>
      <c r="AG89" s="64">
        <f t="shared" si="77"/>
        <v>5.5163461588434151E-3</v>
      </c>
      <c r="AH89" s="64">
        <f>+AH38</f>
        <v>5.6844339678867595E-3</v>
      </c>
      <c r="AI89" s="64"/>
      <c r="AJ89" s="64"/>
      <c r="AK89" s="64"/>
      <c r="AL89" s="64"/>
      <c r="AM89" s="64"/>
      <c r="AN89" s="64"/>
      <c r="AO89" s="64"/>
      <c r="AP89" s="64"/>
      <c r="AQ89" s="64">
        <f t="shared" si="77"/>
        <v>5.0218498883468854E-2</v>
      </c>
    </row>
    <row r="90" spans="1:43" s="10" customFormat="1">
      <c r="A90" s="23">
        <v>41305</v>
      </c>
      <c r="B90" s="26">
        <v>14978.58</v>
      </c>
      <c r="C90" s="30">
        <f t="shared" si="51"/>
        <v>4.5686050240374559E-3</v>
      </c>
      <c r="D90" s="25">
        <v>136.75147035461978</v>
      </c>
      <c r="E90" s="25"/>
      <c r="F90" s="25"/>
      <c r="I90" s="11"/>
    </row>
    <row r="91" spans="1:43" s="10" customFormat="1">
      <c r="A91" s="23">
        <v>41333</v>
      </c>
      <c r="B91" s="26">
        <v>15036.94</v>
      </c>
      <c r="C91" s="30">
        <f t="shared" si="51"/>
        <v>4.1745326612116105E-3</v>
      </c>
      <c r="D91" s="25">
        <v>137.28428560211958</v>
      </c>
      <c r="E91" s="25"/>
      <c r="F91" s="25"/>
      <c r="I91" s="11"/>
    </row>
    <row r="92" spans="1:43" s="10" customFormat="1">
      <c r="A92" s="23">
        <v>41362</v>
      </c>
      <c r="B92" s="26">
        <v>15095.51</v>
      </c>
      <c r="C92" s="30">
        <f t="shared" si="51"/>
        <v>4.0293873070195892E-3</v>
      </c>
      <c r="D92" s="25">
        <v>137.81901810804939</v>
      </c>
      <c r="E92" s="25"/>
      <c r="F92" s="25"/>
      <c r="I92" s="11"/>
    </row>
    <row r="93" spans="1:43" s="10" customFormat="1">
      <c r="A93" s="23">
        <v>41394</v>
      </c>
      <c r="B93" s="26">
        <v>15164.77</v>
      </c>
      <c r="C93" s="30">
        <f t="shared" si="51"/>
        <v>4.3013617956598471E-3</v>
      </c>
      <c r="D93" s="25">
        <v>138.45134819786838</v>
      </c>
      <c r="E93" s="25"/>
      <c r="F93" s="25"/>
      <c r="I93" s="11"/>
    </row>
    <row r="94" spans="1:43" s="10" customFormat="1">
      <c r="A94" s="23">
        <v>41425</v>
      </c>
      <c r="B94" s="26">
        <v>15230.38</v>
      </c>
      <c r="C94" s="30">
        <f t="shared" si="51"/>
        <v>4.1869113997177049E-3</v>
      </c>
      <c r="D94" s="25">
        <v>139.05035451021351</v>
      </c>
      <c r="E94" s="25"/>
      <c r="F94" s="25"/>
      <c r="I94" s="11"/>
    </row>
    <row r="95" spans="1:43" s="10" customFormat="1">
      <c r="A95" s="23">
        <v>41453</v>
      </c>
      <c r="B95" s="26">
        <v>15289.74</v>
      </c>
      <c r="C95" s="30">
        <f t="shared" si="51"/>
        <v>4.1758642922896348E-3</v>
      </c>
      <c r="D95" s="25">
        <v>139.59229955976096</v>
      </c>
      <c r="E95" s="25"/>
      <c r="F95" s="25"/>
      <c r="I95" s="11"/>
    </row>
    <row r="96" spans="1:43" s="10" customFormat="1">
      <c r="A96" s="23">
        <v>41486</v>
      </c>
      <c r="B96" s="26">
        <v>15360.27</v>
      </c>
      <c r="C96" s="30">
        <f t="shared" si="51"/>
        <v>4.1935429783752035E-3</v>
      </c>
      <c r="D96" s="25">
        <v>140.23622449818046</v>
      </c>
      <c r="E96" s="25"/>
      <c r="F96" s="25"/>
      <c r="I96" s="11"/>
    </row>
    <row r="97" spans="1:9" s="10" customFormat="1">
      <c r="A97" s="23">
        <v>41516</v>
      </c>
      <c r="B97" s="26">
        <v>15424.43</v>
      </c>
      <c r="C97" s="30">
        <f t="shared" si="51"/>
        <v>4.1770099093310087E-3</v>
      </c>
      <c r="D97" s="25">
        <v>140.82199259755649</v>
      </c>
      <c r="E97" s="25"/>
      <c r="F97" s="25"/>
      <c r="I97" s="11"/>
    </row>
    <row r="98" spans="1:9" s="10" customFormat="1">
      <c r="A98" s="23">
        <v>41547</v>
      </c>
      <c r="B98" s="26">
        <v>15490.99</v>
      </c>
      <c r="C98" s="30">
        <f t="shared" si="51"/>
        <v>4.1760313493467392E-3</v>
      </c>
      <c r="D98" s="25">
        <v>141.42967222184689</v>
      </c>
      <c r="E98" s="25"/>
      <c r="F98" s="25"/>
      <c r="I98" s="11"/>
    </row>
    <row r="99" spans="1:9" s="10" customFormat="1">
      <c r="A99" s="23">
        <v>41578</v>
      </c>
      <c r="B99" s="26">
        <v>15554.36</v>
      </c>
      <c r="C99" s="30">
        <f t="shared" si="51"/>
        <v>3.958804856991985E-3</v>
      </c>
      <c r="D99" s="25">
        <v>142.00822777760533</v>
      </c>
      <c r="E99" s="25"/>
      <c r="F99" s="25"/>
      <c r="I99" s="11"/>
    </row>
    <row r="100" spans="1:9" s="10" customFormat="1">
      <c r="A100" s="23">
        <v>41607</v>
      </c>
      <c r="B100" s="26">
        <v>15615.06</v>
      </c>
      <c r="C100" s="30">
        <f t="shared" si="51"/>
        <v>4.037009780426537E-3</v>
      </c>
      <c r="D100" s="25">
        <v>142.5624067618966</v>
      </c>
      <c r="E100" s="25"/>
      <c r="F100" s="25"/>
      <c r="I100" s="11"/>
    </row>
    <row r="101" spans="1:9" s="10" customFormat="1">
      <c r="A101" s="23">
        <v>41639</v>
      </c>
      <c r="B101" s="26">
        <v>15675.68</v>
      </c>
      <c r="C101" s="30">
        <f t="shared" si="51"/>
        <v>3.6395153140621889E-3</v>
      </c>
      <c r="D101" s="25">
        <v>143.11585536202404</v>
      </c>
      <c r="E101" s="25"/>
      <c r="F101" s="25"/>
      <c r="I101" s="11"/>
    </row>
    <row r="102" spans="1:9" s="10" customFormat="1">
      <c r="A102" s="23">
        <v>41670</v>
      </c>
      <c r="B102" s="26">
        <v>15738.45</v>
      </c>
      <c r="C102" s="30">
        <f t="shared" si="51"/>
        <v>3.8751212891769038E-3</v>
      </c>
      <c r="D102" s="25">
        <v>143.68893303655392</v>
      </c>
      <c r="E102" s="25"/>
      <c r="F102" s="25"/>
      <c r="I102" s="11"/>
    </row>
    <row r="103" spans="1:9" s="10" customFormat="1">
      <c r="A103" s="23">
        <v>41698</v>
      </c>
      <c r="B103" s="26">
        <v>15792.47</v>
      </c>
      <c r="C103" s="30">
        <f t="shared" si="51"/>
        <v>3.6775267849482279E-3</v>
      </c>
      <c r="D103" s="25">
        <v>144.18212494316697</v>
      </c>
      <c r="E103" s="25"/>
      <c r="F103" s="25"/>
      <c r="I103" s="11"/>
    </row>
    <row r="104" spans="1:9" s="10" customFormat="1">
      <c r="A104" s="23">
        <v>41729</v>
      </c>
      <c r="B104" s="26">
        <v>15848.53</v>
      </c>
      <c r="C104" s="30">
        <f t="shared" si="51"/>
        <v>3.4352835815568226E-3</v>
      </c>
      <c r="D104" s="25">
        <v>144.69394164595724</v>
      </c>
      <c r="E104" s="25"/>
      <c r="F104" s="25"/>
      <c r="I104" s="11"/>
    </row>
    <row r="105" spans="1:9" s="10" customFormat="1">
      <c r="A105" s="23">
        <v>41759</v>
      </c>
      <c r="B105" s="26">
        <v>15901.43</v>
      </c>
      <c r="C105" s="30">
        <f t="shared" si="51"/>
        <v>3.3378489992446081E-3</v>
      </c>
      <c r="D105" s="25">
        <v>145.17690817427697</v>
      </c>
      <c r="E105" s="25"/>
      <c r="F105" s="25"/>
      <c r="I105" s="11"/>
    </row>
    <row r="106" spans="1:9" s="10" customFormat="1">
      <c r="A106" s="23">
        <v>41789</v>
      </c>
      <c r="B106" s="26">
        <v>15954.5</v>
      </c>
      <c r="C106" s="30">
        <f t="shared" si="51"/>
        <v>3.3374356897462043E-3</v>
      </c>
      <c r="D106" s="25">
        <v>145.66142676894481</v>
      </c>
      <c r="E106" s="25"/>
      <c r="F106" s="25"/>
      <c r="I106" s="11"/>
    </row>
    <row r="107" spans="1:9" s="10" customFormat="1">
      <c r="A107" s="23">
        <v>41820</v>
      </c>
      <c r="B107" s="26">
        <v>16009.53</v>
      </c>
      <c r="C107" s="30">
        <f t="shared" si="51"/>
        <v>3.3379196282979163E-3</v>
      </c>
      <c r="D107" s="25">
        <v>146.163839775626</v>
      </c>
      <c r="E107" s="25"/>
      <c r="F107" s="25"/>
      <c r="I107" s="11"/>
    </row>
    <row r="108" spans="1:9" s="10" customFormat="1">
      <c r="A108" s="23">
        <v>41851</v>
      </c>
      <c r="B108" s="26">
        <v>16063.18</v>
      </c>
      <c r="C108" s="30">
        <f t="shared" si="51"/>
        <v>3.2430280488378181E-3</v>
      </c>
      <c r="D108" s="25">
        <v>146.65365365548143</v>
      </c>
      <c r="E108" s="25"/>
      <c r="F108" s="25"/>
      <c r="I108" s="11"/>
    </row>
    <row r="109" spans="1:9" s="10" customFormat="1">
      <c r="A109" s="23">
        <v>41880</v>
      </c>
      <c r="B109" s="26">
        <v>16110.55</v>
      </c>
      <c r="C109" s="30">
        <f t="shared" si="51"/>
        <v>3.0506691872881088E-3</v>
      </c>
      <c r="D109" s="25">
        <v>147.08613237847777</v>
      </c>
      <c r="E109" s="25"/>
      <c r="F109" s="25"/>
      <c r="I109" s="11"/>
    </row>
    <row r="110" spans="1:9" s="10" customFormat="1">
      <c r="A110" s="23">
        <v>41912</v>
      </c>
      <c r="B110" s="26">
        <v>16158.37</v>
      </c>
      <c r="C110" s="30">
        <f t="shared" si="51"/>
        <v>2.7827262259823987E-3</v>
      </c>
      <c r="D110" s="25">
        <v>147.52271951239555</v>
      </c>
      <c r="E110" s="25"/>
      <c r="F110" s="25"/>
      <c r="I110" s="11"/>
    </row>
    <row r="111" spans="1:9" s="10" customFormat="1">
      <c r="A111" s="23">
        <v>41943</v>
      </c>
      <c r="B111" s="26">
        <v>16200.86</v>
      </c>
      <c r="C111" s="30">
        <f t="shared" si="51"/>
        <v>2.5447712138483617E-3</v>
      </c>
      <c r="D111" s="25">
        <v>147.91064480139943</v>
      </c>
      <c r="E111" s="25"/>
      <c r="F111" s="25"/>
      <c r="I111" s="11"/>
    </row>
    <row r="112" spans="1:9" s="10" customFormat="1">
      <c r="A112" s="23">
        <v>41971</v>
      </c>
      <c r="B112" s="26">
        <v>16240.11</v>
      </c>
      <c r="C112" s="30">
        <f t="shared" si="51"/>
        <v>2.5957616712057874E-3</v>
      </c>
      <c r="D112" s="25">
        <v>148.26898953176899</v>
      </c>
      <c r="E112" s="25"/>
      <c r="F112" s="25"/>
      <c r="I112" s="11"/>
    </row>
    <row r="113" spans="1:46" s="10" customFormat="1">
      <c r="A113" s="23">
        <v>42004</v>
      </c>
      <c r="B113" s="26">
        <v>16283.49</v>
      </c>
      <c r="C113" s="30">
        <f t="shared" si="51"/>
        <v>2.4283310664990391E-3</v>
      </c>
      <c r="D113" s="25">
        <v>148.66504034459524</v>
      </c>
      <c r="E113" s="25"/>
      <c r="F113" s="25"/>
      <c r="I113" s="11"/>
    </row>
    <row r="114" spans="1:46" s="10" customFormat="1">
      <c r="A114" s="23">
        <v>42034</v>
      </c>
      <c r="B114" s="26">
        <v>16325.65</v>
      </c>
      <c r="C114" s="30">
        <f t="shared" si="51"/>
        <v>2.5891255498666776E-3</v>
      </c>
      <c r="D114" s="25">
        <v>149.04995279892341</v>
      </c>
      <c r="E114" s="25"/>
      <c r="F114" s="25"/>
      <c r="I114" s="11"/>
    </row>
    <row r="115" spans="1:46">
      <c r="A115" s="23">
        <v>42062</v>
      </c>
      <c r="B115" s="26">
        <v>16363.77</v>
      </c>
      <c r="C115" s="30">
        <f t="shared" si="51"/>
        <v>2.5017599386766604E-3</v>
      </c>
      <c r="D115" s="25">
        <v>149.39798085297915</v>
      </c>
      <c r="E115" s="25"/>
      <c r="F115" s="25"/>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row>
    <row r="116" spans="1:46">
      <c r="A116" s="23">
        <v>42094</v>
      </c>
      <c r="B116" s="26">
        <v>16407.490000000002</v>
      </c>
      <c r="C116" s="30">
        <f t="shared" si="51"/>
        <v>2.5047712110351505E-3</v>
      </c>
      <c r="D116" s="25">
        <v>149.79713579850164</v>
      </c>
      <c r="E116" s="25"/>
      <c r="F116" s="25"/>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row>
    <row r="117" spans="1:46">
      <c r="A117" s="23">
        <v>42124</v>
      </c>
      <c r="B117" s="26">
        <v>16448.59</v>
      </c>
      <c r="C117" s="30">
        <f t="shared" si="51"/>
        <v>2.5049535303691695E-3</v>
      </c>
      <c r="D117" s="25">
        <v>150.17237066265929</v>
      </c>
      <c r="E117" s="25"/>
      <c r="F117" s="25"/>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row>
    <row r="118" spans="1:46">
      <c r="A118" s="23">
        <v>42153</v>
      </c>
      <c r="B118" s="26">
        <v>16488.37</v>
      </c>
      <c r="C118" s="30">
        <f t="shared" si="51"/>
        <v>2.5018390109991843E-3</v>
      </c>
      <c r="D118" s="25">
        <v>150.53555418811408</v>
      </c>
      <c r="E118" s="25"/>
      <c r="F118" s="25"/>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row>
    <row r="119" spans="1:46">
      <c r="A119" s="23">
        <v>42185</v>
      </c>
      <c r="B119" s="26">
        <v>16532.38</v>
      </c>
      <c r="C119" s="30">
        <f t="shared" si="51"/>
        <v>2.5023319466994237E-3</v>
      </c>
      <c r="D119" s="25">
        <v>150.93735677623039</v>
      </c>
      <c r="E119" s="25"/>
      <c r="F119" s="25"/>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row>
    <row r="120" spans="1:46">
      <c r="A120" s="23">
        <v>42216</v>
      </c>
      <c r="B120" s="26">
        <v>16575.11</v>
      </c>
      <c r="C120" s="30">
        <f t="shared" si="51"/>
        <v>2.5012498444402483E-3</v>
      </c>
      <c r="D120" s="25">
        <v>151.3274732177257</v>
      </c>
      <c r="E120" s="25"/>
      <c r="F120" s="25"/>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row>
    <row r="121" spans="1:46">
      <c r="A121" s="23">
        <v>42247</v>
      </c>
      <c r="B121" s="26">
        <v>16617.939999999999</v>
      </c>
      <c r="C121" s="30">
        <f t="shared" si="51"/>
        <v>2.5006402429167945E-3</v>
      </c>
      <c r="D121" s="25">
        <v>151.71850263942576</v>
      </c>
      <c r="E121" s="25"/>
      <c r="F121" s="25"/>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row>
    <row r="122" spans="1:46">
      <c r="A122" s="23">
        <v>42277</v>
      </c>
      <c r="B122" s="26">
        <v>16659.580000000002</v>
      </c>
      <c r="C122" s="30">
        <f t="shared" si="51"/>
        <v>2.5057257397729238E-3</v>
      </c>
      <c r="D122" s="25">
        <v>152.09866759668921</v>
      </c>
      <c r="E122" s="25"/>
      <c r="F122" s="25"/>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row>
    <row r="123" spans="1:46">
      <c r="A123" s="23">
        <v>42307</v>
      </c>
      <c r="B123" s="26">
        <v>16702.939999999999</v>
      </c>
      <c r="C123" s="30">
        <f t="shared" si="51"/>
        <v>2.6027066708762536E-3</v>
      </c>
      <c r="D123" s="25">
        <v>152.4945358134745</v>
      </c>
      <c r="E123" s="25"/>
      <c r="F123" s="25"/>
      <c r="O123" s="10"/>
      <c r="P123" s="10"/>
      <c r="Q123" s="10"/>
      <c r="R123" s="10"/>
      <c r="S123" s="10"/>
      <c r="T123" s="10"/>
      <c r="U123" s="10"/>
      <c r="V123" s="10"/>
      <c r="W123" s="10"/>
      <c r="X123" s="10"/>
      <c r="Y123" s="10"/>
      <c r="Z123" s="10"/>
      <c r="AA123" s="10"/>
      <c r="AC123" s="10"/>
      <c r="AD123" s="10"/>
      <c r="AE123" s="10"/>
      <c r="AF123" s="10"/>
      <c r="AG123" s="10"/>
      <c r="AH123" s="10"/>
      <c r="AI123" s="10"/>
      <c r="AJ123" s="10"/>
      <c r="AK123" s="10"/>
      <c r="AL123" s="10"/>
      <c r="AM123" s="10"/>
      <c r="AN123" s="10"/>
      <c r="AO123" s="10"/>
      <c r="AP123" s="10"/>
      <c r="AQ123" s="10"/>
      <c r="AR123" s="10"/>
      <c r="AS123" s="10"/>
    </row>
    <row r="124" spans="1:46">
      <c r="A124" s="23">
        <v>42338</v>
      </c>
      <c r="B124" s="26">
        <v>16749.75</v>
      </c>
      <c r="C124" s="30">
        <f t="shared" si="51"/>
        <v>2.712097391237853E-3</v>
      </c>
      <c r="D124" s="25">
        <v>152.92190184732414</v>
      </c>
      <c r="E124" s="25"/>
      <c r="F124" s="23"/>
      <c r="O124" s="10"/>
      <c r="P124" s="10"/>
      <c r="Q124" s="10"/>
      <c r="R124" s="10"/>
      <c r="S124" s="10"/>
      <c r="T124" s="10"/>
      <c r="U124" s="10"/>
      <c r="V124" s="10"/>
      <c r="W124" s="10"/>
      <c r="X124" s="10"/>
      <c r="Y124" s="10"/>
      <c r="Z124" s="10"/>
      <c r="AA124" s="10"/>
      <c r="AC124" s="10"/>
      <c r="AD124" s="10"/>
      <c r="AE124" s="10"/>
      <c r="AF124" s="10"/>
      <c r="AG124" s="10"/>
      <c r="AH124" s="10"/>
      <c r="AI124" s="10"/>
      <c r="AJ124" s="10"/>
      <c r="AK124" s="10"/>
      <c r="AL124" s="10"/>
      <c r="AM124" s="10"/>
      <c r="AN124" s="10"/>
      <c r="AO124" s="10"/>
      <c r="AP124" s="10"/>
      <c r="AQ124" s="10"/>
      <c r="AR124" s="10"/>
      <c r="AS124" s="10"/>
    </row>
    <row r="125" spans="1:46">
      <c r="A125" s="23">
        <v>42369</v>
      </c>
      <c r="B125" s="26">
        <v>16796.52</v>
      </c>
      <c r="C125" s="30">
        <f t="shared" si="51"/>
        <v>2.7022069178693799E-3</v>
      </c>
      <c r="D125" s="25">
        <v>153.34890268909191</v>
      </c>
      <c r="E125" s="25"/>
      <c r="F125" s="23">
        <v>42369</v>
      </c>
      <c r="K125" s="10"/>
      <c r="O125" s="10"/>
      <c r="P125" s="10"/>
      <c r="Q125" s="10"/>
      <c r="R125" s="10"/>
      <c r="S125" s="10"/>
      <c r="T125" s="10"/>
      <c r="U125" s="10"/>
      <c r="V125" s="10"/>
      <c r="W125" s="10"/>
      <c r="X125" s="10"/>
      <c r="Y125" s="10"/>
      <c r="Z125" s="10"/>
      <c r="AA125" s="10"/>
      <c r="AC125" s="10"/>
      <c r="AD125" s="10"/>
      <c r="AE125" s="10"/>
      <c r="AF125" s="10"/>
      <c r="AG125" s="10"/>
      <c r="AH125" s="10"/>
      <c r="AI125" s="10"/>
      <c r="AJ125" s="10"/>
      <c r="AK125" s="10"/>
      <c r="AL125" s="10"/>
      <c r="AM125" s="10"/>
      <c r="AN125" s="10"/>
      <c r="AO125" s="10"/>
      <c r="AP125" s="10"/>
      <c r="AQ125" s="10"/>
      <c r="AR125" s="10"/>
      <c r="AS125" s="10"/>
    </row>
    <row r="126" spans="1:46">
      <c r="A126" s="23">
        <v>42398</v>
      </c>
      <c r="B126" s="26">
        <v>16845.59</v>
      </c>
      <c r="C126" s="30">
        <f t="shared" si="51"/>
        <v>3.0221777466712088E-3</v>
      </c>
      <c r="D126" s="25">
        <v>153.79690207556919</v>
      </c>
      <c r="E126" s="25"/>
      <c r="F126" s="23">
        <v>42400</v>
      </c>
      <c r="K126" s="10"/>
      <c r="AC126" s="10"/>
      <c r="AD126" s="10"/>
      <c r="AE126" s="10"/>
      <c r="AF126" s="10"/>
      <c r="AG126" s="10"/>
      <c r="AH126" s="10"/>
      <c r="AI126" s="10"/>
      <c r="AJ126" s="10"/>
      <c r="AK126" s="10"/>
      <c r="AL126" s="10"/>
      <c r="AM126" s="10"/>
      <c r="AN126" s="10"/>
      <c r="AO126" s="10"/>
      <c r="AP126" s="10"/>
      <c r="AQ126" s="10"/>
      <c r="AR126" s="10"/>
      <c r="AS126" s="10"/>
    </row>
    <row r="127" spans="1:46">
      <c r="A127" s="23">
        <v>42429</v>
      </c>
      <c r="B127" s="26">
        <v>16896.43</v>
      </c>
      <c r="C127" s="30">
        <f t="shared" si="51"/>
        <v>2.9206457001506431E-3</v>
      </c>
      <c r="D127" s="25">
        <v>154.26106121167084</v>
      </c>
      <c r="E127" s="25"/>
      <c r="F127" s="23">
        <v>42428</v>
      </c>
      <c r="K127" s="10"/>
      <c r="AC127" s="10"/>
      <c r="AD127" s="10"/>
      <c r="AE127" s="10"/>
      <c r="AF127" s="10"/>
      <c r="AG127" s="10"/>
      <c r="AH127" s="10"/>
      <c r="AI127" s="10"/>
      <c r="AJ127" s="10"/>
      <c r="AK127" s="10"/>
      <c r="AL127" s="10"/>
      <c r="AM127" s="10"/>
      <c r="AN127" s="10"/>
      <c r="AO127" s="10"/>
      <c r="AP127" s="10"/>
      <c r="AQ127" s="10"/>
      <c r="AR127" s="10"/>
      <c r="AS127" s="10"/>
    </row>
    <row r="128" spans="1:46">
      <c r="A128" s="23">
        <v>42460</v>
      </c>
      <c r="B128" s="26">
        <v>16947.43</v>
      </c>
      <c r="C128" s="30">
        <f t="shared" si="51"/>
        <v>2.9210217016066354E-3</v>
      </c>
      <c r="D128" s="25">
        <v>154.72668111610005</v>
      </c>
      <c r="E128" s="25"/>
      <c r="F128" s="23">
        <v>42460</v>
      </c>
      <c r="K128" s="10"/>
      <c r="AC128" s="10"/>
      <c r="AD128" s="10"/>
      <c r="AE128" s="10"/>
      <c r="AF128" s="10"/>
      <c r="AG128" s="10"/>
      <c r="AH128" s="10"/>
      <c r="AI128" s="10"/>
      <c r="AJ128" s="10"/>
      <c r="AK128" s="10"/>
      <c r="AL128" s="10"/>
      <c r="AM128" s="10"/>
      <c r="AN128" s="10"/>
      <c r="AO128" s="10"/>
      <c r="AP128" s="10"/>
      <c r="AQ128" s="10"/>
    </row>
    <row r="129" spans="1:43">
      <c r="A129" s="23">
        <v>42489</v>
      </c>
      <c r="B129" s="26">
        <v>16995.27</v>
      </c>
      <c r="C129" s="30">
        <f t="shared" si="51"/>
        <v>2.920186433719699E-3</v>
      </c>
      <c r="D129" s="25">
        <v>155.16345084605877</v>
      </c>
      <c r="F129" s="23">
        <v>42490</v>
      </c>
      <c r="K129" s="10"/>
      <c r="AC129" s="10"/>
      <c r="AD129" s="10"/>
      <c r="AE129" s="10"/>
      <c r="AF129" s="10"/>
      <c r="AG129" s="10"/>
      <c r="AH129" s="10"/>
      <c r="AI129" s="10"/>
      <c r="AJ129" s="10"/>
      <c r="AK129" s="10"/>
      <c r="AL129" s="10"/>
      <c r="AM129" s="10"/>
      <c r="AN129" s="10"/>
      <c r="AO129" s="10"/>
      <c r="AP129" s="10"/>
      <c r="AQ129" s="10"/>
    </row>
    <row r="130" spans="1:43">
      <c r="A130" s="23">
        <v>42521</v>
      </c>
      <c r="B130" s="26">
        <v>17048.23</v>
      </c>
      <c r="C130" s="30">
        <f t="shared" si="51"/>
        <v>2.9214010721807099E-3</v>
      </c>
      <c r="D130" s="25">
        <v>155.64696516250137</v>
      </c>
      <c r="F130" s="23">
        <f t="shared" ref="F130:F145" si="78">+A130</f>
        <v>42521</v>
      </c>
      <c r="G130" s="57"/>
      <c r="I130" s="30"/>
      <c r="J130" s="24"/>
      <c r="K130" s="10"/>
      <c r="L130" s="30"/>
      <c r="AC130" s="10"/>
      <c r="AD130" s="10"/>
      <c r="AE130" s="10"/>
      <c r="AF130" s="10"/>
      <c r="AG130" s="10"/>
      <c r="AH130" s="10"/>
      <c r="AI130" s="10"/>
      <c r="AJ130" s="10"/>
      <c r="AK130" s="10"/>
      <c r="AL130" s="10"/>
      <c r="AM130" s="10"/>
      <c r="AN130" s="10"/>
      <c r="AO130" s="10"/>
      <c r="AP130" s="10"/>
      <c r="AQ130" s="10"/>
    </row>
    <row r="131" spans="1:43">
      <c r="A131" s="23">
        <v>42551</v>
      </c>
      <c r="B131" s="26">
        <v>17098.02</v>
      </c>
      <c r="C131" s="30">
        <f t="shared" si="51"/>
        <v>2.9205377918999353E-3</v>
      </c>
      <c r="D131" s="25">
        <v>156.10153800645296</v>
      </c>
      <c r="F131" s="23">
        <f t="shared" si="78"/>
        <v>42551</v>
      </c>
      <c r="I131" s="30"/>
      <c r="J131" s="24"/>
      <c r="K131" s="10"/>
      <c r="L131" s="30"/>
      <c r="M131" s="25"/>
      <c r="AC131" s="10"/>
      <c r="AD131" s="10"/>
      <c r="AE131" s="10"/>
      <c r="AF131" s="10"/>
      <c r="AG131" s="10"/>
      <c r="AH131" s="10"/>
      <c r="AI131" s="10"/>
      <c r="AJ131" s="10"/>
      <c r="AK131" s="10"/>
      <c r="AL131" s="10"/>
      <c r="AM131" s="10"/>
      <c r="AN131" s="10"/>
      <c r="AO131" s="10"/>
      <c r="AP131" s="10"/>
      <c r="AQ131" s="10"/>
    </row>
    <row r="132" spans="1:43">
      <c r="A132" s="23">
        <v>42582</v>
      </c>
      <c r="B132" s="67">
        <v>17149.23</v>
      </c>
      <c r="C132" s="30">
        <f t="shared" si="51"/>
        <v>2.8984680399326843E-3</v>
      </c>
      <c r="D132" s="25">
        <v>156.56907516931219</v>
      </c>
      <c r="F132" s="23">
        <f t="shared" si="78"/>
        <v>42582</v>
      </c>
      <c r="I132" s="30"/>
      <c r="J132" s="24"/>
      <c r="K132" s="10"/>
      <c r="L132" s="30"/>
      <c r="M132" s="25"/>
      <c r="AC132" s="10"/>
      <c r="AD132" s="10"/>
      <c r="AE132" s="10"/>
      <c r="AF132" s="10"/>
      <c r="AG132" s="10"/>
      <c r="AH132" s="10"/>
      <c r="AI132" s="10"/>
      <c r="AJ132" s="10"/>
      <c r="AK132" s="10"/>
      <c r="AL132" s="10"/>
      <c r="AM132" s="10"/>
      <c r="AN132" s="10"/>
      <c r="AO132" s="10"/>
      <c r="AP132" s="10"/>
      <c r="AQ132" s="10"/>
    </row>
    <row r="133" spans="1:43">
      <c r="A133" s="23">
        <v>42613</v>
      </c>
      <c r="B133" s="26">
        <v>17201.38</v>
      </c>
      <c r="C133" s="30">
        <f t="shared" si="51"/>
        <v>2.9428576055883799E-3</v>
      </c>
      <c r="D133" s="25">
        <v>157.0451943460962</v>
      </c>
      <c r="F133" s="23">
        <f t="shared" si="78"/>
        <v>42613</v>
      </c>
      <c r="I133" s="30"/>
      <c r="J133" s="24"/>
      <c r="K133" s="10"/>
      <c r="L133" s="30"/>
      <c r="M133" s="25"/>
      <c r="AC133" s="10"/>
      <c r="AD133" s="10"/>
      <c r="AE133" s="10"/>
      <c r="AF133" s="10"/>
      <c r="AG133" s="10"/>
      <c r="AH133" s="10"/>
      <c r="AI133" s="10"/>
      <c r="AJ133" s="10"/>
      <c r="AK133" s="10"/>
      <c r="AL133" s="10"/>
      <c r="AM133" s="10"/>
      <c r="AN133" s="10"/>
      <c r="AO133" s="10"/>
      <c r="AP133" s="10"/>
      <c r="AQ133" s="10"/>
    </row>
    <row r="134" spans="1:43">
      <c r="A134" s="23">
        <v>42643</v>
      </c>
      <c r="B134" s="26">
        <v>17251.61</v>
      </c>
      <c r="C134" s="30">
        <f t="shared" ref="C134:C164" si="79">+(B134/B133-1)/(A134-A133)*30</f>
        <v>2.9201145489490266E-3</v>
      </c>
      <c r="D134" s="25">
        <v>157.50378430294876</v>
      </c>
      <c r="F134" s="23">
        <f t="shared" si="78"/>
        <v>42643</v>
      </c>
      <c r="I134" s="30"/>
      <c r="J134" s="24"/>
      <c r="K134" s="10"/>
      <c r="L134" s="30"/>
      <c r="M134" s="25"/>
      <c r="AC134" s="10"/>
      <c r="AD134" s="10"/>
      <c r="AE134" s="10"/>
      <c r="AF134" s="10"/>
      <c r="AG134" s="10"/>
      <c r="AH134" s="10"/>
      <c r="AI134" s="10"/>
      <c r="AJ134" s="10"/>
      <c r="AK134" s="10"/>
      <c r="AL134" s="10"/>
      <c r="AM134" s="10"/>
      <c r="AN134" s="10"/>
      <c r="AO134" s="10"/>
      <c r="AP134" s="10"/>
      <c r="AQ134" s="10"/>
    </row>
    <row r="135" spans="1:43">
      <c r="A135" s="23">
        <v>42674</v>
      </c>
      <c r="B135" s="26">
        <v>17303.68</v>
      </c>
      <c r="C135" s="30">
        <f t="shared" si="79"/>
        <v>2.920905502770276E-3</v>
      </c>
      <c r="D135" s="25">
        <v>157.97917309556894</v>
      </c>
      <c r="F135" s="23">
        <f t="shared" si="78"/>
        <v>42674</v>
      </c>
      <c r="I135" s="30"/>
      <c r="J135" s="24"/>
      <c r="K135" s="10"/>
      <c r="L135" s="30"/>
      <c r="M135" s="25"/>
      <c r="AC135" s="10"/>
      <c r="AD135" s="10"/>
      <c r="AE135" s="10"/>
      <c r="AF135" s="10"/>
      <c r="AG135" s="10"/>
      <c r="AH135" s="10"/>
      <c r="AI135" s="10"/>
      <c r="AJ135" s="10"/>
      <c r="AK135" s="10"/>
      <c r="AL135" s="10"/>
      <c r="AM135" s="10"/>
      <c r="AN135" s="10"/>
      <c r="AO135" s="10"/>
      <c r="AP135" s="10"/>
      <c r="AQ135" s="10"/>
    </row>
    <row r="136" spans="1:43">
      <c r="A136" s="23">
        <v>42704</v>
      </c>
      <c r="B136" s="26">
        <v>17354.21</v>
      </c>
      <c r="C136" s="30">
        <f t="shared" si="79"/>
        <v>2.9201880756000165E-3</v>
      </c>
      <c r="D136" s="25">
        <v>158.44050199303578</v>
      </c>
      <c r="F136" s="23">
        <f t="shared" si="78"/>
        <v>42704</v>
      </c>
      <c r="I136" s="30"/>
      <c r="J136" s="24"/>
      <c r="K136" s="10"/>
      <c r="L136" s="30"/>
      <c r="M136" s="25"/>
      <c r="AC136" s="10"/>
      <c r="AD136" s="10"/>
      <c r="AE136" s="10"/>
      <c r="AF136" s="10"/>
      <c r="AG136" s="10"/>
      <c r="AH136" s="10"/>
      <c r="AI136" s="10"/>
      <c r="AJ136" s="10"/>
      <c r="AK136" s="10"/>
      <c r="AL136" s="10"/>
      <c r="AM136" s="10"/>
      <c r="AN136" s="10"/>
      <c r="AO136" s="10"/>
      <c r="AP136" s="10"/>
      <c r="AQ136" s="10"/>
    </row>
    <row r="137" spans="1:43">
      <c r="A137" s="23">
        <v>42735</v>
      </c>
      <c r="B137" s="26">
        <v>17406.97</v>
      </c>
      <c r="C137" s="30">
        <f t="shared" si="79"/>
        <v>2.9421140182199269E-3</v>
      </c>
      <c r="D137" s="25">
        <v>158.92219034906887</v>
      </c>
      <c r="F137" s="23">
        <f t="shared" si="78"/>
        <v>42735</v>
      </c>
      <c r="I137" s="30"/>
      <c r="J137" s="24"/>
      <c r="K137" s="10"/>
      <c r="L137" s="30"/>
      <c r="M137" s="25"/>
      <c r="AC137" s="10"/>
      <c r="AD137" s="10"/>
      <c r="AE137" s="10"/>
      <c r="AF137" s="10"/>
      <c r="AG137" s="10"/>
      <c r="AH137" s="10"/>
      <c r="AI137" s="10"/>
      <c r="AJ137" s="10"/>
      <c r="AK137" s="10"/>
      <c r="AL137" s="10"/>
      <c r="AM137" s="10"/>
      <c r="AN137" s="10"/>
      <c r="AO137" s="10"/>
      <c r="AP137" s="10"/>
      <c r="AQ137" s="10"/>
    </row>
    <row r="138" spans="1:43">
      <c r="A138" s="23">
        <v>42766</v>
      </c>
      <c r="B138" s="26">
        <v>17457.39</v>
      </c>
      <c r="C138" s="30">
        <f t="shared" si="79"/>
        <v>2.8031040661927633E-3</v>
      </c>
      <c r="D138" s="25">
        <v>159.38251496831046</v>
      </c>
      <c r="F138" s="23">
        <f t="shared" si="78"/>
        <v>42766</v>
      </c>
      <c r="I138" s="30"/>
      <c r="J138" s="24"/>
      <c r="K138" s="10"/>
      <c r="L138" s="30"/>
      <c r="M138" s="25"/>
    </row>
    <row r="139" spans="1:43">
      <c r="A139" s="23">
        <v>42794</v>
      </c>
      <c r="B139" s="26">
        <v>17501.060000000001</v>
      </c>
      <c r="C139" s="30">
        <f t="shared" si="79"/>
        <v>2.6801993719728829E-3</v>
      </c>
      <c r="D139" s="25">
        <v>159.78121342373058</v>
      </c>
      <c r="F139" s="23">
        <f t="shared" si="78"/>
        <v>42794</v>
      </c>
      <c r="I139" s="30"/>
      <c r="J139" s="24"/>
      <c r="K139" s="10"/>
      <c r="L139" s="30"/>
      <c r="M139" s="25"/>
    </row>
    <row r="140" spans="1:43">
      <c r="A140" s="23">
        <v>42825</v>
      </c>
      <c r="B140" s="26">
        <v>17548.349999999999</v>
      </c>
      <c r="C140" s="30">
        <f t="shared" si="79"/>
        <v>2.6149568157032219E-3</v>
      </c>
      <c r="D140" s="25">
        <v>160.21296176256305</v>
      </c>
      <c r="F140" s="23">
        <f t="shared" si="78"/>
        <v>42825</v>
      </c>
      <c r="I140" s="30"/>
      <c r="J140" s="24"/>
      <c r="K140" s="10"/>
      <c r="L140" s="30"/>
      <c r="M140" s="25"/>
    </row>
    <row r="141" spans="1:43">
      <c r="A141" s="23">
        <v>42855</v>
      </c>
      <c r="B141" s="26">
        <v>17587.919999999998</v>
      </c>
      <c r="C141" s="30">
        <f t="shared" si="79"/>
        <v>2.254912855054636E-3</v>
      </c>
      <c r="D141" s="25">
        <v>160.57422802958786</v>
      </c>
      <c r="F141" s="23">
        <f t="shared" si="78"/>
        <v>42855</v>
      </c>
      <c r="I141" s="30"/>
      <c r="J141" s="24"/>
      <c r="K141" s="10"/>
      <c r="L141" s="30"/>
      <c r="M141" s="25"/>
    </row>
    <row r="142" spans="1:43">
      <c r="A142" s="23">
        <v>42886</v>
      </c>
      <c r="B142" s="26">
        <v>17630.79</v>
      </c>
      <c r="C142" s="30">
        <f t="shared" si="79"/>
        <v>2.3588404299198615E-3</v>
      </c>
      <c r="D142" s="25">
        <v>160.96562264336987</v>
      </c>
      <c r="F142" s="23">
        <f t="shared" si="78"/>
        <v>42886</v>
      </c>
      <c r="I142" s="30"/>
      <c r="J142" s="24"/>
      <c r="K142" s="10"/>
      <c r="L142" s="30"/>
      <c r="M142" s="25"/>
    </row>
    <row r="143" spans="1:43">
      <c r="A143" s="23">
        <v>42916</v>
      </c>
      <c r="B143" s="26">
        <v>17667.59</v>
      </c>
      <c r="C143" s="30">
        <f t="shared" si="79"/>
        <v>2.0872575760926271E-3</v>
      </c>
      <c r="D143" s="25">
        <v>161.30159935872271</v>
      </c>
      <c r="F143" s="23">
        <f t="shared" si="78"/>
        <v>42916</v>
      </c>
      <c r="I143" s="30"/>
      <c r="J143" s="24"/>
      <c r="K143" s="10"/>
      <c r="L143" s="30"/>
      <c r="M143" s="25"/>
    </row>
    <row r="144" spans="1:43">
      <c r="A144" s="23">
        <v>42947</v>
      </c>
      <c r="B144" s="26">
        <v>17705.689999999999</v>
      </c>
      <c r="C144" s="30">
        <f t="shared" si="79"/>
        <v>2.0869268384615313E-3</v>
      </c>
      <c r="D144" s="25">
        <v>161.64944481673749</v>
      </c>
      <c r="F144" s="23">
        <f t="shared" si="78"/>
        <v>42947</v>
      </c>
      <c r="I144" s="30"/>
      <c r="J144" s="24"/>
      <c r="K144" s="10"/>
      <c r="L144" s="30"/>
      <c r="M144" s="25"/>
    </row>
    <row r="145" spans="1:44">
      <c r="A145" s="23">
        <v>42978</v>
      </c>
      <c r="B145" s="26">
        <v>17743.830000000002</v>
      </c>
      <c r="C145" s="30">
        <f t="shared" si="79"/>
        <v>2.0846223682533241E-3</v>
      </c>
      <c r="D145" s="25">
        <v>161.9976554668342</v>
      </c>
      <c r="F145" s="23">
        <f t="shared" si="78"/>
        <v>42978</v>
      </c>
      <c r="I145" s="30"/>
      <c r="J145" s="24"/>
      <c r="K145" s="10"/>
      <c r="L145" s="30"/>
      <c r="M145" s="25"/>
    </row>
    <row r="146" spans="1:44">
      <c r="A146" s="23">
        <v>43008</v>
      </c>
      <c r="B146" s="26">
        <v>17780.7817</v>
      </c>
      <c r="C146" s="30">
        <f t="shared" si="79"/>
        <v>2.0825098076344695E-3</v>
      </c>
      <c r="D146" s="25">
        <v>162.33501717315767</v>
      </c>
      <c r="F146" s="23">
        <v>43008</v>
      </c>
      <c r="I146" s="30"/>
      <c r="J146" s="24"/>
      <c r="K146" s="10"/>
      <c r="L146" s="30"/>
      <c r="M146" s="25"/>
    </row>
    <row r="147" spans="1:44">
      <c r="A147" s="23">
        <v>43039</v>
      </c>
      <c r="B147" s="9">
        <v>17819.150000000001</v>
      </c>
      <c r="C147" s="30">
        <f t="shared" si="79"/>
        <v>2.0882441238917289E-3</v>
      </c>
      <c r="D147" s="25">
        <v>162.68531215706184</v>
      </c>
      <c r="F147" s="23">
        <v>43039</v>
      </c>
      <c r="I147" s="30"/>
      <c r="J147" s="24"/>
      <c r="K147" s="10"/>
      <c r="L147" s="30"/>
      <c r="M147" s="25"/>
      <c r="S147" s="9" t="s">
        <v>38</v>
      </c>
    </row>
    <row r="148" spans="1:44">
      <c r="A148" s="23">
        <v>43069</v>
      </c>
      <c r="B148" s="9">
        <v>17856.32</v>
      </c>
      <c r="C148" s="30">
        <f t="shared" si="79"/>
        <v>2.0859580844203585E-3</v>
      </c>
      <c r="D148" s="25">
        <v>163.0246668991723</v>
      </c>
      <c r="F148" s="23">
        <v>43069</v>
      </c>
      <c r="I148" s="30"/>
      <c r="J148" s="24"/>
      <c r="K148" s="10"/>
      <c r="L148" s="30"/>
      <c r="M148" s="25"/>
    </row>
    <row r="149" spans="1:44">
      <c r="A149" s="23">
        <v>43100</v>
      </c>
      <c r="B149" s="9">
        <v>17872.439999999999</v>
      </c>
      <c r="C149" s="30">
        <f t="shared" si="79"/>
        <v>8.7364025734307325E-4</v>
      </c>
      <c r="D149" s="25">
        <v>163.1718393081801</v>
      </c>
      <c r="F149" s="23">
        <v>43100</v>
      </c>
      <c r="I149" s="30"/>
      <c r="J149" s="24"/>
      <c r="K149" s="10"/>
      <c r="L149" s="30"/>
      <c r="M149" s="25"/>
      <c r="Q149" s="10">
        <f>+G137+S148</f>
        <v>0</v>
      </c>
      <c r="S149" s="9" t="s">
        <v>39</v>
      </c>
    </row>
    <row r="150" spans="1:44">
      <c r="A150" s="23">
        <v>43131</v>
      </c>
      <c r="B150" s="9">
        <v>17933.28</v>
      </c>
      <c r="C150" s="30">
        <f t="shared" si="79"/>
        <v>3.2943134432030716E-3</v>
      </c>
      <c r="D150" s="25">
        <v>163.72729646475804</v>
      </c>
      <c r="F150" s="23">
        <v>43131</v>
      </c>
      <c r="I150" s="30"/>
      <c r="J150" s="24"/>
      <c r="K150" s="10"/>
      <c r="L150" s="30"/>
      <c r="M150" s="25"/>
    </row>
    <row r="151" spans="1:44">
      <c r="A151" s="23">
        <v>43159</v>
      </c>
      <c r="B151" s="9">
        <v>17968.11</v>
      </c>
      <c r="C151" s="30">
        <f t="shared" si="79"/>
        <v>2.0809275906504988E-3</v>
      </c>
      <c r="D151" s="25">
        <v>164.04528747007708</v>
      </c>
      <c r="F151" s="23">
        <v>43159</v>
      </c>
      <c r="I151" s="30"/>
      <c r="J151" s="24"/>
      <c r="K151" s="10"/>
      <c r="L151" s="30"/>
      <c r="M151" s="25"/>
      <c r="S151" s="9" t="s">
        <v>40</v>
      </c>
    </row>
    <row r="152" spans="1:44">
      <c r="A152" s="23">
        <v>43190</v>
      </c>
      <c r="B152" s="9">
        <v>18006.830000000002</v>
      </c>
      <c r="C152" s="30">
        <f t="shared" si="79"/>
        <v>2.0854150905095488E-3</v>
      </c>
      <c r="D152" s="25">
        <v>164.3987934053614</v>
      </c>
      <c r="F152" s="23">
        <v>43190</v>
      </c>
      <c r="I152" s="30"/>
      <c r="J152" s="24"/>
      <c r="K152" s="10"/>
      <c r="L152" s="30"/>
      <c r="M152" s="25"/>
      <c r="S152" s="9">
        <v>6.6492827949028177</v>
      </c>
    </row>
    <row r="153" spans="1:44">
      <c r="A153" s="23">
        <v>43220</v>
      </c>
      <c r="B153" s="9">
        <v>18044.25</v>
      </c>
      <c r="C153" s="30">
        <f t="shared" si="79"/>
        <v>2.0781003652501351E-3</v>
      </c>
      <c r="D153" s="25">
        <v>164.74043059798379</v>
      </c>
      <c r="F153" s="23">
        <v>43220</v>
      </c>
      <c r="I153" s="30"/>
      <c r="J153" s="24"/>
      <c r="K153" s="10"/>
      <c r="L153" s="30"/>
      <c r="M153" s="25"/>
      <c r="S153" s="9" t="s">
        <v>41</v>
      </c>
    </row>
    <row r="154" spans="1:44">
      <c r="A154" s="23">
        <v>43251</v>
      </c>
      <c r="B154" s="24">
        <v>18082.87</v>
      </c>
      <c r="C154" s="30">
        <f t="shared" si="79"/>
        <v>2.0712522575549652E-3</v>
      </c>
      <c r="D154" s="25">
        <v>165.09302355306332</v>
      </c>
      <c r="F154" s="23">
        <v>43251</v>
      </c>
      <c r="I154" s="30"/>
      <c r="J154" s="24"/>
      <c r="K154" s="10"/>
      <c r="L154" s="30"/>
      <c r="M154" s="25"/>
      <c r="S154" s="9">
        <v>28.416560199999999</v>
      </c>
    </row>
    <row r="155" spans="1:44">
      <c r="A155" s="23">
        <v>43281</v>
      </c>
      <c r="B155" s="25">
        <v>18120.622499999998</v>
      </c>
      <c r="C155" s="30">
        <f t="shared" si="79"/>
        <v>2.0877493450983664E-3</v>
      </c>
      <c r="D155" s="25">
        <v>165.43769640486653</v>
      </c>
      <c r="F155" s="23">
        <v>43281</v>
      </c>
      <c r="I155" s="30"/>
      <c r="J155" s="24"/>
      <c r="L155" s="30"/>
      <c r="M155" s="25"/>
      <c r="S155" s="9" t="s">
        <v>42</v>
      </c>
    </row>
    <row r="156" spans="1:44">
      <c r="A156" s="23">
        <v>43312</v>
      </c>
      <c r="B156" s="24">
        <v>18159.66</v>
      </c>
      <c r="C156" s="30">
        <f t="shared" si="79"/>
        <v>2.0848194263996837E-3</v>
      </c>
      <c r="D156" s="25">
        <v>165.79410105230099</v>
      </c>
      <c r="F156" s="23">
        <v>43312</v>
      </c>
      <c r="I156" s="30"/>
      <c r="J156" s="24"/>
      <c r="L156" s="30"/>
      <c r="M156" s="25"/>
      <c r="S156" s="9">
        <v>4.4728106564294903</v>
      </c>
    </row>
    <row r="157" spans="1:44">
      <c r="A157" s="23">
        <v>43343</v>
      </c>
      <c r="B157" s="24">
        <v>18198.62</v>
      </c>
      <c r="C157" s="30">
        <f t="shared" si="79"/>
        <v>2.0762076936710386E-3</v>
      </c>
      <c r="D157" s="25">
        <v>166.14979814007674</v>
      </c>
      <c r="F157" s="23">
        <v>43343</v>
      </c>
      <c r="I157" s="30"/>
      <c r="J157" s="24"/>
      <c r="L157" s="30"/>
      <c r="M157" s="25"/>
      <c r="S157" s="9" t="s">
        <v>43</v>
      </c>
    </row>
    <row r="158" spans="1:44">
      <c r="A158" s="23">
        <v>43373</v>
      </c>
      <c r="B158" s="68">
        <v>18235.900000000001</v>
      </c>
      <c r="C158" s="30">
        <f t="shared" si="79"/>
        <v>2.0485069747047113E-3</v>
      </c>
      <c r="D158" s="25">
        <v>166.49015716041248</v>
      </c>
      <c r="F158" s="23">
        <v>43373</v>
      </c>
      <c r="I158" s="30"/>
      <c r="J158" s="24"/>
      <c r="L158" s="30"/>
      <c r="M158" s="25"/>
      <c r="S158" s="9">
        <v>3.2483015795435857</v>
      </c>
    </row>
    <row r="159" spans="1:44">
      <c r="A159" s="23">
        <v>43404</v>
      </c>
      <c r="B159" s="9">
        <v>18277.400000000001</v>
      </c>
      <c r="C159" s="30">
        <f t="shared" si="79"/>
        <v>2.2023201664069722E-3</v>
      </c>
      <c r="D159" s="25">
        <v>166.86904394538919</v>
      </c>
      <c r="F159" s="23">
        <v>43404</v>
      </c>
      <c r="G159" s="57">
        <v>1000</v>
      </c>
      <c r="H159" s="10">
        <f>+G159</f>
        <v>1000</v>
      </c>
      <c r="I159" s="30"/>
      <c r="J159" s="24">
        <v>166.86904394538919</v>
      </c>
      <c r="K159" s="9">
        <v>4807.6121000000003</v>
      </c>
      <c r="L159" s="30"/>
      <c r="M159" s="25">
        <v>166.86904394538919</v>
      </c>
      <c r="S159" s="9" t="s">
        <v>44</v>
      </c>
    </row>
    <row r="160" spans="1:44">
      <c r="A160" s="23">
        <v>43434</v>
      </c>
      <c r="B160" s="25">
        <v>18319.310000000001</v>
      </c>
      <c r="C160" s="30">
        <f t="shared" si="79"/>
        <v>2.2929957214921082E-3</v>
      </c>
      <c r="D160" s="25">
        <v>167.25167394920547</v>
      </c>
      <c r="F160" s="23">
        <v>43434</v>
      </c>
      <c r="G160" s="10">
        <v>1003.4478</v>
      </c>
      <c r="H160" s="10">
        <f>+G160+$S$148+$S$150</f>
        <v>1003.4478</v>
      </c>
      <c r="I160" s="30">
        <f>+(((H160)/H159)-1)/(F160-F159)*30</f>
        <v>3.4478000000000009E-3</v>
      </c>
      <c r="J160" s="24">
        <f t="shared" ref="J160" si="80">+J159*(1+I160)</f>
        <v>167.44437503510412</v>
      </c>
      <c r="K160" s="9">
        <v>4812.5415000000003</v>
      </c>
      <c r="L160" s="30">
        <f>+(K160/K159-1)/(F160-F159)*30</f>
        <v>1.0253323058240227E-3</v>
      </c>
      <c r="M160" s="25">
        <f t="shared" ref="M160" si="81">+M159*(1+L160)</f>
        <v>167.04014016698838</v>
      </c>
      <c r="S160" s="9">
        <v>22.063618009962642</v>
      </c>
      <c r="AR160" s="58"/>
    </row>
    <row r="161" spans="1:43">
      <c r="A161" s="23">
        <v>43465</v>
      </c>
      <c r="B161" s="9">
        <v>18362.684000000001</v>
      </c>
      <c r="C161" s="30">
        <f t="shared" si="79"/>
        <v>2.2912892848953219E-3</v>
      </c>
      <c r="D161" s="25">
        <v>167.64766998321946</v>
      </c>
      <c r="F161" s="23">
        <v>43465</v>
      </c>
      <c r="G161" s="10">
        <v>999.11429999999996</v>
      </c>
      <c r="H161" s="10">
        <f t="shared" ref="H161:H173" si="82">+G161+$S$148+$S$150+$S$152</f>
        <v>1005.7635827949027</v>
      </c>
      <c r="I161" s="30">
        <f t="shared" ref="I161:I165" si="83">+(((H161)/H160)-1)/(F161-F160)*30</f>
        <v>2.23337987695951E-3</v>
      </c>
      <c r="J161" s="24">
        <f t="shared" ref="J161" si="84">+J160*(1+I161)</f>
        <v>167.81834193281759</v>
      </c>
      <c r="K161" s="10">
        <v>4819.2415000000001</v>
      </c>
      <c r="L161" s="30">
        <f t="shared" ref="L161:L165" si="85">+(K161/K160-1)/(F161-F160)*30</f>
        <v>1.3472862452700689E-3</v>
      </c>
      <c r="M161" s="25">
        <f t="shared" ref="M161" si="86">+M160*(1+L161)</f>
        <v>167.26519105024335</v>
      </c>
      <c r="S161" s="9" t="s">
        <v>45</v>
      </c>
    </row>
    <row r="162" spans="1:43">
      <c r="A162" s="23">
        <v>43496</v>
      </c>
      <c r="B162" s="24">
        <v>18407.689999999999</v>
      </c>
      <c r="C162" s="30">
        <f t="shared" si="79"/>
        <v>2.3718860243080522E-3</v>
      </c>
      <c r="D162" s="25">
        <v>168.05856585417516</v>
      </c>
      <c r="F162" s="23">
        <v>43496</v>
      </c>
      <c r="G162" s="10">
        <v>1000.934</v>
      </c>
      <c r="H162" s="10">
        <f t="shared" si="82"/>
        <v>1007.5832827949027</v>
      </c>
      <c r="I162" s="30">
        <f t="shared" si="83"/>
        <v>1.7509084939289793E-3</v>
      </c>
      <c r="J162" s="24">
        <f t="shared" ref="J162" si="87">+J161*(1+I162)</f>
        <v>168.11217649314483</v>
      </c>
      <c r="K162" s="9">
        <v>4825.82</v>
      </c>
      <c r="L162" s="30">
        <f t="shared" si="85"/>
        <v>1.321015002584915E-3</v>
      </c>
      <c r="M162" s="25">
        <f t="shared" ref="M162" si="88">+M161*(1+L162)</f>
        <v>167.48615087703095</v>
      </c>
      <c r="S162" s="9">
        <v>48.17615370829207</v>
      </c>
    </row>
    <row r="163" spans="1:43">
      <c r="A163" s="23">
        <v>43524</v>
      </c>
      <c r="B163" s="24">
        <v>18449.16</v>
      </c>
      <c r="C163" s="30">
        <f t="shared" si="79"/>
        <v>2.4137815693954707E-3</v>
      </c>
      <c r="D163" s="25">
        <v>168.43717874509045</v>
      </c>
      <c r="F163" s="23">
        <v>43524</v>
      </c>
      <c r="G163" s="10">
        <v>1002.5698</v>
      </c>
      <c r="H163" s="10">
        <f t="shared" si="82"/>
        <v>1009.2190827949028</v>
      </c>
      <c r="I163" s="30">
        <f t="shared" si="83"/>
        <v>1.7394520999606889E-3</v>
      </c>
      <c r="J163" s="24">
        <f t="shared" ref="J163" si="89">+J162*(1+I163)</f>
        <v>168.40459957157481</v>
      </c>
      <c r="K163" s="9">
        <v>4832.1058000000003</v>
      </c>
      <c r="L163" s="30">
        <f t="shared" si="85"/>
        <v>1.3955733355753522E-3</v>
      </c>
      <c r="M163" s="25">
        <f t="shared" ref="M163" si="90">+M162*(1+L163)</f>
        <v>167.71989008327307</v>
      </c>
    </row>
    <row r="164" spans="1:43">
      <c r="A164" s="23">
        <v>43555</v>
      </c>
      <c r="B164" s="9">
        <v>18496.82</v>
      </c>
      <c r="C164" s="30">
        <f t="shared" si="79"/>
        <v>2.4999826900066083E-3</v>
      </c>
      <c r="D164" s="25">
        <v>168.8723051106806</v>
      </c>
      <c r="F164" s="23">
        <v>43555</v>
      </c>
      <c r="G164" s="10">
        <v>1004.4911</v>
      </c>
      <c r="H164" s="10">
        <f t="shared" si="82"/>
        <v>1011.1403827949027</v>
      </c>
      <c r="I164" s="30">
        <f t="shared" si="83"/>
        <v>1.8423379148717824E-3</v>
      </c>
      <c r="J164" s="24">
        <f t="shared" ref="J164:J165" si="91">+J163*(1+I164)</f>
        <v>168.71485775040432</v>
      </c>
      <c r="K164" s="9">
        <v>4839.1072999999997</v>
      </c>
      <c r="L164" s="30">
        <f t="shared" si="85"/>
        <v>1.4022137431861147E-3</v>
      </c>
      <c r="M164" s="25">
        <f t="shared" ref="M164:M165" si="92">+M163*(1+L164)</f>
        <v>167.95506921815351</v>
      </c>
    </row>
    <row r="165" spans="1:43">
      <c r="A165" s="23">
        <v>43585</v>
      </c>
      <c r="B165" s="24">
        <v>18543.07</v>
      </c>
      <c r="C165" s="30">
        <f t="shared" ref="C165:C170" si="93">+(B165/B164-1)/(A165-A164)*30</f>
        <v>2.5004298036095385E-3</v>
      </c>
      <c r="D165" s="25">
        <v>169.29455845538357</v>
      </c>
      <c r="F165" s="23">
        <v>43585</v>
      </c>
      <c r="G165" s="10">
        <v>1006.3878999999999</v>
      </c>
      <c r="H165" s="10">
        <f t="shared" si="82"/>
        <v>1013.0371827949027</v>
      </c>
      <c r="I165" s="30">
        <f t="shared" si="83"/>
        <v>1.8759017365690411E-3</v>
      </c>
      <c r="J165" s="24">
        <f t="shared" si="91"/>
        <v>169.03135024504331</v>
      </c>
      <c r="K165" s="9">
        <v>4845.9628000000002</v>
      </c>
      <c r="L165" s="30">
        <f t="shared" si="85"/>
        <v>1.4166869166138962E-3</v>
      </c>
      <c r="M165" s="25">
        <f t="shared" si="92"/>
        <v>168.19300896729385</v>
      </c>
    </row>
    <row r="166" spans="1:43">
      <c r="A166" s="23">
        <v>43616</v>
      </c>
      <c r="B166" s="25">
        <v>18591.02</v>
      </c>
      <c r="C166" s="30">
        <f t="shared" si="93"/>
        <v>2.5024564867873636E-3</v>
      </c>
      <c r="D166" s="25">
        <v>170.29455845538399</v>
      </c>
      <c r="F166" s="23">
        <v>43616</v>
      </c>
      <c r="G166" s="10">
        <v>1008.6104</v>
      </c>
      <c r="H166" s="10">
        <f t="shared" si="82"/>
        <v>1015.2596827949028</v>
      </c>
      <c r="I166" s="30">
        <f t="shared" ref="I166" si="94">+(((H166)/H165)-1)/(F166-F165)*30</f>
        <v>2.1231268586599603E-3</v>
      </c>
      <c r="J166" s="24">
        <f t="shared" ref="J166" si="95">+J165*(1+I166)</f>
        <v>169.39022524470411</v>
      </c>
      <c r="K166" s="9">
        <v>4852.5891000000001</v>
      </c>
      <c r="L166" s="30">
        <f t="shared" ref="L166" si="96">+(K166/K165-1)/(F166-F165)*30</f>
        <v>1.3232764368510004E-3</v>
      </c>
      <c r="M166" s="25">
        <f t="shared" ref="M166" si="97">+M165*(1+L166)</f>
        <v>168.41557481290332</v>
      </c>
    </row>
    <row r="167" spans="1:43">
      <c r="A167" s="23">
        <v>43646</v>
      </c>
      <c r="B167" s="25">
        <v>18632.310000000001</v>
      </c>
      <c r="C167" s="30">
        <f t="shared" si="93"/>
        <v>2.2209647453448333E-3</v>
      </c>
      <c r="D167" s="25">
        <v>171.29455845538399</v>
      </c>
      <c r="F167" s="23">
        <v>43646</v>
      </c>
      <c r="G167" s="10">
        <v>1010.6366</v>
      </c>
      <c r="H167" s="10">
        <f t="shared" si="82"/>
        <v>1017.2858827949028</v>
      </c>
      <c r="I167" s="30">
        <f t="shared" ref="I167" si="98">+(((H167)/H166)-1)/(F167-F166)*30</f>
        <v>1.9957455558778925E-3</v>
      </c>
      <c r="J167" s="24">
        <f t="shared" ref="J167" si="99">+J166*(1+I167)</f>
        <v>169.72828503394538</v>
      </c>
      <c r="K167" s="9">
        <v>4858.4076999999997</v>
      </c>
      <c r="L167" s="30">
        <f t="shared" ref="L167" si="100">+(K167/K166-1)/(F167-F166)*30</f>
        <v>1.1990712339520204E-3</v>
      </c>
      <c r="M167" s="25">
        <f t="shared" ref="M167" si="101">+M166*(1+L167)</f>
        <v>168.61751708401096</v>
      </c>
    </row>
    <row r="168" spans="1:43">
      <c r="A168" s="23">
        <v>43677</v>
      </c>
      <c r="B168" s="25">
        <v>18672.310000000001</v>
      </c>
      <c r="C168" s="30">
        <f t="shared" si="93"/>
        <v>2.0775565358966928E-3</v>
      </c>
      <c r="D168" s="25">
        <v>172.29455845538399</v>
      </c>
      <c r="F168" s="23">
        <v>43677</v>
      </c>
      <c r="G168" s="10">
        <v>1012.7391</v>
      </c>
      <c r="H168" s="10">
        <f t="shared" si="82"/>
        <v>1019.3883827949028</v>
      </c>
      <c r="I168" s="30">
        <f t="shared" ref="I168:I169" si="102">+(((H168)/H167)-1)/(F168-F167)*30</f>
        <v>2.0001038584794456E-3</v>
      </c>
      <c r="J168" s="24">
        <f t="shared" ref="J168:J169" si="103">+J167*(1+I168)</f>
        <v>170.06775923173487</v>
      </c>
      <c r="K168" s="9">
        <v>4863.4466000000002</v>
      </c>
      <c r="L168" s="30">
        <f t="shared" ref="L168:L169" si="104">+(K168/K167-1)/(F168-F167)*30</f>
        <v>1.0036940371863539E-3</v>
      </c>
      <c r="M168" s="25">
        <f t="shared" ref="M168:M169" si="105">+M167*(1+L168)</f>
        <v>168.78675748047334</v>
      </c>
    </row>
    <row r="169" spans="1:43">
      <c r="A169" s="23">
        <v>43708</v>
      </c>
      <c r="B169" s="25">
        <v>18712.55</v>
      </c>
      <c r="C169" s="30">
        <f t="shared" si="93"/>
        <v>2.0855446103813656E-3</v>
      </c>
      <c r="D169" s="25">
        <v>173.29455845538399</v>
      </c>
      <c r="F169" s="23">
        <v>43708</v>
      </c>
      <c r="G169" s="10">
        <v>1014.6376</v>
      </c>
      <c r="H169" s="10">
        <f t="shared" si="82"/>
        <v>1021.2868827949028</v>
      </c>
      <c r="I169" s="30">
        <f t="shared" si="102"/>
        <v>1.8023141086607975E-3</v>
      </c>
      <c r="J169" s="24">
        <f t="shared" si="103"/>
        <v>170.37427475362654</v>
      </c>
      <c r="K169" s="9">
        <v>4868.1252999999997</v>
      </c>
      <c r="L169" s="30">
        <f t="shared" si="104"/>
        <v>9.3098055061359821E-4</v>
      </c>
      <c r="M169" s="25">
        <f t="shared" si="105"/>
        <v>168.94389466888882</v>
      </c>
    </row>
    <row r="170" spans="1:43">
      <c r="A170" s="23">
        <v>43738</v>
      </c>
      <c r="B170" s="25">
        <v>18744.77</v>
      </c>
      <c r="C170" s="30">
        <f t="shared" si="93"/>
        <v>1.7218390866022837E-3</v>
      </c>
      <c r="D170" s="25">
        <v>174.29455845538399</v>
      </c>
      <c r="F170" s="23">
        <v>43738</v>
      </c>
      <c r="G170" s="10">
        <v>1015.7879</v>
      </c>
      <c r="H170" s="10">
        <f t="shared" si="82"/>
        <v>1022.4371827949028</v>
      </c>
      <c r="I170" s="30">
        <f t="shared" ref="I170:I171" si="106">+(((H170)/H169)-1)/(F170-F169)*30</f>
        <v>1.1263240715009282E-3</v>
      </c>
      <c r="J170" s="24">
        <f t="shared" ref="J170:J171" si="107">+J169*(1+I170)</f>
        <v>170.56617140044605</v>
      </c>
      <c r="K170" s="9">
        <v>4873.326</v>
      </c>
      <c r="L170" s="30">
        <f t="shared" ref="L170:L171" si="108">+(K170/K169-1)/(F170-F169)*30</f>
        <v>1.0683167912708402E-3</v>
      </c>
      <c r="M170" s="25">
        <f t="shared" ref="M170:M171" si="109">+M169*(1+L170)</f>
        <v>169.12438026834627</v>
      </c>
      <c r="AD170" s="58"/>
      <c r="AE170" s="58"/>
      <c r="AF170" s="58"/>
      <c r="AG170" s="58"/>
      <c r="AH170" s="58"/>
      <c r="AI170" s="58"/>
      <c r="AJ170" s="58"/>
      <c r="AK170" s="58"/>
      <c r="AL170" s="58"/>
      <c r="AM170" s="58"/>
      <c r="AN170" s="58"/>
      <c r="AO170" s="58"/>
      <c r="AP170" s="58"/>
      <c r="AQ170" s="58"/>
    </row>
    <row r="171" spans="1:43">
      <c r="A171" s="23">
        <v>43769</v>
      </c>
      <c r="B171" s="25">
        <v>18776.101999999999</v>
      </c>
      <c r="C171" s="30">
        <f t="shared" ref="C171:C172" si="110">+(B171/B170-1)/(A171-A170)*30</f>
        <v>1.6175866827163087E-3</v>
      </c>
      <c r="D171" s="25">
        <v>175.29455845538399</v>
      </c>
      <c r="F171" s="23">
        <v>43769</v>
      </c>
      <c r="G171" s="10">
        <v>1016.7882</v>
      </c>
      <c r="H171" s="10">
        <f t="shared" si="82"/>
        <v>1023.4374827949027</v>
      </c>
      <c r="I171" s="30">
        <f t="shared" si="106"/>
        <v>9.467889806377604E-4</v>
      </c>
      <c r="J171" s="24">
        <f t="shared" si="107"/>
        <v>170.72766157199757</v>
      </c>
      <c r="K171" s="9">
        <v>4876.4951000000001</v>
      </c>
      <c r="L171" s="30">
        <f t="shared" si="108"/>
        <v>6.2931783503544249E-4</v>
      </c>
      <c r="M171" s="25">
        <f t="shared" si="109"/>
        <v>169.23081325718846</v>
      </c>
    </row>
    <row r="172" spans="1:43">
      <c r="A172" s="23">
        <v>43799</v>
      </c>
      <c r="B172" s="25">
        <v>18802.79</v>
      </c>
      <c r="C172" s="30">
        <f t="shared" si="110"/>
        <v>1.4213812856365138E-3</v>
      </c>
      <c r="D172" s="25">
        <v>176.29455845538399</v>
      </c>
      <c r="F172" s="23">
        <v>43799</v>
      </c>
      <c r="G172" s="10">
        <v>1017.7129</v>
      </c>
      <c r="H172" s="10">
        <f t="shared" si="82"/>
        <v>1024.3621827949028</v>
      </c>
      <c r="I172" s="30">
        <f t="shared" ref="I172:I173" si="111">+(((H172)/H171)-1)/(F172-F171)*30</f>
        <v>9.0352367931134658E-4</v>
      </c>
      <c r="J172" s="24">
        <f t="shared" ref="J172:J173" si="112">+J171*(1+I172)</f>
        <v>170.88191805694132</v>
      </c>
      <c r="K172" s="9">
        <v>4879.8683000000001</v>
      </c>
      <c r="L172" s="30">
        <f t="shared" ref="L172:L173" si="113">+(K172/K171-1)/(F172-F171)*30</f>
        <v>6.917263179451183E-4</v>
      </c>
      <c r="M172" s="25">
        <f t="shared" ref="M172:M173" si="114">+M171*(1+L172)</f>
        <v>169.3478746645257</v>
      </c>
    </row>
    <row r="173" spans="1:43">
      <c r="A173" s="23">
        <v>43830</v>
      </c>
      <c r="B173" s="25">
        <v>18830.68</v>
      </c>
      <c r="C173" s="30">
        <f t="shared" ref="C173:C174" si="115">+(B173/B172-1)/(A173-A172)*30</f>
        <v>1.435442430652211E-3</v>
      </c>
      <c r="D173" s="25">
        <v>177.29455845538399</v>
      </c>
      <c r="F173" s="23">
        <v>43830</v>
      </c>
      <c r="G173" s="10">
        <v>1019.1174999999999</v>
      </c>
      <c r="H173" s="10">
        <f t="shared" si="82"/>
        <v>1025.7667827949028</v>
      </c>
      <c r="I173" s="30">
        <f t="shared" si="111"/>
        <v>1.3269626167495257E-3</v>
      </c>
      <c r="J173" s="24">
        <f t="shared" si="112"/>
        <v>171.10867197408135</v>
      </c>
      <c r="K173" s="9">
        <v>4882.8959000000004</v>
      </c>
      <c r="L173" s="30">
        <f t="shared" si="113"/>
        <v>6.004128193114861E-4</v>
      </c>
      <c r="M173" s="25">
        <f t="shared" si="114"/>
        <v>169.44955329939745</v>
      </c>
    </row>
    <row r="174" spans="1:43">
      <c r="A174" s="23">
        <v>43861</v>
      </c>
      <c r="B174" s="25">
        <v>18861.86</v>
      </c>
      <c r="C174" s="30">
        <f t="shared" si="115"/>
        <v>1.6023953223350568E-3</v>
      </c>
      <c r="D174" s="25">
        <v>178.29455845538399</v>
      </c>
      <c r="F174" s="23">
        <v>43861</v>
      </c>
      <c r="G174" s="10">
        <v>992.06309999999996</v>
      </c>
      <c r="H174" s="10">
        <f t="shared" ref="H174:H184" si="116">+G174+$S$148+$S$150+$S$152+$S$154</f>
        <v>1027.1289429949027</v>
      </c>
      <c r="I174" s="30">
        <f t="shared" ref="I174:I175" si="117">+(((H174)/H173)-1)/(F174-F173)*30</f>
        <v>1.2851064886262773E-3</v>
      </c>
      <c r="J174" s="24">
        <f t="shared" ref="J174:J175" si="118">+J173*(1+I174)</f>
        <v>171.32856483869548</v>
      </c>
      <c r="K174" s="9">
        <v>4885.3887000000004</v>
      </c>
      <c r="L174" s="30">
        <f t="shared" ref="L174:L175" si="119">+(K174/K173-1)/(F174-F173)*30</f>
        <v>4.9404843891394238E-4</v>
      </c>
      <c r="M174" s="25">
        <f t="shared" ref="M174:M175" si="120">+M173*(1+L174)</f>
        <v>169.53326958667969</v>
      </c>
    </row>
    <row r="175" spans="1:43">
      <c r="A175" s="23">
        <v>43890</v>
      </c>
      <c r="B175" s="25">
        <v>18887.886699999999</v>
      </c>
      <c r="C175" s="30">
        <f t="shared" ref="C175:C176" si="121">+(B175/B174-1)/(A175-A174)*30</f>
        <v>1.4274399456784069E-3</v>
      </c>
      <c r="D175" s="25">
        <v>179.29455845538399</v>
      </c>
      <c r="F175" s="23">
        <v>43890</v>
      </c>
      <c r="G175" s="10">
        <v>992.68859999999995</v>
      </c>
      <c r="H175" s="10">
        <f t="shared" si="116"/>
        <v>1027.7544429949028</v>
      </c>
      <c r="I175" s="30">
        <f t="shared" si="117"/>
        <v>6.299783195968646E-4</v>
      </c>
      <c r="J175" s="24">
        <f t="shared" si="118"/>
        <v>171.43649812007152</v>
      </c>
      <c r="K175" s="9">
        <v>4887.7164000000002</v>
      </c>
      <c r="L175" s="30">
        <f t="shared" si="119"/>
        <v>4.9289128564955866E-4</v>
      </c>
      <c r="M175" s="25">
        <f t="shared" si="120"/>
        <v>169.61683105788666</v>
      </c>
    </row>
    <row r="176" spans="1:43">
      <c r="A176" s="23">
        <v>43921</v>
      </c>
      <c r="B176" s="25">
        <v>18908.77</v>
      </c>
      <c r="C176" s="30">
        <f t="shared" si="121"/>
        <v>1.069979160839285E-3</v>
      </c>
      <c r="D176" s="25">
        <v>180.29455845538399</v>
      </c>
      <c r="F176" s="23">
        <v>43921</v>
      </c>
      <c r="G176" s="10">
        <v>993.41470000000004</v>
      </c>
      <c r="H176" s="10">
        <f t="shared" si="116"/>
        <v>1028.4805429949029</v>
      </c>
      <c r="I176" s="30">
        <f t="shared" ref="I176:I177" si="122">+(((H176)/H175)-1)/(F176-F175)*30</f>
        <v>6.8370166059059372E-4</v>
      </c>
      <c r="J176" s="24">
        <f t="shared" ref="J176:J177" si="123">+J175*(1+I176)</f>
        <v>171.55370953852204</v>
      </c>
      <c r="K176" s="9">
        <v>4892.3527999999997</v>
      </c>
      <c r="L176" s="30">
        <f t="shared" ref="L176:L177" si="124">+(K176/K175-1)/(F176-F175)*30</f>
        <v>9.1798262061139379E-4</v>
      </c>
      <c r="M176" s="25">
        <f t="shared" ref="M176:M177" si="125">+M175*(1+L176)</f>
        <v>169.77253636096097</v>
      </c>
    </row>
    <row r="177" spans="1:13">
      <c r="A177" s="23">
        <v>43951</v>
      </c>
      <c r="B177" s="25">
        <v>18917.93</v>
      </c>
      <c r="C177" s="30">
        <f t="shared" ref="C177:C178" si="126">+(B177/B176-1)/(A177-A176)*30</f>
        <v>4.8443129828124043E-4</v>
      </c>
      <c r="D177" s="25">
        <v>181.29455845538399</v>
      </c>
      <c r="F177" s="23">
        <v>43951</v>
      </c>
      <c r="G177" s="10">
        <v>994.82339999999999</v>
      </c>
      <c r="H177" s="10">
        <f t="shared" si="116"/>
        <v>1029.8892429949028</v>
      </c>
      <c r="I177" s="30">
        <f t="shared" si="122"/>
        <v>1.3696904716329339E-3</v>
      </c>
      <c r="J177" s="24">
        <f t="shared" si="123"/>
        <v>171.78868501985025</v>
      </c>
      <c r="K177" s="9">
        <v>4903.1163999999999</v>
      </c>
      <c r="L177" s="30">
        <f t="shared" si="124"/>
        <v>2.2000866331635116E-3</v>
      </c>
      <c r="M177" s="25">
        <f t="shared" si="125"/>
        <v>170.14605064888698</v>
      </c>
    </row>
    <row r="178" spans="1:13">
      <c r="A178" s="23">
        <v>43982</v>
      </c>
      <c r="B178" s="25">
        <v>18925.240000000002</v>
      </c>
      <c r="C178" s="30">
        <f t="shared" si="126"/>
        <v>3.739412054273234E-4</v>
      </c>
      <c r="D178" s="25">
        <v>182.29455845538399</v>
      </c>
      <c r="F178" s="23">
        <v>43982</v>
      </c>
      <c r="G178" s="10">
        <v>996.22730000000001</v>
      </c>
      <c r="H178" s="10">
        <f t="shared" si="116"/>
        <v>1031.2931429949028</v>
      </c>
      <c r="I178" s="30">
        <f t="shared" ref="I178:I180" si="127">+(((H178)/H177)-1)/(F178-F177)*30</f>
        <v>1.3191835068352314E-3</v>
      </c>
      <c r="J178" s="24">
        <f t="shared" ref="J178:J180" si="128">+J177*(1+I178)</f>
        <v>172.01530581978932</v>
      </c>
      <c r="K178" s="9">
        <v>4903.9022500000001</v>
      </c>
      <c r="L178" s="30">
        <f t="shared" ref="L178:L180" si="129">+(K178/K177-1)/(F178-F177)*30</f>
        <v>1.5510543457630094E-4</v>
      </c>
      <c r="M178" s="25">
        <f t="shared" ref="M178:M180" si="130">+M177*(1+L178)</f>
        <v>170.17244122601431</v>
      </c>
    </row>
    <row r="179" spans="1:13">
      <c r="A179" s="23">
        <v>44012</v>
      </c>
      <c r="B179" s="25">
        <v>18932.63</v>
      </c>
      <c r="C179" s="30">
        <f t="shared" ref="C179:C180" si="131">+(B179/B178-1)/(A179-A178)*30</f>
        <v>3.904838194919158E-4</v>
      </c>
      <c r="D179" s="25">
        <v>183.29455845538399</v>
      </c>
      <c r="F179" s="23">
        <v>44012</v>
      </c>
      <c r="G179" s="10">
        <v>997.53949999999998</v>
      </c>
      <c r="H179" s="10">
        <f t="shared" si="116"/>
        <v>1032.6053429949027</v>
      </c>
      <c r="I179" s="30">
        <f t="shared" si="127"/>
        <v>1.2723831326844071E-3</v>
      </c>
      <c r="J179" s="24">
        <f t="shared" si="128"/>
        <v>172.23417519347797</v>
      </c>
      <c r="K179" s="9">
        <v>4904.6881000000003</v>
      </c>
      <c r="L179" s="30">
        <f t="shared" si="129"/>
        <v>1.6024993157248701E-4</v>
      </c>
      <c r="M179" s="25">
        <f t="shared" si="130"/>
        <v>170.19971134807631</v>
      </c>
    </row>
    <row r="180" spans="1:13">
      <c r="A180" s="23">
        <v>44043</v>
      </c>
      <c r="B180" s="25">
        <v>18940.740000000002</v>
      </c>
      <c r="C180" s="30">
        <f t="shared" si="131"/>
        <v>4.1454288689821064E-4</v>
      </c>
      <c r="D180" s="25">
        <v>184.29455845538399</v>
      </c>
      <c r="F180" s="23">
        <v>44043</v>
      </c>
      <c r="G180" s="10">
        <v>998.74940000000004</v>
      </c>
      <c r="H180" s="10">
        <f t="shared" si="116"/>
        <v>1033.8152429949027</v>
      </c>
      <c r="I180" s="30">
        <f t="shared" si="127"/>
        <v>1.1338997766040205E-3</v>
      </c>
      <c r="J180" s="24">
        <f t="shared" si="128"/>
        <v>172.42947148625342</v>
      </c>
      <c r="K180" s="9">
        <v>4905.1791000000003</v>
      </c>
      <c r="L180" s="30">
        <f t="shared" si="129"/>
        <v>9.6879002422644068E-5</v>
      </c>
      <c r="M180" s="25">
        <f t="shared" si="130"/>
        <v>170.21620012632434</v>
      </c>
    </row>
    <row r="181" spans="1:13">
      <c r="A181" s="23">
        <v>44074</v>
      </c>
      <c r="B181" s="25">
        <v>18948.689999999999</v>
      </c>
      <c r="C181" s="30">
        <f t="shared" ref="C181:C187" si="132">+(B181/B180-1)/(A181-A180)*30</f>
        <v>4.0619048606831625E-4</v>
      </c>
      <c r="D181" s="25">
        <v>185.29455845538399</v>
      </c>
      <c r="F181" s="23">
        <v>44074</v>
      </c>
      <c r="G181" s="10">
        <v>999.97320000000002</v>
      </c>
      <c r="H181" s="10">
        <f t="shared" si="116"/>
        <v>1035.0390429949027</v>
      </c>
      <c r="I181" s="30">
        <f t="shared" ref="I181:I200" si="133">+(((H181)/H180)-1)/(F181-F180)*30</f>
        <v>1.1455843669070805E-3</v>
      </c>
      <c r="J181" s="24">
        <f t="shared" ref="J181:J200" si="134">+J180*(1+I181)</f>
        <v>172.62700399318211</v>
      </c>
      <c r="K181" s="9">
        <v>4906.1183000000001</v>
      </c>
      <c r="L181" s="30">
        <f t="shared" ref="L181:L202" si="135">+(K181/K180-1)/(F181-F180)*30</f>
        <v>1.8529460541132214E-4</v>
      </c>
      <c r="M181" s="25">
        <f t="shared" ref="M181:M202" si="136">+M180*(1+L181)</f>
        <v>170.24774026996135</v>
      </c>
    </row>
    <row r="182" spans="1:13">
      <c r="A182" s="23">
        <v>44104</v>
      </c>
      <c r="B182" s="25">
        <v>18956.169999999998</v>
      </c>
      <c r="C182" s="30">
        <f t="shared" si="132"/>
        <v>3.9475024394830527E-4</v>
      </c>
      <c r="D182" s="25">
        <v>186.29455845538399</v>
      </c>
      <c r="F182" s="23">
        <v>44104</v>
      </c>
      <c r="G182" s="10">
        <v>1001.0974</v>
      </c>
      <c r="H182" s="10">
        <f t="shared" si="116"/>
        <v>1036.1632429949027</v>
      </c>
      <c r="I182" s="30">
        <f t="shared" si="133"/>
        <v>1.0861426026471666E-3</v>
      </c>
      <c r="J182" s="24">
        <f t="shared" si="134"/>
        <v>172.81450153658645</v>
      </c>
      <c r="K182" s="9">
        <v>4906.4660000000003</v>
      </c>
      <c r="L182" s="30">
        <f t="shared" si="135"/>
        <v>7.0870692213009789E-5</v>
      </c>
      <c r="M182" s="25">
        <f t="shared" si="136"/>
        <v>170.25980584516199</v>
      </c>
    </row>
    <row r="183" spans="1:13">
      <c r="A183" s="23">
        <v>44135</v>
      </c>
      <c r="B183" s="25">
        <v>18963.23</v>
      </c>
      <c r="C183" s="30">
        <f t="shared" si="132"/>
        <v>3.6042397090336884E-4</v>
      </c>
      <c r="D183" s="25">
        <v>186.29455845538399</v>
      </c>
      <c r="F183" s="23">
        <v>44135</v>
      </c>
      <c r="G183" s="10">
        <v>1002.3697</v>
      </c>
      <c r="H183" s="10">
        <f t="shared" si="116"/>
        <v>1037.4355429949028</v>
      </c>
      <c r="I183" s="30">
        <f t="shared" si="133"/>
        <v>1.1882857965096793E-3</v>
      </c>
      <c r="J183" s="24">
        <f t="shared" si="134"/>
        <v>173.0198545541933</v>
      </c>
      <c r="K183" s="9">
        <v>4906.7963</v>
      </c>
      <c r="L183" s="30">
        <f t="shared" si="135"/>
        <v>6.5147737962569353E-5</v>
      </c>
      <c r="M183" s="25">
        <f t="shared" si="136"/>
        <v>170.27089788637875</v>
      </c>
    </row>
    <row r="184" spans="1:13">
      <c r="A184" s="23">
        <v>44165</v>
      </c>
      <c r="B184" s="25">
        <v>18969.48</v>
      </c>
      <c r="C184" s="30">
        <f t="shared" si="132"/>
        <v>3.2958520252091006E-4</v>
      </c>
      <c r="D184" s="25">
        <v>186.29455845538399</v>
      </c>
      <c r="F184" s="23">
        <v>44165</v>
      </c>
      <c r="G184" s="10">
        <v>1003.534</v>
      </c>
      <c r="H184" s="10">
        <f t="shared" si="116"/>
        <v>1038.5998429949027</v>
      </c>
      <c r="I184" s="30">
        <f t="shared" si="133"/>
        <v>1.1222865920312852E-3</v>
      </c>
      <c r="J184" s="24">
        <f t="shared" si="134"/>
        <v>173.21403241711468</v>
      </c>
      <c r="K184" s="9">
        <v>4907.0953</v>
      </c>
      <c r="L184" s="30">
        <f t="shared" si="135"/>
        <v>6.0935890083824162E-5</v>
      </c>
      <c r="M184" s="25">
        <f t="shared" si="136"/>
        <v>170.28127349509683</v>
      </c>
    </row>
    <row r="185" spans="1:13">
      <c r="A185" s="23">
        <v>44196</v>
      </c>
      <c r="B185" s="25">
        <v>18976.88</v>
      </c>
      <c r="C185" s="30">
        <f t="shared" si="132"/>
        <v>3.7751642757640868E-4</v>
      </c>
      <c r="D185" s="25">
        <v>186.29455845538399</v>
      </c>
      <c r="F185" s="23">
        <v>44196</v>
      </c>
      <c r="G185" s="10">
        <v>1001.6751</v>
      </c>
      <c r="H185" s="10">
        <f t="shared" ref="H185:H196" si="137">+G185+$S$148+$S$150+$S$152+$S$154+$S$156</f>
        <v>1041.2137536513324</v>
      </c>
      <c r="I185" s="30">
        <f t="shared" si="133"/>
        <v>2.4355780283393733E-3</v>
      </c>
      <c r="J185" s="24">
        <f t="shared" si="134"/>
        <v>173.63590870866986</v>
      </c>
      <c r="K185" s="9">
        <v>4907.3927999999996</v>
      </c>
      <c r="L185" s="30">
        <f t="shared" si="135"/>
        <v>5.8670803847292406E-5</v>
      </c>
      <c r="M185" s="25">
        <f t="shared" si="136"/>
        <v>170.29126403429291</v>
      </c>
    </row>
    <row r="186" spans="1:13">
      <c r="A186" s="23">
        <v>44227</v>
      </c>
      <c r="B186" s="25">
        <v>18982.04</v>
      </c>
      <c r="C186" s="30">
        <f t="shared" si="132"/>
        <v>2.6313853421082938E-4</v>
      </c>
      <c r="D186" s="25">
        <v>186.29455845538399</v>
      </c>
      <c r="F186" s="23">
        <v>44227</v>
      </c>
      <c r="G186" s="10">
        <v>1002.6126</v>
      </c>
      <c r="H186" s="10">
        <f t="shared" si="137"/>
        <v>1042.1512536513324</v>
      </c>
      <c r="I186" s="30">
        <f t="shared" si="133"/>
        <v>8.7134660038301257E-4</v>
      </c>
      <c r="J186" s="24">
        <f t="shared" si="134"/>
        <v>173.78720576742757</v>
      </c>
      <c r="K186" s="9">
        <v>4907.6377000000002</v>
      </c>
      <c r="L186" s="30">
        <f t="shared" si="135"/>
        <v>4.8294483376269819E-5</v>
      </c>
      <c r="M186" s="25">
        <f t="shared" si="136"/>
        <v>170.29948816291292</v>
      </c>
    </row>
    <row r="187" spans="1:13">
      <c r="A187" s="23">
        <v>44255</v>
      </c>
      <c r="B187" s="25">
        <v>18986.580000000002</v>
      </c>
      <c r="C187" s="30">
        <f t="shared" si="132"/>
        <v>2.562572681485964E-4</v>
      </c>
      <c r="D187" s="25">
        <v>186.29455845538399</v>
      </c>
      <c r="F187" s="23">
        <v>44255</v>
      </c>
      <c r="G187" s="10">
        <v>1003.4595</v>
      </c>
      <c r="H187" s="10">
        <f t="shared" si="137"/>
        <v>1042.9981536513324</v>
      </c>
      <c r="I187" s="30">
        <f t="shared" si="133"/>
        <v>8.7069209384298726E-4</v>
      </c>
      <c r="J187" s="24">
        <f t="shared" si="134"/>
        <v>173.93852091350033</v>
      </c>
      <c r="K187" s="9">
        <v>4907.9052000000001</v>
      </c>
      <c r="L187" s="30">
        <f t="shared" si="135"/>
        <v>5.8400224380226818E-5</v>
      </c>
      <c r="M187" s="25">
        <f t="shared" si="136"/>
        <v>170.30943369123347</v>
      </c>
    </row>
    <row r="188" spans="1:13">
      <c r="A188" s="23">
        <v>44286</v>
      </c>
      <c r="B188" s="25">
        <v>18991.5</v>
      </c>
      <c r="C188" s="30">
        <f t="shared" ref="C188:C219" si="138">+(B188/B187-1)/(A188-A187)*30</f>
        <v>2.5077135126901301E-4</v>
      </c>
      <c r="D188" s="25">
        <v>186.29455845538399</v>
      </c>
      <c r="F188" s="23">
        <v>44286</v>
      </c>
      <c r="G188" s="10">
        <v>1003.7036000000001</v>
      </c>
      <c r="H188" s="10">
        <f t="shared" si="137"/>
        <v>1043.2422536513325</v>
      </c>
      <c r="I188" s="30">
        <f t="shared" si="133"/>
        <v>2.2648727193299865E-4</v>
      </c>
      <c r="J188" s="24">
        <f t="shared" si="134"/>
        <v>173.97791577458611</v>
      </c>
      <c r="K188" s="74">
        <v>4908.1704</v>
      </c>
      <c r="L188" s="30">
        <f t="shared" si="135"/>
        <v>5.229220020180354E-5</v>
      </c>
      <c r="M188" s="25">
        <f t="shared" si="136"/>
        <v>170.3183395462363</v>
      </c>
    </row>
    <row r="189" spans="1:13">
      <c r="A189" s="23">
        <v>44316</v>
      </c>
      <c r="B189" s="9">
        <v>18997.09</v>
      </c>
      <c r="C189" s="30">
        <f t="shared" si="138"/>
        <v>2.943422057235523E-4</v>
      </c>
      <c r="D189" s="25">
        <v>186.29455845538399</v>
      </c>
      <c r="F189" s="23">
        <v>44316</v>
      </c>
      <c r="G189" s="10">
        <v>1003.9288</v>
      </c>
      <c r="H189" s="10">
        <f t="shared" si="137"/>
        <v>1043.4674536513323</v>
      </c>
      <c r="I189" s="30">
        <f t="shared" si="133"/>
        <v>2.1586548973795416E-4</v>
      </c>
      <c r="J189" s="24">
        <f t="shared" si="134"/>
        <v>174.01547160257837</v>
      </c>
      <c r="K189" s="24">
        <v>4908.4956000000002</v>
      </c>
      <c r="L189" s="30">
        <f t="shared" si="135"/>
        <v>6.6256868343383957E-5</v>
      </c>
      <c r="M189" s="25">
        <f t="shared" si="136"/>
        <v>170.3296243060361</v>
      </c>
    </row>
    <row r="190" spans="1:13">
      <c r="A190" s="23">
        <v>44347</v>
      </c>
      <c r="B190" s="9">
        <v>19001.7</v>
      </c>
      <c r="C190" s="30">
        <f t="shared" si="138"/>
        <v>2.3484072153063233E-4</v>
      </c>
      <c r="D190" s="25">
        <v>186.29455845538399</v>
      </c>
      <c r="F190" s="23">
        <v>44347</v>
      </c>
      <c r="G190" s="10">
        <v>1005.2505</v>
      </c>
      <c r="H190" s="10">
        <f t="shared" si="137"/>
        <v>1044.7891536513323</v>
      </c>
      <c r="I190" s="30">
        <f t="shared" si="133"/>
        <v>1.2257828566220759E-3</v>
      </c>
      <c r="J190" s="24">
        <f t="shared" si="134"/>
        <v>174.22877678445582</v>
      </c>
      <c r="K190" s="24">
        <v>4908.7905000000001</v>
      </c>
      <c r="L190" s="30">
        <f t="shared" si="135"/>
        <v>5.8141459223029576E-5</v>
      </c>
      <c r="M190" s="25">
        <f t="shared" si="136"/>
        <v>170.33952751894216</v>
      </c>
    </row>
    <row r="191" spans="1:13">
      <c r="A191" s="23">
        <v>44377</v>
      </c>
      <c r="B191" s="9">
        <v>19006.88</v>
      </c>
      <c r="C191" s="30">
        <f t="shared" si="138"/>
        <v>2.7260718777788462E-4</v>
      </c>
      <c r="D191" s="25">
        <v>186.29455845538399</v>
      </c>
      <c r="F191" s="23">
        <v>44377</v>
      </c>
      <c r="G191" s="10">
        <v>1006.538</v>
      </c>
      <c r="H191" s="10">
        <f t="shared" si="137"/>
        <v>1046.0766536513324</v>
      </c>
      <c r="I191" s="30">
        <f t="shared" si="133"/>
        <v>1.2323060547676512E-3</v>
      </c>
      <c r="J191" s="24">
        <f t="shared" si="134"/>
        <v>174.44347996100205</v>
      </c>
      <c r="K191" s="9">
        <v>4909.0847000000003</v>
      </c>
      <c r="L191" s="30">
        <f t="shared" si="135"/>
        <v>5.9933297214431747E-5</v>
      </c>
      <c r="M191" s="25">
        <f t="shared" si="136"/>
        <v>170.34973652847233</v>
      </c>
    </row>
    <row r="192" spans="1:13">
      <c r="A192" s="23">
        <v>44408</v>
      </c>
      <c r="B192" s="9">
        <v>19016.419999999998</v>
      </c>
      <c r="C192" s="30">
        <f t="shared" si="138"/>
        <v>4.8573243291442333E-4</v>
      </c>
      <c r="D192" s="25">
        <v>186.29455845538399</v>
      </c>
      <c r="F192" s="23">
        <v>44408</v>
      </c>
      <c r="G192" s="10">
        <v>1007.7399</v>
      </c>
      <c r="H192" s="10">
        <f t="shared" si="137"/>
        <v>1047.2785536513325</v>
      </c>
      <c r="I192" s="30">
        <f t="shared" si="133"/>
        <v>1.1118965595859468E-3</v>
      </c>
      <c r="J192" s="24">
        <f t="shared" si="134"/>
        <v>174.63744306621291</v>
      </c>
      <c r="K192" s="24">
        <v>4909.3885</v>
      </c>
      <c r="L192" s="30">
        <f t="shared" si="135"/>
        <v>5.9888964637381502E-5</v>
      </c>
      <c r="M192" s="25">
        <f t="shared" si="136"/>
        <v>170.35993859781928</v>
      </c>
    </row>
    <row r="193" spans="1:13">
      <c r="A193" s="23">
        <v>44439</v>
      </c>
      <c r="B193" s="9">
        <v>19028.38</v>
      </c>
      <c r="C193" s="30">
        <f t="shared" si="138"/>
        <v>6.0864208659629974E-4</v>
      </c>
      <c r="D193" s="25">
        <v>186.29455845538399</v>
      </c>
      <c r="F193" s="23">
        <v>44439</v>
      </c>
      <c r="G193" s="10">
        <v>1008.7933</v>
      </c>
      <c r="H193" s="10">
        <f t="shared" si="137"/>
        <v>1048.3319536513325</v>
      </c>
      <c r="I193" s="30">
        <f t="shared" si="133"/>
        <v>9.7339848246146324E-4</v>
      </c>
      <c r="J193" s="24">
        <f t="shared" si="134"/>
        <v>174.80743488827449</v>
      </c>
      <c r="K193" s="24">
        <v>4909.6931000000004</v>
      </c>
      <c r="L193" s="30">
        <f t="shared" si="135"/>
        <v>6.0042955155997608E-5</v>
      </c>
      <c r="M193" s="25">
        <f t="shared" si="136"/>
        <v>170.37016751197291</v>
      </c>
    </row>
    <row r="194" spans="1:13">
      <c r="A194" s="23">
        <v>44469</v>
      </c>
      <c r="B194" s="9">
        <v>19052.12</v>
      </c>
      <c r="C194" s="30">
        <f t="shared" si="138"/>
        <v>1.2476101486305069E-3</v>
      </c>
      <c r="D194" s="25">
        <v>186.29455845538399</v>
      </c>
      <c r="F194" s="23">
        <v>44469</v>
      </c>
      <c r="G194" s="10">
        <v>1009.4714</v>
      </c>
      <c r="H194" s="10">
        <f t="shared" si="137"/>
        <v>1049.0100536513323</v>
      </c>
      <c r="I194" s="30">
        <f t="shared" si="133"/>
        <v>6.468370992966932E-4</v>
      </c>
      <c r="J194" s="24">
        <f t="shared" si="134"/>
        <v>174.92050682239312</v>
      </c>
      <c r="K194" s="24">
        <v>4909.1148999999996</v>
      </c>
      <c r="L194" s="30">
        <f t="shared" si="135"/>
        <v>-1.177670351739657E-4</v>
      </c>
      <c r="M194" s="25">
        <f t="shared" si="136"/>
        <v>170.35010352246294</v>
      </c>
    </row>
    <row r="195" spans="1:13">
      <c r="A195" s="23">
        <v>44500</v>
      </c>
      <c r="B195" s="9">
        <v>19091.59</v>
      </c>
      <c r="C195" s="30">
        <f t="shared" si="138"/>
        <v>2.0048568974764544E-3</v>
      </c>
      <c r="D195" s="25">
        <v>186.29455845538399</v>
      </c>
      <c r="F195" s="23">
        <v>44500</v>
      </c>
      <c r="G195" s="10">
        <v>1010.3894</v>
      </c>
      <c r="H195" s="10">
        <f t="shared" si="137"/>
        <v>1049.9280536513324</v>
      </c>
      <c r="I195" s="30">
        <f t="shared" si="133"/>
        <v>8.4688139420787962E-4</v>
      </c>
      <c r="J195" s="24">
        <f t="shared" si="134"/>
        <v>175.06864374508643</v>
      </c>
      <c r="K195" s="24">
        <v>4914.1336000000001</v>
      </c>
      <c r="L195" s="30">
        <f t="shared" si="135"/>
        <v>9.8934462740187011E-4</v>
      </c>
      <c r="M195" s="25">
        <f t="shared" si="136"/>
        <v>170.51863848216024</v>
      </c>
    </row>
    <row r="196" spans="1:13">
      <c r="A196" s="23">
        <v>44530</v>
      </c>
      <c r="B196" s="9">
        <v>19132.47</v>
      </c>
      <c r="C196" s="30">
        <f t="shared" si="138"/>
        <v>2.1412569618350918E-3</v>
      </c>
      <c r="D196" s="25">
        <v>186.29455845538399</v>
      </c>
      <c r="F196" s="23">
        <v>44530</v>
      </c>
      <c r="G196" s="10">
        <v>1011.9073</v>
      </c>
      <c r="H196" s="10">
        <f t="shared" si="137"/>
        <v>1051.4459536513323</v>
      </c>
      <c r="I196" s="30">
        <f t="shared" si="133"/>
        <v>1.4457181087037529E-3</v>
      </c>
      <c r="J196" s="24">
        <f t="shared" si="134"/>
        <v>175.3217436536149</v>
      </c>
      <c r="K196" s="24">
        <v>4920.3216000000002</v>
      </c>
      <c r="L196" s="30">
        <f t="shared" si="135"/>
        <v>1.2592250239187308E-3</v>
      </c>
      <c r="M196" s="25">
        <f t="shared" si="136"/>
        <v>170.73335981878154</v>
      </c>
    </row>
    <row r="197" spans="1:13">
      <c r="A197" s="23">
        <v>44561</v>
      </c>
      <c r="B197" s="9">
        <v>19193.41</v>
      </c>
      <c r="C197" s="30">
        <f t="shared" si="138"/>
        <v>3.0824140086661892E-3</v>
      </c>
      <c r="D197" s="25">
        <v>186.29455845538399</v>
      </c>
      <c r="F197" s="23">
        <v>44561</v>
      </c>
      <c r="G197" s="10">
        <f>1010.4976</f>
        <v>1010.4976</v>
      </c>
      <c r="H197" s="10">
        <f t="shared" ref="H197:H209" si="139">+G197+$S$148+$S$150+$S$152+$S$154+$S$156+$S$158</f>
        <v>1053.2845552308759</v>
      </c>
      <c r="I197" s="30">
        <f t="shared" si="133"/>
        <v>1.6922332954845275E-3</v>
      </c>
      <c r="J197" s="24">
        <f t="shared" si="134"/>
        <v>175.61842894564796</v>
      </c>
      <c r="K197" s="9">
        <v>4929.2918</v>
      </c>
      <c r="L197" s="30">
        <f t="shared" si="135"/>
        <v>1.7642827878724863E-3</v>
      </c>
      <c r="M197" s="25">
        <f t="shared" si="136"/>
        <v>171.03458174682547</v>
      </c>
    </row>
    <row r="198" spans="1:13">
      <c r="A198" s="23">
        <v>44592</v>
      </c>
      <c r="B198" s="9">
        <v>19259.349999999999</v>
      </c>
      <c r="C198" s="30">
        <f t="shared" si="138"/>
        <v>3.3247298539344551E-3</v>
      </c>
      <c r="D198" s="25">
        <v>186.29455845538399</v>
      </c>
      <c r="F198" s="23">
        <v>44592</v>
      </c>
      <c r="G198" s="10">
        <v>1013.5703</v>
      </c>
      <c r="H198" s="10">
        <f t="shared" si="139"/>
        <v>1056.3572552308758</v>
      </c>
      <c r="I198" s="30">
        <f t="shared" si="133"/>
        <v>2.8231503352001007E-3</v>
      </c>
      <c r="J198" s="24">
        <f t="shared" si="134"/>
        <v>176.11422617219318</v>
      </c>
      <c r="K198" s="9">
        <v>4941.9683000000005</v>
      </c>
      <c r="L198" s="30">
        <f t="shared" si="135"/>
        <v>2.4887105780919826E-3</v>
      </c>
      <c r="M198" s="25">
        <f t="shared" si="136"/>
        <v>171.46023731963834</v>
      </c>
    </row>
    <row r="199" spans="1:13">
      <c r="A199" s="23">
        <v>44620</v>
      </c>
      <c r="B199" s="9">
        <v>19341.900000000001</v>
      </c>
      <c r="C199" s="30">
        <f t="shared" si="138"/>
        <v>4.5923890770680322E-3</v>
      </c>
      <c r="D199" s="25">
        <v>186.29455845538399</v>
      </c>
      <c r="F199" s="23">
        <v>44620</v>
      </c>
      <c r="G199" s="10">
        <v>1017.34</v>
      </c>
      <c r="H199" s="10">
        <f t="shared" si="139"/>
        <v>1060.1269552308759</v>
      </c>
      <c r="I199" s="30">
        <f t="shared" si="133"/>
        <v>3.8234832635588739E-3</v>
      </c>
      <c r="J199" s="24">
        <f t="shared" si="134"/>
        <v>176.78759596843719</v>
      </c>
      <c r="K199" s="24">
        <v>4958.2785000000003</v>
      </c>
      <c r="L199" s="30">
        <f t="shared" si="135"/>
        <v>3.5360838485577945E-3</v>
      </c>
      <c r="M199" s="25">
        <f t="shared" si="136"/>
        <v>172.0665350954942</v>
      </c>
    </row>
    <row r="200" spans="1:13">
      <c r="A200" s="23">
        <v>44651</v>
      </c>
      <c r="B200" s="9">
        <v>19435.349999999999</v>
      </c>
      <c r="C200" s="30">
        <f t="shared" si="138"/>
        <v>4.6756256557506544E-3</v>
      </c>
      <c r="D200" s="25">
        <v>186.29455845538399</v>
      </c>
      <c r="F200" s="23">
        <v>44651</v>
      </c>
      <c r="G200" s="10">
        <v>1021.5058</v>
      </c>
      <c r="H200" s="10">
        <f t="shared" si="139"/>
        <v>1064.2927552308761</v>
      </c>
      <c r="I200" s="30">
        <f t="shared" si="133"/>
        <v>3.8027703521235864E-3</v>
      </c>
      <c r="J200" s="24">
        <f t="shared" si="134"/>
        <v>177.45987859700915</v>
      </c>
      <c r="K200" s="24">
        <v>4977.0833000000002</v>
      </c>
      <c r="L200" s="30">
        <f t="shared" si="135"/>
        <v>3.6702644977257191E-3</v>
      </c>
      <c r="M200" s="25">
        <f t="shared" si="136"/>
        <v>172.69806479050189</v>
      </c>
    </row>
    <row r="201" spans="1:13">
      <c r="A201" s="23">
        <v>44681</v>
      </c>
      <c r="B201" s="9">
        <v>19541.32</v>
      </c>
      <c r="C201" s="30">
        <f t="shared" si="138"/>
        <v>5.4524358964465058E-3</v>
      </c>
      <c r="D201" s="25">
        <v>186.29455845538399</v>
      </c>
      <c r="F201" s="23">
        <v>44681</v>
      </c>
      <c r="G201" s="10">
        <v>1028.1704999999999</v>
      </c>
      <c r="H201" s="10">
        <f t="shared" si="139"/>
        <v>1070.9574552308759</v>
      </c>
      <c r="I201" s="30">
        <f t="shared" ref="I201:I202" si="140">+(((H201)/H200)-1)/(F201-F200)*30</f>
        <v>6.2620928003536136E-3</v>
      </c>
      <c r="J201" s="24">
        <f t="shared" ref="J201:J202" si="141">+J200*(1+I201)</f>
        <v>178.57114882512312</v>
      </c>
      <c r="K201" s="24">
        <v>4999.8365999999996</v>
      </c>
      <c r="L201" s="30">
        <f t="shared" si="135"/>
        <v>4.5716132579094459E-3</v>
      </c>
      <c r="M201" s="25">
        <f t="shared" si="136"/>
        <v>173.48757355311346</v>
      </c>
    </row>
    <row r="202" spans="1:13">
      <c r="A202" s="23">
        <v>44712</v>
      </c>
      <c r="B202" s="9">
        <v>19680.32</v>
      </c>
      <c r="C202" s="30">
        <f t="shared" si="138"/>
        <v>6.8836766928876397E-3</v>
      </c>
      <c r="D202" s="25">
        <v>186.29455845538399</v>
      </c>
      <c r="F202" s="23">
        <v>44712</v>
      </c>
      <c r="G202" s="10">
        <v>1036.3458000000001</v>
      </c>
      <c r="H202" s="10">
        <f t="shared" si="139"/>
        <v>1079.132755230876</v>
      </c>
      <c r="I202" s="30">
        <f t="shared" si="140"/>
        <v>7.38739023340171E-3</v>
      </c>
      <c r="J202" s="24">
        <f t="shared" si="141"/>
        <v>179.89032358592115</v>
      </c>
      <c r="K202" s="9">
        <v>5027.3885</v>
      </c>
      <c r="L202" s="30">
        <f t="shared" si="135"/>
        <v>5.3328000823584729E-3</v>
      </c>
      <c r="M202" s="25">
        <f t="shared" si="136"/>
        <v>174.41274809964568</v>
      </c>
    </row>
    <row r="203" spans="1:13">
      <c r="A203" s="23">
        <v>44742</v>
      </c>
      <c r="B203" s="9">
        <v>19825.16</v>
      </c>
      <c r="C203" s="30">
        <f t="shared" si="138"/>
        <v>7.3596364286758744E-3</v>
      </c>
      <c r="D203" s="25">
        <v>186.29455845538399</v>
      </c>
      <c r="F203" s="23">
        <v>44742</v>
      </c>
      <c r="G203" s="10">
        <v>1043.0995</v>
      </c>
      <c r="H203" s="10">
        <f t="shared" si="139"/>
        <v>1085.886455230876</v>
      </c>
      <c r="I203" s="30">
        <f t="shared" ref="I203:I204" si="142">+(((H203)/H202)-1)/(F203-F202)*30</f>
        <v>6.2584514901089516E-3</v>
      </c>
      <c r="J203" s="24">
        <f t="shared" ref="J203:J204" si="143">+J202*(1+I203)</f>
        <v>181.01615844962365</v>
      </c>
      <c r="K203" s="24">
        <v>5056.9675999999999</v>
      </c>
      <c r="L203" s="30">
        <f t="shared" ref="L203:L204" si="144">+(K203/K202-1)/(F203-F202)*30</f>
        <v>5.8835914511081722E-3</v>
      </c>
      <c r="M203" s="25">
        <f t="shared" ref="M203:M204" si="145">+M202*(1+L203)</f>
        <v>175.43892145332904</v>
      </c>
    </row>
    <row r="204" spans="1:13">
      <c r="A204" s="23">
        <v>44773</v>
      </c>
      <c r="B204" s="9">
        <v>19975.62</v>
      </c>
      <c r="C204" s="30">
        <f t="shared" si="138"/>
        <v>7.3445284483405222E-3</v>
      </c>
      <c r="D204" s="25">
        <v>186.29455845538399</v>
      </c>
      <c r="F204" s="23">
        <v>44773</v>
      </c>
      <c r="G204" s="10">
        <v>1050.3725999999999</v>
      </c>
      <c r="H204" s="10">
        <f t="shared" si="139"/>
        <v>1093.1595552308759</v>
      </c>
      <c r="I204" s="30">
        <f t="shared" si="142"/>
        <v>6.481786228258242E-3</v>
      </c>
      <c r="J204" s="24">
        <f t="shared" si="143"/>
        <v>182.18946649255463</v>
      </c>
      <c r="K204" s="24">
        <v>5089.8978999999999</v>
      </c>
      <c r="L204" s="30">
        <f t="shared" si="144"/>
        <v>6.3018066910423788E-3</v>
      </c>
      <c r="M204" s="25">
        <f t="shared" si="145"/>
        <v>176.54450362241289</v>
      </c>
    </row>
    <row r="205" spans="1:13">
      <c r="A205" s="23">
        <v>44804</v>
      </c>
      <c r="B205" s="9">
        <v>20154.919999999998</v>
      </c>
      <c r="C205" s="30">
        <f t="shared" si="138"/>
        <v>8.6863951673217758E-3</v>
      </c>
      <c r="D205" s="25">
        <v>186.29455845538399</v>
      </c>
      <c r="F205" s="23">
        <v>44804</v>
      </c>
      <c r="G205" s="10">
        <v>1059.1827000000001</v>
      </c>
      <c r="H205" s="10">
        <f t="shared" si="139"/>
        <v>1101.969655230876</v>
      </c>
      <c r="I205" s="30">
        <f t="shared" ref="I205:I218" si="146">+(((H205)/H204)-1)/(F205-F204)*30</f>
        <v>7.7993218693549861E-3</v>
      </c>
      <c r="J205" s="24">
        <f t="shared" ref="J205:J218" si="147">+J204*(1+I205)</f>
        <v>183.61042078293613</v>
      </c>
      <c r="K205" s="24">
        <v>5125.6822000000002</v>
      </c>
      <c r="L205" s="30">
        <f t="shared" ref="L205:L211" si="148">+(K205/K204-1)/(F205-F204)*30</f>
        <v>6.8036664825705234E-3</v>
      </c>
      <c r="M205" s="25">
        <f t="shared" ref="M205:M211" si="149">+M204*(1+L205)</f>
        <v>177.74565354439076</v>
      </c>
    </row>
    <row r="206" spans="1:13">
      <c r="A206" s="23">
        <v>44834</v>
      </c>
      <c r="B206" s="9">
        <v>20332.28</v>
      </c>
      <c r="C206" s="30">
        <f t="shared" si="138"/>
        <v>8.7998364667287721E-3</v>
      </c>
      <c r="D206" s="25">
        <v>186.29455845538399</v>
      </c>
      <c r="F206" s="23">
        <v>44834</v>
      </c>
      <c r="G206" s="10">
        <v>1068.1406999999999</v>
      </c>
      <c r="H206" s="10">
        <f t="shared" si="139"/>
        <v>1110.9276552308759</v>
      </c>
      <c r="I206" s="30">
        <f t="shared" si="146"/>
        <v>8.1290804673954664E-3</v>
      </c>
      <c r="J206" s="24">
        <f t="shared" si="147"/>
        <v>185.10300466813297</v>
      </c>
      <c r="K206" s="24">
        <v>5163.2829000000002</v>
      </c>
      <c r="L206" s="30">
        <f t="shared" si="148"/>
        <v>7.3357454740365924E-3</v>
      </c>
      <c r="M206" s="25">
        <f t="shared" si="149"/>
        <v>179.0495504179087</v>
      </c>
    </row>
    <row r="207" spans="1:13">
      <c r="A207" s="23">
        <v>44862</v>
      </c>
      <c r="B207" s="9">
        <v>20507.2</v>
      </c>
      <c r="C207" s="30">
        <f t="shared" si="138"/>
        <v>9.2175735192653475E-3</v>
      </c>
      <c r="D207" s="25">
        <v>186.29455845538399</v>
      </c>
      <c r="F207" s="23">
        <v>44862</v>
      </c>
      <c r="G207" s="10">
        <v>1078.3425</v>
      </c>
      <c r="H207" s="10">
        <f t="shared" si="139"/>
        <v>1121.1294552308759</v>
      </c>
      <c r="I207" s="30">
        <f t="shared" si="146"/>
        <v>9.8390745324712856E-3</v>
      </c>
      <c r="J207" s="24">
        <f t="shared" si="147"/>
        <v>186.92424692724711</v>
      </c>
      <c r="K207" s="24">
        <v>5200.6767</v>
      </c>
      <c r="L207" s="30">
        <f t="shared" si="148"/>
        <v>7.7595565631868469E-3</v>
      </c>
      <c r="M207" s="25">
        <f t="shared" si="149"/>
        <v>180.43889553198966</v>
      </c>
    </row>
    <row r="208" spans="1:13">
      <c r="A208" s="23">
        <v>44895</v>
      </c>
      <c r="B208" s="9">
        <v>20719.68</v>
      </c>
      <c r="C208" s="30">
        <f t="shared" si="138"/>
        <v>9.4193081631638812E-3</v>
      </c>
      <c r="D208" s="25">
        <v>186.29455845538399</v>
      </c>
      <c r="F208" s="23">
        <v>44895</v>
      </c>
      <c r="G208" s="10">
        <v>1089.4081000000001</v>
      </c>
      <c r="H208" s="10">
        <f t="shared" si="139"/>
        <v>1132.1950552308761</v>
      </c>
      <c r="I208" s="30">
        <f t="shared" si="146"/>
        <v>8.9727696625050632E-3</v>
      </c>
      <c r="J208" s="24">
        <f t="shared" si="147"/>
        <v>188.6014751392625</v>
      </c>
      <c r="K208" s="24">
        <v>5246.14</v>
      </c>
      <c r="L208" s="30">
        <f t="shared" si="148"/>
        <v>7.9470951784548823E-3</v>
      </c>
      <c r="M208" s="25">
        <f t="shared" si="149"/>
        <v>181.87286060867766</v>
      </c>
    </row>
    <row r="209" spans="1:13">
      <c r="A209" s="23">
        <v>44925</v>
      </c>
      <c r="B209" s="9">
        <v>20914.79</v>
      </c>
      <c r="C209" s="30">
        <f t="shared" si="138"/>
        <v>9.416651222412753E-3</v>
      </c>
      <c r="D209" s="25">
        <v>186.29455845538399</v>
      </c>
      <c r="F209" s="23">
        <v>44925</v>
      </c>
      <c r="G209" s="10">
        <v>1100.1543999999999</v>
      </c>
      <c r="H209" s="10">
        <f t="shared" si="139"/>
        <v>1142.9413552308758</v>
      </c>
      <c r="I209" s="30">
        <f t="shared" si="146"/>
        <v>9.4915623861371312E-3</v>
      </c>
      <c r="J209" s="24">
        <f t="shared" si="147"/>
        <v>190.39159780666429</v>
      </c>
      <c r="K209" s="24">
        <v>5287.7322999999997</v>
      </c>
      <c r="L209" s="30">
        <f t="shared" si="148"/>
        <v>7.9281719511867799E-3</v>
      </c>
      <c r="M209" s="25">
        <f t="shared" si="149"/>
        <v>183.31477992083748</v>
      </c>
    </row>
    <row r="210" spans="1:13">
      <c r="A210" s="23">
        <v>44957</v>
      </c>
      <c r="B210" s="9">
        <v>21124.92</v>
      </c>
      <c r="C210" s="30">
        <f t="shared" si="138"/>
        <v>9.4190223760313996E-3</v>
      </c>
      <c r="D210" s="25">
        <f t="shared" ref="D210:D214" si="150">B210/$B$3*100</f>
        <v>192.86633787206225</v>
      </c>
      <c r="F210" s="23">
        <v>44957</v>
      </c>
      <c r="G210" s="10">
        <v>1089.7597000000001</v>
      </c>
      <c r="H210" s="10">
        <f t="shared" ref="H210:H232" si="151">+G210+$S$148+$S$150+$S$152+$S$154+$S$156+$S$158+$S$160</f>
        <v>1154.6102732408388</v>
      </c>
      <c r="I210" s="30">
        <f t="shared" si="146"/>
        <v>9.5714540245422225E-3</v>
      </c>
      <c r="J210" s="24">
        <f t="shared" si="147"/>
        <v>192.2139222317299</v>
      </c>
      <c r="K210" s="24">
        <v>5332.3676999999998</v>
      </c>
      <c r="L210" s="30">
        <f t="shared" si="148"/>
        <v>7.9137303338899789E-3</v>
      </c>
      <c r="M210" s="25">
        <f t="shared" si="149"/>
        <v>184.7654836553474</v>
      </c>
    </row>
    <row r="211" spans="1:13">
      <c r="A211" s="23">
        <v>44985</v>
      </c>
      <c r="B211" s="9">
        <v>21310.51</v>
      </c>
      <c r="C211" s="30">
        <f t="shared" si="138"/>
        <v>9.4128843361976754E-3</v>
      </c>
      <c r="D211" s="25">
        <f t="shared" si="150"/>
        <v>194.56073783408229</v>
      </c>
      <c r="F211" s="23">
        <v>44985</v>
      </c>
      <c r="G211" s="10">
        <v>1099.2810999999999</v>
      </c>
      <c r="H211" s="10">
        <f t="shared" si="151"/>
        <v>1164.1316732408386</v>
      </c>
      <c r="I211" s="30">
        <f t="shared" si="146"/>
        <v>8.8354488405561257E-3</v>
      </c>
      <c r="J211" s="24">
        <f t="shared" si="147"/>
        <v>193.91221850805098</v>
      </c>
      <c r="K211" s="24">
        <v>5371.7619999999997</v>
      </c>
      <c r="L211" s="30">
        <f t="shared" si="148"/>
        <v>7.9154666268472455E-3</v>
      </c>
      <c r="M211" s="25">
        <f t="shared" si="149"/>
        <v>186.22798867501459</v>
      </c>
    </row>
    <row r="212" spans="1:13">
      <c r="A212" s="23">
        <v>45016</v>
      </c>
      <c r="B212" s="9">
        <v>21517.9</v>
      </c>
      <c r="C212" s="30">
        <f t="shared" si="138"/>
        <v>9.4178881687958082E-3</v>
      </c>
      <c r="D212" s="25">
        <f t="shared" si="150"/>
        <v>196.45416748074072</v>
      </c>
      <c r="F212" s="23">
        <v>45016</v>
      </c>
      <c r="G212" s="10">
        <v>1110.8003000000001</v>
      </c>
      <c r="H212" s="10">
        <f t="shared" si="151"/>
        <v>1175.6508732408388</v>
      </c>
      <c r="I212" s="30">
        <f t="shared" si="146"/>
        <v>9.5759037911854212E-3</v>
      </c>
      <c r="J212" s="24">
        <f t="shared" si="147"/>
        <v>195.76910325641938</v>
      </c>
      <c r="K212" s="24">
        <v>5415.8662000000004</v>
      </c>
      <c r="L212" s="30">
        <f t="shared" ref="L212:L219" si="152">+(K212/K211-1)/(F212-F211)*30</f>
        <v>7.9455277190181878E-3</v>
      </c>
      <c r="M212" s="25">
        <f t="shared" ref="M212:M219" si="153">+M211*(1+L212)</f>
        <v>187.7076683210889</v>
      </c>
    </row>
    <row r="213" spans="1:13">
      <c r="A213" s="23">
        <v>45044</v>
      </c>
      <c r="B213" s="9">
        <v>21706.94</v>
      </c>
      <c r="C213" s="30">
        <f t="shared" si="138"/>
        <v>9.4127613355789383E-3</v>
      </c>
      <c r="D213" s="25">
        <f t="shared" si="150"/>
        <v>198.18006525982503</v>
      </c>
      <c r="F213" s="23">
        <v>45044</v>
      </c>
      <c r="G213" s="10">
        <v>1121.6303</v>
      </c>
      <c r="H213" s="10">
        <f t="shared" si="151"/>
        <v>1186.4808732408387</v>
      </c>
      <c r="I213" s="30">
        <f t="shared" si="146"/>
        <v>9.8699126523715819E-3</v>
      </c>
      <c r="J213" s="24">
        <f t="shared" si="147"/>
        <v>197.70132720559334</v>
      </c>
      <c r="K213" s="24">
        <v>5456.2587000000003</v>
      </c>
      <c r="L213" s="30">
        <f t="shared" si="152"/>
        <v>7.9909061585437761E-3</v>
      </c>
      <c r="M213" s="25">
        <f t="shared" si="153"/>
        <v>189.20762268388177</v>
      </c>
    </row>
    <row r="214" spans="1:13">
      <c r="A214" s="23">
        <v>45077</v>
      </c>
      <c r="B214" s="9">
        <v>21931.86</v>
      </c>
      <c r="C214" s="30">
        <f t="shared" si="138"/>
        <v>9.4196937602779168E-3</v>
      </c>
      <c r="D214" s="25">
        <f t="shared" si="150"/>
        <v>200.23354033637847</v>
      </c>
      <c r="F214" s="23">
        <v>45077</v>
      </c>
      <c r="G214" s="10">
        <v>1134.1803</v>
      </c>
      <c r="H214" s="10">
        <f t="shared" si="151"/>
        <v>1199.0308732408387</v>
      </c>
      <c r="I214" s="30">
        <f t="shared" si="146"/>
        <v>9.6159079900944161E-3</v>
      </c>
      <c r="J214" s="24">
        <f t="shared" si="147"/>
        <v>199.60240497752187</v>
      </c>
      <c r="K214" s="24">
        <v>5504.4106000000002</v>
      </c>
      <c r="L214" s="30">
        <f t="shared" si="152"/>
        <v>8.0227967463225077E-3</v>
      </c>
      <c r="M214" s="25">
        <f t="shared" si="153"/>
        <v>190.72559698352941</v>
      </c>
    </row>
    <row r="215" spans="1:13">
      <c r="A215" s="23">
        <v>45107</v>
      </c>
      <c r="B215" s="9">
        <v>22138.35</v>
      </c>
      <c r="C215" s="30">
        <f t="shared" si="138"/>
        <v>9.4150701308506335E-3</v>
      </c>
      <c r="D215" s="25">
        <f>B215/$B$3*100</f>
        <v>202.11875316119398</v>
      </c>
      <c r="F215" s="23">
        <v>45107</v>
      </c>
      <c r="G215" s="10">
        <v>1145.8589999999999</v>
      </c>
      <c r="H215" s="10">
        <f t="shared" si="151"/>
        <v>1210.7095732408386</v>
      </c>
      <c r="I215" s="30">
        <f t="shared" si="146"/>
        <v>9.740116172683555E-3</v>
      </c>
      <c r="J215" s="24">
        <f t="shared" si="147"/>
        <v>201.54655559034995</v>
      </c>
      <c r="K215" s="9">
        <v>5548.4618</v>
      </c>
      <c r="L215" s="30">
        <f t="shared" si="152"/>
        <v>8.0028913540715063E-3</v>
      </c>
      <c r="M215" s="25">
        <f t="shared" si="153"/>
        <v>192.25195321462903</v>
      </c>
    </row>
    <row r="216" spans="1:13">
      <c r="A216" s="23">
        <v>45138</v>
      </c>
      <c r="B216" s="9">
        <v>22353.79</v>
      </c>
      <c r="C216" s="30">
        <f t="shared" si="138"/>
        <v>9.4176089266204046E-3</v>
      </c>
      <c r="D216" s="25">
        <f>B216/$B$3*100</f>
        <v>204.08567771433584</v>
      </c>
      <c r="F216" s="23">
        <v>45138</v>
      </c>
      <c r="G216" s="10">
        <v>1157.9235000000001</v>
      </c>
      <c r="H216" s="10">
        <f t="shared" si="151"/>
        <v>1222.7740732408388</v>
      </c>
      <c r="I216" s="30">
        <f t="shared" si="146"/>
        <v>9.6433718198763625E-3</v>
      </c>
      <c r="J216" s="24">
        <f t="shared" si="147"/>
        <v>203.49014396492308</v>
      </c>
      <c r="K216" s="9">
        <v>5593.9840000000004</v>
      </c>
      <c r="L216" s="30">
        <f t="shared" si="152"/>
        <v>7.9398117033956418E-3</v>
      </c>
      <c r="M216" s="25">
        <f t="shared" si="153"/>
        <v>193.77839752276324</v>
      </c>
    </row>
    <row r="217" spans="1:13">
      <c r="A217" s="23">
        <v>45169</v>
      </c>
      <c r="B217" s="9">
        <v>22551.919999999998</v>
      </c>
      <c r="C217" s="30">
        <f t="shared" si="138"/>
        <v>8.5774586625988747E-3</v>
      </c>
      <c r="D217" s="25">
        <f>B217/$B$3*100</f>
        <v>205.89456539403312</v>
      </c>
      <c r="F217" s="23">
        <v>45169</v>
      </c>
      <c r="G217" s="10">
        <v>1169.8556000000001</v>
      </c>
      <c r="H217" s="10">
        <f t="shared" si="151"/>
        <v>1234.7061732408388</v>
      </c>
      <c r="I217" s="30">
        <f t="shared" si="146"/>
        <v>9.4434399625291515E-3</v>
      </c>
      <c r="J217" s="24">
        <f t="shared" si="147"/>
        <v>205.41179092242226</v>
      </c>
      <c r="K217" s="9">
        <v>5636.4775</v>
      </c>
      <c r="L217" s="30">
        <f t="shared" si="152"/>
        <v>7.3512441107239221E-3</v>
      </c>
      <c r="M217" s="25">
        <f t="shared" si="153"/>
        <v>195.20290982633799</v>
      </c>
    </row>
    <row r="218" spans="1:13">
      <c r="A218" s="23">
        <v>45199</v>
      </c>
      <c r="B218" s="9">
        <v>22727.72</v>
      </c>
      <c r="C218" s="30">
        <f t="shared" si="138"/>
        <v>7.7953451413450559E-3</v>
      </c>
      <c r="D218" s="25">
        <f>B218/$B$3*100</f>
        <v>207.49958459400685</v>
      </c>
      <c r="F218" s="23">
        <v>45199</v>
      </c>
      <c r="G218" s="10">
        <v>1181.3233</v>
      </c>
      <c r="H218" s="10">
        <f t="shared" si="151"/>
        <v>1246.1738732408387</v>
      </c>
      <c r="I218" s="30">
        <f t="shared" si="146"/>
        <v>9.2877967637430281E-3</v>
      </c>
      <c r="J218" s="24">
        <f t="shared" si="147"/>
        <v>207.31961388938618</v>
      </c>
      <c r="K218" s="24">
        <v>5674.7197999999999</v>
      </c>
      <c r="L218" s="30">
        <f t="shared" si="152"/>
        <v>6.7847871299051565E-3</v>
      </c>
      <c r="M218" s="25">
        <f t="shared" si="153"/>
        <v>196.52732001664776</v>
      </c>
    </row>
    <row r="219" spans="1:13">
      <c r="A219" s="23">
        <v>45230</v>
      </c>
      <c r="B219" s="25">
        <v>22920</v>
      </c>
      <c r="C219" s="30">
        <f t="shared" si="138"/>
        <v>8.1872453266248948E-3</v>
      </c>
      <c r="D219" s="9">
        <f>B219/$B$3*100</f>
        <v>209.25506293172555</v>
      </c>
      <c r="F219" s="23">
        <v>45230</v>
      </c>
      <c r="G219" s="10">
        <v>1192.2741000000001</v>
      </c>
      <c r="H219" s="10">
        <f t="shared" si="151"/>
        <v>1257.1246732408388</v>
      </c>
      <c r="I219" s="30">
        <f t="shared" ref="I219" si="154">+(((H219)/H218)-1)/(F219-F218)*30</f>
        <v>8.5040688259147203E-3</v>
      </c>
      <c r="J219" s="24">
        <f t="shared" ref="J219" si="155">+J218*(1+I219)</f>
        <v>209.08267415486361</v>
      </c>
      <c r="K219" s="24">
        <v>5712.6049000000003</v>
      </c>
      <c r="L219" s="30">
        <f t="shared" si="152"/>
        <v>6.4607595250783471E-3</v>
      </c>
      <c r="M219" s="25">
        <f t="shared" si="153"/>
        <v>197.79703577138343</v>
      </c>
    </row>
    <row r="220" spans="1:13">
      <c r="A220" s="23">
        <v>45260</v>
      </c>
      <c r="B220" s="9">
        <v>23092.51</v>
      </c>
      <c r="C220" s="30">
        <f t="shared" ref="C220:C222" si="156">+(B220/B219-1)/(A220-A219)*30</f>
        <v>7.5266143106456082E-3</v>
      </c>
      <c r="D220" s="9">
        <f t="shared" ref="D220:D222" si="157">B220/$B$3*100</f>
        <v>210.8300450829625</v>
      </c>
      <c r="F220" s="23">
        <v>45260</v>
      </c>
      <c r="G220" s="10">
        <v>1201.9218000000001</v>
      </c>
      <c r="H220" s="10">
        <f t="shared" si="151"/>
        <v>1266.7723732408388</v>
      </c>
      <c r="I220" s="30">
        <f t="shared" ref="I220" si="158">+(((H220)/H219)-1)/(F220-F219)*30</f>
        <v>7.6744178245491401E-3</v>
      </c>
      <c r="J220" s="24">
        <f t="shared" ref="J220" si="159">+J219*(1+I220)</f>
        <v>210.68726195620209</v>
      </c>
      <c r="K220" s="9">
        <v>5747.8491999999997</v>
      </c>
      <c r="L220" s="30">
        <f t="shared" ref="L220:L222" si="160">+(K220/K219-1)/(F220-F219)*30</f>
        <v>6.1695672319295181E-3</v>
      </c>
      <c r="M220" s="25">
        <f t="shared" ref="M220:M222" si="161">+M219*(1+L220)</f>
        <v>199.01735788185135</v>
      </c>
    </row>
    <row r="221" spans="1:13">
      <c r="A221" s="23">
        <v>45291</v>
      </c>
      <c r="B221" s="9">
        <v>23256.05</v>
      </c>
      <c r="C221" s="30">
        <f t="shared" si="156"/>
        <v>6.8534999499418742E-3</v>
      </c>
      <c r="D221" s="9">
        <f t="shared" si="157"/>
        <v>212.32313290983225</v>
      </c>
      <c r="F221" s="23">
        <v>45291</v>
      </c>
      <c r="G221" s="10">
        <v>1211.9951000000001</v>
      </c>
      <c r="H221" s="10">
        <f t="shared" si="151"/>
        <v>1276.8456732408388</v>
      </c>
      <c r="I221" s="30">
        <f t="shared" ref="I221:I222" si="162">+(((H221)/H220)-1)/(F221-F220)*30</f>
        <v>7.6954274064013469E-3</v>
      </c>
      <c r="J221" s="24">
        <f t="shared" ref="J221:J222" si="163">+J220*(1+I221)</f>
        <v>212.30859048603952</v>
      </c>
      <c r="K221" s="9">
        <v>5782.92</v>
      </c>
      <c r="L221" s="30">
        <f t="shared" si="160"/>
        <v>5.9047276102804306E-3</v>
      </c>
      <c r="M221" s="25">
        <f t="shared" si="161"/>
        <v>200.19250116986137</v>
      </c>
    </row>
    <row r="222" spans="1:13">
      <c r="A222" s="23">
        <v>45322</v>
      </c>
      <c r="B222" s="9">
        <v>23427.15</v>
      </c>
      <c r="C222" s="30">
        <f t="shared" si="156"/>
        <v>7.11989547499661E-3</v>
      </c>
      <c r="D222" s="9">
        <f t="shared" si="157"/>
        <v>213.88524204018208</v>
      </c>
      <c r="F222" s="23">
        <v>45322</v>
      </c>
      <c r="G222" s="10">
        <v>1222.8067000000001</v>
      </c>
      <c r="H222" s="10">
        <f t="shared" si="151"/>
        <v>1287.6572732408388</v>
      </c>
      <c r="I222" s="30">
        <f t="shared" si="162"/>
        <v>8.1942860667891162E-3</v>
      </c>
      <c r="J222" s="24">
        <f t="shared" si="163"/>
        <v>214.04830781091891</v>
      </c>
      <c r="K222" s="9">
        <v>5816.8769000000002</v>
      </c>
      <c r="L222" s="30">
        <f t="shared" si="160"/>
        <v>5.6825126629855838E-3</v>
      </c>
      <c r="M222" s="25">
        <f t="shared" si="161"/>
        <v>201.33009759279386</v>
      </c>
    </row>
    <row r="223" spans="1:13">
      <c r="A223" s="23">
        <v>45351</v>
      </c>
      <c r="B223" s="9">
        <v>23570.34</v>
      </c>
      <c r="C223" s="30">
        <f t="shared" ref="C223:C224" si="164">+(B223/B222-1)/(A223-A222)*30</f>
        <v>6.3229025385885236E-3</v>
      </c>
      <c r="D223" s="9">
        <f t="shared" ref="D223:D224" si="165">B223/$B$3*100</f>
        <v>215.19253839538251</v>
      </c>
      <c r="F223" s="23">
        <v>45351</v>
      </c>
      <c r="G223" s="10">
        <v>1231.3106</v>
      </c>
      <c r="H223" s="10">
        <f t="shared" si="151"/>
        <v>1296.1611732408387</v>
      </c>
      <c r="I223" s="30">
        <f t="shared" ref="I223" si="166">+(((H223)/H222)-1)/(F223-F222)*30</f>
        <v>6.8318939471318143E-3</v>
      </c>
      <c r="J223" s="24">
        <f t="shared" ref="J223" si="167">+J222*(1+I223)</f>
        <v>215.51066314944615</v>
      </c>
      <c r="K223" s="9">
        <v>5846.4552000000003</v>
      </c>
      <c r="L223" s="30">
        <f t="shared" ref="L223" si="168">+(K223/K222-1)/(F223-F222)*30</f>
        <v>5.2602525212990022E-3</v>
      </c>
      <c r="M223" s="25">
        <f t="shared" ref="M223" si="169">+M222*(1+L223)</f>
        <v>202.38914474626972</v>
      </c>
    </row>
    <row r="224" spans="1:13">
      <c r="A224" s="23">
        <v>45379</v>
      </c>
      <c r="B224" s="9">
        <v>23703.45</v>
      </c>
      <c r="C224" s="30">
        <f t="shared" si="164"/>
        <v>6.0507339793510117E-3</v>
      </c>
      <c r="D224" s="9">
        <f t="shared" si="165"/>
        <v>216.40780634594284</v>
      </c>
      <c r="F224" s="23">
        <v>45382</v>
      </c>
      <c r="G224" s="10">
        <v>1238.8219999999999</v>
      </c>
      <c r="H224" s="10">
        <f t="shared" si="151"/>
        <v>1303.6725732408386</v>
      </c>
      <c r="I224" s="30">
        <f t="shared" ref="I224" si="170">+(((H224)/H223)-1)/(F224-F223)*30</f>
        <v>5.6081735236816893E-3</v>
      </c>
      <c r="J224" s="24">
        <f t="shared" ref="J224" si="171">+J223*(1+I224)</f>
        <v>216.71928434459196</v>
      </c>
      <c r="K224" s="9">
        <v>5872.4727999999996</v>
      </c>
      <c r="L224" s="30">
        <f t="shared" ref="L224" si="172">+(K224/K223-1)/(F224-F223)*30</f>
        <v>4.306596342454643E-3</v>
      </c>
      <c r="M224" s="25">
        <f t="shared" ref="M224" si="173">+M223*(1+L224)</f>
        <v>203.26075309678654</v>
      </c>
    </row>
    <row r="225" spans="1:13">
      <c r="A225" s="23">
        <v>45412</v>
      </c>
      <c r="B225" s="9">
        <v>23847.87</v>
      </c>
      <c r="C225" s="30">
        <f t="shared" ref="C225:C226" si="174">+(B225/B224-1)/(A225-A224)*30</f>
        <v>5.5388945107530275E-3</v>
      </c>
      <c r="D225" s="9">
        <f t="shared" ref="D225:D226" si="175">B225/$B$3*100</f>
        <v>217.72633235766185</v>
      </c>
      <c r="F225" s="23">
        <v>45412</v>
      </c>
      <c r="G225" s="10">
        <v>1247.4597000000001</v>
      </c>
      <c r="H225" s="10">
        <f t="shared" si="151"/>
        <v>1312.3102732408388</v>
      </c>
      <c r="I225" s="30">
        <f t="shared" ref="I225" si="176">+(((H225)/H224)-1)/(F225-F224)*30</f>
        <v>6.6256667335782282E-3</v>
      </c>
      <c r="J225" s="24">
        <f t="shared" ref="J225" si="177">+J224*(1+I225)</f>
        <v>218.15519409739881</v>
      </c>
      <c r="K225" s="9">
        <v>5900.1916000000001</v>
      </c>
      <c r="L225" s="30">
        <f t="shared" ref="L225" si="178">+(K225/K224-1)/(F225-F224)*30</f>
        <v>4.7201240336098849E-3</v>
      </c>
      <c r="M225" s="25">
        <f t="shared" ref="M225" si="179">+M224*(1+L225)</f>
        <v>204.22016906256835</v>
      </c>
    </row>
    <row r="226" spans="1:13">
      <c r="A226" s="23">
        <v>45443</v>
      </c>
      <c r="B226" s="9">
        <v>23979.37</v>
      </c>
      <c r="C226" s="30">
        <f t="shared" si="174"/>
        <v>5.3362444745013744E-3</v>
      </c>
      <c r="D226" s="9">
        <f t="shared" si="175"/>
        <v>218.92690132692545</v>
      </c>
      <c r="F226" s="23">
        <v>45443</v>
      </c>
      <c r="G226" s="10">
        <v>1256.3136999999999</v>
      </c>
      <c r="H226" s="10">
        <f t="shared" si="151"/>
        <v>1321.1642732408386</v>
      </c>
      <c r="I226" s="30">
        <f t="shared" ref="I226" si="180">+(((H226)/H225)-1)/(F226-F225)*30</f>
        <v>6.5292387566348144E-3</v>
      </c>
      <c r="J226" s="24">
        <f t="shared" ref="J226" si="181">+J225*(1+I226)</f>
        <v>219.57958144566075</v>
      </c>
      <c r="K226" s="9">
        <v>5924.7824000000001</v>
      </c>
      <c r="L226" s="30">
        <f t="shared" ref="L226" si="182">+(K226/K225-1)/(F226-F225)*30</f>
        <v>4.0333517960835794E-3</v>
      </c>
      <c r="M226" s="25">
        <f t="shared" ref="M226" si="183">+M225*(1+L226)</f>
        <v>205.04386084825333</v>
      </c>
    </row>
    <row r="227" spans="1:13">
      <c r="A227" s="23">
        <v>45473</v>
      </c>
      <c r="B227" s="25">
        <v>24090</v>
      </c>
      <c r="C227" s="30">
        <f t="shared" ref="C227" si="184">+(B227/B226-1)/(A227-A226)*30</f>
        <v>4.6135490632155385E-3</v>
      </c>
      <c r="D227" s="9">
        <f t="shared" ref="D227" si="185">B227/$B$3*100</f>
        <v>219.93693132745497</v>
      </c>
      <c r="F227" s="23">
        <v>45473</v>
      </c>
      <c r="G227" s="10">
        <v>1264.3683000000001</v>
      </c>
      <c r="H227" s="10">
        <f t="shared" si="151"/>
        <v>1329.2188732408388</v>
      </c>
      <c r="I227" s="30">
        <f t="shared" ref="I227" si="186">+(((H227)/H226)-1)/(F227-F226)*30</f>
        <v>6.096592348990848E-3</v>
      </c>
      <c r="J227" s="24">
        <f t="shared" ref="J227" si="187">+J226*(1+I227)</f>
        <v>220.91826864189699</v>
      </c>
      <c r="K227" s="9">
        <v>5946.4089999999997</v>
      </c>
      <c r="L227" s="30">
        <f t="shared" ref="L227" si="188">+(K227/K226-1)/(F227-F226)*30</f>
        <v>3.6501931277677091E-3</v>
      </c>
      <c r="M227" s="25">
        <f t="shared" ref="M227" si="189">+M226*(1+L227)</f>
        <v>205.79231054001258</v>
      </c>
    </row>
    <row r="228" spans="1:13">
      <c r="A228" s="23">
        <v>45504</v>
      </c>
      <c r="B228" s="9">
        <v>24217.3</v>
      </c>
      <c r="C228" s="30">
        <f t="shared" ref="C228" si="190">+(B228/B227-1)/(A228-A227)*30</f>
        <v>5.1138874382356155E-3</v>
      </c>
      <c r="D228" s="9">
        <f t="shared" ref="D228" si="191">B228/$B$3*100</f>
        <v>221.0991551281185</v>
      </c>
      <c r="F228" s="23">
        <v>45504</v>
      </c>
      <c r="G228" s="10">
        <v>1270.2064</v>
      </c>
      <c r="H228" s="10">
        <f t="shared" si="151"/>
        <v>1335.0569732408387</v>
      </c>
      <c r="I228" s="30">
        <f t="shared" ref="I228" si="192">+(((H228)/H227)-1)/(F228-F227)*30</f>
        <v>4.2504468656643793E-3</v>
      </c>
      <c r="J228" s="24">
        <f t="shared" ref="J228" si="193">+J227*(1+I228)</f>
        <v>221.85727000441392</v>
      </c>
      <c r="K228" s="9">
        <v>5968.0190000000002</v>
      </c>
      <c r="L228" s="30">
        <f t="shared" ref="L228" si="194">+(K228/K227-1)/(F228-F227)*30</f>
        <v>3.516896201691893E-3</v>
      </c>
      <c r="M228" s="25">
        <f t="shared" ref="M228" si="195">+M227*(1+L228)</f>
        <v>206.51606073528814</v>
      </c>
    </row>
    <row r="229" spans="1:13">
      <c r="A229" s="23">
        <v>45535</v>
      </c>
      <c r="B229" s="9">
        <v>24333.599999999999</v>
      </c>
      <c r="C229" s="30">
        <f t="shared" ref="C229" si="196">+(B229/B228-1)/(A229-A228)*30</f>
        <v>4.6474374557349948E-3</v>
      </c>
      <c r="D229" s="9">
        <f t="shared" ref="D229" si="197">B229/$B$3*100</f>
        <v>222.1609511062581</v>
      </c>
      <c r="F229" s="23">
        <v>45535</v>
      </c>
      <c r="G229" s="10">
        <v>1276.2044000000001</v>
      </c>
      <c r="H229" s="10">
        <f t="shared" si="151"/>
        <v>1341.0549732408388</v>
      </c>
      <c r="I229" s="30">
        <f t="shared" ref="I229" si="198">+(((H229)/H228)-1)/(F229-F228)*30</f>
        <v>4.3477666087477652E-3</v>
      </c>
      <c r="J229" s="24">
        <f t="shared" ref="J229" si="199">+J228*(1+I229)</f>
        <v>222.82185363484703</v>
      </c>
      <c r="K229" s="9">
        <v>5989.6689999999999</v>
      </c>
      <c r="L229" s="30">
        <f t="shared" ref="L229" si="200">+(K229/K228-1)/(F229-F228)*30</f>
        <v>3.5106478218695273E-3</v>
      </c>
      <c r="M229" s="25">
        <f t="shared" ref="M229" si="201">+M228*(1+L229)</f>
        <v>207.24106589408956</v>
      </c>
    </row>
    <row r="230" spans="1:13">
      <c r="A230" s="23">
        <v>45565</v>
      </c>
      <c r="B230" s="9">
        <v>24449.94</v>
      </c>
      <c r="C230" s="30">
        <f t="shared" ref="C230" si="202">+(B230/B229-1)/(A230-A229)*30</f>
        <v>4.7810434954138614E-3</v>
      </c>
      <c r="D230" s="9">
        <f t="shared" ref="D230" si="203">B230/$B$3*100</f>
        <v>223.22311227647961</v>
      </c>
      <c r="F230" s="23">
        <v>45565</v>
      </c>
      <c r="G230" s="10">
        <v>1282.7708</v>
      </c>
      <c r="H230" s="10">
        <f t="shared" si="151"/>
        <v>1347.6213732408387</v>
      </c>
      <c r="I230" s="30">
        <f t="shared" ref="I230" si="204">+(((H230)/H229)-1)/(F230-F229)*30</f>
        <v>4.8964435694469621E-3</v>
      </c>
      <c r="J230" s="24">
        <f t="shared" ref="J230" si="205">+J229*(1+I230)</f>
        <v>223.91288826720964</v>
      </c>
      <c r="K230" s="9">
        <v>6009.8868000000002</v>
      </c>
      <c r="L230" s="30">
        <f t="shared" ref="L230" si="206">+(K230/K229-1)/(F230-F229)*30</f>
        <v>3.3754452875442986E-3</v>
      </c>
      <c r="M230" s="25">
        <f t="shared" ref="M230" si="207">+M229*(1+L230)</f>
        <v>207.94059677334741</v>
      </c>
    </row>
    <row r="231" spans="1:13">
      <c r="A231" s="23">
        <v>45596</v>
      </c>
      <c r="B231" s="9">
        <v>24560.22</v>
      </c>
      <c r="C231" s="30">
        <f t="shared" ref="C231" si="208">+(B231/B230-1)/(A231-A230)*30</f>
        <v>4.3649424352436789E-3</v>
      </c>
      <c r="D231" s="9">
        <f t="shared" ref="D231" si="209">B231/$B$3*100</f>
        <v>224.22994684629251</v>
      </c>
      <c r="F231" s="23">
        <v>45596</v>
      </c>
      <c r="G231" s="10">
        <v>1288.9223999999999</v>
      </c>
      <c r="H231" s="10">
        <f t="shared" si="151"/>
        <v>1353.7729732408386</v>
      </c>
      <c r="I231" s="30">
        <f t="shared" ref="I231" si="210">+(((H231)/H230)-1)/(F231-F230)*30</f>
        <v>4.4175325566452352E-3</v>
      </c>
      <c r="J231" s="24">
        <f t="shared" ref="J231" si="211">+J230*(1+I231)</f>
        <v>224.90203074098253</v>
      </c>
      <c r="K231" s="9">
        <v>6030.3854000000001</v>
      </c>
      <c r="L231" s="30">
        <f t="shared" ref="L231" si="212">+(K231/K230-1)/(F231-F230)*30</f>
        <v>3.3007867700120667E-3</v>
      </c>
      <c r="M231" s="25">
        <f t="shared" ref="M231" si="213">+M230*(1+L231)</f>
        <v>208.6269643441253</v>
      </c>
    </row>
    <row r="232" spans="1:13">
      <c r="A232" s="23">
        <v>45626</v>
      </c>
      <c r="B232" s="9">
        <v>24667.9</v>
      </c>
      <c r="C232" s="30">
        <f t="shared" ref="C232" si="214">+(B232/B231-1)/(A232-A231)*30</f>
        <v>4.3843255475723986E-3</v>
      </c>
      <c r="D232" s="9">
        <f t="shared" ref="D232" si="215">B232/$B$3*100</f>
        <v>225.21304393078151</v>
      </c>
      <c r="F232" s="23">
        <v>45626</v>
      </c>
      <c r="G232" s="10">
        <v>1295.2801999999999</v>
      </c>
      <c r="H232" s="10">
        <f t="shared" si="151"/>
        <v>1360.1307732408386</v>
      </c>
      <c r="I232" s="30">
        <f t="shared" ref="I232" si="216">+(((H232)/H231)-1)/(F232-F231)*30</f>
        <v>4.6963561288861921E-3</v>
      </c>
      <c r="J232" s="24">
        <f t="shared" ref="J232" si="217">+J231*(1+I232)</f>
        <v>225.9582507714519</v>
      </c>
      <c r="K232" s="9">
        <v>6049.8055000000004</v>
      </c>
      <c r="L232" s="30">
        <f t="shared" ref="L232" si="218">+(K232/K231-1)/(F232-F231)*30</f>
        <v>3.220374604913312E-3</v>
      </c>
      <c r="M232" s="25">
        <f t="shared" ref="M232" si="219">+M231*(1+L232)</f>
        <v>209.29882132199927</v>
      </c>
    </row>
    <row r="233" spans="1:13">
      <c r="A233" s="23">
        <v>45657</v>
      </c>
      <c r="B233" s="9">
        <v>24777.58</v>
      </c>
      <c r="C233" s="30">
        <f t="shared" ref="C233" si="220">+(B233/B232-1)/(A233-A232)*30</f>
        <v>4.3028362967205188E-3</v>
      </c>
      <c r="D233" s="9">
        <f t="shared" ref="D233" si="221">B233/$B$3*100</f>
        <v>226.21440061936582</v>
      </c>
      <c r="F233" s="23">
        <v>45657</v>
      </c>
      <c r="G233" s="10">
        <v>1253.3905</v>
      </c>
      <c r="H233" s="10">
        <f t="shared" ref="H233:H238" si="222">+G233+$S$148+$S$150+$S$152+$S$154+$S$156+$S$158+$S$160+$S$162</f>
        <v>1366.4172269491307</v>
      </c>
      <c r="I233" s="30">
        <f t="shared" ref="I233" si="223">+(((H233)/H232)-1)/(F233-F232)*30</f>
        <v>4.4728529040604492E-3</v>
      </c>
      <c r="J233" s="24">
        <f t="shared" ref="J233" si="224">+J232*(1+I233)</f>
        <v>226.96892878961143</v>
      </c>
      <c r="K233" s="9">
        <v>6069.3455000000004</v>
      </c>
      <c r="L233" s="30">
        <f t="shared" ref="L233" si="225">+(K233/K232-1)/(F233-F232)*30</f>
        <v>3.1256670019151563E-3</v>
      </c>
      <c r="M233" s="25">
        <f t="shared" ref="M233" si="226">+M232*(1+L233)</f>
        <v>209.95301974134517</v>
      </c>
    </row>
    <row r="234" spans="1:13">
      <c r="A234" s="23">
        <v>45688</v>
      </c>
      <c r="B234" s="9">
        <v>24887.95</v>
      </c>
      <c r="C234" s="30">
        <f t="shared" ref="C234" si="227">+(B234/B233-1)/(A234-A233)*30</f>
        <v>4.3107388784278181E-3</v>
      </c>
      <c r="D234" s="9">
        <f t="shared" ref="D234" si="228">B234/$B$3*100</f>
        <v>227.22205687136295</v>
      </c>
      <c r="F234" s="23">
        <v>45688</v>
      </c>
      <c r="G234" s="10">
        <v>1257.4445000000001</v>
      </c>
      <c r="H234" s="10">
        <f t="shared" si="222"/>
        <v>1370.4712269491308</v>
      </c>
      <c r="I234" s="30">
        <f t="shared" ref="I234" si="229">+(((H234)/H233)-1)/(F234-F233)*30</f>
        <v>2.8711770673523827E-3</v>
      </c>
      <c r="J234" s="24">
        <f t="shared" ref="J234" si="230">+J233*(1+I234)</f>
        <v>227.62059677295369</v>
      </c>
      <c r="K234" s="9">
        <v>6087.6761999999999</v>
      </c>
      <c r="L234" s="30">
        <f t="shared" ref="L234" si="231">+(K234/K233-1)/(F234-F233)*30</f>
        <v>2.9227841942386906E-3</v>
      </c>
      <c r="M234" s="25">
        <f t="shared" ref="M234" si="232">+M233*(1+L234)</f>
        <v>210.56666710897787</v>
      </c>
    </row>
    <row r="235" spans="1:13">
      <c r="A235" s="23">
        <v>45716</v>
      </c>
      <c r="B235" s="9">
        <v>24984.92</v>
      </c>
      <c r="C235" s="30">
        <f t="shared" ref="C235" si="233">+(B235/B234-1)/(A235-A234)*30</f>
        <v>4.1745675546369021E-3</v>
      </c>
      <c r="D235" s="9">
        <f t="shared" ref="D235" si="234">B235/$B$3*100</f>
        <v>228.10737377592179</v>
      </c>
      <c r="F235" s="23">
        <v>45716</v>
      </c>
      <c r="G235" s="10">
        <v>1263.0033000000001</v>
      </c>
      <c r="H235" s="10">
        <f t="shared" si="222"/>
        <v>1376.0300269491308</v>
      </c>
      <c r="I235" s="30">
        <f t="shared" ref="I235" si="235">+(((H235)/H234)-1)/(F235-F234)*30</f>
        <v>4.345846177388122E-3</v>
      </c>
      <c r="J235" s="24">
        <f t="shared" ref="J235" si="236">+J234*(1+I235)</f>
        <v>228.60980087333425</v>
      </c>
      <c r="K235" s="9">
        <v>6104.4912000000004</v>
      </c>
      <c r="L235" s="30">
        <f t="shared" ref="L235" si="237">+(K235/K234-1)/(F235-F234)*30</f>
        <v>2.9594332610154745E-3</v>
      </c>
      <c r="M235" s="25">
        <f t="shared" ref="M235" si="238">+M234*(1+L235)</f>
        <v>211.18982510728134</v>
      </c>
    </row>
    <row r="236" spans="1:13">
      <c r="A236" s="23">
        <v>45747</v>
      </c>
      <c r="B236" s="9">
        <v>25092.7</v>
      </c>
      <c r="C236" s="30">
        <f t="shared" ref="C236:C248" si="239">+(B236/B235-1)/(A236-A235)*30</f>
        <v>4.1746471794368665E-3</v>
      </c>
      <c r="D236" s="9">
        <f t="shared" ref="D236:D248" si="240">B236/$B$3*100</f>
        <v>229.09138384061558</v>
      </c>
      <c r="F236" s="23">
        <v>45747</v>
      </c>
      <c r="G236" s="10">
        <v>1268.7999</v>
      </c>
      <c r="H236" s="10">
        <f t="shared" si="222"/>
        <v>1381.8266269491307</v>
      </c>
      <c r="I236" s="30">
        <f t="shared" ref="I236" si="241">+(((H236)/H235)-1)/(F236-F235)*30</f>
        <v>4.0766646027798606E-3</v>
      </c>
      <c r="J236" s="24">
        <f t="shared" ref="J236" si="242">+J235*(1+I236)</f>
        <v>229.54176635640314</v>
      </c>
      <c r="K236" s="9">
        <v>6123.1881999999996</v>
      </c>
      <c r="L236" s="30">
        <f t="shared" ref="L236" si="243">+(K236/K235-1)/(F236-F235)*30</f>
        <v>2.9640260547417283E-3</v>
      </c>
      <c r="M236" s="25">
        <f t="shared" ref="M236" si="244">+M235*(1+L236)</f>
        <v>211.81579725139565</v>
      </c>
    </row>
    <row r="237" spans="1:13">
      <c r="A237" s="23">
        <v>45777</v>
      </c>
      <c r="B237" s="9">
        <v>25197.48</v>
      </c>
      <c r="C237" s="30">
        <f t="shared" si="239"/>
        <v>4.175716443427735E-3</v>
      </c>
      <c r="D237" s="9">
        <f t="shared" si="240"/>
        <v>230.04800449916644</v>
      </c>
      <c r="F237" s="23">
        <v>45777</v>
      </c>
      <c r="G237" s="10">
        <v>1274.5563999999999</v>
      </c>
      <c r="H237" s="10">
        <f t="shared" si="222"/>
        <v>1387.5831269491307</v>
      </c>
      <c r="I237" s="30">
        <f t="shared" ref="I237" si="245">+(((H237)/H236)-1)/(F237-F236)*30</f>
        <v>4.1658626977751911E-3</v>
      </c>
      <c r="J237" s="24">
        <f t="shared" ref="J237" si="246">+J236*(1+I237)</f>
        <v>230.49800583844871</v>
      </c>
      <c r="K237" s="24">
        <v>6141.4105</v>
      </c>
      <c r="L237" s="30">
        <f t="shared" ref="L237" si="247">+(K237/K236-1)/(F237-F236)*30</f>
        <v>2.975949685819046E-3</v>
      </c>
      <c r="M237" s="25">
        <f t="shared" ref="M237" si="248">+M236*(1+L237)</f>
        <v>212.44615040667745</v>
      </c>
    </row>
    <row r="238" spans="1:13">
      <c r="A238" s="23">
        <v>45808</v>
      </c>
      <c r="B238" s="9">
        <v>25302.66</v>
      </c>
      <c r="C238" s="30">
        <f t="shared" si="239"/>
        <v>4.039574464358861E-3</v>
      </c>
      <c r="D238" s="9">
        <f t="shared" si="240"/>
        <v>231.00827707853639</v>
      </c>
      <c r="F238" s="23">
        <v>45808</v>
      </c>
      <c r="G238" s="10">
        <v>1280.7154</v>
      </c>
      <c r="H238" s="10">
        <f t="shared" si="222"/>
        <v>1393.7421269491308</v>
      </c>
      <c r="I238" s="30">
        <f t="shared" ref="I238" si="249">+(((H238)/H237)-1)/(F238-F237)*30</f>
        <v>4.2954706387573942E-3</v>
      </c>
      <c r="J238" s="24">
        <f t="shared" ref="J238" si="250">+J237*(1+I238)</f>
        <v>231.48810325481992</v>
      </c>
      <c r="K238" s="9">
        <v>6160.3860000000004</v>
      </c>
      <c r="L238" s="30">
        <f t="shared" ref="L238" si="251">+(K238/K237-1)/(F238-F237)*30</f>
        <v>2.9900927639951859E-3</v>
      </c>
      <c r="M238" s="25">
        <f t="shared" ref="M238" si="252">+M237*(1+L238)</f>
        <v>213.0813841037471</v>
      </c>
    </row>
    <row r="239" spans="1:13">
      <c r="A239" s="23">
        <v>45838</v>
      </c>
      <c r="B239" s="9">
        <v>25411.83</v>
      </c>
      <c r="C239" s="30">
        <f t="shared" si="239"/>
        <v>4.3145661365249222E-3</v>
      </c>
      <c r="D239" s="9">
        <f t="shared" si="240"/>
        <v>232.00497756807641</v>
      </c>
      <c r="F239" s="23">
        <v>45838</v>
      </c>
      <c r="G239" s="10">
        <v>1288.1058</v>
      </c>
      <c r="H239" s="10">
        <f t="shared" ref="H239" si="253">+G239+$S$148+$S$150+$S$152+$S$154+$S$156+$S$158+$S$160+$S$162</f>
        <v>1401.1325269491308</v>
      </c>
      <c r="I239" s="30">
        <f t="shared" ref="I239" si="254">+(((H239)/H238)-1)/(F239-F238)*30</f>
        <v>5.3025591012143547E-3</v>
      </c>
      <c r="J239" s="24">
        <f t="shared" ref="J239" si="255">+J238*(1+I239)</f>
        <v>232.71558260355661</v>
      </c>
      <c r="K239" s="9">
        <v>6178.8490000000002</v>
      </c>
      <c r="L239" s="30">
        <f t="shared" ref="L239" si="256">+(K239/K238-1)/(F239-F238)*30</f>
        <v>2.9970524574272073E-3</v>
      </c>
      <c r="M239" s="25">
        <f t="shared" ref="M239" si="257">+M238*(1+L239)</f>
        <v>213.72000018960722</v>
      </c>
    </row>
    <row r="240" spans="1:13">
      <c r="A240" s="23">
        <v>45869</v>
      </c>
      <c r="B240" s="9">
        <v>25521.26</v>
      </c>
      <c r="C240" s="30">
        <f t="shared" si="239"/>
        <v>4.1673504033356758E-3</v>
      </c>
      <c r="D240" s="9">
        <f t="shared" si="240"/>
        <v>233.00405180614874</v>
      </c>
      <c r="F240" s="23">
        <v>45869</v>
      </c>
      <c r="G240" s="10">
        <v>1295.0536</v>
      </c>
      <c r="H240" s="10">
        <f t="shared" ref="H240" si="258">+G240+$S$148+$S$150+$S$152+$S$154+$S$156+$S$158+$S$160+$S$162</f>
        <v>1408.0803269491307</v>
      </c>
      <c r="I240" s="30">
        <f t="shared" ref="I240" si="259">+(((H240)/H239)-1)/(F240-F239)*30</f>
        <v>4.7987447939667662E-3</v>
      </c>
      <c r="J240" s="24">
        <f t="shared" ref="J240" si="260">+J239*(1+I240)</f>
        <v>233.83232529405038</v>
      </c>
      <c r="K240" s="9">
        <v>6197.08</v>
      </c>
      <c r="L240" s="30">
        <f t="shared" ref="L240" si="261">+(K240/K239-1)/(F240-F239)*30</f>
        <v>2.8553705108841547E-3</v>
      </c>
      <c r="M240" s="25">
        <f t="shared" ref="M240" si="262">+M239*(1+L240)</f>
        <v>214.3302499757348</v>
      </c>
    </row>
    <row r="241" spans="1:13">
      <c r="A241" s="23">
        <v>45900</v>
      </c>
      <c r="B241" s="9">
        <v>25619.09</v>
      </c>
      <c r="C241" s="30">
        <f t="shared" si="239"/>
        <v>3.7096206671766341E-3</v>
      </c>
      <c r="D241" s="9">
        <f t="shared" si="240"/>
        <v>233.89722034046861</v>
      </c>
      <c r="F241" s="23">
        <v>45900</v>
      </c>
      <c r="G241" s="10">
        <v>1302.3331000000001</v>
      </c>
      <c r="H241" s="10">
        <f t="shared" ref="H241" si="263">+G241+$S$148+$S$150+$S$152+$S$154+$S$156+$S$158+$S$160+$S$162</f>
        <v>1415.3598269491308</v>
      </c>
      <c r="I241" s="30">
        <f t="shared" ref="I241" si="264">+(((H241)/H240)-1)/(F241-F240)*30</f>
        <v>5.0030366056023319E-3</v>
      </c>
      <c r="J241" s="24">
        <f t="shared" ref="J241" si="265">+J240*(1+I241)</f>
        <v>235.00219697706964</v>
      </c>
      <c r="K241" s="9">
        <v>6215.6746000000003</v>
      </c>
      <c r="L241" s="30">
        <f t="shared" ref="L241" si="266">+(K241/K240-1)/(F241-F240)*30</f>
        <v>2.9037505072629097E-3</v>
      </c>
      <c r="M241" s="25">
        <f t="shared" ref="M241" si="267">+M240*(1+L241)</f>
        <v>214.95261154782361</v>
      </c>
    </row>
    <row r="242" spans="1:13">
      <c r="A242" s="23">
        <v>45930</v>
      </c>
      <c r="B242" s="9">
        <v>25727.46</v>
      </c>
      <c r="C242" s="30">
        <f t="shared" si="239"/>
        <v>4.230048764417349E-3</v>
      </c>
      <c r="D242" s="9">
        <f t="shared" si="240"/>
        <v>234.88661698837046</v>
      </c>
      <c r="F242" s="23">
        <v>45930</v>
      </c>
      <c r="G242" s="10">
        <v>1309.086</v>
      </c>
      <c r="H242" s="10">
        <f t="shared" ref="H242" si="268">+G242+$S$148+$S$150+$S$152+$S$154+$S$156+$S$158+$S$160+$S$162</f>
        <v>1422.1127269491308</v>
      </c>
      <c r="I242" s="30">
        <f t="shared" ref="I242" si="269">+(((H242)/H241)-1)/(F242-F241)*30</f>
        <v>4.7711542121102735E-3</v>
      </c>
      <c r="J242" s="24">
        <f t="shared" ref="J242" si="270">+J241*(1+I242)</f>
        <v>236.12342869903196</v>
      </c>
      <c r="K242" s="9">
        <v>6232.8398999999999</v>
      </c>
      <c r="L242" s="30">
        <f t="shared" ref="L242" si="271">+(K242/K241-1)/(F242-F241)*30</f>
        <v>2.7616149661373601E-3</v>
      </c>
      <c r="M242" s="25">
        <f t="shared" ref="M242" si="272">+M241*(1+L242)</f>
        <v>215.54622789688437</v>
      </c>
    </row>
    <row r="243" spans="1:13">
      <c r="A243" s="23">
        <v>45961</v>
      </c>
      <c r="B243" s="9">
        <v>25829.5</v>
      </c>
      <c r="C243" s="30">
        <f t="shared" si="239"/>
        <v>3.8382485910687558E-3</v>
      </c>
      <c r="D243" s="9">
        <f t="shared" si="240"/>
        <v>235.81822198931084</v>
      </c>
      <c r="F243" s="23">
        <v>45961</v>
      </c>
      <c r="G243" s="10">
        <v>1316.6351</v>
      </c>
      <c r="H243" s="10">
        <f t="shared" ref="H243" si="273">+G243+$S$148+$S$150+$S$152+$S$154+$S$156+$S$158+$S$160+$S$162</f>
        <v>1429.6618269491307</v>
      </c>
      <c r="I243" s="30">
        <f t="shared" ref="I243" si="274">+(((H243)/H242)-1)/(F243-F242)*30</f>
        <v>5.1371318930771813E-3</v>
      </c>
      <c r="J243" s="24">
        <f t="shared" ref="J243" si="275">+J242*(1+I243)</f>
        <v>237.33642589530447</v>
      </c>
      <c r="K243" s="9">
        <v>6250.6981999999998</v>
      </c>
      <c r="L243" s="30">
        <f t="shared" ref="L243" si="276">+(K243/K242-1)/(F243-F242)*30</f>
        <v>2.7727690882051537E-3</v>
      </c>
      <c r="M243" s="25">
        <f t="shared" ref="M243" si="277">+M242*(1+L243)</f>
        <v>216.14388781467608</v>
      </c>
    </row>
    <row r="244" spans="1:13">
      <c r="A244" s="23">
        <v>45991</v>
      </c>
      <c r="B244" s="9">
        <v>25928.49</v>
      </c>
      <c r="C244" s="30">
        <f t="shared" si="239"/>
        <v>3.8324396523354842E-3</v>
      </c>
      <c r="D244" s="9">
        <f t="shared" si="240"/>
        <v>236.72198109400594</v>
      </c>
      <c r="F244" s="23">
        <v>45991</v>
      </c>
      <c r="G244" s="10">
        <v>1325.434</v>
      </c>
      <c r="H244" s="10">
        <f t="shared" ref="H244:H248" si="278">+G244+$S$148+$S$150+$S$152+$S$154+$S$156+$S$158+$S$160+$S$162</f>
        <v>1438.4607269491307</v>
      </c>
      <c r="I244" s="30">
        <f t="shared" ref="I244:I248" si="279">+(((H244)/H243)-1)/(F244-F243)*30</f>
        <v>6.1545323755176629E-3</v>
      </c>
      <c r="J244" s="24">
        <f t="shared" ref="J244:J248" si="280">+J243*(1+I244)</f>
        <v>238.79712061236677</v>
      </c>
      <c r="K244" s="9">
        <v>6268.1689999999999</v>
      </c>
      <c r="L244" s="30">
        <f t="shared" ref="L244:L248" si="281">+(K244/K243-1)/(F244-F243)*30</f>
        <v>2.7950157631990713E-3</v>
      </c>
      <c r="M244" s="25">
        <f t="shared" ref="M244:M248" si="282">+M243*(1+L244)</f>
        <v>216.74801338823724</v>
      </c>
    </row>
    <row r="245" spans="1:13">
      <c r="A245" s="23">
        <v>46022</v>
      </c>
      <c r="B245" s="99">
        <v>26035.82</v>
      </c>
      <c r="C245" s="30">
        <f t="shared" si="239"/>
        <v>4.0059310023638477E-3</v>
      </c>
      <c r="D245" s="9">
        <f t="shared" si="240"/>
        <v>237.70188274777828</v>
      </c>
      <c r="F245" s="23">
        <v>46022</v>
      </c>
      <c r="G245" s="103">
        <v>1333.7085</v>
      </c>
      <c r="H245" s="10">
        <f t="shared" si="278"/>
        <v>1446.7352269491307</v>
      </c>
      <c r="I245" s="30">
        <f t="shared" si="279"/>
        <v>5.5667704339379398E-3</v>
      </c>
      <c r="J245" s="24">
        <f t="shared" si="280"/>
        <v>240.12644936310122</v>
      </c>
      <c r="K245" s="99">
        <v>6285.9566000000004</v>
      </c>
      <c r="L245" s="30">
        <f t="shared" si="281"/>
        <v>2.7462256444606729E-3</v>
      </c>
      <c r="M245" s="25">
        <f t="shared" si="282"/>
        <v>217.34325234098989</v>
      </c>
    </row>
    <row r="246" spans="1:13">
      <c r="A246" s="23">
        <v>46053</v>
      </c>
      <c r="B246" s="99">
        <v>26136.9</v>
      </c>
      <c r="C246" s="30">
        <f t="shared" si="239"/>
        <v>3.7571067413552559E-3</v>
      </c>
      <c r="D246" s="9">
        <f t="shared" si="240"/>
        <v>238.62472313875293</v>
      </c>
      <c r="F246" s="23">
        <v>46053</v>
      </c>
      <c r="G246" s="103">
        <v>1342.1004</v>
      </c>
      <c r="H246" s="10">
        <f t="shared" si="278"/>
        <v>1455.1271269491308</v>
      </c>
      <c r="I246" s="30">
        <f t="shared" si="279"/>
        <v>5.6134622266114783E-3</v>
      </c>
      <c r="J246" s="24">
        <f t="shared" si="280"/>
        <v>241.47439011621134</v>
      </c>
      <c r="K246" s="99">
        <v>6303.0823</v>
      </c>
      <c r="L246" s="30">
        <f t="shared" si="281"/>
        <v>2.6365530529619398E-3</v>
      </c>
      <c r="M246" s="25">
        <f t="shared" si="282"/>
        <v>217.91628935649021</v>
      </c>
    </row>
    <row r="247" spans="1:13" ht="14.25">
      <c r="A247" s="23">
        <v>46081</v>
      </c>
      <c r="B247" s="100">
        <v>26231.81</v>
      </c>
      <c r="C247" s="30">
        <f t="shared" si="239"/>
        <v>3.8906406541817334E-3</v>
      </c>
      <c r="D247" s="9">
        <f t="shared" si="240"/>
        <v>239.49123265109367</v>
      </c>
      <c r="F247" s="23">
        <v>46081</v>
      </c>
      <c r="G247" s="103">
        <v>1349.7578000000001</v>
      </c>
      <c r="H247" s="10">
        <f t="shared" si="278"/>
        <v>1462.7845269491308</v>
      </c>
      <c r="I247" s="30">
        <f t="shared" si="279"/>
        <v>5.6382408044709197E-3</v>
      </c>
      <c r="J247" s="24">
        <f t="shared" si="280"/>
        <v>242.83588087579926</v>
      </c>
      <c r="K247" s="101">
        <v>6318.4947000000002</v>
      </c>
      <c r="L247" s="30">
        <f t="shared" si="281"/>
        <v>2.6198746785023792E-3</v>
      </c>
      <c r="M247" s="25">
        <f t="shared" si="282"/>
        <v>218.4872027250085</v>
      </c>
    </row>
    <row r="248" spans="1:13">
      <c r="A248" s="23">
        <v>46112</v>
      </c>
      <c r="B248" s="100">
        <v>26333.64</v>
      </c>
      <c r="C248" s="30">
        <f t="shared" si="239"/>
        <v>3.7567045998854547E-3</v>
      </c>
      <c r="D248" s="9">
        <f t="shared" si="240"/>
        <v>240.42092039360404</v>
      </c>
      <c r="F248" s="23">
        <v>46112</v>
      </c>
      <c r="G248" s="104">
        <v>1358.096</v>
      </c>
      <c r="H248" s="10">
        <f t="shared" si="278"/>
        <v>1471.1227269491308</v>
      </c>
      <c r="I248" s="30">
        <f t="shared" si="279"/>
        <v>5.5163461588434151E-3</v>
      </c>
      <c r="J248" s="24">
        <f t="shared" si="280"/>
        <v>244.17544765449784</v>
      </c>
      <c r="K248" s="102">
        <v>6335.4773999999998</v>
      </c>
      <c r="L248" s="30">
        <f t="shared" si="281"/>
        <v>2.6010737917912404E-3</v>
      </c>
      <c r="M248" s="25">
        <f t="shared" si="282"/>
        <v>219.0555040618583</v>
      </c>
    </row>
    <row r="249" spans="1:13">
      <c r="A249" s="23">
        <v>46142</v>
      </c>
      <c r="B249" s="9">
        <v>26432.560000000001</v>
      </c>
      <c r="C249" s="30">
        <f t="shared" ref="C249" si="283">+(B249/B248-1)/(A249-A248)*30</f>
        <v>3.7564119506456883E-3</v>
      </c>
      <c r="D249" s="9">
        <f t="shared" ref="D249" si="284">B249/$B$3*100</f>
        <v>241.3240404121558</v>
      </c>
      <c r="F249" s="23">
        <v>46142</v>
      </c>
      <c r="G249" s="105">
        <v>1366.4585</v>
      </c>
      <c r="H249" s="10">
        <f t="shared" ref="H249" si="285">+G249+$S$148+$S$150+$S$152+$S$154+$S$156+$S$158+$S$160+$S$162</f>
        <v>1479.4852269491307</v>
      </c>
      <c r="I249" s="30">
        <f t="shared" ref="I249" si="286">+(((H249)/H248)-1)/(F249-F248)*30</f>
        <v>5.6844339678867595E-3</v>
      </c>
      <c r="J249" s="24">
        <f t="shared" ref="J249" si="287">+J248*(1+I249)</f>
        <v>245.56344686326904</v>
      </c>
      <c r="K249" s="9">
        <v>6351.9305000000004</v>
      </c>
      <c r="L249" s="30">
        <f t="shared" ref="L249" si="288">+(K249/K248-1)/(F249-F248)*30</f>
        <v>2.5969787217614559E-3</v>
      </c>
      <c r="M249" s="25">
        <f t="shared" ref="M249" si="289">+M248*(1+L249)</f>
        <v>219.62438654479169</v>
      </c>
    </row>
  </sheetData>
  <mergeCells count="11">
    <mergeCell ref="AC87:AC89"/>
    <mergeCell ref="AV29:AV30"/>
    <mergeCell ref="AC60:AC62"/>
    <mergeCell ref="AC63:AC65"/>
    <mergeCell ref="AC66:AC68"/>
    <mergeCell ref="AC69:AC71"/>
    <mergeCell ref="AC84:AC86"/>
    <mergeCell ref="AC81:AC83"/>
    <mergeCell ref="AC78:AC80"/>
    <mergeCell ref="AC75:AC77"/>
    <mergeCell ref="AC72:AC74"/>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0"/>
  <sheetViews>
    <sheetView showGridLines="0" tabSelected="1" topLeftCell="A24" zoomScale="80" zoomScaleNormal="80" workbookViewId="0">
      <selection activeCell="H38" sqref="H38"/>
    </sheetView>
  </sheetViews>
  <sheetFormatPr defaultColWidth="11.42578125" defaultRowHeight="15"/>
  <cols>
    <col min="3" max="3" width="6.28515625" style="7" bestFit="1" customWidth="1"/>
    <col min="4" max="4" width="16.85546875" customWidth="1"/>
    <col min="5" max="12" width="6.140625" bestFit="1" customWidth="1"/>
    <col min="13" max="13" width="6.5703125" bestFit="1" customWidth="1"/>
    <col min="14" max="16" width="6.140625" bestFit="1" customWidth="1"/>
    <col min="17" max="17" width="10.140625" customWidth="1"/>
    <col min="19" max="19" width="18.85546875" bestFit="1" customWidth="1"/>
    <col min="20" max="20" width="9.5703125" bestFit="1" customWidth="1"/>
    <col min="21" max="21" width="11.7109375" bestFit="1" customWidth="1"/>
    <col min="22" max="22" width="11.28515625" bestFit="1" customWidth="1"/>
    <col min="23" max="23" width="7.7109375" bestFit="1" customWidth="1"/>
    <col min="24" max="24" width="12.28515625" customWidth="1"/>
  </cols>
  <sheetData>
    <row r="1" spans="2:24" ht="25.5">
      <c r="C1" s="79"/>
      <c r="D1" s="80"/>
      <c r="E1" s="80"/>
      <c r="F1" s="80"/>
      <c r="G1" s="80"/>
      <c r="H1" s="80"/>
      <c r="I1" s="80"/>
      <c r="J1" s="80"/>
      <c r="K1" s="80"/>
      <c r="L1" s="80"/>
      <c r="M1" s="80"/>
      <c r="N1" s="80"/>
      <c r="O1" s="80"/>
      <c r="P1" s="80"/>
      <c r="Q1" s="80"/>
      <c r="R1" s="80"/>
      <c r="S1" s="84" t="s">
        <v>29</v>
      </c>
      <c r="T1" s="85" t="s">
        <v>30</v>
      </c>
      <c r="U1" s="85" t="s">
        <v>31</v>
      </c>
      <c r="V1" s="85" t="s">
        <v>32</v>
      </c>
      <c r="W1" s="85" t="s">
        <v>33</v>
      </c>
      <c r="X1" s="86" t="s">
        <v>46</v>
      </c>
    </row>
    <row r="2" spans="2:24">
      <c r="C2" s="79"/>
      <c r="D2" s="80"/>
      <c r="E2" s="80"/>
      <c r="F2" s="80"/>
      <c r="G2" s="80"/>
      <c r="H2" s="80"/>
      <c r="I2" s="80"/>
      <c r="J2" s="80"/>
      <c r="K2" s="80"/>
      <c r="L2" s="80"/>
      <c r="M2" s="80"/>
      <c r="N2" s="80"/>
      <c r="O2" s="80"/>
      <c r="P2" s="80"/>
      <c r="Q2" s="80"/>
      <c r="R2" s="80"/>
      <c r="S2" s="82" t="s">
        <v>47</v>
      </c>
      <c r="T2" s="83">
        <f>+'Datos ICP (2)'!AX29</f>
        <v>3.7564119506456883E-3</v>
      </c>
      <c r="U2" s="83">
        <f>+'Datos ICP (2)'!AY29</f>
        <v>1.1311976554220227E-2</v>
      </c>
      <c r="V2" s="83">
        <f>+'Datos ICP (2)'!AZ29</f>
        <v>2.3347722565283835E-2</v>
      </c>
      <c r="W2" s="83">
        <f>+'Datos ICP (2)'!BA29</f>
        <v>4.9016012712382429E-2</v>
      </c>
      <c r="X2" s="83">
        <f>+'Datos ICP (2)'!BB29</f>
        <v>3.393592966266068E-2</v>
      </c>
    </row>
    <row r="3" spans="2:24">
      <c r="C3" s="79"/>
      <c r="D3" s="80"/>
      <c r="E3" s="80"/>
      <c r="F3" s="80"/>
      <c r="G3" s="80"/>
      <c r="H3" s="80"/>
      <c r="I3" s="80"/>
      <c r="J3" s="80"/>
      <c r="K3" s="80"/>
      <c r="L3" s="80"/>
      <c r="M3" s="80"/>
      <c r="N3" s="80"/>
      <c r="O3" s="80"/>
      <c r="P3" s="80"/>
      <c r="Q3" s="80"/>
      <c r="R3" s="80"/>
      <c r="S3" s="82" t="s">
        <v>25</v>
      </c>
      <c r="T3" s="83">
        <f>+'Datos ICP (2)'!AX30</f>
        <v>2.5969787217614559E-3</v>
      </c>
      <c r="U3" s="83">
        <f>+'Datos ICP (2)'!AY30</f>
        <v>7.749890874818588E-3</v>
      </c>
      <c r="V3" s="83">
        <f>+'Datos ICP (2)'!AZ30</f>
        <v>1.6195358784079517E-2</v>
      </c>
      <c r="W3" s="83">
        <f>+'Datos ICP (2)'!BA30</f>
        <v>3.4278770324830177E-2</v>
      </c>
      <c r="X3" s="83">
        <f>+'Datos ICP (2)'!BB30</f>
        <v>2.3249672624455764E-2</v>
      </c>
    </row>
    <row r="4" spans="2:24">
      <c r="C4" s="79"/>
      <c r="D4" s="80"/>
      <c r="E4" s="80"/>
      <c r="F4" s="80"/>
      <c r="G4" s="80"/>
      <c r="H4" s="80"/>
      <c r="I4" s="80"/>
      <c r="J4" s="80"/>
      <c r="K4" s="80"/>
      <c r="L4" s="80"/>
      <c r="M4" s="80"/>
      <c r="N4" s="80"/>
      <c r="O4" s="80"/>
      <c r="P4" s="80"/>
      <c r="Q4" s="80"/>
      <c r="R4" s="80"/>
      <c r="S4" s="82" t="s">
        <v>26</v>
      </c>
      <c r="T4" s="83">
        <f>+'Datos ICP (2)'!AX31</f>
        <v>5.6844339678867595E-3</v>
      </c>
      <c r="U4" s="83">
        <f>+'Datos ICP (2)'!AY31</f>
        <v>1.6739499627822951E-2</v>
      </c>
      <c r="V4" s="83">
        <f>+'Datos ICP (2)'!AZ31</f>
        <v>3.4849779899573941E-2</v>
      </c>
      <c r="W4" s="83">
        <f>+'Datos ICP (2)'!BA31</f>
        <v>6.6231779714750916E-2</v>
      </c>
      <c r="X4" s="83">
        <f>+'Datos ICP (2)'!BB31</f>
        <v>5.0218498883468854E-2</v>
      </c>
    </row>
    <row r="5" spans="2:24">
      <c r="B5" s="8"/>
      <c r="C5" s="79"/>
      <c r="D5" s="80"/>
      <c r="E5" s="80"/>
      <c r="F5" s="80"/>
      <c r="G5" s="80"/>
      <c r="H5" s="80"/>
      <c r="I5" s="80"/>
      <c r="J5" s="80"/>
      <c r="K5" s="80"/>
      <c r="L5" s="80"/>
      <c r="M5" s="80"/>
      <c r="N5" s="80"/>
      <c r="O5" s="80"/>
      <c r="P5" s="80"/>
      <c r="Q5" s="80"/>
      <c r="R5" s="80"/>
      <c r="S5" s="80"/>
      <c r="T5" s="80"/>
      <c r="U5" s="80"/>
      <c r="V5" s="80"/>
      <c r="W5" s="80"/>
      <c r="X5" s="80"/>
    </row>
    <row r="6" spans="2:24" ht="24">
      <c r="B6" s="8"/>
      <c r="C6" s="92" t="s">
        <v>36</v>
      </c>
      <c r="D6" s="93" t="s">
        <v>37</v>
      </c>
      <c r="E6" s="94" t="s">
        <v>4</v>
      </c>
      <c r="F6" s="94" t="s">
        <v>5</v>
      </c>
      <c r="G6" s="94" t="s">
        <v>6</v>
      </c>
      <c r="H6" s="94" t="s">
        <v>7</v>
      </c>
      <c r="I6" s="94" t="s">
        <v>8</v>
      </c>
      <c r="J6" s="94" t="s">
        <v>9</v>
      </c>
      <c r="K6" s="94" t="s">
        <v>10</v>
      </c>
      <c r="L6" s="94" t="s">
        <v>11</v>
      </c>
      <c r="M6" s="94" t="s">
        <v>12</v>
      </c>
      <c r="N6" s="94" t="s">
        <v>13</v>
      </c>
      <c r="O6" s="94" t="s">
        <v>14</v>
      </c>
      <c r="P6" s="94" t="s">
        <v>15</v>
      </c>
      <c r="Q6" s="95" t="s">
        <v>48</v>
      </c>
      <c r="R6" s="81"/>
      <c r="S6" s="80"/>
      <c r="T6" s="80"/>
      <c r="U6" s="80"/>
      <c r="V6" s="80"/>
      <c r="W6" s="80"/>
      <c r="X6" s="80"/>
    </row>
    <row r="7" spans="2:24" ht="6.6" customHeight="1">
      <c r="B7" s="8"/>
      <c r="C7" s="88"/>
      <c r="D7" s="89"/>
      <c r="E7" s="87"/>
      <c r="F7" s="87"/>
      <c r="G7" s="87"/>
      <c r="H7" s="87"/>
      <c r="I7" s="87"/>
      <c r="J7" s="87"/>
      <c r="K7" s="87"/>
      <c r="L7" s="87"/>
      <c r="M7" s="87"/>
      <c r="N7" s="87"/>
      <c r="O7" s="87"/>
      <c r="P7" s="87"/>
      <c r="Q7" s="87"/>
      <c r="R7" s="81"/>
      <c r="S7" s="80"/>
      <c r="T7" s="80"/>
      <c r="U7" s="80"/>
      <c r="V7" s="80"/>
      <c r="W7" s="80"/>
      <c r="X7" s="80"/>
    </row>
    <row r="8" spans="2:24" ht="13.5" customHeight="1">
      <c r="B8" s="8"/>
      <c r="C8" s="90">
        <v>2013</v>
      </c>
      <c r="D8" s="89" t="s">
        <v>3</v>
      </c>
      <c r="E8" s="91">
        <v>4.7208918581720383E-3</v>
      </c>
      <c r="F8" s="91">
        <v>3.8962304837975026E-3</v>
      </c>
      <c r="G8" s="91">
        <v>3.8950743967856027E-3</v>
      </c>
      <c r="H8" s="91">
        <v>4.5881192487038369E-3</v>
      </c>
      <c r="I8" s="91">
        <v>4.3264751130416279E-3</v>
      </c>
      <c r="J8" s="91">
        <v>3.8974733394703254E-3</v>
      </c>
      <c r="K8" s="91">
        <v>4.6128972762127241E-3</v>
      </c>
      <c r="L8" s="91">
        <v>4.1770099093310087E-3</v>
      </c>
      <c r="M8" s="91">
        <v>4.3152323943249637E-3</v>
      </c>
      <c r="N8" s="91">
        <v>4.0907650188917177E-3</v>
      </c>
      <c r="O8" s="91">
        <v>3.9024427877456525E-3</v>
      </c>
      <c r="P8" s="91">
        <v>3.8821496683330015E-3</v>
      </c>
      <c r="Q8" s="91">
        <v>5.1480393340577635E-2</v>
      </c>
      <c r="R8" s="80"/>
      <c r="S8" s="80"/>
      <c r="T8" s="80"/>
      <c r="U8" s="80"/>
      <c r="V8" s="80"/>
      <c r="W8" s="80"/>
      <c r="X8" s="80"/>
    </row>
    <row r="9" spans="2:24" ht="13.5" customHeight="1">
      <c r="B9" s="8"/>
      <c r="C9" s="90">
        <v>2014</v>
      </c>
      <c r="D9" s="89" t="s">
        <v>3</v>
      </c>
      <c r="E9" s="91">
        <v>4.0042919988161341E-3</v>
      </c>
      <c r="F9" s="91">
        <v>3.432358332618346E-3</v>
      </c>
      <c r="G9" s="91">
        <v>3.5497930342753836E-3</v>
      </c>
      <c r="H9" s="91">
        <v>3.3378489992446081E-3</v>
      </c>
      <c r="I9" s="91">
        <v>3.3374356897462043E-3</v>
      </c>
      <c r="J9" s="91">
        <v>3.4491836159078471E-3</v>
      </c>
      <c r="K9" s="91">
        <v>3.3511289837990788E-3</v>
      </c>
      <c r="L9" s="91">
        <v>2.9489802143785049E-3</v>
      </c>
      <c r="M9" s="91">
        <v>2.9682413077145586E-3</v>
      </c>
      <c r="N9" s="91">
        <v>2.6295969209766401E-3</v>
      </c>
      <c r="O9" s="91">
        <v>2.4227108931254016E-3</v>
      </c>
      <c r="P9" s="91">
        <v>2.6711641731489433E-3</v>
      </c>
      <c r="Q9" s="91">
        <v>3.8774075510599859E-2</v>
      </c>
      <c r="R9" s="80"/>
      <c r="S9" s="80"/>
      <c r="T9" s="80"/>
      <c r="U9" s="80"/>
      <c r="V9" s="80"/>
      <c r="W9" s="80"/>
      <c r="X9" s="80"/>
    </row>
    <row r="10" spans="2:24" ht="13.5" customHeight="1">
      <c r="B10" s="8"/>
      <c r="C10" s="90">
        <v>2015</v>
      </c>
      <c r="D10" s="89" t="s">
        <v>3</v>
      </c>
      <c r="E10" s="91">
        <v>2.5891255498666776E-3</v>
      </c>
      <c r="F10" s="91">
        <v>2.3349759427648831E-3</v>
      </c>
      <c r="G10" s="91">
        <v>2.6717559584374939E-3</v>
      </c>
      <c r="H10" s="91">
        <v>2.5049535303691695E-3</v>
      </c>
      <c r="I10" s="91">
        <v>2.4184443772992115E-3</v>
      </c>
      <c r="J10" s="91">
        <v>2.6691540764793853E-3</v>
      </c>
      <c r="K10" s="91">
        <v>2.5846248392549231E-3</v>
      </c>
      <c r="L10" s="91">
        <v>2.5839949176806876E-3</v>
      </c>
      <c r="M10" s="91">
        <v>2.5057257397729238E-3</v>
      </c>
      <c r="N10" s="91">
        <v>2.6027066708762536E-3</v>
      </c>
      <c r="O10" s="91">
        <v>2.8025006376124484E-3</v>
      </c>
      <c r="P10" s="91">
        <v>2.7922804817983593E-3</v>
      </c>
      <c r="Q10" s="91">
        <v>3.1506145181407819E-2</v>
      </c>
      <c r="R10" s="80"/>
      <c r="S10" s="80"/>
      <c r="T10" s="80"/>
      <c r="U10" s="80"/>
      <c r="V10" s="80"/>
      <c r="W10" s="80"/>
      <c r="X10" s="80"/>
    </row>
    <row r="11" spans="2:24" ht="13.5" customHeight="1">
      <c r="B11" s="8"/>
      <c r="C11" s="90">
        <v>2016</v>
      </c>
      <c r="D11" s="89" t="s">
        <v>3</v>
      </c>
      <c r="E11" s="91">
        <v>2.9214384884488354E-3</v>
      </c>
      <c r="F11" s="91">
        <v>3.0180005568223311E-3</v>
      </c>
      <c r="G11" s="91">
        <v>3.0183890916601896E-3</v>
      </c>
      <c r="H11" s="91">
        <v>2.8228468859290423E-3</v>
      </c>
      <c r="I11" s="91">
        <v>3.1161611436594239E-3</v>
      </c>
      <c r="J11" s="91">
        <v>2.9205377918999353E-3</v>
      </c>
      <c r="K11" s="91">
        <v>3.0178932999258556E-3</v>
      </c>
      <c r="L11" s="91">
        <v>3.0181426760478303E-3</v>
      </c>
      <c r="M11" s="91">
        <v>2.9247653385948702E-3</v>
      </c>
      <c r="N11" s="91">
        <v>3.013617796285617E-3</v>
      </c>
      <c r="O11" s="91">
        <v>2.9201880756000165E-3</v>
      </c>
      <c r="P11" s="91">
        <v>3.0401844854939242E-3</v>
      </c>
      <c r="Q11" s="91">
        <v>3.6343837890229658E-2</v>
      </c>
      <c r="R11" s="80"/>
      <c r="S11" s="80"/>
      <c r="T11" s="80"/>
      <c r="U11" s="80"/>
      <c r="V11" s="80"/>
      <c r="W11" s="80"/>
      <c r="X11" s="80"/>
    </row>
    <row r="12" spans="2:24" ht="13.5" customHeight="1">
      <c r="B12" s="8"/>
      <c r="C12" s="90">
        <v>2017</v>
      </c>
      <c r="D12" s="89" t="s">
        <v>3</v>
      </c>
      <c r="E12" s="91">
        <v>2.8965408683991889E-3</v>
      </c>
      <c r="F12" s="91">
        <v>2.5015194138413577E-3</v>
      </c>
      <c r="G12" s="91">
        <v>2.702122042893329E-3</v>
      </c>
      <c r="H12" s="91">
        <v>2.254912855054636E-3</v>
      </c>
      <c r="I12" s="91">
        <v>2.4374684442505234E-3</v>
      </c>
      <c r="J12" s="91">
        <v>2.0872575760926271E-3</v>
      </c>
      <c r="K12" s="91">
        <v>2.1564910664102488E-3</v>
      </c>
      <c r="L12" s="91">
        <v>2.1541097805284348E-3</v>
      </c>
      <c r="M12" s="91">
        <v>2.0825098076344695E-3</v>
      </c>
      <c r="N12" s="91">
        <v>2.1578522613547868E-3</v>
      </c>
      <c r="O12" s="91">
        <v>2.0859580844203585E-3</v>
      </c>
      <c r="P12" s="91">
        <v>9.0276159925450905E-4</v>
      </c>
      <c r="Q12" s="91">
        <v>0</v>
      </c>
      <c r="R12" s="80"/>
      <c r="S12" s="80"/>
      <c r="T12" s="80"/>
      <c r="U12" s="80"/>
      <c r="V12" s="80"/>
      <c r="W12" s="80"/>
      <c r="X12" s="80"/>
    </row>
    <row r="13" spans="2:24" ht="13.5" customHeight="1">
      <c r="B13" s="8"/>
      <c r="C13" s="90">
        <v>2018</v>
      </c>
      <c r="D13" s="89" t="s">
        <v>3</v>
      </c>
      <c r="E13" s="91">
        <v>3.4041238913098404E-3</v>
      </c>
      <c r="F13" s="91">
        <v>1.9421990846071324E-3</v>
      </c>
      <c r="G13" s="91">
        <v>2.154928926859867E-3</v>
      </c>
      <c r="H13" s="91">
        <v>2.0781003652501351E-3</v>
      </c>
      <c r="I13" s="91">
        <v>2.1402939994734638E-3</v>
      </c>
      <c r="J13" s="91">
        <v>2.0877493450983664E-3</v>
      </c>
      <c r="K13" s="91">
        <v>2.1543134072796732E-3</v>
      </c>
      <c r="L13" s="91">
        <v>2.1454146167934063E-3</v>
      </c>
      <c r="M13" s="91">
        <v>2.0485069747047113E-3</v>
      </c>
      <c r="N13" s="91">
        <v>2.2757308386205377E-3</v>
      </c>
      <c r="O13" s="91">
        <v>2.2929957214921082E-3</v>
      </c>
      <c r="P13" s="91">
        <v>2.3676655943918323E-3</v>
      </c>
      <c r="Q13" s="91">
        <v>2.7430166222407459E-2</v>
      </c>
      <c r="R13" s="80"/>
      <c r="S13" s="80"/>
      <c r="T13" s="80"/>
      <c r="U13" s="80"/>
      <c r="V13" s="80"/>
      <c r="W13" s="80"/>
      <c r="X13" s="80"/>
    </row>
    <row r="14" spans="2:24" ht="13.5" customHeight="1">
      <c r="B14" s="8"/>
      <c r="C14" s="90"/>
      <c r="D14" s="89" t="s">
        <v>25</v>
      </c>
      <c r="E14" s="91"/>
      <c r="F14" s="91"/>
      <c r="G14" s="91"/>
      <c r="H14" s="91"/>
      <c r="I14" s="91"/>
      <c r="J14" s="91"/>
      <c r="K14" s="91"/>
      <c r="L14" s="91"/>
      <c r="M14" s="91"/>
      <c r="N14" s="91"/>
      <c r="O14" s="91">
        <v>1.0253323058240227E-3</v>
      </c>
      <c r="P14" s="91">
        <v>1.3472862452700689E-3</v>
      </c>
      <c r="Q14" s="91">
        <v>2.418955555919311E-3</v>
      </c>
      <c r="R14" s="80"/>
      <c r="S14" s="80"/>
      <c r="T14" s="80"/>
      <c r="U14" s="80"/>
      <c r="V14" s="80"/>
      <c r="W14" s="80"/>
      <c r="X14" s="80"/>
    </row>
    <row r="15" spans="2:24" ht="13.5" customHeight="1">
      <c r="B15" s="8"/>
      <c r="C15" s="90"/>
      <c r="D15" s="88" t="s">
        <v>26</v>
      </c>
      <c r="E15" s="91"/>
      <c r="F15" s="91"/>
      <c r="G15" s="91"/>
      <c r="H15" s="91"/>
      <c r="I15" s="91"/>
      <c r="J15" s="91"/>
      <c r="K15" s="91"/>
      <c r="L15" s="91"/>
      <c r="M15" s="91"/>
      <c r="N15" s="91"/>
      <c r="O15" s="91">
        <v>3.4478000000000009E-3</v>
      </c>
      <c r="P15" s="91">
        <v>2.23337987695951E-3</v>
      </c>
      <c r="Q15" s="91">
        <v>5.7635827949027441E-3</v>
      </c>
      <c r="R15" s="80"/>
      <c r="S15" s="80"/>
      <c r="T15" s="80"/>
      <c r="U15" s="80"/>
      <c r="V15" s="80"/>
      <c r="W15" s="80"/>
      <c r="X15" s="80"/>
    </row>
    <row r="16" spans="2:24" ht="13.5" customHeight="1">
      <c r="B16" s="8"/>
      <c r="C16" s="90">
        <v>2019</v>
      </c>
      <c r="D16" s="89" t="s">
        <v>3</v>
      </c>
      <c r="E16" s="91">
        <v>2.4509488917849875E-3</v>
      </c>
      <c r="F16" s="91">
        <v>2.2528627981024396E-3</v>
      </c>
      <c r="G16" s="91">
        <v>2.583315446340162E-3</v>
      </c>
      <c r="H16" s="91">
        <v>2.5004298036095385E-3</v>
      </c>
      <c r="I16" s="91">
        <v>2.5858717030136091E-3</v>
      </c>
      <c r="J16" s="91">
        <v>2.2209647453448333E-3</v>
      </c>
      <c r="K16" s="91">
        <v>2.1468084204265825E-3</v>
      </c>
      <c r="L16" s="91">
        <v>2.1550627640607445E-3</v>
      </c>
      <c r="M16" s="91">
        <v>1.7218390866022837E-3</v>
      </c>
      <c r="N16" s="91">
        <v>1.6715062388068525E-3</v>
      </c>
      <c r="O16" s="91">
        <v>1.4213812856365138E-3</v>
      </c>
      <c r="P16" s="91">
        <v>1.4832905116739514E-3</v>
      </c>
      <c r="Q16" s="91">
        <v>2.5486252445448665E-2</v>
      </c>
      <c r="R16" s="80"/>
      <c r="S16" s="80"/>
      <c r="T16" s="80"/>
      <c r="U16" s="80"/>
      <c r="V16" s="80"/>
      <c r="W16" s="80"/>
      <c r="X16" s="80"/>
    </row>
    <row r="17" spans="2:24" ht="13.5" customHeight="1">
      <c r="B17" s="8"/>
      <c r="C17" s="90"/>
      <c r="D17" s="89" t="s">
        <v>25</v>
      </c>
      <c r="E17" s="91">
        <v>1.321015002584915E-3</v>
      </c>
      <c r="F17" s="91">
        <v>1.3955733355753522E-3</v>
      </c>
      <c r="G17" s="91">
        <v>1.4022137431861147E-3</v>
      </c>
      <c r="H17" s="91">
        <v>1.4166869166138962E-3</v>
      </c>
      <c r="I17" s="91">
        <v>1.3232764368510004E-3</v>
      </c>
      <c r="J17" s="91">
        <v>1.1990712339520204E-3</v>
      </c>
      <c r="K17" s="91">
        <v>1.0036940371863539E-3</v>
      </c>
      <c r="L17" s="91">
        <v>9.3098055061359821E-4</v>
      </c>
      <c r="M17" s="91">
        <v>1.0683167912708402E-3</v>
      </c>
      <c r="N17" s="91">
        <v>6.2931783503544249E-4</v>
      </c>
      <c r="O17" s="91">
        <v>6.917263179451183E-4</v>
      </c>
      <c r="P17" s="91">
        <v>6.004128193114861E-4</v>
      </c>
      <c r="Q17" s="91">
        <v>1.3208385593459049E-2</v>
      </c>
      <c r="R17" s="80"/>
      <c r="S17" s="80"/>
      <c r="T17" s="80"/>
      <c r="U17" s="80"/>
      <c r="V17" s="80"/>
      <c r="W17" s="80"/>
      <c r="X17" s="80"/>
    </row>
    <row r="18" spans="2:24" ht="13.5" customHeight="1">
      <c r="C18" s="90"/>
      <c r="D18" s="88" t="s">
        <v>26</v>
      </c>
      <c r="E18" s="91">
        <v>1.7509084939289793E-3</v>
      </c>
      <c r="F18" s="91">
        <v>1.7394520999606889E-3</v>
      </c>
      <c r="G18" s="91">
        <v>1.8423379148717824E-3</v>
      </c>
      <c r="H18" s="91">
        <v>1.8759017365690411E-3</v>
      </c>
      <c r="I18" s="91">
        <v>2.1231268586599603E-3</v>
      </c>
      <c r="J18" s="91">
        <v>1.9957455558778925E-3</v>
      </c>
      <c r="K18" s="91">
        <v>2.0001038584794456E-3</v>
      </c>
      <c r="L18" s="91">
        <v>1.8023141086607975E-3</v>
      </c>
      <c r="M18" s="91">
        <v>1.1263240715009282E-3</v>
      </c>
      <c r="N18" s="91">
        <v>9.467889806377604E-4</v>
      </c>
      <c r="O18" s="91">
        <v>9.0352367931134658E-4</v>
      </c>
      <c r="P18" s="91">
        <v>1.3269626167495257E-3</v>
      </c>
      <c r="Q18" s="91">
        <v>1.9888570576808373E-2</v>
      </c>
      <c r="R18" s="80"/>
      <c r="S18" s="80"/>
      <c r="T18" s="80"/>
      <c r="U18" s="80"/>
      <c r="V18" s="80"/>
      <c r="W18" s="80"/>
      <c r="X18" s="80"/>
    </row>
    <row r="19" spans="2:24" ht="13.5" customHeight="1">
      <c r="C19" s="90">
        <v>2020</v>
      </c>
      <c r="D19" s="89" t="s">
        <v>3</v>
      </c>
      <c r="E19" s="91">
        <v>1.6558084997462252E-3</v>
      </c>
      <c r="F19" s="91">
        <v>1.3798586141557934E-3</v>
      </c>
      <c r="G19" s="91">
        <v>1.1337054451940887E-3</v>
      </c>
      <c r="H19" s="91">
        <v>4.5638918415802365E-4</v>
      </c>
      <c r="I19" s="91">
        <v>4.5618098808919427E-4</v>
      </c>
      <c r="J19" s="91">
        <v>4.5597298188360114E-4</v>
      </c>
      <c r="K19" s="91">
        <v>4.5576516528234023E-4</v>
      </c>
      <c r="L19" s="91">
        <v>2.708007149561098E-4</v>
      </c>
      <c r="M19" s="91">
        <v>3.8102375065629523E-4</v>
      </c>
      <c r="N19" s="91">
        <f>+'Datos ICP (2)'!AN69</f>
        <v>3.7243810326681448E-4</v>
      </c>
      <c r="O19" s="91">
        <f>+'Datos ICP (2)'!AO69</f>
        <v>3.2958520252091006E-4</v>
      </c>
      <c r="P19" s="91">
        <f>+'Datos ICP (2)'!AP69</f>
        <v>3.9010030849562227E-4</v>
      </c>
      <c r="Q19" s="91">
        <f>+'Datos ICP (2)'!AQ69</f>
        <v>7.7639256787327415E-3</v>
      </c>
      <c r="R19" s="80"/>
      <c r="S19" s="80"/>
      <c r="T19" s="80"/>
      <c r="U19" s="80"/>
      <c r="V19" s="80"/>
      <c r="W19" s="80"/>
      <c r="X19" s="80"/>
    </row>
    <row r="20" spans="2:24" ht="13.5" customHeight="1">
      <c r="C20" s="90"/>
      <c r="D20" s="89" t="s">
        <v>25</v>
      </c>
      <c r="E20" s="91">
        <v>4.9404843891394238E-4</v>
      </c>
      <c r="F20" s="91">
        <v>4.9289128564955866E-4</v>
      </c>
      <c r="G20" s="91">
        <v>9.1798262061139379E-4</v>
      </c>
      <c r="H20" s="91">
        <v>2.2000866331635116E-3</v>
      </c>
      <c r="I20" s="91">
        <v>1.5510543457630094E-4</v>
      </c>
      <c r="J20" s="91">
        <v>1.6024993157248701E-4</v>
      </c>
      <c r="K20" s="91">
        <v>9.6879002422644068E-5</v>
      </c>
      <c r="L20" s="91">
        <v>1.8529460541132214E-4</v>
      </c>
      <c r="M20" s="91">
        <v>7.0870692213009789E-5</v>
      </c>
      <c r="N20" s="91">
        <f>+'Datos ICP (2)'!AN70</f>
        <v>6.5147737962569353E-5</v>
      </c>
      <c r="O20" s="91">
        <f>+'Datos ICP (2)'!AO70</f>
        <v>6.0935890083824162E-5</v>
      </c>
      <c r="P20" s="91">
        <f>+'Datos ICP (2)'!AP70</f>
        <v>5.8670803847292406E-5</v>
      </c>
      <c r="Q20" s="91">
        <f>+'Datos ICP (2)'!AQ70</f>
        <v>5.016879430093768E-3</v>
      </c>
      <c r="R20" s="80"/>
      <c r="S20" s="80"/>
      <c r="T20" s="80"/>
      <c r="U20" s="80"/>
      <c r="V20" s="80"/>
      <c r="W20" s="80"/>
      <c r="X20" s="80"/>
    </row>
    <row r="21" spans="2:24" ht="13.5" customHeight="1">
      <c r="C21" s="90"/>
      <c r="D21" s="88" t="s">
        <v>26</v>
      </c>
      <c r="E21" s="91">
        <v>1.2851064886262773E-3</v>
      </c>
      <c r="F21" s="91">
        <v>6.299783195968646E-4</v>
      </c>
      <c r="G21" s="91">
        <v>6.8370166059059372E-4</v>
      </c>
      <c r="H21" s="91">
        <v>1.3696904716329339E-3</v>
      </c>
      <c r="I21" s="91">
        <v>1.3191835068352314E-3</v>
      </c>
      <c r="J21" s="91">
        <v>1.2723831326844071E-3</v>
      </c>
      <c r="K21" s="91">
        <v>1.1338997766040205E-3</v>
      </c>
      <c r="L21" s="91">
        <v>1.1455843669070805E-3</v>
      </c>
      <c r="M21" s="91">
        <v>1.0861426026471666E-3</v>
      </c>
      <c r="N21" s="91">
        <f>+'Datos ICP (2)'!AN71</f>
        <v>1.1882857965096793E-3</v>
      </c>
      <c r="O21" s="91">
        <f>+'Datos ICP (2)'!AO71</f>
        <v>1.1222865920312852E-3</v>
      </c>
      <c r="P21" s="91">
        <f>+'Datos ICP (2)'!AP71</f>
        <v>2.4355780283393733E-3</v>
      </c>
      <c r="Q21" s="91">
        <f>+'Datos ICP (2)'!AQ71</f>
        <v>1.505895015857428E-2</v>
      </c>
      <c r="R21" s="80"/>
      <c r="S21" s="80"/>
      <c r="T21" s="80"/>
      <c r="U21" s="80"/>
      <c r="V21" s="80"/>
      <c r="W21" s="80"/>
      <c r="X21" s="80"/>
    </row>
    <row r="22" spans="2:24" ht="13.5" customHeight="1">
      <c r="C22" s="90">
        <v>2021</v>
      </c>
      <c r="D22" s="89" t="s">
        <v>3</v>
      </c>
      <c r="E22" s="91">
        <f>+'Datos ICP (2)'!AE72</f>
        <v>2.7190981868452369E-4</v>
      </c>
      <c r="F22" s="91">
        <f>+'Datos ICP (2)'!AF72</f>
        <v>2.391734502720233E-4</v>
      </c>
      <c r="G22" s="91">
        <f>+'Datos ICP (2)'!AG72</f>
        <v>2.591303963113134E-4</v>
      </c>
      <c r="H22" s="91">
        <f>+'Datos ICP (2)'!AH72</f>
        <v>2.943422057235523E-4</v>
      </c>
      <c r="I22" s="91">
        <f>+'Datos ICP (2)'!AI72</f>
        <v>2.4266874558165341E-4</v>
      </c>
      <c r="J22" s="91">
        <f>+'Datos ICP (2)'!AJ72</f>
        <v>2.7260718777788462E-4</v>
      </c>
      <c r="K22" s="91">
        <f>+'Datos ICP (2)'!AK72</f>
        <v>5.0192351401157076E-4</v>
      </c>
      <c r="L22" s="91">
        <f>+'Datos ICP (2)'!AL72</f>
        <v>6.2893015614950976E-4</v>
      </c>
      <c r="M22" s="91">
        <f>+'Datos ICP (2)'!AM72</f>
        <v>1.2476101486305069E-3</v>
      </c>
      <c r="N22" s="91">
        <f>+'Datos ICP (2)'!AN72</f>
        <v>2.0716854607256696E-3</v>
      </c>
      <c r="O22" s="91">
        <f>+'Datos ICP (2)'!AO72</f>
        <v>2.1412569618350918E-3</v>
      </c>
      <c r="P22" s="91">
        <f>+'Datos ICP (2)'!AP72</f>
        <v>3.1851611422883952E-3</v>
      </c>
      <c r="Q22" s="91">
        <f>+'Datos ICP (2)'!AQ72</f>
        <v>1.1410200201508403E-2</v>
      </c>
      <c r="R22" s="80"/>
      <c r="S22" s="80"/>
      <c r="T22" s="80"/>
      <c r="U22" s="80"/>
      <c r="V22" s="80"/>
      <c r="W22" s="80"/>
      <c r="X22" s="80"/>
    </row>
    <row r="23" spans="2:24" ht="13.5" customHeight="1">
      <c r="C23" s="90"/>
      <c r="D23" s="89" t="s">
        <v>25</v>
      </c>
      <c r="E23" s="91">
        <f>+'Datos ICP (2)'!AE73</f>
        <v>4.8294483376269819E-5</v>
      </c>
      <c r="F23" s="91">
        <f>+'Datos ICP (2)'!AF73</f>
        <v>5.8400224380226818E-5</v>
      </c>
      <c r="G23" s="91">
        <f>+'Datos ICP (2)'!AG73</f>
        <v>5.229220020180354E-5</v>
      </c>
      <c r="H23" s="91">
        <f>+'Datos ICP (2)'!AH73</f>
        <v>6.6256868343383957E-5</v>
      </c>
      <c r="I23" s="91">
        <f>+'Datos ICP (2)'!AI73</f>
        <v>5.8141459223029576E-5</v>
      </c>
      <c r="J23" s="91">
        <f>+'Datos ICP (2)'!AJ73</f>
        <v>5.9933297214431747E-5</v>
      </c>
      <c r="K23" s="91">
        <f>+'Datos ICP (2)'!AK73</f>
        <v>5.9888964637381502E-5</v>
      </c>
      <c r="L23" s="91">
        <f>+'Datos ICP (2)'!AL73</f>
        <v>6.0042955155997608E-5</v>
      </c>
      <c r="M23" s="91">
        <f>+'Datos ICP (2)'!AM73</f>
        <v>-1.177670351739657E-4</v>
      </c>
      <c r="N23" s="91">
        <f>+'Datos ICP (2)'!AN73</f>
        <v>9.8934462740187011E-4</v>
      </c>
      <c r="O23" s="91">
        <f>+'Datos ICP (2)'!AO73</f>
        <v>1.2592250239187308E-3</v>
      </c>
      <c r="P23" s="91">
        <f>+'Datos ICP (2)'!AP73</f>
        <v>1.7642827878724863E-3</v>
      </c>
      <c r="Q23" s="91">
        <f>+'Datos ICP (2)'!AQ73</f>
        <v>4.4624510187976085E-3</v>
      </c>
      <c r="R23" s="80"/>
      <c r="S23" s="80"/>
      <c r="T23" s="80"/>
      <c r="U23" s="80"/>
      <c r="V23" s="80"/>
      <c r="W23" s="80"/>
      <c r="X23" s="80"/>
    </row>
    <row r="24" spans="2:24" ht="13.5" customHeight="1">
      <c r="C24" s="90"/>
      <c r="D24" s="88" t="s">
        <v>26</v>
      </c>
      <c r="E24" s="91">
        <f>+'Datos ICP (2)'!AE74</f>
        <v>8.7134660038301257E-4</v>
      </c>
      <c r="F24" s="91">
        <f>+'Datos ICP (2)'!AF74</f>
        <v>8.7069209384298726E-4</v>
      </c>
      <c r="G24" s="91">
        <f>+'Datos ICP (2)'!AG74</f>
        <v>2.2648727193299865E-4</v>
      </c>
      <c r="H24" s="91">
        <f>+'Datos ICP (2)'!AH74</f>
        <v>2.1586548973795416E-4</v>
      </c>
      <c r="I24" s="91">
        <f>+'Datos ICP (2)'!AI74</f>
        <v>1.2257828566220759E-3</v>
      </c>
      <c r="J24" s="91">
        <f>+'Datos ICP (2)'!AJ74</f>
        <v>1.2323060547676512E-3</v>
      </c>
      <c r="K24" s="91">
        <f>+'Datos ICP (2)'!AK74</f>
        <v>1.1118965595859468E-3</v>
      </c>
      <c r="L24" s="91">
        <f>+'Datos ICP (2)'!AL74</f>
        <v>9.7339848246146324E-4</v>
      </c>
      <c r="M24" s="91">
        <f>+'Datos ICP (2)'!AM74</f>
        <v>6.468370992966932E-4</v>
      </c>
      <c r="N24" s="91">
        <f>+'Datos ICP (2)'!AN74</f>
        <v>8.4688139420787962E-4</v>
      </c>
      <c r="O24" s="91">
        <f>+'Datos ICP (2)'!AO74</f>
        <v>1.4457181087037529E-3</v>
      </c>
      <c r="P24" s="91">
        <f>+'Datos ICP (2)'!AP74</f>
        <v>1.6922332954845275E-3</v>
      </c>
      <c r="Q24" s="91">
        <f>+'Datos ICP (2)'!AQ74</f>
        <v>1.1593010116523805E-2</v>
      </c>
      <c r="R24" s="80"/>
      <c r="S24" s="80"/>
      <c r="T24" s="80"/>
      <c r="U24" s="80"/>
      <c r="V24" s="80"/>
      <c r="W24" s="80"/>
      <c r="X24" s="80"/>
    </row>
    <row r="25" spans="2:24" ht="13.5" customHeight="1">
      <c r="C25" s="90">
        <v>2022</v>
      </c>
      <c r="D25" s="89" t="s">
        <v>3</v>
      </c>
      <c r="E25" s="91">
        <f>+'Datos ICP (2)'!AE75</f>
        <v>3.4355541823989366E-3</v>
      </c>
      <c r="F25" s="91">
        <f>+'Datos ICP (2)'!AF75</f>
        <v>4.2862298052634973E-3</v>
      </c>
      <c r="G25" s="91">
        <f>+'Datos ICP (2)'!AG75</f>
        <v>4.8314798442756768E-3</v>
      </c>
      <c r="H25" s="91">
        <f>+'Datos ICP (2)'!AH75</f>
        <v>5.4524358964465058E-3</v>
      </c>
      <c r="I25" s="91">
        <f>+'Datos ICP (2)'!AI75</f>
        <v>7.1131325826505609E-3</v>
      </c>
      <c r="J25" s="91">
        <f>+'Datos ICP (2)'!AJ75</f>
        <v>7.3596364286758753E-3</v>
      </c>
      <c r="K25" s="91">
        <f>+'Datos ICP (2)'!AK75</f>
        <v>7.5893460632852072E-3</v>
      </c>
      <c r="L25" s="91">
        <f>+'Datos ICP (2)'!AL75</f>
        <v>8.9759416728991681E-3</v>
      </c>
      <c r="M25" s="91">
        <f>+'Datos ICP (2)'!AM75</f>
        <v>8.7998364667287721E-3</v>
      </c>
      <c r="N25" s="91">
        <f>+'Datos ICP (2)'!AN75</f>
        <v>8.6030686179809912E-3</v>
      </c>
      <c r="O25" s="91">
        <f>+'Datos ICP (2)'!AO75</f>
        <v>1.036123897948027E-2</v>
      </c>
      <c r="P25" s="91">
        <f>+'Datos ICP (2)'!AP75</f>
        <v>9.416651222412753E-3</v>
      </c>
      <c r="Q25" s="91">
        <f>+'Datos ICP (2)'!AQ75</f>
        <v>8.9685991181348346E-2</v>
      </c>
      <c r="R25" s="80"/>
      <c r="S25" s="80"/>
      <c r="T25" s="80"/>
      <c r="U25" s="80"/>
      <c r="V25" s="80"/>
      <c r="W25" s="80"/>
      <c r="X25" s="80"/>
    </row>
    <row r="26" spans="2:24" ht="13.5" customHeight="1">
      <c r="C26" s="90"/>
      <c r="D26" s="89" t="s">
        <v>25</v>
      </c>
      <c r="E26" s="91">
        <f>+'Datos ICP (2)'!AE76</f>
        <v>2.4887105780919826E-3</v>
      </c>
      <c r="F26" s="91">
        <f>+'Datos ICP (2)'!AF76</f>
        <v>3.5360838485577945E-3</v>
      </c>
      <c r="G26" s="91">
        <f>+'Datos ICP (2)'!AG76</f>
        <v>3.6702644977257191E-3</v>
      </c>
      <c r="H26" s="91">
        <f>+'Datos ICP (2)'!AH76</f>
        <v>4.5716132579094459E-3</v>
      </c>
      <c r="I26" s="91">
        <f>+'Datos ICP (2)'!AI76</f>
        <v>5.3328000823584729E-3</v>
      </c>
      <c r="J26" s="91">
        <f>+'Datos ICP (2)'!AJ76</f>
        <v>5.8835914511081722E-3</v>
      </c>
      <c r="K26" s="91">
        <f>+'Datos ICP (2)'!AK76</f>
        <v>6.3018066910423788E-3</v>
      </c>
      <c r="L26" s="91">
        <f>+'Datos ICP (2)'!AL76</f>
        <v>6.8036664825705234E-3</v>
      </c>
      <c r="M26" s="91">
        <f>+'Datos ICP (2)'!AM76</f>
        <v>7.3357454740365924E-3</v>
      </c>
      <c r="N26" s="91">
        <f>+'Datos ICP (2)'!AN76</f>
        <v>7.7595565631868469E-3</v>
      </c>
      <c r="O26" s="91">
        <f>+'Datos ICP (2)'!AO76</f>
        <v>7.9470951784548823E-3</v>
      </c>
      <c r="P26" s="91">
        <f>+'Datos ICP (2)'!AP76</f>
        <v>7.9281719511867799E-3</v>
      </c>
      <c r="Q26" s="91">
        <f>+'Datos ICP (2)'!AQ76</f>
        <v>7.2716429569050778E-2</v>
      </c>
      <c r="R26" s="80"/>
      <c r="S26" s="80"/>
      <c r="T26" s="80"/>
      <c r="U26" s="80"/>
      <c r="V26" s="80"/>
      <c r="W26" s="80"/>
      <c r="X26" s="80"/>
    </row>
    <row r="27" spans="2:24" ht="13.5" customHeight="1">
      <c r="C27" s="90"/>
      <c r="D27" s="88" t="s">
        <v>26</v>
      </c>
      <c r="E27" s="91">
        <f>+'Datos ICP (2)'!AE77</f>
        <v>2.8231503352001007E-3</v>
      </c>
      <c r="F27" s="91">
        <f>+'Datos ICP (2)'!AF77</f>
        <v>3.8234832635588739E-3</v>
      </c>
      <c r="G27" s="91">
        <f>+'Datos ICP (2)'!AG77</f>
        <v>3.8027703521235864E-3</v>
      </c>
      <c r="H27" s="91">
        <f>+'Datos ICP (2)'!AH77</f>
        <v>6.2620928003536136E-3</v>
      </c>
      <c r="I27" s="91">
        <f>+'Datos ICP (2)'!AI77</f>
        <v>7.38739023340171E-3</v>
      </c>
      <c r="J27" s="91">
        <f>+'Datos ICP (2)'!AJ77</f>
        <v>6.2584514901089516E-3</v>
      </c>
      <c r="K27" s="91">
        <f>+'Datos ICP (2)'!AK77</f>
        <v>6.481786228258242E-3</v>
      </c>
      <c r="L27" s="91">
        <f>+'Datos ICP (2)'!AL77</f>
        <v>7.7993218693549861E-3</v>
      </c>
      <c r="M27" s="91">
        <f>+'Datos ICP (2)'!AM77</f>
        <v>8.1290804673954664E-3</v>
      </c>
      <c r="N27" s="91">
        <f>+'Datos ICP (2)'!AN77</f>
        <v>9.8390745324712856E-3</v>
      </c>
      <c r="O27" s="91">
        <f>+'Datos ICP (2)'!AO77</f>
        <v>8.9727696625050632E-3</v>
      </c>
      <c r="P27" s="91">
        <f>+'Datos ICP (2)'!AP77</f>
        <v>9.4915623861371312E-3</v>
      </c>
      <c r="Q27" s="91">
        <f>+'Datos ICP (2)'!AQ77</f>
        <v>8.5121157008086534E-2</v>
      </c>
      <c r="R27" s="80"/>
      <c r="S27" s="80"/>
      <c r="T27" s="80"/>
      <c r="U27" s="80"/>
      <c r="V27" s="80"/>
      <c r="W27" s="80"/>
      <c r="X27" s="80"/>
    </row>
    <row r="28" spans="2:24" ht="13.5" customHeight="1">
      <c r="C28" s="90"/>
      <c r="D28" s="88" t="s">
        <v>26</v>
      </c>
      <c r="E28" s="91">
        <f>+'Datos ICP (2)'!AE78</f>
        <v>1.004695720110016E-2</v>
      </c>
      <c r="F28" s="91">
        <f>+'Datos ICP (2)'!AF78</f>
        <v>8.7853587137844968E-3</v>
      </c>
      <c r="G28" s="91">
        <f>+'Datos ICP (2)'!AG78</f>
        <v>9.7318177744223355E-3</v>
      </c>
      <c r="H28" s="91">
        <f>+'Datos ICP (2)'!AH78</f>
        <v>8.7852439132070081E-3</v>
      </c>
      <c r="I28" s="91">
        <f>+'Datos ICP (2)'!AI78</f>
        <v>1.036166313630571E-2</v>
      </c>
      <c r="J28" s="91">
        <f>+'Datos ICP (2)'!AJ78</f>
        <v>9.4150701308506335E-3</v>
      </c>
      <c r="K28" s="91">
        <f>+'Datos ICP (2)'!AK78</f>
        <v>9.7315292241744178E-3</v>
      </c>
      <c r="L28" s="91">
        <f>+'Datos ICP (2)'!AL78</f>
        <v>8.8633739513521714E-3</v>
      </c>
      <c r="M28" s="91">
        <f>+'Datos ICP (2)'!AM78</f>
        <v>7.7953451413450559E-3</v>
      </c>
      <c r="N28" s="91">
        <f>+'Datos ICP (2)'!AN78</f>
        <v>8.4601535041790576E-3</v>
      </c>
      <c r="O28" s="91">
        <f>+'Datos ICP (2)'!AO78</f>
        <v>7.5266143106456074E-3</v>
      </c>
      <c r="P28" s="91">
        <f>+'Datos ICP (2)'!AP78</f>
        <v>7.0819499482732695E-3</v>
      </c>
      <c r="Q28" s="91">
        <f>+'Datos ICP (2)'!AQ78</f>
        <v>0.11194279263621576</v>
      </c>
      <c r="R28" s="80"/>
      <c r="S28" s="80"/>
      <c r="T28" s="80"/>
      <c r="U28" s="80"/>
      <c r="V28" s="80"/>
      <c r="W28" s="80"/>
      <c r="X28" s="80"/>
    </row>
    <row r="29" spans="2:24" ht="13.5" customHeight="1">
      <c r="C29" s="90">
        <v>2023</v>
      </c>
      <c r="D29" s="89" t="s">
        <v>3</v>
      </c>
      <c r="E29" s="91">
        <f>+'Datos ICP (2)'!AE78</f>
        <v>1.004695720110016E-2</v>
      </c>
      <c r="F29" s="91">
        <f>+'Datos ICP (2)'!AF78</f>
        <v>8.7853587137844968E-3</v>
      </c>
      <c r="G29" s="91">
        <f>+'Datos ICP (2)'!AG78</f>
        <v>9.7318177744223355E-3</v>
      </c>
      <c r="H29" s="91">
        <f>+'Datos ICP (2)'!AH78</f>
        <v>8.7852439132070081E-3</v>
      </c>
      <c r="I29" s="91">
        <f>+'Datos ICP (2)'!AI78</f>
        <v>1.036166313630571E-2</v>
      </c>
      <c r="J29" s="91">
        <f>+'Datos ICP (2)'!AJ78</f>
        <v>9.4150701308506335E-3</v>
      </c>
      <c r="K29" s="91">
        <f>+'Datos ICP (2)'!AK78</f>
        <v>9.7315292241744178E-3</v>
      </c>
      <c r="L29" s="91">
        <f>+'Datos ICP (2)'!AL78</f>
        <v>8.8633739513521714E-3</v>
      </c>
      <c r="M29" s="91">
        <f>+'Datos ICP (2)'!AM78</f>
        <v>7.7953451413450559E-3</v>
      </c>
      <c r="N29" s="91">
        <f>+'Datos ICP (2)'!AN78</f>
        <v>8.4601535041790576E-3</v>
      </c>
      <c r="O29" s="91">
        <f>+'Datos ICP (2)'!AO78</f>
        <v>7.5266143106456074E-3</v>
      </c>
      <c r="P29" s="91">
        <f>+'Datos ICP (2)'!AP78</f>
        <v>7.0819499482732695E-3</v>
      </c>
      <c r="Q29" s="91">
        <f>+'Datos ICP (2)'!AQ78</f>
        <v>0.11194279263621576</v>
      </c>
      <c r="R29" s="80"/>
      <c r="S29" s="80"/>
      <c r="T29" s="80"/>
      <c r="U29" s="80"/>
      <c r="V29" s="80"/>
      <c r="W29" s="80"/>
      <c r="X29" s="80"/>
    </row>
    <row r="30" spans="2:24" ht="13.5" customHeight="1">
      <c r="C30" s="90"/>
      <c r="D30" s="89" t="s">
        <v>25</v>
      </c>
      <c r="E30" s="91">
        <f>+'Datos ICP (2)'!AE79</f>
        <v>7.9137303338899789E-3</v>
      </c>
      <c r="F30" s="91">
        <f>+'Datos ICP (2)'!AF79</f>
        <v>7.9154666268472455E-3</v>
      </c>
      <c r="G30" s="91">
        <f>+'Datos ICP (2)'!AG79</f>
        <v>7.9455277190181878E-3</v>
      </c>
      <c r="H30" s="91">
        <f>+'Datos ICP (2)'!AH79</f>
        <v>7.9909061585437761E-3</v>
      </c>
      <c r="I30" s="91">
        <f>+'Datos ICP (2)'!AI79</f>
        <v>8.0227967463225077E-3</v>
      </c>
      <c r="J30" s="91">
        <f>+'Datos ICP (2)'!AJ79</f>
        <v>8.0028913540715063E-3</v>
      </c>
      <c r="K30" s="91">
        <f>+'Datos ICP (2)'!AK79</f>
        <v>7.9398117033956418E-3</v>
      </c>
      <c r="L30" s="91">
        <f>+'Datos ICP (2)'!AL79</f>
        <v>7.3512441107239221E-3</v>
      </c>
      <c r="M30" s="91">
        <f>+'Datos ICP (2)'!AM79</f>
        <v>6.7847871299051565E-3</v>
      </c>
      <c r="N30" s="91">
        <f>+'Datos ICP (2)'!AN79</f>
        <v>6.4607595250783471E-3</v>
      </c>
      <c r="O30" s="91">
        <f>+'Datos ICP (2)'!AO79</f>
        <v>6.1695672319295181E-3</v>
      </c>
      <c r="P30" s="91">
        <f>+'Datos ICP (2)'!AP79</f>
        <v>5.9047276102804306E-3</v>
      </c>
      <c r="Q30" s="91">
        <f>+'Datos ICP (2)'!AQ79</f>
        <v>9.364840576365796E-2</v>
      </c>
      <c r="R30" s="80"/>
      <c r="S30" s="80"/>
      <c r="T30" s="80"/>
      <c r="U30" s="80"/>
      <c r="V30" s="80"/>
      <c r="W30" s="80"/>
      <c r="X30" s="80"/>
    </row>
    <row r="31" spans="2:24" ht="13.5" customHeight="1">
      <c r="C31" s="90"/>
      <c r="D31" s="88" t="s">
        <v>26</v>
      </c>
      <c r="E31" s="91">
        <f>+'Datos ICP (2)'!AE80</f>
        <v>9.5714540245422225E-3</v>
      </c>
      <c r="F31" s="91">
        <f>+'Datos ICP (2)'!AF80</f>
        <v>8.8354488405561257E-3</v>
      </c>
      <c r="G31" s="91">
        <f>+'Datos ICP (2)'!AG80</f>
        <v>9.5759037911854212E-3</v>
      </c>
      <c r="H31" s="91">
        <f>+'Datos ICP (2)'!AH80</f>
        <v>9.8699126523715819E-3</v>
      </c>
      <c r="I31" s="91">
        <f>+'Datos ICP (2)'!AI80</f>
        <v>9.6159079900944161E-3</v>
      </c>
      <c r="J31" s="91">
        <f>+'Datos ICP (2)'!AJ80</f>
        <v>9.740116172683555E-3</v>
      </c>
      <c r="K31" s="91">
        <f>+'Datos ICP (2)'!AK80</f>
        <v>9.6433718198763625E-3</v>
      </c>
      <c r="L31" s="91">
        <f>+'Datos ICP (2)'!AL80</f>
        <v>9.4434399625291515E-3</v>
      </c>
      <c r="M31" s="91">
        <f>+'Datos ICP (2)'!AM80</f>
        <v>9.2877967637430281E-3</v>
      </c>
      <c r="N31" s="91">
        <f>+'Datos ICP (2)'!AN80</f>
        <v>8.5040688259147203E-3</v>
      </c>
      <c r="O31" s="91">
        <f>+'Datos ICP (2)'!AO80</f>
        <v>7.6744178245491401E-3</v>
      </c>
      <c r="P31" s="91">
        <f>+'Datos ICP (2)'!AP80</f>
        <v>7.6954274064013469E-3</v>
      </c>
      <c r="Q31" s="91">
        <f>+'Datos ICP (2)'!AQ80</f>
        <v>0.11715764540072482</v>
      </c>
      <c r="R31" s="80"/>
      <c r="S31" s="80"/>
      <c r="T31" s="80"/>
      <c r="U31" s="80"/>
      <c r="V31" s="80"/>
      <c r="W31" s="80"/>
      <c r="X31" s="80"/>
    </row>
    <row r="32" spans="2:24">
      <c r="C32" s="90">
        <v>2024</v>
      </c>
      <c r="D32" s="89" t="s">
        <v>3</v>
      </c>
      <c r="E32" s="91">
        <f>+'Datos ICP (2)'!AE81</f>
        <v>7.3572253241631635E-3</v>
      </c>
      <c r="F32" s="91">
        <f>+'Datos ICP (2)'!AF81</f>
        <v>6.1121391206355735E-3</v>
      </c>
      <c r="G32" s="91">
        <f>+'Datos ICP (2)'!AG81</f>
        <v>5.6473517140609442E-3</v>
      </c>
      <c r="H32" s="91">
        <f>+'Datos ICP (2)'!AH81</f>
        <v>6.0927839618283297E-3</v>
      </c>
      <c r="I32" s="91">
        <f>+'Datos ICP (2)'!AI81</f>
        <v>5.5141192903180869E-3</v>
      </c>
      <c r="J32" s="91">
        <f>+'Datos ICP (2)'!AJ81</f>
        <v>4.6135490632155385E-3</v>
      </c>
      <c r="K32" s="91">
        <f>+'Datos ICP (2)'!AK81</f>
        <v>5.2843503528434699E-3</v>
      </c>
      <c r="L32" s="91">
        <f>+'Datos ICP (2)'!AL81</f>
        <v>4.8023520375928275E-3</v>
      </c>
      <c r="M32" s="91">
        <f>+'Datos ICP (2)'!AM81</f>
        <v>4.7810434954138614E-3</v>
      </c>
      <c r="N32" s="91">
        <f>+'Datos ICP (2)'!AN81</f>
        <v>4.510440516418468E-3</v>
      </c>
      <c r="O32" s="91">
        <f>+'Datos ICP (2)'!AO81</f>
        <v>4.3843255475723986E-3</v>
      </c>
      <c r="P32" s="91">
        <f>+'Datos ICP (2)'!AP81</f>
        <v>4.4462641732778696E-3</v>
      </c>
      <c r="Q32" s="91">
        <f>+'Datos ICP (2)'!AQ81</f>
        <v>6.5425125934971851E-2</v>
      </c>
      <c r="R32" s="80"/>
      <c r="S32" s="80"/>
      <c r="T32" s="80"/>
      <c r="U32" s="80"/>
      <c r="V32" s="80"/>
      <c r="W32" s="80"/>
      <c r="X32" s="80"/>
    </row>
    <row r="33" spans="3:17">
      <c r="C33" s="90"/>
      <c r="D33" s="89" t="s">
        <v>25</v>
      </c>
      <c r="E33" s="91">
        <f>+'Datos ICP (2)'!AE82</f>
        <v>5.6825126629855838E-3</v>
      </c>
      <c r="F33" s="91">
        <f>+'Datos ICP (2)'!AF82</f>
        <v>5.2602525212990022E-3</v>
      </c>
      <c r="G33" s="91">
        <f>+'Datos ICP (2)'!AG82</f>
        <v>4.306596342454643E-3</v>
      </c>
      <c r="H33" s="91">
        <f>+'Datos ICP (2)'!AH82</f>
        <v>4.7201240336098849E-3</v>
      </c>
      <c r="I33" s="91">
        <f>+'Datos ICP (2)'!AI82</f>
        <v>4.0333517960835794E-3</v>
      </c>
      <c r="J33" s="91">
        <f>+'Datos ICP (2)'!AJ82</f>
        <v>3.6501931277677091E-3</v>
      </c>
      <c r="K33" s="91">
        <f>+'Datos ICP (2)'!AK82</f>
        <v>3.516896201691893E-3</v>
      </c>
      <c r="L33" s="91">
        <f>+'Datos ICP (2)'!AL82</f>
        <v>3.5106478218695273E-3</v>
      </c>
      <c r="M33" s="91">
        <f>+'Datos ICP (2)'!AM82</f>
        <v>3.3754452875442986E-3</v>
      </c>
      <c r="N33" s="91">
        <f>+'Datos ICP (2)'!AN82</f>
        <v>3.3007867700120667E-3</v>
      </c>
      <c r="O33" s="91">
        <f>+'Datos ICP (2)'!AO82</f>
        <v>3.220374604913312E-3</v>
      </c>
      <c r="P33" s="91">
        <f>+'Datos ICP (2)'!AP82</f>
        <v>3.1256670019151563E-3</v>
      </c>
      <c r="Q33" s="91">
        <f>+'Datos ICP (2)'!AQ82</f>
        <v>4.9529562919770731E-2</v>
      </c>
    </row>
    <row r="34" spans="3:17">
      <c r="C34" s="90"/>
      <c r="D34" s="88" t="s">
        <v>26</v>
      </c>
      <c r="E34" s="91">
        <f>+'Datos ICP (2)'!AE83</f>
        <v>8.1942860667891162E-3</v>
      </c>
      <c r="F34" s="91">
        <f>+'Datos ICP (2)'!AF83</f>
        <v>6.8318939471318143E-3</v>
      </c>
      <c r="G34" s="91">
        <f>+'Datos ICP (2)'!AG83</f>
        <v>5.6081735236816893E-3</v>
      </c>
      <c r="H34" s="91">
        <f>+'Datos ICP (2)'!AH83</f>
        <v>6.6256667335782282E-3</v>
      </c>
      <c r="I34" s="91">
        <f>+'Datos ICP (2)'!AI83</f>
        <v>6.5292387566348144E-3</v>
      </c>
      <c r="J34" s="91">
        <f>+'Datos ICP (2)'!AJ83</f>
        <v>6.096592348990848E-3</v>
      </c>
      <c r="K34" s="91">
        <f>+'Datos ICP (2)'!AK83</f>
        <v>4.2504468656643793E-3</v>
      </c>
      <c r="L34" s="91">
        <f>+'Datos ICP (2)'!AL83</f>
        <v>4.3477666087477652E-3</v>
      </c>
      <c r="M34" s="91">
        <f>+'Datos ICP (2)'!AM83</f>
        <v>4.8964435694469621E-3</v>
      </c>
      <c r="N34" s="91">
        <f>+'Datos ICP (2)'!AN83</f>
        <v>4.4175325566452352E-3</v>
      </c>
      <c r="O34" s="91">
        <f>+'Datos ICP (2)'!AO83</f>
        <v>4.6963561288861921E-3</v>
      </c>
      <c r="P34" s="91">
        <f>+'Datos ICP (2)'!AP83</f>
        <v>4.4728529040604492E-3</v>
      </c>
      <c r="Q34" s="91">
        <f>+'Datos ICP (2)'!AQ83</f>
        <v>7.0150649828295331E-2</v>
      </c>
    </row>
    <row r="35" spans="3:17">
      <c r="C35" s="90">
        <v>2025</v>
      </c>
      <c r="D35" s="89" t="s">
        <v>3</v>
      </c>
      <c r="E35" s="91">
        <f>+'Datos ICP (2)'!AE84</f>
        <v>4.4544301743754122E-3</v>
      </c>
      <c r="F35" s="91">
        <f>+'Datos ICP (2)'!AF84</f>
        <v>3.8962630509944418E-3</v>
      </c>
      <c r="G35" s="91">
        <f>+'Datos ICP (2)'!AG84</f>
        <v>4.3138020854180947E-3</v>
      </c>
      <c r="H35" s="91">
        <f>+'Datos ICP (2)'!AH84</f>
        <v>4.175716443427735E-3</v>
      </c>
      <c r="I35" s="91">
        <f>+'Datos ICP (2)'!AI84</f>
        <v>4.1742269465041559E-3</v>
      </c>
      <c r="J35" s="91">
        <f>+'Datos ICP (2)'!AJ84</f>
        <v>4.3145661365249222E-3</v>
      </c>
      <c r="K35" s="91">
        <f>+'Datos ICP (2)'!AK84</f>
        <v>4.3062620834468657E-3</v>
      </c>
      <c r="L35" s="91">
        <f>+'Datos ICP (2)'!AL84</f>
        <v>3.8332746894158554E-3</v>
      </c>
      <c r="M35" s="91">
        <f>+'Datos ICP (2)'!AM84</f>
        <v>4.230048764417349E-3</v>
      </c>
      <c r="N35" s="91">
        <f>+'Datos ICP (2)'!AN84</f>
        <v>3.9661902107710478E-3</v>
      </c>
      <c r="O35" s="91">
        <f>+'Datos ICP (2)'!AO84</f>
        <v>3.8324396523354842E-3</v>
      </c>
      <c r="P35" s="91">
        <f>+'Datos ICP (2)'!AP84</f>
        <v>4.1394620357759759E-3</v>
      </c>
      <c r="Q35" s="91">
        <f>+'Datos ICP (2)'!AQ84</f>
        <v>4.6121516637569471E-2</v>
      </c>
    </row>
    <row r="36" spans="3:17">
      <c r="C36" s="90"/>
      <c r="D36" s="89" t="s">
        <v>25</v>
      </c>
      <c r="E36" s="91">
        <f>+'Datos ICP (2)'!AE85</f>
        <v>2.9227841942386906E-3</v>
      </c>
      <c r="F36" s="91">
        <f>+'Datos ICP (2)'!AF85</f>
        <v>2.9594332610154745E-3</v>
      </c>
      <c r="G36" s="91">
        <f>+'Datos ICP (2)'!AG85</f>
        <v>2.9640260547417283E-3</v>
      </c>
      <c r="H36" s="91">
        <f>+'Datos ICP (2)'!AH85</f>
        <v>2.975949685819046E-3</v>
      </c>
      <c r="I36" s="91">
        <f>+'Datos ICP (2)'!AI85</f>
        <v>2.9900927639951859E-3</v>
      </c>
      <c r="J36" s="91">
        <f>+'Datos ICP (2)'!AJ85</f>
        <v>2.9970524574272073E-3</v>
      </c>
      <c r="K36" s="91">
        <f>+'Datos ICP (2)'!AK85</f>
        <v>2.8553705108841547E-3</v>
      </c>
      <c r="L36" s="91">
        <f>+'Datos ICP (2)'!AL85</f>
        <v>2.9037505072629097E-3</v>
      </c>
      <c r="M36" s="91">
        <f>+'Datos ICP (2)'!AM85</f>
        <v>2.7616149661373601E-3</v>
      </c>
      <c r="N36" s="91">
        <f>+'Datos ICP (2)'!AN85</f>
        <v>2.7727690882051537E-3</v>
      </c>
      <c r="O36" s="91">
        <f>+'Datos ICP (2)'!AO85</f>
        <v>2.7950157631990713E-3</v>
      </c>
      <c r="P36" s="91">
        <f>+'Datos ICP (2)'!AP85</f>
        <v>2.7462256444606729E-3</v>
      </c>
      <c r="Q36" s="91">
        <f>+'Datos ICP (2)'!AQ85</f>
        <v>3.2570786205744717E-2</v>
      </c>
    </row>
    <row r="37" spans="3:17">
      <c r="C37" s="90"/>
      <c r="D37" s="88" t="s">
        <v>26</v>
      </c>
      <c r="E37" s="91">
        <f>+'Datos ICP (2)'!AE86</f>
        <v>2.8711770673523827E-3</v>
      </c>
      <c r="F37" s="91">
        <f>+'Datos ICP (2)'!AF86</f>
        <v>4.345846177388122E-3</v>
      </c>
      <c r="G37" s="91">
        <f>+'Datos ICP (2)'!AG86</f>
        <v>4.0766646027798606E-3</v>
      </c>
      <c r="H37" s="91">
        <f>+'Datos ICP (2)'!AH86</f>
        <v>4.1658626977751911E-3</v>
      </c>
      <c r="I37" s="91">
        <f>+'Datos ICP (2)'!AI86</f>
        <v>4.2954706387573942E-3</v>
      </c>
      <c r="J37" s="91">
        <f>+'Datos ICP (2)'!AJ86</f>
        <v>5.3025591012143547E-3</v>
      </c>
      <c r="K37" s="91">
        <f>+'Datos ICP (2)'!AK86</f>
        <v>4.7987447939667662E-3</v>
      </c>
      <c r="L37" s="91">
        <f>+'Datos ICP (2)'!AL86</f>
        <v>5.0030366056023319E-3</v>
      </c>
      <c r="M37" s="91">
        <f>+'Datos ICP (2)'!AM86</f>
        <v>4.7711542121102735E-3</v>
      </c>
      <c r="N37" s="91">
        <f>+'Datos ICP (2)'!AN86</f>
        <v>5.1371318930771813E-3</v>
      </c>
      <c r="O37" s="91">
        <f>+'Datos ICP (2)'!AO86</f>
        <v>6.1545323755176629E-3</v>
      </c>
      <c r="P37" s="91">
        <f>+'Datos ICP (2)'!AP86</f>
        <v>5.5667704339379398E-3</v>
      </c>
      <c r="Q37" s="91">
        <f>+'Datos ICP (2)'!AQ86</f>
        <v>6.1771380774229279E-2</v>
      </c>
    </row>
    <row r="38" spans="3:17">
      <c r="C38" s="90">
        <v>2026</v>
      </c>
      <c r="D38" s="89" t="s">
        <v>3</v>
      </c>
      <c r="E38" s="91">
        <f>+'Datos ICP (2)'!AE87</f>
        <v>3.8823436327337646E-3</v>
      </c>
      <c r="F38" s="91">
        <f>+'Datos ICP (2)'!AF87</f>
        <v>3.6312646105696178E-3</v>
      </c>
      <c r="G38" s="91">
        <f>+'Datos ICP (2)'!AG87</f>
        <v>3.881928086548303E-3</v>
      </c>
      <c r="H38" s="91">
        <f>+'Datos ICP (2)'!AH87</f>
        <v>3.7564119506456883E-3</v>
      </c>
      <c r="I38" s="91"/>
      <c r="J38" s="91"/>
      <c r="K38" s="91"/>
      <c r="L38" s="91"/>
      <c r="M38" s="91"/>
      <c r="N38" s="91"/>
      <c r="O38" s="91"/>
      <c r="P38" s="91"/>
      <c r="Q38" s="91">
        <f>+'Datos ICP (2)'!AQ87</f>
        <v>3.393592966266068E-2</v>
      </c>
    </row>
    <row r="39" spans="3:17">
      <c r="C39" s="90"/>
      <c r="D39" s="89" t="s">
        <v>25</v>
      </c>
      <c r="E39" s="91">
        <f>+'Datos ICP (2)'!AE88</f>
        <v>2.6365530529619398E-3</v>
      </c>
      <c r="F39" s="91">
        <f>+'Datos ICP (2)'!AF88</f>
        <v>2.6198746785023792E-3</v>
      </c>
      <c r="G39" s="91">
        <f>+'Datos ICP (2)'!AG88</f>
        <v>2.6010737917912404E-3</v>
      </c>
      <c r="H39" s="91">
        <f>+'Datos ICP (2)'!AH88</f>
        <v>2.5969787217614559E-3</v>
      </c>
      <c r="I39" s="91"/>
      <c r="J39" s="91"/>
      <c r="K39" s="91"/>
      <c r="L39" s="91"/>
      <c r="M39" s="91"/>
      <c r="N39" s="91"/>
      <c r="O39" s="91"/>
      <c r="P39" s="91"/>
      <c r="Q39" s="91">
        <f>+'Datos ICP (2)'!AQ88</f>
        <v>2.3249672624455764E-2</v>
      </c>
    </row>
    <row r="40" spans="3:17">
      <c r="C40" s="90"/>
      <c r="D40" s="88" t="s">
        <v>26</v>
      </c>
      <c r="E40" s="91">
        <f>+'Datos ICP (2)'!AE89</f>
        <v>5.6134622266114783E-3</v>
      </c>
      <c r="F40" s="91">
        <f>+'Datos ICP (2)'!AF89</f>
        <v>5.6382408044709197E-3</v>
      </c>
      <c r="G40" s="91">
        <f>+'Datos ICP (2)'!AG89</f>
        <v>5.5163461588434151E-3</v>
      </c>
      <c r="H40" s="91">
        <f>+'Datos ICP (2)'!AH89</f>
        <v>5.6844339678867595E-3</v>
      </c>
      <c r="I40" s="91"/>
      <c r="J40" s="91"/>
      <c r="K40" s="91"/>
      <c r="L40" s="91"/>
      <c r="M40" s="91"/>
      <c r="N40" s="91"/>
      <c r="O40" s="91"/>
      <c r="P40" s="91"/>
      <c r="Q40" s="91">
        <f>+'Datos ICP (2)'!AQ89</f>
        <v>5.0218498883468854E-2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I1" zoomScaleNormal="100" workbookViewId="0">
      <selection activeCell="P9" sqref="P9"/>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9" bestFit="1" customWidth="1"/>
    <col min="19" max="19" width="28.7109375" customWidth="1"/>
  </cols>
  <sheetData>
    <row r="1" spans="1:20">
      <c r="B1" s="3"/>
      <c r="C1" s="1"/>
      <c r="J1" s="2" t="s">
        <v>49</v>
      </c>
      <c r="K1" s="3"/>
      <c r="L1" s="4"/>
      <c r="N1" s="2" t="s">
        <v>50</v>
      </c>
      <c r="O1" s="3"/>
      <c r="P1" s="4"/>
      <c r="R1" s="2" t="s">
        <v>51</v>
      </c>
      <c r="S1" s="3"/>
      <c r="T1" s="4"/>
    </row>
    <row r="2" spans="1:20">
      <c r="C2" s="1"/>
      <c r="O2" s="96" t="s">
        <v>52</v>
      </c>
      <c r="P2" s="97">
        <v>0</v>
      </c>
    </row>
    <row r="3" spans="1:20">
      <c r="C3" s="1"/>
      <c r="K3" s="96" t="s">
        <v>53</v>
      </c>
      <c r="L3" s="97">
        <v>0.62160000000000004</v>
      </c>
      <c r="O3" s="96" t="s">
        <v>54</v>
      </c>
      <c r="P3" s="97">
        <v>0</v>
      </c>
      <c r="S3" s="96" t="s">
        <v>55</v>
      </c>
      <c r="T3" s="97">
        <v>1</v>
      </c>
    </row>
    <row r="4" spans="1:20">
      <c r="C4" s="1"/>
      <c r="K4" s="96" t="s">
        <v>56</v>
      </c>
      <c r="L4" s="97">
        <v>0.25540000000000002</v>
      </c>
      <c r="O4" s="96" t="s">
        <v>57</v>
      </c>
      <c r="P4" s="97">
        <v>0</v>
      </c>
      <c r="S4" s="96" t="s">
        <v>58</v>
      </c>
      <c r="T4" s="97">
        <v>0</v>
      </c>
    </row>
    <row r="5" spans="1:20">
      <c r="A5" s="3"/>
      <c r="B5" s="3"/>
      <c r="C5" s="1"/>
      <c r="K5" s="96" t="s">
        <v>59</v>
      </c>
      <c r="L5" s="97">
        <v>0.123</v>
      </c>
      <c r="O5" s="96" t="s">
        <v>60</v>
      </c>
      <c r="P5" s="97">
        <v>0.34300000000000003</v>
      </c>
    </row>
    <row r="6" spans="1:20">
      <c r="A6" s="3"/>
      <c r="B6" s="3"/>
      <c r="C6" s="1"/>
      <c r="K6" s="96" t="s">
        <v>61</v>
      </c>
      <c r="L6" s="97">
        <v>0</v>
      </c>
      <c r="O6" s="96" t="s">
        <v>62</v>
      </c>
      <c r="P6" s="97">
        <v>0.64139999999999997</v>
      </c>
    </row>
    <row r="7" spans="1:20">
      <c r="B7" s="3"/>
      <c r="C7" s="1"/>
      <c r="L7" s="75">
        <f>SUM(L3:L6)</f>
        <v>1</v>
      </c>
      <c r="O7" s="96" t="s">
        <v>63</v>
      </c>
      <c r="P7" s="97">
        <v>0</v>
      </c>
    </row>
    <row r="8" spans="1:20">
      <c r="C8" s="1"/>
      <c r="O8" s="96" t="s">
        <v>64</v>
      </c>
      <c r="P8" s="97">
        <v>1.5599999999999999E-2</v>
      </c>
    </row>
    <row r="9" spans="1:20">
      <c r="C9" s="1"/>
      <c r="O9" s="96" t="s">
        <v>65</v>
      </c>
      <c r="P9" s="97">
        <v>0</v>
      </c>
    </row>
    <row r="10" spans="1:20">
      <c r="C10" s="1"/>
      <c r="O10" s="96" t="s">
        <v>66</v>
      </c>
      <c r="P10" s="97">
        <v>0</v>
      </c>
    </row>
    <row r="11" spans="1:20">
      <c r="C11" s="1"/>
      <c r="O11" s="96" t="s">
        <v>67</v>
      </c>
      <c r="P11" s="97">
        <v>0</v>
      </c>
    </row>
    <row r="12" spans="1:20" hidden="1">
      <c r="C12" s="1"/>
      <c r="O12" s="96"/>
      <c r="P12" s="97"/>
    </row>
    <row r="13" spans="1:20">
      <c r="C13" s="1"/>
      <c r="O13" s="96" t="s">
        <v>68</v>
      </c>
      <c r="P13" s="97">
        <v>0</v>
      </c>
    </row>
    <row r="14" spans="1:20" hidden="1">
      <c r="A14" s="3" t="s">
        <v>69</v>
      </c>
      <c r="B14" s="5">
        <v>0</v>
      </c>
      <c r="C14" s="1"/>
    </row>
    <row r="15" spans="1:20">
      <c r="A15" s="3"/>
      <c r="B15" s="5"/>
      <c r="C15" s="1"/>
      <c r="P15" s="72">
        <f>SUM(P2:P14)</f>
        <v>0.99999999999999989</v>
      </c>
    </row>
    <row r="16" spans="1:20">
      <c r="B16" s="3"/>
      <c r="C16" s="1"/>
    </row>
    <row r="17" spans="1:14">
      <c r="C17" s="1"/>
    </row>
    <row r="18" spans="1:14">
      <c r="C18" s="1"/>
    </row>
    <row r="19" spans="1:14">
      <c r="C19" s="1"/>
    </row>
    <row r="20" spans="1:14">
      <c r="C20" s="1"/>
    </row>
    <row r="21" spans="1:14">
      <c r="C21" s="1"/>
      <c r="N21" s="6"/>
    </row>
    <row r="22" spans="1:14">
      <c r="A22" s="1"/>
      <c r="B22" s="1"/>
      <c r="C22" s="1"/>
    </row>
    <row r="23" spans="1:14">
      <c r="A23" s="1"/>
      <c r="B23" s="1"/>
      <c r="C23" s="1"/>
    </row>
    <row r="24" spans="1:14">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2026-05-12T18:08:44Z</dcterms:modified>
  <cp:category/>
  <cp:contentStatus/>
</cp:coreProperties>
</file>