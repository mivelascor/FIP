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260" yWindow="-16320" windowWidth="29040" windowHeight="15720" tabRatio="600" firstSheet="0"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_ * #,##0.00_ ;_ * \-#,##0.00_ ;_ * &quot;-&quot;_ ;_ @_ "/>
    <numFmt numFmtId="168" formatCode="dd\-mm\-yyyy"/>
    <numFmt numFmtId="169" formatCode="0.000%"/>
    <numFmt numFmtId="170" formatCode="0.000"/>
    <numFmt numFmtId="171" formatCode="yyyy-mm-dd h:mm:ss"/>
    <numFmt numFmtId="172" formatCode="_ * #,##0_ ;_ * \-#,##0_ ;_ * &quot;-&quot;_ ;_ @_ "/>
  </numFmts>
  <fonts count="33">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b val="1"/>
      <color theme="1"/>
      <sz val="7"/>
    </font>
    <font>
      <name val="Be Vietnam Pro Light"/>
      <color theme="1"/>
      <sz val="11"/>
    </font>
    <font>
      <name val="Be Vietnam Pro Light"/>
      <color theme="1"/>
      <sz val="10"/>
    </font>
    <font>
      <name val="Be Vietnam Pro Medium"/>
      <color theme="1"/>
      <sz val="10"/>
    </font>
    <font>
      <name val="Be Vietnam Pro Light"/>
      <color theme="1"/>
      <sz val="9"/>
    </font>
    <font>
      <name val="Be Vietnam Pro Light"/>
      <color theme="1"/>
      <sz val="8"/>
    </font>
    <font>
      <name val="Be Vietnam Pro Medium"/>
      <color theme="1"/>
      <sz val="9"/>
    </font>
    <font>
      <name val="Be Vietnam Pro Light"/>
      <color theme="0"/>
      <sz val="9"/>
    </font>
    <font>
      <name val="Aileron Light"/>
      <family val="3"/>
      <color rgb="FF000000"/>
      <sz val="11"/>
    </font>
    <font>
      <name val="Aptos Narrow"/>
      <color rgb="FF000000"/>
      <sz val="11"/>
    </font>
    <font>
      <name val="Muli"/>
      <charset val="1"/>
      <color rgb="FF666666"/>
      <sz val="8.800000000000001"/>
    </font>
    <font>
      <name val="Aptos Narrow"/>
      <family val="2"/>
      <color rgb="FF000000"/>
      <sz val="11"/>
    </font>
  </fonts>
  <fills count="15">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rgb="FFFFFF00"/>
        <bgColor indexed="64"/>
      </patternFill>
    </fill>
    <fill>
      <patternFill patternType="solid">
        <fgColor theme="1"/>
        <bgColor indexed="64"/>
      </patternFill>
    </fill>
    <fill>
      <patternFill patternType="solid">
        <fgColor rgb="FFF8F8F8"/>
        <bgColor rgb="FF000000"/>
      </patternFill>
    </fill>
    <fill>
      <patternFill patternType="solid">
        <fgColor theme="9" tint="0.7999816888943144"/>
        <bgColor theme="9" tint="0.7999816888943144"/>
      </patternFill>
    </fill>
    <fill>
      <patternFill patternType="solid">
        <fgColor rgb="FFDAF2D0"/>
        <bgColor rgb="FFDAF2D0"/>
      </patternFill>
    </fill>
  </fills>
  <borders count="5">
    <border>
      <left/>
      <right/>
      <top/>
      <bottom/>
      <diagonal/>
    </border>
    <border>
      <left style="thin">
        <color indexed="64"/>
      </left>
      <right/>
      <top/>
      <bottom/>
      <diagonal/>
    </border>
    <border>
      <left style="thick">
        <color rgb="FFFFFFFF"/>
      </left>
      <right style="thick">
        <color rgb="FFFFFFFF"/>
      </right>
      <top style="thick">
        <color rgb="FFFFFFFF"/>
      </top>
      <bottom style="thick">
        <color rgb="FFD4D4D4"/>
      </bottom>
      <diagonal/>
    </border>
    <border>
      <left/>
      <right/>
      <top style="thin">
        <color theme="9" tint="0.3999755851924192"/>
      </top>
      <bottom style="thin">
        <color theme="9" tint="0.3999755851924192"/>
      </bottom>
      <diagonal/>
    </border>
    <border>
      <left/>
      <right/>
      <top style="thin">
        <color rgb="FF8ED973"/>
      </top>
      <bottom style="thin">
        <color rgb="FF8ED973"/>
      </bottom>
      <diagonal/>
    </border>
  </borders>
  <cellStyleXfs count="10">
    <xf numFmtId="0" fontId="5" fillId="0" borderId="0"/>
    <xf numFmtId="0" fontId="7" fillId="0" borderId="0"/>
    <xf numFmtId="0" fontId="5" fillId="0" borderId="0"/>
    <xf numFmtId="9" fontId="5" fillId="0" borderId="0"/>
    <xf numFmtId="9" fontId="7" fillId="0" borderId="0"/>
    <xf numFmtId="172" fontId="7" fillId="0" borderId="0"/>
    <xf numFmtId="9" fontId="5" fillId="0" borderId="0"/>
    <xf numFmtId="172" fontId="7" fillId="0" borderId="0"/>
    <xf numFmtId="172" fontId="7" fillId="0" borderId="0"/>
    <xf numFmtId="172" fontId="5" fillId="0" borderId="0"/>
  </cellStyleXfs>
  <cellXfs count="1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7" fontId="6" fillId="0" borderId="0" pivotButton="0" quotePrefix="1" xfId="5"/>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10" fontId="17" fillId="8" borderId="0" applyAlignment="1" pivotButton="0" quotePrefix="0" xfId="4">
      <alignment horizontal="center"/>
    </xf>
    <xf numFmtId="0" fontId="17" fillId="8" borderId="0" applyAlignment="1" pivotButton="0" quotePrefix="0" xfId="1">
      <alignment horizontal="center"/>
    </xf>
    <xf numFmtId="10" fontId="18" fillId="8" borderId="0" applyAlignment="1" pivotButton="0" quotePrefix="0" xfId="4">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0" fontId="20" fillId="0" borderId="0" pivotButton="0" quotePrefix="0" xfId="1"/>
    <xf numFmtId="0" fontId="9" fillId="7" borderId="0" applyAlignment="1" pivotButton="0" quotePrefix="0" xfId="1">
      <alignment horizontal="center"/>
    </xf>
    <xf numFmtId="10" fontId="10" fillId="7" borderId="0" applyAlignment="1" pivotButton="0" quotePrefix="0" xfId="4">
      <alignment horizontal="center"/>
    </xf>
    <xf numFmtId="10" fontId="11" fillId="7" borderId="0" applyAlignment="1" pivotButton="0" quotePrefix="0" xfId="4">
      <alignment horizontal="center"/>
    </xf>
    <xf numFmtId="10" fontId="21" fillId="6" borderId="0" applyAlignment="1" pivotButton="0" quotePrefix="0" xfId="6">
      <alignment horizontal="center"/>
    </xf>
    <xf numFmtId="0" fontId="17" fillId="7" borderId="0" applyAlignment="1" pivotButton="0" quotePrefix="0" xfId="1">
      <alignment horizontal="center"/>
    </xf>
    <xf numFmtId="10" fontId="18" fillId="7" borderId="0" applyAlignment="1" pivotButton="0" quotePrefix="0" xfId="4">
      <alignment horizontal="center"/>
    </xf>
    <xf numFmtId="10" fontId="17" fillId="7" borderId="0" applyAlignment="1" pivotButton="0" quotePrefix="0" xfId="4">
      <alignment horizontal="center"/>
    </xf>
    <xf numFmtId="168" fontId="6" fillId="0" borderId="0" pivotButton="0" quotePrefix="0" xfId="1"/>
    <xf numFmtId="166" fontId="6" fillId="10" borderId="0" pivotButton="0" quotePrefix="0" xfId="1"/>
    <xf numFmtId="167" fontId="6" fillId="0" borderId="0" pivotButton="0" quotePrefix="0" xfId="7"/>
    <xf numFmtId="10" fontId="6" fillId="0" borderId="0" pivotButton="0" quotePrefix="1" xfId="6"/>
    <xf numFmtId="10" fontId="6" fillId="0" borderId="0" pivotButton="0" quotePrefix="0" xfId="6"/>
    <xf numFmtId="10" fontId="10" fillId="4" borderId="0" applyAlignment="1" pivotButton="0" quotePrefix="0" xfId="6">
      <alignment horizontal="center"/>
    </xf>
    <xf numFmtId="169" fontId="0" fillId="0" borderId="0" pivotButton="0" quotePrefix="0" xfId="0"/>
    <xf numFmtId="14" fontId="6" fillId="10" borderId="0" pivotButton="0" quotePrefix="0" xfId="1"/>
    <xf numFmtId="170" fontId="6" fillId="0" borderId="0" pivotButton="0" quotePrefix="0" xfId="1"/>
    <xf numFmtId="10" fontId="0" fillId="0" borderId="0" pivotButton="0" quotePrefix="0" xfId="0"/>
    <xf numFmtId="10" fontId="6" fillId="0" borderId="0" pivotButton="0" quotePrefix="0" xfId="1"/>
    <xf numFmtId="0" fontId="0" fillId="0" borderId="0" applyAlignment="1" pivotButton="0" quotePrefix="0" xfId="0">
      <alignment wrapText="1"/>
    </xf>
    <xf numFmtId="0" fontId="22" fillId="0" borderId="0" applyAlignment="1" pivotButton="0" quotePrefix="0" xfId="0">
      <alignment vertical="center"/>
    </xf>
    <xf numFmtId="0" fontId="22" fillId="0" borderId="0" applyAlignment="1" pivotButton="0" quotePrefix="0" xfId="0">
      <alignment horizontal="left"/>
    </xf>
    <xf numFmtId="0" fontId="22" fillId="0" borderId="0" pivotButton="0" quotePrefix="0" xfId="0"/>
    <xf numFmtId="0" fontId="22" fillId="0" borderId="0" applyAlignment="1" pivotButton="0" quotePrefix="0" xfId="0">
      <alignment horizontal="right"/>
    </xf>
    <xf numFmtId="0" fontId="23" fillId="0" borderId="0" applyAlignment="1" pivotButton="0" quotePrefix="0" xfId="0">
      <alignment horizontal="left"/>
    </xf>
    <xf numFmtId="10" fontId="23" fillId="0" borderId="0" applyAlignment="1" pivotButton="0" quotePrefix="0" xfId="0">
      <alignment horizontal="center"/>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center" vertical="center"/>
    </xf>
    <xf numFmtId="0" fontId="25" fillId="0" borderId="0" applyAlignment="1" pivotButton="0" quotePrefix="0" xfId="0">
      <alignment horizontal="left"/>
    </xf>
    <xf numFmtId="0" fontId="25" fillId="0" borderId="0" pivotButton="0" quotePrefix="0" xfId="0"/>
    <xf numFmtId="0" fontId="26" fillId="0" borderId="0" applyAlignment="1" pivotButton="0" quotePrefix="0" xfId="0">
      <alignment horizontal="left"/>
    </xf>
    <xf numFmtId="10" fontId="26" fillId="0" borderId="0" applyAlignment="1" pivotButton="0" quotePrefix="0" xfId="0">
      <alignment horizontal="center" vertical="center"/>
    </xf>
    <xf numFmtId="0" fontId="27" fillId="0" borderId="0" applyAlignment="1" pivotButton="0" quotePrefix="0" xfId="0">
      <alignment horizontal="left" vertical="center"/>
    </xf>
    <xf numFmtId="0" fontId="27" fillId="0" borderId="0" applyAlignment="1" pivotButton="0" quotePrefix="0" xfId="0">
      <alignment vertical="center"/>
    </xf>
    <xf numFmtId="0" fontId="27" fillId="0" borderId="0" applyAlignment="1" pivotButton="0" quotePrefix="0" xfId="0">
      <alignment horizontal="center" vertical="center"/>
    </xf>
    <xf numFmtId="0" fontId="27" fillId="0" borderId="0" applyAlignment="1" pivotButton="0" quotePrefix="0" xfId="0">
      <alignment horizontal="center" vertical="center" wrapText="1"/>
    </xf>
    <xf numFmtId="0" fontId="28" fillId="11" borderId="0" pivotButton="0" quotePrefix="0" xfId="0"/>
    <xf numFmtId="10" fontId="28" fillId="11" borderId="0" pivotButton="0" quotePrefix="0" xfId="0"/>
    <xf numFmtId="0" fontId="25" fillId="0" borderId="0" applyAlignment="1" pivotButton="0" quotePrefix="0" xfId="0">
      <alignment vertical="center" wrapText="1"/>
    </xf>
    <xf numFmtId="0" fontId="29" fillId="0" borderId="0" pivotButton="0" quotePrefix="0" xfId="0"/>
    <xf numFmtId="0" fontId="30" fillId="0" borderId="0" pivotButton="0" quotePrefix="0" xfId="0"/>
    <xf numFmtId="0" fontId="31" fillId="12" borderId="2" applyAlignment="1" pivotButton="0" quotePrefix="0" xfId="0">
      <alignment wrapText="1"/>
    </xf>
    <xf numFmtId="0" fontId="31" fillId="12" borderId="2" pivotButton="0" quotePrefix="0" xfId="0"/>
    <xf numFmtId="164" fontId="0" fillId="13" borderId="3" pivotButton="0" quotePrefix="0" xfId="0"/>
    <xf numFmtId="164" fontId="0" fillId="0" borderId="3" pivotButton="0" quotePrefix="0" xfId="0"/>
    <xf numFmtId="3" fontId="32" fillId="14" borderId="4" pivotButton="0" quotePrefix="0" xfId="0"/>
    <xf numFmtId="0" fontId="16" fillId="3" borderId="0" applyAlignment="1" pivotButton="0" quotePrefix="0" xfId="1">
      <alignment horizontal="center" vertical="center"/>
    </xf>
    <xf numFmtId="0" fontId="9" fillId="7" borderId="0" applyAlignment="1" pivotButton="0" quotePrefix="0" xfId="1">
      <alignment horizontal="center" vertical="center"/>
    </xf>
    <xf numFmtId="0" fontId="16" fillId="2"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6" fontId="6" fillId="0" borderId="0" pivotButton="0" quotePrefix="0" xfId="1"/>
    <xf numFmtId="167" fontId="6" fillId="0" borderId="0" pivotButton="0" quotePrefix="1" xfId="5"/>
    <xf numFmtId="164" fontId="6" fillId="0" borderId="0" pivotButton="0" quotePrefix="0" xfId="4"/>
    <xf numFmtId="166" fontId="6" fillId="10" borderId="0" pivotButton="0" quotePrefix="0" xfId="1"/>
    <xf numFmtId="167" fontId="6" fillId="0" borderId="0" pivotButton="0" quotePrefix="0" xfId="7"/>
    <xf numFmtId="170" fontId="6" fillId="0" borderId="0" pivotButton="0" quotePrefix="0" xfId="1"/>
    <xf numFmtId="164" fontId="0" fillId="13" borderId="3" pivotButton="0" quotePrefix="0" xfId="0"/>
    <xf numFmtId="164" fontId="0" fillId="0" borderId="3" pivotButton="0" quotePrefix="0" xfId="0"/>
    <xf numFmtId="171" fontId="0" fillId="0" borderId="0" pivotButton="0" quotePrefix="0" xfId="0"/>
    <xf numFmtId="169" fontId="0" fillId="0" borderId="0" pivotButton="0" quotePrefix="0" xfId="0"/>
    <xf numFmtId="171" fontId="0" fillId="0" borderId="0" pivotButton="0" quotePrefix="0" xfId="0"/>
  </cellXfs>
  <cellStyles count="10">
    <cellStyle name="Normal" xfId="0" builtinId="0"/>
    <cellStyle name="Normal 2" xfId="1"/>
    <cellStyle name="Normal 54" xfId="2"/>
    <cellStyle name="Porcentaje 29" xfId="3"/>
    <cellStyle name="Porcentaje 2" xfId="4"/>
    <cellStyle name="Millares [0] 2" xfId="5"/>
    <cellStyle name="Porcentaje" xfId="6" builtinId="5"/>
    <cellStyle name="Millares [0] 2 2" xfId="7"/>
    <cellStyle name="Millares [0] 2 3" xfId="8"/>
    <cellStyle name="Millares [0] 3" xfId="9"/>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(2)'!$A$3:$A$187</f>
              <numCache>
                <formatCode>dd\-mm\-yyyy</formatCode>
                <ptCount val="185"/>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pt idx="153">
                  <formatCode>m/d/yyyy</formatCode>
                  <v>43312</v>
                </pt>
                <pt idx="154">
                  <formatCode>m/d/yyyy</formatCode>
                  <v>43343</v>
                </pt>
                <pt idx="155">
                  <formatCode>m/d/yyyy</formatCode>
                  <v>43373</v>
                </pt>
                <pt idx="156">
                  <formatCode>m/d/yyyy</formatCode>
                  <v>43404</v>
                </pt>
                <pt idx="157">
                  <formatCode>m/d/yyyy</formatCode>
                  <v>43434</v>
                </pt>
                <pt idx="158">
                  <formatCode>m/d/yyyy</formatCode>
                  <v>43465</v>
                </pt>
                <pt idx="159">
                  <formatCode>m/d/yyyy</formatCode>
                  <v>43496</v>
                </pt>
                <pt idx="160">
                  <formatCode>m/d/yyyy</formatCode>
                  <v>43524</v>
                </pt>
                <pt idx="161">
                  <formatCode>m/d/yyyy</formatCode>
                  <v>43555</v>
                </pt>
                <pt idx="162">
                  <formatCode>m/d/yyyy</formatCode>
                  <v>43585</v>
                </pt>
                <pt idx="163">
                  <formatCode>m/d/yyyy</formatCode>
                  <v>43616</v>
                </pt>
                <pt idx="164">
                  <formatCode>m/d/yyyy</formatCode>
                  <v>43646</v>
                </pt>
                <pt idx="165">
                  <formatCode>m/d/yyyy</formatCode>
                  <v>43677</v>
                </pt>
                <pt idx="166">
                  <formatCode>m/d/yyyy</formatCode>
                  <v>43708</v>
                </pt>
                <pt idx="167">
                  <formatCode>m/d/yyyy</formatCode>
                  <v>43738</v>
                </pt>
                <pt idx="168">
                  <formatCode>m/d/yyyy</formatCode>
                  <v>43769</v>
                </pt>
                <pt idx="169">
                  <formatCode>m/d/yyyy</formatCode>
                  <v>43799</v>
                </pt>
                <pt idx="170">
                  <formatCode>m/d/yyyy</formatCode>
                  <v>43830</v>
                </pt>
                <pt idx="171">
                  <formatCode>m/d/yyyy</formatCode>
                  <v>43861</v>
                </pt>
                <pt idx="172">
                  <formatCode>m/d/yyyy</formatCode>
                  <v>43890</v>
                </pt>
                <pt idx="173">
                  <formatCode>m/d/yyyy</formatCode>
                  <v>43921</v>
                </pt>
                <pt idx="174">
                  <formatCode>m/d/yyyy</formatCode>
                  <v>43951</v>
                </pt>
                <pt idx="175">
                  <formatCode>m/d/yyyy</formatCode>
                  <v>43982</v>
                </pt>
                <pt idx="176">
                  <formatCode>m/d/yyyy</formatCode>
                  <v>44012</v>
                </pt>
                <pt idx="177">
                  <formatCode>m/d/yyyy</formatCode>
                  <v>44043</v>
                </pt>
                <pt idx="178">
                  <formatCode>m/d/yyyy</formatCode>
                  <v>44074</v>
                </pt>
                <pt idx="179">
                  <formatCode>m/d/yyyy</formatCode>
                  <v>44104</v>
                </pt>
                <pt idx="180">
                  <formatCode>m/d/yyyy</formatCode>
                  <v>44135</v>
                </pt>
                <pt idx="181">
                  <formatCode>m/d/yyyy</formatCode>
                  <v>44165</v>
                </pt>
                <pt idx="182">
                  <formatCode>m/d/yyyy</formatCode>
                  <v>44196</v>
                </pt>
                <pt idx="183">
                  <formatCode>m/d/yyyy</formatCode>
                  <v>44227</v>
                </pt>
                <pt idx="184">
                  <formatCode>m/d/yyyy</formatCode>
                  <v>44255</v>
                </pt>
              </numCache>
            </numRef>
          </cat>
          <val>
            <numRef>
              <f>'Datos ICP (2)'!$D$3:$D$187</f>
              <numCache>
                <formatCode>0.00</formatCode>
                <ptCount val="185"/>
                <pt idx="0">
                  <v>100</v>
                </pt>
                <pt idx="1">
                  <v>100.399063647502</v>
                </pt>
                <pt idx="2">
                  <v>100.7483698738444</v>
                </pt>
                <pt idx="3">
                  <v>101.1459727530188</v>
                </pt>
                <pt idx="4">
                  <v>101.5126256032517</v>
                </pt>
                <pt idx="5">
                  <v>101.9716720502066</v>
                </pt>
                <pt idx="6">
                  <v>102.3910951562748</v>
                </pt>
                <pt idx="7">
                  <v>102.8309690189297</v>
                </pt>
                <pt idx="8">
                  <v>103.2880982074547</v>
                </pt>
                <pt idx="9">
                  <v>103.7229506789834</v>
                </pt>
                <pt idx="10">
                  <v>104.198613365665</v>
                </pt>
                <pt idx="11">
                  <v>104.6550121700261</v>
                </pt>
                <pt idx="12">
                  <v>105.106754775343</v>
                </pt>
                <pt idx="13">
                  <v>105.6065201394303</v>
                </pt>
                <pt idx="14">
                  <v>106.0214696424952</v>
                </pt>
                <pt idx="15">
                  <v>106.4671865784606</v>
                </pt>
                <pt idx="16">
                  <v>106.9335368670536</v>
                </pt>
                <pt idx="17">
                  <v>107.4009827318924</v>
                </pt>
                <pt idx="18">
                  <v>107.8433216411002</v>
                </pt>
                <pt idx="19">
                  <v>108.3390698922866</v>
                </pt>
                <pt idx="21">
                  <v>108.8498823168516</v>
                </pt>
                <pt idx="22">
                  <v>109.3349486996423</v>
                </pt>
                <pt idx="23">
                  <v>109.9127738712369</v>
                </pt>
                <pt idx="24">
                  <v>110.4418458998972</v>
                </pt>
                <pt idx="25">
                  <v>110.9508323640527</v>
                </pt>
                <pt idx="26">
                  <v>111.5948486004926</v>
                </pt>
                <pt idx="27">
                  <v>112.1585225789134</v>
                </pt>
                <pt idx="28">
                  <v>112.7662935012243</v>
                </pt>
                <pt idx="29">
                  <v>113.3572655877675</v>
                </pt>
                <pt idx="30">
                  <v>113.9534416614779</v>
                </pt>
                <pt idx="31">
                  <v>114.5993751563479</v>
                </pt>
                <pt idx="32">
                  <v>115.2993570793398</v>
                </pt>
                <pt idx="33">
                  <v>115.990756988407</v>
                </pt>
                <pt idx="35">
                  <v>116.8336203134444</v>
                </pt>
                <pt idx="36">
                  <v>117.640877410496</v>
                </pt>
                <pt idx="37">
                  <v>118.4220232736914</v>
                </pt>
                <pt idx="38">
                  <v>119.2930063890355</v>
                </pt>
                <pt idx="39">
                  <v>120.0674874967361</v>
                </pt>
                <pt idx="40">
                  <v>120.6237663354983</v>
                </pt>
                <pt idx="41">
                  <v>120.9806502975403</v>
                </pt>
                <pt idx="42">
                  <v>121.1763932534415</v>
                </pt>
                <pt idx="43">
                  <v>121.3073146148045</v>
                </pt>
                <pt idx="44">
                  <v>121.4179678156218</v>
                </pt>
                <pt idx="45">
                  <v>121.47512037644</v>
                </pt>
                <pt idx="46">
                  <v>121.5183043401253</v>
                </pt>
                <pt idx="47">
                  <v>121.5637707543225</v>
                </pt>
                <pt idx="48">
                  <v>121.6065895259259</v>
                </pt>
                <pt idx="49">
                  <v>121.6501386816931</v>
                </pt>
                <pt idx="50">
                  <v>121.6956963939108</v>
                </pt>
                <pt idx="51">
                  <v>121.7390629536371</v>
                </pt>
                <pt idx="52">
                  <v>121.7781385064009</v>
                </pt>
                <pt idx="53">
                  <v>121.8261612651715</v>
                </pt>
                <pt idx="54">
                  <v>121.870349507082</v>
                </pt>
                <pt idx="55">
                  <v>121.914811643054</v>
                </pt>
                <pt idx="56">
                  <v>121.9823721782064</v>
                </pt>
                <pt idx="57">
                  <v>122.1018812870099</v>
                </pt>
                <pt idx="58">
                  <v>122.2956156864607</v>
                </pt>
                <pt idx="59">
                  <v>122.5200262207915</v>
                </pt>
                <pt idx="60">
                  <v>122.7838774999681</v>
                </pt>
                <pt idx="61">
                  <v>123.0973036042633</v>
                </pt>
                <pt idx="62">
                  <v>123.4616740039842</v>
                </pt>
                <pt idx="63">
                  <v>123.7738219359928</v>
                </pt>
                <pt idx="64">
                  <v>124.0950083720285</v>
                </pt>
                <pt idx="65">
                  <v>124.4931590393257</v>
                </pt>
                <pt idx="66">
                  <v>124.9225336296259</v>
                </pt>
                <pt idx="67">
                  <v>125.4531577246342</v>
                </pt>
                <pt idx="68">
                  <v>125.9888945087893</v>
                </pt>
                <pt idx="69">
                  <v>126.522074948371</v>
                </pt>
                <pt idx="70">
                  <v>127.1327674073371</v>
                </pt>
                <pt idx="71">
                  <v>127.6891375441198</v>
                </pt>
                <pt idx="72">
                  <v>128.2117274133262</v>
                </pt>
                <pt idx="73">
                  <v>128.829449819869</v>
                </pt>
                <pt idx="74">
                  <v>129.3933063943308</v>
                </pt>
                <pt idx="75">
                  <v>129.9753312748673</v>
                </pt>
                <pt idx="76">
                  <v>130.4983776341761</v>
                </pt>
                <pt idx="77">
                  <v>131.0431529223584</v>
                </pt>
                <pt idx="78">
                  <v>131.6080137750453</v>
                </pt>
                <pt idx="79">
                  <v>132.1771656346947</v>
                </pt>
                <pt idx="80">
                  <v>132.711989438645</v>
                </pt>
                <pt idx="81">
                  <v>133.3006790746763</v>
                </pt>
                <pt idx="82">
                  <v>133.8733002591038</v>
                </pt>
                <pt idx="83">
                  <v>134.3968944065355</v>
                </pt>
                <pt idx="84">
                  <v>135.0166253695288</v>
                </pt>
                <pt idx="85">
                  <v>135.5810297321133</v>
                </pt>
                <pt idx="86">
                  <v>136.1089148865074</v>
                </pt>
                <pt idx="87">
                  <v>136.7514703546198</v>
                </pt>
                <pt idx="88">
                  <v>137.2842856021196</v>
                </pt>
                <pt idx="89">
                  <v>137.8190181080494</v>
                </pt>
                <pt idx="90">
                  <v>138.4513481978684</v>
                </pt>
                <pt idx="91">
                  <v>139.0503545102135</v>
                </pt>
                <pt idx="92">
                  <v>139.592299559761</v>
                </pt>
                <pt idx="93">
                  <v>140.2362244981805</v>
                </pt>
                <pt idx="94">
                  <v>140.8219925975565</v>
                </pt>
                <pt idx="95">
                  <v>141.4296722218469</v>
                </pt>
                <pt idx="96">
                  <v>142.0082277776053</v>
                </pt>
                <pt idx="97">
                  <v>142.5624067618966</v>
                </pt>
                <pt idx="98">
                  <v>143.115855362024</v>
                </pt>
                <pt idx="99">
                  <v>143.6889330365539</v>
                </pt>
                <pt idx="100">
                  <v>144.182124943167</v>
                </pt>
                <pt idx="101">
                  <v>144.6939416459572</v>
                </pt>
                <pt idx="102">
                  <v>145.176908174277</v>
                </pt>
                <pt idx="103">
                  <v>145.6614267689448</v>
                </pt>
                <pt idx="104">
                  <v>146.163839775626</v>
                </pt>
                <pt idx="105">
                  <v>146.6536536554814</v>
                </pt>
                <pt idx="106">
                  <v>147.0861323784778</v>
                </pt>
                <pt idx="107">
                  <v>147.5227195123956</v>
                </pt>
                <pt idx="108">
                  <v>147.9106448013994</v>
                </pt>
                <pt idx="109">
                  <v>148.268989531769</v>
                </pt>
                <pt idx="110">
                  <v>148.6650403445952</v>
                </pt>
                <pt idx="111">
                  <v>149.0499527989234</v>
                </pt>
                <pt idx="112">
                  <v>149.3979808529791</v>
                </pt>
                <pt idx="113">
                  <v>149.7971357985016</v>
                </pt>
                <pt idx="114">
                  <v>150.1723706626593</v>
                </pt>
                <pt idx="115">
                  <v>150.5355541881141</v>
                </pt>
                <pt idx="116">
                  <v>150.9373567762304</v>
                </pt>
                <pt idx="117">
                  <v>151.3274732177257</v>
                </pt>
                <pt idx="118">
                  <v>151.7185026394258</v>
                </pt>
                <pt idx="119">
                  <v>152.0986675966892</v>
                </pt>
                <pt idx="120">
                  <v>152.4945358134745</v>
                </pt>
                <pt idx="121">
                  <v>152.9219018473241</v>
                </pt>
                <pt idx="122">
                  <v>153.3489026890919</v>
                </pt>
                <pt idx="123">
                  <v>153.7969020755692</v>
                </pt>
                <pt idx="124">
                  <v>154.2610612116708</v>
                </pt>
                <pt idx="125">
                  <v>154.7266811161001</v>
                </pt>
                <pt idx="126">
                  <v>155.1634508460588</v>
                </pt>
                <pt idx="127">
                  <v>155.6469651625014</v>
                </pt>
                <pt idx="128">
                  <v>156.101538006453</v>
                </pt>
                <pt idx="129">
                  <v>156.5690751693122</v>
                </pt>
                <pt idx="130">
                  <v>157.0451943460962</v>
                </pt>
                <pt idx="131">
                  <v>157.5037843029488</v>
                </pt>
                <pt idx="132">
                  <v>157.9791730955689</v>
                </pt>
                <pt idx="133">
                  <v>158.4405019930358</v>
                </pt>
                <pt idx="134">
                  <v>158.9221903490689</v>
                </pt>
                <pt idx="135">
                  <v>159.3825149683105</v>
                </pt>
                <pt idx="136">
                  <v>159.7812134237306</v>
                </pt>
                <pt idx="137">
                  <v>160.2129617625631</v>
                </pt>
                <pt idx="138">
                  <v>160.5742280295879</v>
                </pt>
                <pt idx="139">
                  <v>160.9656226433699</v>
                </pt>
                <pt idx="140">
                  <v>161.3015993587227</v>
                </pt>
                <pt idx="141">
                  <v>161.6494448167375</v>
                </pt>
                <pt idx="142">
                  <v>161.9976554668342</v>
                </pt>
                <pt idx="143">
                  <v>162.3350171731577</v>
                </pt>
                <pt idx="144">
                  <v>162.6853121570618</v>
                </pt>
                <pt idx="145">
                  <v>163.0246668991723</v>
                </pt>
                <pt idx="146">
                  <v>163.1718393081801</v>
                </pt>
                <pt idx="147">
                  <v>163.727296464758</v>
                </pt>
                <pt idx="148">
                  <v>164.0452874700771</v>
                </pt>
                <pt idx="149">
                  <v>164.3987934053614</v>
                </pt>
                <pt idx="150">
                  <v>164.7404305979838</v>
                </pt>
                <pt idx="151">
                  <v>165.0930235530633</v>
                </pt>
                <pt idx="152">
                  <v>165.4376964048665</v>
                </pt>
                <pt idx="153">
                  <v>165.794101052301</v>
                </pt>
                <pt idx="154">
                  <v>166.1497981400767</v>
                </pt>
                <pt idx="155">
                  <v>166.4901571604125</v>
                </pt>
                <pt idx="156">
                  <v>166.8690439453892</v>
                </pt>
                <pt idx="157">
                  <v>167.2516739492055</v>
                </pt>
                <pt idx="158">
                  <v>167.6476699832195</v>
                </pt>
                <pt idx="159">
                  <v>168.0585658541752</v>
                </pt>
                <pt idx="160">
                  <v>168.4371787450904</v>
                </pt>
                <pt idx="161">
                  <v>168.8723051106806</v>
                </pt>
                <pt idx="162">
                  <v>169.2945584553836</v>
                </pt>
                <pt idx="163">
                  <v>170.294558455384</v>
                </pt>
                <pt idx="164">
                  <v>171.294558455384</v>
                </pt>
                <pt idx="165">
                  <v>172.294558455384</v>
                </pt>
                <pt idx="166">
                  <v>173.294558455384</v>
                </pt>
                <pt idx="167">
                  <v>174.294558455384</v>
                </pt>
                <pt idx="168">
                  <v>175.294558455384</v>
                </pt>
                <pt idx="169">
                  <v>176.294558455384</v>
                </pt>
                <pt idx="170">
                  <v>177.294558455384</v>
                </pt>
                <pt idx="171">
                  <v>178.294558455384</v>
                </pt>
                <pt idx="172">
                  <v>179.294558455384</v>
                </pt>
                <pt idx="173">
                  <v>180.294558455384</v>
                </pt>
                <pt idx="174">
                  <v>181.294558455384</v>
                </pt>
                <pt idx="175">
                  <v>182.294558455384</v>
                </pt>
                <pt idx="176">
                  <v>183.294558455384</v>
                </pt>
                <pt idx="177">
                  <v>184.294558455384</v>
                </pt>
                <pt idx="178">
                  <v>185.294558455384</v>
                </pt>
                <pt idx="179">
                  <v>186.294558455384</v>
                </pt>
                <pt idx="180">
                  <v>186.294558455384</v>
                </pt>
                <pt idx="181">
                  <v>186.294558455384</v>
                </pt>
                <pt idx="182">
                  <v>186.294558455384</v>
                </pt>
                <pt idx="183">
                  <v>186.294558455384</v>
                </pt>
                <pt idx="184">
                  <v>186.294558455384</v>
                </pt>
              </numCache>
            </numRef>
          </val>
          <smooth val="0"/>
        </ser>
        <ser>
          <idx val="1"/>
          <order val="1"/>
          <tx>
            <strRef>
              <f>'Datos ICP (2)'!$J$2</f>
              <strCache>
                <ptCount val="1"/>
                <pt idx="0">
                  <v>Fondo Liquidez Caja</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(2)'!$A$3:$A$187</f>
              <numCache>
                <formatCode>dd\-mm\-yyyy</formatCode>
                <ptCount val="185"/>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pt idx="153">
                  <formatCode>m/d/yyyy</formatCode>
                  <v>43312</v>
                </pt>
                <pt idx="154">
                  <formatCode>m/d/yyyy</formatCode>
                  <v>43343</v>
                </pt>
                <pt idx="155">
                  <formatCode>m/d/yyyy</formatCode>
                  <v>43373</v>
                </pt>
                <pt idx="156">
                  <formatCode>m/d/yyyy</formatCode>
                  <v>43404</v>
                </pt>
                <pt idx="157">
                  <formatCode>m/d/yyyy</formatCode>
                  <v>43434</v>
                </pt>
                <pt idx="158">
                  <formatCode>m/d/yyyy</formatCode>
                  <v>43465</v>
                </pt>
                <pt idx="159">
                  <formatCode>m/d/yyyy</formatCode>
                  <v>43496</v>
                </pt>
                <pt idx="160">
                  <formatCode>m/d/yyyy</formatCode>
                  <v>43524</v>
                </pt>
                <pt idx="161">
                  <formatCode>m/d/yyyy</formatCode>
                  <v>43555</v>
                </pt>
                <pt idx="162">
                  <formatCode>m/d/yyyy</formatCode>
                  <v>43585</v>
                </pt>
                <pt idx="163">
                  <formatCode>m/d/yyyy</formatCode>
                  <v>43616</v>
                </pt>
                <pt idx="164">
                  <formatCode>m/d/yyyy</formatCode>
                  <v>43646</v>
                </pt>
                <pt idx="165">
                  <formatCode>m/d/yyyy</formatCode>
                  <v>43677</v>
                </pt>
                <pt idx="166">
                  <formatCode>m/d/yyyy</formatCode>
                  <v>43708</v>
                </pt>
                <pt idx="167">
                  <formatCode>m/d/yyyy</formatCode>
                  <v>43738</v>
                </pt>
                <pt idx="168">
                  <formatCode>m/d/yyyy</formatCode>
                  <v>43769</v>
                </pt>
                <pt idx="169">
                  <formatCode>m/d/yyyy</formatCode>
                  <v>43799</v>
                </pt>
                <pt idx="170">
                  <formatCode>m/d/yyyy</formatCode>
                  <v>43830</v>
                </pt>
                <pt idx="171">
                  <formatCode>m/d/yyyy</formatCode>
                  <v>43861</v>
                </pt>
                <pt idx="172">
                  <formatCode>m/d/yyyy</formatCode>
                  <v>43890</v>
                </pt>
                <pt idx="173">
                  <formatCode>m/d/yyyy</formatCode>
                  <v>43921</v>
                </pt>
                <pt idx="174">
                  <formatCode>m/d/yyyy</formatCode>
                  <v>43951</v>
                </pt>
                <pt idx="175">
                  <formatCode>m/d/yyyy</formatCode>
                  <v>43982</v>
                </pt>
                <pt idx="176">
                  <formatCode>m/d/yyyy</formatCode>
                  <v>44012</v>
                </pt>
                <pt idx="177">
                  <formatCode>m/d/yyyy</formatCode>
                  <v>44043</v>
                </pt>
                <pt idx="178">
                  <formatCode>m/d/yyyy</formatCode>
                  <v>44074</v>
                </pt>
                <pt idx="179">
                  <formatCode>m/d/yyyy</formatCode>
                  <v>44104</v>
                </pt>
                <pt idx="180">
                  <formatCode>m/d/yyyy</formatCode>
                  <v>44135</v>
                </pt>
                <pt idx="181">
                  <formatCode>m/d/yyyy</formatCode>
                  <v>44165</v>
                </pt>
                <pt idx="182">
                  <formatCode>m/d/yyyy</formatCode>
                  <v>44196</v>
                </pt>
                <pt idx="183">
                  <formatCode>m/d/yyyy</formatCode>
                  <v>44227</v>
                </pt>
                <pt idx="184">
                  <formatCode>m/d/yyyy</formatCode>
                  <v>44255</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2400">
                <a:latin typeface="Be Vietnam Pro Light" pitchFamily="2" charset="0"/>
              </a:defRPr>
            </a:pPr>
            <a:r>
              <a:rPr lang="en-US" sz="2400">
                <a:latin typeface="Be Vietnam Pro Light" pitchFamily="2" charset="0"/>
              </a:rPr>
              <a:t>FIP Liquidez Caja</a:t>
            </a:r>
          </a:p>
        </rich>
      </tx>
      <overlay val="0"/>
    </title>
    <plotArea>
      <layout>
        <manualLayout>
          <layoutTarget val="inner"/>
          <xMode val="edge"/>
          <yMode val="edge"/>
          <wMode val="factor"/>
          <hMode val="factor"/>
          <x val="0.1211659854033704"/>
          <y val="0.1869317122291426"/>
          <w val="0.8417033472785095"/>
          <h val="0.6533535963670961"/>
        </manualLayout>
      </layout>
      <lineChart>
        <grouping val="standard"/>
        <varyColors val="0"/>
        <ser>
          <idx val="0"/>
          <order val="0"/>
          <tx>
            <strRef>
              <f>'Datos ICP (2)'!$D$2</f>
              <strCache>
                <ptCount val="1"/>
                <pt idx="0">
                  <v>ICP Norm.</v>
                </pt>
              </strCache>
            </strRef>
          </tx>
          <spPr>
            <a:ln xmlns:a="http://schemas.openxmlformats.org/drawingml/2006/main" w="38100">
              <a:solidFill>
                <a:sysClr val="window" lastClr="FFFFFF">
                  <a:lumMod val="75000"/>
                </a:sysClr>
              </a:solidFill>
              <a:prstDash val="solid"/>
            </a:ln>
          </spPr>
          <marker>
            <symbol val="none"/>
            <spPr>
              <a:ln xmlns:a="http://schemas.openxmlformats.org/drawingml/2006/main">
                <a:prstDash val="solid"/>
              </a:ln>
            </spPr>
          </marker>
          <cat>
            <numRef>
              <f>('Datos ICP (2)'!$A$159:$A$160,'Datos ICP (2)'!$A$166:$A$244)</f>
              <numCache>
                <formatCode>m/d/yyyy</formatCode>
                <ptCount val="81"/>
                <pt idx="0">
                  <v>43404</v>
                </pt>
                <pt idx="1">
                  <v>43434</v>
                </pt>
                <pt idx="2">
                  <v>43616</v>
                </pt>
                <pt idx="3">
                  <v>43646</v>
                </pt>
                <pt idx="4">
                  <v>43677</v>
                </pt>
                <pt idx="5">
                  <v>43708</v>
                </pt>
                <pt idx="6">
                  <v>43738</v>
                </pt>
                <pt idx="7">
                  <v>43769</v>
                </pt>
                <pt idx="8">
                  <v>43799</v>
                </pt>
                <pt idx="9">
                  <v>43830</v>
                </pt>
                <pt idx="10">
                  <v>43861</v>
                </pt>
                <pt idx="11">
                  <v>43890</v>
                </pt>
                <pt idx="12">
                  <v>43921</v>
                </pt>
                <pt idx="13">
                  <v>43951</v>
                </pt>
                <pt idx="14">
                  <v>43982</v>
                </pt>
                <pt idx="15">
                  <v>44012</v>
                </pt>
                <pt idx="16">
                  <v>44043</v>
                </pt>
                <pt idx="17">
                  <v>44074</v>
                </pt>
                <pt idx="18">
                  <v>44104</v>
                </pt>
                <pt idx="19">
                  <v>44135</v>
                </pt>
                <pt idx="20">
                  <v>44165</v>
                </pt>
                <pt idx="21">
                  <v>44196</v>
                </pt>
                <pt idx="22">
                  <v>44227</v>
                </pt>
                <pt idx="23">
                  <v>44255</v>
                </pt>
                <pt idx="24">
                  <v>44286</v>
                </pt>
                <pt idx="25">
                  <v>44316</v>
                </pt>
                <pt idx="26">
                  <v>44347</v>
                </pt>
                <pt idx="27">
                  <v>44377</v>
                </pt>
                <pt idx="28">
                  <v>44408</v>
                </pt>
                <pt idx="29">
                  <v>44439</v>
                </pt>
                <pt idx="30">
                  <v>44469</v>
                </pt>
                <pt idx="31">
                  <v>44500</v>
                </pt>
                <pt idx="32">
                  <v>44530</v>
                </pt>
                <pt idx="33">
                  <v>44561</v>
                </pt>
                <pt idx="34">
                  <v>44592</v>
                </pt>
                <pt idx="35">
                  <v>44620</v>
                </pt>
                <pt idx="36">
                  <v>44651</v>
                </pt>
                <pt idx="37">
                  <v>44681</v>
                </pt>
                <pt idx="38">
                  <v>44712</v>
                </pt>
                <pt idx="39">
                  <v>44742</v>
                </pt>
                <pt idx="40">
                  <v>44773</v>
                </pt>
                <pt idx="41">
                  <v>44804</v>
                </pt>
                <pt idx="42">
                  <v>44834</v>
                </pt>
                <pt idx="43">
                  <v>44862</v>
                </pt>
                <pt idx="44">
                  <v>44895</v>
                </pt>
                <pt idx="45">
                  <v>44925</v>
                </pt>
                <pt idx="46">
                  <v>44957</v>
                </pt>
                <pt idx="47">
                  <v>44985</v>
                </pt>
                <pt idx="48">
                  <v>45016</v>
                </pt>
                <pt idx="49">
                  <v>45044</v>
                </pt>
                <pt idx="50">
                  <v>45077</v>
                </pt>
                <pt idx="51">
                  <v>45107</v>
                </pt>
                <pt idx="52">
                  <v>45138</v>
                </pt>
                <pt idx="53">
                  <v>45169</v>
                </pt>
                <pt idx="54">
                  <v>45199</v>
                </pt>
                <pt idx="55">
                  <v>45230</v>
                </pt>
                <pt idx="56">
                  <v>45260</v>
                </pt>
                <pt idx="57">
                  <v>45291</v>
                </pt>
                <pt idx="58">
                  <v>45322</v>
                </pt>
                <pt idx="59">
                  <v>45351</v>
                </pt>
                <pt idx="60">
                  <v>45379</v>
                </pt>
                <pt idx="61">
                  <v>45412</v>
                </pt>
                <pt idx="62">
                  <v>45443</v>
                </pt>
                <pt idx="63">
                  <v>45473</v>
                </pt>
                <pt idx="64">
                  <v>45504</v>
                </pt>
                <pt idx="65">
                  <v>45535</v>
                </pt>
                <pt idx="66">
                  <v>45565</v>
                </pt>
                <pt idx="67">
                  <v>45596</v>
                </pt>
                <pt idx="68">
                  <v>45626</v>
                </pt>
                <pt idx="69">
                  <v>45657</v>
                </pt>
                <pt idx="70">
                  <v>45688</v>
                </pt>
                <pt idx="71">
                  <v>45716</v>
                </pt>
                <pt idx="72">
                  <v>45747</v>
                </pt>
                <pt idx="73">
                  <v>45777</v>
                </pt>
                <pt idx="74">
                  <v>45808</v>
                </pt>
                <pt idx="75">
                  <v>45838</v>
                </pt>
                <pt idx="76">
                  <v>45869</v>
                </pt>
                <pt idx="77">
                  <v>45900</v>
                </pt>
                <pt idx="78">
                  <v>45930</v>
                </pt>
                <pt idx="79">
                  <v>45961</v>
                </pt>
                <pt idx="80">
                  <v>45991</v>
                </pt>
              </numCache>
            </numRef>
          </cat>
          <val>
            <numRef>
              <f>('Datos ICP (2)'!$D$159:$D$160,'Datos ICP (2)'!$D$166:$D$244)</f>
              <numCache>
                <formatCode>0.00</formatCode>
                <ptCount val="81"/>
                <pt idx="0">
                  <v>166.8690439453892</v>
                </pt>
                <pt idx="1">
                  <v>167.2516739492055</v>
                </pt>
                <pt idx="2">
                  <v>170.294558455384</v>
                </pt>
                <pt idx="3">
                  <v>171.294558455384</v>
                </pt>
                <pt idx="4">
                  <v>172.294558455384</v>
                </pt>
                <pt idx="5">
                  <v>173.294558455384</v>
                </pt>
                <pt idx="6">
                  <v>174.294558455384</v>
                </pt>
                <pt idx="7">
                  <v>175.294558455384</v>
                </pt>
                <pt idx="8">
                  <v>176.294558455384</v>
                </pt>
                <pt idx="9">
                  <v>177.294558455384</v>
                </pt>
                <pt idx="10">
                  <v>178.294558455384</v>
                </pt>
                <pt idx="11">
                  <v>179.294558455384</v>
                </pt>
                <pt idx="12">
                  <v>180.294558455384</v>
                </pt>
                <pt idx="13">
                  <v>181.294558455384</v>
                </pt>
                <pt idx="14">
                  <v>182.294558455384</v>
                </pt>
                <pt idx="15">
                  <v>183.294558455384</v>
                </pt>
                <pt idx="16">
                  <v>184.294558455384</v>
                </pt>
                <pt idx="17">
                  <v>185.294558455384</v>
                </pt>
                <pt idx="18">
                  <v>186.294558455384</v>
                </pt>
                <pt idx="19">
                  <v>186.294558455384</v>
                </pt>
                <pt idx="20">
                  <v>186.294558455384</v>
                </pt>
                <pt idx="21">
                  <v>186.294558455384</v>
                </pt>
                <pt idx="22">
                  <v>186.294558455384</v>
                </pt>
                <pt idx="23">
                  <v>186.294558455384</v>
                </pt>
                <pt idx="24">
                  <v>186.294558455384</v>
                </pt>
                <pt idx="25">
                  <v>186.294558455384</v>
                </pt>
                <pt idx="26">
                  <v>186.294558455384</v>
                </pt>
                <pt idx="27">
                  <v>186.294558455384</v>
                </pt>
                <pt idx="28">
                  <v>186.294558455384</v>
                </pt>
                <pt idx="29">
                  <v>186.294558455384</v>
                </pt>
                <pt idx="30">
                  <v>186.294558455384</v>
                </pt>
                <pt idx="31">
                  <v>186.294558455384</v>
                </pt>
                <pt idx="32">
                  <v>186.294558455384</v>
                </pt>
                <pt idx="33">
                  <v>186.294558455384</v>
                </pt>
                <pt idx="34">
                  <v>186.294558455384</v>
                </pt>
                <pt idx="35">
                  <v>186.294558455384</v>
                </pt>
                <pt idx="36">
                  <v>186.294558455384</v>
                </pt>
                <pt idx="37">
                  <v>186.294558455384</v>
                </pt>
                <pt idx="38">
                  <v>186.294558455384</v>
                </pt>
                <pt idx="39">
                  <v>186.294558455384</v>
                </pt>
                <pt idx="40">
                  <v>186.294558455384</v>
                </pt>
                <pt idx="41">
                  <v>186.294558455384</v>
                </pt>
                <pt idx="42">
                  <v>186.294558455384</v>
                </pt>
                <pt idx="43">
                  <v>186.294558455384</v>
                </pt>
                <pt idx="44">
                  <v>186.294558455384</v>
                </pt>
                <pt idx="45">
                  <v>186.294558455384</v>
                </pt>
                <pt idx="46">
                  <v>192.8663378720622</v>
                </pt>
                <pt idx="47">
                  <v>194.5607378340823</v>
                </pt>
                <pt idx="48">
                  <v>196.4541674807407</v>
                </pt>
                <pt idx="49">
                  <v>198.180065259825</v>
                </pt>
                <pt idx="50">
                  <v>200.2335403363785</v>
                </pt>
                <pt idx="51">
                  <v>202.118753161194</v>
                </pt>
                <pt idx="52">
                  <v>204.0856777143358</v>
                </pt>
                <pt idx="53">
                  <v>205.8945653940331</v>
                </pt>
                <pt idx="54">
                  <v>207.4995845940068</v>
                </pt>
                <pt idx="55">
                  <formatCode>General</formatCode>
                  <v>209.2550629317255</v>
                </pt>
                <pt idx="56">
                  <formatCode>General</formatCode>
                  <v>210.8300450829625</v>
                </pt>
                <pt idx="57">
                  <formatCode>General</formatCode>
                  <v>212.3231329098323</v>
                </pt>
                <pt idx="58">
                  <formatCode>General</formatCode>
                  <v>213.8852420401821</v>
                </pt>
                <pt idx="59">
                  <formatCode>General</formatCode>
                  <v>215.1925383953825</v>
                </pt>
                <pt idx="60">
                  <formatCode>General</formatCode>
                  <v>216.4078063459428</v>
                </pt>
                <pt idx="61">
                  <formatCode>General</formatCode>
                  <v>217.7263323576618</v>
                </pt>
                <pt idx="62">
                  <formatCode>General</formatCode>
                  <v>218.9269013269254</v>
                </pt>
                <pt idx="63">
                  <formatCode>General</formatCode>
                  <v>219.936931327455</v>
                </pt>
                <pt idx="64">
                  <formatCode>General</formatCode>
                  <v>221.0991551281185</v>
                </pt>
                <pt idx="65">
                  <formatCode>General</formatCode>
                  <v>222.1609511062581</v>
                </pt>
                <pt idx="66">
                  <formatCode>General</formatCode>
                  <v>223.2231122764796</v>
                </pt>
                <pt idx="67">
                  <formatCode>General</formatCode>
                  <v>224.2299468462925</v>
                </pt>
                <pt idx="68">
                  <formatCode>General</formatCode>
                  <v>225.2130439307815</v>
                </pt>
                <pt idx="69">
                  <formatCode>General</formatCode>
                  <v>226.2144006193658</v>
                </pt>
                <pt idx="70">
                  <formatCode>General</formatCode>
                  <v>227.222056871363</v>
                </pt>
                <pt idx="71">
                  <formatCode>General</formatCode>
                  <v>228.1073737759218</v>
                </pt>
                <pt idx="72">
                  <formatCode>General</formatCode>
                  <v>229.0913838406156</v>
                </pt>
                <pt idx="73">
                  <formatCode>General</formatCode>
                  <v>230.0480044991664</v>
                </pt>
                <pt idx="74">
                  <formatCode>General</formatCode>
                  <v>231.0082770785364</v>
                </pt>
                <pt idx="75">
                  <formatCode>General</formatCode>
                  <v>232.0049775680764</v>
                </pt>
                <pt idx="76">
                  <formatCode>General</formatCode>
                  <v>233.0040518061487</v>
                </pt>
                <pt idx="77">
                  <formatCode>General</formatCode>
                  <v>233.8972203404686</v>
                </pt>
                <pt idx="78">
                  <formatCode>General</formatCode>
                  <v>234.8866169883705</v>
                </pt>
                <pt idx="79">
                  <formatCode>General</formatCode>
                  <v>235.8182219893108</v>
                </pt>
                <pt idx="80">
                  <formatCode>General</formatCode>
                  <v>236.7219810940059</v>
                </pt>
              </numCache>
            </numRef>
          </val>
          <smooth val="0"/>
        </ser>
        <ser>
          <idx val="1"/>
          <order val="1"/>
          <tx>
            <strRef>
              <f>'Datos ICP (2)'!$J$2</f>
              <strCache>
                <ptCount val="1"/>
                <pt idx="0">
                  <v>Fondo Liquidez Caja</v>
                </pt>
              </strCache>
            </strRef>
          </tx>
          <spPr>
            <a:ln xmlns:a="http://schemas.openxmlformats.org/drawingml/2006/main" w="38100">
              <a:solidFill>
                <a:sysClr val="windowText" lastClr="000000"/>
              </a:solidFill>
              <a:prstDash val="solid"/>
            </a:ln>
          </spPr>
          <marker>
            <symbol val="none"/>
            <spPr>
              <a:ln xmlns:a="http://schemas.openxmlformats.org/drawingml/2006/main">
                <a:prstDash val="solid"/>
              </a:ln>
            </spPr>
          </marker>
          <cat>
            <numRef>
              <f>('Datos ICP (2)'!$A$159:$A$160,'Datos ICP (2)'!$A$166:$A$244)</f>
              <numCache>
                <formatCode>m/d/yyyy</formatCode>
                <ptCount val="81"/>
                <pt idx="0">
                  <v>43404</v>
                </pt>
                <pt idx="1">
                  <v>43434</v>
                </pt>
                <pt idx="2">
                  <v>43616</v>
                </pt>
                <pt idx="3">
                  <v>43646</v>
                </pt>
                <pt idx="4">
                  <v>43677</v>
                </pt>
                <pt idx="5">
                  <v>43708</v>
                </pt>
                <pt idx="6">
                  <v>43738</v>
                </pt>
                <pt idx="7">
                  <v>43769</v>
                </pt>
                <pt idx="8">
                  <v>43799</v>
                </pt>
                <pt idx="9">
                  <v>43830</v>
                </pt>
                <pt idx="10">
                  <v>43861</v>
                </pt>
                <pt idx="11">
                  <v>43890</v>
                </pt>
                <pt idx="12">
                  <v>43921</v>
                </pt>
                <pt idx="13">
                  <v>43951</v>
                </pt>
                <pt idx="14">
                  <v>43982</v>
                </pt>
                <pt idx="15">
                  <v>44012</v>
                </pt>
                <pt idx="16">
                  <v>44043</v>
                </pt>
                <pt idx="17">
                  <v>44074</v>
                </pt>
                <pt idx="18">
                  <v>44104</v>
                </pt>
                <pt idx="19">
                  <v>44135</v>
                </pt>
                <pt idx="20">
                  <v>44165</v>
                </pt>
                <pt idx="21">
                  <v>44196</v>
                </pt>
                <pt idx="22">
                  <v>44227</v>
                </pt>
                <pt idx="23">
                  <v>44255</v>
                </pt>
                <pt idx="24">
                  <v>44286</v>
                </pt>
                <pt idx="25">
                  <v>44316</v>
                </pt>
                <pt idx="26">
                  <v>44347</v>
                </pt>
                <pt idx="27">
                  <v>44377</v>
                </pt>
                <pt idx="28">
                  <v>44408</v>
                </pt>
                <pt idx="29">
                  <v>44439</v>
                </pt>
                <pt idx="30">
                  <v>44469</v>
                </pt>
                <pt idx="31">
                  <v>44500</v>
                </pt>
                <pt idx="32">
                  <v>44530</v>
                </pt>
                <pt idx="33">
                  <v>44561</v>
                </pt>
                <pt idx="34">
                  <v>44592</v>
                </pt>
                <pt idx="35">
                  <v>44620</v>
                </pt>
                <pt idx="36">
                  <v>44651</v>
                </pt>
                <pt idx="37">
                  <v>44681</v>
                </pt>
                <pt idx="38">
                  <v>44712</v>
                </pt>
                <pt idx="39">
                  <v>44742</v>
                </pt>
                <pt idx="40">
                  <v>44773</v>
                </pt>
                <pt idx="41">
                  <v>44804</v>
                </pt>
                <pt idx="42">
                  <v>44834</v>
                </pt>
                <pt idx="43">
                  <v>44862</v>
                </pt>
                <pt idx="44">
                  <v>44895</v>
                </pt>
                <pt idx="45">
                  <v>44925</v>
                </pt>
                <pt idx="46">
                  <v>44957</v>
                </pt>
                <pt idx="47">
                  <v>44985</v>
                </pt>
                <pt idx="48">
                  <v>45016</v>
                </pt>
                <pt idx="49">
                  <v>45044</v>
                </pt>
                <pt idx="50">
                  <v>45077</v>
                </pt>
                <pt idx="51">
                  <v>45107</v>
                </pt>
                <pt idx="52">
                  <v>45138</v>
                </pt>
                <pt idx="53">
                  <v>45169</v>
                </pt>
                <pt idx="54">
                  <v>45199</v>
                </pt>
                <pt idx="55">
                  <v>45230</v>
                </pt>
                <pt idx="56">
                  <v>45260</v>
                </pt>
                <pt idx="57">
                  <v>45291</v>
                </pt>
                <pt idx="58">
                  <v>45322</v>
                </pt>
                <pt idx="59">
                  <v>45351</v>
                </pt>
                <pt idx="60">
                  <v>45379</v>
                </pt>
                <pt idx="61">
                  <v>45412</v>
                </pt>
                <pt idx="62">
                  <v>45443</v>
                </pt>
                <pt idx="63">
                  <v>45473</v>
                </pt>
                <pt idx="64">
                  <v>45504</v>
                </pt>
                <pt idx="65">
                  <v>45535</v>
                </pt>
                <pt idx="66">
                  <v>45565</v>
                </pt>
                <pt idx="67">
                  <v>45596</v>
                </pt>
                <pt idx="68">
                  <v>45626</v>
                </pt>
                <pt idx="69">
                  <v>45657</v>
                </pt>
                <pt idx="70">
                  <v>45688</v>
                </pt>
                <pt idx="71">
                  <v>45716</v>
                </pt>
                <pt idx="72">
                  <v>45747</v>
                </pt>
                <pt idx="73">
                  <v>45777</v>
                </pt>
                <pt idx="74">
                  <v>45808</v>
                </pt>
                <pt idx="75">
                  <v>45838</v>
                </pt>
                <pt idx="76">
                  <v>45869</v>
                </pt>
                <pt idx="77">
                  <v>45900</v>
                </pt>
                <pt idx="78">
                  <v>45930</v>
                </pt>
                <pt idx="79">
                  <v>45961</v>
                </pt>
                <pt idx="80">
                  <v>45991</v>
                </pt>
              </numCache>
            </numRef>
          </cat>
          <val>
            <numRef>
              <f>('Datos ICP (2)'!$J$159:$J$160,'Datos ICP (2)'!$J$166:$J$244)</f>
              <numCache>
                <formatCode>#,##0.00</formatCode>
                <ptCount val="81"/>
                <pt idx="0">
                  <v>166.8690439453892</v>
                </pt>
                <pt idx="1">
                  <v>167.4443750351041</v>
                </pt>
                <pt idx="2">
                  <v>169.3902252447041</v>
                </pt>
                <pt idx="3">
                  <v>169.7282850339454</v>
                </pt>
                <pt idx="4">
                  <v>170.0677592317349</v>
                </pt>
                <pt idx="5">
                  <v>170.3742747536265</v>
                </pt>
                <pt idx="6">
                  <v>170.5661714004461</v>
                </pt>
                <pt idx="7">
                  <v>170.7276615719976</v>
                </pt>
                <pt idx="8">
                  <v>170.8819180569413</v>
                </pt>
                <pt idx="9">
                  <v>171.1086719740813</v>
                </pt>
                <pt idx="10">
                  <v>171.3285648386955</v>
                </pt>
                <pt idx="11">
                  <v>171.4364981200715</v>
                </pt>
                <pt idx="12">
                  <v>171.553709538522</v>
                </pt>
                <pt idx="13">
                  <v>171.7886850198502</v>
                </pt>
                <pt idx="14">
                  <v>172.0153058197893</v>
                </pt>
                <pt idx="15">
                  <v>172.234175193478</v>
                </pt>
                <pt idx="16">
                  <v>172.4294714862534</v>
                </pt>
                <pt idx="17">
                  <v>172.6270039931821</v>
                </pt>
                <pt idx="18">
                  <v>172.8145015365864</v>
                </pt>
                <pt idx="19">
                  <v>173.0198545541933</v>
                </pt>
                <pt idx="20">
                  <v>173.2140324171147</v>
                </pt>
                <pt idx="21">
                  <v>173.6359087086699</v>
                </pt>
                <pt idx="22">
                  <v>173.7872057674276</v>
                </pt>
                <pt idx="23">
                  <v>173.9385209135003</v>
                </pt>
                <pt idx="24">
                  <v>173.9779157745861</v>
                </pt>
                <pt idx="25">
                  <v>174.0154716025784</v>
                </pt>
                <pt idx="26">
                  <v>174.2287767844558</v>
                </pt>
                <pt idx="27">
                  <v>174.4434799610021</v>
                </pt>
                <pt idx="28">
                  <v>174.6374430662129</v>
                </pt>
                <pt idx="29">
                  <v>174.8074348882745</v>
                </pt>
                <pt idx="30">
                  <v>174.9205068223931</v>
                </pt>
                <pt idx="31">
                  <v>175.0686437450864</v>
                </pt>
                <pt idx="32">
                  <v>175.3217436536149</v>
                </pt>
                <pt idx="33">
                  <v>175.618428945648</v>
                </pt>
                <pt idx="34">
                  <v>176.1142261721932</v>
                </pt>
                <pt idx="35">
                  <v>176.7875959684372</v>
                </pt>
                <pt idx="36">
                  <v>177.4598785970092</v>
                </pt>
                <pt idx="37">
                  <v>178.5711488251231</v>
                </pt>
                <pt idx="38">
                  <v>179.8903235859212</v>
                </pt>
                <pt idx="39">
                  <v>181.0161584496236</v>
                </pt>
                <pt idx="40">
                  <v>182.1894664925546</v>
                </pt>
                <pt idx="41">
                  <v>183.6104207829361</v>
                </pt>
                <pt idx="42">
                  <v>185.103004668133</v>
                </pt>
                <pt idx="43">
                  <v>186.9242469272471</v>
                </pt>
                <pt idx="44">
                  <v>188.6014751392625</v>
                </pt>
                <pt idx="45">
                  <v>190.3915978066643</v>
                </pt>
                <pt idx="46">
                  <v>192.2139222317299</v>
                </pt>
                <pt idx="47">
                  <v>193.912218508051</v>
                </pt>
                <pt idx="48">
                  <v>195.7691032564194</v>
                </pt>
                <pt idx="49">
                  <v>197.7013272055933</v>
                </pt>
                <pt idx="50">
                  <v>199.6024049775219</v>
                </pt>
                <pt idx="51">
                  <v>201.54655559035</v>
                </pt>
                <pt idx="52">
                  <v>203.4901439649231</v>
                </pt>
                <pt idx="53">
                  <v>205.4117909224223</v>
                </pt>
                <pt idx="54">
                  <v>207.3196138893862</v>
                </pt>
                <pt idx="55">
                  <v>209.0826741548636</v>
                </pt>
                <pt idx="56">
                  <v>210.6872619562021</v>
                </pt>
                <pt idx="57">
                  <v>212.3085904860395</v>
                </pt>
                <pt idx="58">
                  <v>214.0483078109189</v>
                </pt>
                <pt idx="59">
                  <v>215.5106631494461</v>
                </pt>
                <pt idx="60">
                  <v>216.719284344592</v>
                </pt>
                <pt idx="61">
                  <v>218.1551940973988</v>
                </pt>
                <pt idx="62">
                  <v>219.5795814456608</v>
                </pt>
                <pt idx="63">
                  <v>220.918268641897</v>
                </pt>
                <pt idx="64">
                  <v>221.8572700044139</v>
                </pt>
                <pt idx="65">
                  <v>222.821853634847</v>
                </pt>
                <pt idx="66">
                  <v>223.9128882672096</v>
                </pt>
                <pt idx="67">
                  <v>224.9020307409825</v>
                </pt>
                <pt idx="68">
                  <v>225.9582507714519</v>
                </pt>
                <pt idx="69">
                  <v>226.9689287896114</v>
                </pt>
                <pt idx="70">
                  <v>227.6205967729537</v>
                </pt>
                <pt idx="71">
                  <v>228.6098008733343</v>
                </pt>
                <pt idx="72">
                  <v>229.5417663564031</v>
                </pt>
                <pt idx="73">
                  <v>230.4980058384487</v>
                </pt>
                <pt idx="74">
                  <v>231.4881032548199</v>
                </pt>
                <pt idx="75">
                  <v>232.7155826035566</v>
                </pt>
                <pt idx="76">
                  <v>233.8323252940504</v>
                </pt>
                <pt idx="77">
                  <v>235.0021969770696</v>
                </pt>
                <pt idx="78">
                  <v>236.123428699032</v>
                </pt>
                <pt idx="79">
                  <v>237.3364258953045</v>
                </pt>
                <pt idx="80">
                  <v>238.7971206123668</v>
                </pt>
              </numCache>
            </numRef>
          </val>
          <smooth val="0"/>
        </ser>
        <ser>
          <idx val="2"/>
          <order val="2"/>
          <tx>
            <strRef>
              <f>'Datos ICP (2)'!$M$2</f>
              <strCache>
                <ptCount val="1"/>
                <pt idx="0">
                  <v>Competencia Relevante (*)</v>
                </pt>
              </strCache>
            </strRef>
          </tx>
          <spPr>
            <a:ln xmlns:a="http://schemas.openxmlformats.org/drawingml/2006/main" w="38100">
              <a:solidFill>
                <a:sysClr val="window" lastClr="FFFFFF">
                  <a:lumMod val="65000"/>
                </a:sysClr>
              </a:solidFill>
              <a:prstDash val="solid"/>
            </a:ln>
          </spPr>
          <marker>
            <symbol val="none"/>
            <spPr>
              <a:ln xmlns:a="http://schemas.openxmlformats.org/drawingml/2006/main">
                <a:prstDash val="solid"/>
              </a:ln>
            </spPr>
          </marker>
          <cat>
            <numRef>
              <f>('Datos ICP (2)'!$A$159:$A$160,'Datos ICP (2)'!$A$166:$A$244)</f>
              <numCache>
                <formatCode>m/d/yyyy</formatCode>
                <ptCount val="81"/>
                <pt idx="0">
                  <v>43404</v>
                </pt>
                <pt idx="1">
                  <v>43434</v>
                </pt>
                <pt idx="2">
                  <v>43616</v>
                </pt>
                <pt idx="3">
                  <v>43646</v>
                </pt>
                <pt idx="4">
                  <v>43677</v>
                </pt>
                <pt idx="5">
                  <v>43708</v>
                </pt>
                <pt idx="6">
                  <v>43738</v>
                </pt>
                <pt idx="7">
                  <v>43769</v>
                </pt>
                <pt idx="8">
                  <v>43799</v>
                </pt>
                <pt idx="9">
                  <v>43830</v>
                </pt>
                <pt idx="10">
                  <v>43861</v>
                </pt>
                <pt idx="11">
                  <v>43890</v>
                </pt>
                <pt idx="12">
                  <v>43921</v>
                </pt>
                <pt idx="13">
                  <v>43951</v>
                </pt>
                <pt idx="14">
                  <v>43982</v>
                </pt>
                <pt idx="15">
                  <v>44012</v>
                </pt>
                <pt idx="16">
                  <v>44043</v>
                </pt>
                <pt idx="17">
                  <v>44074</v>
                </pt>
                <pt idx="18">
                  <v>44104</v>
                </pt>
                <pt idx="19">
                  <v>44135</v>
                </pt>
                <pt idx="20">
                  <v>44165</v>
                </pt>
                <pt idx="21">
                  <v>44196</v>
                </pt>
                <pt idx="22">
                  <v>44227</v>
                </pt>
                <pt idx="23">
                  <v>44255</v>
                </pt>
                <pt idx="24">
                  <v>44286</v>
                </pt>
                <pt idx="25">
                  <v>44316</v>
                </pt>
                <pt idx="26">
                  <v>44347</v>
                </pt>
                <pt idx="27">
                  <v>44377</v>
                </pt>
                <pt idx="28">
                  <v>44408</v>
                </pt>
                <pt idx="29">
                  <v>44439</v>
                </pt>
                <pt idx="30">
                  <v>44469</v>
                </pt>
                <pt idx="31">
                  <v>44500</v>
                </pt>
                <pt idx="32">
                  <v>44530</v>
                </pt>
                <pt idx="33">
                  <v>44561</v>
                </pt>
                <pt idx="34">
                  <v>44592</v>
                </pt>
                <pt idx="35">
                  <v>44620</v>
                </pt>
                <pt idx="36">
                  <v>44651</v>
                </pt>
                <pt idx="37">
                  <v>44681</v>
                </pt>
                <pt idx="38">
                  <v>44712</v>
                </pt>
                <pt idx="39">
                  <v>44742</v>
                </pt>
                <pt idx="40">
                  <v>44773</v>
                </pt>
                <pt idx="41">
                  <v>44804</v>
                </pt>
                <pt idx="42">
                  <v>44834</v>
                </pt>
                <pt idx="43">
                  <v>44862</v>
                </pt>
                <pt idx="44">
                  <v>44895</v>
                </pt>
                <pt idx="45">
                  <v>44925</v>
                </pt>
                <pt idx="46">
                  <v>44957</v>
                </pt>
                <pt idx="47">
                  <v>44985</v>
                </pt>
                <pt idx="48">
                  <v>45016</v>
                </pt>
                <pt idx="49">
                  <v>45044</v>
                </pt>
                <pt idx="50">
                  <v>45077</v>
                </pt>
                <pt idx="51">
                  <v>45107</v>
                </pt>
                <pt idx="52">
                  <v>45138</v>
                </pt>
                <pt idx="53">
                  <v>45169</v>
                </pt>
                <pt idx="54">
                  <v>45199</v>
                </pt>
                <pt idx="55">
                  <v>45230</v>
                </pt>
                <pt idx="56">
                  <v>45260</v>
                </pt>
                <pt idx="57">
                  <v>45291</v>
                </pt>
                <pt idx="58">
                  <v>45322</v>
                </pt>
                <pt idx="59">
                  <v>45351</v>
                </pt>
                <pt idx="60">
                  <v>45379</v>
                </pt>
                <pt idx="61">
                  <v>45412</v>
                </pt>
                <pt idx="62">
                  <v>45443</v>
                </pt>
                <pt idx="63">
                  <v>45473</v>
                </pt>
                <pt idx="64">
                  <v>45504</v>
                </pt>
                <pt idx="65">
                  <v>45535</v>
                </pt>
                <pt idx="66">
                  <v>45565</v>
                </pt>
                <pt idx="67">
                  <v>45596</v>
                </pt>
                <pt idx="68">
                  <v>45626</v>
                </pt>
                <pt idx="69">
                  <v>45657</v>
                </pt>
                <pt idx="70">
                  <v>45688</v>
                </pt>
                <pt idx="71">
                  <v>45716</v>
                </pt>
                <pt idx="72">
                  <v>45747</v>
                </pt>
                <pt idx="73">
                  <v>45777</v>
                </pt>
                <pt idx="74">
                  <v>45808</v>
                </pt>
                <pt idx="75">
                  <v>45838</v>
                </pt>
                <pt idx="76">
                  <v>45869</v>
                </pt>
                <pt idx="77">
                  <v>45900</v>
                </pt>
                <pt idx="78">
                  <v>45930</v>
                </pt>
                <pt idx="79">
                  <v>45961</v>
                </pt>
                <pt idx="80">
                  <v>45991</v>
                </pt>
              </numCache>
            </numRef>
          </cat>
          <val>
            <numRef>
              <f>('Datos ICP (2)'!$M$159:$M$160,'Datos ICP (2)'!$M$166:$M$244)</f>
              <numCache>
                <formatCode>0.00</formatCode>
                <ptCount val="81"/>
                <pt idx="0">
                  <v>166.8690439453892</v>
                </pt>
                <pt idx="1">
                  <v>167.0401401669884</v>
                </pt>
                <pt idx="2">
                  <v>168.4155748129033</v>
                </pt>
                <pt idx="3">
                  <v>168.617517084011</v>
                </pt>
                <pt idx="4">
                  <v>168.7867574804733</v>
                </pt>
                <pt idx="5">
                  <v>168.9438946688888</v>
                </pt>
                <pt idx="6">
                  <v>169.1243802683463</v>
                </pt>
                <pt idx="7">
                  <v>169.2308132571885</v>
                </pt>
                <pt idx="8">
                  <v>169.3478746645257</v>
                </pt>
                <pt idx="9">
                  <v>169.4495532993975</v>
                </pt>
                <pt idx="10">
                  <v>169.5332695866797</v>
                </pt>
                <pt idx="11">
                  <v>169.6168310578867</v>
                </pt>
                <pt idx="12">
                  <v>169.772536360961</v>
                </pt>
                <pt idx="13">
                  <v>170.146050648887</v>
                </pt>
                <pt idx="14">
                  <v>170.1724412260143</v>
                </pt>
                <pt idx="15">
                  <v>170.1997113480763</v>
                </pt>
                <pt idx="16">
                  <v>170.2162001263243</v>
                </pt>
                <pt idx="17">
                  <v>170.2477402699614</v>
                </pt>
                <pt idx="18">
                  <v>170.259805845162</v>
                </pt>
                <pt idx="19">
                  <v>170.2708978863787</v>
                </pt>
                <pt idx="20">
                  <v>170.2812734950968</v>
                </pt>
                <pt idx="21">
                  <v>170.2912640342929</v>
                </pt>
                <pt idx="22">
                  <v>170.2994881629129</v>
                </pt>
                <pt idx="23">
                  <v>170.3094336912335</v>
                </pt>
                <pt idx="24">
                  <v>170.3183395462363</v>
                </pt>
                <pt idx="25">
                  <v>170.3296243060361</v>
                </pt>
                <pt idx="26">
                  <v>170.3395275189422</v>
                </pt>
                <pt idx="27">
                  <v>170.3497365284723</v>
                </pt>
                <pt idx="28">
                  <v>170.3599385978193</v>
                </pt>
                <pt idx="29">
                  <v>170.3701675119729</v>
                </pt>
                <pt idx="30">
                  <v>170.3501035224629</v>
                </pt>
                <pt idx="31">
                  <v>170.5186384821602</v>
                </pt>
                <pt idx="32">
                  <v>170.7333598187815</v>
                </pt>
                <pt idx="33">
                  <v>171.0345817468255</v>
                </pt>
                <pt idx="34">
                  <v>171.4602373196383</v>
                </pt>
                <pt idx="35">
                  <v>172.0665350954942</v>
                </pt>
                <pt idx="36">
                  <v>172.6980647905019</v>
                </pt>
                <pt idx="37">
                  <v>173.4875735531135</v>
                </pt>
                <pt idx="38">
                  <v>174.4127480996457</v>
                </pt>
                <pt idx="39">
                  <v>175.438921453329</v>
                </pt>
                <pt idx="40">
                  <v>176.5445036224129</v>
                </pt>
                <pt idx="41">
                  <v>177.7456535443908</v>
                </pt>
                <pt idx="42">
                  <v>179.0495504179087</v>
                </pt>
                <pt idx="43">
                  <v>180.4388955319897</v>
                </pt>
                <pt idx="44">
                  <v>181.8728606086777</v>
                </pt>
                <pt idx="45">
                  <v>183.3147799208375</v>
                </pt>
                <pt idx="46">
                  <v>184.7654836553474</v>
                </pt>
                <pt idx="47">
                  <v>186.2279886750146</v>
                </pt>
                <pt idx="48">
                  <v>187.7076683210889</v>
                </pt>
                <pt idx="49">
                  <v>189.2076226838818</v>
                </pt>
                <pt idx="50">
                  <v>190.7255969835294</v>
                </pt>
                <pt idx="51">
                  <v>192.251953214629</v>
                </pt>
                <pt idx="52">
                  <v>193.7783975227632</v>
                </pt>
                <pt idx="53">
                  <v>195.202909826338</v>
                </pt>
                <pt idx="54">
                  <v>196.5273200166478</v>
                </pt>
                <pt idx="55">
                  <v>197.7970357713834</v>
                </pt>
                <pt idx="56">
                  <v>199.0173578818514</v>
                </pt>
                <pt idx="57">
                  <v>200.1925011698614</v>
                </pt>
                <pt idx="58">
                  <v>201.3300975927939</v>
                </pt>
                <pt idx="59">
                  <v>202.3891447462697</v>
                </pt>
                <pt idx="60">
                  <v>203.2607530967865</v>
                </pt>
                <pt idx="61">
                  <v>204.2201690625683</v>
                </pt>
                <pt idx="62">
                  <v>205.0438608482533</v>
                </pt>
                <pt idx="63">
                  <v>205.7923105400126</v>
                </pt>
                <pt idx="64">
                  <v>206.5160607352881</v>
                </pt>
                <pt idx="65">
                  <v>207.2410658940896</v>
                </pt>
                <pt idx="66">
                  <v>207.9405967733474</v>
                </pt>
                <pt idx="67">
                  <v>208.6269643441253</v>
                </pt>
                <pt idx="68">
                  <v>209.2988213219993</v>
                </pt>
                <pt idx="69">
                  <v>209.9530197413452</v>
                </pt>
                <pt idx="70">
                  <v>210.5666671089779</v>
                </pt>
                <pt idx="71">
                  <v>211.1898251072813</v>
                </pt>
                <pt idx="72">
                  <v>211.8157972513957</v>
                </pt>
                <pt idx="73">
                  <v>212.4461504066774</v>
                </pt>
                <pt idx="74">
                  <v>213.0813841037471</v>
                </pt>
                <pt idx="75">
                  <v>213.7200001896072</v>
                </pt>
                <pt idx="76">
                  <v>214.3302499757348</v>
                </pt>
                <pt idx="77">
                  <v>214.9526115478236</v>
                </pt>
                <pt idx="78">
                  <v>215.5462278968844</v>
                </pt>
                <pt idx="79">
                  <v>216.1438878146761</v>
                </pt>
                <pt idx="80">
                  <v>216.7480133882372</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min val="0"/>
        </scaling>
        <delete val="0"/>
        <axPos val="l"/>
        <majorGridlines>
          <spPr>
            <a:ln xmlns:a="http://schemas.openxmlformats.org/drawingml/2006/main">
              <a:solidFill>
                <a:schemeClr val="bg1">
                  <a:lumMod val="85000"/>
                </a:schemeClr>
              </a:solidFill>
              <a:prstDash val="solid"/>
            </a:ln>
          </spPr>
        </majorGridlines>
        <title>
          <tx>
            <rich>
              <a:bodyPr xmlns:a="http://schemas.openxmlformats.org/drawingml/2006/main"/>
              <a:lstStyle xmlns:a="http://schemas.openxmlformats.org/drawingml/2006/main"/>
              <a:p xmlns:a="http://schemas.openxmlformats.org/drawingml/2006/main">
                <a:pPr>
                  <a:defRPr/>
                </a:pPr>
                <a:r>
                  <a:rPr lang="en-US"/>
                  <a:t>Indice</a:t>
                </a:r>
              </a:p>
            </rich>
          </tx>
          <layout>
            <manualLayout>
              <xMode val="edge"/>
              <yMode val="edge"/>
              <wMode val="factor"/>
              <hMode val="factor"/>
              <x val="0.03865244358027956"/>
              <y val="0.4738344953688257"/>
            </manualLayout>
          </layout>
          <overlay val="0"/>
        </title>
        <numFmt formatCode="0" sourceLinked="0"/>
        <majorTickMark val="out"/>
        <minorTickMark val="none"/>
        <tickLblPos val="nextTo"/>
        <txPr>
          <a:bodyPr xmlns:a="http://schemas.openxmlformats.org/drawingml/2006/main"/>
          <a:lstStyle xmlns:a="http://schemas.openxmlformats.org/drawingml/2006/main"/>
          <a:p xmlns:a="http://schemas.openxmlformats.org/drawingml/2006/main">
            <a:pPr>
              <a:defRPr sz="1600" b="0">
                <a:solidFill>
                  <a:schemeClr val="tx1"/>
                </a:solidFill>
                <a:latin typeface="Aileron" panose="00000500000000000000" pitchFamily="50" charset="0"/>
              </a:defRPr>
            </a:pPr>
            <a:r>
              <a:t>None</a:t>
            </a:r>
            <a:endParaRPr lang="es-CL"/>
          </a:p>
        </txPr>
        <crossAx val="231479168"/>
        <crosses val="autoZero"/>
        <crossBetween val="between"/>
      </valAx>
    </plotArea>
    <legend>
      <legendPos val="r"/>
      <layout>
        <manualLayout>
          <xMode val="edge"/>
          <yMode val="edge"/>
          <wMode val="factor"/>
          <hMode val="factor"/>
          <x val="0.660807561666336"/>
          <y val="0.6102900872005412"/>
          <w val="0.3208518172773377"/>
          <h val="0.2495094654569536"/>
        </manualLayout>
      </layout>
      <overlay val="1"/>
      <txPr>
        <a:bodyPr xmlns:a="http://schemas.openxmlformats.org/drawingml/2006/main"/>
        <a:lstStyle xmlns:a="http://schemas.openxmlformats.org/drawingml/2006/main"/>
        <a:p xmlns:a="http://schemas.openxmlformats.org/drawingml/2006/main">
          <a:pPr>
            <a:defRPr sz="1600">
              <a:latin typeface="Aileron" panose="00000500000000000000" pitchFamily="50" charset="0"/>
            </a:defRPr>
          </a:pPr>
          <a:r>
            <a:t>None</a:t>
          </a:r>
          <a:endParaRPr lang="es-CL"/>
        </a:p>
      </txPr>
    </legend>
    <plotVisOnly val="1"/>
    <dispBlanksAs val="gap"/>
  </chart>
  <spPr>
    <a:noFill xmlns:a="http://schemas.openxmlformats.org/drawingml/2006/main"/>
    <a:ln xmlns:a="http://schemas.openxmlformats.org/drawingml/2006/main">
      <a:noFill/>
      <a:prstDash val="soli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3">
                  <a:shade val="58000"/>
                </a:schemeClr>
              </a:solidFill>
              <a:ln xmlns:a="http://schemas.openxmlformats.org/drawingml/2006/main" w="19050">
                <a:solidFill>
                  <a:schemeClr val="lt1"/>
                </a:solidFill>
                <a:prstDash val="solid"/>
              </a:ln>
            </spPr>
          </dPt>
          <dPt>
            <idx val="1"/>
            <bubble3D val="0"/>
            <spPr>
              <a:solidFill xmlns:a="http://schemas.openxmlformats.org/drawingml/2006/main">
                <a:srgbClr val="FDD900"/>
              </a:solidFill>
              <a:ln xmlns:a="http://schemas.openxmlformats.org/drawingml/2006/main" w="19050">
                <a:solidFill>
                  <a:schemeClr val="lt1"/>
                </a:solidFill>
                <a:prstDash val="solid"/>
              </a:ln>
            </spPr>
          </dPt>
          <dPt>
            <idx val="2"/>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composición!$K$2:$K$6</f>
              <strCache>
                <ptCount val="5"/>
                <pt idx="1">
                  <v>Menos de 1 mes</v>
                </pt>
                <pt idx="2">
                  <v>1-3 meses</v>
                </pt>
                <pt idx="3">
                  <v>3-4 meses</v>
                </pt>
                <pt idx="4">
                  <v>Más de 4 meses</v>
                </pt>
              </strCache>
            </strRef>
          </cat>
          <val>
            <numRef>
              <f>composición!$L$2:$L$6</f>
              <numCache>
                <formatCode>0.00%</formatCode>
                <ptCount val="5"/>
                <pt idx="1">
                  <v>0.6216</v>
                </pt>
                <pt idx="2">
                  <v>0.2554</v>
                </pt>
                <pt idx="3">
                  <v>0.123</v>
                </pt>
                <pt idx="4">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accent3">
                  <a:shade val="65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2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4"/>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6"/>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composición!$O$2:$O$8</f>
              <strCache>
                <ptCount val="7"/>
                <pt idx="0">
                  <v>Bono</v>
                </pt>
                <pt idx="1">
                  <v>Depósitos</v>
                </pt>
                <pt idx="2">
                  <v>Factoring</v>
                </pt>
                <pt idx="3">
                  <v>Financiamiento Inmobiliario</v>
                </pt>
                <pt idx="4">
                  <v>Financiamiento Mesa Moneda Extranjera</v>
                </pt>
                <pt idx="5">
                  <v>Garantías</v>
                </pt>
                <pt idx="6">
                  <v>Nota Estructurada</v>
                </pt>
              </strCache>
            </strRef>
          </cat>
          <val>
            <numRef>
              <f>composición!$P$2:$P$8</f>
              <numCache>
                <formatCode>0.00%</formatCode>
                <ptCount val="7"/>
                <pt idx="0">
                  <v>0</v>
                </pt>
                <pt idx="1">
                  <v>0</v>
                </pt>
                <pt idx="2">
                  <v>0</v>
                </pt>
                <pt idx="3">
                  <v>0.343</v>
                </pt>
                <pt idx="4">
                  <v>0.6414</v>
                </pt>
                <pt idx="5">
                  <v>0</v>
                </pt>
                <pt idx="6">
                  <v>0.0156</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244867</colOff>
      <row>250</row>
      <rowOff>183803</rowOff>
    </from>
    <to>
      <col>11</col>
      <colOff>664028</colOff>
      <row>279</row>
      <rowOff>82351</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C11"/>
  <sheetViews>
    <sheetView showGridLines="0" workbookViewId="0">
      <selection activeCell="A3" sqref="A3"/>
    </sheetView>
  </sheetViews>
  <sheetFormatPr baseColWidth="8" defaultColWidth="11.42578125" defaultRowHeight="15"/>
  <cols>
    <col width="70.28515625" customWidth="1" min="1" max="1"/>
  </cols>
  <sheetData>
    <row r="2" ht="204" customHeight="1">
      <c r="A2" s="98"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8" t="n"/>
    </row>
    <row r="4">
      <c r="A4" s="78" t="n"/>
    </row>
    <row r="11">
      <c r="C11" s="7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AL1" zoomScale="96" zoomScaleNormal="80" workbookViewId="0">
      <pane ySplit="2" topLeftCell="AS10" activePane="bottomLeft" state="frozen"/>
      <selection pane="bottomLeft" activeCell="AW19" sqref="AW19"/>
    </sheetView>
  </sheetViews>
  <sheetFormatPr baseColWidth="8" defaultColWidth="12.28515625" defaultRowHeight="15"/>
  <cols>
    <col width="13.85546875" customWidth="1" style="9" min="1" max="1"/>
    <col width="18.140625" bestFit="1" customWidth="1" style="9" min="2" max="2"/>
    <col width="12.28515625" bestFit="1" customWidth="1" style="9" min="3" max="4"/>
    <col width="12.28515625" customWidth="1" style="9" min="5" max="5"/>
    <col width="16.140625" customWidth="1" style="9" min="6" max="6"/>
    <col width="14.28515625" customWidth="1" style="109" min="7" max="7"/>
    <col width="14.140625" bestFit="1" customWidth="1" style="109" min="8" max="8"/>
    <col width="12.28515625" bestFit="1" customWidth="1" style="110" min="9" max="9"/>
    <col width="12.28515625" bestFit="1" customWidth="1" style="9" min="10" max="12"/>
    <col width="11.85546875" bestFit="1" customWidth="1" style="9" min="13" max="15"/>
    <col width="14.140625" bestFit="1" customWidth="1" style="9" min="16" max="18"/>
    <col width="19.42578125" bestFit="1" customWidth="1" style="9" min="19" max="19"/>
    <col width="14.140625" bestFit="1" customWidth="1" style="9" min="20" max="27"/>
    <col width="5.5703125" bestFit="1" customWidth="1" style="9" min="28" max="28"/>
    <col width="7" customWidth="1" style="9" min="29" max="29"/>
    <col width="13.5703125" customWidth="1" style="9" min="30" max="30"/>
    <col width="7.42578125" customWidth="1" style="9" min="31" max="31"/>
    <col width="7.5703125" customWidth="1" style="9" min="32" max="32"/>
    <col width="8.140625" customWidth="1" style="9" min="33" max="33"/>
    <col width="7.7109375" customWidth="1" style="9" min="34" max="34"/>
    <col width="8.140625" bestFit="1" customWidth="1" style="9" min="35" max="35"/>
    <col width="8.28515625" bestFit="1" customWidth="1" style="9" min="36" max="36"/>
    <col width="7.42578125" bestFit="1" customWidth="1" style="9" min="37" max="37"/>
    <col width="8.140625" bestFit="1" customWidth="1" style="9" min="38" max="38"/>
    <col width="9.140625" customWidth="1" style="9" min="39" max="39"/>
    <col width="7.28515625" bestFit="1" customWidth="1" style="9" min="40" max="40"/>
    <col width="7.140625" customWidth="1" style="9" min="41" max="41"/>
    <col width="7.5703125" customWidth="1" style="9" min="42" max="42"/>
    <col width="9" bestFit="1"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4.42578125" customWidth="1" style="9" min="50" max="50"/>
    <col width="14.28515625" customWidth="1" style="9" min="51" max="51"/>
    <col width="14.7109375" customWidth="1" style="9" min="52" max="52"/>
    <col width="14.28515625" customWidth="1" style="9" min="53" max="53"/>
    <col width="14.140625" customWidth="1" style="9" min="54" max="54"/>
    <col width="12.28515625" customWidth="1" style="9" min="55" max="16384"/>
  </cols>
  <sheetData>
    <row r="1" ht="15.75" customHeight="1">
      <c r="A1" s="9" t="inlineStr">
        <is>
          <t>CLICP Index</t>
        </is>
      </c>
      <c r="F1" s="9" t="inlineStr">
        <is>
          <t>Cuota Liquidez Caja</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11" t="n"/>
      <c r="H2" s="111" t="n"/>
      <c r="J2" s="9" t="inlineStr">
        <is>
          <t>Fondo Liquidez Caja</t>
        </is>
      </c>
      <c r="K2" s="18" t="inlineStr">
        <is>
          <t>8057-8</t>
        </is>
      </c>
      <c r="L2" s="19"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0" t="n">
        <v>2006</v>
      </c>
      <c r="AE2" s="21">
        <f>P3/N3-1</f>
        <v/>
      </c>
      <c r="AF2" s="21">
        <f>Q3/P3-1</f>
        <v/>
      </c>
      <c r="AG2" s="21">
        <f>R3/Q3-1</f>
        <v/>
      </c>
      <c r="AH2" s="21">
        <f>S3/R3-1</f>
        <v/>
      </c>
      <c r="AI2" s="21">
        <f>T3/S3-1</f>
        <v/>
      </c>
      <c r="AJ2" s="21">
        <f>U3/T3-1</f>
        <v/>
      </c>
      <c r="AK2" s="21">
        <f>V3/U3-1</f>
        <v/>
      </c>
      <c r="AL2" s="21">
        <f>W3/V3-1</f>
        <v/>
      </c>
      <c r="AM2" s="21">
        <f>X3/W3-1</f>
        <v/>
      </c>
      <c r="AN2" s="21">
        <f>Y3/X3-1</f>
        <v/>
      </c>
      <c r="AO2" s="21">
        <f>Z3/Y3-1</f>
        <v/>
      </c>
      <c r="AP2" s="21">
        <f>AA3/Z3-1</f>
        <v/>
      </c>
      <c r="AQ2" s="22">
        <f>AA3/N3-1</f>
        <v/>
      </c>
      <c r="AR2" s="15" t="n"/>
      <c r="AS2" s="15" t="n"/>
    </row>
    <row r="3">
      <c r="A3" s="23" t="n">
        <v>38717</v>
      </c>
      <c r="B3" s="24" t="n">
        <v>10953.14</v>
      </c>
      <c r="D3" s="25" t="n">
        <v>100</v>
      </c>
      <c r="E3" s="25" t="n"/>
      <c r="F3" s="25" t="n"/>
      <c r="K3" s="18" t="n"/>
      <c r="L3" s="19" t="n"/>
      <c r="N3" s="24">
        <f>B3</f>
        <v/>
      </c>
      <c r="O3" s="9" t="n">
        <v>2006</v>
      </c>
      <c r="P3" s="112" t="n">
        <v>10996.85</v>
      </c>
      <c r="Q3" s="112" t="n">
        <v>11035.11</v>
      </c>
      <c r="R3" s="112" t="n">
        <v>11078.66</v>
      </c>
      <c r="S3" s="112" t="n">
        <v>11118.82</v>
      </c>
      <c r="T3" s="112" t="n">
        <v>11169.1</v>
      </c>
      <c r="U3" s="112" t="n">
        <v>11215.04</v>
      </c>
      <c r="V3" s="112" t="n">
        <v>11263.22</v>
      </c>
      <c r="W3" s="112" t="n">
        <v>11313.29</v>
      </c>
      <c r="X3" s="112" t="n">
        <v>11360.92</v>
      </c>
      <c r="Y3" s="112" t="n">
        <v>11413.02</v>
      </c>
      <c r="Z3" s="112" t="n">
        <v>11463.01</v>
      </c>
      <c r="AA3" s="112" t="n">
        <v>11512.49</v>
      </c>
      <c r="AC3" s="12" t="n"/>
      <c r="AD3" s="27" t="n">
        <v>2007</v>
      </c>
      <c r="AE3" s="28">
        <f>P4/AA3-1</f>
        <v/>
      </c>
      <c r="AF3" s="28">
        <f>Q4/P4-1</f>
        <v/>
      </c>
      <c r="AG3" s="28">
        <f>R4/Q4-1</f>
        <v/>
      </c>
      <c r="AH3" s="28">
        <f>S4/R4-1</f>
        <v/>
      </c>
      <c r="AI3" s="28">
        <f>T4/S4-1</f>
        <v/>
      </c>
      <c r="AJ3" s="28">
        <f>U4/T4-1</f>
        <v/>
      </c>
      <c r="AK3" s="28">
        <f>V4/U4-1</f>
        <v/>
      </c>
      <c r="AL3" s="28">
        <f>W4/V4-1</f>
        <v/>
      </c>
      <c r="AM3" s="28">
        <f>X4/W4-1</f>
        <v/>
      </c>
      <c r="AN3" s="28">
        <f>Y4/X4-1</f>
        <v/>
      </c>
      <c r="AO3" s="28">
        <f>Z4/Y4-1</f>
        <v/>
      </c>
      <c r="AP3" s="28">
        <f>AA4/Z4-1</f>
        <v/>
      </c>
      <c r="AQ3" s="29">
        <f>AA4/AA3-1</f>
        <v/>
      </c>
      <c r="AR3" s="15" t="n"/>
      <c r="AS3" s="15" t="n"/>
    </row>
    <row r="4">
      <c r="A4" s="66" t="n">
        <v>38748</v>
      </c>
      <c r="B4" s="112" t="n">
        <v>10996.85</v>
      </c>
      <c r="C4" s="30">
        <f>+(B4/B3-1)/(A4-A3)*30</f>
        <v/>
      </c>
      <c r="D4" s="25" t="n">
        <v>100.399063647502</v>
      </c>
      <c r="E4" s="25" t="n"/>
      <c r="F4" s="25" t="n"/>
      <c r="K4" s="18" t="inlineStr">
        <is>
          <t>Sant. Money Market UNIV</t>
        </is>
      </c>
      <c r="L4" s="19" t="n"/>
      <c r="O4" s="9" t="n">
        <v>2007</v>
      </c>
      <c r="P4" s="112" t="n">
        <v>11567.23</v>
      </c>
      <c r="Q4" s="112" t="n">
        <v>11612.68</v>
      </c>
      <c r="R4" s="112" t="n">
        <v>11661.5</v>
      </c>
      <c r="S4" s="112" t="n">
        <v>11712.58</v>
      </c>
      <c r="T4" s="112" t="n">
        <v>11763.78</v>
      </c>
      <c r="U4" s="112" t="n">
        <v>11812.23</v>
      </c>
      <c r="V4" s="112" t="n">
        <v>11866.53</v>
      </c>
      <c r="W4" s="112" t="n">
        <v>11922.48</v>
      </c>
      <c r="X4" s="112" t="n">
        <v>11975.61</v>
      </c>
      <c r="Y4" s="112" t="n">
        <v>12038.9</v>
      </c>
      <c r="Z4" s="112" t="n">
        <v>12096.85</v>
      </c>
      <c r="AA4" s="112" t="n">
        <v>12152.6</v>
      </c>
      <c r="AC4" s="12" t="n"/>
      <c r="AD4" s="20" t="n">
        <v>2008</v>
      </c>
      <c r="AE4" s="21">
        <f>P5/AA4-1</f>
        <v/>
      </c>
      <c r="AF4" s="21">
        <f>Q5/P5-1</f>
        <v/>
      </c>
      <c r="AG4" s="21">
        <f>R5/Q5-1</f>
        <v/>
      </c>
      <c r="AH4" s="21">
        <f>S5/R5-1</f>
        <v/>
      </c>
      <c r="AI4" s="21">
        <f>T5/S5-1</f>
        <v/>
      </c>
      <c r="AJ4" s="21">
        <f>U5/T5-1</f>
        <v/>
      </c>
      <c r="AK4" s="21">
        <f>V5/U5-1</f>
        <v/>
      </c>
      <c r="AL4" s="21">
        <f>W5/V5-1</f>
        <v/>
      </c>
      <c r="AM4" s="21">
        <f>X5/W5-1</f>
        <v/>
      </c>
      <c r="AN4" s="21">
        <f>Y5/X5-1</f>
        <v/>
      </c>
      <c r="AO4" s="21">
        <f>Z5/Y5-1</f>
        <v/>
      </c>
      <c r="AP4" s="21">
        <f>AA5/Z5-1</f>
        <v/>
      </c>
      <c r="AQ4" s="22">
        <f>AA5/AA4-1</f>
        <v/>
      </c>
      <c r="AR4" s="15" t="n"/>
      <c r="AS4" s="15" t="n"/>
    </row>
    <row r="5">
      <c r="A5" s="23" t="n">
        <v>38776</v>
      </c>
      <c r="B5" s="112" t="n">
        <v>11035.11</v>
      </c>
      <c r="C5" s="30">
        <f>+(B5/B4-1)/(A5-A4)*30</f>
        <v/>
      </c>
      <c r="D5" s="25" t="n">
        <v>100.7483698738444</v>
      </c>
      <c r="E5" s="25" t="n"/>
      <c r="F5" s="25" t="n"/>
      <c r="O5" s="9" t="n">
        <v>2008</v>
      </c>
      <c r="P5" s="112" t="n">
        <v>12223.14</v>
      </c>
      <c r="Q5" s="112" t="n">
        <v>12284.88</v>
      </c>
      <c r="R5" s="112" t="n">
        <v>12351.45</v>
      </c>
      <c r="S5" s="112" t="n">
        <v>12416.18</v>
      </c>
      <c r="T5" s="112" t="n">
        <v>12481.48</v>
      </c>
      <c r="U5" s="112" t="n">
        <v>12552.23</v>
      </c>
      <c r="V5" s="112" t="n">
        <v>12628.9</v>
      </c>
      <c r="W5" s="112" t="n">
        <v>12704.63</v>
      </c>
      <c r="X5" s="112" t="n">
        <v>12796.95</v>
      </c>
      <c r="Y5" s="112" t="n">
        <v>12885.37</v>
      </c>
      <c r="Z5" s="112" t="n">
        <v>12970.93</v>
      </c>
      <c r="AA5" s="112" t="n">
        <v>13066.33</v>
      </c>
      <c r="AC5" s="12" t="n"/>
      <c r="AD5" s="27" t="n">
        <v>2009</v>
      </c>
      <c r="AE5" s="28">
        <f>P6/AA5-1</f>
        <v/>
      </c>
      <c r="AF5" s="28">
        <f>Q6/P6-1</f>
        <v/>
      </c>
      <c r="AG5" s="28">
        <f>R6/Q6-1</f>
        <v/>
      </c>
      <c r="AH5" s="28">
        <f>S6/R6-1</f>
        <v/>
      </c>
      <c r="AI5" s="28">
        <f>T6/S6-1</f>
        <v/>
      </c>
      <c r="AJ5" s="28">
        <f>U6/T6-1</f>
        <v/>
      </c>
      <c r="AK5" s="28">
        <f>V6/U6-1</f>
        <v/>
      </c>
      <c r="AL5" s="28">
        <f>W6/V6-1</f>
        <v/>
      </c>
      <c r="AM5" s="28">
        <f>X6/W6-1</f>
        <v/>
      </c>
      <c r="AN5" s="28">
        <f>Y6/X6-1</f>
        <v/>
      </c>
      <c r="AO5" s="28">
        <f>Z6/Y6-1</f>
        <v/>
      </c>
      <c r="AP5" s="28">
        <f>AA6/Z6-1</f>
        <v/>
      </c>
      <c r="AQ5" s="29">
        <f>AA6/AA5-1</f>
        <v/>
      </c>
      <c r="AR5" s="15" t="n"/>
      <c r="AS5" s="15" t="n"/>
    </row>
    <row r="6">
      <c r="A6" s="23" t="n">
        <v>38807</v>
      </c>
      <c r="B6" s="112" t="n">
        <v>11078.66</v>
      </c>
      <c r="C6" s="30">
        <f>+(B6/B5-1)/(A6-A5)*30</f>
        <v/>
      </c>
      <c r="D6" s="25" t="n">
        <v>101.1459727530188</v>
      </c>
      <c r="E6" s="25" t="n"/>
      <c r="F6" s="25" t="n"/>
      <c r="O6" s="9" t="n">
        <v>2009</v>
      </c>
      <c r="P6" s="112" t="n">
        <v>13151.16</v>
      </c>
      <c r="Q6" s="112" t="n">
        <v>13212.09</v>
      </c>
      <c r="R6" s="112" t="n">
        <v>13251.18</v>
      </c>
      <c r="S6" s="112" t="n">
        <v>13272.62</v>
      </c>
      <c r="T6" s="112" t="n">
        <v>13286.96</v>
      </c>
      <c r="U6" s="112" t="n">
        <v>13299.08</v>
      </c>
      <c r="V6" s="112" t="n">
        <v>13305.34</v>
      </c>
      <c r="W6" s="112" t="n">
        <v>13310.07</v>
      </c>
      <c r="X6" s="112" t="n">
        <v>13315.05</v>
      </c>
      <c r="Y6" s="112" t="n">
        <v>13319.74</v>
      </c>
      <c r="Z6" s="112" t="n">
        <v>13324.51</v>
      </c>
      <c r="AA6" s="112" t="n">
        <v>13329.5</v>
      </c>
      <c r="AC6" s="12" t="n"/>
      <c r="AD6" s="20" t="n">
        <v>2010</v>
      </c>
      <c r="AE6" s="21">
        <f>P7/AA6-1</f>
        <v/>
      </c>
      <c r="AF6" s="21">
        <f>Q7/P7-1</f>
        <v/>
      </c>
      <c r="AG6" s="21">
        <f>R7/Q7-1</f>
        <v/>
      </c>
      <c r="AH6" s="21">
        <f>S7/R7-1</f>
        <v/>
      </c>
      <c r="AI6" s="21">
        <f>T7/S7-1</f>
        <v/>
      </c>
      <c r="AJ6" s="21">
        <f>U7/T7-1</f>
        <v/>
      </c>
      <c r="AK6" s="21">
        <f>V7/U7-1</f>
        <v/>
      </c>
      <c r="AL6" s="21">
        <f>W7/V7-1</f>
        <v/>
      </c>
      <c r="AM6" s="21">
        <f>X7/W7-1</f>
        <v/>
      </c>
      <c r="AN6" s="21">
        <f>Y7/X7-1</f>
        <v/>
      </c>
      <c r="AO6" s="21">
        <f>Z7/Y7-1</f>
        <v/>
      </c>
      <c r="AP6" s="21">
        <f>AA7/Z7-1</f>
        <v/>
      </c>
      <c r="AQ6" s="22">
        <f>AA7/AA6-1</f>
        <v/>
      </c>
      <c r="AR6" s="15" t="n"/>
      <c r="AS6" s="15" t="n"/>
    </row>
    <row r="7">
      <c r="A7" s="23" t="n">
        <v>38835</v>
      </c>
      <c r="B7" s="112" t="n">
        <v>11118.82</v>
      </c>
      <c r="C7" s="30">
        <f>+(B7/B6-1)/(A7-A6)*30</f>
        <v/>
      </c>
      <c r="D7" s="25" t="n">
        <v>101.5126256032517</v>
      </c>
      <c r="E7" s="25" t="n"/>
      <c r="F7" s="25" t="n"/>
      <c r="O7" s="9" t="n">
        <v>2010</v>
      </c>
      <c r="P7" s="112" t="n">
        <v>13334.25</v>
      </c>
      <c r="Q7" s="112" t="n">
        <v>13338.53</v>
      </c>
      <c r="R7" s="112" t="n">
        <v>13343.79</v>
      </c>
      <c r="S7" s="112" t="n">
        <v>13348.63</v>
      </c>
      <c r="T7" s="112" t="n">
        <v>13353.5</v>
      </c>
      <c r="U7" s="112" t="n">
        <v>13360.9</v>
      </c>
      <c r="V7" s="112" t="n">
        <v>13373.99</v>
      </c>
      <c r="W7" s="112" t="n">
        <v>13395.21</v>
      </c>
      <c r="X7" s="112" t="n">
        <v>13419.79</v>
      </c>
      <c r="Y7" s="112" t="n">
        <v>13448.69</v>
      </c>
      <c r="Z7" s="112" t="n">
        <v>13483.02</v>
      </c>
      <c r="AA7" s="112" t="n">
        <v>13522.93</v>
      </c>
      <c r="AC7" s="12" t="n"/>
      <c r="AD7" s="27" t="n">
        <v>2011</v>
      </c>
      <c r="AE7" s="28">
        <f>P8/AA7-1</f>
        <v/>
      </c>
      <c r="AF7" s="28">
        <f>Q8/P8-1</f>
        <v/>
      </c>
      <c r="AG7" s="28">
        <f>R8/Q8-1</f>
        <v/>
      </c>
      <c r="AH7" s="28">
        <f>S8/R8-1</f>
        <v/>
      </c>
      <c r="AI7" s="28">
        <f>T8/S8-1</f>
        <v/>
      </c>
      <c r="AJ7" s="28">
        <f>U8/T8-1</f>
        <v/>
      </c>
      <c r="AK7" s="28">
        <f>V8/U8-1</f>
        <v/>
      </c>
      <c r="AL7" s="28">
        <f>W8/V8-1</f>
        <v/>
      </c>
      <c r="AM7" s="28">
        <f>X8/W8-1</f>
        <v/>
      </c>
      <c r="AN7" s="28">
        <f>Y8/X8-1</f>
        <v/>
      </c>
      <c r="AO7" s="28">
        <f>Z8/Y8-1</f>
        <v/>
      </c>
      <c r="AP7" s="28">
        <f>AA8/Z8-1</f>
        <v/>
      </c>
      <c r="AQ7" s="29">
        <f>AA8/AA7-1</f>
        <v/>
      </c>
      <c r="AR7" s="15" t="n"/>
      <c r="AS7" s="15" t="n"/>
    </row>
    <row r="8">
      <c r="A8" s="23" t="n">
        <v>38868</v>
      </c>
      <c r="B8" s="112" t="n">
        <v>11169.1</v>
      </c>
      <c r="C8" s="30">
        <f>+(B8/B7-1)/(A8-A7)*30</f>
        <v/>
      </c>
      <c r="D8" s="25" t="n">
        <v>101.9716720502066</v>
      </c>
      <c r="E8" s="25" t="n"/>
      <c r="F8" s="25" t="n"/>
      <c r="O8" s="9" t="n">
        <v>2011</v>
      </c>
      <c r="P8" s="112" t="n">
        <v>13557.12</v>
      </c>
      <c r="Q8" s="112" t="n">
        <v>13592.3</v>
      </c>
      <c r="R8" s="112" t="n">
        <v>13635.91</v>
      </c>
      <c r="S8" s="112" t="n">
        <v>13682.94</v>
      </c>
      <c r="T8" s="112" t="n">
        <v>13741.06</v>
      </c>
      <c r="U8" s="112" t="n">
        <v>13799.74</v>
      </c>
      <c r="V8" s="112" t="n">
        <v>13858.14</v>
      </c>
      <c r="W8" s="112" t="n">
        <v>13925.03</v>
      </c>
      <c r="X8" s="112" t="n">
        <v>13985.97</v>
      </c>
      <c r="Y8" s="112" t="n">
        <v>14043.21</v>
      </c>
      <c r="Z8" s="112" t="n">
        <v>14110.87</v>
      </c>
      <c r="AA8" s="112" t="n">
        <v>14172.63</v>
      </c>
      <c r="AC8" s="12" t="n"/>
      <c r="AD8" s="20" t="n">
        <v>2012</v>
      </c>
      <c r="AE8" s="21">
        <f>P9/AA8-1</f>
        <v/>
      </c>
      <c r="AF8" s="21">
        <f>Q9/P9-1</f>
        <v/>
      </c>
      <c r="AG8" s="21">
        <f>R9/Q9-1</f>
        <v/>
      </c>
      <c r="AH8" s="21">
        <f>S9/R9-1</f>
        <v/>
      </c>
      <c r="AI8" s="21">
        <f>T9/S9-1</f>
        <v/>
      </c>
      <c r="AJ8" s="21">
        <f>U9/T9-1</f>
        <v/>
      </c>
      <c r="AK8" s="21">
        <f>V9/U9-1</f>
        <v/>
      </c>
      <c r="AL8" s="21">
        <f>W9/V9-1</f>
        <v/>
      </c>
      <c r="AM8" s="21">
        <f>X9/W9-1</f>
        <v/>
      </c>
      <c r="AN8" s="21">
        <f>Y9/X9-1</f>
        <v/>
      </c>
      <c r="AO8" s="21">
        <f>Z9/Y9-1</f>
        <v/>
      </c>
      <c r="AP8" s="21">
        <f>AA9/Z9-1</f>
        <v/>
      </c>
      <c r="AQ8" s="22">
        <f>AA9/AA8-1</f>
        <v/>
      </c>
      <c r="AR8" s="15" t="n"/>
      <c r="AS8" s="15" t="n"/>
    </row>
    <row r="9">
      <c r="A9" s="23" t="n">
        <v>38898</v>
      </c>
      <c r="B9" s="112" t="n">
        <v>11215.04</v>
      </c>
      <c r="C9" s="30">
        <f>+(B9/B8-1)/(A9-A8)*30</f>
        <v/>
      </c>
      <c r="D9" s="25" t="n">
        <v>102.3910951562748</v>
      </c>
      <c r="E9" s="25" t="n"/>
      <c r="F9" s="25" t="n"/>
      <c r="O9" s="9" t="n">
        <v>2012</v>
      </c>
      <c r="P9" s="112" t="n">
        <v>14236.38</v>
      </c>
      <c r="Q9" s="112" t="n">
        <v>14293.67</v>
      </c>
      <c r="R9" s="112" t="n">
        <v>14353.34</v>
      </c>
      <c r="S9" s="112" t="n">
        <v>14415.21</v>
      </c>
      <c r="T9" s="112" t="n">
        <v>14477.55</v>
      </c>
      <c r="U9" s="112" t="n">
        <v>14536.13</v>
      </c>
      <c r="V9" s="112" t="n">
        <v>14600.61</v>
      </c>
      <c r="W9" s="112" t="n">
        <v>14663.33</v>
      </c>
      <c r="X9" s="112" t="n">
        <v>14720.68</v>
      </c>
      <c r="Y9" s="112" t="n">
        <v>14788.56</v>
      </c>
      <c r="Z9" s="112" t="n">
        <v>14850.38</v>
      </c>
      <c r="AA9" s="112" t="n">
        <v>14908.2</v>
      </c>
      <c r="AC9" s="12" t="n"/>
      <c r="AD9" s="27" t="n">
        <v>2013</v>
      </c>
      <c r="AE9" s="28">
        <f>P10/AA9-1</f>
        <v/>
      </c>
      <c r="AF9" s="28">
        <f>Q10/P10-1</f>
        <v/>
      </c>
      <c r="AG9" s="28">
        <f>R10/Q10-1</f>
        <v/>
      </c>
      <c r="AH9" s="28">
        <f>S10/R10-1</f>
        <v/>
      </c>
      <c r="AI9" s="28">
        <f>T10/S10-1</f>
        <v/>
      </c>
      <c r="AJ9" s="28">
        <f>U10/T10-1</f>
        <v/>
      </c>
      <c r="AK9" s="28">
        <f>V10/U10-1</f>
        <v/>
      </c>
      <c r="AL9" s="28">
        <f>W10/V10-1</f>
        <v/>
      </c>
      <c r="AM9" s="28">
        <f>X10/W10-1</f>
        <v/>
      </c>
      <c r="AN9" s="28">
        <f>Y10/X10-1</f>
        <v/>
      </c>
      <c r="AO9" s="28">
        <f>Z10/Y10-1</f>
        <v/>
      </c>
      <c r="AP9" s="28">
        <f>AA10/Z10-1</f>
        <v/>
      </c>
      <c r="AQ9" s="29">
        <f>AA10/AA9-1</f>
        <v/>
      </c>
      <c r="AR9" s="15" t="n"/>
      <c r="AS9" s="15" t="n"/>
    </row>
    <row r="10">
      <c r="A10" s="23" t="n">
        <v>38929</v>
      </c>
      <c r="B10" s="112" t="n">
        <v>11263.22</v>
      </c>
      <c r="C10" s="30">
        <f>+(B10/B9-1)/(A10-A9)*30</f>
        <v/>
      </c>
      <c r="D10" s="25" t="n">
        <v>102.8309690189297</v>
      </c>
      <c r="E10" s="25" t="n"/>
      <c r="F10" s="25" t="n"/>
      <c r="O10" s="9" t="n">
        <v>2013</v>
      </c>
      <c r="P10" s="112" t="n">
        <v>14978.58</v>
      </c>
      <c r="Q10" s="112" t="n">
        <v>15036.94</v>
      </c>
      <c r="R10" s="112" t="n">
        <v>15095.51</v>
      </c>
      <c r="S10" s="112" t="n">
        <v>15164.77</v>
      </c>
      <c r="T10" s="112" t="n">
        <v>15230.38</v>
      </c>
      <c r="U10" s="112" t="n">
        <v>15289.74</v>
      </c>
      <c r="V10" s="112" t="n">
        <v>15360.27</v>
      </c>
      <c r="W10" s="112" t="n">
        <v>15424.43</v>
      </c>
      <c r="X10" s="112" t="n">
        <v>15490.99</v>
      </c>
      <c r="Y10" s="112" t="n">
        <v>15554.36</v>
      </c>
      <c r="Z10" s="112" t="n">
        <v>15615.06</v>
      </c>
      <c r="AA10" s="112" t="n">
        <v>15675.68</v>
      </c>
      <c r="AC10" s="12" t="n"/>
      <c r="AD10" s="20" t="n">
        <v>2014</v>
      </c>
      <c r="AE10" s="21">
        <f>P11/AA10-1</f>
        <v/>
      </c>
      <c r="AF10" s="21">
        <f>Q11/P11-1</f>
        <v/>
      </c>
      <c r="AG10" s="21">
        <f>R11/Q11-1</f>
        <v/>
      </c>
      <c r="AH10" s="21">
        <f>S11/R11-1</f>
        <v/>
      </c>
      <c r="AI10" s="21">
        <f>T11/S11-1</f>
        <v/>
      </c>
      <c r="AJ10" s="21">
        <f>U11/T11-1</f>
        <v/>
      </c>
      <c r="AK10" s="21">
        <f>V11/U11-1</f>
        <v/>
      </c>
      <c r="AL10" s="21">
        <f>W11/V11-1</f>
        <v/>
      </c>
      <c r="AM10" s="21">
        <f>X11/W11-1</f>
        <v/>
      </c>
      <c r="AN10" s="21">
        <f>Y11/X11-1</f>
        <v/>
      </c>
      <c r="AO10" s="21">
        <f>Z11/Y11-1</f>
        <v/>
      </c>
      <c r="AP10" s="21">
        <f>AA11/Z11-1</f>
        <v/>
      </c>
      <c r="AQ10" s="22">
        <f>AA11/AA10-1</f>
        <v/>
      </c>
      <c r="AR10" s="15" t="n"/>
      <c r="AS10" s="15" t="n"/>
    </row>
    <row r="11">
      <c r="A11" s="23" t="n">
        <v>38960</v>
      </c>
      <c r="B11" s="112" t="n">
        <v>11313.29</v>
      </c>
      <c r="C11" s="30">
        <f>+(B11/B10-1)/(A11-A10)*30</f>
        <v/>
      </c>
      <c r="D11" s="25" t="n">
        <v>103.2880982074547</v>
      </c>
      <c r="E11" s="25" t="n"/>
      <c r="F11" s="25" t="n"/>
      <c r="O11" s="9" t="n">
        <v>2014</v>
      </c>
      <c r="P11" s="112" t="n">
        <v>15738.45</v>
      </c>
      <c r="Q11" s="112" t="n">
        <v>15792.47</v>
      </c>
      <c r="R11" s="112" t="n">
        <v>15848.53</v>
      </c>
      <c r="S11" s="112" t="n">
        <v>15901.43</v>
      </c>
      <c r="T11" s="112" t="n">
        <v>15954.5</v>
      </c>
      <c r="U11" s="112" t="n">
        <v>16009.53</v>
      </c>
      <c r="V11" s="112" t="n">
        <v>16063.18</v>
      </c>
      <c r="W11" s="112" t="n">
        <v>16110.55</v>
      </c>
      <c r="X11" s="112" t="n">
        <v>16158.37</v>
      </c>
      <c r="Y11" s="112" t="n">
        <v>16200.86</v>
      </c>
      <c r="Z11" s="112" t="n">
        <v>16240.11</v>
      </c>
      <c r="AA11" s="112" t="n">
        <v>16283.49</v>
      </c>
      <c r="AC11" s="12" t="n"/>
      <c r="AD11" s="27" t="n">
        <v>2015</v>
      </c>
      <c r="AE11" s="28">
        <f>P12/AA11-1</f>
        <v/>
      </c>
      <c r="AF11" s="28">
        <f>Q12/P12-1</f>
        <v/>
      </c>
      <c r="AG11" s="28">
        <f>R12/Q12-1</f>
        <v/>
      </c>
      <c r="AH11" s="28">
        <f>S12/R12-1</f>
        <v/>
      </c>
      <c r="AI11" s="28">
        <f>T12/S12-1</f>
        <v/>
      </c>
      <c r="AJ11" s="28">
        <f>U12/T12-1</f>
        <v/>
      </c>
      <c r="AK11" s="28">
        <f>V12/U12-1</f>
        <v/>
      </c>
      <c r="AL11" s="28">
        <f>W12/V12-1</f>
        <v/>
      </c>
      <c r="AM11" s="28">
        <f>X12/W12-1</f>
        <v/>
      </c>
      <c r="AN11" s="28">
        <f>Y12/X12-1</f>
        <v/>
      </c>
      <c r="AO11" s="28">
        <f>Z12/Y12-1</f>
        <v/>
      </c>
      <c r="AP11" s="28">
        <f>AA12/Z12-1</f>
        <v/>
      </c>
      <c r="AQ11" s="29">
        <f>AA12/AA11-1</f>
        <v/>
      </c>
      <c r="AR11" s="15" t="n"/>
      <c r="AS11" s="15" t="n"/>
    </row>
    <row r="12">
      <c r="A12" s="23" t="n">
        <v>38989</v>
      </c>
      <c r="B12" s="112" t="n">
        <v>11360.92</v>
      </c>
      <c r="C12" s="30">
        <f>+(B12/B11-1)/(A12-A11)*30</f>
        <v/>
      </c>
      <c r="D12" s="25" t="n">
        <v>103.7229506789834</v>
      </c>
      <c r="E12" s="25" t="n"/>
      <c r="F12" s="25" t="n"/>
      <c r="O12" s="9" t="n">
        <v>2015</v>
      </c>
      <c r="P12" s="112" t="n">
        <v>16325.65</v>
      </c>
      <c r="Q12" s="112" t="n">
        <v>16363.77</v>
      </c>
      <c r="R12" s="112" t="n">
        <v>16407.49</v>
      </c>
      <c r="S12" s="112" t="n">
        <v>16448.59</v>
      </c>
      <c r="T12" s="112" t="n">
        <v>16488.37</v>
      </c>
      <c r="U12" s="112" t="n">
        <v>16532.38</v>
      </c>
      <c r="V12" s="112" t="n">
        <v>16575.11</v>
      </c>
      <c r="W12" s="112" t="n">
        <v>16617.94</v>
      </c>
      <c r="X12" s="112" t="n">
        <v>16659.58</v>
      </c>
      <c r="Y12" s="112" t="n">
        <v>16702.94</v>
      </c>
      <c r="Z12" s="112" t="n">
        <v>16749.75</v>
      </c>
      <c r="AA12" s="112" t="n">
        <v>16796.52</v>
      </c>
      <c r="AC12" s="12" t="n"/>
      <c r="AD12" s="20" t="n">
        <v>2016</v>
      </c>
      <c r="AE12" s="21">
        <f>P13/AA12-1</f>
        <v/>
      </c>
      <c r="AF12" s="21">
        <f>Q13/P13-1</f>
        <v/>
      </c>
      <c r="AG12" s="21">
        <f>R13/Q13-1</f>
        <v/>
      </c>
      <c r="AH12" s="21">
        <f>S13/R13-1</f>
        <v/>
      </c>
      <c r="AI12" s="21">
        <f>T13/S13-1</f>
        <v/>
      </c>
      <c r="AJ12" s="21">
        <f>U13/T13-1</f>
        <v/>
      </c>
      <c r="AK12" s="21">
        <f>V13/U13-1</f>
        <v/>
      </c>
      <c r="AL12" s="21">
        <f>W13/V13-1</f>
        <v/>
      </c>
      <c r="AM12" s="21">
        <f>X13/W13-1</f>
        <v/>
      </c>
      <c r="AN12" s="21">
        <f>Y13/X13-1</f>
        <v/>
      </c>
      <c r="AO12" s="21">
        <f>Z13/Y13-1</f>
        <v/>
      </c>
      <c r="AP12" s="21">
        <f>AA13/Z13-1</f>
        <v/>
      </c>
      <c r="AQ12" s="22">
        <f>AA13/AA12-1</f>
        <v/>
      </c>
      <c r="AR12" s="31" t="n"/>
      <c r="AS12" s="15" t="n"/>
    </row>
    <row r="13">
      <c r="A13" s="23" t="n">
        <v>39021</v>
      </c>
      <c r="B13" s="112" t="n">
        <v>11413.02</v>
      </c>
      <c r="C13" s="30">
        <f>+(B13/B12-1)/(A13-A12)*30</f>
        <v/>
      </c>
      <c r="D13" s="25" t="n">
        <v>104.198613365665</v>
      </c>
      <c r="E13" s="25" t="n"/>
      <c r="F13" s="25" t="n"/>
      <c r="O13" s="9" t="n">
        <v>2016</v>
      </c>
      <c r="P13" s="112" t="n">
        <v>16845.59</v>
      </c>
      <c r="Q13" s="112" t="n">
        <v>16896.43</v>
      </c>
      <c r="R13" s="112" t="n">
        <v>16947.43</v>
      </c>
      <c r="S13" s="112" t="n">
        <v>16995.27</v>
      </c>
      <c r="T13" s="112" t="n">
        <v>17048.23</v>
      </c>
      <c r="U13" s="112" t="n">
        <v>17098.02</v>
      </c>
      <c r="V13" s="112" t="n">
        <v>17149.62</v>
      </c>
      <c r="W13" s="112" t="n">
        <v>17201.38</v>
      </c>
      <c r="X13" s="112" t="n">
        <v>17251.69</v>
      </c>
      <c r="Y13" s="112">
        <f>+B135</f>
        <v/>
      </c>
      <c r="Z13" s="112">
        <f>+B136</f>
        <v/>
      </c>
      <c r="AA13" s="112">
        <f>+B137</f>
        <v/>
      </c>
      <c r="AC13" s="12" t="n"/>
      <c r="AD13" s="27" t="n">
        <v>2017</v>
      </c>
      <c r="AE13" s="28">
        <f>P14/AA13-1</f>
        <v/>
      </c>
      <c r="AF13" s="28">
        <f>+Q14/P14-1</f>
        <v/>
      </c>
      <c r="AG13" s="28">
        <f>+R14/Q14-1</f>
        <v/>
      </c>
      <c r="AH13" s="28">
        <f>+S14/R14-1</f>
        <v/>
      </c>
      <c r="AI13" s="28">
        <f>+T14/S14-1</f>
        <v/>
      </c>
      <c r="AJ13" s="28">
        <f>+U14/T14-1</f>
        <v/>
      </c>
      <c r="AK13" s="28">
        <f>+V14/U14-1</f>
        <v/>
      </c>
      <c r="AL13" s="28">
        <f>+W14/V14-1</f>
        <v/>
      </c>
      <c r="AM13" s="28">
        <f>+X14/W14-1</f>
        <v/>
      </c>
      <c r="AN13" s="28">
        <f>+Y14/X14-1</f>
        <v/>
      </c>
      <c r="AO13" s="28">
        <f>+Z14/Y14-1</f>
        <v/>
      </c>
      <c r="AP13" s="28">
        <f>+AA14/Z14-1</f>
        <v/>
      </c>
      <c r="AQ13" s="29">
        <f>AA14/AA13-1</f>
        <v/>
      </c>
      <c r="AR13" s="31" t="n"/>
      <c r="AS13" s="15" t="n"/>
    </row>
    <row r="14">
      <c r="A14" s="23" t="n">
        <v>39051</v>
      </c>
      <c r="B14" s="112" t="n">
        <v>11463.01</v>
      </c>
      <c r="C14" s="30">
        <f>+(B14/B13-1)/(A14-A13)*30</f>
        <v/>
      </c>
      <c r="D14" s="25" t="n">
        <v>104.6550121700261</v>
      </c>
      <c r="E14" s="25" t="n"/>
      <c r="F14" s="25" t="n"/>
      <c r="O14" s="9" t="n">
        <v>2017</v>
      </c>
      <c r="P14" s="112">
        <f>+B138</f>
        <v/>
      </c>
      <c r="Q14" s="112">
        <f>+B139</f>
        <v/>
      </c>
      <c r="R14" s="112">
        <f>+B140</f>
        <v/>
      </c>
      <c r="S14" s="112">
        <f>+B141</f>
        <v/>
      </c>
      <c r="T14" s="112">
        <f>+B142</f>
        <v/>
      </c>
      <c r="U14" s="112">
        <f>+$B143</f>
        <v/>
      </c>
      <c r="V14" s="112">
        <f>+$B144</f>
        <v/>
      </c>
      <c r="W14" s="112">
        <f>+$B145</f>
        <v/>
      </c>
      <c r="X14" s="112">
        <f>+$B146</f>
        <v/>
      </c>
      <c r="Y14" s="112">
        <f>+$B147</f>
        <v/>
      </c>
      <c r="Z14" s="112">
        <f>+$B148</f>
        <v/>
      </c>
      <c r="AA14" s="112">
        <f>+$B149</f>
        <v/>
      </c>
      <c r="AC14" s="12" t="n"/>
      <c r="AD14" s="20" t="n">
        <v>2018</v>
      </c>
      <c r="AE14" s="21">
        <f>P15/AA14-1</f>
        <v/>
      </c>
      <c r="AF14" s="21">
        <f>+Q15/P15-1</f>
        <v/>
      </c>
      <c r="AG14" s="21">
        <f>+R15/Q15-1</f>
        <v/>
      </c>
      <c r="AH14" s="21">
        <f>+S15/R15-1</f>
        <v/>
      </c>
      <c r="AI14" s="21">
        <f>+T15/S15-1</f>
        <v/>
      </c>
      <c r="AJ14" s="21">
        <f>+U15/T15-1</f>
        <v/>
      </c>
      <c r="AK14" s="32">
        <f>+V15/U15-1</f>
        <v/>
      </c>
      <c r="AL14" s="32">
        <f>+W15/V15-1</f>
        <v/>
      </c>
      <c r="AM14" s="32">
        <f>+X15/W15-1</f>
        <v/>
      </c>
      <c r="AN14" s="32">
        <f>+Y15/X15-1</f>
        <v/>
      </c>
      <c r="AO14" s="32">
        <f>+Z15/Y15-1</f>
        <v/>
      </c>
      <c r="AP14" s="32">
        <f>+AA15/Z15-1</f>
        <v/>
      </c>
      <c r="AQ14" s="22">
        <f>+AA15/AA14-1</f>
        <v/>
      </c>
      <c r="AR14" s="31" t="n"/>
      <c r="AS14" s="15" t="n"/>
    </row>
    <row r="15">
      <c r="A15" s="23" t="n">
        <v>39080</v>
      </c>
      <c r="B15" s="112" t="n">
        <v>11512.49</v>
      </c>
      <c r="C15" s="30">
        <f>+(B15/B14-1)/(A15-A14)*30</f>
        <v/>
      </c>
      <c r="D15" s="25" t="n">
        <v>105.106754775343</v>
      </c>
      <c r="E15" s="25" t="n"/>
      <c r="F15" s="25" t="n"/>
      <c r="O15" s="9" t="n">
        <v>2018</v>
      </c>
      <c r="P15" s="9">
        <f>+B150</f>
        <v/>
      </c>
      <c r="Q15" s="9">
        <f>+B151</f>
        <v/>
      </c>
      <c r="R15" s="9">
        <f>+B152</f>
        <v/>
      </c>
      <c r="S15" s="9">
        <f>+B153</f>
        <v/>
      </c>
      <c r="T15" s="24">
        <f>+B154</f>
        <v/>
      </c>
      <c r="U15" s="25">
        <f>+B155</f>
        <v/>
      </c>
      <c r="V15" s="24">
        <f>+B156</f>
        <v/>
      </c>
      <c r="W15" s="24">
        <f>+B157</f>
        <v/>
      </c>
      <c r="X15" s="24">
        <f>+B158</f>
        <v/>
      </c>
      <c r="Y15" s="9">
        <f>+B159</f>
        <v/>
      </c>
      <c r="Z15" s="25">
        <f>+B160</f>
        <v/>
      </c>
      <c r="AA15" s="9">
        <f>+B161</f>
        <v/>
      </c>
      <c r="AC15" s="12" t="n"/>
      <c r="AD15" s="59" t="n">
        <v>2019</v>
      </c>
      <c r="AE15" s="60">
        <f>+P16/AA15-1</f>
        <v/>
      </c>
      <c r="AF15" s="60">
        <f>+Q16/P16-1</f>
        <v/>
      </c>
      <c r="AG15" s="60">
        <f>+R16/Q16-1</f>
        <v/>
      </c>
      <c r="AH15" s="60">
        <f>+S16/R16-1</f>
        <v/>
      </c>
      <c r="AI15" s="60">
        <f>+T16/S16-1</f>
        <v/>
      </c>
      <c r="AJ15" s="60">
        <f>+U16/T16-1</f>
        <v/>
      </c>
      <c r="AK15" s="60">
        <f>+V16/U16-1</f>
        <v/>
      </c>
      <c r="AL15" s="60">
        <f>+W16/V16-1</f>
        <v/>
      </c>
      <c r="AM15" s="60">
        <f>+X16/W16-1</f>
        <v/>
      </c>
      <c r="AN15" s="60">
        <f>+Y16/X16-1</f>
        <v/>
      </c>
      <c r="AO15" s="60">
        <f>+Z16/Y16-1</f>
        <v/>
      </c>
      <c r="AP15" s="60">
        <f>+AA16/Z16-1</f>
        <v/>
      </c>
      <c r="AQ15" s="61">
        <f>+(AA16/AA15-1)/COUNTA(AE15:AP15)*12</f>
        <v/>
      </c>
      <c r="AR15" s="31" t="inlineStr">
        <is>
          <t>(*)</t>
        </is>
      </c>
      <c r="AS15" s="15" t="n"/>
    </row>
    <row r="16">
      <c r="A16" s="23" t="n">
        <v>39113</v>
      </c>
      <c r="B16" s="112" t="n">
        <v>11567.23</v>
      </c>
      <c r="C16" s="30">
        <f>+(B16/B15-1)/(A16-A15)*30</f>
        <v/>
      </c>
      <c r="D16" s="25" t="n">
        <v>105.6065201394303</v>
      </c>
      <c r="E16" s="25" t="n"/>
      <c r="F16" s="25" t="n"/>
      <c r="O16" s="9" t="n">
        <v>2019</v>
      </c>
      <c r="P16" s="9">
        <f>+B162</f>
        <v/>
      </c>
      <c r="Q16" s="9">
        <f>+B163</f>
        <v/>
      </c>
      <c r="R16" s="9">
        <f>+B164</f>
        <v/>
      </c>
      <c r="S16" s="24">
        <f>+B165</f>
        <v/>
      </c>
      <c r="T16" s="9">
        <f>+B166</f>
        <v/>
      </c>
      <c r="U16" s="9">
        <f>+B167</f>
        <v/>
      </c>
      <c r="V16" s="9">
        <f>+B168</f>
        <v/>
      </c>
      <c r="W16" s="9">
        <f>+B169</f>
        <v/>
      </c>
      <c r="X16" s="9">
        <f>+B170</f>
        <v/>
      </c>
      <c r="Y16" s="9">
        <f>+B171</f>
        <v/>
      </c>
      <c r="Z16" s="9">
        <f>+B172</f>
        <v/>
      </c>
      <c r="AA16" s="9">
        <f>+B173</f>
        <v/>
      </c>
      <c r="AC16" s="12" t="n"/>
      <c r="AD16" s="59" t="n">
        <v>2020</v>
      </c>
      <c r="AE16" s="60">
        <f>+(P17/AA16-1)</f>
        <v/>
      </c>
      <c r="AF16" s="60">
        <f>+(Q17/P17-1)</f>
        <v/>
      </c>
      <c r="AG16" s="60">
        <f>+(R17/Q17-1)</f>
        <v/>
      </c>
      <c r="AH16" s="60">
        <f>+(S17/R17-1)</f>
        <v/>
      </c>
      <c r="AI16" s="60">
        <f>+(T17/S17-1)</f>
        <v/>
      </c>
      <c r="AJ16" s="60">
        <f>+(U17/T17-1)</f>
        <v/>
      </c>
      <c r="AK16" s="60">
        <f>+(V17/U17-1)</f>
        <v/>
      </c>
      <c r="AL16" s="60">
        <f>+(W17/V17-1)</f>
        <v/>
      </c>
      <c r="AM16" s="60">
        <f>+(X17/W17-1)</f>
        <v/>
      </c>
      <c r="AN16" s="60">
        <f>+(Y17/X17-1)</f>
        <v/>
      </c>
      <c r="AO16" s="60">
        <f>+(Z17/Y17-1)</f>
        <v/>
      </c>
      <c r="AP16" s="60">
        <f>+(AA17/Z17-1)</f>
        <v/>
      </c>
      <c r="AQ16" s="61">
        <f>+(AA17/AA16-1)/COUNTA(AE16:AP16)*12</f>
        <v/>
      </c>
      <c r="AR16" s="15" t="n"/>
      <c r="AS16" s="15" t="n"/>
    </row>
    <row r="17">
      <c r="A17" s="23" t="n">
        <v>39141</v>
      </c>
      <c r="B17" s="112" t="n">
        <v>11612.68</v>
      </c>
      <c r="C17" s="30">
        <f>+(B17/B16-1)/(A17-A16)*30</f>
        <v/>
      </c>
      <c r="D17" s="25" t="n">
        <v>106.0214696424952</v>
      </c>
      <c r="E17" s="25" t="n"/>
      <c r="F17" s="25" t="n"/>
      <c r="O17" s="9" t="n">
        <v>2020</v>
      </c>
      <c r="P17" s="9">
        <f>+B174</f>
        <v/>
      </c>
      <c r="Q17" s="112">
        <f>+B175</f>
        <v/>
      </c>
      <c r="R17" s="112">
        <f>+B176</f>
        <v/>
      </c>
      <c r="S17" s="24">
        <f>+B177</f>
        <v/>
      </c>
      <c r="T17" s="9">
        <f>+B178</f>
        <v/>
      </c>
      <c r="U17" s="9">
        <f>+B179</f>
        <v/>
      </c>
      <c r="V17" s="9">
        <f>+B180</f>
        <v/>
      </c>
      <c r="W17" s="9">
        <f>+B181</f>
        <v/>
      </c>
      <c r="X17" s="9">
        <f>+B182</f>
        <v/>
      </c>
      <c r="Y17" s="25">
        <f>+B183</f>
        <v/>
      </c>
      <c r="Z17" s="25">
        <f>+B184</f>
        <v/>
      </c>
      <c r="AA17" s="9">
        <f>+B185</f>
        <v/>
      </c>
      <c r="AC17" s="12" t="n"/>
      <c r="AD17" s="59" t="n">
        <v>2021</v>
      </c>
      <c r="AE17" s="60">
        <f>+(P18/AA17-1)</f>
        <v/>
      </c>
      <c r="AF17" s="60">
        <f>+(Q18/P18-1)</f>
        <v/>
      </c>
      <c r="AG17" s="60">
        <f>+(R18/Q18-1)</f>
        <v/>
      </c>
      <c r="AH17" s="60">
        <f>+(S18/R18-1)</f>
        <v/>
      </c>
      <c r="AI17" s="60">
        <f>+(T18/S18-1)</f>
        <v/>
      </c>
      <c r="AJ17" s="60">
        <f>+(U18/T18-1)</f>
        <v/>
      </c>
      <c r="AK17" s="60">
        <f>+(V18/U18-1)</f>
        <v/>
      </c>
      <c r="AL17" s="60">
        <f>+(W18/V18-1)</f>
        <v/>
      </c>
      <c r="AM17" s="60">
        <f>+(X18/W18-1)</f>
        <v/>
      </c>
      <c r="AN17" s="60">
        <f>+(Y18/X18-1)</f>
        <v/>
      </c>
      <c r="AO17" s="60">
        <f>+(Z18/Y18-1)</f>
        <v/>
      </c>
      <c r="AP17" s="60">
        <f>+(AA18/Z18-1)</f>
        <v/>
      </c>
      <c r="AQ17" s="61">
        <f>+(AA18/AA17-1)/COUNTA(AE17:AP17)*12</f>
        <v/>
      </c>
      <c r="AR17" s="15" t="n"/>
      <c r="AS17" s="15" t="n"/>
    </row>
    <row r="18">
      <c r="A18" s="23" t="n">
        <v>39171</v>
      </c>
      <c r="B18" s="112" t="n">
        <v>11661.5</v>
      </c>
      <c r="C18" s="30">
        <f>+(B18/B17-1)/(A18-A17)*30</f>
        <v/>
      </c>
      <c r="D18" s="25" t="n">
        <v>106.4671865784606</v>
      </c>
      <c r="E18" s="25" t="n"/>
      <c r="F18" s="25" t="n"/>
      <c r="O18" s="9" t="n">
        <v>2021</v>
      </c>
      <c r="P18" s="9">
        <f>+B186</f>
        <v/>
      </c>
      <c r="Q18" s="9">
        <f>+B187</f>
        <v/>
      </c>
      <c r="R18" s="25">
        <f>+B188</f>
        <v/>
      </c>
      <c r="S18" s="9">
        <f>+B189</f>
        <v/>
      </c>
      <c r="T18" s="9">
        <f>+B190</f>
        <v/>
      </c>
      <c r="U18" s="9">
        <f>+B191</f>
        <v/>
      </c>
      <c r="V18" s="9">
        <f>+B192</f>
        <v/>
      </c>
      <c r="W18" s="9">
        <f>+B193</f>
        <v/>
      </c>
      <c r="X18" s="9">
        <f>+B194</f>
        <v/>
      </c>
      <c r="Y18" s="9">
        <f>+B195</f>
        <v/>
      </c>
      <c r="Z18" s="9">
        <f>+B196</f>
        <v/>
      </c>
      <c r="AA18" s="9">
        <f>+B197</f>
        <v/>
      </c>
      <c r="AC18" s="12" t="n"/>
      <c r="AD18" s="59" t="n">
        <v>2022</v>
      </c>
      <c r="AE18" s="60">
        <f>+(P19/AA18-1)</f>
        <v/>
      </c>
      <c r="AF18" s="60">
        <f>+(Q19/P19-1)</f>
        <v/>
      </c>
      <c r="AG18" s="60">
        <f>+(R19/Q19-1)</f>
        <v/>
      </c>
      <c r="AH18" s="60">
        <f>+(S19/R19-1)</f>
        <v/>
      </c>
      <c r="AI18" s="60">
        <f>+(T19/S19-1)</f>
        <v/>
      </c>
      <c r="AJ18" s="60">
        <f>+(U19/T19-1)</f>
        <v/>
      </c>
      <c r="AK18" s="60">
        <f>+(V19/U19-1)</f>
        <v/>
      </c>
      <c r="AL18" s="60">
        <f>+(W19/V19-1)</f>
        <v/>
      </c>
      <c r="AM18" s="60">
        <f>+(X19/W19-1)</f>
        <v/>
      </c>
      <c r="AN18" s="60">
        <f>+(Y19/X19-1)</f>
        <v/>
      </c>
      <c r="AO18" s="60">
        <f>+(Z19/Y19-1)</f>
        <v/>
      </c>
      <c r="AP18" s="60">
        <f>+(AA19/Z19-1)</f>
        <v/>
      </c>
      <c r="AQ18" s="61">
        <f>+(AA19/AA18-1)/COUNTA(AE18:AP18)*12</f>
        <v/>
      </c>
      <c r="AR18" s="15" t="n"/>
      <c r="AS18" s="15" t="n"/>
      <c r="AV18" s="33" t="n"/>
      <c r="AW18" s="33" t="n"/>
      <c r="AX18" s="33" t="n">
        <v>-1</v>
      </c>
      <c r="AY18" s="33" t="n">
        <v>-3</v>
      </c>
      <c r="AZ18" s="33" t="n">
        <v>-6</v>
      </c>
      <c r="BA18" s="33" t="n">
        <v>-12</v>
      </c>
      <c r="BB18" s="33" t="n"/>
    </row>
    <row r="19">
      <c r="A19" s="23" t="n">
        <v>39202</v>
      </c>
      <c r="B19" s="112" t="n">
        <v>11712.58</v>
      </c>
      <c r="C19" s="30">
        <f>+(B19/B18-1)/(A19-A18)*30</f>
        <v/>
      </c>
      <c r="D19" s="25" t="n">
        <v>106.9335368670536</v>
      </c>
      <c r="E19" s="25" t="n"/>
      <c r="F19" s="25" t="n"/>
      <c r="O19" s="9" t="n">
        <v>2022</v>
      </c>
      <c r="P19" s="9">
        <f>+B198</f>
        <v/>
      </c>
      <c r="Q19" s="9">
        <f>+B199</f>
        <v/>
      </c>
      <c r="R19" s="25">
        <f>+B200</f>
        <v/>
      </c>
      <c r="S19" s="9">
        <f>+B201</f>
        <v/>
      </c>
      <c r="T19" s="9">
        <f>+B202</f>
        <v/>
      </c>
      <c r="U19" s="9">
        <f>+B203</f>
        <v/>
      </c>
      <c r="V19" s="9">
        <f>+B204</f>
        <v/>
      </c>
      <c r="W19" s="9">
        <f>+B205</f>
        <v/>
      </c>
      <c r="X19" s="9">
        <f>+B206</f>
        <v/>
      </c>
      <c r="Y19" s="9">
        <f>+B207</f>
        <v/>
      </c>
      <c r="Z19" s="9">
        <f>+B208</f>
        <v/>
      </c>
      <c r="AA19" s="9">
        <f>+B209</f>
        <v/>
      </c>
      <c r="AC19" s="12" t="n"/>
      <c r="AD19" s="59" t="n">
        <v>2023</v>
      </c>
      <c r="AE19" s="60">
        <f>+(P20/AA19-1)</f>
        <v/>
      </c>
      <c r="AF19" s="60">
        <f>+(Q20/P20-1)</f>
        <v/>
      </c>
      <c r="AG19" s="60">
        <f>+(R20/Q20-1)</f>
        <v/>
      </c>
      <c r="AH19" s="60">
        <f>+(S20/R20-1)</f>
        <v/>
      </c>
      <c r="AI19" s="60">
        <f>+(T20/S20-1)</f>
        <v/>
      </c>
      <c r="AJ19" s="60">
        <f>+(U20/T20-1)</f>
        <v/>
      </c>
      <c r="AK19" s="60">
        <f>+(V20/U20-1)</f>
        <v/>
      </c>
      <c r="AL19" s="60">
        <f>+(W20/V20-1)</f>
        <v/>
      </c>
      <c r="AM19" s="60">
        <f>+(X20/W20-1)</f>
        <v/>
      </c>
      <c r="AN19" s="60">
        <f>+(Y20/X20-1)</f>
        <v/>
      </c>
      <c r="AO19" s="60">
        <f>+(Z20/Y20-1)</f>
        <v/>
      </c>
      <c r="AP19" s="60">
        <f>+(AA20/Z20-1)</f>
        <v/>
      </c>
      <c r="AQ19" s="61">
        <f>+(AA20/AA19-1)/COUNTA(AE19:AP19)*12</f>
        <v/>
      </c>
      <c r="AR19" s="15" t="n"/>
      <c r="AS19" s="15" t="n"/>
      <c r="AV19" s="35" t="inlineStr">
        <is>
          <t>Ingresar mes actual==&gt;</t>
        </is>
      </c>
      <c r="AW19" s="73" t="n">
        <v>46203</v>
      </c>
      <c r="AX19" s="36">
        <f>EOMONTH($AW19,AX18)</f>
        <v/>
      </c>
      <c r="AY19" s="36">
        <f>EOMONTH($AW19,AY18)</f>
        <v/>
      </c>
      <c r="AZ19" s="36">
        <f>EOMONTH($AW19,AZ18)</f>
        <v/>
      </c>
      <c r="BA19" s="36">
        <f>EOMONTH($AW19,BA18)</f>
        <v/>
      </c>
      <c r="BB19" s="36" t="n">
        <v>43100</v>
      </c>
    </row>
    <row r="20">
      <c r="A20" s="23" t="n">
        <v>39233</v>
      </c>
      <c r="B20" s="112" t="n">
        <v>11763.78</v>
      </c>
      <c r="C20" s="30">
        <f>+(B20/B19-1)/(A20-A19)*30</f>
        <v/>
      </c>
      <c r="D20" s="25" t="n">
        <v>107.4009827318924</v>
      </c>
      <c r="E20" s="25" t="n"/>
      <c r="F20" s="25" t="n"/>
      <c r="O20" s="9" t="n">
        <v>2023</v>
      </c>
      <c r="P20" s="9">
        <f>+B210</f>
        <v/>
      </c>
      <c r="Q20" s="9">
        <f>+B211</f>
        <v/>
      </c>
      <c r="R20" s="25">
        <f>+B212</f>
        <v/>
      </c>
      <c r="S20" s="9">
        <f>+B213</f>
        <v/>
      </c>
      <c r="T20" s="9">
        <f>+B214</f>
        <v/>
      </c>
      <c r="U20" s="9">
        <f>+B215</f>
        <v/>
      </c>
      <c r="V20" s="9">
        <f>+B216</f>
        <v/>
      </c>
      <c r="W20" s="9">
        <f>+B217</f>
        <v/>
      </c>
      <c r="X20" s="9">
        <f>+B218</f>
        <v/>
      </c>
      <c r="Y20" s="25">
        <f>+B219</f>
        <v/>
      </c>
      <c r="Z20" s="9">
        <f>+B220</f>
        <v/>
      </c>
      <c r="AA20" s="9">
        <f>+B221</f>
        <v/>
      </c>
      <c r="AC20" s="12" t="n"/>
      <c r="AD20" s="59" t="n">
        <v>2024</v>
      </c>
      <c r="AE20" s="60">
        <f>+(P21/AA20-1)</f>
        <v/>
      </c>
      <c r="AF20" s="60">
        <f>+(Q21/P21-1)</f>
        <v/>
      </c>
      <c r="AG20" s="60">
        <f>+(R21/Q21-1)</f>
        <v/>
      </c>
      <c r="AH20" s="60">
        <f>+(S21/R21-1)</f>
        <v/>
      </c>
      <c r="AI20" s="60">
        <f>+(T21/S21-1)</f>
        <v/>
      </c>
      <c r="AJ20" s="60">
        <f>+(U21/T21-1)</f>
        <v/>
      </c>
      <c r="AK20" s="60">
        <f>+(V21/U21-1)</f>
        <v/>
      </c>
      <c r="AL20" s="60">
        <f>+(W21/V21-1)</f>
        <v/>
      </c>
      <c r="AM20" s="60">
        <f>+(X21/W21-1)</f>
        <v/>
      </c>
      <c r="AN20" s="60">
        <f>+(Y21/X21-1)</f>
        <v/>
      </c>
      <c r="AO20" s="60">
        <f>+(Z21/Y21-1)</f>
        <v/>
      </c>
      <c r="AP20" s="60">
        <f>+(AA21/Z21-1)</f>
        <v/>
      </c>
      <c r="AQ20" s="61">
        <f>+(AA21/AA20-1)/COUNTA(AE20:AP20)*12</f>
        <v/>
      </c>
      <c r="AV20" s="33" t="inlineStr">
        <is>
          <t>ICP</t>
        </is>
      </c>
      <c r="AW20" s="38">
        <f>LOOKUP(AW19,$A$3:$A$2973,$B$3:$B$2973)</f>
        <v/>
      </c>
      <c r="AX20" s="38">
        <f>LOOKUP(AX19,$A$3:$A$2973,$B$3:$B$2973)</f>
        <v/>
      </c>
      <c r="AY20" s="38">
        <f>LOOKUP(AY19,$A$3:$A$2973,$B$3:$B$2973)</f>
        <v/>
      </c>
      <c r="AZ20" s="38">
        <f>LOOKUP(AZ19,$A$3:$A$2973,$B$3:$B$2973)</f>
        <v/>
      </c>
      <c r="BA20" s="38">
        <f>LOOKUP(BA19,$A$3:$A$2973,$B$3:$B$2973)</f>
        <v/>
      </c>
      <c r="BB20" s="38">
        <f>LOOKUP(BB19,$A$3:$A$2973,$B$3:$B$2973)</f>
        <v/>
      </c>
    </row>
    <row r="21">
      <c r="A21" s="23" t="n">
        <v>39262</v>
      </c>
      <c r="B21" s="112" t="n">
        <v>11812.23</v>
      </c>
      <c r="C21" s="30">
        <f>+(B21/B20-1)/(A21-A20)*30</f>
        <v/>
      </c>
      <c r="D21" s="25" t="n">
        <v>107.8433216411002</v>
      </c>
      <c r="E21" s="25" t="n"/>
      <c r="F21" s="25" t="n"/>
      <c r="O21" s="9" t="n">
        <v>2024</v>
      </c>
      <c r="P21" s="9">
        <f>+B222</f>
        <v/>
      </c>
      <c r="Q21" s="9">
        <f>+B223</f>
        <v/>
      </c>
      <c r="R21" s="25">
        <f>+B224</f>
        <v/>
      </c>
      <c r="S21" s="9">
        <f>+B225</f>
        <v/>
      </c>
      <c r="T21" s="9">
        <f>+B226</f>
        <v/>
      </c>
      <c r="U21" s="25">
        <f>+B227</f>
        <v/>
      </c>
      <c r="V21" s="9">
        <f>+B228</f>
        <v/>
      </c>
      <c r="W21" s="9">
        <f>+B229</f>
        <v/>
      </c>
      <c r="X21" s="9">
        <f>+B230</f>
        <v/>
      </c>
      <c r="Y21" s="25">
        <f>+B231</f>
        <v/>
      </c>
      <c r="Z21" s="9">
        <f>+B232</f>
        <v/>
      </c>
      <c r="AA21" s="9">
        <f>+B233</f>
        <v/>
      </c>
      <c r="AC21" s="12" t="n"/>
      <c r="AD21" s="59" t="n">
        <v>2025</v>
      </c>
      <c r="AE21" s="60">
        <f>+(P22/AA21-1)</f>
        <v/>
      </c>
      <c r="AF21" s="60">
        <f>+(Q22/P22-1)</f>
        <v/>
      </c>
      <c r="AG21" s="60">
        <f>+(R22/Q22-1)</f>
        <v/>
      </c>
      <c r="AH21" s="60">
        <f>+(S22/R22-1)</f>
        <v/>
      </c>
      <c r="AI21" s="60">
        <f>+(T22/S22-1)</f>
        <v/>
      </c>
      <c r="AJ21" s="60">
        <f>+(U22/T22-1)</f>
        <v/>
      </c>
      <c r="AK21" s="60">
        <f>+(V22/U22-1)</f>
        <v/>
      </c>
      <c r="AL21" s="60">
        <f>+(W22/V22-1)</f>
        <v/>
      </c>
      <c r="AM21" s="60">
        <f>+(X22/W22-1)</f>
        <v/>
      </c>
      <c r="AN21" s="60">
        <f>+(Y22/X22-1)</f>
        <v/>
      </c>
      <c r="AO21" s="60">
        <f>+(Z22/Y22-1)</f>
        <v/>
      </c>
      <c r="AP21" s="60">
        <f>+(AA22/Z22-1)</f>
        <v/>
      </c>
      <c r="AQ21" s="61">
        <f>+(AA22/P22-1)/COUNTA(AE21:AP21)*12</f>
        <v/>
      </c>
      <c r="AV21" s="33" t="inlineStr">
        <is>
          <t>Competencia</t>
        </is>
      </c>
      <c r="AW21" s="38">
        <f>LOOKUP(AW19,$F$2:$F$2974,$K$2:$K$2974)</f>
        <v/>
      </c>
      <c r="AX21" s="38">
        <f>LOOKUP(AX19,$F$2:$F$2974,$K$2:$K$2974)</f>
        <v/>
      </c>
      <c r="AY21" s="38">
        <f>LOOKUP(AY19,$F$2:$F$2974,$K$2:$K$2974)</f>
        <v/>
      </c>
      <c r="AZ21" s="38">
        <f>LOOKUP(AZ19,$F$2:$F$2974,$K$2:$K$2974)</f>
        <v/>
      </c>
      <c r="BA21" s="38">
        <f>LOOKUP(BA19,$F$2:$F$2974,$K$2:$K$2974)</f>
        <v/>
      </c>
      <c r="BB21" s="38">
        <f>LOOKUP(BB19,$F$2:$F$2974,$K$2:$K$2974)</f>
        <v/>
      </c>
    </row>
    <row r="22">
      <c r="A22" s="23" t="n">
        <v>39294</v>
      </c>
      <c r="B22" s="112" t="n">
        <v>11866.53</v>
      </c>
      <c r="C22" s="30">
        <f>+(B22/B21-1)/(A22-A21)*30</f>
        <v/>
      </c>
      <c r="D22" s="25" t="n">
        <v>108.3390698922866</v>
      </c>
      <c r="E22" s="25" t="n"/>
      <c r="F22" s="25" t="n"/>
      <c r="O22" s="9" t="n">
        <v>2025</v>
      </c>
      <c r="P22" s="9">
        <f>+B234</f>
        <v/>
      </c>
      <c r="Q22" s="9">
        <f>+B235</f>
        <v/>
      </c>
      <c r="R22" s="25">
        <f>+B236</f>
        <v/>
      </c>
      <c r="S22" s="9">
        <f>+B237</f>
        <v/>
      </c>
      <c r="T22" s="9">
        <f>+B238</f>
        <v/>
      </c>
      <c r="U22" s="25">
        <f>+B239</f>
        <v/>
      </c>
      <c r="V22" s="9">
        <f>+B240</f>
        <v/>
      </c>
      <c r="W22" s="9">
        <f>+B241</f>
        <v/>
      </c>
      <c r="X22" s="9">
        <f>+B242</f>
        <v/>
      </c>
      <c r="Y22" s="25">
        <f>+B243</f>
        <v/>
      </c>
      <c r="Z22" s="9">
        <f>+B244</f>
        <v/>
      </c>
      <c r="AA22" s="9">
        <f>+B245</f>
        <v/>
      </c>
      <c r="AD22" s="59" t="n">
        <v>2026</v>
      </c>
      <c r="AE22" s="60">
        <f>+(P23/AA22-1)</f>
        <v/>
      </c>
      <c r="AF22" s="60">
        <f>+(Q23/P23-1)</f>
        <v/>
      </c>
      <c r="AG22" s="60">
        <f>+(R23/Q23-1)</f>
        <v/>
      </c>
      <c r="AH22" s="60">
        <f>+(S23/R23-1)</f>
        <v/>
      </c>
      <c r="AI22" s="15">
        <f>+T23/S23-1</f>
        <v/>
      </c>
      <c r="AJ22" s="15">
        <f>+U23/T23-1</f>
        <v/>
      </c>
      <c r="AK22" s="15" t="n"/>
      <c r="AL22" s="15" t="n"/>
      <c r="AM22" s="15" t="n"/>
      <c r="AN22" s="15" t="n"/>
      <c r="AO22" s="15" t="n"/>
      <c r="AP22" s="15" t="n"/>
      <c r="AQ22" s="61">
        <f>+(U23/P23-1)/COUNTA(AE22:AJ22)*12</f>
        <v/>
      </c>
      <c r="AV22" s="33" t="inlineStr">
        <is>
          <t>FIP Liquidez Caja</t>
        </is>
      </c>
      <c r="AW22" s="38">
        <f>LOOKUP(AW19,$F$2:$F$2972,$H$2:$H$2972)</f>
        <v/>
      </c>
      <c r="AX22" s="38">
        <f>LOOKUP(AX19,$F$2:$F$2972,$H$2:$H$2972)</f>
        <v/>
      </c>
      <c r="AY22" s="38">
        <f>LOOKUP(AY19,$F$2:$F$2972,$H$2:$H$2972)</f>
        <v/>
      </c>
      <c r="AZ22" s="38">
        <f>LOOKUP(AZ19,$F$2:$F$2972,$H$2:$H$2972)</f>
        <v/>
      </c>
      <c r="BA22" s="38">
        <f>LOOKUP(BA19,$F$2:$F$2972,$H$2:$H$2972)</f>
        <v/>
      </c>
      <c r="BB22" s="38">
        <f>LOOKUP(BB19,$F$2:$F$2972,$H$2:$H$2972)</f>
        <v/>
      </c>
    </row>
    <row r="23">
      <c r="A23" s="23" t="n"/>
      <c r="B23" s="112" t="n"/>
      <c r="C23" s="30" t="n"/>
      <c r="D23" s="25" t="n"/>
      <c r="E23" s="25" t="n"/>
      <c r="F23" s="25" t="n"/>
      <c r="O23" s="9" t="n">
        <v>2026</v>
      </c>
      <c r="P23" s="9">
        <f>+B246</f>
        <v/>
      </c>
      <c r="Q23" s="9">
        <f>+B247</f>
        <v/>
      </c>
      <c r="R23" s="25">
        <f>+B248</f>
        <v/>
      </c>
      <c r="S23" s="9">
        <f>+B249</f>
        <v/>
      </c>
      <c r="T23">
        <f>+B250</f>
        <v/>
      </c>
      <c r="U23" s="25">
        <f>+B251</f>
        <v/>
      </c>
      <c r="Y23" s="25" t="n"/>
      <c r="AD23" s="31" t="inlineStr">
        <is>
          <t>(*) Acum a Mar</t>
        </is>
      </c>
      <c r="AE23" s="15" t="n"/>
      <c r="AF23" s="15" t="n"/>
      <c r="AG23" s="15" t="n"/>
      <c r="AH23" s="15" t="n"/>
      <c r="AI23" s="15" t="n"/>
      <c r="AJ23" s="15" t="n"/>
      <c r="AK23" s="15" t="n"/>
      <c r="AL23" s="15" t="n"/>
      <c r="AM23" s="15" t="n"/>
      <c r="AN23" s="15" t="n"/>
      <c r="AO23" s="15" t="n"/>
      <c r="AP23" s="15" t="n"/>
      <c r="AQ23" s="15" t="n"/>
      <c r="AV23" s="33" t="n"/>
      <c r="AW23" s="38" t="n"/>
      <c r="AX23" s="38" t="n"/>
      <c r="AY23" s="38" t="n"/>
      <c r="AZ23" s="38" t="n"/>
      <c r="BA23" s="38" t="n"/>
      <c r="BB23" s="38" t="n"/>
    </row>
    <row r="24">
      <c r="A24" s="23" t="n">
        <v>39325</v>
      </c>
      <c r="B24" s="112" t="n">
        <v>11922.48</v>
      </c>
      <c r="C24" s="30">
        <f>+(B24/B22-1)/(A24-A22)*30</f>
        <v/>
      </c>
      <c r="D24" s="25" t="n">
        <v>108.8498823168516</v>
      </c>
      <c r="E24" s="25" t="n"/>
      <c r="F24" s="25" t="n"/>
      <c r="P24" s="16" t="n">
        <v>31</v>
      </c>
      <c r="Q24" s="16" t="n">
        <v>28</v>
      </c>
      <c r="R24" s="16" t="n">
        <v>31</v>
      </c>
      <c r="S24" s="16" t="n">
        <v>30</v>
      </c>
      <c r="T24" s="16" t="n">
        <v>31</v>
      </c>
      <c r="U24" s="16" t="n">
        <v>30</v>
      </c>
      <c r="V24" s="16" t="n">
        <v>31</v>
      </c>
      <c r="W24" s="16" t="n">
        <v>31</v>
      </c>
      <c r="X24" s="16" t="n">
        <v>30</v>
      </c>
      <c r="Y24" s="16" t="n">
        <v>31</v>
      </c>
      <c r="Z24" s="16" t="n">
        <v>30</v>
      </c>
      <c r="AA24" s="16" t="n">
        <v>31</v>
      </c>
      <c r="AR24" s="15" t="n"/>
      <c r="AS24" s="15" t="n"/>
      <c r="AV24" s="33" t="n"/>
      <c r="AW24" s="33" t="n"/>
      <c r="AX24" s="33" t="n"/>
      <c r="AY24" s="33" t="n"/>
      <c r="AZ24" s="33" t="n"/>
      <c r="BA24" s="33" t="n"/>
      <c r="BB24" s="33" t="n"/>
    </row>
    <row r="25">
      <c r="A25" s="23" t="n">
        <v>39353</v>
      </c>
      <c r="B25" s="112" t="n">
        <v>11975.61</v>
      </c>
      <c r="C25" s="30">
        <f>+(B25/B24-1)/(A25-A24)*30</f>
        <v/>
      </c>
      <c r="D25" s="25" t="n">
        <v>109.3349486996423</v>
      </c>
      <c r="E25" s="25" t="n"/>
      <c r="F25" s="25" t="n"/>
      <c r="P25" s="16" t="n">
        <v>1</v>
      </c>
      <c r="Q25" s="16" t="n">
        <v>2</v>
      </c>
      <c r="R25" s="16" t="n">
        <v>3</v>
      </c>
      <c r="S25" s="16" t="n">
        <v>4</v>
      </c>
      <c r="T25" s="16" t="n">
        <v>5</v>
      </c>
      <c r="U25" s="16" t="n">
        <v>6</v>
      </c>
      <c r="V25" s="16" t="n">
        <v>7</v>
      </c>
      <c r="W25" s="16" t="n">
        <v>8</v>
      </c>
      <c r="X25" s="16" t="n">
        <v>9</v>
      </c>
      <c r="Y25" s="16" t="n">
        <v>10</v>
      </c>
      <c r="Z25" s="16" t="n">
        <v>11</v>
      </c>
      <c r="AA25" s="16" t="n">
        <v>12</v>
      </c>
      <c r="AR25" s="31" t="n"/>
      <c r="AS25" s="15" t="n"/>
    </row>
    <row r="26">
      <c r="A26" s="23" t="n">
        <v>39386</v>
      </c>
      <c r="B26" s="112" t="n">
        <v>12038.9</v>
      </c>
      <c r="C26" s="30">
        <f>+(B26/B25-1)/(A26-A25)*30</f>
        <v/>
      </c>
      <c r="D26" s="25" t="n">
        <v>109.9127738712369</v>
      </c>
      <c r="E26" s="25" t="n"/>
      <c r="F26" s="25" t="n"/>
      <c r="O26" s="37" t="inlineStr">
        <is>
          <t>Fondo Liquidez Caja</t>
        </is>
      </c>
      <c r="P26" s="9" t="inlineStr">
        <is>
          <t>Ene</t>
        </is>
      </c>
      <c r="Q26" s="9" t="inlineStr">
        <is>
          <t>Feb</t>
        </is>
      </c>
      <c r="R26" s="9" t="inlineStr">
        <is>
          <t>Mar</t>
        </is>
      </c>
      <c r="S26" s="9" t="inlineStr">
        <is>
          <t>Abr</t>
        </is>
      </c>
      <c r="T26" s="9" t="inlineStr">
        <is>
          <t>May</t>
        </is>
      </c>
      <c r="U26" s="9" t="inlineStr">
        <is>
          <t>Jun</t>
        </is>
      </c>
      <c r="V26" s="9" t="inlineStr">
        <is>
          <t>Jul</t>
        </is>
      </c>
      <c r="W26" s="9" t="inlineStr">
        <is>
          <t>Ago</t>
        </is>
      </c>
      <c r="X26" s="9" t="inlineStr">
        <is>
          <t>Sep</t>
        </is>
      </c>
      <c r="Y26" s="9" t="inlineStr">
        <is>
          <t>Oct</t>
        </is>
      </c>
      <c r="Z26" s="9" t="inlineStr">
        <is>
          <t>Nov</t>
        </is>
      </c>
      <c r="AA26" s="9" t="inlineStr">
        <is>
          <t>Dic</t>
        </is>
      </c>
    </row>
    <row r="27" ht="15.75" customHeight="1">
      <c r="A27" s="23" t="n">
        <v>39416</v>
      </c>
      <c r="B27" s="112" t="n">
        <v>12096.85</v>
      </c>
      <c r="C27" s="30">
        <f>+(B27/B26-1)/(A27-A26)*30</f>
        <v/>
      </c>
      <c r="D27" s="25" t="n">
        <v>110.4418458998972</v>
      </c>
      <c r="E27" s="25" t="n"/>
      <c r="F27" s="25" t="n"/>
      <c r="O27" s="9" t="n">
        <v>2016</v>
      </c>
      <c r="P27" s="112" t="n"/>
      <c r="Q27" s="112" t="n"/>
      <c r="R27" s="112" t="n"/>
      <c r="S27" s="112" t="n"/>
      <c r="T27" s="112" t="n"/>
      <c r="U27" s="113">
        <f>LOOKUP(DATE($O27,U$25,U$24),$A$2:$A$2943,$H$2:$H$2943)</f>
        <v/>
      </c>
      <c r="V27" s="113">
        <f>LOOKUP(DATE($O27,V$25,V$24),$A$2:$A$2943,$H$2:$H$2943)</f>
        <v/>
      </c>
      <c r="W27" s="113">
        <f>LOOKUP(DATE($O27,W$25,W$24),$A$2:$A$2943,$H$2:$H$2943)</f>
        <v/>
      </c>
      <c r="X27" s="113">
        <f>LOOKUP(DATE($O27,X$25,X$24),$A$2:$A$2943,$H$2:$H$2943)</f>
        <v/>
      </c>
      <c r="Y27" s="113">
        <f>LOOKUP(DATE($O27,Y$25,Y$24),$A$2:$A$2943,$H$2:$H$2943)</f>
        <v/>
      </c>
      <c r="Z27" s="113">
        <f>LOOKUP(DATE($O27,Z$25,Z$24),$A$2:$A$2943,$H$2:$H$2943)</f>
        <v/>
      </c>
      <c r="AA27" s="113">
        <f>LOOKUP(DATE($O27,AA$25,AA$24),$A$2:$A$2943,$H$2:$H$2943)</f>
        <v/>
      </c>
      <c r="AD27" s="34" t="inlineStr">
        <is>
          <t>Liquidez Caja</t>
        </is>
      </c>
      <c r="AE27" s="14" t="inlineStr">
        <is>
          <t>Ene</t>
        </is>
      </c>
      <c r="AF27" s="14" t="inlineStr">
        <is>
          <t>Feb</t>
        </is>
      </c>
      <c r="AG27" s="14" t="inlineStr">
        <is>
          <t>Mar</t>
        </is>
      </c>
      <c r="AH27" s="14" t="inlineStr">
        <is>
          <t>Abr</t>
        </is>
      </c>
      <c r="AI27" s="14" t="inlineStr">
        <is>
          <t>May</t>
        </is>
      </c>
      <c r="AJ27" s="14" t="inlineStr">
        <is>
          <t>Jun</t>
        </is>
      </c>
      <c r="AK27" s="14" t="inlineStr">
        <is>
          <t>Jul</t>
        </is>
      </c>
      <c r="AL27" s="14" t="inlineStr">
        <is>
          <t>Ago</t>
        </is>
      </c>
      <c r="AM27" s="14" t="inlineStr">
        <is>
          <t>Sep</t>
        </is>
      </c>
      <c r="AN27" s="14" t="inlineStr">
        <is>
          <t>Oct</t>
        </is>
      </c>
      <c r="AO27" s="14" t="inlineStr">
        <is>
          <t>Nov</t>
        </is>
      </c>
      <c r="AP27" s="14" t="inlineStr">
        <is>
          <t>Dic</t>
        </is>
      </c>
      <c r="AQ27" s="14" t="inlineStr">
        <is>
          <t>Total Año</t>
        </is>
      </c>
      <c r="AR27" s="15" t="n"/>
      <c r="AS27" s="15" t="n"/>
      <c r="AV27" s="40" t="n"/>
      <c r="AW27" s="40" t="n"/>
      <c r="AX27" s="40" t="n"/>
      <c r="AY27" s="40" t="n"/>
      <c r="AZ27" s="40" t="n"/>
      <c r="BA27" s="40" t="n"/>
      <c r="BB27" s="40" t="n"/>
      <c r="BC27" s="40" t="n"/>
    </row>
    <row r="28">
      <c r="A28" s="23" t="n">
        <v>39447</v>
      </c>
      <c r="B28" s="112" t="n">
        <v>12152.6</v>
      </c>
      <c r="C28" s="30">
        <f>+(B28/B27-1)/(A28-A27)*30</f>
        <v/>
      </c>
      <c r="D28" s="25" t="n">
        <v>110.9508323640527</v>
      </c>
      <c r="E28" s="25" t="n"/>
      <c r="F28" s="25" t="n"/>
      <c r="O28" s="9" t="n">
        <v>2017</v>
      </c>
      <c r="P28" s="113">
        <f>LOOKUP(DATE($O28,P$25,P$24),$A$2:$A$2943,$H$2:$H$2943)</f>
        <v/>
      </c>
      <c r="Q28" s="113">
        <f>LOOKUP(DATE($O28,Q$25,Q$24),$A$2:$A$2943,$H$2:$H$2943)</f>
        <v/>
      </c>
      <c r="R28" s="113">
        <f>LOOKUP(DATE($O28,R$25,R$24),$A$2:$A$2943,$H$2:$H$2943)</f>
        <v/>
      </c>
      <c r="S28" s="113">
        <f>LOOKUP(DATE($O28,S$25,S$24),$A$2:$A$2943,$H$2:$H$2943)</f>
        <v/>
      </c>
      <c r="T28" s="113">
        <f>LOOKUP(DATE($O28,T$25,T$24),$A$2:$A$2943,$H$2:$H$2943)</f>
        <v/>
      </c>
      <c r="U28" s="113">
        <f>LOOKUP(DATE($O28,U$25,U$24),$A$2:$A$2943,$H$2:$H$2943)</f>
        <v/>
      </c>
      <c r="V28" s="113">
        <f>LOOKUP(DATE($O28,V$25,V$24),$A$2:$A$2943,$H$2:$H$2943)</f>
        <v/>
      </c>
      <c r="W28" s="113">
        <f>LOOKUP(DATE($O28,W$25,W$24),$A$2:$A$2943,$H$2:$H$2943)</f>
        <v/>
      </c>
      <c r="X28" s="113">
        <f>LOOKUP(DATE($O28,X$25,X$24),$A$2:$A$2943,$H$2:$H$2943)</f>
        <v/>
      </c>
      <c r="Y28" s="113">
        <f>LOOKUP(DATE($O28,Y$25,Y$24),$A$2:$A$2943,$H$2:$H$2943)</f>
        <v/>
      </c>
      <c r="Z28" s="113">
        <f>LOOKUP(DATE($O28,Z$25,Z$24),$A$2:$A$2943,$H$2:$H$2943)</f>
        <v/>
      </c>
      <c r="AA28" s="113">
        <f>LOOKUP(DATE($O28,AA$25,AA$24),$A$2:$A$2943,$H$2:$H$2943)</f>
        <v/>
      </c>
      <c r="AD28" s="20" t="n">
        <v>2016</v>
      </c>
      <c r="AE28" s="21" t="n"/>
      <c r="AF28" s="21" t="n"/>
      <c r="AG28" s="21" t="n"/>
      <c r="AH28" s="21" t="n"/>
      <c r="AI28" s="21" t="n"/>
      <c r="AJ28" s="21" t="n"/>
      <c r="AK28" s="21" t="n"/>
      <c r="AL28" s="21" t="n"/>
      <c r="AM28" s="21" t="n"/>
      <c r="AN28" s="21" t="n"/>
      <c r="AO28" s="21" t="n"/>
      <c r="AP28" s="21" t="n"/>
      <c r="AQ28" s="22" t="n"/>
      <c r="AR28" s="31" t="inlineStr">
        <is>
          <t>(*)</t>
        </is>
      </c>
      <c r="AS28" s="15" t="n"/>
      <c r="AV28" s="41" t="n"/>
      <c r="AW28" s="42" t="inlineStr">
        <is>
          <t>Rentabilidad</t>
        </is>
      </c>
      <c r="AX28" s="42" t="inlineStr">
        <is>
          <t>Mensual</t>
        </is>
      </c>
      <c r="AY28" s="42" t="inlineStr">
        <is>
          <t>Trimestral</t>
        </is>
      </c>
      <c r="AZ28" s="42" t="inlineStr">
        <is>
          <t>Semestral</t>
        </is>
      </c>
      <c r="BA28" s="42" t="inlineStr">
        <is>
          <t>Anual</t>
        </is>
      </c>
      <c r="BB28" s="42" t="inlineStr">
        <is>
          <t>Acum. 2026</t>
        </is>
      </c>
      <c r="BC28" s="43" t="n"/>
      <c r="BD28" s="44" t="n"/>
    </row>
    <row r="29">
      <c r="A29" s="23" t="n">
        <v>39478</v>
      </c>
      <c r="B29" s="112" t="n">
        <v>12223.14</v>
      </c>
      <c r="C29" s="30">
        <f>+(B29/B28-1)/(A29-A28)*30</f>
        <v/>
      </c>
      <c r="D29" s="25" t="n">
        <v>111.5948486004926</v>
      </c>
      <c r="E29" s="25" t="n"/>
      <c r="F29" s="25" t="n"/>
      <c r="O29" s="9" t="n">
        <v>2018</v>
      </c>
      <c r="P29" s="113">
        <f>LOOKUP(DATE($O29,P$25,P$24),$A$2:$A$2943,$H$2:$H$2943)</f>
        <v/>
      </c>
      <c r="Q29" s="113">
        <f>LOOKUP(DATE($O29,Q$25,Q$24),$A$2:$A$2943,$H$2:$H$2943)</f>
        <v/>
      </c>
      <c r="R29" s="113">
        <f>LOOKUP(DATE($O29,R$25,R$24),$A$2:$A$2943,$H$2:$H$2943)</f>
        <v/>
      </c>
      <c r="S29" s="113">
        <f>LOOKUP(DATE($O29,S$25,S$24),$A$2:$A$2943,$H$2:$H$2943)</f>
        <v/>
      </c>
      <c r="T29" s="113">
        <f>LOOKUP(DATE($O29,T$25,T$24),$A$2:$A$2943,$H$2:$H$2943)</f>
        <v/>
      </c>
      <c r="U29" s="113">
        <f>LOOKUP(DATE($O29,U$25,U$24),$A$2:$A$2943,$H$2:$H$2943)</f>
        <v/>
      </c>
      <c r="V29" s="113">
        <f>LOOKUP(DATE($O29,V$25,V$24),$A$2:$A$2943,$H$2:$H$2943)</f>
        <v/>
      </c>
      <c r="W29" s="113">
        <f>LOOKUP(DATE($O29,W$25,W$24),$A$2:$A$2943,$H$2:$H$2943)</f>
        <v/>
      </c>
      <c r="X29" s="113">
        <f>LOOKUP(DATE($O29,X$25,X$24),$A$2:$A$2943,$H$2:$H$2943)</f>
        <v/>
      </c>
      <c r="Y29" s="69" t="n"/>
      <c r="Z29" s="69">
        <f>LOOKUP(DATE($O29,Z$25,Z$24),$A$2:$A$2943,$I$2:$I$2943)</f>
        <v/>
      </c>
      <c r="AA29" s="69">
        <f>LOOKUP(DATE($O29,AA$25,AA$24),$A$2:$A$2943,$I$2:$I$2943)</f>
        <v/>
      </c>
      <c r="AD29" s="27" t="n">
        <v>2017</v>
      </c>
      <c r="AE29" s="28" t="n"/>
      <c r="AF29" s="28" t="n"/>
      <c r="AG29" s="28" t="n"/>
      <c r="AH29" s="28" t="n"/>
      <c r="AI29" s="28" t="n"/>
      <c r="AJ29" s="28" t="n"/>
      <c r="AK29" s="28" t="n"/>
      <c r="AL29" s="28" t="n"/>
      <c r="AM29" s="28" t="n"/>
      <c r="AN29" s="28" t="n"/>
      <c r="AO29" s="28" t="n"/>
      <c r="AP29" s="28" t="n"/>
      <c r="AQ29" s="29" t="n"/>
      <c r="AR29" s="31" t="n"/>
      <c r="AS29" s="31" t="n"/>
      <c r="AV29" s="107" t="n"/>
      <c r="AW29" s="42" t="inlineStr">
        <is>
          <t>ICP (Bechmark)</t>
        </is>
      </c>
      <c r="AX29" s="45">
        <f>($AW20/AX20-1)/(AW19-AX19)*30</f>
        <v/>
      </c>
      <c r="AY29" s="45">
        <f>$AW20/AY20-1</f>
        <v/>
      </c>
      <c r="AZ29" s="45">
        <f>$AW20/AZ20-1</f>
        <v/>
      </c>
      <c r="BA29" s="45">
        <f>$AW20/BA20-1</f>
        <v/>
      </c>
      <c r="BB29" s="45">
        <f>+AQ87</f>
        <v/>
      </c>
      <c r="BC29" s="46" t="n"/>
      <c r="BD29" s="32" t="n"/>
    </row>
    <row r="30">
      <c r="A30" s="23" t="n">
        <v>39507</v>
      </c>
      <c r="B30" s="112" t="n">
        <v>12284.88</v>
      </c>
      <c r="C30" s="30">
        <f>+(B30/B29-1)/(A30-A29)*30</f>
        <v/>
      </c>
      <c r="D30" s="25" t="n">
        <v>112.1585225789134</v>
      </c>
      <c r="E30" s="25" t="n"/>
      <c r="F30" s="25" t="n"/>
      <c r="O30" s="9" t="n">
        <v>2019</v>
      </c>
      <c r="P30" s="69">
        <f>LOOKUP(DATE($O30,P$25,P$24),$A$2:$A$2943,$I$2:$I$2943)</f>
        <v/>
      </c>
      <c r="Q30" s="69">
        <f>LOOKUP(DATE($O30,Q$25,Q$24),$A$2:$A$2943,$I$2:$I$2943)</f>
        <v/>
      </c>
      <c r="R30" s="69">
        <f>LOOKUP(DATE($O30,R$25,R$24),$A$2:$A$2943,$I$2:$I$2943)</f>
        <v/>
      </c>
      <c r="S30" s="69">
        <f>LOOKUP(DATE($O30,S$25,S$24),$A$2:$A$2943,$I$2:$I$2943)</f>
        <v/>
      </c>
      <c r="T30" s="69">
        <f>LOOKUP(DATE($O30,T$25,T$24),$A$2:$A$2943,$I$2:$I$2943)</f>
        <v/>
      </c>
      <c r="U30" s="69">
        <f>LOOKUP(DATE($O30,U$25,U$24),$A$2:$A$2943,$I$2:$I$2943)</f>
        <v/>
      </c>
      <c r="V30" s="69">
        <f>LOOKUP(DATE($O30,V$25,V$24),$A$2:$A$2943,$I$2:$I$2943)</f>
        <v/>
      </c>
      <c r="W30" s="69">
        <f>LOOKUP(DATE($O30,W$25,W$24),$A$2:$A$2943,$I$2:$I$2943)</f>
        <v/>
      </c>
      <c r="X30" s="69">
        <f>LOOKUP(DATE($O30,X$25,X$24),$A$2:$A$2943,$I$2:$I$2943)</f>
        <v/>
      </c>
      <c r="Y30" s="69">
        <f>LOOKUP(DATE($O30,Y$25,Y$24),$A$2:$A$2943,$I$2:$I$2943)</f>
        <v/>
      </c>
      <c r="Z30" s="69">
        <f>LOOKUP(DATE($O30,Z$25,Z$24),$A$2:$A$2943,$I$2:$I$2943)</f>
        <v/>
      </c>
      <c r="AA30" s="69">
        <f>LOOKUP(DATE($O30,AA$25,AA$24),$A$2:$A$2943,$I$2:$I$2943)</f>
        <v/>
      </c>
      <c r="AD30" s="20" t="n">
        <v>2018</v>
      </c>
      <c r="AE30" s="21" t="n"/>
      <c r="AF30" s="21" t="n"/>
      <c r="AG30" s="21" t="n"/>
      <c r="AH30" s="21" t="n"/>
      <c r="AI30" s="21" t="n"/>
      <c r="AJ30" s="21" t="n"/>
      <c r="AK30" s="32" t="n"/>
      <c r="AL30" s="32" t="n"/>
      <c r="AM30" s="32" t="n"/>
      <c r="AN30" s="32" t="n"/>
      <c r="AO30" s="32">
        <f>+Z29</f>
        <v/>
      </c>
      <c r="AP30" s="32">
        <f>+AA29</f>
        <v/>
      </c>
      <c r="AQ30" s="22">
        <f>+(H161/H159-1)/COUNTA(AE30:AP30)*12</f>
        <v/>
      </c>
      <c r="AR30" s="15" t="n"/>
      <c r="AS30" s="15" t="n"/>
      <c r="AW30" s="42" t="inlineStr">
        <is>
          <t>Competencia</t>
        </is>
      </c>
      <c r="AX30" s="45">
        <f>($AW21/AX21-1)/(AW19-AX19)*30</f>
        <v/>
      </c>
      <c r="AY30" s="45">
        <f>($AW21)/AY21-1</f>
        <v/>
      </c>
      <c r="AZ30" s="45">
        <f>$AW21/AZ21-1</f>
        <v/>
      </c>
      <c r="BA30" s="45">
        <f>$AW21/BA21-1</f>
        <v/>
      </c>
      <c r="BB30" s="45">
        <f>+AQ88</f>
        <v/>
      </c>
      <c r="BC30" s="46" t="n"/>
      <c r="BD30" s="32" t="n"/>
    </row>
    <row r="31">
      <c r="A31" s="23" t="n">
        <v>39538</v>
      </c>
      <c r="B31" s="112" t="n">
        <v>12351.45</v>
      </c>
      <c r="C31" s="30">
        <f>+(B31/B30-1)/(A31-A30)*30</f>
        <v/>
      </c>
      <c r="D31" s="25" t="n">
        <v>112.7662935012243</v>
      </c>
      <c r="E31" s="25" t="n"/>
      <c r="F31" s="25" t="n"/>
      <c r="O31" s="9" t="n">
        <v>2020</v>
      </c>
      <c r="P31" s="69">
        <f>LOOKUP(DATE($O31,P$25,P$24),$A$2:$A$2943,$I$2:$I$2943)</f>
        <v/>
      </c>
      <c r="Q31" s="69">
        <f>LOOKUP(DATE($O31,Q$25,Q$24)+1,$A$2:$A$2943,$I$2:$I$2943)</f>
        <v/>
      </c>
      <c r="R31" s="69">
        <f>LOOKUP(DATE($O31,R$25,R$24),$A:$A,$I:$I)</f>
        <v/>
      </c>
      <c r="S31" s="69">
        <f>LOOKUP(DATE($O31,S$25,S$24),$A:$A,$I:$I)</f>
        <v/>
      </c>
      <c r="T31" s="69">
        <f>LOOKUP(DATE($O31,T$25,T$24),$A:$A,$I:$I)</f>
        <v/>
      </c>
      <c r="U31" s="69">
        <f>LOOKUP(DATE($O31,U$25,U$24),$A:$A,$I:$I)</f>
        <v/>
      </c>
      <c r="V31" s="69">
        <f>LOOKUP(DATE($O31,V$25,V$24),$A:$A,$I:$I)</f>
        <v/>
      </c>
      <c r="W31" s="69">
        <f>LOOKUP(DATE($O31,W$25,W$24),$A:$A,$I:$I)</f>
        <v/>
      </c>
      <c r="X31" s="69">
        <f>LOOKUP(DATE($O31,X$25,X$24),$A:$A,$I:$I)</f>
        <v/>
      </c>
      <c r="Y31" s="69">
        <f>+I183</f>
        <v/>
      </c>
      <c r="Z31" s="69">
        <f>+I184</f>
        <v/>
      </c>
      <c r="AA31" s="69">
        <f>+I185</f>
        <v/>
      </c>
      <c r="AD31" s="20" t="n">
        <v>2019</v>
      </c>
      <c r="AE31" s="21">
        <f>+P30</f>
        <v/>
      </c>
      <c r="AF31" s="21">
        <f>+Q30</f>
        <v/>
      </c>
      <c r="AG31" s="21">
        <f>+R30</f>
        <v/>
      </c>
      <c r="AH31" s="21">
        <f>+S30</f>
        <v/>
      </c>
      <c r="AI31" s="21">
        <f>+T30</f>
        <v/>
      </c>
      <c r="AJ31" s="71">
        <f>+U30</f>
        <v/>
      </c>
      <c r="AK31" s="71">
        <f>+V30</f>
        <v/>
      </c>
      <c r="AL31" s="71">
        <f>+W30</f>
        <v/>
      </c>
      <c r="AM31" s="71">
        <f>+X30</f>
        <v/>
      </c>
      <c r="AN31" s="71">
        <f>+Y30</f>
        <v/>
      </c>
      <c r="AO31" s="71">
        <f>+Z30</f>
        <v/>
      </c>
      <c r="AP31" s="71">
        <f>+AA30</f>
        <v/>
      </c>
      <c r="AQ31" s="22">
        <f>+(H173/H161-1)/COUNTA(AE31:AP31)*12</f>
        <v/>
      </c>
      <c r="AR31" s="15" t="n"/>
      <c r="AS31" s="15" t="n"/>
      <c r="AV31" s="47" t="n"/>
      <c r="AW31" s="42" t="inlineStr">
        <is>
          <t>FIP Liquidez Caja</t>
        </is>
      </c>
      <c r="AX31" s="45">
        <f>($AW22/AX22-1)/(AW19-AX19)*30</f>
        <v/>
      </c>
      <c r="AY31" s="45">
        <f>+AW22/AY22-1</f>
        <v/>
      </c>
      <c r="AZ31" s="45">
        <f>$AW22/AZ22-1</f>
        <v/>
      </c>
      <c r="BA31" s="45">
        <f>$AW22/BA22-1</f>
        <v/>
      </c>
      <c r="BB31" s="45">
        <f>+AQ89</f>
        <v/>
      </c>
      <c r="BC31" s="47" t="n"/>
      <c r="BD31" s="32" t="n"/>
    </row>
    <row r="32">
      <c r="A32" s="23" t="n">
        <v>39568</v>
      </c>
      <c r="B32" s="112" t="n">
        <v>12416.18</v>
      </c>
      <c r="C32" s="30">
        <f>+(B32/B31-1)/(A32-A31)*30</f>
        <v/>
      </c>
      <c r="D32" s="25" t="n">
        <v>113.3572655877675</v>
      </c>
      <c r="E32" s="25" t="n"/>
      <c r="F32" s="25" t="n"/>
      <c r="O32" s="9" t="n">
        <v>2021</v>
      </c>
      <c r="P32" s="69">
        <f>+I186</f>
        <v/>
      </c>
      <c r="Q32" s="69">
        <f>+I187</f>
        <v/>
      </c>
      <c r="R32" s="70">
        <f>+I188</f>
        <v/>
      </c>
      <c r="S32" s="70">
        <f>+I189</f>
        <v/>
      </c>
      <c r="T32" s="70">
        <f>+I190</f>
        <v/>
      </c>
      <c r="U32" s="70">
        <f>+I191</f>
        <v/>
      </c>
      <c r="V32" s="70">
        <f>+I192</f>
        <v/>
      </c>
      <c r="W32" s="70">
        <f>+I193</f>
        <v/>
      </c>
      <c r="X32" s="70">
        <f>+I194</f>
        <v/>
      </c>
      <c r="Y32" s="70">
        <f>+I195</f>
        <v/>
      </c>
      <c r="Z32" s="70">
        <f>+I196</f>
        <v/>
      </c>
      <c r="AA32" s="70">
        <f>+I197</f>
        <v/>
      </c>
      <c r="AD32" s="20" t="n">
        <v>2020</v>
      </c>
      <c r="AE32" s="21">
        <f>+P31</f>
        <v/>
      </c>
      <c r="AF32" s="21">
        <f>+Q31</f>
        <v/>
      </c>
      <c r="AG32" s="21">
        <f>+R31</f>
        <v/>
      </c>
      <c r="AH32" s="21">
        <f>+S31</f>
        <v/>
      </c>
      <c r="AI32" s="21">
        <f>+T31</f>
        <v/>
      </c>
      <c r="AJ32" s="21">
        <f>+U31</f>
        <v/>
      </c>
      <c r="AK32" s="21">
        <f>+V31</f>
        <v/>
      </c>
      <c r="AL32" s="21">
        <f>+W31</f>
        <v/>
      </c>
      <c r="AM32" s="21">
        <f>+X31</f>
        <v/>
      </c>
      <c r="AN32" s="21">
        <f>+Y31</f>
        <v/>
      </c>
      <c r="AO32" s="21">
        <f>+Z31</f>
        <v/>
      </c>
      <c r="AP32" s="21">
        <f>+AA31</f>
        <v/>
      </c>
      <c r="AQ32" s="22">
        <f>+(H185/H173-1)/COUNTA(AE32:AP32)*12</f>
        <v/>
      </c>
      <c r="AR32" s="15" t="n"/>
      <c r="AS32" s="15" t="n"/>
      <c r="AV32" s="47" t="n"/>
      <c r="AW32" s="48" t="n"/>
      <c r="AX32" s="15" t="n"/>
      <c r="AY32" s="15" t="n"/>
      <c r="AZ32" s="15" t="n"/>
      <c r="BA32" s="15" t="n"/>
      <c r="BB32" s="15" t="n"/>
      <c r="BC32" s="47" t="n"/>
      <c r="BD32" s="32" t="n"/>
    </row>
    <row r="33">
      <c r="A33" s="23" t="n">
        <v>39598</v>
      </c>
      <c r="B33" s="112" t="n">
        <v>12481.48</v>
      </c>
      <c r="C33" s="30">
        <f>+(B33/B32-1)/(A33-A32)*30</f>
        <v/>
      </c>
      <c r="D33" s="25" t="n">
        <v>113.9534416614779</v>
      </c>
      <c r="E33" s="25" t="n"/>
      <c r="F33" s="25" t="n"/>
      <c r="O33" s="9" t="n">
        <v>2022</v>
      </c>
      <c r="P33" s="69">
        <f>+I198</f>
        <v/>
      </c>
      <c r="Q33" s="69">
        <f>+I199</f>
        <v/>
      </c>
      <c r="R33" s="70">
        <f>+I200</f>
        <v/>
      </c>
      <c r="S33" s="70">
        <f>+I201</f>
        <v/>
      </c>
      <c r="T33" s="70">
        <f>+I202</f>
        <v/>
      </c>
      <c r="U33" s="70">
        <f>+I203</f>
        <v/>
      </c>
      <c r="V33" s="70">
        <f>+I204</f>
        <v/>
      </c>
      <c r="W33" s="70">
        <f>+I205</f>
        <v/>
      </c>
      <c r="X33" s="70">
        <f>+I206</f>
        <v/>
      </c>
      <c r="Y33" s="70">
        <f>+I207</f>
        <v/>
      </c>
      <c r="Z33" s="70">
        <f>+I208</f>
        <v/>
      </c>
      <c r="AA33" s="70">
        <f>+I209</f>
        <v/>
      </c>
      <c r="AD33" s="20" t="n">
        <v>2021</v>
      </c>
      <c r="AE33" s="21">
        <f>+P32</f>
        <v/>
      </c>
      <c r="AF33" s="21">
        <f>+Q32</f>
        <v/>
      </c>
      <c r="AG33" s="21">
        <f>+R32</f>
        <v/>
      </c>
      <c r="AH33" s="21">
        <f>+S32</f>
        <v/>
      </c>
      <c r="AI33" s="21">
        <f>+T32</f>
        <v/>
      </c>
      <c r="AJ33" s="21">
        <f>+U32</f>
        <v/>
      </c>
      <c r="AK33" s="21">
        <f>+V32</f>
        <v/>
      </c>
      <c r="AL33" s="21">
        <f>+W32</f>
        <v/>
      </c>
      <c r="AM33" s="21">
        <f>+X32</f>
        <v/>
      </c>
      <c r="AN33" s="21">
        <f>+Y32</f>
        <v/>
      </c>
      <c r="AO33" s="21">
        <f>+Z32</f>
        <v/>
      </c>
      <c r="AP33" s="21">
        <f>+AA32</f>
        <v/>
      </c>
      <c r="AQ33" s="22">
        <f>+(H197/H185-1)/COUNTA(AE33:AP33)*12</f>
        <v/>
      </c>
      <c r="AR33" s="31" t="n"/>
      <c r="AS33" s="15" t="n"/>
      <c r="BD33" s="32" t="n"/>
    </row>
    <row r="34">
      <c r="A34" s="23" t="n">
        <v>39629</v>
      </c>
      <c r="B34" s="112" t="n">
        <v>12552.23</v>
      </c>
      <c r="C34" s="30">
        <f>+(B34/B33-1)/(A34-A33)*30</f>
        <v/>
      </c>
      <c r="D34" s="25" t="n">
        <v>114.5993751563479</v>
      </c>
      <c r="E34" s="25" t="n"/>
      <c r="F34" s="25" t="n"/>
      <c r="O34" s="9" t="n">
        <v>2023</v>
      </c>
      <c r="P34" s="69">
        <f>+I210</f>
        <v/>
      </c>
      <c r="Q34" s="69">
        <f>+I211</f>
        <v/>
      </c>
      <c r="R34" s="70">
        <f>+I212</f>
        <v/>
      </c>
      <c r="S34" s="70">
        <f>+I213</f>
        <v/>
      </c>
      <c r="T34" s="70">
        <f>+I214</f>
        <v/>
      </c>
      <c r="U34" s="70">
        <f>+I215</f>
        <v/>
      </c>
      <c r="V34" s="70">
        <f>+I216</f>
        <v/>
      </c>
      <c r="W34" s="70">
        <f>+I217</f>
        <v/>
      </c>
      <c r="X34" s="70">
        <f>+I218</f>
        <v/>
      </c>
      <c r="Y34" s="70">
        <f>+I219</f>
        <v/>
      </c>
      <c r="Z34" s="70">
        <f>+I220</f>
        <v/>
      </c>
      <c r="AA34" s="70">
        <f>+I221</f>
        <v/>
      </c>
      <c r="AD34" s="20" t="n">
        <v>2022</v>
      </c>
      <c r="AE34" s="21">
        <f>+P33</f>
        <v/>
      </c>
      <c r="AF34" s="21">
        <f>+Q33</f>
        <v/>
      </c>
      <c r="AG34" s="21">
        <f>+R33</f>
        <v/>
      </c>
      <c r="AH34" s="21">
        <f>+S33</f>
        <v/>
      </c>
      <c r="AI34" s="21">
        <f>+T33</f>
        <v/>
      </c>
      <c r="AJ34" s="21">
        <f>+U33</f>
        <v/>
      </c>
      <c r="AK34" s="21">
        <f>+V33</f>
        <v/>
      </c>
      <c r="AL34" s="21">
        <f>+W33</f>
        <v/>
      </c>
      <c r="AM34" s="21">
        <f>+X33</f>
        <v/>
      </c>
      <c r="AN34" s="21">
        <f>+Y33</f>
        <v/>
      </c>
      <c r="AO34" s="21">
        <f>+Z33</f>
        <v/>
      </c>
      <c r="AP34" s="21">
        <f>+AA33</f>
        <v/>
      </c>
      <c r="AQ34" s="22">
        <f>+(H209/H197-1)/COUNTA(AE34:AP34)*12</f>
        <v/>
      </c>
    </row>
    <row r="35">
      <c r="A35" s="23" t="n">
        <v>39660</v>
      </c>
      <c r="B35" s="112" t="n">
        <v>12628.9</v>
      </c>
      <c r="C35" s="30">
        <f>+(B35/B34-1)/(A35-A34)*30</f>
        <v/>
      </c>
      <c r="D35" s="25" t="n">
        <v>115.2993570793398</v>
      </c>
      <c r="E35" s="25" t="n"/>
      <c r="F35" s="25" t="n"/>
      <c r="O35" s="9" t="n">
        <v>2024</v>
      </c>
      <c r="P35" s="69">
        <f>+I222</f>
        <v/>
      </c>
      <c r="Q35" s="69">
        <f>+I223</f>
        <v/>
      </c>
      <c r="R35" s="70">
        <f>+I224</f>
        <v/>
      </c>
      <c r="S35" s="70">
        <f>+I225</f>
        <v/>
      </c>
      <c r="T35" s="70">
        <f>+I226</f>
        <v/>
      </c>
      <c r="U35" s="70">
        <f>+I227</f>
        <v/>
      </c>
      <c r="V35" s="70">
        <f>+I228</f>
        <v/>
      </c>
      <c r="W35" s="70">
        <f>+I229</f>
        <v/>
      </c>
      <c r="X35" s="70">
        <f>+I230</f>
        <v/>
      </c>
      <c r="Y35" s="70">
        <f>+I231</f>
        <v/>
      </c>
      <c r="Z35" s="70">
        <f>+I232</f>
        <v/>
      </c>
      <c r="AA35" s="70">
        <f>+I233</f>
        <v/>
      </c>
      <c r="AD35" s="20" t="n">
        <v>2023</v>
      </c>
      <c r="AE35" s="21">
        <f>+P34</f>
        <v/>
      </c>
      <c r="AF35" s="21">
        <f>+Q34</f>
        <v/>
      </c>
      <c r="AG35" s="21">
        <f>+R34</f>
        <v/>
      </c>
      <c r="AH35" s="21">
        <f>+S34</f>
        <v/>
      </c>
      <c r="AI35" s="21">
        <f>+T34</f>
        <v/>
      </c>
      <c r="AJ35" s="21">
        <f>+U34</f>
        <v/>
      </c>
      <c r="AK35" s="21">
        <f>+V34</f>
        <v/>
      </c>
      <c r="AL35" s="21">
        <f>+W34</f>
        <v/>
      </c>
      <c r="AM35" s="21">
        <f>+X34</f>
        <v/>
      </c>
      <c r="AN35" s="21">
        <f>+Y34</f>
        <v/>
      </c>
      <c r="AO35" s="21">
        <f>+Z34</f>
        <v/>
      </c>
      <c r="AP35" s="21">
        <f>+AA34</f>
        <v/>
      </c>
      <c r="AQ35" s="22">
        <f>+(H221/H209-1)/COUNTA(AE35:AP35)*12</f>
        <v/>
      </c>
      <c r="AR35" s="15" t="n"/>
      <c r="AS35" s="15" t="n"/>
    </row>
    <row r="36">
      <c r="A36" s="23" t="n">
        <v>39689</v>
      </c>
      <c r="B36" s="112" t="n">
        <v>12704.63</v>
      </c>
      <c r="C36" s="30">
        <f>+(B36/B35-1)/(A36-A35)*30</f>
        <v/>
      </c>
      <c r="D36" s="25" t="n">
        <v>115.990756988407</v>
      </c>
      <c r="E36" s="25" t="n"/>
      <c r="F36" s="25" t="n"/>
      <c r="O36" s="9" t="n">
        <v>2025</v>
      </c>
      <c r="P36" s="69">
        <f>+I234</f>
        <v/>
      </c>
      <c r="Q36" s="69">
        <f>+I235</f>
        <v/>
      </c>
      <c r="R36" s="70">
        <f>+I236</f>
        <v/>
      </c>
      <c r="S36" s="70">
        <f>+I237</f>
        <v/>
      </c>
      <c r="T36" s="70">
        <f>+I238</f>
        <v/>
      </c>
      <c r="U36" s="70">
        <f>+I239</f>
        <v/>
      </c>
      <c r="V36" s="70">
        <f>+I240</f>
        <v/>
      </c>
      <c r="W36" s="70">
        <f>+I241</f>
        <v/>
      </c>
      <c r="X36" s="70">
        <f>+I242</f>
        <v/>
      </c>
      <c r="Y36" s="70">
        <f>+I243</f>
        <v/>
      </c>
      <c r="Z36" s="70">
        <f>+I244</f>
        <v/>
      </c>
      <c r="AA36" s="70">
        <f>+I245</f>
        <v/>
      </c>
      <c r="AD36" s="20" t="n">
        <v>2024</v>
      </c>
      <c r="AE36" s="21">
        <f>+P35</f>
        <v/>
      </c>
      <c r="AF36" s="21">
        <f>+Q35</f>
        <v/>
      </c>
      <c r="AG36" s="21">
        <f>+R35</f>
        <v/>
      </c>
      <c r="AH36" s="21">
        <f>+S35</f>
        <v/>
      </c>
      <c r="AI36" s="21">
        <f>+T35</f>
        <v/>
      </c>
      <c r="AJ36" s="21">
        <f>+U35</f>
        <v/>
      </c>
      <c r="AK36" s="21">
        <f>+V35</f>
        <v/>
      </c>
      <c r="AL36" s="21">
        <f>+W35</f>
        <v/>
      </c>
      <c r="AM36" s="21">
        <f>+X35</f>
        <v/>
      </c>
      <c r="AN36" s="21">
        <f>+Y35</f>
        <v/>
      </c>
      <c r="AO36" s="21">
        <f>+Z35</f>
        <v/>
      </c>
      <c r="AP36" s="21">
        <f>+AA35</f>
        <v/>
      </c>
      <c r="AQ36" s="22">
        <f>+(H233/H221-1)/COUNTA(AE36:AP36)*12</f>
        <v/>
      </c>
      <c r="AR36" s="31" t="inlineStr">
        <is>
          <t>(*)</t>
        </is>
      </c>
      <c r="AS36" s="15" t="n"/>
    </row>
    <row r="37">
      <c r="A37" s="23" t="n"/>
      <c r="B37" s="112" t="n"/>
      <c r="C37" s="30" t="n"/>
      <c r="D37" s="25" t="n"/>
      <c r="E37" s="25" t="n"/>
      <c r="F37" s="25" t="n"/>
      <c r="O37" s="9" t="n">
        <v>2026</v>
      </c>
      <c r="P37" s="69">
        <f>+I246</f>
        <v/>
      </c>
      <c r="Q37" s="69">
        <f>+I247</f>
        <v/>
      </c>
      <c r="R37" s="70">
        <f>+I248</f>
        <v/>
      </c>
      <c r="S37" s="70">
        <f>+I249</f>
        <v/>
      </c>
      <c r="T37" s="70">
        <f>+I250</f>
        <v/>
      </c>
      <c r="U37" s="70">
        <f>+I251</f>
        <v/>
      </c>
      <c r="V37" s="70" t="n"/>
      <c r="W37" s="70" t="n"/>
      <c r="X37" s="70" t="n"/>
      <c r="Y37" s="70" t="n"/>
      <c r="Z37" s="70" t="n"/>
      <c r="AA37" s="70" t="n"/>
      <c r="AD37" s="20" t="n">
        <v>2025</v>
      </c>
      <c r="AE37" s="21">
        <f>+P36</f>
        <v/>
      </c>
      <c r="AF37" s="21">
        <f>+Q36</f>
        <v/>
      </c>
      <c r="AG37" s="21">
        <f>+R36</f>
        <v/>
      </c>
      <c r="AH37" s="21">
        <f>+S36</f>
        <v/>
      </c>
      <c r="AI37" s="21">
        <f>+T36</f>
        <v/>
      </c>
      <c r="AJ37" s="21">
        <f>+U36</f>
        <v/>
      </c>
      <c r="AK37" s="21">
        <f>+V36</f>
        <v/>
      </c>
      <c r="AL37" s="21">
        <f>+W36</f>
        <v/>
      </c>
      <c r="AM37" s="21">
        <f>+X36</f>
        <v/>
      </c>
      <c r="AN37" s="21">
        <f>+Y36</f>
        <v/>
      </c>
      <c r="AO37" s="21">
        <f>+Z36</f>
        <v/>
      </c>
      <c r="AP37" s="21">
        <f>+AA36</f>
        <v/>
      </c>
      <c r="AQ37" s="22">
        <f>+(H246/H234-1)/COUNTA(AE37:AP37)*12</f>
        <v/>
      </c>
      <c r="AR37" s="31" t="n"/>
      <c r="AS37" s="15" t="n"/>
    </row>
    <row r="38">
      <c r="A38" s="23" t="n">
        <v>39721</v>
      </c>
      <c r="B38" s="112" t="n">
        <v>12796.95</v>
      </c>
      <c r="C38" s="30">
        <f>+(B38/B36-1)/(A38-A36)*30</f>
        <v/>
      </c>
      <c r="D38" s="25" t="n">
        <v>116.8336203134444</v>
      </c>
      <c r="E38" s="25" t="n"/>
      <c r="F38" s="25" t="n"/>
      <c r="P38" s="16" t="n">
        <v>31</v>
      </c>
      <c r="Q38" s="16" t="n">
        <v>28</v>
      </c>
      <c r="R38" s="16" t="n">
        <v>31</v>
      </c>
      <c r="S38" s="16" t="n">
        <v>30</v>
      </c>
      <c r="T38" s="16" t="n">
        <v>31</v>
      </c>
      <c r="U38" s="16" t="n">
        <v>30</v>
      </c>
      <c r="V38" s="16" t="n">
        <v>31</v>
      </c>
      <c r="W38" s="16" t="n">
        <v>31</v>
      </c>
      <c r="X38" s="16" t="n">
        <v>30</v>
      </c>
      <c r="Y38" s="16" t="n">
        <v>31</v>
      </c>
      <c r="Z38" s="16" t="n">
        <v>30</v>
      </c>
      <c r="AA38" s="16" t="n">
        <v>31</v>
      </c>
      <c r="AD38" s="20" t="n">
        <v>2026</v>
      </c>
      <c r="AE38" s="21">
        <f>+P37</f>
        <v/>
      </c>
      <c r="AF38" s="21">
        <f>+Q37</f>
        <v/>
      </c>
      <c r="AG38" s="21">
        <f>+R37</f>
        <v/>
      </c>
      <c r="AH38" s="21">
        <f>+S37</f>
        <v/>
      </c>
      <c r="AI38">
        <f>+T37/S37-1</f>
        <v/>
      </c>
      <c r="AJ38">
        <f>+U37/T37-1</f>
        <v/>
      </c>
      <c r="AQ38" s="22">
        <f>+(H249/H246-1)/COUNTA(AE38:AJ38)*12</f>
        <v/>
      </c>
      <c r="AR38" s="15" t="n"/>
      <c r="AS38" s="15" t="n"/>
    </row>
    <row r="39">
      <c r="A39" s="23" t="n">
        <v>39752</v>
      </c>
      <c r="B39" s="112" t="n">
        <v>12885.37</v>
      </c>
      <c r="C39" s="30">
        <f>+(B39/B38-1)/(A39-A38)*30</f>
        <v/>
      </c>
      <c r="D39" s="25" t="n">
        <v>117.640877410496</v>
      </c>
      <c r="E39" s="25" t="n"/>
      <c r="F39" s="25" t="n"/>
      <c r="P39" s="16" t="n">
        <v>1</v>
      </c>
      <c r="Q39" s="16" t="n">
        <v>2</v>
      </c>
      <c r="R39" s="16" t="n">
        <v>3</v>
      </c>
      <c r="S39" s="16" t="n">
        <v>4</v>
      </c>
      <c r="T39" s="16" t="n">
        <v>5</v>
      </c>
      <c r="U39" s="16" t="n">
        <v>6</v>
      </c>
      <c r="V39" s="16" t="n">
        <v>7</v>
      </c>
      <c r="W39" s="16" t="n">
        <v>8</v>
      </c>
      <c r="X39" s="16" t="n">
        <v>9</v>
      </c>
      <c r="Y39" s="16" t="n">
        <v>10</v>
      </c>
      <c r="Z39" s="16" t="n">
        <v>11</v>
      </c>
      <c r="AA39" s="16" t="n">
        <v>12</v>
      </c>
      <c r="AD39" s="31" t="inlineStr">
        <is>
          <t>(*) Acum a Mar</t>
        </is>
      </c>
      <c r="AE39" s="31" t="n"/>
      <c r="AF39" s="31" t="n"/>
      <c r="AG39" s="31" t="n"/>
      <c r="AH39" s="31" t="n"/>
      <c r="AI39" s="31" t="n"/>
      <c r="AJ39" s="31" t="n"/>
      <c r="AK39" s="31" t="n"/>
      <c r="AL39" s="31" t="n"/>
      <c r="AM39" s="31" t="n"/>
      <c r="AN39" s="31" t="n"/>
      <c r="AO39" s="31" t="n"/>
      <c r="AP39" s="31" t="n"/>
      <c r="AQ39" s="31" t="n"/>
      <c r="AR39" s="15" t="n"/>
      <c r="AS39" s="15" t="n"/>
    </row>
    <row r="40" ht="15.75" customHeight="1">
      <c r="A40" s="23" t="n">
        <v>39780</v>
      </c>
      <c r="B40" s="112" t="n">
        <v>12970.93</v>
      </c>
      <c r="C40" s="30">
        <f>+(B40/B39-1)/(A40-A39)*30</f>
        <v/>
      </c>
      <c r="D40" s="25" t="n">
        <v>118.4220232736914</v>
      </c>
      <c r="E40" s="25" t="n"/>
      <c r="F40" s="25" t="n"/>
      <c r="O40" s="37" t="inlineStr">
        <is>
          <t>Competencia</t>
        </is>
      </c>
      <c r="P40" s="9" t="inlineStr">
        <is>
          <t>Ene</t>
        </is>
      </c>
      <c r="Q40" s="9" t="inlineStr">
        <is>
          <t>Feb</t>
        </is>
      </c>
      <c r="R40" s="9" t="inlineStr">
        <is>
          <t>Mar</t>
        </is>
      </c>
      <c r="S40" s="9" t="inlineStr">
        <is>
          <t>Abr</t>
        </is>
      </c>
      <c r="T40" s="9" t="inlineStr">
        <is>
          <t>May</t>
        </is>
      </c>
      <c r="U40" s="9" t="inlineStr">
        <is>
          <t>Jun</t>
        </is>
      </c>
      <c r="V40" s="9" t="inlineStr">
        <is>
          <t>Jul</t>
        </is>
      </c>
      <c r="W40" s="9" t="inlineStr">
        <is>
          <t>Ago</t>
        </is>
      </c>
      <c r="X40" s="9" t="inlineStr">
        <is>
          <t>Sep</t>
        </is>
      </c>
      <c r="Y40" s="9" t="inlineStr">
        <is>
          <t>Oct</t>
        </is>
      </c>
      <c r="Z40" s="9" t="inlineStr">
        <is>
          <t>Nov</t>
        </is>
      </c>
      <c r="AA40" s="9" t="inlineStr">
        <is>
          <t>Dic</t>
        </is>
      </c>
      <c r="AD40" s="34" t="inlineStr">
        <is>
          <t>Competencia</t>
        </is>
      </c>
      <c r="AE40" s="14" t="inlineStr">
        <is>
          <t>Ene</t>
        </is>
      </c>
      <c r="AF40" s="14" t="inlineStr">
        <is>
          <t>Feb</t>
        </is>
      </c>
      <c r="AG40" s="14" t="inlineStr">
        <is>
          <t>Mar</t>
        </is>
      </c>
      <c r="AH40" s="14" t="inlineStr">
        <is>
          <t>Abr</t>
        </is>
      </c>
      <c r="AI40" s="14" t="inlineStr">
        <is>
          <t>May</t>
        </is>
      </c>
      <c r="AJ40" s="14" t="inlineStr">
        <is>
          <t>Jun</t>
        </is>
      </c>
      <c r="AK40" s="14" t="inlineStr">
        <is>
          <t>Jul</t>
        </is>
      </c>
      <c r="AL40" s="14" t="inlineStr">
        <is>
          <t>Ago</t>
        </is>
      </c>
      <c r="AM40" s="14" t="inlineStr">
        <is>
          <t>Sep</t>
        </is>
      </c>
      <c r="AN40" s="14" t="inlineStr">
        <is>
          <t>Oct</t>
        </is>
      </c>
      <c r="AO40" s="14" t="inlineStr">
        <is>
          <t>Nov</t>
        </is>
      </c>
      <c r="AP40" s="14" t="inlineStr">
        <is>
          <t>Dic</t>
        </is>
      </c>
      <c r="AQ40" s="14" t="inlineStr">
        <is>
          <t>Total Año</t>
        </is>
      </c>
      <c r="AR40" s="15" t="n"/>
      <c r="AS40" s="15" t="n"/>
      <c r="BE40" s="44" t="n"/>
      <c r="BF40" s="44" t="n"/>
      <c r="BG40" s="44" t="n"/>
      <c r="BH40" s="44" t="n"/>
      <c r="BI40" s="44" t="n"/>
      <c r="BJ40" s="44" t="n"/>
    </row>
    <row r="41" ht="15" customHeight="1">
      <c r="A41" s="23" t="n">
        <v>39813</v>
      </c>
      <c r="B41" s="112" t="n">
        <v>13066.33</v>
      </c>
      <c r="C41" s="30">
        <f>+(B41/B40-1)/(A41-A40)*30</f>
        <v/>
      </c>
      <c r="D41" s="25" t="n">
        <v>119.2930063890355</v>
      </c>
      <c r="E41" s="25" t="n"/>
      <c r="F41" s="25" t="n"/>
      <c r="O41" s="9" t="n">
        <v>2016</v>
      </c>
      <c r="P41" s="70" t="n"/>
      <c r="Q41" s="70" t="n"/>
      <c r="R41" s="70" t="n"/>
      <c r="S41" s="70" t="n"/>
      <c r="T41" s="70" t="n"/>
      <c r="U41" s="70" t="n"/>
      <c r="V41" s="70" t="n"/>
      <c r="W41" s="70" t="n"/>
      <c r="X41" s="70" t="n"/>
      <c r="Y41" s="70" t="n"/>
      <c r="Z41" s="70" t="n"/>
      <c r="AA41" s="70" t="n"/>
      <c r="AD41" s="20" t="n">
        <v>2016</v>
      </c>
      <c r="AE41" s="21" t="n"/>
      <c r="AF41" s="21" t="n"/>
      <c r="AG41" s="21" t="n"/>
      <c r="AH41" s="21" t="n"/>
      <c r="AI41" s="21" t="n"/>
      <c r="AJ41" s="21" t="n"/>
      <c r="AK41" s="21" t="n"/>
      <c r="AL41" s="21" t="n"/>
      <c r="AM41" s="21" t="n"/>
      <c r="AN41" s="21" t="n"/>
      <c r="AO41" s="21" t="n"/>
      <c r="AP41" s="21" t="n"/>
      <c r="AQ41" s="22" t="n"/>
      <c r="AR41" s="15" t="n"/>
      <c r="AS41" s="15" t="n"/>
      <c r="BE41" s="32" t="n"/>
      <c r="BF41" s="32" t="n"/>
      <c r="BG41" s="32" t="n"/>
      <c r="BH41" s="32" t="n"/>
      <c r="BI41" s="32" t="n"/>
      <c r="BJ41" s="54" t="n"/>
    </row>
    <row r="42" ht="15" customHeight="1">
      <c r="A42" s="23" t="n">
        <v>39843</v>
      </c>
      <c r="B42" s="112" t="n">
        <v>13151.16</v>
      </c>
      <c r="C42" s="30">
        <f>+(B42/B41-1)/(A42-A41)*30</f>
        <v/>
      </c>
      <c r="D42" s="25" t="n">
        <v>120.0674874967361</v>
      </c>
      <c r="E42" s="25" t="n"/>
      <c r="F42" s="25" t="n"/>
      <c r="O42" s="9" t="n">
        <v>2017</v>
      </c>
      <c r="P42" s="69" t="n"/>
      <c r="Q42" s="69" t="n"/>
      <c r="R42" s="69" t="n"/>
      <c r="S42" s="69" t="n"/>
      <c r="T42" s="69" t="n"/>
      <c r="U42" s="69" t="n"/>
      <c r="V42" s="69" t="n"/>
      <c r="W42" s="69" t="n"/>
      <c r="X42" s="69" t="n"/>
      <c r="Y42" s="69" t="n"/>
      <c r="Z42" s="69" t="n"/>
      <c r="AA42" s="69" t="n"/>
      <c r="AD42" s="27" t="n">
        <v>2017</v>
      </c>
      <c r="AE42" s="28" t="n"/>
      <c r="AF42" s="28" t="n"/>
      <c r="AG42" s="28" t="n"/>
      <c r="AH42" s="28" t="n"/>
      <c r="AI42" s="28" t="n"/>
      <c r="AJ42" s="28" t="n"/>
      <c r="AK42" s="28" t="n"/>
      <c r="AL42" s="28" t="n"/>
      <c r="AM42" s="28" t="n"/>
      <c r="AN42" s="28" t="n"/>
      <c r="AO42" s="28" t="n"/>
      <c r="AP42" s="28" t="n"/>
      <c r="AQ42" s="29" t="n"/>
      <c r="AR42" s="15" t="n"/>
      <c r="AS42" s="15" t="n"/>
      <c r="BE42" s="32" t="n"/>
      <c r="BF42" s="32" t="n"/>
      <c r="BG42" s="32" t="n"/>
      <c r="BH42" s="32" t="n"/>
      <c r="BI42" s="32" t="n"/>
      <c r="BJ42" s="54" t="n"/>
    </row>
    <row r="43" ht="15" customHeight="1">
      <c r="A43" s="23" t="n">
        <v>39871</v>
      </c>
      <c r="B43" s="112" t="n">
        <v>13212.09</v>
      </c>
      <c r="C43" s="30">
        <f>+(B43/B42-1)/(A43-A42)*30</f>
        <v/>
      </c>
      <c r="D43" s="25" t="n">
        <v>120.6237663354983</v>
      </c>
      <c r="E43" s="25" t="n"/>
      <c r="F43" s="25" t="n"/>
      <c r="O43" s="9" t="n">
        <v>2018</v>
      </c>
      <c r="P43" s="69" t="n"/>
      <c r="Q43" s="69" t="n"/>
      <c r="R43" s="69" t="n"/>
      <c r="S43" s="69" t="n"/>
      <c r="T43" s="69" t="n"/>
      <c r="U43" s="69" t="n"/>
      <c r="V43" s="69" t="n"/>
      <c r="W43" s="69" t="n"/>
      <c r="X43" s="69" t="n"/>
      <c r="Y43" s="69" t="n"/>
      <c r="Z43" s="69">
        <f>LOOKUP(DATE($O43,Z$39,Z$38),$A$2:$A$2943,$L$2:$L$2943)</f>
        <v/>
      </c>
      <c r="AA43" s="69">
        <f>LOOKUP(DATE($O43,AA$39,AA$38),$A$2:$A$2943,$L$2:$L$2943)</f>
        <v/>
      </c>
      <c r="AD43" s="20" t="n">
        <v>2018</v>
      </c>
      <c r="AE43" s="21" t="n"/>
      <c r="AF43" s="21" t="n"/>
      <c r="AG43" s="21" t="n"/>
      <c r="AH43" s="21" t="n"/>
      <c r="AI43" s="21" t="n"/>
      <c r="AJ43" s="21" t="n"/>
      <c r="AK43" s="32" t="n"/>
      <c r="AL43" s="32" t="n"/>
      <c r="AM43" s="32" t="n"/>
      <c r="AN43" s="32" t="n"/>
      <c r="AO43" s="32">
        <f>+Z43</f>
        <v/>
      </c>
      <c r="AP43" s="32">
        <f>+AA43</f>
        <v/>
      </c>
      <c r="AQ43" s="22">
        <f>+(K161/K159-1)/COUNTA(AE43:AP43)*12</f>
        <v/>
      </c>
      <c r="AR43" s="15" t="n"/>
      <c r="AS43" s="15" t="n"/>
      <c r="BE43" s="32" t="n"/>
      <c r="BF43" s="32" t="n"/>
      <c r="BG43" s="32" t="n"/>
      <c r="BH43" s="32" t="n"/>
      <c r="BI43" s="32" t="n"/>
      <c r="BJ43" s="54" t="n"/>
    </row>
    <row r="44">
      <c r="A44" s="23" t="n">
        <v>39903</v>
      </c>
      <c r="B44" s="112" t="n">
        <v>13251.18</v>
      </c>
      <c r="C44" s="30">
        <f>+(B44/B43-1)/(A44-A43)*30</f>
        <v/>
      </c>
      <c r="D44" s="25" t="n">
        <v>120.9806502975403</v>
      </c>
      <c r="E44" s="25" t="n"/>
      <c r="F44" s="25" t="n"/>
      <c r="O44" s="9" t="n">
        <v>2019</v>
      </c>
      <c r="P44" s="70">
        <f>LOOKUP(DATE($O44,P$39,P$38),$A$2:$A$2943,$L$2:$L$2943)</f>
        <v/>
      </c>
      <c r="Q44" s="70">
        <f>LOOKUP(DATE($O44,Q$39,Q$38),$A$2:$A$2943,$L$2:$L$2943)</f>
        <v/>
      </c>
      <c r="R44" s="70">
        <f>LOOKUP(DATE($O44,R$39,R$38),$A$2:$A$2943,$L$2:$L$2943)</f>
        <v/>
      </c>
      <c r="S44" s="70">
        <f>LOOKUP(DATE($O44,S$39,S$38),$A$2:$A$2943,$L$2:$L$2943)</f>
        <v/>
      </c>
      <c r="T44" s="70">
        <f>LOOKUP(DATE($O44,T$39,T$38),$A$2:$A$2943,$L$2:$L$2943)</f>
        <v/>
      </c>
      <c r="U44" s="70">
        <f>LOOKUP(DATE($O44,U$39,U$38),$A$2:$A$2943,$L$2:$L$2943)</f>
        <v/>
      </c>
      <c r="V44" s="70">
        <f>LOOKUP(DATE($O44,V$39,V$38),$A$2:$A$2943,$L$2:$L$2943)</f>
        <v/>
      </c>
      <c r="W44" s="70">
        <f>LOOKUP(DATE($O44,W$39,W$38),$A$2:$A$2943,$L$2:$L$2943)</f>
        <v/>
      </c>
      <c r="X44" s="70">
        <f>LOOKUP(DATE($O44,X$39,X$38),$A$2:$A$2943,$L$2:$L$2943)</f>
        <v/>
      </c>
      <c r="Y44" s="70">
        <f>LOOKUP(DATE($O44,Y$39,Y$38),$A$2:$A$2943,$L$2:$L$2943)</f>
        <v/>
      </c>
      <c r="Z44" s="70">
        <f>LOOKUP(DATE($O44,Z$39,Z$38),$A$2:$A$2943,$L$2:$L$2943)</f>
        <v/>
      </c>
      <c r="AA44" s="70">
        <f>LOOKUP(DATE($O44,AA$39,AA$38),$A$2:$A$2943,$L$2:$L$2943)</f>
        <v/>
      </c>
      <c r="AD44" s="27" t="n">
        <v>2019</v>
      </c>
      <c r="AE44" s="60">
        <f>+P44</f>
        <v/>
      </c>
      <c r="AF44" s="60">
        <f>+Q44</f>
        <v/>
      </c>
      <c r="AG44" s="60">
        <f>+R44</f>
        <v/>
      </c>
      <c r="AH44" s="60">
        <f>+S44</f>
        <v/>
      </c>
      <c r="AI44" s="60">
        <f>+T44</f>
        <v/>
      </c>
      <c r="AJ44" s="60">
        <f>+U44</f>
        <v/>
      </c>
      <c r="AK44" s="60">
        <f>+V44</f>
        <v/>
      </c>
      <c r="AL44" s="60">
        <f>+W44</f>
        <v/>
      </c>
      <c r="AM44" s="60">
        <f>+X44</f>
        <v/>
      </c>
      <c r="AN44" s="60">
        <f>+Y44</f>
        <v/>
      </c>
      <c r="AO44" s="60">
        <f>+Z44</f>
        <v/>
      </c>
      <c r="AP44" s="60">
        <f>+AA44</f>
        <v/>
      </c>
      <c r="AQ44" s="62">
        <f>+(K173/K161-1)/COUNTA(AE44:AP44)*12</f>
        <v/>
      </c>
      <c r="AR44" s="15" t="n"/>
      <c r="AS44" s="15" t="n"/>
      <c r="BE44" s="32" t="n"/>
      <c r="BF44" s="32" t="n"/>
      <c r="BG44" s="32" t="n"/>
      <c r="BH44" s="32" t="n"/>
      <c r="BI44" s="32" t="n"/>
      <c r="BJ44" s="54" t="n"/>
    </row>
    <row r="45">
      <c r="A45" s="23" t="n">
        <v>39933</v>
      </c>
      <c r="B45" s="112" t="n">
        <v>13272.62</v>
      </c>
      <c r="C45" s="30">
        <f>+(B45/B44-1)/(A45-A44)*30</f>
        <v/>
      </c>
      <c r="D45" s="25" t="n">
        <v>121.1763932534415</v>
      </c>
      <c r="E45" s="25" t="n"/>
      <c r="F45" s="25" t="n"/>
      <c r="O45" s="9" t="n">
        <v>2020</v>
      </c>
      <c r="P45" s="70">
        <f>LOOKUP(DATE($O45,P$39,P$38),$A$2:$A$2943,$L$2:$L$2943)</f>
        <v/>
      </c>
      <c r="Q45" s="70">
        <f>LOOKUP(DATE($O45,Q$39,Q$38)+1,$A$2:$A$2943,$L$2:$L$2943)</f>
        <v/>
      </c>
      <c r="R45" s="70">
        <f>LOOKUP(DATE($O45,R$39,R$38),$A:$A,$L:$L)</f>
        <v/>
      </c>
      <c r="S45" s="70">
        <f>LOOKUP(DATE($O45,S$39,S$38),$A:$A,$L:$L)</f>
        <v/>
      </c>
      <c r="T45" s="70">
        <f>LOOKUP(DATE($O45,T$39,T$38),$A:$A,$L:$L)</f>
        <v/>
      </c>
      <c r="U45" s="70">
        <f>LOOKUP(DATE($O45,U$39,U$38),$A:$A,$L:$L)</f>
        <v/>
      </c>
      <c r="V45" s="70">
        <f>LOOKUP(DATE($O45,V$39,V$38),$A:$A,$L:$L)</f>
        <v/>
      </c>
      <c r="W45" s="70">
        <f>LOOKUP(DATE($O45,W$39,W$38),$A:$A,$L:$L)</f>
        <v/>
      </c>
      <c r="X45" s="70">
        <f>LOOKUP(DATE($O45,X$39,X$38),$A:$A,$L:$L)</f>
        <v/>
      </c>
      <c r="Y45" s="70">
        <f>LOOKUP(DATE($O45,Y$39,Y$38),$A:$A,$L:$L)</f>
        <v/>
      </c>
      <c r="Z45" s="70">
        <f>LOOKUP(DATE($O45,Z$39,Z$38),$A:$A,$L:$L)</f>
        <v/>
      </c>
      <c r="AA45" s="70">
        <f>LOOKUP(DATE($O45,AA$39,AA$38),$A:$A,$L:$L)</f>
        <v/>
      </c>
      <c r="AD45" s="27" t="n">
        <v>2020</v>
      </c>
      <c r="AE45" s="60">
        <f>+P45</f>
        <v/>
      </c>
      <c r="AF45" s="60">
        <f>+Q45</f>
        <v/>
      </c>
      <c r="AG45" s="60">
        <f>+R45</f>
        <v/>
      </c>
      <c r="AH45" s="60">
        <f>+S45</f>
        <v/>
      </c>
      <c r="AI45" s="60">
        <f>+T45</f>
        <v/>
      </c>
      <c r="AJ45" s="60">
        <f>+U45</f>
        <v/>
      </c>
      <c r="AK45" s="60">
        <f>+V45</f>
        <v/>
      </c>
      <c r="AL45" s="60">
        <f>+W45</f>
        <v/>
      </c>
      <c r="AM45" s="60">
        <f>+X45</f>
        <v/>
      </c>
      <c r="AN45" s="60">
        <f>+Y45</f>
        <v/>
      </c>
      <c r="AO45" s="60">
        <f>+Z45</f>
        <v/>
      </c>
      <c r="AP45" s="60">
        <f>+AA45</f>
        <v/>
      </c>
      <c r="AQ45" s="62">
        <f>+(K185/K173-1)/COUNTA(AE45:AP45)*12</f>
        <v/>
      </c>
      <c r="AR45" s="15" t="n"/>
      <c r="AS45" s="15" t="n"/>
      <c r="BE45" s="32" t="n"/>
      <c r="BF45" s="32" t="n"/>
      <c r="BG45" s="32" t="n"/>
      <c r="BH45" s="32" t="n"/>
      <c r="BI45" s="32" t="n"/>
      <c r="BJ45" s="54" t="n"/>
    </row>
    <row r="46">
      <c r="A46" s="23" t="n">
        <v>39962</v>
      </c>
      <c r="B46" s="112" t="n">
        <v>13286.96</v>
      </c>
      <c r="C46" s="30">
        <f>+(B46/B45-1)/(A46-A45)*30</f>
        <v/>
      </c>
      <c r="D46" s="25" t="n">
        <v>121.3073146148045</v>
      </c>
      <c r="E46" s="25" t="n"/>
      <c r="F46" s="25" t="n"/>
      <c r="O46" s="9" t="n">
        <v>2021</v>
      </c>
      <c r="P46" s="70">
        <f>LOOKUP(DATE($O46,P$39,P$38),$A$2:$A$2943,$L$2:$L$2943)</f>
        <v/>
      </c>
      <c r="Q46" s="70">
        <f>LOOKUP(DATE($O46,Q$39,Q$38),$A$2:$A$2943,$L$2:$L$2943)</f>
        <v/>
      </c>
      <c r="R46" s="70">
        <f>LOOKUP(DATE($O46,R$39,R$38),$A$2:$A$2943,$L$2:$L$2943)</f>
        <v/>
      </c>
      <c r="S46" s="70">
        <f>LOOKUP(DATE($O46,S$39,S$38),$A$2:$A$2943,$L$2:$L$2943)</f>
        <v/>
      </c>
      <c r="T46" s="70">
        <f>LOOKUP(DATE($O46,T$39,T$38),$A$2:$A$2943,$L$2:$L$2943)</f>
        <v/>
      </c>
      <c r="U46" s="70">
        <f>LOOKUP(DATE($O46,U$39,U$38),$A$2:$A$2943,$L$2:$L$2943)</f>
        <v/>
      </c>
      <c r="V46" s="70">
        <f>LOOKUP(DATE($O46,V$39,V$38),$A$2:$A$2943,$L$2:$L$2943)</f>
        <v/>
      </c>
      <c r="W46" s="70">
        <f>LOOKUP(DATE($O46,W$39,W$38),$A$2:$A$2943,$L$2:$L$2943)</f>
        <v/>
      </c>
      <c r="X46" s="70">
        <f>LOOKUP(DATE($O46,X$39,X$38),$A$2:$A$2943,$L$2:$L$2943)</f>
        <v/>
      </c>
      <c r="Y46" s="70">
        <f>LOOKUP(DATE($O46,Y$39,Y$38),$A$2:$A$2943,$L$2:$L$2943)</f>
        <v/>
      </c>
      <c r="Z46" s="70">
        <f>LOOKUP(DATE($O46,Z$39,Z$38),$A$2:$A$2943,$L$2:$L$2943)</f>
        <v/>
      </c>
      <c r="AA46" s="70">
        <f>LOOKUP(DATE($O46,AA$39,AA$38),$A$2:$A$2943,$L$2:$L$2943)</f>
        <v/>
      </c>
      <c r="AD46" s="27" t="n">
        <v>2021</v>
      </c>
      <c r="AE46" s="60">
        <f>+P46</f>
        <v/>
      </c>
      <c r="AF46" s="60">
        <f>+Q46</f>
        <v/>
      </c>
      <c r="AG46" s="60">
        <f>+R46</f>
        <v/>
      </c>
      <c r="AH46" s="60">
        <f>+S46</f>
        <v/>
      </c>
      <c r="AI46" s="60">
        <f>+T46</f>
        <v/>
      </c>
      <c r="AJ46" s="60">
        <f>+U46</f>
        <v/>
      </c>
      <c r="AK46" s="60">
        <f>+V46</f>
        <v/>
      </c>
      <c r="AL46" s="60">
        <f>+W46</f>
        <v/>
      </c>
      <c r="AM46" s="60">
        <f>+X46</f>
        <v/>
      </c>
      <c r="AN46" s="60">
        <f>+Y46</f>
        <v/>
      </c>
      <c r="AO46" s="60">
        <f>+Z46</f>
        <v/>
      </c>
      <c r="AP46" s="60">
        <f>+AA46</f>
        <v/>
      </c>
      <c r="AQ46" s="62">
        <f>+(K197/K185-1)/COUNTA(AE46:AP46)*12</f>
        <v/>
      </c>
      <c r="AR46" s="47" t="n"/>
      <c r="AS46" s="15" t="n"/>
      <c r="BD46" s="32" t="n"/>
      <c r="BE46" s="32" t="n"/>
      <c r="BF46" s="32" t="n"/>
      <c r="BG46" s="32" t="n"/>
      <c r="BH46" s="32" t="n"/>
      <c r="BI46" s="32" t="n"/>
      <c r="BJ46" s="54" t="n"/>
    </row>
    <row r="47" ht="15.75" customHeight="1">
      <c r="A47" s="23" t="n">
        <v>39994</v>
      </c>
      <c r="B47" s="112" t="n">
        <v>13299.08</v>
      </c>
      <c r="C47" s="30">
        <f>+(B47/B46-1)/(A47-A46)*30</f>
        <v/>
      </c>
      <c r="D47" s="25" t="n">
        <v>121.4179678156218</v>
      </c>
      <c r="E47" s="25" t="n"/>
      <c r="F47" s="25" t="n"/>
      <c r="O47" s="9" t="n">
        <v>2022</v>
      </c>
      <c r="P47" s="70">
        <f>LOOKUP(DATE($O47,P$39,P$38),$A$2:$A$2943,$L$2:$L$2943)</f>
        <v/>
      </c>
      <c r="Q47" s="70">
        <f>LOOKUP(DATE($O47,Q$39,Q$38),$A$2:$A$2943,$L$2:$L$2943)</f>
        <v/>
      </c>
      <c r="R47" s="70">
        <f>LOOKUP(DATE($O47,R$39,R$38),$A$2:$A$2943,$L$2:$L$2943)</f>
        <v/>
      </c>
      <c r="S47" s="70">
        <f>LOOKUP(DATE($O47,S$39,S$38),$A$2:$A$2943,$L$2:$L$2943)</f>
        <v/>
      </c>
      <c r="T47" s="70">
        <f>+L202</f>
        <v/>
      </c>
      <c r="U47" s="70">
        <f>+L203</f>
        <v/>
      </c>
      <c r="V47" s="70">
        <f>+L204</f>
        <v/>
      </c>
      <c r="W47" s="70">
        <f>+L205</f>
        <v/>
      </c>
      <c r="X47" s="70">
        <f>+L206</f>
        <v/>
      </c>
      <c r="Y47" s="70">
        <f>+L207</f>
        <v/>
      </c>
      <c r="Z47" s="70">
        <f>+L208</f>
        <v/>
      </c>
      <c r="AA47" s="70">
        <f>+L209</f>
        <v/>
      </c>
      <c r="AD47" s="27" t="n">
        <v>2022</v>
      </c>
      <c r="AE47" s="60">
        <f>+P47</f>
        <v/>
      </c>
      <c r="AF47" s="60">
        <f>+Q47</f>
        <v/>
      </c>
      <c r="AG47" s="60">
        <f>+R47</f>
        <v/>
      </c>
      <c r="AH47" s="60">
        <f>+S47</f>
        <v/>
      </c>
      <c r="AI47" s="60">
        <f>+T47</f>
        <v/>
      </c>
      <c r="AJ47" s="60">
        <f>+U47</f>
        <v/>
      </c>
      <c r="AK47" s="60">
        <f>+V47</f>
        <v/>
      </c>
      <c r="AL47" s="60">
        <f>+W47</f>
        <v/>
      </c>
      <c r="AM47" s="60">
        <f>+X47</f>
        <v/>
      </c>
      <c r="AN47" s="60">
        <f>+Y47</f>
        <v/>
      </c>
      <c r="AO47" s="60">
        <f>+Z47</f>
        <v/>
      </c>
      <c r="AP47" s="60">
        <f>+AA47</f>
        <v/>
      </c>
      <c r="AQ47" s="62">
        <f>+(K209/K197-1)/COUNTA(AE47:AP47)*12</f>
        <v/>
      </c>
      <c r="AR47" s="15" t="n"/>
      <c r="AS47" s="15" t="n"/>
      <c r="BD47" s="32" t="n"/>
      <c r="BE47" s="32" t="n"/>
      <c r="BF47" s="32" t="n"/>
      <c r="BG47" s="32" t="n"/>
      <c r="BH47" s="32" t="n"/>
      <c r="BI47" s="32" t="n"/>
      <c r="BJ47" s="54" t="n"/>
    </row>
    <row r="48">
      <c r="A48" s="23" t="n">
        <v>40025</v>
      </c>
      <c r="B48" s="112" t="n">
        <v>13305.34</v>
      </c>
      <c r="C48" s="30">
        <f>+(B48/B47-1)/(A48-A47)*30</f>
        <v/>
      </c>
      <c r="D48" s="25" t="n">
        <v>121.47512037644</v>
      </c>
      <c r="E48" s="25" t="n"/>
      <c r="F48" s="25" t="n"/>
      <c r="O48" s="9" t="n">
        <v>2023</v>
      </c>
      <c r="P48" s="76">
        <f>+L210</f>
        <v/>
      </c>
      <c r="Q48" s="76">
        <f>+L211</f>
        <v/>
      </c>
      <c r="R48" s="76">
        <f>+L212</f>
        <v/>
      </c>
      <c r="S48" s="76">
        <f>+L213</f>
        <v/>
      </c>
      <c r="T48" s="76">
        <f>+L214</f>
        <v/>
      </c>
      <c r="U48" s="76">
        <f>+L215</f>
        <v/>
      </c>
      <c r="V48" s="76">
        <f>+L216</f>
        <v/>
      </c>
      <c r="W48" s="76">
        <f>+L217</f>
        <v/>
      </c>
      <c r="X48" s="76">
        <f>+L218</f>
        <v/>
      </c>
      <c r="Y48" s="76">
        <f>+L219</f>
        <v/>
      </c>
      <c r="Z48" s="76">
        <f>+L220</f>
        <v/>
      </c>
      <c r="AA48" s="76">
        <f>+L221</f>
        <v/>
      </c>
      <c r="AD48" s="27" t="n">
        <v>2023</v>
      </c>
      <c r="AE48" s="60">
        <f>+P48</f>
        <v/>
      </c>
      <c r="AF48" s="60">
        <f>+Q48</f>
        <v/>
      </c>
      <c r="AG48" s="60">
        <f>+R48</f>
        <v/>
      </c>
      <c r="AH48" s="60">
        <f>+S48</f>
        <v/>
      </c>
      <c r="AI48" s="60">
        <f>+T48</f>
        <v/>
      </c>
      <c r="AJ48" s="60">
        <f>+U48</f>
        <v/>
      </c>
      <c r="AK48" s="60">
        <f>+V48</f>
        <v/>
      </c>
      <c r="AL48" s="60">
        <f>+W48</f>
        <v/>
      </c>
      <c r="AM48" s="60">
        <f>+X48</f>
        <v/>
      </c>
      <c r="AN48" s="60">
        <f>+Y48</f>
        <v/>
      </c>
      <c r="AO48" s="60">
        <f>+Z48</f>
        <v/>
      </c>
      <c r="AP48" s="60">
        <f>+AA48</f>
        <v/>
      </c>
      <c r="AQ48" s="62">
        <f>+(K221/K209-1)/COUNTA(AE48:AP48)*12</f>
        <v/>
      </c>
      <c r="AR48" s="47" t="n"/>
      <c r="AS48" s="15" t="n"/>
      <c r="BD48" s="32" t="n"/>
      <c r="BE48" s="32" t="n"/>
      <c r="BF48" s="32" t="n"/>
      <c r="BG48" s="32" t="n"/>
      <c r="BH48" s="32" t="n"/>
      <c r="BI48" s="32" t="n"/>
      <c r="BJ48" s="54" t="n"/>
    </row>
    <row r="49">
      <c r="A49" s="23" t="n">
        <v>40056</v>
      </c>
      <c r="B49" s="112" t="n">
        <v>13310.07</v>
      </c>
      <c r="C49" s="30">
        <f>+(B49/B48-1)/(A49-A48)*30</f>
        <v/>
      </c>
      <c r="D49" s="25" t="n">
        <v>121.5183043401253</v>
      </c>
      <c r="E49" s="25" t="n"/>
      <c r="F49" s="25" t="n"/>
      <c r="O49" s="9" t="n">
        <v>2024</v>
      </c>
      <c r="P49" s="76">
        <f>+L222</f>
        <v/>
      </c>
      <c r="Q49" s="76">
        <f>+L223</f>
        <v/>
      </c>
      <c r="R49" s="76">
        <f>+L224</f>
        <v/>
      </c>
      <c r="S49" s="76">
        <f>+L225</f>
        <v/>
      </c>
      <c r="T49" s="76">
        <f>+L226</f>
        <v/>
      </c>
      <c r="U49" s="76">
        <f>+L227</f>
        <v/>
      </c>
      <c r="V49" s="76">
        <f>+L228</f>
        <v/>
      </c>
      <c r="W49" s="76">
        <f>+L229</f>
        <v/>
      </c>
      <c r="X49" s="76">
        <f>+L230</f>
        <v/>
      </c>
      <c r="Y49" s="76">
        <f>+L231</f>
        <v/>
      </c>
      <c r="Z49" s="76">
        <f>+L232</f>
        <v/>
      </c>
      <c r="AA49" s="76">
        <f>+L233</f>
        <v/>
      </c>
      <c r="AD49" s="27" t="n">
        <v>2024</v>
      </c>
      <c r="AE49" s="60">
        <f>+P49</f>
        <v/>
      </c>
      <c r="AF49" s="60">
        <f>+Q49</f>
        <v/>
      </c>
      <c r="AG49" s="60">
        <f>+R49</f>
        <v/>
      </c>
      <c r="AH49" s="60">
        <f>+S49</f>
        <v/>
      </c>
      <c r="AI49" s="60">
        <f>+T49</f>
        <v/>
      </c>
      <c r="AJ49" s="60">
        <f>+U49</f>
        <v/>
      </c>
      <c r="AK49" s="60">
        <f>+V49</f>
        <v/>
      </c>
      <c r="AL49" s="60">
        <f>+W49</f>
        <v/>
      </c>
      <c r="AM49" s="60">
        <f>+X49</f>
        <v/>
      </c>
      <c r="AN49" s="60">
        <f>+Y49</f>
        <v/>
      </c>
      <c r="AO49" s="60">
        <f>+Z49</f>
        <v/>
      </c>
      <c r="AP49" s="60">
        <f>+AA49</f>
        <v/>
      </c>
      <c r="AQ49" s="62">
        <f>+(K233/K221-1)/COUNTA(AE49:AP49)*12</f>
        <v/>
      </c>
      <c r="AR49" s="15" t="n"/>
      <c r="AS49" s="15" t="n"/>
      <c r="BD49" s="32" t="n"/>
      <c r="BE49" s="32" t="n"/>
      <c r="BF49" s="32" t="n"/>
      <c r="BG49" s="32" t="n"/>
      <c r="BH49" s="32" t="n"/>
      <c r="BI49" s="32" t="n"/>
      <c r="BJ49" s="54" t="n"/>
    </row>
    <row r="50">
      <c r="A50" s="23" t="n">
        <v>40086</v>
      </c>
      <c r="B50" s="112" t="n">
        <v>13315.05</v>
      </c>
      <c r="C50" s="30">
        <f>+(B50/B49-1)/(A50-A49)*30</f>
        <v/>
      </c>
      <c r="D50" s="25" t="n">
        <v>121.5637707543225</v>
      </c>
      <c r="E50" s="25" t="n"/>
      <c r="F50" s="25" t="n"/>
      <c r="O50" s="9" t="n">
        <v>2025</v>
      </c>
      <c r="P50" s="76">
        <f>+L234</f>
        <v/>
      </c>
      <c r="Q50" s="76">
        <f>+L235</f>
        <v/>
      </c>
      <c r="R50" s="76">
        <f>+L236</f>
        <v/>
      </c>
      <c r="S50" s="76">
        <f>+L237</f>
        <v/>
      </c>
      <c r="T50" s="76">
        <f>+L238</f>
        <v/>
      </c>
      <c r="U50" s="76">
        <f>+L239</f>
        <v/>
      </c>
      <c r="V50" s="76">
        <f>+L240</f>
        <v/>
      </c>
      <c r="W50" s="76">
        <f>+L241</f>
        <v/>
      </c>
      <c r="X50" s="76">
        <f>+L242</f>
        <v/>
      </c>
      <c r="Y50" s="76">
        <f>+L243</f>
        <v/>
      </c>
      <c r="Z50" s="76">
        <f>+L244</f>
        <v/>
      </c>
      <c r="AA50" s="76">
        <f>+L245</f>
        <v/>
      </c>
      <c r="AD50" s="27" t="n">
        <v>2025</v>
      </c>
      <c r="AE50" s="60">
        <f>+P50</f>
        <v/>
      </c>
      <c r="AF50" s="60">
        <f>+Q50</f>
        <v/>
      </c>
      <c r="AG50" s="60">
        <f>+R50</f>
        <v/>
      </c>
      <c r="AH50" s="60">
        <f>+S50</f>
        <v/>
      </c>
      <c r="AI50" s="60">
        <f>+T50</f>
        <v/>
      </c>
      <c r="AJ50" s="60">
        <f>+U50</f>
        <v/>
      </c>
      <c r="AK50" s="60">
        <f>+V50</f>
        <v/>
      </c>
      <c r="AL50" s="60">
        <f>+W50</f>
        <v/>
      </c>
      <c r="AM50" s="60">
        <f>+X50</f>
        <v/>
      </c>
      <c r="AN50" s="60">
        <f>+Y50</f>
        <v/>
      </c>
      <c r="AO50" s="60">
        <f>+Z50</f>
        <v/>
      </c>
      <c r="AP50" s="60">
        <f>+AA50</f>
        <v/>
      </c>
      <c r="AQ50" s="62">
        <f>+(K245/K234-1)/COUNTA(AE50:AP50)*12</f>
        <v/>
      </c>
      <c r="AR50" s="47" t="n"/>
      <c r="AS50" s="15" t="n"/>
      <c r="BD50" s="32" t="n"/>
      <c r="BE50" s="32" t="n"/>
      <c r="BF50" s="32" t="n"/>
      <c r="BG50" s="32" t="n"/>
      <c r="BH50" s="32" t="n"/>
      <c r="BI50" s="32" t="n"/>
      <c r="BJ50" s="54" t="n"/>
    </row>
    <row r="51">
      <c r="A51" s="23" t="n">
        <v>40116</v>
      </c>
      <c r="B51" s="112" t="n">
        <v>13319.74</v>
      </c>
      <c r="C51" s="30">
        <f>+(B51/B50-1)/(A51-A50)*30</f>
        <v/>
      </c>
      <c r="D51" s="25" t="n">
        <v>121.6065895259259</v>
      </c>
      <c r="E51" s="25" t="n"/>
      <c r="F51" s="25" t="n"/>
      <c r="O51" s="9" t="n">
        <v>2026</v>
      </c>
      <c r="P51" s="76">
        <f>+L246</f>
        <v/>
      </c>
      <c r="Q51" s="76">
        <f>+L247</f>
        <v/>
      </c>
      <c r="R51" s="76">
        <f>+L248</f>
        <v/>
      </c>
      <c r="S51" s="76">
        <f>+L249</f>
        <v/>
      </c>
      <c r="T51">
        <f>+L250</f>
        <v/>
      </c>
      <c r="U51">
        <f>+L251</f>
        <v/>
      </c>
      <c r="AD51" s="27" t="n">
        <v>2026</v>
      </c>
      <c r="AE51" s="60">
        <f>+P51</f>
        <v/>
      </c>
      <c r="AF51" s="60">
        <f>+Q51</f>
        <v/>
      </c>
      <c r="AG51" s="60">
        <f>+R51</f>
        <v/>
      </c>
      <c r="AH51" s="60">
        <f>+S51</f>
        <v/>
      </c>
      <c r="AI51" s="15">
        <f>+T51/S51-1</f>
        <v/>
      </c>
      <c r="AJ51" s="15">
        <f>+U51/T51-1</f>
        <v/>
      </c>
      <c r="AK51" s="15" t="n"/>
      <c r="AL51" s="15" t="n"/>
      <c r="AM51" s="15" t="n"/>
      <c r="AN51" s="15" t="n"/>
      <c r="AO51" s="15" t="n"/>
      <c r="AP51" s="15" t="n"/>
      <c r="AQ51" s="62">
        <f>+(K249/K246-1)/COUNTA(AE51:AJ51)*12</f>
        <v/>
      </c>
      <c r="AR51" s="47" t="n"/>
      <c r="AS51" s="15" t="n"/>
      <c r="BD51" s="32" t="n"/>
      <c r="BE51" s="32" t="n"/>
      <c r="BF51" s="32" t="n"/>
      <c r="BG51" s="32" t="n"/>
      <c r="BH51" s="32" t="n"/>
      <c r="BI51" s="32" t="n"/>
      <c r="BJ51" s="54" t="n"/>
      <c r="BK51" s="56" t="n"/>
    </row>
    <row r="52">
      <c r="A52" s="23" t="n">
        <v>40147</v>
      </c>
      <c r="B52" s="112" t="n">
        <v>13324.51</v>
      </c>
      <c r="C52" s="30">
        <f>+(B52/B51-1)/(A52-A51)*30</f>
        <v/>
      </c>
      <c r="D52" s="25" t="n">
        <v>121.6501386816931</v>
      </c>
      <c r="E52" s="25" t="n"/>
      <c r="F52" s="25" t="n"/>
      <c r="AD52" s="31" t="n"/>
      <c r="AE52" s="15" t="n"/>
      <c r="AF52" s="15" t="n"/>
      <c r="AG52" s="15" t="n"/>
      <c r="AH52" s="15" t="n"/>
      <c r="AI52" s="15" t="n"/>
      <c r="AJ52" s="15" t="n"/>
      <c r="AK52" s="15" t="n"/>
      <c r="AL52" s="15" t="n"/>
      <c r="AM52" s="15" t="n"/>
      <c r="AN52" s="15" t="n"/>
      <c r="AO52" s="15" t="n"/>
      <c r="AP52" s="15" t="n"/>
      <c r="AQ52" s="15" t="n"/>
      <c r="AR52" s="47" t="n"/>
      <c r="AS52" s="15" t="n"/>
      <c r="BD52" s="32" t="n"/>
      <c r="BE52" s="32" t="n"/>
      <c r="BF52" s="32" t="n"/>
      <c r="BG52" s="32" t="n"/>
      <c r="BH52" s="32" t="n"/>
      <c r="BI52" s="32" t="n"/>
      <c r="BJ52" s="54" t="n"/>
      <c r="BK52" s="56" t="n"/>
    </row>
    <row r="53">
      <c r="A53" s="23" t="n">
        <v>40178</v>
      </c>
      <c r="B53" s="112" t="n">
        <v>13329.5</v>
      </c>
      <c r="C53" s="30">
        <f>+(B53/B52-1)/(A53-A52)*30</f>
        <v/>
      </c>
      <c r="D53" s="25" t="n">
        <v>121.6956963939108</v>
      </c>
      <c r="E53" s="25" t="n"/>
      <c r="F53" s="25" t="n"/>
      <c r="AD53" s="31" t="inlineStr">
        <is>
          <t>(*) Acum a Mar</t>
        </is>
      </c>
      <c r="AE53" s="15" t="n"/>
      <c r="AF53" s="15" t="n"/>
      <c r="AG53" s="15" t="n"/>
      <c r="AH53" s="15" t="n"/>
      <c r="AI53" s="15" t="n"/>
      <c r="AJ53" s="15" t="n"/>
      <c r="AK53" s="15" t="n"/>
      <c r="AL53" s="15" t="n"/>
      <c r="AM53" s="15" t="n"/>
      <c r="AN53" s="15" t="n"/>
      <c r="AO53" s="15" t="n"/>
      <c r="AP53" s="15" t="n"/>
      <c r="AQ53" s="15" t="n"/>
      <c r="AR53" s="15" t="n"/>
      <c r="AS53" s="15" t="n"/>
    </row>
    <row r="54">
      <c r="A54" s="23" t="n">
        <v>40207</v>
      </c>
      <c r="B54" s="112" t="n">
        <v>13334.25</v>
      </c>
      <c r="C54" s="30">
        <f>+(B54/B53-1)/(A54-A53)*30</f>
        <v/>
      </c>
      <c r="D54" s="25" t="n">
        <v>121.7390629536371</v>
      </c>
      <c r="E54" s="25" t="n"/>
      <c r="F54" s="25" t="n"/>
      <c r="AD54" s="31" t="n"/>
      <c r="AE54" s="15" t="n"/>
      <c r="AF54" s="15" t="n"/>
      <c r="AG54" s="15" t="n"/>
      <c r="AH54" s="15" t="n"/>
      <c r="AI54" s="15" t="n"/>
      <c r="AJ54" s="15" t="n"/>
      <c r="AK54" s="15" t="n"/>
      <c r="AL54" s="15" t="n"/>
      <c r="AM54" s="15" t="n"/>
      <c r="AN54" s="15" t="n"/>
      <c r="AO54" s="15" t="n"/>
      <c r="AP54" s="15" t="n"/>
      <c r="AQ54" s="15" t="n"/>
      <c r="AR54" s="55" t="n"/>
      <c r="AS54" s="15" t="n"/>
    </row>
    <row r="55">
      <c r="A55" s="23" t="n">
        <v>40235</v>
      </c>
      <c r="B55" s="112" t="n">
        <v>13338.53</v>
      </c>
      <c r="C55" s="30">
        <f>+(B55/B54-1)/(A55-A54)*30</f>
        <v/>
      </c>
      <c r="D55" s="25" t="n">
        <v>121.7781385064009</v>
      </c>
      <c r="E55" s="25" t="n"/>
      <c r="F55" s="25" t="n"/>
      <c r="AC55" s="49" t="inlineStr">
        <is>
          <t>Año</t>
        </is>
      </c>
      <c r="AD55" s="50" t="inlineStr">
        <is>
          <t>Fondo</t>
        </is>
      </c>
      <c r="AE55" s="50" t="inlineStr">
        <is>
          <t>Ene</t>
        </is>
      </c>
      <c r="AF55" s="50" t="inlineStr">
        <is>
          <t>Feb</t>
        </is>
      </c>
      <c r="AG55" s="50" t="inlineStr">
        <is>
          <t>Mar</t>
        </is>
      </c>
      <c r="AH55" s="50" t="inlineStr">
        <is>
          <t>Abr</t>
        </is>
      </c>
      <c r="AI55" s="50" t="inlineStr">
        <is>
          <t>May</t>
        </is>
      </c>
      <c r="AJ55" s="50" t="inlineStr">
        <is>
          <t>Jun</t>
        </is>
      </c>
      <c r="AK55" s="50" t="inlineStr">
        <is>
          <t>Jul</t>
        </is>
      </c>
      <c r="AL55" s="50" t="inlineStr">
        <is>
          <t>Ago</t>
        </is>
      </c>
      <c r="AM55" s="50" t="inlineStr">
        <is>
          <t>Sep</t>
        </is>
      </c>
      <c r="AN55" s="50" t="inlineStr">
        <is>
          <t>Oct</t>
        </is>
      </c>
      <c r="AO55" s="50" t="inlineStr">
        <is>
          <t>Nov</t>
        </is>
      </c>
      <c r="AP55" s="50" t="inlineStr">
        <is>
          <t>Dic</t>
        </is>
      </c>
      <c r="AQ55" s="50" t="inlineStr">
        <is>
          <t>Total Año</t>
        </is>
      </c>
      <c r="AR55" s="15" t="n"/>
      <c r="AS55" s="15" t="n"/>
    </row>
    <row r="56">
      <c r="A56" s="23" t="n">
        <v>40268</v>
      </c>
      <c r="B56" s="112" t="n">
        <v>13343.79</v>
      </c>
      <c r="C56" s="30">
        <f>+(B56/B55-1)/(A56-A55)*30</f>
        <v/>
      </c>
      <c r="D56" s="25" t="n">
        <v>121.8261612651715</v>
      </c>
      <c r="E56" s="25" t="n"/>
      <c r="F56" s="25" t="n"/>
      <c r="AC56" s="63" t="n">
        <v>2013</v>
      </c>
      <c r="AD56" s="63" t="inlineStr">
        <is>
          <t>ICP</t>
        </is>
      </c>
      <c r="AE56" s="64">
        <f>AE9</f>
        <v/>
      </c>
      <c r="AF56" s="64">
        <f>AF9</f>
        <v/>
      </c>
      <c r="AG56" s="64">
        <f>AG9</f>
        <v/>
      </c>
      <c r="AH56" s="64">
        <f>AH9</f>
        <v/>
      </c>
      <c r="AI56" s="64">
        <f>AI9</f>
        <v/>
      </c>
      <c r="AJ56" s="64">
        <f>AJ9</f>
        <v/>
      </c>
      <c r="AK56" s="64">
        <f>AK9</f>
        <v/>
      </c>
      <c r="AL56" s="64">
        <f>AL9</f>
        <v/>
      </c>
      <c r="AM56" s="64">
        <f>AM9</f>
        <v/>
      </c>
      <c r="AN56" s="64">
        <f>AN9</f>
        <v/>
      </c>
      <c r="AO56" s="64">
        <f>AO9</f>
        <v/>
      </c>
      <c r="AP56" s="64">
        <f>AP9</f>
        <v/>
      </c>
      <c r="AQ56" s="65">
        <f>AQ9</f>
        <v/>
      </c>
      <c r="AR56" s="47" t="n"/>
      <c r="AS56" s="47" t="n"/>
    </row>
    <row r="57">
      <c r="A57" s="23" t="n">
        <v>40298</v>
      </c>
      <c r="B57" s="112" t="n">
        <v>13348.63</v>
      </c>
      <c r="C57" s="30">
        <f>+(B57/B56-1)/(A57-A56)*30</f>
        <v/>
      </c>
      <c r="D57" s="25" t="n">
        <v>121.870349507082</v>
      </c>
      <c r="E57" s="25" t="n"/>
      <c r="F57" s="25" t="n"/>
      <c r="AC57" s="52" t="n">
        <v>2014</v>
      </c>
      <c r="AD57" s="52" t="inlineStr">
        <is>
          <t>ICP</t>
        </is>
      </c>
      <c r="AE57" s="53">
        <f>AE10</f>
        <v/>
      </c>
      <c r="AF57" s="53">
        <f>AF10</f>
        <v/>
      </c>
      <c r="AG57" s="53">
        <f>AG10</f>
        <v/>
      </c>
      <c r="AH57" s="53">
        <f>AH10</f>
        <v/>
      </c>
      <c r="AI57" s="53">
        <f>AI10</f>
        <v/>
      </c>
      <c r="AJ57" s="53">
        <f>AJ10</f>
        <v/>
      </c>
      <c r="AK57" s="53">
        <f>AK10</f>
        <v/>
      </c>
      <c r="AL57" s="53">
        <f>AL10</f>
        <v/>
      </c>
      <c r="AM57" s="53">
        <f>AM10</f>
        <v/>
      </c>
      <c r="AN57" s="53">
        <f>AN10</f>
        <v/>
      </c>
      <c r="AO57" s="53">
        <f>AO10</f>
        <v/>
      </c>
      <c r="AP57" s="53">
        <f>AP10</f>
        <v/>
      </c>
      <c r="AQ57" s="51">
        <f>AQ10</f>
        <v/>
      </c>
      <c r="AR57" s="47" t="n"/>
      <c r="AS57" s="47" t="n"/>
    </row>
    <row r="58">
      <c r="A58" s="23" t="n">
        <v>40329</v>
      </c>
      <c r="B58" s="112" t="n">
        <v>13353.5</v>
      </c>
      <c r="C58" s="30">
        <f>+(B58/B57-1)/(A58-A57)*30</f>
        <v/>
      </c>
      <c r="D58" s="25" t="n">
        <v>121.914811643054</v>
      </c>
      <c r="E58" s="25" t="n"/>
      <c r="F58" s="25" t="n"/>
      <c r="AC58" s="63" t="n">
        <v>2015</v>
      </c>
      <c r="AD58" s="63" t="inlineStr">
        <is>
          <t>ICP</t>
        </is>
      </c>
      <c r="AE58" s="64">
        <f>AE11</f>
        <v/>
      </c>
      <c r="AF58" s="64">
        <f>AF11</f>
        <v/>
      </c>
      <c r="AG58" s="64">
        <f>AG11</f>
        <v/>
      </c>
      <c r="AH58" s="64">
        <f>AH11</f>
        <v/>
      </c>
      <c r="AI58" s="64">
        <f>AI11</f>
        <v/>
      </c>
      <c r="AJ58" s="64">
        <f>AJ11</f>
        <v/>
      </c>
      <c r="AK58" s="64">
        <f>AK11</f>
        <v/>
      </c>
      <c r="AL58" s="64">
        <f>AL11</f>
        <v/>
      </c>
      <c r="AM58" s="64">
        <f>AM11</f>
        <v/>
      </c>
      <c r="AN58" s="64">
        <f>AN11</f>
        <v/>
      </c>
      <c r="AO58" s="64">
        <f>AO11</f>
        <v/>
      </c>
      <c r="AP58" s="64">
        <f>AP11</f>
        <v/>
      </c>
      <c r="AQ58" s="65">
        <f>AQ11</f>
        <v/>
      </c>
      <c r="AR58" s="55" t="inlineStr">
        <is>
          <t>(*)</t>
        </is>
      </c>
      <c r="AS58" s="47" t="n"/>
    </row>
    <row r="59">
      <c r="A59" s="23" t="n">
        <v>40359</v>
      </c>
      <c r="B59" s="112" t="n">
        <v>13360.9</v>
      </c>
      <c r="C59" s="30">
        <f>+(B59/B58-1)/(A59-A58)*30</f>
        <v/>
      </c>
      <c r="D59" s="25" t="n">
        <v>121.9823721782064</v>
      </c>
      <c r="E59" s="25" t="n"/>
      <c r="F59" s="25" t="n"/>
      <c r="AC59" s="52" t="n">
        <v>2016</v>
      </c>
      <c r="AD59" s="52" t="inlineStr">
        <is>
          <t>ICP</t>
        </is>
      </c>
      <c r="AE59" s="53">
        <f>AE12</f>
        <v/>
      </c>
      <c r="AF59" s="53">
        <f>AF12</f>
        <v/>
      </c>
      <c r="AG59" s="53">
        <f>AG12</f>
        <v/>
      </c>
      <c r="AH59" s="53">
        <f>AH12</f>
        <v/>
      </c>
      <c r="AI59" s="53">
        <f>AI12</f>
        <v/>
      </c>
      <c r="AJ59" s="53">
        <f>AJ12</f>
        <v/>
      </c>
      <c r="AK59" s="53">
        <f>AK12</f>
        <v/>
      </c>
      <c r="AL59" s="53">
        <f>AL12</f>
        <v/>
      </c>
      <c r="AM59" s="53">
        <f>AM12</f>
        <v/>
      </c>
      <c r="AN59" s="53">
        <f>AN12</f>
        <v/>
      </c>
      <c r="AO59" s="53">
        <f>AO12</f>
        <v/>
      </c>
      <c r="AP59" s="53">
        <f>AP12</f>
        <v/>
      </c>
      <c r="AQ59" s="51">
        <f>AQ12</f>
        <v/>
      </c>
      <c r="AR59" s="55" t="n"/>
      <c r="AS59" s="47" t="n"/>
    </row>
    <row r="60">
      <c r="A60" s="23" t="n">
        <v>40389</v>
      </c>
      <c r="B60" s="112" t="n">
        <v>13373.99</v>
      </c>
      <c r="C60" s="30">
        <f>+(B60/B59-1)/(A60-A59)*30</f>
        <v/>
      </c>
      <c r="D60" s="25" t="n">
        <v>122.1018812870099</v>
      </c>
      <c r="E60" s="25" t="n"/>
      <c r="F60" s="25" t="n"/>
      <c r="AC60" s="106" t="n">
        <v>2017</v>
      </c>
      <c r="AD60" s="63" t="inlineStr">
        <is>
          <t>ICP</t>
        </is>
      </c>
      <c r="AE60" s="64">
        <f>+AE13</f>
        <v/>
      </c>
      <c r="AF60" s="64">
        <f>+AF13</f>
        <v/>
      </c>
      <c r="AG60" s="64">
        <f>+AG13</f>
        <v/>
      </c>
      <c r="AH60" s="64">
        <f>+AH13</f>
        <v/>
      </c>
      <c r="AI60" s="64">
        <f>+AI13</f>
        <v/>
      </c>
      <c r="AJ60" s="64">
        <f>+AJ13</f>
        <v/>
      </c>
      <c r="AK60" s="64">
        <f>+AK13</f>
        <v/>
      </c>
      <c r="AL60" s="64">
        <f>+AL13</f>
        <v/>
      </c>
      <c r="AM60" s="64">
        <f>+AM13</f>
        <v/>
      </c>
      <c r="AN60" s="64">
        <f>+AN13</f>
        <v/>
      </c>
      <c r="AO60" s="64">
        <f>+AO13</f>
        <v/>
      </c>
      <c r="AP60" s="64">
        <f>+AP13</f>
        <v/>
      </c>
      <c r="AQ60" s="65">
        <f>+AQ42</f>
        <v/>
      </c>
      <c r="AR60" s="55" t="n"/>
      <c r="AS60" s="15" t="n"/>
    </row>
    <row r="61">
      <c r="A61" s="23" t="n">
        <v>40421</v>
      </c>
      <c r="B61" s="112" t="n">
        <v>13395.21</v>
      </c>
      <c r="C61" s="30">
        <f>+(B61/B60-1)/(A61-A60)*30</f>
        <v/>
      </c>
      <c r="D61" s="25" t="n">
        <v>122.2956156864607</v>
      </c>
      <c r="E61" s="25" t="n"/>
      <c r="F61" s="25" t="n"/>
      <c r="AD61" s="63" t="inlineStr">
        <is>
          <t>Competencia</t>
        </is>
      </c>
      <c r="AE61" s="64" t="n"/>
      <c r="AF61" s="64" t="n"/>
      <c r="AG61" s="64" t="n"/>
      <c r="AH61" s="64" t="n"/>
      <c r="AI61" s="64" t="n"/>
      <c r="AJ61" s="64" t="n"/>
      <c r="AK61" s="64" t="n"/>
      <c r="AL61" s="64" t="n"/>
      <c r="AM61" s="64" t="n"/>
      <c r="AN61" s="64" t="n"/>
      <c r="AO61" s="64" t="n"/>
      <c r="AP61" s="64" t="n"/>
      <c r="AQ61" s="65">
        <f>+AQ42</f>
        <v/>
      </c>
      <c r="AR61" s="55" t="n"/>
      <c r="AS61" s="15" t="n"/>
    </row>
    <row r="62">
      <c r="A62" s="23" t="n">
        <v>40451</v>
      </c>
      <c r="B62" s="112" t="n">
        <v>13419.79</v>
      </c>
      <c r="C62" s="30">
        <f>+(B62/B61-1)/(A62-A61)*30</f>
        <v/>
      </c>
      <c r="D62" s="25" t="n">
        <v>122.5200262207915</v>
      </c>
      <c r="E62" s="25" t="n"/>
      <c r="F62" s="25" t="n"/>
      <c r="AD62" s="63" t="inlineStr">
        <is>
          <t>FIP Liquidez Caja</t>
        </is>
      </c>
      <c r="AE62" s="64" t="n"/>
      <c r="AF62" s="64" t="n"/>
      <c r="AG62" s="64" t="n"/>
      <c r="AH62" s="64" t="n"/>
      <c r="AI62" s="64" t="n"/>
      <c r="AJ62" s="64" t="n"/>
      <c r="AK62" s="64" t="n"/>
      <c r="AL62" s="64" t="n"/>
      <c r="AM62" s="64" t="n"/>
      <c r="AN62" s="64" t="n"/>
      <c r="AO62" s="64" t="n"/>
      <c r="AP62" s="64" t="n"/>
      <c r="AQ62" s="65">
        <f>+AQ29</f>
        <v/>
      </c>
      <c r="AR62" s="15" t="n"/>
    </row>
    <row r="63">
      <c r="A63" s="23" t="n">
        <v>40480</v>
      </c>
      <c r="B63" s="112" t="n">
        <v>13448.69</v>
      </c>
      <c r="C63" s="30">
        <f>+(B63/B62-1)/(A63-A62)*30</f>
        <v/>
      </c>
      <c r="D63" s="25" t="n">
        <v>122.7838774999681</v>
      </c>
      <c r="E63" s="25" t="n"/>
      <c r="F63" s="25" t="n"/>
      <c r="AC63" s="108" t="n">
        <v>2018</v>
      </c>
      <c r="AD63" s="52" t="inlineStr">
        <is>
          <t>ICP</t>
        </is>
      </c>
      <c r="AE63" s="53">
        <f>+AE14</f>
        <v/>
      </c>
      <c r="AF63" s="53">
        <f>+AF14</f>
        <v/>
      </c>
      <c r="AG63" s="53">
        <f>+AG14</f>
        <v/>
      </c>
      <c r="AH63" s="53">
        <f>+AH14</f>
        <v/>
      </c>
      <c r="AI63" s="53">
        <f>+AI14</f>
        <v/>
      </c>
      <c r="AJ63" s="53">
        <f>+AJ14</f>
        <v/>
      </c>
      <c r="AK63" s="53">
        <f>+AK14</f>
        <v/>
      </c>
      <c r="AL63" s="53">
        <f>+AL14</f>
        <v/>
      </c>
      <c r="AM63" s="53">
        <f>+AM14</f>
        <v/>
      </c>
      <c r="AN63" s="53">
        <f>+AN14</f>
        <v/>
      </c>
      <c r="AO63" s="53">
        <f>+AO14</f>
        <v/>
      </c>
      <c r="AP63" s="53">
        <f>+AP14</f>
        <v/>
      </c>
      <c r="AQ63" s="51">
        <f>+AQ14</f>
        <v/>
      </c>
      <c r="AR63" s="15" t="n"/>
    </row>
    <row r="64">
      <c r="A64" s="23" t="n">
        <v>40512</v>
      </c>
      <c r="B64" s="112" t="n">
        <v>13483.02</v>
      </c>
      <c r="C64" s="30">
        <f>+(B64/B63-1)/(A64-A63)*30</f>
        <v/>
      </c>
      <c r="D64" s="25" t="n">
        <v>123.0973036042633</v>
      </c>
      <c r="E64" s="25" t="n"/>
      <c r="F64" s="25" t="n"/>
      <c r="AD64" s="52" t="inlineStr">
        <is>
          <t>Competencia</t>
        </is>
      </c>
      <c r="AE64" s="53" t="n"/>
      <c r="AF64" s="53" t="n"/>
      <c r="AG64" s="53" t="n"/>
      <c r="AH64" s="53" t="n"/>
      <c r="AI64" s="53" t="n"/>
      <c r="AJ64" s="53" t="n"/>
      <c r="AK64" s="53" t="n"/>
      <c r="AL64" s="53" t="n"/>
      <c r="AM64" s="53" t="n"/>
      <c r="AN64" s="53" t="n"/>
      <c r="AO64" s="53">
        <f>+AO43</f>
        <v/>
      </c>
      <c r="AP64" s="53">
        <f>+AP43</f>
        <v/>
      </c>
      <c r="AQ64" s="51">
        <f>+AQ43</f>
        <v/>
      </c>
    </row>
    <row r="65">
      <c r="A65" s="23" t="n">
        <v>40543</v>
      </c>
      <c r="B65" s="112" t="n">
        <v>13522.93</v>
      </c>
      <c r="C65" s="30">
        <f>+(B65/B64-1)/(A65-A64)*30</f>
        <v/>
      </c>
      <c r="D65" s="25" t="n">
        <v>123.4616740039842</v>
      </c>
      <c r="E65" s="25" t="n"/>
      <c r="F65" s="25" t="n"/>
      <c r="AD65" s="52" t="inlineStr">
        <is>
          <t>FIP Liquidez Caja</t>
        </is>
      </c>
      <c r="AE65" s="53" t="n"/>
      <c r="AF65" s="53" t="n"/>
      <c r="AG65" s="53" t="n"/>
      <c r="AH65" s="53" t="n"/>
      <c r="AI65" s="53" t="n"/>
      <c r="AJ65" s="53" t="n"/>
      <c r="AK65" s="53" t="n"/>
      <c r="AL65" s="53" t="n"/>
      <c r="AM65" s="53" t="n"/>
      <c r="AN65" s="53" t="n"/>
      <c r="AO65" s="53">
        <f>+AO30</f>
        <v/>
      </c>
      <c r="AP65" s="53">
        <f>+AP30</f>
        <v/>
      </c>
      <c r="AQ65" s="51">
        <f>+AQ30</f>
        <v/>
      </c>
    </row>
    <row r="66">
      <c r="A66" s="23" t="n">
        <v>40574</v>
      </c>
      <c r="B66" s="112" t="n">
        <v>13557.12</v>
      </c>
      <c r="C66" s="30">
        <f>+(B66/B65-1)/(A66-A65)*30</f>
        <v/>
      </c>
      <c r="D66" s="25" t="n">
        <v>123.7738219359928</v>
      </c>
      <c r="E66" s="25" t="n"/>
      <c r="F66" s="25" t="n"/>
      <c r="AC66" s="106" t="n">
        <v>2019</v>
      </c>
      <c r="AD66" s="63" t="inlineStr">
        <is>
          <t>ICP</t>
        </is>
      </c>
      <c r="AE66" s="64">
        <f>+AE15</f>
        <v/>
      </c>
      <c r="AF66" s="64">
        <f>+AF15</f>
        <v/>
      </c>
      <c r="AG66" s="64">
        <f>+AG15</f>
        <v/>
      </c>
      <c r="AH66" s="64">
        <f>+AH15</f>
        <v/>
      </c>
      <c r="AI66" s="64">
        <f>+AI15</f>
        <v/>
      </c>
      <c r="AJ66" s="64">
        <f>+AJ15</f>
        <v/>
      </c>
      <c r="AK66" s="64">
        <f>+AK15</f>
        <v/>
      </c>
      <c r="AL66" s="64">
        <f>+AL15</f>
        <v/>
      </c>
      <c r="AM66" s="64">
        <f>+AM15</f>
        <v/>
      </c>
      <c r="AN66" s="64">
        <f>+AN15</f>
        <v/>
      </c>
      <c r="AO66" s="64">
        <f>+AO15</f>
        <v/>
      </c>
      <c r="AP66" s="64">
        <f>+AP15</f>
        <v/>
      </c>
      <c r="AQ66" s="65">
        <f>+AQ15</f>
        <v/>
      </c>
    </row>
    <row r="67" customFormat="1" s="109">
      <c r="A67" s="23" t="n">
        <v>40602</v>
      </c>
      <c r="B67" s="112" t="n">
        <v>13592.3</v>
      </c>
      <c r="C67" s="30">
        <f>+(B67/B66-1)/(A67-A66)*30</f>
        <v/>
      </c>
      <c r="D67" s="25" t="n">
        <v>124.0950083720285</v>
      </c>
      <c r="E67" s="25" t="n"/>
      <c r="F67" s="25" t="n"/>
      <c r="I67" s="110" t="n"/>
      <c r="N67" s="9" t="n"/>
      <c r="O67" s="9" t="n"/>
      <c r="P67" s="9" t="n"/>
      <c r="Q67" s="9" t="n"/>
      <c r="R67" s="9" t="n"/>
      <c r="S67" s="9" t="n"/>
      <c r="T67" s="9" t="n"/>
      <c r="U67" s="9" t="n"/>
      <c r="V67" s="9" t="n"/>
      <c r="W67" s="9" t="n"/>
      <c r="X67" s="9" t="n"/>
      <c r="Y67" s="9" t="n"/>
      <c r="Z67" s="9" t="n"/>
      <c r="AA67" s="9" t="n"/>
      <c r="AB67" s="9" t="n"/>
      <c r="AD67" s="63" t="inlineStr">
        <is>
          <t>Competencia</t>
        </is>
      </c>
      <c r="AE67" s="64">
        <f>+AE44</f>
        <v/>
      </c>
      <c r="AF67" s="64">
        <f>+AF44</f>
        <v/>
      </c>
      <c r="AG67" s="64">
        <f>+AG44</f>
        <v/>
      </c>
      <c r="AH67" s="64">
        <f>+AH44</f>
        <v/>
      </c>
      <c r="AI67" s="64">
        <f>+AI44</f>
        <v/>
      </c>
      <c r="AJ67" s="64">
        <f>+AJ44</f>
        <v/>
      </c>
      <c r="AK67" s="64">
        <f>+AK44</f>
        <v/>
      </c>
      <c r="AL67" s="64">
        <f>+AL44</f>
        <v/>
      </c>
      <c r="AM67" s="64">
        <f>+AM44</f>
        <v/>
      </c>
      <c r="AN67" s="64">
        <f>+AN44</f>
        <v/>
      </c>
      <c r="AO67" s="64">
        <f>+AO44</f>
        <v/>
      </c>
      <c r="AP67" s="64">
        <f>+AP44</f>
        <v/>
      </c>
      <c r="AQ67" s="65">
        <f>+AQ44</f>
        <v/>
      </c>
      <c r="AR67" s="9" t="n"/>
      <c r="AS67" s="9" t="n"/>
      <c r="AT67" s="9" t="n"/>
    </row>
    <row r="68" customFormat="1" s="109">
      <c r="A68" s="23" t="n">
        <v>40633</v>
      </c>
      <c r="B68" s="112" t="n">
        <v>13635.91</v>
      </c>
      <c r="C68" s="30">
        <f>+(B68/B67-1)/(A68-A67)*30</f>
        <v/>
      </c>
      <c r="D68" s="25" t="n">
        <v>124.4931590393257</v>
      </c>
      <c r="E68" s="25" t="n"/>
      <c r="F68" s="25" t="n"/>
      <c r="I68" s="110" t="n"/>
      <c r="N68" s="9" t="n"/>
      <c r="O68" s="9" t="n"/>
      <c r="P68" s="9" t="n"/>
      <c r="Q68" s="9" t="n"/>
      <c r="R68" s="9" t="n"/>
      <c r="S68" s="9" t="n"/>
      <c r="T68" s="9" t="n"/>
      <c r="U68" s="9" t="n"/>
      <c r="V68" s="9" t="n"/>
      <c r="W68" s="9" t="n"/>
      <c r="X68" s="9" t="n"/>
      <c r="Y68" s="9" t="n"/>
      <c r="Z68" s="9" t="n"/>
      <c r="AA68" s="9" t="n"/>
      <c r="AB68" s="9" t="n"/>
      <c r="AD68" s="63" t="inlineStr">
        <is>
          <t>FIP Liquidez Caja</t>
        </is>
      </c>
      <c r="AE68" s="64">
        <f>+AE31</f>
        <v/>
      </c>
      <c r="AF68" s="64">
        <f>+AF31</f>
        <v/>
      </c>
      <c r="AG68" s="64">
        <f>+AG31</f>
        <v/>
      </c>
      <c r="AH68" s="64">
        <f>+AH31</f>
        <v/>
      </c>
      <c r="AI68" s="64">
        <f>+AI31</f>
        <v/>
      </c>
      <c r="AJ68" s="64">
        <f>+AJ31</f>
        <v/>
      </c>
      <c r="AK68" s="64">
        <f>+AK31</f>
        <v/>
      </c>
      <c r="AL68" s="64">
        <f>+AL31</f>
        <v/>
      </c>
      <c r="AM68" s="64">
        <f>+AM31</f>
        <v/>
      </c>
      <c r="AN68" s="64">
        <f>+AN31</f>
        <v/>
      </c>
      <c r="AO68" s="64">
        <f>+AO31</f>
        <v/>
      </c>
      <c r="AP68" s="64">
        <f>+AP31</f>
        <v/>
      </c>
      <c r="AQ68" s="65">
        <f>+AQ31</f>
        <v/>
      </c>
      <c r="AR68" s="9" t="n"/>
      <c r="AS68" s="9" t="n"/>
      <c r="AT68" s="9" t="n"/>
    </row>
    <row r="69" customFormat="1" s="109">
      <c r="A69" s="23" t="n">
        <v>40662</v>
      </c>
      <c r="B69" s="112" t="n">
        <v>13682.94</v>
      </c>
      <c r="C69" s="30">
        <f>+(B69/B68-1)/(A69-A68)*30</f>
        <v/>
      </c>
      <c r="D69" s="25" t="n">
        <v>124.9225336296259</v>
      </c>
      <c r="E69" s="25" t="n"/>
      <c r="F69" s="25" t="n"/>
      <c r="I69" s="110" t="n"/>
      <c r="O69" s="9" t="n"/>
      <c r="P69" s="9" t="n"/>
      <c r="Q69" s="9" t="n"/>
      <c r="R69" s="9" t="n"/>
      <c r="S69" s="9" t="n"/>
      <c r="T69" s="9" t="n"/>
      <c r="U69" s="9" t="n"/>
      <c r="V69" s="9" t="n"/>
      <c r="W69" s="9" t="n"/>
      <c r="X69" s="9" t="n"/>
      <c r="Y69" s="9" t="n"/>
      <c r="Z69" s="9" t="n"/>
      <c r="AA69" s="9" t="n"/>
      <c r="AB69" s="9" t="n"/>
      <c r="AC69" s="106" t="n">
        <v>2020</v>
      </c>
      <c r="AD69" s="63" t="inlineStr">
        <is>
          <t>ICP</t>
        </is>
      </c>
      <c r="AE69" s="64">
        <f>+AE16</f>
        <v/>
      </c>
      <c r="AF69" s="64">
        <f>+AF16</f>
        <v/>
      </c>
      <c r="AG69" s="64">
        <f>+AG16</f>
        <v/>
      </c>
      <c r="AH69" s="64">
        <f>+AH16</f>
        <v/>
      </c>
      <c r="AI69" s="64">
        <f>+AI16</f>
        <v/>
      </c>
      <c r="AJ69" s="64">
        <f>+AJ16</f>
        <v/>
      </c>
      <c r="AK69" s="64">
        <f>+AK16</f>
        <v/>
      </c>
      <c r="AL69" s="64">
        <f>+AL16</f>
        <v/>
      </c>
      <c r="AM69" s="64">
        <f>+AM16</f>
        <v/>
      </c>
      <c r="AN69" s="64">
        <f>+AN16</f>
        <v/>
      </c>
      <c r="AO69" s="64">
        <f>+AO16</f>
        <v/>
      </c>
      <c r="AP69" s="64">
        <f>+AP16</f>
        <v/>
      </c>
      <c r="AQ69" s="65">
        <f>+AQ16</f>
        <v/>
      </c>
      <c r="AR69" s="9" t="n"/>
      <c r="AS69" s="9" t="n"/>
    </row>
    <row r="70" customFormat="1" s="109">
      <c r="A70" s="23" t="n">
        <v>40694</v>
      </c>
      <c r="B70" s="112" t="n">
        <v>13741.06</v>
      </c>
      <c r="C70" s="30">
        <f>+(B70/B69-1)/(A70-A69)*30</f>
        <v/>
      </c>
      <c r="D70" s="25" t="n">
        <v>125.4531577246342</v>
      </c>
      <c r="E70" s="25" t="n"/>
      <c r="F70" s="25" t="n"/>
      <c r="I70" s="110" t="n"/>
      <c r="O70" s="9" t="n"/>
      <c r="P70" s="9" t="n"/>
      <c r="Q70" s="9" t="n"/>
      <c r="R70" s="9" t="n"/>
      <c r="S70" s="9" t="n"/>
      <c r="T70" s="9" t="n"/>
      <c r="U70" s="9" t="n"/>
      <c r="V70" s="9" t="n"/>
      <c r="W70" s="9" t="n"/>
      <c r="X70" s="9" t="n"/>
      <c r="Y70" s="9" t="n"/>
      <c r="Z70" s="9" t="n"/>
      <c r="AA70" s="9" t="n"/>
      <c r="AB70" s="9" t="n"/>
      <c r="AD70" s="63" t="inlineStr">
        <is>
          <t>Competencia</t>
        </is>
      </c>
      <c r="AE70" s="64">
        <f>+AE45</f>
        <v/>
      </c>
      <c r="AF70" s="64">
        <f>+AF45</f>
        <v/>
      </c>
      <c r="AG70" s="64">
        <f>+AG45</f>
        <v/>
      </c>
      <c r="AH70" s="64">
        <f>+AH45</f>
        <v/>
      </c>
      <c r="AI70" s="64">
        <f>+AI45</f>
        <v/>
      </c>
      <c r="AJ70" s="64">
        <f>+AJ45</f>
        <v/>
      </c>
      <c r="AK70" s="64">
        <f>+AK45</f>
        <v/>
      </c>
      <c r="AL70" s="64">
        <f>+AL45</f>
        <v/>
      </c>
      <c r="AM70" s="64">
        <f>+AM45</f>
        <v/>
      </c>
      <c r="AN70" s="64">
        <f>+AN45</f>
        <v/>
      </c>
      <c r="AO70" s="64">
        <f>+AO45</f>
        <v/>
      </c>
      <c r="AP70" s="64">
        <f>+AP45</f>
        <v/>
      </c>
      <c r="AQ70" s="65">
        <f>+AQ45</f>
        <v/>
      </c>
      <c r="AR70" s="9" t="n"/>
      <c r="AS70" s="9" t="n"/>
    </row>
    <row r="71" customFormat="1" s="109">
      <c r="A71" s="23" t="n">
        <v>40724</v>
      </c>
      <c r="B71" s="112" t="n">
        <v>13799.74</v>
      </c>
      <c r="C71" s="30">
        <f>+(B71/B70-1)/(A71-A70)*30</f>
        <v/>
      </c>
      <c r="D71" s="25" t="n">
        <v>125.9888945087893</v>
      </c>
      <c r="E71" s="25" t="n"/>
      <c r="F71" s="25" t="n"/>
      <c r="I71" s="110" t="n"/>
      <c r="O71" s="9" t="n"/>
      <c r="P71" s="9" t="n"/>
      <c r="Q71" s="9" t="n"/>
      <c r="R71" s="9" t="n"/>
      <c r="S71" s="9" t="n"/>
      <c r="T71" s="9" t="n"/>
      <c r="U71" s="9" t="n"/>
      <c r="V71" s="9" t="n"/>
      <c r="W71" s="9" t="n"/>
      <c r="X71" s="9" t="n"/>
      <c r="Y71" s="9" t="n"/>
      <c r="Z71" s="9" t="n"/>
      <c r="AA71" s="9" t="n"/>
      <c r="AB71" s="9" t="n"/>
      <c r="AD71" s="63" t="inlineStr">
        <is>
          <t>FIP Liquidez Caja</t>
        </is>
      </c>
      <c r="AE71" s="64">
        <f>+AE32</f>
        <v/>
      </c>
      <c r="AF71" s="64">
        <f>+AF32</f>
        <v/>
      </c>
      <c r="AG71" s="64">
        <f>+AG32</f>
        <v/>
      </c>
      <c r="AH71" s="64">
        <f>+AH32</f>
        <v/>
      </c>
      <c r="AI71" s="64">
        <f>+AI32</f>
        <v/>
      </c>
      <c r="AJ71" s="64">
        <f>+AJ32</f>
        <v/>
      </c>
      <c r="AK71" s="64">
        <f>+AK32</f>
        <v/>
      </c>
      <c r="AL71" s="64">
        <f>+AL32</f>
        <v/>
      </c>
      <c r="AM71" s="64">
        <f>+AM32</f>
        <v/>
      </c>
      <c r="AN71" s="64">
        <f>+AN32</f>
        <v/>
      </c>
      <c r="AO71" s="64">
        <f>+AO32</f>
        <v/>
      </c>
      <c r="AP71" s="64">
        <f>+AP32</f>
        <v/>
      </c>
      <c r="AQ71" s="65">
        <f>+AQ32</f>
        <v/>
      </c>
      <c r="AR71" s="9" t="n"/>
      <c r="AS71" s="9" t="n"/>
    </row>
    <row r="72" customFormat="1" s="109">
      <c r="A72" s="23" t="n">
        <v>40753</v>
      </c>
      <c r="B72" s="112" t="n">
        <v>13858.14</v>
      </c>
      <c r="C72" s="30">
        <f>+(B72/B71-1)/(A72-A71)*30</f>
        <v/>
      </c>
      <c r="D72" s="25" t="n">
        <v>126.522074948371</v>
      </c>
      <c r="E72" s="25" t="n"/>
      <c r="F72" s="25" t="n"/>
      <c r="I72" s="110" t="n"/>
      <c r="O72" s="9" t="n"/>
      <c r="P72" s="9" t="n"/>
      <c r="Q72" s="9" t="n"/>
      <c r="R72" s="9" t="n"/>
      <c r="S72" s="9" t="n"/>
      <c r="T72" s="9" t="n"/>
      <c r="U72" s="9" t="n"/>
      <c r="V72" s="9" t="n"/>
      <c r="W72" s="9" t="n"/>
      <c r="X72" s="9" t="n"/>
      <c r="Y72" s="9" t="n"/>
      <c r="Z72" s="9" t="n"/>
      <c r="AA72" s="9" t="n"/>
      <c r="AB72" s="9" t="n"/>
      <c r="AC72" s="106" t="n">
        <v>2021</v>
      </c>
      <c r="AD72" s="63" t="inlineStr">
        <is>
          <t>ICP</t>
        </is>
      </c>
      <c r="AE72" s="64">
        <f>+AE17</f>
        <v/>
      </c>
      <c r="AF72" s="64">
        <f>+AF17</f>
        <v/>
      </c>
      <c r="AG72" s="64">
        <f>+AG17</f>
        <v/>
      </c>
      <c r="AH72" s="64">
        <f>+AH17</f>
        <v/>
      </c>
      <c r="AI72" s="64">
        <f>+AI17</f>
        <v/>
      </c>
      <c r="AJ72" s="64">
        <f>+AJ17</f>
        <v/>
      </c>
      <c r="AK72" s="64">
        <f>+AK17</f>
        <v/>
      </c>
      <c r="AL72" s="64">
        <f>+AL17</f>
        <v/>
      </c>
      <c r="AM72" s="64">
        <f>+AM17</f>
        <v/>
      </c>
      <c r="AN72" s="64">
        <f>+AN17</f>
        <v/>
      </c>
      <c r="AO72" s="64">
        <f>+AO17</f>
        <v/>
      </c>
      <c r="AP72" s="64">
        <f>+AP17</f>
        <v/>
      </c>
      <c r="AQ72" s="65">
        <f>+AQ17</f>
        <v/>
      </c>
      <c r="AR72" s="9" t="n"/>
      <c r="AS72" s="9" t="n"/>
    </row>
    <row r="73" customFormat="1" s="109">
      <c r="A73" s="23" t="n">
        <v>40786</v>
      </c>
      <c r="B73" s="112" t="n">
        <v>13925.03</v>
      </c>
      <c r="C73" s="30">
        <f>+(B73/B72-1)/(A73-A72)*30</f>
        <v/>
      </c>
      <c r="D73" s="25" t="n">
        <v>127.1327674073371</v>
      </c>
      <c r="E73" s="25" t="n"/>
      <c r="F73" s="25" t="n"/>
      <c r="I73" s="110" t="n"/>
      <c r="O73" s="9" t="n"/>
      <c r="P73" s="9" t="n"/>
      <c r="Q73" s="9" t="n"/>
      <c r="R73" s="9" t="n"/>
      <c r="S73" s="9" t="n"/>
      <c r="T73" s="9" t="n"/>
      <c r="U73" s="9" t="n"/>
      <c r="V73" s="9" t="n"/>
      <c r="W73" s="9" t="n"/>
      <c r="X73" s="9" t="n"/>
      <c r="Y73" s="9" t="n"/>
      <c r="Z73" s="9" t="n"/>
      <c r="AA73" s="9" t="n"/>
      <c r="AB73" s="9" t="n"/>
      <c r="AD73" s="63" t="inlineStr">
        <is>
          <t>Competencia</t>
        </is>
      </c>
      <c r="AE73" s="64">
        <f>+AE46</f>
        <v/>
      </c>
      <c r="AF73" s="64">
        <f>+AF46</f>
        <v/>
      </c>
      <c r="AG73" s="64">
        <f>+AG46</f>
        <v/>
      </c>
      <c r="AH73" s="64">
        <f>+AH46</f>
        <v/>
      </c>
      <c r="AI73" s="64">
        <f>+AI46</f>
        <v/>
      </c>
      <c r="AJ73" s="64">
        <f>+AJ46</f>
        <v/>
      </c>
      <c r="AK73" s="64">
        <f>+AK46</f>
        <v/>
      </c>
      <c r="AL73" s="64">
        <f>+AL46</f>
        <v/>
      </c>
      <c r="AM73" s="64">
        <f>+AM46</f>
        <v/>
      </c>
      <c r="AN73" s="64">
        <f>+AN46</f>
        <v/>
      </c>
      <c r="AO73" s="64">
        <f>+AO46</f>
        <v/>
      </c>
      <c r="AP73" s="64">
        <f>+AP46</f>
        <v/>
      </c>
      <c r="AQ73" s="65">
        <f>+AQ46</f>
        <v/>
      </c>
      <c r="AR73" s="9" t="n"/>
      <c r="AS73" s="9" t="n"/>
    </row>
    <row r="74" customFormat="1" s="109">
      <c r="A74" s="23" t="n">
        <v>40816</v>
      </c>
      <c r="B74" s="112" t="n">
        <v>13985.97</v>
      </c>
      <c r="C74" s="30">
        <f>+(B74/B73-1)/(A74-A73)*30</f>
        <v/>
      </c>
      <c r="D74" s="25" t="n">
        <v>127.6891375441198</v>
      </c>
      <c r="E74" s="25" t="n"/>
      <c r="F74" s="25" t="n"/>
      <c r="I74" s="110" t="n"/>
      <c r="O74" s="9" t="n"/>
      <c r="P74" s="9" t="n"/>
      <c r="Q74" s="9" t="n"/>
      <c r="R74" s="9" t="n"/>
      <c r="S74" s="9" t="n"/>
      <c r="T74" s="9" t="n"/>
      <c r="U74" s="9" t="n"/>
      <c r="V74" s="9" t="n"/>
      <c r="W74" s="9" t="n"/>
      <c r="X74" s="9" t="n"/>
      <c r="Y74" s="9" t="n"/>
      <c r="Z74" s="9" t="n"/>
      <c r="AA74" s="9" t="n"/>
      <c r="AB74" s="9" t="n"/>
      <c r="AD74" s="63" t="inlineStr">
        <is>
          <t>FIP Liquidez Caja</t>
        </is>
      </c>
      <c r="AE74" s="64">
        <f>+AE33</f>
        <v/>
      </c>
      <c r="AF74" s="64">
        <f>+AF33</f>
        <v/>
      </c>
      <c r="AG74" s="64">
        <f>+AG33</f>
        <v/>
      </c>
      <c r="AH74" s="64">
        <f>+AH33</f>
        <v/>
      </c>
      <c r="AI74" s="64">
        <f>+AI33</f>
        <v/>
      </c>
      <c r="AJ74" s="64">
        <f>+AJ33</f>
        <v/>
      </c>
      <c r="AK74" s="64">
        <f>+AK33</f>
        <v/>
      </c>
      <c r="AL74" s="64">
        <f>+AL33</f>
        <v/>
      </c>
      <c r="AM74" s="64">
        <f>+AM33</f>
        <v/>
      </c>
      <c r="AN74" s="64">
        <f>+AN33</f>
        <v/>
      </c>
      <c r="AO74" s="64">
        <f>+AO33</f>
        <v/>
      </c>
      <c r="AP74" s="64">
        <f>+AP33</f>
        <v/>
      </c>
      <c r="AQ74" s="65">
        <f>+AQ33</f>
        <v/>
      </c>
      <c r="AR74" s="9" t="n"/>
      <c r="AS74" s="9" t="n"/>
    </row>
    <row r="75" customFormat="1" s="109">
      <c r="A75" s="23" t="n">
        <v>40847</v>
      </c>
      <c r="B75" s="112" t="n">
        <v>14043.21</v>
      </c>
      <c r="C75" s="30">
        <f>+(B75/B74-1)/(A75-A74)*30</f>
        <v/>
      </c>
      <c r="D75" s="25" t="n">
        <v>128.2117274133262</v>
      </c>
      <c r="E75" s="25" t="n"/>
      <c r="F75" s="25" t="n"/>
      <c r="I75" s="110" t="n"/>
      <c r="O75" s="9" t="n"/>
      <c r="P75" s="9" t="n"/>
      <c r="Q75" s="9" t="n"/>
      <c r="R75" s="9" t="n"/>
      <c r="S75" s="9" t="n"/>
      <c r="T75" s="9" t="n"/>
      <c r="U75" s="9" t="n"/>
      <c r="V75" s="9" t="n"/>
      <c r="W75" s="9" t="n"/>
      <c r="X75" s="9" t="n"/>
      <c r="Y75" s="9" t="n"/>
      <c r="Z75" s="9" t="n"/>
      <c r="AA75" s="9" t="n"/>
      <c r="AC75" s="106" t="n">
        <v>2022</v>
      </c>
      <c r="AD75" s="63" t="inlineStr">
        <is>
          <t>ICP</t>
        </is>
      </c>
      <c r="AE75" s="64">
        <f>+AE18</f>
        <v/>
      </c>
      <c r="AF75" s="64">
        <f>+AF18</f>
        <v/>
      </c>
      <c r="AG75" s="64">
        <f>+AG18</f>
        <v/>
      </c>
      <c r="AH75" s="64">
        <f>+AH18</f>
        <v/>
      </c>
      <c r="AI75" s="64">
        <f>+AI18</f>
        <v/>
      </c>
      <c r="AJ75" s="64">
        <f>+AJ18</f>
        <v/>
      </c>
      <c r="AK75" s="64">
        <f>+AK18</f>
        <v/>
      </c>
      <c r="AL75" s="64">
        <f>+AL18</f>
        <v/>
      </c>
      <c r="AM75" s="64">
        <f>+AM18</f>
        <v/>
      </c>
      <c r="AN75" s="64">
        <f>+AN18</f>
        <v/>
      </c>
      <c r="AO75" s="64">
        <f>+AO18</f>
        <v/>
      </c>
      <c r="AP75" s="64">
        <f>+AP18</f>
        <v/>
      </c>
      <c r="AQ75" s="65">
        <f>+AQ18</f>
        <v/>
      </c>
      <c r="AR75" s="9" t="n"/>
      <c r="AS75" s="9" t="n"/>
    </row>
    <row r="76" customFormat="1" s="109">
      <c r="A76" s="23" t="n">
        <v>40877</v>
      </c>
      <c r="B76" s="112" t="n">
        <v>14110.87</v>
      </c>
      <c r="C76" s="30">
        <f>+(B76/B75-1)/(A76-A75)*30</f>
        <v/>
      </c>
      <c r="D76" s="25" t="n">
        <v>128.829449819869</v>
      </c>
      <c r="E76" s="25" t="n"/>
      <c r="F76" s="25" t="n"/>
      <c r="I76" s="110" t="n"/>
      <c r="O76" s="9" t="n"/>
      <c r="P76" s="9" t="n"/>
      <c r="Q76" s="9" t="n"/>
      <c r="R76" s="9" t="n"/>
      <c r="S76" s="9" t="n"/>
      <c r="T76" s="9" t="n"/>
      <c r="U76" s="9" t="n"/>
      <c r="V76" s="9" t="n"/>
      <c r="W76" s="9" t="n"/>
      <c r="X76" s="9" t="n"/>
      <c r="Y76" s="9" t="n"/>
      <c r="Z76" s="9" t="n"/>
      <c r="AA76" s="9" t="n"/>
      <c r="AD76" s="63" t="inlineStr">
        <is>
          <t>Competencia</t>
        </is>
      </c>
      <c r="AE76" s="64">
        <f>+AE47</f>
        <v/>
      </c>
      <c r="AF76" s="64">
        <f>+AF47</f>
        <v/>
      </c>
      <c r="AG76" s="64">
        <f>+AG47</f>
        <v/>
      </c>
      <c r="AH76" s="64">
        <f>+AH47</f>
        <v/>
      </c>
      <c r="AI76" s="64">
        <f>+AI47</f>
        <v/>
      </c>
      <c r="AJ76" s="64">
        <f>+AJ47</f>
        <v/>
      </c>
      <c r="AK76" s="64">
        <f>+AK47</f>
        <v/>
      </c>
      <c r="AL76" s="64">
        <f>+AL47</f>
        <v/>
      </c>
      <c r="AM76" s="64">
        <f>+AM47</f>
        <v/>
      </c>
      <c r="AN76" s="64">
        <f>+AN47</f>
        <v/>
      </c>
      <c r="AO76" s="64">
        <f>+AO47</f>
        <v/>
      </c>
      <c r="AP76" s="64">
        <f>+AP47</f>
        <v/>
      </c>
      <c r="AQ76" s="65">
        <f>+AQ47</f>
        <v/>
      </c>
      <c r="AR76" s="9" t="n"/>
      <c r="AS76" s="9" t="n"/>
    </row>
    <row r="77" customFormat="1" s="109">
      <c r="A77" s="23" t="n">
        <v>40907</v>
      </c>
      <c r="B77" s="112" t="n">
        <v>14172.63</v>
      </c>
      <c r="C77" s="30">
        <f>+(B77/B76-1)/(A77-A76)*30</f>
        <v/>
      </c>
      <c r="D77" s="25" t="n">
        <v>129.3933063943308</v>
      </c>
      <c r="E77" s="25" t="n"/>
      <c r="F77" s="25" t="n"/>
      <c r="I77" s="110" t="n"/>
      <c r="O77" s="9" t="n"/>
      <c r="P77" s="9" t="n"/>
      <c r="Q77" s="9" t="n"/>
      <c r="R77" s="9" t="n"/>
      <c r="S77" s="9" t="n"/>
      <c r="T77" s="9" t="n"/>
      <c r="U77" s="9" t="n"/>
      <c r="V77" s="9" t="n"/>
      <c r="W77" s="9" t="n"/>
      <c r="X77" s="9" t="n"/>
      <c r="Y77" s="9" t="n"/>
      <c r="Z77" s="9" t="n"/>
      <c r="AA77" s="9" t="n"/>
      <c r="AD77" s="63" t="inlineStr">
        <is>
          <t>FIP Liquidez Caja</t>
        </is>
      </c>
      <c r="AE77" s="64">
        <f>+AE34</f>
        <v/>
      </c>
      <c r="AF77" s="64">
        <f>+AF34</f>
        <v/>
      </c>
      <c r="AG77" s="64">
        <f>+AG34</f>
        <v/>
      </c>
      <c r="AH77" s="64">
        <f>+AH34</f>
        <v/>
      </c>
      <c r="AI77" s="64">
        <f>+AI34</f>
        <v/>
      </c>
      <c r="AJ77" s="64">
        <f>+AJ34</f>
        <v/>
      </c>
      <c r="AK77" s="64">
        <f>+AK34</f>
        <v/>
      </c>
      <c r="AL77" s="64">
        <f>+AL34</f>
        <v/>
      </c>
      <c r="AM77" s="64">
        <f>+AM34</f>
        <v/>
      </c>
      <c r="AN77" s="64">
        <f>+AN34</f>
        <v/>
      </c>
      <c r="AO77" s="64">
        <f>+AO34</f>
        <v/>
      </c>
      <c r="AP77" s="64">
        <f>+AP34</f>
        <v/>
      </c>
      <c r="AQ77" s="65">
        <f>+AQ34</f>
        <v/>
      </c>
      <c r="AR77" s="9" t="n"/>
      <c r="AS77" s="9" t="n"/>
    </row>
    <row r="78" customFormat="1" s="109">
      <c r="A78" s="23" t="n">
        <v>40939</v>
      </c>
      <c r="B78" s="112" t="n">
        <v>14236.38</v>
      </c>
      <c r="C78" s="30">
        <f>+(B78/B77-1)/(A78-A77)*30</f>
        <v/>
      </c>
      <c r="D78" s="25" t="n">
        <v>129.9753312748673</v>
      </c>
      <c r="E78" s="25" t="n"/>
      <c r="F78" s="25" t="n"/>
      <c r="I78" s="110" t="n"/>
      <c r="AC78" s="106" t="n">
        <v>2023</v>
      </c>
      <c r="AD78" s="63" t="inlineStr">
        <is>
          <t>ICP</t>
        </is>
      </c>
      <c r="AE78" s="64">
        <f>+AE19</f>
        <v/>
      </c>
      <c r="AF78" s="64">
        <f>+AF19</f>
        <v/>
      </c>
      <c r="AG78" s="64">
        <f>+AG19</f>
        <v/>
      </c>
      <c r="AH78" s="64">
        <f>+AH19</f>
        <v/>
      </c>
      <c r="AI78" s="64">
        <f>+AI19</f>
        <v/>
      </c>
      <c r="AJ78" s="64">
        <f>+AJ19</f>
        <v/>
      </c>
      <c r="AK78" s="64">
        <f>+AK19</f>
        <v/>
      </c>
      <c r="AL78" s="64">
        <f>+AL19</f>
        <v/>
      </c>
      <c r="AM78" s="64">
        <f>+AM19</f>
        <v/>
      </c>
      <c r="AN78" s="64">
        <f>+AN19</f>
        <v/>
      </c>
      <c r="AO78" s="64">
        <f>+AO19</f>
        <v/>
      </c>
      <c r="AP78" s="64">
        <f>+AP19</f>
        <v/>
      </c>
      <c r="AQ78" s="65">
        <f>+AQ19</f>
        <v/>
      </c>
      <c r="AR78" s="9" t="n"/>
      <c r="AS78" s="9" t="n"/>
    </row>
    <row r="79" customFormat="1" s="109">
      <c r="A79" s="23" t="n">
        <v>40968</v>
      </c>
      <c r="B79" s="112" t="n">
        <v>14293.67</v>
      </c>
      <c r="C79" s="30">
        <f>+(B79/B78-1)/(A79-A78)*30</f>
        <v/>
      </c>
      <c r="D79" s="25" t="n">
        <v>130.4983776341761</v>
      </c>
      <c r="E79" s="25" t="n"/>
      <c r="F79" s="25" t="n"/>
      <c r="I79" s="110" t="n"/>
      <c r="AD79" s="63" t="inlineStr">
        <is>
          <t>Competencia</t>
        </is>
      </c>
      <c r="AE79" s="64">
        <f>+AE48</f>
        <v/>
      </c>
      <c r="AF79" s="64">
        <f>+AF48</f>
        <v/>
      </c>
      <c r="AG79" s="64">
        <f>+AG48</f>
        <v/>
      </c>
      <c r="AH79" s="64">
        <f>+AH48</f>
        <v/>
      </c>
      <c r="AI79" s="64">
        <f>+AI48</f>
        <v/>
      </c>
      <c r="AJ79" s="64">
        <f>+AJ48</f>
        <v/>
      </c>
      <c r="AK79" s="64">
        <f>+AK48</f>
        <v/>
      </c>
      <c r="AL79" s="64">
        <f>+AL48</f>
        <v/>
      </c>
      <c r="AM79" s="64">
        <f>+AM48</f>
        <v/>
      </c>
      <c r="AN79" s="64">
        <f>+AN48</f>
        <v/>
      </c>
      <c r="AO79" s="64">
        <f>+AO48</f>
        <v/>
      </c>
      <c r="AP79" s="64">
        <f>+AP48</f>
        <v/>
      </c>
      <c r="AQ79" s="65">
        <f>+AQ48</f>
        <v/>
      </c>
      <c r="AR79" s="9" t="n"/>
      <c r="AS79" s="9" t="n"/>
    </row>
    <row r="80" customFormat="1" s="109">
      <c r="A80" s="23" t="n">
        <v>40998</v>
      </c>
      <c r="B80" s="112" t="n">
        <v>14353.34</v>
      </c>
      <c r="C80" s="30">
        <f>+(B80/B79-1)/(A80-A79)*30</f>
        <v/>
      </c>
      <c r="D80" s="25" t="n">
        <v>131.0431529223584</v>
      </c>
      <c r="E80" s="25" t="n"/>
      <c r="F80" s="25" t="n"/>
      <c r="I80" s="110" t="n"/>
      <c r="AD80" s="63" t="inlineStr">
        <is>
          <t>FIP Liquidez Caja</t>
        </is>
      </c>
      <c r="AE80" s="64">
        <f>+AE35</f>
        <v/>
      </c>
      <c r="AF80" s="64">
        <f>+AF35</f>
        <v/>
      </c>
      <c r="AG80" s="64">
        <f>+AG35</f>
        <v/>
      </c>
      <c r="AH80" s="64">
        <f>+AH35</f>
        <v/>
      </c>
      <c r="AI80" s="64">
        <f>+AI35</f>
        <v/>
      </c>
      <c r="AJ80" s="64">
        <f>+AJ35</f>
        <v/>
      </c>
      <c r="AK80" s="64">
        <f>+AK35</f>
        <v/>
      </c>
      <c r="AL80" s="64">
        <f>+AL35</f>
        <v/>
      </c>
      <c r="AM80" s="64">
        <f>+AM35</f>
        <v/>
      </c>
      <c r="AN80" s="64">
        <f>+AN35</f>
        <v/>
      </c>
      <c r="AO80" s="64">
        <f>+AO35</f>
        <v/>
      </c>
      <c r="AP80" s="64">
        <f>+AP35</f>
        <v/>
      </c>
      <c r="AQ80" s="65">
        <f>+AQ35</f>
        <v/>
      </c>
    </row>
    <row r="81" customFormat="1" s="109">
      <c r="A81" s="23" t="n">
        <v>41029</v>
      </c>
      <c r="B81" s="112" t="n">
        <v>14415.21</v>
      </c>
      <c r="C81" s="30">
        <f>+(B81/B80-1)/(A81-A80)*30</f>
        <v/>
      </c>
      <c r="D81" s="25" t="n">
        <v>131.6080137750453</v>
      </c>
      <c r="E81" s="25" t="n"/>
      <c r="F81" s="25" t="n"/>
      <c r="I81" s="110" t="n"/>
      <c r="AC81" s="106" t="n">
        <v>2024</v>
      </c>
      <c r="AD81" s="63" t="inlineStr">
        <is>
          <t>ICP</t>
        </is>
      </c>
      <c r="AE81" s="64">
        <f>+AE20</f>
        <v/>
      </c>
      <c r="AF81" s="64">
        <f>+AF20</f>
        <v/>
      </c>
      <c r="AG81" s="64">
        <f>+AG20</f>
        <v/>
      </c>
      <c r="AH81" s="64">
        <f>+AH20</f>
        <v/>
      </c>
      <c r="AI81" s="64">
        <f>+AI20</f>
        <v/>
      </c>
      <c r="AJ81" s="64">
        <f>+AJ20</f>
        <v/>
      </c>
      <c r="AK81" s="64">
        <f>+AK20</f>
        <v/>
      </c>
      <c r="AL81" s="64">
        <f>+AL20</f>
        <v/>
      </c>
      <c r="AM81" s="64">
        <f>+AM20</f>
        <v/>
      </c>
      <c r="AN81" s="64">
        <f>+AN20</f>
        <v/>
      </c>
      <c r="AO81" s="64">
        <f>+AO20</f>
        <v/>
      </c>
      <c r="AP81" s="64">
        <f>+AP20</f>
        <v/>
      </c>
      <c r="AQ81" s="76">
        <f>+AQ20</f>
        <v/>
      </c>
    </row>
    <row r="82" customFormat="1" s="109">
      <c r="A82" s="23" t="n">
        <v>41060</v>
      </c>
      <c r="B82" s="112" t="n">
        <v>14477.55</v>
      </c>
      <c r="C82" s="30">
        <f>+(B82/B81-1)/(A82-A81)*30</f>
        <v/>
      </c>
      <c r="D82" s="25" t="n">
        <v>132.1771656346947</v>
      </c>
      <c r="E82" s="25" t="n"/>
      <c r="F82" s="25" t="n"/>
      <c r="I82" s="110" t="n"/>
      <c r="AD82" s="63" t="inlineStr">
        <is>
          <t>Competencia</t>
        </is>
      </c>
      <c r="AE82" s="64">
        <f>+AE49</f>
        <v/>
      </c>
      <c r="AF82" s="64">
        <f>+AF49</f>
        <v/>
      </c>
      <c r="AG82" s="64">
        <f>+AG49</f>
        <v/>
      </c>
      <c r="AH82" s="64">
        <f>+AH49</f>
        <v/>
      </c>
      <c r="AI82" s="64">
        <f>+AI49</f>
        <v/>
      </c>
      <c r="AJ82" s="64">
        <f>+AJ49</f>
        <v/>
      </c>
      <c r="AK82" s="64">
        <f>+AK49</f>
        <v/>
      </c>
      <c r="AL82" s="64">
        <f>+AL49</f>
        <v/>
      </c>
      <c r="AM82" s="64">
        <f>+AM49</f>
        <v/>
      </c>
      <c r="AN82" s="64">
        <f>+AN49</f>
        <v/>
      </c>
      <c r="AO82" s="64">
        <f>+AO49</f>
        <v/>
      </c>
      <c r="AP82" s="64">
        <f>+AP49</f>
        <v/>
      </c>
      <c r="AQ82" s="76">
        <f>+AQ49</f>
        <v/>
      </c>
    </row>
    <row r="83" customFormat="1" s="109">
      <c r="A83" s="23" t="n">
        <v>41089</v>
      </c>
      <c r="B83" s="112" t="n">
        <v>14536.13</v>
      </c>
      <c r="C83" s="30">
        <f>+(B83/B82-1)/(A83-A82)*30</f>
        <v/>
      </c>
      <c r="D83" s="25" t="n">
        <v>132.711989438645</v>
      </c>
      <c r="E83" s="25" t="n"/>
      <c r="F83" s="25" t="n"/>
      <c r="I83" s="110" t="n"/>
      <c r="AD83" s="63" t="inlineStr">
        <is>
          <t>FIP Liquidez Caja</t>
        </is>
      </c>
      <c r="AE83" s="64">
        <f>+AE36</f>
        <v/>
      </c>
      <c r="AF83" s="64">
        <f>+AF36</f>
        <v/>
      </c>
      <c r="AG83" s="64">
        <f>+AG36</f>
        <v/>
      </c>
      <c r="AH83" s="64">
        <f>+AH36</f>
        <v/>
      </c>
      <c r="AI83" s="64">
        <f>+AI36</f>
        <v/>
      </c>
      <c r="AJ83" s="64">
        <f>+AJ36</f>
        <v/>
      </c>
      <c r="AK83" s="64">
        <f>+AK36</f>
        <v/>
      </c>
      <c r="AL83" s="64">
        <f>+AL36</f>
        <v/>
      </c>
      <c r="AM83" s="64">
        <f>+AM36</f>
        <v/>
      </c>
      <c r="AN83" s="64">
        <f>+AN36</f>
        <v/>
      </c>
      <c r="AO83" s="64">
        <f>+AO36</f>
        <v/>
      </c>
      <c r="AP83" s="64">
        <f>+AP36</f>
        <v/>
      </c>
      <c r="AQ83" s="76">
        <f>+AQ36</f>
        <v/>
      </c>
    </row>
    <row r="84" customFormat="1" s="109">
      <c r="A84" s="23" t="n">
        <v>41121</v>
      </c>
      <c r="B84" s="112" t="n">
        <v>14600.61</v>
      </c>
      <c r="C84" s="30">
        <f>+(B84/B83-1)/(A84-A83)*30</f>
        <v/>
      </c>
      <c r="D84" s="25" t="n">
        <v>133.3006790746763</v>
      </c>
      <c r="E84" s="25" t="n"/>
      <c r="F84" s="25" t="n"/>
      <c r="I84" s="110" t="n"/>
      <c r="AC84" s="106" t="n">
        <v>2025</v>
      </c>
      <c r="AD84" s="63" t="inlineStr">
        <is>
          <t>ICP</t>
        </is>
      </c>
      <c r="AE84" s="64">
        <f>+AE21</f>
        <v/>
      </c>
      <c r="AF84" s="64">
        <f>+AF21</f>
        <v/>
      </c>
      <c r="AG84" s="64">
        <f>+AG21</f>
        <v/>
      </c>
      <c r="AH84" s="64">
        <f>+AH21</f>
        <v/>
      </c>
      <c r="AI84" s="64">
        <f>+AI21</f>
        <v/>
      </c>
      <c r="AJ84" s="64">
        <f>+AJ21</f>
        <v/>
      </c>
      <c r="AK84" s="64">
        <f>+AK21</f>
        <v/>
      </c>
      <c r="AL84" s="64">
        <f>+AL21</f>
        <v/>
      </c>
      <c r="AM84" s="64">
        <f>+AM21</f>
        <v/>
      </c>
      <c r="AN84" s="64">
        <f>+AN21</f>
        <v/>
      </c>
      <c r="AO84" s="64">
        <f>+AO21</f>
        <v/>
      </c>
      <c r="AP84" s="64">
        <f>+AP21</f>
        <v/>
      </c>
      <c r="AQ84" s="76">
        <f>+AQ21</f>
        <v/>
      </c>
    </row>
    <row r="85" customFormat="1" s="109">
      <c r="A85" s="23" t="n">
        <v>41152</v>
      </c>
      <c r="B85" s="112" t="n">
        <v>14663.33</v>
      </c>
      <c r="C85" s="30">
        <f>+(B85/B84-1)/(A85-A84)*30</f>
        <v/>
      </c>
      <c r="D85" s="25" t="n">
        <v>133.8733002591038</v>
      </c>
      <c r="E85" s="25" t="n"/>
      <c r="F85" s="25" t="n"/>
      <c r="I85" s="110" t="n"/>
      <c r="AD85" s="63" t="inlineStr">
        <is>
          <t>Competencia</t>
        </is>
      </c>
      <c r="AE85" s="64">
        <f>+AE50</f>
        <v/>
      </c>
      <c r="AF85" s="64">
        <f>+AF50</f>
        <v/>
      </c>
      <c r="AG85" s="64">
        <f>+AG50</f>
        <v/>
      </c>
      <c r="AH85" s="64">
        <f>+AH50</f>
        <v/>
      </c>
      <c r="AI85" s="64">
        <f>+AI50</f>
        <v/>
      </c>
      <c r="AJ85" s="64">
        <f>+AJ50</f>
        <v/>
      </c>
      <c r="AK85" s="64">
        <f>+AK50</f>
        <v/>
      </c>
      <c r="AL85" s="64">
        <f>+AL50</f>
        <v/>
      </c>
      <c r="AM85" s="64">
        <f>+AM50</f>
        <v/>
      </c>
      <c r="AN85" s="64">
        <f>+AN50</f>
        <v/>
      </c>
      <c r="AO85" s="64">
        <f>+AO50</f>
        <v/>
      </c>
      <c r="AP85" s="64">
        <f>+AP50</f>
        <v/>
      </c>
      <c r="AQ85" s="76">
        <f>+AQ50</f>
        <v/>
      </c>
    </row>
    <row r="86" customFormat="1" s="109">
      <c r="A86" s="23" t="n">
        <v>41180</v>
      </c>
      <c r="B86" s="112" t="n">
        <v>14720.68</v>
      </c>
      <c r="C86" s="30">
        <f>+(B86/B85-1)/(A86-A85)*30</f>
        <v/>
      </c>
      <c r="D86" s="25" t="n">
        <v>134.3968944065355</v>
      </c>
      <c r="E86" s="25" t="n"/>
      <c r="F86" s="25" t="n"/>
      <c r="I86" s="110" t="n"/>
      <c r="AD86" s="63" t="inlineStr">
        <is>
          <t>FIP Liquidez Caja</t>
        </is>
      </c>
      <c r="AE86" s="64">
        <f>+AE37</f>
        <v/>
      </c>
      <c r="AF86" s="64">
        <f>+AF37</f>
        <v/>
      </c>
      <c r="AG86" s="64">
        <f>+AG37</f>
        <v/>
      </c>
      <c r="AH86" s="64">
        <f>+AH37</f>
        <v/>
      </c>
      <c r="AI86" s="64">
        <f>+AI37</f>
        <v/>
      </c>
      <c r="AJ86" s="64">
        <f>+AJ37</f>
        <v/>
      </c>
      <c r="AK86" s="64">
        <f>+AK37</f>
        <v/>
      </c>
      <c r="AL86" s="64">
        <f>+AL37</f>
        <v/>
      </c>
      <c r="AM86" s="64">
        <f>+AM37</f>
        <v/>
      </c>
      <c r="AN86" s="64">
        <f>+AN37</f>
        <v/>
      </c>
      <c r="AO86" s="64">
        <f>+AO37</f>
        <v/>
      </c>
      <c r="AP86" s="64">
        <f>+AP37</f>
        <v/>
      </c>
      <c r="AQ86" s="76">
        <f>+AQ37</f>
        <v/>
      </c>
    </row>
    <row r="87" customFormat="1" s="109">
      <c r="A87" s="23" t="n">
        <v>41213</v>
      </c>
      <c r="B87" s="112" t="n">
        <v>14788.56</v>
      </c>
      <c r="C87" s="30">
        <f>+(B87/B86-1)/(A87-A86)*30</f>
        <v/>
      </c>
      <c r="D87" s="25" t="n">
        <v>135.0166253695288</v>
      </c>
      <c r="E87" s="25" t="n"/>
      <c r="F87" s="25" t="n"/>
      <c r="I87" s="110" t="n"/>
      <c r="AC87" s="106" t="n">
        <v>2026</v>
      </c>
      <c r="AD87" s="63" t="inlineStr">
        <is>
          <t>ICP</t>
        </is>
      </c>
      <c r="AE87" s="64">
        <f>+AE22</f>
        <v/>
      </c>
      <c r="AF87" s="64">
        <f>+AF22</f>
        <v/>
      </c>
      <c r="AG87" s="64">
        <f>+AG22</f>
        <v/>
      </c>
      <c r="AH87" s="64">
        <f>+AH22</f>
        <v/>
      </c>
      <c r="AI87" s="64" t="n"/>
      <c r="AJ87" s="64" t="n"/>
      <c r="AK87" s="64" t="n"/>
      <c r="AL87" s="64" t="n"/>
      <c r="AM87" s="64" t="n"/>
      <c r="AN87" s="64" t="n"/>
      <c r="AO87" s="64" t="n"/>
      <c r="AP87" s="64" t="n"/>
      <c r="AQ87" s="64">
        <f>+AQ22</f>
        <v/>
      </c>
    </row>
    <row r="88" customFormat="1" s="109">
      <c r="A88" s="23" t="n">
        <v>41243</v>
      </c>
      <c r="B88" s="112" t="n">
        <v>14850.38</v>
      </c>
      <c r="C88" s="30">
        <f>+(B88/B87-1)/(A88-A87)*30</f>
        <v/>
      </c>
      <c r="D88" s="25" t="n">
        <v>135.5810297321133</v>
      </c>
      <c r="E88" s="25" t="n"/>
      <c r="F88" s="25" t="n"/>
      <c r="I88" s="110" t="n"/>
      <c r="AD88" s="63" t="inlineStr">
        <is>
          <t>Competencia</t>
        </is>
      </c>
      <c r="AE88" s="64">
        <f>+AE51</f>
        <v/>
      </c>
      <c r="AF88" s="64">
        <f>+AF51</f>
        <v/>
      </c>
      <c r="AG88" s="64">
        <f>+AG51</f>
        <v/>
      </c>
      <c r="AH88" s="64">
        <f>+AH51</f>
        <v/>
      </c>
      <c r="AI88" s="64" t="n"/>
      <c r="AJ88" s="64" t="n"/>
      <c r="AK88" s="64" t="n"/>
      <c r="AL88" s="64" t="n"/>
      <c r="AM88" s="64" t="n"/>
      <c r="AN88" s="64" t="n"/>
      <c r="AO88" s="64" t="n"/>
      <c r="AP88" s="64" t="n"/>
      <c r="AQ88" s="64">
        <f>+AQ51</f>
        <v/>
      </c>
    </row>
    <row r="89" customFormat="1" s="109">
      <c r="A89" s="23" t="n">
        <v>41274</v>
      </c>
      <c r="B89" s="112" t="n">
        <v>14908.2</v>
      </c>
      <c r="C89" s="30">
        <f>+(B89/B88-1)/(A89-A88)*30</f>
        <v/>
      </c>
      <c r="D89" s="25" t="n">
        <v>136.1089148865074</v>
      </c>
      <c r="E89" s="25" t="n"/>
      <c r="F89" s="25" t="n"/>
      <c r="I89" s="110" t="n"/>
      <c r="AD89" s="63" t="inlineStr">
        <is>
          <t>FIP Liquidez Caja</t>
        </is>
      </c>
      <c r="AE89" s="64">
        <f>+AE38</f>
        <v/>
      </c>
      <c r="AF89" s="64">
        <f>+AF38</f>
        <v/>
      </c>
      <c r="AG89" s="64">
        <f>+AG38</f>
        <v/>
      </c>
      <c r="AH89" s="64">
        <f>+AH38</f>
        <v/>
      </c>
      <c r="AI89" s="64" t="n"/>
      <c r="AJ89" s="64" t="n"/>
      <c r="AK89" s="64" t="n"/>
      <c r="AL89" s="64" t="n"/>
      <c r="AM89" s="64" t="n"/>
      <c r="AN89" s="64" t="n"/>
      <c r="AO89" s="64" t="n"/>
      <c r="AP89" s="64" t="n"/>
      <c r="AQ89" s="64">
        <f>+AQ38</f>
        <v/>
      </c>
    </row>
    <row r="90" customFormat="1" s="109">
      <c r="A90" s="23" t="n">
        <v>41305</v>
      </c>
      <c r="B90" s="112" t="n">
        <v>14978.58</v>
      </c>
      <c r="C90" s="30">
        <f>+(B90/B89-1)/(A90-A89)*30</f>
        <v/>
      </c>
      <c r="D90" s="25" t="n">
        <v>136.7514703546198</v>
      </c>
      <c r="E90" s="25" t="n"/>
      <c r="F90" s="25" t="n"/>
      <c r="I90" s="110" t="n"/>
    </row>
    <row r="91" customFormat="1" s="109">
      <c r="A91" s="23" t="n">
        <v>41333</v>
      </c>
      <c r="B91" s="112" t="n">
        <v>15036.94</v>
      </c>
      <c r="C91" s="30">
        <f>+(B91/B90-1)/(A91-A90)*30</f>
        <v/>
      </c>
      <c r="D91" s="25" t="n">
        <v>137.2842856021196</v>
      </c>
      <c r="E91" s="25" t="n"/>
      <c r="F91" s="25" t="n"/>
      <c r="I91" s="110" t="n"/>
    </row>
    <row r="92" customFormat="1" s="109">
      <c r="A92" s="23" t="n">
        <v>41362</v>
      </c>
      <c r="B92" s="112" t="n">
        <v>15095.51</v>
      </c>
      <c r="C92" s="30">
        <f>+(B92/B91-1)/(A92-A91)*30</f>
        <v/>
      </c>
      <c r="D92" s="25" t="n">
        <v>137.8190181080494</v>
      </c>
      <c r="E92" s="25" t="n"/>
      <c r="F92" s="25" t="n"/>
      <c r="I92" s="110" t="n"/>
    </row>
    <row r="93" customFormat="1" s="109">
      <c r="A93" s="23" t="n">
        <v>41394</v>
      </c>
      <c r="B93" s="112" t="n">
        <v>15164.77</v>
      </c>
      <c r="C93" s="30">
        <f>+(B93/B92-1)/(A93-A92)*30</f>
        <v/>
      </c>
      <c r="D93" s="25" t="n">
        <v>138.4513481978684</v>
      </c>
      <c r="E93" s="25" t="n"/>
      <c r="F93" s="25" t="n"/>
      <c r="I93" s="110" t="n"/>
    </row>
    <row r="94" customFormat="1" s="109">
      <c r="A94" s="23" t="n">
        <v>41425</v>
      </c>
      <c r="B94" s="112" t="n">
        <v>15230.38</v>
      </c>
      <c r="C94" s="30">
        <f>+(B94/B93-1)/(A94-A93)*30</f>
        <v/>
      </c>
      <c r="D94" s="25" t="n">
        <v>139.0503545102135</v>
      </c>
      <c r="E94" s="25" t="n"/>
      <c r="F94" s="25" t="n"/>
      <c r="I94" s="110" t="n"/>
    </row>
    <row r="95" customFormat="1" s="109">
      <c r="A95" s="23" t="n">
        <v>41453</v>
      </c>
      <c r="B95" s="112" t="n">
        <v>15289.74</v>
      </c>
      <c r="C95" s="30">
        <f>+(B95/B94-1)/(A95-A94)*30</f>
        <v/>
      </c>
      <c r="D95" s="25" t="n">
        <v>139.592299559761</v>
      </c>
      <c r="E95" s="25" t="n"/>
      <c r="F95" s="25" t="n"/>
      <c r="I95" s="110" t="n"/>
    </row>
    <row r="96" customFormat="1" s="109">
      <c r="A96" s="23" t="n">
        <v>41486</v>
      </c>
      <c r="B96" s="112" t="n">
        <v>15360.27</v>
      </c>
      <c r="C96" s="30">
        <f>+(B96/B95-1)/(A96-A95)*30</f>
        <v/>
      </c>
      <c r="D96" s="25" t="n">
        <v>140.2362244981805</v>
      </c>
      <c r="E96" s="25" t="n"/>
      <c r="F96" s="25" t="n"/>
      <c r="I96" s="110" t="n"/>
    </row>
    <row r="97" customFormat="1" s="109">
      <c r="A97" s="23" t="n">
        <v>41516</v>
      </c>
      <c r="B97" s="112" t="n">
        <v>15424.43</v>
      </c>
      <c r="C97" s="30">
        <f>+(B97/B96-1)/(A97-A96)*30</f>
        <v/>
      </c>
      <c r="D97" s="25" t="n">
        <v>140.8219925975565</v>
      </c>
      <c r="E97" s="25" t="n"/>
      <c r="F97" s="25" t="n"/>
      <c r="I97" s="110" t="n"/>
    </row>
    <row r="98" customFormat="1" s="109">
      <c r="A98" s="23" t="n">
        <v>41547</v>
      </c>
      <c r="B98" s="112" t="n">
        <v>15490.99</v>
      </c>
      <c r="C98" s="30">
        <f>+(B98/B97-1)/(A98-A97)*30</f>
        <v/>
      </c>
      <c r="D98" s="25" t="n">
        <v>141.4296722218469</v>
      </c>
      <c r="E98" s="25" t="n"/>
      <c r="F98" s="25" t="n"/>
      <c r="I98" s="110" t="n"/>
    </row>
    <row r="99" customFormat="1" s="109">
      <c r="A99" s="23" t="n">
        <v>41578</v>
      </c>
      <c r="B99" s="112" t="n">
        <v>15554.36</v>
      </c>
      <c r="C99" s="30">
        <f>+(B99/B98-1)/(A99-A98)*30</f>
        <v/>
      </c>
      <c r="D99" s="25" t="n">
        <v>142.0082277776053</v>
      </c>
      <c r="E99" s="25" t="n"/>
      <c r="F99" s="25" t="n"/>
      <c r="I99" s="110" t="n"/>
    </row>
    <row r="100" customFormat="1" s="109">
      <c r="A100" s="23" t="n">
        <v>41607</v>
      </c>
      <c r="B100" s="112" t="n">
        <v>15615.06</v>
      </c>
      <c r="C100" s="30">
        <f>+(B100/B99-1)/(A100-A99)*30</f>
        <v/>
      </c>
      <c r="D100" s="25" t="n">
        <v>142.5624067618966</v>
      </c>
      <c r="E100" s="25" t="n"/>
      <c r="F100" s="25" t="n"/>
      <c r="I100" s="110" t="n"/>
    </row>
    <row r="101" customFormat="1" s="109">
      <c r="A101" s="23" t="n">
        <v>41639</v>
      </c>
      <c r="B101" s="112" t="n">
        <v>15675.68</v>
      </c>
      <c r="C101" s="30">
        <f>+(B101/B100-1)/(A101-A100)*30</f>
        <v/>
      </c>
      <c r="D101" s="25" t="n">
        <v>143.115855362024</v>
      </c>
      <c r="E101" s="25" t="n"/>
      <c r="F101" s="25" t="n"/>
      <c r="I101" s="110" t="n"/>
    </row>
    <row r="102" customFormat="1" s="109">
      <c r="A102" s="23" t="n">
        <v>41670</v>
      </c>
      <c r="B102" s="112" t="n">
        <v>15738.45</v>
      </c>
      <c r="C102" s="30">
        <f>+(B102/B101-1)/(A102-A101)*30</f>
        <v/>
      </c>
      <c r="D102" s="25" t="n">
        <v>143.6889330365539</v>
      </c>
      <c r="E102" s="25" t="n"/>
      <c r="F102" s="25" t="n"/>
      <c r="I102" s="110" t="n"/>
    </row>
    <row r="103" customFormat="1" s="109">
      <c r="A103" s="23" t="n">
        <v>41698</v>
      </c>
      <c r="B103" s="112" t="n">
        <v>15792.47</v>
      </c>
      <c r="C103" s="30">
        <f>+(B103/B102-1)/(A103-A102)*30</f>
        <v/>
      </c>
      <c r="D103" s="25" t="n">
        <v>144.182124943167</v>
      </c>
      <c r="E103" s="25" t="n"/>
      <c r="F103" s="25" t="n"/>
      <c r="I103" s="110" t="n"/>
    </row>
    <row r="104" customFormat="1" s="109">
      <c r="A104" s="23" t="n">
        <v>41729</v>
      </c>
      <c r="B104" s="112" t="n">
        <v>15848.53</v>
      </c>
      <c r="C104" s="30">
        <f>+(B104/B103-1)/(A104-A103)*30</f>
        <v/>
      </c>
      <c r="D104" s="25" t="n">
        <v>144.6939416459572</v>
      </c>
      <c r="E104" s="25" t="n"/>
      <c r="F104" s="25" t="n"/>
      <c r="I104" s="110" t="n"/>
    </row>
    <row r="105" customFormat="1" s="109">
      <c r="A105" s="23" t="n">
        <v>41759</v>
      </c>
      <c r="B105" s="112" t="n">
        <v>15901.43</v>
      </c>
      <c r="C105" s="30">
        <f>+(B105/B104-1)/(A105-A104)*30</f>
        <v/>
      </c>
      <c r="D105" s="25" t="n">
        <v>145.176908174277</v>
      </c>
      <c r="E105" s="25" t="n"/>
      <c r="F105" s="25" t="n"/>
      <c r="I105" s="110" t="n"/>
    </row>
    <row r="106" customFormat="1" s="109">
      <c r="A106" s="23" t="n">
        <v>41789</v>
      </c>
      <c r="B106" s="112" t="n">
        <v>15954.5</v>
      </c>
      <c r="C106" s="30">
        <f>+(B106/B105-1)/(A106-A105)*30</f>
        <v/>
      </c>
      <c r="D106" s="25" t="n">
        <v>145.6614267689448</v>
      </c>
      <c r="E106" s="25" t="n"/>
      <c r="F106" s="25" t="n"/>
      <c r="I106" s="110" t="n"/>
    </row>
    <row r="107" customFormat="1" s="109">
      <c r="A107" s="23" t="n">
        <v>41820</v>
      </c>
      <c r="B107" s="112" t="n">
        <v>16009.53</v>
      </c>
      <c r="C107" s="30">
        <f>+(B107/B106-1)/(A107-A106)*30</f>
        <v/>
      </c>
      <c r="D107" s="25" t="n">
        <v>146.163839775626</v>
      </c>
      <c r="E107" s="25" t="n"/>
      <c r="F107" s="25" t="n"/>
      <c r="I107" s="110" t="n"/>
    </row>
    <row r="108" customFormat="1" s="109">
      <c r="A108" s="23" t="n">
        <v>41851</v>
      </c>
      <c r="B108" s="112" t="n">
        <v>16063.18</v>
      </c>
      <c r="C108" s="30">
        <f>+(B108/B107-1)/(A108-A107)*30</f>
        <v/>
      </c>
      <c r="D108" s="25" t="n">
        <v>146.6536536554814</v>
      </c>
      <c r="E108" s="25" t="n"/>
      <c r="F108" s="25" t="n"/>
      <c r="I108" s="110" t="n"/>
    </row>
    <row r="109" customFormat="1" s="109">
      <c r="A109" s="23" t="n">
        <v>41880</v>
      </c>
      <c r="B109" s="112" t="n">
        <v>16110.55</v>
      </c>
      <c r="C109" s="30">
        <f>+(B109/B108-1)/(A109-A108)*30</f>
        <v/>
      </c>
      <c r="D109" s="25" t="n">
        <v>147.0861323784778</v>
      </c>
      <c r="E109" s="25" t="n"/>
      <c r="F109" s="25" t="n"/>
      <c r="I109" s="110" t="n"/>
    </row>
    <row r="110" customFormat="1" s="109">
      <c r="A110" s="23" t="n">
        <v>41912</v>
      </c>
      <c r="B110" s="112" t="n">
        <v>16158.37</v>
      </c>
      <c r="C110" s="30">
        <f>+(B110/B109-1)/(A110-A109)*30</f>
        <v/>
      </c>
      <c r="D110" s="25" t="n">
        <v>147.5227195123956</v>
      </c>
      <c r="E110" s="25" t="n"/>
      <c r="F110" s="25" t="n"/>
      <c r="I110" s="110" t="n"/>
    </row>
    <row r="111" customFormat="1" s="109">
      <c r="A111" s="23" t="n">
        <v>41943</v>
      </c>
      <c r="B111" s="112" t="n">
        <v>16200.86</v>
      </c>
      <c r="C111" s="30">
        <f>+(B111/B110-1)/(A111-A110)*30</f>
        <v/>
      </c>
      <c r="D111" s="25" t="n">
        <v>147.9106448013994</v>
      </c>
      <c r="E111" s="25" t="n"/>
      <c r="F111" s="25" t="n"/>
      <c r="I111" s="110" t="n"/>
    </row>
    <row r="112" customFormat="1" s="109">
      <c r="A112" s="23" t="n">
        <v>41971</v>
      </c>
      <c r="B112" s="112" t="n">
        <v>16240.11</v>
      </c>
      <c r="C112" s="30">
        <f>+(B112/B111-1)/(A112-A111)*30</f>
        <v/>
      </c>
      <c r="D112" s="25" t="n">
        <v>148.268989531769</v>
      </c>
      <c r="E112" s="25" t="n"/>
      <c r="F112" s="25" t="n"/>
      <c r="I112" s="110" t="n"/>
    </row>
    <row r="113" customFormat="1" s="109">
      <c r="A113" s="23" t="n">
        <v>42004</v>
      </c>
      <c r="B113" s="112" t="n">
        <v>16283.49</v>
      </c>
      <c r="C113" s="30">
        <f>+(B113/B112-1)/(A113-A112)*30</f>
        <v/>
      </c>
      <c r="D113" s="25" t="n">
        <v>148.6650403445952</v>
      </c>
      <c r="E113" s="25" t="n"/>
      <c r="F113" s="25" t="n"/>
      <c r="I113" s="110" t="n"/>
    </row>
    <row r="114" customFormat="1" s="109">
      <c r="A114" s="23" t="n">
        <v>42034</v>
      </c>
      <c r="B114" s="112" t="n">
        <v>16325.65</v>
      </c>
      <c r="C114" s="30">
        <f>+(B114/B113-1)/(A114-A113)*30</f>
        <v/>
      </c>
      <c r="D114" s="25" t="n">
        <v>149.0499527989234</v>
      </c>
      <c r="E114" s="25" t="n"/>
      <c r="F114" s="25" t="n"/>
      <c r="I114" s="110" t="n"/>
    </row>
    <row r="115">
      <c r="A115" s="23" t="n">
        <v>42062</v>
      </c>
      <c r="B115" s="112" t="n">
        <v>16363.77</v>
      </c>
      <c r="C115" s="30">
        <f>+(B115/B114-1)/(A115-A114)*30</f>
        <v/>
      </c>
      <c r="D115" s="25" t="n">
        <v>149.3979808529791</v>
      </c>
      <c r="E115" s="25" t="n"/>
      <c r="F115" s="25" t="n"/>
      <c r="N115" s="109" t="n"/>
      <c r="O115" s="109" t="n"/>
      <c r="P115" s="109" t="n"/>
      <c r="Q115" s="109" t="n"/>
      <c r="R115" s="109" t="n"/>
      <c r="S115" s="109" t="n"/>
      <c r="T115" s="109" t="n"/>
      <c r="U115" s="109" t="n"/>
      <c r="V115" s="109" t="n"/>
      <c r="W115" s="109" t="n"/>
      <c r="X115" s="109" t="n"/>
      <c r="Y115" s="109" t="n"/>
      <c r="Z115" s="109" t="n"/>
      <c r="AA115" s="109" t="n"/>
      <c r="AB115" s="109" t="n"/>
      <c r="AC115" s="109" t="n"/>
      <c r="AD115" s="109" t="n"/>
      <c r="AE115" s="109" t="n"/>
      <c r="AF115" s="109" t="n"/>
      <c r="AG115" s="109" t="n"/>
      <c r="AH115" s="109" t="n"/>
      <c r="AI115" s="109" t="n"/>
      <c r="AJ115" s="109" t="n"/>
      <c r="AK115" s="109" t="n"/>
      <c r="AL115" s="109" t="n"/>
      <c r="AM115" s="109" t="n"/>
      <c r="AN115" s="109" t="n"/>
      <c r="AO115" s="109" t="n"/>
      <c r="AP115" s="109" t="n"/>
      <c r="AQ115" s="109" t="n"/>
      <c r="AR115" s="109" t="n"/>
      <c r="AS115" s="109" t="n"/>
      <c r="AT115" s="109" t="n"/>
    </row>
    <row r="116">
      <c r="A116" s="23" t="n">
        <v>42094</v>
      </c>
      <c r="B116" s="112" t="n">
        <v>16407.49</v>
      </c>
      <c r="C116" s="30">
        <f>+(B116/B115-1)/(A116-A115)*30</f>
        <v/>
      </c>
      <c r="D116" s="25" t="n">
        <v>149.7971357985016</v>
      </c>
      <c r="E116" s="25" t="n"/>
      <c r="F116" s="25" t="n"/>
      <c r="N116" s="109" t="n"/>
      <c r="O116" s="109" t="n"/>
      <c r="P116" s="109" t="n"/>
      <c r="Q116" s="109" t="n"/>
      <c r="R116" s="109" t="n"/>
      <c r="S116" s="109" t="n"/>
      <c r="T116" s="109" t="n"/>
      <c r="U116" s="109" t="n"/>
      <c r="V116" s="109" t="n"/>
      <c r="W116" s="109" t="n"/>
      <c r="X116" s="109" t="n"/>
      <c r="Y116" s="109" t="n"/>
      <c r="Z116" s="109" t="n"/>
      <c r="AA116" s="109" t="n"/>
      <c r="AB116" s="109" t="n"/>
      <c r="AC116" s="109" t="n"/>
      <c r="AD116" s="109" t="n"/>
      <c r="AE116" s="109" t="n"/>
      <c r="AF116" s="109" t="n"/>
      <c r="AG116" s="109" t="n"/>
      <c r="AH116" s="109" t="n"/>
      <c r="AI116" s="109" t="n"/>
      <c r="AJ116" s="109" t="n"/>
      <c r="AK116" s="109" t="n"/>
      <c r="AL116" s="109" t="n"/>
      <c r="AM116" s="109" t="n"/>
      <c r="AN116" s="109" t="n"/>
      <c r="AO116" s="109" t="n"/>
      <c r="AP116" s="109" t="n"/>
      <c r="AQ116" s="109" t="n"/>
      <c r="AR116" s="109" t="n"/>
      <c r="AS116" s="109" t="n"/>
      <c r="AT116" s="109" t="n"/>
    </row>
    <row r="117">
      <c r="A117" s="23" t="n">
        <v>42124</v>
      </c>
      <c r="B117" s="112" t="n">
        <v>16448.59</v>
      </c>
      <c r="C117" s="30">
        <f>+(B117/B116-1)/(A117-A116)*30</f>
        <v/>
      </c>
      <c r="D117" s="25" t="n">
        <v>150.1723706626593</v>
      </c>
      <c r="E117" s="25" t="n"/>
      <c r="F117" s="25" t="n"/>
      <c r="O117" s="109" t="n"/>
      <c r="P117" s="109" t="n"/>
      <c r="Q117" s="109" t="n"/>
      <c r="R117" s="109" t="n"/>
      <c r="S117" s="109" t="n"/>
      <c r="T117" s="109" t="n"/>
      <c r="U117" s="109" t="n"/>
      <c r="V117" s="109" t="n"/>
      <c r="W117" s="109" t="n"/>
      <c r="X117" s="109" t="n"/>
      <c r="Y117" s="109" t="n"/>
      <c r="Z117" s="109" t="n"/>
      <c r="AA117" s="109" t="n"/>
      <c r="AB117" s="109" t="n"/>
      <c r="AC117" s="109" t="n"/>
      <c r="AD117" s="109" t="n"/>
      <c r="AE117" s="109" t="n"/>
      <c r="AF117" s="109" t="n"/>
      <c r="AG117" s="109" t="n"/>
      <c r="AH117" s="109" t="n"/>
      <c r="AI117" s="109" t="n"/>
      <c r="AJ117" s="109" t="n"/>
      <c r="AK117" s="109" t="n"/>
      <c r="AL117" s="109" t="n"/>
      <c r="AM117" s="109" t="n"/>
      <c r="AN117" s="109" t="n"/>
      <c r="AO117" s="109" t="n"/>
      <c r="AP117" s="109" t="n"/>
      <c r="AQ117" s="109" t="n"/>
      <c r="AR117" s="109" t="n"/>
      <c r="AS117" s="109" t="n"/>
    </row>
    <row r="118">
      <c r="A118" s="23" t="n">
        <v>42153</v>
      </c>
      <c r="B118" s="112" t="n">
        <v>16488.37</v>
      </c>
      <c r="C118" s="30">
        <f>+(B118/B117-1)/(A118-A117)*30</f>
        <v/>
      </c>
      <c r="D118" s="25" t="n">
        <v>150.5355541881141</v>
      </c>
      <c r="E118" s="25" t="n"/>
      <c r="F118" s="25" t="n"/>
      <c r="O118" s="109" t="n"/>
      <c r="P118" s="109" t="n"/>
      <c r="Q118" s="109" t="n"/>
      <c r="R118" s="109" t="n"/>
      <c r="S118" s="109" t="n"/>
      <c r="T118" s="109" t="n"/>
      <c r="U118" s="109" t="n"/>
      <c r="V118" s="109" t="n"/>
      <c r="W118" s="109" t="n"/>
      <c r="X118" s="109" t="n"/>
      <c r="Y118" s="109" t="n"/>
      <c r="Z118" s="109" t="n"/>
      <c r="AA118" s="109" t="n"/>
      <c r="AB118" s="109" t="n"/>
      <c r="AC118" s="109" t="n"/>
      <c r="AD118" s="109" t="n"/>
      <c r="AE118" s="109" t="n"/>
      <c r="AF118" s="109" t="n"/>
      <c r="AG118" s="109" t="n"/>
      <c r="AH118" s="109" t="n"/>
      <c r="AI118" s="109" t="n"/>
      <c r="AJ118" s="109" t="n"/>
      <c r="AK118" s="109" t="n"/>
      <c r="AL118" s="109" t="n"/>
      <c r="AM118" s="109" t="n"/>
      <c r="AN118" s="109" t="n"/>
      <c r="AO118" s="109" t="n"/>
      <c r="AP118" s="109" t="n"/>
      <c r="AQ118" s="109" t="n"/>
      <c r="AR118" s="109" t="n"/>
      <c r="AS118" s="109" t="n"/>
    </row>
    <row r="119">
      <c r="A119" s="23" t="n">
        <v>42185</v>
      </c>
      <c r="B119" s="112" t="n">
        <v>16532.38</v>
      </c>
      <c r="C119" s="30">
        <f>+(B119/B118-1)/(A119-A118)*30</f>
        <v/>
      </c>
      <c r="D119" s="25" t="n">
        <v>150.9373567762304</v>
      </c>
      <c r="E119" s="25" t="n"/>
      <c r="F119" s="25" t="n"/>
      <c r="O119" s="109" t="n"/>
      <c r="P119" s="109" t="n"/>
      <c r="Q119" s="109" t="n"/>
      <c r="R119" s="109" t="n"/>
      <c r="S119" s="109" t="n"/>
      <c r="T119" s="109" t="n"/>
      <c r="U119" s="109" t="n"/>
      <c r="V119" s="109" t="n"/>
      <c r="W119" s="109" t="n"/>
      <c r="X119" s="109" t="n"/>
      <c r="Y119" s="109" t="n"/>
      <c r="Z119" s="109" t="n"/>
      <c r="AA119" s="109" t="n"/>
      <c r="AB119" s="109" t="n"/>
      <c r="AC119" s="109" t="n"/>
      <c r="AD119" s="109" t="n"/>
      <c r="AE119" s="109" t="n"/>
      <c r="AF119" s="109" t="n"/>
      <c r="AG119" s="109" t="n"/>
      <c r="AH119" s="109" t="n"/>
      <c r="AI119" s="109" t="n"/>
      <c r="AJ119" s="109" t="n"/>
      <c r="AK119" s="109" t="n"/>
      <c r="AL119" s="109" t="n"/>
      <c r="AM119" s="109" t="n"/>
      <c r="AN119" s="109" t="n"/>
      <c r="AO119" s="109" t="n"/>
      <c r="AP119" s="109" t="n"/>
      <c r="AQ119" s="109" t="n"/>
      <c r="AR119" s="109" t="n"/>
      <c r="AS119" s="109" t="n"/>
    </row>
    <row r="120">
      <c r="A120" s="23" t="n">
        <v>42216</v>
      </c>
      <c r="B120" s="112" t="n">
        <v>16575.11</v>
      </c>
      <c r="C120" s="30">
        <f>+(B120/B119-1)/(A120-A119)*30</f>
        <v/>
      </c>
      <c r="D120" s="25" t="n">
        <v>151.3274732177257</v>
      </c>
      <c r="E120" s="25" t="n"/>
      <c r="F120" s="25" t="n"/>
      <c r="O120" s="109" t="n"/>
      <c r="P120" s="109" t="n"/>
      <c r="Q120" s="109" t="n"/>
      <c r="R120" s="109" t="n"/>
      <c r="S120" s="109" t="n"/>
      <c r="T120" s="109" t="n"/>
      <c r="U120" s="109" t="n"/>
      <c r="V120" s="109" t="n"/>
      <c r="W120" s="109" t="n"/>
      <c r="X120" s="109" t="n"/>
      <c r="Y120" s="109" t="n"/>
      <c r="Z120" s="109" t="n"/>
      <c r="AA120" s="109" t="n"/>
      <c r="AB120" s="109" t="n"/>
      <c r="AC120" s="109" t="n"/>
      <c r="AD120" s="109" t="n"/>
      <c r="AE120" s="109" t="n"/>
      <c r="AF120" s="109" t="n"/>
      <c r="AG120" s="109" t="n"/>
      <c r="AH120" s="109" t="n"/>
      <c r="AI120" s="109" t="n"/>
      <c r="AJ120" s="109" t="n"/>
      <c r="AK120" s="109" t="n"/>
      <c r="AL120" s="109" t="n"/>
      <c r="AM120" s="109" t="n"/>
      <c r="AN120" s="109" t="n"/>
      <c r="AO120" s="109" t="n"/>
      <c r="AP120" s="109" t="n"/>
      <c r="AQ120" s="109" t="n"/>
      <c r="AR120" s="109" t="n"/>
      <c r="AS120" s="109" t="n"/>
    </row>
    <row r="121">
      <c r="A121" s="23" t="n">
        <v>42247</v>
      </c>
      <c r="B121" s="112" t="n">
        <v>16617.94</v>
      </c>
      <c r="C121" s="30">
        <f>+(B121/B120-1)/(A121-A120)*30</f>
        <v/>
      </c>
      <c r="D121" s="25" t="n">
        <v>151.7185026394258</v>
      </c>
      <c r="E121" s="25" t="n"/>
      <c r="F121" s="25" t="n"/>
      <c r="O121" s="109" t="n"/>
      <c r="P121" s="109" t="n"/>
      <c r="Q121" s="109" t="n"/>
      <c r="R121" s="109" t="n"/>
      <c r="S121" s="109" t="n"/>
      <c r="T121" s="109" t="n"/>
      <c r="U121" s="109" t="n"/>
      <c r="V121" s="109" t="n"/>
      <c r="W121" s="109" t="n"/>
      <c r="X121" s="109" t="n"/>
      <c r="Y121" s="109" t="n"/>
      <c r="Z121" s="109" t="n"/>
      <c r="AA121" s="109" t="n"/>
      <c r="AB121" s="109" t="n"/>
      <c r="AC121" s="109" t="n"/>
      <c r="AD121" s="109" t="n"/>
      <c r="AE121" s="109" t="n"/>
      <c r="AF121" s="109" t="n"/>
      <c r="AG121" s="109" t="n"/>
      <c r="AH121" s="109" t="n"/>
      <c r="AI121" s="109" t="n"/>
      <c r="AJ121" s="109" t="n"/>
      <c r="AK121" s="109" t="n"/>
      <c r="AL121" s="109" t="n"/>
      <c r="AM121" s="109" t="n"/>
      <c r="AN121" s="109" t="n"/>
      <c r="AO121" s="109" t="n"/>
      <c r="AP121" s="109" t="n"/>
      <c r="AQ121" s="109" t="n"/>
      <c r="AR121" s="109" t="n"/>
      <c r="AS121" s="109" t="n"/>
    </row>
    <row r="122">
      <c r="A122" s="23" t="n">
        <v>42277</v>
      </c>
      <c r="B122" s="112" t="n">
        <v>16659.58</v>
      </c>
      <c r="C122" s="30">
        <f>+(B122/B121-1)/(A122-A121)*30</f>
        <v/>
      </c>
      <c r="D122" s="25" t="n">
        <v>152.0986675966892</v>
      </c>
      <c r="E122" s="25" t="n"/>
      <c r="F122" s="25" t="n"/>
      <c r="O122" s="109" t="n"/>
      <c r="P122" s="109" t="n"/>
      <c r="Q122" s="109" t="n"/>
      <c r="R122" s="109" t="n"/>
      <c r="S122" s="109" t="n"/>
      <c r="T122" s="109" t="n"/>
      <c r="U122" s="109" t="n"/>
      <c r="V122" s="109" t="n"/>
      <c r="W122" s="109" t="n"/>
      <c r="X122" s="109" t="n"/>
      <c r="Y122" s="109" t="n"/>
      <c r="Z122" s="109" t="n"/>
      <c r="AA122" s="109" t="n"/>
      <c r="AB122" s="109" t="n"/>
      <c r="AC122" s="109" t="n"/>
      <c r="AD122" s="109" t="n"/>
      <c r="AE122" s="109" t="n"/>
      <c r="AF122" s="109" t="n"/>
      <c r="AG122" s="109" t="n"/>
      <c r="AH122" s="109" t="n"/>
      <c r="AI122" s="109" t="n"/>
      <c r="AJ122" s="109" t="n"/>
      <c r="AK122" s="109" t="n"/>
      <c r="AL122" s="109" t="n"/>
      <c r="AM122" s="109" t="n"/>
      <c r="AN122" s="109" t="n"/>
      <c r="AO122" s="109" t="n"/>
      <c r="AP122" s="109" t="n"/>
      <c r="AQ122" s="109" t="n"/>
      <c r="AR122" s="109" t="n"/>
      <c r="AS122" s="109" t="n"/>
    </row>
    <row r="123">
      <c r="A123" s="23" t="n">
        <v>42307</v>
      </c>
      <c r="B123" s="112" t="n">
        <v>16702.94</v>
      </c>
      <c r="C123" s="30">
        <f>+(B123/B122-1)/(A123-A122)*30</f>
        <v/>
      </c>
      <c r="D123" s="25" t="n">
        <v>152.4945358134745</v>
      </c>
      <c r="E123" s="25" t="n"/>
      <c r="F123" s="25" t="n"/>
      <c r="O123" s="109" t="n"/>
      <c r="P123" s="109" t="n"/>
      <c r="Q123" s="109" t="n"/>
      <c r="R123" s="109" t="n"/>
      <c r="S123" s="109" t="n"/>
      <c r="T123" s="109" t="n"/>
      <c r="U123" s="109" t="n"/>
      <c r="V123" s="109" t="n"/>
      <c r="W123" s="109" t="n"/>
      <c r="X123" s="109" t="n"/>
      <c r="Y123" s="109" t="n"/>
      <c r="Z123" s="109" t="n"/>
      <c r="AA123" s="109" t="n"/>
      <c r="AC123" s="109" t="n"/>
      <c r="AD123" s="109" t="n"/>
      <c r="AE123" s="109" t="n"/>
      <c r="AF123" s="109" t="n"/>
      <c r="AG123" s="109" t="n"/>
      <c r="AH123" s="109" t="n"/>
      <c r="AI123" s="109" t="n"/>
      <c r="AJ123" s="109" t="n"/>
      <c r="AK123" s="109" t="n"/>
      <c r="AL123" s="109" t="n"/>
      <c r="AM123" s="109" t="n"/>
      <c r="AN123" s="109" t="n"/>
      <c r="AO123" s="109" t="n"/>
      <c r="AP123" s="109" t="n"/>
      <c r="AQ123" s="109" t="n"/>
      <c r="AR123" s="109" t="n"/>
      <c r="AS123" s="109" t="n"/>
    </row>
    <row r="124">
      <c r="A124" s="23" t="n">
        <v>42338</v>
      </c>
      <c r="B124" s="112" t="n">
        <v>16749.75</v>
      </c>
      <c r="C124" s="30">
        <f>+(B124/B123-1)/(A124-A123)*30</f>
        <v/>
      </c>
      <c r="D124" s="25" t="n">
        <v>152.9219018473241</v>
      </c>
      <c r="E124" s="25" t="n"/>
      <c r="F124" s="23" t="n"/>
      <c r="O124" s="109" t="n"/>
      <c r="P124" s="109" t="n"/>
      <c r="Q124" s="109" t="n"/>
      <c r="R124" s="109" t="n"/>
      <c r="S124" s="109" t="n"/>
      <c r="T124" s="109" t="n"/>
      <c r="U124" s="109" t="n"/>
      <c r="V124" s="109" t="n"/>
      <c r="W124" s="109" t="n"/>
      <c r="X124" s="109" t="n"/>
      <c r="Y124" s="109" t="n"/>
      <c r="Z124" s="109" t="n"/>
      <c r="AA124" s="109" t="n"/>
      <c r="AC124" s="109" t="n"/>
      <c r="AD124" s="109" t="n"/>
      <c r="AE124" s="109" t="n"/>
      <c r="AF124" s="109" t="n"/>
      <c r="AG124" s="109" t="n"/>
      <c r="AH124" s="109" t="n"/>
      <c r="AI124" s="109" t="n"/>
      <c r="AJ124" s="109" t="n"/>
      <c r="AK124" s="109" t="n"/>
      <c r="AL124" s="109" t="n"/>
      <c r="AM124" s="109" t="n"/>
      <c r="AN124" s="109" t="n"/>
      <c r="AO124" s="109" t="n"/>
      <c r="AP124" s="109" t="n"/>
      <c r="AQ124" s="109" t="n"/>
      <c r="AR124" s="109" t="n"/>
      <c r="AS124" s="109" t="n"/>
    </row>
    <row r="125">
      <c r="A125" s="23" t="n">
        <v>42369</v>
      </c>
      <c r="B125" s="112" t="n">
        <v>16796.52</v>
      </c>
      <c r="C125" s="30">
        <f>+(B125/B124-1)/(A125-A124)*30</f>
        <v/>
      </c>
      <c r="D125" s="25" t="n">
        <v>153.3489026890919</v>
      </c>
      <c r="E125" s="25" t="n"/>
      <c r="F125" s="23" t="n">
        <v>42369</v>
      </c>
      <c r="K125" s="109" t="n"/>
      <c r="O125" s="109" t="n"/>
      <c r="P125" s="109" t="n"/>
      <c r="Q125" s="109" t="n"/>
      <c r="R125" s="109" t="n"/>
      <c r="S125" s="109" t="n"/>
      <c r="T125" s="109" t="n"/>
      <c r="U125" s="109" t="n"/>
      <c r="V125" s="109" t="n"/>
      <c r="W125" s="109" t="n"/>
      <c r="X125" s="109" t="n"/>
      <c r="Y125" s="109" t="n"/>
      <c r="Z125" s="109" t="n"/>
      <c r="AA125" s="109" t="n"/>
      <c r="AC125" s="109" t="n"/>
      <c r="AD125" s="109" t="n"/>
      <c r="AE125" s="109" t="n"/>
      <c r="AF125" s="109" t="n"/>
      <c r="AG125" s="109" t="n"/>
      <c r="AH125" s="109" t="n"/>
      <c r="AI125" s="109" t="n"/>
      <c r="AJ125" s="109" t="n"/>
      <c r="AK125" s="109" t="n"/>
      <c r="AL125" s="109" t="n"/>
      <c r="AM125" s="109" t="n"/>
      <c r="AN125" s="109" t="n"/>
      <c r="AO125" s="109" t="n"/>
      <c r="AP125" s="109" t="n"/>
      <c r="AQ125" s="109" t="n"/>
      <c r="AR125" s="109" t="n"/>
      <c r="AS125" s="109" t="n"/>
    </row>
    <row r="126">
      <c r="A126" s="23" t="n">
        <v>42398</v>
      </c>
      <c r="B126" s="112" t="n">
        <v>16845.59</v>
      </c>
      <c r="C126" s="30">
        <f>+(B126/B125-1)/(A126-A125)*30</f>
        <v/>
      </c>
      <c r="D126" s="25" t="n">
        <v>153.7969020755692</v>
      </c>
      <c r="E126" s="25" t="n"/>
      <c r="F126" s="23" t="n">
        <v>42400</v>
      </c>
      <c r="K126" s="109" t="n"/>
      <c r="AC126" s="109" t="n"/>
      <c r="AD126" s="109" t="n"/>
      <c r="AE126" s="109" t="n"/>
      <c r="AF126" s="109" t="n"/>
      <c r="AG126" s="109" t="n"/>
      <c r="AH126" s="109" t="n"/>
      <c r="AI126" s="109" t="n"/>
      <c r="AJ126" s="109" t="n"/>
      <c r="AK126" s="109" t="n"/>
      <c r="AL126" s="109" t="n"/>
      <c r="AM126" s="109" t="n"/>
      <c r="AN126" s="109" t="n"/>
      <c r="AO126" s="109" t="n"/>
      <c r="AP126" s="109" t="n"/>
      <c r="AQ126" s="109" t="n"/>
      <c r="AR126" s="109" t="n"/>
      <c r="AS126" s="109" t="n"/>
    </row>
    <row r="127">
      <c r="A127" s="23" t="n">
        <v>42429</v>
      </c>
      <c r="B127" s="112" t="n">
        <v>16896.43</v>
      </c>
      <c r="C127" s="30">
        <f>+(B127/B126-1)/(A127-A126)*30</f>
        <v/>
      </c>
      <c r="D127" s="25" t="n">
        <v>154.2610612116708</v>
      </c>
      <c r="E127" s="25" t="n"/>
      <c r="F127" s="23" t="n">
        <v>42428</v>
      </c>
      <c r="K127" s="109" t="n"/>
      <c r="AC127" s="109" t="n"/>
      <c r="AD127" s="109" t="n"/>
      <c r="AE127" s="109" t="n"/>
      <c r="AF127" s="109" t="n"/>
      <c r="AG127" s="109" t="n"/>
      <c r="AH127" s="109" t="n"/>
      <c r="AI127" s="109" t="n"/>
      <c r="AJ127" s="109" t="n"/>
      <c r="AK127" s="109" t="n"/>
      <c r="AL127" s="109" t="n"/>
      <c r="AM127" s="109" t="n"/>
      <c r="AN127" s="109" t="n"/>
      <c r="AO127" s="109" t="n"/>
      <c r="AP127" s="109" t="n"/>
      <c r="AQ127" s="109" t="n"/>
      <c r="AR127" s="109" t="n"/>
      <c r="AS127" s="109" t="n"/>
    </row>
    <row r="128">
      <c r="A128" s="23" t="n">
        <v>42460</v>
      </c>
      <c r="B128" s="112" t="n">
        <v>16947.43</v>
      </c>
      <c r="C128" s="30">
        <f>+(B128/B127-1)/(A128-A127)*30</f>
        <v/>
      </c>
      <c r="D128" s="25" t="n">
        <v>154.7266811161001</v>
      </c>
      <c r="E128" s="25" t="n"/>
      <c r="F128" s="23" t="n">
        <v>42460</v>
      </c>
      <c r="K128" s="109" t="n"/>
      <c r="AC128" s="109" t="n"/>
      <c r="AD128" s="109" t="n"/>
      <c r="AE128" s="109" t="n"/>
      <c r="AF128" s="109" t="n"/>
      <c r="AG128" s="109" t="n"/>
      <c r="AH128" s="109" t="n"/>
      <c r="AI128" s="109" t="n"/>
      <c r="AJ128" s="109" t="n"/>
      <c r="AK128" s="109" t="n"/>
      <c r="AL128" s="109" t="n"/>
      <c r="AM128" s="109" t="n"/>
      <c r="AN128" s="109" t="n"/>
      <c r="AO128" s="109" t="n"/>
      <c r="AP128" s="109" t="n"/>
      <c r="AQ128" s="109" t="n"/>
    </row>
    <row r="129">
      <c r="A129" s="23" t="n">
        <v>42489</v>
      </c>
      <c r="B129" s="112" t="n">
        <v>16995.27</v>
      </c>
      <c r="C129" s="30">
        <f>+(B129/B128-1)/(A129-A128)*30</f>
        <v/>
      </c>
      <c r="D129" s="25" t="n">
        <v>155.1634508460588</v>
      </c>
      <c r="F129" s="23" t="n">
        <v>42490</v>
      </c>
      <c r="K129" s="109" t="n"/>
      <c r="AC129" s="109" t="n"/>
      <c r="AD129" s="109" t="n"/>
      <c r="AE129" s="109" t="n"/>
      <c r="AF129" s="109" t="n"/>
      <c r="AG129" s="109" t="n"/>
      <c r="AH129" s="109" t="n"/>
      <c r="AI129" s="109" t="n"/>
      <c r="AJ129" s="109" t="n"/>
      <c r="AK129" s="109" t="n"/>
      <c r="AL129" s="109" t="n"/>
      <c r="AM129" s="109" t="n"/>
      <c r="AN129" s="109" t="n"/>
      <c r="AO129" s="109" t="n"/>
      <c r="AP129" s="109" t="n"/>
      <c r="AQ129" s="109" t="n"/>
    </row>
    <row r="130">
      <c r="A130" s="23" t="n">
        <v>42521</v>
      </c>
      <c r="B130" s="112" t="n">
        <v>17048.23</v>
      </c>
      <c r="C130" s="30">
        <f>+(B130/B129-1)/(A130-A129)*30</f>
        <v/>
      </c>
      <c r="D130" s="25" t="n">
        <v>155.6469651625014</v>
      </c>
      <c r="F130" s="23">
        <f>+A130</f>
        <v/>
      </c>
      <c r="G130" s="114" t="n"/>
      <c r="I130" s="30" t="n"/>
      <c r="J130" s="24" t="n"/>
      <c r="K130" s="109" t="n"/>
      <c r="L130" s="30" t="n"/>
      <c r="AC130" s="109" t="n"/>
      <c r="AD130" s="109" t="n"/>
      <c r="AE130" s="109" t="n"/>
      <c r="AF130" s="109" t="n"/>
      <c r="AG130" s="109" t="n"/>
      <c r="AH130" s="109" t="n"/>
      <c r="AI130" s="109" t="n"/>
      <c r="AJ130" s="109" t="n"/>
      <c r="AK130" s="109" t="n"/>
      <c r="AL130" s="109" t="n"/>
      <c r="AM130" s="109" t="n"/>
      <c r="AN130" s="109" t="n"/>
      <c r="AO130" s="109" t="n"/>
      <c r="AP130" s="109" t="n"/>
      <c r="AQ130" s="109" t="n"/>
    </row>
    <row r="131">
      <c r="A131" s="23" t="n">
        <v>42551</v>
      </c>
      <c r="B131" s="112" t="n">
        <v>17098.02</v>
      </c>
      <c r="C131" s="30">
        <f>+(B131/B130-1)/(A131-A130)*30</f>
        <v/>
      </c>
      <c r="D131" s="25" t="n">
        <v>156.101538006453</v>
      </c>
      <c r="F131" s="23">
        <f>+A131</f>
        <v/>
      </c>
      <c r="I131" s="30" t="n"/>
      <c r="J131" s="24" t="n"/>
      <c r="K131" s="109" t="n"/>
      <c r="L131" s="30" t="n"/>
      <c r="M131" s="25" t="n"/>
      <c r="AC131" s="109" t="n"/>
      <c r="AD131" s="109" t="n"/>
      <c r="AE131" s="109" t="n"/>
      <c r="AF131" s="109" t="n"/>
      <c r="AG131" s="109" t="n"/>
      <c r="AH131" s="109" t="n"/>
      <c r="AI131" s="109" t="n"/>
      <c r="AJ131" s="109" t="n"/>
      <c r="AK131" s="109" t="n"/>
      <c r="AL131" s="109" t="n"/>
      <c r="AM131" s="109" t="n"/>
      <c r="AN131" s="109" t="n"/>
      <c r="AO131" s="109" t="n"/>
      <c r="AP131" s="109" t="n"/>
      <c r="AQ131" s="109" t="n"/>
    </row>
    <row r="132">
      <c r="A132" s="23" t="n">
        <v>42582</v>
      </c>
      <c r="B132" s="115" t="n">
        <v>17149.23</v>
      </c>
      <c r="C132" s="30">
        <f>+(B132/B131-1)/(A132-A131)*30</f>
        <v/>
      </c>
      <c r="D132" s="25" t="n">
        <v>156.5690751693122</v>
      </c>
      <c r="F132" s="23">
        <f>+A132</f>
        <v/>
      </c>
      <c r="I132" s="30" t="n"/>
      <c r="J132" s="24" t="n"/>
      <c r="K132" s="109" t="n"/>
      <c r="L132" s="30" t="n"/>
      <c r="M132" s="25" t="n"/>
      <c r="AC132" s="109" t="n"/>
      <c r="AD132" s="109" t="n"/>
      <c r="AE132" s="109" t="n"/>
      <c r="AF132" s="109" t="n"/>
      <c r="AG132" s="109" t="n"/>
      <c r="AH132" s="109" t="n"/>
      <c r="AI132" s="109" t="n"/>
      <c r="AJ132" s="109" t="n"/>
      <c r="AK132" s="109" t="n"/>
      <c r="AL132" s="109" t="n"/>
      <c r="AM132" s="109" t="n"/>
      <c r="AN132" s="109" t="n"/>
      <c r="AO132" s="109" t="n"/>
      <c r="AP132" s="109" t="n"/>
      <c r="AQ132" s="109" t="n"/>
    </row>
    <row r="133">
      <c r="A133" s="23" t="n">
        <v>42613</v>
      </c>
      <c r="B133" s="112" t="n">
        <v>17201.38</v>
      </c>
      <c r="C133" s="30">
        <f>+(B133/B132-1)/(A133-A132)*30</f>
        <v/>
      </c>
      <c r="D133" s="25" t="n">
        <v>157.0451943460962</v>
      </c>
      <c r="F133" s="23">
        <f>+A133</f>
        <v/>
      </c>
      <c r="I133" s="30" t="n"/>
      <c r="J133" s="24" t="n"/>
      <c r="K133" s="109" t="n"/>
      <c r="L133" s="30" t="n"/>
      <c r="M133" s="25" t="n"/>
      <c r="AC133" s="109" t="n"/>
      <c r="AD133" s="109" t="n"/>
      <c r="AE133" s="109" t="n"/>
      <c r="AF133" s="109" t="n"/>
      <c r="AG133" s="109" t="n"/>
      <c r="AH133" s="109" t="n"/>
      <c r="AI133" s="109" t="n"/>
      <c r="AJ133" s="109" t="n"/>
      <c r="AK133" s="109" t="n"/>
      <c r="AL133" s="109" t="n"/>
      <c r="AM133" s="109" t="n"/>
      <c r="AN133" s="109" t="n"/>
      <c r="AO133" s="109" t="n"/>
      <c r="AP133" s="109" t="n"/>
      <c r="AQ133" s="109" t="n"/>
    </row>
    <row r="134">
      <c r="A134" s="23" t="n">
        <v>42643</v>
      </c>
      <c r="B134" s="112" t="n">
        <v>17251.61</v>
      </c>
      <c r="C134" s="30">
        <f>+(B134/B133-1)/(A134-A133)*30</f>
        <v/>
      </c>
      <c r="D134" s="25" t="n">
        <v>157.5037843029488</v>
      </c>
      <c r="F134" s="23">
        <f>+A134</f>
        <v/>
      </c>
      <c r="I134" s="30" t="n"/>
      <c r="J134" s="24" t="n"/>
      <c r="K134" s="109" t="n"/>
      <c r="L134" s="30" t="n"/>
      <c r="M134" s="25" t="n"/>
      <c r="AC134" s="109" t="n"/>
      <c r="AD134" s="109" t="n"/>
      <c r="AE134" s="109" t="n"/>
      <c r="AF134" s="109" t="n"/>
      <c r="AG134" s="109" t="n"/>
      <c r="AH134" s="109" t="n"/>
      <c r="AI134" s="109" t="n"/>
      <c r="AJ134" s="109" t="n"/>
      <c r="AK134" s="109" t="n"/>
      <c r="AL134" s="109" t="n"/>
      <c r="AM134" s="109" t="n"/>
      <c r="AN134" s="109" t="n"/>
      <c r="AO134" s="109" t="n"/>
      <c r="AP134" s="109" t="n"/>
      <c r="AQ134" s="109" t="n"/>
    </row>
    <row r="135">
      <c r="A135" s="23" t="n">
        <v>42674</v>
      </c>
      <c r="B135" s="112" t="n">
        <v>17303.68</v>
      </c>
      <c r="C135" s="30">
        <f>+(B135/B134-1)/(A135-A134)*30</f>
        <v/>
      </c>
      <c r="D135" s="25" t="n">
        <v>157.9791730955689</v>
      </c>
      <c r="F135" s="23">
        <f>+A135</f>
        <v/>
      </c>
      <c r="I135" s="30" t="n"/>
      <c r="J135" s="24" t="n"/>
      <c r="K135" s="109" t="n"/>
      <c r="L135" s="30" t="n"/>
      <c r="M135" s="25" t="n"/>
      <c r="AC135" s="109" t="n"/>
      <c r="AD135" s="109" t="n"/>
      <c r="AE135" s="109" t="n"/>
      <c r="AF135" s="109" t="n"/>
      <c r="AG135" s="109" t="n"/>
      <c r="AH135" s="109" t="n"/>
      <c r="AI135" s="109" t="n"/>
      <c r="AJ135" s="109" t="n"/>
      <c r="AK135" s="109" t="n"/>
      <c r="AL135" s="109" t="n"/>
      <c r="AM135" s="109" t="n"/>
      <c r="AN135" s="109" t="n"/>
      <c r="AO135" s="109" t="n"/>
      <c r="AP135" s="109" t="n"/>
      <c r="AQ135" s="109" t="n"/>
    </row>
    <row r="136">
      <c r="A136" s="23" t="n">
        <v>42704</v>
      </c>
      <c r="B136" s="112" t="n">
        <v>17354.21</v>
      </c>
      <c r="C136" s="30">
        <f>+(B136/B135-1)/(A136-A135)*30</f>
        <v/>
      </c>
      <c r="D136" s="25" t="n">
        <v>158.4405019930358</v>
      </c>
      <c r="F136" s="23">
        <f>+A136</f>
        <v/>
      </c>
      <c r="I136" s="30" t="n"/>
      <c r="J136" s="24" t="n"/>
      <c r="K136" s="109" t="n"/>
      <c r="L136" s="30" t="n"/>
      <c r="M136" s="25" t="n"/>
      <c r="AC136" s="109" t="n"/>
      <c r="AD136" s="109" t="n"/>
      <c r="AE136" s="109" t="n"/>
      <c r="AF136" s="109" t="n"/>
      <c r="AG136" s="109" t="n"/>
      <c r="AH136" s="109" t="n"/>
      <c r="AI136" s="109" t="n"/>
      <c r="AJ136" s="109" t="n"/>
      <c r="AK136" s="109" t="n"/>
      <c r="AL136" s="109" t="n"/>
      <c r="AM136" s="109" t="n"/>
      <c r="AN136" s="109" t="n"/>
      <c r="AO136" s="109" t="n"/>
      <c r="AP136" s="109" t="n"/>
      <c r="AQ136" s="109" t="n"/>
    </row>
    <row r="137">
      <c r="A137" s="23" t="n">
        <v>42735</v>
      </c>
      <c r="B137" s="112" t="n">
        <v>17406.97</v>
      </c>
      <c r="C137" s="30">
        <f>+(B137/B136-1)/(A137-A136)*30</f>
        <v/>
      </c>
      <c r="D137" s="25" t="n">
        <v>158.9221903490689</v>
      </c>
      <c r="F137" s="23">
        <f>+A137</f>
        <v/>
      </c>
      <c r="I137" s="30" t="n"/>
      <c r="J137" s="24" t="n"/>
      <c r="K137" s="109" t="n"/>
      <c r="L137" s="30" t="n"/>
      <c r="M137" s="25" t="n"/>
      <c r="AC137" s="109" t="n"/>
      <c r="AD137" s="109" t="n"/>
      <c r="AE137" s="109" t="n"/>
      <c r="AF137" s="109" t="n"/>
      <c r="AG137" s="109" t="n"/>
      <c r="AH137" s="109" t="n"/>
      <c r="AI137" s="109" t="n"/>
      <c r="AJ137" s="109" t="n"/>
      <c r="AK137" s="109" t="n"/>
      <c r="AL137" s="109" t="n"/>
      <c r="AM137" s="109" t="n"/>
      <c r="AN137" s="109" t="n"/>
      <c r="AO137" s="109" t="n"/>
      <c r="AP137" s="109" t="n"/>
      <c r="AQ137" s="109" t="n"/>
    </row>
    <row r="138">
      <c r="A138" s="23" t="n">
        <v>42766</v>
      </c>
      <c r="B138" s="112" t="n">
        <v>17457.39</v>
      </c>
      <c r="C138" s="30">
        <f>+(B138/B137-1)/(A138-A137)*30</f>
        <v/>
      </c>
      <c r="D138" s="25" t="n">
        <v>159.3825149683105</v>
      </c>
      <c r="F138" s="23">
        <f>+A138</f>
        <v/>
      </c>
      <c r="I138" s="30" t="n"/>
      <c r="J138" s="24" t="n"/>
      <c r="K138" s="109" t="n"/>
      <c r="L138" s="30" t="n"/>
      <c r="M138" s="25" t="n"/>
    </row>
    <row r="139">
      <c r="A139" s="23" t="n">
        <v>42794</v>
      </c>
      <c r="B139" s="112" t="n">
        <v>17501.06</v>
      </c>
      <c r="C139" s="30">
        <f>+(B139/B138-1)/(A139-A138)*30</f>
        <v/>
      </c>
      <c r="D139" s="25" t="n">
        <v>159.7812134237306</v>
      </c>
      <c r="F139" s="23">
        <f>+A139</f>
        <v/>
      </c>
      <c r="I139" s="30" t="n"/>
      <c r="J139" s="24" t="n"/>
      <c r="K139" s="109" t="n"/>
      <c r="L139" s="30" t="n"/>
      <c r="M139" s="25" t="n"/>
    </row>
    <row r="140">
      <c r="A140" s="23" t="n">
        <v>42825</v>
      </c>
      <c r="B140" s="112" t="n">
        <v>17548.35</v>
      </c>
      <c r="C140" s="30">
        <f>+(B140/B139-1)/(A140-A139)*30</f>
        <v/>
      </c>
      <c r="D140" s="25" t="n">
        <v>160.2129617625631</v>
      </c>
      <c r="F140" s="23">
        <f>+A140</f>
        <v/>
      </c>
      <c r="I140" s="30" t="n"/>
      <c r="J140" s="24" t="n"/>
      <c r="K140" s="109" t="n"/>
      <c r="L140" s="30" t="n"/>
      <c r="M140" s="25" t="n"/>
    </row>
    <row r="141">
      <c r="A141" s="23" t="n">
        <v>42855</v>
      </c>
      <c r="B141" s="112" t="n">
        <v>17587.92</v>
      </c>
      <c r="C141" s="30">
        <f>+(B141/B140-1)/(A141-A140)*30</f>
        <v/>
      </c>
      <c r="D141" s="25" t="n">
        <v>160.5742280295879</v>
      </c>
      <c r="F141" s="23">
        <f>+A141</f>
        <v/>
      </c>
      <c r="I141" s="30" t="n"/>
      <c r="J141" s="24" t="n"/>
      <c r="K141" s="109" t="n"/>
      <c r="L141" s="30" t="n"/>
      <c r="M141" s="25" t="n"/>
    </row>
    <row r="142">
      <c r="A142" s="23" t="n">
        <v>42886</v>
      </c>
      <c r="B142" s="112" t="n">
        <v>17630.79</v>
      </c>
      <c r="C142" s="30">
        <f>+(B142/B141-1)/(A142-A141)*30</f>
        <v/>
      </c>
      <c r="D142" s="25" t="n">
        <v>160.9656226433699</v>
      </c>
      <c r="F142" s="23">
        <f>+A142</f>
        <v/>
      </c>
      <c r="I142" s="30" t="n"/>
      <c r="J142" s="24" t="n"/>
      <c r="K142" s="109" t="n"/>
      <c r="L142" s="30" t="n"/>
      <c r="M142" s="25" t="n"/>
    </row>
    <row r="143">
      <c r="A143" s="23" t="n">
        <v>42916</v>
      </c>
      <c r="B143" s="112" t="n">
        <v>17667.59</v>
      </c>
      <c r="C143" s="30">
        <f>+(B143/B142-1)/(A143-A142)*30</f>
        <v/>
      </c>
      <c r="D143" s="25" t="n">
        <v>161.3015993587227</v>
      </c>
      <c r="F143" s="23">
        <f>+A143</f>
        <v/>
      </c>
      <c r="I143" s="30" t="n"/>
      <c r="J143" s="24" t="n"/>
      <c r="K143" s="109" t="n"/>
      <c r="L143" s="30" t="n"/>
      <c r="M143" s="25" t="n"/>
    </row>
    <row r="144">
      <c r="A144" s="23" t="n">
        <v>42947</v>
      </c>
      <c r="B144" s="112" t="n">
        <v>17705.69</v>
      </c>
      <c r="C144" s="30">
        <f>+(B144/B143-1)/(A144-A143)*30</f>
        <v/>
      </c>
      <c r="D144" s="25" t="n">
        <v>161.6494448167375</v>
      </c>
      <c r="F144" s="23">
        <f>+A144</f>
        <v/>
      </c>
      <c r="I144" s="30" t="n"/>
      <c r="J144" s="24" t="n"/>
      <c r="K144" s="109" t="n"/>
      <c r="L144" s="30" t="n"/>
      <c r="M144" s="25" t="n"/>
    </row>
    <row r="145">
      <c r="A145" s="23" t="n">
        <v>42978</v>
      </c>
      <c r="B145" s="112" t="n">
        <v>17743.83</v>
      </c>
      <c r="C145" s="30">
        <f>+(B145/B144-1)/(A145-A144)*30</f>
        <v/>
      </c>
      <c r="D145" s="25" t="n">
        <v>161.9976554668342</v>
      </c>
      <c r="F145" s="23">
        <f>+A145</f>
        <v/>
      </c>
      <c r="I145" s="30" t="n"/>
      <c r="J145" s="24" t="n"/>
      <c r="K145" s="109" t="n"/>
      <c r="L145" s="30" t="n"/>
      <c r="M145" s="25" t="n"/>
    </row>
    <row r="146">
      <c r="A146" s="23" t="n">
        <v>43008</v>
      </c>
      <c r="B146" s="112" t="n">
        <v>17780.7817</v>
      </c>
      <c r="C146" s="30">
        <f>+(B146/B145-1)/(A146-A145)*30</f>
        <v/>
      </c>
      <c r="D146" s="25" t="n">
        <v>162.3350171731577</v>
      </c>
      <c r="F146" s="23" t="n">
        <v>43008</v>
      </c>
      <c r="I146" s="30" t="n"/>
      <c r="J146" s="24" t="n"/>
      <c r="K146" s="109" t="n"/>
      <c r="L146" s="30" t="n"/>
      <c r="M146" s="25" t="n"/>
    </row>
    <row r="147">
      <c r="A147" s="23" t="n">
        <v>43039</v>
      </c>
      <c r="B147" s="9" t="n">
        <v>17819.15</v>
      </c>
      <c r="C147" s="30">
        <f>+(B147/B146-1)/(A147-A146)*30</f>
        <v/>
      </c>
      <c r="D147" s="25" t="n">
        <v>162.6853121570618</v>
      </c>
      <c r="F147" s="23" t="n">
        <v>43039</v>
      </c>
      <c r="I147" s="30" t="n"/>
      <c r="J147" s="24" t="n"/>
      <c r="K147" s="109" t="n"/>
      <c r="L147" s="30" t="n"/>
      <c r="M147" s="25" t="n"/>
      <c r="S147" s="9" t="inlineStr">
        <is>
          <t>DIVIDENDO 2016</t>
        </is>
      </c>
    </row>
    <row r="148">
      <c r="A148" s="23" t="n">
        <v>43069</v>
      </c>
      <c r="B148" s="9" t="n">
        <v>17856.32</v>
      </c>
      <c r="C148" s="30">
        <f>+(B148/B147-1)/(A148-A147)*30</f>
        <v/>
      </c>
      <c r="D148" s="25" t="n">
        <v>163.0246668991723</v>
      </c>
      <c r="F148" s="23" t="n">
        <v>43069</v>
      </c>
      <c r="I148" s="30" t="n"/>
      <c r="J148" s="24" t="n"/>
      <c r="K148" s="109" t="n"/>
      <c r="L148" s="30" t="n"/>
      <c r="M148" s="25" t="n"/>
    </row>
    <row r="149">
      <c r="A149" s="23" t="n">
        <v>43100</v>
      </c>
      <c r="B149" s="9" t="n">
        <v>17872.44</v>
      </c>
      <c r="C149" s="30">
        <f>+(B149/B148-1)/(A149-A148)*30</f>
        <v/>
      </c>
      <c r="D149" s="25" t="n">
        <v>163.1718393081801</v>
      </c>
      <c r="F149" s="23" t="n">
        <v>43100</v>
      </c>
      <c r="I149" s="30" t="n"/>
      <c r="J149" s="24" t="n"/>
      <c r="K149" s="109" t="n"/>
      <c r="L149" s="30" t="n"/>
      <c r="M149" s="25" t="n"/>
      <c r="Q149" s="109">
        <f>+G137+S148</f>
        <v/>
      </c>
      <c r="S149" s="9" t="inlineStr">
        <is>
          <t>Dividendo 2017</t>
        </is>
      </c>
    </row>
    <row r="150">
      <c r="A150" s="23" t="n">
        <v>43131</v>
      </c>
      <c r="B150" s="9" t="n">
        <v>17933.28</v>
      </c>
      <c r="C150" s="30">
        <f>+(B150/B149-1)/(A150-A149)*30</f>
        <v/>
      </c>
      <c r="D150" s="25" t="n">
        <v>163.727296464758</v>
      </c>
      <c r="F150" s="23" t="n">
        <v>43131</v>
      </c>
      <c r="I150" s="30" t="n"/>
      <c r="J150" s="24" t="n"/>
      <c r="K150" s="109" t="n"/>
      <c r="L150" s="30" t="n"/>
      <c r="M150" s="25" t="n"/>
    </row>
    <row r="151">
      <c r="A151" s="23" t="n">
        <v>43159</v>
      </c>
      <c r="B151" s="9" t="n">
        <v>17968.11</v>
      </c>
      <c r="C151" s="30">
        <f>+(B151/B150-1)/(A151-A150)*30</f>
        <v/>
      </c>
      <c r="D151" s="25" t="n">
        <v>164.0452874700771</v>
      </c>
      <c r="F151" s="23" t="n">
        <v>43159</v>
      </c>
      <c r="I151" s="30" t="n"/>
      <c r="J151" s="24" t="n"/>
      <c r="K151" s="109" t="n"/>
      <c r="L151" s="30" t="n"/>
      <c r="M151" s="25" t="n"/>
      <c r="S151" s="9" t="inlineStr">
        <is>
          <t>Dividendo 2018</t>
        </is>
      </c>
    </row>
    <row r="152">
      <c r="A152" s="23" t="n">
        <v>43190</v>
      </c>
      <c r="B152" s="9" t="n">
        <v>18006.83</v>
      </c>
      <c r="C152" s="30">
        <f>+(B152/B151-1)/(A152-A151)*30</f>
        <v/>
      </c>
      <c r="D152" s="25" t="n">
        <v>164.3987934053614</v>
      </c>
      <c r="F152" s="23" t="n">
        <v>43190</v>
      </c>
      <c r="I152" s="30" t="n"/>
      <c r="J152" s="24" t="n"/>
      <c r="K152" s="109" t="n"/>
      <c r="L152" s="30" t="n"/>
      <c r="M152" s="25" t="n"/>
      <c r="S152" s="9" t="n">
        <v>6.649282794902818</v>
      </c>
    </row>
    <row r="153">
      <c r="A153" s="23" t="n">
        <v>43220</v>
      </c>
      <c r="B153" s="9" t="n">
        <v>18044.25</v>
      </c>
      <c r="C153" s="30">
        <f>+(B153/B152-1)/(A153-A152)*30</f>
        <v/>
      </c>
      <c r="D153" s="25" t="n">
        <v>164.7404305979838</v>
      </c>
      <c r="F153" s="23" t="n">
        <v>43220</v>
      </c>
      <c r="I153" s="30" t="n"/>
      <c r="J153" s="24" t="n"/>
      <c r="K153" s="109" t="n"/>
      <c r="L153" s="30" t="n"/>
      <c r="M153" s="25" t="n"/>
      <c r="S153" s="9" t="inlineStr">
        <is>
          <t>Dividendo 2019</t>
        </is>
      </c>
    </row>
    <row r="154">
      <c r="A154" s="23" t="n">
        <v>43251</v>
      </c>
      <c r="B154" s="24" t="n">
        <v>18082.87</v>
      </c>
      <c r="C154" s="30">
        <f>+(B154/B153-1)/(A154-A153)*30</f>
        <v/>
      </c>
      <c r="D154" s="25" t="n">
        <v>165.0930235530633</v>
      </c>
      <c r="F154" s="23" t="n">
        <v>43251</v>
      </c>
      <c r="I154" s="30" t="n"/>
      <c r="J154" s="24" t="n"/>
      <c r="K154" s="109" t="n"/>
      <c r="L154" s="30" t="n"/>
      <c r="M154" s="25" t="n"/>
      <c r="S154" s="9" t="n">
        <v>28.4165602</v>
      </c>
    </row>
    <row r="155">
      <c r="A155" s="23" t="n">
        <v>43281</v>
      </c>
      <c r="B155" s="25" t="n">
        <v>18120.6225</v>
      </c>
      <c r="C155" s="30">
        <f>+(B155/B154-1)/(A155-A154)*30</f>
        <v/>
      </c>
      <c r="D155" s="25" t="n">
        <v>165.4376964048665</v>
      </c>
      <c r="F155" s="23" t="n">
        <v>43281</v>
      </c>
      <c r="I155" s="30" t="n"/>
      <c r="J155" s="24" t="n"/>
      <c r="L155" s="30" t="n"/>
      <c r="M155" s="25" t="n"/>
      <c r="S155" s="9" t="inlineStr">
        <is>
          <t>Dividendo 2020</t>
        </is>
      </c>
    </row>
    <row r="156">
      <c r="A156" s="23" t="n">
        <v>43312</v>
      </c>
      <c r="B156" s="24" t="n">
        <v>18159.66</v>
      </c>
      <c r="C156" s="30">
        <f>+(B156/B155-1)/(A156-A155)*30</f>
        <v/>
      </c>
      <c r="D156" s="25" t="n">
        <v>165.794101052301</v>
      </c>
      <c r="F156" s="23" t="n">
        <v>43312</v>
      </c>
      <c r="I156" s="30" t="n"/>
      <c r="J156" s="24" t="n"/>
      <c r="L156" s="30" t="n"/>
      <c r="M156" s="25" t="n"/>
      <c r="S156" s="9" t="n">
        <v>4.47281065642949</v>
      </c>
    </row>
    <row r="157">
      <c r="A157" s="23" t="n">
        <v>43343</v>
      </c>
      <c r="B157" s="24" t="n">
        <v>18198.62</v>
      </c>
      <c r="C157" s="30">
        <f>+(B157/B156-1)/(A157-A156)*30</f>
        <v/>
      </c>
      <c r="D157" s="25" t="n">
        <v>166.1497981400767</v>
      </c>
      <c r="F157" s="23" t="n">
        <v>43343</v>
      </c>
      <c r="I157" s="30" t="n"/>
      <c r="J157" s="24" t="n"/>
      <c r="L157" s="30" t="n"/>
      <c r="M157" s="25" t="n"/>
      <c r="S157" s="9" t="inlineStr">
        <is>
          <t>Dividendo 2021</t>
        </is>
      </c>
    </row>
    <row r="158">
      <c r="A158" s="23" t="n">
        <v>43373</v>
      </c>
      <c r="B158" s="116" t="n">
        <v>18235.9</v>
      </c>
      <c r="C158" s="30">
        <f>+(B158/B157-1)/(A158-A157)*30</f>
        <v/>
      </c>
      <c r="D158" s="25" t="n">
        <v>166.4901571604125</v>
      </c>
      <c r="F158" s="23" t="n">
        <v>43373</v>
      </c>
      <c r="I158" s="30" t="n"/>
      <c r="J158" s="24" t="n"/>
      <c r="L158" s="30" t="n"/>
      <c r="M158" s="25" t="n"/>
      <c r="S158" s="9" t="n">
        <v>3.248301579543586</v>
      </c>
    </row>
    <row r="159">
      <c r="A159" s="23" t="n">
        <v>43404</v>
      </c>
      <c r="B159" s="9" t="n">
        <v>18277.4</v>
      </c>
      <c r="C159" s="30">
        <f>+(B159/B158-1)/(A159-A158)*30</f>
        <v/>
      </c>
      <c r="D159" s="25" t="n">
        <v>166.8690439453892</v>
      </c>
      <c r="F159" s="23" t="n">
        <v>43404</v>
      </c>
      <c r="G159" s="114" t="n">
        <v>1000</v>
      </c>
      <c r="H159" s="109">
        <f>+G159</f>
        <v/>
      </c>
      <c r="I159" s="30" t="n"/>
      <c r="J159" s="24" t="n">
        <v>166.8690439453892</v>
      </c>
      <c r="K159" s="9" t="n">
        <v>4807.6121</v>
      </c>
      <c r="L159" s="30" t="n"/>
      <c r="M159" s="25" t="n">
        <v>166.8690439453892</v>
      </c>
      <c r="S159" s="9" t="inlineStr">
        <is>
          <t>Dividendo 2022</t>
        </is>
      </c>
    </row>
    <row r="160">
      <c r="A160" s="23" t="n">
        <v>43434</v>
      </c>
      <c r="B160" s="25" t="n">
        <v>18319.31</v>
      </c>
      <c r="C160" s="30">
        <f>+(B160/B159-1)/(A160-A159)*30</f>
        <v/>
      </c>
      <c r="D160" s="25" t="n">
        <v>167.2516739492055</v>
      </c>
      <c r="F160" s="23" t="n">
        <v>43434</v>
      </c>
      <c r="G160" s="109" t="n">
        <v>1003.4478</v>
      </c>
      <c r="H160" s="109">
        <f>+G160+$S$148+$S$150</f>
        <v/>
      </c>
      <c r="I160" s="30">
        <f>+(((H160)/H159)-1)/(F160-F159)*30</f>
        <v/>
      </c>
      <c r="J160" s="24">
        <f>+J159*(1+I160)</f>
        <v/>
      </c>
      <c r="K160" s="9" t="n">
        <v>4812.5415</v>
      </c>
      <c r="L160" s="30">
        <f>+(K160/K159-1)/(F160-F159)*30</f>
        <v/>
      </c>
      <c r="M160" s="25">
        <f>+M159*(1+L160)</f>
        <v/>
      </c>
      <c r="S160" s="9" t="n">
        <v>22.06361800996264</v>
      </c>
      <c r="AR160" s="58" t="n"/>
    </row>
    <row r="161">
      <c r="A161" s="23" t="n">
        <v>43465</v>
      </c>
      <c r="B161" s="9" t="n">
        <v>18362.684</v>
      </c>
      <c r="C161" s="30">
        <f>+(B161/B160-1)/(A161-A160)*30</f>
        <v/>
      </c>
      <c r="D161" s="25" t="n">
        <v>167.6476699832195</v>
      </c>
      <c r="F161" s="23" t="n">
        <v>43465</v>
      </c>
      <c r="G161" s="109" t="n">
        <v>999.1143</v>
      </c>
      <c r="H161" s="109">
        <f>+G161+$S$148+$S$150+$S$152</f>
        <v/>
      </c>
      <c r="I161" s="30">
        <f>+(((H161)/H160)-1)/(F161-F160)*30</f>
        <v/>
      </c>
      <c r="J161" s="24">
        <f>+J160*(1+I161)</f>
        <v/>
      </c>
      <c r="K161" s="109" t="n">
        <v>4819.2415</v>
      </c>
      <c r="L161" s="30">
        <f>+(K161/K160-1)/(F161-F160)*30</f>
        <v/>
      </c>
      <c r="M161" s="25">
        <f>+M160*(1+L161)</f>
        <v/>
      </c>
      <c r="S161" s="9" t="inlineStr">
        <is>
          <t>Dividendo 2023</t>
        </is>
      </c>
    </row>
    <row r="162">
      <c r="A162" s="23" t="n">
        <v>43496</v>
      </c>
      <c r="B162" s="24" t="n">
        <v>18407.69</v>
      </c>
      <c r="C162" s="30">
        <f>+(B162/B161-1)/(A162-A161)*30</f>
        <v/>
      </c>
      <c r="D162" s="25" t="n">
        <v>168.0585658541752</v>
      </c>
      <c r="F162" s="23" t="n">
        <v>43496</v>
      </c>
      <c r="G162" s="109" t="n">
        <v>1000.934</v>
      </c>
      <c r="H162" s="109">
        <f>+G162+$S$148+$S$150+$S$152</f>
        <v/>
      </c>
      <c r="I162" s="30">
        <f>+(((H162)/H161)-1)/(F162-F161)*30</f>
        <v/>
      </c>
      <c r="J162" s="24">
        <f>+J161*(1+I162)</f>
        <v/>
      </c>
      <c r="K162" s="9" t="n">
        <v>4825.82</v>
      </c>
      <c r="L162" s="30">
        <f>+(K162/K161-1)/(F162-F161)*30</f>
        <v/>
      </c>
      <c r="M162" s="25">
        <f>+M161*(1+L162)</f>
        <v/>
      </c>
      <c r="S162" s="9" t="n">
        <v>48.17615370829207</v>
      </c>
    </row>
    <row r="163">
      <c r="A163" s="23" t="n">
        <v>43524</v>
      </c>
      <c r="B163" s="24" t="n">
        <v>18449.16</v>
      </c>
      <c r="C163" s="30">
        <f>+(B163/B162-1)/(A163-A162)*30</f>
        <v/>
      </c>
      <c r="D163" s="25" t="n">
        <v>168.4371787450904</v>
      </c>
      <c r="F163" s="23" t="n">
        <v>43524</v>
      </c>
      <c r="G163" s="109" t="n">
        <v>1002.5698</v>
      </c>
      <c r="H163" s="109">
        <f>+G163+$S$148+$S$150+$S$152</f>
        <v/>
      </c>
      <c r="I163" s="30">
        <f>+(((H163)/H162)-1)/(F163-F162)*30</f>
        <v/>
      </c>
      <c r="J163" s="24">
        <f>+J162*(1+I163)</f>
        <v/>
      </c>
      <c r="K163" s="9" t="n">
        <v>4832.1058</v>
      </c>
      <c r="L163" s="30">
        <f>+(K163/K162-1)/(F163-F162)*30</f>
        <v/>
      </c>
      <c r="M163" s="25">
        <f>+M162*(1+L163)</f>
        <v/>
      </c>
    </row>
    <row r="164">
      <c r="A164" s="23" t="n">
        <v>43555</v>
      </c>
      <c r="B164" s="9" t="n">
        <v>18496.82</v>
      </c>
      <c r="C164" s="30">
        <f>+(B164/B163-1)/(A164-A163)*30</f>
        <v/>
      </c>
      <c r="D164" s="25" t="n">
        <v>168.8723051106806</v>
      </c>
      <c r="F164" s="23" t="n">
        <v>43555</v>
      </c>
      <c r="G164" s="109" t="n">
        <v>1004.4911</v>
      </c>
      <c r="H164" s="109">
        <f>+G164+$S$148+$S$150+$S$152</f>
        <v/>
      </c>
      <c r="I164" s="30">
        <f>+(((H164)/H163)-1)/(F164-F163)*30</f>
        <v/>
      </c>
      <c r="J164" s="24">
        <f>+J163*(1+I164)</f>
        <v/>
      </c>
      <c r="K164" s="9" t="n">
        <v>4839.1073</v>
      </c>
      <c r="L164" s="30">
        <f>+(K164/K163-1)/(F164-F163)*30</f>
        <v/>
      </c>
      <c r="M164" s="25">
        <f>+M163*(1+L164)</f>
        <v/>
      </c>
    </row>
    <row r="165">
      <c r="A165" s="23" t="n">
        <v>43585</v>
      </c>
      <c r="B165" s="24" t="n">
        <v>18543.07</v>
      </c>
      <c r="C165" s="30">
        <f>+(B165/B164-1)/(A165-A164)*30</f>
        <v/>
      </c>
      <c r="D165" s="25" t="n">
        <v>169.2945584553836</v>
      </c>
      <c r="F165" s="23" t="n">
        <v>43585</v>
      </c>
      <c r="G165" s="109" t="n">
        <v>1006.3879</v>
      </c>
      <c r="H165" s="109">
        <f>+G165+$S$148+$S$150+$S$152</f>
        <v/>
      </c>
      <c r="I165" s="30">
        <f>+(((H165)/H164)-1)/(F165-F164)*30</f>
        <v/>
      </c>
      <c r="J165" s="24">
        <f>+J164*(1+I165)</f>
        <v/>
      </c>
      <c r="K165" s="9" t="n">
        <v>4845.9628</v>
      </c>
      <c r="L165" s="30">
        <f>+(K165/K164-1)/(F165-F164)*30</f>
        <v/>
      </c>
      <c r="M165" s="25">
        <f>+M164*(1+L165)</f>
        <v/>
      </c>
    </row>
    <row r="166">
      <c r="A166" s="23" t="n">
        <v>43616</v>
      </c>
      <c r="B166" s="25" t="n">
        <v>18591.02</v>
      </c>
      <c r="C166" s="30">
        <f>+(B166/B165-1)/(A166-A165)*30</f>
        <v/>
      </c>
      <c r="D166" s="25" t="n">
        <v>170.294558455384</v>
      </c>
      <c r="F166" s="23" t="n">
        <v>43616</v>
      </c>
      <c r="G166" s="109" t="n">
        <v>1008.6104</v>
      </c>
      <c r="H166" s="109">
        <f>+G166+$S$148+$S$150+$S$152</f>
        <v/>
      </c>
      <c r="I166" s="30">
        <f>+(((H166)/H165)-1)/(F166-F165)*30</f>
        <v/>
      </c>
      <c r="J166" s="24">
        <f>+J165*(1+I166)</f>
        <v/>
      </c>
      <c r="K166" s="9" t="n">
        <v>4852.5891</v>
      </c>
      <c r="L166" s="30">
        <f>+(K166/K165-1)/(F166-F165)*30</f>
        <v/>
      </c>
      <c r="M166" s="25">
        <f>+M165*(1+L166)</f>
        <v/>
      </c>
    </row>
    <row r="167">
      <c r="A167" s="23" t="n">
        <v>43646</v>
      </c>
      <c r="B167" s="25" t="n">
        <v>18632.31</v>
      </c>
      <c r="C167" s="30">
        <f>+(B167/B166-1)/(A167-A166)*30</f>
        <v/>
      </c>
      <c r="D167" s="25" t="n">
        <v>171.294558455384</v>
      </c>
      <c r="F167" s="23" t="n">
        <v>43646</v>
      </c>
      <c r="G167" s="109" t="n">
        <v>1010.6366</v>
      </c>
      <c r="H167" s="109">
        <f>+G167+$S$148+$S$150+$S$152</f>
        <v/>
      </c>
      <c r="I167" s="30">
        <f>+(((H167)/H166)-1)/(F167-F166)*30</f>
        <v/>
      </c>
      <c r="J167" s="24">
        <f>+J166*(1+I167)</f>
        <v/>
      </c>
      <c r="K167" s="9" t="n">
        <v>4858.4077</v>
      </c>
      <c r="L167" s="30">
        <f>+(K167/K166-1)/(F167-F166)*30</f>
        <v/>
      </c>
      <c r="M167" s="25">
        <f>+M166*(1+L167)</f>
        <v/>
      </c>
    </row>
    <row r="168">
      <c r="A168" s="23" t="n">
        <v>43677</v>
      </c>
      <c r="B168" s="25" t="n">
        <v>18672.31</v>
      </c>
      <c r="C168" s="30">
        <f>+(B168/B167-1)/(A168-A167)*30</f>
        <v/>
      </c>
      <c r="D168" s="25" t="n">
        <v>172.294558455384</v>
      </c>
      <c r="F168" s="23" t="n">
        <v>43677</v>
      </c>
      <c r="G168" s="109" t="n">
        <v>1012.7391</v>
      </c>
      <c r="H168" s="109">
        <f>+G168+$S$148+$S$150+$S$152</f>
        <v/>
      </c>
      <c r="I168" s="30">
        <f>+(((H168)/H167)-1)/(F168-F167)*30</f>
        <v/>
      </c>
      <c r="J168" s="24">
        <f>+J167*(1+I168)</f>
        <v/>
      </c>
      <c r="K168" s="9" t="n">
        <v>4863.4466</v>
      </c>
      <c r="L168" s="30">
        <f>+(K168/K167-1)/(F168-F167)*30</f>
        <v/>
      </c>
      <c r="M168" s="25">
        <f>+M167*(1+L168)</f>
        <v/>
      </c>
    </row>
    <row r="169">
      <c r="A169" s="23" t="n">
        <v>43708</v>
      </c>
      <c r="B169" s="25" t="n">
        <v>18712.55</v>
      </c>
      <c r="C169" s="30">
        <f>+(B169/B168-1)/(A169-A168)*30</f>
        <v/>
      </c>
      <c r="D169" s="25" t="n">
        <v>173.294558455384</v>
      </c>
      <c r="F169" s="23" t="n">
        <v>43708</v>
      </c>
      <c r="G169" s="109" t="n">
        <v>1014.6376</v>
      </c>
      <c r="H169" s="109">
        <f>+G169+$S$148+$S$150+$S$152</f>
        <v/>
      </c>
      <c r="I169" s="30">
        <f>+(((H169)/H168)-1)/(F169-F168)*30</f>
        <v/>
      </c>
      <c r="J169" s="24">
        <f>+J168*(1+I169)</f>
        <v/>
      </c>
      <c r="K169" s="9" t="n">
        <v>4868.1253</v>
      </c>
      <c r="L169" s="30">
        <f>+(K169/K168-1)/(F169-F168)*30</f>
        <v/>
      </c>
      <c r="M169" s="25">
        <f>+M168*(1+L169)</f>
        <v/>
      </c>
    </row>
    <row r="170">
      <c r="A170" s="23" t="n">
        <v>43738</v>
      </c>
      <c r="B170" s="25" t="n">
        <v>18744.77</v>
      </c>
      <c r="C170" s="30">
        <f>+(B170/B169-1)/(A170-A169)*30</f>
        <v/>
      </c>
      <c r="D170" s="25" t="n">
        <v>174.294558455384</v>
      </c>
      <c r="F170" s="23" t="n">
        <v>43738</v>
      </c>
      <c r="G170" s="109" t="n">
        <v>1015.7879</v>
      </c>
      <c r="H170" s="109">
        <f>+G170+$S$148+$S$150+$S$152</f>
        <v/>
      </c>
      <c r="I170" s="30">
        <f>+(((H170)/H169)-1)/(F170-F169)*30</f>
        <v/>
      </c>
      <c r="J170" s="24">
        <f>+J169*(1+I170)</f>
        <v/>
      </c>
      <c r="K170" s="9" t="n">
        <v>4873.326</v>
      </c>
      <c r="L170" s="30">
        <f>+(K170/K169-1)/(F170-F169)*30</f>
        <v/>
      </c>
      <c r="M170" s="25">
        <f>+M169*(1+L170)</f>
        <v/>
      </c>
      <c r="AD170" s="58" t="n"/>
      <c r="AE170" s="58" t="n"/>
      <c r="AF170" s="58" t="n"/>
      <c r="AG170" s="58" t="n"/>
      <c r="AH170" s="58" t="n"/>
      <c r="AI170" s="58" t="n"/>
      <c r="AJ170" s="58" t="n"/>
      <c r="AK170" s="58" t="n"/>
      <c r="AL170" s="58" t="n"/>
      <c r="AM170" s="58" t="n"/>
      <c r="AN170" s="58" t="n"/>
      <c r="AO170" s="58" t="n"/>
      <c r="AP170" s="58" t="n"/>
      <c r="AQ170" s="58" t="n"/>
    </row>
    <row r="171">
      <c r="A171" s="23" t="n">
        <v>43769</v>
      </c>
      <c r="B171" s="25" t="n">
        <v>18776.102</v>
      </c>
      <c r="C171" s="30">
        <f>+(B171/B170-1)/(A171-A170)*30</f>
        <v/>
      </c>
      <c r="D171" s="25" t="n">
        <v>175.294558455384</v>
      </c>
      <c r="F171" s="23" t="n">
        <v>43769</v>
      </c>
      <c r="G171" s="109" t="n">
        <v>1016.7882</v>
      </c>
      <c r="H171" s="109">
        <f>+G171+$S$148+$S$150+$S$152</f>
        <v/>
      </c>
      <c r="I171" s="30">
        <f>+(((H171)/H170)-1)/(F171-F170)*30</f>
        <v/>
      </c>
      <c r="J171" s="24">
        <f>+J170*(1+I171)</f>
        <v/>
      </c>
      <c r="K171" s="9" t="n">
        <v>4876.4951</v>
      </c>
      <c r="L171" s="30">
        <f>+(K171/K170-1)/(F171-F170)*30</f>
        <v/>
      </c>
      <c r="M171" s="25">
        <f>+M170*(1+L171)</f>
        <v/>
      </c>
    </row>
    <row r="172">
      <c r="A172" s="23" t="n">
        <v>43799</v>
      </c>
      <c r="B172" s="25" t="n">
        <v>18802.79</v>
      </c>
      <c r="C172" s="30">
        <f>+(B172/B171-1)/(A172-A171)*30</f>
        <v/>
      </c>
      <c r="D172" s="25" t="n">
        <v>176.294558455384</v>
      </c>
      <c r="F172" s="23" t="n">
        <v>43799</v>
      </c>
      <c r="G172" s="109" t="n">
        <v>1017.7129</v>
      </c>
      <c r="H172" s="109">
        <f>+G172+$S$148+$S$150+$S$152</f>
        <v/>
      </c>
      <c r="I172" s="30">
        <f>+(((H172)/H171)-1)/(F172-F171)*30</f>
        <v/>
      </c>
      <c r="J172" s="24">
        <f>+J171*(1+I172)</f>
        <v/>
      </c>
      <c r="K172" s="9" t="n">
        <v>4879.8683</v>
      </c>
      <c r="L172" s="30">
        <f>+(K172/K171-1)/(F172-F171)*30</f>
        <v/>
      </c>
      <c r="M172" s="25">
        <f>+M171*(1+L172)</f>
        <v/>
      </c>
    </row>
    <row r="173">
      <c r="A173" s="23" t="n">
        <v>43830</v>
      </c>
      <c r="B173" s="25" t="n">
        <v>18830.68</v>
      </c>
      <c r="C173" s="30">
        <f>+(B173/B172-1)/(A173-A172)*30</f>
        <v/>
      </c>
      <c r="D173" s="25" t="n">
        <v>177.294558455384</v>
      </c>
      <c r="F173" s="23" t="n">
        <v>43830</v>
      </c>
      <c r="G173" s="109" t="n">
        <v>1019.1175</v>
      </c>
      <c r="H173" s="109">
        <f>+G173+$S$148+$S$150+$S$152</f>
        <v/>
      </c>
      <c r="I173" s="30">
        <f>+(((H173)/H172)-1)/(F173-F172)*30</f>
        <v/>
      </c>
      <c r="J173" s="24">
        <f>+J172*(1+I173)</f>
        <v/>
      </c>
      <c r="K173" s="9" t="n">
        <v>4882.8959</v>
      </c>
      <c r="L173" s="30">
        <f>+(K173/K172-1)/(F173-F172)*30</f>
        <v/>
      </c>
      <c r="M173" s="25">
        <f>+M172*(1+L173)</f>
        <v/>
      </c>
    </row>
    <row r="174">
      <c r="A174" s="23" t="n">
        <v>43861</v>
      </c>
      <c r="B174" s="25" t="n">
        <v>18861.86</v>
      </c>
      <c r="C174" s="30">
        <f>+(B174/B173-1)/(A174-A173)*30</f>
        <v/>
      </c>
      <c r="D174" s="25" t="n">
        <v>178.294558455384</v>
      </c>
      <c r="F174" s="23" t="n">
        <v>43861</v>
      </c>
      <c r="G174" s="109" t="n">
        <v>992.0631</v>
      </c>
      <c r="H174" s="109">
        <f>+G174+$S$148+$S$150+$S$152+$S$154</f>
        <v/>
      </c>
      <c r="I174" s="30">
        <f>+(((H174)/H173)-1)/(F174-F173)*30</f>
        <v/>
      </c>
      <c r="J174" s="24">
        <f>+J173*(1+I174)</f>
        <v/>
      </c>
      <c r="K174" s="9" t="n">
        <v>4885.3887</v>
      </c>
      <c r="L174" s="30">
        <f>+(K174/K173-1)/(F174-F173)*30</f>
        <v/>
      </c>
      <c r="M174" s="25">
        <f>+M173*(1+L174)</f>
        <v/>
      </c>
    </row>
    <row r="175">
      <c r="A175" s="23" t="n">
        <v>43890</v>
      </c>
      <c r="B175" s="25" t="n">
        <v>18887.8867</v>
      </c>
      <c r="C175" s="30">
        <f>+(B175/B174-1)/(A175-A174)*30</f>
        <v/>
      </c>
      <c r="D175" s="25" t="n">
        <v>179.294558455384</v>
      </c>
      <c r="F175" s="23" t="n">
        <v>43890</v>
      </c>
      <c r="G175" s="109" t="n">
        <v>992.6886</v>
      </c>
      <c r="H175" s="109">
        <f>+G175+$S$148+$S$150+$S$152+$S$154</f>
        <v/>
      </c>
      <c r="I175" s="30">
        <f>+(((H175)/H174)-1)/(F175-F174)*30</f>
        <v/>
      </c>
      <c r="J175" s="24">
        <f>+J174*(1+I175)</f>
        <v/>
      </c>
      <c r="K175" s="9" t="n">
        <v>4887.7164</v>
      </c>
      <c r="L175" s="30">
        <f>+(K175/K174-1)/(F175-F174)*30</f>
        <v/>
      </c>
      <c r="M175" s="25">
        <f>+M174*(1+L175)</f>
        <v/>
      </c>
    </row>
    <row r="176">
      <c r="A176" s="23" t="n">
        <v>43921</v>
      </c>
      <c r="B176" s="25" t="n">
        <v>18908.77</v>
      </c>
      <c r="C176" s="30">
        <f>+(B176/B175-1)/(A176-A175)*30</f>
        <v/>
      </c>
      <c r="D176" s="25" t="n">
        <v>180.294558455384</v>
      </c>
      <c r="F176" s="23" t="n">
        <v>43921</v>
      </c>
      <c r="G176" s="109" t="n">
        <v>993.4147</v>
      </c>
      <c r="H176" s="109">
        <f>+G176+$S$148+$S$150+$S$152+$S$154</f>
        <v/>
      </c>
      <c r="I176" s="30">
        <f>+(((H176)/H175)-1)/(F176-F175)*30</f>
        <v/>
      </c>
      <c r="J176" s="24">
        <f>+J175*(1+I176)</f>
        <v/>
      </c>
      <c r="K176" s="9" t="n">
        <v>4892.3528</v>
      </c>
      <c r="L176" s="30">
        <f>+(K176/K175-1)/(F176-F175)*30</f>
        <v/>
      </c>
      <c r="M176" s="25">
        <f>+M175*(1+L176)</f>
        <v/>
      </c>
    </row>
    <row r="177">
      <c r="A177" s="23" t="n">
        <v>43951</v>
      </c>
      <c r="B177" s="25" t="n">
        <v>18917.93</v>
      </c>
      <c r="C177" s="30">
        <f>+(B177/B176-1)/(A177-A176)*30</f>
        <v/>
      </c>
      <c r="D177" s="25" t="n">
        <v>181.294558455384</v>
      </c>
      <c r="F177" s="23" t="n">
        <v>43951</v>
      </c>
      <c r="G177" s="109" t="n">
        <v>994.8234</v>
      </c>
      <c r="H177" s="109">
        <f>+G177+$S$148+$S$150+$S$152+$S$154</f>
        <v/>
      </c>
      <c r="I177" s="30">
        <f>+(((H177)/H176)-1)/(F177-F176)*30</f>
        <v/>
      </c>
      <c r="J177" s="24">
        <f>+J176*(1+I177)</f>
        <v/>
      </c>
      <c r="K177" s="9" t="n">
        <v>4903.1164</v>
      </c>
      <c r="L177" s="30">
        <f>+(K177/K176-1)/(F177-F176)*30</f>
        <v/>
      </c>
      <c r="M177" s="25">
        <f>+M176*(1+L177)</f>
        <v/>
      </c>
    </row>
    <row r="178">
      <c r="A178" s="23" t="n">
        <v>43982</v>
      </c>
      <c r="B178" s="25" t="n">
        <v>18925.24</v>
      </c>
      <c r="C178" s="30">
        <f>+(B178/B177-1)/(A178-A177)*30</f>
        <v/>
      </c>
      <c r="D178" s="25" t="n">
        <v>182.294558455384</v>
      </c>
      <c r="F178" s="23" t="n">
        <v>43982</v>
      </c>
      <c r="G178" s="109" t="n">
        <v>996.2273</v>
      </c>
      <c r="H178" s="109">
        <f>+G178+$S$148+$S$150+$S$152+$S$154</f>
        <v/>
      </c>
      <c r="I178" s="30">
        <f>+(((H178)/H177)-1)/(F178-F177)*30</f>
        <v/>
      </c>
      <c r="J178" s="24">
        <f>+J177*(1+I178)</f>
        <v/>
      </c>
      <c r="K178" s="9" t="n">
        <v>4903.90225</v>
      </c>
      <c r="L178" s="30">
        <f>+(K178/K177-1)/(F178-F177)*30</f>
        <v/>
      </c>
      <c r="M178" s="25">
        <f>+M177*(1+L178)</f>
        <v/>
      </c>
    </row>
    <row r="179">
      <c r="A179" s="23" t="n">
        <v>44012</v>
      </c>
      <c r="B179" s="25" t="n">
        <v>18932.63</v>
      </c>
      <c r="C179" s="30">
        <f>+(B179/B178-1)/(A179-A178)*30</f>
        <v/>
      </c>
      <c r="D179" s="25" t="n">
        <v>183.294558455384</v>
      </c>
      <c r="F179" s="23" t="n">
        <v>44012</v>
      </c>
      <c r="G179" s="109" t="n">
        <v>997.5395</v>
      </c>
      <c r="H179" s="109">
        <f>+G179+$S$148+$S$150+$S$152+$S$154</f>
        <v/>
      </c>
      <c r="I179" s="30">
        <f>+(((H179)/H178)-1)/(F179-F178)*30</f>
        <v/>
      </c>
      <c r="J179" s="24">
        <f>+J178*(1+I179)</f>
        <v/>
      </c>
      <c r="K179" s="9" t="n">
        <v>4904.6881</v>
      </c>
      <c r="L179" s="30">
        <f>+(K179/K178-1)/(F179-F178)*30</f>
        <v/>
      </c>
      <c r="M179" s="25">
        <f>+M178*(1+L179)</f>
        <v/>
      </c>
    </row>
    <row r="180">
      <c r="A180" s="23" t="n">
        <v>44043</v>
      </c>
      <c r="B180" s="25" t="n">
        <v>18940.74</v>
      </c>
      <c r="C180" s="30">
        <f>+(B180/B179-1)/(A180-A179)*30</f>
        <v/>
      </c>
      <c r="D180" s="25" t="n">
        <v>184.294558455384</v>
      </c>
      <c r="F180" s="23" t="n">
        <v>44043</v>
      </c>
      <c r="G180" s="109" t="n">
        <v>998.7494</v>
      </c>
      <c r="H180" s="109">
        <f>+G180+$S$148+$S$150+$S$152+$S$154</f>
        <v/>
      </c>
      <c r="I180" s="30">
        <f>+(((H180)/H179)-1)/(F180-F179)*30</f>
        <v/>
      </c>
      <c r="J180" s="24">
        <f>+J179*(1+I180)</f>
        <v/>
      </c>
      <c r="K180" s="9" t="n">
        <v>4905.1791</v>
      </c>
      <c r="L180" s="30">
        <f>+(K180/K179-1)/(F180-F179)*30</f>
        <v/>
      </c>
      <c r="M180" s="25">
        <f>+M179*(1+L180)</f>
        <v/>
      </c>
    </row>
    <row r="181">
      <c r="A181" s="23" t="n">
        <v>44074</v>
      </c>
      <c r="B181" s="25" t="n">
        <v>18948.69</v>
      </c>
      <c r="C181" s="30">
        <f>+(B181/B180-1)/(A181-A180)*30</f>
        <v/>
      </c>
      <c r="D181" s="25" t="n">
        <v>185.294558455384</v>
      </c>
      <c r="F181" s="23" t="n">
        <v>44074</v>
      </c>
      <c r="G181" s="109" t="n">
        <v>999.9732</v>
      </c>
      <c r="H181" s="109">
        <f>+G181+$S$148+$S$150+$S$152+$S$154</f>
        <v/>
      </c>
      <c r="I181" s="30">
        <f>+(((H181)/H180)-1)/(F181-F180)*30</f>
        <v/>
      </c>
      <c r="J181" s="24">
        <f>+J180*(1+I181)</f>
        <v/>
      </c>
      <c r="K181" s="9" t="n">
        <v>4906.1183</v>
      </c>
      <c r="L181" s="30">
        <f>+(K181/K180-1)/(F181-F180)*30</f>
        <v/>
      </c>
      <c r="M181" s="25">
        <f>+M180*(1+L181)</f>
        <v/>
      </c>
    </row>
    <row r="182">
      <c r="A182" s="23" t="n">
        <v>44104</v>
      </c>
      <c r="B182" s="25" t="n">
        <v>18956.17</v>
      </c>
      <c r="C182" s="30">
        <f>+(B182/B181-1)/(A182-A181)*30</f>
        <v/>
      </c>
      <c r="D182" s="25" t="n">
        <v>186.294558455384</v>
      </c>
      <c r="F182" s="23" t="n">
        <v>44104</v>
      </c>
      <c r="G182" s="109" t="n">
        <v>1001.0974</v>
      </c>
      <c r="H182" s="109">
        <f>+G182+$S$148+$S$150+$S$152+$S$154</f>
        <v/>
      </c>
      <c r="I182" s="30">
        <f>+(((H182)/H181)-1)/(F182-F181)*30</f>
        <v/>
      </c>
      <c r="J182" s="24">
        <f>+J181*(1+I182)</f>
        <v/>
      </c>
      <c r="K182" s="9" t="n">
        <v>4906.466</v>
      </c>
      <c r="L182" s="30">
        <f>+(K182/K181-1)/(F182-F181)*30</f>
        <v/>
      </c>
      <c r="M182" s="25">
        <f>+M181*(1+L182)</f>
        <v/>
      </c>
    </row>
    <row r="183">
      <c r="A183" s="23" t="n">
        <v>44135</v>
      </c>
      <c r="B183" s="25" t="n">
        <v>18963.23</v>
      </c>
      <c r="C183" s="30">
        <f>+(B183/B182-1)/(A183-A182)*30</f>
        <v/>
      </c>
      <c r="D183" s="25" t="n">
        <v>186.294558455384</v>
      </c>
      <c r="F183" s="23" t="n">
        <v>44135</v>
      </c>
      <c r="G183" s="109" t="n">
        <v>1002.3697</v>
      </c>
      <c r="H183" s="109">
        <f>+G183+$S$148+$S$150+$S$152+$S$154</f>
        <v/>
      </c>
      <c r="I183" s="30">
        <f>+(((H183)/H182)-1)/(F183-F182)*30</f>
        <v/>
      </c>
      <c r="J183" s="24">
        <f>+J182*(1+I183)</f>
        <v/>
      </c>
      <c r="K183" s="9" t="n">
        <v>4906.7963</v>
      </c>
      <c r="L183" s="30">
        <f>+(K183/K182-1)/(F183-F182)*30</f>
        <v/>
      </c>
      <c r="M183" s="25">
        <f>+M182*(1+L183)</f>
        <v/>
      </c>
    </row>
    <row r="184">
      <c r="A184" s="23" t="n">
        <v>44165</v>
      </c>
      <c r="B184" s="25" t="n">
        <v>18969.48</v>
      </c>
      <c r="C184" s="30">
        <f>+(B184/B183-1)/(A184-A183)*30</f>
        <v/>
      </c>
      <c r="D184" s="25" t="n">
        <v>186.294558455384</v>
      </c>
      <c r="F184" s="23" t="n">
        <v>44165</v>
      </c>
      <c r="G184" s="109" t="n">
        <v>1003.534</v>
      </c>
      <c r="H184" s="109">
        <f>+G184+$S$148+$S$150+$S$152+$S$154</f>
        <v/>
      </c>
      <c r="I184" s="30">
        <f>+(((H184)/H183)-1)/(F184-F183)*30</f>
        <v/>
      </c>
      <c r="J184" s="24">
        <f>+J183*(1+I184)</f>
        <v/>
      </c>
      <c r="K184" s="9" t="n">
        <v>4907.0953</v>
      </c>
      <c r="L184" s="30">
        <f>+(K184/K183-1)/(F184-F183)*30</f>
        <v/>
      </c>
      <c r="M184" s="25">
        <f>+M183*(1+L184)</f>
        <v/>
      </c>
    </row>
    <row r="185">
      <c r="A185" s="23" t="n">
        <v>44196</v>
      </c>
      <c r="B185" s="25" t="n">
        <v>18976.88</v>
      </c>
      <c r="C185" s="30">
        <f>+(B185/B184-1)/(A185-A184)*30</f>
        <v/>
      </c>
      <c r="D185" s="25" t="n">
        <v>186.294558455384</v>
      </c>
      <c r="F185" s="23" t="n">
        <v>44196</v>
      </c>
      <c r="G185" s="109" t="n">
        <v>1001.6751</v>
      </c>
      <c r="H185" s="109">
        <f>+G185+$S$148+$S$150+$S$152+$S$154+$S$156</f>
        <v/>
      </c>
      <c r="I185" s="30">
        <f>+(((H185)/H184)-1)/(F185-F184)*30</f>
        <v/>
      </c>
      <c r="J185" s="24">
        <f>+J184*(1+I185)</f>
        <v/>
      </c>
      <c r="K185" s="9" t="n">
        <v>4907.3928</v>
      </c>
      <c r="L185" s="30">
        <f>+(K185/K184-1)/(F185-F184)*30</f>
        <v/>
      </c>
      <c r="M185" s="25">
        <f>+M184*(1+L185)</f>
        <v/>
      </c>
    </row>
    <row r="186">
      <c r="A186" s="23" t="n">
        <v>44227</v>
      </c>
      <c r="B186" s="25" t="n">
        <v>18982.04</v>
      </c>
      <c r="C186" s="30">
        <f>+(B186/B185-1)/(A186-A185)*30</f>
        <v/>
      </c>
      <c r="D186" s="25" t="n">
        <v>186.294558455384</v>
      </c>
      <c r="F186" s="23" t="n">
        <v>44227</v>
      </c>
      <c r="G186" s="109" t="n">
        <v>1002.6126</v>
      </c>
      <c r="H186" s="109">
        <f>+G186+$S$148+$S$150+$S$152+$S$154+$S$156</f>
        <v/>
      </c>
      <c r="I186" s="30">
        <f>+(((H186)/H185)-1)/(F186-F185)*30</f>
        <v/>
      </c>
      <c r="J186" s="24">
        <f>+J185*(1+I186)</f>
        <v/>
      </c>
      <c r="K186" s="9" t="n">
        <v>4907.6377</v>
      </c>
      <c r="L186" s="30">
        <f>+(K186/K185-1)/(F186-F185)*30</f>
        <v/>
      </c>
      <c r="M186" s="25">
        <f>+M185*(1+L186)</f>
        <v/>
      </c>
    </row>
    <row r="187">
      <c r="A187" s="23" t="n">
        <v>44255</v>
      </c>
      <c r="B187" s="25" t="n">
        <v>18986.58</v>
      </c>
      <c r="C187" s="30">
        <f>+(B187/B186-1)/(A187-A186)*30</f>
        <v/>
      </c>
      <c r="D187" s="25" t="n">
        <v>186.294558455384</v>
      </c>
      <c r="F187" s="23" t="n">
        <v>44255</v>
      </c>
      <c r="G187" s="109" t="n">
        <v>1003.4595</v>
      </c>
      <c r="H187" s="109">
        <f>+G187+$S$148+$S$150+$S$152+$S$154+$S$156</f>
        <v/>
      </c>
      <c r="I187" s="30">
        <f>+(((H187)/H186)-1)/(F187-F186)*30</f>
        <v/>
      </c>
      <c r="J187" s="24">
        <f>+J186*(1+I187)</f>
        <v/>
      </c>
      <c r="K187" s="9" t="n">
        <v>4907.9052</v>
      </c>
      <c r="L187" s="30">
        <f>+(K187/K186-1)/(F187-F186)*30</f>
        <v/>
      </c>
      <c r="M187" s="25">
        <f>+M186*(1+L187)</f>
        <v/>
      </c>
    </row>
    <row r="188">
      <c r="A188" s="23" t="n">
        <v>44286</v>
      </c>
      <c r="B188" s="25" t="n">
        <v>18991.5</v>
      </c>
      <c r="C188" s="30">
        <f>+(B188/B187-1)/(A188-A187)*30</f>
        <v/>
      </c>
      <c r="D188" s="25" t="n">
        <v>186.294558455384</v>
      </c>
      <c r="F188" s="23" t="n">
        <v>44286</v>
      </c>
      <c r="G188" s="109" t="n">
        <v>1003.7036</v>
      </c>
      <c r="H188" s="109">
        <f>+G188+$S$148+$S$150+$S$152+$S$154+$S$156</f>
        <v/>
      </c>
      <c r="I188" s="30">
        <f>+(((H188)/H187)-1)/(F188-F187)*30</f>
        <v/>
      </c>
      <c r="J188" s="24">
        <f>+J187*(1+I188)</f>
        <v/>
      </c>
      <c r="K188" s="117" t="n">
        <v>4908.1704</v>
      </c>
      <c r="L188" s="30">
        <f>+(K188/K187-1)/(F188-F187)*30</f>
        <v/>
      </c>
      <c r="M188" s="25">
        <f>+M187*(1+L188)</f>
        <v/>
      </c>
    </row>
    <row r="189">
      <c r="A189" s="23" t="n">
        <v>44316</v>
      </c>
      <c r="B189" s="9" t="n">
        <v>18997.09</v>
      </c>
      <c r="C189" s="30">
        <f>+(B189/B188-1)/(A189-A188)*30</f>
        <v/>
      </c>
      <c r="D189" s="25" t="n">
        <v>186.294558455384</v>
      </c>
      <c r="F189" s="23" t="n">
        <v>44316</v>
      </c>
      <c r="G189" s="109" t="n">
        <v>1003.9288</v>
      </c>
      <c r="H189" s="109">
        <f>+G189+$S$148+$S$150+$S$152+$S$154+$S$156</f>
        <v/>
      </c>
      <c r="I189" s="30">
        <f>+(((H189)/H188)-1)/(F189-F188)*30</f>
        <v/>
      </c>
      <c r="J189" s="24">
        <f>+J188*(1+I189)</f>
        <v/>
      </c>
      <c r="K189" s="24" t="n">
        <v>4908.4956</v>
      </c>
      <c r="L189" s="30">
        <f>+(K189/K188-1)/(F189-F188)*30</f>
        <v/>
      </c>
      <c r="M189" s="25">
        <f>+M188*(1+L189)</f>
        <v/>
      </c>
    </row>
    <row r="190">
      <c r="A190" s="23" t="n">
        <v>44347</v>
      </c>
      <c r="B190" s="9" t="n">
        <v>19001.7</v>
      </c>
      <c r="C190" s="30">
        <f>+(B190/B189-1)/(A190-A189)*30</f>
        <v/>
      </c>
      <c r="D190" s="25" t="n">
        <v>186.294558455384</v>
      </c>
      <c r="F190" s="23" t="n">
        <v>44347</v>
      </c>
      <c r="G190" s="109" t="n">
        <v>1005.2505</v>
      </c>
      <c r="H190" s="109">
        <f>+G190+$S$148+$S$150+$S$152+$S$154+$S$156</f>
        <v/>
      </c>
      <c r="I190" s="30">
        <f>+(((H190)/H189)-1)/(F190-F189)*30</f>
        <v/>
      </c>
      <c r="J190" s="24">
        <f>+J189*(1+I190)</f>
        <v/>
      </c>
      <c r="K190" s="24" t="n">
        <v>4908.7905</v>
      </c>
      <c r="L190" s="30">
        <f>+(K190/K189-1)/(F190-F189)*30</f>
        <v/>
      </c>
      <c r="M190" s="25">
        <f>+M189*(1+L190)</f>
        <v/>
      </c>
    </row>
    <row r="191">
      <c r="A191" s="23" t="n">
        <v>44377</v>
      </c>
      <c r="B191" s="9" t="n">
        <v>19006.88</v>
      </c>
      <c r="C191" s="30">
        <f>+(B191/B190-1)/(A191-A190)*30</f>
        <v/>
      </c>
      <c r="D191" s="25" t="n">
        <v>186.294558455384</v>
      </c>
      <c r="F191" s="23" t="n">
        <v>44377</v>
      </c>
      <c r="G191" s="109" t="n">
        <v>1006.538</v>
      </c>
      <c r="H191" s="109">
        <f>+G191+$S$148+$S$150+$S$152+$S$154+$S$156</f>
        <v/>
      </c>
      <c r="I191" s="30">
        <f>+(((H191)/H190)-1)/(F191-F190)*30</f>
        <v/>
      </c>
      <c r="J191" s="24">
        <f>+J190*(1+I191)</f>
        <v/>
      </c>
      <c r="K191" s="9" t="n">
        <v>4909.0847</v>
      </c>
      <c r="L191" s="30">
        <f>+(K191/K190-1)/(F191-F190)*30</f>
        <v/>
      </c>
      <c r="M191" s="25">
        <f>+M190*(1+L191)</f>
        <v/>
      </c>
    </row>
    <row r="192">
      <c r="A192" s="23" t="n">
        <v>44408</v>
      </c>
      <c r="B192" s="9" t="n">
        <v>19016.42</v>
      </c>
      <c r="C192" s="30">
        <f>+(B192/B191-1)/(A192-A191)*30</f>
        <v/>
      </c>
      <c r="D192" s="25" t="n">
        <v>186.294558455384</v>
      </c>
      <c r="F192" s="23" t="n">
        <v>44408</v>
      </c>
      <c r="G192" s="109" t="n">
        <v>1007.7399</v>
      </c>
      <c r="H192" s="109">
        <f>+G192+$S$148+$S$150+$S$152+$S$154+$S$156</f>
        <v/>
      </c>
      <c r="I192" s="30">
        <f>+(((H192)/H191)-1)/(F192-F191)*30</f>
        <v/>
      </c>
      <c r="J192" s="24">
        <f>+J191*(1+I192)</f>
        <v/>
      </c>
      <c r="K192" s="24" t="n">
        <v>4909.3885</v>
      </c>
      <c r="L192" s="30">
        <f>+(K192/K191-1)/(F192-F191)*30</f>
        <v/>
      </c>
      <c r="M192" s="25">
        <f>+M191*(1+L192)</f>
        <v/>
      </c>
    </row>
    <row r="193">
      <c r="A193" s="23" t="n">
        <v>44439</v>
      </c>
      <c r="B193" s="9" t="n">
        <v>19028.38</v>
      </c>
      <c r="C193" s="30">
        <f>+(B193/B192-1)/(A193-A192)*30</f>
        <v/>
      </c>
      <c r="D193" s="25" t="n">
        <v>186.294558455384</v>
      </c>
      <c r="F193" s="23" t="n">
        <v>44439</v>
      </c>
      <c r="G193" s="109" t="n">
        <v>1008.7933</v>
      </c>
      <c r="H193" s="109">
        <f>+G193+$S$148+$S$150+$S$152+$S$154+$S$156</f>
        <v/>
      </c>
      <c r="I193" s="30">
        <f>+(((H193)/H192)-1)/(F193-F192)*30</f>
        <v/>
      </c>
      <c r="J193" s="24">
        <f>+J192*(1+I193)</f>
        <v/>
      </c>
      <c r="K193" s="24" t="n">
        <v>4909.6931</v>
      </c>
      <c r="L193" s="30">
        <f>+(K193/K192-1)/(F193-F192)*30</f>
        <v/>
      </c>
      <c r="M193" s="25">
        <f>+M192*(1+L193)</f>
        <v/>
      </c>
    </row>
    <row r="194">
      <c r="A194" s="23" t="n">
        <v>44469</v>
      </c>
      <c r="B194" s="9" t="n">
        <v>19052.12</v>
      </c>
      <c r="C194" s="30">
        <f>+(B194/B193-1)/(A194-A193)*30</f>
        <v/>
      </c>
      <c r="D194" s="25" t="n">
        <v>186.294558455384</v>
      </c>
      <c r="F194" s="23" t="n">
        <v>44469</v>
      </c>
      <c r="G194" s="109" t="n">
        <v>1009.4714</v>
      </c>
      <c r="H194" s="109">
        <f>+G194+$S$148+$S$150+$S$152+$S$154+$S$156</f>
        <v/>
      </c>
      <c r="I194" s="30">
        <f>+(((H194)/H193)-1)/(F194-F193)*30</f>
        <v/>
      </c>
      <c r="J194" s="24">
        <f>+J193*(1+I194)</f>
        <v/>
      </c>
      <c r="K194" s="24" t="n">
        <v>4909.1149</v>
      </c>
      <c r="L194" s="30">
        <f>+(K194/K193-1)/(F194-F193)*30</f>
        <v/>
      </c>
      <c r="M194" s="25">
        <f>+M193*(1+L194)</f>
        <v/>
      </c>
    </row>
    <row r="195">
      <c r="A195" s="23" t="n">
        <v>44500</v>
      </c>
      <c r="B195" s="9" t="n">
        <v>19091.59</v>
      </c>
      <c r="C195" s="30">
        <f>+(B195/B194-1)/(A195-A194)*30</f>
        <v/>
      </c>
      <c r="D195" s="25" t="n">
        <v>186.294558455384</v>
      </c>
      <c r="F195" s="23" t="n">
        <v>44500</v>
      </c>
      <c r="G195" s="109" t="n">
        <v>1010.3894</v>
      </c>
      <c r="H195" s="109">
        <f>+G195+$S$148+$S$150+$S$152+$S$154+$S$156</f>
        <v/>
      </c>
      <c r="I195" s="30">
        <f>+(((H195)/H194)-1)/(F195-F194)*30</f>
        <v/>
      </c>
      <c r="J195" s="24">
        <f>+J194*(1+I195)</f>
        <v/>
      </c>
      <c r="K195" s="24" t="n">
        <v>4914.1336</v>
      </c>
      <c r="L195" s="30">
        <f>+(K195/K194-1)/(F195-F194)*30</f>
        <v/>
      </c>
      <c r="M195" s="25">
        <f>+M194*(1+L195)</f>
        <v/>
      </c>
    </row>
    <row r="196">
      <c r="A196" s="23" t="n">
        <v>44530</v>
      </c>
      <c r="B196" s="9" t="n">
        <v>19132.47</v>
      </c>
      <c r="C196" s="30">
        <f>+(B196/B195-1)/(A196-A195)*30</f>
        <v/>
      </c>
      <c r="D196" s="25" t="n">
        <v>186.294558455384</v>
      </c>
      <c r="F196" s="23" t="n">
        <v>44530</v>
      </c>
      <c r="G196" s="109" t="n">
        <v>1011.9073</v>
      </c>
      <c r="H196" s="109">
        <f>+G196+$S$148+$S$150+$S$152+$S$154+$S$156</f>
        <v/>
      </c>
      <c r="I196" s="30">
        <f>+(((H196)/H195)-1)/(F196-F195)*30</f>
        <v/>
      </c>
      <c r="J196" s="24">
        <f>+J195*(1+I196)</f>
        <v/>
      </c>
      <c r="K196" s="24" t="n">
        <v>4920.3216</v>
      </c>
      <c r="L196" s="30">
        <f>+(K196/K195-1)/(F196-F195)*30</f>
        <v/>
      </c>
      <c r="M196" s="25">
        <f>+M195*(1+L196)</f>
        <v/>
      </c>
    </row>
    <row r="197">
      <c r="A197" s="23" t="n">
        <v>44561</v>
      </c>
      <c r="B197" s="9" t="n">
        <v>19193.41</v>
      </c>
      <c r="C197" s="30">
        <f>+(B197/B196-1)/(A197-A196)*30</f>
        <v/>
      </c>
      <c r="D197" s="25" t="n">
        <v>186.294558455384</v>
      </c>
      <c r="F197" s="23" t="n">
        <v>44561</v>
      </c>
      <c r="G197" s="109">
        <f>1010.4976</f>
        <v/>
      </c>
      <c r="H197" s="109">
        <f>+G197+$S$148+$S$150+$S$152+$S$154+$S$156+$S$158</f>
        <v/>
      </c>
      <c r="I197" s="30">
        <f>+(((H197)/H196)-1)/(F197-F196)*30</f>
        <v/>
      </c>
      <c r="J197" s="24">
        <f>+J196*(1+I197)</f>
        <v/>
      </c>
      <c r="K197" s="9" t="n">
        <v>4929.2918</v>
      </c>
      <c r="L197" s="30">
        <f>+(K197/K196-1)/(F197-F196)*30</f>
        <v/>
      </c>
      <c r="M197" s="25">
        <f>+M196*(1+L197)</f>
        <v/>
      </c>
    </row>
    <row r="198">
      <c r="A198" s="23" t="n">
        <v>44592</v>
      </c>
      <c r="B198" s="9" t="n">
        <v>19259.35</v>
      </c>
      <c r="C198" s="30">
        <f>+(B198/B197-1)/(A198-A197)*30</f>
        <v/>
      </c>
      <c r="D198" s="25" t="n">
        <v>186.294558455384</v>
      </c>
      <c r="F198" s="23" t="n">
        <v>44592</v>
      </c>
      <c r="G198" s="109" t="n">
        <v>1013.5703</v>
      </c>
      <c r="H198" s="109">
        <f>+G198+$S$148+$S$150+$S$152+$S$154+$S$156+$S$158</f>
        <v/>
      </c>
      <c r="I198" s="30">
        <f>+(((H198)/H197)-1)/(F198-F197)*30</f>
        <v/>
      </c>
      <c r="J198" s="24">
        <f>+J197*(1+I198)</f>
        <v/>
      </c>
      <c r="K198" s="9" t="n">
        <v>4941.9683</v>
      </c>
      <c r="L198" s="30">
        <f>+(K198/K197-1)/(F198-F197)*30</f>
        <v/>
      </c>
      <c r="M198" s="25">
        <f>+M197*(1+L198)</f>
        <v/>
      </c>
    </row>
    <row r="199">
      <c r="A199" s="23" t="n">
        <v>44620</v>
      </c>
      <c r="B199" s="9" t="n">
        <v>19341.9</v>
      </c>
      <c r="C199" s="30">
        <f>+(B199/B198-1)/(A199-A198)*30</f>
        <v/>
      </c>
      <c r="D199" s="25" t="n">
        <v>186.294558455384</v>
      </c>
      <c r="F199" s="23" t="n">
        <v>44620</v>
      </c>
      <c r="G199" s="109" t="n">
        <v>1017.34</v>
      </c>
      <c r="H199" s="109">
        <f>+G199+$S$148+$S$150+$S$152+$S$154+$S$156+$S$158</f>
        <v/>
      </c>
      <c r="I199" s="30">
        <f>+(((H199)/H198)-1)/(F199-F198)*30</f>
        <v/>
      </c>
      <c r="J199" s="24">
        <f>+J198*(1+I199)</f>
        <v/>
      </c>
      <c r="K199" s="24" t="n">
        <v>4958.2785</v>
      </c>
      <c r="L199" s="30">
        <f>+(K199/K198-1)/(F199-F198)*30</f>
        <v/>
      </c>
      <c r="M199" s="25">
        <f>+M198*(1+L199)</f>
        <v/>
      </c>
    </row>
    <row r="200">
      <c r="A200" s="23" t="n">
        <v>44651</v>
      </c>
      <c r="B200" s="9" t="n">
        <v>19435.35</v>
      </c>
      <c r="C200" s="30">
        <f>+(B200/B199-1)/(A200-A199)*30</f>
        <v/>
      </c>
      <c r="D200" s="25" t="n">
        <v>186.294558455384</v>
      </c>
      <c r="F200" s="23" t="n">
        <v>44651</v>
      </c>
      <c r="G200" s="109" t="n">
        <v>1021.5058</v>
      </c>
      <c r="H200" s="109">
        <f>+G200+$S$148+$S$150+$S$152+$S$154+$S$156+$S$158</f>
        <v/>
      </c>
      <c r="I200" s="30">
        <f>+(((H200)/H199)-1)/(F200-F199)*30</f>
        <v/>
      </c>
      <c r="J200" s="24">
        <f>+J199*(1+I200)</f>
        <v/>
      </c>
      <c r="K200" s="24" t="n">
        <v>4977.0833</v>
      </c>
      <c r="L200" s="30">
        <f>+(K200/K199-1)/(F200-F199)*30</f>
        <v/>
      </c>
      <c r="M200" s="25">
        <f>+M199*(1+L200)</f>
        <v/>
      </c>
    </row>
    <row r="201">
      <c r="A201" s="23" t="n">
        <v>44681</v>
      </c>
      <c r="B201" s="9" t="n">
        <v>19541.32</v>
      </c>
      <c r="C201" s="30">
        <f>+(B201/B200-1)/(A201-A200)*30</f>
        <v/>
      </c>
      <c r="D201" s="25" t="n">
        <v>186.294558455384</v>
      </c>
      <c r="F201" s="23" t="n">
        <v>44681</v>
      </c>
      <c r="G201" s="109" t="n">
        <v>1028.1705</v>
      </c>
      <c r="H201" s="109">
        <f>+G201+$S$148+$S$150+$S$152+$S$154+$S$156+$S$158</f>
        <v/>
      </c>
      <c r="I201" s="30">
        <f>+(((H201)/H200)-1)/(F201-F200)*30</f>
        <v/>
      </c>
      <c r="J201" s="24">
        <f>+J200*(1+I201)</f>
        <v/>
      </c>
      <c r="K201" s="24" t="n">
        <v>4999.8366</v>
      </c>
      <c r="L201" s="30">
        <f>+(K201/K200-1)/(F201-F200)*30</f>
        <v/>
      </c>
      <c r="M201" s="25">
        <f>+M200*(1+L201)</f>
        <v/>
      </c>
    </row>
    <row r="202">
      <c r="A202" s="23" t="n">
        <v>44712</v>
      </c>
      <c r="B202" s="9" t="n">
        <v>19680.32</v>
      </c>
      <c r="C202" s="30">
        <f>+(B202/B201-1)/(A202-A201)*30</f>
        <v/>
      </c>
      <c r="D202" s="25" t="n">
        <v>186.294558455384</v>
      </c>
      <c r="F202" s="23" t="n">
        <v>44712</v>
      </c>
      <c r="G202" s="109" t="n">
        <v>1036.3458</v>
      </c>
      <c r="H202" s="109">
        <f>+G202+$S$148+$S$150+$S$152+$S$154+$S$156+$S$158</f>
        <v/>
      </c>
      <c r="I202" s="30">
        <f>+(((H202)/H201)-1)/(F202-F201)*30</f>
        <v/>
      </c>
      <c r="J202" s="24">
        <f>+J201*(1+I202)</f>
        <v/>
      </c>
      <c r="K202" s="9" t="n">
        <v>5027.3885</v>
      </c>
      <c r="L202" s="30">
        <f>+(K202/K201-1)/(F202-F201)*30</f>
        <v/>
      </c>
      <c r="M202" s="25">
        <f>+M201*(1+L202)</f>
        <v/>
      </c>
    </row>
    <row r="203">
      <c r="A203" s="23" t="n">
        <v>44742</v>
      </c>
      <c r="B203" s="9" t="n">
        <v>19825.16</v>
      </c>
      <c r="C203" s="30">
        <f>+(B203/B202-1)/(A203-A202)*30</f>
        <v/>
      </c>
      <c r="D203" s="25" t="n">
        <v>186.294558455384</v>
      </c>
      <c r="F203" s="23" t="n">
        <v>44742</v>
      </c>
      <c r="G203" s="109" t="n">
        <v>1043.0995</v>
      </c>
      <c r="H203" s="109">
        <f>+G203+$S$148+$S$150+$S$152+$S$154+$S$156+$S$158</f>
        <v/>
      </c>
      <c r="I203" s="30">
        <f>+(((H203)/H202)-1)/(F203-F202)*30</f>
        <v/>
      </c>
      <c r="J203" s="24">
        <f>+J202*(1+I203)</f>
        <v/>
      </c>
      <c r="K203" s="24" t="n">
        <v>5056.9676</v>
      </c>
      <c r="L203" s="30">
        <f>+(K203/K202-1)/(F203-F202)*30</f>
        <v/>
      </c>
      <c r="M203" s="25">
        <f>+M202*(1+L203)</f>
        <v/>
      </c>
    </row>
    <row r="204">
      <c r="A204" s="23" t="n">
        <v>44773</v>
      </c>
      <c r="B204" s="9" t="n">
        <v>19975.62</v>
      </c>
      <c r="C204" s="30">
        <f>+(B204/B203-1)/(A204-A203)*30</f>
        <v/>
      </c>
      <c r="D204" s="25" t="n">
        <v>186.294558455384</v>
      </c>
      <c r="F204" s="23" t="n">
        <v>44773</v>
      </c>
      <c r="G204" s="109" t="n">
        <v>1050.3726</v>
      </c>
      <c r="H204" s="109">
        <f>+G204+$S$148+$S$150+$S$152+$S$154+$S$156+$S$158</f>
        <v/>
      </c>
      <c r="I204" s="30">
        <f>+(((H204)/H203)-1)/(F204-F203)*30</f>
        <v/>
      </c>
      <c r="J204" s="24">
        <f>+J203*(1+I204)</f>
        <v/>
      </c>
      <c r="K204" s="24" t="n">
        <v>5089.8979</v>
      </c>
      <c r="L204" s="30">
        <f>+(K204/K203-1)/(F204-F203)*30</f>
        <v/>
      </c>
      <c r="M204" s="25">
        <f>+M203*(1+L204)</f>
        <v/>
      </c>
    </row>
    <row r="205">
      <c r="A205" s="23" t="n">
        <v>44804</v>
      </c>
      <c r="B205" s="9" t="n">
        <v>20154.92</v>
      </c>
      <c r="C205" s="30">
        <f>+(B205/B204-1)/(A205-A204)*30</f>
        <v/>
      </c>
      <c r="D205" s="25" t="n">
        <v>186.294558455384</v>
      </c>
      <c r="F205" s="23" t="n">
        <v>44804</v>
      </c>
      <c r="G205" s="109" t="n">
        <v>1059.1827</v>
      </c>
      <c r="H205" s="109">
        <f>+G205+$S$148+$S$150+$S$152+$S$154+$S$156+$S$158</f>
        <v/>
      </c>
      <c r="I205" s="30">
        <f>+(((H205)/H204)-1)/(F205-F204)*30</f>
        <v/>
      </c>
      <c r="J205" s="24">
        <f>+J204*(1+I205)</f>
        <v/>
      </c>
      <c r="K205" s="24" t="n">
        <v>5125.6822</v>
      </c>
      <c r="L205" s="30">
        <f>+(K205/K204-1)/(F205-F204)*30</f>
        <v/>
      </c>
      <c r="M205" s="25">
        <f>+M204*(1+L205)</f>
        <v/>
      </c>
    </row>
    <row r="206">
      <c r="A206" s="23" t="n">
        <v>44834</v>
      </c>
      <c r="B206" s="9" t="n">
        <v>20332.28</v>
      </c>
      <c r="C206" s="30">
        <f>+(B206/B205-1)/(A206-A205)*30</f>
        <v/>
      </c>
      <c r="D206" s="25" t="n">
        <v>186.294558455384</v>
      </c>
      <c r="F206" s="23" t="n">
        <v>44834</v>
      </c>
      <c r="G206" s="109" t="n">
        <v>1068.1407</v>
      </c>
      <c r="H206" s="109">
        <f>+G206+$S$148+$S$150+$S$152+$S$154+$S$156+$S$158</f>
        <v/>
      </c>
      <c r="I206" s="30">
        <f>+(((H206)/H205)-1)/(F206-F205)*30</f>
        <v/>
      </c>
      <c r="J206" s="24">
        <f>+J205*(1+I206)</f>
        <v/>
      </c>
      <c r="K206" s="24" t="n">
        <v>5163.2829</v>
      </c>
      <c r="L206" s="30">
        <f>+(K206/K205-1)/(F206-F205)*30</f>
        <v/>
      </c>
      <c r="M206" s="25">
        <f>+M205*(1+L206)</f>
        <v/>
      </c>
    </row>
    <row r="207">
      <c r="A207" s="23" t="n">
        <v>44862</v>
      </c>
      <c r="B207" s="9" t="n">
        <v>20507.2</v>
      </c>
      <c r="C207" s="30">
        <f>+(B207/B206-1)/(A207-A206)*30</f>
        <v/>
      </c>
      <c r="D207" s="25" t="n">
        <v>186.294558455384</v>
      </c>
      <c r="F207" s="23" t="n">
        <v>44862</v>
      </c>
      <c r="G207" s="109" t="n">
        <v>1078.3425</v>
      </c>
      <c r="H207" s="109">
        <f>+G207+$S$148+$S$150+$S$152+$S$154+$S$156+$S$158</f>
        <v/>
      </c>
      <c r="I207" s="30">
        <f>+(((H207)/H206)-1)/(F207-F206)*30</f>
        <v/>
      </c>
      <c r="J207" s="24">
        <f>+J206*(1+I207)</f>
        <v/>
      </c>
      <c r="K207" s="24" t="n">
        <v>5200.6767</v>
      </c>
      <c r="L207" s="30">
        <f>+(K207/K206-1)/(F207-F206)*30</f>
        <v/>
      </c>
      <c r="M207" s="25">
        <f>+M206*(1+L207)</f>
        <v/>
      </c>
    </row>
    <row r="208">
      <c r="A208" s="23" t="n">
        <v>44895</v>
      </c>
      <c r="B208" s="9" t="n">
        <v>20719.68</v>
      </c>
      <c r="C208" s="30">
        <f>+(B208/B207-1)/(A208-A207)*30</f>
        <v/>
      </c>
      <c r="D208" s="25" t="n">
        <v>186.294558455384</v>
      </c>
      <c r="F208" s="23" t="n">
        <v>44895</v>
      </c>
      <c r="G208" s="109" t="n">
        <v>1089.4081</v>
      </c>
      <c r="H208" s="109">
        <f>+G208+$S$148+$S$150+$S$152+$S$154+$S$156+$S$158</f>
        <v/>
      </c>
      <c r="I208" s="30">
        <f>+(((H208)/H207)-1)/(F208-F207)*30</f>
        <v/>
      </c>
      <c r="J208" s="24">
        <f>+J207*(1+I208)</f>
        <v/>
      </c>
      <c r="K208" s="24" t="n">
        <v>5246.14</v>
      </c>
      <c r="L208" s="30">
        <f>+(K208/K207-1)/(F208-F207)*30</f>
        <v/>
      </c>
      <c r="M208" s="25">
        <f>+M207*(1+L208)</f>
        <v/>
      </c>
    </row>
    <row r="209">
      <c r="A209" s="23" t="n">
        <v>44925</v>
      </c>
      <c r="B209" s="9" t="n">
        <v>20914.79</v>
      </c>
      <c r="C209" s="30">
        <f>+(B209/B208-1)/(A209-A208)*30</f>
        <v/>
      </c>
      <c r="D209" s="25" t="n">
        <v>186.294558455384</v>
      </c>
      <c r="F209" s="23" t="n">
        <v>44925</v>
      </c>
      <c r="G209" s="109" t="n">
        <v>1100.1544</v>
      </c>
      <c r="H209" s="109">
        <f>+G209+$S$148+$S$150+$S$152+$S$154+$S$156+$S$158</f>
        <v/>
      </c>
      <c r="I209" s="30">
        <f>+(((H209)/H208)-1)/(F209-F208)*30</f>
        <v/>
      </c>
      <c r="J209" s="24">
        <f>+J208*(1+I209)</f>
        <v/>
      </c>
      <c r="K209" s="24" t="n">
        <v>5287.7323</v>
      </c>
      <c r="L209" s="30">
        <f>+(K209/K208-1)/(F209-F208)*30</f>
        <v/>
      </c>
      <c r="M209" s="25">
        <f>+M208*(1+L209)</f>
        <v/>
      </c>
    </row>
    <row r="210">
      <c r="A210" s="23" t="n">
        <v>44957</v>
      </c>
      <c r="B210" s="9" t="n">
        <v>21124.92</v>
      </c>
      <c r="C210" s="30">
        <f>+(B210/B209-1)/(A210-A209)*30</f>
        <v/>
      </c>
      <c r="D210" s="25">
        <f>B210/$B$3*100</f>
        <v/>
      </c>
      <c r="F210" s="23" t="n">
        <v>44957</v>
      </c>
      <c r="G210" s="109" t="n">
        <v>1089.7597</v>
      </c>
      <c r="H210" s="109">
        <f>+G210+$S$148+$S$150+$S$152+$S$154+$S$156+$S$158+$S$160</f>
        <v/>
      </c>
      <c r="I210" s="30">
        <f>+(((H210)/H209)-1)/(F210-F209)*30</f>
        <v/>
      </c>
      <c r="J210" s="24">
        <f>+J209*(1+I210)</f>
        <v/>
      </c>
      <c r="K210" s="24" t="n">
        <v>5332.3677</v>
      </c>
      <c r="L210" s="30">
        <f>+(K210/K209-1)/(F210-F209)*30</f>
        <v/>
      </c>
      <c r="M210" s="25">
        <f>+M209*(1+L210)</f>
        <v/>
      </c>
    </row>
    <row r="211">
      <c r="A211" s="23" t="n">
        <v>44985</v>
      </c>
      <c r="B211" s="9" t="n">
        <v>21310.51</v>
      </c>
      <c r="C211" s="30">
        <f>+(B211/B210-1)/(A211-A210)*30</f>
        <v/>
      </c>
      <c r="D211" s="25">
        <f>B211/$B$3*100</f>
        <v/>
      </c>
      <c r="F211" s="23" t="n">
        <v>44985</v>
      </c>
      <c r="G211" s="109" t="n">
        <v>1099.2811</v>
      </c>
      <c r="H211" s="109">
        <f>+G211+$S$148+$S$150+$S$152+$S$154+$S$156+$S$158+$S$160</f>
        <v/>
      </c>
      <c r="I211" s="30">
        <f>+(((H211)/H210)-1)/(F211-F210)*30</f>
        <v/>
      </c>
      <c r="J211" s="24">
        <f>+J210*(1+I211)</f>
        <v/>
      </c>
      <c r="K211" s="24" t="n">
        <v>5371.762</v>
      </c>
      <c r="L211" s="30">
        <f>+(K211/K210-1)/(F211-F210)*30</f>
        <v/>
      </c>
      <c r="M211" s="25">
        <f>+M210*(1+L211)</f>
        <v/>
      </c>
    </row>
    <row r="212">
      <c r="A212" s="23" t="n">
        <v>45016</v>
      </c>
      <c r="B212" s="9" t="n">
        <v>21517.9</v>
      </c>
      <c r="C212" s="30">
        <f>+(B212/B211-1)/(A212-A211)*30</f>
        <v/>
      </c>
      <c r="D212" s="25">
        <f>B212/$B$3*100</f>
        <v/>
      </c>
      <c r="F212" s="23" t="n">
        <v>45016</v>
      </c>
      <c r="G212" s="109" t="n">
        <v>1110.8003</v>
      </c>
      <c r="H212" s="109">
        <f>+G212+$S$148+$S$150+$S$152+$S$154+$S$156+$S$158+$S$160</f>
        <v/>
      </c>
      <c r="I212" s="30">
        <f>+(((H212)/H211)-1)/(F212-F211)*30</f>
        <v/>
      </c>
      <c r="J212" s="24">
        <f>+J211*(1+I212)</f>
        <v/>
      </c>
      <c r="K212" s="24" t="n">
        <v>5415.8662</v>
      </c>
      <c r="L212" s="30">
        <f>+(K212/K211-1)/(F212-F211)*30</f>
        <v/>
      </c>
      <c r="M212" s="25">
        <f>+M211*(1+L212)</f>
        <v/>
      </c>
    </row>
    <row r="213">
      <c r="A213" s="23" t="n">
        <v>45044</v>
      </c>
      <c r="B213" s="9" t="n">
        <v>21706.94</v>
      </c>
      <c r="C213" s="30">
        <f>+(B213/B212-1)/(A213-A212)*30</f>
        <v/>
      </c>
      <c r="D213" s="25">
        <f>B213/$B$3*100</f>
        <v/>
      </c>
      <c r="F213" s="23" t="n">
        <v>45044</v>
      </c>
      <c r="G213" s="109" t="n">
        <v>1121.6303</v>
      </c>
      <c r="H213" s="109">
        <f>+G213+$S$148+$S$150+$S$152+$S$154+$S$156+$S$158+$S$160</f>
        <v/>
      </c>
      <c r="I213" s="30">
        <f>+(((H213)/H212)-1)/(F213-F212)*30</f>
        <v/>
      </c>
      <c r="J213" s="24">
        <f>+J212*(1+I213)</f>
        <v/>
      </c>
      <c r="K213" s="24" t="n">
        <v>5456.2587</v>
      </c>
      <c r="L213" s="30">
        <f>+(K213/K212-1)/(F213-F212)*30</f>
        <v/>
      </c>
      <c r="M213" s="25">
        <f>+M212*(1+L213)</f>
        <v/>
      </c>
    </row>
    <row r="214">
      <c r="A214" s="23" t="n">
        <v>45077</v>
      </c>
      <c r="B214" s="9" t="n">
        <v>21931.86</v>
      </c>
      <c r="C214" s="30">
        <f>+(B214/B213-1)/(A214-A213)*30</f>
        <v/>
      </c>
      <c r="D214" s="25">
        <f>B214/$B$3*100</f>
        <v/>
      </c>
      <c r="F214" s="23" t="n">
        <v>45077</v>
      </c>
      <c r="G214" s="109" t="n">
        <v>1134.1803</v>
      </c>
      <c r="H214" s="109">
        <f>+G214+$S$148+$S$150+$S$152+$S$154+$S$156+$S$158+$S$160</f>
        <v/>
      </c>
      <c r="I214" s="30">
        <f>+(((H214)/H213)-1)/(F214-F213)*30</f>
        <v/>
      </c>
      <c r="J214" s="24">
        <f>+J213*(1+I214)</f>
        <v/>
      </c>
      <c r="K214" s="24" t="n">
        <v>5504.4106</v>
      </c>
      <c r="L214" s="30">
        <f>+(K214/K213-1)/(F214-F213)*30</f>
        <v/>
      </c>
      <c r="M214" s="25">
        <f>+M213*(1+L214)</f>
        <v/>
      </c>
    </row>
    <row r="215">
      <c r="A215" s="23" t="n">
        <v>45107</v>
      </c>
      <c r="B215" s="9" t="n">
        <v>22138.35</v>
      </c>
      <c r="C215" s="30">
        <f>+(B215/B214-1)/(A215-A214)*30</f>
        <v/>
      </c>
      <c r="D215" s="25">
        <f>B215/$B$3*100</f>
        <v/>
      </c>
      <c r="F215" s="23" t="n">
        <v>45107</v>
      </c>
      <c r="G215" s="109" t="n">
        <v>1145.859</v>
      </c>
      <c r="H215" s="109">
        <f>+G215+$S$148+$S$150+$S$152+$S$154+$S$156+$S$158+$S$160</f>
        <v/>
      </c>
      <c r="I215" s="30">
        <f>+(((H215)/H214)-1)/(F215-F214)*30</f>
        <v/>
      </c>
      <c r="J215" s="24">
        <f>+J214*(1+I215)</f>
        <v/>
      </c>
      <c r="K215" s="9" t="n">
        <v>5548.4618</v>
      </c>
      <c r="L215" s="30">
        <f>+(K215/K214-1)/(F215-F214)*30</f>
        <v/>
      </c>
      <c r="M215" s="25">
        <f>+M214*(1+L215)</f>
        <v/>
      </c>
    </row>
    <row r="216">
      <c r="A216" s="23" t="n">
        <v>45138</v>
      </c>
      <c r="B216" s="9" t="n">
        <v>22353.79</v>
      </c>
      <c r="C216" s="30">
        <f>+(B216/B215-1)/(A216-A215)*30</f>
        <v/>
      </c>
      <c r="D216" s="25">
        <f>B216/$B$3*100</f>
        <v/>
      </c>
      <c r="F216" s="23" t="n">
        <v>45138</v>
      </c>
      <c r="G216" s="109" t="n">
        <v>1157.9235</v>
      </c>
      <c r="H216" s="109">
        <f>+G216+$S$148+$S$150+$S$152+$S$154+$S$156+$S$158+$S$160</f>
        <v/>
      </c>
      <c r="I216" s="30">
        <f>+(((H216)/H215)-1)/(F216-F215)*30</f>
        <v/>
      </c>
      <c r="J216" s="24">
        <f>+J215*(1+I216)</f>
        <v/>
      </c>
      <c r="K216" s="9" t="n">
        <v>5593.984</v>
      </c>
      <c r="L216" s="30">
        <f>+(K216/K215-1)/(F216-F215)*30</f>
        <v/>
      </c>
      <c r="M216" s="25">
        <f>+M215*(1+L216)</f>
        <v/>
      </c>
    </row>
    <row r="217">
      <c r="A217" s="23" t="n">
        <v>45169</v>
      </c>
      <c r="B217" s="9" t="n">
        <v>22551.92</v>
      </c>
      <c r="C217" s="30">
        <f>+(B217/B216-1)/(A217-A216)*30</f>
        <v/>
      </c>
      <c r="D217" s="25">
        <f>B217/$B$3*100</f>
        <v/>
      </c>
      <c r="F217" s="23" t="n">
        <v>45169</v>
      </c>
      <c r="G217" s="109" t="n">
        <v>1169.8556</v>
      </c>
      <c r="H217" s="109">
        <f>+G217+$S$148+$S$150+$S$152+$S$154+$S$156+$S$158+$S$160</f>
        <v/>
      </c>
      <c r="I217" s="30">
        <f>+(((H217)/H216)-1)/(F217-F216)*30</f>
        <v/>
      </c>
      <c r="J217" s="24">
        <f>+J216*(1+I217)</f>
        <v/>
      </c>
      <c r="K217" s="9" t="n">
        <v>5636.4775</v>
      </c>
      <c r="L217" s="30">
        <f>+(K217/K216-1)/(F217-F216)*30</f>
        <v/>
      </c>
      <c r="M217" s="25">
        <f>+M216*(1+L217)</f>
        <v/>
      </c>
    </row>
    <row r="218">
      <c r="A218" s="23" t="n">
        <v>45199</v>
      </c>
      <c r="B218" s="9" t="n">
        <v>22727.72</v>
      </c>
      <c r="C218" s="30">
        <f>+(B218/B217-1)/(A218-A217)*30</f>
        <v/>
      </c>
      <c r="D218" s="25">
        <f>B218/$B$3*100</f>
        <v/>
      </c>
      <c r="F218" s="23" t="n">
        <v>45199</v>
      </c>
      <c r="G218" s="109" t="n">
        <v>1181.3233</v>
      </c>
      <c r="H218" s="109">
        <f>+G218+$S$148+$S$150+$S$152+$S$154+$S$156+$S$158+$S$160</f>
        <v/>
      </c>
      <c r="I218" s="30">
        <f>+(((H218)/H217)-1)/(F218-F217)*30</f>
        <v/>
      </c>
      <c r="J218" s="24">
        <f>+J217*(1+I218)</f>
        <v/>
      </c>
      <c r="K218" s="24" t="n">
        <v>5674.7198</v>
      </c>
      <c r="L218" s="30">
        <f>+(K218/K217-1)/(F218-F217)*30</f>
        <v/>
      </c>
      <c r="M218" s="25">
        <f>+M217*(1+L218)</f>
        <v/>
      </c>
    </row>
    <row r="219">
      <c r="A219" s="23" t="n">
        <v>45230</v>
      </c>
      <c r="B219" s="25" t="n">
        <v>22920</v>
      </c>
      <c r="C219" s="30">
        <f>+(B219/B218-1)/(A219-A218)*30</f>
        <v/>
      </c>
      <c r="D219" s="9">
        <f>B219/$B$3*100</f>
        <v/>
      </c>
      <c r="F219" s="23" t="n">
        <v>45230</v>
      </c>
      <c r="G219" s="109" t="n">
        <v>1192.2741</v>
      </c>
      <c r="H219" s="109">
        <f>+G219+$S$148+$S$150+$S$152+$S$154+$S$156+$S$158+$S$160</f>
        <v/>
      </c>
      <c r="I219" s="30">
        <f>+(((H219)/H218)-1)/(F219-F218)*30</f>
        <v/>
      </c>
      <c r="J219" s="24">
        <f>+J218*(1+I219)</f>
        <v/>
      </c>
      <c r="K219" s="24" t="n">
        <v>5712.6049</v>
      </c>
      <c r="L219" s="30">
        <f>+(K219/K218-1)/(F219-F218)*30</f>
        <v/>
      </c>
      <c r="M219" s="25">
        <f>+M218*(1+L219)</f>
        <v/>
      </c>
    </row>
    <row r="220">
      <c r="A220" s="23" t="n">
        <v>45260</v>
      </c>
      <c r="B220" s="9" t="n">
        <v>23092.51</v>
      </c>
      <c r="C220" s="30">
        <f>+(B220/B219-1)/(A220-A219)*30</f>
        <v/>
      </c>
      <c r="D220" s="9">
        <f>B220/$B$3*100</f>
        <v/>
      </c>
      <c r="F220" s="23" t="n">
        <v>45260</v>
      </c>
      <c r="G220" s="109" t="n">
        <v>1201.9218</v>
      </c>
      <c r="H220" s="109">
        <f>+G220+$S$148+$S$150+$S$152+$S$154+$S$156+$S$158+$S$160</f>
        <v/>
      </c>
      <c r="I220" s="30">
        <f>+(((H220)/H219)-1)/(F220-F219)*30</f>
        <v/>
      </c>
      <c r="J220" s="24">
        <f>+J219*(1+I220)</f>
        <v/>
      </c>
      <c r="K220" s="9" t="n">
        <v>5747.8492</v>
      </c>
      <c r="L220" s="30">
        <f>+(K220/K219-1)/(F220-F219)*30</f>
        <v/>
      </c>
      <c r="M220" s="25">
        <f>+M219*(1+L220)</f>
        <v/>
      </c>
    </row>
    <row r="221">
      <c r="A221" s="23" t="n">
        <v>45291</v>
      </c>
      <c r="B221" s="9" t="n">
        <v>23256.05</v>
      </c>
      <c r="C221" s="30">
        <f>+(B221/B220-1)/(A221-A220)*30</f>
        <v/>
      </c>
      <c r="D221" s="9">
        <f>B221/$B$3*100</f>
        <v/>
      </c>
      <c r="F221" s="23" t="n">
        <v>45291</v>
      </c>
      <c r="G221" s="109" t="n">
        <v>1211.9951</v>
      </c>
      <c r="H221" s="109">
        <f>+G221+$S$148+$S$150+$S$152+$S$154+$S$156+$S$158+$S$160</f>
        <v/>
      </c>
      <c r="I221" s="30">
        <f>+(((H221)/H220)-1)/(F221-F220)*30</f>
        <v/>
      </c>
      <c r="J221" s="24">
        <f>+J220*(1+I221)</f>
        <v/>
      </c>
      <c r="K221" s="9" t="n">
        <v>5782.92</v>
      </c>
      <c r="L221" s="30">
        <f>+(K221/K220-1)/(F221-F220)*30</f>
        <v/>
      </c>
      <c r="M221" s="25">
        <f>+M220*(1+L221)</f>
        <v/>
      </c>
    </row>
    <row r="222">
      <c r="A222" s="23" t="n">
        <v>45322</v>
      </c>
      <c r="B222" s="9" t="n">
        <v>23427.15</v>
      </c>
      <c r="C222" s="30">
        <f>+(B222/B221-1)/(A222-A221)*30</f>
        <v/>
      </c>
      <c r="D222" s="9">
        <f>B222/$B$3*100</f>
        <v/>
      </c>
      <c r="F222" s="23" t="n">
        <v>45322</v>
      </c>
      <c r="G222" s="109" t="n">
        <v>1222.8067</v>
      </c>
      <c r="H222" s="109">
        <f>+G222+$S$148+$S$150+$S$152+$S$154+$S$156+$S$158+$S$160</f>
        <v/>
      </c>
      <c r="I222" s="30">
        <f>+(((H222)/H221)-1)/(F222-F221)*30</f>
        <v/>
      </c>
      <c r="J222" s="24">
        <f>+J221*(1+I222)</f>
        <v/>
      </c>
      <c r="K222" s="9" t="n">
        <v>5816.8769</v>
      </c>
      <c r="L222" s="30">
        <f>+(K222/K221-1)/(F222-F221)*30</f>
        <v/>
      </c>
      <c r="M222" s="25">
        <f>+M221*(1+L222)</f>
        <v/>
      </c>
    </row>
    <row r="223">
      <c r="A223" s="23" t="n">
        <v>45351</v>
      </c>
      <c r="B223" s="9" t="n">
        <v>23570.34</v>
      </c>
      <c r="C223" s="30">
        <f>+(B223/B222-1)/(A223-A222)*30</f>
        <v/>
      </c>
      <c r="D223" s="9">
        <f>B223/$B$3*100</f>
        <v/>
      </c>
      <c r="F223" s="23" t="n">
        <v>45351</v>
      </c>
      <c r="G223" s="109" t="n">
        <v>1231.3106</v>
      </c>
      <c r="H223" s="109">
        <f>+G223+$S$148+$S$150+$S$152+$S$154+$S$156+$S$158+$S$160</f>
        <v/>
      </c>
      <c r="I223" s="30">
        <f>+(((H223)/H222)-1)/(F223-F222)*30</f>
        <v/>
      </c>
      <c r="J223" s="24">
        <f>+J222*(1+I223)</f>
        <v/>
      </c>
      <c r="K223" s="9" t="n">
        <v>5846.4552</v>
      </c>
      <c r="L223" s="30">
        <f>+(K223/K222-1)/(F223-F222)*30</f>
        <v/>
      </c>
      <c r="M223" s="25">
        <f>+M222*(1+L223)</f>
        <v/>
      </c>
    </row>
    <row r="224">
      <c r="A224" s="23" t="n">
        <v>45379</v>
      </c>
      <c r="B224" s="9" t="n">
        <v>23703.45</v>
      </c>
      <c r="C224" s="30">
        <f>+(B224/B223-1)/(A224-A223)*30</f>
        <v/>
      </c>
      <c r="D224" s="9">
        <f>B224/$B$3*100</f>
        <v/>
      </c>
      <c r="F224" s="23" t="n">
        <v>45382</v>
      </c>
      <c r="G224" s="109" t="n">
        <v>1238.822</v>
      </c>
      <c r="H224" s="109">
        <f>+G224+$S$148+$S$150+$S$152+$S$154+$S$156+$S$158+$S$160</f>
        <v/>
      </c>
      <c r="I224" s="30">
        <f>+(((H224)/H223)-1)/(F224-F223)*30</f>
        <v/>
      </c>
      <c r="J224" s="24">
        <f>+J223*(1+I224)</f>
        <v/>
      </c>
      <c r="K224" s="9" t="n">
        <v>5872.4728</v>
      </c>
      <c r="L224" s="30">
        <f>+(K224/K223-1)/(F224-F223)*30</f>
        <v/>
      </c>
      <c r="M224" s="25">
        <f>+M223*(1+L224)</f>
        <v/>
      </c>
    </row>
    <row r="225">
      <c r="A225" s="23" t="n">
        <v>45412</v>
      </c>
      <c r="B225" s="9" t="n">
        <v>23847.87</v>
      </c>
      <c r="C225" s="30">
        <f>+(B225/B224-1)/(A225-A224)*30</f>
        <v/>
      </c>
      <c r="D225" s="9">
        <f>B225/$B$3*100</f>
        <v/>
      </c>
      <c r="F225" s="23" t="n">
        <v>45412</v>
      </c>
      <c r="G225" s="109" t="n">
        <v>1247.4597</v>
      </c>
      <c r="H225" s="109">
        <f>+G225+$S$148+$S$150+$S$152+$S$154+$S$156+$S$158+$S$160</f>
        <v/>
      </c>
      <c r="I225" s="30">
        <f>+(((H225)/H224)-1)/(F225-F224)*30</f>
        <v/>
      </c>
      <c r="J225" s="24">
        <f>+J224*(1+I225)</f>
        <v/>
      </c>
      <c r="K225" s="9" t="n">
        <v>5900.1916</v>
      </c>
      <c r="L225" s="30">
        <f>+(K225/K224-1)/(F225-F224)*30</f>
        <v/>
      </c>
      <c r="M225" s="25">
        <f>+M224*(1+L225)</f>
        <v/>
      </c>
    </row>
    <row r="226">
      <c r="A226" s="23" t="n">
        <v>45443</v>
      </c>
      <c r="B226" s="9" t="n">
        <v>23979.37</v>
      </c>
      <c r="C226" s="30">
        <f>+(B226/B225-1)/(A226-A225)*30</f>
        <v/>
      </c>
      <c r="D226" s="9">
        <f>B226/$B$3*100</f>
        <v/>
      </c>
      <c r="F226" s="23" t="n">
        <v>45443</v>
      </c>
      <c r="G226" s="109" t="n">
        <v>1256.3137</v>
      </c>
      <c r="H226" s="109">
        <f>+G226+$S$148+$S$150+$S$152+$S$154+$S$156+$S$158+$S$160</f>
        <v/>
      </c>
      <c r="I226" s="30">
        <f>+(((H226)/H225)-1)/(F226-F225)*30</f>
        <v/>
      </c>
      <c r="J226" s="24">
        <f>+J225*(1+I226)</f>
        <v/>
      </c>
      <c r="K226" s="9" t="n">
        <v>5924.7824</v>
      </c>
      <c r="L226" s="30">
        <f>+(K226/K225-1)/(F226-F225)*30</f>
        <v/>
      </c>
      <c r="M226" s="25">
        <f>+M225*(1+L226)</f>
        <v/>
      </c>
    </row>
    <row r="227">
      <c r="A227" s="23" t="n">
        <v>45473</v>
      </c>
      <c r="B227" s="25" t="n">
        <v>24090</v>
      </c>
      <c r="C227" s="30">
        <f>+(B227/B226-1)/(A227-A226)*30</f>
        <v/>
      </c>
      <c r="D227" s="9">
        <f>B227/$B$3*100</f>
        <v/>
      </c>
      <c r="F227" s="23" t="n">
        <v>45473</v>
      </c>
      <c r="G227" s="109" t="n">
        <v>1264.3683</v>
      </c>
      <c r="H227" s="109">
        <f>+G227+$S$148+$S$150+$S$152+$S$154+$S$156+$S$158+$S$160</f>
        <v/>
      </c>
      <c r="I227" s="30">
        <f>+(((H227)/H226)-1)/(F227-F226)*30</f>
        <v/>
      </c>
      <c r="J227" s="24">
        <f>+J226*(1+I227)</f>
        <v/>
      </c>
      <c r="K227" s="9" t="n">
        <v>5946.409</v>
      </c>
      <c r="L227" s="30">
        <f>+(K227/K226-1)/(F227-F226)*30</f>
        <v/>
      </c>
      <c r="M227" s="25">
        <f>+M226*(1+L227)</f>
        <v/>
      </c>
    </row>
    <row r="228">
      <c r="A228" s="23" t="n">
        <v>45504</v>
      </c>
      <c r="B228" s="9" t="n">
        <v>24217.3</v>
      </c>
      <c r="C228" s="30">
        <f>+(B228/B227-1)/(A228-A227)*30</f>
        <v/>
      </c>
      <c r="D228" s="9">
        <f>B228/$B$3*100</f>
        <v/>
      </c>
      <c r="F228" s="23" t="n">
        <v>45504</v>
      </c>
      <c r="G228" s="109" t="n">
        <v>1270.2064</v>
      </c>
      <c r="H228" s="109">
        <f>+G228+$S$148+$S$150+$S$152+$S$154+$S$156+$S$158+$S$160</f>
        <v/>
      </c>
      <c r="I228" s="30">
        <f>+(((H228)/H227)-1)/(F228-F227)*30</f>
        <v/>
      </c>
      <c r="J228" s="24">
        <f>+J227*(1+I228)</f>
        <v/>
      </c>
      <c r="K228" s="9" t="n">
        <v>5968.019</v>
      </c>
      <c r="L228" s="30">
        <f>+(K228/K227-1)/(F228-F227)*30</f>
        <v/>
      </c>
      <c r="M228" s="25">
        <f>+M227*(1+L228)</f>
        <v/>
      </c>
    </row>
    <row r="229">
      <c r="A229" s="23" t="n">
        <v>45535</v>
      </c>
      <c r="B229" s="9" t="n">
        <v>24333.6</v>
      </c>
      <c r="C229" s="30">
        <f>+(B229/B228-1)/(A229-A228)*30</f>
        <v/>
      </c>
      <c r="D229" s="9">
        <f>B229/$B$3*100</f>
        <v/>
      </c>
      <c r="F229" s="23" t="n">
        <v>45535</v>
      </c>
      <c r="G229" s="109" t="n">
        <v>1276.2044</v>
      </c>
      <c r="H229" s="109">
        <f>+G229+$S$148+$S$150+$S$152+$S$154+$S$156+$S$158+$S$160</f>
        <v/>
      </c>
      <c r="I229" s="30">
        <f>+(((H229)/H228)-1)/(F229-F228)*30</f>
        <v/>
      </c>
      <c r="J229" s="24">
        <f>+J228*(1+I229)</f>
        <v/>
      </c>
      <c r="K229" s="9" t="n">
        <v>5989.669</v>
      </c>
      <c r="L229" s="30">
        <f>+(K229/K228-1)/(F229-F228)*30</f>
        <v/>
      </c>
      <c r="M229" s="25">
        <f>+M228*(1+L229)</f>
        <v/>
      </c>
    </row>
    <row r="230">
      <c r="A230" s="23" t="n">
        <v>45565</v>
      </c>
      <c r="B230" s="9" t="n">
        <v>24449.94</v>
      </c>
      <c r="C230" s="30">
        <f>+(B230/B229-1)/(A230-A229)*30</f>
        <v/>
      </c>
      <c r="D230" s="9">
        <f>B230/$B$3*100</f>
        <v/>
      </c>
      <c r="F230" s="23" t="n">
        <v>45565</v>
      </c>
      <c r="G230" s="109" t="n">
        <v>1282.7708</v>
      </c>
      <c r="H230" s="109">
        <f>+G230+$S$148+$S$150+$S$152+$S$154+$S$156+$S$158+$S$160</f>
        <v/>
      </c>
      <c r="I230" s="30">
        <f>+(((H230)/H229)-1)/(F230-F229)*30</f>
        <v/>
      </c>
      <c r="J230" s="24">
        <f>+J229*(1+I230)</f>
        <v/>
      </c>
      <c r="K230" s="9" t="n">
        <v>6009.8868</v>
      </c>
      <c r="L230" s="30">
        <f>+(K230/K229-1)/(F230-F229)*30</f>
        <v/>
      </c>
      <c r="M230" s="25">
        <f>+M229*(1+L230)</f>
        <v/>
      </c>
    </row>
    <row r="231">
      <c r="A231" s="23" t="n">
        <v>45596</v>
      </c>
      <c r="B231" s="9" t="n">
        <v>24560.22</v>
      </c>
      <c r="C231" s="30">
        <f>+(B231/B230-1)/(A231-A230)*30</f>
        <v/>
      </c>
      <c r="D231" s="9">
        <f>B231/$B$3*100</f>
        <v/>
      </c>
      <c r="F231" s="23" t="n">
        <v>45596</v>
      </c>
      <c r="G231" s="109" t="n">
        <v>1288.9224</v>
      </c>
      <c r="H231" s="109">
        <f>+G231+$S$148+$S$150+$S$152+$S$154+$S$156+$S$158+$S$160</f>
        <v/>
      </c>
      <c r="I231" s="30">
        <f>+(((H231)/H230)-1)/(F231-F230)*30</f>
        <v/>
      </c>
      <c r="J231" s="24">
        <f>+J230*(1+I231)</f>
        <v/>
      </c>
      <c r="K231" s="9" t="n">
        <v>6030.3854</v>
      </c>
      <c r="L231" s="30">
        <f>+(K231/K230-1)/(F231-F230)*30</f>
        <v/>
      </c>
      <c r="M231" s="25">
        <f>+M230*(1+L231)</f>
        <v/>
      </c>
    </row>
    <row r="232">
      <c r="A232" s="23" t="n">
        <v>45626</v>
      </c>
      <c r="B232" s="9" t="n">
        <v>24667.9</v>
      </c>
      <c r="C232" s="30">
        <f>+(B232/B231-1)/(A232-A231)*30</f>
        <v/>
      </c>
      <c r="D232" s="9">
        <f>B232/$B$3*100</f>
        <v/>
      </c>
      <c r="F232" s="23" t="n">
        <v>45626</v>
      </c>
      <c r="G232" s="109" t="n">
        <v>1295.2802</v>
      </c>
      <c r="H232" s="109">
        <f>+G232+$S$148+$S$150+$S$152+$S$154+$S$156+$S$158+$S$160</f>
        <v/>
      </c>
      <c r="I232" s="30">
        <f>+(((H232)/H231)-1)/(F232-F231)*30</f>
        <v/>
      </c>
      <c r="J232" s="24">
        <f>+J231*(1+I232)</f>
        <v/>
      </c>
      <c r="K232" s="9" t="n">
        <v>6049.8055</v>
      </c>
      <c r="L232" s="30">
        <f>+(K232/K231-1)/(F232-F231)*30</f>
        <v/>
      </c>
      <c r="M232" s="25">
        <f>+M231*(1+L232)</f>
        <v/>
      </c>
    </row>
    <row r="233">
      <c r="A233" s="23" t="n">
        <v>45657</v>
      </c>
      <c r="B233" s="9" t="n">
        <v>24777.58</v>
      </c>
      <c r="C233" s="30">
        <f>+(B233/B232-1)/(A233-A232)*30</f>
        <v/>
      </c>
      <c r="D233" s="9">
        <f>B233/$B$3*100</f>
        <v/>
      </c>
      <c r="F233" s="23" t="n">
        <v>45657</v>
      </c>
      <c r="G233" s="109" t="n">
        <v>1253.3905</v>
      </c>
      <c r="H233" s="109">
        <f>+G233+$S$148+$S$150+$S$152+$S$154+$S$156+$S$158+$S$160+$S$162</f>
        <v/>
      </c>
      <c r="I233" s="30">
        <f>+(((H233)/H232)-1)/(F233-F232)*30</f>
        <v/>
      </c>
      <c r="J233" s="24">
        <f>+J232*(1+I233)</f>
        <v/>
      </c>
      <c r="K233" s="9" t="n">
        <v>6069.3455</v>
      </c>
      <c r="L233" s="30">
        <f>+(K233/K232-1)/(F233-F232)*30</f>
        <v/>
      </c>
      <c r="M233" s="25">
        <f>+M232*(1+L233)</f>
        <v/>
      </c>
    </row>
    <row r="234">
      <c r="A234" s="23" t="n">
        <v>45688</v>
      </c>
      <c r="B234" s="9" t="n">
        <v>24887.95</v>
      </c>
      <c r="C234" s="30">
        <f>+(B234/B233-1)/(A234-A233)*30</f>
        <v/>
      </c>
      <c r="D234" s="9">
        <f>B234/$B$3*100</f>
        <v/>
      </c>
      <c r="F234" s="23" t="n">
        <v>45688</v>
      </c>
      <c r="G234" s="109" t="n">
        <v>1257.4445</v>
      </c>
      <c r="H234" s="109">
        <f>+G234+$S$148+$S$150+$S$152+$S$154+$S$156+$S$158+$S$160+$S$162</f>
        <v/>
      </c>
      <c r="I234" s="30">
        <f>+(((H234)/H233)-1)/(F234-F233)*30</f>
        <v/>
      </c>
      <c r="J234" s="24">
        <f>+J233*(1+I234)</f>
        <v/>
      </c>
      <c r="K234" s="9" t="n">
        <v>6087.6762</v>
      </c>
      <c r="L234" s="30">
        <f>+(K234/K233-1)/(F234-F233)*30</f>
        <v/>
      </c>
      <c r="M234" s="25">
        <f>+M233*(1+L234)</f>
        <v/>
      </c>
    </row>
    <row r="235">
      <c r="A235" s="23" t="n">
        <v>45716</v>
      </c>
      <c r="B235" s="9" t="n">
        <v>24984.92</v>
      </c>
      <c r="C235" s="30">
        <f>+(B235/B234-1)/(A235-A234)*30</f>
        <v/>
      </c>
      <c r="D235" s="9">
        <f>B235/$B$3*100</f>
        <v/>
      </c>
      <c r="F235" s="23" t="n">
        <v>45716</v>
      </c>
      <c r="G235" s="109" t="n">
        <v>1263.0033</v>
      </c>
      <c r="H235" s="109">
        <f>+G235+$S$148+$S$150+$S$152+$S$154+$S$156+$S$158+$S$160+$S$162</f>
        <v/>
      </c>
      <c r="I235" s="30">
        <f>+(((H235)/H234)-1)/(F235-F234)*30</f>
        <v/>
      </c>
      <c r="J235" s="24">
        <f>+J234*(1+I235)</f>
        <v/>
      </c>
      <c r="K235" s="9" t="n">
        <v>6104.4912</v>
      </c>
      <c r="L235" s="30">
        <f>+(K235/K234-1)/(F235-F234)*30</f>
        <v/>
      </c>
      <c r="M235" s="25">
        <f>+M234*(1+L235)</f>
        <v/>
      </c>
    </row>
    <row r="236">
      <c r="A236" s="23" t="n">
        <v>45747</v>
      </c>
      <c r="B236" s="9" t="n">
        <v>25092.7</v>
      </c>
      <c r="C236" s="30">
        <f>+(B236/B235-1)/(A236-A235)*30</f>
        <v/>
      </c>
      <c r="D236" s="9">
        <f>B236/$B$3*100</f>
        <v/>
      </c>
      <c r="F236" s="23" t="n">
        <v>45747</v>
      </c>
      <c r="G236" s="109" t="n">
        <v>1268.7999</v>
      </c>
      <c r="H236" s="109">
        <f>+G236+$S$148+$S$150+$S$152+$S$154+$S$156+$S$158+$S$160+$S$162</f>
        <v/>
      </c>
      <c r="I236" s="30">
        <f>+(((H236)/H235)-1)/(F236-F235)*30</f>
        <v/>
      </c>
      <c r="J236" s="24">
        <f>+J235*(1+I236)</f>
        <v/>
      </c>
      <c r="K236" s="9" t="n">
        <v>6123.1882</v>
      </c>
      <c r="L236" s="30">
        <f>+(K236/K235-1)/(F236-F235)*30</f>
        <v/>
      </c>
      <c r="M236" s="25">
        <f>+M235*(1+L236)</f>
        <v/>
      </c>
    </row>
    <row r="237">
      <c r="A237" s="23" t="n">
        <v>45777</v>
      </c>
      <c r="B237" s="9" t="n">
        <v>25197.48</v>
      </c>
      <c r="C237" s="30">
        <f>+(B237/B236-1)/(A237-A236)*30</f>
        <v/>
      </c>
      <c r="D237" s="9">
        <f>B237/$B$3*100</f>
        <v/>
      </c>
      <c r="F237" s="23" t="n">
        <v>45777</v>
      </c>
      <c r="G237" s="109" t="n">
        <v>1274.5564</v>
      </c>
      <c r="H237" s="109">
        <f>+G237+$S$148+$S$150+$S$152+$S$154+$S$156+$S$158+$S$160+$S$162</f>
        <v/>
      </c>
      <c r="I237" s="30">
        <f>+(((H237)/H236)-1)/(F237-F236)*30</f>
        <v/>
      </c>
      <c r="J237" s="24">
        <f>+J236*(1+I237)</f>
        <v/>
      </c>
      <c r="K237" s="24" t="n">
        <v>6141.4105</v>
      </c>
      <c r="L237" s="30">
        <f>+(K237/K236-1)/(F237-F236)*30</f>
        <v/>
      </c>
      <c r="M237" s="25">
        <f>+M236*(1+L237)</f>
        <v/>
      </c>
    </row>
    <row r="238">
      <c r="A238" s="23" t="n">
        <v>45808</v>
      </c>
      <c r="B238" s="9" t="n">
        <v>25302.66</v>
      </c>
      <c r="C238" s="30">
        <f>+(B238/B237-1)/(A238-A237)*30</f>
        <v/>
      </c>
      <c r="D238" s="9">
        <f>B238/$B$3*100</f>
        <v/>
      </c>
      <c r="F238" s="23" t="n">
        <v>45808</v>
      </c>
      <c r="G238" s="109" t="n">
        <v>1280.7154</v>
      </c>
      <c r="H238" s="109">
        <f>+G238+$S$148+$S$150+$S$152+$S$154+$S$156+$S$158+$S$160+$S$162</f>
        <v/>
      </c>
      <c r="I238" s="30">
        <f>+(((H238)/H237)-1)/(F238-F237)*30</f>
        <v/>
      </c>
      <c r="J238" s="24">
        <f>+J237*(1+I238)</f>
        <v/>
      </c>
      <c r="K238" s="9" t="n">
        <v>6160.386</v>
      </c>
      <c r="L238" s="30">
        <f>+(K238/K237-1)/(F238-F237)*30</f>
        <v/>
      </c>
      <c r="M238" s="25">
        <f>+M237*(1+L238)</f>
        <v/>
      </c>
    </row>
    <row r="239">
      <c r="A239" s="23" t="n">
        <v>45838</v>
      </c>
      <c r="B239" s="9" t="n">
        <v>25411.83</v>
      </c>
      <c r="C239" s="30">
        <f>+(B239/B238-1)/(A239-A238)*30</f>
        <v/>
      </c>
      <c r="D239" s="9">
        <f>B239/$B$3*100</f>
        <v/>
      </c>
      <c r="F239" s="23" t="n">
        <v>45838</v>
      </c>
      <c r="G239" s="109" t="n">
        <v>1288.1058</v>
      </c>
      <c r="H239" s="109">
        <f>+G239+$S$148+$S$150+$S$152+$S$154+$S$156+$S$158+$S$160+$S$162</f>
        <v/>
      </c>
      <c r="I239" s="30">
        <f>+(((H239)/H238)-1)/(F239-F238)*30</f>
        <v/>
      </c>
      <c r="J239" s="24">
        <f>+J238*(1+I239)</f>
        <v/>
      </c>
      <c r="K239" s="9" t="n">
        <v>6178.849</v>
      </c>
      <c r="L239" s="30">
        <f>+(K239/K238-1)/(F239-F238)*30</f>
        <v/>
      </c>
      <c r="M239" s="25">
        <f>+M238*(1+L239)</f>
        <v/>
      </c>
    </row>
    <row r="240">
      <c r="A240" s="23" t="n">
        <v>45869</v>
      </c>
      <c r="B240" s="9" t="n">
        <v>25521.26</v>
      </c>
      <c r="C240" s="30">
        <f>+(B240/B239-1)/(A240-A239)*30</f>
        <v/>
      </c>
      <c r="D240" s="9">
        <f>B240/$B$3*100</f>
        <v/>
      </c>
      <c r="F240" s="23" t="n">
        <v>45869</v>
      </c>
      <c r="G240" s="109" t="n">
        <v>1295.0536</v>
      </c>
      <c r="H240" s="109">
        <f>+G240+$S$148+$S$150+$S$152+$S$154+$S$156+$S$158+$S$160+$S$162</f>
        <v/>
      </c>
      <c r="I240" s="30">
        <f>+(((H240)/H239)-1)/(F240-F239)*30</f>
        <v/>
      </c>
      <c r="J240" s="24">
        <f>+J239*(1+I240)</f>
        <v/>
      </c>
      <c r="K240" s="9" t="n">
        <v>6197.08</v>
      </c>
      <c r="L240" s="30">
        <f>+(K240/K239-1)/(F240-F239)*30</f>
        <v/>
      </c>
      <c r="M240" s="25">
        <f>+M239*(1+L240)</f>
        <v/>
      </c>
    </row>
    <row r="241">
      <c r="A241" s="23" t="n">
        <v>45900</v>
      </c>
      <c r="B241" s="9" t="n">
        <v>25619.09</v>
      </c>
      <c r="C241" s="30">
        <f>+(B241/B240-1)/(A241-A240)*30</f>
        <v/>
      </c>
      <c r="D241" s="9">
        <f>B241/$B$3*100</f>
        <v/>
      </c>
      <c r="F241" s="23" t="n">
        <v>45900</v>
      </c>
      <c r="G241" s="109" t="n">
        <v>1302.3331</v>
      </c>
      <c r="H241" s="109">
        <f>+G241+$S$148+$S$150+$S$152+$S$154+$S$156+$S$158+$S$160+$S$162</f>
        <v/>
      </c>
      <c r="I241" s="30">
        <f>+(((H241)/H240)-1)/(F241-F240)*30</f>
        <v/>
      </c>
      <c r="J241" s="24">
        <f>+J240*(1+I241)</f>
        <v/>
      </c>
      <c r="K241" s="9" t="n">
        <v>6215.6746</v>
      </c>
      <c r="L241" s="30">
        <f>+(K241/K240-1)/(F241-F240)*30</f>
        <v/>
      </c>
      <c r="M241" s="25">
        <f>+M240*(1+L241)</f>
        <v/>
      </c>
    </row>
    <row r="242">
      <c r="A242" s="23" t="n">
        <v>45930</v>
      </c>
      <c r="B242" s="9" t="n">
        <v>25727.46</v>
      </c>
      <c r="C242" s="30">
        <f>+(B242/B241-1)/(A242-A241)*30</f>
        <v/>
      </c>
      <c r="D242" s="9">
        <f>B242/$B$3*100</f>
        <v/>
      </c>
      <c r="F242" s="23" t="n">
        <v>45930</v>
      </c>
      <c r="G242" s="109" t="n">
        <v>1309.086</v>
      </c>
      <c r="H242" s="109">
        <f>+G242+$S$148+$S$150+$S$152+$S$154+$S$156+$S$158+$S$160+$S$162</f>
        <v/>
      </c>
      <c r="I242" s="30">
        <f>+(((H242)/H241)-1)/(F242-F241)*30</f>
        <v/>
      </c>
      <c r="J242" s="24">
        <f>+J241*(1+I242)</f>
        <v/>
      </c>
      <c r="K242" s="9" t="n">
        <v>6232.8399</v>
      </c>
      <c r="L242" s="30">
        <f>+(K242/K241-1)/(F242-F241)*30</f>
        <v/>
      </c>
      <c r="M242" s="25">
        <f>+M241*(1+L242)</f>
        <v/>
      </c>
    </row>
    <row r="243">
      <c r="A243" s="23" t="n">
        <v>45961</v>
      </c>
      <c r="B243" s="9" t="n">
        <v>25829.5</v>
      </c>
      <c r="C243" s="30">
        <f>+(B243/B242-1)/(A243-A242)*30</f>
        <v/>
      </c>
      <c r="D243" s="9">
        <f>B243/$B$3*100</f>
        <v/>
      </c>
      <c r="F243" s="23" t="n">
        <v>45961</v>
      </c>
      <c r="G243" s="109" t="n">
        <v>1316.6351</v>
      </c>
      <c r="H243" s="109">
        <f>+G243+$S$148+$S$150+$S$152+$S$154+$S$156+$S$158+$S$160+$S$162</f>
        <v/>
      </c>
      <c r="I243" s="30">
        <f>+(((H243)/H242)-1)/(F243-F242)*30</f>
        <v/>
      </c>
      <c r="J243" s="24">
        <f>+J242*(1+I243)</f>
        <v/>
      </c>
      <c r="K243" s="9" t="n">
        <v>6250.6982</v>
      </c>
      <c r="L243" s="30">
        <f>+(K243/K242-1)/(F243-F242)*30</f>
        <v/>
      </c>
      <c r="M243" s="25">
        <f>+M242*(1+L243)</f>
        <v/>
      </c>
    </row>
    <row r="244">
      <c r="A244" s="23" t="n">
        <v>45991</v>
      </c>
      <c r="B244" s="9" t="n">
        <v>25928.49</v>
      </c>
      <c r="C244" s="30">
        <f>+(B244/B243-1)/(A244-A243)*30</f>
        <v/>
      </c>
      <c r="D244" s="9">
        <f>B244/$B$3*100</f>
        <v/>
      </c>
      <c r="F244" s="23" t="n">
        <v>45991</v>
      </c>
      <c r="G244" s="109" t="n">
        <v>1325.434</v>
      </c>
      <c r="H244" s="109">
        <f>+G244+$S$148+$S$150+$S$152+$S$154+$S$156+$S$158+$S$160+$S$162</f>
        <v/>
      </c>
      <c r="I244" s="30">
        <f>+(((H244)/H243)-1)/(F244-F243)*30</f>
        <v/>
      </c>
      <c r="J244" s="24">
        <f>+J243*(1+I244)</f>
        <v/>
      </c>
      <c r="K244" s="9" t="n">
        <v>6268.169</v>
      </c>
      <c r="L244" s="30">
        <f>+(K244/K243-1)/(F244-F243)*30</f>
        <v/>
      </c>
      <c r="M244" s="25">
        <f>+M243*(1+L244)</f>
        <v/>
      </c>
    </row>
    <row r="245">
      <c r="A245" s="23" t="n">
        <v>46022</v>
      </c>
      <c r="B245" s="99" t="n">
        <v>26035.82</v>
      </c>
      <c r="C245" s="30">
        <f>+(B245/B244-1)/(A245-A244)*30</f>
        <v/>
      </c>
      <c r="D245" s="9">
        <f>B245/$B$3*100</f>
        <v/>
      </c>
      <c r="F245" s="23" t="n">
        <v>46022</v>
      </c>
      <c r="G245" s="118" t="n">
        <v>1333.7085</v>
      </c>
      <c r="H245" s="109">
        <f>+G245+$S$148+$S$150+$S$152+$S$154+$S$156+$S$158+$S$160+$S$162</f>
        <v/>
      </c>
      <c r="I245" s="30">
        <f>+(((H245)/H244)-1)/(F245-F244)*30</f>
        <v/>
      </c>
      <c r="J245" s="24">
        <f>+J244*(1+I245)</f>
        <v/>
      </c>
      <c r="K245" s="99" t="n">
        <v>6285.9566</v>
      </c>
      <c r="L245" s="30">
        <f>+(K245/K244-1)/(F245-F244)*30</f>
        <v/>
      </c>
      <c r="M245" s="25">
        <f>+M244*(1+L245)</f>
        <v/>
      </c>
    </row>
    <row r="246">
      <c r="A246" s="23" t="n">
        <v>46053</v>
      </c>
      <c r="B246" s="99" t="n">
        <v>26136.9</v>
      </c>
      <c r="C246" s="30">
        <f>+(B246/B245-1)/(A246-A245)*30</f>
        <v/>
      </c>
      <c r="D246" s="9">
        <f>B246/$B$3*100</f>
        <v/>
      </c>
      <c r="F246" s="23" t="n">
        <v>46053</v>
      </c>
      <c r="G246" s="118" t="n">
        <v>1342.1004</v>
      </c>
      <c r="H246" s="109">
        <f>+G246+$S$148+$S$150+$S$152+$S$154+$S$156+$S$158+$S$160+$S$162</f>
        <v/>
      </c>
      <c r="I246" s="30">
        <f>+(((H246)/H245)-1)/(F246-F245)*30</f>
        <v/>
      </c>
      <c r="J246" s="24">
        <f>+J245*(1+I246)</f>
        <v/>
      </c>
      <c r="K246" s="99" t="n">
        <v>6303.0823</v>
      </c>
      <c r="L246" s="30">
        <f>+(K246/K245-1)/(F246-F245)*30</f>
        <v/>
      </c>
      <c r="M246" s="25">
        <f>+M245*(1+L246)</f>
        <v/>
      </c>
    </row>
    <row r="247" ht="14.25" customHeight="1">
      <c r="A247" s="23" t="n">
        <v>46081</v>
      </c>
      <c r="B247" s="100" t="n">
        <v>26231.81</v>
      </c>
      <c r="C247" s="30">
        <f>+(B247/B246-1)/(A247-A246)*30</f>
        <v/>
      </c>
      <c r="D247" s="9">
        <f>B247/$B$3*100</f>
        <v/>
      </c>
      <c r="F247" s="23" t="n">
        <v>46081</v>
      </c>
      <c r="G247" s="118" t="n">
        <v>1349.7578</v>
      </c>
      <c r="H247" s="109">
        <f>+G247+$S$148+$S$150+$S$152+$S$154+$S$156+$S$158+$S$160+$S$162</f>
        <v/>
      </c>
      <c r="I247" s="30">
        <f>+(((H247)/H246)-1)/(F247-F246)*30</f>
        <v/>
      </c>
      <c r="J247" s="24">
        <f>+J246*(1+I247)</f>
        <v/>
      </c>
      <c r="K247" s="101" t="n">
        <v>6318.4947</v>
      </c>
      <c r="L247" s="30">
        <f>+(K247/K246-1)/(F247-F246)*30</f>
        <v/>
      </c>
      <c r="M247" s="25">
        <f>+M246*(1+L247)</f>
        <v/>
      </c>
    </row>
    <row r="248">
      <c r="A248" s="23" t="n">
        <v>46112</v>
      </c>
      <c r="B248" s="100" t="n">
        <v>26333.64</v>
      </c>
      <c r="C248" s="30">
        <f>+(B248/B247-1)/(A248-A247)*30</f>
        <v/>
      </c>
      <c r="D248" s="9">
        <f>B248/$B$3*100</f>
        <v/>
      </c>
      <c r="F248" s="23" t="n">
        <v>46112</v>
      </c>
      <c r="G248" s="119" t="n">
        <v>1358.096</v>
      </c>
      <c r="H248" s="109">
        <f>+G248+$S$148+$S$150+$S$152+$S$154+$S$156+$S$158+$S$160+$S$162</f>
        <v/>
      </c>
      <c r="I248" s="30">
        <f>+(((H248)/H247)-1)/(F248-F247)*30</f>
        <v/>
      </c>
      <c r="J248" s="24">
        <f>+J247*(1+I248)</f>
        <v/>
      </c>
      <c r="K248" s="102" t="n">
        <v>6335.4774</v>
      </c>
      <c r="L248" s="30">
        <f>+(K248/K247-1)/(F248-F247)*30</f>
        <v/>
      </c>
      <c r="M248" s="25">
        <f>+M247*(1+L248)</f>
        <v/>
      </c>
    </row>
    <row r="249">
      <c r="A249" s="23" t="n">
        <v>46142</v>
      </c>
      <c r="B249" s="9" t="n">
        <v>26432.56</v>
      </c>
      <c r="C249" s="30">
        <f>+(B249/B248-1)/(A249-A248)*30</f>
        <v/>
      </c>
      <c r="D249" s="9">
        <f>B249/$B$3*100</f>
        <v/>
      </c>
      <c r="F249" s="23" t="n">
        <v>46142</v>
      </c>
      <c r="G249" s="105" t="n">
        <v>1366.4585</v>
      </c>
      <c r="H249" s="109">
        <f>+G249+$S$148+$S$150+$S$152+$S$154+$S$156+$S$158+$S$160+$S$162</f>
        <v/>
      </c>
      <c r="I249" s="30">
        <f>+(((H249)/H248)-1)/(F249-F248)*30</f>
        <v/>
      </c>
      <c r="J249" s="24">
        <f>+J248*(1+I249)</f>
        <v/>
      </c>
      <c r="K249" s="9" t="n">
        <v>6351.9305</v>
      </c>
      <c r="L249" s="30">
        <f>+(K249/K248-1)/(F249-F248)*30</f>
        <v/>
      </c>
      <c r="M249" s="25">
        <f>+M248*(1+L249)</f>
        <v/>
      </c>
    </row>
    <row r="250">
      <c r="A250" s="122" t="n">
        <v>46173</v>
      </c>
      <c r="B250" t="n">
        <v>26535.18</v>
      </c>
      <c r="C250">
        <f>(B250/B249-1)/(A250-A249)*30</f>
        <v/>
      </c>
      <c r="D250">
        <f>+D249*(1+C250)</f>
        <v/>
      </c>
      <c r="F250" s="122" t="n">
        <v>46173</v>
      </c>
      <c r="G250" t="n">
        <v>1374.8914</v>
      </c>
      <c r="H250">
        <f>+G250+$S$148+$S$150+$S$152+$S$154+$S$156+$S$158</f>
        <v/>
      </c>
      <c r="I250">
        <f>+(H250/H249-1)/(F250-F249)*30</f>
        <v/>
      </c>
      <c r="J250">
        <f>+J249*(1+I250)</f>
        <v/>
      </c>
      <c r="K250" t="n">
        <v>6368.94</v>
      </c>
      <c r="L250">
        <f>+(K250/K249-1)/(F250-F249)*30</f>
        <v/>
      </c>
      <c r="M250">
        <f>+M249*(1+L250)</f>
        <v/>
      </c>
    </row>
    <row r="251">
      <c r="A251" s="122" t="n">
        <v>46203</v>
      </c>
      <c r="B251" t="n">
        <v>26634.69</v>
      </c>
      <c r="C251">
        <f>(B251/B250-1)/(A251-A250)*30</f>
        <v/>
      </c>
      <c r="D251">
        <f>+D250*(1+C251)</f>
        <v/>
      </c>
      <c r="F251" s="122" t="n">
        <v>46203</v>
      </c>
      <c r="G251" t="n">
        <v>1382.9078</v>
      </c>
      <c r="H251">
        <f>+G251+$S$148+$S$150+$S$152+$S$154+$S$156+$S$158</f>
        <v/>
      </c>
      <c r="I251">
        <f>+(H251/H250-1)/(F251-F250)*30</f>
        <v/>
      </c>
      <c r="J251">
        <f>+J250*(1+I251)</f>
        <v/>
      </c>
      <c r="K251" t="n">
        <v>6385.6713</v>
      </c>
      <c r="L251">
        <f>+(K251/K250-1)/(F251-F250)*30</f>
        <v/>
      </c>
      <c r="M251">
        <f>+M250*(1+L251)</f>
        <v/>
      </c>
    </row>
  </sheetData>
  <mergeCells count="11">
    <mergeCell ref="AC75:AC77"/>
    <mergeCell ref="AC66:AC68"/>
    <mergeCell ref="AC69:AC71"/>
    <mergeCell ref="AC60:AC62"/>
    <mergeCell ref="AC78:AC80"/>
    <mergeCell ref="AC87:AC89"/>
    <mergeCell ref="AV29:AV30"/>
    <mergeCell ref="AC72:AC74"/>
    <mergeCell ref="AC84:AC86"/>
    <mergeCell ref="AC63:AC65"/>
    <mergeCell ref="AC81:AC83"/>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0"/>
  <sheetViews>
    <sheetView showGridLines="0" tabSelected="1" topLeftCell="A24" zoomScale="80" zoomScaleNormal="80" workbookViewId="0">
      <selection activeCell="H38" sqref="H38"/>
    </sheetView>
  </sheetViews>
  <sheetFormatPr baseColWidth="8" defaultColWidth="11.42578125" defaultRowHeight="15"/>
  <cols>
    <col width="6.28515625" bestFit="1" customWidth="1" style="7" min="3" max="3"/>
    <col width="16.85546875" customWidth="1" min="4" max="4"/>
    <col width="6.140625" bestFit="1" customWidth="1" min="5" max="12"/>
    <col width="6.5703125" bestFit="1" customWidth="1" min="13" max="13"/>
    <col width="6.140625" bestFit="1" customWidth="1" min="14" max="16"/>
    <col width="10.140625" customWidth="1" min="17" max="17"/>
    <col width="18.85546875" bestFit="1" customWidth="1" min="19" max="19"/>
    <col width="9.5703125" bestFit="1" customWidth="1" min="20" max="20"/>
    <col width="11.7109375" bestFit="1" customWidth="1" min="21" max="21"/>
    <col width="11.28515625" bestFit="1" customWidth="1" min="22" max="22"/>
    <col width="7.7109375" bestFit="1" customWidth="1" min="23" max="23"/>
    <col width="12.28515625" customWidth="1" min="24" max="24"/>
  </cols>
  <sheetData>
    <row r="1" ht="25.5" customHeight="1">
      <c r="C1" s="79" t="n"/>
      <c r="D1" s="80" t="n"/>
      <c r="E1" s="80" t="n"/>
      <c r="F1" s="80" t="n"/>
      <c r="G1" s="80" t="n"/>
      <c r="H1" s="80" t="n"/>
      <c r="I1" s="80" t="n"/>
      <c r="J1" s="80" t="n"/>
      <c r="K1" s="80" t="n"/>
      <c r="L1" s="80" t="n"/>
      <c r="M1" s="80" t="n"/>
      <c r="N1" s="80" t="n"/>
      <c r="O1" s="80" t="n"/>
      <c r="P1" s="80" t="n"/>
      <c r="Q1" s="80" t="n"/>
      <c r="R1" s="80" t="n"/>
      <c r="S1" s="84" t="inlineStr">
        <is>
          <t>Rentabilidad</t>
        </is>
      </c>
      <c r="T1" s="85" t="inlineStr">
        <is>
          <t>Mensual</t>
        </is>
      </c>
      <c r="U1" s="85" t="inlineStr">
        <is>
          <t>Trimestral</t>
        </is>
      </c>
      <c r="V1" s="85" t="inlineStr">
        <is>
          <t>Semestral</t>
        </is>
      </c>
      <c r="W1" s="85" t="inlineStr">
        <is>
          <t>Anual</t>
        </is>
      </c>
      <c r="X1" s="86" t="inlineStr">
        <is>
          <t>Acum
2026 (*)</t>
        </is>
      </c>
    </row>
    <row r="2">
      <c r="C2" s="79" t="n"/>
      <c r="D2" s="80" t="n"/>
      <c r="E2" s="80" t="n"/>
      <c r="F2" s="80" t="n"/>
      <c r="G2" s="80" t="n"/>
      <c r="H2" s="80" t="n"/>
      <c r="I2" s="80" t="n"/>
      <c r="J2" s="80" t="n"/>
      <c r="K2" s="80" t="n"/>
      <c r="L2" s="80" t="n"/>
      <c r="M2" s="80" t="n"/>
      <c r="N2" s="80" t="n"/>
      <c r="O2" s="80" t="n"/>
      <c r="P2" s="80" t="n"/>
      <c r="Q2" s="80" t="n"/>
      <c r="R2" s="80" t="n"/>
      <c r="S2" s="82" t="inlineStr">
        <is>
          <t>ICP (Benchmark)</t>
        </is>
      </c>
      <c r="T2" s="83">
        <f>+'Datos ICP (2)'!AX29</f>
        <v/>
      </c>
      <c r="U2" s="83">
        <f>+'Datos ICP (2)'!AY29</f>
        <v/>
      </c>
      <c r="V2" s="83">
        <f>+'Datos ICP (2)'!AZ29</f>
        <v/>
      </c>
      <c r="W2" s="83">
        <f>+'Datos ICP (2)'!BA29</f>
        <v/>
      </c>
      <c r="X2" s="83">
        <f>+'Datos ICP (2)'!BB29</f>
        <v/>
      </c>
    </row>
    <row r="3">
      <c r="C3" s="79" t="n"/>
      <c r="D3" s="80" t="n"/>
      <c r="E3" s="80" t="n"/>
      <c r="F3" s="80" t="n"/>
      <c r="G3" s="80" t="n"/>
      <c r="H3" s="80" t="n"/>
      <c r="I3" s="80" t="n"/>
      <c r="J3" s="80" t="n"/>
      <c r="K3" s="80" t="n"/>
      <c r="L3" s="80" t="n"/>
      <c r="M3" s="80" t="n"/>
      <c r="N3" s="80" t="n"/>
      <c r="O3" s="80" t="n"/>
      <c r="P3" s="80" t="n"/>
      <c r="Q3" s="80" t="n"/>
      <c r="R3" s="80" t="n"/>
      <c r="S3" s="82" t="inlineStr">
        <is>
          <t>Competencia</t>
        </is>
      </c>
      <c r="T3" s="83">
        <f>+'Datos ICP (2)'!AX30</f>
        <v/>
      </c>
      <c r="U3" s="83">
        <f>+'Datos ICP (2)'!AY30</f>
        <v/>
      </c>
      <c r="V3" s="83">
        <f>+'Datos ICP (2)'!AZ30</f>
        <v/>
      </c>
      <c r="W3" s="83">
        <f>+'Datos ICP (2)'!BA30</f>
        <v/>
      </c>
      <c r="X3" s="83">
        <f>+'Datos ICP (2)'!BB30</f>
        <v/>
      </c>
    </row>
    <row r="4">
      <c r="C4" s="79" t="n"/>
      <c r="D4" s="80" t="n"/>
      <c r="E4" s="80" t="n"/>
      <c r="F4" s="80" t="n"/>
      <c r="G4" s="80" t="n"/>
      <c r="H4" s="80" t="n"/>
      <c r="I4" s="80" t="n"/>
      <c r="J4" s="80" t="n"/>
      <c r="K4" s="80" t="n"/>
      <c r="L4" s="80" t="n"/>
      <c r="M4" s="80" t="n"/>
      <c r="N4" s="80" t="n"/>
      <c r="O4" s="80" t="n"/>
      <c r="P4" s="80" t="n"/>
      <c r="Q4" s="80" t="n"/>
      <c r="R4" s="80" t="n"/>
      <c r="S4" s="82" t="inlineStr">
        <is>
          <t>FIP Liquidez Caja</t>
        </is>
      </c>
      <c r="T4" s="83">
        <f>+'Datos ICP (2)'!AX31</f>
        <v/>
      </c>
      <c r="U4" s="83">
        <f>+'Datos ICP (2)'!AY31</f>
        <v/>
      </c>
      <c r="V4" s="83">
        <f>+'Datos ICP (2)'!AZ31</f>
        <v/>
      </c>
      <c r="W4" s="83">
        <f>+'Datos ICP (2)'!BA31</f>
        <v/>
      </c>
      <c r="X4" s="83">
        <f>+'Datos ICP (2)'!BB31</f>
        <v/>
      </c>
    </row>
    <row r="5">
      <c r="B5" s="8" t="n"/>
      <c r="C5" s="79" t="n"/>
      <c r="D5" s="80" t="n"/>
      <c r="E5" s="80" t="n"/>
      <c r="F5" s="80" t="n"/>
      <c r="G5" s="80" t="n"/>
      <c r="H5" s="80" t="n"/>
      <c r="I5" s="80" t="n"/>
      <c r="J5" s="80" t="n"/>
      <c r="K5" s="80" t="n"/>
      <c r="L5" s="80" t="n"/>
      <c r="M5" s="80" t="n"/>
      <c r="N5" s="80" t="n"/>
      <c r="O5" s="80" t="n"/>
      <c r="P5" s="80" t="n"/>
      <c r="Q5" s="80" t="n"/>
      <c r="R5" s="80" t="n"/>
      <c r="S5" s="80" t="n"/>
      <c r="T5" s="80" t="n"/>
      <c r="U5" s="80" t="n"/>
      <c r="V5" s="80" t="n"/>
      <c r="W5" s="80" t="n"/>
      <c r="X5" s="80" t="n"/>
    </row>
    <row r="6" ht="24" customHeight="1">
      <c r="B6" s="8" t="n"/>
      <c r="C6" s="92" t="inlineStr">
        <is>
          <t>Año</t>
        </is>
      </c>
      <c r="D6" s="93" t="inlineStr">
        <is>
          <t>Fondo</t>
        </is>
      </c>
      <c r="E6" s="94" t="inlineStr">
        <is>
          <t>Ene</t>
        </is>
      </c>
      <c r="F6" s="94" t="inlineStr">
        <is>
          <t>Feb</t>
        </is>
      </c>
      <c r="G6" s="94" t="inlineStr">
        <is>
          <t>Mar</t>
        </is>
      </c>
      <c r="H6" s="94" t="inlineStr">
        <is>
          <t>Abr</t>
        </is>
      </c>
      <c r="I6" s="94" t="inlineStr">
        <is>
          <t>May</t>
        </is>
      </c>
      <c r="J6" s="94" t="inlineStr">
        <is>
          <t>Jun</t>
        </is>
      </c>
      <c r="K6" s="94" t="inlineStr">
        <is>
          <t>Jul</t>
        </is>
      </c>
      <c r="L6" s="94" t="inlineStr">
        <is>
          <t>Ago</t>
        </is>
      </c>
      <c r="M6" s="94" t="inlineStr">
        <is>
          <t>Sep</t>
        </is>
      </c>
      <c r="N6" s="94" t="inlineStr">
        <is>
          <t>Oct</t>
        </is>
      </c>
      <c r="O6" s="94" t="inlineStr">
        <is>
          <t>Nov</t>
        </is>
      </c>
      <c r="P6" s="94" t="inlineStr">
        <is>
          <t>Dic</t>
        </is>
      </c>
      <c r="Q6" s="95" t="inlineStr">
        <is>
          <t>Total
Año</t>
        </is>
      </c>
      <c r="R6" s="81" t="n"/>
      <c r="S6" s="80" t="n"/>
      <c r="T6" s="80" t="n"/>
      <c r="U6" s="80" t="n"/>
      <c r="V6" s="80" t="n"/>
      <c r="W6" s="80" t="n"/>
      <c r="X6" s="80" t="n"/>
    </row>
    <row r="7" ht="6.6" customHeight="1">
      <c r="B7" s="8" t="n"/>
      <c r="C7" s="88" t="n"/>
      <c r="D7" s="89" t="n"/>
      <c r="E7" s="87" t="n"/>
      <c r="F7" s="87" t="n"/>
      <c r="G7" s="87" t="n"/>
      <c r="H7" s="87" t="n"/>
      <c r="I7" s="87" t="n"/>
      <c r="J7" s="87" t="n"/>
      <c r="K7" s="87" t="n"/>
      <c r="L7" s="87" t="n"/>
      <c r="M7" s="87" t="n"/>
      <c r="N7" s="87" t="n"/>
      <c r="O7" s="87" t="n"/>
      <c r="P7" s="87" t="n"/>
      <c r="Q7" s="87" t="n"/>
      <c r="R7" s="81" t="n"/>
      <c r="S7" s="80" t="n"/>
      <c r="T7" s="80" t="n"/>
      <c r="U7" s="80" t="n"/>
      <c r="V7" s="80" t="n"/>
      <c r="W7" s="80" t="n"/>
      <c r="X7" s="80" t="n"/>
    </row>
    <row r="8" ht="13.5" customHeight="1">
      <c r="B8" s="8" t="n"/>
      <c r="C8" s="90" t="n">
        <v>2013</v>
      </c>
      <c r="D8" s="89" t="inlineStr">
        <is>
          <t>ICP</t>
        </is>
      </c>
      <c r="E8" s="91" t="n">
        <v>0.004720891858172038</v>
      </c>
      <c r="F8" s="91" t="n">
        <v>0.003896230483797503</v>
      </c>
      <c r="G8" s="91" t="n">
        <v>0.003895074396785603</v>
      </c>
      <c r="H8" s="91" t="n">
        <v>0.004588119248703837</v>
      </c>
      <c r="I8" s="91" t="n">
        <v>0.004326475113041628</v>
      </c>
      <c r="J8" s="91" t="n">
        <v>0.003897473339470325</v>
      </c>
      <c r="K8" s="91" t="n">
        <v>0.004612897276212724</v>
      </c>
      <c r="L8" s="91" t="n">
        <v>0.004177009909331009</v>
      </c>
      <c r="M8" s="91" t="n">
        <v>0.004315232394324964</v>
      </c>
      <c r="N8" s="91" t="n">
        <v>0.004090765018891718</v>
      </c>
      <c r="O8" s="91" t="n">
        <v>0.003902442787745652</v>
      </c>
      <c r="P8" s="91" t="n">
        <v>0.003882149668333001</v>
      </c>
      <c r="Q8" s="91" t="n">
        <v>0.05148039334057763</v>
      </c>
      <c r="R8" s="80" t="n"/>
      <c r="S8" s="80" t="n"/>
      <c r="T8" s="80" t="n"/>
      <c r="U8" s="80" t="n"/>
      <c r="V8" s="80" t="n"/>
      <c r="W8" s="80" t="n"/>
      <c r="X8" s="80" t="n"/>
    </row>
    <row r="9" ht="13.5" customHeight="1">
      <c r="B9" s="8" t="n"/>
      <c r="C9" s="90" t="n">
        <v>2014</v>
      </c>
      <c r="D9" s="89" t="inlineStr">
        <is>
          <t>ICP</t>
        </is>
      </c>
      <c r="E9" s="91" t="n">
        <v>0.004004291998816134</v>
      </c>
      <c r="F9" s="91" t="n">
        <v>0.003432358332618346</v>
      </c>
      <c r="G9" s="91" t="n">
        <v>0.003549793034275384</v>
      </c>
      <c r="H9" s="91" t="n">
        <v>0.003337848999244608</v>
      </c>
      <c r="I9" s="91" t="n">
        <v>0.003337435689746204</v>
      </c>
      <c r="J9" s="91" t="n">
        <v>0.003449183615907847</v>
      </c>
      <c r="K9" s="91" t="n">
        <v>0.003351128983799079</v>
      </c>
      <c r="L9" s="91" t="n">
        <v>0.002948980214378505</v>
      </c>
      <c r="M9" s="91" t="n">
        <v>0.002968241307714559</v>
      </c>
      <c r="N9" s="91" t="n">
        <v>0.00262959692097664</v>
      </c>
      <c r="O9" s="91" t="n">
        <v>0.002422710893125402</v>
      </c>
      <c r="P9" s="91" t="n">
        <v>0.002671164173148943</v>
      </c>
      <c r="Q9" s="91" t="n">
        <v>0.03877407551059986</v>
      </c>
      <c r="R9" s="80" t="n"/>
      <c r="S9" s="80" t="n"/>
      <c r="T9" s="80" t="n"/>
      <c r="U9" s="80" t="n"/>
      <c r="V9" s="80" t="n"/>
      <c r="W9" s="80" t="n"/>
      <c r="X9" s="80" t="n"/>
    </row>
    <row r="10" ht="13.5" customHeight="1">
      <c r="B10" s="8" t="n"/>
      <c r="C10" s="90" t="n">
        <v>2015</v>
      </c>
      <c r="D10" s="89" t="inlineStr">
        <is>
          <t>ICP</t>
        </is>
      </c>
      <c r="E10" s="91" t="n">
        <v>0.002589125549866678</v>
      </c>
      <c r="F10" s="91" t="n">
        <v>0.002334975942764883</v>
      </c>
      <c r="G10" s="91" t="n">
        <v>0.002671755958437494</v>
      </c>
      <c r="H10" s="91" t="n">
        <v>0.002504953530369169</v>
      </c>
      <c r="I10" s="91" t="n">
        <v>0.002418444377299211</v>
      </c>
      <c r="J10" s="91" t="n">
        <v>0.002669154076479385</v>
      </c>
      <c r="K10" s="91" t="n">
        <v>0.002584624839254923</v>
      </c>
      <c r="L10" s="91" t="n">
        <v>0.002583994917680688</v>
      </c>
      <c r="M10" s="91" t="n">
        <v>0.002505725739772924</v>
      </c>
      <c r="N10" s="91" t="n">
        <v>0.002602706670876254</v>
      </c>
      <c r="O10" s="91" t="n">
        <v>0.002802500637612448</v>
      </c>
      <c r="P10" s="91" t="n">
        <v>0.002792280481798359</v>
      </c>
      <c r="Q10" s="91" t="n">
        <v>0.03150614518140782</v>
      </c>
      <c r="R10" s="80" t="n"/>
      <c r="S10" s="80" t="n"/>
      <c r="T10" s="80" t="n"/>
      <c r="U10" s="80" t="n"/>
      <c r="V10" s="80" t="n"/>
      <c r="W10" s="80" t="n"/>
      <c r="X10" s="80" t="n"/>
    </row>
    <row r="11" ht="13.5" customHeight="1">
      <c r="B11" s="8" t="n"/>
      <c r="C11" s="90" t="n">
        <v>2016</v>
      </c>
      <c r="D11" s="89" t="inlineStr">
        <is>
          <t>ICP</t>
        </is>
      </c>
      <c r="E11" s="91" t="n">
        <v>0.002921438488448835</v>
      </c>
      <c r="F11" s="91" t="n">
        <v>0.003018000556822331</v>
      </c>
      <c r="G11" s="91" t="n">
        <v>0.00301838909166019</v>
      </c>
      <c r="H11" s="91" t="n">
        <v>0.002822846885929042</v>
      </c>
      <c r="I11" s="91" t="n">
        <v>0.003116161143659424</v>
      </c>
      <c r="J11" s="91" t="n">
        <v>0.002920537791899935</v>
      </c>
      <c r="K11" s="91" t="n">
        <v>0.003017893299925856</v>
      </c>
      <c r="L11" s="91" t="n">
        <v>0.00301814267604783</v>
      </c>
      <c r="M11" s="91" t="n">
        <v>0.00292476533859487</v>
      </c>
      <c r="N11" s="91" t="n">
        <v>0.003013617796285617</v>
      </c>
      <c r="O11" s="91" t="n">
        <v>0.002920188075600016</v>
      </c>
      <c r="P11" s="91" t="n">
        <v>0.003040184485493924</v>
      </c>
      <c r="Q11" s="91" t="n">
        <v>0.03634383789022966</v>
      </c>
      <c r="R11" s="80" t="n"/>
      <c r="S11" s="80" t="n"/>
      <c r="T11" s="80" t="n"/>
      <c r="U11" s="80" t="n"/>
      <c r="V11" s="80" t="n"/>
      <c r="W11" s="80" t="n"/>
      <c r="X11" s="80" t="n"/>
    </row>
    <row r="12" ht="13.5" customHeight="1">
      <c r="B12" s="8" t="n"/>
      <c r="C12" s="90" t="n">
        <v>2017</v>
      </c>
      <c r="D12" s="89" t="inlineStr">
        <is>
          <t>ICP</t>
        </is>
      </c>
      <c r="E12" s="91" t="n">
        <v>0.002896540868399189</v>
      </c>
      <c r="F12" s="91" t="n">
        <v>0.002501519413841358</v>
      </c>
      <c r="G12" s="91" t="n">
        <v>0.002702122042893329</v>
      </c>
      <c r="H12" s="91" t="n">
        <v>0.002254912855054636</v>
      </c>
      <c r="I12" s="91" t="n">
        <v>0.002437468444250523</v>
      </c>
      <c r="J12" s="91" t="n">
        <v>0.002087257576092627</v>
      </c>
      <c r="K12" s="91" t="n">
        <v>0.002156491066410249</v>
      </c>
      <c r="L12" s="91" t="n">
        <v>0.002154109780528435</v>
      </c>
      <c r="M12" s="91" t="n">
        <v>0.002082509807634469</v>
      </c>
      <c r="N12" s="91" t="n">
        <v>0.002157852261354787</v>
      </c>
      <c r="O12" s="91" t="n">
        <v>0.002085958084420358</v>
      </c>
      <c r="P12" s="91" t="n">
        <v>0.0009027615992545091</v>
      </c>
      <c r="Q12" s="91" t="n">
        <v>0</v>
      </c>
      <c r="R12" s="80" t="n"/>
      <c r="S12" s="80" t="n"/>
      <c r="T12" s="80" t="n"/>
      <c r="U12" s="80" t="n"/>
      <c r="V12" s="80" t="n"/>
      <c r="W12" s="80" t="n"/>
      <c r="X12" s="80" t="n"/>
    </row>
    <row r="13" ht="13.5" customHeight="1">
      <c r="B13" s="8" t="n"/>
      <c r="C13" s="90" t="n">
        <v>2018</v>
      </c>
      <c r="D13" s="89" t="inlineStr">
        <is>
          <t>ICP</t>
        </is>
      </c>
      <c r="E13" s="91" t="n">
        <v>0.00340412389130984</v>
      </c>
      <c r="F13" s="91" t="n">
        <v>0.001942199084607132</v>
      </c>
      <c r="G13" s="91" t="n">
        <v>0.002154928926859867</v>
      </c>
      <c r="H13" s="91" t="n">
        <v>0.002078100365250135</v>
      </c>
      <c r="I13" s="91" t="n">
        <v>0.002140293999473464</v>
      </c>
      <c r="J13" s="91" t="n">
        <v>0.002087749345098366</v>
      </c>
      <c r="K13" s="91" t="n">
        <v>0.002154313407279673</v>
      </c>
      <c r="L13" s="91" t="n">
        <v>0.002145414616793406</v>
      </c>
      <c r="M13" s="91" t="n">
        <v>0.002048506974704711</v>
      </c>
      <c r="N13" s="91" t="n">
        <v>0.002275730838620538</v>
      </c>
      <c r="O13" s="91" t="n">
        <v>0.002292995721492108</v>
      </c>
      <c r="P13" s="91" t="n">
        <v>0.002367665594391832</v>
      </c>
      <c r="Q13" s="91" t="n">
        <v>0.02743016622240746</v>
      </c>
      <c r="R13" s="80" t="n"/>
      <c r="S13" s="80" t="n"/>
      <c r="T13" s="80" t="n"/>
      <c r="U13" s="80" t="n"/>
      <c r="V13" s="80" t="n"/>
      <c r="W13" s="80" t="n"/>
      <c r="X13" s="80" t="n"/>
    </row>
    <row r="14" ht="13.5" customHeight="1">
      <c r="B14" s="8" t="n"/>
      <c r="C14" s="90" t="n"/>
      <c r="D14" s="89" t="inlineStr">
        <is>
          <t>Competencia</t>
        </is>
      </c>
      <c r="E14" s="91" t="n"/>
      <c r="F14" s="91" t="n"/>
      <c r="G14" s="91" t="n"/>
      <c r="H14" s="91" t="n"/>
      <c r="I14" s="91" t="n"/>
      <c r="J14" s="91" t="n"/>
      <c r="K14" s="91" t="n"/>
      <c r="L14" s="91" t="n"/>
      <c r="M14" s="91" t="n"/>
      <c r="N14" s="91" t="n"/>
      <c r="O14" s="91" t="n">
        <v>0.001025332305824023</v>
      </c>
      <c r="P14" s="91" t="n">
        <v>0.001347286245270069</v>
      </c>
      <c r="Q14" s="91" t="n">
        <v>0.002418955555919311</v>
      </c>
      <c r="R14" s="80" t="n"/>
      <c r="S14" s="80" t="n"/>
      <c r="T14" s="80" t="n"/>
      <c r="U14" s="80" t="n"/>
      <c r="V14" s="80" t="n"/>
      <c r="W14" s="80" t="n"/>
      <c r="X14" s="80" t="n"/>
    </row>
    <row r="15" ht="13.5" customHeight="1">
      <c r="B15" s="8" t="n"/>
      <c r="C15" s="90" t="n"/>
      <c r="D15" s="88" t="inlineStr">
        <is>
          <t>FIP Liquidez Caja</t>
        </is>
      </c>
      <c r="E15" s="91" t="n"/>
      <c r="F15" s="91" t="n"/>
      <c r="G15" s="91" t="n"/>
      <c r="H15" s="91" t="n"/>
      <c r="I15" s="91" t="n"/>
      <c r="J15" s="91" t="n"/>
      <c r="K15" s="91" t="n"/>
      <c r="L15" s="91" t="n"/>
      <c r="M15" s="91" t="n"/>
      <c r="N15" s="91" t="n"/>
      <c r="O15" s="91" t="n">
        <v>0.003447800000000001</v>
      </c>
      <c r="P15" s="91" t="n">
        <v>0.00223337987695951</v>
      </c>
      <c r="Q15" s="91" t="n">
        <v>0.005763582794902744</v>
      </c>
      <c r="R15" s="80" t="n"/>
      <c r="S15" s="80" t="n"/>
      <c r="T15" s="80" t="n"/>
      <c r="U15" s="80" t="n"/>
      <c r="V15" s="80" t="n"/>
      <c r="W15" s="80" t="n"/>
      <c r="X15" s="80" t="n"/>
    </row>
    <row r="16" ht="13.5" customHeight="1">
      <c r="B16" s="8" t="n"/>
      <c r="C16" s="90" t="n">
        <v>2019</v>
      </c>
      <c r="D16" s="89" t="inlineStr">
        <is>
          <t>ICP</t>
        </is>
      </c>
      <c r="E16" s="91" t="n">
        <v>0.002450948891784988</v>
      </c>
      <c r="F16" s="91" t="n">
        <v>0.00225286279810244</v>
      </c>
      <c r="G16" s="91" t="n">
        <v>0.002583315446340162</v>
      </c>
      <c r="H16" s="91" t="n">
        <v>0.002500429803609538</v>
      </c>
      <c r="I16" s="91" t="n">
        <v>0.002585871703013609</v>
      </c>
      <c r="J16" s="91" t="n">
        <v>0.002220964745344833</v>
      </c>
      <c r="K16" s="91" t="n">
        <v>0.002146808420426582</v>
      </c>
      <c r="L16" s="91" t="n">
        <v>0.002155062764060744</v>
      </c>
      <c r="M16" s="91" t="n">
        <v>0.001721839086602284</v>
      </c>
      <c r="N16" s="91" t="n">
        <v>0.001671506238806852</v>
      </c>
      <c r="O16" s="91" t="n">
        <v>0.001421381285636514</v>
      </c>
      <c r="P16" s="91" t="n">
        <v>0.001483290511673951</v>
      </c>
      <c r="Q16" s="91" t="n">
        <v>0.02548625244544866</v>
      </c>
      <c r="R16" s="80" t="n"/>
      <c r="S16" s="80" t="n"/>
      <c r="T16" s="80" t="n"/>
      <c r="U16" s="80" t="n"/>
      <c r="V16" s="80" t="n"/>
      <c r="W16" s="80" t="n"/>
      <c r="X16" s="80" t="n"/>
    </row>
    <row r="17" ht="13.5" customHeight="1">
      <c r="B17" s="8" t="n"/>
      <c r="C17" s="90" t="n"/>
      <c r="D17" s="89" t="inlineStr">
        <is>
          <t>Competencia</t>
        </is>
      </c>
      <c r="E17" s="91" t="n">
        <v>0.001321015002584915</v>
      </c>
      <c r="F17" s="91" t="n">
        <v>0.001395573335575352</v>
      </c>
      <c r="G17" s="91" t="n">
        <v>0.001402213743186115</v>
      </c>
      <c r="H17" s="91" t="n">
        <v>0.001416686916613896</v>
      </c>
      <c r="I17" s="91" t="n">
        <v>0.001323276436851</v>
      </c>
      <c r="J17" s="91" t="n">
        <v>0.00119907123395202</v>
      </c>
      <c r="K17" s="91" t="n">
        <v>0.001003694037186354</v>
      </c>
      <c r="L17" s="91" t="n">
        <v>0.0009309805506135982</v>
      </c>
      <c r="M17" s="91" t="n">
        <v>0.00106831679127084</v>
      </c>
      <c r="N17" s="91" t="n">
        <v>0.0006293178350354425</v>
      </c>
      <c r="O17" s="91" t="n">
        <v>0.0006917263179451183</v>
      </c>
      <c r="P17" s="91" t="n">
        <v>0.0006004128193114861</v>
      </c>
      <c r="Q17" s="91" t="n">
        <v>0.01320838559345905</v>
      </c>
      <c r="R17" s="80" t="n"/>
      <c r="S17" s="80" t="n"/>
      <c r="T17" s="80" t="n"/>
      <c r="U17" s="80" t="n"/>
      <c r="V17" s="80" t="n"/>
      <c r="W17" s="80" t="n"/>
      <c r="X17" s="80" t="n"/>
    </row>
    <row r="18" ht="13.5" customHeight="1">
      <c r="C18" s="90" t="n"/>
      <c r="D18" s="88" t="inlineStr">
        <is>
          <t>FIP Liquidez Caja</t>
        </is>
      </c>
      <c r="E18" s="91" t="n">
        <v>0.001750908493928979</v>
      </c>
      <c r="F18" s="91" t="n">
        <v>0.001739452099960689</v>
      </c>
      <c r="G18" s="91" t="n">
        <v>0.001842337914871782</v>
      </c>
      <c r="H18" s="91" t="n">
        <v>0.001875901736569041</v>
      </c>
      <c r="I18" s="91" t="n">
        <v>0.00212312685865996</v>
      </c>
      <c r="J18" s="91" t="n">
        <v>0.001995745555877892</v>
      </c>
      <c r="K18" s="91" t="n">
        <v>0.002000103858479446</v>
      </c>
      <c r="L18" s="91" t="n">
        <v>0.001802314108660798</v>
      </c>
      <c r="M18" s="91" t="n">
        <v>0.001126324071500928</v>
      </c>
      <c r="N18" s="91" t="n">
        <v>0.0009467889806377604</v>
      </c>
      <c r="O18" s="91" t="n">
        <v>0.0009035236793113466</v>
      </c>
      <c r="P18" s="91" t="n">
        <v>0.001326962616749526</v>
      </c>
      <c r="Q18" s="91" t="n">
        <v>0.01988857057680837</v>
      </c>
      <c r="R18" s="80" t="n"/>
      <c r="S18" s="80" t="n"/>
      <c r="T18" s="80" t="n"/>
      <c r="U18" s="80" t="n"/>
      <c r="V18" s="80" t="n"/>
      <c r="W18" s="80" t="n"/>
      <c r="X18" s="80" t="n"/>
    </row>
    <row r="19" ht="13.5" customHeight="1">
      <c r="C19" s="90" t="n">
        <v>2020</v>
      </c>
      <c r="D19" s="89" t="inlineStr">
        <is>
          <t>ICP</t>
        </is>
      </c>
      <c r="E19" s="91" t="n">
        <v>0.001655808499746225</v>
      </c>
      <c r="F19" s="91" t="n">
        <v>0.001379858614155793</v>
      </c>
      <c r="G19" s="91" t="n">
        <v>0.001133705445194089</v>
      </c>
      <c r="H19" s="91" t="n">
        <v>0.0004563891841580237</v>
      </c>
      <c r="I19" s="91" t="n">
        <v>0.0004561809880891943</v>
      </c>
      <c r="J19" s="91" t="n">
        <v>0.0004559729818836011</v>
      </c>
      <c r="K19" s="91" t="n">
        <v>0.0004557651652823402</v>
      </c>
      <c r="L19" s="91" t="n">
        <v>0.0002708007149561098</v>
      </c>
      <c r="M19" s="91" t="n">
        <v>0.0003810237506562952</v>
      </c>
      <c r="N19" s="91">
        <f>+'Datos ICP (2)'!AN69</f>
        <v/>
      </c>
      <c r="O19" s="91">
        <f>+'Datos ICP (2)'!AO69</f>
        <v/>
      </c>
      <c r="P19" s="91">
        <f>+'Datos ICP (2)'!AP69</f>
        <v/>
      </c>
      <c r="Q19" s="91">
        <f>+'Datos ICP (2)'!AQ69</f>
        <v/>
      </c>
      <c r="R19" s="80" t="n"/>
      <c r="S19" s="80" t="n"/>
      <c r="T19" s="80" t="n"/>
      <c r="U19" s="80" t="n"/>
      <c r="V19" s="80" t="n"/>
      <c r="W19" s="80" t="n"/>
      <c r="X19" s="80" t="n"/>
    </row>
    <row r="20" ht="13.5" customHeight="1">
      <c r="C20" s="90" t="n"/>
      <c r="D20" s="89" t="inlineStr">
        <is>
          <t>Competencia</t>
        </is>
      </c>
      <c r="E20" s="91" t="n">
        <v>0.0004940484389139424</v>
      </c>
      <c r="F20" s="91" t="n">
        <v>0.0004928912856495587</v>
      </c>
      <c r="G20" s="91" t="n">
        <v>0.0009179826206113938</v>
      </c>
      <c r="H20" s="91" t="n">
        <v>0.002200086633163512</v>
      </c>
      <c r="I20" s="91" t="n">
        <v>0.0001551054345763009</v>
      </c>
      <c r="J20" s="91" t="n">
        <v>0.000160249931572487</v>
      </c>
      <c r="K20" s="91" t="n">
        <v>9.687900242264407e-05</v>
      </c>
      <c r="L20" s="91" t="n">
        <v>0.0001852946054113221</v>
      </c>
      <c r="M20" s="91" t="n">
        <v>7.087069221300979e-05</v>
      </c>
      <c r="N20" s="91">
        <f>+'Datos ICP (2)'!AN70</f>
        <v/>
      </c>
      <c r="O20" s="91">
        <f>+'Datos ICP (2)'!AO70</f>
        <v/>
      </c>
      <c r="P20" s="91">
        <f>+'Datos ICP (2)'!AP70</f>
        <v/>
      </c>
      <c r="Q20" s="91">
        <f>+'Datos ICP (2)'!AQ70</f>
        <v/>
      </c>
      <c r="R20" s="80" t="n"/>
      <c r="S20" s="80" t="n"/>
      <c r="T20" s="80" t="n"/>
      <c r="U20" s="80" t="n"/>
      <c r="V20" s="80" t="n"/>
      <c r="W20" s="80" t="n"/>
      <c r="X20" s="80" t="n"/>
    </row>
    <row r="21" ht="13.5" customHeight="1">
      <c r="C21" s="90" t="n"/>
      <c r="D21" s="88" t="inlineStr">
        <is>
          <t>FIP Liquidez Caja</t>
        </is>
      </c>
      <c r="E21" s="91" t="n">
        <v>0.001285106488626277</v>
      </c>
      <c r="F21" s="91" t="n">
        <v>0.0006299783195968646</v>
      </c>
      <c r="G21" s="91" t="n">
        <v>0.0006837016605905937</v>
      </c>
      <c r="H21" s="91" t="n">
        <v>0.001369690471632934</v>
      </c>
      <c r="I21" s="91" t="n">
        <v>0.001319183506835231</v>
      </c>
      <c r="J21" s="91" t="n">
        <v>0.001272383132684407</v>
      </c>
      <c r="K21" s="91" t="n">
        <v>0.001133899776604021</v>
      </c>
      <c r="L21" s="91" t="n">
        <v>0.001145584366907081</v>
      </c>
      <c r="M21" s="91" t="n">
        <v>0.001086142602647167</v>
      </c>
      <c r="N21" s="91">
        <f>+'Datos ICP (2)'!AN71</f>
        <v/>
      </c>
      <c r="O21" s="91">
        <f>+'Datos ICP (2)'!AO71</f>
        <v/>
      </c>
      <c r="P21" s="91">
        <f>+'Datos ICP (2)'!AP71</f>
        <v/>
      </c>
      <c r="Q21" s="91">
        <f>+'Datos ICP (2)'!AQ71</f>
        <v/>
      </c>
      <c r="R21" s="80" t="n"/>
      <c r="S21" s="80" t="n"/>
      <c r="T21" s="80" t="n"/>
      <c r="U21" s="80" t="n"/>
      <c r="V21" s="80" t="n"/>
      <c r="W21" s="80" t="n"/>
      <c r="X21" s="80" t="n"/>
    </row>
    <row r="22" ht="13.5" customHeight="1">
      <c r="C22" s="90" t="n">
        <v>2021</v>
      </c>
      <c r="D22" s="89" t="inlineStr">
        <is>
          <t>ICP</t>
        </is>
      </c>
      <c r="E22" s="91">
        <f>+'Datos ICP (2)'!AE72</f>
        <v/>
      </c>
      <c r="F22" s="91">
        <f>+'Datos ICP (2)'!AF72</f>
        <v/>
      </c>
      <c r="G22" s="91">
        <f>+'Datos ICP (2)'!AG72</f>
        <v/>
      </c>
      <c r="H22" s="91">
        <f>+'Datos ICP (2)'!AH72</f>
        <v/>
      </c>
      <c r="I22" s="91">
        <f>+'Datos ICP (2)'!AI72</f>
        <v/>
      </c>
      <c r="J22" s="91">
        <f>+'Datos ICP (2)'!AJ72</f>
        <v/>
      </c>
      <c r="K22" s="91">
        <f>+'Datos ICP (2)'!AK72</f>
        <v/>
      </c>
      <c r="L22" s="91">
        <f>+'Datos ICP (2)'!AL72</f>
        <v/>
      </c>
      <c r="M22" s="91">
        <f>+'Datos ICP (2)'!AM72</f>
        <v/>
      </c>
      <c r="N22" s="91">
        <f>+'Datos ICP (2)'!AN72</f>
        <v/>
      </c>
      <c r="O22" s="91">
        <f>+'Datos ICP (2)'!AO72</f>
        <v/>
      </c>
      <c r="P22" s="91">
        <f>+'Datos ICP (2)'!AP72</f>
        <v/>
      </c>
      <c r="Q22" s="91">
        <f>+'Datos ICP (2)'!AQ72</f>
        <v/>
      </c>
      <c r="R22" s="80" t="n"/>
      <c r="S22" s="80" t="n"/>
      <c r="T22" s="80" t="n"/>
      <c r="U22" s="80" t="n"/>
      <c r="V22" s="80" t="n"/>
      <c r="W22" s="80" t="n"/>
      <c r="X22" s="80" t="n"/>
    </row>
    <row r="23" ht="13.5" customHeight="1">
      <c r="C23" s="90" t="n"/>
      <c r="D23" s="89" t="inlineStr">
        <is>
          <t>Competencia</t>
        </is>
      </c>
      <c r="E23" s="91">
        <f>+'Datos ICP (2)'!AE73</f>
        <v/>
      </c>
      <c r="F23" s="91">
        <f>+'Datos ICP (2)'!AF73</f>
        <v/>
      </c>
      <c r="G23" s="91">
        <f>+'Datos ICP (2)'!AG73</f>
        <v/>
      </c>
      <c r="H23" s="91">
        <f>+'Datos ICP (2)'!AH73</f>
        <v/>
      </c>
      <c r="I23" s="91">
        <f>+'Datos ICP (2)'!AI73</f>
        <v/>
      </c>
      <c r="J23" s="91">
        <f>+'Datos ICP (2)'!AJ73</f>
        <v/>
      </c>
      <c r="K23" s="91">
        <f>+'Datos ICP (2)'!AK73</f>
        <v/>
      </c>
      <c r="L23" s="91">
        <f>+'Datos ICP (2)'!AL73</f>
        <v/>
      </c>
      <c r="M23" s="91">
        <f>+'Datos ICP (2)'!AM73</f>
        <v/>
      </c>
      <c r="N23" s="91">
        <f>+'Datos ICP (2)'!AN73</f>
        <v/>
      </c>
      <c r="O23" s="91">
        <f>+'Datos ICP (2)'!AO73</f>
        <v/>
      </c>
      <c r="P23" s="91">
        <f>+'Datos ICP (2)'!AP73</f>
        <v/>
      </c>
      <c r="Q23" s="91">
        <f>+'Datos ICP (2)'!AQ73</f>
        <v/>
      </c>
      <c r="R23" s="80" t="n"/>
      <c r="S23" s="80" t="n"/>
      <c r="T23" s="80" t="n"/>
      <c r="U23" s="80" t="n"/>
      <c r="V23" s="80" t="n"/>
      <c r="W23" s="80" t="n"/>
      <c r="X23" s="80" t="n"/>
    </row>
    <row r="24" ht="13.5" customHeight="1">
      <c r="C24" s="90" t="n"/>
      <c r="D24" s="88" t="inlineStr">
        <is>
          <t>FIP Liquidez Caja</t>
        </is>
      </c>
      <c r="E24" s="91">
        <f>+'Datos ICP (2)'!AE74</f>
        <v/>
      </c>
      <c r="F24" s="91">
        <f>+'Datos ICP (2)'!AF74</f>
        <v/>
      </c>
      <c r="G24" s="91">
        <f>+'Datos ICP (2)'!AG74</f>
        <v/>
      </c>
      <c r="H24" s="91">
        <f>+'Datos ICP (2)'!AH74</f>
        <v/>
      </c>
      <c r="I24" s="91">
        <f>+'Datos ICP (2)'!AI74</f>
        <v/>
      </c>
      <c r="J24" s="91">
        <f>+'Datos ICP (2)'!AJ74</f>
        <v/>
      </c>
      <c r="K24" s="91">
        <f>+'Datos ICP (2)'!AK74</f>
        <v/>
      </c>
      <c r="L24" s="91">
        <f>+'Datos ICP (2)'!AL74</f>
        <v/>
      </c>
      <c r="M24" s="91">
        <f>+'Datos ICP (2)'!AM74</f>
        <v/>
      </c>
      <c r="N24" s="91">
        <f>+'Datos ICP (2)'!AN74</f>
        <v/>
      </c>
      <c r="O24" s="91">
        <f>+'Datos ICP (2)'!AO74</f>
        <v/>
      </c>
      <c r="P24" s="91">
        <f>+'Datos ICP (2)'!AP74</f>
        <v/>
      </c>
      <c r="Q24" s="91">
        <f>+'Datos ICP (2)'!AQ74</f>
        <v/>
      </c>
      <c r="R24" s="80" t="n"/>
      <c r="S24" s="80" t="n"/>
      <c r="T24" s="80" t="n"/>
      <c r="U24" s="80" t="n"/>
      <c r="V24" s="80" t="n"/>
      <c r="W24" s="80" t="n"/>
      <c r="X24" s="80" t="n"/>
    </row>
    <row r="25" ht="13.5" customHeight="1">
      <c r="C25" s="90" t="n">
        <v>2022</v>
      </c>
      <c r="D25" s="89" t="inlineStr">
        <is>
          <t>ICP</t>
        </is>
      </c>
      <c r="E25" s="91">
        <f>+'Datos ICP (2)'!AE75</f>
        <v/>
      </c>
      <c r="F25" s="91">
        <f>+'Datos ICP (2)'!AF75</f>
        <v/>
      </c>
      <c r="G25" s="91">
        <f>+'Datos ICP (2)'!AG75</f>
        <v/>
      </c>
      <c r="H25" s="91">
        <f>+'Datos ICP (2)'!AH75</f>
        <v/>
      </c>
      <c r="I25" s="91">
        <f>+'Datos ICP (2)'!AI75</f>
        <v/>
      </c>
      <c r="J25" s="91">
        <f>+'Datos ICP (2)'!AJ75</f>
        <v/>
      </c>
      <c r="K25" s="91">
        <f>+'Datos ICP (2)'!AK75</f>
        <v/>
      </c>
      <c r="L25" s="91">
        <f>+'Datos ICP (2)'!AL75</f>
        <v/>
      </c>
      <c r="M25" s="91">
        <f>+'Datos ICP (2)'!AM75</f>
        <v/>
      </c>
      <c r="N25" s="91">
        <f>+'Datos ICP (2)'!AN75</f>
        <v/>
      </c>
      <c r="O25" s="91">
        <f>+'Datos ICP (2)'!AO75</f>
        <v/>
      </c>
      <c r="P25" s="91">
        <f>+'Datos ICP (2)'!AP75</f>
        <v/>
      </c>
      <c r="Q25" s="91">
        <f>+'Datos ICP (2)'!AQ75</f>
        <v/>
      </c>
      <c r="R25" s="80" t="n"/>
      <c r="S25" s="80" t="n"/>
      <c r="T25" s="80" t="n"/>
      <c r="U25" s="80" t="n"/>
      <c r="V25" s="80" t="n"/>
      <c r="W25" s="80" t="n"/>
      <c r="X25" s="80" t="n"/>
    </row>
    <row r="26" ht="13.5" customHeight="1">
      <c r="C26" s="90" t="n"/>
      <c r="D26" s="89" t="inlineStr">
        <is>
          <t>Competencia</t>
        </is>
      </c>
      <c r="E26" s="91">
        <f>+'Datos ICP (2)'!AE76</f>
        <v/>
      </c>
      <c r="F26" s="91">
        <f>+'Datos ICP (2)'!AF76</f>
        <v/>
      </c>
      <c r="G26" s="91">
        <f>+'Datos ICP (2)'!AG76</f>
        <v/>
      </c>
      <c r="H26" s="91">
        <f>+'Datos ICP (2)'!AH76</f>
        <v/>
      </c>
      <c r="I26" s="91">
        <f>+'Datos ICP (2)'!AI76</f>
        <v/>
      </c>
      <c r="J26" s="91">
        <f>+'Datos ICP (2)'!AJ76</f>
        <v/>
      </c>
      <c r="K26" s="91">
        <f>+'Datos ICP (2)'!AK76</f>
        <v/>
      </c>
      <c r="L26" s="91">
        <f>+'Datos ICP (2)'!AL76</f>
        <v/>
      </c>
      <c r="M26" s="91">
        <f>+'Datos ICP (2)'!AM76</f>
        <v/>
      </c>
      <c r="N26" s="91">
        <f>+'Datos ICP (2)'!AN76</f>
        <v/>
      </c>
      <c r="O26" s="91">
        <f>+'Datos ICP (2)'!AO76</f>
        <v/>
      </c>
      <c r="P26" s="91">
        <f>+'Datos ICP (2)'!AP76</f>
        <v/>
      </c>
      <c r="Q26" s="91">
        <f>+'Datos ICP (2)'!AQ76</f>
        <v/>
      </c>
      <c r="R26" s="80" t="n"/>
      <c r="S26" s="80" t="n"/>
      <c r="T26" s="80" t="n"/>
      <c r="U26" s="80" t="n"/>
      <c r="V26" s="80" t="n"/>
      <c r="W26" s="80" t="n"/>
      <c r="X26" s="80" t="n"/>
    </row>
    <row r="27" ht="13.5" customHeight="1">
      <c r="C27" s="90" t="n"/>
      <c r="D27" s="88" t="inlineStr">
        <is>
          <t>FIP Liquidez Caja</t>
        </is>
      </c>
      <c r="E27" s="91">
        <f>+'Datos ICP (2)'!AE77</f>
        <v/>
      </c>
      <c r="F27" s="91">
        <f>+'Datos ICP (2)'!AF77</f>
        <v/>
      </c>
      <c r="G27" s="91">
        <f>+'Datos ICP (2)'!AG77</f>
        <v/>
      </c>
      <c r="H27" s="91">
        <f>+'Datos ICP (2)'!AH77</f>
        <v/>
      </c>
      <c r="I27" s="91">
        <f>+'Datos ICP (2)'!AI77</f>
        <v/>
      </c>
      <c r="J27" s="91">
        <f>+'Datos ICP (2)'!AJ77</f>
        <v/>
      </c>
      <c r="K27" s="91">
        <f>+'Datos ICP (2)'!AK77</f>
        <v/>
      </c>
      <c r="L27" s="91">
        <f>+'Datos ICP (2)'!AL77</f>
        <v/>
      </c>
      <c r="M27" s="91">
        <f>+'Datos ICP (2)'!AM77</f>
        <v/>
      </c>
      <c r="N27" s="91">
        <f>+'Datos ICP (2)'!AN77</f>
        <v/>
      </c>
      <c r="O27" s="91">
        <f>+'Datos ICP (2)'!AO77</f>
        <v/>
      </c>
      <c r="P27" s="91">
        <f>+'Datos ICP (2)'!AP77</f>
        <v/>
      </c>
      <c r="Q27" s="91">
        <f>+'Datos ICP (2)'!AQ77</f>
        <v/>
      </c>
      <c r="R27" s="80" t="n"/>
      <c r="S27" s="80" t="n"/>
      <c r="T27" s="80" t="n"/>
      <c r="U27" s="80" t="n"/>
      <c r="V27" s="80" t="n"/>
      <c r="W27" s="80" t="n"/>
      <c r="X27" s="80" t="n"/>
    </row>
    <row r="28" ht="13.5" customHeight="1">
      <c r="C28" s="90" t="n"/>
      <c r="D28" s="88" t="inlineStr">
        <is>
          <t>FIP Liquidez Caja</t>
        </is>
      </c>
      <c r="E28" s="91">
        <f>+'Datos ICP (2)'!AE78</f>
        <v/>
      </c>
      <c r="F28" s="91">
        <f>+'Datos ICP (2)'!AF78</f>
        <v/>
      </c>
      <c r="G28" s="91">
        <f>+'Datos ICP (2)'!AG78</f>
        <v/>
      </c>
      <c r="H28" s="91">
        <f>+'Datos ICP (2)'!AH78</f>
        <v/>
      </c>
      <c r="I28" s="91">
        <f>+'Datos ICP (2)'!AI78</f>
        <v/>
      </c>
      <c r="J28" s="91">
        <f>+'Datos ICP (2)'!AJ78</f>
        <v/>
      </c>
      <c r="K28" s="91">
        <f>+'Datos ICP (2)'!AK78</f>
        <v/>
      </c>
      <c r="L28" s="91">
        <f>+'Datos ICP (2)'!AL78</f>
        <v/>
      </c>
      <c r="M28" s="91">
        <f>+'Datos ICP (2)'!AM78</f>
        <v/>
      </c>
      <c r="N28" s="91">
        <f>+'Datos ICP (2)'!AN78</f>
        <v/>
      </c>
      <c r="O28" s="91">
        <f>+'Datos ICP (2)'!AO78</f>
        <v/>
      </c>
      <c r="P28" s="91">
        <f>+'Datos ICP (2)'!AP78</f>
        <v/>
      </c>
      <c r="Q28" s="91">
        <f>+'Datos ICP (2)'!AQ78</f>
        <v/>
      </c>
      <c r="R28" s="80" t="n"/>
      <c r="S28" s="80" t="n"/>
      <c r="T28" s="80" t="n"/>
      <c r="U28" s="80" t="n"/>
      <c r="V28" s="80" t="n"/>
      <c r="W28" s="80" t="n"/>
      <c r="X28" s="80" t="n"/>
    </row>
    <row r="29" ht="13.5" customHeight="1">
      <c r="C29" s="90" t="n">
        <v>2023</v>
      </c>
      <c r="D29" s="89" t="inlineStr">
        <is>
          <t>ICP</t>
        </is>
      </c>
      <c r="E29" s="91">
        <f>+'Datos ICP (2)'!AE78</f>
        <v/>
      </c>
      <c r="F29" s="91">
        <f>+'Datos ICP (2)'!AF78</f>
        <v/>
      </c>
      <c r="G29" s="91">
        <f>+'Datos ICP (2)'!AG78</f>
        <v/>
      </c>
      <c r="H29" s="91">
        <f>+'Datos ICP (2)'!AH78</f>
        <v/>
      </c>
      <c r="I29" s="91">
        <f>+'Datos ICP (2)'!AI78</f>
        <v/>
      </c>
      <c r="J29" s="91">
        <f>+'Datos ICP (2)'!AJ78</f>
        <v/>
      </c>
      <c r="K29" s="91">
        <f>+'Datos ICP (2)'!AK78</f>
        <v/>
      </c>
      <c r="L29" s="91">
        <f>+'Datos ICP (2)'!AL78</f>
        <v/>
      </c>
      <c r="M29" s="91">
        <f>+'Datos ICP (2)'!AM78</f>
        <v/>
      </c>
      <c r="N29" s="91">
        <f>+'Datos ICP (2)'!AN78</f>
        <v/>
      </c>
      <c r="O29" s="91">
        <f>+'Datos ICP (2)'!AO78</f>
        <v/>
      </c>
      <c r="P29" s="91">
        <f>+'Datos ICP (2)'!AP78</f>
        <v/>
      </c>
      <c r="Q29" s="91">
        <f>+'Datos ICP (2)'!AQ78</f>
        <v/>
      </c>
      <c r="R29" s="80" t="n"/>
      <c r="S29" s="80" t="n"/>
      <c r="T29" s="80" t="n"/>
      <c r="U29" s="80" t="n"/>
      <c r="V29" s="80" t="n"/>
      <c r="W29" s="80" t="n"/>
      <c r="X29" s="80" t="n"/>
    </row>
    <row r="30" ht="13.5" customHeight="1">
      <c r="C30" s="90" t="n"/>
      <c r="D30" s="89" t="inlineStr">
        <is>
          <t>Competencia</t>
        </is>
      </c>
      <c r="E30" s="91">
        <f>+'Datos ICP (2)'!AE79</f>
        <v/>
      </c>
      <c r="F30" s="91">
        <f>+'Datos ICP (2)'!AF79</f>
        <v/>
      </c>
      <c r="G30" s="91">
        <f>+'Datos ICP (2)'!AG79</f>
        <v/>
      </c>
      <c r="H30" s="91">
        <f>+'Datos ICP (2)'!AH79</f>
        <v/>
      </c>
      <c r="I30" s="91">
        <f>+'Datos ICP (2)'!AI79</f>
        <v/>
      </c>
      <c r="J30" s="91">
        <f>+'Datos ICP (2)'!AJ79</f>
        <v/>
      </c>
      <c r="K30" s="91">
        <f>+'Datos ICP (2)'!AK79</f>
        <v/>
      </c>
      <c r="L30" s="91">
        <f>+'Datos ICP (2)'!AL79</f>
        <v/>
      </c>
      <c r="M30" s="91">
        <f>+'Datos ICP (2)'!AM79</f>
        <v/>
      </c>
      <c r="N30" s="91">
        <f>+'Datos ICP (2)'!AN79</f>
        <v/>
      </c>
      <c r="O30" s="91">
        <f>+'Datos ICP (2)'!AO79</f>
        <v/>
      </c>
      <c r="P30" s="91">
        <f>+'Datos ICP (2)'!AP79</f>
        <v/>
      </c>
      <c r="Q30" s="91">
        <f>+'Datos ICP (2)'!AQ79</f>
        <v/>
      </c>
      <c r="R30" s="80" t="n"/>
      <c r="S30" s="80" t="n"/>
      <c r="T30" s="80" t="n"/>
      <c r="U30" s="80" t="n"/>
      <c r="V30" s="80" t="n"/>
      <c r="W30" s="80" t="n"/>
      <c r="X30" s="80" t="n"/>
    </row>
    <row r="31" ht="13.5" customHeight="1">
      <c r="C31" s="90" t="n"/>
      <c r="D31" s="88" t="inlineStr">
        <is>
          <t>FIP Liquidez Caja</t>
        </is>
      </c>
      <c r="E31" s="91">
        <f>+'Datos ICP (2)'!AE80</f>
        <v/>
      </c>
      <c r="F31" s="91">
        <f>+'Datos ICP (2)'!AF80</f>
        <v/>
      </c>
      <c r="G31" s="91">
        <f>+'Datos ICP (2)'!AG80</f>
        <v/>
      </c>
      <c r="H31" s="91">
        <f>+'Datos ICP (2)'!AH80</f>
        <v/>
      </c>
      <c r="I31" s="91">
        <f>+'Datos ICP (2)'!AI80</f>
        <v/>
      </c>
      <c r="J31" s="91">
        <f>+'Datos ICP (2)'!AJ80</f>
        <v/>
      </c>
      <c r="K31" s="91">
        <f>+'Datos ICP (2)'!AK80</f>
        <v/>
      </c>
      <c r="L31" s="91">
        <f>+'Datos ICP (2)'!AL80</f>
        <v/>
      </c>
      <c r="M31" s="91">
        <f>+'Datos ICP (2)'!AM80</f>
        <v/>
      </c>
      <c r="N31" s="91">
        <f>+'Datos ICP (2)'!AN80</f>
        <v/>
      </c>
      <c r="O31" s="91">
        <f>+'Datos ICP (2)'!AO80</f>
        <v/>
      </c>
      <c r="P31" s="91">
        <f>+'Datos ICP (2)'!AP80</f>
        <v/>
      </c>
      <c r="Q31" s="91">
        <f>+'Datos ICP (2)'!AQ80</f>
        <v/>
      </c>
      <c r="R31" s="80" t="n"/>
      <c r="S31" s="80" t="n"/>
      <c r="T31" s="80" t="n"/>
      <c r="U31" s="80" t="n"/>
      <c r="V31" s="80" t="n"/>
      <c r="W31" s="80" t="n"/>
      <c r="X31" s="80" t="n"/>
    </row>
    <row r="32">
      <c r="C32" s="90" t="n">
        <v>2024</v>
      </c>
      <c r="D32" s="89" t="inlineStr">
        <is>
          <t>ICP</t>
        </is>
      </c>
      <c r="E32" s="91">
        <f>+'Datos ICP (2)'!AE81</f>
        <v/>
      </c>
      <c r="F32" s="91">
        <f>+'Datos ICP (2)'!AF81</f>
        <v/>
      </c>
      <c r="G32" s="91">
        <f>+'Datos ICP (2)'!AG81</f>
        <v/>
      </c>
      <c r="H32" s="91">
        <f>+'Datos ICP (2)'!AH81</f>
        <v/>
      </c>
      <c r="I32" s="91">
        <f>+'Datos ICP (2)'!AI81</f>
        <v/>
      </c>
      <c r="J32" s="91">
        <f>+'Datos ICP (2)'!AJ81</f>
        <v/>
      </c>
      <c r="K32" s="91">
        <f>+'Datos ICP (2)'!AK81</f>
        <v/>
      </c>
      <c r="L32" s="91">
        <f>+'Datos ICP (2)'!AL81</f>
        <v/>
      </c>
      <c r="M32" s="91">
        <f>+'Datos ICP (2)'!AM81</f>
        <v/>
      </c>
      <c r="N32" s="91">
        <f>+'Datos ICP (2)'!AN81</f>
        <v/>
      </c>
      <c r="O32" s="91">
        <f>+'Datos ICP (2)'!AO81</f>
        <v/>
      </c>
      <c r="P32" s="91">
        <f>+'Datos ICP (2)'!AP81</f>
        <v/>
      </c>
      <c r="Q32" s="91">
        <f>+'Datos ICP (2)'!AQ81</f>
        <v/>
      </c>
      <c r="R32" s="80" t="n"/>
      <c r="S32" s="80" t="n"/>
      <c r="T32" s="80" t="n"/>
      <c r="U32" s="80" t="n"/>
      <c r="V32" s="80" t="n"/>
      <c r="W32" s="80" t="n"/>
      <c r="X32" s="80" t="n"/>
    </row>
    <row r="33">
      <c r="C33" s="90" t="n"/>
      <c r="D33" s="89" t="inlineStr">
        <is>
          <t>Competencia</t>
        </is>
      </c>
      <c r="E33" s="91">
        <f>+'Datos ICP (2)'!AE82</f>
        <v/>
      </c>
      <c r="F33" s="91">
        <f>+'Datos ICP (2)'!AF82</f>
        <v/>
      </c>
      <c r="G33" s="91">
        <f>+'Datos ICP (2)'!AG82</f>
        <v/>
      </c>
      <c r="H33" s="91">
        <f>+'Datos ICP (2)'!AH82</f>
        <v/>
      </c>
      <c r="I33" s="91">
        <f>+'Datos ICP (2)'!AI82</f>
        <v/>
      </c>
      <c r="J33" s="91">
        <f>+'Datos ICP (2)'!AJ82</f>
        <v/>
      </c>
      <c r="K33" s="91">
        <f>+'Datos ICP (2)'!AK82</f>
        <v/>
      </c>
      <c r="L33" s="91">
        <f>+'Datos ICP (2)'!AL82</f>
        <v/>
      </c>
      <c r="M33" s="91">
        <f>+'Datos ICP (2)'!AM82</f>
        <v/>
      </c>
      <c r="N33" s="91">
        <f>+'Datos ICP (2)'!AN82</f>
        <v/>
      </c>
      <c r="O33" s="91">
        <f>+'Datos ICP (2)'!AO82</f>
        <v/>
      </c>
      <c r="P33" s="91">
        <f>+'Datos ICP (2)'!AP82</f>
        <v/>
      </c>
      <c r="Q33" s="91">
        <f>+'Datos ICP (2)'!AQ82</f>
        <v/>
      </c>
    </row>
    <row r="34">
      <c r="C34" s="90" t="n"/>
      <c r="D34" s="88" t="inlineStr">
        <is>
          <t>FIP Liquidez Caja</t>
        </is>
      </c>
      <c r="E34" s="91">
        <f>+'Datos ICP (2)'!AE83</f>
        <v/>
      </c>
      <c r="F34" s="91">
        <f>+'Datos ICP (2)'!AF83</f>
        <v/>
      </c>
      <c r="G34" s="91">
        <f>+'Datos ICP (2)'!AG83</f>
        <v/>
      </c>
      <c r="H34" s="91">
        <f>+'Datos ICP (2)'!AH83</f>
        <v/>
      </c>
      <c r="I34" s="91">
        <f>+'Datos ICP (2)'!AI83</f>
        <v/>
      </c>
      <c r="J34" s="91">
        <f>+'Datos ICP (2)'!AJ83</f>
        <v/>
      </c>
      <c r="K34" s="91">
        <f>+'Datos ICP (2)'!AK83</f>
        <v/>
      </c>
      <c r="L34" s="91">
        <f>+'Datos ICP (2)'!AL83</f>
        <v/>
      </c>
      <c r="M34" s="91">
        <f>+'Datos ICP (2)'!AM83</f>
        <v/>
      </c>
      <c r="N34" s="91">
        <f>+'Datos ICP (2)'!AN83</f>
        <v/>
      </c>
      <c r="O34" s="91">
        <f>+'Datos ICP (2)'!AO83</f>
        <v/>
      </c>
      <c r="P34" s="91">
        <f>+'Datos ICP (2)'!AP83</f>
        <v/>
      </c>
      <c r="Q34" s="91">
        <f>+'Datos ICP (2)'!AQ83</f>
        <v/>
      </c>
    </row>
    <row r="35">
      <c r="C35" s="90" t="n">
        <v>2025</v>
      </c>
      <c r="D35" s="89" t="inlineStr">
        <is>
          <t>ICP</t>
        </is>
      </c>
      <c r="E35" s="91">
        <f>+'Datos ICP (2)'!AE84</f>
        <v/>
      </c>
      <c r="F35" s="91">
        <f>+'Datos ICP (2)'!AF84</f>
        <v/>
      </c>
      <c r="G35" s="91">
        <f>+'Datos ICP (2)'!AG84</f>
        <v/>
      </c>
      <c r="H35" s="91">
        <f>+'Datos ICP (2)'!AH84</f>
        <v/>
      </c>
      <c r="I35" s="91">
        <f>+'Datos ICP (2)'!AI84</f>
        <v/>
      </c>
      <c r="J35" s="91">
        <f>+'Datos ICP (2)'!AJ84</f>
        <v/>
      </c>
      <c r="K35" s="91">
        <f>+'Datos ICP (2)'!AK84</f>
        <v/>
      </c>
      <c r="L35" s="91">
        <f>+'Datos ICP (2)'!AL84</f>
        <v/>
      </c>
      <c r="M35" s="91">
        <f>+'Datos ICP (2)'!AM84</f>
        <v/>
      </c>
      <c r="N35" s="91">
        <f>+'Datos ICP (2)'!AN84</f>
        <v/>
      </c>
      <c r="O35" s="91">
        <f>+'Datos ICP (2)'!AO84</f>
        <v/>
      </c>
      <c r="P35" s="91">
        <f>+'Datos ICP (2)'!AP84</f>
        <v/>
      </c>
      <c r="Q35" s="91">
        <f>+'Datos ICP (2)'!AQ84</f>
        <v/>
      </c>
    </row>
    <row r="36">
      <c r="C36" s="90" t="n"/>
      <c r="D36" s="89" t="inlineStr">
        <is>
          <t>Competencia</t>
        </is>
      </c>
      <c r="E36" s="91">
        <f>+'Datos ICP (2)'!AE85</f>
        <v/>
      </c>
      <c r="F36" s="91">
        <f>+'Datos ICP (2)'!AF85</f>
        <v/>
      </c>
      <c r="G36" s="91">
        <f>+'Datos ICP (2)'!AG85</f>
        <v/>
      </c>
      <c r="H36" s="91">
        <f>+'Datos ICP (2)'!AH85</f>
        <v/>
      </c>
      <c r="I36" s="91">
        <f>+'Datos ICP (2)'!AI85</f>
        <v/>
      </c>
      <c r="J36" s="91">
        <f>+'Datos ICP (2)'!AJ85</f>
        <v/>
      </c>
      <c r="K36" s="91">
        <f>+'Datos ICP (2)'!AK85</f>
        <v/>
      </c>
      <c r="L36" s="91">
        <f>+'Datos ICP (2)'!AL85</f>
        <v/>
      </c>
      <c r="M36" s="91">
        <f>+'Datos ICP (2)'!AM85</f>
        <v/>
      </c>
      <c r="N36" s="91">
        <f>+'Datos ICP (2)'!AN85</f>
        <v/>
      </c>
      <c r="O36" s="91">
        <f>+'Datos ICP (2)'!AO85</f>
        <v/>
      </c>
      <c r="P36" s="91">
        <f>+'Datos ICP (2)'!AP85</f>
        <v/>
      </c>
      <c r="Q36" s="91">
        <f>+'Datos ICP (2)'!AQ85</f>
        <v/>
      </c>
    </row>
    <row r="37">
      <c r="C37" s="90" t="n"/>
      <c r="D37" s="88" t="inlineStr">
        <is>
          <t>FIP Liquidez Caja</t>
        </is>
      </c>
      <c r="E37" s="91">
        <f>+'Datos ICP (2)'!AE86</f>
        <v/>
      </c>
      <c r="F37" s="91">
        <f>+'Datos ICP (2)'!AF86</f>
        <v/>
      </c>
      <c r="G37" s="91">
        <f>+'Datos ICP (2)'!AG86</f>
        <v/>
      </c>
      <c r="H37" s="91">
        <f>+'Datos ICP (2)'!AH86</f>
        <v/>
      </c>
      <c r="I37" s="91">
        <f>+'Datos ICP (2)'!AI86</f>
        <v/>
      </c>
      <c r="J37" s="91">
        <f>+'Datos ICP (2)'!AJ86</f>
        <v/>
      </c>
      <c r="K37" s="91">
        <f>+'Datos ICP (2)'!AK86</f>
        <v/>
      </c>
      <c r="L37" s="91">
        <f>+'Datos ICP (2)'!AL86</f>
        <v/>
      </c>
      <c r="M37" s="91">
        <f>+'Datos ICP (2)'!AM86</f>
        <v/>
      </c>
      <c r="N37" s="91">
        <f>+'Datos ICP (2)'!AN86</f>
        <v/>
      </c>
      <c r="O37" s="91">
        <f>+'Datos ICP (2)'!AO86</f>
        <v/>
      </c>
      <c r="P37" s="91">
        <f>+'Datos ICP (2)'!AP86</f>
        <v/>
      </c>
      <c r="Q37" s="91">
        <f>+'Datos ICP (2)'!AQ86</f>
        <v/>
      </c>
    </row>
    <row r="38">
      <c r="C38" s="90" t="n">
        <v>2026</v>
      </c>
      <c r="D38" s="89" t="inlineStr">
        <is>
          <t>ICP</t>
        </is>
      </c>
      <c r="E38" s="91">
        <f>+'Datos ICP (2)'!AE87</f>
        <v/>
      </c>
      <c r="F38" s="91">
        <f>+'Datos ICP (2)'!AF87</f>
        <v/>
      </c>
      <c r="G38" s="91">
        <f>+'Datos ICP (2)'!AG87</f>
        <v/>
      </c>
      <c r="H38" s="91">
        <f>+'Datos ICP (2)'!AH87</f>
        <v/>
      </c>
      <c r="I38" s="91" t="n"/>
      <c r="J38" s="91" t="n"/>
      <c r="K38" s="91" t="n"/>
      <c r="L38" s="91" t="n"/>
      <c r="M38" s="91" t="n"/>
      <c r="N38" s="91" t="n"/>
      <c r="O38" s="91" t="n"/>
      <c r="P38" s="91" t="n"/>
      <c r="Q38" s="91">
        <f>+'Datos ICP (2)'!AQ87</f>
        <v/>
      </c>
    </row>
    <row r="39">
      <c r="C39" s="90" t="n"/>
      <c r="D39" s="89" t="inlineStr">
        <is>
          <t>Competencia</t>
        </is>
      </c>
      <c r="E39" s="91">
        <f>+'Datos ICP (2)'!AE88</f>
        <v/>
      </c>
      <c r="F39" s="91">
        <f>+'Datos ICP (2)'!AF88</f>
        <v/>
      </c>
      <c r="G39" s="91">
        <f>+'Datos ICP (2)'!AG88</f>
        <v/>
      </c>
      <c r="H39" s="91">
        <f>+'Datos ICP (2)'!AH88</f>
        <v/>
      </c>
      <c r="I39" s="91" t="n"/>
      <c r="J39" s="91" t="n"/>
      <c r="K39" s="91" t="n"/>
      <c r="L39" s="91" t="n"/>
      <c r="M39" s="91" t="n"/>
      <c r="N39" s="91" t="n"/>
      <c r="O39" s="91" t="n"/>
      <c r="P39" s="91" t="n"/>
      <c r="Q39" s="91">
        <f>+'Datos ICP (2)'!AQ88</f>
        <v/>
      </c>
    </row>
    <row r="40">
      <c r="C40" s="90" t="n"/>
      <c r="D40" s="88" t="inlineStr">
        <is>
          <t>FIP Liquidez Caja</t>
        </is>
      </c>
      <c r="E40" s="91">
        <f>+'Datos ICP (2)'!AE89</f>
        <v/>
      </c>
      <c r="F40" s="91">
        <f>+'Datos ICP (2)'!AF89</f>
        <v/>
      </c>
      <c r="G40" s="91">
        <f>+'Datos ICP (2)'!AG89</f>
        <v/>
      </c>
      <c r="H40" s="91">
        <f>+'Datos ICP (2)'!AH89</f>
        <v/>
      </c>
      <c r="I40" s="91" t="n"/>
      <c r="J40" s="91" t="n"/>
      <c r="K40" s="91" t="n"/>
      <c r="L40" s="91" t="n"/>
      <c r="M40" s="91" t="n"/>
      <c r="N40" s="91" t="n"/>
      <c r="O40" s="91" t="n"/>
      <c r="P40" s="91" t="n"/>
      <c r="Q40" s="91">
        <f>+'Datos ICP (2)'!AQ89</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I1" zoomScaleNormal="100" workbookViewId="0">
      <selection activeCell="P9" sqref="P9"/>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9" bestFit="1" customWidth="1" min="16" max="16"/>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6" t="inlineStr">
        <is>
          <t>Bono</t>
        </is>
      </c>
      <c r="P2" s="97" t="n">
        <v>0</v>
      </c>
    </row>
    <row r="3">
      <c r="C3" s="1" t="n"/>
      <c r="K3" s="96" t="inlineStr">
        <is>
          <t>Menos de 1 mes</t>
        </is>
      </c>
      <c r="L3" s="97" t="n">
        <v>0.6216</v>
      </c>
      <c r="O3" s="96" t="inlineStr">
        <is>
          <t>Depósitos</t>
        </is>
      </c>
      <c r="P3" s="97" t="n">
        <v>0</v>
      </c>
      <c r="S3" s="96" t="inlineStr">
        <is>
          <t>Pesos</t>
        </is>
      </c>
      <c r="T3" s="97" t="n">
        <v>1</v>
      </c>
    </row>
    <row r="4">
      <c r="C4" s="1" t="n"/>
      <c r="K4" s="96" t="inlineStr">
        <is>
          <t>1-3 meses</t>
        </is>
      </c>
      <c r="L4" s="97" t="n">
        <v>0.2554</v>
      </c>
      <c r="O4" s="96" t="inlineStr">
        <is>
          <t>Factoring</t>
        </is>
      </c>
      <c r="P4" s="97" t="n">
        <v>0</v>
      </c>
      <c r="S4" s="96" t="inlineStr">
        <is>
          <t>UF</t>
        </is>
      </c>
      <c r="T4" s="97" t="n">
        <v>0</v>
      </c>
    </row>
    <row r="5">
      <c r="A5" s="3" t="n"/>
      <c r="B5" s="3" t="n"/>
      <c r="C5" s="1" t="n"/>
      <c r="K5" s="96" t="inlineStr">
        <is>
          <t>3-4 meses</t>
        </is>
      </c>
      <c r="L5" s="97" t="n">
        <v>0.123</v>
      </c>
      <c r="O5" s="96" t="inlineStr">
        <is>
          <t>Financiamiento Inmobiliario</t>
        </is>
      </c>
      <c r="P5" s="97" t="n">
        <v>0.343</v>
      </c>
    </row>
    <row r="6">
      <c r="A6" s="3" t="n"/>
      <c r="B6" s="3" t="n"/>
      <c r="C6" s="1" t="n"/>
      <c r="K6" s="96" t="inlineStr">
        <is>
          <t>Más de 4 meses</t>
        </is>
      </c>
      <c r="L6" s="97" t="n">
        <v>0</v>
      </c>
      <c r="O6" s="96" t="inlineStr">
        <is>
          <t>Financiamiento Mesa Moneda Extranjera</t>
        </is>
      </c>
      <c r="P6" s="97" t="n">
        <v>0.6414</v>
      </c>
    </row>
    <row r="7">
      <c r="B7" s="3" t="n"/>
      <c r="C7" s="1" t="n"/>
      <c r="L7" s="75">
        <f>SUM(L3:L6)</f>
        <v/>
      </c>
      <c r="O7" s="96" t="inlineStr">
        <is>
          <t>Garantías</t>
        </is>
      </c>
      <c r="P7" s="97" t="n">
        <v>0</v>
      </c>
    </row>
    <row r="8">
      <c r="C8" s="1" t="n"/>
      <c r="O8" s="96" t="inlineStr">
        <is>
          <t>Nota Estructurada</t>
        </is>
      </c>
      <c r="P8" s="97" t="n">
        <v>0.0156</v>
      </c>
    </row>
    <row r="9">
      <c r="C9" s="1" t="n"/>
      <c r="O9" s="96" t="inlineStr">
        <is>
          <t>Financiamiento Mesa Renta Fija</t>
        </is>
      </c>
      <c r="P9" s="97" t="n">
        <v>0</v>
      </c>
    </row>
    <row r="10">
      <c r="C10" s="1" t="n"/>
      <c r="O10" s="96" t="inlineStr">
        <is>
          <t>Simultánea</t>
        </is>
      </c>
      <c r="P10" s="97" t="n">
        <v>0</v>
      </c>
    </row>
    <row r="11">
      <c r="C11" s="1" t="n"/>
      <c r="O11" s="96" t="inlineStr">
        <is>
          <t>Efectos de Comercio</t>
        </is>
      </c>
      <c r="P11" s="97" t="n">
        <v>0</v>
      </c>
    </row>
    <row r="12" hidden="1">
      <c r="C12" s="1" t="n"/>
      <c r="O12" s="96" t="n"/>
      <c r="P12" s="97" t="n"/>
    </row>
    <row r="13">
      <c r="C13" s="1" t="n"/>
      <c r="O13" s="96" t="inlineStr">
        <is>
          <t>Pagare</t>
        </is>
      </c>
      <c r="P13" s="97" t="n">
        <v>0</v>
      </c>
    </row>
    <row r="14" hidden="1">
      <c r="A14" s="3" t="inlineStr">
        <is>
          <t>Facturas</t>
        </is>
      </c>
      <c r="B14" s="5" t="n">
        <v>0</v>
      </c>
      <c r="C14" s="1" t="n"/>
    </row>
    <row r="15">
      <c r="A15" s="3" t="n"/>
      <c r="B15" s="5" t="n"/>
      <c r="C15" s="1" t="n"/>
      <c r="P15" s="121">
        <f>SUM(P2:P14)</f>
        <v/>
      </c>
    </row>
    <row r="16">
      <c r="B16" s="3" t="n"/>
      <c r="C16" s="1" t="n"/>
    </row>
    <row r="17">
      <c r="C17" s="1" t="n"/>
    </row>
    <row r="18">
      <c r="C18" s="1" t="n"/>
    </row>
    <row r="19">
      <c r="C19" s="1" t="n"/>
    </row>
    <row r="20">
      <c r="C20" s="1" t="n"/>
    </row>
    <row r="21">
      <c r="C21" s="1" t="n"/>
      <c r="N21" s="6"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2026-07-02T16:09:10Z</dcterms:modified>
  <cp:lastModifiedBy>María Isabel Velasco Retamal</cp:lastModifiedBy>
</cp:coreProperties>
</file>