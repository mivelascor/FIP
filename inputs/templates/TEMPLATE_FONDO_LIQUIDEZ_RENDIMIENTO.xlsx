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2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ptos Narrow"/>
      <color rgb="FF000000"/>
      <sz val="11"/>
    </font>
    <font>
      <name val="Aptos Narrow"/>
      <family val="2"/>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8">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0" fontId="23" fillId="0" borderId="0" applyAlignment="1" pivotButton="0" quotePrefix="0" xfId="0">
      <alignment horizontal="left" vertical="center"/>
    </xf>
    <xf numFmtId="0" fontId="23" fillId="0" borderId="0" applyAlignment="1" pivotButton="0" quotePrefix="0" xfId="0">
      <alignment vertical="center"/>
    </xf>
    <xf numFmtId="0" fontId="23" fillId="0" borderId="0" applyAlignment="1" pivotButton="0" quotePrefix="0" xfId="0">
      <alignment horizontal="center" vertical="center" wrapText="1"/>
    </xf>
    <xf numFmtId="0" fontId="23" fillId="0" borderId="0" applyAlignment="1" pivotButton="0" quotePrefix="0" xfId="0">
      <alignment horizontal="center" vertical="center"/>
    </xf>
    <xf numFmtId="10" fontId="22" fillId="0" borderId="0" applyAlignment="1" pivotButton="0" quotePrefix="0" xfId="0">
      <alignment horizontal="center"/>
    </xf>
    <xf numFmtId="0" fontId="22" fillId="0" borderId="0" applyAlignment="1" pivotButton="0" quotePrefix="0" xfId="0">
      <alignment horizontal="center"/>
    </xf>
    <xf numFmtId="10" fontId="22" fillId="0" borderId="0" applyAlignment="1" pivotButton="0" quotePrefix="0" xfId="6">
      <alignment horizont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6" fillId="0" borderId="0" pivotButton="0" quotePrefix="0" xfId="0"/>
    <xf numFmtId="2" fontId="26" fillId="0" borderId="0" pivotButton="0" quotePrefix="0" xfId="0"/>
    <xf numFmtId="164" fontId="27" fillId="14" borderId="2" pivotButton="0" quotePrefix="0" xfId="0"/>
    <xf numFmtId="164" fontId="27" fillId="0" borderId="2" pivotButton="0" quotePrefix="0" xfId="0"/>
    <xf numFmtId="0" fontId="28" fillId="15" borderId="3" applyAlignment="1" pivotButton="0" quotePrefix="0" xfId="0">
      <alignment wrapText="1"/>
    </xf>
    <xf numFmtId="0" fontId="28" fillId="15" borderId="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7" fillId="14" borderId="2" pivotButton="0" quotePrefix="0" xfId="0"/>
    <xf numFmtId="164" fontId="27" fillId="0" borderId="2" pivotButton="0" quotePrefix="0" xfId="0"/>
    <xf numFmtId="171" fontId="22" fillId="0" borderId="0" pivotButton="0" quotePrefix="0" xfId="6"/>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Plus</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rPr lang="en-US">
                <a:latin typeface="Be Vietnam Pro Medium" pitchFamily="2" charset="0"/>
              </a:rPr>
              <a:t>FIP Liquidez Plus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224547840098938"/>
          <y val="0.1456712527790208"/>
          <w val="0.8356315647086939"/>
          <h val="0.7762604129202008"/>
        </manualLayout>
      </layout>
      <lineChart>
        <grouping val="standard"/>
        <varyColors val="0"/>
        <ser>
          <idx val="0"/>
          <order val="0"/>
          <tx>
            <v>FIP Liquidez Plus</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(2)'!$J$211:$J$244</f>
              <numCache>
                <formatCode>#,##0.00</formatCode>
                <ptCount val="34"/>
                <pt idx="0">
                  <v>100</v>
                </pt>
                <pt idx="1">
                  <v>103.00772</v>
                </pt>
                <pt idx="2">
                  <v>104.2163342857143</v>
                </pt>
                <pt idx="3">
                  <v>105.2798929338704</v>
                </pt>
                <pt idx="4">
                  <v>106.3601176826372</v>
                </pt>
                <pt idx="5">
                  <v>107.4615638685066</v>
                </pt>
                <pt idx="6">
                  <v>108.4716509744357</v>
                </pt>
                <pt idx="7">
                  <v>109.4751092910469</v>
                </pt>
                <pt idx="8">
                  <v>110.4301767373158</v>
                </pt>
                <pt idx="9">
                  <v>111.3637278044635</v>
                </pt>
                <pt idx="10">
                  <v>112.2894252133463</v>
                </pt>
                <pt idx="11">
                  <v>113.2365142985279</v>
                </pt>
                <pt idx="12">
                  <v>114.0325566641876</v>
                </pt>
                <pt idx="13">
                  <v>114.799482522974</v>
                </pt>
                <pt idx="14">
                  <v>115.5011623028237</v>
                </pt>
                <pt idx="15">
                  <v>116.2307025267093</v>
                </pt>
                <pt idx="16">
                  <v>116.9183465964493</v>
                </pt>
                <pt idx="17">
                  <v>117.532459463694</v>
                </pt>
                <pt idx="18">
                  <v>118.1534189157014</v>
                </pt>
                <pt idx="19">
                  <v>118.7407849110223</v>
                </pt>
                <pt idx="20">
                  <v>119.2738047853653</v>
                </pt>
                <pt idx="21">
                  <v>119.8080138481901</v>
                </pt>
                <pt idx="22">
                  <v>120.2607926551059</v>
                </pt>
                <pt idx="23">
                  <v>120.7562016824061</v>
                </pt>
                <pt idx="24">
                  <v>121.3856270068283</v>
                </pt>
                <pt idx="25">
                  <v>121.9737633648326</v>
                </pt>
                <pt idx="26">
                  <v>122.8091393938917</v>
                </pt>
                <pt idx="27">
                  <v>123.5097734922283</v>
                </pt>
                <pt idx="28">
                  <v>124.2559862364656</v>
                </pt>
                <pt idx="29">
                  <v>124.9530807302055</v>
                </pt>
                <pt idx="30">
                  <v>125.6936644247165</v>
                </pt>
                <pt idx="31">
                  <v>126.4260229030288</v>
                </pt>
                <pt idx="32">
                  <v>127.1527895574379</v>
                </pt>
                <pt idx="33">
                  <v>127.8940993420595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(2)'!$M$211:$M$244</f>
              <numCache>
                <formatCode>0.00</formatCode>
                <ptCount val="34"/>
                <pt idx="0">
                  <v>100</v>
                </pt>
                <pt idx="1">
                  <v>100.7945527719018</v>
                </pt>
                <pt idx="2">
                  <v>101.5999925843945</v>
                </pt>
                <pt idx="3">
                  <v>102.4151086743269</v>
                </pt>
                <pt idx="4">
                  <v>103.234725662063</v>
                </pt>
                <pt idx="5">
                  <v>104.0543899450715</v>
                </pt>
                <pt idx="6">
                  <v>104.8193191663502</v>
                </pt>
                <pt idx="7">
                  <v>105.5304996533155</v>
                </pt>
                <pt idx="8">
                  <v>106.2123032107653</v>
                </pt>
                <pt idx="9">
                  <v>106.8675871562822</v>
                </pt>
                <pt idx="10">
                  <v>107.4986111488079</v>
                </pt>
                <pt idx="11">
                  <v>108.1094733679144</v>
                </pt>
                <pt idx="12">
                  <v>108.6781564977743</v>
                </pt>
                <pt idx="13">
                  <v>109.1963358366892</v>
                </pt>
                <pt idx="14">
                  <v>109.6648996995664</v>
                </pt>
                <pt idx="15">
                  <v>110.107216819737</v>
                </pt>
                <pt idx="16">
                  <v>110.50912942589</v>
                </pt>
                <pt idx="17">
                  <v>110.8977785634202</v>
                </pt>
                <pt idx="18">
                  <v>111.287101608184</v>
                </pt>
                <pt idx="19">
                  <v>111.6627451308719</v>
                </pt>
                <pt idx="20">
                  <v>112.0313200427031</v>
                </pt>
                <pt idx="21">
                  <v>112.3921028607235</v>
                </pt>
                <pt idx="22">
                  <v>112.7434031479111</v>
                </pt>
                <pt idx="23">
                  <v>113.0729277846365</v>
                </pt>
                <pt idx="24">
                  <v>113.4075595680428</v>
                </pt>
                <pt idx="25">
                  <v>113.7437025294071</v>
                </pt>
                <pt idx="26">
                  <v>114.0821980652134</v>
                </pt>
                <pt idx="27">
                  <v>114.4233144201489</v>
                </pt>
                <pt idx="28">
                  <v>114.7662470958187</v>
                </pt>
                <pt idx="29">
                  <v>115.093947253421</v>
                </pt>
                <pt idx="30">
                  <v>115.428151361141</v>
                </pt>
                <pt idx="31">
                  <v>115.7469194714535</v>
                </pt>
                <pt idx="32">
                  <v>116.0678589518189</v>
                </pt>
                <pt idx="33">
                  <v>116.39227044719</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(2)'!$D$211:$D$244</f>
              <numCache>
                <formatCode>0.00</formatCode>
                <ptCount val="34"/>
                <pt idx="0">
                  <v>100</v>
                </pt>
                <pt idx="1">
                  <v>100.9417888168796</v>
                </pt>
                <pt idx="2">
                  <v>101.8919297837993</v>
                </pt>
                <pt idx="3">
                  <v>102.8517205590064</v>
                </pt>
                <pt idx="4">
                  <v>103.8200767211481</v>
                </pt>
                <pt idx="5">
                  <v>104.7978136024396</v>
                </pt>
                <pt idx="6">
                  <v>105.6967125165453</v>
                </pt>
                <pt idx="7">
                  <v>106.5206548709173</v>
                </pt>
                <pt idx="8">
                  <v>107.3927656046982</v>
                </pt>
                <pt idx="9">
                  <v>108.2010695311584</v>
                </pt>
                <pt idx="10">
                  <v>108.9426255557738</v>
                </pt>
                <pt idx="11">
                  <v>109.7182856625026</v>
                </pt>
                <pt idx="12">
                  <v>110.4120236894476</v>
                </pt>
                <pt idx="13">
                  <v>111.0800974729143</v>
                </pt>
                <pt idx="14">
                  <v>111.6953584150609</v>
                </pt>
                <pt idx="15">
                  <v>112.2913921542307</v>
                </pt>
                <pt idx="16">
                  <v>112.809454001311</v>
                </pt>
                <pt idx="17">
                  <v>113.3863488510426</v>
                </pt>
                <pt idx="18">
                  <v>113.9133048156619</v>
                </pt>
                <pt idx="19">
                  <v>114.457929280692</v>
                </pt>
                <pt idx="20">
                  <v>114.9575315532594</v>
                </pt>
                <pt idx="21">
                  <v>115.4615427957342</v>
                </pt>
                <pt idx="22">
                  <v>115.958354912951</v>
                </pt>
                <pt idx="23">
                  <v>116.4582211017528</v>
                </pt>
                <pt idx="24">
                  <v>116.9443838130349</v>
                </pt>
                <pt idx="25">
                  <v>117.432585355071</v>
                </pt>
                <pt idx="26">
                  <v>117.9229505327324</v>
                </pt>
                <pt idx="27">
                  <v>118.3993090724663</v>
                </pt>
                <pt idx="28">
                  <v>118.9101507219783</v>
                </pt>
                <pt idx="29">
                  <v>119.4056909865502</v>
                </pt>
                <pt idx="30">
                  <v>119.8486408056125</v>
                </pt>
                <pt idx="31">
                  <v>120.3556064005693</v>
                </pt>
                <pt idx="32">
                  <v>120.8175611372636</v>
                </pt>
                <pt idx="33">
                  <v>121.2805871492645</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valAx>
    </plotArea>
    <legend>
      <legendPos val="r"/>
      <layout>
        <manualLayout>
          <xMode val="edge"/>
          <yMode val="edge"/>
          <wMode val="factor"/>
          <hMode val="factor"/>
          <x val="0.6178967617995902"/>
          <y val="0.7385266527771034"/>
          <w val="0.3260402894120116"/>
          <h val="0.1988314582835308"/>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0.614</v>
                </pt>
                <pt idx="1">
                  <v>0.3658</v>
                </pt>
                <pt idx="2">
                  <v>0.0202</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Extranjero</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0.08110000000000001</v>
                </pt>
                <pt idx="3">
                  <v>0.8618</v>
                </pt>
                <pt idx="4">
                  <v>0.0202</v>
                </pt>
                <pt idx="5">
                  <v>0.037</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192950</colOff>
      <row>258</row>
      <rowOff>172538</rowOff>
    </from>
    <to>
      <col>9</col>
      <colOff>161925</colOff>
      <row>281</row>
      <rowOff>60961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9.855468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499"/>
  <sheetViews>
    <sheetView showGridLines="0" topLeftCell="AL1" zoomScale="90" zoomScaleNormal="9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4"/>
    <col width="7.5703125" customWidth="1" style="9" min="35" max="35"/>
    <col width="8.42578125" customWidth="1" style="9" min="36" max="36"/>
    <col width="10.5703125" bestFit="1" customWidth="1" style="9" min="37" max="37"/>
    <col width="8.140625" bestFit="1" customWidth="1" style="9" min="38" max="38"/>
    <col width="7.5703125" customWidth="1" style="9" min="39" max="39"/>
    <col width="7.28515625" bestFit="1" customWidth="1" style="9" min="40" max="40"/>
    <col width="8.425781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Plus</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19"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46144</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LOOKUP(AW19,$A$3:$A$2978,$B$3:$B$2978)</f>
        <v/>
      </c>
      <c r="AX20" s="39">
        <f>LOOKUP(AX19,$A$3:$A$2978,$B$3:$B$2978)</f>
        <v/>
      </c>
      <c r="AY20" s="39">
        <f>LOOKUP(AY19,$A$3:$A$2978,$B$3:$B$2978)</f>
        <v/>
      </c>
      <c r="AZ20" s="39">
        <f>LOOKUP(AZ19,$A$3:$A$2978,$B$3:$B$2978)</f>
        <v/>
      </c>
      <c r="BA20" s="39">
        <f>LOOKUP(BA19,$A$3:$A$2978,$B$3:$B$2978)</f>
        <v/>
      </c>
      <c r="BB20" s="39">
        <f>LOOKUP(BB19,$A$3:$A$2978,$B$3:$B$2978)</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LOOKUP(AW19,$F$2:$F$2979,$K$2:$K$2979)</f>
        <v/>
      </c>
      <c r="AX21" s="39">
        <f>LOOKUP(AX19,$F$2:$F$2979,$K$2:$K$2979)</f>
        <v/>
      </c>
      <c r="AY21" s="39">
        <f>LOOKUP(AY19,$F$2:$F$2979,$K$2:$K$2979)</f>
        <v/>
      </c>
      <c r="AZ21" s="39">
        <f>LOOKUP(AZ19,$F$2:$F$2979,$K$2:$K$2979)</f>
        <v/>
      </c>
      <c r="BA21" s="39">
        <f>LOOKUP(BA19,$F$2:$F$2979,$K$2:$K$2979)</f>
        <v/>
      </c>
      <c r="BB21" s="39">
        <f>LOOKUP(BB19,$F$2:$F$2979,$K$2:$K$2979)</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Plus</t>
        </is>
      </c>
      <c r="AW22" s="39">
        <f>LOOKUP(AW19,$F$2:$F$2977,$H$2:$H$2977)</f>
        <v/>
      </c>
      <c r="AX22" s="39">
        <f>LOOKUP(AX19,$F$2:$F$2977,$H$2:$H$2977)</f>
        <v/>
      </c>
      <c r="AY22" s="39">
        <f>LOOKUP(AY19,$F$2:$F$2977,$H$2:$H$2977)</f>
        <v/>
      </c>
      <c r="AZ22" s="39">
        <f>LOOKUP(AZ19,$F$2:$F$2977,$H$2:$H$2977)</f>
        <v/>
      </c>
      <c r="BA22" s="39">
        <f>LOOKUP(BA19,$F$2:$F$2977,$H$2:$H$2977)</f>
        <v/>
      </c>
      <c r="BB22" s="39">
        <f>LOOKUP(BB19,$F$2:$F$2977,$H$2:$H$2977)</f>
        <v/>
      </c>
    </row>
    <row r="23">
      <c r="A23" s="23" t="n"/>
      <c r="B23" s="108" t="n"/>
      <c r="C23" s="31" t="n"/>
      <c r="D23" s="25" t="n"/>
      <c r="E23" s="25" t="n"/>
      <c r="F23" s="25" t="n"/>
      <c r="O23" s="9" t="n">
        <v>2026</v>
      </c>
      <c r="P23" s="9">
        <f>+B246</f>
        <v/>
      </c>
      <c r="Q23" s="25">
        <f>+B247</f>
        <v/>
      </c>
      <c r="R23" s="25">
        <f>+B248</f>
        <v/>
      </c>
      <c r="S23" s="25">
        <f>+B249</f>
        <v/>
      </c>
      <c r="U23" s="25" t="n"/>
      <c r="Y23" s="25" t="n"/>
      <c r="AD23" s="32" t="inlineStr">
        <is>
          <t>(*) Acum a Mar</t>
        </is>
      </c>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Plus</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LOOKUP(DATE($O27,U$25,U$24),$A$2:$A$2948,$H$2:$H$2948)</f>
        <v/>
      </c>
      <c r="V27" s="110">
        <f>LOOKUP(DATE($O27,V$25,V$24),$A$2:$A$2948,$H$2:$H$2948)</f>
        <v/>
      </c>
      <c r="W27" s="110">
        <f>LOOKUP(DATE($O27,W$25,W$24),$A$2:$A$2948,$H$2:$H$2948)</f>
        <v/>
      </c>
      <c r="X27" s="110">
        <f>LOOKUP(DATE($O27,X$25,X$24),$A$2:$A$2948,$H$2:$H$2948)</f>
        <v/>
      </c>
      <c r="Y27" s="110">
        <f>LOOKUP(DATE($O27,Y$25,Y$24),$A$2:$A$2948,$H$2:$H$2948)</f>
        <v/>
      </c>
      <c r="Z27" s="110">
        <f>LOOKUP(DATE($O27,Z$25,Z$24),$A$2:$A$2948,$H$2:$H$2948)</f>
        <v/>
      </c>
      <c r="AA27" s="110">
        <f>LOOKUP(DATE($O27,AA$25,AA$24),$A$2:$A$2948,$H$2:$H$2948)</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LOOKUP(DATE($O28,P$25,P$24),$A$2:$A$2948,$H$2:$H$2948)</f>
        <v/>
      </c>
      <c r="Q28" s="110">
        <f>LOOKUP(DATE($O28,Q$25,Q$24),$A$2:$A$2948,$H$2:$H$2948)</f>
        <v/>
      </c>
      <c r="R28" s="110">
        <f>LOOKUP(DATE($O28,R$25,R$24),$A$2:$A$2948,$H$2:$H$2948)</f>
        <v/>
      </c>
      <c r="S28" s="110">
        <f>LOOKUP(DATE($O28,S$25,S$24),$A$2:$A$2948,$H$2:$H$2948)</f>
        <v/>
      </c>
      <c r="T28" s="110">
        <f>LOOKUP(DATE($O28,T$25,T$24),$A$2:$A$2948,$H$2:$H$2948)</f>
        <v/>
      </c>
      <c r="U28" s="110">
        <f>LOOKUP(DATE($O28,U$25,U$24),$A$2:$A$2948,$H$2:$H$2948)</f>
        <v/>
      </c>
      <c r="V28" s="110">
        <f>LOOKUP(DATE($O28,V$25,V$24),$A$2:$A$2948,$H$2:$H$2948)</f>
        <v/>
      </c>
      <c r="W28" s="110">
        <f>LOOKUP(DATE($O28,W$25,W$24),$A$2:$A$2948,$H$2:$H$2948)</f>
        <v/>
      </c>
      <c r="X28" s="110">
        <f>LOOKUP(DATE($O28,X$25,X$24),$A$2:$A$2948,$H$2:$H$2948)</f>
        <v/>
      </c>
      <c r="Y28" s="110">
        <f>LOOKUP(DATE($O28,Y$25,Y$24),$A$2:$A$2948,$H$2:$H$2948)</f>
        <v/>
      </c>
      <c r="Z28" s="110">
        <f>LOOKUP(DATE($O28,Z$25,Z$24),$A$2:$A$2948,$H$2:$H$2948)</f>
        <v/>
      </c>
      <c r="AA28" s="110">
        <f>LOOKUP(DATE($O28,AA$25,AA$24),$A$2:$A$2948,$H$2:$H$2948)</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LOOKUP(DATE($O29,P$25,P$24),$A$2:$A$2948,$H$2:$H$2948)</f>
        <v/>
      </c>
      <c r="Q29" s="110">
        <f>LOOKUP(DATE($O29,Q$25,Q$24),$A$2:$A$2948,$H$2:$H$2948)</f>
        <v/>
      </c>
      <c r="R29" s="110">
        <f>LOOKUP(DATE($O29,R$25,R$24),$A$2:$A$2948,$H$2:$H$2948)</f>
        <v/>
      </c>
      <c r="S29" s="110">
        <f>LOOKUP(DATE($O29,S$25,S$24),$A$2:$A$2948,$H$2:$H$2948)</f>
        <v/>
      </c>
      <c r="T29" s="110">
        <f>LOOKUP(DATE($O29,T$25,T$24),$A$2:$A$2948,$H$2:$H$2948)</f>
        <v/>
      </c>
      <c r="U29" s="110">
        <f>LOOKUP(DATE($O29,U$25,U$24),$A$2:$A$2948,$H$2:$H$2948)</f>
        <v/>
      </c>
      <c r="V29" s="110">
        <f>LOOKUP(DATE($O29,V$25,V$24),$A$2:$A$2948,$H$2:$H$2948)</f>
        <v/>
      </c>
      <c r="W29" s="110">
        <f>LOOKUP(DATE($O29,W$25,W$24),$A$2:$A$2948,$H$2:$H$2948)</f>
        <v/>
      </c>
      <c r="X29" s="110">
        <f>LOOKUP(DATE($O29,X$25,X$24),$A$2:$A$2948,$H$2:$H$2948)</f>
        <v/>
      </c>
      <c r="Y29" s="111">
        <f>LOOKUP(DATE($O29,Y$25,Y$24),$A$2:$A$2948,$H$2:$H$2948)</f>
        <v/>
      </c>
      <c r="Z29" s="111">
        <f>LOOKUP(DATE($O29,Z$25,Z$24),$A$2:$A$2948,$H$2:$H$2948)</f>
        <v/>
      </c>
      <c r="AA29" s="111">
        <f>LOOKUP(DATE($O29,AA$25,AA$24),$A$2:$A$2948,$H$2:$H$2948)</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4"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LOOKUP(DATE($O30,P$25,P$24),$A$2:$A$2948,$H$2:$H$2948)</f>
        <v/>
      </c>
      <c r="Q30" s="110">
        <f>LOOKUP(DATE($O30,Q$25,Q$24),$A$2:$A$2948,$H$2:$H$2948)</f>
        <v/>
      </c>
      <c r="R30" s="110">
        <f>LOOKUP(DATE($O30,R$25,R$24),$A$2:$A$2948,$H$2:$H$2948)</f>
        <v/>
      </c>
      <c r="S30" s="110">
        <f>LOOKUP(DATE($O30,S$25,S$24),$A$2:$A$2948,$H$2:$H$2948)</f>
        <v/>
      </c>
      <c r="T30" s="110">
        <f>LOOKUP(DATE($O30,T$25,T$24),$A$2:$A$2948,$H$2:$H$2948)</f>
        <v/>
      </c>
      <c r="U30" s="110">
        <f>LOOKUP(DATE($O30,U$25,U$24),$A$2:$A$2948,$H$2:$H$2948)</f>
        <v/>
      </c>
      <c r="V30" s="110">
        <f>LOOKUP(DATE($O30,V$25,V$24),$A$2:$A$2948,$H$2:$H$2948)</f>
        <v/>
      </c>
      <c r="W30" s="110">
        <f>LOOKUP(DATE($O30,W$25,W$24),$A$2:$A$2948,$H$2:$H$2948)</f>
        <v/>
      </c>
      <c r="X30" s="110">
        <f>LOOKUP(DATE($O30,X$25,X$24),$A$2:$A$2948,$H$2:$H$2948)</f>
        <v/>
      </c>
      <c r="Y30" s="110">
        <f>LOOKUP(DATE($O30,Y$25,Y$24),$A$2:$A$2948,$H$2:$H$2948)</f>
        <v/>
      </c>
      <c r="Z30" s="110">
        <f>LOOKUP(DATE($O30,Z$25,Z$24),$A$2:$A$2948,$H$2:$H$2948)</f>
        <v/>
      </c>
      <c r="AA30" s="110">
        <f>LOOKUP(DATE($O30,AA$25,AA$24),$A$2:$A$2948,$H$2:$H$2948)</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LOOKUP(DATE($O31,P$25,P$24),$A$2:$A$2948,$H$2:$H$2948)</f>
        <v/>
      </c>
      <c r="Q31" s="110">
        <f>LOOKUP(DATE($O31,Q$25,Q$24)+1,$A$2:$A$2948,$H$2:$H$2948)</f>
        <v/>
      </c>
      <c r="R31" s="110">
        <f>LOOKUP(DATE($O31,R$25,R$24)+1,$A$2:$A$2948,$H$2:$H$2948)</f>
        <v/>
      </c>
      <c r="S31" s="110">
        <f>LOOKUP(DATE($O31,S$25,S$24)+1,$A$2:$A$2948,$H$2:$H$2948)</f>
        <v/>
      </c>
      <c r="T31" s="110">
        <f>LOOKUP(DATE($O31,T$25,T$24)+1,$A$2:$A$2948,$H$2:$H$2948)</f>
        <v/>
      </c>
      <c r="U31" s="110">
        <f>LOOKUP(DATE($O31,U$25,U$24)+1,$A$2:$A$2948,$H$2:$H$2948)</f>
        <v/>
      </c>
      <c r="V31" s="110">
        <f>LOOKUP(DATE($O31,V$25,V$24)+1,$A$2:$A$2948,$H$2:$H$2948)</f>
        <v/>
      </c>
      <c r="W31" s="110">
        <f>LOOKUP(DATE($O31,W$25,W$24)+1,$A$2:$A$2948,$H$2:$H$2948)</f>
        <v/>
      </c>
      <c r="X31" s="110">
        <f>LOOKUP(DATE($O31,X$25,X$24)+1,$A$2:$A$2948,$H$2:$H$2948)</f>
        <v/>
      </c>
      <c r="Y31" s="110">
        <f>+H183</f>
        <v/>
      </c>
      <c r="Z31" s="110">
        <f>+H184</f>
        <v/>
      </c>
      <c r="AA31" s="110">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Plus</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t="n"/>
      <c r="R32" s="108" t="n"/>
      <c r="S32" s="108" t="n"/>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t="n"/>
      <c r="Q33" s="108" t="n"/>
      <c r="R33" s="108" t="n"/>
      <c r="S33" s="108" t="n"/>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t="n"/>
      <c r="AL33" s="28" t="n"/>
      <c r="AM33" s="28" t="n"/>
      <c r="AN33" s="28" t="n"/>
      <c r="AO33" s="28" t="n"/>
      <c r="AP33" s="28" t="n"/>
      <c r="AQ33" s="29" t="n"/>
      <c r="AR33" s="15" t="n"/>
      <c r="AS33" s="15" t="n"/>
      <c r="AY33" s="112" t="n"/>
      <c r="BD33" s="33" t="n"/>
    </row>
    <row r="34">
      <c r="A34" s="23" t="n">
        <v>39629</v>
      </c>
      <c r="B34" s="108" t="n">
        <v>12552.23</v>
      </c>
      <c r="C34" s="31">
        <f>(B34/B33-1)/(A34-A33)*30</f>
        <v/>
      </c>
      <c r="D34" s="25" t="n"/>
      <c r="E34" s="25" t="n"/>
      <c r="F34" s="25" t="n"/>
      <c r="O34" s="9" t="n">
        <v>2023</v>
      </c>
      <c r="P34" s="108" t="n"/>
      <c r="Q34" s="108" t="n"/>
      <c r="R34" s="108">
        <f>+H212</f>
        <v/>
      </c>
      <c r="S34" s="108">
        <f>+H213</f>
        <v/>
      </c>
      <c r="T34" s="108">
        <f>+H214</f>
        <v/>
      </c>
      <c r="U34" s="108">
        <f>+H215</f>
        <v/>
      </c>
      <c r="V34" s="108">
        <f>+H216</f>
        <v/>
      </c>
      <c r="W34" s="108">
        <f>+H217</f>
        <v/>
      </c>
      <c r="X34" s="108">
        <f>+H218</f>
        <v/>
      </c>
      <c r="Y34" s="108">
        <f>+H219</f>
        <v/>
      </c>
      <c r="Z34" s="108">
        <f>+H220</f>
        <v/>
      </c>
      <c r="AA34" s="108">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8" t="n">
        <v>12628.9</v>
      </c>
      <c r="C35" s="31">
        <f>(B35/B34-1)/(A35-A34)*30</f>
        <v/>
      </c>
      <c r="D35" s="25" t="n"/>
      <c r="E35" s="25" t="n"/>
      <c r="F35" s="25" t="n"/>
      <c r="O35" s="9" t="n">
        <v>2024</v>
      </c>
      <c r="P35" s="108">
        <f>+H222+S156+S158</f>
        <v/>
      </c>
      <c r="Q35" s="108">
        <f>+H223+S156+S158</f>
        <v/>
      </c>
      <c r="R35" s="108">
        <f>+H224+S156+S158</f>
        <v/>
      </c>
      <c r="S35" s="108">
        <f>+H225+S156+S158</f>
        <v/>
      </c>
      <c r="T35" s="108">
        <f>+H226+S156+S158</f>
        <v/>
      </c>
      <c r="U35" s="108">
        <f>+H227+S156+S158</f>
        <v/>
      </c>
      <c r="V35" s="108">
        <f>+H228+S156+S158</f>
        <v/>
      </c>
      <c r="W35" s="108">
        <f>+H229+S156+S158</f>
        <v/>
      </c>
      <c r="X35" s="108">
        <f>+H230+S156+S158</f>
        <v/>
      </c>
      <c r="Y35" s="108">
        <f>+H231+S156+S158</f>
        <v/>
      </c>
      <c r="Z35" s="108">
        <f>+H232</f>
        <v/>
      </c>
      <c r="AA35" s="108">
        <f>+H233</f>
        <v/>
      </c>
      <c r="AD35" s="27" t="n">
        <v>2023</v>
      </c>
      <c r="AE35" s="28" t="n"/>
      <c r="AF35" s="28" t="n"/>
      <c r="AG35" s="28" t="n"/>
      <c r="AH35" s="28">
        <f>+(S34/R34-1)</f>
        <v/>
      </c>
      <c r="AI35" s="28">
        <f>+(T34/S34-1)</f>
        <v/>
      </c>
      <c r="AJ35" s="28">
        <f>+(U34/T34-1)</f>
        <v/>
      </c>
      <c r="AK35" s="28">
        <f>+(V34/U34-1)</f>
        <v/>
      </c>
      <c r="AL35" s="28">
        <f>+(W34/V34-1)</f>
        <v/>
      </c>
      <c r="AM35" s="28">
        <f>+(X34/W34-1)</f>
        <v/>
      </c>
      <c r="AN35" s="28">
        <f>+(Y34/X34-1)</f>
        <v/>
      </c>
      <c r="AO35" s="28">
        <f>+(Z34/Y34-1)</f>
        <v/>
      </c>
      <c r="AP35" s="28">
        <f>+(AA34/Z34-1)</f>
        <v/>
      </c>
      <c r="AQ35" s="29">
        <f>+(AA34/R34-1)/COUNTA(AE35:AP35)*12</f>
        <v/>
      </c>
      <c r="AR35" s="32" t="n"/>
      <c r="AS35" s="15" t="n"/>
    </row>
    <row r="36">
      <c r="A36" s="23" t="n">
        <v>39689</v>
      </c>
      <c r="B36" s="108" t="n">
        <v>12704.63</v>
      </c>
      <c r="C36" s="31">
        <f>(B36/B35-1)/(A36-A35)*30</f>
        <v/>
      </c>
      <c r="D36" s="25" t="n"/>
      <c r="E36" s="25" t="n"/>
      <c r="F36" s="25" t="n"/>
      <c r="O36" s="9" t="n">
        <v>2025</v>
      </c>
      <c r="P36" s="108">
        <f>+H234+S156+S158</f>
        <v/>
      </c>
      <c r="Q36" s="108">
        <f>+H235</f>
        <v/>
      </c>
      <c r="R36" s="108">
        <f>+H236</f>
        <v/>
      </c>
      <c r="S36" s="108">
        <f>+H237</f>
        <v/>
      </c>
      <c r="T36" s="108">
        <f>+H238</f>
        <v/>
      </c>
      <c r="U36" s="108">
        <f>+H239</f>
        <v/>
      </c>
      <c r="V36" s="108">
        <f>+H240</f>
        <v/>
      </c>
      <c r="W36" s="108">
        <f>+H241</f>
        <v/>
      </c>
      <c r="X36" s="108">
        <f>+H242</f>
        <v/>
      </c>
      <c r="Y36" s="108">
        <f>+H243</f>
        <v/>
      </c>
      <c r="Z36" s="108">
        <f>+H244</f>
        <v/>
      </c>
      <c r="AA36" s="108">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+H246</f>
        <v/>
      </c>
      <c r="Q37" s="108">
        <f>+H247</f>
        <v/>
      </c>
      <c r="R37" s="108">
        <f>+H248</f>
        <v/>
      </c>
      <c r="S37" s="108">
        <f>+H249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9">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inlineStr">
        <is>
          <t>(*) Acum a Mar</t>
        </is>
      </c>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n"/>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Plus</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3"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3"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3" t="n"/>
      <c r="AD64" s="52" t="inlineStr">
        <is>
          <t>FIP Liquidez Plus</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Plus</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Plus</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3"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3"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3" t="n"/>
      <c r="AD73" s="52" t="inlineStr">
        <is>
          <t>FIP Liquidez LOCAL</t>
        </is>
      </c>
      <c r="AE73" s="78" t="n"/>
      <c r="AF73" s="78" t="n"/>
      <c r="AG73" s="78" t="n"/>
      <c r="AH73" s="78" t="n"/>
      <c r="AI73" s="78" t="n"/>
      <c r="AJ73" s="78" t="n"/>
      <c r="AK73" s="78" t="n"/>
      <c r="AL73" s="78" t="n"/>
      <c r="AM73" s="78" t="n"/>
      <c r="AN73" s="78" t="n"/>
      <c r="AO73" s="78" t="n"/>
      <c r="AP73" s="78" t="n"/>
      <c r="AQ73" s="78" t="n"/>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3"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D76" s="52" t="inlineStr">
        <is>
          <t>FIP Liquidez Plus</t>
        </is>
      </c>
      <c r="AE76" s="78" t="n"/>
      <c r="AF76" s="78" t="n"/>
      <c r="AG76" s="78" t="n"/>
      <c r="AH76" s="78" t="n"/>
      <c r="AI76" s="78" t="n"/>
      <c r="AJ76" s="78" t="n"/>
      <c r="AK76" s="78" t="n"/>
      <c r="AL76" s="78" t="n"/>
      <c r="AM76" s="78" t="n"/>
      <c r="AN76" s="78" t="n"/>
      <c r="AO76" s="78" t="n"/>
      <c r="AP76" s="78" t="n"/>
      <c r="AQ76" s="78" t="n"/>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3" t="n">
        <v>2023</v>
      </c>
      <c r="AD77" s="55" t="inlineStr">
        <is>
          <t>ICP</t>
        </is>
      </c>
      <c r="AE77" s="78" t="n"/>
      <c r="AF77" s="78" t="n"/>
      <c r="AG77" s="78" t="n"/>
      <c r="AH77" s="78">
        <f>+AH19</f>
        <v/>
      </c>
      <c r="AI77" s="78">
        <f>+AI19</f>
        <v/>
      </c>
      <c r="AJ77" s="78">
        <f>+AJ19</f>
        <v/>
      </c>
      <c r="AK77" s="78">
        <f>+AK19</f>
        <v/>
      </c>
      <c r="AL77" s="78">
        <f>+AL19</f>
        <v/>
      </c>
      <c r="AM77" s="78">
        <f>+AM19</f>
        <v/>
      </c>
      <c r="AN77" s="78">
        <f>+AN19</f>
        <v/>
      </c>
      <c r="AO77" s="78">
        <f>+AO19</f>
        <v/>
      </c>
      <c r="AP77" s="78">
        <f>+AP19</f>
        <v/>
      </c>
      <c r="AQ77" s="78">
        <f>+AQ19</f>
        <v/>
      </c>
    </row>
    <row r="78" customFormat="1" s="105">
      <c r="A78" s="23" t="n">
        <v>40939</v>
      </c>
      <c r="B78" s="108" t="n">
        <v>14236.38</v>
      </c>
      <c r="C78" s="31">
        <f>(B78/B77-1)/(A78-A77)*30</f>
        <v/>
      </c>
      <c r="D78" s="25" t="n"/>
      <c r="E78" s="25" t="n"/>
      <c r="F78" s="25" t="n"/>
      <c r="I78" s="106" t="n"/>
      <c r="AD78" s="55" t="inlineStr">
        <is>
          <t>Competencia</t>
        </is>
      </c>
      <c r="AE78" s="78" t="n"/>
      <c r="AF78" s="78" t="n"/>
      <c r="AG78" s="78" t="n"/>
      <c r="AH78" s="78">
        <f>+AH48</f>
        <v/>
      </c>
      <c r="AI78" s="78">
        <f>+AI48</f>
        <v/>
      </c>
      <c r="AJ78" s="78">
        <f>+AJ48</f>
        <v/>
      </c>
      <c r="AK78" s="78">
        <f>+AK48</f>
        <v/>
      </c>
      <c r="AL78" s="78">
        <f>+AL48</f>
        <v/>
      </c>
      <c r="AM78" s="78">
        <f>+AM48</f>
        <v/>
      </c>
      <c r="AN78" s="78">
        <f>+AN48</f>
        <v/>
      </c>
      <c r="AO78" s="78">
        <f>+AO48</f>
        <v/>
      </c>
      <c r="AP78" s="78">
        <f>+AP48</f>
        <v/>
      </c>
      <c r="AQ78" s="78">
        <f>+AQ48</f>
        <v/>
      </c>
    </row>
    <row r="79" customFormat="1" s="105">
      <c r="A79" s="23" t="n">
        <v>40968</v>
      </c>
      <c r="B79" s="108" t="n">
        <v>14293.67</v>
      </c>
      <c r="C79" s="31">
        <f>(B79/B78-1)/(A79-A78)*30</f>
        <v/>
      </c>
      <c r="D79" s="25" t="n"/>
      <c r="E79" s="25" t="n"/>
      <c r="F79" s="25" t="n"/>
      <c r="I79" s="106" t="n"/>
      <c r="AD79" s="52" t="inlineStr">
        <is>
          <t>FIP Liquidez Plus</t>
        </is>
      </c>
      <c r="AE79" s="78" t="n"/>
      <c r="AF79" s="78" t="n"/>
      <c r="AG79" s="78" t="n"/>
      <c r="AH79" s="78">
        <f>+AH35</f>
        <v/>
      </c>
      <c r="AI79" s="78">
        <f>+AI35</f>
        <v/>
      </c>
      <c r="AJ79" s="78">
        <f>+AJ35</f>
        <v/>
      </c>
      <c r="AK79" s="78">
        <f>+AK35</f>
        <v/>
      </c>
      <c r="AL79" s="78">
        <f>+AL35</f>
        <v/>
      </c>
      <c r="AM79" s="78">
        <f>+AM35</f>
        <v/>
      </c>
      <c r="AN79" s="78">
        <f>+AN35</f>
        <v/>
      </c>
      <c r="AO79" s="78">
        <f>+AO35</f>
        <v/>
      </c>
      <c r="AP79" s="78">
        <f>+AP35</f>
        <v/>
      </c>
      <c r="AQ79" s="78">
        <f>+AQ35</f>
        <v/>
      </c>
    </row>
    <row r="80" customFormat="1" s="105">
      <c r="A80" s="23" t="n">
        <v>40998</v>
      </c>
      <c r="B80" s="108" t="n">
        <v>14353.34</v>
      </c>
      <c r="C80" s="31">
        <f>(B80/B79-1)/(A80-A79)*30</f>
        <v/>
      </c>
      <c r="D80" s="25" t="n"/>
      <c r="E80" s="25" t="n"/>
      <c r="F80" s="25" t="n"/>
      <c r="I80" s="106" t="n"/>
      <c r="AC80" s="103"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Plus</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3"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Plus</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3"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Plus</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D92" s="23" t="n">
        <v>43008</v>
      </c>
      <c r="AE92" s="67" t="n">
        <v>0.003112100000000062</v>
      </c>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D93" s="23" t="n">
        <v>43039</v>
      </c>
      <c r="AE93" s="67" t="n">
        <v>0.002663549477348879</v>
      </c>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43069</v>
      </c>
      <c r="AE94" s="67" t="n">
        <v>0.002704019294682336</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43100</v>
      </c>
      <c r="AE95" s="67" t="n">
        <v>0.003009654469144453</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43131</v>
      </c>
      <c r="AE96" s="67" t="n">
        <v>0.004737272399342256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43159</v>
      </c>
      <c r="AE97" s="67" t="n">
        <v>0.003781523019540458</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43190</v>
      </c>
      <c r="AE98" s="67" t="n">
        <v>0.003005275119085731</v>
      </c>
    </row>
    <row r="99" customFormat="1" s="105">
      <c r="A99" s="23" t="n">
        <v>41578</v>
      </c>
      <c r="B99" s="108" t="n">
        <v>15554.36</v>
      </c>
      <c r="C99" s="31">
        <f>(B99/B98-1)/(A99-A98)*30</f>
        <v/>
      </c>
      <c r="D99" s="25" t="n"/>
      <c r="E99" s="25" t="n"/>
      <c r="F99" s="25" t="n"/>
      <c r="I99" s="106" t="n"/>
      <c r="AD99" s="23" t="n">
        <v>43220</v>
      </c>
      <c r="AE99" s="67" t="n">
        <v>0.00316130254575997</v>
      </c>
    </row>
    <row r="100" customFormat="1" s="105">
      <c r="A100" s="23" t="n">
        <v>41607</v>
      </c>
      <c r="B100" s="108" t="n">
        <v>15615.06</v>
      </c>
      <c r="C100" s="31">
        <f>(B100/B99-1)/(A100-A99)*30</f>
        <v/>
      </c>
      <c r="D100" s="25" t="n"/>
      <c r="E100" s="25" t="n"/>
      <c r="F100" s="25" t="n"/>
      <c r="I100" s="106" t="n"/>
      <c r="AD100" s="23" t="n">
        <v>43251</v>
      </c>
      <c r="AE100" s="67" t="n">
        <v>0.003100678663890142</v>
      </c>
    </row>
    <row r="101" customFormat="1" s="105">
      <c r="A101" s="23" t="n">
        <v>41639</v>
      </c>
      <c r="B101" s="108" t="n">
        <v>15675.68</v>
      </c>
      <c r="C101" s="31">
        <f>(B101/B100-1)/(A101-A100)*30</f>
        <v/>
      </c>
      <c r="D101" s="25" t="n"/>
      <c r="E101" s="25" t="n"/>
      <c r="F101" s="25" t="n"/>
      <c r="I101" s="106" t="n"/>
      <c r="AD101" s="23" t="n">
        <v>43281</v>
      </c>
      <c r="AE101" s="67" t="n">
        <v>0.00287709140845549</v>
      </c>
    </row>
    <row r="102" customFormat="1" s="105">
      <c r="A102" s="23" t="n">
        <v>41670</v>
      </c>
      <c r="B102" s="108" t="n">
        <v>15738.45</v>
      </c>
      <c r="C102" s="31">
        <f>(B102/B101-1)/(A102-A101)*30</f>
        <v/>
      </c>
      <c r="D102" s="25" t="n"/>
      <c r="E102" s="25" t="n"/>
      <c r="F102" s="25" t="n"/>
      <c r="I102" s="106" t="n"/>
      <c r="AD102" s="23" t="n">
        <v>43312</v>
      </c>
      <c r="AE102" s="67" t="n">
        <v>0.002790254057869121</v>
      </c>
    </row>
    <row r="103" customFormat="1" s="105">
      <c r="A103" s="23" t="n">
        <v>41698</v>
      </c>
      <c r="B103" s="108" t="n">
        <v>15792.47</v>
      </c>
      <c r="C103" s="31">
        <f>(B103/B102-1)/(A103-A102)*30</f>
        <v/>
      </c>
      <c r="D103" s="25" t="n"/>
      <c r="E103" s="25" t="n"/>
      <c r="F103" s="25" t="n"/>
      <c r="I103" s="106" t="n"/>
      <c r="AD103" s="23" t="n">
        <v>43343</v>
      </c>
      <c r="AE103" s="67" t="n">
        <v>0.002697220022070491</v>
      </c>
    </row>
    <row r="104" customFormat="1" s="105">
      <c r="A104" s="23" t="n">
        <v>41729</v>
      </c>
      <c r="B104" s="108" t="n">
        <v>15848.53</v>
      </c>
      <c r="C104" s="31">
        <f>(B104/B103-1)/(A104-A103)*30</f>
        <v/>
      </c>
      <c r="D104" s="25" t="n"/>
      <c r="E104" s="25" t="n"/>
      <c r="F104" s="25" t="n"/>
      <c r="I104" s="106" t="n"/>
      <c r="AD104" s="23" t="n">
        <v>43373</v>
      </c>
      <c r="AE104" s="67" t="n">
        <v>0.002946786774067123</v>
      </c>
    </row>
    <row r="105" customFormat="1" s="105">
      <c r="A105" s="23" t="n">
        <v>41759</v>
      </c>
      <c r="B105" s="108" t="n">
        <v>15901.43</v>
      </c>
      <c r="C105" s="31">
        <f>(B105/B104-1)/(A105-A104)*30</f>
        <v/>
      </c>
      <c r="D105" s="25" t="n"/>
      <c r="E105" s="25" t="n"/>
      <c r="F105" s="25" t="n"/>
      <c r="I105" s="106" t="n"/>
      <c r="AD105" s="23" t="n">
        <v>43404</v>
      </c>
      <c r="AE105" s="67" t="n">
        <v>0.002734115798128082</v>
      </c>
    </row>
    <row r="106" customFormat="1" s="105">
      <c r="A106" s="23" t="n">
        <v>41789</v>
      </c>
      <c r="B106" s="108" t="n">
        <v>15954.5</v>
      </c>
      <c r="C106" s="31">
        <f>(B106/B105-1)/(A106-A105)*30</f>
        <v/>
      </c>
      <c r="D106" s="25" t="n"/>
      <c r="E106" s="25" t="n"/>
      <c r="F106" s="25" t="n"/>
      <c r="I106" s="106" t="n"/>
      <c r="AD106" s="23" t="n">
        <v>43434</v>
      </c>
      <c r="AE106" s="67" t="n">
        <v>0.002844092886551852</v>
      </c>
    </row>
    <row r="107" customFormat="1" s="105">
      <c r="A107" s="23" t="n">
        <v>41820</v>
      </c>
      <c r="B107" s="108" t="n">
        <v>16009.53</v>
      </c>
      <c r="C107" s="31">
        <f>(B107/B106-1)/(A107-A106)*30</f>
        <v/>
      </c>
      <c r="D107" s="25" t="n"/>
      <c r="E107" s="25" t="n"/>
      <c r="F107" s="25" t="n"/>
      <c r="I107" s="106" t="n"/>
      <c r="AD107" s="23" t="n">
        <v>43465</v>
      </c>
      <c r="AE107" s="67" t="n">
        <v>0.002626598915806536</v>
      </c>
    </row>
    <row r="108" customFormat="1" s="105">
      <c r="A108" s="23" t="n">
        <v>41851</v>
      </c>
      <c r="B108" s="108" t="n">
        <v>16063.18</v>
      </c>
      <c r="C108" s="31">
        <f>(B108/B107-1)/(A108-A107)*30</f>
        <v/>
      </c>
      <c r="D108" s="25" t="n"/>
      <c r="E108" s="25" t="n"/>
      <c r="F108" s="25" t="n"/>
      <c r="I108" s="106" t="n"/>
      <c r="AD108" s="23" t="n">
        <v>43496</v>
      </c>
      <c r="AE108" s="67" t="n">
        <v>0.002814303282289405</v>
      </c>
    </row>
    <row r="109" customFormat="1" s="105">
      <c r="A109" s="23" t="n">
        <v>41880</v>
      </c>
      <c r="B109" s="108" t="n">
        <v>16110.55</v>
      </c>
      <c r="C109" s="31">
        <f>(B109/B108-1)/(A109-A108)*30</f>
        <v/>
      </c>
      <c r="D109" s="25" t="n"/>
      <c r="E109" s="25" t="n"/>
      <c r="F109" s="25" t="n"/>
      <c r="I109" s="106" t="n"/>
      <c r="AD109" s="23" t="n">
        <v>43524</v>
      </c>
      <c r="AE109" s="67" t="n">
        <v>0.002823606386871957</v>
      </c>
    </row>
    <row r="110" customFormat="1" s="105">
      <c r="A110" s="23" t="n">
        <v>41912</v>
      </c>
      <c r="B110" s="108" t="n">
        <v>16158.37</v>
      </c>
      <c r="C110" s="31">
        <f>(B110/B109-1)/(A110-A109)*30</f>
        <v/>
      </c>
      <c r="D110" s="25" t="n"/>
      <c r="E110" s="25" t="n"/>
      <c r="F110" s="25" t="n"/>
      <c r="I110" s="106" t="n"/>
      <c r="AD110" s="23" t="n">
        <v>43555</v>
      </c>
      <c r="AE110" s="67" t="n">
        <v>0.002865362794038821</v>
      </c>
    </row>
    <row r="111" customFormat="1" s="105">
      <c r="A111" s="23" t="n">
        <v>41943</v>
      </c>
      <c r="B111" s="108" t="n">
        <v>16200.86</v>
      </c>
      <c r="C111" s="31">
        <f>(B111/B110-1)/(A111-A110)*30</f>
        <v/>
      </c>
      <c r="D111" s="25" t="n"/>
      <c r="E111" s="25" t="n"/>
      <c r="F111" s="25" t="n"/>
      <c r="I111" s="106" t="n"/>
      <c r="AD111" s="23" t="n">
        <v>43585</v>
      </c>
      <c r="AE111" s="67" t="n">
        <v>0.002932409051613627</v>
      </c>
    </row>
    <row r="112" customFormat="1" s="105">
      <c r="A112" s="23" t="n">
        <v>41971</v>
      </c>
      <c r="B112" s="108" t="n">
        <v>16240.11</v>
      </c>
      <c r="C112" s="31">
        <f>(B112/B111-1)/(A112-A111)*30</f>
        <v/>
      </c>
      <c r="D112" s="25" t="n"/>
      <c r="E112" s="25" t="n"/>
      <c r="F112" s="25" t="n"/>
      <c r="I112" s="106" t="n"/>
    </row>
    <row r="113" customFormat="1" s="105">
      <c r="A113" s="23" t="n">
        <v>42004</v>
      </c>
      <c r="B113" s="108" t="n">
        <v>16283.49</v>
      </c>
      <c r="C113" s="31">
        <f>(B113/B112-1)/(A113-A112)*30</f>
        <v/>
      </c>
      <c r="D113" s="25" t="n"/>
      <c r="E113" s="25" t="n"/>
      <c r="F113" s="25" t="n"/>
      <c r="I113" s="106" t="n"/>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c r="S148" s="9" t="n">
        <v>29.45</v>
      </c>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0</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c r="AR157" s="62" t="n"/>
    </row>
    <row r="158">
      <c r="A158" s="23" t="n">
        <v>43373</v>
      </c>
      <c r="B158" s="116" t="n">
        <v>18235.9</v>
      </c>
      <c r="C158" s="31">
        <f>(B158/B157-1)/(A158-A157)*30</f>
        <v/>
      </c>
      <c r="D158" s="25" t="n"/>
      <c r="F158" s="23" t="n">
        <v>43373</v>
      </c>
      <c r="I158" s="31" t="n"/>
      <c r="J158" s="24" t="n"/>
      <c r="K158" s="9" t="n">
        <v>1086.6424</v>
      </c>
      <c r="L158" s="31">
        <f>+(K158/K157-1)/(F158-F157)*30</f>
        <v/>
      </c>
      <c r="M158" s="25" t="n"/>
      <c r="S158" s="9" t="n">
        <v>0</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29.4450480820057</v>
      </c>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v>100</v>
      </c>
      <c r="F186" s="23" t="n">
        <v>44246</v>
      </c>
      <c r="I186" s="31" t="n"/>
      <c r="J186" s="24" t="n"/>
      <c r="K186" s="9" t="n">
        <v>4907.6377</v>
      </c>
      <c r="L186" s="31">
        <f>+(K186/K185-1)/(F186-F185)*30</f>
        <v/>
      </c>
      <c r="M186" s="25" t="n"/>
    </row>
    <row r="187">
      <c r="A187" s="23" t="n">
        <v>44255</v>
      </c>
      <c r="B187" s="9" t="n">
        <v>18986.58</v>
      </c>
      <c r="C187" s="31">
        <f>(B187/B186-1)/(A187-A186)*11</f>
        <v/>
      </c>
      <c r="D187" s="25">
        <f>+D186*(1+C187)</f>
        <v/>
      </c>
      <c r="F187" s="23" t="n">
        <v>44255</v>
      </c>
      <c r="I187" s="31" t="n"/>
      <c r="J187" s="24" t="n"/>
      <c r="K187" s="9" t="n">
        <v>4907.9052</v>
      </c>
      <c r="L187" s="31">
        <f>+(K187/K186-1)/(F187-F186)*11</f>
        <v/>
      </c>
      <c r="M187" s="25" t="n">
        <v>100</v>
      </c>
      <c r="Q187" s="23" t="n"/>
    </row>
    <row r="188">
      <c r="A188" s="23" t="n">
        <v>44286</v>
      </c>
      <c r="B188" s="25" t="n">
        <v>18991.5</v>
      </c>
      <c r="C188" s="31">
        <f>(B188/B187-1)/(A188-A187)*30</f>
        <v/>
      </c>
      <c r="D188" s="25">
        <f>+D187*(1+C188)</f>
        <v/>
      </c>
      <c r="F188" s="23" t="n">
        <v>44286</v>
      </c>
      <c r="I188" s="31" t="n"/>
      <c r="J188" s="24" t="n"/>
      <c r="K188" s="9" t="n">
        <v>4908.1704</v>
      </c>
      <c r="L188" s="31">
        <f>+(K188/K187-1)/(F188-F187)*30</f>
        <v/>
      </c>
      <c r="M188" s="25">
        <f>+M187*(1+L188)</f>
        <v/>
      </c>
      <c r="Q188" s="23" t="n"/>
      <c r="R188" s="117" t="n"/>
    </row>
    <row r="189">
      <c r="A189" s="23" t="n">
        <v>44316</v>
      </c>
      <c r="B189" s="9" t="n">
        <v>18997.09</v>
      </c>
      <c r="C189" s="31">
        <f>(B189/B188-1)/(A189-A188)*30</f>
        <v/>
      </c>
      <c r="D189" s="25">
        <f>+D188*(1+C189)</f>
        <v/>
      </c>
      <c r="F189" s="23" t="n">
        <v>44316</v>
      </c>
      <c r="I189" s="31" t="n"/>
      <c r="J189" s="24" t="n"/>
      <c r="K189" s="9" t="n">
        <v>4908.4956</v>
      </c>
      <c r="L189" s="31">
        <f>+(K189/K188-1)/(F189-F188)*30</f>
        <v/>
      </c>
      <c r="M189" s="25">
        <f>+M188*(1+L189)</f>
        <v/>
      </c>
      <c r="Q189" s="118" t="n"/>
    </row>
    <row r="190">
      <c r="A190" s="23" t="n">
        <v>44347</v>
      </c>
      <c r="B190" s="9" t="n">
        <v>19001.7</v>
      </c>
      <c r="C190" s="31">
        <f>(B190/B189-1)/(A190-A189)*30</f>
        <v/>
      </c>
      <c r="D190" s="25">
        <f>+D189*(1+C190)</f>
        <v/>
      </c>
      <c r="F190" s="23" t="n">
        <v>44347</v>
      </c>
      <c r="I190" s="31" t="n"/>
      <c r="J190" s="24" t="n"/>
      <c r="K190" s="9" t="n">
        <v>4908.7905</v>
      </c>
      <c r="L190" s="31">
        <f>+(K190/K189-1)/(F190-F189)*30</f>
        <v/>
      </c>
      <c r="M190" s="25" t="n">
        <v>100</v>
      </c>
      <c r="Q190" s="118" t="n"/>
    </row>
    <row r="191">
      <c r="A191" s="23" t="n">
        <v>44377</v>
      </c>
      <c r="B191" s="9" t="n">
        <v>19006.88</v>
      </c>
      <c r="C191" s="31">
        <f>(B191/B190-1)/(A191-A190)*30</f>
        <v/>
      </c>
      <c r="D191" s="25">
        <f>+D190*(1+C191)</f>
        <v/>
      </c>
      <c r="F191" s="23" t="n">
        <v>44377</v>
      </c>
      <c r="I191" s="31" t="n"/>
      <c r="J191" s="24" t="n"/>
      <c r="K191" s="9" t="n">
        <v>4909.0847</v>
      </c>
      <c r="L191" s="31">
        <f>+(K191/K190-1)/(F191-F190)*30</f>
        <v/>
      </c>
      <c r="M191" s="25">
        <f>+M190*(1+L191)</f>
        <v/>
      </c>
    </row>
    <row r="192">
      <c r="A192" s="23" t="n">
        <v>44408</v>
      </c>
      <c r="B192" s="9" t="n">
        <v>19016.42</v>
      </c>
      <c r="C192" s="31">
        <f>(B192/B191-1)/(A192-A191)*30</f>
        <v/>
      </c>
      <c r="D192" s="25">
        <f>+D191*(1+C192)</f>
        <v/>
      </c>
      <c r="F192" s="23" t="n">
        <v>44408</v>
      </c>
      <c r="I192" s="31" t="n"/>
      <c r="J192" s="24" t="n"/>
      <c r="K192" s="9" t="n">
        <v>4909.3885</v>
      </c>
      <c r="L192" s="31">
        <f>+(K192/K191-1)/(F192-F191)*30</f>
        <v/>
      </c>
      <c r="M192" s="25">
        <f>+M191*(1+L192)</f>
        <v/>
      </c>
    </row>
    <row r="193">
      <c r="A193" s="23" t="n">
        <v>44439</v>
      </c>
      <c r="B193" s="9" t="n">
        <v>19028.38</v>
      </c>
      <c r="C193" s="31">
        <f>(B193/B192-1)/(A193-A192)*30</f>
        <v/>
      </c>
      <c r="D193" s="25">
        <f>+D192*(1+C193)</f>
        <v/>
      </c>
      <c r="F193" s="23" t="n">
        <v>44439</v>
      </c>
      <c r="I193" s="31" t="n"/>
      <c r="J193" s="24" t="n"/>
      <c r="K193" s="9" t="n">
        <v>4909.6931</v>
      </c>
      <c r="L193" s="31">
        <f>+(K193/K192-1)/(F193-F192)*30</f>
        <v/>
      </c>
      <c r="M193" s="25">
        <f>+M192*(1+L193)</f>
        <v/>
      </c>
    </row>
    <row r="194">
      <c r="A194" s="23" t="n">
        <v>44469</v>
      </c>
      <c r="B194" s="9" t="n">
        <v>19052.12</v>
      </c>
      <c r="C194" s="31">
        <f>(B194/B193-1)/(A194-A193)*30</f>
        <v/>
      </c>
      <c r="D194" s="25">
        <f>+D193*(1+C194)</f>
        <v/>
      </c>
      <c r="F194" s="23" t="n">
        <v>44469</v>
      </c>
      <c r="I194" s="31" t="n"/>
      <c r="J194" s="24" t="n"/>
      <c r="K194" s="24" t="n">
        <v>4909.1149</v>
      </c>
      <c r="L194" s="31">
        <f>+(K194/K193-1)/(F194-F193)*30</f>
        <v/>
      </c>
      <c r="M194" s="25">
        <f>+M193*(1+L194)</f>
        <v/>
      </c>
    </row>
    <row r="195">
      <c r="A195" s="23" t="n">
        <v>44500</v>
      </c>
      <c r="B195" s="9" t="n">
        <v>19091.59</v>
      </c>
      <c r="C195" s="31">
        <f>(B195/B194-1)/(A195-A194)*30</f>
        <v/>
      </c>
      <c r="D195" s="25">
        <f>+D194*(1+C195)</f>
        <v/>
      </c>
      <c r="F195" s="23" t="n">
        <v>44500</v>
      </c>
      <c r="I195" s="31" t="n"/>
      <c r="J195" s="24" t="n"/>
      <c r="K195" s="9" t="n">
        <v>4914.1336</v>
      </c>
      <c r="L195" s="31">
        <f>+(K195/K194-1)/(F195-F194)*30</f>
        <v/>
      </c>
      <c r="M195" s="25">
        <f>+M194*(1+L195)</f>
        <v/>
      </c>
    </row>
    <row r="196">
      <c r="A196" s="23" t="n">
        <v>44530</v>
      </c>
      <c r="B196" s="9" t="n">
        <v>19132.47</v>
      </c>
      <c r="C196" s="31">
        <f>(B196/B195-1)/(A196-A195)*30</f>
        <v/>
      </c>
      <c r="D196" s="25">
        <f>+D195*(1+C196)</f>
        <v/>
      </c>
      <c r="F196" s="23" t="n">
        <v>44530</v>
      </c>
      <c r="I196" s="31" t="n"/>
      <c r="J196" s="24" t="n"/>
      <c r="K196" s="24" t="n">
        <v>4920.3216</v>
      </c>
      <c r="L196" s="31">
        <f>+(K196/K195-1)/(F196-F195)*30</f>
        <v/>
      </c>
      <c r="M196" s="25">
        <f>+M195*(1+L196)</f>
        <v/>
      </c>
    </row>
    <row r="197">
      <c r="A197" s="23" t="n">
        <v>44561</v>
      </c>
      <c r="B197" s="9" t="n">
        <v>19193.41</v>
      </c>
      <c r="C197" s="31">
        <f>(B197/B196-1)/(A197-A196)*30</f>
        <v/>
      </c>
      <c r="D197" s="25">
        <f>+D196*(1+C197)</f>
        <v/>
      </c>
      <c r="F197" s="23" t="n">
        <v>44561</v>
      </c>
      <c r="I197" s="31" t="n"/>
      <c r="J197" s="24" t="n"/>
      <c r="K197" s="9" t="n">
        <v>4929.2918</v>
      </c>
      <c r="L197" s="31">
        <f>+(K197/K196-1)/(F197-F196)*30</f>
        <v/>
      </c>
      <c r="M197" s="25">
        <f>+M196*(1+L197)</f>
        <v/>
      </c>
    </row>
    <row r="198">
      <c r="A198" s="23" t="n">
        <v>44592</v>
      </c>
      <c r="B198" s="9" t="n">
        <v>19259.35</v>
      </c>
      <c r="C198" s="31">
        <f>(B198/B197-1)/(A198-A197)*30</f>
        <v/>
      </c>
      <c r="D198" s="25">
        <f>+D197*(1+C198)</f>
        <v/>
      </c>
      <c r="F198" s="23" t="n">
        <v>44592</v>
      </c>
      <c r="I198" s="31" t="n"/>
      <c r="J198" s="24" t="n"/>
      <c r="K198" s="9" t="n">
        <v>4941.9683</v>
      </c>
      <c r="L198" s="31">
        <f>+(K198/K197-1)/(F198-F197)*30</f>
        <v/>
      </c>
      <c r="M198" s="25">
        <f>+M197*(1+L198)</f>
        <v/>
      </c>
    </row>
    <row r="199">
      <c r="A199" s="23" t="n">
        <v>44620</v>
      </c>
      <c r="B199" s="25" t="n">
        <v>19341.9</v>
      </c>
      <c r="C199" s="31">
        <f>(B199/B198-1)/(A199-A198)*30</f>
        <v/>
      </c>
      <c r="D199" s="25">
        <f>+D198*(1+C199)</f>
        <v/>
      </c>
      <c r="F199" s="23" t="n">
        <v>44620</v>
      </c>
      <c r="I199" s="31" t="n"/>
      <c r="J199" s="24" t="n"/>
      <c r="K199" s="9" t="n">
        <v>4958.2785</v>
      </c>
      <c r="L199" s="31">
        <f>+(K199/K198-1)/(F199-F198)*30</f>
        <v/>
      </c>
      <c r="M199" s="25">
        <f>+M198*(1+L199)</f>
        <v/>
      </c>
    </row>
    <row r="200">
      <c r="A200" s="23" t="n">
        <v>44651</v>
      </c>
      <c r="B200" s="9" t="n">
        <v>19435.35</v>
      </c>
      <c r="C200" s="31">
        <f>(B200/B199-1)/(A200-A199)*30</f>
        <v/>
      </c>
      <c r="D200" s="25">
        <f>+D199*(1+C200)</f>
        <v/>
      </c>
      <c r="F200" s="23" t="n">
        <v>44651</v>
      </c>
      <c r="I200" s="31" t="n"/>
      <c r="J200" s="24" t="n"/>
      <c r="K200" s="9" t="n">
        <v>4977.0833</v>
      </c>
      <c r="L200" s="31">
        <f>+(K200/K199-1)/(F200-F199)*30</f>
        <v/>
      </c>
      <c r="M200" s="25">
        <f>+M199*(1+L200)</f>
        <v/>
      </c>
    </row>
    <row r="201">
      <c r="A201" s="23" t="n">
        <v>44681</v>
      </c>
      <c r="B201" s="9" t="n">
        <v>19541.32</v>
      </c>
      <c r="C201" s="31">
        <f>(B201/B200-1)/(A201-A200)*30</f>
        <v/>
      </c>
      <c r="D201" s="25">
        <f>+D200*(1+C201)</f>
        <v/>
      </c>
      <c r="F201" s="23" t="n">
        <v>44681</v>
      </c>
      <c r="I201" s="31" t="n"/>
      <c r="J201" s="24" t="n"/>
      <c r="K201" s="9" t="n">
        <v>4999.8366</v>
      </c>
      <c r="L201" s="31">
        <f>+(K201/K200-1)/(F201-F200)*30</f>
        <v/>
      </c>
      <c r="M201" s="25">
        <f>+M200*(1+L201)</f>
        <v/>
      </c>
    </row>
    <row r="202">
      <c r="A202" s="23" t="n">
        <v>44712</v>
      </c>
      <c r="B202" s="9" t="n">
        <v>19680.32</v>
      </c>
      <c r="C202" s="31">
        <f>(B202/B201-1)/(A202-A201)*30</f>
        <v/>
      </c>
      <c r="D202" s="25">
        <f>+D201*(1+C202)</f>
        <v/>
      </c>
      <c r="F202" s="23" t="n">
        <v>44735</v>
      </c>
      <c r="I202" s="31" t="n"/>
      <c r="J202" s="24" t="n"/>
      <c r="K202" s="9" t="n">
        <v>5027.3885</v>
      </c>
      <c r="L202" s="31">
        <f>+(K202/K201-1)/(F202-F201)*30</f>
        <v/>
      </c>
      <c r="M202" s="25">
        <f>+M201*(1+L202)</f>
        <v/>
      </c>
    </row>
    <row r="203">
      <c r="A203" s="23" t="n">
        <v>44742</v>
      </c>
      <c r="B203" s="9" t="n">
        <v>19825.16</v>
      </c>
      <c r="C203" s="31">
        <f>(B203/B202-1)/(A203-A202)*30</f>
        <v/>
      </c>
      <c r="D203" s="25">
        <f>+D202*(1+C203)</f>
        <v/>
      </c>
      <c r="F203" s="23" t="n">
        <v>44742</v>
      </c>
      <c r="I203" s="31" t="n"/>
      <c r="J203" s="24" t="n"/>
      <c r="K203" s="24" t="n">
        <v>5056.9676</v>
      </c>
      <c r="L203" s="81">
        <f>+(K203/K202-1)/(F203-A202)*30</f>
        <v/>
      </c>
      <c r="M203" s="25">
        <f>+M202*(1+L203)</f>
        <v/>
      </c>
    </row>
    <row r="204">
      <c r="A204" s="23" t="n">
        <v>44773</v>
      </c>
      <c r="B204" s="9" t="n">
        <v>19975.62</v>
      </c>
      <c r="C204" s="31">
        <f>(B204/B203-1)/(A204-A203)*30</f>
        <v/>
      </c>
      <c r="D204" s="25">
        <f>+D203*(1+C204)</f>
        <v/>
      </c>
      <c r="F204" s="23" t="n">
        <v>44773</v>
      </c>
      <c r="I204" s="31" t="n"/>
      <c r="J204" s="24" t="n"/>
      <c r="K204" s="9" t="n">
        <v>5089.8979</v>
      </c>
      <c r="L204" s="81">
        <f>+(K204/K203-1)/(F204-A203)*30</f>
        <v/>
      </c>
      <c r="M204" s="25">
        <f>+M203*(1+L204)</f>
        <v/>
      </c>
    </row>
    <row r="205">
      <c r="A205" s="23" t="n">
        <v>44804</v>
      </c>
      <c r="B205" s="9" t="n">
        <v>20154.92</v>
      </c>
      <c r="C205" s="31">
        <f>(B205/B204-1)/(A205-A204)*30</f>
        <v/>
      </c>
      <c r="D205" s="25">
        <f>+D204*(1+C205)</f>
        <v/>
      </c>
      <c r="F205" s="23" t="n">
        <v>44804</v>
      </c>
      <c r="I205" s="31" t="n"/>
      <c r="J205" s="24" t="n"/>
      <c r="K205" s="24" t="n">
        <v>5125.6822</v>
      </c>
      <c r="L205" s="81">
        <f>+(K205/K204-1)/(F205-A204)*30</f>
        <v/>
      </c>
      <c r="M205" s="25">
        <f>+M204*(1+L205)</f>
        <v/>
      </c>
    </row>
    <row r="206">
      <c r="A206" s="23" t="n">
        <v>44834</v>
      </c>
      <c r="B206" s="9" t="n">
        <v>20332.28</v>
      </c>
      <c r="C206" s="31">
        <f>(B206/B205-1)/(A206-A205)*30</f>
        <v/>
      </c>
      <c r="D206" s="25">
        <f>+D205*(1+C206)</f>
        <v/>
      </c>
      <c r="F206" s="23" t="n">
        <v>44834</v>
      </c>
      <c r="I206" s="31" t="n"/>
      <c r="J206" s="24" t="n"/>
      <c r="K206" s="24" t="n">
        <v>5163.2829</v>
      </c>
      <c r="L206" s="81">
        <f>+(K206/K205-1)/(F206-A205)*30</f>
        <v/>
      </c>
      <c r="M206" s="25">
        <f>+M205*(1+L206)</f>
        <v/>
      </c>
    </row>
    <row r="207">
      <c r="A207" s="23" t="n">
        <v>44862</v>
      </c>
      <c r="B207" s="9" t="n">
        <v>20507.2</v>
      </c>
      <c r="C207" s="31">
        <f>(B207/B206-1)/(A207-A206)*30</f>
        <v/>
      </c>
      <c r="D207" s="25">
        <f>+D206*(1+C207)</f>
        <v/>
      </c>
      <c r="F207" s="23" t="n">
        <v>44862</v>
      </c>
      <c r="I207" s="31" t="n"/>
      <c r="J207" s="24" t="n"/>
      <c r="K207" s="24" t="n">
        <v>5200.6767</v>
      </c>
      <c r="L207" s="81">
        <f>+(K207/K206-1)/(F207-A206)*30</f>
        <v/>
      </c>
      <c r="M207" s="25">
        <f>+M206*(1+L207)</f>
        <v/>
      </c>
    </row>
    <row r="208">
      <c r="A208" s="23" t="n">
        <v>44895</v>
      </c>
      <c r="B208" s="9" t="n">
        <v>20719.68</v>
      </c>
      <c r="C208" s="31">
        <f>(B208/B207-1)/(A208-A207)*30</f>
        <v/>
      </c>
      <c r="D208" s="25">
        <f>+D207*(1+C208)</f>
        <v/>
      </c>
      <c r="F208" s="23" t="n">
        <v>44895</v>
      </c>
      <c r="I208" s="31" t="n"/>
      <c r="J208" s="24" t="n"/>
      <c r="K208" s="9" t="n">
        <v>5246.14</v>
      </c>
      <c r="L208" s="81">
        <f>+(K208/K207-1)/(F208-A207)*30</f>
        <v/>
      </c>
      <c r="M208" s="25">
        <f>+M207*(1+L208)</f>
        <v/>
      </c>
    </row>
    <row r="209">
      <c r="A209" s="23" t="n">
        <v>44925</v>
      </c>
      <c r="B209" s="9" t="n">
        <v>20914.79</v>
      </c>
      <c r="C209" s="31">
        <f>(B209/B208-1)/(A209-A208)*30</f>
        <v/>
      </c>
      <c r="D209" s="25">
        <f>+D208*(1+C209)</f>
        <v/>
      </c>
      <c r="F209" s="23" t="n">
        <v>44925</v>
      </c>
      <c r="I209" s="31" t="n"/>
      <c r="J209" s="24" t="n"/>
      <c r="K209" s="9" t="n">
        <v>5287.7323</v>
      </c>
      <c r="L209" s="81">
        <f>+(K209/K208-1)/(F209-A208)*30</f>
        <v/>
      </c>
      <c r="M209" s="25">
        <f>+M208*(1+L209)</f>
        <v/>
      </c>
    </row>
    <row r="210">
      <c r="A210" s="23" t="n">
        <v>44957</v>
      </c>
      <c r="B210" s="9" t="n">
        <v>21124.92</v>
      </c>
      <c r="C210" s="31">
        <f>(B210/B209-1)/(A210-A209)*30</f>
        <v/>
      </c>
      <c r="D210" s="25">
        <f>+D209*(1+C210)</f>
        <v/>
      </c>
      <c r="F210" s="23" t="n">
        <v>44957</v>
      </c>
      <c r="I210" s="31" t="n"/>
      <c r="J210" s="24" t="n"/>
      <c r="K210" s="9" t="n">
        <v>5332.3677</v>
      </c>
      <c r="L210" s="81">
        <f>+(K210/K209-1)/(F210-A209)*30</f>
        <v/>
      </c>
      <c r="M210" s="25">
        <f>+M209*(1+L210)</f>
        <v/>
      </c>
    </row>
    <row r="211">
      <c r="A211" s="23" t="n">
        <v>44985</v>
      </c>
      <c r="B211" s="9" t="n">
        <v>21310.51</v>
      </c>
      <c r="C211" s="31">
        <f>(B211/B210-1)/(A211-A210)*30</f>
        <v/>
      </c>
      <c r="D211" s="25" t="n">
        <v>100</v>
      </c>
      <c r="F211" s="23" t="n">
        <v>45014</v>
      </c>
      <c r="G211" s="105" t="n">
        <v>999.9918</v>
      </c>
      <c r="H211" s="105" t="n">
        <v>1000</v>
      </c>
      <c r="I211" s="31" t="n">
        <v>0</v>
      </c>
      <c r="J211" s="24" t="n">
        <v>100</v>
      </c>
      <c r="K211" s="9" t="n">
        <v>5371.762</v>
      </c>
      <c r="L211" s="81">
        <f>+(K211/K210-1)/(F211-A210)*30</f>
        <v/>
      </c>
      <c r="M211" s="25" t="n">
        <v>100</v>
      </c>
    </row>
    <row r="212">
      <c r="A212" s="23" t="n">
        <v>45016</v>
      </c>
      <c r="B212" s="9" t="n">
        <v>21517.9</v>
      </c>
      <c r="C212" s="31">
        <f>(B212/B211-1)/(A212-A211)*30</f>
        <v/>
      </c>
      <c r="D212" s="25">
        <f>+D211*(1+C212)</f>
        <v/>
      </c>
      <c r="F212" s="23" t="n">
        <v>45016</v>
      </c>
      <c r="G212" s="105" t="n">
        <v>1000.6272</v>
      </c>
      <c r="H212" s="105">
        <f>+G212+$S$148+$S$150+$S$152+$S$154+$S$156+$S$158</f>
        <v/>
      </c>
      <c r="I212" s="31">
        <f>+(H212/H211-1)/(F212-F211)*2</f>
        <v/>
      </c>
      <c r="J212" s="24">
        <f>+J211*(1+I212)</f>
        <v/>
      </c>
      <c r="K212" s="9" t="n">
        <v>5415.8662</v>
      </c>
      <c r="L212" s="81">
        <f>+(K212/K211-1)/(F212-A211)*30</f>
        <v/>
      </c>
      <c r="M212" s="25">
        <f>+M211*(1+L212)</f>
        <v/>
      </c>
    </row>
    <row r="213">
      <c r="A213" s="23" t="n">
        <v>45044</v>
      </c>
      <c r="B213" s="9" t="n">
        <v>21706.94</v>
      </c>
      <c r="C213" s="31">
        <f>(B213/B212-1)/(A213-A212)*30</f>
        <v/>
      </c>
      <c r="D213" s="25">
        <f>+D212*(1+C213)</f>
        <v/>
      </c>
      <c r="F213" s="23" t="n">
        <v>45044</v>
      </c>
      <c r="G213" s="105" t="n">
        <v>1011.9076</v>
      </c>
      <c r="H213" s="105">
        <f>+G213+$S$148+$S$150+$S$152+$S$154+$S$156+$S$158</f>
        <v/>
      </c>
      <c r="I213" s="31">
        <f>+(H213/H212-1)/(F213-F212)*30</f>
        <v/>
      </c>
      <c r="J213" s="24">
        <f>+J212*(1+I213)</f>
        <v/>
      </c>
      <c r="K213" s="9" t="n">
        <v>5456.2587</v>
      </c>
      <c r="L213" s="81">
        <f>+(K213/K212-1)/(F213-A212)*30</f>
        <v/>
      </c>
      <c r="M213" s="25">
        <f>+M212*(1+L213)</f>
        <v/>
      </c>
    </row>
    <row r="214">
      <c r="A214" s="23" t="n">
        <v>45077</v>
      </c>
      <c r="B214" s="9" t="n">
        <v>21931.86</v>
      </c>
      <c r="C214" s="31">
        <f>(B214/B213-1)/(A214-A213)*30</f>
        <v/>
      </c>
      <c r="D214" s="25">
        <f>+D213*(1+C214)</f>
        <v/>
      </c>
      <c r="F214" s="23" t="n">
        <v>45077</v>
      </c>
      <c r="G214" s="105" t="n">
        <v>1023.5977</v>
      </c>
      <c r="H214" s="105">
        <f>+G214+$S$148+$S$150+$S$152+$S$154+$S$156+$S$158</f>
        <v/>
      </c>
      <c r="I214" s="31">
        <f>+(H214/H213-1)/(F214-F213)*30</f>
        <v/>
      </c>
      <c r="J214" s="24">
        <f>+J213*(1+I214)</f>
        <v/>
      </c>
      <c r="K214" s="24" t="n">
        <v>5504.4106</v>
      </c>
      <c r="L214" s="81">
        <f>+(K214/K213-1)/(F214-A213)*30</f>
        <v/>
      </c>
      <c r="M214" s="25">
        <f>+M213*(1+L214)</f>
        <v/>
      </c>
    </row>
    <row r="215">
      <c r="A215" s="23" t="n">
        <v>45107</v>
      </c>
      <c r="B215" s="9" t="n">
        <v>22138.35</v>
      </c>
      <c r="C215" s="31">
        <f>(B215/B214-1)/(A215-A214)*30</f>
        <v/>
      </c>
      <c r="D215" s="25">
        <f>+D214*(1+C215)</f>
        <v/>
      </c>
      <c r="F215" s="23" t="n">
        <v>45107</v>
      </c>
      <c r="G215" s="105" t="n">
        <v>1034.4025</v>
      </c>
      <c r="H215" s="105">
        <f>+G215+$S$148+$S$150+$S$152+$S$154+$S$156+$S$158</f>
        <v/>
      </c>
      <c r="I215" s="31">
        <f>+(H215/H214-1)/(F215-F214)*30</f>
        <v/>
      </c>
      <c r="J215" s="24">
        <f>+J214*(1+I215)</f>
        <v/>
      </c>
      <c r="K215" s="9" t="n">
        <v>5548.4618</v>
      </c>
      <c r="L215" s="81">
        <f>+(K215/K214-1)/(F215-A214)*30</f>
        <v/>
      </c>
      <c r="M215" s="25">
        <f>+M214*(1+L215)</f>
        <v/>
      </c>
    </row>
    <row r="216">
      <c r="A216" s="23" t="n">
        <v>45138</v>
      </c>
      <c r="B216" s="9" t="n">
        <v>22353.79</v>
      </c>
      <c r="C216" s="31">
        <f>(B216/B215-1)/(A216-A215)*30</f>
        <v/>
      </c>
      <c r="D216" s="25">
        <f>+D215*(1+C216)</f>
        <v/>
      </c>
      <c r="F216" s="23" t="n">
        <v>45138</v>
      </c>
      <c r="G216" s="105" t="n">
        <v>1045.7868</v>
      </c>
      <c r="H216" s="105">
        <f>+G216+$S$148+$S$150+$S$152+$S$154+$S$156+$S$158</f>
        <v/>
      </c>
      <c r="I216" s="31">
        <f>+(H216/H215-1)/(F216-F215)*30</f>
        <v/>
      </c>
      <c r="J216" s="24">
        <f>+J215*(1+I216)</f>
        <v/>
      </c>
      <c r="K216" s="9" t="n">
        <v>5593.984</v>
      </c>
      <c r="L216" s="81">
        <f>+(K216/K215-1)/(F216-A215)*30</f>
        <v/>
      </c>
      <c r="M216" s="25">
        <f>+M215*(1+L216)</f>
        <v/>
      </c>
    </row>
    <row r="217">
      <c r="A217" s="23" t="n">
        <v>45169</v>
      </c>
      <c r="B217" s="9" t="n">
        <v>22551.92</v>
      </c>
      <c r="C217" s="31">
        <f>(B217/B216-1)/(A217-A216)*30</f>
        <v/>
      </c>
      <c r="D217" s="25">
        <f>+D216*(1+C217)</f>
        <v/>
      </c>
      <c r="F217" s="23" t="n">
        <v>45169</v>
      </c>
      <c r="G217" s="105" t="n">
        <v>1056.2304</v>
      </c>
      <c r="H217" s="105">
        <f>+G217+$S$148+$S$150+$S$152+$S$154+$S$156+$S$158</f>
        <v/>
      </c>
      <c r="I217" s="31">
        <f>+(H217/H216-1)/(F217-F216)*30</f>
        <v/>
      </c>
      <c r="J217" s="24">
        <f>+J216*(1+I217)</f>
        <v/>
      </c>
      <c r="K217" s="9" t="n">
        <v>5636.4775</v>
      </c>
      <c r="L217" s="81">
        <f>+(K217/K216-1)/(F217-A216)*30</f>
        <v/>
      </c>
      <c r="M217" s="25">
        <f>+M216*(1+L217)</f>
        <v/>
      </c>
    </row>
    <row r="218">
      <c r="A218" s="23" t="n">
        <v>45199</v>
      </c>
      <c r="B218" s="9" t="n">
        <v>22727.72</v>
      </c>
      <c r="C218" s="31">
        <f>(B218/B217-1)/(A218-A217)*30</f>
        <v/>
      </c>
      <c r="D218" s="25">
        <f>+D217*(1+C218)</f>
        <v/>
      </c>
      <c r="F218" s="23" t="n">
        <v>45199</v>
      </c>
      <c r="G218" s="105" t="n">
        <v>1066.2739</v>
      </c>
      <c r="H218" s="105">
        <f>+G218+$S$148+$S$150+$S$152+$S$154+$S$156+$S$158</f>
        <v/>
      </c>
      <c r="I218" s="31">
        <f>+(H218/H217-1)/(F218-F217)*30</f>
        <v/>
      </c>
      <c r="J218" s="24">
        <f>+J217*(1+I218)</f>
        <v/>
      </c>
      <c r="K218" s="9" t="n">
        <v>5674.72</v>
      </c>
      <c r="L218" s="81">
        <f>+(K218/K217-1)/(F218-A217)*30</f>
        <v/>
      </c>
      <c r="M218" s="25">
        <f>+M217*(1+L218)</f>
        <v/>
      </c>
    </row>
    <row r="219">
      <c r="A219" s="23" t="n">
        <v>45230</v>
      </c>
      <c r="B219" s="25" t="n">
        <v>22920</v>
      </c>
      <c r="C219" s="31">
        <f>(B219/B218-1)/(A219-A218)*30</f>
        <v/>
      </c>
      <c r="D219" s="25">
        <f>+D218*(1+C219)</f>
        <v/>
      </c>
      <c r="F219" s="23" t="n">
        <v>45230</v>
      </c>
      <c r="G219" s="105" t="n">
        <v>1076.1517</v>
      </c>
      <c r="H219" s="105">
        <f>+G219+$S$148+$S$150+$S$152+$S$154+$S$156+$S$158</f>
        <v/>
      </c>
      <c r="I219" s="31">
        <f>+(H219/H218-1)/(F219-F218)*30</f>
        <v/>
      </c>
      <c r="J219" s="24">
        <f>+J218*(1+I219)</f>
        <v/>
      </c>
      <c r="K219" s="9" t="n">
        <v>5712.6049</v>
      </c>
      <c r="L219" s="81">
        <f>+(K219/K218-1)/(F219-A218)*30</f>
        <v/>
      </c>
      <c r="M219" s="25">
        <f>+M218*(1+L219)</f>
        <v/>
      </c>
    </row>
    <row r="220">
      <c r="A220" s="23" t="n">
        <v>45260</v>
      </c>
      <c r="B220" s="9" t="n">
        <v>23092.51</v>
      </c>
      <c r="C220" s="31">
        <f>(B220/B219-1)/(A220-A219)*30</f>
        <v/>
      </c>
      <c r="D220" s="25">
        <f>+D219*(1+C220)</f>
        <v/>
      </c>
      <c r="F220" s="23" t="n">
        <v>45260</v>
      </c>
      <c r="G220" s="105" t="n">
        <v>1085.4982</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1095.075</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1104.8758</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1112.5842</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1119.7529</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1127.4795</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1135.0306</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1141.9199</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1148.2776</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1154.7073</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1160.594</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1166.1141</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1142.0238</v>
      </c>
      <c r="H232" s="105">
        <f>+G232+$S$148+$S$150+$S$152+$S$154+$S$156+$S$158+$S$160</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1146.7136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1151.8456</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1157.7357</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1163.827</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1172.2012</v>
      </c>
      <c r="H237" s="105">
        <f>+G237+$S$148+$S$150+$S$152+$S$154+$S$156+$S$158+$S$160</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5" t="n">
        <v>1179.4588</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1186.9406</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1194.1629</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1201.8372</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1209.1829</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1216.7155</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1224.1524</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1231.8688</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1239.5818</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1246.9941</v>
      </c>
      <c r="H247" s="105">
        <f>+G247+$S$148+$S$150+$S$152+$S$154+$S$156+$S$158+$S$160</f>
        <v/>
      </c>
      <c r="I247" s="31">
        <f>+(H247/H246-1)/(F247-F246)*30</f>
        <v/>
      </c>
      <c r="J247" s="24">
        <f>+J246*(1+I247)</f>
        <v/>
      </c>
      <c r="K247" s="101" t="n">
        <v>6318.4947</v>
      </c>
      <c r="L247" s="31">
        <f>+(K247/K246-1)/(F247-F246)*30</f>
        <v/>
      </c>
      <c r="M247" s="25">
        <f>+M246*(1+L247)</f>
        <v/>
      </c>
    </row>
    <row r="248">
      <c r="A248" s="97" t="n">
        <v>46112</v>
      </c>
      <c r="B248" s="98" t="n">
        <v>26333.64</v>
      </c>
      <c r="C248" s="31">
        <f>(B248/B247-1)/(A248-A247)*30</f>
        <v/>
      </c>
      <c r="D248" s="25">
        <f>+D247*(1+C248)</f>
        <v/>
      </c>
      <c r="F248" s="97" t="n">
        <v>46112</v>
      </c>
      <c r="G248" s="120" t="n">
        <v>1254.9658</v>
      </c>
      <c r="H248" s="105">
        <f>+G248+$S$148+$S$150+$S$152+$S$154+$S$156+$S$158+$S$160</f>
        <v/>
      </c>
      <c r="I248" s="31">
        <f>+(H248/H247-1)/(F248-F247)*30</f>
        <v/>
      </c>
      <c r="J248" s="24">
        <f>+J247*(1+I248)</f>
        <v/>
      </c>
      <c r="K248" s="102" t="n">
        <v>6335.4774</v>
      </c>
      <c r="L248" s="31">
        <f>+(K248/K247-1)/(F248-F247)*30</f>
        <v/>
      </c>
      <c r="M248" s="25">
        <f>+M247*(1+L248)</f>
        <v/>
      </c>
    </row>
    <row r="249">
      <c r="A249" s="97" t="n">
        <v>46142</v>
      </c>
      <c r="B249" s="98" t="n">
        <v>26432.56</v>
      </c>
      <c r="C249" s="31">
        <f>(B249/B248-1)/(A249-A248)*30</f>
        <v/>
      </c>
      <c r="D249" s="25">
        <f>+D248*(1+C249)</f>
        <v/>
      </c>
      <c r="F249" s="97" t="n">
        <v>46142</v>
      </c>
      <c r="G249" s="119" t="n">
        <v>1262.8696</v>
      </c>
      <c r="H249" s="105">
        <f>+G249+$S$148+$S$150+$S$152+$S$154+$S$156+$S$158+$S$160</f>
        <v/>
      </c>
      <c r="I249" s="31">
        <f>+(H249/H248-1)/(F249-F248)*30</f>
        <v/>
      </c>
      <c r="J249" s="24">
        <f>+J248*(1+I249)</f>
        <v/>
      </c>
      <c r="K249" s="9" t="n">
        <v>6351.9305</v>
      </c>
      <c r="L249" s="31">
        <f>+(K249/K248-1)/(F249-F248)*30</f>
        <v/>
      </c>
      <c r="M249" s="25">
        <f>+M248*(1+L249)</f>
        <v/>
      </c>
    </row>
    <row r="250">
      <c r="A250" s="97" t="n">
        <v>46144</v>
      </c>
      <c r="B250" s="98" t="n">
        <v>19991.53842678169</v>
      </c>
      <c r="C250" s="31">
        <f>(B250/B249-1)/(A250-A249)*30</f>
        <v/>
      </c>
      <c r="D250" s="25">
        <f>+D249*(1+C250)</f>
        <v/>
      </c>
      <c r="F250" s="97" t="n">
        <v>46144</v>
      </c>
      <c r="G250" t="n">
        <v>1389.115</v>
      </c>
      <c r="H250">
        <f>+G250+$S$148+$S$150+$S$152+$S$154+$S$156+$S$158+$S$160</f>
        <v/>
      </c>
      <c r="I250">
        <f>+(H250/H249-1)/(F250-F249)*30</f>
        <v/>
      </c>
      <c r="J250">
        <f>+J249*(1+I250)</f>
        <v/>
      </c>
      <c r="L250">
        <f>+(K250/K249-1)/(F250-F249)*30</f>
        <v/>
      </c>
      <c r="M250">
        <f>+M249*(1+L250)</f>
        <v/>
      </c>
    </row>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E39" sqref="E39:H41"/>
    </sheetView>
  </sheetViews>
  <sheetFormatPr baseColWidth="8" defaultColWidth="11.42578125" defaultRowHeight="15"/>
  <cols>
    <col width="5.85546875" bestFit="1" customWidth="1" style="7" min="3" max="3"/>
    <col width="18.85546875" customWidth="1" min="4" max="4"/>
    <col width="7.7109375" customWidth="1" min="5" max="16"/>
    <col width="10.140625" customWidth="1" min="17" max="17"/>
    <col width="21.42578125" customWidth="1" min="19" max="19"/>
    <col width="8.7109375" bestFit="1" customWidth="1" min="20" max="20"/>
    <col width="10.7109375" bestFit="1" customWidth="1" min="21" max="21"/>
    <col width="10.42578125" bestFit="1" customWidth="1" min="22" max="22"/>
    <col width="9.5703125" customWidth="1" min="23" max="23"/>
    <col width="13.28515625" customWidth="1" min="24" max="24"/>
  </cols>
  <sheetData>
    <row r="1">
      <c r="C1" s="83" t="n"/>
      <c r="D1" s="84" t="n"/>
      <c r="E1" s="84" t="n"/>
      <c r="F1" s="84" t="n"/>
      <c r="G1" s="84" t="n"/>
      <c r="H1" s="84" t="n"/>
      <c r="I1" s="84" t="n"/>
      <c r="J1" s="84" t="n"/>
      <c r="K1" s="84" t="n"/>
      <c r="L1" s="84" t="n"/>
      <c r="M1" s="84" t="n"/>
      <c r="N1" s="84" t="n"/>
      <c r="O1" s="84" t="n"/>
      <c r="P1" s="84" t="n"/>
      <c r="Q1" s="84" t="n"/>
      <c r="R1" s="84" t="n"/>
      <c r="S1" s="87" t="inlineStr">
        <is>
          <t>Rentabilidad</t>
        </is>
      </c>
      <c r="T1" s="90" t="inlineStr">
        <is>
          <t>Mensual</t>
        </is>
      </c>
      <c r="U1" s="90" t="inlineStr">
        <is>
          <t>Trimestral</t>
        </is>
      </c>
      <c r="V1" s="90" t="inlineStr">
        <is>
          <t>Semestral</t>
        </is>
      </c>
      <c r="W1" s="90" t="inlineStr">
        <is>
          <t>Anual</t>
        </is>
      </c>
      <c r="X1" s="89">
        <f>+'Datos ICP (2)'!BB28</f>
        <v/>
      </c>
    </row>
    <row r="2">
      <c r="C2" s="83" t="n"/>
      <c r="D2" s="84" t="n"/>
      <c r="E2" s="84" t="n"/>
      <c r="F2" s="84" t="n"/>
      <c r="G2" s="84" t="n"/>
      <c r="H2" s="84" t="n"/>
      <c r="I2" s="84" t="n"/>
      <c r="J2" s="84" t="n"/>
      <c r="K2" s="84" t="n"/>
      <c r="L2" s="84" t="n"/>
      <c r="M2" s="84" t="n"/>
      <c r="N2" s="84" t="n"/>
      <c r="O2" s="84" t="n"/>
      <c r="P2" s="84" t="n"/>
      <c r="Q2" s="84" t="n"/>
      <c r="R2" s="84" t="n"/>
      <c r="S2" s="83" t="inlineStr">
        <is>
          <t>ICP (Benchmark)</t>
        </is>
      </c>
      <c r="T2" s="91">
        <f>+'Datos ICP (2)'!AX29</f>
        <v/>
      </c>
      <c r="U2" s="91">
        <f>+'Datos ICP (2)'!AY29</f>
        <v/>
      </c>
      <c r="V2" s="91">
        <f>+'Datos ICP (2)'!AZ29</f>
        <v/>
      </c>
      <c r="W2" s="91">
        <f>+'Datos ICP (2)'!BA29</f>
        <v/>
      </c>
      <c r="X2" s="91">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91">
        <f>+'Datos ICP (2)'!AX30</f>
        <v/>
      </c>
      <c r="U3" s="91">
        <f>+'Datos ICP (2)'!AY30</f>
        <v/>
      </c>
      <c r="V3" s="91">
        <f>+'Datos ICP (2)'!AZ30</f>
        <v/>
      </c>
      <c r="W3" s="91">
        <f>+'Datos ICP (2)'!BA30</f>
        <v/>
      </c>
      <c r="X3" s="91">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Plus</t>
        </is>
      </c>
      <c r="T4" s="91">
        <f>+'Datos ICP (2)'!AX31</f>
        <v/>
      </c>
      <c r="U4" s="91">
        <f>+'Datos ICP (2)'!AY31</f>
        <v/>
      </c>
      <c r="V4" s="91">
        <f>+'Datos ICP (2)'!AZ31</f>
        <v/>
      </c>
      <c r="W4" s="91">
        <f>+'Datos ICP (2)'!BA31</f>
        <v/>
      </c>
      <c r="X4" s="91">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7" t="inlineStr">
        <is>
          <t>Año</t>
        </is>
      </c>
      <c r="D6" s="88" t="inlineStr">
        <is>
          <t>Fondo</t>
        </is>
      </c>
      <c r="E6" s="90" t="inlineStr">
        <is>
          <t>Ene</t>
        </is>
      </c>
      <c r="F6" s="90" t="inlineStr">
        <is>
          <t>Feb</t>
        </is>
      </c>
      <c r="G6" s="90" t="inlineStr">
        <is>
          <t>Mar</t>
        </is>
      </c>
      <c r="H6" s="90" t="inlineStr">
        <is>
          <t>Abr</t>
        </is>
      </c>
      <c r="I6" s="90" t="inlineStr">
        <is>
          <t>May</t>
        </is>
      </c>
      <c r="J6" s="90" t="inlineStr">
        <is>
          <t>Jun</t>
        </is>
      </c>
      <c r="K6" s="90" t="inlineStr">
        <is>
          <t>Jul</t>
        </is>
      </c>
      <c r="L6" s="90" t="inlineStr">
        <is>
          <t>Ago</t>
        </is>
      </c>
      <c r="M6" s="90" t="inlineStr">
        <is>
          <t>Sep</t>
        </is>
      </c>
      <c r="N6" s="90" t="inlineStr">
        <is>
          <t>Oct</t>
        </is>
      </c>
      <c r="O6" s="90" t="inlineStr">
        <is>
          <t>Nov</t>
        </is>
      </c>
      <c r="P6" s="90" t="inlineStr">
        <is>
          <t>Dic</t>
        </is>
      </c>
      <c r="Q6" s="89" t="inlineStr">
        <is>
          <t>Total
Año</t>
        </is>
      </c>
      <c r="R6" s="85" t="n"/>
      <c r="S6" s="84" t="n"/>
      <c r="T6" s="84" t="n"/>
      <c r="U6" s="84" t="n"/>
      <c r="V6" s="84" t="n"/>
      <c r="W6" s="84" t="n"/>
      <c r="X6" s="84" t="n"/>
    </row>
    <row r="7" ht="15" customHeight="1">
      <c r="B7" s="8" t="n"/>
      <c r="C7" s="83" t="n"/>
      <c r="D7" s="84" t="n"/>
      <c r="E7" s="92" t="n"/>
      <c r="F7" s="92" t="n"/>
      <c r="G7" s="92" t="n"/>
      <c r="H7" s="92" t="n"/>
      <c r="I7" s="92" t="n"/>
      <c r="J7" s="92" t="n"/>
      <c r="K7" s="92" t="n"/>
      <c r="L7" s="92" t="n"/>
      <c r="M7" s="92" t="n"/>
      <c r="N7" s="92" t="n"/>
      <c r="O7" s="92" t="n"/>
      <c r="P7" s="92" t="n"/>
      <c r="Q7" s="92" t="n"/>
      <c r="R7" s="85" t="n"/>
      <c r="S7" s="84" t="n"/>
      <c r="T7" s="84" t="n"/>
      <c r="U7" s="84" t="n"/>
      <c r="V7" s="84" t="n"/>
      <c r="W7" s="84" t="n"/>
      <c r="X7" s="84" t="n"/>
    </row>
    <row r="8" hidden="1" ht="15" customHeight="1">
      <c r="B8" s="8" t="n"/>
      <c r="C8" s="83" t="n">
        <v>2013</v>
      </c>
      <c r="D8" s="84" t="inlineStr">
        <is>
          <t>ICP</t>
        </is>
      </c>
      <c r="E8" s="91" t="n"/>
      <c r="F8" s="91" t="n"/>
      <c r="G8" s="91" t="n"/>
      <c r="H8" s="91" t="n"/>
      <c r="I8" s="91" t="n"/>
      <c r="J8" s="91" t="n"/>
      <c r="K8" s="91" t="n"/>
      <c r="L8" s="91" t="n"/>
      <c r="M8" s="91" t="n"/>
      <c r="N8" s="91" t="n"/>
      <c r="O8" s="91" t="n"/>
      <c r="P8" s="91" t="n"/>
      <c r="Q8" s="91" t="n"/>
      <c r="R8" s="84" t="n"/>
      <c r="S8" s="84" t="n"/>
      <c r="T8" s="84" t="n"/>
      <c r="U8" s="84" t="n"/>
      <c r="V8" s="84" t="n"/>
      <c r="W8" s="84" t="n"/>
      <c r="X8" s="84" t="n"/>
    </row>
    <row r="9" hidden="1" ht="15" customHeight="1">
      <c r="B9" s="8" t="n"/>
      <c r="C9" s="83" t="n">
        <v>2014</v>
      </c>
      <c r="D9" s="84" t="inlineStr">
        <is>
          <t>ICP</t>
        </is>
      </c>
      <c r="E9" s="91" t="n"/>
      <c r="F9" s="91" t="n"/>
      <c r="G9" s="91" t="n"/>
      <c r="H9" s="91" t="n"/>
      <c r="I9" s="91" t="n"/>
      <c r="J9" s="91" t="n"/>
      <c r="K9" s="91" t="n"/>
      <c r="L9" s="91" t="n"/>
      <c r="M9" s="91" t="n"/>
      <c r="N9" s="91" t="n"/>
      <c r="O9" s="91" t="n"/>
      <c r="P9" s="91" t="n"/>
      <c r="Q9" s="91" t="n"/>
      <c r="R9" s="84" t="n"/>
      <c r="S9" s="84" t="n"/>
      <c r="T9" s="84" t="n"/>
      <c r="U9" s="84" t="n"/>
      <c r="V9" s="84" t="n"/>
      <c r="W9" s="84" t="n"/>
      <c r="X9" s="84" t="n"/>
    </row>
    <row r="10" hidden="1" ht="15" customHeight="1">
      <c r="B10" s="8" t="n"/>
      <c r="C10" s="83" t="n">
        <v>2015</v>
      </c>
      <c r="D10" s="84" t="inlineStr">
        <is>
          <t>ICP</t>
        </is>
      </c>
      <c r="E10" s="91" t="n"/>
      <c r="F10" s="91" t="n"/>
      <c r="G10" s="91" t="n"/>
      <c r="H10" s="91" t="n"/>
      <c r="I10" s="91" t="n"/>
      <c r="J10" s="91" t="n"/>
      <c r="K10" s="91" t="n"/>
      <c r="L10" s="91" t="n"/>
      <c r="M10" s="91" t="n"/>
      <c r="N10" s="91" t="n"/>
      <c r="O10" s="91" t="n"/>
      <c r="P10" s="91" t="n"/>
      <c r="Q10" s="91" t="n"/>
      <c r="R10" s="84" t="n"/>
      <c r="S10" s="84" t="n"/>
      <c r="T10" s="84" t="n"/>
      <c r="U10" s="84" t="n"/>
      <c r="V10" s="84" t="n"/>
      <c r="W10" s="84" t="n"/>
      <c r="X10" s="84" t="n"/>
    </row>
    <row r="11" hidden="1" ht="15" customHeight="1">
      <c r="B11" s="8" t="n"/>
      <c r="C11" s="83" t="n">
        <v>2016</v>
      </c>
      <c r="D11" s="84" t="inlineStr">
        <is>
          <t>ICP</t>
        </is>
      </c>
      <c r="E11" s="91" t="n"/>
      <c r="F11" s="91" t="n"/>
      <c r="G11" s="91" t="n"/>
      <c r="H11" s="91" t="n"/>
      <c r="I11" s="91" t="n"/>
      <c r="J11" s="91" t="n"/>
      <c r="K11" s="91" t="n"/>
      <c r="L11" s="91" t="n"/>
      <c r="M11" s="91" t="n"/>
      <c r="N11" s="91" t="n"/>
      <c r="O11" s="91" t="n"/>
      <c r="P11" s="91" t="n"/>
      <c r="Q11" s="91" t="n"/>
      <c r="R11" s="84" t="n"/>
      <c r="S11" s="84" t="n"/>
      <c r="T11" s="84" t="n"/>
      <c r="U11" s="84" t="n"/>
      <c r="V11" s="84" t="n"/>
      <c r="W11" s="84" t="n"/>
      <c r="X11" s="84" t="n"/>
    </row>
    <row r="12" hidden="1" ht="15" customHeight="1">
      <c r="B12" s="8" t="n"/>
      <c r="C12" s="83" t="n">
        <v>2017</v>
      </c>
      <c r="D12" s="84" t="inlineStr">
        <is>
          <t>ICP</t>
        </is>
      </c>
      <c r="E12" s="91" t="n"/>
      <c r="F12" s="91" t="n"/>
      <c r="G12" s="91" t="n"/>
      <c r="H12" s="91" t="n"/>
      <c r="I12" s="91" t="n"/>
      <c r="J12" s="91" t="n"/>
      <c r="K12" s="91" t="n"/>
      <c r="L12" s="91" t="n"/>
      <c r="M12" s="91" t="n"/>
      <c r="N12" s="91" t="n"/>
      <c r="O12" s="91" t="n"/>
      <c r="P12" s="91" t="n"/>
      <c r="Q12" s="91" t="n"/>
      <c r="R12" s="84" t="n"/>
      <c r="S12" s="84" t="n"/>
      <c r="T12" s="121" t="n"/>
      <c r="U12" s="84" t="n"/>
      <c r="V12" s="84" t="n"/>
      <c r="W12" s="84" t="n"/>
      <c r="X12" s="84" t="n"/>
    </row>
    <row r="13" hidden="1" ht="15" customHeight="1">
      <c r="B13" s="8" t="n"/>
      <c r="C13" s="83" t="n"/>
      <c r="D13" s="84" t="inlineStr">
        <is>
          <t>Competencia</t>
        </is>
      </c>
      <c r="E13" s="91" t="n"/>
      <c r="F13" s="91" t="n"/>
      <c r="G13" s="91" t="n"/>
      <c r="H13" s="91" t="n"/>
      <c r="I13" s="91" t="n"/>
      <c r="J13" s="91" t="n"/>
      <c r="K13" s="91" t="n"/>
      <c r="L13" s="91" t="n"/>
      <c r="M13" s="91" t="n"/>
      <c r="N13" s="91" t="n"/>
      <c r="O13" s="91" t="n"/>
      <c r="P13" s="91" t="n"/>
      <c r="Q13" s="91" t="n"/>
      <c r="R13" s="84" t="n"/>
      <c r="S13" s="84" t="n"/>
      <c r="T13" s="84" t="n"/>
      <c r="U13" s="84" t="n"/>
      <c r="V13" s="84" t="n"/>
      <c r="W13" s="84" t="n"/>
      <c r="X13" s="84" t="n"/>
    </row>
    <row r="14" hidden="1" ht="15" customHeight="1">
      <c r="B14" s="8" t="n"/>
      <c r="C14" s="83" t="n"/>
      <c r="D14" s="84" t="inlineStr">
        <is>
          <t>FIP LIQUIDEZ Plus</t>
        </is>
      </c>
      <c r="E14" s="91" t="n"/>
      <c r="F14" s="91" t="n"/>
      <c r="G14" s="91" t="n"/>
      <c r="H14" s="91" t="n"/>
      <c r="I14" s="91" t="n"/>
      <c r="J14" s="91" t="n"/>
      <c r="K14" s="91" t="n"/>
      <c r="L14" s="91" t="n"/>
      <c r="M14" s="91" t="n"/>
      <c r="N14" s="91" t="n"/>
      <c r="O14" s="91" t="n"/>
      <c r="P14" s="91" t="n"/>
      <c r="Q14" s="91" t="n"/>
      <c r="R14" s="84" t="n"/>
      <c r="S14" s="84" t="n"/>
      <c r="T14" s="84" t="n"/>
      <c r="U14" s="84" t="n"/>
      <c r="V14" s="84" t="n"/>
      <c r="W14" s="84" t="n"/>
      <c r="X14" s="84" t="n"/>
    </row>
    <row r="15" hidden="1" ht="15" customHeight="1">
      <c r="B15" s="8" t="n"/>
      <c r="C15" s="83" t="n">
        <v>2018</v>
      </c>
      <c r="D15" s="84" t="inlineStr">
        <is>
          <t>ICP</t>
        </is>
      </c>
      <c r="E15" s="91" t="n"/>
      <c r="F15" s="91" t="n"/>
      <c r="G15" s="91" t="n"/>
      <c r="H15" s="91" t="n"/>
      <c r="I15" s="91" t="n"/>
      <c r="J15" s="91" t="n"/>
      <c r="K15" s="91" t="n"/>
      <c r="L15" s="91" t="n"/>
      <c r="M15" s="91" t="n"/>
      <c r="N15" s="91" t="n"/>
      <c r="O15" s="91" t="n"/>
      <c r="P15" s="91" t="n"/>
      <c r="Q15" s="91" t="n"/>
      <c r="R15" s="84" t="n"/>
      <c r="S15" s="84" t="n"/>
      <c r="T15" s="84" t="n"/>
      <c r="U15" s="84" t="n"/>
      <c r="V15" s="84" t="n"/>
      <c r="W15" s="84" t="n"/>
      <c r="X15" s="84" t="n"/>
    </row>
    <row r="16" hidden="1" ht="15" customHeight="1">
      <c r="B16" s="8" t="n"/>
      <c r="C16" s="83" t="n"/>
      <c r="D16" s="84" t="inlineStr">
        <is>
          <t>Competencia</t>
        </is>
      </c>
      <c r="E16" s="91" t="n"/>
      <c r="F16" s="91" t="n"/>
      <c r="G16" s="91" t="n"/>
      <c r="H16" s="91" t="n"/>
      <c r="I16" s="91" t="n"/>
      <c r="J16" s="91" t="n"/>
      <c r="K16" s="91" t="n"/>
      <c r="L16" s="91" t="n"/>
      <c r="M16" s="91" t="n"/>
      <c r="N16" s="91" t="n"/>
      <c r="O16" s="91" t="n"/>
      <c r="P16" s="91" t="n"/>
      <c r="Q16" s="91" t="n"/>
      <c r="R16" s="84" t="n"/>
      <c r="S16" s="84" t="n"/>
      <c r="T16" s="84" t="n"/>
      <c r="U16" s="84" t="n"/>
      <c r="V16" s="84" t="n"/>
      <c r="W16" s="84" t="n"/>
      <c r="X16" s="84" t="n"/>
    </row>
    <row r="17" hidden="1" ht="15" customHeight="1">
      <c r="B17" s="8" t="n"/>
      <c r="C17" s="83" t="n"/>
      <c r="D17" s="84" t="inlineStr">
        <is>
          <t>FIP LIQUIDEZ Plus</t>
        </is>
      </c>
      <c r="E17" s="91" t="n"/>
      <c r="F17" s="91" t="n"/>
      <c r="G17" s="91" t="n"/>
      <c r="H17" s="91" t="n"/>
      <c r="I17" s="91" t="n"/>
      <c r="J17" s="91" t="n"/>
      <c r="K17" s="91" t="n"/>
      <c r="L17" s="91" t="n"/>
      <c r="M17" s="91" t="n"/>
      <c r="N17" s="91" t="n"/>
      <c r="O17" s="91" t="n"/>
      <c r="P17" s="91" t="n"/>
      <c r="Q17" s="91" t="n"/>
      <c r="R17" s="84" t="n"/>
      <c r="S17" s="84" t="n"/>
      <c r="T17" s="84" t="n"/>
      <c r="U17" s="84" t="n"/>
      <c r="V17" s="84" t="n"/>
      <c r="W17" s="84" t="n"/>
      <c r="X17" s="84" t="n"/>
    </row>
    <row r="18" hidden="1" ht="15" customHeight="1">
      <c r="C18" s="83" t="n">
        <v>2019</v>
      </c>
      <c r="D18" s="84" t="inlineStr">
        <is>
          <t>ICP</t>
        </is>
      </c>
      <c r="E18" s="91" t="n"/>
      <c r="F18" s="91" t="n"/>
      <c r="G18" s="91" t="n"/>
      <c r="H18" s="91" t="n"/>
      <c r="I18" s="91" t="n"/>
      <c r="J18" s="91" t="n"/>
      <c r="K18" s="91" t="n"/>
      <c r="L18" s="91" t="n"/>
      <c r="M18" s="91" t="n"/>
      <c r="N18" s="91" t="n"/>
      <c r="O18" s="91" t="n"/>
      <c r="P18" s="91" t="n"/>
      <c r="Q18" s="91" t="n"/>
      <c r="R18" s="84" t="n"/>
      <c r="S18" s="84" t="n"/>
      <c r="T18" s="84" t="n"/>
      <c r="U18" s="84" t="n"/>
      <c r="V18" s="84" t="n"/>
      <c r="W18" s="84" t="n"/>
      <c r="X18" s="84" t="n"/>
    </row>
    <row r="19" hidden="1" ht="15" customHeight="1">
      <c r="C19" s="83" t="n"/>
      <c r="D19" s="84" t="inlineStr">
        <is>
          <t>Competencia</t>
        </is>
      </c>
      <c r="E19" s="91" t="n"/>
      <c r="F19" s="91" t="n"/>
      <c r="G19" s="91" t="n"/>
      <c r="H19" s="91" t="n"/>
      <c r="I19" s="91" t="n"/>
      <c r="J19" s="91" t="n"/>
      <c r="K19" s="91" t="n"/>
      <c r="L19" s="91" t="n"/>
      <c r="M19" s="91" t="n"/>
      <c r="N19" s="91" t="n"/>
      <c r="O19" s="91" t="n"/>
      <c r="P19" s="91" t="n"/>
      <c r="Q19" s="91" t="n"/>
      <c r="R19" s="84" t="n"/>
      <c r="S19" s="84" t="n"/>
      <c r="T19" s="84" t="n"/>
      <c r="U19" s="84" t="n"/>
      <c r="V19" s="84" t="n"/>
      <c r="W19" s="84" t="n"/>
      <c r="X19" s="84" t="n"/>
    </row>
    <row r="20" hidden="1" ht="15" customHeight="1">
      <c r="C20" s="83" t="n"/>
      <c r="D20" s="84" t="inlineStr">
        <is>
          <t>FIP LIQUIDEZ Plus</t>
        </is>
      </c>
      <c r="E20" s="91" t="n"/>
      <c r="F20" s="91" t="n"/>
      <c r="G20" s="91" t="n"/>
      <c r="H20" s="91" t="n"/>
      <c r="I20" s="91" t="n"/>
      <c r="J20" s="91" t="n"/>
      <c r="K20" s="91" t="n"/>
      <c r="L20" s="91" t="n"/>
      <c r="M20" s="91" t="n"/>
      <c r="N20" s="91" t="n"/>
      <c r="O20" s="91" t="n"/>
      <c r="P20" s="91" t="n"/>
      <c r="Q20" s="91" t="n"/>
      <c r="R20" s="84" t="n"/>
      <c r="S20" s="84" t="n"/>
      <c r="T20" s="84" t="n"/>
      <c r="U20" s="84" t="n"/>
      <c r="V20" s="84" t="n"/>
      <c r="W20" s="84" t="n"/>
      <c r="X20" s="84" t="n"/>
    </row>
    <row r="21" hidden="1" ht="15" customHeight="1">
      <c r="C21" s="83" t="n">
        <v>2020</v>
      </c>
      <c r="D21" s="84" t="inlineStr">
        <is>
          <t>ICP</t>
        </is>
      </c>
      <c r="E21" s="91" t="n"/>
      <c r="F21" s="91" t="n"/>
      <c r="G21" s="91" t="n"/>
      <c r="H21" s="91" t="n"/>
      <c r="I21" s="91" t="n"/>
      <c r="J21" s="91" t="n"/>
      <c r="K21" s="91" t="n"/>
      <c r="L21" s="91" t="n"/>
      <c r="M21" s="91" t="n"/>
      <c r="N21" s="91" t="n"/>
      <c r="O21" s="91" t="n"/>
      <c r="P21" s="91" t="n"/>
      <c r="Q21" s="91" t="n"/>
      <c r="R21" s="84" t="n"/>
      <c r="S21" s="84" t="n"/>
      <c r="T21" s="84" t="n"/>
      <c r="U21" s="84" t="n"/>
      <c r="V21" s="84" t="n"/>
      <c r="W21" s="84" t="n"/>
      <c r="X21" s="84" t="n"/>
    </row>
    <row r="22" hidden="1" ht="15" customHeight="1">
      <c r="C22" s="83" t="n"/>
      <c r="D22" s="84" t="inlineStr">
        <is>
          <t>Competencia</t>
        </is>
      </c>
      <c r="E22" s="91" t="n"/>
      <c r="F22" s="91" t="n"/>
      <c r="G22" s="91" t="n"/>
      <c r="H22" s="91" t="n"/>
      <c r="I22" s="91" t="n"/>
      <c r="J22" s="91" t="n"/>
      <c r="K22" s="91" t="n"/>
      <c r="L22" s="91" t="n"/>
      <c r="M22" s="91" t="n"/>
      <c r="N22" s="91" t="n"/>
      <c r="O22" s="91" t="n"/>
      <c r="P22" s="91" t="n"/>
      <c r="Q22" s="91" t="n"/>
      <c r="R22" s="84" t="n"/>
      <c r="S22" s="84" t="n"/>
      <c r="T22" s="84" t="n"/>
      <c r="U22" s="84" t="n"/>
      <c r="V22" s="84" t="n"/>
      <c r="W22" s="84" t="n"/>
      <c r="X22" s="84" t="n"/>
    </row>
    <row r="23" hidden="1" ht="15" customHeight="1">
      <c r="C23" s="83" t="n"/>
      <c r="D23" s="84" t="inlineStr">
        <is>
          <t>FIP LIQUIDEZ Plus</t>
        </is>
      </c>
      <c r="E23" s="91" t="n"/>
      <c r="F23" s="91" t="n"/>
      <c r="G23" s="91" t="n"/>
      <c r="H23" s="91" t="n"/>
      <c r="I23" s="91" t="n"/>
      <c r="J23" s="91" t="n"/>
      <c r="K23" s="91" t="n"/>
      <c r="L23" s="91" t="n"/>
      <c r="M23" s="91" t="n"/>
      <c r="N23" s="91" t="n"/>
      <c r="O23" s="91" t="n"/>
      <c r="P23" s="91" t="n"/>
      <c r="Q23" s="91" t="n"/>
      <c r="R23" s="84" t="n"/>
      <c r="S23" s="84" t="n"/>
      <c r="T23" s="84" t="n"/>
      <c r="U23" s="84" t="n"/>
      <c r="V23" s="84" t="n"/>
      <c r="W23" s="84" t="n"/>
      <c r="X23" s="84" t="n"/>
    </row>
    <row r="24" hidden="1" ht="15" customHeight="1">
      <c r="C24" s="83" t="n">
        <v>2021</v>
      </c>
      <c r="D24" s="84" t="inlineStr">
        <is>
          <t>ICP</t>
        </is>
      </c>
      <c r="E24" s="91" t="n"/>
      <c r="F24" s="91" t="n"/>
      <c r="G24" s="91" t="n"/>
      <c r="H24" s="91" t="n"/>
      <c r="I24" s="91" t="n"/>
      <c r="J24" s="91" t="n"/>
      <c r="K24" s="91" t="n"/>
      <c r="L24" s="91" t="n"/>
      <c r="M24" s="91" t="n"/>
      <c r="N24" s="91" t="n"/>
      <c r="O24" s="91" t="n"/>
      <c r="P24" s="91" t="n"/>
      <c r="Q24" s="91" t="n"/>
      <c r="R24" s="84" t="n"/>
      <c r="S24" s="84" t="n"/>
      <c r="T24" s="84" t="n"/>
      <c r="U24" s="84" t="n"/>
      <c r="V24" s="84" t="n"/>
      <c r="W24" s="84" t="n"/>
      <c r="X24" s="84" t="n"/>
    </row>
    <row r="25" hidden="1" ht="15" customHeight="1">
      <c r="C25" s="83" t="n"/>
      <c r="D25" s="84" t="inlineStr">
        <is>
          <t>Competencia</t>
        </is>
      </c>
      <c r="E25" s="93" t="n"/>
      <c r="F25" s="91" t="n"/>
      <c r="G25" s="91" t="n"/>
      <c r="H25" s="91" t="n"/>
      <c r="I25" s="91" t="n"/>
      <c r="J25" s="91" t="n"/>
      <c r="K25" s="91" t="n"/>
      <c r="L25" s="91" t="n"/>
      <c r="M25" s="91" t="n"/>
      <c r="N25" s="91" t="n"/>
      <c r="O25" s="91" t="n"/>
      <c r="P25" s="91" t="n"/>
      <c r="Q25" s="91" t="n"/>
      <c r="R25" s="84" t="n"/>
      <c r="S25" s="84" t="n"/>
      <c r="T25" s="84" t="n"/>
      <c r="U25" s="84" t="n"/>
      <c r="V25" s="84" t="n"/>
      <c r="W25" s="84" t="n"/>
      <c r="X25" s="84" t="n"/>
    </row>
    <row r="26" hidden="1" ht="15" customHeight="1">
      <c r="C26" s="83" t="n"/>
      <c r="D26" s="84" t="inlineStr">
        <is>
          <t>FIP LIQUIDEZ Plus</t>
        </is>
      </c>
      <c r="E26" s="93" t="n"/>
      <c r="F26" s="91" t="n"/>
      <c r="G26" s="91" t="n"/>
      <c r="H26" s="91" t="n"/>
      <c r="I26" s="91" t="n"/>
      <c r="J26" s="91" t="n"/>
      <c r="K26" s="91" t="n"/>
      <c r="L26" s="91" t="n"/>
      <c r="M26" s="91" t="n"/>
      <c r="N26" s="91" t="n"/>
      <c r="O26" s="91" t="n"/>
      <c r="P26" s="91" t="n"/>
      <c r="Q26" s="91" t="n"/>
      <c r="R26" s="84" t="n"/>
      <c r="S26" s="84" t="n"/>
      <c r="T26" s="84" t="n"/>
      <c r="U26" s="84" t="n"/>
      <c r="V26" s="84" t="n"/>
      <c r="W26" s="84" t="n"/>
      <c r="X26" s="84" t="n"/>
    </row>
    <row r="27" hidden="1" ht="15" customHeight="1">
      <c r="C27" s="83" t="n">
        <v>2022</v>
      </c>
      <c r="D27" s="84" t="inlineStr">
        <is>
          <t>ICP</t>
        </is>
      </c>
      <c r="E27" s="91" t="n"/>
      <c r="F27" s="91" t="n"/>
      <c r="G27" s="91" t="n"/>
      <c r="H27" s="91" t="n"/>
      <c r="I27" s="91" t="n"/>
      <c r="J27" s="91" t="n"/>
      <c r="K27" s="91" t="n"/>
      <c r="L27" s="91" t="n"/>
      <c r="M27" s="91" t="n"/>
      <c r="N27" s="91" t="n"/>
      <c r="O27" s="91" t="n"/>
      <c r="P27" s="91" t="n"/>
      <c r="Q27" s="91" t="n"/>
      <c r="R27" s="84" t="n"/>
      <c r="S27" s="84" t="n"/>
      <c r="T27" s="84" t="n"/>
      <c r="U27" s="84" t="n"/>
      <c r="V27" s="84" t="n"/>
      <c r="W27" s="84" t="n"/>
      <c r="X27" s="84" t="n"/>
    </row>
    <row r="28" hidden="1" ht="15" customHeight="1">
      <c r="C28" s="83" t="n"/>
      <c r="D28" s="84" t="inlineStr">
        <is>
          <t>Competencia</t>
        </is>
      </c>
      <c r="E28" s="93" t="n"/>
      <c r="F28" s="91" t="n"/>
      <c r="G28" s="91" t="n"/>
      <c r="H28" s="91" t="n"/>
      <c r="I28" s="91" t="n"/>
      <c r="J28" s="91" t="n"/>
      <c r="K28" s="91" t="n"/>
      <c r="L28" s="91" t="n"/>
      <c r="M28" s="91" t="n"/>
      <c r="N28" s="91" t="n"/>
      <c r="O28" s="91" t="n"/>
      <c r="P28" s="91" t="n"/>
      <c r="Q28" s="91" t="n"/>
      <c r="R28" s="84" t="n"/>
      <c r="S28" s="84" t="n"/>
      <c r="T28" s="84" t="n"/>
      <c r="U28" s="84" t="n"/>
      <c r="V28" s="84" t="n"/>
      <c r="W28" s="84" t="n"/>
      <c r="X28" s="84" t="n"/>
    </row>
    <row r="29" hidden="1" ht="15" customHeight="1">
      <c r="C29" s="83" t="n"/>
      <c r="D29" s="84" t="inlineStr">
        <is>
          <t>FIP LIQUIDEZ Plus</t>
        </is>
      </c>
      <c r="E29" s="93" t="n"/>
      <c r="F29" s="91" t="n"/>
      <c r="G29" s="91" t="n"/>
      <c r="H29" s="91" t="n"/>
      <c r="I29" s="91" t="n"/>
      <c r="J29" s="91" t="n"/>
      <c r="K29" s="91" t="n"/>
      <c r="L29" s="91" t="n"/>
      <c r="M29" s="91" t="n"/>
      <c r="N29" s="91" t="n"/>
      <c r="O29" s="91" t="n"/>
      <c r="P29" s="91" t="n"/>
      <c r="Q29" s="91" t="n"/>
      <c r="R29" s="84" t="n"/>
      <c r="S29" s="84" t="n"/>
      <c r="T29" s="84" t="n"/>
      <c r="U29" s="84" t="n"/>
      <c r="V29" s="84" t="n"/>
      <c r="W29" s="84" t="n"/>
      <c r="X29" s="84" t="n"/>
    </row>
    <row r="30" ht="15" customHeight="1">
      <c r="C30" s="83" t="n">
        <v>2023</v>
      </c>
      <c r="D30" s="84" t="inlineStr">
        <is>
          <t>ICP</t>
        </is>
      </c>
      <c r="E30" s="91" t="n"/>
      <c r="F30" s="91" t="n"/>
      <c r="G30" s="91" t="n"/>
      <c r="H30" s="91">
        <f>+'Datos ICP (2)'!AH77</f>
        <v/>
      </c>
      <c r="I30" s="91">
        <f>+'Datos ICP (2)'!AI77</f>
        <v/>
      </c>
      <c r="J30" s="91">
        <f>+'Datos ICP (2)'!AJ77</f>
        <v/>
      </c>
      <c r="K30" s="91">
        <f>+'Datos ICP (2)'!AK77</f>
        <v/>
      </c>
      <c r="L30" s="91">
        <f>+'Datos ICP (2)'!AL77</f>
        <v/>
      </c>
      <c r="M30" s="91">
        <f>+'Datos ICP (2)'!AM77</f>
        <v/>
      </c>
      <c r="N30" s="91">
        <f>+'Datos ICP (2)'!AN77</f>
        <v/>
      </c>
      <c r="O30" s="91">
        <f>+'Datos ICP (2)'!AO77</f>
        <v/>
      </c>
      <c r="P30" s="91">
        <f>+'Datos ICP (2)'!AP77</f>
        <v/>
      </c>
      <c r="Q30" s="91">
        <f>+'Datos ICP (2)'!AQ77</f>
        <v/>
      </c>
      <c r="R30" s="84" t="n"/>
      <c r="S30" s="84" t="n"/>
      <c r="T30" s="84" t="n"/>
      <c r="U30" s="84" t="n"/>
      <c r="V30" s="84" t="n"/>
      <c r="W30" s="84" t="n"/>
      <c r="X30" s="84" t="n"/>
    </row>
    <row r="31" ht="15" customHeight="1">
      <c r="C31" s="83" t="n"/>
      <c r="D31" s="84" t="inlineStr">
        <is>
          <t>Competencia</t>
        </is>
      </c>
      <c r="E31" s="93" t="n"/>
      <c r="F31" s="93" t="n"/>
      <c r="G31" s="93" t="n"/>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1">
        <f>+'Datos ICP (2)'!AQ78</f>
        <v/>
      </c>
      <c r="R31" s="84" t="n"/>
      <c r="S31" s="84" t="n"/>
      <c r="T31" s="84" t="n"/>
      <c r="U31" s="84" t="n"/>
      <c r="V31" s="84" t="n"/>
      <c r="W31" s="84" t="n"/>
      <c r="X31" s="84" t="n"/>
    </row>
    <row r="32" ht="15" customHeight="1">
      <c r="C32" s="83" t="n"/>
      <c r="D32" s="84" t="inlineStr">
        <is>
          <t>FIP LIQUIDEZ Plus</t>
        </is>
      </c>
      <c r="E32" s="93" t="n"/>
      <c r="F32" s="93" t="n"/>
      <c r="G32" s="93" t="n"/>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1">
        <f>+'Datos ICP (2)'!AQ79</f>
        <v/>
      </c>
      <c r="R32" s="84" t="n"/>
      <c r="S32" s="84" t="n"/>
      <c r="T32" s="84" t="n"/>
      <c r="U32" s="84" t="n"/>
      <c r="V32" s="84" t="n"/>
      <c r="W32" s="84" t="n"/>
      <c r="X32" s="84" t="n"/>
    </row>
    <row r="33" ht="15" customHeight="1">
      <c r="C33" s="83" t="n">
        <v>2024</v>
      </c>
      <c r="D33" s="84" t="inlineStr">
        <is>
          <t>ICP</t>
        </is>
      </c>
      <c r="E33" s="91">
        <f>+'Datos ICP (2)'!AE80</f>
        <v/>
      </c>
      <c r="F33" s="91">
        <f>+'Datos ICP (2)'!AF80</f>
        <v/>
      </c>
      <c r="G33" s="91">
        <f>+'Datos ICP (2)'!AG80</f>
        <v/>
      </c>
      <c r="H33" s="91">
        <f>+'Datos ICP (2)'!AH80</f>
        <v/>
      </c>
      <c r="I33" s="91">
        <f>+'Datos ICP (2)'!AI80</f>
        <v/>
      </c>
      <c r="J33" s="91">
        <f>+'Datos ICP (2)'!AJ80</f>
        <v/>
      </c>
      <c r="K33" s="91">
        <f>+'Datos ICP (2)'!AK80</f>
        <v/>
      </c>
      <c r="L33" s="91">
        <f>+'Datos ICP (2)'!AL80</f>
        <v/>
      </c>
      <c r="M33" s="91">
        <f>+'Datos ICP (2)'!AM80</f>
        <v/>
      </c>
      <c r="N33" s="91">
        <f>+'Datos ICP (2)'!AN80</f>
        <v/>
      </c>
      <c r="O33" s="91">
        <f>+'Datos ICP (2)'!AO80</f>
        <v/>
      </c>
      <c r="P33" s="91">
        <f>+'Datos ICP (2)'!AP80</f>
        <v/>
      </c>
      <c r="Q33" s="91">
        <f>+'Datos ICP (2)'!AQ80</f>
        <v/>
      </c>
      <c r="R33" s="84" t="n"/>
      <c r="S33" s="84" t="n"/>
      <c r="T33" s="84" t="n"/>
      <c r="U33" s="84" t="n"/>
      <c r="V33" s="84" t="n"/>
      <c r="W33" s="84" t="n"/>
      <c r="X33" s="84" t="n"/>
    </row>
    <row r="34" ht="15" customHeight="1">
      <c r="C34" s="83" t="n"/>
      <c r="D34" s="84"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1">
        <f>+'Datos ICP (2)'!AQ81</f>
        <v/>
      </c>
      <c r="R34" s="84" t="n"/>
      <c r="S34" s="84" t="n"/>
      <c r="T34" s="84" t="n"/>
      <c r="U34" s="84" t="n"/>
      <c r="V34" s="84" t="n"/>
      <c r="W34" s="84" t="n"/>
      <c r="X34" s="84" t="n"/>
    </row>
    <row r="35" ht="15" customHeight="1">
      <c r="C35" s="83" t="n"/>
      <c r="D35" s="84" t="inlineStr">
        <is>
          <t>FIP LIQUIDEZ Plus</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1">
        <f>+'Datos ICP (2)'!AQ82</f>
        <v/>
      </c>
      <c r="R35" s="84" t="n"/>
      <c r="S35" s="84" t="n"/>
      <c r="T35" s="84" t="n"/>
      <c r="U35" s="84" t="n"/>
      <c r="V35" s="84" t="n"/>
      <c r="W35" s="84" t="n"/>
      <c r="X35" s="84" t="n"/>
    </row>
    <row r="36" ht="15" customHeight="1">
      <c r="C36" s="83" t="n">
        <v>2025</v>
      </c>
      <c r="D36" s="84"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1">
        <f>+'Datos ICP (2)'!AQ83</f>
        <v/>
      </c>
      <c r="R36" s="84" t="n"/>
      <c r="S36" s="84" t="n"/>
      <c r="T36" s="84" t="n"/>
      <c r="U36" s="84" t="n"/>
      <c r="V36" s="84" t="n"/>
      <c r="W36" s="84" t="n"/>
      <c r="X36" s="84" t="n"/>
    </row>
    <row r="37" ht="15" customHeight="1">
      <c r="C37" s="83" t="n"/>
      <c r="D37" s="84"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1">
        <f>+'Datos ICP (2)'!AQ84</f>
        <v/>
      </c>
      <c r="R37" s="84" t="n"/>
      <c r="S37" s="84" t="n"/>
      <c r="T37" s="84" t="n"/>
      <c r="U37" s="84" t="n"/>
      <c r="V37" s="84" t="n"/>
      <c r="W37" s="84" t="n"/>
      <c r="X37" s="84" t="n"/>
    </row>
    <row r="38" ht="15" customHeight="1">
      <c r="C38" s="83" t="n"/>
      <c r="D38" s="84" t="inlineStr">
        <is>
          <t>FIP LIQUIDEZ Plus</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1">
        <f>+'Datos ICP (2)'!AQ85</f>
        <v/>
      </c>
      <c r="R38" s="84" t="n"/>
      <c r="S38" s="84" t="n"/>
      <c r="T38" s="84" t="n"/>
      <c r="U38" s="84" t="n"/>
      <c r="V38" s="84" t="n"/>
      <c r="W38" s="84" t="n"/>
      <c r="X38" s="84" t="n"/>
    </row>
    <row r="39">
      <c r="C39" s="83" t="n">
        <v>2026</v>
      </c>
      <c r="D39" s="84" t="inlineStr">
        <is>
          <t>ICP</t>
        </is>
      </c>
      <c r="E39" s="91">
        <f>+'Datos ICP (2)'!AE86</f>
        <v/>
      </c>
      <c r="F39" s="91">
        <f>+'Datos ICP (2)'!AF86</f>
        <v/>
      </c>
      <c r="G39" s="91">
        <f>+'Datos ICP (2)'!AG86</f>
        <v/>
      </c>
      <c r="H39" s="91">
        <f>+'Datos ICP (2)'!AH86</f>
        <v/>
      </c>
      <c r="I39" s="91" t="n"/>
      <c r="J39" s="91" t="n"/>
      <c r="K39" s="91" t="n"/>
      <c r="L39" s="91" t="n"/>
      <c r="M39" s="91" t="n"/>
      <c r="N39" s="91" t="n"/>
      <c r="O39" s="91" t="n"/>
      <c r="P39" s="91" t="n"/>
      <c r="Q39" s="91">
        <f>+'Datos ICP (2)'!AQ86</f>
        <v/>
      </c>
    </row>
    <row r="40">
      <c r="C40" s="83" t="n"/>
      <c r="D40" s="84"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3" t="n"/>
      <c r="D41" s="84" t="inlineStr">
        <is>
          <t>FIP LIQUIDEZ Plus</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0.614</v>
      </c>
      <c r="O3" s="94" t="inlineStr">
        <is>
          <t>Depósitos</t>
        </is>
      </c>
      <c r="P3" s="95" t="n">
        <v>0</v>
      </c>
      <c r="S3" s="94" t="inlineStr">
        <is>
          <t>Pesos</t>
        </is>
      </c>
      <c r="T3" s="95" t="n">
        <v>1</v>
      </c>
    </row>
    <row r="4">
      <c r="C4" s="1" t="n"/>
      <c r="K4" s="94" t="inlineStr">
        <is>
          <t>1-3 meses</t>
        </is>
      </c>
      <c r="L4" s="95" t="n">
        <v>0.3658</v>
      </c>
      <c r="O4" s="94" t="inlineStr">
        <is>
          <t>Factoring</t>
        </is>
      </c>
      <c r="P4" s="95" t="n">
        <v>0</v>
      </c>
      <c r="S4" s="94" t="inlineStr">
        <is>
          <t>UF</t>
        </is>
      </c>
      <c r="T4" s="95" t="n">
        <v>0</v>
      </c>
    </row>
    <row r="5">
      <c r="A5" s="3" t="n"/>
      <c r="B5" s="3" t="n"/>
      <c r="C5" s="1" t="n"/>
      <c r="K5" s="94" t="inlineStr">
        <is>
          <t>3-4 meses</t>
        </is>
      </c>
      <c r="L5" s="95" t="n">
        <v>0.0202</v>
      </c>
      <c r="O5" s="94" t="inlineStr">
        <is>
          <t>Financiamiento Inmobiliario</t>
        </is>
      </c>
      <c r="P5" s="95" t="n">
        <v>0.08110000000000001</v>
      </c>
    </row>
    <row r="6">
      <c r="A6" s="3" t="n"/>
      <c r="B6" s="3" t="n"/>
      <c r="C6" s="1" t="n"/>
      <c r="K6" s="94" t="inlineStr">
        <is>
          <t>Más de 4 meses</t>
        </is>
      </c>
      <c r="L6" s="95" t="n">
        <v>0</v>
      </c>
      <c r="O6" s="94" t="inlineStr">
        <is>
          <t>Financiamiento Mesa Moneda Extranjero</t>
        </is>
      </c>
      <c r="P6" s="95" t="n">
        <v>0.8618</v>
      </c>
    </row>
    <row r="7">
      <c r="B7" s="3" t="n"/>
      <c r="C7" s="1" t="n"/>
      <c r="L7" s="74">
        <f>SUM(L3:L6)</f>
        <v/>
      </c>
      <c r="O7" s="94" t="inlineStr">
        <is>
          <t>Garantías</t>
        </is>
      </c>
      <c r="P7" s="95" t="n">
        <v>0.0202</v>
      </c>
      <c r="Q7" s="74" t="n"/>
    </row>
    <row r="8">
      <c r="C8" s="1" t="n"/>
      <c r="O8" s="94" t="inlineStr">
        <is>
          <t>Nota Estructurada</t>
        </is>
      </c>
      <c r="P8" s="95" t="n">
        <v>0.037</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v>0</v>
      </c>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2026-05-20T17:04:05Z</dcterms:modified>
  <cp:lastModifiedBy>María Isabel Velasco Retamal</cp:lastModifiedBy>
</cp:coreProperties>
</file>