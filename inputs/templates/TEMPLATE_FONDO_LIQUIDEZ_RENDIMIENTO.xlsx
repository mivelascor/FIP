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0"/>
  <workbookPr/>
  <mc:AlternateContent xmlns:mc="http://schemas.openxmlformats.org/markup-compatibility/2006">
    <mc:Choice Requires="x15">
      <x15ac:absPath xmlns:x15ac="http://schemas.microsoft.com/office/spreadsheetml/2010/11/ac" url="https://vantrust-my.sharepoint.com/personal/valeria_cabrera_vantrust_cl/Documents/FICHAS FF/EXCELS/"/>
    </mc:Choice>
  </mc:AlternateContent>
  <xr:revisionPtr revIDLastSave="165" documentId="13_ncr:1_{085E0342-A575-4823-AC39-4A0C3F0A57EB}" xr6:coauthVersionLast="47" xr6:coauthVersionMax="47" xr10:uidLastSave="{E5FEC491-E69F-4907-8BDE-06AAEA8D2483}"/>
  <bookViews>
    <workbookView xWindow="-120" yWindow="-120" windowWidth="20730" windowHeight="11040" firstSheet="3" activeTab="2" xr2:uid="{00000000-000D-0000-FFFF-FFFF00000000}"/>
  </bookViews>
  <sheets>
    <sheet name="Comentario" sheetId="4" r:id="rId1"/>
    <sheet name="Datos ICP (2)" sheetId="3" r:id="rId2"/>
    <sheet name="rentabilidad" sheetId="2" r:id="rId3"/>
    <sheet name="composición" sheetId="1" r:id="rId4"/>
  </sheets>
  <externalReferences>
    <externalReference r:id="rId5"/>
    <externalReference r:id="rId6"/>
  </externalReferences>
  <definedNames>
    <definedName name="_xlnm._FilterDatabase" localSheetId="3" hidden="1">composición!$K$1:$T$24</definedName>
    <definedName name="OLE_LINK1" localSheetId="1">'Datos ICP (2)'!#REF!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9" i="2" l="1"/>
  <c r="H40" i="2"/>
  <c r="H41" i="2"/>
  <c r="AH86" i="3"/>
  <c r="AH87" i="3"/>
  <c r="AH88" i="3"/>
  <c r="AQ51" i="3"/>
  <c r="AQ22" i="3"/>
  <c r="AH22" i="3"/>
  <c r="AQ38" i="3"/>
  <c r="AH51" i="3"/>
  <c r="AH38" i="3"/>
  <c r="S51" i="3"/>
  <c r="S37" i="3"/>
  <c r="S23" i="3"/>
  <c r="L249" i="3"/>
  <c r="M249" i="3"/>
  <c r="H249" i="3"/>
  <c r="I249" i="3"/>
  <c r="J249" i="3"/>
  <c r="C249" i="3"/>
  <c r="D249" i="3"/>
  <c r="AQ50" i="3"/>
  <c r="AQ37" i="3"/>
  <c r="AQ21" i="3"/>
  <c r="P38" i="2"/>
  <c r="F39" i="2"/>
  <c r="G39" i="2"/>
  <c r="F40" i="2"/>
  <c r="G40" i="2"/>
  <c r="F41" i="2"/>
  <c r="G41" i="2"/>
  <c r="E39" i="2"/>
  <c r="E40" i="2"/>
  <c r="E41" i="2"/>
  <c r="P36" i="2"/>
  <c r="P37" i="2"/>
  <c r="X1" i="2" l="1"/>
  <c r="AP83" i="3"/>
  <c r="AP84" i="3"/>
  <c r="AP85" i="3"/>
  <c r="AQ86" i="3"/>
  <c r="Q39" i="2" s="1"/>
  <c r="AQ87" i="3"/>
  <c r="AQ88" i="3"/>
  <c r="Q41" i="2" s="1"/>
  <c r="AG87" i="3"/>
  <c r="AF86" i="3"/>
  <c r="AG86" i="3"/>
  <c r="AF87" i="3"/>
  <c r="AF88" i="3"/>
  <c r="AG88" i="3"/>
  <c r="AE88" i="3"/>
  <c r="AE51" i="3"/>
  <c r="AP50" i="3"/>
  <c r="AF51" i="3"/>
  <c r="AG51" i="3"/>
  <c r="AE87" i="3"/>
  <c r="R23" i="3"/>
  <c r="Q23" i="3"/>
  <c r="P23" i="3"/>
  <c r="AA22" i="3"/>
  <c r="AG22" i="3"/>
  <c r="R51" i="3"/>
  <c r="Q51" i="3"/>
  <c r="P51" i="3"/>
  <c r="AA50" i="3"/>
  <c r="L245" i="3"/>
  <c r="L246" i="3"/>
  <c r="L247" i="3"/>
  <c r="L248" i="3"/>
  <c r="H244" i="3"/>
  <c r="H245" i="3"/>
  <c r="H246" i="3"/>
  <c r="H247" i="3"/>
  <c r="H248" i="3"/>
  <c r="C245" i="3"/>
  <c r="C246" i="3"/>
  <c r="C247" i="3"/>
  <c r="C248" i="3"/>
  <c r="Z50" i="3"/>
  <c r="Z22" i="3"/>
  <c r="L244" i="3"/>
  <c r="C244" i="3"/>
  <c r="Y50" i="3"/>
  <c r="Y22" i="3"/>
  <c r="H243" i="3"/>
  <c r="L243" i="3"/>
  <c r="C243" i="3"/>
  <c r="X50" i="3"/>
  <c r="X22" i="3"/>
  <c r="H242" i="3"/>
  <c r="L242" i="3"/>
  <c r="C242" i="3"/>
  <c r="W50" i="3"/>
  <c r="W22" i="3"/>
  <c r="H241" i="3"/>
  <c r="L241" i="3"/>
  <c r="C241" i="3"/>
  <c r="V50" i="3"/>
  <c r="V22" i="3"/>
  <c r="H240" i="3"/>
  <c r="L240" i="3"/>
  <c r="C240" i="3"/>
  <c r="U50" i="3"/>
  <c r="U22" i="3"/>
  <c r="H239" i="3"/>
  <c r="L239" i="3"/>
  <c r="C239" i="3"/>
  <c r="T50" i="3"/>
  <c r="T22" i="3"/>
  <c r="L238" i="3"/>
  <c r="H238" i="3"/>
  <c r="C238" i="3"/>
  <c r="S50" i="3"/>
  <c r="S22" i="3"/>
  <c r="H237" i="3"/>
  <c r="L237" i="3"/>
  <c r="C237" i="3"/>
  <c r="Q40" i="2" l="1"/>
  <c r="BB30" i="3"/>
  <c r="BB31" i="3"/>
  <c r="BB29" i="3"/>
  <c r="AP21" i="3"/>
  <c r="AE22" i="3"/>
  <c r="AE86" i="3" s="1"/>
  <c r="AF22" i="3"/>
  <c r="I248" i="3"/>
  <c r="R37" i="3"/>
  <c r="I247" i="3"/>
  <c r="Q37" i="3"/>
  <c r="I246" i="3"/>
  <c r="P37" i="3"/>
  <c r="I245" i="3"/>
  <c r="AA36" i="3"/>
  <c r="S36" i="3"/>
  <c r="I238" i="3"/>
  <c r="T36" i="3"/>
  <c r="AI37" i="3" s="1"/>
  <c r="AI85" i="3" s="1"/>
  <c r="I38" i="2" s="1"/>
  <c r="AI21" i="3"/>
  <c r="AI83" i="3" s="1"/>
  <c r="I36" i="2" s="1"/>
  <c r="AI50" i="3"/>
  <c r="AI84" i="3" s="1"/>
  <c r="I37" i="2" s="1"/>
  <c r="I239" i="3"/>
  <c r="U36" i="3"/>
  <c r="AJ37" i="3" s="1"/>
  <c r="AJ85" i="3" s="1"/>
  <c r="J38" i="2" s="1"/>
  <c r="AJ21" i="3"/>
  <c r="AJ83" i="3" s="1"/>
  <c r="J36" i="2" s="1"/>
  <c r="AJ50" i="3"/>
  <c r="AJ84" i="3" s="1"/>
  <c r="J37" i="2" s="1"/>
  <c r="I240" i="3"/>
  <c r="V36" i="3"/>
  <c r="AK37" i="3" s="1"/>
  <c r="AK85" i="3" s="1"/>
  <c r="K38" i="2" s="1"/>
  <c r="AK21" i="3"/>
  <c r="AK83" i="3" s="1"/>
  <c r="K36" i="2" s="1"/>
  <c r="AK50" i="3"/>
  <c r="AK84" i="3" s="1"/>
  <c r="K37" i="2" s="1"/>
  <c r="I241" i="3"/>
  <c r="W36" i="3"/>
  <c r="AL37" i="3" s="1"/>
  <c r="AL21" i="3"/>
  <c r="AL83" i="3" s="1"/>
  <c r="L36" i="2" s="1"/>
  <c r="AL50" i="3"/>
  <c r="X36" i="3"/>
  <c r="AM37" i="3" s="1"/>
  <c r="AM85" i="3" s="1"/>
  <c r="M38" i="2" s="1"/>
  <c r="I242" i="3"/>
  <c r="AM21" i="3"/>
  <c r="AM83" i="3" s="1"/>
  <c r="M36" i="2" s="1"/>
  <c r="AM50" i="3"/>
  <c r="AM84" i="3" s="1"/>
  <c r="M37" i="2" s="1"/>
  <c r="I243" i="3"/>
  <c r="Y36" i="3"/>
  <c r="AN37" i="3" s="1"/>
  <c r="AN85" i="3" s="1"/>
  <c r="N38" i="2" s="1"/>
  <c r="AN21" i="3"/>
  <c r="AN83" i="3" s="1"/>
  <c r="N36" i="2" s="1"/>
  <c r="AO50" i="3"/>
  <c r="AO84" i="3" s="1"/>
  <c r="O37" i="2" s="1"/>
  <c r="AN50" i="3"/>
  <c r="AN84" i="3" s="1"/>
  <c r="N37" i="2" s="1"/>
  <c r="I244" i="3"/>
  <c r="Z36" i="3"/>
  <c r="AO21" i="3"/>
  <c r="AO83" i="3" s="1"/>
  <c r="O36" i="2" s="1"/>
  <c r="AL84" i="3"/>
  <c r="L37" i="2" s="1"/>
  <c r="AL85" i="3"/>
  <c r="L38" i="2" s="1"/>
  <c r="R50" i="3"/>
  <c r="R22" i="3"/>
  <c r="H236" i="3"/>
  <c r="L236" i="3"/>
  <c r="C236" i="3"/>
  <c r="Q50" i="3"/>
  <c r="Q22" i="3"/>
  <c r="H235" i="3"/>
  <c r="L235" i="3"/>
  <c r="C235" i="3"/>
  <c r="P22" i="3"/>
  <c r="H234" i="3"/>
  <c r="L234" i="3"/>
  <c r="C234" i="3"/>
  <c r="P50" i="3"/>
  <c r="AP37" i="3" l="1"/>
  <c r="AE38" i="3"/>
  <c r="AF38" i="3"/>
  <c r="AG38" i="3"/>
  <c r="I235" i="3"/>
  <c r="Q36" i="3"/>
  <c r="AF21" i="3"/>
  <c r="AF83" i="3" s="1"/>
  <c r="F36" i="2" s="1"/>
  <c r="AF50" i="3"/>
  <c r="AF84" i="3" s="1"/>
  <c r="F37" i="2" s="1"/>
  <c r="I236" i="3"/>
  <c r="I237" i="3"/>
  <c r="R36" i="3"/>
  <c r="AG37" i="3" s="1"/>
  <c r="AG85" i="3" s="1"/>
  <c r="G38" i="2" s="1"/>
  <c r="AH21" i="3"/>
  <c r="AH83" i="3" s="1"/>
  <c r="H36" i="2" s="1"/>
  <c r="AG21" i="3"/>
  <c r="AG83" i="3" s="1"/>
  <c r="G36" i="2" s="1"/>
  <c r="AH50" i="3"/>
  <c r="AH84" i="3" s="1"/>
  <c r="H37" i="2" s="1"/>
  <c r="AG50" i="3"/>
  <c r="AG84" i="3" s="1"/>
  <c r="G37" i="2" s="1"/>
  <c r="AO37" i="3"/>
  <c r="AO85" i="3" s="1"/>
  <c r="O38" i="2" s="1"/>
  <c r="AH37" i="3"/>
  <c r="AH85" i="3" s="1"/>
  <c r="H38" i="2" s="1"/>
  <c r="P36" i="3"/>
  <c r="AA49" i="3"/>
  <c r="AE50" i="3" s="1"/>
  <c r="AA21" i="3"/>
  <c r="AE21" i="3" s="1"/>
  <c r="H233" i="3"/>
  <c r="H232" i="3"/>
  <c r="L233" i="3"/>
  <c r="C233" i="3"/>
  <c r="Z49" i="3"/>
  <c r="Z21" i="3"/>
  <c r="C232" i="3"/>
  <c r="L232" i="3"/>
  <c r="Y49" i="3"/>
  <c r="Y21" i="3"/>
  <c r="L231" i="3"/>
  <c r="H231" i="3"/>
  <c r="C231" i="3"/>
  <c r="X49" i="3"/>
  <c r="X21" i="3"/>
  <c r="L230" i="3"/>
  <c r="H230" i="3"/>
  <c r="C230" i="3"/>
  <c r="W49" i="3"/>
  <c r="W21" i="3"/>
  <c r="L229" i="3"/>
  <c r="H229" i="3"/>
  <c r="W35" i="3" s="1"/>
  <c r="C229" i="3"/>
  <c r="V49" i="3"/>
  <c r="V21" i="3"/>
  <c r="L228" i="3"/>
  <c r="H228" i="3"/>
  <c r="C228" i="3"/>
  <c r="U49" i="3"/>
  <c r="U21" i="3"/>
  <c r="H227" i="3"/>
  <c r="L227" i="3"/>
  <c r="C227" i="3"/>
  <c r="T49" i="3"/>
  <c r="T21" i="3"/>
  <c r="L226" i="3"/>
  <c r="H226" i="3"/>
  <c r="S49" i="3"/>
  <c r="S21" i="3"/>
  <c r="H225" i="3"/>
  <c r="S35" i="3" s="1"/>
  <c r="L225" i="3"/>
  <c r="C225" i="3"/>
  <c r="C226" i="3"/>
  <c r="R49" i="3"/>
  <c r="R21" i="3"/>
  <c r="L224" i="3"/>
  <c r="H224" i="3"/>
  <c r="R35" i="3" s="1"/>
  <c r="C224" i="3"/>
  <c r="Q49" i="3"/>
  <c r="Q21" i="3"/>
  <c r="AG20" i="3" s="1"/>
  <c r="AG80" i="3" s="1"/>
  <c r="G33" i="2" s="1"/>
  <c r="L223" i="3"/>
  <c r="H223" i="3"/>
  <c r="Q35" i="3" s="1"/>
  <c r="P49" i="3"/>
  <c r="P21" i="3"/>
  <c r="L222" i="3"/>
  <c r="H222" i="3"/>
  <c r="C222" i="3"/>
  <c r="C223" i="3"/>
  <c r="AA48" i="3"/>
  <c r="AA20" i="3"/>
  <c r="L221" i="3"/>
  <c r="P15" i="1"/>
  <c r="Z48" i="3"/>
  <c r="Z20" i="3"/>
  <c r="H221" i="3"/>
  <c r="H220" i="3"/>
  <c r="Z34" i="3" s="1"/>
  <c r="L220" i="3"/>
  <c r="C221" i="3"/>
  <c r="C220" i="3"/>
  <c r="Y48" i="3"/>
  <c r="Y20" i="3"/>
  <c r="L219" i="3"/>
  <c r="H219" i="3"/>
  <c r="C219" i="3"/>
  <c r="X48" i="3"/>
  <c r="X20" i="3"/>
  <c r="L218" i="3"/>
  <c r="H218" i="3"/>
  <c r="C218" i="3"/>
  <c r="W48" i="3"/>
  <c r="W20" i="3"/>
  <c r="H217" i="3"/>
  <c r="W34" i="3" s="1"/>
  <c r="L217" i="3"/>
  <c r="C217" i="3"/>
  <c r="AG49" i="3" l="1"/>
  <c r="AG81" i="3" s="1"/>
  <c r="G34" i="2" s="1"/>
  <c r="AH20" i="3"/>
  <c r="AH80" i="3" s="1"/>
  <c r="H33" i="2" s="1"/>
  <c r="AK49" i="3"/>
  <c r="AK81" i="3" s="1"/>
  <c r="K34" i="2" s="1"/>
  <c r="AO20" i="3"/>
  <c r="AO80" i="3" s="1"/>
  <c r="O33" i="2" s="1"/>
  <c r="AA35" i="3"/>
  <c r="I234" i="3"/>
  <c r="AE83" i="3"/>
  <c r="E36" i="2" s="1"/>
  <c r="AQ83" i="3"/>
  <c r="AE84" i="3"/>
  <c r="E37" i="2" s="1"/>
  <c r="AQ84" i="3"/>
  <c r="AE37" i="3"/>
  <c r="AF37" i="3"/>
  <c r="AK20" i="3"/>
  <c r="AK80" i="3" s="1"/>
  <c r="K33" i="2" s="1"/>
  <c r="AN49" i="3"/>
  <c r="AN81" i="3" s="1"/>
  <c r="N34" i="2" s="1"/>
  <c r="AI49" i="3"/>
  <c r="AI81" i="3" s="1"/>
  <c r="I34" i="2" s="1"/>
  <c r="AJ49" i="3"/>
  <c r="AJ81" i="3" s="1"/>
  <c r="J34" i="2" s="1"/>
  <c r="AF49" i="3"/>
  <c r="AF81" i="3" s="1"/>
  <c r="F34" i="2" s="1"/>
  <c r="AJ20" i="3"/>
  <c r="AJ80" i="3" s="1"/>
  <c r="J33" i="2" s="1"/>
  <c r="AL49" i="3"/>
  <c r="AL81" i="3" s="1"/>
  <c r="L34" i="2" s="1"/>
  <c r="AO49" i="3"/>
  <c r="AO81" i="3" s="1"/>
  <c r="O34" i="2" s="1"/>
  <c r="AE49" i="3"/>
  <c r="AE81" i="3" s="1"/>
  <c r="E34" i="2" s="1"/>
  <c r="AH49" i="3"/>
  <c r="AH81" i="3" s="1"/>
  <c r="H34" i="2" s="1"/>
  <c r="AE20" i="3"/>
  <c r="AE80" i="3" s="1"/>
  <c r="E33" i="2" s="1"/>
  <c r="AN20" i="3"/>
  <c r="AN80" i="3" s="1"/>
  <c r="N33" i="2" s="1"/>
  <c r="I232" i="3"/>
  <c r="AI20" i="3"/>
  <c r="AI80" i="3" s="1"/>
  <c r="I33" i="2" s="1"/>
  <c r="AM49" i="3"/>
  <c r="AM81" i="3" s="1"/>
  <c r="M34" i="2" s="1"/>
  <c r="AP49" i="3"/>
  <c r="AP81" i="3" s="1"/>
  <c r="P34" i="2" s="1"/>
  <c r="AL20" i="3"/>
  <c r="AL80" i="3" s="1"/>
  <c r="L33" i="2" s="1"/>
  <c r="AF20" i="3"/>
  <c r="AF80" i="3" s="1"/>
  <c r="F33" i="2" s="1"/>
  <c r="AM20" i="3"/>
  <c r="AM80" i="3" s="1"/>
  <c r="M33" i="2" s="1"/>
  <c r="AP19" i="3"/>
  <c r="AP77" i="3" s="1"/>
  <c r="P30" i="2" s="1"/>
  <c r="AP20" i="3"/>
  <c r="AP80" i="3" s="1"/>
  <c r="P33" i="2" s="1"/>
  <c r="Z35" i="3"/>
  <c r="AP36" i="3" s="1"/>
  <c r="AP82" i="3" s="1"/>
  <c r="P35" i="2" s="1"/>
  <c r="I233" i="3"/>
  <c r="I230" i="3"/>
  <c r="I227" i="3"/>
  <c r="I219" i="3"/>
  <c r="I222" i="3"/>
  <c r="I228" i="3"/>
  <c r="I224" i="3"/>
  <c r="I226" i="3"/>
  <c r="AH36" i="3"/>
  <c r="AH82" i="3" s="1"/>
  <c r="H35" i="2" s="1"/>
  <c r="U35" i="3"/>
  <c r="I223" i="3"/>
  <c r="I225" i="3"/>
  <c r="T35" i="3"/>
  <c r="AI36" i="3" s="1"/>
  <c r="AI82" i="3" s="1"/>
  <c r="I35" i="2" s="1"/>
  <c r="V35" i="3"/>
  <c r="P35" i="3"/>
  <c r="AF36" i="3" s="1"/>
  <c r="AF82" i="3" s="1"/>
  <c r="F35" i="2" s="1"/>
  <c r="I231" i="3"/>
  <c r="I229" i="3"/>
  <c r="X35" i="3"/>
  <c r="AM36" i="3" s="1"/>
  <c r="AM82" i="3" s="1"/>
  <c r="M35" i="2" s="1"/>
  <c r="Y35" i="3"/>
  <c r="AG36" i="3"/>
  <c r="AG82" i="3" s="1"/>
  <c r="G35" i="2" s="1"/>
  <c r="I221" i="3"/>
  <c r="AN48" i="3"/>
  <c r="AN78" i="3" s="1"/>
  <c r="N31" i="2" s="1"/>
  <c r="AM19" i="3"/>
  <c r="AM77" i="3" s="1"/>
  <c r="M30" i="2" s="1"/>
  <c r="AM48" i="3"/>
  <c r="AM78" i="3" s="1"/>
  <c r="M31" i="2" s="1"/>
  <c r="AO48" i="3"/>
  <c r="AO78" i="3" s="1"/>
  <c r="O31" i="2" s="1"/>
  <c r="AP48" i="3"/>
  <c r="AP78" i="3" s="1"/>
  <c r="P31" i="2" s="1"/>
  <c r="AO19" i="3"/>
  <c r="AO77" i="3" s="1"/>
  <c r="O30" i="2" s="1"/>
  <c r="I218" i="3"/>
  <c r="X34" i="3"/>
  <c r="AM35" i="3" s="1"/>
  <c r="AM79" i="3" s="1"/>
  <c r="M32" i="2" s="1"/>
  <c r="Y34" i="3"/>
  <c r="AO35" i="3" s="1"/>
  <c r="AO79" i="3" s="1"/>
  <c r="O32" i="2" s="1"/>
  <c r="AN19" i="3"/>
  <c r="AN77" i="3" s="1"/>
  <c r="N30" i="2" s="1"/>
  <c r="I220" i="3"/>
  <c r="AA34" i="3"/>
  <c r="V48" i="3"/>
  <c r="AL48" i="3" s="1"/>
  <c r="AL78" i="3" s="1"/>
  <c r="L31" i="2" s="1"/>
  <c r="V20" i="3"/>
  <c r="AL19" i="3" s="1"/>
  <c r="AL77" i="3" s="1"/>
  <c r="L30" i="2" s="1"/>
  <c r="H216" i="3"/>
  <c r="L216" i="3"/>
  <c r="C216" i="3"/>
  <c r="U48" i="3"/>
  <c r="U20" i="3"/>
  <c r="AE85" i="3" l="1"/>
  <c r="E38" i="2" s="1"/>
  <c r="AF85" i="3"/>
  <c r="F38" i="2" s="1"/>
  <c r="AQ85" i="3"/>
  <c r="Q37" i="2"/>
  <c r="Q36" i="2"/>
  <c r="AQ49" i="3"/>
  <c r="AQ81" i="3" s="1"/>
  <c r="Q34" i="2" s="1"/>
  <c r="AJ36" i="3"/>
  <c r="AJ82" i="3" s="1"/>
  <c r="J35" i="2" s="1"/>
  <c r="AQ20" i="3"/>
  <c r="AQ80" i="3" s="1"/>
  <c r="Q33" i="2" s="1"/>
  <c r="AO36" i="3"/>
  <c r="AO82" i="3" s="1"/>
  <c r="O35" i="2" s="1"/>
  <c r="AK36" i="3"/>
  <c r="AK82" i="3" s="1"/>
  <c r="K35" i="2" s="1"/>
  <c r="AL36" i="3"/>
  <c r="AL82" i="3" s="1"/>
  <c r="L35" i="2" s="1"/>
  <c r="AE36" i="3"/>
  <c r="AN36" i="3"/>
  <c r="AN82" i="3" s="1"/>
  <c r="N35" i="2" s="1"/>
  <c r="AK48" i="3"/>
  <c r="AK78" i="3" s="1"/>
  <c r="K31" i="2" s="1"/>
  <c r="V34" i="3"/>
  <c r="I217" i="3"/>
  <c r="AK19" i="3"/>
  <c r="AK77" i="3" s="1"/>
  <c r="K30" i="2" s="1"/>
  <c r="AN35" i="3"/>
  <c r="AN79" i="3" s="1"/>
  <c r="N32" i="2" s="1"/>
  <c r="AP35" i="3"/>
  <c r="AP79" i="3" s="1"/>
  <c r="P32" i="2" s="1"/>
  <c r="H215" i="3"/>
  <c r="U34" i="3" s="1"/>
  <c r="L215" i="3"/>
  <c r="C215" i="3"/>
  <c r="T48" i="3"/>
  <c r="T20" i="3"/>
  <c r="AJ19" i="3" s="1"/>
  <c r="AJ77" i="3" s="1"/>
  <c r="J30" i="2" s="1"/>
  <c r="L214" i="3"/>
  <c r="H214" i="3"/>
  <c r="T34" i="3" s="1"/>
  <c r="C214" i="3"/>
  <c r="S20" i="3"/>
  <c r="Y13" i="3"/>
  <c r="Z13" i="3"/>
  <c r="AA13" i="3"/>
  <c r="P14" i="3"/>
  <c r="Q14" i="3"/>
  <c r="R14" i="3"/>
  <c r="S14" i="3"/>
  <c r="T14" i="3"/>
  <c r="U14" i="3"/>
  <c r="V14" i="3"/>
  <c r="W14" i="3"/>
  <c r="X14" i="3"/>
  <c r="Y14" i="3"/>
  <c r="P15" i="3"/>
  <c r="Q15" i="3"/>
  <c r="R15" i="3"/>
  <c r="S15" i="3"/>
  <c r="T15" i="3"/>
  <c r="U15" i="3"/>
  <c r="V15" i="3"/>
  <c r="W15" i="3"/>
  <c r="X15" i="3"/>
  <c r="Y15" i="3"/>
  <c r="Z15" i="3"/>
  <c r="AA15" i="3"/>
  <c r="P16" i="3"/>
  <c r="Q16" i="3"/>
  <c r="R16" i="3"/>
  <c r="S16" i="3"/>
  <c r="T16" i="3"/>
  <c r="U16" i="3"/>
  <c r="V16" i="3"/>
  <c r="W16" i="3"/>
  <c r="X16" i="3"/>
  <c r="Y16" i="3"/>
  <c r="Z16" i="3"/>
  <c r="AA16" i="3"/>
  <c r="P17" i="3"/>
  <c r="Q17" i="3"/>
  <c r="R17" i="3"/>
  <c r="S17" i="3"/>
  <c r="T17" i="3"/>
  <c r="U17" i="3"/>
  <c r="V17" i="3"/>
  <c r="W17" i="3"/>
  <c r="X17" i="3"/>
  <c r="Y17" i="3"/>
  <c r="Z17" i="3"/>
  <c r="AA17" i="3"/>
  <c r="Q18" i="3"/>
  <c r="R18" i="3"/>
  <c r="S18" i="3"/>
  <c r="T18" i="3"/>
  <c r="U18" i="3"/>
  <c r="V18" i="3"/>
  <c r="W18" i="3"/>
  <c r="X18" i="3"/>
  <c r="Y18" i="3"/>
  <c r="Z18" i="3"/>
  <c r="AA18" i="3"/>
  <c r="P19" i="3"/>
  <c r="Q19" i="3"/>
  <c r="R19" i="3"/>
  <c r="S19" i="3"/>
  <c r="T19" i="3"/>
  <c r="U19" i="3"/>
  <c r="V19" i="3"/>
  <c r="W19" i="3"/>
  <c r="X19" i="3"/>
  <c r="Y19" i="3"/>
  <c r="Z19" i="3"/>
  <c r="AA19" i="3"/>
  <c r="P20" i="3"/>
  <c r="Q20" i="3"/>
  <c r="R20" i="3"/>
  <c r="S48" i="3"/>
  <c r="L213" i="3"/>
  <c r="H213" i="3"/>
  <c r="S34" i="3" s="1"/>
  <c r="R48" i="3"/>
  <c r="H212" i="3"/>
  <c r="I212" i="3" s="1"/>
  <c r="J212" i="3" s="1"/>
  <c r="C213" i="3"/>
  <c r="C212" i="3"/>
  <c r="L212" i="3"/>
  <c r="L209" i="3"/>
  <c r="L210" i="3"/>
  <c r="L211" i="3"/>
  <c r="C210" i="3"/>
  <c r="C211" i="3"/>
  <c r="Q48" i="3"/>
  <c r="P48" i="3"/>
  <c r="AA47" i="3"/>
  <c r="AA33" i="3"/>
  <c r="C209" i="3"/>
  <c r="C208" i="3"/>
  <c r="Z47" i="3"/>
  <c r="Z33" i="3"/>
  <c r="L208" i="3"/>
  <c r="C206" i="3"/>
  <c r="C207" i="3"/>
  <c r="Y47" i="3"/>
  <c r="Y33" i="3"/>
  <c r="L207" i="3"/>
  <c r="X47" i="3"/>
  <c r="X33" i="3"/>
  <c r="L206" i="3"/>
  <c r="C204" i="3"/>
  <c r="C205" i="3"/>
  <c r="W47" i="3"/>
  <c r="W33" i="3"/>
  <c r="L205" i="3"/>
  <c r="V47" i="3"/>
  <c r="V33" i="3"/>
  <c r="L204" i="3"/>
  <c r="C202" i="3"/>
  <c r="C203" i="3"/>
  <c r="L203" i="3"/>
  <c r="U47" i="3"/>
  <c r="U33" i="3"/>
  <c r="C201" i="3"/>
  <c r="T47" i="3"/>
  <c r="T33" i="3"/>
  <c r="L202" i="3"/>
  <c r="S47" i="3"/>
  <c r="L201" i="3"/>
  <c r="R47" i="3"/>
  <c r="L200" i="3"/>
  <c r="C200" i="3"/>
  <c r="Q47" i="3"/>
  <c r="C199" i="3"/>
  <c r="L199" i="3"/>
  <c r="AA32" i="3"/>
  <c r="P47" i="3"/>
  <c r="C198" i="3"/>
  <c r="L198" i="3"/>
  <c r="AA46" i="3"/>
  <c r="L197" i="3"/>
  <c r="C197" i="3"/>
  <c r="Z46" i="3"/>
  <c r="Z32" i="3"/>
  <c r="L196" i="3"/>
  <c r="C196" i="3"/>
  <c r="Y46" i="3"/>
  <c r="Y32" i="3"/>
  <c r="L195" i="3"/>
  <c r="C195" i="3"/>
  <c r="X46" i="3"/>
  <c r="X32" i="3"/>
  <c r="L194" i="3"/>
  <c r="C194" i="3"/>
  <c r="W46" i="3"/>
  <c r="W32" i="3"/>
  <c r="L193" i="3"/>
  <c r="C193" i="3"/>
  <c r="L192" i="3"/>
  <c r="V46" i="3"/>
  <c r="V32" i="3"/>
  <c r="C192" i="3"/>
  <c r="U46" i="3"/>
  <c r="U32" i="3"/>
  <c r="L191" i="3"/>
  <c r="M191" i="3" s="1"/>
  <c r="C191" i="3"/>
  <c r="T46" i="3"/>
  <c r="T32" i="3"/>
  <c r="C190" i="3"/>
  <c r="L190" i="3"/>
  <c r="C187" i="3"/>
  <c r="D187" i="3" s="1"/>
  <c r="L187" i="3"/>
  <c r="S46" i="3"/>
  <c r="C189" i="3"/>
  <c r="L189" i="3"/>
  <c r="Q38" i="2" l="1"/>
  <c r="AE19" i="3"/>
  <c r="AE82" i="3"/>
  <c r="E35" i="2" s="1"/>
  <c r="AQ36" i="3"/>
  <c r="AQ82" i="3" s="1"/>
  <c r="Q35" i="2" s="1"/>
  <c r="AG48" i="3"/>
  <c r="AI46" i="3"/>
  <c r="AL46" i="3"/>
  <c r="AO46" i="3"/>
  <c r="AG47" i="3"/>
  <c r="AJ47" i="3"/>
  <c r="AJ46" i="3"/>
  <c r="AE47" i="3"/>
  <c r="AL47" i="3"/>
  <c r="AH47" i="3"/>
  <c r="AE48" i="3"/>
  <c r="AH19" i="3"/>
  <c r="AH77" i="3" s="1"/>
  <c r="H30" i="2" s="1"/>
  <c r="AI47" i="3"/>
  <c r="AI48" i="3"/>
  <c r="AI78" i="3" s="1"/>
  <c r="I31" i="2" s="1"/>
  <c r="AP46" i="3"/>
  <c r="AO47" i="3"/>
  <c r="AK47" i="3"/>
  <c r="AM47" i="3"/>
  <c r="AF19" i="3"/>
  <c r="AI35" i="3"/>
  <c r="AI79" i="3" s="1"/>
  <c r="I32" i="2" s="1"/>
  <c r="AG19" i="3"/>
  <c r="AM46" i="3"/>
  <c r="AJ48" i="3"/>
  <c r="AJ78" i="3" s="1"/>
  <c r="J31" i="2" s="1"/>
  <c r="AK46" i="3"/>
  <c r="AF48" i="3"/>
  <c r="AH48" i="3"/>
  <c r="AH78" i="3" s="1"/>
  <c r="H31" i="2" s="1"/>
  <c r="AN46" i="3"/>
  <c r="AI19" i="3"/>
  <c r="AI77" i="3" s="1"/>
  <c r="I30" i="2" s="1"/>
  <c r="AJ35" i="3"/>
  <c r="AJ79" i="3" s="1"/>
  <c r="J32" i="2" s="1"/>
  <c r="AK35" i="3"/>
  <c r="AK79" i="3" s="1"/>
  <c r="K32" i="2" s="1"/>
  <c r="AL35" i="3"/>
  <c r="AL79" i="3" s="1"/>
  <c r="L32" i="2" s="1"/>
  <c r="I215" i="3"/>
  <c r="I214" i="3"/>
  <c r="AP47" i="3"/>
  <c r="AF47" i="3"/>
  <c r="AN47" i="3"/>
  <c r="AF46" i="3"/>
  <c r="I216" i="3"/>
  <c r="I213" i="3"/>
  <c r="J213" i="3" s="1"/>
  <c r="M212" i="3"/>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R34" i="3"/>
  <c r="AN18" i="3"/>
  <c r="AJ18" i="3"/>
  <c r="AO18" i="3"/>
  <c r="AE18" i="3"/>
  <c r="AK18" i="3"/>
  <c r="AM18" i="3"/>
  <c r="AP18" i="3"/>
  <c r="AF18" i="3"/>
  <c r="AH18" i="3"/>
  <c r="AI18" i="3"/>
  <c r="AG18" i="3"/>
  <c r="AL18" i="3"/>
  <c r="AJ17" i="3"/>
  <c r="AP17" i="3"/>
  <c r="AI17" i="3"/>
  <c r="AN17" i="3"/>
  <c r="AK17" i="3"/>
  <c r="AM17" i="3"/>
  <c r="AO17" i="3"/>
  <c r="AL17" i="3"/>
  <c r="M192" i="3"/>
  <c r="M193" i="3" s="1"/>
  <c r="M194" i="3" s="1"/>
  <c r="M195" i="3" s="1"/>
  <c r="M196" i="3" s="1"/>
  <c r="M197" i="3" s="1"/>
  <c r="M198" i="3" s="1"/>
  <c r="M199" i="3" s="1"/>
  <c r="M200" i="3" s="1"/>
  <c r="M201" i="3" s="1"/>
  <c r="M202" i="3" s="1"/>
  <c r="M203" i="3" s="1"/>
  <c r="M204" i="3" s="1"/>
  <c r="M205" i="3" s="1"/>
  <c r="M206" i="3" s="1"/>
  <c r="M207" i="3" s="1"/>
  <c r="M208" i="3" s="1"/>
  <c r="M209" i="3" s="1"/>
  <c r="M210" i="3" s="1"/>
  <c r="R46" i="3"/>
  <c r="AH17" i="3"/>
  <c r="C188" i="3"/>
  <c r="D188" i="3" s="1"/>
  <c r="D189" i="3" s="1"/>
  <c r="D190" i="3" s="1"/>
  <c r="D191" i="3" s="1"/>
  <c r="D192" i="3" s="1"/>
  <c r="D193" i="3" s="1"/>
  <c r="D194" i="3" s="1"/>
  <c r="D195" i="3" s="1"/>
  <c r="D196" i="3" s="1"/>
  <c r="D197" i="3" s="1"/>
  <c r="D198" i="3" s="1"/>
  <c r="D199" i="3" s="1"/>
  <c r="D200" i="3" s="1"/>
  <c r="D201" i="3" s="1"/>
  <c r="D202" i="3" s="1"/>
  <c r="D203" i="3" s="1"/>
  <c r="D204" i="3" s="1"/>
  <c r="D205" i="3" s="1"/>
  <c r="D206" i="3" s="1"/>
  <c r="D207" i="3" s="1"/>
  <c r="D208" i="3" s="1"/>
  <c r="D209" i="3" s="1"/>
  <c r="D210" i="3" s="1"/>
  <c r="D212" i="3" s="1"/>
  <c r="D213" i="3" s="1"/>
  <c r="D214" i="3" s="1"/>
  <c r="D215" i="3" s="1"/>
  <c r="D216" i="3" s="1"/>
  <c r="D217" i="3" s="1"/>
  <c r="D218" i="3" s="1"/>
  <c r="D219" i="3" s="1"/>
  <c r="D220" i="3" s="1"/>
  <c r="D221" i="3" s="1"/>
  <c r="D222" i="3" s="1"/>
  <c r="D223" i="3" s="1"/>
  <c r="D224" i="3" s="1"/>
  <c r="D225" i="3" s="1"/>
  <c r="D226" i="3" s="1"/>
  <c r="D227" i="3" s="1"/>
  <c r="D228" i="3" s="1"/>
  <c r="D229" i="3" s="1"/>
  <c r="D230" i="3" s="1"/>
  <c r="D231" i="3" s="1"/>
  <c r="D232" i="3" s="1"/>
  <c r="D233" i="3" s="1"/>
  <c r="D234" i="3" s="1"/>
  <c r="D235" i="3" s="1"/>
  <c r="D236" i="3" s="1"/>
  <c r="D237" i="3" s="1"/>
  <c r="D238" i="3" s="1"/>
  <c r="D239" i="3" s="1"/>
  <c r="D240" i="3" s="1"/>
  <c r="D241" i="3" s="1"/>
  <c r="D242" i="3" s="1"/>
  <c r="D243" i="3" s="1"/>
  <c r="D244" i="3" s="1"/>
  <c r="D245" i="3" s="1"/>
  <c r="D246" i="3" s="1"/>
  <c r="D247" i="3" s="1"/>
  <c r="D248" i="3" s="1"/>
  <c r="L188" i="3"/>
  <c r="M188" i="3" s="1"/>
  <c r="M189" i="3" s="1"/>
  <c r="AQ48" i="3" l="1"/>
  <c r="AQ78" i="3" s="1"/>
  <c r="Q31" i="2" s="1"/>
  <c r="AQ47" i="3"/>
  <c r="AQ19" i="3"/>
  <c r="AQ77" i="3" s="1"/>
  <c r="J214" i="3"/>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AH46" i="3"/>
  <c r="AH35" i="3"/>
  <c r="AH79" i="3" s="1"/>
  <c r="H32" i="2" s="1"/>
  <c r="AQ18" i="3"/>
  <c r="AG17" i="3"/>
  <c r="C183" i="3"/>
  <c r="C184" i="3"/>
  <c r="C185" i="3"/>
  <c r="C186" i="3"/>
  <c r="AF17" i="3" s="1"/>
  <c r="Q30" i="2" l="1"/>
  <c r="AQ35" i="3"/>
  <c r="AQ79" i="3" s="1"/>
  <c r="AQ17" i="3"/>
  <c r="AP16" i="3"/>
  <c r="Q32" i="2" l="1"/>
  <c r="X2" i="2"/>
  <c r="AY19" i="3"/>
  <c r="AY22" i="3" s="1"/>
  <c r="Q46" i="3"/>
  <c r="AG46" i="3" s="1"/>
  <c r="AA45" i="3"/>
  <c r="Z45" i="3"/>
  <c r="Y45" i="3"/>
  <c r="L183" i="3"/>
  <c r="L184" i="3"/>
  <c r="L185" i="3"/>
  <c r="L186" i="3"/>
  <c r="AP45" i="3" l="1"/>
  <c r="AO45" i="3"/>
  <c r="AO16" i="3"/>
  <c r="Y31" i="3"/>
  <c r="Z31" i="3"/>
  <c r="AA31" i="3"/>
  <c r="X45" i="3"/>
  <c r="AN45" i="3" s="1"/>
  <c r="W45" i="3"/>
  <c r="W44" i="3"/>
  <c r="AN16" i="3"/>
  <c r="C181" i="3"/>
  <c r="W31" i="3"/>
  <c r="L181" i="3"/>
  <c r="C182" i="3"/>
  <c r="X31" i="3"/>
  <c r="L182" i="3"/>
  <c r="AM45" i="3" l="1"/>
  <c r="AQ46" i="3"/>
  <c r="AM16" i="3"/>
  <c r="V45" i="3"/>
  <c r="AL45" i="3" s="1"/>
  <c r="X3" i="2" l="1"/>
  <c r="U45" i="3"/>
  <c r="AK45" i="3" s="1"/>
  <c r="T45" i="3"/>
  <c r="T31" i="3"/>
  <c r="AL16" i="3"/>
  <c r="C178" i="3"/>
  <c r="L178" i="3"/>
  <c r="C179" i="3"/>
  <c r="L179" i="3"/>
  <c r="C180" i="3"/>
  <c r="L180" i="3"/>
  <c r="AJ45" i="3" l="1"/>
  <c r="X4" i="2"/>
  <c r="AJ16" i="3"/>
  <c r="AK16" i="3"/>
  <c r="U31" i="3"/>
  <c r="V31" i="3"/>
  <c r="S45" i="3" l="1"/>
  <c r="AI16" i="3"/>
  <c r="C177" i="3"/>
  <c r="S31" i="3"/>
  <c r="L177" i="3"/>
  <c r="AI45" i="3" l="1"/>
  <c r="R45" i="3"/>
  <c r="AH16" i="3"/>
  <c r="C176" i="3"/>
  <c r="L176" i="3"/>
  <c r="AH45" i="3" l="1"/>
  <c r="R31" i="3"/>
  <c r="Q31" i="3"/>
  <c r="Q45" i="3"/>
  <c r="AG16" i="3"/>
  <c r="C175" i="3"/>
  <c r="L175" i="3"/>
  <c r="L7" i="1"/>
  <c r="AG45" i="3" l="1"/>
  <c r="P45" i="3"/>
  <c r="AF16" i="3"/>
  <c r="P31" i="3"/>
  <c r="AA30" i="3"/>
  <c r="C174" i="3"/>
  <c r="L174" i="3"/>
  <c r="AF45" i="3" l="1"/>
  <c r="AA44" i="3"/>
  <c r="C173" i="3"/>
  <c r="L173" i="3"/>
  <c r="AE45" i="3" l="1"/>
  <c r="AE16" i="3"/>
  <c r="Z44" i="3"/>
  <c r="AP15" i="3"/>
  <c r="C172" i="3"/>
  <c r="Z30" i="3"/>
  <c r="L172" i="3"/>
  <c r="AP44" i="3" l="1"/>
  <c r="AQ16" i="3"/>
  <c r="AQ45" i="3"/>
  <c r="Y44" i="3"/>
  <c r="AO15" i="3"/>
  <c r="C171" i="3"/>
  <c r="Y30" i="3"/>
  <c r="L171" i="3"/>
  <c r="AO44" i="3" l="1"/>
  <c r="X44" i="3"/>
  <c r="AM44" i="3" s="1"/>
  <c r="AN15" i="3"/>
  <c r="C170" i="3"/>
  <c r="X30" i="3"/>
  <c r="L170" i="3"/>
  <c r="AN44" i="3" l="1"/>
  <c r="AM15" i="3"/>
  <c r="C169" i="3"/>
  <c r="L169" i="3"/>
  <c r="W30" i="3" l="1"/>
  <c r="AL15" i="3"/>
  <c r="V44" i="3"/>
  <c r="L168" i="3"/>
  <c r="C168" i="3"/>
  <c r="AL44" i="3" l="1"/>
  <c r="V30" i="3"/>
  <c r="AK15" i="3"/>
  <c r="U44" i="3"/>
  <c r="L167" i="3"/>
  <c r="C167" i="3"/>
  <c r="AK44" i="3" l="1"/>
  <c r="U30" i="3"/>
  <c r="T44" i="3" l="1"/>
  <c r="T30" i="3"/>
  <c r="L166" i="3"/>
  <c r="C166" i="3"/>
  <c r="AJ44" i="3" l="1"/>
  <c r="AJ15" i="3"/>
  <c r="AI15" i="3" l="1"/>
  <c r="S44" i="3"/>
  <c r="L147" i="3"/>
  <c r="L148" i="3"/>
  <c r="L149" i="3"/>
  <c r="L150" i="3"/>
  <c r="L151" i="3"/>
  <c r="L152" i="3"/>
  <c r="L153" i="3"/>
  <c r="L154" i="3"/>
  <c r="L155" i="3"/>
  <c r="L156" i="3"/>
  <c r="L157" i="3"/>
  <c r="L158" i="3"/>
  <c r="L159" i="3"/>
  <c r="L160" i="3"/>
  <c r="L161" i="3"/>
  <c r="L162" i="3"/>
  <c r="L163" i="3"/>
  <c r="L164" i="3"/>
  <c r="L165" i="3"/>
  <c r="C165" i="3"/>
  <c r="C5" i="3"/>
  <c r="C6" i="3"/>
  <c r="C7" i="3"/>
  <c r="C8" i="3"/>
  <c r="C9" i="3"/>
  <c r="C10" i="3"/>
  <c r="C11" i="3"/>
  <c r="C12" i="3"/>
  <c r="C13" i="3"/>
  <c r="C14" i="3"/>
  <c r="C15" i="3"/>
  <c r="C16" i="3"/>
  <c r="C17" i="3"/>
  <c r="C18" i="3"/>
  <c r="C19" i="3"/>
  <c r="C20" i="3"/>
  <c r="C21" i="3"/>
  <c r="C22" i="3"/>
  <c r="C24" i="3"/>
  <c r="C25" i="3"/>
  <c r="C26" i="3"/>
  <c r="C27" i="3"/>
  <c r="C28" i="3"/>
  <c r="C29" i="3"/>
  <c r="C30" i="3"/>
  <c r="C31" i="3"/>
  <c r="C32" i="3"/>
  <c r="C33" i="3"/>
  <c r="C34" i="3"/>
  <c r="C35" i="3"/>
  <c r="C36"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6" i="3"/>
  <c r="C137" i="3"/>
  <c r="C138" i="3"/>
  <c r="C139" i="3"/>
  <c r="C140" i="3"/>
  <c r="C141" i="3"/>
  <c r="C142" i="3"/>
  <c r="C143" i="3"/>
  <c r="C144" i="3"/>
  <c r="C145" i="3"/>
  <c r="C146" i="3"/>
  <c r="C147" i="3"/>
  <c r="C151" i="3"/>
  <c r="C152" i="3"/>
  <c r="C153" i="3"/>
  <c r="C154" i="3"/>
  <c r="C155" i="3"/>
  <c r="C156" i="3"/>
  <c r="C157" i="3"/>
  <c r="C158" i="3"/>
  <c r="C159" i="3"/>
  <c r="C160" i="3"/>
  <c r="C161" i="3"/>
  <c r="C162" i="3"/>
  <c r="C163" i="3"/>
  <c r="C164" i="3"/>
  <c r="C4" i="3"/>
  <c r="AI44" i="3" l="1"/>
  <c r="S30" i="3"/>
  <c r="R44" i="3"/>
  <c r="AH15" i="3"/>
  <c r="R30" i="3"/>
  <c r="AH44" i="3" l="1"/>
  <c r="Q44" i="3"/>
  <c r="AG15" i="3"/>
  <c r="Q30" i="3"/>
  <c r="AG44" i="3" l="1"/>
  <c r="P44" i="3"/>
  <c r="AF15" i="3"/>
  <c r="P30" i="3"/>
  <c r="AF44" i="3" l="1"/>
  <c r="AA43" i="3"/>
  <c r="AE44" i="3" l="1"/>
  <c r="AQ44" i="3" s="1"/>
  <c r="AE15" i="3"/>
  <c r="AA29" i="3"/>
  <c r="B149" i="3"/>
  <c r="AA14" i="3" s="1"/>
  <c r="B148" i="3"/>
  <c r="Z14" i="3" s="1"/>
  <c r="Y28" i="3"/>
  <c r="W28" i="3"/>
  <c r="F145" i="3"/>
  <c r="F144" i="3"/>
  <c r="F143" i="3"/>
  <c r="F142" i="3"/>
  <c r="F141" i="3"/>
  <c r="F140" i="3"/>
  <c r="F139" i="3"/>
  <c r="Q149" i="3"/>
  <c r="F138" i="3"/>
  <c r="F137" i="3"/>
  <c r="F136" i="3"/>
  <c r="F135" i="3"/>
  <c r="A134" i="3"/>
  <c r="W27" i="3" s="1"/>
  <c r="F133" i="3"/>
  <c r="F132" i="3"/>
  <c r="F131" i="3"/>
  <c r="F130" i="3"/>
  <c r="L130" i="3" s="1"/>
  <c r="Z43" i="3"/>
  <c r="Y43" i="3"/>
  <c r="X43" i="3"/>
  <c r="W43" i="3"/>
  <c r="V43" i="3"/>
  <c r="U43" i="3"/>
  <c r="T43" i="3"/>
  <c r="S43" i="3"/>
  <c r="R43" i="3"/>
  <c r="Q43" i="3"/>
  <c r="P43" i="3"/>
  <c r="AA42" i="3"/>
  <c r="Z42" i="3"/>
  <c r="Y42" i="3"/>
  <c r="X42" i="3"/>
  <c r="W42" i="3"/>
  <c r="V42" i="3"/>
  <c r="U42" i="3"/>
  <c r="T42" i="3"/>
  <c r="S42" i="3"/>
  <c r="R42" i="3"/>
  <c r="Q42" i="3"/>
  <c r="P42" i="3"/>
  <c r="AA41" i="3"/>
  <c r="Z41" i="3"/>
  <c r="Y41" i="3"/>
  <c r="X41" i="3"/>
  <c r="W41" i="3"/>
  <c r="V41" i="3"/>
  <c r="U41" i="3"/>
  <c r="T41" i="3"/>
  <c r="S41" i="3"/>
  <c r="R41" i="3"/>
  <c r="Q41" i="3"/>
  <c r="P41" i="3"/>
  <c r="AW22" i="3"/>
  <c r="V28" i="3"/>
  <c r="U28" i="3"/>
  <c r="T28" i="3"/>
  <c r="S28" i="3"/>
  <c r="R28" i="3"/>
  <c r="AW21" i="3"/>
  <c r="T27" i="3"/>
  <c r="AW20" i="3"/>
  <c r="BA19" i="3"/>
  <c r="AZ19" i="3"/>
  <c r="AZ22" i="3" s="1"/>
  <c r="AX19" i="3"/>
  <c r="AX20" i="3" s="1"/>
  <c r="AP14" i="3"/>
  <c r="AQ12" i="3"/>
  <c r="AM12" i="3"/>
  <c r="AL12" i="3"/>
  <c r="AK12" i="3"/>
  <c r="AJ12" i="3"/>
  <c r="AI12" i="3"/>
  <c r="AH12" i="3"/>
  <c r="AG12" i="3"/>
  <c r="AF12" i="3"/>
  <c r="AE12" i="3"/>
  <c r="AQ11" i="3"/>
  <c r="AP11" i="3"/>
  <c r="AO11" i="3"/>
  <c r="AN11" i="3"/>
  <c r="AM11" i="3"/>
  <c r="AL11" i="3"/>
  <c r="AK11" i="3"/>
  <c r="AJ11" i="3"/>
  <c r="AI11" i="3"/>
  <c r="AH11" i="3"/>
  <c r="AG11" i="3"/>
  <c r="AF11" i="3"/>
  <c r="AE11" i="3"/>
  <c r="AQ10" i="3"/>
  <c r="AP10" i="3"/>
  <c r="AO10" i="3"/>
  <c r="AN10" i="3"/>
  <c r="AM10" i="3"/>
  <c r="AL10" i="3"/>
  <c r="AK10" i="3"/>
  <c r="AJ10" i="3"/>
  <c r="AI10" i="3"/>
  <c r="AH10" i="3"/>
  <c r="AG10" i="3"/>
  <c r="AF10" i="3"/>
  <c r="AE10" i="3"/>
  <c r="AQ9" i="3"/>
  <c r="AP9" i="3"/>
  <c r="AO9" i="3"/>
  <c r="AN9" i="3"/>
  <c r="AM9" i="3"/>
  <c r="AL9" i="3"/>
  <c r="AK9" i="3"/>
  <c r="AJ9" i="3"/>
  <c r="AI9" i="3"/>
  <c r="AH9" i="3"/>
  <c r="AG9" i="3"/>
  <c r="AF9" i="3"/>
  <c r="AE9" i="3"/>
  <c r="AQ8" i="3"/>
  <c r="AP8" i="3"/>
  <c r="AO8" i="3"/>
  <c r="AN8" i="3"/>
  <c r="AM8" i="3"/>
  <c r="AL8" i="3"/>
  <c r="AK8" i="3"/>
  <c r="AJ8" i="3"/>
  <c r="AI8" i="3"/>
  <c r="AH8" i="3"/>
  <c r="AG8" i="3"/>
  <c r="AF8" i="3"/>
  <c r="AE8" i="3"/>
  <c r="AQ7" i="3"/>
  <c r="AP7" i="3"/>
  <c r="AO7" i="3"/>
  <c r="AN7" i="3"/>
  <c r="AM7" i="3"/>
  <c r="AL7" i="3"/>
  <c r="AK7" i="3"/>
  <c r="AJ7" i="3"/>
  <c r="AI7" i="3"/>
  <c r="AH7" i="3"/>
  <c r="AG7" i="3"/>
  <c r="AF7" i="3"/>
  <c r="AE7" i="3"/>
  <c r="AQ6" i="3"/>
  <c r="AP6" i="3"/>
  <c r="AO6" i="3"/>
  <c r="AN6" i="3"/>
  <c r="AM6" i="3"/>
  <c r="AL6" i="3"/>
  <c r="AK6" i="3"/>
  <c r="AJ6" i="3"/>
  <c r="AI6" i="3"/>
  <c r="AH6" i="3"/>
  <c r="AG6" i="3"/>
  <c r="AF6" i="3"/>
  <c r="AE6" i="3"/>
  <c r="AQ5" i="3"/>
  <c r="AP5" i="3"/>
  <c r="AO5" i="3"/>
  <c r="AN5" i="3"/>
  <c r="AM5" i="3"/>
  <c r="AL5" i="3"/>
  <c r="AK5" i="3"/>
  <c r="AJ5" i="3"/>
  <c r="AI5" i="3"/>
  <c r="AH5" i="3"/>
  <c r="AG5" i="3"/>
  <c r="AF5" i="3"/>
  <c r="AE5" i="3"/>
  <c r="AQ4" i="3"/>
  <c r="AP4" i="3"/>
  <c r="AO4" i="3"/>
  <c r="AN4" i="3"/>
  <c r="AM4" i="3"/>
  <c r="AL4" i="3"/>
  <c r="AK4" i="3"/>
  <c r="AJ4" i="3"/>
  <c r="AI4" i="3"/>
  <c r="AH4" i="3"/>
  <c r="AG4" i="3"/>
  <c r="AF4" i="3"/>
  <c r="AE4" i="3"/>
  <c r="AQ3" i="3"/>
  <c r="AP3" i="3"/>
  <c r="AO3" i="3"/>
  <c r="AN3" i="3"/>
  <c r="AM3" i="3"/>
  <c r="AL3" i="3"/>
  <c r="AK3" i="3"/>
  <c r="AJ3" i="3"/>
  <c r="AI3" i="3"/>
  <c r="AH3" i="3"/>
  <c r="AG3" i="3"/>
  <c r="AF3" i="3"/>
  <c r="AE3" i="3"/>
  <c r="N3" i="3"/>
  <c r="AQ2" i="3" s="1"/>
  <c r="AP2" i="3"/>
  <c r="AO2" i="3"/>
  <c r="AN2" i="3"/>
  <c r="AM2" i="3"/>
  <c r="AL2" i="3"/>
  <c r="AK2" i="3"/>
  <c r="AJ2" i="3"/>
  <c r="AI2" i="3"/>
  <c r="AH2" i="3"/>
  <c r="AG2" i="3"/>
  <c r="AF2" i="3"/>
  <c r="AK41" i="3" l="1"/>
  <c r="AG42" i="3"/>
  <c r="AO42" i="3"/>
  <c r="AK43" i="3"/>
  <c r="AP42" i="3"/>
  <c r="AL43" i="3"/>
  <c r="AJ41" i="3"/>
  <c r="AF42" i="3"/>
  <c r="AN42" i="3"/>
  <c r="AJ43" i="3"/>
  <c r="AG41" i="3"/>
  <c r="AO41" i="3"/>
  <c r="AM41" i="3"/>
  <c r="AI42" i="3"/>
  <c r="AE43" i="3"/>
  <c r="AM43" i="3"/>
  <c r="AF41" i="3"/>
  <c r="AN41" i="3"/>
  <c r="AJ42" i="3"/>
  <c r="AF43" i="3"/>
  <c r="AN43" i="3"/>
  <c r="AH42" i="3"/>
  <c r="AK42" i="3"/>
  <c r="AG43" i="3"/>
  <c r="AO43" i="3"/>
  <c r="AH41" i="3"/>
  <c r="AP41" i="3"/>
  <c r="AL42" i="3"/>
  <c r="AH43" i="3"/>
  <c r="AL41" i="3"/>
  <c r="AI41" i="3"/>
  <c r="AE42" i="3"/>
  <c r="AM42" i="3"/>
  <c r="AI43" i="3"/>
  <c r="AP43" i="3"/>
  <c r="AY31" i="3"/>
  <c r="U4" i="2" s="1"/>
  <c r="AZ31" i="3"/>
  <c r="V4" i="2" s="1"/>
  <c r="AX29" i="3"/>
  <c r="T2" i="2" s="1"/>
  <c r="X27" i="3"/>
  <c r="Q28" i="3"/>
  <c r="AQ15" i="3"/>
  <c r="AH14" i="3"/>
  <c r="L131" i="3"/>
  <c r="L142" i="3"/>
  <c r="L144" i="3"/>
  <c r="L133" i="3"/>
  <c r="L137" i="3"/>
  <c r="L139" i="3"/>
  <c r="X28" i="3"/>
  <c r="V29" i="3"/>
  <c r="X29" i="3"/>
  <c r="F134" i="3"/>
  <c r="L134" i="3" s="1"/>
  <c r="C134" i="3"/>
  <c r="C135" i="3"/>
  <c r="L141" i="3"/>
  <c r="L143" i="3"/>
  <c r="L145" i="3"/>
  <c r="L146" i="3"/>
  <c r="C150" i="3"/>
  <c r="C149" i="3"/>
  <c r="Z28" i="3"/>
  <c r="P29" i="3"/>
  <c r="T29" i="3"/>
  <c r="L132" i="3"/>
  <c r="L136" i="3"/>
  <c r="L138" i="3"/>
  <c r="Q29" i="3"/>
  <c r="S29" i="3"/>
  <c r="W29" i="3"/>
  <c r="Y29" i="3"/>
  <c r="BB21" i="3"/>
  <c r="L140" i="3"/>
  <c r="C148" i="3"/>
  <c r="AO14" i="3"/>
  <c r="AF14" i="3"/>
  <c r="AE13" i="3"/>
  <c r="AI13" i="3"/>
  <c r="AM13" i="3"/>
  <c r="BB20" i="3"/>
  <c r="U29" i="3"/>
  <c r="AE14" i="3"/>
  <c r="R29" i="3"/>
  <c r="Z29" i="3"/>
  <c r="AL13" i="3"/>
  <c r="AQ42" i="3"/>
  <c r="AO12" i="3"/>
  <c r="AJ14" i="3"/>
  <c r="AJ13" i="3"/>
  <c r="AN14" i="3"/>
  <c r="AE2" i="3"/>
  <c r="AG14" i="3"/>
  <c r="AK14" i="3"/>
  <c r="Z27" i="3"/>
  <c r="BB22" i="3"/>
  <c r="V27" i="3"/>
  <c r="AA27" i="3"/>
  <c r="AQ41" i="3"/>
  <c r="AO13" i="3"/>
  <c r="BA22" i="3"/>
  <c r="BA31" i="3" s="1"/>
  <c r="W4" i="2" s="1"/>
  <c r="AA28" i="3"/>
  <c r="AH13" i="3"/>
  <c r="AM14" i="3"/>
  <c r="U27" i="3"/>
  <c r="Y27" i="3"/>
  <c r="P28" i="3"/>
  <c r="AQ43" i="3"/>
  <c r="AG13" i="3"/>
  <c r="AK13" i="3"/>
  <c r="AZ20" i="3"/>
  <c r="AZ29" i="3" s="1"/>
  <c r="V2" i="2" s="1"/>
  <c r="AN12" i="3"/>
  <c r="AI14" i="3"/>
  <c r="BA20" i="3"/>
  <c r="BA29" i="3" s="1"/>
  <c r="W2" i="2" s="1"/>
  <c r="AP12" i="3"/>
  <c r="AF13" i="3"/>
  <c r="AN13" i="3"/>
  <c r="AX21" i="3"/>
  <c r="AX30" i="3" s="1"/>
  <c r="T3" i="2" s="1"/>
  <c r="AX22" i="3"/>
  <c r="AX31" i="3" s="1"/>
  <c r="T4" i="2" s="1"/>
  <c r="AY20" i="3"/>
  <c r="AY29" i="3" s="1"/>
  <c r="U2" i="2" s="1"/>
  <c r="AL14" i="3"/>
  <c r="AY21" i="3"/>
  <c r="AY30" i="3" s="1"/>
  <c r="U3" i="2" s="1"/>
  <c r="AZ21" i="3"/>
  <c r="AZ30" i="3" s="1"/>
  <c r="V3" i="2" s="1"/>
  <c r="BA21" i="3"/>
  <c r="BA30" i="3" s="1"/>
  <c r="W3" i="2" s="1"/>
  <c r="L135" i="3" l="1"/>
  <c r="AQ14" i="3"/>
  <c r="AQ13" i="3"/>
  <c r="AP13" i="3"/>
</calcChain>
</file>

<file path=xl/sharedStrings.xml><?xml version="1.0" encoding="utf-8"?>
<sst xmlns="http://schemas.openxmlformats.org/spreadsheetml/2006/main" count="245" uniqueCount="71">
  <si>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</si>
  <si>
    <t>CLICP Index</t>
  </si>
  <si>
    <t>Cuota Liquidez</t>
  </si>
  <si>
    <t>ICP</t>
  </si>
  <si>
    <t>Ene</t>
  </si>
  <si>
    <t>Feb</t>
  </si>
  <si>
    <t>Mar</t>
  </si>
  <si>
    <t>Abr</t>
  </si>
  <si>
    <t>May</t>
  </si>
  <si>
    <t>Jun</t>
  </si>
  <si>
    <t>Jul</t>
  </si>
  <si>
    <t>Ago</t>
  </si>
  <si>
    <t>Sep</t>
  </si>
  <si>
    <t>Oct</t>
  </si>
  <si>
    <t>Nov</t>
  </si>
  <si>
    <t>Dic</t>
  </si>
  <si>
    <t>Total Año</t>
  </si>
  <si>
    <t>Fecha</t>
  </si>
  <si>
    <t>ICP Norm.</t>
  </si>
  <si>
    <t>Fondo Liquidez Plus</t>
  </si>
  <si>
    <t>8730-0</t>
  </si>
  <si>
    <t>Competencia Relevante (*)</t>
  </si>
  <si>
    <t>SERIE E</t>
  </si>
  <si>
    <t>BCI EFICIENTE</t>
  </si>
  <si>
    <t>(*)</t>
  </si>
  <si>
    <t>Ingresar mes actual==&gt;</t>
  </si>
  <si>
    <t>Competencia</t>
  </si>
  <si>
    <t>FIP Liquidez Plus</t>
  </si>
  <si>
    <t>(*) Acum a Mar</t>
  </si>
  <si>
    <t>FONDO LIQUIDEZ Plus</t>
  </si>
  <si>
    <t>Alto Apo.</t>
  </si>
  <si>
    <t>Rentabilidad</t>
  </si>
  <si>
    <t>Mensual</t>
  </si>
  <si>
    <t>Trimestral</t>
  </si>
  <si>
    <t>Semestral</t>
  </si>
  <si>
    <t>Anual</t>
  </si>
  <si>
    <t>Acum. 2026</t>
  </si>
  <si>
    <t>ICP (Bechmark)</t>
  </si>
  <si>
    <t>FIP LIQUIDEZ Plus</t>
  </si>
  <si>
    <t>Año</t>
  </si>
  <si>
    <t>Fondo</t>
  </si>
  <si>
    <t>FIP Liquidez LOCAL</t>
  </si>
  <si>
    <t>DIVIDENDO 2023</t>
  </si>
  <si>
    <t>Dividendo 2017</t>
  </si>
  <si>
    <t>Dividendo 2018</t>
  </si>
  <si>
    <t>Dividendo 2021</t>
  </si>
  <si>
    <t>Dividendo 2022</t>
  </si>
  <si>
    <t>Dividendo 2023</t>
  </si>
  <si>
    <t>ICP (Benchmark)</t>
  </si>
  <si>
    <t>Total
Año</t>
  </si>
  <si>
    <t>Duración</t>
  </si>
  <si>
    <t>Instrumentos</t>
  </si>
  <si>
    <t>Moneda</t>
  </si>
  <si>
    <t>Bono</t>
  </si>
  <si>
    <t>Menos de 1 mes</t>
  </si>
  <si>
    <t>Depósitos</t>
  </si>
  <si>
    <t>Pesos</t>
  </si>
  <si>
    <t>1-3 meses</t>
  </si>
  <si>
    <t>Factoring</t>
  </si>
  <si>
    <t>UF</t>
  </si>
  <si>
    <t>3-4 meses</t>
  </si>
  <si>
    <t>Financiamiento Inmobiliario</t>
  </si>
  <si>
    <t>Más de 4 meses</t>
  </si>
  <si>
    <t>Financiamiento Mesa Moneda Extranjero</t>
  </si>
  <si>
    <t>Garantías</t>
  </si>
  <si>
    <t>Nota Estructurada</t>
  </si>
  <si>
    <t>Financiamiento Mesa Renta Fija</t>
  </si>
  <si>
    <t>Simultánea</t>
  </si>
  <si>
    <t>Efectos de Comercio</t>
  </si>
  <si>
    <t>Pagaré</t>
  </si>
  <si>
    <t>Facturas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</si>
</sst>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 #,##0_ ;_ * \-#,##0_ ;_ * &quot;-&quot;_ ;_ @_ "/>
    <numFmt numFmtId="165" formatCode="#,##0.0000"/>
    <numFmt numFmtId="166" formatCode="0.0000"/>
    <numFmt numFmtId="167" formatCode="#,##0.00_ ;[Red]\-#,##0.00\ "/>
    <numFmt numFmtId="168" formatCode="dd\-mm\-yyyy"/>
    <numFmt numFmtId="169" formatCode="_ * #,##0.00_ ;_ * \-#,##0.00_ ;_ * &quot;-&quot;_ ;_ @_ "/>
    <numFmt numFmtId="170" formatCode="0.000%"/>
    <numFmt numFmtId="171" formatCode="_ * #,##0.000_ ;_ * \-#,##0.000_ ;_ * &quot;-&quot;_ ;_ @_ "/>
  </numFmts>
  <fonts count="29">
    <font>
      <sz val="11"/>
      <color theme="1"/>
      <name val="Calibri"/>
      <family val="2"/>
      <scheme val="minor"/>
    </font>
    <font>
      <sz val="11"/>
      <name val="Calibri"/>
      <family val="2"/>
      <scheme val="minor"/>
    </font>
    <font>
      <b/>
      <sz val="11"/>
      <name val="Acumin Pro Extra Light"/>
      <family val="2"/>
    </font>
    <font>
      <sz val="11"/>
      <name val="Acumin Pro Extra Light"/>
      <family val="2"/>
    </font>
    <font>
      <u/>
      <sz val="11"/>
      <color theme="1"/>
      <name val="Calibri"/>
      <family val="2"/>
      <scheme val="minor"/>
    </font>
    <font>
      <sz val="11"/>
      <color theme="1"/>
      <name val="Calibri"/>
      <family val="2"/>
      <scheme val="minor"/>
    </font>
    <font>
      <sz val="11"/>
      <color theme="1"/>
      <name val="Aileron Light"/>
      <family val="3"/>
    </font>
    <font>
      <sz val="12"/>
      <color theme="1"/>
      <name val="Calibri"/>
      <family val="2"/>
      <scheme val="minor"/>
    </font>
    <font>
      <b/>
      <sz val="11"/>
      <color rgb="FF000000"/>
      <name val="Aileron Light"/>
      <family val="3"/>
    </font>
    <font>
      <b/>
      <sz val="8"/>
      <color rgb="FF000000"/>
      <name val="Aileron Light"/>
      <family val="3"/>
    </font>
    <font>
      <sz val="7"/>
      <color rgb="FF000000"/>
      <name val="Aileron Light"/>
      <family val="3"/>
    </font>
    <font>
      <b/>
      <sz val="7"/>
      <color rgb="FF000000"/>
      <name val="Aileron Light"/>
      <family val="3"/>
    </font>
    <font>
      <b/>
      <sz val="8"/>
      <color theme="1"/>
      <name val="Aileron Light"/>
      <family val="3"/>
    </font>
    <font>
      <b/>
      <sz val="9"/>
      <color rgb="FF000000"/>
      <name val="Aileron Light"/>
      <family val="3"/>
    </font>
    <font>
      <sz val="9"/>
      <color rgb="FF000000"/>
      <name val="Aileron Light"/>
      <family val="3"/>
    </font>
    <font>
      <sz val="6"/>
      <color rgb="FF000000"/>
      <name val="Aileron Light"/>
      <family val="3"/>
    </font>
    <font>
      <b/>
      <sz val="10"/>
      <color theme="1"/>
      <name val="Aileron Light"/>
      <family val="3"/>
    </font>
    <font>
      <b/>
      <sz val="10"/>
      <color rgb="FF000000"/>
      <name val="Aileron Light"/>
      <family val="3"/>
    </font>
    <font>
      <sz val="10"/>
      <color rgb="FF000000"/>
      <name val="Aileron Light"/>
      <family val="3"/>
    </font>
    <font>
      <sz val="8"/>
      <color rgb="FF000000"/>
      <name val="Aileron Light"/>
      <family val="3"/>
    </font>
    <font>
      <sz val="8"/>
      <color theme="1"/>
      <name val="Aileron Light"/>
      <family val="3"/>
    </font>
    <font>
      <sz val="11"/>
      <color rgb="FFFF0000"/>
      <name val="Aileron Light"/>
      <family val="3"/>
    </font>
    <font>
      <sz val="10"/>
      <color theme="1"/>
      <name val="Be Vietnam Pro Light"/>
    </font>
    <font>
      <sz val="10"/>
      <color theme="1"/>
      <name val="Be Vietnam Pro Medium"/>
    </font>
    <font>
      <sz val="10"/>
      <color theme="0"/>
      <name val="Be Vietnam Pro Light"/>
    </font>
    <font>
      <sz val="9"/>
      <color theme="1"/>
      <name val="Be Vietnam Pro Light"/>
    </font>
    <font>
      <sz val="11"/>
      <color rgb="FF000000"/>
      <name val="Aptos Narrow"/>
    </font>
    <font>
      <sz val="11"/>
      <color rgb="FF000000"/>
      <name val="Aptos Narrow"/>
      <family val="2"/>
    </font>
    <font>
      <sz val="8.8000000000000007"/>
      <color rgb="FF666666"/>
      <name val="Muli"/>
      <charset val="1"/>
    </font>
  </fonts>
  <fills count="1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4.9989318521683403E-2"/>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1"/>
        <bgColor rgb="FF000000"/>
      </patternFill>
    </fill>
    <fill>
      <patternFill patternType="solid">
        <fgColor theme="0" tint="-0.14999847407452621"/>
        <bgColor indexed="64"/>
      </patternFill>
    </fill>
    <fill>
      <patternFill patternType="solid">
        <fgColor rgb="FFFFFF00"/>
        <bgColor indexed="64"/>
      </patternFill>
    </fill>
    <fill>
      <patternFill patternType="solid">
        <fgColor theme="1"/>
        <bgColor indexed="64"/>
      </patternFill>
    </fill>
    <fill>
      <patternFill patternType="solid">
        <fgColor rgb="FFDAF2D0"/>
        <bgColor rgb="FFDAF2D0"/>
      </patternFill>
    </fill>
    <fill>
      <patternFill patternType="solid">
        <fgColor rgb="FFF8F8F8"/>
        <bgColor indexed="64"/>
      </patternFill>
    </fill>
  </fills>
  <borders count="4">
    <border>
      <left/>
      <right/>
      <top/>
      <bottom/>
      <diagonal/>
    </border>
    <border>
      <left style="thin">
        <color indexed="64"/>
      </left>
      <right/>
      <top/>
      <bottom/>
      <diagonal/>
    </border>
    <border>
      <left/>
      <right/>
      <top style="thin">
        <color rgb="FF8ED973"/>
      </top>
      <bottom style="thin">
        <color rgb="FF8ED973"/>
      </bottom>
      <diagonal/>
    </border>
    <border>
      <left style="thick">
        <color rgb="FFFFFFFF"/>
      </left>
      <right style="thick">
        <color rgb="FFFFFFFF"/>
      </right>
      <top style="thick">
        <color rgb="FFFFFFFF"/>
      </top>
      <bottom style="thick">
        <color rgb="FFD4D4D4"/>
      </bottom>
      <diagonal/>
    </border>
  </borders>
  <cellStyleXfs count="8">
    <xf numFmtId="0" fontId="0" fillId="0" borderId="0"/>
    <xf numFmtId="0" fontId="7" fillId="0" borderId="0"/>
    <xf numFmtId="0" fontId="5" fillId="0" borderId="0"/>
    <xf numFmtId="9" fontId="5" fillId="0" borderId="0" applyFont="0" applyFill="0" applyBorder="0" applyAlignment="0" applyProtection="0"/>
    <xf numFmtId="9" fontId="7" fillId="0" borderId="0" applyFont="0" applyFill="0" applyBorder="0" applyAlignment="0" applyProtection="0"/>
    <xf numFmtId="164" fontId="7"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cellStyleXfs>
  <cellXfs count="105">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horizontal="center"/>
    </xf>
    <xf numFmtId="10" fontId="3" fillId="0" borderId="0" xfId="0" applyNumberFormat="1" applyFont="1"/>
    <xf numFmtId="0" fontId="4" fillId="0" borderId="0" xfId="0" applyFont="1"/>
    <xf numFmtId="0" fontId="0" fillId="0" borderId="0" xfId="0" applyAlignment="1">
      <alignment horizontal="left"/>
    </xf>
    <xf numFmtId="0" fontId="6" fillId="0" borderId="0" xfId="0" applyFont="1"/>
    <xf numFmtId="0" fontId="6" fillId="0" borderId="0" xfId="1" applyFont="1"/>
    <xf numFmtId="165" fontId="6" fillId="0" borderId="0" xfId="1" applyNumberFormat="1" applyFont="1"/>
    <xf numFmtId="166" fontId="6" fillId="0" borderId="0" xfId="1" applyNumberFormat="1" applyFont="1"/>
    <xf numFmtId="0" fontId="6" fillId="4" borderId="0" xfId="1" applyFont="1" applyFill="1"/>
    <xf numFmtId="0" fontId="8" fillId="5" borderId="0" xfId="1" applyFont="1" applyFill="1"/>
    <xf numFmtId="0" fontId="9" fillId="5" borderId="0" xfId="1" applyFont="1" applyFill="1" applyAlignment="1">
      <alignment horizontal="center"/>
    </xf>
    <xf numFmtId="0" fontId="6" fillId="6" borderId="0" xfId="1" applyFont="1" applyFill="1"/>
    <xf numFmtId="0" fontId="6" fillId="0" borderId="0" xfId="1" applyFont="1" applyAlignment="1">
      <alignment horizontal="center"/>
    </xf>
    <xf numFmtId="165" fontId="6" fillId="0" borderId="0" xfId="1" applyNumberFormat="1" applyFont="1" applyAlignment="1">
      <alignment horizontal="center"/>
    </xf>
    <xf numFmtId="0" fontId="6" fillId="0" borderId="1" xfId="2" applyFont="1" applyBorder="1"/>
    <xf numFmtId="10" fontId="6" fillId="0" borderId="0" xfId="3" applyNumberFormat="1" applyFont="1"/>
    <xf numFmtId="0" fontId="9" fillId="4" borderId="0" xfId="1" applyFont="1" applyFill="1" applyAlignment="1">
      <alignment horizontal="center"/>
    </xf>
    <xf numFmtId="10" fontId="10" fillId="4" borderId="0" xfId="4" applyNumberFormat="1" applyFont="1" applyFill="1" applyBorder="1" applyAlignment="1">
      <alignment horizontal="center"/>
    </xf>
    <xf numFmtId="10" fontId="11" fillId="4" borderId="0" xfId="4" applyNumberFormat="1" applyFont="1" applyFill="1" applyBorder="1" applyAlignment="1">
      <alignment horizontal="center"/>
    </xf>
    <xf numFmtId="14" fontId="6" fillId="0" borderId="0" xfId="1" applyNumberFormat="1" applyFont="1"/>
    <xf numFmtId="4" fontId="6" fillId="0" borderId="0" xfId="1" applyNumberFormat="1" applyFont="1"/>
    <xf numFmtId="2" fontId="6" fillId="0" borderId="0" xfId="1" applyNumberFormat="1" applyFont="1"/>
    <xf numFmtId="167" fontId="6" fillId="0" borderId="0" xfId="1" applyNumberFormat="1" applyFont="1"/>
    <xf numFmtId="0" fontId="9" fillId="6" borderId="0" xfId="1" applyFont="1" applyFill="1" applyAlignment="1">
      <alignment horizontal="center"/>
    </xf>
    <xf numFmtId="10" fontId="10" fillId="6" borderId="0" xfId="4" applyNumberFormat="1" applyFont="1" applyFill="1" applyBorder="1" applyAlignment="1">
      <alignment horizontal="center"/>
    </xf>
    <xf numFmtId="10" fontId="11" fillId="6" borderId="0" xfId="4" applyNumberFormat="1" applyFont="1" applyFill="1" applyBorder="1" applyAlignment="1">
      <alignment horizontal="center"/>
    </xf>
    <xf numFmtId="168" fontId="6" fillId="0" borderId="0" xfId="1" applyNumberFormat="1" applyFont="1"/>
    <xf numFmtId="10" fontId="6" fillId="0" borderId="0" xfId="4" applyNumberFormat="1" applyFont="1" applyFill="1" applyBorder="1"/>
    <xf numFmtId="0" fontId="10" fillId="6" borderId="0" xfId="1" applyFont="1" applyFill="1" applyAlignment="1">
      <alignment horizontal="left"/>
    </xf>
    <xf numFmtId="10" fontId="10" fillId="0" borderId="0" xfId="4" applyNumberFormat="1" applyFont="1" applyFill="1" applyBorder="1" applyAlignment="1">
      <alignment horizontal="center"/>
    </xf>
    <xf numFmtId="0" fontId="6" fillId="2" borderId="0" xfId="1" applyFont="1" applyFill="1"/>
    <xf numFmtId="0" fontId="8" fillId="5" borderId="0" xfId="1" applyFont="1" applyFill="1" applyAlignment="1">
      <alignment horizontal="right"/>
    </xf>
    <xf numFmtId="0" fontId="6" fillId="2" borderId="0" xfId="1" applyFont="1" applyFill="1" applyAlignment="1">
      <alignment horizontal="right"/>
    </xf>
    <xf numFmtId="14" fontId="6" fillId="2" borderId="0" xfId="1" applyNumberFormat="1" applyFont="1" applyFill="1"/>
    <xf numFmtId="0" fontId="6" fillId="0" borderId="0" xfId="1" applyFont="1" applyAlignment="1">
      <alignment horizontal="right"/>
    </xf>
    <xf numFmtId="4" fontId="6" fillId="2" borderId="0" xfId="1" applyNumberFormat="1" applyFont="1" applyFill="1"/>
    <xf numFmtId="169" fontId="6" fillId="0" borderId="0" xfId="5" quotePrefix="1" applyNumberFormat="1" applyFont="1" applyFill="1" applyBorder="1"/>
    <xf numFmtId="0" fontId="6" fillId="3" borderId="0" xfId="1" applyFont="1" applyFill="1"/>
    <xf numFmtId="0" fontId="12" fillId="7" borderId="0" xfId="1" applyFont="1" applyFill="1" applyAlignment="1">
      <alignment horizontal="center"/>
    </xf>
    <xf numFmtId="0" fontId="13" fillId="8" borderId="0" xfId="1" applyFont="1" applyFill="1" applyAlignment="1">
      <alignment horizontal="center"/>
    </xf>
    <xf numFmtId="0" fontId="13" fillId="7" borderId="0" xfId="1" applyFont="1" applyFill="1" applyAlignment="1">
      <alignment horizontal="center"/>
    </xf>
    <xf numFmtId="0" fontId="9" fillId="0" borderId="0" xfId="1" applyFont="1" applyAlignment="1">
      <alignment horizontal="center"/>
    </xf>
    <xf numFmtId="10" fontId="14" fillId="8" borderId="0" xfId="4" applyNumberFormat="1" applyFont="1" applyFill="1" applyBorder="1" applyAlignment="1">
      <alignment horizontal="center"/>
    </xf>
    <xf numFmtId="10" fontId="14" fillId="7" borderId="0" xfId="4" applyNumberFormat="1" applyFont="1" applyFill="1" applyBorder="1" applyAlignment="1">
      <alignment horizontal="center"/>
    </xf>
    <xf numFmtId="0" fontId="6" fillId="7" borderId="0" xfId="1" applyFont="1" applyFill="1"/>
    <xf numFmtId="0" fontId="15" fillId="6" borderId="0" xfId="1" applyFont="1" applyFill="1" applyAlignment="1">
      <alignment horizontal="left"/>
    </xf>
    <xf numFmtId="0" fontId="16" fillId="9" borderId="0" xfId="1" applyFont="1" applyFill="1" applyAlignment="1">
      <alignment horizontal="center"/>
    </xf>
    <xf numFmtId="0" fontId="17" fillId="5" borderId="0" xfId="1" applyFont="1" applyFill="1" applyAlignment="1">
      <alignment horizontal="center"/>
    </xf>
    <xf numFmtId="0" fontId="17" fillId="10" borderId="0" xfId="1" applyFont="1" applyFill="1" applyAlignment="1">
      <alignment horizontal="center"/>
    </xf>
    <xf numFmtId="10" fontId="18" fillId="10" borderId="0" xfId="4" applyNumberFormat="1" applyFont="1" applyFill="1" applyBorder="1" applyAlignment="1">
      <alignment horizontal="center"/>
    </xf>
    <xf numFmtId="10" fontId="17" fillId="8" borderId="0" xfId="4" applyNumberFormat="1" applyFont="1" applyFill="1" applyBorder="1" applyAlignment="1">
      <alignment horizontal="center"/>
    </xf>
    <xf numFmtId="0" fontId="17" fillId="8" borderId="0" xfId="1" applyFont="1" applyFill="1" applyAlignment="1">
      <alignment horizontal="center"/>
    </xf>
    <xf numFmtId="10" fontId="18" fillId="8" borderId="0" xfId="4" applyNumberFormat="1" applyFont="1" applyFill="1" applyBorder="1" applyAlignment="1">
      <alignment horizontal="center"/>
    </xf>
    <xf numFmtId="10" fontId="11" fillId="0" borderId="0" xfId="4" applyNumberFormat="1" applyFont="1" applyFill="1" applyBorder="1" applyAlignment="1">
      <alignment horizontal="center"/>
    </xf>
    <xf numFmtId="0" fontId="19" fillId="7" borderId="0" xfId="1" applyFont="1" applyFill="1" applyAlignment="1">
      <alignment horizontal="left"/>
    </xf>
    <xf numFmtId="0" fontId="10" fillId="0" borderId="0" xfId="1" applyFont="1" applyAlignment="1">
      <alignment horizontal="left"/>
    </xf>
    <xf numFmtId="165" fontId="6" fillId="0" borderId="0" xfId="4" applyNumberFormat="1" applyFont="1" applyFill="1" applyBorder="1"/>
    <xf numFmtId="167" fontId="6" fillId="12" borderId="0" xfId="1" applyNumberFormat="1" applyFont="1" applyFill="1"/>
    <xf numFmtId="0" fontId="20" fillId="0" borderId="0" xfId="1" applyFont="1"/>
    <xf numFmtId="169" fontId="6" fillId="0" borderId="0" xfId="5" applyNumberFormat="1" applyFont="1" applyFill="1" applyBorder="1"/>
    <xf numFmtId="2" fontId="6" fillId="2" borderId="0" xfId="1" applyNumberFormat="1" applyFont="1" applyFill="1"/>
    <xf numFmtId="169" fontId="6" fillId="2" borderId="0" xfId="5" quotePrefix="1" applyNumberFormat="1" applyFont="1" applyFill="1" applyBorder="1"/>
    <xf numFmtId="10" fontId="10" fillId="8" borderId="0" xfId="4" applyNumberFormat="1" applyFont="1" applyFill="1" applyBorder="1" applyAlignment="1">
      <alignment horizontal="center"/>
    </xf>
    <xf numFmtId="10" fontId="6" fillId="0" borderId="0" xfId="6" applyNumberFormat="1" applyFont="1" applyFill="1" applyBorder="1"/>
    <xf numFmtId="10" fontId="10" fillId="3" borderId="0" xfId="4" applyNumberFormat="1" applyFont="1" applyFill="1" applyBorder="1" applyAlignment="1">
      <alignment horizontal="center"/>
    </xf>
    <xf numFmtId="10" fontId="10" fillId="7" borderId="0" xfId="4" applyNumberFormat="1" applyFont="1" applyFill="1" applyBorder="1" applyAlignment="1">
      <alignment horizontal="center"/>
    </xf>
    <xf numFmtId="10" fontId="10" fillId="2" borderId="0" xfId="4" applyNumberFormat="1" applyFont="1" applyFill="1" applyBorder="1" applyAlignment="1">
      <alignment horizontal="center"/>
    </xf>
    <xf numFmtId="164" fontId="6" fillId="0" borderId="0" xfId="7" applyFont="1" applyFill="1" applyBorder="1"/>
    <xf numFmtId="164" fontId="6" fillId="0" borderId="0" xfId="1" applyNumberFormat="1" applyFont="1"/>
    <xf numFmtId="14" fontId="0" fillId="0" borderId="0" xfId="0" applyNumberFormat="1"/>
    <xf numFmtId="10" fontId="0" fillId="0" borderId="0" xfId="0" applyNumberFormat="1"/>
    <xf numFmtId="171" fontId="6" fillId="0" borderId="0" xfId="7" applyNumberFormat="1" applyFont="1" applyFill="1" applyBorder="1"/>
    <xf numFmtId="0" fontId="16" fillId="11" borderId="0" xfId="1" applyFont="1" applyFill="1" applyAlignment="1">
      <alignment horizontal="center" vertical="center"/>
    </xf>
    <xf numFmtId="0" fontId="16" fillId="2" borderId="0" xfId="1" applyFont="1" applyFill="1" applyAlignment="1">
      <alignment horizontal="center" vertical="center"/>
    </xf>
    <xf numFmtId="10" fontId="6" fillId="0" borderId="0" xfId="1" applyNumberFormat="1" applyFont="1"/>
    <xf numFmtId="14" fontId="6" fillId="12" borderId="0" xfId="1" applyNumberFormat="1" applyFont="1" applyFill="1"/>
    <xf numFmtId="170" fontId="6" fillId="0" borderId="0" xfId="6" applyNumberFormat="1" applyFont="1" applyFill="1" applyBorder="1"/>
    <xf numFmtId="10" fontId="21" fillId="0" borderId="0" xfId="4" applyNumberFormat="1" applyFont="1" applyFill="1" applyBorder="1"/>
    <xf numFmtId="0" fontId="22" fillId="0" borderId="0" xfId="0" applyFont="1" applyAlignment="1">
      <alignment vertical="center"/>
    </xf>
    <xf numFmtId="0" fontId="22" fillId="0" borderId="0" xfId="0" applyFont="1" applyAlignment="1">
      <alignment horizontal="left"/>
    </xf>
    <xf numFmtId="0" fontId="22" fillId="0" borderId="0" xfId="0" applyFont="1"/>
    <xf numFmtId="0" fontId="22" fillId="0" borderId="0" xfId="0" applyFont="1" applyAlignment="1">
      <alignment horizontal="right"/>
    </xf>
    <xf numFmtId="170" fontId="22" fillId="0" borderId="0" xfId="6" applyNumberFormat="1" applyFont="1"/>
    <xf numFmtId="0" fontId="23" fillId="0" borderId="0" xfId="0" applyFont="1" applyAlignment="1">
      <alignment horizontal="left" vertical="center"/>
    </xf>
    <xf numFmtId="0" fontId="23" fillId="0" borderId="0" xfId="0" applyFont="1" applyAlignment="1">
      <alignment vertical="center"/>
    </xf>
    <xf numFmtId="0" fontId="23" fillId="0" borderId="0" xfId="0" applyFont="1" applyAlignment="1">
      <alignment horizontal="center" vertical="center" wrapText="1"/>
    </xf>
    <xf numFmtId="0" fontId="23" fillId="0" borderId="0" xfId="0" applyFont="1" applyAlignment="1">
      <alignment horizontal="center" vertical="center"/>
    </xf>
    <xf numFmtId="10" fontId="22" fillId="0" borderId="0" xfId="0" applyNumberFormat="1" applyFont="1" applyAlignment="1">
      <alignment horizontal="center"/>
    </xf>
    <xf numFmtId="0" fontId="22" fillId="0" borderId="0" xfId="0" applyFont="1" applyAlignment="1">
      <alignment horizontal="center"/>
    </xf>
    <xf numFmtId="10" fontId="22" fillId="0" borderId="0" xfId="6" applyNumberFormat="1" applyFont="1" applyAlignment="1">
      <alignment horizontal="center"/>
    </xf>
    <xf numFmtId="0" fontId="24" fillId="13" borderId="0" xfId="0" applyFont="1" applyFill="1"/>
    <xf numFmtId="10" fontId="24" fillId="13" borderId="0" xfId="0" applyNumberFormat="1" applyFont="1" applyFill="1"/>
    <xf numFmtId="0" fontId="25" fillId="0" borderId="0" xfId="0" applyFont="1" applyAlignment="1">
      <alignment vertical="center" wrapText="1"/>
    </xf>
    <xf numFmtId="14" fontId="26" fillId="0" borderId="0" xfId="0" applyNumberFormat="1" applyFont="1"/>
    <xf numFmtId="2" fontId="26" fillId="0" borderId="0" xfId="0" applyNumberFormat="1" applyFont="1"/>
    <xf numFmtId="165" fontId="27" fillId="14" borderId="2" xfId="0" applyNumberFormat="1" applyFont="1" applyFill="1" applyBorder="1"/>
    <xf numFmtId="165" fontId="27" fillId="0" borderId="2" xfId="0" applyNumberFormat="1" applyFont="1" applyBorder="1"/>
    <xf numFmtId="0" fontId="28" fillId="15" borderId="3" xfId="0" applyFont="1" applyFill="1" applyBorder="1" applyAlignment="1">
      <alignment wrapText="1"/>
    </xf>
    <xf numFmtId="0" fontId="28" fillId="15" borderId="3" xfId="0" applyFont="1" applyFill="1" applyBorder="1"/>
    <xf numFmtId="0" fontId="16" fillId="2" borderId="0" xfId="1" applyFont="1" applyFill="1" applyAlignment="1">
      <alignment horizontal="center" vertical="center"/>
    </xf>
    <xf numFmtId="0" fontId="9" fillId="7" borderId="0" xfId="1" applyFont="1" applyFill="1" applyAlignment="1">
      <alignment horizontal="center" vertical="center"/>
    </xf>
  </cellXfs>
  <cellStyles count="8">
    <cellStyle name="Millares [0]" xfId="7" builtinId="6"/>
    <cellStyle name="Millares [0] 2" xfId="5" xr:uid="{00000000-0005-0000-0000-000001000000}"/>
    <cellStyle name="Normal" xfId="0" builtinId="0"/>
    <cellStyle name="Normal 2" xfId="1" xr:uid="{00000000-0005-0000-0000-000003000000}"/>
    <cellStyle name="Normal 54" xfId="2" xr:uid="{00000000-0005-0000-0000-000004000000}"/>
    <cellStyle name="Porcentaje" xfId="6" builtinId="5"/>
    <cellStyle name="Porcentaje 2" xfId="4" xr:uid="{00000000-0005-0000-0000-000006000000}"/>
    <cellStyle name="Porcentaje 29" xfId="3" xr:uid="{00000000-0005-0000-0000-000007000000}"/>
  </cellStyles>
  <dxfs count="0"/>
  <tableStyles count="1" defaultTableStyle="TableStyleMedium2" defaultPivotStyle="PivotStyleLight16">
    <tableStyle name="Invisible" pivot="0" table="0" count="0" xr9:uid="{4A463F40-878A-4A30-8FAC-EB5C98E313A5}"/>
  </tableStyles>
  <colors>
    <mruColors>
      <color rgb="FFA6A6A6"/>
      <color rgb="FFBFBFBF"/>
      <color rgb="FFFDD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c:rich>
      </c:tx>
      <c:overlay val="0"/>
    </c:title>
    <c:autoTitleDeleted val="0"/>
    <c:plotArea>
      <c:layout/>
      <c:lineChart>
        <c:grouping val="standard"/>
        <c:varyColors val="0"/>
        <c:ser>
          <c:idx val="2"/>
          <c:order val="0"/>
          <c:tx>
            <c:strRef>
              <c:f>'Datos ICP (2)'!$D$2</c:f>
              <c:strCache>
                <c:ptCount val="1"/>
                <c:pt idx="0">
                  <c:v>ICP Norm.</c:v>
                </c:pt>
              </c:strCache>
            </c:strRef>
          </c:tx>
          <c:spPr>
            <a:ln w="12700">
              <a:solidFill>
                <a:srgbClr val="C0504D">
                  <a:lumMod val="60000"/>
                  <a:lumOff val="40000"/>
                </a:srgbClr>
              </a:solidFill>
            </a:ln>
          </c:spPr>
          <c:marker>
            <c:symbol val="none"/>
          </c:marker>
          <c:cat>
            <c:numRef>
              <c:f>'Datos ICP (2)'!$A$3:$A$155</c:f>
              <c:numCache>
                <c:formatCode>dd\-mm\-yyyy</c:formatCode>
                <c:ptCount val="153"/>
                <c:pt idx="0" formatCode="m/d/yyyy">
                  <c:v>38717</c:v>
                </c:pt>
                <c:pt idx="1">
                  <c:v>38748</c:v>
                </c:pt>
                <c:pt idx="2" formatCode="m/d/yyyy">
                  <c:v>38776</c:v>
                </c:pt>
                <c:pt idx="3" formatCode="m/d/yyyy">
                  <c:v>38807</c:v>
                </c:pt>
                <c:pt idx="4" formatCode="m/d/yyyy">
                  <c:v>38835</c:v>
                </c:pt>
                <c:pt idx="5" formatCode="m/d/yyyy">
                  <c:v>38868</c:v>
                </c:pt>
                <c:pt idx="6" formatCode="m/d/yyyy">
                  <c:v>38898</c:v>
                </c:pt>
                <c:pt idx="7" formatCode="m/d/yyyy">
                  <c:v>38929</c:v>
                </c:pt>
                <c:pt idx="8" formatCode="m/d/yyyy">
                  <c:v>38960</c:v>
                </c:pt>
                <c:pt idx="9" formatCode="m/d/yyyy">
                  <c:v>38989</c:v>
                </c:pt>
                <c:pt idx="10" formatCode="m/d/yyyy">
                  <c:v>39021</c:v>
                </c:pt>
                <c:pt idx="11" formatCode="m/d/yyyy">
                  <c:v>39051</c:v>
                </c:pt>
                <c:pt idx="12" formatCode="m/d/yyyy">
                  <c:v>39080</c:v>
                </c:pt>
                <c:pt idx="13" formatCode="m/d/yyyy">
                  <c:v>39113</c:v>
                </c:pt>
                <c:pt idx="14" formatCode="m/d/yyyy">
                  <c:v>39141</c:v>
                </c:pt>
                <c:pt idx="15" formatCode="m/d/yyyy">
                  <c:v>39171</c:v>
                </c:pt>
                <c:pt idx="16" formatCode="m/d/yyyy">
                  <c:v>39202</c:v>
                </c:pt>
                <c:pt idx="17" formatCode="m/d/yyyy">
                  <c:v>39233</c:v>
                </c:pt>
                <c:pt idx="18" formatCode="m/d/yyyy">
                  <c:v>39262</c:v>
                </c:pt>
                <c:pt idx="19" formatCode="m/d/yyyy">
                  <c:v>39294</c:v>
                </c:pt>
                <c:pt idx="21" formatCode="m/d/yyyy">
                  <c:v>39325</c:v>
                </c:pt>
                <c:pt idx="22" formatCode="m/d/yyyy">
                  <c:v>39353</c:v>
                </c:pt>
                <c:pt idx="23" formatCode="m/d/yyyy">
                  <c:v>39386</c:v>
                </c:pt>
                <c:pt idx="24" formatCode="m/d/yyyy">
                  <c:v>39416</c:v>
                </c:pt>
                <c:pt idx="25" formatCode="m/d/yyyy">
                  <c:v>39447</c:v>
                </c:pt>
                <c:pt idx="26" formatCode="m/d/yyyy">
                  <c:v>39478</c:v>
                </c:pt>
                <c:pt idx="27" formatCode="m/d/yyyy">
                  <c:v>39507</c:v>
                </c:pt>
                <c:pt idx="28" formatCode="m/d/yyyy">
                  <c:v>39538</c:v>
                </c:pt>
                <c:pt idx="29" formatCode="m/d/yyyy">
                  <c:v>39568</c:v>
                </c:pt>
                <c:pt idx="30" formatCode="m/d/yyyy">
                  <c:v>39598</c:v>
                </c:pt>
                <c:pt idx="31" formatCode="m/d/yyyy">
                  <c:v>39629</c:v>
                </c:pt>
                <c:pt idx="32" formatCode="m/d/yyyy">
                  <c:v>39660</c:v>
                </c:pt>
                <c:pt idx="33" formatCode="m/d/yyyy">
                  <c:v>39689</c:v>
                </c:pt>
                <c:pt idx="35" formatCode="m/d/yyyy">
                  <c:v>39721</c:v>
                </c:pt>
                <c:pt idx="36" formatCode="m/d/yyyy">
                  <c:v>39752</c:v>
                </c:pt>
                <c:pt idx="37" formatCode="m/d/yyyy">
                  <c:v>39780</c:v>
                </c:pt>
                <c:pt idx="38" formatCode="m/d/yyyy">
                  <c:v>39813</c:v>
                </c:pt>
                <c:pt idx="39" formatCode="m/d/yyyy">
                  <c:v>39843</c:v>
                </c:pt>
                <c:pt idx="40" formatCode="m/d/yyyy">
                  <c:v>39871</c:v>
                </c:pt>
                <c:pt idx="41" formatCode="m/d/yyyy">
                  <c:v>39903</c:v>
                </c:pt>
                <c:pt idx="42" formatCode="m/d/yyyy">
                  <c:v>39933</c:v>
                </c:pt>
                <c:pt idx="43" formatCode="m/d/yyyy">
                  <c:v>39962</c:v>
                </c:pt>
                <c:pt idx="44" formatCode="m/d/yyyy">
                  <c:v>39994</c:v>
                </c:pt>
                <c:pt idx="45" formatCode="m/d/yyyy">
                  <c:v>40025</c:v>
                </c:pt>
                <c:pt idx="46" formatCode="m/d/yyyy">
                  <c:v>40056</c:v>
                </c:pt>
                <c:pt idx="47" formatCode="m/d/yyyy">
                  <c:v>40086</c:v>
                </c:pt>
                <c:pt idx="48" formatCode="m/d/yyyy">
                  <c:v>40116</c:v>
                </c:pt>
                <c:pt idx="49" formatCode="m/d/yyyy">
                  <c:v>40147</c:v>
                </c:pt>
                <c:pt idx="50" formatCode="m/d/yyyy">
                  <c:v>40178</c:v>
                </c:pt>
                <c:pt idx="51" formatCode="m/d/yyyy">
                  <c:v>40207</c:v>
                </c:pt>
                <c:pt idx="52" formatCode="m/d/yyyy">
                  <c:v>40235</c:v>
                </c:pt>
                <c:pt idx="53" formatCode="m/d/yyyy">
                  <c:v>40268</c:v>
                </c:pt>
                <c:pt idx="54" formatCode="m/d/yyyy">
                  <c:v>40298</c:v>
                </c:pt>
                <c:pt idx="55" formatCode="m/d/yyyy">
                  <c:v>40329</c:v>
                </c:pt>
                <c:pt idx="56" formatCode="m/d/yyyy">
                  <c:v>40359</c:v>
                </c:pt>
                <c:pt idx="57" formatCode="m/d/yyyy">
                  <c:v>40389</c:v>
                </c:pt>
                <c:pt idx="58" formatCode="m/d/yyyy">
                  <c:v>40421</c:v>
                </c:pt>
                <c:pt idx="59" formatCode="m/d/yyyy">
                  <c:v>40451</c:v>
                </c:pt>
                <c:pt idx="60" formatCode="m/d/yyyy">
                  <c:v>40480</c:v>
                </c:pt>
                <c:pt idx="61" formatCode="m/d/yyyy">
                  <c:v>40512</c:v>
                </c:pt>
                <c:pt idx="62" formatCode="m/d/yyyy">
                  <c:v>40543</c:v>
                </c:pt>
                <c:pt idx="63" formatCode="m/d/yyyy">
                  <c:v>40574</c:v>
                </c:pt>
                <c:pt idx="64" formatCode="m/d/yyyy">
                  <c:v>40602</c:v>
                </c:pt>
                <c:pt idx="65" formatCode="m/d/yyyy">
                  <c:v>40633</c:v>
                </c:pt>
                <c:pt idx="66" formatCode="m/d/yyyy">
                  <c:v>40662</c:v>
                </c:pt>
                <c:pt idx="67" formatCode="m/d/yyyy">
                  <c:v>40694</c:v>
                </c:pt>
                <c:pt idx="68" formatCode="m/d/yyyy">
                  <c:v>40724</c:v>
                </c:pt>
                <c:pt idx="69" formatCode="m/d/yyyy">
                  <c:v>40753</c:v>
                </c:pt>
                <c:pt idx="70" formatCode="m/d/yyyy">
                  <c:v>40786</c:v>
                </c:pt>
                <c:pt idx="71" formatCode="m/d/yyyy">
                  <c:v>40816</c:v>
                </c:pt>
                <c:pt idx="72" formatCode="m/d/yyyy">
                  <c:v>40847</c:v>
                </c:pt>
                <c:pt idx="73" formatCode="m/d/yyyy">
                  <c:v>40877</c:v>
                </c:pt>
                <c:pt idx="74" formatCode="m/d/yyyy">
                  <c:v>40907</c:v>
                </c:pt>
                <c:pt idx="75" formatCode="m/d/yyyy">
                  <c:v>40939</c:v>
                </c:pt>
                <c:pt idx="76" formatCode="m/d/yyyy">
                  <c:v>40968</c:v>
                </c:pt>
                <c:pt idx="77" formatCode="m/d/yyyy">
                  <c:v>40998</c:v>
                </c:pt>
                <c:pt idx="78" formatCode="m/d/yyyy">
                  <c:v>41029</c:v>
                </c:pt>
                <c:pt idx="79" formatCode="m/d/yyyy">
                  <c:v>41060</c:v>
                </c:pt>
                <c:pt idx="80" formatCode="m/d/yyyy">
                  <c:v>41089</c:v>
                </c:pt>
                <c:pt idx="81" formatCode="m/d/yyyy">
                  <c:v>41121</c:v>
                </c:pt>
                <c:pt idx="82" formatCode="m/d/yyyy">
                  <c:v>41152</c:v>
                </c:pt>
                <c:pt idx="83" formatCode="m/d/yyyy">
                  <c:v>41180</c:v>
                </c:pt>
                <c:pt idx="84" formatCode="m/d/yyyy">
                  <c:v>41213</c:v>
                </c:pt>
                <c:pt idx="85" formatCode="m/d/yyyy">
                  <c:v>41243</c:v>
                </c:pt>
                <c:pt idx="86" formatCode="m/d/yyyy">
                  <c:v>41274</c:v>
                </c:pt>
                <c:pt idx="87" formatCode="m/d/yyyy">
                  <c:v>41305</c:v>
                </c:pt>
                <c:pt idx="88" formatCode="m/d/yyyy">
                  <c:v>41333</c:v>
                </c:pt>
                <c:pt idx="89" formatCode="m/d/yyyy">
                  <c:v>41362</c:v>
                </c:pt>
                <c:pt idx="90" formatCode="m/d/yyyy">
                  <c:v>41394</c:v>
                </c:pt>
                <c:pt idx="91" formatCode="m/d/yyyy">
                  <c:v>41425</c:v>
                </c:pt>
                <c:pt idx="92" formatCode="m/d/yyyy">
                  <c:v>41453</c:v>
                </c:pt>
                <c:pt idx="93" formatCode="m/d/yyyy">
                  <c:v>41486</c:v>
                </c:pt>
                <c:pt idx="94" formatCode="m/d/yyyy">
                  <c:v>41516</c:v>
                </c:pt>
                <c:pt idx="95" formatCode="m/d/yyyy">
                  <c:v>41547</c:v>
                </c:pt>
                <c:pt idx="96" formatCode="m/d/yyyy">
                  <c:v>41578</c:v>
                </c:pt>
                <c:pt idx="97" formatCode="m/d/yyyy">
                  <c:v>41607</c:v>
                </c:pt>
                <c:pt idx="98" formatCode="m/d/yyyy">
                  <c:v>41639</c:v>
                </c:pt>
                <c:pt idx="99" formatCode="m/d/yyyy">
                  <c:v>41670</c:v>
                </c:pt>
                <c:pt idx="100" formatCode="m/d/yyyy">
                  <c:v>41698</c:v>
                </c:pt>
                <c:pt idx="101" formatCode="m/d/yyyy">
                  <c:v>41729</c:v>
                </c:pt>
                <c:pt idx="102" formatCode="m/d/yyyy">
                  <c:v>41759</c:v>
                </c:pt>
                <c:pt idx="103" formatCode="m/d/yyyy">
                  <c:v>41789</c:v>
                </c:pt>
                <c:pt idx="104" formatCode="m/d/yyyy">
                  <c:v>41820</c:v>
                </c:pt>
                <c:pt idx="105" formatCode="m/d/yyyy">
                  <c:v>41851</c:v>
                </c:pt>
                <c:pt idx="106" formatCode="m/d/yyyy">
                  <c:v>41880</c:v>
                </c:pt>
                <c:pt idx="107" formatCode="m/d/yyyy">
                  <c:v>41912</c:v>
                </c:pt>
                <c:pt idx="108" formatCode="m/d/yyyy">
                  <c:v>41943</c:v>
                </c:pt>
                <c:pt idx="109" formatCode="m/d/yyyy">
                  <c:v>41971</c:v>
                </c:pt>
                <c:pt idx="110" formatCode="m/d/yyyy">
                  <c:v>42004</c:v>
                </c:pt>
                <c:pt idx="111" formatCode="m/d/yyyy">
                  <c:v>42034</c:v>
                </c:pt>
                <c:pt idx="112" formatCode="m/d/yyyy">
                  <c:v>42062</c:v>
                </c:pt>
                <c:pt idx="113" formatCode="m/d/yyyy">
                  <c:v>42094</c:v>
                </c:pt>
                <c:pt idx="114" formatCode="m/d/yyyy">
                  <c:v>42124</c:v>
                </c:pt>
                <c:pt idx="115" formatCode="m/d/yyyy">
                  <c:v>42153</c:v>
                </c:pt>
                <c:pt idx="116" formatCode="m/d/yyyy">
                  <c:v>42185</c:v>
                </c:pt>
                <c:pt idx="117" formatCode="m/d/yyyy">
                  <c:v>42216</c:v>
                </c:pt>
                <c:pt idx="118" formatCode="m/d/yyyy">
                  <c:v>42247</c:v>
                </c:pt>
                <c:pt idx="119" formatCode="m/d/yyyy">
                  <c:v>42277</c:v>
                </c:pt>
                <c:pt idx="120" formatCode="m/d/yyyy">
                  <c:v>42307</c:v>
                </c:pt>
                <c:pt idx="121" formatCode="m/d/yyyy">
                  <c:v>42338</c:v>
                </c:pt>
                <c:pt idx="122" formatCode="m/d/yyyy">
                  <c:v>42369</c:v>
                </c:pt>
                <c:pt idx="123" formatCode="m/d/yyyy">
                  <c:v>42398</c:v>
                </c:pt>
                <c:pt idx="124" formatCode="m/d/yyyy">
                  <c:v>42429</c:v>
                </c:pt>
                <c:pt idx="125" formatCode="m/d/yyyy">
                  <c:v>42460</c:v>
                </c:pt>
                <c:pt idx="126" formatCode="m/d/yyyy">
                  <c:v>42489</c:v>
                </c:pt>
                <c:pt idx="127" formatCode="m/d/yyyy">
                  <c:v>42521</c:v>
                </c:pt>
                <c:pt idx="128" formatCode="m/d/yyyy">
                  <c:v>42551</c:v>
                </c:pt>
                <c:pt idx="129" formatCode="m/d/yyyy">
                  <c:v>42582</c:v>
                </c:pt>
                <c:pt idx="130" formatCode="m/d/yyyy">
                  <c:v>42613</c:v>
                </c:pt>
                <c:pt idx="131" formatCode="m/d/yyyy">
                  <c:v>42643</c:v>
                </c:pt>
                <c:pt idx="132" formatCode="m/d/yyyy">
                  <c:v>42674</c:v>
                </c:pt>
                <c:pt idx="133" formatCode="m/d/yyyy">
                  <c:v>42704</c:v>
                </c:pt>
                <c:pt idx="134" formatCode="m/d/yyyy">
                  <c:v>42735</c:v>
                </c:pt>
                <c:pt idx="135" formatCode="m/d/yyyy">
                  <c:v>42766</c:v>
                </c:pt>
                <c:pt idx="136" formatCode="m/d/yyyy">
                  <c:v>42794</c:v>
                </c:pt>
                <c:pt idx="137" formatCode="m/d/yyyy">
                  <c:v>42825</c:v>
                </c:pt>
                <c:pt idx="138" formatCode="m/d/yyyy">
                  <c:v>42855</c:v>
                </c:pt>
                <c:pt idx="139" formatCode="m/d/yyyy">
                  <c:v>42886</c:v>
                </c:pt>
                <c:pt idx="140" formatCode="m/d/yyyy">
                  <c:v>42916</c:v>
                </c:pt>
                <c:pt idx="141" formatCode="m/d/yyyy">
                  <c:v>42947</c:v>
                </c:pt>
                <c:pt idx="142" formatCode="m/d/yyyy">
                  <c:v>42978</c:v>
                </c:pt>
                <c:pt idx="143" formatCode="m/d/yyyy">
                  <c:v>43008</c:v>
                </c:pt>
                <c:pt idx="144" formatCode="m/d/yyyy">
                  <c:v>43039</c:v>
                </c:pt>
                <c:pt idx="145" formatCode="m/d/yyyy">
                  <c:v>43069</c:v>
                </c:pt>
                <c:pt idx="146" formatCode="m/d/yyyy">
                  <c:v>43100</c:v>
                </c:pt>
                <c:pt idx="147" formatCode="m/d/yyyy">
                  <c:v>43131</c:v>
                </c:pt>
                <c:pt idx="148" formatCode="m/d/yyyy">
                  <c:v>43159</c:v>
                </c:pt>
                <c:pt idx="149" formatCode="m/d/yyyy">
                  <c:v>43190</c:v>
                </c:pt>
                <c:pt idx="150" formatCode="m/d/yyyy">
                  <c:v>43220</c:v>
                </c:pt>
                <c:pt idx="151" formatCode="m/d/yyyy">
                  <c:v>43251</c:v>
                </c:pt>
                <c:pt idx="152" formatCode="m/d/yyyy">
                  <c:v>43281</c:v>
                </c:pt>
              </c:numCache>
            </c:numRef>
          </c:cat>
          <c:val>
            <c:numRef>
              <c:f>'Datos ICP (2)'!$D$3:$D$155</c:f>
              <c:numCache>
                <c:formatCode>0.00</c:formatCode>
                <c:ptCount val="153"/>
              </c:numCache>
            </c:numRef>
          </c:val>
          <c:smooth val="0"/>
          <c:extLst>
            <c:ext xmlns:c16="http://schemas.microsoft.com/office/drawing/2014/chart" uri="{C3380CC4-5D6E-409C-BE32-E72D297353CC}">
              <c16:uniqueId val="{00000000-AC72-463E-BC87-D81112F27929}"/>
            </c:ext>
          </c:extLst>
        </c:ser>
        <c:ser>
          <c:idx val="0"/>
          <c:order val="1"/>
          <c:tx>
            <c:strRef>
              <c:f>'Datos ICP (2)'!$J$2</c:f>
              <c:strCache>
                <c:ptCount val="1"/>
                <c:pt idx="0">
                  <c:v>Fondo Liquidez Plus</c:v>
                </c:pt>
              </c:strCache>
            </c:strRef>
          </c:tx>
          <c:spPr>
            <a:ln>
              <a:solidFill>
                <a:srgbClr val="C0504D">
                  <a:lumMod val="50000"/>
                </a:srgbClr>
              </a:solidFill>
            </a:ln>
          </c:spPr>
          <c:marker>
            <c:symbol val="none"/>
          </c:marker>
          <c:cat>
            <c:numRef>
              <c:f>'Datos ICP (2)'!$A$3:$A$155</c:f>
              <c:numCache>
                <c:formatCode>dd\-mm\-yyyy</c:formatCode>
                <c:ptCount val="153"/>
                <c:pt idx="0" formatCode="m/d/yyyy">
                  <c:v>38717</c:v>
                </c:pt>
                <c:pt idx="1">
                  <c:v>38748</c:v>
                </c:pt>
                <c:pt idx="2" formatCode="m/d/yyyy">
                  <c:v>38776</c:v>
                </c:pt>
                <c:pt idx="3" formatCode="m/d/yyyy">
                  <c:v>38807</c:v>
                </c:pt>
                <c:pt idx="4" formatCode="m/d/yyyy">
                  <c:v>38835</c:v>
                </c:pt>
                <c:pt idx="5" formatCode="m/d/yyyy">
                  <c:v>38868</c:v>
                </c:pt>
                <c:pt idx="6" formatCode="m/d/yyyy">
                  <c:v>38898</c:v>
                </c:pt>
                <c:pt idx="7" formatCode="m/d/yyyy">
                  <c:v>38929</c:v>
                </c:pt>
                <c:pt idx="8" formatCode="m/d/yyyy">
                  <c:v>38960</c:v>
                </c:pt>
                <c:pt idx="9" formatCode="m/d/yyyy">
                  <c:v>38989</c:v>
                </c:pt>
                <c:pt idx="10" formatCode="m/d/yyyy">
                  <c:v>39021</c:v>
                </c:pt>
                <c:pt idx="11" formatCode="m/d/yyyy">
                  <c:v>39051</c:v>
                </c:pt>
                <c:pt idx="12" formatCode="m/d/yyyy">
                  <c:v>39080</c:v>
                </c:pt>
                <c:pt idx="13" formatCode="m/d/yyyy">
                  <c:v>39113</c:v>
                </c:pt>
                <c:pt idx="14" formatCode="m/d/yyyy">
                  <c:v>39141</c:v>
                </c:pt>
                <c:pt idx="15" formatCode="m/d/yyyy">
                  <c:v>39171</c:v>
                </c:pt>
                <c:pt idx="16" formatCode="m/d/yyyy">
                  <c:v>39202</c:v>
                </c:pt>
                <c:pt idx="17" formatCode="m/d/yyyy">
                  <c:v>39233</c:v>
                </c:pt>
                <c:pt idx="18" formatCode="m/d/yyyy">
                  <c:v>39262</c:v>
                </c:pt>
                <c:pt idx="19" formatCode="m/d/yyyy">
                  <c:v>39294</c:v>
                </c:pt>
                <c:pt idx="21" formatCode="m/d/yyyy">
                  <c:v>39325</c:v>
                </c:pt>
                <c:pt idx="22" formatCode="m/d/yyyy">
                  <c:v>39353</c:v>
                </c:pt>
                <c:pt idx="23" formatCode="m/d/yyyy">
                  <c:v>39386</c:v>
                </c:pt>
                <c:pt idx="24" formatCode="m/d/yyyy">
                  <c:v>39416</c:v>
                </c:pt>
                <c:pt idx="25" formatCode="m/d/yyyy">
                  <c:v>39447</c:v>
                </c:pt>
                <c:pt idx="26" formatCode="m/d/yyyy">
                  <c:v>39478</c:v>
                </c:pt>
                <c:pt idx="27" formatCode="m/d/yyyy">
                  <c:v>39507</c:v>
                </c:pt>
                <c:pt idx="28" formatCode="m/d/yyyy">
                  <c:v>39538</c:v>
                </c:pt>
                <c:pt idx="29" formatCode="m/d/yyyy">
                  <c:v>39568</c:v>
                </c:pt>
                <c:pt idx="30" formatCode="m/d/yyyy">
                  <c:v>39598</c:v>
                </c:pt>
                <c:pt idx="31" formatCode="m/d/yyyy">
                  <c:v>39629</c:v>
                </c:pt>
                <c:pt idx="32" formatCode="m/d/yyyy">
                  <c:v>39660</c:v>
                </c:pt>
                <c:pt idx="33" formatCode="m/d/yyyy">
                  <c:v>39689</c:v>
                </c:pt>
                <c:pt idx="35" formatCode="m/d/yyyy">
                  <c:v>39721</c:v>
                </c:pt>
                <c:pt idx="36" formatCode="m/d/yyyy">
                  <c:v>39752</c:v>
                </c:pt>
                <c:pt idx="37" formatCode="m/d/yyyy">
                  <c:v>39780</c:v>
                </c:pt>
                <c:pt idx="38" formatCode="m/d/yyyy">
                  <c:v>39813</c:v>
                </c:pt>
                <c:pt idx="39" formatCode="m/d/yyyy">
                  <c:v>39843</c:v>
                </c:pt>
                <c:pt idx="40" formatCode="m/d/yyyy">
                  <c:v>39871</c:v>
                </c:pt>
                <c:pt idx="41" formatCode="m/d/yyyy">
                  <c:v>39903</c:v>
                </c:pt>
                <c:pt idx="42" formatCode="m/d/yyyy">
                  <c:v>39933</c:v>
                </c:pt>
                <c:pt idx="43" formatCode="m/d/yyyy">
                  <c:v>39962</c:v>
                </c:pt>
                <c:pt idx="44" formatCode="m/d/yyyy">
                  <c:v>39994</c:v>
                </c:pt>
                <c:pt idx="45" formatCode="m/d/yyyy">
                  <c:v>40025</c:v>
                </c:pt>
                <c:pt idx="46" formatCode="m/d/yyyy">
                  <c:v>40056</c:v>
                </c:pt>
                <c:pt idx="47" formatCode="m/d/yyyy">
                  <c:v>40086</c:v>
                </c:pt>
                <c:pt idx="48" formatCode="m/d/yyyy">
                  <c:v>40116</c:v>
                </c:pt>
                <c:pt idx="49" formatCode="m/d/yyyy">
                  <c:v>40147</c:v>
                </c:pt>
                <c:pt idx="50" formatCode="m/d/yyyy">
                  <c:v>40178</c:v>
                </c:pt>
                <c:pt idx="51" formatCode="m/d/yyyy">
                  <c:v>40207</c:v>
                </c:pt>
                <c:pt idx="52" formatCode="m/d/yyyy">
                  <c:v>40235</c:v>
                </c:pt>
                <c:pt idx="53" formatCode="m/d/yyyy">
                  <c:v>40268</c:v>
                </c:pt>
                <c:pt idx="54" formatCode="m/d/yyyy">
                  <c:v>40298</c:v>
                </c:pt>
                <c:pt idx="55" formatCode="m/d/yyyy">
                  <c:v>40329</c:v>
                </c:pt>
                <c:pt idx="56" formatCode="m/d/yyyy">
                  <c:v>40359</c:v>
                </c:pt>
                <c:pt idx="57" formatCode="m/d/yyyy">
                  <c:v>40389</c:v>
                </c:pt>
                <c:pt idx="58" formatCode="m/d/yyyy">
                  <c:v>40421</c:v>
                </c:pt>
                <c:pt idx="59" formatCode="m/d/yyyy">
                  <c:v>40451</c:v>
                </c:pt>
                <c:pt idx="60" formatCode="m/d/yyyy">
                  <c:v>40480</c:v>
                </c:pt>
                <c:pt idx="61" formatCode="m/d/yyyy">
                  <c:v>40512</c:v>
                </c:pt>
                <c:pt idx="62" formatCode="m/d/yyyy">
                  <c:v>40543</c:v>
                </c:pt>
                <c:pt idx="63" formatCode="m/d/yyyy">
                  <c:v>40574</c:v>
                </c:pt>
                <c:pt idx="64" formatCode="m/d/yyyy">
                  <c:v>40602</c:v>
                </c:pt>
                <c:pt idx="65" formatCode="m/d/yyyy">
                  <c:v>40633</c:v>
                </c:pt>
                <c:pt idx="66" formatCode="m/d/yyyy">
                  <c:v>40662</c:v>
                </c:pt>
                <c:pt idx="67" formatCode="m/d/yyyy">
                  <c:v>40694</c:v>
                </c:pt>
                <c:pt idx="68" formatCode="m/d/yyyy">
                  <c:v>40724</c:v>
                </c:pt>
                <c:pt idx="69" formatCode="m/d/yyyy">
                  <c:v>40753</c:v>
                </c:pt>
                <c:pt idx="70" formatCode="m/d/yyyy">
                  <c:v>40786</c:v>
                </c:pt>
                <c:pt idx="71" formatCode="m/d/yyyy">
                  <c:v>40816</c:v>
                </c:pt>
                <c:pt idx="72" formatCode="m/d/yyyy">
                  <c:v>40847</c:v>
                </c:pt>
                <c:pt idx="73" formatCode="m/d/yyyy">
                  <c:v>40877</c:v>
                </c:pt>
                <c:pt idx="74" formatCode="m/d/yyyy">
                  <c:v>40907</c:v>
                </c:pt>
                <c:pt idx="75" formatCode="m/d/yyyy">
                  <c:v>40939</c:v>
                </c:pt>
                <c:pt idx="76" formatCode="m/d/yyyy">
                  <c:v>40968</c:v>
                </c:pt>
                <c:pt idx="77" formatCode="m/d/yyyy">
                  <c:v>40998</c:v>
                </c:pt>
                <c:pt idx="78" formatCode="m/d/yyyy">
                  <c:v>41029</c:v>
                </c:pt>
                <c:pt idx="79" formatCode="m/d/yyyy">
                  <c:v>41060</c:v>
                </c:pt>
                <c:pt idx="80" formatCode="m/d/yyyy">
                  <c:v>41089</c:v>
                </c:pt>
                <c:pt idx="81" formatCode="m/d/yyyy">
                  <c:v>41121</c:v>
                </c:pt>
                <c:pt idx="82" formatCode="m/d/yyyy">
                  <c:v>41152</c:v>
                </c:pt>
                <c:pt idx="83" formatCode="m/d/yyyy">
                  <c:v>41180</c:v>
                </c:pt>
                <c:pt idx="84" formatCode="m/d/yyyy">
                  <c:v>41213</c:v>
                </c:pt>
                <c:pt idx="85" formatCode="m/d/yyyy">
                  <c:v>41243</c:v>
                </c:pt>
                <c:pt idx="86" formatCode="m/d/yyyy">
                  <c:v>41274</c:v>
                </c:pt>
                <c:pt idx="87" formatCode="m/d/yyyy">
                  <c:v>41305</c:v>
                </c:pt>
                <c:pt idx="88" formatCode="m/d/yyyy">
                  <c:v>41333</c:v>
                </c:pt>
                <c:pt idx="89" formatCode="m/d/yyyy">
                  <c:v>41362</c:v>
                </c:pt>
                <c:pt idx="90" formatCode="m/d/yyyy">
                  <c:v>41394</c:v>
                </c:pt>
                <c:pt idx="91" formatCode="m/d/yyyy">
                  <c:v>41425</c:v>
                </c:pt>
                <c:pt idx="92" formatCode="m/d/yyyy">
                  <c:v>41453</c:v>
                </c:pt>
                <c:pt idx="93" formatCode="m/d/yyyy">
                  <c:v>41486</c:v>
                </c:pt>
                <c:pt idx="94" formatCode="m/d/yyyy">
                  <c:v>41516</c:v>
                </c:pt>
                <c:pt idx="95" formatCode="m/d/yyyy">
                  <c:v>41547</c:v>
                </c:pt>
                <c:pt idx="96" formatCode="m/d/yyyy">
                  <c:v>41578</c:v>
                </c:pt>
                <c:pt idx="97" formatCode="m/d/yyyy">
                  <c:v>41607</c:v>
                </c:pt>
                <c:pt idx="98" formatCode="m/d/yyyy">
                  <c:v>41639</c:v>
                </c:pt>
                <c:pt idx="99" formatCode="m/d/yyyy">
                  <c:v>41670</c:v>
                </c:pt>
                <c:pt idx="100" formatCode="m/d/yyyy">
                  <c:v>41698</c:v>
                </c:pt>
                <c:pt idx="101" formatCode="m/d/yyyy">
                  <c:v>41729</c:v>
                </c:pt>
                <c:pt idx="102" formatCode="m/d/yyyy">
                  <c:v>41759</c:v>
                </c:pt>
                <c:pt idx="103" formatCode="m/d/yyyy">
                  <c:v>41789</c:v>
                </c:pt>
                <c:pt idx="104" formatCode="m/d/yyyy">
                  <c:v>41820</c:v>
                </c:pt>
                <c:pt idx="105" formatCode="m/d/yyyy">
                  <c:v>41851</c:v>
                </c:pt>
                <c:pt idx="106" formatCode="m/d/yyyy">
                  <c:v>41880</c:v>
                </c:pt>
                <c:pt idx="107" formatCode="m/d/yyyy">
                  <c:v>41912</c:v>
                </c:pt>
                <c:pt idx="108" formatCode="m/d/yyyy">
                  <c:v>41943</c:v>
                </c:pt>
                <c:pt idx="109" formatCode="m/d/yyyy">
                  <c:v>41971</c:v>
                </c:pt>
                <c:pt idx="110" formatCode="m/d/yyyy">
                  <c:v>42004</c:v>
                </c:pt>
                <c:pt idx="111" formatCode="m/d/yyyy">
                  <c:v>42034</c:v>
                </c:pt>
                <c:pt idx="112" formatCode="m/d/yyyy">
                  <c:v>42062</c:v>
                </c:pt>
                <c:pt idx="113" formatCode="m/d/yyyy">
                  <c:v>42094</c:v>
                </c:pt>
                <c:pt idx="114" formatCode="m/d/yyyy">
                  <c:v>42124</c:v>
                </c:pt>
                <c:pt idx="115" formatCode="m/d/yyyy">
                  <c:v>42153</c:v>
                </c:pt>
                <c:pt idx="116" formatCode="m/d/yyyy">
                  <c:v>42185</c:v>
                </c:pt>
                <c:pt idx="117" formatCode="m/d/yyyy">
                  <c:v>42216</c:v>
                </c:pt>
                <c:pt idx="118" formatCode="m/d/yyyy">
                  <c:v>42247</c:v>
                </c:pt>
                <c:pt idx="119" formatCode="m/d/yyyy">
                  <c:v>42277</c:v>
                </c:pt>
                <c:pt idx="120" formatCode="m/d/yyyy">
                  <c:v>42307</c:v>
                </c:pt>
                <c:pt idx="121" formatCode="m/d/yyyy">
                  <c:v>42338</c:v>
                </c:pt>
                <c:pt idx="122" formatCode="m/d/yyyy">
                  <c:v>42369</c:v>
                </c:pt>
                <c:pt idx="123" formatCode="m/d/yyyy">
                  <c:v>42398</c:v>
                </c:pt>
                <c:pt idx="124" formatCode="m/d/yyyy">
                  <c:v>42429</c:v>
                </c:pt>
                <c:pt idx="125" formatCode="m/d/yyyy">
                  <c:v>42460</c:v>
                </c:pt>
                <c:pt idx="126" formatCode="m/d/yyyy">
                  <c:v>42489</c:v>
                </c:pt>
                <c:pt idx="127" formatCode="m/d/yyyy">
                  <c:v>42521</c:v>
                </c:pt>
                <c:pt idx="128" formatCode="m/d/yyyy">
                  <c:v>42551</c:v>
                </c:pt>
                <c:pt idx="129" formatCode="m/d/yyyy">
                  <c:v>42582</c:v>
                </c:pt>
                <c:pt idx="130" formatCode="m/d/yyyy">
                  <c:v>42613</c:v>
                </c:pt>
                <c:pt idx="131" formatCode="m/d/yyyy">
                  <c:v>42643</c:v>
                </c:pt>
                <c:pt idx="132" formatCode="m/d/yyyy">
                  <c:v>42674</c:v>
                </c:pt>
                <c:pt idx="133" formatCode="m/d/yyyy">
                  <c:v>42704</c:v>
                </c:pt>
                <c:pt idx="134" formatCode="m/d/yyyy">
                  <c:v>42735</c:v>
                </c:pt>
                <c:pt idx="135" formatCode="m/d/yyyy">
                  <c:v>42766</c:v>
                </c:pt>
                <c:pt idx="136" formatCode="m/d/yyyy">
                  <c:v>42794</c:v>
                </c:pt>
                <c:pt idx="137" formatCode="m/d/yyyy">
                  <c:v>42825</c:v>
                </c:pt>
                <c:pt idx="138" formatCode="m/d/yyyy">
                  <c:v>42855</c:v>
                </c:pt>
                <c:pt idx="139" formatCode="m/d/yyyy">
                  <c:v>42886</c:v>
                </c:pt>
                <c:pt idx="140" formatCode="m/d/yyyy">
                  <c:v>42916</c:v>
                </c:pt>
                <c:pt idx="141" formatCode="m/d/yyyy">
                  <c:v>42947</c:v>
                </c:pt>
                <c:pt idx="142" formatCode="m/d/yyyy">
                  <c:v>42978</c:v>
                </c:pt>
                <c:pt idx="143" formatCode="m/d/yyyy">
                  <c:v>43008</c:v>
                </c:pt>
                <c:pt idx="144" formatCode="m/d/yyyy">
                  <c:v>43039</c:v>
                </c:pt>
                <c:pt idx="145" formatCode="m/d/yyyy">
                  <c:v>43069</c:v>
                </c:pt>
                <c:pt idx="146" formatCode="m/d/yyyy">
                  <c:v>43100</c:v>
                </c:pt>
                <c:pt idx="147" formatCode="m/d/yyyy">
                  <c:v>43131</c:v>
                </c:pt>
                <c:pt idx="148" formatCode="m/d/yyyy">
                  <c:v>43159</c:v>
                </c:pt>
                <c:pt idx="149" formatCode="m/d/yyyy">
                  <c:v>43190</c:v>
                </c:pt>
                <c:pt idx="150" formatCode="m/d/yyyy">
                  <c:v>43220</c:v>
                </c:pt>
                <c:pt idx="151" formatCode="m/d/yyyy">
                  <c:v>43251</c:v>
                </c:pt>
                <c:pt idx="152" formatCode="m/d/yyyy">
                  <c:v>43281</c:v>
                </c:pt>
              </c:numCache>
            </c:numRef>
          </c:cat>
          <c:val>
            <c:numRef>
              <c:f>'Datos ICP (2)'!$J$3:$J$155</c:f>
              <c:numCache>
                <c:formatCode>General</c:formatCode>
                <c:ptCount val="153"/>
              </c:numCache>
            </c:numRef>
          </c:val>
          <c:smooth val="0"/>
          <c:extLst>
            <c:ext xmlns:c16="http://schemas.microsoft.com/office/drawing/2014/chart" uri="{C3380CC4-5D6E-409C-BE32-E72D297353CC}">
              <c16:uniqueId val="{00000001-AC72-463E-BC87-D81112F27929}"/>
            </c:ext>
          </c:extLst>
        </c:ser>
        <c:dLbls>
          <c:showLegendKey val="0"/>
          <c:showVal val="0"/>
          <c:showCatName val="0"/>
          <c:showSerName val="0"/>
          <c:showPercent val="0"/>
          <c:showBubbleSize val="0"/>
        </c:dLbls>
        <c:smooth val="0"/>
        <c:axId val="226663040"/>
        <c:axId val="232120704"/>
      </c:lineChart>
      <c:dateAx>
        <c:axId val="226663040"/>
        <c:scaling>
          <c:orientation val="minMax"/>
          <c:max val="43373"/>
          <c:min val="38687"/>
        </c:scaling>
        <c:delete val="0"/>
        <c:axPos val="b"/>
        <c:numFmt formatCode="mmm/yyyy" sourceLinked="0"/>
        <c:majorTickMark val="out"/>
        <c:minorTickMark val="none"/>
        <c:tickLblPos val="nextTo"/>
        <c:txPr>
          <a:bodyPr/>
          <a:lstStyle/>
          <a:p>
            <a:pPr>
              <a:defRPr sz="700" b="1">
                <a:solidFill>
                  <a:schemeClr val="bg1">
                    <a:lumMod val="50000"/>
                  </a:schemeClr>
                </a:solidFill>
              </a:defRPr>
            </a:pPr>
            <a:endParaRPr lang="es-CL"/>
          </a:p>
        </c:txPr>
        <c:crossAx val="232120704"/>
        <c:crosses val="autoZero"/>
        <c:auto val="1"/>
        <c:lblOffset val="100"/>
        <c:baseTimeUnit val="months"/>
        <c:majorUnit val="6"/>
        <c:majorTimeUnit val="months"/>
        <c:minorUnit val="6"/>
        <c:minorTimeUnit val="months"/>
      </c:dateAx>
      <c:valAx>
        <c:axId val="232120704"/>
        <c:scaling>
          <c:orientation val="minMax"/>
          <c:min val="100"/>
        </c:scaling>
        <c:delete val="0"/>
        <c:axPos val="l"/>
        <c:majorGridlines>
          <c:spPr>
            <a:ln>
              <a:solidFill>
                <a:schemeClr val="bg1">
                  <a:lumMod val="85000"/>
                </a:schemeClr>
              </a:solidFill>
            </a:ln>
          </c:spPr>
        </c:majorGridlines>
        <c:numFmt formatCode="0.00" sourceLinked="1"/>
        <c:majorTickMark val="out"/>
        <c:minorTickMark val="none"/>
        <c:tickLblPos val="nextTo"/>
        <c:txPr>
          <a:bodyPr/>
          <a:lstStyle/>
          <a:p>
            <a:pPr>
              <a:defRPr sz="700" b="1">
                <a:solidFill>
                  <a:schemeClr val="bg1">
                    <a:lumMod val="50000"/>
                  </a:schemeClr>
                </a:solidFill>
              </a:defRPr>
            </a:pPr>
            <a:endParaRPr lang="es-CL"/>
          </a:p>
        </c:txPr>
        <c:crossAx val="226663040"/>
        <c:crossesAt val="38687"/>
        <c:crossBetween val="between"/>
      </c:valAx>
      <c:spPr>
        <a:ln>
          <a:noFill/>
        </a:ln>
      </c:spPr>
    </c:plotArea>
    <c:legend>
      <c:legendPos val="b"/>
      <c:overlay val="0"/>
    </c:legend>
    <c:plotVisOnly val="1"/>
    <c:dispBlanksAs val="gap"/>
    <c:showDLblsOverMax val="0"/>
  </c:chart>
  <c:spPr>
    <a:solidFill>
      <a:schemeClr val="bg1">
        <a:lumMod val="95000"/>
      </a:schemeClr>
    </a:solidFill>
    <a:ln>
      <a:noFill/>
    </a:ln>
  </c:sp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Be Vietnam Pro Medium" pitchFamily="2" charset="0"/>
                <a:ea typeface="+mn-ea"/>
                <a:cs typeface="+mn-cs"/>
              </a:defRPr>
            </a:pPr>
            <a:r>
              <a:rPr lang="en-US">
                <a:latin typeface="Be Vietnam Pro Medium" pitchFamily="2" charset="0"/>
              </a:rPr>
              <a:t>FIP Liquidez Plus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Be Vietnam Pro Medium" pitchFamily="2" charset="0"/>
              <a:ea typeface="+mn-ea"/>
              <a:cs typeface="+mn-cs"/>
            </a:defRPr>
          </a:pPr>
          <a:endParaRPr lang="es-CL"/>
        </a:p>
      </c:txPr>
    </c:title>
    <c:autoTitleDeleted val="0"/>
    <c:plotArea>
      <c:layout>
        <c:manualLayout>
          <c:layoutTarget val="inner"/>
          <c:xMode val="edge"/>
          <c:yMode val="edge"/>
          <c:x val="0.12245478400989385"/>
          <c:y val="0.14567125277902079"/>
          <c:w val="0.83563156470869393"/>
          <c:h val="0.77626041292020076"/>
        </c:manualLayout>
      </c:layout>
      <c:lineChart>
        <c:grouping val="standard"/>
        <c:varyColors val="0"/>
        <c:ser>
          <c:idx val="0"/>
          <c:order val="0"/>
          <c:tx>
            <c:v>FIP Liquidez Plus</c:v>
          </c:tx>
          <c:spPr>
            <a:ln w="28575" cap="rnd">
              <a:solidFill>
                <a:schemeClr val="tx1"/>
              </a:solidFill>
              <a:round/>
            </a:ln>
            <a:effectLst/>
          </c:spPr>
          <c:marker>
            <c:symbol val="circle"/>
            <c:size val="5"/>
            <c:spPr>
              <a:solidFill>
                <a:schemeClr val="tx1"/>
              </a:solidFill>
              <a:ln w="9525">
                <a:solidFill>
                  <a:schemeClr val="tx1"/>
                </a:solidFill>
              </a:ln>
              <a:effectLst/>
            </c:spPr>
          </c:marker>
          <c:cat>
            <c:numRef>
              <c:f>'Datos ICP (2)'!$F$211:$F$244</c:f>
              <c:numCache>
                <c:formatCode>m/d/yyyy</c:formatCode>
                <c:ptCount val="34"/>
                <c:pt idx="0">
                  <c:v>45014</c:v>
                </c:pt>
                <c:pt idx="1">
                  <c:v>45016</c:v>
                </c:pt>
                <c:pt idx="2">
                  <c:v>45044</c:v>
                </c:pt>
                <c:pt idx="3">
                  <c:v>45077</c:v>
                </c:pt>
                <c:pt idx="4">
                  <c:v>45107</c:v>
                </c:pt>
                <c:pt idx="5">
                  <c:v>45138</c:v>
                </c:pt>
                <c:pt idx="6">
                  <c:v>45169</c:v>
                </c:pt>
                <c:pt idx="7">
                  <c:v>45199</c:v>
                </c:pt>
                <c:pt idx="8">
                  <c:v>45230</c:v>
                </c:pt>
                <c:pt idx="9">
                  <c:v>45260</c:v>
                </c:pt>
                <c:pt idx="10">
                  <c:v>45291</c:v>
                </c:pt>
                <c:pt idx="11">
                  <c:v>45322</c:v>
                </c:pt>
                <c:pt idx="12">
                  <c:v>45351</c:v>
                </c:pt>
                <c:pt idx="13">
                  <c:v>45379</c:v>
                </c:pt>
                <c:pt idx="14">
                  <c:v>45412</c:v>
                </c:pt>
                <c:pt idx="15">
                  <c:v>45443</c:v>
                </c:pt>
                <c:pt idx="16">
                  <c:v>45473</c:v>
                </c:pt>
                <c:pt idx="17">
                  <c:v>45504</c:v>
                </c:pt>
                <c:pt idx="18">
                  <c:v>45535</c:v>
                </c:pt>
                <c:pt idx="19">
                  <c:v>45565</c:v>
                </c:pt>
                <c:pt idx="20">
                  <c:v>45596</c:v>
                </c:pt>
                <c:pt idx="21">
                  <c:v>45626</c:v>
                </c:pt>
                <c:pt idx="22">
                  <c:v>45657</c:v>
                </c:pt>
                <c:pt idx="23">
                  <c:v>45688</c:v>
                </c:pt>
                <c:pt idx="24">
                  <c:v>45716</c:v>
                </c:pt>
                <c:pt idx="25">
                  <c:v>45747</c:v>
                </c:pt>
                <c:pt idx="26">
                  <c:v>45777</c:v>
                </c:pt>
                <c:pt idx="27">
                  <c:v>45808</c:v>
                </c:pt>
                <c:pt idx="28">
                  <c:v>45838</c:v>
                </c:pt>
                <c:pt idx="29">
                  <c:v>45869</c:v>
                </c:pt>
                <c:pt idx="30">
                  <c:v>45900</c:v>
                </c:pt>
                <c:pt idx="31">
                  <c:v>45930</c:v>
                </c:pt>
                <c:pt idx="32">
                  <c:v>45961</c:v>
                </c:pt>
                <c:pt idx="33">
                  <c:v>45991</c:v>
                </c:pt>
              </c:numCache>
            </c:numRef>
          </c:cat>
          <c:val>
            <c:numRef>
              <c:f>'Datos ICP (2)'!$J$211:$J$244</c:f>
              <c:numCache>
                <c:formatCode>#,##0.00</c:formatCode>
                <c:ptCount val="34"/>
                <c:pt idx="0">
                  <c:v>100</c:v>
                </c:pt>
                <c:pt idx="1">
                  <c:v>103.00772000000001</c:v>
                </c:pt>
                <c:pt idx="2">
                  <c:v>104.2163342857143</c:v>
                </c:pt>
                <c:pt idx="3">
                  <c:v>105.27989293387043</c:v>
                </c:pt>
                <c:pt idx="4">
                  <c:v>106.36011768263715</c:v>
                </c:pt>
                <c:pt idx="5">
                  <c:v>107.46156386850663</c:v>
                </c:pt>
                <c:pt idx="6">
                  <c:v>108.4716509744357</c:v>
                </c:pt>
                <c:pt idx="7">
                  <c:v>109.47510929104689</c:v>
                </c:pt>
                <c:pt idx="8">
                  <c:v>110.4301767373158</c:v>
                </c:pt>
                <c:pt idx="9">
                  <c:v>111.36372780446354</c:v>
                </c:pt>
                <c:pt idx="10">
                  <c:v>112.28942521334633</c:v>
                </c:pt>
                <c:pt idx="11">
                  <c:v>113.23651429852794</c:v>
                </c:pt>
                <c:pt idx="12">
                  <c:v>114.03255666418762</c:v>
                </c:pt>
                <c:pt idx="13">
                  <c:v>114.79948252297405</c:v>
                </c:pt>
                <c:pt idx="14">
                  <c:v>115.50116230282366</c:v>
                </c:pt>
                <c:pt idx="15">
                  <c:v>116.23070252670927</c:v>
                </c:pt>
                <c:pt idx="16">
                  <c:v>116.91834659644927</c:v>
                </c:pt>
                <c:pt idx="17">
                  <c:v>117.53245946369395</c:v>
                </c:pt>
                <c:pt idx="18">
                  <c:v>118.15341891570141</c:v>
                </c:pt>
                <c:pt idx="19">
                  <c:v>118.74078491102235</c:v>
                </c:pt>
                <c:pt idx="20">
                  <c:v>119.27380478536527</c:v>
                </c:pt>
                <c:pt idx="21">
                  <c:v>119.80801384819007</c:v>
                </c:pt>
                <c:pt idx="22">
                  <c:v>120.26079265510594</c:v>
                </c:pt>
                <c:pt idx="23">
                  <c:v>120.75620168240611</c:v>
                </c:pt>
                <c:pt idx="24">
                  <c:v>121.38562700682833</c:v>
                </c:pt>
                <c:pt idx="25">
                  <c:v>121.97376336483258</c:v>
                </c:pt>
                <c:pt idx="26">
                  <c:v>122.8091393938917</c:v>
                </c:pt>
                <c:pt idx="27">
                  <c:v>123.50977349222826</c:v>
                </c:pt>
                <c:pt idx="28">
                  <c:v>124.25598623646559</c:v>
                </c:pt>
                <c:pt idx="29">
                  <c:v>124.95308073020551</c:v>
                </c:pt>
                <c:pt idx="30">
                  <c:v>125.69366442471649</c:v>
                </c:pt>
                <c:pt idx="31">
                  <c:v>126.42602290302884</c:v>
                </c:pt>
                <c:pt idx="32">
                  <c:v>127.15278955743787</c:v>
                </c:pt>
                <c:pt idx="33">
                  <c:v>127.89409934205946</c:v>
                </c:pt>
              </c:numCache>
            </c:numRef>
          </c:val>
          <c:smooth val="0"/>
          <c:extLst>
            <c:ext xmlns:c16="http://schemas.microsoft.com/office/drawing/2014/chart" uri="{C3380CC4-5D6E-409C-BE32-E72D297353CC}">
              <c16:uniqueId val="{00000000-4518-41CB-A6F8-4F158329C777}"/>
            </c:ext>
          </c:extLst>
        </c:ser>
        <c:ser>
          <c:idx val="1"/>
          <c:order val="1"/>
          <c:tx>
            <c:v>Competencia Relevante</c:v>
          </c:tx>
          <c:spPr>
            <a:ln w="28575" cap="rnd">
              <a:solidFill>
                <a:srgbClr val="A6A6A6"/>
              </a:solidFill>
              <a:round/>
            </a:ln>
            <a:effectLst/>
          </c:spPr>
          <c:marker>
            <c:symbol val="circle"/>
            <c:size val="5"/>
            <c:spPr>
              <a:solidFill>
                <a:srgbClr val="A6A6A6"/>
              </a:solidFill>
              <a:ln w="9525">
                <a:solidFill>
                  <a:srgbClr val="A6A6A6"/>
                </a:solidFill>
              </a:ln>
              <a:effectLst/>
            </c:spPr>
          </c:marker>
          <c:cat>
            <c:numRef>
              <c:f>'Datos ICP (2)'!$F$211:$F$244</c:f>
              <c:numCache>
                <c:formatCode>m/d/yyyy</c:formatCode>
                <c:ptCount val="34"/>
                <c:pt idx="0">
                  <c:v>45014</c:v>
                </c:pt>
                <c:pt idx="1">
                  <c:v>45016</c:v>
                </c:pt>
                <c:pt idx="2">
                  <c:v>45044</c:v>
                </c:pt>
                <c:pt idx="3">
                  <c:v>45077</c:v>
                </c:pt>
                <c:pt idx="4">
                  <c:v>45107</c:v>
                </c:pt>
                <c:pt idx="5">
                  <c:v>45138</c:v>
                </c:pt>
                <c:pt idx="6">
                  <c:v>45169</c:v>
                </c:pt>
                <c:pt idx="7">
                  <c:v>45199</c:v>
                </c:pt>
                <c:pt idx="8">
                  <c:v>45230</c:v>
                </c:pt>
                <c:pt idx="9">
                  <c:v>45260</c:v>
                </c:pt>
                <c:pt idx="10">
                  <c:v>45291</c:v>
                </c:pt>
                <c:pt idx="11">
                  <c:v>45322</c:v>
                </c:pt>
                <c:pt idx="12">
                  <c:v>45351</c:v>
                </c:pt>
                <c:pt idx="13">
                  <c:v>45379</c:v>
                </c:pt>
                <c:pt idx="14">
                  <c:v>45412</c:v>
                </c:pt>
                <c:pt idx="15">
                  <c:v>45443</c:v>
                </c:pt>
                <c:pt idx="16">
                  <c:v>45473</c:v>
                </c:pt>
                <c:pt idx="17">
                  <c:v>45504</c:v>
                </c:pt>
                <c:pt idx="18">
                  <c:v>45535</c:v>
                </c:pt>
                <c:pt idx="19">
                  <c:v>45565</c:v>
                </c:pt>
                <c:pt idx="20">
                  <c:v>45596</c:v>
                </c:pt>
                <c:pt idx="21">
                  <c:v>45626</c:v>
                </c:pt>
                <c:pt idx="22">
                  <c:v>45657</c:v>
                </c:pt>
                <c:pt idx="23">
                  <c:v>45688</c:v>
                </c:pt>
                <c:pt idx="24">
                  <c:v>45716</c:v>
                </c:pt>
                <c:pt idx="25">
                  <c:v>45747</c:v>
                </c:pt>
                <c:pt idx="26">
                  <c:v>45777</c:v>
                </c:pt>
                <c:pt idx="27">
                  <c:v>45808</c:v>
                </c:pt>
                <c:pt idx="28">
                  <c:v>45838</c:v>
                </c:pt>
                <c:pt idx="29">
                  <c:v>45869</c:v>
                </c:pt>
                <c:pt idx="30">
                  <c:v>45900</c:v>
                </c:pt>
                <c:pt idx="31">
                  <c:v>45930</c:v>
                </c:pt>
                <c:pt idx="32">
                  <c:v>45961</c:v>
                </c:pt>
                <c:pt idx="33">
                  <c:v>45991</c:v>
                </c:pt>
              </c:numCache>
            </c:numRef>
          </c:cat>
          <c:val>
            <c:numRef>
              <c:f>'Datos ICP (2)'!$M$211:$M$244</c:f>
              <c:numCache>
                <c:formatCode>0.00</c:formatCode>
                <c:ptCount val="34"/>
                <c:pt idx="0">
                  <c:v>100</c:v>
                </c:pt>
                <c:pt idx="1">
                  <c:v>100.79455277190181</c:v>
                </c:pt>
                <c:pt idx="2">
                  <c:v>101.59999258439446</c:v>
                </c:pt>
                <c:pt idx="3">
                  <c:v>102.41510867432692</c:v>
                </c:pt>
                <c:pt idx="4">
                  <c:v>103.23472566206298</c:v>
                </c:pt>
                <c:pt idx="5">
                  <c:v>104.05438994507148</c:v>
                </c:pt>
                <c:pt idx="6">
                  <c:v>104.81931916635016</c:v>
                </c:pt>
                <c:pt idx="7">
                  <c:v>105.53049965331549</c:v>
                </c:pt>
                <c:pt idx="8">
                  <c:v>106.21230321076528</c:v>
                </c:pt>
                <c:pt idx="9">
                  <c:v>106.86758715628218</c:v>
                </c:pt>
                <c:pt idx="10">
                  <c:v>107.49861114880792</c:v>
                </c:pt>
                <c:pt idx="11">
                  <c:v>108.10947336791439</c:v>
                </c:pt>
                <c:pt idx="12">
                  <c:v>108.67815649777427</c:v>
                </c:pt>
                <c:pt idx="13">
                  <c:v>109.19633583668923</c:v>
                </c:pt>
                <c:pt idx="14">
                  <c:v>109.6648996995664</c:v>
                </c:pt>
                <c:pt idx="15">
                  <c:v>110.10721681973698</c:v>
                </c:pt>
                <c:pt idx="16">
                  <c:v>110.50912942589001</c:v>
                </c:pt>
                <c:pt idx="17">
                  <c:v>110.89777856342019</c:v>
                </c:pt>
                <c:pt idx="18">
                  <c:v>111.28710160818405</c:v>
                </c:pt>
                <c:pt idx="19">
                  <c:v>111.66274513087185</c:v>
                </c:pt>
                <c:pt idx="20">
                  <c:v>112.03132004270307</c:v>
                </c:pt>
                <c:pt idx="21">
                  <c:v>112.39210286072351</c:v>
                </c:pt>
                <c:pt idx="22">
                  <c:v>112.74340314791112</c:v>
                </c:pt>
                <c:pt idx="23">
                  <c:v>113.07292778463652</c:v>
                </c:pt>
                <c:pt idx="24">
                  <c:v>113.40755956804277</c:v>
                </c:pt>
                <c:pt idx="25">
                  <c:v>113.74370252940712</c:v>
                </c:pt>
                <c:pt idx="26">
                  <c:v>114.0821980652134</c:v>
                </c:pt>
                <c:pt idx="27">
                  <c:v>114.42331442014887</c:v>
                </c:pt>
                <c:pt idx="28">
                  <c:v>114.76624709581874</c:v>
                </c:pt>
                <c:pt idx="29">
                  <c:v>115.09394725342099</c:v>
                </c:pt>
                <c:pt idx="30">
                  <c:v>115.428151361141</c:v>
                </c:pt>
                <c:pt idx="31">
                  <c:v>115.7469194714535</c:v>
                </c:pt>
                <c:pt idx="32">
                  <c:v>116.06785895181891</c:v>
                </c:pt>
                <c:pt idx="33">
                  <c:v>116.39227044719</c:v>
                </c:pt>
              </c:numCache>
            </c:numRef>
          </c:val>
          <c:smooth val="0"/>
          <c:extLst>
            <c:ext xmlns:c16="http://schemas.microsoft.com/office/drawing/2014/chart" uri="{C3380CC4-5D6E-409C-BE32-E72D297353CC}">
              <c16:uniqueId val="{00000001-4518-41CB-A6F8-4F158329C777}"/>
            </c:ext>
          </c:extLst>
        </c:ser>
        <c:ser>
          <c:idx val="2"/>
          <c:order val="2"/>
          <c:tx>
            <c:v>ICP Nom</c:v>
          </c:tx>
          <c:spPr>
            <a:ln w="28575" cap="rnd">
              <a:solidFill>
                <a:srgbClr val="BFBFBF"/>
              </a:solidFill>
              <a:round/>
            </a:ln>
            <a:effectLst/>
          </c:spPr>
          <c:marker>
            <c:symbol val="circle"/>
            <c:size val="5"/>
            <c:spPr>
              <a:solidFill>
                <a:srgbClr val="BFBFBF"/>
              </a:solidFill>
              <a:ln w="9525">
                <a:solidFill>
                  <a:srgbClr val="BFBFBF"/>
                </a:solidFill>
              </a:ln>
              <a:effectLst/>
            </c:spPr>
          </c:marker>
          <c:cat>
            <c:numRef>
              <c:f>'Datos ICP (2)'!$F$211:$F$244</c:f>
              <c:numCache>
                <c:formatCode>m/d/yyyy</c:formatCode>
                <c:ptCount val="34"/>
                <c:pt idx="0">
                  <c:v>45014</c:v>
                </c:pt>
                <c:pt idx="1">
                  <c:v>45016</c:v>
                </c:pt>
                <c:pt idx="2">
                  <c:v>45044</c:v>
                </c:pt>
                <c:pt idx="3">
                  <c:v>45077</c:v>
                </c:pt>
                <c:pt idx="4">
                  <c:v>45107</c:v>
                </c:pt>
                <c:pt idx="5">
                  <c:v>45138</c:v>
                </c:pt>
                <c:pt idx="6">
                  <c:v>45169</c:v>
                </c:pt>
                <c:pt idx="7">
                  <c:v>45199</c:v>
                </c:pt>
                <c:pt idx="8">
                  <c:v>45230</c:v>
                </c:pt>
                <c:pt idx="9">
                  <c:v>45260</c:v>
                </c:pt>
                <c:pt idx="10">
                  <c:v>45291</c:v>
                </c:pt>
                <c:pt idx="11">
                  <c:v>45322</c:v>
                </c:pt>
                <c:pt idx="12">
                  <c:v>45351</c:v>
                </c:pt>
                <c:pt idx="13">
                  <c:v>45379</c:v>
                </c:pt>
                <c:pt idx="14">
                  <c:v>45412</c:v>
                </c:pt>
                <c:pt idx="15">
                  <c:v>45443</c:v>
                </c:pt>
                <c:pt idx="16">
                  <c:v>45473</c:v>
                </c:pt>
                <c:pt idx="17">
                  <c:v>45504</c:v>
                </c:pt>
                <c:pt idx="18">
                  <c:v>45535</c:v>
                </c:pt>
                <c:pt idx="19">
                  <c:v>45565</c:v>
                </c:pt>
                <c:pt idx="20">
                  <c:v>45596</c:v>
                </c:pt>
                <c:pt idx="21">
                  <c:v>45626</c:v>
                </c:pt>
                <c:pt idx="22">
                  <c:v>45657</c:v>
                </c:pt>
                <c:pt idx="23">
                  <c:v>45688</c:v>
                </c:pt>
                <c:pt idx="24">
                  <c:v>45716</c:v>
                </c:pt>
                <c:pt idx="25">
                  <c:v>45747</c:v>
                </c:pt>
                <c:pt idx="26">
                  <c:v>45777</c:v>
                </c:pt>
                <c:pt idx="27">
                  <c:v>45808</c:v>
                </c:pt>
                <c:pt idx="28">
                  <c:v>45838</c:v>
                </c:pt>
                <c:pt idx="29">
                  <c:v>45869</c:v>
                </c:pt>
                <c:pt idx="30">
                  <c:v>45900</c:v>
                </c:pt>
                <c:pt idx="31">
                  <c:v>45930</c:v>
                </c:pt>
                <c:pt idx="32">
                  <c:v>45961</c:v>
                </c:pt>
                <c:pt idx="33">
                  <c:v>45991</c:v>
                </c:pt>
              </c:numCache>
            </c:numRef>
          </c:cat>
          <c:val>
            <c:numRef>
              <c:f>'Datos ICP (2)'!$D$211:$D$244</c:f>
              <c:numCache>
                <c:formatCode>0.00</c:formatCode>
                <c:ptCount val="34"/>
                <c:pt idx="0">
                  <c:v>100</c:v>
                </c:pt>
                <c:pt idx="1">
                  <c:v>100.94178881687958</c:v>
                </c:pt>
                <c:pt idx="2">
                  <c:v>101.89192978379928</c:v>
                </c:pt>
                <c:pt idx="3">
                  <c:v>102.85172055900642</c:v>
                </c:pt>
                <c:pt idx="4">
                  <c:v>103.82007672114813</c:v>
                </c:pt>
                <c:pt idx="5">
                  <c:v>104.79781360243963</c:v>
                </c:pt>
                <c:pt idx="6">
                  <c:v>105.6967125165453</c:v>
                </c:pt>
                <c:pt idx="7">
                  <c:v>106.5206548709173</c:v>
                </c:pt>
                <c:pt idx="8">
                  <c:v>107.39276560469824</c:v>
                </c:pt>
                <c:pt idx="9">
                  <c:v>108.20106953115837</c:v>
                </c:pt>
                <c:pt idx="10">
                  <c:v>108.94262555577382</c:v>
                </c:pt>
                <c:pt idx="11">
                  <c:v>109.71828566250262</c:v>
                </c:pt>
                <c:pt idx="12">
                  <c:v>110.41202368944764</c:v>
                </c:pt>
                <c:pt idx="13">
                  <c:v>111.08009747291428</c:v>
                </c:pt>
                <c:pt idx="14">
                  <c:v>111.69535841506091</c:v>
                </c:pt>
                <c:pt idx="15">
                  <c:v>112.29139215423072</c:v>
                </c:pt>
                <c:pt idx="16">
                  <c:v>112.80945400131104</c:v>
                </c:pt>
                <c:pt idx="17">
                  <c:v>113.38634885104257</c:v>
                </c:pt>
                <c:pt idx="18">
                  <c:v>113.91330481566195</c:v>
                </c:pt>
                <c:pt idx="19">
                  <c:v>114.45792928069196</c:v>
                </c:pt>
                <c:pt idx="20">
                  <c:v>114.95753155325937</c:v>
                </c:pt>
                <c:pt idx="21">
                  <c:v>115.46154279573419</c:v>
                </c:pt>
                <c:pt idx="22">
                  <c:v>115.95835491295102</c:v>
                </c:pt>
                <c:pt idx="23">
                  <c:v>116.45822110175281</c:v>
                </c:pt>
                <c:pt idx="24">
                  <c:v>116.94438381303493</c:v>
                </c:pt>
                <c:pt idx="25">
                  <c:v>117.432585355071</c:v>
                </c:pt>
                <c:pt idx="26">
                  <c:v>117.9229505327324</c:v>
                </c:pt>
                <c:pt idx="27">
                  <c:v>118.39930907246628</c:v>
                </c:pt>
                <c:pt idx="28">
                  <c:v>118.9101507219783</c:v>
                </c:pt>
                <c:pt idx="29">
                  <c:v>119.40569098655024</c:v>
                </c:pt>
                <c:pt idx="30">
                  <c:v>119.84864080561246</c:v>
                </c:pt>
                <c:pt idx="31">
                  <c:v>120.35560640056934</c:v>
                </c:pt>
                <c:pt idx="32">
                  <c:v>120.81756113726357</c:v>
                </c:pt>
                <c:pt idx="33">
                  <c:v>121.28058714926448</c:v>
                </c:pt>
              </c:numCache>
            </c:numRef>
          </c:val>
          <c:smooth val="0"/>
          <c:extLst>
            <c:ext xmlns:c16="http://schemas.microsoft.com/office/drawing/2014/chart" uri="{C3380CC4-5D6E-409C-BE32-E72D297353CC}">
              <c16:uniqueId val="{00000000-9739-4D7E-8170-EF99B0931915}"/>
            </c:ext>
          </c:extLst>
        </c:ser>
        <c:dLbls>
          <c:showLegendKey val="0"/>
          <c:showVal val="0"/>
          <c:showCatName val="0"/>
          <c:showSerName val="0"/>
          <c:showPercent val="0"/>
          <c:showBubbleSize val="0"/>
        </c:dLbls>
        <c:marker val="1"/>
        <c:smooth val="0"/>
        <c:axId val="635557360"/>
        <c:axId val="348382864"/>
      </c:lineChart>
      <c:dateAx>
        <c:axId val="635557360"/>
        <c:scaling>
          <c:orientation val="minMax"/>
        </c:scaling>
        <c:delete val="1"/>
        <c:axPos val="b"/>
        <c:numFmt formatCode="m/d/yyyy" sourceLinked="1"/>
        <c:majorTickMark val="out"/>
        <c:minorTickMark val="none"/>
        <c:tickLblPos val="nextTo"/>
        <c:crossAx val="348382864"/>
        <c:crosses val="autoZero"/>
        <c:auto val="1"/>
        <c:lblOffset val="100"/>
        <c:baseTimeUnit val="days"/>
      </c:dateAx>
      <c:valAx>
        <c:axId val="348382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Be Vietnam Pro Light" pitchFamily="2" charset="0"/>
                    <a:ea typeface="+mn-ea"/>
                    <a:cs typeface="+mn-cs"/>
                  </a:defRPr>
                </a:pPr>
                <a:r>
                  <a:rPr lang="en-US"/>
                  <a:t>Indice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Be Vietnam Pro Light" pitchFamily="2" charset="0"/>
                  <a:ea typeface="+mn-ea"/>
                  <a:cs typeface="+mn-cs"/>
                </a:defRPr>
              </a:pPr>
              <a:endParaRPr lang="es-C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Be Vietnam Pro Medium" pitchFamily="2" charset="0"/>
                <a:ea typeface="+mn-ea"/>
                <a:cs typeface="+mn-cs"/>
              </a:defRPr>
            </a:pPr>
            <a:endParaRPr lang="es-CL"/>
          </a:p>
        </c:txPr>
        <c:crossAx val="635557360"/>
        <c:crosses val="autoZero"/>
        <c:crossBetween val="between"/>
      </c:valAx>
      <c:spPr>
        <a:noFill/>
        <a:ln>
          <a:noFill/>
        </a:ln>
        <a:effectLst/>
      </c:spPr>
    </c:plotArea>
    <c:legend>
      <c:legendPos val="r"/>
      <c:layout>
        <c:manualLayout>
          <c:xMode val="edge"/>
          <c:yMode val="edge"/>
          <c:x val="0.61789676179959019"/>
          <c:y val="0.73852665277710339"/>
          <c:w val="0.32604028941201163"/>
          <c:h val="0.19883145828353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Be Vietnam Pro Medium" pitchFamily="2" charset="0"/>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latin typeface="Be Vietnam Pro Light" pitchFamily="2" charset="0"/>
        </a:defRPr>
      </a:pPr>
      <a:endParaRPr lang="es-C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dPt>
            <c:idx val="0"/>
            <c:bubble3D val="0"/>
            <c:spPr>
              <a:solidFill>
                <a:srgbClr val="FDD900"/>
              </a:solidFill>
              <a:ln w="19050">
                <a:solidFill>
                  <a:schemeClr val="lt1"/>
                </a:solidFill>
              </a:ln>
              <a:effectLst/>
            </c:spPr>
            <c:extLst>
              <c:ext xmlns:c16="http://schemas.microsoft.com/office/drawing/2014/chart" uri="{C3380CC4-5D6E-409C-BE32-E72D297353CC}">
                <c16:uniqueId val="{00000001-17B3-4997-ADE4-65804F1E5062}"/>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2-17B3-4997-ADE4-65804F1E5062}"/>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17B3-4997-ADE4-65804F1E5062}"/>
              </c:ext>
            </c:extLst>
          </c:dPt>
          <c:dPt>
            <c:idx val="3"/>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04-17B3-4997-ADE4-65804F1E5062}"/>
              </c:ext>
            </c:extLst>
          </c:dPt>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0.61399999999999999</c:v>
                </c:pt>
                <c:pt idx="1">
                  <c:v>0.36580000000000001</c:v>
                </c:pt>
                <c:pt idx="2">
                  <c:v>2.0199999999999999E-2</c:v>
                </c:pt>
                <c:pt idx="3">
                  <c:v>0</c:v>
                </c:pt>
              </c:numCache>
            </c:numRef>
          </c:val>
          <c:extLst>
            <c:ext xmlns:c16="http://schemas.microsoft.com/office/drawing/2014/chart" uri="{C3380CC4-5D6E-409C-BE32-E72D297353CC}">
              <c16:uniqueId val="{00000000-17B3-4997-ADE4-65804F1E506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explosion val="2"/>
          <c:dPt>
            <c:idx val="0"/>
            <c:bubble3D val="0"/>
            <c:spPr>
              <a:solidFill>
                <a:schemeClr val="accent3">
                  <a:shade val="55000"/>
                </a:schemeClr>
              </a:solidFill>
              <a:ln w="19050">
                <a:solidFill>
                  <a:schemeClr val="lt1"/>
                </a:solidFill>
              </a:ln>
              <a:effectLst/>
            </c:spPr>
            <c:extLst>
              <c:ext xmlns:c16="http://schemas.microsoft.com/office/drawing/2014/chart" uri="{C3380CC4-5D6E-409C-BE32-E72D297353CC}">
                <c16:uniqueId val="{00000001-17B3-4997-ADE4-65804F1E5062}"/>
              </c:ext>
            </c:extLst>
          </c:dPt>
          <c:dPt>
            <c:idx val="1"/>
            <c:bubble3D val="0"/>
            <c:spPr>
              <a:solidFill>
                <a:schemeClr val="accent3">
                  <a:shade val="68000"/>
                </a:schemeClr>
              </a:solidFill>
              <a:ln w="19050">
                <a:solidFill>
                  <a:schemeClr val="lt1"/>
                </a:solidFill>
              </a:ln>
              <a:effectLst/>
            </c:spPr>
            <c:extLst>
              <c:ext xmlns:c16="http://schemas.microsoft.com/office/drawing/2014/chart" uri="{C3380CC4-5D6E-409C-BE32-E72D297353CC}">
                <c16:uniqueId val="{00000002-17B3-4997-ADE4-65804F1E5062}"/>
              </c:ext>
            </c:extLst>
          </c:dPt>
          <c:dPt>
            <c:idx val="2"/>
            <c:bubble3D val="0"/>
            <c:spPr>
              <a:solidFill>
                <a:schemeClr val="accent3">
                  <a:shade val="80000"/>
                </a:schemeClr>
              </a:solidFill>
              <a:ln w="19050">
                <a:solidFill>
                  <a:schemeClr val="lt1"/>
                </a:solidFill>
              </a:ln>
              <a:effectLst/>
            </c:spPr>
            <c:extLst>
              <c:ext xmlns:c16="http://schemas.microsoft.com/office/drawing/2014/chart" uri="{C3380CC4-5D6E-409C-BE32-E72D297353CC}">
                <c16:uniqueId val="{00000003-17B3-4997-ADE4-65804F1E5062}"/>
              </c:ext>
            </c:extLst>
          </c:dPt>
          <c:dPt>
            <c:idx val="3"/>
            <c:bubble3D val="0"/>
            <c:spPr>
              <a:solidFill>
                <a:schemeClr val="accent3">
                  <a:shade val="93000"/>
                </a:schemeClr>
              </a:solidFill>
              <a:ln w="19050">
                <a:solidFill>
                  <a:schemeClr val="lt1"/>
                </a:solidFill>
              </a:ln>
              <a:effectLst/>
            </c:spPr>
            <c:extLst>
              <c:ext xmlns:c16="http://schemas.microsoft.com/office/drawing/2014/chart" uri="{C3380CC4-5D6E-409C-BE32-E72D297353CC}">
                <c16:uniqueId val="{00000004-17B3-4997-ADE4-65804F1E5062}"/>
              </c:ext>
            </c:extLst>
          </c:dPt>
          <c:dPt>
            <c:idx val="4"/>
            <c:bubble3D val="0"/>
            <c:spPr>
              <a:solidFill>
                <a:schemeClr val="accent3">
                  <a:tint val="94000"/>
                </a:schemeClr>
              </a:solidFill>
              <a:ln w="19050">
                <a:solidFill>
                  <a:schemeClr val="lt1"/>
                </a:solidFill>
              </a:ln>
              <a:effectLst/>
            </c:spPr>
            <c:extLst>
              <c:ext xmlns:c16="http://schemas.microsoft.com/office/drawing/2014/chart" uri="{C3380CC4-5D6E-409C-BE32-E72D297353CC}">
                <c16:uniqueId val="{00000014-087D-45E1-A7D9-C84D2AF7E522}"/>
              </c:ext>
            </c:extLst>
          </c:dPt>
          <c:dPt>
            <c:idx val="5"/>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B-B161-4879-822D-04B59AFEABE4}"/>
              </c:ext>
            </c:extLst>
          </c:dPt>
          <c:dPt>
            <c:idx val="6"/>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D-B161-4879-822D-04B59AFEABE4}"/>
              </c:ext>
            </c:extLst>
          </c:dPt>
          <c:dPt>
            <c:idx val="7"/>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F-B161-4879-822D-04B59AFEABE4}"/>
              </c:ext>
            </c:extLst>
          </c:dPt>
          <c:dPt>
            <c:idx val="8"/>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11-B161-4879-822D-04B59AFEABE4}"/>
              </c:ext>
            </c:extLst>
          </c:dPt>
          <c:cat>
            <c:strRef>
              <c:f>composición!$O$3:$O$11</c:f>
              <c:strCache>
                <c:ptCount val="9"/>
                <c:pt idx="0">
                  <c:v>Depósitos</c:v>
                </c:pt>
                <c:pt idx="1">
                  <c:v>Factoring</c:v>
                </c:pt>
                <c:pt idx="2">
                  <c:v>Financiamiento Inmobiliario</c:v>
                </c:pt>
                <c:pt idx="3">
                  <c:v>Financiamiento Mesa Moneda Extranjero</c:v>
                </c:pt>
                <c:pt idx="4">
                  <c:v>Garantías</c:v>
                </c:pt>
                <c:pt idx="5">
                  <c:v>Nota Estructurada</c:v>
                </c:pt>
                <c:pt idx="6">
                  <c:v>Financiamiento Mesa Renta Fija</c:v>
                </c:pt>
                <c:pt idx="7">
                  <c:v>Simultánea</c:v>
                </c:pt>
                <c:pt idx="8">
                  <c:v>Efectos de Comercio</c:v>
                </c:pt>
              </c:strCache>
            </c:strRef>
          </c:cat>
          <c:val>
            <c:numRef>
              <c:f>composición!$P$3:$P$11</c:f>
              <c:numCache>
                <c:formatCode>0.00%</c:formatCode>
                <c:ptCount val="9"/>
                <c:pt idx="0">
                  <c:v>0</c:v>
                </c:pt>
                <c:pt idx="1">
                  <c:v>0</c:v>
                </c:pt>
                <c:pt idx="2">
                  <c:v>8.1100000000000005E-2</c:v>
                </c:pt>
                <c:pt idx="3">
                  <c:v>0.86180000000000001</c:v>
                </c:pt>
                <c:pt idx="4">
                  <c:v>2.0199999999999999E-2</c:v>
                </c:pt>
                <c:pt idx="5">
                  <c:v>3.6999999999999998E-2</c:v>
                </c:pt>
                <c:pt idx="6">
                  <c:v>0</c:v>
                </c:pt>
                <c:pt idx="7">
                  <c:v>0</c:v>
                </c:pt>
                <c:pt idx="8">
                  <c:v>0</c:v>
                </c:pt>
              </c:numCache>
            </c:numRef>
          </c:val>
          <c:extLst>
            <c:ext xmlns:c16="http://schemas.microsoft.com/office/drawing/2014/chart" uri="{C3380CC4-5D6E-409C-BE32-E72D297353CC}">
              <c16:uniqueId val="{00000000-17B3-4997-ADE4-65804F1E506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dPt>
            <c:idx val="0"/>
            <c:bubble3D val="0"/>
            <c:spPr>
              <a:solidFill>
                <a:srgbClr val="FDD900"/>
              </a:solidFill>
              <a:ln w="19050">
                <a:solidFill>
                  <a:schemeClr val="lt1"/>
                </a:solidFill>
              </a:ln>
              <a:effectLst/>
            </c:spPr>
            <c:extLst>
              <c:ext xmlns:c16="http://schemas.microsoft.com/office/drawing/2014/chart" uri="{C3380CC4-5D6E-409C-BE32-E72D297353CC}">
                <c16:uniqueId val="{00000001-17B3-4997-ADE4-65804F1E5062}"/>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2-17B3-4997-ADE4-65804F1E5062}"/>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17B3-4997-ADE4-65804F1E5062}"/>
              </c:ext>
            </c:extLst>
          </c:dPt>
          <c:dPt>
            <c:idx val="3"/>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4-17B3-4997-ADE4-65804F1E5062}"/>
              </c:ext>
            </c:extLst>
          </c:dPt>
          <c:dPt>
            <c:idx val="4"/>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12-1A4A-4078-93C9-F5DB9EA212B7}"/>
              </c:ext>
            </c:extLst>
          </c:dPt>
          <c:cat>
            <c:strRef>
              <c:f>composición!$S$3:$S$4</c:f>
              <c:strCache>
                <c:ptCount val="2"/>
                <c:pt idx="0">
                  <c:v>Pesos</c:v>
                </c:pt>
                <c:pt idx="1">
                  <c:v>UF</c:v>
                </c:pt>
              </c:strCache>
            </c:strRef>
          </c:cat>
          <c:val>
            <c:numRef>
              <c:f>composición!$T$3:$T$4</c:f>
              <c:numCache>
                <c:formatCode>0.00%</c:formatCode>
                <c:ptCount val="2"/>
                <c:pt idx="0">
                  <c:v>1</c:v>
                </c:pt>
                <c:pt idx="1">
                  <c:v>0</c:v>
                </c:pt>
              </c:numCache>
            </c:numRef>
          </c:val>
          <c:extLst>
            <c:ext xmlns:c16="http://schemas.microsoft.com/office/drawing/2014/chart" uri="{C3380CC4-5D6E-409C-BE32-E72D297353CC}">
              <c16:uniqueId val="{00000000-17B3-4997-ADE4-65804F1E506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45</xdr:col>
      <xdr:colOff>361950</xdr:colOff>
      <xdr:row>0</xdr:row>
      <xdr:rowOff>142875</xdr:rowOff>
    </xdr:from>
    <xdr:to>
      <xdr:col>51</xdr:col>
      <xdr:colOff>257176</xdr:colOff>
      <xdr:row>15</xdr:row>
      <xdr:rowOff>28575</xdr:rowOff>
    </xdr:to>
    <xdr:graphicFrame macro="">
      <xdr:nvGraphicFramePr>
        <xdr:cNvPr id="2" name="1 Gráfico">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192950</xdr:colOff>
      <xdr:row>258</xdr:row>
      <xdr:rowOff>172538</xdr:rowOff>
    </xdr:from>
    <xdr:to>
      <xdr:col>9</xdr:col>
      <xdr:colOff>161925</xdr:colOff>
      <xdr:row>281</xdr:row>
      <xdr:rowOff>60961</xdr:rowOff>
    </xdr:to>
    <xdr:graphicFrame macro="">
      <xdr:nvGraphicFramePr>
        <xdr:cNvPr id="4" name="Gráfico 3">
          <a:extLst>
            <a:ext uri="{FF2B5EF4-FFF2-40B4-BE49-F238E27FC236}">
              <a16:creationId xmlns:a16="http://schemas.microsoft.com/office/drawing/2014/main" id="{D08C703E-53BD-2360-AB45-F00C51870C7C}"/>
            </a:ext>
            <a:ext uri="{147F2762-F138-4A5C-976F-8EAC2B608ADB}">
              <a16:predDERef xmlns:a16="http://schemas.microsoft.com/office/drawing/2014/main" pre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106680</xdr:colOff>
      <xdr:row>33</xdr:row>
      <xdr:rowOff>34290</xdr:rowOff>
    </xdr:from>
    <xdr:to>
      <xdr:col>8</xdr:col>
      <xdr:colOff>716280</xdr:colOff>
      <xdr:row>48</xdr:row>
      <xdr:rowOff>34290</xdr:rowOff>
    </xdr:to>
    <xdr:graphicFrame macro="">
      <xdr:nvGraphicFramePr>
        <xdr:cNvPr id="2" name="Gráfico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18</xdr:row>
      <xdr:rowOff>34290</xdr:rowOff>
    </xdr:from>
    <xdr:to>
      <xdr:col>8</xdr:col>
      <xdr:colOff>685800</xdr:colOff>
      <xdr:row>33</xdr:row>
      <xdr:rowOff>34290</xdr:rowOff>
    </xdr:to>
    <xdr:graphicFrame macro="">
      <xdr:nvGraphicFramePr>
        <xdr:cNvPr id="3" name="Gráfico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175260</xdr:colOff>
      <xdr:row>1</xdr:row>
      <xdr:rowOff>167640</xdr:rowOff>
    </xdr:from>
    <xdr:to>
      <xdr:col>8</xdr:col>
      <xdr:colOff>784860</xdr:colOff>
      <xdr:row>18</xdr:row>
      <xdr:rowOff>167640</xdr:rowOff>
    </xdr:to>
    <xdr:graphicFrame macro="">
      <xdr:nvGraphicFramePr>
        <xdr:cNvPr id="4" name="Gráfico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CABEZAS\Desktop\fondos%20fin\Copia%20de%20Factsheet%20Vantrust%20Alto%20Patrimonio%20Noviembre%202018%20(0000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orge%20Valenzuela\Downloads\ICP%20hist&#243;rico%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A4444-61AA-4241-BD8A-F1F1F5BC4C89}">
  <dimension ref="A2:A4"/>
  <sheetViews>
    <sheetView showGridLines="0" workbookViewId="0">
      <selection activeCell="A2" sqref="A2"/>
    </sheetView>
  </sheetViews>
  <sheetFormatPr defaultColWidth="11.42578125" defaultRowHeight="15"/>
  <cols>
    <col min="1" max="1" width="69.85546875" customWidth="1"/>
  </cols>
  <sheetData>
    <row r="2" spans="1:1" ht="204">
      <c r="A2" s="96" t="s">
        <v>0</v>
      </c>
    </row>
    <row r="3" spans="1:1">
      <c r="A3" s="96"/>
    </row>
    <row r="4" spans="1:1">
      <c r="A4" s="8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50"/>
  <sheetViews>
    <sheetView showGridLines="0" topLeftCell="AL1" zoomScale="90" zoomScaleNormal="90" workbookViewId="0">
      <selection activeCell="AW19" sqref="AW19"/>
    </sheetView>
  </sheetViews>
  <sheetFormatPr defaultColWidth="12.28515625" defaultRowHeight="15"/>
  <cols>
    <col min="1" max="2" width="18.28515625" style="9" customWidth="1"/>
    <col min="3" max="4" width="12.28515625" style="9" bestFit="1" customWidth="1"/>
    <col min="5" max="5" width="12.28515625" style="9"/>
    <col min="6" max="6" width="16.140625" style="9" customWidth="1"/>
    <col min="7" max="7" width="15.42578125" style="10" bestFit="1" customWidth="1"/>
    <col min="8" max="8" width="14.5703125" style="10" customWidth="1"/>
    <col min="9" max="9" width="12.28515625" style="11" bestFit="1" customWidth="1"/>
    <col min="10" max="10" width="12.28515625" style="9" bestFit="1" customWidth="1"/>
    <col min="11" max="11" width="15.140625" style="9" customWidth="1"/>
    <col min="12" max="12" width="12.28515625" style="9" bestFit="1" customWidth="1"/>
    <col min="13" max="15" width="11.85546875" style="9" bestFit="1" customWidth="1"/>
    <col min="16" max="16" width="13.85546875" style="9" customWidth="1"/>
    <col min="17" max="17" width="14.42578125" style="9" customWidth="1"/>
    <col min="18" max="18" width="15.42578125" style="9" customWidth="1"/>
    <col min="19" max="19" width="13.85546875" style="9" customWidth="1"/>
    <col min="20" max="20" width="15.140625" style="9" customWidth="1"/>
    <col min="21" max="21" width="13.85546875" style="9" customWidth="1"/>
    <col min="22" max="22" width="14.5703125" style="9" customWidth="1"/>
    <col min="23" max="23" width="14.42578125" style="9" customWidth="1"/>
    <col min="24" max="24" width="14.7109375" style="9" customWidth="1"/>
    <col min="25" max="25" width="15.85546875" style="9" customWidth="1"/>
    <col min="26" max="26" width="16" style="9" customWidth="1"/>
    <col min="27" max="27" width="15" style="9" customWidth="1"/>
    <col min="28" max="28" width="5.5703125" style="9" bestFit="1" customWidth="1"/>
    <col min="29" max="29" width="8.42578125" style="9" customWidth="1"/>
    <col min="30" max="30" width="14.140625" style="9" customWidth="1"/>
    <col min="31" max="31" width="8.85546875" style="9" customWidth="1"/>
    <col min="32" max="32" width="8.28515625" style="9" customWidth="1"/>
    <col min="33" max="33" width="7.42578125" style="9" customWidth="1"/>
    <col min="34" max="34" width="7.85546875" style="9" customWidth="1"/>
    <col min="35" max="35" width="7.5703125" style="9" customWidth="1"/>
    <col min="36" max="36" width="8.42578125" style="9" customWidth="1"/>
    <col min="37" max="37" width="10.5703125" style="9" bestFit="1" customWidth="1"/>
    <col min="38" max="38" width="8.140625" style="9" bestFit="1" customWidth="1"/>
    <col min="39" max="39" width="7.5703125" style="9" customWidth="1"/>
    <col min="40" max="40" width="7.28515625" style="9" bestFit="1" customWidth="1"/>
    <col min="41" max="41" width="8.42578125" style="9" customWidth="1"/>
    <col min="42" max="42" width="7.7109375" style="9" customWidth="1"/>
    <col min="43" max="43" width="9" style="9" bestFit="1" customWidth="1"/>
    <col min="44" max="44" width="3.85546875" style="9" customWidth="1"/>
    <col min="45" max="45" width="11.7109375" style="9" customWidth="1"/>
    <col min="46" max="46" width="12.28515625" style="9"/>
    <col min="47" max="47" width="12.7109375" style="9" customWidth="1"/>
    <col min="48" max="48" width="11.7109375" style="9" customWidth="1"/>
    <col min="49" max="49" width="14.28515625" style="9" bestFit="1" customWidth="1"/>
    <col min="50" max="51" width="14.140625" style="9" bestFit="1" customWidth="1"/>
    <col min="52" max="52" width="13.5703125" style="9" customWidth="1"/>
    <col min="53" max="53" width="14" style="9" customWidth="1"/>
    <col min="54" max="54" width="14.140625" style="9" bestFit="1" customWidth="1"/>
    <col min="55" max="16384" width="12.28515625" style="9"/>
  </cols>
  <sheetData>
    <row r="1" spans="1:45" ht="15.75">
      <c r="A1" s="9" t="s">
        <v>1</v>
      </c>
      <c r="F1" s="9" t="s">
        <v>2</v>
      </c>
      <c r="AC1" s="12"/>
      <c r="AD1" s="13" t="s">
        <v>3</v>
      </c>
      <c r="AE1" s="14" t="s">
        <v>4</v>
      </c>
      <c r="AF1" s="14" t="s">
        <v>5</v>
      </c>
      <c r="AG1" s="14" t="s">
        <v>6</v>
      </c>
      <c r="AH1" s="14" t="s">
        <v>7</v>
      </c>
      <c r="AI1" s="14" t="s">
        <v>8</v>
      </c>
      <c r="AJ1" s="14" t="s">
        <v>9</v>
      </c>
      <c r="AK1" s="14" t="s">
        <v>10</v>
      </c>
      <c r="AL1" s="14" t="s">
        <v>11</v>
      </c>
      <c r="AM1" s="14" t="s">
        <v>12</v>
      </c>
      <c r="AN1" s="14" t="s">
        <v>13</v>
      </c>
      <c r="AO1" s="14" t="s">
        <v>14</v>
      </c>
      <c r="AP1" s="14" t="s">
        <v>15</v>
      </c>
      <c r="AQ1" s="14" t="s">
        <v>16</v>
      </c>
      <c r="AR1" s="15"/>
      <c r="AS1" s="15"/>
    </row>
    <row r="2" spans="1:45">
      <c r="A2" s="16" t="s">
        <v>17</v>
      </c>
      <c r="B2" s="16" t="s">
        <v>3</v>
      </c>
      <c r="C2" s="16"/>
      <c r="D2" s="16" t="s">
        <v>18</v>
      </c>
      <c r="E2" s="16"/>
      <c r="F2" s="16"/>
      <c r="G2" s="17"/>
      <c r="H2" s="17"/>
      <c r="J2" s="9" t="s">
        <v>19</v>
      </c>
      <c r="K2" s="18" t="s">
        <v>20</v>
      </c>
      <c r="L2" s="19"/>
      <c r="M2" s="9" t="s">
        <v>21</v>
      </c>
      <c r="P2" s="9" t="s">
        <v>4</v>
      </c>
      <c r="Q2" s="9" t="s">
        <v>5</v>
      </c>
      <c r="R2" s="9" t="s">
        <v>6</v>
      </c>
      <c r="S2" s="9" t="s">
        <v>7</v>
      </c>
      <c r="T2" s="9" t="s">
        <v>8</v>
      </c>
      <c r="U2" s="9" t="s">
        <v>9</v>
      </c>
      <c r="V2" s="9" t="s">
        <v>10</v>
      </c>
      <c r="W2" s="9" t="s">
        <v>11</v>
      </c>
      <c r="X2" s="9" t="s">
        <v>12</v>
      </c>
      <c r="Y2" s="9" t="s">
        <v>13</v>
      </c>
      <c r="Z2" s="9" t="s">
        <v>14</v>
      </c>
      <c r="AA2" s="9" t="s">
        <v>15</v>
      </c>
      <c r="AC2" s="12"/>
      <c r="AD2" s="20">
        <v>2006</v>
      </c>
      <c r="AE2" s="21">
        <f>P3/N3-1</f>
        <v>3.9906364750199597E-3</v>
      </c>
      <c r="AF2" s="21">
        <f t="shared" ref="AF2:AP12" si="0">Q3/P3-1</f>
        <v>3.4791781282821344E-3</v>
      </c>
      <c r="AG2" s="21">
        <f t="shared" si="0"/>
        <v>3.9464944164580018E-3</v>
      </c>
      <c r="AH2" s="21">
        <f t="shared" si="0"/>
        <v>3.624987137433644E-3</v>
      </c>
      <c r="AI2" s="21">
        <f t="shared" si="0"/>
        <v>4.5220625929731639E-3</v>
      </c>
      <c r="AJ2" s="21">
        <f t="shared" si="0"/>
        <v>4.1131335559714266E-3</v>
      </c>
      <c r="AK2" s="21">
        <f t="shared" si="0"/>
        <v>4.2960167774701574E-3</v>
      </c>
      <c r="AL2" s="21">
        <f t="shared" si="0"/>
        <v>4.4454427774651695E-3</v>
      </c>
      <c r="AM2" s="21">
        <f t="shared" si="0"/>
        <v>4.2100927316455206E-3</v>
      </c>
      <c r="AN2" s="21">
        <f t="shared" si="0"/>
        <v>4.5858962126306135E-3</v>
      </c>
      <c r="AO2" s="21">
        <f t="shared" si="0"/>
        <v>4.3800852009372448E-3</v>
      </c>
      <c r="AP2" s="21">
        <f t="shared" si="0"/>
        <v>4.3164927885432913E-3</v>
      </c>
      <c r="AQ2" s="22">
        <f>AA3/N3-1</f>
        <v>5.1067547753429698E-2</v>
      </c>
      <c r="AR2" s="15"/>
      <c r="AS2" s="15"/>
    </row>
    <row r="3" spans="1:45">
      <c r="A3" s="23">
        <v>38717</v>
      </c>
      <c r="B3" s="24">
        <v>10953.14</v>
      </c>
      <c r="D3" s="25"/>
      <c r="E3" s="25"/>
      <c r="F3" s="25"/>
      <c r="K3" s="18" t="s">
        <v>22</v>
      </c>
      <c r="L3" s="19"/>
      <c r="N3" s="24">
        <f>B3</f>
        <v>10953.14</v>
      </c>
      <c r="O3" s="9">
        <v>2006</v>
      </c>
      <c r="P3" s="26">
        <v>10996.85</v>
      </c>
      <c r="Q3" s="26">
        <v>11035.11</v>
      </c>
      <c r="R3" s="26">
        <v>11078.66</v>
      </c>
      <c r="S3" s="26">
        <v>11118.82</v>
      </c>
      <c r="T3" s="26">
        <v>11169.1</v>
      </c>
      <c r="U3" s="26">
        <v>11215.04</v>
      </c>
      <c r="V3" s="26">
        <v>11263.22</v>
      </c>
      <c r="W3" s="26">
        <v>11313.29</v>
      </c>
      <c r="X3" s="26">
        <v>11360.92</v>
      </c>
      <c r="Y3" s="26">
        <v>11413.02</v>
      </c>
      <c r="Z3" s="26">
        <v>11463.01</v>
      </c>
      <c r="AA3" s="26">
        <v>11512.49</v>
      </c>
      <c r="AC3" s="12"/>
      <c r="AD3" s="27">
        <v>2007</v>
      </c>
      <c r="AE3" s="28">
        <f t="shared" ref="AE3:AE13" si="1">P4/AA3-1</f>
        <v>4.7548358348192821E-3</v>
      </c>
      <c r="AF3" s="28">
        <f t="shared" si="0"/>
        <v>3.929203448016505E-3</v>
      </c>
      <c r="AG3" s="28">
        <f t="shared" si="0"/>
        <v>4.2040252551520663E-3</v>
      </c>
      <c r="AH3" s="28">
        <f t="shared" si="0"/>
        <v>4.3802255284484115E-3</v>
      </c>
      <c r="AI3" s="28">
        <f t="shared" si="0"/>
        <v>4.3713682211776739E-3</v>
      </c>
      <c r="AJ3" s="28">
        <f t="shared" si="0"/>
        <v>4.1185741317841806E-3</v>
      </c>
      <c r="AK3" s="28">
        <f t="shared" si="0"/>
        <v>4.5969304695219204E-3</v>
      </c>
      <c r="AL3" s="28">
        <f t="shared" si="0"/>
        <v>4.7149419417469307E-3</v>
      </c>
      <c r="AM3" s="28">
        <f t="shared" si="0"/>
        <v>4.4562876180125333E-3</v>
      </c>
      <c r="AN3" s="28">
        <f t="shared" si="0"/>
        <v>5.2849082426698057E-3</v>
      </c>
      <c r="AO3" s="28">
        <f t="shared" si="0"/>
        <v>4.8135627009113779E-3</v>
      </c>
      <c r="AP3" s="28">
        <f t="shared" si="0"/>
        <v>4.6086377858698402E-3</v>
      </c>
      <c r="AQ3" s="29">
        <f t="shared" ref="AQ3:AQ11" si="2">AA4/AA3-1</f>
        <v>5.5601351228101059E-2</v>
      </c>
      <c r="AR3" s="15"/>
      <c r="AS3" s="15"/>
    </row>
    <row r="4" spans="1:45">
      <c r="A4" s="30">
        <v>38748</v>
      </c>
      <c r="B4" s="26">
        <v>10996.85</v>
      </c>
      <c r="C4" s="31">
        <f>(B4/B3-1)/(A4-A3)*30</f>
        <v>3.8619062661483482E-3</v>
      </c>
      <c r="D4" s="25"/>
      <c r="E4" s="25"/>
      <c r="F4" s="25"/>
      <c r="K4" s="18" t="s">
        <v>23</v>
      </c>
      <c r="L4" s="19"/>
      <c r="O4" s="9">
        <v>2007</v>
      </c>
      <c r="P4" s="26">
        <v>11567.23</v>
      </c>
      <c r="Q4" s="26">
        <v>11612.68</v>
      </c>
      <c r="R4" s="26">
        <v>11661.5</v>
      </c>
      <c r="S4" s="26">
        <v>11712.58</v>
      </c>
      <c r="T4" s="26">
        <v>11763.78</v>
      </c>
      <c r="U4" s="26">
        <v>11812.23</v>
      </c>
      <c r="V4" s="26">
        <v>11866.53</v>
      </c>
      <c r="W4" s="26">
        <v>11922.48</v>
      </c>
      <c r="X4" s="26">
        <v>11975.61</v>
      </c>
      <c r="Y4" s="26">
        <v>12038.9</v>
      </c>
      <c r="Z4" s="26">
        <v>12096.85</v>
      </c>
      <c r="AA4" s="26">
        <v>12152.6</v>
      </c>
      <c r="AC4" s="12"/>
      <c r="AD4" s="20">
        <v>2008</v>
      </c>
      <c r="AE4" s="21">
        <f t="shared" si="1"/>
        <v>5.8045191975379939E-3</v>
      </c>
      <c r="AF4" s="21">
        <f t="shared" si="0"/>
        <v>5.0510752556216509E-3</v>
      </c>
      <c r="AG4" s="21">
        <f t="shared" si="0"/>
        <v>5.4188563502453047E-3</v>
      </c>
      <c r="AH4" s="21">
        <f t="shared" si="0"/>
        <v>5.2406802440199129E-3</v>
      </c>
      <c r="AI4" s="21">
        <f t="shared" si="0"/>
        <v>5.2592665376951508E-3</v>
      </c>
      <c r="AJ4" s="21">
        <f t="shared" si="0"/>
        <v>5.6683982989196302E-3</v>
      </c>
      <c r="AK4" s="21">
        <f t="shared" si="0"/>
        <v>6.108078006856088E-3</v>
      </c>
      <c r="AL4" s="21">
        <f t="shared" si="0"/>
        <v>5.9965634378291721E-3</v>
      </c>
      <c r="AM4" s="21">
        <f t="shared" si="0"/>
        <v>7.2666421611649046E-3</v>
      </c>
      <c r="AN4" s="21">
        <f t="shared" si="0"/>
        <v>6.9094588945022295E-3</v>
      </c>
      <c r="AO4" s="21">
        <f t="shared" si="0"/>
        <v>6.64008872077404E-3</v>
      </c>
      <c r="AP4" s="21">
        <f t="shared" si="0"/>
        <v>7.3549082448212122E-3</v>
      </c>
      <c r="AQ4" s="22">
        <f t="shared" si="2"/>
        <v>7.5188025607688891E-2</v>
      </c>
      <c r="AR4" s="15"/>
      <c r="AS4" s="15"/>
    </row>
    <row r="5" spans="1:45">
      <c r="A5" s="23">
        <v>38776</v>
      </c>
      <c r="B5" s="26">
        <v>11035.11</v>
      </c>
      <c r="C5" s="31">
        <f t="shared" ref="C5:C70" si="3">(B5/B4-1)/(A5-A4)*30</f>
        <v>3.7276908517308582E-3</v>
      </c>
      <c r="D5" s="25"/>
      <c r="E5" s="25"/>
      <c r="F5" s="25"/>
      <c r="O5" s="9">
        <v>2008</v>
      </c>
      <c r="P5" s="26">
        <v>12223.14</v>
      </c>
      <c r="Q5" s="26">
        <v>12284.88</v>
      </c>
      <c r="R5" s="26">
        <v>12351.45</v>
      </c>
      <c r="S5" s="26">
        <v>12416.18</v>
      </c>
      <c r="T5" s="26">
        <v>12481.48</v>
      </c>
      <c r="U5" s="26">
        <v>12552.23</v>
      </c>
      <c r="V5" s="26">
        <v>12628.9</v>
      </c>
      <c r="W5" s="26">
        <v>12704.63</v>
      </c>
      <c r="X5" s="26">
        <v>12796.95</v>
      </c>
      <c r="Y5" s="26">
        <v>12885.37</v>
      </c>
      <c r="Z5" s="26">
        <v>12970.93</v>
      </c>
      <c r="AA5" s="26">
        <v>13066.33</v>
      </c>
      <c r="AC5" s="12"/>
      <c r="AD5" s="27">
        <v>2009</v>
      </c>
      <c r="AE5" s="28">
        <f t="shared" si="1"/>
        <v>6.492259111778198E-3</v>
      </c>
      <c r="AF5" s="28">
        <f t="shared" si="0"/>
        <v>4.6330513810188823E-3</v>
      </c>
      <c r="AG5" s="28">
        <f t="shared" si="0"/>
        <v>2.9586537784711542E-3</v>
      </c>
      <c r="AH5" s="28">
        <f t="shared" si="0"/>
        <v>1.6179691167126364E-3</v>
      </c>
      <c r="AI5" s="28">
        <f t="shared" si="0"/>
        <v>1.0804196910632058E-3</v>
      </c>
      <c r="AJ5" s="28">
        <f t="shared" si="0"/>
        <v>9.1217253608055771E-4</v>
      </c>
      <c r="AK5" s="28">
        <f t="shared" si="0"/>
        <v>4.7070925206860181E-4</v>
      </c>
      <c r="AL5" s="28">
        <f t="shared" si="0"/>
        <v>3.5549636461751355E-4</v>
      </c>
      <c r="AM5" s="28">
        <f t="shared" si="0"/>
        <v>3.7415280310315602E-4</v>
      </c>
      <c r="AN5" s="28">
        <f t="shared" si="0"/>
        <v>3.522329995007123E-4</v>
      </c>
      <c r="AO5" s="28">
        <f t="shared" si="0"/>
        <v>3.5811509834271504E-4</v>
      </c>
      <c r="AP5" s="28">
        <f t="shared" si="0"/>
        <v>3.7449782393506048E-4</v>
      </c>
      <c r="AQ5" s="29">
        <f t="shared" si="2"/>
        <v>2.0141080165585912E-2</v>
      </c>
      <c r="AR5" s="15"/>
      <c r="AS5" s="15"/>
    </row>
    <row r="6" spans="1:45">
      <c r="A6" s="23">
        <v>38807</v>
      </c>
      <c r="B6" s="26">
        <v>11078.66</v>
      </c>
      <c r="C6" s="31">
        <f t="shared" si="3"/>
        <v>3.8191881449593569E-3</v>
      </c>
      <c r="D6" s="25"/>
      <c r="E6" s="25"/>
      <c r="F6" s="25"/>
      <c r="O6" s="9">
        <v>2009</v>
      </c>
      <c r="P6" s="26">
        <v>13151.16</v>
      </c>
      <c r="Q6" s="26">
        <v>13212.09</v>
      </c>
      <c r="R6" s="26">
        <v>13251.18</v>
      </c>
      <c r="S6" s="26">
        <v>13272.62</v>
      </c>
      <c r="T6" s="26">
        <v>13286.96</v>
      </c>
      <c r="U6" s="26">
        <v>13299.08</v>
      </c>
      <c r="V6" s="26">
        <v>13305.34</v>
      </c>
      <c r="W6" s="26">
        <v>13310.07</v>
      </c>
      <c r="X6" s="26">
        <v>13315.05</v>
      </c>
      <c r="Y6" s="26">
        <v>13319.74</v>
      </c>
      <c r="Z6" s="26">
        <v>13324.51</v>
      </c>
      <c r="AA6" s="26">
        <v>13329.5</v>
      </c>
      <c r="AC6" s="12"/>
      <c r="AD6" s="20">
        <v>2010</v>
      </c>
      <c r="AE6" s="21">
        <f t="shared" si="1"/>
        <v>3.5635245132970006E-4</v>
      </c>
      <c r="AF6" s="21">
        <f t="shared" si="0"/>
        <v>3.2097793276708586E-4</v>
      </c>
      <c r="AG6" s="21">
        <f t="shared" si="0"/>
        <v>3.9434630352830347E-4</v>
      </c>
      <c r="AH6" s="21">
        <f t="shared" si="0"/>
        <v>3.6271554033739939E-4</v>
      </c>
      <c r="AI6" s="21">
        <f t="shared" si="0"/>
        <v>3.6483144712229354E-4</v>
      </c>
      <c r="AJ6" s="21">
        <f t="shared" si="0"/>
        <v>5.5416183023182519E-4</v>
      </c>
      <c r="AK6" s="21">
        <f t="shared" si="0"/>
        <v>9.7972441976224012E-4</v>
      </c>
      <c r="AL6" s="21">
        <f t="shared" si="0"/>
        <v>1.5866618712889746E-3</v>
      </c>
      <c r="AM6" s="21">
        <f t="shared" si="0"/>
        <v>1.8349842966256524E-3</v>
      </c>
      <c r="AN6" s="21">
        <f t="shared" si="0"/>
        <v>2.1535359346158689E-3</v>
      </c>
      <c r="AO6" s="21">
        <f t="shared" si="0"/>
        <v>2.5526649807527946E-3</v>
      </c>
      <c r="AP6" s="21">
        <f t="shared" si="0"/>
        <v>2.9600193428476196E-3</v>
      </c>
      <c r="AQ6" s="22">
        <f t="shared" si="2"/>
        <v>1.4511422033834709E-2</v>
      </c>
      <c r="AR6" s="15"/>
      <c r="AS6" s="15"/>
    </row>
    <row r="7" spans="1:45">
      <c r="A7" s="23">
        <v>38835</v>
      </c>
      <c r="B7" s="26">
        <v>11118.82</v>
      </c>
      <c r="C7" s="31">
        <f t="shared" si="3"/>
        <v>3.8839147901074756E-3</v>
      </c>
      <c r="D7" s="25"/>
      <c r="E7" s="25"/>
      <c r="F7" s="25"/>
      <c r="O7" s="9">
        <v>2010</v>
      </c>
      <c r="P7" s="26">
        <v>13334.25</v>
      </c>
      <c r="Q7" s="26">
        <v>13338.53</v>
      </c>
      <c r="R7" s="26">
        <v>13343.79</v>
      </c>
      <c r="S7" s="26">
        <v>13348.63</v>
      </c>
      <c r="T7" s="26">
        <v>13353.5</v>
      </c>
      <c r="U7" s="26">
        <v>13360.9</v>
      </c>
      <c r="V7" s="26">
        <v>13373.99</v>
      </c>
      <c r="W7" s="26">
        <v>13395.21</v>
      </c>
      <c r="X7" s="26">
        <v>13419.79</v>
      </c>
      <c r="Y7" s="26">
        <v>13448.69</v>
      </c>
      <c r="Z7" s="26">
        <v>13483.02</v>
      </c>
      <c r="AA7" s="26">
        <v>13522.93</v>
      </c>
      <c r="AC7" s="12"/>
      <c r="AD7" s="27">
        <v>2011</v>
      </c>
      <c r="AE7" s="28">
        <f t="shared" si="1"/>
        <v>2.5282982312264668E-3</v>
      </c>
      <c r="AF7" s="28">
        <f t="shared" si="0"/>
        <v>2.5949464192984717E-3</v>
      </c>
      <c r="AG7" s="28">
        <f t="shared" si="0"/>
        <v>3.2084341870028954E-3</v>
      </c>
      <c r="AH7" s="28">
        <f t="shared" si="0"/>
        <v>3.4489814027813814E-3</v>
      </c>
      <c r="AI7" s="28">
        <f t="shared" si="0"/>
        <v>4.2476251448884117E-3</v>
      </c>
      <c r="AJ7" s="28">
        <f t="shared" si="0"/>
        <v>4.2704129084656373E-3</v>
      </c>
      <c r="AK7" s="28">
        <f t="shared" si="0"/>
        <v>4.2319637906220731E-3</v>
      </c>
      <c r="AL7" s="28">
        <f t="shared" si="0"/>
        <v>4.8267660739464979E-3</v>
      </c>
      <c r="AM7" s="28">
        <f t="shared" si="0"/>
        <v>4.3762921875212246E-3</v>
      </c>
      <c r="AN7" s="28">
        <f t="shared" si="0"/>
        <v>4.0926728714560934E-3</v>
      </c>
      <c r="AO7" s="28">
        <f t="shared" si="0"/>
        <v>4.8179867708308954E-3</v>
      </c>
      <c r="AP7" s="28">
        <f t="shared" si="0"/>
        <v>4.3767676975265957E-3</v>
      </c>
      <c r="AQ7" s="29">
        <f t="shared" si="2"/>
        <v>4.8044321755714048E-2</v>
      </c>
      <c r="AR7" s="15"/>
      <c r="AS7" s="15"/>
    </row>
    <row r="8" spans="1:45">
      <c r="A8" s="23">
        <v>38868</v>
      </c>
      <c r="B8" s="26">
        <v>11169.1</v>
      </c>
      <c r="C8" s="31">
        <f t="shared" si="3"/>
        <v>4.1109659936119673E-3</v>
      </c>
      <c r="D8" s="25"/>
      <c r="E8" s="25"/>
      <c r="F8" s="25"/>
      <c r="O8" s="9">
        <v>2011</v>
      </c>
      <c r="P8" s="26">
        <v>13557.12</v>
      </c>
      <c r="Q8" s="26">
        <v>13592.3</v>
      </c>
      <c r="R8" s="26">
        <v>13635.91</v>
      </c>
      <c r="S8" s="26">
        <v>13682.94</v>
      </c>
      <c r="T8" s="26">
        <v>13741.06</v>
      </c>
      <c r="U8" s="26">
        <v>13799.74</v>
      </c>
      <c r="V8" s="26">
        <v>13858.14</v>
      </c>
      <c r="W8" s="26">
        <v>13925.03</v>
      </c>
      <c r="X8" s="26">
        <v>13985.97</v>
      </c>
      <c r="Y8" s="26">
        <v>14043.21</v>
      </c>
      <c r="Z8" s="26">
        <v>14110.87</v>
      </c>
      <c r="AA8" s="26">
        <v>14172.63</v>
      </c>
      <c r="AC8" s="12"/>
      <c r="AD8" s="20">
        <v>2012</v>
      </c>
      <c r="AE8" s="21">
        <f t="shared" si="1"/>
        <v>4.498106561731996E-3</v>
      </c>
      <c r="AF8" s="21">
        <f t="shared" si="0"/>
        <v>4.0241971624810358E-3</v>
      </c>
      <c r="AG8" s="21">
        <f t="shared" si="0"/>
        <v>4.1745751790827068E-3</v>
      </c>
      <c r="AH8" s="21">
        <f t="shared" si="0"/>
        <v>4.3104949788690394E-3</v>
      </c>
      <c r="AI8" s="21">
        <f t="shared" si="0"/>
        <v>4.3245988091744625E-3</v>
      </c>
      <c r="AJ8" s="21">
        <f t="shared" si="0"/>
        <v>4.0462647340191449E-3</v>
      </c>
      <c r="AK8" s="21">
        <f t="shared" si="0"/>
        <v>4.4358436530218537E-3</v>
      </c>
      <c r="AL8" s="21">
        <f t="shared" si="0"/>
        <v>4.295710932625374E-3</v>
      </c>
      <c r="AM8" s="21">
        <f t="shared" si="0"/>
        <v>3.9111170518566496E-3</v>
      </c>
      <c r="AN8" s="21">
        <f t="shared" si="0"/>
        <v>4.6112000260856156E-3</v>
      </c>
      <c r="AO8" s="21">
        <f t="shared" si="0"/>
        <v>4.1802582536771826E-3</v>
      </c>
      <c r="AP8" s="21">
        <f t="shared" si="0"/>
        <v>3.8935030618745259E-3</v>
      </c>
      <c r="AQ8" s="22">
        <f t="shared" si="2"/>
        <v>5.190074107628595E-2</v>
      </c>
      <c r="AR8" s="15"/>
      <c r="AS8" s="15"/>
    </row>
    <row r="9" spans="1:45">
      <c r="A9" s="23">
        <v>38898</v>
      </c>
      <c r="B9" s="26">
        <v>11215.04</v>
      </c>
      <c r="C9" s="31">
        <f t="shared" si="3"/>
        <v>4.1131335559714266E-3</v>
      </c>
      <c r="D9" s="25"/>
      <c r="E9" s="25"/>
      <c r="F9" s="25"/>
      <c r="O9" s="9">
        <v>2012</v>
      </c>
      <c r="P9" s="26">
        <v>14236.38</v>
      </c>
      <c r="Q9" s="26">
        <v>14293.67</v>
      </c>
      <c r="R9" s="26">
        <v>14353.34</v>
      </c>
      <c r="S9" s="26">
        <v>14415.21</v>
      </c>
      <c r="T9" s="26">
        <v>14477.55</v>
      </c>
      <c r="U9" s="26">
        <v>14536.13</v>
      </c>
      <c r="V9" s="26">
        <v>14600.61</v>
      </c>
      <c r="W9" s="26">
        <v>14663.33</v>
      </c>
      <c r="X9" s="26">
        <v>14720.68</v>
      </c>
      <c r="Y9" s="26">
        <v>14788.56</v>
      </c>
      <c r="Z9" s="26">
        <v>14850.38</v>
      </c>
      <c r="AA9" s="26">
        <v>14908.2</v>
      </c>
      <c r="AC9" s="12"/>
      <c r="AD9" s="27">
        <v>2013</v>
      </c>
      <c r="AE9" s="28">
        <f t="shared" si="1"/>
        <v>4.7208918581720383E-3</v>
      </c>
      <c r="AF9" s="28">
        <f t="shared" si="0"/>
        <v>3.8962304837975026E-3</v>
      </c>
      <c r="AG9" s="28">
        <f t="shared" si="0"/>
        <v>3.8950743967856027E-3</v>
      </c>
      <c r="AH9" s="28">
        <f t="shared" si="0"/>
        <v>4.5881192487038369E-3</v>
      </c>
      <c r="AI9" s="28">
        <f t="shared" si="0"/>
        <v>4.3264751130416279E-3</v>
      </c>
      <c r="AJ9" s="28">
        <f t="shared" si="0"/>
        <v>3.8974733394703254E-3</v>
      </c>
      <c r="AK9" s="28">
        <f t="shared" si="0"/>
        <v>4.6128972762127241E-3</v>
      </c>
      <c r="AL9" s="28">
        <f t="shared" si="0"/>
        <v>4.1770099093310087E-3</v>
      </c>
      <c r="AM9" s="28">
        <f t="shared" si="0"/>
        <v>4.3152323943249637E-3</v>
      </c>
      <c r="AN9" s="28">
        <f t="shared" si="0"/>
        <v>4.0907650188917177E-3</v>
      </c>
      <c r="AO9" s="28">
        <f t="shared" si="0"/>
        <v>3.9024427877456525E-3</v>
      </c>
      <c r="AP9" s="28">
        <f t="shared" si="0"/>
        <v>3.8821496683330015E-3</v>
      </c>
      <c r="AQ9" s="29">
        <f t="shared" si="2"/>
        <v>5.1480393340577635E-2</v>
      </c>
      <c r="AR9" s="15"/>
      <c r="AS9" s="15"/>
    </row>
    <row r="10" spans="1:45">
      <c r="A10" s="23">
        <v>38929</v>
      </c>
      <c r="B10" s="26">
        <v>11263.22</v>
      </c>
      <c r="C10" s="31">
        <f t="shared" si="3"/>
        <v>4.1574355911001525E-3</v>
      </c>
      <c r="D10" s="25"/>
      <c r="E10" s="25"/>
      <c r="F10" s="25"/>
      <c r="O10" s="9">
        <v>2013</v>
      </c>
      <c r="P10" s="26">
        <v>14978.58</v>
      </c>
      <c r="Q10" s="26">
        <v>15036.94</v>
      </c>
      <c r="R10" s="26">
        <v>15095.51</v>
      </c>
      <c r="S10" s="26">
        <v>15164.77</v>
      </c>
      <c r="T10" s="26">
        <v>15230.38</v>
      </c>
      <c r="U10" s="26">
        <v>15289.74</v>
      </c>
      <c r="V10" s="26">
        <v>15360.27</v>
      </c>
      <c r="W10" s="26">
        <v>15424.43</v>
      </c>
      <c r="X10" s="26">
        <v>15490.99</v>
      </c>
      <c r="Y10" s="26">
        <v>15554.36</v>
      </c>
      <c r="Z10" s="26">
        <v>15615.06</v>
      </c>
      <c r="AA10" s="26">
        <v>15675.68</v>
      </c>
      <c r="AC10" s="12"/>
      <c r="AD10" s="20">
        <v>2014</v>
      </c>
      <c r="AE10" s="21">
        <f t="shared" si="1"/>
        <v>4.0042919988161341E-3</v>
      </c>
      <c r="AF10" s="21">
        <f t="shared" si="0"/>
        <v>3.432358332618346E-3</v>
      </c>
      <c r="AG10" s="21">
        <f t="shared" si="0"/>
        <v>3.5497930342753836E-3</v>
      </c>
      <c r="AH10" s="21">
        <f t="shared" si="0"/>
        <v>3.3378489992446081E-3</v>
      </c>
      <c r="AI10" s="21">
        <f t="shared" si="0"/>
        <v>3.3374356897462043E-3</v>
      </c>
      <c r="AJ10" s="21">
        <f t="shared" si="0"/>
        <v>3.4491836159078471E-3</v>
      </c>
      <c r="AK10" s="21">
        <f t="shared" si="0"/>
        <v>3.3511289837990788E-3</v>
      </c>
      <c r="AL10" s="21">
        <f t="shared" si="0"/>
        <v>2.9489802143785049E-3</v>
      </c>
      <c r="AM10" s="21">
        <f t="shared" si="0"/>
        <v>2.9682413077145586E-3</v>
      </c>
      <c r="AN10" s="21">
        <f t="shared" si="0"/>
        <v>2.6295969209766401E-3</v>
      </c>
      <c r="AO10" s="21">
        <f t="shared" si="0"/>
        <v>2.4227108931254016E-3</v>
      </c>
      <c r="AP10" s="21">
        <f t="shared" si="0"/>
        <v>2.6711641731489433E-3</v>
      </c>
      <c r="AQ10" s="22">
        <f t="shared" si="2"/>
        <v>3.8774075510599859E-2</v>
      </c>
      <c r="AR10" s="15"/>
      <c r="AS10" s="15"/>
    </row>
    <row r="11" spans="1:45">
      <c r="A11" s="23">
        <v>38960</v>
      </c>
      <c r="B11" s="26">
        <v>11313.29</v>
      </c>
      <c r="C11" s="31">
        <f t="shared" si="3"/>
        <v>4.3020413975469376E-3</v>
      </c>
      <c r="D11" s="25"/>
      <c r="E11" s="25"/>
      <c r="F11" s="25"/>
      <c r="O11" s="9">
        <v>2014</v>
      </c>
      <c r="P11" s="26">
        <v>15738.45</v>
      </c>
      <c r="Q11" s="26">
        <v>15792.47</v>
      </c>
      <c r="R11" s="26">
        <v>15848.53</v>
      </c>
      <c r="S11" s="26">
        <v>15901.43</v>
      </c>
      <c r="T11" s="26">
        <v>15954.5</v>
      </c>
      <c r="U11" s="26">
        <v>16009.53</v>
      </c>
      <c r="V11" s="26">
        <v>16063.18</v>
      </c>
      <c r="W11" s="26">
        <v>16110.55</v>
      </c>
      <c r="X11" s="26">
        <v>16158.37</v>
      </c>
      <c r="Y11" s="26">
        <v>16200.86</v>
      </c>
      <c r="Z11" s="26">
        <v>16240.11</v>
      </c>
      <c r="AA11" s="26">
        <v>16283.49</v>
      </c>
      <c r="AC11" s="12"/>
      <c r="AD11" s="27">
        <v>2015</v>
      </c>
      <c r="AE11" s="28">
        <f t="shared" si="1"/>
        <v>2.5891255498666776E-3</v>
      </c>
      <c r="AF11" s="28">
        <f t="shared" si="0"/>
        <v>2.3349759427648831E-3</v>
      </c>
      <c r="AG11" s="28">
        <f t="shared" si="0"/>
        <v>2.6717559584374939E-3</v>
      </c>
      <c r="AH11" s="28">
        <f t="shared" si="0"/>
        <v>2.5049535303691695E-3</v>
      </c>
      <c r="AI11" s="28">
        <f t="shared" si="0"/>
        <v>2.4184443772992115E-3</v>
      </c>
      <c r="AJ11" s="28">
        <f t="shared" si="0"/>
        <v>2.6691540764793853E-3</v>
      </c>
      <c r="AK11" s="28">
        <f t="shared" si="0"/>
        <v>2.5846248392549231E-3</v>
      </c>
      <c r="AL11" s="28">
        <f t="shared" si="0"/>
        <v>2.5839949176806876E-3</v>
      </c>
      <c r="AM11" s="28">
        <f t="shared" si="0"/>
        <v>2.5057257397729238E-3</v>
      </c>
      <c r="AN11" s="28">
        <f t="shared" si="0"/>
        <v>2.6027066708762536E-3</v>
      </c>
      <c r="AO11" s="28">
        <f t="shared" si="0"/>
        <v>2.8025006376124484E-3</v>
      </c>
      <c r="AP11" s="28">
        <f t="shared" si="0"/>
        <v>2.7922804817983593E-3</v>
      </c>
      <c r="AQ11" s="29">
        <f t="shared" si="2"/>
        <v>3.1506145181407819E-2</v>
      </c>
      <c r="AR11" s="15"/>
      <c r="AS11" s="15"/>
    </row>
    <row r="12" spans="1:45">
      <c r="A12" s="23">
        <v>38989</v>
      </c>
      <c r="B12" s="26">
        <v>11360.92</v>
      </c>
      <c r="C12" s="31">
        <f t="shared" si="3"/>
        <v>4.3552683430815734E-3</v>
      </c>
      <c r="D12" s="25"/>
      <c r="E12" s="25"/>
      <c r="F12" s="25"/>
      <c r="O12" s="9">
        <v>2015</v>
      </c>
      <c r="P12" s="26">
        <v>16325.65</v>
      </c>
      <c r="Q12" s="26">
        <v>16363.77</v>
      </c>
      <c r="R12" s="26">
        <v>16407.490000000002</v>
      </c>
      <c r="S12" s="26">
        <v>16448.59</v>
      </c>
      <c r="T12" s="26">
        <v>16488.37</v>
      </c>
      <c r="U12" s="26">
        <v>16532.38</v>
      </c>
      <c r="V12" s="26">
        <v>16575.11</v>
      </c>
      <c r="W12" s="26">
        <v>16617.939999999999</v>
      </c>
      <c r="X12" s="26">
        <v>16659.580000000002</v>
      </c>
      <c r="Y12" s="26">
        <v>16702.939999999999</v>
      </c>
      <c r="Z12" s="26">
        <v>16749.75</v>
      </c>
      <c r="AA12" s="26">
        <v>16796.52</v>
      </c>
      <c r="AC12" s="12"/>
      <c r="AD12" s="20">
        <v>2016</v>
      </c>
      <c r="AE12" s="21">
        <f t="shared" si="1"/>
        <v>2.9214384884488354E-3</v>
      </c>
      <c r="AF12" s="21">
        <f t="shared" si="0"/>
        <v>3.0180005568223311E-3</v>
      </c>
      <c r="AG12" s="21">
        <f t="shared" si="0"/>
        <v>3.0183890916601896E-3</v>
      </c>
      <c r="AH12" s="21">
        <f t="shared" si="0"/>
        <v>2.8228468859290423E-3</v>
      </c>
      <c r="AI12" s="21">
        <f t="shared" si="0"/>
        <v>3.1161611436594239E-3</v>
      </c>
      <c r="AJ12" s="21">
        <f t="shared" si="0"/>
        <v>2.9205377918999353E-3</v>
      </c>
      <c r="AK12" s="21">
        <f t="shared" si="0"/>
        <v>3.0178932999258556E-3</v>
      </c>
      <c r="AL12" s="21">
        <f t="shared" si="0"/>
        <v>3.0181426760478303E-3</v>
      </c>
      <c r="AM12" s="21">
        <f t="shared" si="0"/>
        <v>2.9247653385948702E-3</v>
      </c>
      <c r="AN12" s="21">
        <f t="shared" si="0"/>
        <v>3.013617796285617E-3</v>
      </c>
      <c r="AO12" s="21">
        <f t="shared" si="0"/>
        <v>2.9201880756000165E-3</v>
      </c>
      <c r="AP12" s="21">
        <f t="shared" si="0"/>
        <v>3.0401844854939242E-3</v>
      </c>
      <c r="AQ12" s="22">
        <f>AA13/AA12-1</f>
        <v>3.6343837890229658E-2</v>
      </c>
      <c r="AR12" s="32"/>
      <c r="AS12" s="15"/>
    </row>
    <row r="13" spans="1:45">
      <c r="A13" s="23">
        <v>39021</v>
      </c>
      <c r="B13" s="26">
        <v>11413.02</v>
      </c>
      <c r="C13" s="31">
        <f t="shared" si="3"/>
        <v>4.2992776993412002E-3</v>
      </c>
      <c r="D13" s="25"/>
      <c r="E13" s="25"/>
      <c r="F13" s="25"/>
      <c r="O13" s="9">
        <v>2016</v>
      </c>
      <c r="P13" s="26">
        <v>16845.59</v>
      </c>
      <c r="Q13" s="26">
        <v>16896.43</v>
      </c>
      <c r="R13" s="26">
        <v>16947.43</v>
      </c>
      <c r="S13" s="26">
        <v>16995.27</v>
      </c>
      <c r="T13" s="26">
        <v>17048.23</v>
      </c>
      <c r="U13" s="26">
        <v>17098.02</v>
      </c>
      <c r="V13" s="26">
        <v>17149.62</v>
      </c>
      <c r="W13" s="26">
        <v>17201.38</v>
      </c>
      <c r="X13" s="26">
        <v>17251.689999999999</v>
      </c>
      <c r="Y13" s="26">
        <f>+B135</f>
        <v>17303.68</v>
      </c>
      <c r="Z13" s="26">
        <f>+B136</f>
        <v>17354.21</v>
      </c>
      <c r="AA13" s="26">
        <f>+B137</f>
        <v>17406.97</v>
      </c>
      <c r="AC13" s="12"/>
      <c r="AD13" s="27">
        <v>2017</v>
      </c>
      <c r="AE13" s="28">
        <f t="shared" si="1"/>
        <v>2.8965408683991889E-3</v>
      </c>
      <c r="AF13" s="28">
        <f t="shared" ref="AF13:AL14" si="4">+Q14/P14-1</f>
        <v>2.5015194138413577E-3</v>
      </c>
      <c r="AG13" s="28">
        <f t="shared" si="4"/>
        <v>2.702122042893329E-3</v>
      </c>
      <c r="AH13" s="28">
        <f t="shared" si="4"/>
        <v>2.254912855054636E-3</v>
      </c>
      <c r="AI13" s="28">
        <f t="shared" si="4"/>
        <v>2.4374684442505234E-3</v>
      </c>
      <c r="AJ13" s="28">
        <f t="shared" si="4"/>
        <v>2.0872575760926271E-3</v>
      </c>
      <c r="AK13" s="28">
        <f t="shared" si="4"/>
        <v>2.1564910664102488E-3</v>
      </c>
      <c r="AL13" s="28">
        <f>+W14/V14-1</f>
        <v>2.1541097805284348E-3</v>
      </c>
      <c r="AM13" s="28">
        <f>+X14/W14-1</f>
        <v>2.0825098076344695E-3</v>
      </c>
      <c r="AN13" s="28">
        <f>+Y14/X14-1</f>
        <v>2.1578522613547868E-3</v>
      </c>
      <c r="AO13" s="28">
        <f>+Z14/Y14-1</f>
        <v>2.0859580844203585E-3</v>
      </c>
      <c r="AP13" s="28">
        <f>+AA14/Z14-1</f>
        <v>9.0276159925450905E-4</v>
      </c>
      <c r="AQ13" s="29">
        <f>AA14/AA13-1</f>
        <v>2.6740437882066592E-2</v>
      </c>
      <c r="AR13" s="32"/>
      <c r="AS13" s="15"/>
    </row>
    <row r="14" spans="1:45">
      <c r="A14" s="23">
        <v>39051</v>
      </c>
      <c r="B14" s="26">
        <v>11463.01</v>
      </c>
      <c r="C14" s="31">
        <f t="shared" si="3"/>
        <v>4.3800852009372448E-3</v>
      </c>
      <c r="D14" s="25"/>
      <c r="E14" s="25"/>
      <c r="F14" s="25"/>
      <c r="O14" s="9">
        <v>2017</v>
      </c>
      <c r="P14" s="26">
        <f>+B138</f>
        <v>17457.39</v>
      </c>
      <c r="Q14" s="26">
        <f>+B139</f>
        <v>17501.060000000001</v>
      </c>
      <c r="R14" s="26">
        <f>+B140</f>
        <v>17548.349999999999</v>
      </c>
      <c r="S14" s="26">
        <f>+B141</f>
        <v>17587.919999999998</v>
      </c>
      <c r="T14" s="26">
        <f>+B142</f>
        <v>17630.79</v>
      </c>
      <c r="U14" s="26">
        <f>+$B143</f>
        <v>17667.59</v>
      </c>
      <c r="V14" s="26">
        <f>+$B144</f>
        <v>17705.689999999999</v>
      </c>
      <c r="W14" s="26">
        <f>+$B145</f>
        <v>17743.830000000002</v>
      </c>
      <c r="X14" s="26">
        <f>+$B146</f>
        <v>17780.7817</v>
      </c>
      <c r="Y14" s="26">
        <f>+$B147</f>
        <v>17819.150000000001</v>
      </c>
      <c r="Z14" s="26">
        <f>+$B148</f>
        <v>17856.32</v>
      </c>
      <c r="AA14" s="26">
        <f>+$B149</f>
        <v>17872.439999999999</v>
      </c>
      <c r="AC14" s="12"/>
      <c r="AD14" s="20">
        <v>2018</v>
      </c>
      <c r="AE14" s="21">
        <f>P15/AA14-1</f>
        <v>3.4041238913098404E-3</v>
      </c>
      <c r="AF14" s="21">
        <f t="shared" si="4"/>
        <v>1.9421990846071324E-3</v>
      </c>
      <c r="AG14" s="21">
        <f t="shared" si="4"/>
        <v>2.154928926859867E-3</v>
      </c>
      <c r="AH14" s="21">
        <f t="shared" si="4"/>
        <v>2.0781003652501351E-3</v>
      </c>
      <c r="AI14" s="21">
        <f t="shared" si="4"/>
        <v>2.1402939994734638E-3</v>
      </c>
      <c r="AJ14" s="21">
        <f t="shared" si="4"/>
        <v>2.0877493450983664E-3</v>
      </c>
      <c r="AK14" s="33">
        <f t="shared" si="4"/>
        <v>2.1543134072796732E-3</v>
      </c>
      <c r="AL14" s="33">
        <f t="shared" si="4"/>
        <v>2.1454146167934063E-3</v>
      </c>
      <c r="AM14" s="33">
        <f t="shared" ref="AM14:AP16" si="5">+X15/W15-1</f>
        <v>2.0485069747047113E-3</v>
      </c>
      <c r="AN14" s="66">
        <f t="shared" si="5"/>
        <v>2.2757308386205377E-3</v>
      </c>
      <c r="AO14" s="66">
        <f t="shared" si="5"/>
        <v>2.2929957214921082E-3</v>
      </c>
      <c r="AP14" s="66">
        <f t="shared" si="5"/>
        <v>2.3676655943918323E-3</v>
      </c>
      <c r="AQ14" s="22">
        <f>+AA15/AA14-1</f>
        <v>2.7430166222407459E-2</v>
      </c>
      <c r="AR14" s="32"/>
      <c r="AS14" s="15"/>
    </row>
    <row r="15" spans="1:45">
      <c r="A15" s="23">
        <v>39080</v>
      </c>
      <c r="B15" s="26">
        <v>11512.49</v>
      </c>
      <c r="C15" s="31">
        <f t="shared" si="3"/>
        <v>4.4653373674585772E-3</v>
      </c>
      <c r="D15" s="25"/>
      <c r="E15" s="25"/>
      <c r="F15" s="25"/>
      <c r="O15" s="9">
        <v>2018</v>
      </c>
      <c r="P15" s="9">
        <f>+B150</f>
        <v>17933.28</v>
      </c>
      <c r="Q15" s="9">
        <f>+B151</f>
        <v>17968.11</v>
      </c>
      <c r="R15" s="9">
        <f>+B152</f>
        <v>18006.830000000002</v>
      </c>
      <c r="S15" s="9">
        <f>+B153</f>
        <v>18044.25</v>
      </c>
      <c r="T15" s="24">
        <f>+B154</f>
        <v>18082.87</v>
      </c>
      <c r="U15" s="25">
        <f>+B155</f>
        <v>18120.622499999998</v>
      </c>
      <c r="V15" s="24">
        <f>+B156</f>
        <v>18159.66</v>
      </c>
      <c r="W15" s="24">
        <f>+B157</f>
        <v>18198.62</v>
      </c>
      <c r="X15" s="24">
        <f>+B158</f>
        <v>18235.900000000001</v>
      </c>
      <c r="Y15" s="34">
        <f>+B159</f>
        <v>18277.400000000001</v>
      </c>
      <c r="Z15" s="64">
        <f>+B160</f>
        <v>18319.310000000001</v>
      </c>
      <c r="AA15" s="9">
        <f>+B161</f>
        <v>18362.684000000001</v>
      </c>
      <c r="AC15" s="12"/>
      <c r="AD15" s="27">
        <v>2019</v>
      </c>
      <c r="AE15" s="28">
        <f>+P16/AA15-1</f>
        <v>2.4509488917849875E-3</v>
      </c>
      <c r="AF15" s="28">
        <f t="shared" ref="AF15:AL16" si="6">+Q16/P16-1</f>
        <v>2.2528627981024396E-3</v>
      </c>
      <c r="AG15" s="28">
        <f t="shared" si="6"/>
        <v>2.583315446340162E-3</v>
      </c>
      <c r="AH15" s="28">
        <f t="shared" si="6"/>
        <v>2.5004298036095385E-3</v>
      </c>
      <c r="AI15" s="28">
        <f t="shared" si="6"/>
        <v>2.5858717030136091E-3</v>
      </c>
      <c r="AJ15" s="28">
        <f t="shared" si="6"/>
        <v>2.2209647453448333E-3</v>
      </c>
      <c r="AK15" s="28">
        <f t="shared" si="6"/>
        <v>2.1468084204265825E-3</v>
      </c>
      <c r="AL15" s="28">
        <f t="shared" si="6"/>
        <v>2.1550627640607445E-3</v>
      </c>
      <c r="AM15" s="28">
        <f t="shared" si="5"/>
        <v>1.7218390866022837E-3</v>
      </c>
      <c r="AN15" s="28">
        <f t="shared" si="5"/>
        <v>1.6715062388068525E-3</v>
      </c>
      <c r="AO15" s="28">
        <f t="shared" si="5"/>
        <v>1.4213812856365138E-3</v>
      </c>
      <c r="AP15" s="28">
        <f t="shared" si="5"/>
        <v>1.4832905116739514E-3</v>
      </c>
      <c r="AQ15" s="29">
        <f>+(AA16/AA15-1)/COUNTA(AE15:AP15)*12</f>
        <v>2.5486252445448665E-2</v>
      </c>
      <c r="AR15" s="32" t="s">
        <v>24</v>
      </c>
      <c r="AS15" s="15"/>
    </row>
    <row r="16" spans="1:45">
      <c r="A16" s="23">
        <v>39113</v>
      </c>
      <c r="B16" s="26">
        <v>11567.23</v>
      </c>
      <c r="C16" s="31">
        <f t="shared" si="3"/>
        <v>4.3225780316538927E-3</v>
      </c>
      <c r="D16" s="25"/>
      <c r="E16" s="25"/>
      <c r="F16" s="25"/>
      <c r="O16" s="9">
        <v>2019</v>
      </c>
      <c r="P16" s="9">
        <f>+B162</f>
        <v>18407.689999999999</v>
      </c>
      <c r="Q16" s="9">
        <f>+B163</f>
        <v>18449.16</v>
      </c>
      <c r="R16" s="9">
        <f>+B164</f>
        <v>18496.82</v>
      </c>
      <c r="S16" s="9">
        <f>+B165</f>
        <v>18543.07</v>
      </c>
      <c r="T16" s="9">
        <f>+B166</f>
        <v>18591.02</v>
      </c>
      <c r="U16" s="25">
        <f>+B167</f>
        <v>18632.310000000001</v>
      </c>
      <c r="V16" s="25">
        <f>+B168</f>
        <v>18672.310000000001</v>
      </c>
      <c r="W16" s="25">
        <f>+B169</f>
        <v>18712.55</v>
      </c>
      <c r="X16" s="9">
        <f>+B170</f>
        <v>18744.77</v>
      </c>
      <c r="Y16" s="25">
        <f>+B171</f>
        <v>18776.101999999999</v>
      </c>
      <c r="Z16" s="9">
        <f>+B172</f>
        <v>18802.79</v>
      </c>
      <c r="AA16" s="25">
        <f>+B173</f>
        <v>18830.68</v>
      </c>
      <c r="AD16" s="27">
        <v>2020</v>
      </c>
      <c r="AE16" s="28">
        <f>+P17/AA16-1</f>
        <v>1.6558084997462252E-3</v>
      </c>
      <c r="AF16" s="28">
        <f>+Q17/P17-1</f>
        <v>1.3798586141557934E-3</v>
      </c>
      <c r="AG16" s="28">
        <f>+R17/Q17-1</f>
        <v>1.1056451328672612E-3</v>
      </c>
      <c r="AH16" s="28">
        <f>+S17/R17-1</f>
        <v>4.8443129828124043E-4</v>
      </c>
      <c r="AI16" s="28">
        <f t="shared" si="6"/>
        <v>3.8640591227490084E-4</v>
      </c>
      <c r="AJ16" s="28">
        <f t="shared" si="6"/>
        <v>3.904838194919158E-4</v>
      </c>
      <c r="AK16" s="28">
        <f t="shared" si="6"/>
        <v>4.2836098312815096E-4</v>
      </c>
      <c r="AL16" s="28">
        <f t="shared" ref="AL16" si="7">+W17/V17-1</f>
        <v>4.1973016893726012E-4</v>
      </c>
      <c r="AM16" s="28">
        <f t="shared" si="5"/>
        <v>3.9475024394830527E-4</v>
      </c>
      <c r="AN16" s="28">
        <f t="shared" ref="AN16" si="8">+Y17/X17-1</f>
        <v>3.7243810326681448E-4</v>
      </c>
      <c r="AO16" s="28">
        <f t="shared" ref="AO16" si="9">+Z17/Y17-1</f>
        <v>3.2958520252091006E-4</v>
      </c>
      <c r="AP16" s="28">
        <f t="shared" si="5"/>
        <v>3.9010030849562227E-4</v>
      </c>
      <c r="AQ16" s="29">
        <f>+(AA17/AA16-1)/COUNTA(AE16:AP16)*12</f>
        <v>7.7639256787327415E-3</v>
      </c>
      <c r="AR16" s="32"/>
      <c r="AS16" s="15"/>
    </row>
    <row r="17" spans="1:56">
      <c r="A17" s="23">
        <v>39141</v>
      </c>
      <c r="B17" s="26">
        <v>11612.68</v>
      </c>
      <c r="C17" s="31">
        <f t="shared" si="3"/>
        <v>4.2098608371605416E-3</v>
      </c>
      <c r="D17" s="25"/>
      <c r="E17" s="25"/>
      <c r="F17" s="25"/>
      <c r="O17" s="9">
        <v>2020</v>
      </c>
      <c r="P17" s="9">
        <f>+B174</f>
        <v>18861.86</v>
      </c>
      <c r="Q17" s="25">
        <f>+B175</f>
        <v>18887.886699999999</v>
      </c>
      <c r="R17" s="25">
        <f>+B176</f>
        <v>18908.77</v>
      </c>
      <c r="S17" s="25">
        <f>+B177</f>
        <v>18917.93</v>
      </c>
      <c r="T17" s="9">
        <f>+B178</f>
        <v>18925.240000000002</v>
      </c>
      <c r="U17" s="25">
        <f>+B179</f>
        <v>18932.63</v>
      </c>
      <c r="V17" s="25">
        <f>+B180</f>
        <v>18940.740000000002</v>
      </c>
      <c r="W17" s="25">
        <f>+B181</f>
        <v>18948.689999999999</v>
      </c>
      <c r="X17" s="25">
        <f>+B182</f>
        <v>18956.169999999998</v>
      </c>
      <c r="Y17" s="25">
        <f>+B183</f>
        <v>18963.23</v>
      </c>
      <c r="Z17" s="25">
        <f>+B184</f>
        <v>18969.48</v>
      </c>
      <c r="AA17" s="25">
        <f>+B185</f>
        <v>18976.88</v>
      </c>
      <c r="AD17" s="27">
        <v>2021</v>
      </c>
      <c r="AE17" s="28"/>
      <c r="AF17" s="28">
        <f>+C186</f>
        <v>1.6314589121071421E-4</v>
      </c>
      <c r="AG17" s="28">
        <f t="shared" ref="AG17:AP18" si="10">+R18/Q18-1</f>
        <v>2.591303963113134E-4</v>
      </c>
      <c r="AH17" s="28">
        <f t="shared" si="10"/>
        <v>2.943422057235523E-4</v>
      </c>
      <c r="AI17" s="28">
        <f t="shared" si="10"/>
        <v>2.4266874558165341E-4</v>
      </c>
      <c r="AJ17" s="28">
        <f t="shared" si="10"/>
        <v>2.7260718777788462E-4</v>
      </c>
      <c r="AK17" s="28">
        <f t="shared" si="10"/>
        <v>5.0192351401157076E-4</v>
      </c>
      <c r="AL17" s="28">
        <f t="shared" si="10"/>
        <v>6.2893015614950976E-4</v>
      </c>
      <c r="AM17" s="28">
        <f t="shared" si="10"/>
        <v>1.2476101486305069E-3</v>
      </c>
      <c r="AN17" s="28">
        <f t="shared" si="10"/>
        <v>2.0716854607256696E-3</v>
      </c>
      <c r="AO17" s="28">
        <f t="shared" si="10"/>
        <v>2.1412569618350918E-3</v>
      </c>
      <c r="AP17" s="28">
        <f t="shared" si="10"/>
        <v>3.1851611422883952E-3</v>
      </c>
      <c r="AQ17" s="29">
        <f>+(AA18/Q18-1)/COUNTA(AF17:AP17)*12</f>
        <v>1.1883800414436072E-2</v>
      </c>
      <c r="AR17" s="32"/>
      <c r="AS17" s="15"/>
    </row>
    <row r="18" spans="1:56">
      <c r="A18" s="23">
        <v>39171</v>
      </c>
      <c r="B18" s="26">
        <v>11661.5</v>
      </c>
      <c r="C18" s="31">
        <f t="shared" si="3"/>
        <v>4.2040252551520663E-3</v>
      </c>
      <c r="D18" s="25"/>
      <c r="E18" s="25"/>
      <c r="F18" s="25"/>
      <c r="O18" s="9">
        <v>2021</v>
      </c>
      <c r="Q18" s="9">
        <f>+B187</f>
        <v>18986.580000000002</v>
      </c>
      <c r="R18" s="9">
        <f>+B188</f>
        <v>18991.5</v>
      </c>
      <c r="S18" s="9">
        <f>+B189</f>
        <v>18997.09</v>
      </c>
      <c r="T18" s="9">
        <f>+B190</f>
        <v>19001.7</v>
      </c>
      <c r="U18" s="9">
        <f>+B191</f>
        <v>19006.88</v>
      </c>
      <c r="V18" s="9">
        <f>+B192</f>
        <v>19016.419999999998</v>
      </c>
      <c r="W18" s="9">
        <f>+B193</f>
        <v>19028.38</v>
      </c>
      <c r="X18" s="9">
        <f>+B194</f>
        <v>19052.12</v>
      </c>
      <c r="Y18" s="9">
        <f>+B195</f>
        <v>19091.59</v>
      </c>
      <c r="Z18" s="9">
        <f>+B196</f>
        <v>19132.47</v>
      </c>
      <c r="AA18" s="9">
        <f>+B197</f>
        <v>19193.41</v>
      </c>
      <c r="AD18" s="27">
        <v>2022</v>
      </c>
      <c r="AE18" s="28">
        <f>+P19/AA18-1</f>
        <v>3.4355541823989366E-3</v>
      </c>
      <c r="AF18" s="28">
        <f t="shared" ref="AF18:AP19" si="11">+Q19/P19-1</f>
        <v>4.2862298052634973E-3</v>
      </c>
      <c r="AG18" s="28">
        <f t="shared" si="11"/>
        <v>4.8314798442756768E-3</v>
      </c>
      <c r="AH18" s="28">
        <f t="shared" si="11"/>
        <v>5.4524358964465058E-3</v>
      </c>
      <c r="AI18" s="28">
        <f t="shared" si="10"/>
        <v>7.1131325826505609E-3</v>
      </c>
      <c r="AJ18" s="28">
        <f t="shared" si="10"/>
        <v>7.3596364286758753E-3</v>
      </c>
      <c r="AK18" s="28">
        <f t="shared" ref="AK18" si="12">+V19/U19-1</f>
        <v>7.5893460632852072E-3</v>
      </c>
      <c r="AL18" s="28">
        <f t="shared" ref="AL18" si="13">+W19/V19-1</f>
        <v>8.9759416728991681E-3</v>
      </c>
      <c r="AM18" s="28">
        <f t="shared" si="10"/>
        <v>8.7998364667287721E-3</v>
      </c>
      <c r="AN18" s="28">
        <f t="shared" si="10"/>
        <v>8.6030686179809912E-3</v>
      </c>
      <c r="AO18" s="28">
        <f t="shared" si="10"/>
        <v>1.036123897948027E-2</v>
      </c>
      <c r="AP18" s="28">
        <f t="shared" si="10"/>
        <v>9.416651222412753E-3</v>
      </c>
      <c r="AQ18" s="29">
        <f>+(AA19/AA18-1)/COUNTA(AE18:AP18)*12</f>
        <v>8.9685991181348346E-2</v>
      </c>
      <c r="AR18" s="32"/>
      <c r="AS18" s="15"/>
      <c r="AV18" s="34"/>
      <c r="AW18" s="34"/>
      <c r="AX18" s="34">
        <v>-1</v>
      </c>
      <c r="AY18" s="34">
        <v>-3</v>
      </c>
      <c r="AZ18" s="34">
        <v>-6</v>
      </c>
      <c r="BA18" s="34">
        <v>-12</v>
      </c>
      <c r="BB18" s="34"/>
    </row>
    <row r="19" spans="1:56">
      <c r="A19" s="23">
        <v>39202</v>
      </c>
      <c r="B19" s="26">
        <v>11712.58</v>
      </c>
      <c r="C19" s="31">
        <f t="shared" si="3"/>
        <v>4.2389279307565274E-3</v>
      </c>
      <c r="D19" s="25"/>
      <c r="E19" s="25"/>
      <c r="F19" s="25"/>
      <c r="O19" s="9">
        <v>2022</v>
      </c>
      <c r="P19" s="9">
        <f>+B198</f>
        <v>19259.349999999999</v>
      </c>
      <c r="Q19" s="25">
        <f>+B199</f>
        <v>19341.900000000001</v>
      </c>
      <c r="R19" s="9">
        <f>+B200</f>
        <v>19435.349999999999</v>
      </c>
      <c r="S19" s="9">
        <f>+B201</f>
        <v>19541.32</v>
      </c>
      <c r="T19" s="9">
        <f>+B202</f>
        <v>19680.32</v>
      </c>
      <c r="U19" s="9">
        <f>+B203</f>
        <v>19825.16</v>
      </c>
      <c r="V19" s="9">
        <f>+B204</f>
        <v>19975.62</v>
      </c>
      <c r="W19" s="9">
        <f>+B205</f>
        <v>20154.919999999998</v>
      </c>
      <c r="X19" s="9">
        <f>+B206</f>
        <v>20332.28</v>
      </c>
      <c r="Y19" s="9">
        <f>+B207</f>
        <v>20507.2</v>
      </c>
      <c r="Z19" s="9">
        <f>+B208</f>
        <v>20719.68</v>
      </c>
      <c r="AA19" s="9">
        <f>+B209</f>
        <v>20914.79</v>
      </c>
      <c r="AD19" s="27">
        <v>2023</v>
      </c>
      <c r="AE19" s="28">
        <f>+P20/AA19-1</f>
        <v>1.004695720110016E-2</v>
      </c>
      <c r="AF19" s="28">
        <f t="shared" si="11"/>
        <v>8.7853587137844968E-3</v>
      </c>
      <c r="AG19" s="28">
        <f t="shared" si="11"/>
        <v>9.7318177744223355E-3</v>
      </c>
      <c r="AH19" s="28">
        <f t="shared" si="11"/>
        <v>8.7852439132070081E-3</v>
      </c>
      <c r="AI19" s="28">
        <f t="shared" si="11"/>
        <v>1.036166313630571E-2</v>
      </c>
      <c r="AJ19" s="28">
        <f t="shared" si="11"/>
        <v>9.4150701308506335E-3</v>
      </c>
      <c r="AK19" s="28">
        <f t="shared" si="11"/>
        <v>9.7315292241744178E-3</v>
      </c>
      <c r="AL19" s="28">
        <f t="shared" si="11"/>
        <v>8.8633739513521714E-3</v>
      </c>
      <c r="AM19" s="28">
        <f t="shared" si="11"/>
        <v>7.7953451413450559E-3</v>
      </c>
      <c r="AN19" s="28">
        <f t="shared" si="11"/>
        <v>8.4601535041790576E-3</v>
      </c>
      <c r="AO19" s="28">
        <f t="shared" si="11"/>
        <v>7.5266143106456074E-3</v>
      </c>
      <c r="AP19" s="28">
        <f t="shared" si="11"/>
        <v>7.0819499482732695E-3</v>
      </c>
      <c r="AQ19" s="29">
        <f>+(AA20/AA19-1)/COUNTA(AE19:AP19)*12</f>
        <v>0.11194279263621576</v>
      </c>
      <c r="AR19" s="32"/>
      <c r="AS19" s="15"/>
      <c r="AV19" s="36" t="s">
        <v>25</v>
      </c>
      <c r="AW19" s="79">
        <v>46142</v>
      </c>
      <c r="AX19" s="37">
        <f>EOMONTH($AW19,AX18)</f>
        <v>46112</v>
      </c>
      <c r="AY19" s="37">
        <f>EOMONTH($AW19,AY18)</f>
        <v>46053</v>
      </c>
      <c r="AZ19" s="37">
        <f>EOMONTH($AW19,AZ18)</f>
        <v>45961</v>
      </c>
      <c r="BA19" s="37">
        <f>EOMONTH($AW19,BA18)</f>
        <v>45777</v>
      </c>
      <c r="BB19" s="37">
        <v>43100</v>
      </c>
    </row>
    <row r="20" spans="1:56">
      <c r="A20" s="23">
        <v>39233</v>
      </c>
      <c r="B20" s="26">
        <v>11763.78</v>
      </c>
      <c r="C20" s="31">
        <f t="shared" si="3"/>
        <v>4.2303563430751683E-3</v>
      </c>
      <c r="D20" s="25"/>
      <c r="E20" s="25"/>
      <c r="F20" s="25"/>
      <c r="O20" s="9">
        <v>2023</v>
      </c>
      <c r="P20" s="9">
        <f>+B210</f>
        <v>21124.92</v>
      </c>
      <c r="Q20" s="25">
        <f>+B211</f>
        <v>21310.51</v>
      </c>
      <c r="R20" s="9">
        <f>+B212</f>
        <v>21517.9</v>
      </c>
      <c r="S20" s="9">
        <f>+B213</f>
        <v>21706.94</v>
      </c>
      <c r="T20" s="9">
        <f>+B214</f>
        <v>21931.86</v>
      </c>
      <c r="U20" s="9">
        <f>+B215</f>
        <v>22138.35</v>
      </c>
      <c r="V20" s="9">
        <f>+B216</f>
        <v>22353.79</v>
      </c>
      <c r="W20" s="9">
        <f>+B217</f>
        <v>22551.919999999998</v>
      </c>
      <c r="X20" s="9">
        <f>+B218</f>
        <v>22727.72</v>
      </c>
      <c r="Y20" s="25">
        <f>+B219</f>
        <v>22920</v>
      </c>
      <c r="Z20" s="9">
        <f>+B220</f>
        <v>23092.51</v>
      </c>
      <c r="AA20" s="9">
        <f>+B221</f>
        <v>23256.05</v>
      </c>
      <c r="AD20" s="27">
        <v>2024</v>
      </c>
      <c r="AE20" s="28">
        <f>+P21/AA20-1</f>
        <v>7.3572253241631635E-3</v>
      </c>
      <c r="AF20" s="28">
        <f t="shared" ref="AF20:AP20" si="14">+Q21/P21-1</f>
        <v>6.1121391206355735E-3</v>
      </c>
      <c r="AG20" s="28">
        <f t="shared" si="14"/>
        <v>5.6473517140609442E-3</v>
      </c>
      <c r="AH20" s="28">
        <f t="shared" si="14"/>
        <v>6.0927839618283297E-3</v>
      </c>
      <c r="AI20" s="28">
        <f t="shared" si="14"/>
        <v>5.5141192903180869E-3</v>
      </c>
      <c r="AJ20" s="28">
        <f t="shared" si="14"/>
        <v>4.6135490632155385E-3</v>
      </c>
      <c r="AK20" s="28">
        <f t="shared" si="14"/>
        <v>5.2843503528434699E-3</v>
      </c>
      <c r="AL20" s="28">
        <f t="shared" si="14"/>
        <v>4.8023520375928275E-3</v>
      </c>
      <c r="AM20" s="28">
        <f t="shared" si="14"/>
        <v>4.7810434954138614E-3</v>
      </c>
      <c r="AN20" s="28">
        <f t="shared" si="14"/>
        <v>4.510440516418468E-3</v>
      </c>
      <c r="AO20" s="28">
        <f t="shared" si="14"/>
        <v>4.3843255475723986E-3</v>
      </c>
      <c r="AP20" s="28">
        <f t="shared" si="14"/>
        <v>4.4462641732778696E-3</v>
      </c>
      <c r="AQ20" s="29">
        <f>+(AA21/AA20-1)/COUNTA(AE20:AP20)*12</f>
        <v>6.5425125934971851E-2</v>
      </c>
      <c r="AR20" s="15"/>
      <c r="AS20" s="15"/>
      <c r="AV20" s="34" t="s">
        <v>3</v>
      </c>
      <c r="AW20" s="39">
        <f t="shared" ref="AW20:BB20" si="15">LOOKUP(AW19,$A$3:$A$2978,$B$3:$B$2978)</f>
        <v>26432.560000000001</v>
      </c>
      <c r="AX20" s="39">
        <f>LOOKUP(AX19,$A$3:$A$2978,$B$3:$B$2978)</f>
        <v>26333.64</v>
      </c>
      <c r="AY20" s="39">
        <f t="shared" si="15"/>
        <v>26136.9</v>
      </c>
      <c r="AZ20" s="39">
        <f t="shared" si="15"/>
        <v>25829.5</v>
      </c>
      <c r="BA20" s="39">
        <f t="shared" si="15"/>
        <v>25197.48</v>
      </c>
      <c r="BB20" s="39">
        <f t="shared" si="15"/>
        <v>17872.439999999999</v>
      </c>
    </row>
    <row r="21" spans="1:56">
      <c r="A21" s="23">
        <v>39262</v>
      </c>
      <c r="B21" s="26">
        <v>11812.23</v>
      </c>
      <c r="C21" s="31">
        <f t="shared" si="3"/>
        <v>4.2605939294319117E-3</v>
      </c>
      <c r="D21" s="25"/>
      <c r="E21" s="25"/>
      <c r="F21" s="25"/>
      <c r="O21" s="9">
        <v>2024</v>
      </c>
      <c r="P21" s="9">
        <f>+B222</f>
        <v>23427.15</v>
      </c>
      <c r="Q21" s="25">
        <f>+B223</f>
        <v>23570.34</v>
      </c>
      <c r="R21" s="9">
        <f>+B224</f>
        <v>23703.45</v>
      </c>
      <c r="S21" s="9">
        <f>+B225</f>
        <v>23847.87</v>
      </c>
      <c r="T21" s="9">
        <f>+B226</f>
        <v>23979.37</v>
      </c>
      <c r="U21" s="25">
        <f>+B227</f>
        <v>24090</v>
      </c>
      <c r="V21" s="9">
        <f>+B228</f>
        <v>24217.3</v>
      </c>
      <c r="W21" s="9">
        <f>+B229</f>
        <v>24333.599999999999</v>
      </c>
      <c r="X21" s="9">
        <f>+B230</f>
        <v>24449.94</v>
      </c>
      <c r="Y21" s="25">
        <f>+B231</f>
        <v>24560.22</v>
      </c>
      <c r="Z21" s="9">
        <f>+B232</f>
        <v>24667.9</v>
      </c>
      <c r="AA21" s="9">
        <f>+B233</f>
        <v>24777.58</v>
      </c>
      <c r="AD21" s="27">
        <v>2025</v>
      </c>
      <c r="AE21" s="28">
        <f>+P22/AA21-1</f>
        <v>4.4544301743754122E-3</v>
      </c>
      <c r="AF21" s="28">
        <f t="shared" ref="AF21:AP22" si="16">+Q22/P22-1</f>
        <v>3.8962630509944418E-3</v>
      </c>
      <c r="AG21" s="28">
        <f t="shared" si="16"/>
        <v>4.3138020854180947E-3</v>
      </c>
      <c r="AH21" s="28">
        <f t="shared" si="16"/>
        <v>4.175716443427735E-3</v>
      </c>
      <c r="AI21" s="28">
        <f t="shared" si="16"/>
        <v>4.1742269465041559E-3</v>
      </c>
      <c r="AJ21" s="28">
        <f t="shared" si="16"/>
        <v>4.3145661365249222E-3</v>
      </c>
      <c r="AK21" s="28">
        <f t="shared" si="16"/>
        <v>4.3062620834468657E-3</v>
      </c>
      <c r="AL21" s="28">
        <f t="shared" si="16"/>
        <v>3.8332746894158554E-3</v>
      </c>
      <c r="AM21" s="28">
        <f t="shared" si="16"/>
        <v>4.230048764417349E-3</v>
      </c>
      <c r="AN21" s="28">
        <f t="shared" si="16"/>
        <v>3.9661902107710478E-3</v>
      </c>
      <c r="AO21" s="28">
        <f t="shared" si="16"/>
        <v>3.8324396523354842E-3</v>
      </c>
      <c r="AP21" s="28">
        <f t="shared" si="16"/>
        <v>4.1394620357759759E-3</v>
      </c>
      <c r="AQ21" s="29">
        <f>+(AA22/P22-1)/COUNTA(AE21:AP21)*12</f>
        <v>4.6121516637569471E-2</v>
      </c>
      <c r="AV21" s="34" t="s">
        <v>26</v>
      </c>
      <c r="AW21" s="39">
        <f>LOOKUP(AW19,$F$2:$F$2979,$K$2:$K$2979)</f>
        <v>6351.9305000000004</v>
      </c>
      <c r="AX21" s="39">
        <f t="shared" ref="AX21:BB21" si="17">LOOKUP(AX19,$F$2:$F$2979,$K$2:$K$2979)</f>
        <v>6335.4773999999998</v>
      </c>
      <c r="AY21" s="39">
        <f t="shared" si="17"/>
        <v>6303.0823</v>
      </c>
      <c r="AZ21" s="39">
        <f t="shared" si="17"/>
        <v>6250.6981999999998</v>
      </c>
      <c r="BA21" s="39">
        <f t="shared" si="17"/>
        <v>6141.4105</v>
      </c>
      <c r="BB21" s="39">
        <f t="shared" si="17"/>
        <v>1066.0204000000001</v>
      </c>
    </row>
    <row r="22" spans="1:56">
      <c r="A22" s="23">
        <v>39294</v>
      </c>
      <c r="B22" s="26">
        <v>11866.53</v>
      </c>
      <c r="C22" s="31">
        <f t="shared" si="3"/>
        <v>4.3096223151768004E-3</v>
      </c>
      <c r="D22" s="25"/>
      <c r="E22" s="25"/>
      <c r="F22" s="25"/>
      <c r="O22" s="9">
        <v>2025</v>
      </c>
      <c r="P22" s="9">
        <f>+B234</f>
        <v>24887.95</v>
      </c>
      <c r="Q22" s="25">
        <f>+B235</f>
        <v>24984.92</v>
      </c>
      <c r="R22" s="9">
        <f>+B236</f>
        <v>25092.7</v>
      </c>
      <c r="S22" s="9">
        <f>+B237</f>
        <v>25197.48</v>
      </c>
      <c r="T22" s="9">
        <f>+B238</f>
        <v>25302.66</v>
      </c>
      <c r="U22" s="25">
        <f>+B239</f>
        <v>25411.83</v>
      </c>
      <c r="V22" s="9">
        <f>+B240</f>
        <v>25521.26</v>
      </c>
      <c r="W22" s="9">
        <f>+B241</f>
        <v>25619.09</v>
      </c>
      <c r="X22" s="9">
        <f>+B242</f>
        <v>25727.46</v>
      </c>
      <c r="Y22" s="25">
        <f>+B243</f>
        <v>25829.5</v>
      </c>
      <c r="Z22" s="9">
        <f>+B244</f>
        <v>25928.49</v>
      </c>
      <c r="AA22" s="9">
        <f>+B245</f>
        <v>26035.82</v>
      </c>
      <c r="AD22" s="27">
        <v>2026</v>
      </c>
      <c r="AE22" s="28">
        <f>+P23/AA22-1</f>
        <v>3.8823436327337646E-3</v>
      </c>
      <c r="AF22" s="28">
        <f>+Q23/P23-1</f>
        <v>3.6312646105696178E-3</v>
      </c>
      <c r="AG22" s="28">
        <f t="shared" ref="AG22" si="18">+R23/Q23-1</f>
        <v>3.881928086548303E-3</v>
      </c>
      <c r="AH22" s="28">
        <f>+S23/R23-1</f>
        <v>3.7564119506456883E-3</v>
      </c>
      <c r="AI22" s="15"/>
      <c r="AJ22" s="15"/>
      <c r="AK22" s="15"/>
      <c r="AL22" s="15"/>
      <c r="AM22" s="15"/>
      <c r="AN22" s="15"/>
      <c r="AO22" s="15"/>
      <c r="AP22" s="15"/>
      <c r="AQ22" s="29">
        <f>+(S23/P23-1)/COUNTA(AE22:AP22)*12</f>
        <v>3.393592966266068E-2</v>
      </c>
      <c r="AV22" s="34" t="s">
        <v>27</v>
      </c>
      <c r="AW22" s="39">
        <f t="shared" ref="AW22:BB22" si="19">LOOKUP(AW19,$F$2:$F$2977,$H$2:$H$2977)</f>
        <v>1321.7646480820058</v>
      </c>
      <c r="AX22" s="39">
        <f t="shared" si="19"/>
        <v>1313.8608480820058</v>
      </c>
      <c r="AY22" s="39">
        <f>LOOKUP(AY19,$F$2:$F$2977,$H$2:$H$2977)</f>
        <v>1298.4768480820057</v>
      </c>
      <c r="AZ22" s="39">
        <f>LOOKUP(AZ19,$F$2:$F$2977,$H$2:$H$2977)</f>
        <v>1275.6105480820058</v>
      </c>
      <c r="BA22" s="39">
        <f t="shared" si="19"/>
        <v>1231.0962480820058</v>
      </c>
      <c r="BB22" s="39">
        <f t="shared" si="19"/>
        <v>0</v>
      </c>
    </row>
    <row r="23" spans="1:56">
      <c r="A23" s="23"/>
      <c r="B23" s="26"/>
      <c r="C23" s="31"/>
      <c r="D23" s="25"/>
      <c r="E23" s="25"/>
      <c r="F23" s="25"/>
      <c r="O23" s="9">
        <v>2026</v>
      </c>
      <c r="P23" s="9">
        <f>+B246</f>
        <v>26136.9</v>
      </c>
      <c r="Q23" s="25">
        <f>+B247</f>
        <v>26231.81</v>
      </c>
      <c r="R23" s="25">
        <f>+B248</f>
        <v>26333.64</v>
      </c>
      <c r="S23" s="25">
        <f>+B249</f>
        <v>26432.560000000001</v>
      </c>
      <c r="U23" s="25"/>
      <c r="Y23" s="25"/>
      <c r="AD23" s="32" t="s">
        <v>28</v>
      </c>
      <c r="AE23" s="15"/>
      <c r="AF23" s="15"/>
      <c r="AG23" s="15"/>
      <c r="AH23" s="15"/>
      <c r="AI23" s="15"/>
      <c r="AJ23" s="15"/>
      <c r="AK23" s="15"/>
      <c r="AL23" s="15"/>
      <c r="AM23" s="15"/>
      <c r="AN23" s="15"/>
      <c r="AO23" s="15"/>
      <c r="AP23" s="15"/>
      <c r="AQ23" s="15"/>
      <c r="AV23" s="34"/>
      <c r="AW23" s="39"/>
      <c r="AX23" s="39"/>
      <c r="AY23" s="39"/>
      <c r="AZ23" s="39"/>
      <c r="BA23" s="39"/>
      <c r="BB23" s="39"/>
    </row>
    <row r="24" spans="1:56">
      <c r="A24" s="23">
        <v>39325</v>
      </c>
      <c r="B24" s="26">
        <v>11922.48</v>
      </c>
      <c r="C24" s="31">
        <f>(B24/B22-1)/(A24-A22)*30</f>
        <v>4.5628470404002561E-3</v>
      </c>
      <c r="D24" s="25"/>
      <c r="E24" s="25"/>
      <c r="F24" s="25"/>
      <c r="P24" s="16">
        <v>31</v>
      </c>
      <c r="Q24" s="16">
        <v>28</v>
      </c>
      <c r="R24" s="16">
        <v>31</v>
      </c>
      <c r="S24" s="16">
        <v>30</v>
      </c>
      <c r="T24" s="16">
        <v>31</v>
      </c>
      <c r="U24" s="16">
        <v>30</v>
      </c>
      <c r="V24" s="16">
        <v>31</v>
      </c>
      <c r="W24" s="16">
        <v>31</v>
      </c>
      <c r="X24" s="16">
        <v>30</v>
      </c>
      <c r="Y24" s="16">
        <v>31</v>
      </c>
      <c r="Z24" s="16">
        <v>30</v>
      </c>
      <c r="AA24" s="16">
        <v>31</v>
      </c>
      <c r="AV24" s="34"/>
      <c r="AW24" s="34"/>
      <c r="AX24" s="34"/>
      <c r="AY24" s="34"/>
      <c r="AZ24" s="34"/>
      <c r="BA24" s="34"/>
      <c r="BB24" s="34"/>
    </row>
    <row r="25" spans="1:56">
      <c r="A25" s="23">
        <v>39353</v>
      </c>
      <c r="B25" s="26">
        <v>11975.61</v>
      </c>
      <c r="C25" s="31">
        <f t="shared" si="3"/>
        <v>4.7745938764419994E-3</v>
      </c>
      <c r="D25" s="25"/>
      <c r="E25" s="25"/>
      <c r="F25" s="25"/>
      <c r="P25" s="16">
        <v>1</v>
      </c>
      <c r="Q25" s="16">
        <v>2</v>
      </c>
      <c r="R25" s="16">
        <v>3</v>
      </c>
      <c r="S25" s="16">
        <v>4</v>
      </c>
      <c r="T25" s="16">
        <v>5</v>
      </c>
      <c r="U25" s="16">
        <v>6</v>
      </c>
      <c r="V25" s="16">
        <v>7</v>
      </c>
      <c r="W25" s="16">
        <v>8</v>
      </c>
      <c r="X25" s="16">
        <v>9</v>
      </c>
      <c r="Y25" s="16">
        <v>10</v>
      </c>
      <c r="Z25" s="16">
        <v>11</v>
      </c>
      <c r="AA25" s="16">
        <v>12</v>
      </c>
      <c r="AR25" s="15"/>
      <c r="AS25" s="15"/>
    </row>
    <row r="26" spans="1:56">
      <c r="A26" s="23">
        <v>39386</v>
      </c>
      <c r="B26" s="26">
        <v>12038.9</v>
      </c>
      <c r="C26" s="31">
        <f t="shared" si="3"/>
        <v>4.8044620387907326E-3</v>
      </c>
      <c r="D26" s="25"/>
      <c r="E26" s="25"/>
      <c r="F26" s="25"/>
      <c r="O26" s="38" t="s">
        <v>29</v>
      </c>
      <c r="P26" s="9" t="s">
        <v>4</v>
      </c>
      <c r="Q26" s="9" t="s">
        <v>5</v>
      </c>
      <c r="R26" s="9" t="s">
        <v>6</v>
      </c>
      <c r="S26" s="9" t="s">
        <v>7</v>
      </c>
      <c r="T26" s="9" t="s">
        <v>8</v>
      </c>
      <c r="U26" s="9" t="s">
        <v>9</v>
      </c>
      <c r="V26" s="9" t="s">
        <v>10</v>
      </c>
      <c r="W26" s="9" t="s">
        <v>11</v>
      </c>
      <c r="X26" s="9" t="s">
        <v>12</v>
      </c>
      <c r="Y26" s="9" t="s">
        <v>13</v>
      </c>
      <c r="Z26" s="9" t="s">
        <v>14</v>
      </c>
      <c r="AA26" s="9" t="s">
        <v>15</v>
      </c>
      <c r="AR26" s="32"/>
      <c r="AS26" s="15"/>
    </row>
    <row r="27" spans="1:56" ht="15.75">
      <c r="A27" s="23">
        <v>39416</v>
      </c>
      <c r="B27" s="26">
        <v>12096.85</v>
      </c>
      <c r="C27" s="31">
        <f t="shared" si="3"/>
        <v>4.8135627009113779E-3</v>
      </c>
      <c r="D27" s="25"/>
      <c r="E27" s="25"/>
      <c r="F27" s="25"/>
      <c r="O27" s="9">
        <v>2016</v>
      </c>
      <c r="P27" s="26"/>
      <c r="Q27" s="26"/>
      <c r="R27" s="26"/>
      <c r="S27" s="26"/>
      <c r="T27" s="26">
        <f>'[1]Cuota Liquidez '!B2</f>
        <v>999.94839999999999</v>
      </c>
      <c r="U27" s="40">
        <f t="shared" ref="U27:AA30" si="20">LOOKUP(DATE($O27,U$25,U$24),$A$2:$A$2948,$H$2:$H$2948)</f>
        <v>0</v>
      </c>
      <c r="V27" s="40">
        <f t="shared" si="20"/>
        <v>0</v>
      </c>
      <c r="W27" s="40">
        <f t="shared" si="20"/>
        <v>0</v>
      </c>
      <c r="X27" s="40">
        <f t="shared" si="20"/>
        <v>0</v>
      </c>
      <c r="Y27" s="40">
        <f t="shared" si="20"/>
        <v>0</v>
      </c>
      <c r="Z27" s="40">
        <f t="shared" si="20"/>
        <v>0</v>
      </c>
      <c r="AA27" s="40">
        <f t="shared" si="20"/>
        <v>0</v>
      </c>
      <c r="AD27" s="35" t="s">
        <v>30</v>
      </c>
      <c r="AE27" s="14" t="s">
        <v>4</v>
      </c>
      <c r="AF27" s="14" t="s">
        <v>5</v>
      </c>
      <c r="AG27" s="14" t="s">
        <v>6</v>
      </c>
      <c r="AH27" s="14" t="s">
        <v>7</v>
      </c>
      <c r="AI27" s="14" t="s">
        <v>8</v>
      </c>
      <c r="AJ27" s="14" t="s">
        <v>9</v>
      </c>
      <c r="AK27" s="14" t="s">
        <v>10</v>
      </c>
      <c r="AL27" s="14" t="s">
        <v>11</v>
      </c>
      <c r="AM27" s="14" t="s">
        <v>12</v>
      </c>
      <c r="AN27" s="14" t="s">
        <v>13</v>
      </c>
      <c r="AO27" s="14" t="s">
        <v>14</v>
      </c>
      <c r="AP27" s="14" t="s">
        <v>15</v>
      </c>
      <c r="AQ27" s="14" t="s">
        <v>16</v>
      </c>
      <c r="AR27" s="32"/>
      <c r="AS27" s="32"/>
      <c r="AV27" s="41"/>
      <c r="AW27" s="41"/>
      <c r="AX27" s="41"/>
      <c r="AY27" s="41"/>
      <c r="AZ27" s="41"/>
      <c r="BA27" s="41"/>
      <c r="BB27" s="41"/>
      <c r="BC27" s="41"/>
    </row>
    <row r="28" spans="1:56">
      <c r="A28" s="23">
        <v>39447</v>
      </c>
      <c r="B28" s="26">
        <v>12152.6</v>
      </c>
      <c r="C28" s="31">
        <f t="shared" si="3"/>
        <v>4.4599720508417809E-3</v>
      </c>
      <c r="D28" s="25"/>
      <c r="E28" s="25"/>
      <c r="F28" s="25"/>
      <c r="O28" s="9">
        <v>2017</v>
      </c>
      <c r="P28" s="40">
        <f t="shared" ref="P28:T30" si="21">LOOKUP(DATE($O28,P$25,P$24),$A$2:$A$2948,$H$2:$H$2948)</f>
        <v>0</v>
      </c>
      <c r="Q28" s="40">
        <f t="shared" si="21"/>
        <v>0</v>
      </c>
      <c r="R28" s="40">
        <f t="shared" si="21"/>
        <v>0</v>
      </c>
      <c r="S28" s="40">
        <f t="shared" si="21"/>
        <v>0</v>
      </c>
      <c r="T28" s="40">
        <f t="shared" si="21"/>
        <v>0</v>
      </c>
      <c r="U28" s="40">
        <f t="shared" si="20"/>
        <v>0</v>
      </c>
      <c r="V28" s="40">
        <f t="shared" si="20"/>
        <v>0</v>
      </c>
      <c r="W28" s="40">
        <f t="shared" si="20"/>
        <v>0</v>
      </c>
      <c r="X28" s="40">
        <f t="shared" si="20"/>
        <v>0</v>
      </c>
      <c r="Y28" s="40">
        <f t="shared" si="20"/>
        <v>0</v>
      </c>
      <c r="Z28" s="40">
        <f t="shared" si="20"/>
        <v>0</v>
      </c>
      <c r="AA28" s="40">
        <f t="shared" si="20"/>
        <v>0</v>
      </c>
      <c r="AD28" s="20">
        <v>2016</v>
      </c>
      <c r="AE28" s="21"/>
      <c r="AF28" s="21"/>
      <c r="AG28" s="21"/>
      <c r="AH28" s="21"/>
      <c r="AI28" s="21"/>
      <c r="AJ28" s="21"/>
      <c r="AK28" s="21"/>
      <c r="AL28" s="21"/>
      <c r="AM28" s="21"/>
      <c r="AN28" s="21"/>
      <c r="AO28" s="21"/>
      <c r="AP28" s="21"/>
      <c r="AQ28" s="22"/>
      <c r="AR28" s="15"/>
      <c r="AS28" s="15"/>
      <c r="AV28" s="42"/>
      <c r="AW28" s="43" t="s">
        <v>31</v>
      </c>
      <c r="AX28" s="43" t="s">
        <v>32</v>
      </c>
      <c r="AY28" s="43" t="s">
        <v>33</v>
      </c>
      <c r="AZ28" s="43" t="s">
        <v>34</v>
      </c>
      <c r="BA28" s="43" t="s">
        <v>35</v>
      </c>
      <c r="BB28" s="43" t="s">
        <v>36</v>
      </c>
      <c r="BC28" s="44"/>
      <c r="BD28" s="45"/>
    </row>
    <row r="29" spans="1:56">
      <c r="A29" s="23">
        <v>39478</v>
      </c>
      <c r="B29" s="26">
        <v>12223.14</v>
      </c>
      <c r="C29" s="31">
        <f t="shared" si="3"/>
        <v>5.6172766427787044E-3</v>
      </c>
      <c r="D29" s="25"/>
      <c r="E29" s="25"/>
      <c r="F29" s="25"/>
      <c r="O29" s="9">
        <v>2018</v>
      </c>
      <c r="P29" s="40">
        <f t="shared" si="21"/>
        <v>0</v>
      </c>
      <c r="Q29" s="40">
        <f t="shared" si="21"/>
        <v>0</v>
      </c>
      <c r="R29" s="40">
        <f t="shared" si="21"/>
        <v>0</v>
      </c>
      <c r="S29" s="40">
        <f t="shared" si="21"/>
        <v>0</v>
      </c>
      <c r="T29" s="40">
        <f t="shared" si="21"/>
        <v>0</v>
      </c>
      <c r="U29" s="40">
        <f t="shared" si="20"/>
        <v>0</v>
      </c>
      <c r="V29" s="40">
        <f t="shared" si="20"/>
        <v>0</v>
      </c>
      <c r="W29" s="40">
        <f t="shared" si="20"/>
        <v>0</v>
      </c>
      <c r="X29" s="40">
        <f t="shared" si="20"/>
        <v>0</v>
      </c>
      <c r="Y29" s="65">
        <f t="shared" si="20"/>
        <v>0</v>
      </c>
      <c r="Z29" s="65">
        <f t="shared" si="20"/>
        <v>0</v>
      </c>
      <c r="AA29" s="65">
        <f t="shared" si="20"/>
        <v>0</v>
      </c>
      <c r="AD29" s="27">
        <v>2017</v>
      </c>
      <c r="AE29" s="28"/>
      <c r="AF29" s="28"/>
      <c r="AG29" s="28"/>
      <c r="AH29" s="28"/>
      <c r="AI29" s="28"/>
      <c r="AJ29" s="28"/>
      <c r="AK29" s="28"/>
      <c r="AL29" s="28"/>
      <c r="AM29" s="68"/>
      <c r="AN29" s="69"/>
      <c r="AO29" s="69"/>
      <c r="AP29" s="69"/>
      <c r="AQ29" s="29"/>
      <c r="AR29" s="32" t="s">
        <v>24</v>
      </c>
      <c r="AS29" s="15"/>
      <c r="AV29" s="104"/>
      <c r="AW29" s="43" t="s">
        <v>37</v>
      </c>
      <c r="AX29" s="46">
        <f t="shared" ref="AX29:AX31" si="22">$AW20/AX20-1</f>
        <v>3.7564119506456883E-3</v>
      </c>
      <c r="AY29" s="46">
        <f t="shared" ref="AY29:AZ31" si="23">$AW20/AY20-1</f>
        <v>1.1311976554220227E-2</v>
      </c>
      <c r="AZ29" s="46">
        <f t="shared" si="23"/>
        <v>2.3347722565283835E-2</v>
      </c>
      <c r="BA29" s="46">
        <f t="shared" ref="BA29" si="24">$AW20/BA20-1</f>
        <v>4.9016012712382429E-2</v>
      </c>
      <c r="BB29" s="46">
        <f>+AQ86</f>
        <v>3.393592966266068E-2</v>
      </c>
      <c r="BC29" s="47"/>
      <c r="BD29" s="33"/>
    </row>
    <row r="30" spans="1:56">
      <c r="A30" s="23">
        <v>39507</v>
      </c>
      <c r="B30" s="26">
        <v>12284.88</v>
      </c>
      <c r="C30" s="31">
        <f t="shared" si="3"/>
        <v>5.2252502644361907E-3</v>
      </c>
      <c r="D30" s="25"/>
      <c r="E30" s="25"/>
      <c r="F30" s="25"/>
      <c r="O30" s="9">
        <v>2019</v>
      </c>
      <c r="P30" s="40">
        <f t="shared" si="21"/>
        <v>0</v>
      </c>
      <c r="Q30" s="40">
        <f t="shared" si="21"/>
        <v>0</v>
      </c>
      <c r="R30" s="40">
        <f t="shared" si="21"/>
        <v>0</v>
      </c>
      <c r="S30" s="40">
        <f t="shared" si="21"/>
        <v>0</v>
      </c>
      <c r="T30" s="40">
        <f t="shared" si="21"/>
        <v>0</v>
      </c>
      <c r="U30" s="40">
        <f t="shared" si="20"/>
        <v>0</v>
      </c>
      <c r="V30" s="40">
        <f t="shared" si="20"/>
        <v>0</v>
      </c>
      <c r="W30" s="40">
        <f t="shared" si="20"/>
        <v>0</v>
      </c>
      <c r="X30" s="40">
        <f t="shared" si="20"/>
        <v>0</v>
      </c>
      <c r="Y30" s="40">
        <f t="shared" si="20"/>
        <v>0</v>
      </c>
      <c r="Z30" s="40">
        <f t="shared" si="20"/>
        <v>0</v>
      </c>
      <c r="AA30" s="40">
        <f t="shared" si="20"/>
        <v>0</v>
      </c>
      <c r="AD30" s="20">
        <v>2018</v>
      </c>
      <c r="AE30" s="70"/>
      <c r="AF30" s="66"/>
      <c r="AG30" s="66"/>
      <c r="AH30" s="66"/>
      <c r="AI30" s="70"/>
      <c r="AJ30" s="66"/>
      <c r="AK30" s="66"/>
      <c r="AL30" s="66"/>
      <c r="AM30" s="70"/>
      <c r="AN30" s="66"/>
      <c r="AO30" s="66"/>
      <c r="AP30" s="66"/>
      <c r="AQ30" s="22"/>
      <c r="AR30" s="32"/>
      <c r="AS30" s="15"/>
      <c r="AV30" s="104"/>
      <c r="AW30" s="43" t="s">
        <v>26</v>
      </c>
      <c r="AX30" s="46">
        <f t="shared" si="22"/>
        <v>2.5969787217614559E-3</v>
      </c>
      <c r="AY30" s="46">
        <f t="shared" si="23"/>
        <v>7.749890874818588E-3</v>
      </c>
      <c r="AZ30" s="46">
        <f t="shared" si="23"/>
        <v>1.6195358784079517E-2</v>
      </c>
      <c r="BA30" s="46">
        <f t="shared" ref="BA30" si="25">$AW21/BA21-1</f>
        <v>3.4278770324830177E-2</v>
      </c>
      <c r="BB30" s="46">
        <f t="shared" ref="BB30:BB31" si="26">+AQ87</f>
        <v>2.3249672624455764E-2</v>
      </c>
      <c r="BC30" s="47"/>
      <c r="BD30" s="33"/>
    </row>
    <row r="31" spans="1:56">
      <c r="A31" s="23">
        <v>39538</v>
      </c>
      <c r="B31" s="26">
        <v>12351.45</v>
      </c>
      <c r="C31" s="31">
        <f t="shared" si="3"/>
        <v>5.2440545324954563E-3</v>
      </c>
      <c r="D31" s="25"/>
      <c r="E31" s="25"/>
      <c r="F31" s="25"/>
      <c r="O31" s="9">
        <v>2020</v>
      </c>
      <c r="P31" s="40">
        <f>LOOKUP(DATE($O31,P$25,P$24),$A$2:$A$2948,$H$2:$H$2948)</f>
        <v>0</v>
      </c>
      <c r="Q31" s="40">
        <f t="shared" ref="Q31:X31" si="27">LOOKUP(DATE($O31,Q$25,Q$24)+1,$A$2:$A$2948,$H$2:$H$2948)</f>
        <v>0</v>
      </c>
      <c r="R31" s="40">
        <f t="shared" si="27"/>
        <v>0</v>
      </c>
      <c r="S31" s="40">
        <f t="shared" si="27"/>
        <v>0</v>
      </c>
      <c r="T31" s="40">
        <f t="shared" si="27"/>
        <v>0</v>
      </c>
      <c r="U31" s="40">
        <f t="shared" si="27"/>
        <v>0</v>
      </c>
      <c r="V31" s="40">
        <f t="shared" si="27"/>
        <v>0</v>
      </c>
      <c r="W31" s="40">
        <f t="shared" si="27"/>
        <v>0</v>
      </c>
      <c r="X31" s="40">
        <f t="shared" si="27"/>
        <v>0</v>
      </c>
      <c r="Y31" s="40">
        <f>+H183</f>
        <v>0</v>
      </c>
      <c r="Z31" s="40">
        <f>+H184</f>
        <v>0</v>
      </c>
      <c r="AA31" s="40">
        <f>+H185</f>
        <v>0</v>
      </c>
      <c r="AD31" s="27">
        <v>2019</v>
      </c>
      <c r="AE31" s="68"/>
      <c r="AF31" s="69"/>
      <c r="AG31" s="69"/>
      <c r="AH31" s="69"/>
      <c r="AI31" s="68"/>
      <c r="AJ31" s="68"/>
      <c r="AK31" s="68"/>
      <c r="AL31" s="68"/>
      <c r="AM31" s="68"/>
      <c r="AN31" s="68"/>
      <c r="AO31" s="69"/>
      <c r="AP31" s="69"/>
      <c r="AQ31" s="29"/>
      <c r="AR31" s="15"/>
      <c r="AS31" s="15"/>
      <c r="AV31" s="48"/>
      <c r="AW31" s="43" t="s">
        <v>38</v>
      </c>
      <c r="AX31" s="46">
        <f t="shared" si="22"/>
        <v>6.0157055532463755E-3</v>
      </c>
      <c r="AY31" s="46">
        <f t="shared" si="23"/>
        <v>1.7934705600949785E-2</v>
      </c>
      <c r="AZ31" s="46">
        <f t="shared" si="23"/>
        <v>3.6181967975568163E-2</v>
      </c>
      <c r="BA31" s="46">
        <f t="shared" ref="BA31" si="28">$AW22/BA22-1</f>
        <v>7.3648506476449382E-2</v>
      </c>
      <c r="BB31" s="46">
        <f t="shared" si="26"/>
        <v>5.3804116802849355E-2</v>
      </c>
      <c r="BC31" s="48"/>
      <c r="BD31" s="33"/>
    </row>
    <row r="32" spans="1:56">
      <c r="A32" s="23">
        <v>39568</v>
      </c>
      <c r="B32" s="26">
        <v>12416.18</v>
      </c>
      <c r="C32" s="31">
        <f t="shared" si="3"/>
        <v>5.2406802440199129E-3</v>
      </c>
      <c r="D32" s="25"/>
      <c r="E32" s="25"/>
      <c r="F32" s="25"/>
      <c r="O32" s="9">
        <v>2021</v>
      </c>
      <c r="P32" s="26"/>
      <c r="Q32" s="26"/>
      <c r="R32" s="26"/>
      <c r="S32" s="26"/>
      <c r="T32" s="26">
        <f>+G190</f>
        <v>0</v>
      </c>
      <c r="U32" s="26">
        <f>+G191</f>
        <v>0</v>
      </c>
      <c r="V32" s="26">
        <f>+G192</f>
        <v>0</v>
      </c>
      <c r="W32" s="26">
        <f>+G193</f>
        <v>0</v>
      </c>
      <c r="X32" s="26">
        <f>+G194</f>
        <v>0</v>
      </c>
      <c r="Y32" s="26">
        <f>+G195</f>
        <v>0</v>
      </c>
      <c r="Z32" s="26">
        <f>+G196</f>
        <v>0</v>
      </c>
      <c r="AA32" s="26">
        <f>+G197+S156</f>
        <v>0</v>
      </c>
      <c r="AD32" s="27">
        <v>2020</v>
      </c>
      <c r="AE32" s="68"/>
      <c r="AF32" s="68"/>
      <c r="AG32" s="68"/>
      <c r="AH32" s="68"/>
      <c r="AI32" s="68"/>
      <c r="AJ32" s="68"/>
      <c r="AK32" s="68"/>
      <c r="AL32" s="68"/>
      <c r="AM32" s="68"/>
      <c r="AN32" s="68"/>
      <c r="AO32" s="68"/>
      <c r="AP32" s="68"/>
      <c r="AQ32" s="29"/>
      <c r="AR32" s="15"/>
      <c r="AS32" s="15"/>
      <c r="AV32" s="48"/>
      <c r="AW32" s="49"/>
      <c r="AX32" s="15"/>
      <c r="AY32" s="15"/>
      <c r="AZ32" s="15"/>
      <c r="BA32" s="15"/>
      <c r="BB32" s="15"/>
      <c r="BC32" s="48"/>
      <c r="BD32" s="33"/>
    </row>
    <row r="33" spans="1:62">
      <c r="A33" s="23">
        <v>39598</v>
      </c>
      <c r="B33" s="26">
        <v>12481.48</v>
      </c>
      <c r="C33" s="31">
        <f t="shared" si="3"/>
        <v>5.2592665376951508E-3</v>
      </c>
      <c r="D33" s="25"/>
      <c r="E33" s="25"/>
      <c r="F33" s="25"/>
      <c r="O33" s="9">
        <v>2022</v>
      </c>
      <c r="P33" s="26"/>
      <c r="Q33" s="26"/>
      <c r="R33" s="26"/>
      <c r="S33" s="26"/>
      <c r="T33" s="26">
        <f>+G202+S156</f>
        <v>0</v>
      </c>
      <c r="U33" s="26">
        <f>+G203+S156</f>
        <v>0</v>
      </c>
      <c r="V33" s="26">
        <f>+G204+S156</f>
        <v>0</v>
      </c>
      <c r="W33" s="26">
        <f>+G205+S156</f>
        <v>0</v>
      </c>
      <c r="X33" s="26">
        <f>+G206+S156</f>
        <v>0</v>
      </c>
      <c r="Y33" s="26">
        <f>+G207+S156</f>
        <v>0</v>
      </c>
      <c r="Z33" s="26">
        <f>+G208+S156</f>
        <v>0</v>
      </c>
      <c r="AA33" s="26">
        <f>+G209+S156</f>
        <v>0</v>
      </c>
      <c r="AD33" s="27">
        <v>2021</v>
      </c>
      <c r="AE33" s="68"/>
      <c r="AF33" s="28"/>
      <c r="AG33" s="28"/>
      <c r="AH33" s="28"/>
      <c r="AI33" s="28"/>
      <c r="AJ33" s="28"/>
      <c r="AK33" s="28"/>
      <c r="AL33" s="28"/>
      <c r="AM33" s="28"/>
      <c r="AN33" s="28"/>
      <c r="AO33" s="28"/>
      <c r="AP33" s="28"/>
      <c r="AQ33" s="29"/>
      <c r="AR33" s="15"/>
      <c r="AS33" s="15"/>
      <c r="AY33" s="80"/>
      <c r="BD33" s="33"/>
    </row>
    <row r="34" spans="1:62">
      <c r="A34" s="23">
        <v>39629</v>
      </c>
      <c r="B34" s="26">
        <v>12552.23</v>
      </c>
      <c r="C34" s="31">
        <f t="shared" si="3"/>
        <v>5.4855467408899648E-3</v>
      </c>
      <c r="D34" s="25"/>
      <c r="E34" s="25"/>
      <c r="F34" s="25"/>
      <c r="O34" s="9">
        <v>2023</v>
      </c>
      <c r="P34" s="26"/>
      <c r="Q34" s="26"/>
      <c r="R34" s="26">
        <f>+H212</f>
        <v>1030.0771999999999</v>
      </c>
      <c r="S34" s="26">
        <f>+H213</f>
        <v>1041.3576</v>
      </c>
      <c r="T34" s="26">
        <f>+H214</f>
        <v>1053.0477000000001</v>
      </c>
      <c r="U34" s="26">
        <f>+H215</f>
        <v>1063.8525</v>
      </c>
      <c r="V34" s="26">
        <f>+H216</f>
        <v>1075.2368000000001</v>
      </c>
      <c r="W34" s="26">
        <f>+H217</f>
        <v>1085.6804</v>
      </c>
      <c r="X34" s="26">
        <f>+H218</f>
        <v>1095.7239</v>
      </c>
      <c r="Y34" s="26">
        <f>+H219</f>
        <v>1105.6016999999999</v>
      </c>
      <c r="Z34" s="26">
        <f>+H220</f>
        <v>1114.9482</v>
      </c>
      <c r="AA34" s="26">
        <f>+H221</f>
        <v>1124.5250000000001</v>
      </c>
      <c r="AD34" s="27">
        <v>2022</v>
      </c>
      <c r="AE34" s="28"/>
      <c r="AF34" s="28"/>
      <c r="AG34" s="28"/>
      <c r="AH34" s="28"/>
      <c r="AI34" s="28"/>
      <c r="AJ34" s="28"/>
      <c r="AK34" s="28"/>
      <c r="AL34" s="28"/>
      <c r="AM34" s="28"/>
      <c r="AN34" s="28"/>
      <c r="AO34" s="28"/>
      <c r="AP34" s="28"/>
      <c r="AQ34" s="29"/>
      <c r="AR34" s="32"/>
      <c r="AS34" s="15"/>
    </row>
    <row r="35" spans="1:62">
      <c r="A35" s="23">
        <v>39660</v>
      </c>
      <c r="B35" s="26">
        <v>12628.9</v>
      </c>
      <c r="C35" s="31">
        <f t="shared" si="3"/>
        <v>5.9110432324413755E-3</v>
      </c>
      <c r="D35" s="25"/>
      <c r="E35" s="25"/>
      <c r="F35" s="25"/>
      <c r="O35" s="9">
        <v>2024</v>
      </c>
      <c r="P35" s="26">
        <f>+H222+S156+S158</f>
        <v>1134.3258000000001</v>
      </c>
      <c r="Q35" s="26">
        <f>+H223+S156+S158</f>
        <v>1142.0342000000001</v>
      </c>
      <c r="R35" s="26">
        <f>+H224+S156+S158</f>
        <v>1149.2029</v>
      </c>
      <c r="S35" s="26">
        <f>+H225+S156+S158</f>
        <v>1156.9295</v>
      </c>
      <c r="T35" s="26">
        <f>+H226+S156+S158</f>
        <v>1164.4806000000001</v>
      </c>
      <c r="U35" s="26">
        <f>+H227+S156+S158</f>
        <v>1171.3699000000001</v>
      </c>
      <c r="V35" s="26">
        <f>+H228+S156+S158</f>
        <v>1177.7275999999999</v>
      </c>
      <c r="W35" s="26">
        <f>+H229+S156+S158</f>
        <v>1184.1573000000001</v>
      </c>
      <c r="X35" s="26">
        <f>+H230+S156+S158</f>
        <v>1190.0440000000001</v>
      </c>
      <c r="Y35" s="26">
        <f>+H231+S156+S158</f>
        <v>1195.5641000000001</v>
      </c>
      <c r="Z35" s="26">
        <f>+H232</f>
        <v>1200.9188480820058</v>
      </c>
      <c r="AA35" s="26">
        <f>+H233</f>
        <v>1205.6086480820059</v>
      </c>
      <c r="AD35" s="27">
        <v>2023</v>
      </c>
      <c r="AE35" s="28"/>
      <c r="AF35" s="28"/>
      <c r="AG35" s="28"/>
      <c r="AH35" s="28">
        <f t="shared" ref="AH35:AP38" si="29">+(S34/R34-1)</f>
        <v>1.0951023865007459E-2</v>
      </c>
      <c r="AI35" s="28">
        <f t="shared" si="29"/>
        <v>1.1225826747699452E-2</v>
      </c>
      <c r="AJ35" s="28">
        <f t="shared" si="29"/>
        <v>1.0260503868912974E-2</v>
      </c>
      <c r="AK35" s="28">
        <f t="shared" si="29"/>
        <v>1.070101353336117E-2</v>
      </c>
      <c r="AL35" s="28">
        <f t="shared" si="29"/>
        <v>9.7128372094406057E-3</v>
      </c>
      <c r="AM35" s="28">
        <f t="shared" si="29"/>
        <v>9.2508808301228207E-3</v>
      </c>
      <c r="AN35" s="28">
        <f t="shared" si="29"/>
        <v>9.014862229435705E-3</v>
      </c>
      <c r="AO35" s="28">
        <f t="shared" si="29"/>
        <v>8.4537677537943612E-3</v>
      </c>
      <c r="AP35" s="28">
        <f t="shared" si="29"/>
        <v>8.5894573398119789E-3</v>
      </c>
      <c r="AQ35" s="29">
        <f>+(AA34/R34-1)/COUNTA(AE35:AP35)*12</f>
        <v>0.12225336120438376</v>
      </c>
      <c r="AR35" s="32"/>
      <c r="AS35" s="15"/>
    </row>
    <row r="36" spans="1:62">
      <c r="A36" s="23">
        <v>39689</v>
      </c>
      <c r="B36" s="26">
        <v>12704.63</v>
      </c>
      <c r="C36" s="31">
        <f t="shared" si="3"/>
        <v>6.203341487409488E-3</v>
      </c>
      <c r="D36" s="25"/>
      <c r="E36" s="25"/>
      <c r="F36" s="25"/>
      <c r="O36" s="9">
        <v>2025</v>
      </c>
      <c r="P36" s="26">
        <f>+H234+S156+S158</f>
        <v>1210.7406480820059</v>
      </c>
      <c r="Q36" s="26">
        <f>+H235</f>
        <v>1216.6307480820058</v>
      </c>
      <c r="R36" s="26">
        <f>+H236</f>
        <v>1222.7220480820058</v>
      </c>
      <c r="S36" s="26">
        <f>+H237</f>
        <v>1231.0962480820058</v>
      </c>
      <c r="T36" s="26">
        <f>+H238</f>
        <v>1238.3538480820059</v>
      </c>
      <c r="U36" s="26">
        <f>+H239</f>
        <v>1245.8356480820057</v>
      </c>
      <c r="V36" s="26">
        <f>+H240</f>
        <v>1253.0579480820059</v>
      </c>
      <c r="W36" s="26">
        <f>+H241</f>
        <v>1260.7322480820058</v>
      </c>
      <c r="X36" s="26">
        <f>+H242</f>
        <v>1268.0779480820058</v>
      </c>
      <c r="Y36" s="26">
        <f>+H243</f>
        <v>1275.6105480820058</v>
      </c>
      <c r="Z36" s="26">
        <f>+H244</f>
        <v>1283.0474480820058</v>
      </c>
      <c r="AA36" s="26">
        <f>+H245</f>
        <v>1290.7638480820058</v>
      </c>
      <c r="AD36" s="27">
        <v>2024</v>
      </c>
      <c r="AE36" s="28">
        <f>+(P35/AA34-1)</f>
        <v>8.7155021008871181E-3</v>
      </c>
      <c r="AF36" s="28">
        <f t="shared" ref="AF36:AG38" si="30">+(Q35/P35-1)</f>
        <v>6.7955784837125943E-3</v>
      </c>
      <c r="AG36" s="28">
        <f t="shared" si="30"/>
        <v>6.2771325061894423E-3</v>
      </c>
      <c r="AH36" s="28">
        <f t="shared" si="29"/>
        <v>6.7234428315485761E-3</v>
      </c>
      <c r="AI36" s="28">
        <f t="shared" si="29"/>
        <v>6.5268454127931363E-3</v>
      </c>
      <c r="AJ36" s="28">
        <f t="shared" si="29"/>
        <v>5.9161998920378434E-3</v>
      </c>
      <c r="AK36" s="28">
        <f t="shared" si="29"/>
        <v>5.4275767202143221E-3</v>
      </c>
      <c r="AL36" s="28">
        <f t="shared" si="29"/>
        <v>5.4594118368289646E-3</v>
      </c>
      <c r="AM36" s="28">
        <f t="shared" si="29"/>
        <v>4.9712145506344285E-3</v>
      </c>
      <c r="AN36" s="28">
        <f t="shared" si="29"/>
        <v>4.6385679857214868E-3</v>
      </c>
      <c r="AO36" s="28">
        <f t="shared" si="29"/>
        <v>4.4788464976539544E-3</v>
      </c>
      <c r="AP36" s="28">
        <f t="shared" si="29"/>
        <v>3.9051764467601391E-3</v>
      </c>
      <c r="AQ36" s="29">
        <f>+(AA35/AA34-1)/COUNTA(AE36:AP36)*12</f>
        <v>7.2104798098757916E-2</v>
      </c>
      <c r="AR36" s="15"/>
      <c r="AS36" s="15"/>
    </row>
    <row r="37" spans="1:62">
      <c r="A37" s="23"/>
      <c r="B37" s="26"/>
      <c r="C37" s="31"/>
      <c r="D37" s="25"/>
      <c r="E37" s="25"/>
      <c r="F37" s="25"/>
      <c r="O37" s="9">
        <v>2026</v>
      </c>
      <c r="P37" s="26">
        <f>+H246</f>
        <v>1298.4768480820057</v>
      </c>
      <c r="Q37" s="26">
        <f>+H247</f>
        <v>1305.8891480820057</v>
      </c>
      <c r="R37" s="26">
        <f>+H248</f>
        <v>1313.8608480820058</v>
      </c>
      <c r="S37" s="26">
        <f>+H249</f>
        <v>1321.7646480820058</v>
      </c>
      <c r="T37" s="26"/>
      <c r="U37" s="26"/>
      <c r="V37" s="26"/>
      <c r="W37" s="26"/>
      <c r="X37" s="26"/>
      <c r="Y37" s="26"/>
      <c r="Z37" s="26"/>
      <c r="AA37" s="26"/>
      <c r="AD37" s="27">
        <v>2025</v>
      </c>
      <c r="AE37" s="28">
        <f>+(P36/AA35-1)</f>
        <v>4.2567710576433271E-3</v>
      </c>
      <c r="AF37" s="28">
        <f t="shared" si="30"/>
        <v>4.8648734221738987E-3</v>
      </c>
      <c r="AG37" s="28">
        <f t="shared" si="30"/>
        <v>5.0066957535002121E-3</v>
      </c>
      <c r="AH37" s="28">
        <f t="shared" ref="AH37:AP37" si="31">+(S36/R36-1)</f>
        <v>6.8488173687029086E-3</v>
      </c>
      <c r="AI37" s="28">
        <f t="shared" si="31"/>
        <v>5.8952336271897998E-3</v>
      </c>
      <c r="AJ37" s="28">
        <f t="shared" si="31"/>
        <v>6.0417303273920808E-3</v>
      </c>
      <c r="AK37" s="28">
        <f t="shared" si="31"/>
        <v>5.7971531085332373E-3</v>
      </c>
      <c r="AL37" s="28">
        <f t="shared" si="31"/>
        <v>6.1244573818366455E-3</v>
      </c>
      <c r="AM37" s="28">
        <f t="shared" si="31"/>
        <v>5.8265345486128162E-3</v>
      </c>
      <c r="AN37" s="28">
        <f t="shared" si="31"/>
        <v>5.9401711159736692E-3</v>
      </c>
      <c r="AO37" s="28">
        <f t="shared" si="31"/>
        <v>5.830070950088917E-3</v>
      </c>
      <c r="AP37" s="28">
        <f t="shared" si="31"/>
        <v>6.0141189724005617E-3</v>
      </c>
      <c r="AQ37" s="29">
        <f>+(AA36/P36-1)/COUNTA(AE37:AP37)*12</f>
        <v>6.6094419252189507E-2</v>
      </c>
      <c r="AR37" s="15"/>
      <c r="AS37" s="15"/>
    </row>
    <row r="38" spans="1:62">
      <c r="A38" s="23">
        <v>39721</v>
      </c>
      <c r="B38" s="26">
        <v>12796.95</v>
      </c>
      <c r="C38" s="31">
        <f>(B38/B36-1)/(A38-A36)*30</f>
        <v>6.812477026092098E-3</v>
      </c>
      <c r="D38" s="25"/>
      <c r="E38" s="25"/>
      <c r="F38" s="25"/>
      <c r="P38" s="16">
        <v>31</v>
      </c>
      <c r="Q38" s="16">
        <v>28</v>
      </c>
      <c r="R38" s="16">
        <v>31</v>
      </c>
      <c r="S38" s="16">
        <v>30</v>
      </c>
      <c r="T38" s="16">
        <v>31</v>
      </c>
      <c r="U38" s="16">
        <v>30</v>
      </c>
      <c r="V38" s="16">
        <v>31</v>
      </c>
      <c r="W38" s="16">
        <v>31</v>
      </c>
      <c r="X38" s="16">
        <v>30</v>
      </c>
      <c r="Y38" s="16">
        <v>31</v>
      </c>
      <c r="Z38" s="16">
        <v>30</v>
      </c>
      <c r="AA38" s="16">
        <v>31</v>
      </c>
      <c r="AD38" s="27">
        <v>2026</v>
      </c>
      <c r="AE38" s="28">
        <f>+(P37/AA36-1)</f>
        <v>5.9755314742204746E-3</v>
      </c>
      <c r="AF38" s="28">
        <f t="shared" si="30"/>
        <v>5.7084575754653422E-3</v>
      </c>
      <c r="AG38" s="28">
        <f t="shared" si="30"/>
        <v>6.1044231906730584E-3</v>
      </c>
      <c r="AH38" s="28">
        <f t="shared" si="29"/>
        <v>6.0157055532463755E-3</v>
      </c>
      <c r="AQ38" s="29">
        <f>+(S37/P37-1)/COUNTA(AE38:AP38)*12</f>
        <v>5.3804116802849355E-2</v>
      </c>
      <c r="AR38" s="32" t="s">
        <v>24</v>
      </c>
      <c r="AS38" s="15"/>
    </row>
    <row r="39" spans="1:62">
      <c r="A39" s="23">
        <v>39752</v>
      </c>
      <c r="B39" s="26">
        <v>12885.37</v>
      </c>
      <c r="C39" s="31">
        <f t="shared" si="3"/>
        <v>6.6865731237118345E-3</v>
      </c>
      <c r="D39" s="25"/>
      <c r="E39" s="25"/>
      <c r="F39" s="25"/>
      <c r="P39" s="16">
        <v>1</v>
      </c>
      <c r="Q39" s="16">
        <v>2</v>
      </c>
      <c r="R39" s="16">
        <v>3</v>
      </c>
      <c r="S39" s="16">
        <v>4</v>
      </c>
      <c r="T39" s="16">
        <v>5</v>
      </c>
      <c r="U39" s="16">
        <v>6</v>
      </c>
      <c r="V39" s="16">
        <v>7</v>
      </c>
      <c r="W39" s="16">
        <v>8</v>
      </c>
      <c r="X39" s="16">
        <v>9</v>
      </c>
      <c r="Y39" s="16">
        <v>10</v>
      </c>
      <c r="Z39" s="16">
        <v>11</v>
      </c>
      <c r="AA39" s="16">
        <v>12</v>
      </c>
      <c r="AD39" s="32" t="s">
        <v>28</v>
      </c>
      <c r="AE39" s="28"/>
      <c r="AF39" s="28"/>
      <c r="AG39" s="28"/>
      <c r="AH39" s="28"/>
      <c r="AI39" s="28"/>
      <c r="AJ39" s="28"/>
      <c r="AK39" s="28"/>
      <c r="AL39" s="28"/>
      <c r="AM39" s="28"/>
      <c r="AN39" s="28"/>
      <c r="AO39" s="28"/>
      <c r="AP39" s="28"/>
      <c r="AQ39" s="29"/>
      <c r="AR39" s="15"/>
      <c r="AS39" s="15"/>
    </row>
    <row r="40" spans="1:62" ht="15.75">
      <c r="A40" s="23">
        <v>39780</v>
      </c>
      <c r="B40" s="26">
        <v>12970.93</v>
      </c>
      <c r="C40" s="31">
        <f t="shared" si="3"/>
        <v>7.1143807722579E-3</v>
      </c>
      <c r="D40" s="25"/>
      <c r="E40" s="25"/>
      <c r="F40" s="25"/>
      <c r="O40" s="38" t="s">
        <v>26</v>
      </c>
      <c r="P40" s="9" t="s">
        <v>4</v>
      </c>
      <c r="Q40" s="9" t="s">
        <v>5</v>
      </c>
      <c r="R40" s="9" t="s">
        <v>6</v>
      </c>
      <c r="S40" s="9" t="s">
        <v>7</v>
      </c>
      <c r="T40" s="9" t="s">
        <v>8</v>
      </c>
      <c r="U40" s="9" t="s">
        <v>9</v>
      </c>
      <c r="V40" s="9" t="s">
        <v>10</v>
      </c>
      <c r="W40" s="9" t="s">
        <v>11</v>
      </c>
      <c r="X40" s="9" t="s">
        <v>12</v>
      </c>
      <c r="Y40" s="9" t="s">
        <v>13</v>
      </c>
      <c r="Z40" s="9" t="s">
        <v>14</v>
      </c>
      <c r="AA40" s="9" t="s">
        <v>15</v>
      </c>
      <c r="AD40" s="35" t="s">
        <v>26</v>
      </c>
      <c r="AE40" s="14" t="s">
        <v>4</v>
      </c>
      <c r="AF40" s="14" t="s">
        <v>5</v>
      </c>
      <c r="AG40" s="14" t="s">
        <v>6</v>
      </c>
      <c r="AH40" s="14" t="s">
        <v>7</v>
      </c>
      <c r="AI40" s="14" t="s">
        <v>8</v>
      </c>
      <c r="AJ40" s="14" t="s">
        <v>9</v>
      </c>
      <c r="AK40" s="14" t="s">
        <v>10</v>
      </c>
      <c r="AL40" s="14" t="s">
        <v>11</v>
      </c>
      <c r="AM40" s="14" t="s">
        <v>12</v>
      </c>
      <c r="AN40" s="14" t="s">
        <v>13</v>
      </c>
      <c r="AO40" s="14" t="s">
        <v>14</v>
      </c>
      <c r="AP40" s="14" t="s">
        <v>15</v>
      </c>
      <c r="AQ40" s="14" t="s">
        <v>16</v>
      </c>
      <c r="AR40" s="15"/>
      <c r="AS40" s="15"/>
      <c r="BE40" s="45"/>
      <c r="BF40" s="45"/>
      <c r="BG40" s="45"/>
      <c r="BH40" s="45"/>
      <c r="BI40" s="45"/>
      <c r="BJ40" s="45"/>
    </row>
    <row r="41" spans="1:62" ht="15" customHeight="1">
      <c r="A41" s="23">
        <v>39813</v>
      </c>
      <c r="B41" s="26">
        <v>13066.33</v>
      </c>
      <c r="C41" s="31">
        <f t="shared" si="3"/>
        <v>6.6862802225647385E-3</v>
      </c>
      <c r="D41" s="25"/>
      <c r="E41" s="25"/>
      <c r="F41" s="25"/>
      <c r="O41" s="9">
        <v>2016</v>
      </c>
      <c r="P41" s="26">
        <f>+K126</f>
        <v>999.91</v>
      </c>
      <c r="Q41" s="26">
        <f>+K127</f>
        <v>1003.0557</v>
      </c>
      <c r="R41" s="26">
        <f>+K128</f>
        <v>1006.748</v>
      </c>
      <c r="S41" s="26">
        <f>+K129</f>
        <v>1010.1901</v>
      </c>
      <c r="T41" s="26">
        <f>+K130</f>
        <v>1013.6123</v>
      </c>
      <c r="U41" s="40">
        <f>+K131</f>
        <v>1016.7787</v>
      </c>
      <c r="V41" s="40">
        <f>+K132</f>
        <v>1020.0427</v>
      </c>
      <c r="W41" s="40">
        <f>+K133</f>
        <v>1023.2554</v>
      </c>
      <c r="X41" s="40">
        <f>+K134</f>
        <v>1026.3402000000001</v>
      </c>
      <c r="Y41" s="40">
        <f>+K135</f>
        <v>1029.5220999999999</v>
      </c>
      <c r="Z41" s="40">
        <f>+K136</f>
        <v>1032.6170999999999</v>
      </c>
      <c r="AA41" s="40">
        <f>+K137</f>
        <v>1035.8294000000001</v>
      </c>
      <c r="AD41" s="20">
        <v>2016</v>
      </c>
      <c r="AE41" s="21"/>
      <c r="AF41" s="21">
        <f t="shared" ref="AF41:AP44" si="32">+Q41/P41-1</f>
        <v>3.1459831384825776E-3</v>
      </c>
      <c r="AG41" s="21">
        <f t="shared" si="32"/>
        <v>3.6810518099843481E-3</v>
      </c>
      <c r="AH41" s="21">
        <f t="shared" si="32"/>
        <v>3.4190283963813073E-3</v>
      </c>
      <c r="AI41" s="21">
        <f t="shared" si="32"/>
        <v>3.387679210081318E-3</v>
      </c>
      <c r="AJ41" s="21">
        <f t="shared" si="32"/>
        <v>3.1238768511392401E-3</v>
      </c>
      <c r="AK41" s="21">
        <f t="shared" si="32"/>
        <v>3.2101380565898729E-3</v>
      </c>
      <c r="AL41" s="21">
        <f t="shared" si="32"/>
        <v>3.1495740325380162E-3</v>
      </c>
      <c r="AM41" s="21">
        <f t="shared" si="32"/>
        <v>3.0146921286708928E-3</v>
      </c>
      <c r="AN41" s="21">
        <f t="shared" si="32"/>
        <v>3.1002390825185522E-3</v>
      </c>
      <c r="AO41" s="21">
        <f t="shared" si="32"/>
        <v>3.0062492101918803E-3</v>
      </c>
      <c r="AP41" s="21">
        <f t="shared" si="32"/>
        <v>3.1108336284573213E-3</v>
      </c>
      <c r="AQ41" s="22">
        <f>+AA41/P41-1</f>
        <v>3.5922633036973517E-2</v>
      </c>
      <c r="AR41" s="15"/>
      <c r="AS41" s="15"/>
      <c r="BE41" s="33"/>
      <c r="BF41" s="33"/>
      <c r="BG41" s="33"/>
      <c r="BH41" s="33"/>
      <c r="BI41" s="33"/>
      <c r="BJ41" s="57"/>
    </row>
    <row r="42" spans="1:62" ht="15" customHeight="1">
      <c r="A42" s="23">
        <v>39843</v>
      </c>
      <c r="B42" s="26">
        <v>13151.16</v>
      </c>
      <c r="C42" s="31">
        <f t="shared" si="3"/>
        <v>6.492259111778198E-3</v>
      </c>
      <c r="D42" s="25"/>
      <c r="E42" s="25"/>
      <c r="F42" s="25"/>
      <c r="O42" s="9">
        <v>2017</v>
      </c>
      <c r="P42" s="40">
        <f>+K138</f>
        <v>1039.2620999999999</v>
      </c>
      <c r="Q42" s="40">
        <f>+K139</f>
        <v>1042.1611</v>
      </c>
      <c r="R42" s="40">
        <f>+K140</f>
        <v>1045.2075</v>
      </c>
      <c r="S42" s="40">
        <f>+K141</f>
        <v>1047.9294</v>
      </c>
      <c r="T42" s="40">
        <f>+K142</f>
        <v>1050.5427</v>
      </c>
      <c r="U42" s="10">
        <f>+$K143</f>
        <v>1052.9694</v>
      </c>
      <c r="V42" s="10">
        <f>+$K144</f>
        <v>1055.2846</v>
      </c>
      <c r="W42" s="10">
        <f>+$K145</f>
        <v>1057.4719</v>
      </c>
      <c r="X42" s="10">
        <f>+$K146</f>
        <v>1059.5996</v>
      </c>
      <c r="Y42" s="10">
        <f>+$K147</f>
        <v>1061.7910999999999</v>
      </c>
      <c r="Z42" s="10">
        <f>+$K148</f>
        <v>1063.8688</v>
      </c>
      <c r="AA42" s="10">
        <f>+K149</f>
        <v>1066.0204000000001</v>
      </c>
      <c r="AD42" s="27">
        <v>2017</v>
      </c>
      <c r="AE42" s="28">
        <f>+P42/AA41-1</f>
        <v>3.3139627046692155E-3</v>
      </c>
      <c r="AF42" s="28">
        <f t="shared" si="32"/>
        <v>2.7894791891285298E-3</v>
      </c>
      <c r="AG42" s="28">
        <f t="shared" si="32"/>
        <v>2.9231565062253217E-3</v>
      </c>
      <c r="AH42" s="28">
        <f t="shared" si="32"/>
        <v>2.6041718988814022E-3</v>
      </c>
      <c r="AI42" s="28">
        <f t="shared" si="32"/>
        <v>2.4937748668947268E-3</v>
      </c>
      <c r="AJ42" s="28">
        <f t="shared" si="32"/>
        <v>2.3099489435316478E-3</v>
      </c>
      <c r="AK42" s="28">
        <f t="shared" si="32"/>
        <v>2.1987343601816978E-3</v>
      </c>
      <c r="AL42" s="28">
        <f t="shared" si="32"/>
        <v>2.0727110013734062E-3</v>
      </c>
      <c r="AM42" s="28">
        <f t="shared" si="32"/>
        <v>2.0120629210100827E-3</v>
      </c>
      <c r="AN42" s="28">
        <f t="shared" si="32"/>
        <v>2.0682340763433782E-3</v>
      </c>
      <c r="AO42" s="28">
        <f t="shared" si="32"/>
        <v>1.9567879218427287E-3</v>
      </c>
      <c r="AP42" s="28">
        <f t="shared" si="32"/>
        <v>2.0224298334532431E-3</v>
      </c>
      <c r="AQ42" s="29">
        <f>+AA42/AA41-1</f>
        <v>2.9146691530477886E-2</v>
      </c>
      <c r="AR42" s="15"/>
      <c r="AS42" s="15"/>
      <c r="BE42" s="33"/>
      <c r="BF42" s="33"/>
      <c r="BG42" s="33"/>
      <c r="BH42" s="33"/>
      <c r="BI42" s="33"/>
      <c r="BJ42" s="57"/>
    </row>
    <row r="43" spans="1:62" ht="15" customHeight="1">
      <c r="A43" s="23">
        <v>39871</v>
      </c>
      <c r="B43" s="26">
        <v>13212.09</v>
      </c>
      <c r="C43" s="31">
        <f t="shared" si="3"/>
        <v>4.9639836225202315E-3</v>
      </c>
      <c r="D43" s="25"/>
      <c r="E43" s="25"/>
      <c r="F43" s="25"/>
      <c r="O43" s="9">
        <v>2018</v>
      </c>
      <c r="P43" s="40">
        <f>+K150</f>
        <v>1068.2126000000001</v>
      </c>
      <c r="Q43" s="40">
        <f>+K151</f>
        <v>1070.2119</v>
      </c>
      <c r="R43" s="40">
        <f>+K152</f>
        <v>1072.548</v>
      </c>
      <c r="S43" s="40">
        <f>+K153</f>
        <v>1074.6550999999999</v>
      </c>
      <c r="T43" s="26">
        <f>+K154</f>
        <v>1076.9917</v>
      </c>
      <c r="U43" s="26">
        <f>+K155</f>
        <v>1079.3906999999999</v>
      </c>
      <c r="V43" s="26">
        <f>+K156</f>
        <v>1081.8116</v>
      </c>
      <c r="W43" s="26">
        <f>+K157</f>
        <v>1084.2472</v>
      </c>
      <c r="X43" s="26">
        <f>+K158</f>
        <v>1086.6424</v>
      </c>
      <c r="Y43" s="26">
        <f>+K159</f>
        <v>4807.6121000000003</v>
      </c>
      <c r="Z43" s="26">
        <f>+K160</f>
        <v>4812.5415000000003</v>
      </c>
      <c r="AA43" s="26">
        <f>+K161</f>
        <v>4819.2415000000001</v>
      </c>
      <c r="AD43" s="20">
        <v>2018</v>
      </c>
      <c r="AE43" s="21">
        <f>+P43/AA42-1</f>
        <v>2.0564334416113272E-3</v>
      </c>
      <c r="AF43" s="21">
        <f t="shared" si="32"/>
        <v>1.8716311715476497E-3</v>
      </c>
      <c r="AG43" s="21">
        <f t="shared" si="32"/>
        <v>2.1828387443645347E-3</v>
      </c>
      <c r="AH43" s="21">
        <f t="shared" si="32"/>
        <v>1.9645740796681022E-3</v>
      </c>
      <c r="AI43" s="21">
        <f t="shared" si="32"/>
        <v>2.174278984950595E-3</v>
      </c>
      <c r="AJ43" s="21">
        <f t="shared" si="32"/>
        <v>2.2275009176020433E-3</v>
      </c>
      <c r="AK43" s="33">
        <f t="shared" si="32"/>
        <v>2.2428394093074733E-3</v>
      </c>
      <c r="AL43" s="33">
        <f t="shared" si="32"/>
        <v>2.2514086556291169E-3</v>
      </c>
      <c r="AM43" s="33">
        <f t="shared" si="32"/>
        <v>2.2090903255271854E-3</v>
      </c>
      <c r="AN43" s="66">
        <f t="shared" si="32"/>
        <v>3.4242817140210988</v>
      </c>
      <c r="AO43" s="66">
        <f t="shared" si="32"/>
        <v>1.0253323058240227E-3</v>
      </c>
      <c r="AP43" s="66">
        <f t="shared" si="32"/>
        <v>1.3921957867790713E-3</v>
      </c>
      <c r="AQ43" s="22">
        <f>+AA43/AA42-1</f>
        <v>3.5207779325799011</v>
      </c>
      <c r="AR43" s="15"/>
      <c r="AS43" s="15"/>
      <c r="BE43" s="33"/>
      <c r="BF43" s="33"/>
      <c r="BG43" s="33"/>
      <c r="BH43" s="33"/>
      <c r="BI43" s="33"/>
      <c r="BJ43" s="57"/>
    </row>
    <row r="44" spans="1:62">
      <c r="A44" s="23">
        <v>39903</v>
      </c>
      <c r="B44" s="26">
        <v>13251.18</v>
      </c>
      <c r="C44" s="31">
        <f t="shared" si="3"/>
        <v>2.773737917316707E-3</v>
      </c>
      <c r="D44" s="25"/>
      <c r="E44" s="25"/>
      <c r="F44" s="25"/>
      <c r="O44" s="9">
        <v>2019</v>
      </c>
      <c r="P44" s="9">
        <f>+K162</f>
        <v>4825.82</v>
      </c>
      <c r="Q44" s="9">
        <f>+K163</f>
        <v>4832.1058000000003</v>
      </c>
      <c r="R44" s="24">
        <f>+K164</f>
        <v>4839.1072999999997</v>
      </c>
      <c r="S44" s="24">
        <f>+K165</f>
        <v>4845.9628000000002</v>
      </c>
      <c r="T44" s="24">
        <f>+K166</f>
        <v>4852.5891000000001</v>
      </c>
      <c r="U44" s="9">
        <f>+K167</f>
        <v>4858.4076999999997</v>
      </c>
      <c r="V44" s="9">
        <f>+K168</f>
        <v>4863.4466000000002</v>
      </c>
      <c r="W44" s="9">
        <f>+K169</f>
        <v>4868.1252999999997</v>
      </c>
      <c r="X44" s="75">
        <f>+K170</f>
        <v>4873.326</v>
      </c>
      <c r="Y44" s="75">
        <f>+K171</f>
        <v>4876.4951000000001</v>
      </c>
      <c r="Z44" s="9">
        <f>+K172</f>
        <v>4879.8683000000001</v>
      </c>
      <c r="AA44" s="9">
        <f>+K173</f>
        <v>4882.8959000000004</v>
      </c>
      <c r="AD44" s="27">
        <v>2019</v>
      </c>
      <c r="AE44" s="28">
        <f>+P44/AA43-1</f>
        <v>1.3650488360044122E-3</v>
      </c>
      <c r="AF44" s="28">
        <f t="shared" si="32"/>
        <v>1.3025351132036622E-3</v>
      </c>
      <c r="AG44" s="28">
        <f t="shared" si="32"/>
        <v>1.4489542012923184E-3</v>
      </c>
      <c r="AH44" s="28">
        <f t="shared" si="32"/>
        <v>1.4166869166138962E-3</v>
      </c>
      <c r="AI44" s="28">
        <f t="shared" si="32"/>
        <v>1.3673856514127003E-3</v>
      </c>
      <c r="AJ44" s="28">
        <f t="shared" si="32"/>
        <v>1.1990712339520204E-3</v>
      </c>
      <c r="AK44" s="28">
        <f t="shared" si="32"/>
        <v>1.0371505050925656E-3</v>
      </c>
      <c r="AL44" s="28">
        <f t="shared" si="32"/>
        <v>9.6201323563405161E-4</v>
      </c>
      <c r="AM44" s="28">
        <f t="shared" si="32"/>
        <v>1.0683167912708402E-3</v>
      </c>
      <c r="AN44" s="28">
        <f t="shared" si="32"/>
        <v>6.5029509620329051E-4</v>
      </c>
      <c r="AO44" s="28">
        <f t="shared" si="32"/>
        <v>6.917263179451183E-4</v>
      </c>
      <c r="AP44" s="28">
        <f t="shared" si="32"/>
        <v>6.2042657995520223E-4</v>
      </c>
      <c r="AQ44" s="29">
        <f>+(AA44/AA43-1)/COUNTA(AE44:AP44)*12</f>
        <v>1.3208385593459049E-2</v>
      </c>
      <c r="AR44" s="15"/>
      <c r="AS44" s="15"/>
      <c r="BE44" s="33"/>
      <c r="BF44" s="33"/>
      <c r="BG44" s="33"/>
      <c r="BH44" s="33"/>
      <c r="BI44" s="33"/>
      <c r="BJ44" s="57"/>
    </row>
    <row r="45" spans="1:62">
      <c r="A45" s="23">
        <v>39933</v>
      </c>
      <c r="B45" s="26">
        <v>13272.62</v>
      </c>
      <c r="C45" s="31">
        <f t="shared" si="3"/>
        <v>1.6179691167126364E-3</v>
      </c>
      <c r="D45" s="25"/>
      <c r="E45" s="25"/>
      <c r="F45" s="25"/>
      <c r="O45" s="9">
        <v>2020</v>
      </c>
      <c r="P45" s="9">
        <f>+K174</f>
        <v>4885.3887000000004</v>
      </c>
      <c r="Q45" s="9">
        <f>+K175</f>
        <v>4887.7164000000002</v>
      </c>
      <c r="R45" s="9">
        <f>+K176</f>
        <v>4892.3527999999997</v>
      </c>
      <c r="S45" s="9">
        <f>+K177</f>
        <v>4903.1163999999999</v>
      </c>
      <c r="T45" s="9">
        <f>+K178</f>
        <v>4903.9022500000001</v>
      </c>
      <c r="U45" s="9">
        <f>+K179</f>
        <v>4904.6881000000003</v>
      </c>
      <c r="V45" s="9">
        <f>+K180</f>
        <v>4905.1791000000003</v>
      </c>
      <c r="W45" s="9">
        <f>+K181</f>
        <v>4906.1183000000001</v>
      </c>
      <c r="X45" s="9">
        <f>+K182</f>
        <v>4906.4660000000003</v>
      </c>
      <c r="Y45" s="9">
        <f>+K183</f>
        <v>4906.7963</v>
      </c>
      <c r="Z45" s="9">
        <f>+K184</f>
        <v>4907.0953</v>
      </c>
      <c r="AA45" s="9">
        <f>+K185</f>
        <v>4907.3927999999996</v>
      </c>
      <c r="AD45" s="27">
        <v>2020</v>
      </c>
      <c r="AE45" s="28">
        <f>+(P45/AA44-1)</f>
        <v>5.1051672021107386E-4</v>
      </c>
      <c r="AF45" s="28">
        <f t="shared" ref="AF45:AP45" si="33">+(Q45/P45-1)</f>
        <v>4.7646157612790674E-4</v>
      </c>
      <c r="AG45" s="28">
        <f t="shared" si="33"/>
        <v>9.4858204129844026E-4</v>
      </c>
      <c r="AH45" s="28">
        <f t="shared" si="33"/>
        <v>2.2000866331635116E-3</v>
      </c>
      <c r="AI45" s="28">
        <f t="shared" si="33"/>
        <v>1.602756157288443E-4</v>
      </c>
      <c r="AJ45" s="28">
        <f t="shared" si="33"/>
        <v>1.6024993157248701E-4</v>
      </c>
      <c r="AK45" s="28">
        <f t="shared" si="33"/>
        <v>1.0010830250339886E-4</v>
      </c>
      <c r="AL45" s="28">
        <f t="shared" si="33"/>
        <v>1.9147109225836623E-4</v>
      </c>
      <c r="AM45" s="28">
        <f t="shared" si="33"/>
        <v>7.0870692213009789E-5</v>
      </c>
      <c r="AN45" s="28">
        <f t="shared" si="33"/>
        <v>6.7319329227988334E-5</v>
      </c>
      <c r="AO45" s="28">
        <f t="shared" si="33"/>
        <v>6.0935890083824162E-5</v>
      </c>
      <c r="AP45" s="28">
        <f t="shared" si="33"/>
        <v>6.0626497308868821E-5</v>
      </c>
      <c r="AQ45" s="29">
        <f>+(AA45/AA44-1)/COUNTA(AE45:AP45)*12</f>
        <v>5.016879430093768E-3</v>
      </c>
      <c r="AR45" s="15"/>
      <c r="AS45" s="15"/>
      <c r="BE45" s="33"/>
      <c r="BF45" s="33"/>
      <c r="BG45" s="33"/>
      <c r="BH45" s="33"/>
      <c r="BI45" s="33"/>
      <c r="BJ45" s="57"/>
    </row>
    <row r="46" spans="1:62">
      <c r="A46" s="23">
        <v>39962</v>
      </c>
      <c r="B46" s="26">
        <v>13286.96</v>
      </c>
      <c r="C46" s="31">
        <f t="shared" si="3"/>
        <v>1.1176755424791784E-3</v>
      </c>
      <c r="D46" s="25"/>
      <c r="E46" s="25"/>
      <c r="F46" s="25"/>
      <c r="O46" s="9">
        <v>2021</v>
      </c>
      <c r="Q46" s="9">
        <f>+K187</f>
        <v>4907.9052000000001</v>
      </c>
      <c r="R46" s="9">
        <f>+K188</f>
        <v>4908.1704</v>
      </c>
      <c r="S46" s="9">
        <f>+K189</f>
        <v>4908.4956000000002</v>
      </c>
      <c r="T46" s="9">
        <f>+K190</f>
        <v>4908.7905000000001</v>
      </c>
      <c r="U46" s="9">
        <f>+K191</f>
        <v>4909.0847000000003</v>
      </c>
      <c r="V46" s="9">
        <f>+K192</f>
        <v>4909.3885</v>
      </c>
      <c r="W46" s="9">
        <f>+K193</f>
        <v>4909.6931000000004</v>
      </c>
      <c r="X46" s="24">
        <f>+K194</f>
        <v>4909.1148999999996</v>
      </c>
      <c r="Y46" s="9">
        <f>+K195</f>
        <v>4914.1336000000001</v>
      </c>
      <c r="Z46" s="24">
        <f>+K196</f>
        <v>4920.3216000000002</v>
      </c>
      <c r="AA46" s="9">
        <f>+K197</f>
        <v>4929.2918</v>
      </c>
      <c r="AD46" s="27">
        <v>2021</v>
      </c>
      <c r="AE46" s="28"/>
      <c r="AF46" s="28">
        <f>+L187</f>
        <v>6.6619515218925405E-5</v>
      </c>
      <c r="AG46" s="28">
        <f t="shared" ref="AG46:AP51" si="34">+(R46/Q46-1)</f>
        <v>5.403527354186366E-5</v>
      </c>
      <c r="AH46" s="28">
        <f t="shared" si="34"/>
        <v>6.6256868343383957E-5</v>
      </c>
      <c r="AI46" s="28">
        <f t="shared" si="34"/>
        <v>6.0079507863797232E-5</v>
      </c>
      <c r="AJ46" s="28">
        <f t="shared" si="34"/>
        <v>5.9933297214431747E-5</v>
      </c>
      <c r="AK46" s="28">
        <f t="shared" si="34"/>
        <v>6.1885263458627549E-5</v>
      </c>
      <c r="AL46" s="28">
        <f t="shared" si="34"/>
        <v>6.2044386994530853E-5</v>
      </c>
      <c r="AM46" s="28">
        <f t="shared" si="34"/>
        <v>-1.177670351739657E-4</v>
      </c>
      <c r="AN46" s="28">
        <f t="shared" si="34"/>
        <v>1.0223227816485991E-3</v>
      </c>
      <c r="AO46" s="28">
        <f t="shared" si="34"/>
        <v>1.2592250239187308E-3</v>
      </c>
      <c r="AP46" s="28">
        <f t="shared" si="34"/>
        <v>1.8230922141349026E-3</v>
      </c>
      <c r="AQ46" s="29">
        <f>+(AA46/Q46-1)/COUNTA(AF46:AP46)*12</f>
        <v>4.7537259610548332E-3</v>
      </c>
      <c r="AR46" s="15"/>
      <c r="AS46" s="15"/>
      <c r="BD46" s="33"/>
      <c r="BE46" s="33"/>
      <c r="BF46" s="33"/>
      <c r="BG46" s="33"/>
      <c r="BH46" s="33"/>
      <c r="BI46" s="33"/>
      <c r="BJ46" s="57"/>
    </row>
    <row r="47" spans="1:62" ht="15.75" customHeight="1">
      <c r="A47" s="23">
        <v>39994</v>
      </c>
      <c r="B47" s="26">
        <v>13299.08</v>
      </c>
      <c r="C47" s="31">
        <f t="shared" si="3"/>
        <v>8.5516175257552285E-4</v>
      </c>
      <c r="D47" s="25"/>
      <c r="E47" s="25"/>
      <c r="F47" s="25"/>
      <c r="O47" s="9">
        <v>2022</v>
      </c>
      <c r="P47" s="9">
        <f>+K198</f>
        <v>4941.9683000000005</v>
      </c>
      <c r="Q47" s="9">
        <f>+K199</f>
        <v>4958.2785000000003</v>
      </c>
      <c r="R47" s="9">
        <f>+K200</f>
        <v>4977.0833000000002</v>
      </c>
      <c r="S47" s="9">
        <f>+K201</f>
        <v>4999.8365999999996</v>
      </c>
      <c r="T47" s="9">
        <f>+K202</f>
        <v>5027.3885</v>
      </c>
      <c r="U47" s="24">
        <f>+K203</f>
        <v>5056.9675999999999</v>
      </c>
      <c r="V47" s="9">
        <f>+K204</f>
        <v>5089.8978999999999</v>
      </c>
      <c r="W47" s="24">
        <f>+K205</f>
        <v>5125.6822000000002</v>
      </c>
      <c r="X47" s="24">
        <f>+K206</f>
        <v>5163.2829000000002</v>
      </c>
      <c r="Y47" s="24">
        <f>+K207</f>
        <v>5200.6767</v>
      </c>
      <c r="Z47" s="24">
        <f>+K208</f>
        <v>5246.14</v>
      </c>
      <c r="AA47" s="9">
        <f>+K209</f>
        <v>5287.7322999999997</v>
      </c>
      <c r="AD47" s="27">
        <v>2022</v>
      </c>
      <c r="AE47" s="28">
        <f>+(P47/AA46-1)</f>
        <v>2.5716675973617154E-3</v>
      </c>
      <c r="AF47" s="28">
        <f>+(Q47/P47-1)</f>
        <v>3.3003449253206085E-3</v>
      </c>
      <c r="AG47" s="28">
        <f t="shared" si="34"/>
        <v>3.7926066476499098E-3</v>
      </c>
      <c r="AH47" s="28">
        <f t="shared" si="34"/>
        <v>4.5716132579094459E-3</v>
      </c>
      <c r="AI47" s="28">
        <f t="shared" si="34"/>
        <v>5.5105600851037551E-3</v>
      </c>
      <c r="AJ47" s="28">
        <f t="shared" si="34"/>
        <v>5.8835914511081722E-3</v>
      </c>
      <c r="AK47" s="28">
        <f t="shared" si="34"/>
        <v>6.5118669140771246E-3</v>
      </c>
      <c r="AL47" s="28">
        <f t="shared" si="34"/>
        <v>7.0304553653228741E-3</v>
      </c>
      <c r="AM47" s="28">
        <f t="shared" si="34"/>
        <v>7.3357454740365924E-3</v>
      </c>
      <c r="AN47" s="28">
        <f t="shared" si="34"/>
        <v>7.242252792307724E-3</v>
      </c>
      <c r="AO47" s="28">
        <f t="shared" si="34"/>
        <v>8.7418046963003704E-3</v>
      </c>
      <c r="AP47" s="28">
        <f t="shared" si="34"/>
        <v>7.9281719511867799E-3</v>
      </c>
      <c r="AQ47" s="29">
        <f>+(AA47/AA46-1)/COUNTA(AE47:AP47)*12</f>
        <v>7.2716429569050778E-2</v>
      </c>
      <c r="AR47" s="15"/>
      <c r="AS47" s="15"/>
      <c r="BD47" s="33"/>
      <c r="BE47" s="33"/>
      <c r="BF47" s="33"/>
      <c r="BG47" s="33"/>
      <c r="BH47" s="33"/>
      <c r="BI47" s="33"/>
      <c r="BJ47" s="57"/>
    </row>
    <row r="48" spans="1:62">
      <c r="A48" s="23">
        <v>40025</v>
      </c>
      <c r="B48" s="26">
        <v>13305.34</v>
      </c>
      <c r="C48" s="31">
        <f t="shared" si="3"/>
        <v>4.5552508264703405E-4</v>
      </c>
      <c r="D48" s="25"/>
      <c r="E48" s="25"/>
      <c r="F48" s="25"/>
      <c r="O48" s="9">
        <v>2023</v>
      </c>
      <c r="P48" s="9">
        <f>+K210</f>
        <v>5332.3676999999998</v>
      </c>
      <c r="Q48" s="9">
        <f>+K211</f>
        <v>5371.7619999999997</v>
      </c>
      <c r="R48" s="9">
        <f>+K212</f>
        <v>5415.8662000000004</v>
      </c>
      <c r="S48" s="9">
        <f>+K213</f>
        <v>5456.2587000000003</v>
      </c>
      <c r="T48" s="24">
        <f>+K214</f>
        <v>5504.4106000000002</v>
      </c>
      <c r="U48" s="9">
        <f>+K215</f>
        <v>5548.4618</v>
      </c>
      <c r="V48" s="9">
        <f>+K216</f>
        <v>5593.9840000000004</v>
      </c>
      <c r="W48" s="9">
        <f>+K217</f>
        <v>5636.4775</v>
      </c>
      <c r="X48" s="9">
        <f>+K218</f>
        <v>5674.72</v>
      </c>
      <c r="Y48" s="9">
        <f>+K219</f>
        <v>5712.6049000000003</v>
      </c>
      <c r="Z48" s="24">
        <f>+K220</f>
        <v>5747.8491999999997</v>
      </c>
      <c r="AA48" s="9">
        <f>+K221</f>
        <v>5782.92</v>
      </c>
      <c r="AD48" s="27">
        <v>2023</v>
      </c>
      <c r="AE48" s="28">
        <f>+(P48/AA47-1)</f>
        <v>8.4413123561493109E-3</v>
      </c>
      <c r="AF48" s="28">
        <f>+(Q48/P48-1)</f>
        <v>7.3877688517240969E-3</v>
      </c>
      <c r="AG48" s="28">
        <f t="shared" si="34"/>
        <v>8.2103786429854608E-3</v>
      </c>
      <c r="AH48" s="28">
        <f t="shared" si="34"/>
        <v>7.4581790813075255E-3</v>
      </c>
      <c r="AI48" s="28">
        <f t="shared" si="34"/>
        <v>8.8250764209547583E-3</v>
      </c>
      <c r="AJ48" s="28">
        <f t="shared" si="34"/>
        <v>8.0028913540715063E-3</v>
      </c>
      <c r="AK48" s="28">
        <f t="shared" si="34"/>
        <v>8.20447209350883E-3</v>
      </c>
      <c r="AL48" s="28">
        <f t="shared" si="34"/>
        <v>7.5962855810813856E-3</v>
      </c>
      <c r="AM48" s="28">
        <f t="shared" si="34"/>
        <v>6.7848226130593492E-3</v>
      </c>
      <c r="AN48" s="28">
        <f t="shared" si="34"/>
        <v>6.6760826965912567E-3</v>
      </c>
      <c r="AO48" s="28">
        <f t="shared" si="34"/>
        <v>6.1695672319295181E-3</v>
      </c>
      <c r="AP48" s="28">
        <f t="shared" si="34"/>
        <v>6.1015518639564448E-3</v>
      </c>
      <c r="AQ48" s="29">
        <f>+(AA48/AA47-1)/COUNTA(AE48:AP48)*12</f>
        <v>9.364840576365796E-2</v>
      </c>
      <c r="AR48" s="15"/>
      <c r="AS48" s="15"/>
      <c r="BD48" s="33"/>
      <c r="BE48" s="33"/>
      <c r="BF48" s="33"/>
      <c r="BG48" s="33"/>
      <c r="BH48" s="33"/>
      <c r="BI48" s="33"/>
      <c r="BJ48" s="57"/>
    </row>
    <row r="49" spans="1:63">
      <c r="A49" s="23">
        <v>40056</v>
      </c>
      <c r="B49" s="26">
        <v>13310.07</v>
      </c>
      <c r="C49" s="31">
        <f t="shared" si="3"/>
        <v>3.4402873995243246E-4</v>
      </c>
      <c r="D49" s="25"/>
      <c r="E49" s="25"/>
      <c r="F49" s="25"/>
      <c r="O49" s="9">
        <v>2024</v>
      </c>
      <c r="P49" s="9">
        <f>+K222</f>
        <v>5816.8769000000002</v>
      </c>
      <c r="Q49" s="9">
        <f>+K223</f>
        <v>5846.4552000000003</v>
      </c>
      <c r="R49" s="9">
        <f>+K224</f>
        <v>5872.4727999999996</v>
      </c>
      <c r="S49" s="9">
        <f>+K225</f>
        <v>5900.1916000000001</v>
      </c>
      <c r="T49" s="9">
        <f>+K226</f>
        <v>5924.7824000000001</v>
      </c>
      <c r="U49" s="9">
        <f>+K227</f>
        <v>5946.4089999999997</v>
      </c>
      <c r="V49" s="9">
        <f>+K228</f>
        <v>5968.0190000000002</v>
      </c>
      <c r="W49" s="9">
        <f>+K229</f>
        <v>5989.6689999999999</v>
      </c>
      <c r="X49" s="9">
        <f>+K230</f>
        <v>6009.8868000000002</v>
      </c>
      <c r="Y49" s="9">
        <f>+K231</f>
        <v>6030.3854000000001</v>
      </c>
      <c r="Z49" s="9">
        <f>+K232</f>
        <v>6049.8055000000004</v>
      </c>
      <c r="AA49" s="9">
        <f>+K233</f>
        <v>6069.3455000000004</v>
      </c>
      <c r="AD49" s="27">
        <v>2024</v>
      </c>
      <c r="AE49" s="28">
        <f>+(P49/AA48-1)</f>
        <v>5.8719297517517699E-3</v>
      </c>
      <c r="AF49" s="28">
        <f>+(Q49/P49-1)</f>
        <v>5.0849107705890351E-3</v>
      </c>
      <c r="AG49" s="28">
        <f t="shared" si="34"/>
        <v>4.4501495538697977E-3</v>
      </c>
      <c r="AH49" s="28">
        <f t="shared" si="34"/>
        <v>4.7201240336098849E-3</v>
      </c>
      <c r="AI49" s="28">
        <f t="shared" si="34"/>
        <v>4.1677968559530321E-3</v>
      </c>
      <c r="AJ49" s="28">
        <f t="shared" si="34"/>
        <v>3.6501931277677091E-3</v>
      </c>
      <c r="AK49" s="28">
        <f t="shared" si="34"/>
        <v>3.6341260750816229E-3</v>
      </c>
      <c r="AL49" s="28">
        <f t="shared" si="34"/>
        <v>3.6276694159318446E-3</v>
      </c>
      <c r="AM49" s="28">
        <f t="shared" si="34"/>
        <v>3.3754452875442986E-3</v>
      </c>
      <c r="AN49" s="28">
        <f t="shared" si="34"/>
        <v>3.4108129956791355E-3</v>
      </c>
      <c r="AO49" s="28">
        <f t="shared" si="34"/>
        <v>3.220374604913312E-3</v>
      </c>
      <c r="AP49" s="28">
        <f t="shared" si="34"/>
        <v>3.2298559019789952E-3</v>
      </c>
      <c r="AQ49" s="29">
        <f>+(AA49/AA48-1)/COUNTA(AE49:AP49)*12</f>
        <v>4.9529562919770731E-2</v>
      </c>
      <c r="AR49" s="15"/>
      <c r="AS49" s="15"/>
      <c r="BD49" s="33"/>
      <c r="BE49" s="33"/>
      <c r="BF49" s="33"/>
      <c r="BG49" s="33"/>
      <c r="BH49" s="33"/>
      <c r="BI49" s="33"/>
      <c r="BJ49" s="57"/>
    </row>
    <row r="50" spans="1:63">
      <c r="A50" s="23">
        <v>40086</v>
      </c>
      <c r="B50" s="26">
        <v>13315.05</v>
      </c>
      <c r="C50" s="31">
        <f t="shared" si="3"/>
        <v>3.7415280310315602E-4</v>
      </c>
      <c r="D50" s="25"/>
      <c r="E50" s="25"/>
      <c r="F50" s="25"/>
      <c r="O50" s="9">
        <v>2025</v>
      </c>
      <c r="P50" s="9">
        <f>+K234</f>
        <v>6087.6761999999999</v>
      </c>
      <c r="Q50" s="9">
        <f>+K235</f>
        <v>6104.4912000000004</v>
      </c>
      <c r="R50" s="9">
        <f>+K236</f>
        <v>6123.1881999999996</v>
      </c>
      <c r="S50" s="9">
        <f>+K237</f>
        <v>6141.4105</v>
      </c>
      <c r="T50" s="9">
        <f>+K238</f>
        <v>6160.3860000000004</v>
      </c>
      <c r="U50" s="9">
        <f>+K239</f>
        <v>6178.8490000000002</v>
      </c>
      <c r="V50" s="9">
        <f>+K240</f>
        <v>6197.08</v>
      </c>
      <c r="W50" s="9">
        <f>+K241</f>
        <v>6215.6746000000003</v>
      </c>
      <c r="X50" s="9">
        <f>+K242</f>
        <v>6232.8398999999999</v>
      </c>
      <c r="Y50" s="9">
        <f>+K243</f>
        <v>6250.6981999999998</v>
      </c>
      <c r="Z50" s="9">
        <f>+K244</f>
        <v>6268.1689999999999</v>
      </c>
      <c r="AA50" s="9">
        <f>+K245</f>
        <v>6285.9566000000004</v>
      </c>
      <c r="AD50" s="27">
        <v>2025</v>
      </c>
      <c r="AE50" s="28">
        <f>+(P50/AA49-1)</f>
        <v>3.0202103340466468E-3</v>
      </c>
      <c r="AF50" s="28">
        <f>+(Q50/P50-1)</f>
        <v>2.7621377102811095E-3</v>
      </c>
      <c r="AG50" s="28">
        <f t="shared" ref="AG50:AO50" si="35">+(R50/Q50-1)</f>
        <v>3.0628269232331196E-3</v>
      </c>
      <c r="AH50" s="28">
        <f t="shared" si="35"/>
        <v>2.975949685819046E-3</v>
      </c>
      <c r="AI50" s="28">
        <f t="shared" si="35"/>
        <v>3.0897625227950254E-3</v>
      </c>
      <c r="AJ50" s="28">
        <f t="shared" si="35"/>
        <v>2.9970524574272073E-3</v>
      </c>
      <c r="AK50" s="28">
        <f t="shared" si="35"/>
        <v>2.9505495279136262E-3</v>
      </c>
      <c r="AL50" s="28">
        <f t="shared" si="35"/>
        <v>3.0005421908383401E-3</v>
      </c>
      <c r="AM50" s="28">
        <f t="shared" si="35"/>
        <v>2.7616149661373601E-3</v>
      </c>
      <c r="AN50" s="28">
        <f t="shared" si="35"/>
        <v>2.8651947244786591E-3</v>
      </c>
      <c r="AO50" s="28">
        <f t="shared" si="35"/>
        <v>2.7950157631990713E-3</v>
      </c>
      <c r="AP50" s="28">
        <f>+(AA50/Z50-1)</f>
        <v>2.8377664992760288E-3</v>
      </c>
      <c r="AQ50" s="29">
        <f>+(AA50/P50-1)/COUNTA(AE50:AP50)*12</f>
        <v>3.2570786205744717E-2</v>
      </c>
      <c r="AR50" s="15"/>
      <c r="AS50" s="15"/>
      <c r="BD50" s="33"/>
      <c r="BE50" s="33"/>
      <c r="BF50" s="33"/>
      <c r="BG50" s="33"/>
      <c r="BH50" s="33"/>
      <c r="BI50" s="33"/>
      <c r="BJ50" s="57"/>
    </row>
    <row r="51" spans="1:63">
      <c r="A51" s="23">
        <v>40116</v>
      </c>
      <c r="B51" s="26">
        <v>13319.74</v>
      </c>
      <c r="C51" s="31">
        <f t="shared" si="3"/>
        <v>3.522329995007123E-4</v>
      </c>
      <c r="D51" s="25"/>
      <c r="E51" s="25"/>
      <c r="F51" s="25"/>
      <c r="O51" s="9">
        <v>2026</v>
      </c>
      <c r="P51" s="9">
        <f>+K246</f>
        <v>6303.0823</v>
      </c>
      <c r="Q51" s="9">
        <f>+K247</f>
        <v>6318.4947000000002</v>
      </c>
      <c r="R51" s="9">
        <f>+K248</f>
        <v>6335.4773999999998</v>
      </c>
      <c r="S51" s="9">
        <f>+K249</f>
        <v>6351.9305000000004</v>
      </c>
      <c r="AD51" s="27">
        <v>2026</v>
      </c>
      <c r="AE51" s="28">
        <f>+(P51/AA50-1)</f>
        <v>2.7244381547273377E-3</v>
      </c>
      <c r="AF51" s="28">
        <f>+(Q51/P51-1)</f>
        <v>2.4452163666022209E-3</v>
      </c>
      <c r="AG51" s="28">
        <f t="shared" ref="AG51" si="36">+(R51/Q51-1)</f>
        <v>2.6877762515176151E-3</v>
      </c>
      <c r="AH51" s="28">
        <f t="shared" si="34"/>
        <v>2.5969787217614559E-3</v>
      </c>
      <c r="AI51" s="15"/>
      <c r="AJ51" s="15"/>
      <c r="AK51" s="15"/>
      <c r="AL51" s="15"/>
      <c r="AM51" s="15"/>
      <c r="AN51" s="15"/>
      <c r="AO51" s="15"/>
      <c r="AP51" s="15"/>
      <c r="AQ51" s="29">
        <f>+(S51/P51-1)/COUNTA(AE51:AP51)*12</f>
        <v>2.3249672624455764E-2</v>
      </c>
      <c r="AR51" s="15"/>
      <c r="AS51" s="15"/>
      <c r="BD51" s="33"/>
      <c r="BE51" s="33"/>
      <c r="BF51" s="33"/>
      <c r="BG51" s="33"/>
      <c r="BH51" s="33"/>
      <c r="BI51" s="33"/>
      <c r="BJ51" s="57"/>
      <c r="BK51" s="59"/>
    </row>
    <row r="52" spans="1:63">
      <c r="A52" s="23">
        <v>40147</v>
      </c>
      <c r="B52" s="26">
        <v>13324.51</v>
      </c>
      <c r="C52" s="31">
        <f t="shared" si="3"/>
        <v>3.4656299839617581E-4</v>
      </c>
      <c r="D52" s="25"/>
      <c r="E52" s="25"/>
      <c r="F52" s="25"/>
      <c r="AD52" s="32" t="s">
        <v>28</v>
      </c>
      <c r="AE52" s="15"/>
      <c r="AF52" s="15"/>
      <c r="AG52" s="15"/>
      <c r="AH52" s="15"/>
      <c r="AI52" s="15"/>
      <c r="AJ52" s="15"/>
      <c r="AK52" s="15"/>
      <c r="AL52" s="15"/>
      <c r="AM52" s="15"/>
      <c r="AN52" s="15"/>
      <c r="AO52" s="15"/>
      <c r="AP52" s="15"/>
      <c r="AQ52" s="15"/>
      <c r="AR52" s="15"/>
      <c r="AS52" s="15"/>
      <c r="BD52" s="33"/>
      <c r="BE52" s="33"/>
      <c r="BF52" s="33"/>
      <c r="BG52" s="33"/>
      <c r="BH52" s="33"/>
      <c r="BI52" s="33"/>
      <c r="BJ52" s="57"/>
      <c r="BK52" s="59"/>
    </row>
    <row r="53" spans="1:63">
      <c r="A53" s="23">
        <v>40178</v>
      </c>
      <c r="B53" s="26">
        <v>13329.5</v>
      </c>
      <c r="C53" s="31">
        <f t="shared" si="3"/>
        <v>3.6241724896941336E-4</v>
      </c>
      <c r="D53" s="25"/>
      <c r="E53" s="25"/>
      <c r="F53" s="25"/>
      <c r="AD53" s="32"/>
      <c r="AE53" s="15"/>
      <c r="AF53" s="15"/>
      <c r="AG53" s="15"/>
      <c r="AH53" s="15"/>
      <c r="AI53" s="15"/>
      <c r="AJ53" s="15"/>
      <c r="AK53" s="15"/>
      <c r="AL53" s="15"/>
      <c r="AM53" s="15"/>
      <c r="AN53" s="15"/>
      <c r="AO53" s="15"/>
      <c r="AP53" s="15"/>
      <c r="AQ53" s="15"/>
      <c r="AR53" s="15"/>
      <c r="AS53" s="15"/>
    </row>
    <row r="54" spans="1:63">
      <c r="A54" s="23">
        <v>40207</v>
      </c>
      <c r="B54" s="26">
        <v>13334.25</v>
      </c>
      <c r="C54" s="31">
        <f t="shared" si="3"/>
        <v>3.6864046689279314E-4</v>
      </c>
      <c r="D54" s="25"/>
      <c r="E54" s="25"/>
      <c r="F54" s="25"/>
      <c r="AC54" s="50" t="s">
        <v>39</v>
      </c>
      <c r="AD54" s="51" t="s">
        <v>40</v>
      </c>
      <c r="AE54" s="51" t="s">
        <v>4</v>
      </c>
      <c r="AF54" s="51" t="s">
        <v>5</v>
      </c>
      <c r="AG54" s="51" t="s">
        <v>6</v>
      </c>
      <c r="AH54" s="51" t="s">
        <v>7</v>
      </c>
      <c r="AI54" s="51" t="s">
        <v>8</v>
      </c>
      <c r="AJ54" s="51" t="s">
        <v>9</v>
      </c>
      <c r="AK54" s="51" t="s">
        <v>10</v>
      </c>
      <c r="AL54" s="51" t="s">
        <v>11</v>
      </c>
      <c r="AM54" s="51" t="s">
        <v>12</v>
      </c>
      <c r="AN54" s="51" t="s">
        <v>13</v>
      </c>
      <c r="AO54" s="51" t="s">
        <v>14</v>
      </c>
      <c r="AP54" s="51" t="s">
        <v>15</v>
      </c>
      <c r="AQ54" s="51" t="s">
        <v>16</v>
      </c>
      <c r="AR54" s="58"/>
      <c r="AS54" s="15"/>
    </row>
    <row r="55" spans="1:63">
      <c r="A55" s="23">
        <v>40235</v>
      </c>
      <c r="B55" s="26">
        <v>13338.53</v>
      </c>
      <c r="C55" s="31">
        <f t="shared" si="3"/>
        <v>3.4390492796473486E-4</v>
      </c>
      <c r="D55" s="25"/>
      <c r="E55" s="25"/>
      <c r="F55" s="25"/>
      <c r="AC55" s="52">
        <v>2013</v>
      </c>
      <c r="AD55" s="52" t="s">
        <v>3</v>
      </c>
      <c r="AE55" s="53"/>
      <c r="AF55" s="53"/>
      <c r="AG55" s="53"/>
      <c r="AH55" s="53"/>
      <c r="AI55" s="53"/>
      <c r="AJ55" s="53"/>
      <c r="AK55" s="53"/>
      <c r="AL55" s="53"/>
      <c r="AM55" s="53"/>
      <c r="AN55" s="53"/>
      <c r="AO55" s="53"/>
      <c r="AP55" s="53"/>
      <c r="AQ55" s="54"/>
      <c r="AR55" s="15"/>
      <c r="AS55" s="15"/>
    </row>
    <row r="56" spans="1:63">
      <c r="A56" s="23">
        <v>40268</v>
      </c>
      <c r="B56" s="26">
        <v>13343.79</v>
      </c>
      <c r="C56" s="31">
        <f t="shared" si="3"/>
        <v>3.58496639571185E-4</v>
      </c>
      <c r="D56" s="25"/>
      <c r="E56" s="25"/>
      <c r="F56" s="25"/>
      <c r="AC56" s="55">
        <v>2014</v>
      </c>
      <c r="AD56" s="55" t="s">
        <v>3</v>
      </c>
      <c r="AE56" s="56"/>
      <c r="AF56" s="56"/>
      <c r="AG56" s="56"/>
      <c r="AH56" s="56"/>
      <c r="AI56" s="56"/>
      <c r="AJ56" s="56"/>
      <c r="AK56" s="56"/>
      <c r="AL56" s="56"/>
      <c r="AM56" s="56"/>
      <c r="AN56" s="56"/>
      <c r="AO56" s="56"/>
      <c r="AP56" s="56"/>
      <c r="AQ56" s="54"/>
      <c r="AR56" s="15"/>
      <c r="AS56" s="48"/>
    </row>
    <row r="57" spans="1:63">
      <c r="A57" s="23">
        <v>40298</v>
      </c>
      <c r="B57" s="26">
        <v>13348.63</v>
      </c>
      <c r="C57" s="31">
        <f t="shared" si="3"/>
        <v>3.6271554033739939E-4</v>
      </c>
      <c r="D57" s="25"/>
      <c r="E57" s="25"/>
      <c r="F57" s="25"/>
      <c r="AC57" s="52">
        <v>2015</v>
      </c>
      <c r="AD57" s="52" t="s">
        <v>3</v>
      </c>
      <c r="AE57" s="53"/>
      <c r="AF57" s="53"/>
      <c r="AG57" s="53"/>
      <c r="AH57" s="53"/>
      <c r="AI57" s="53"/>
      <c r="AJ57" s="53"/>
      <c r="AK57" s="53"/>
      <c r="AL57" s="53"/>
      <c r="AM57" s="53"/>
      <c r="AN57" s="53"/>
      <c r="AO57" s="53"/>
      <c r="AP57" s="53"/>
      <c r="AQ57" s="54"/>
      <c r="AR57" s="15"/>
      <c r="AS57" s="48"/>
    </row>
    <row r="58" spans="1:63">
      <c r="A58" s="23">
        <v>40329</v>
      </c>
      <c r="B58" s="26">
        <v>13353.5</v>
      </c>
      <c r="C58" s="31">
        <f t="shared" si="3"/>
        <v>3.5306269076350988E-4</v>
      </c>
      <c r="D58" s="25"/>
      <c r="E58" s="25"/>
      <c r="F58" s="25"/>
      <c r="AC58" s="55">
        <v>2016</v>
      </c>
      <c r="AD58" s="55" t="s">
        <v>3</v>
      </c>
      <c r="AE58" s="56"/>
      <c r="AF58" s="56"/>
      <c r="AG58" s="56"/>
      <c r="AH58" s="56"/>
      <c r="AI58" s="56"/>
      <c r="AJ58" s="56"/>
      <c r="AK58" s="56"/>
      <c r="AL58" s="56"/>
      <c r="AM58" s="56"/>
      <c r="AN58" s="56"/>
      <c r="AO58" s="56"/>
      <c r="AP58" s="56"/>
      <c r="AQ58" s="54"/>
      <c r="AR58" s="58"/>
      <c r="AS58" s="48"/>
    </row>
    <row r="59" spans="1:63">
      <c r="A59" s="23">
        <v>40359</v>
      </c>
      <c r="B59" s="26">
        <v>13360.9</v>
      </c>
      <c r="C59" s="31">
        <f t="shared" si="3"/>
        <v>5.5416183023182519E-4</v>
      </c>
      <c r="D59" s="25"/>
      <c r="E59" s="25"/>
      <c r="F59" s="25"/>
      <c r="AC59" s="76">
        <v>2017</v>
      </c>
      <c r="AD59" s="52" t="s">
        <v>3</v>
      </c>
      <c r="AE59" s="53"/>
      <c r="AF59" s="53"/>
      <c r="AG59" s="53"/>
      <c r="AH59" s="53"/>
      <c r="AI59" s="53"/>
      <c r="AJ59" s="53"/>
      <c r="AK59" s="53"/>
      <c r="AL59" s="53"/>
      <c r="AM59" s="53"/>
      <c r="AN59" s="53"/>
      <c r="AO59" s="53"/>
      <c r="AP59" s="53"/>
      <c r="AQ59" s="54"/>
      <c r="AR59" s="58"/>
      <c r="AS59" s="48"/>
    </row>
    <row r="60" spans="1:63">
      <c r="A60" s="23">
        <v>40389</v>
      </c>
      <c r="B60" s="26">
        <v>13373.99</v>
      </c>
      <c r="C60" s="31">
        <f t="shared" si="3"/>
        <v>9.7972441976224012E-4</v>
      </c>
      <c r="D60" s="25"/>
      <c r="E60" s="25"/>
      <c r="F60" s="25"/>
      <c r="AC60" s="76"/>
      <c r="AD60" s="52" t="s">
        <v>26</v>
      </c>
      <c r="AE60" s="53"/>
      <c r="AF60" s="53"/>
      <c r="AG60" s="53"/>
      <c r="AH60" s="53"/>
      <c r="AI60" s="53"/>
      <c r="AJ60" s="53"/>
      <c r="AK60" s="53"/>
      <c r="AL60" s="53"/>
      <c r="AM60" s="53"/>
      <c r="AN60" s="53"/>
      <c r="AO60" s="53"/>
      <c r="AP60" s="53"/>
      <c r="AQ60" s="54"/>
      <c r="AR60" s="58" t="s">
        <v>24</v>
      </c>
      <c r="AS60" s="15"/>
    </row>
    <row r="61" spans="1:63">
      <c r="A61" s="23">
        <v>40421</v>
      </c>
      <c r="B61" s="26">
        <v>13395.21</v>
      </c>
      <c r="C61" s="31">
        <f t="shared" si="3"/>
        <v>1.4874955043334137E-3</v>
      </c>
      <c r="D61" s="25"/>
      <c r="E61" s="25"/>
      <c r="F61" s="25"/>
      <c r="AC61" s="76"/>
      <c r="AD61" s="52" t="s">
        <v>27</v>
      </c>
      <c r="AE61" s="53"/>
      <c r="AF61" s="53"/>
      <c r="AG61" s="53"/>
      <c r="AH61" s="53"/>
      <c r="AI61" s="53"/>
      <c r="AJ61" s="53"/>
      <c r="AK61" s="53"/>
      <c r="AL61" s="53"/>
      <c r="AM61" s="53"/>
      <c r="AN61" s="53"/>
      <c r="AO61" s="53"/>
      <c r="AP61" s="53"/>
      <c r="AQ61" s="54"/>
      <c r="AR61" s="58"/>
      <c r="AS61" s="15"/>
    </row>
    <row r="62" spans="1:63">
      <c r="A62" s="23">
        <v>40451</v>
      </c>
      <c r="B62" s="26">
        <v>13419.79</v>
      </c>
      <c r="C62" s="31">
        <f t="shared" si="3"/>
        <v>1.8349842966256527E-3</v>
      </c>
      <c r="D62" s="25"/>
      <c r="E62" s="25"/>
      <c r="F62" s="25"/>
      <c r="AC62" s="77">
        <v>2018</v>
      </c>
      <c r="AD62" s="55" t="s">
        <v>3</v>
      </c>
      <c r="AE62" s="56"/>
      <c r="AF62" s="56"/>
      <c r="AG62" s="56"/>
      <c r="AH62" s="56"/>
      <c r="AI62" s="56"/>
      <c r="AJ62" s="56"/>
      <c r="AK62" s="56"/>
      <c r="AL62" s="56"/>
      <c r="AM62" s="56"/>
      <c r="AN62" s="56"/>
      <c r="AO62" s="56"/>
      <c r="AP62" s="56"/>
      <c r="AQ62" s="54"/>
      <c r="AR62" s="15"/>
    </row>
    <row r="63" spans="1:63">
      <c r="A63" s="23">
        <v>40480</v>
      </c>
      <c r="B63" s="26">
        <v>13448.69</v>
      </c>
      <c r="C63" s="31">
        <f t="shared" si="3"/>
        <v>2.2277957944302094E-3</v>
      </c>
      <c r="D63" s="25"/>
      <c r="E63" s="25"/>
      <c r="F63" s="25"/>
      <c r="AC63" s="77"/>
      <c r="AD63" s="55" t="s">
        <v>26</v>
      </c>
      <c r="AE63" s="56"/>
      <c r="AF63" s="56"/>
      <c r="AG63" s="56"/>
      <c r="AH63" s="56"/>
      <c r="AI63" s="56"/>
      <c r="AJ63" s="56"/>
      <c r="AK63" s="56"/>
      <c r="AL63" s="56"/>
      <c r="AM63" s="56"/>
      <c r="AN63" s="56"/>
      <c r="AO63" s="56"/>
      <c r="AP63" s="56"/>
      <c r="AQ63" s="54"/>
      <c r="AR63" s="15"/>
    </row>
    <row r="64" spans="1:63">
      <c r="A64" s="23">
        <v>40512</v>
      </c>
      <c r="B64" s="26">
        <v>13483.02</v>
      </c>
      <c r="C64" s="31">
        <f t="shared" si="3"/>
        <v>2.3931234194557449E-3</v>
      </c>
      <c r="D64" s="25"/>
      <c r="E64" s="25"/>
      <c r="F64" s="25"/>
      <c r="AC64" s="77"/>
      <c r="AD64" s="52" t="s">
        <v>27</v>
      </c>
      <c r="AE64" s="56"/>
      <c r="AF64" s="56"/>
      <c r="AG64" s="56"/>
      <c r="AH64" s="56"/>
      <c r="AI64" s="56"/>
      <c r="AJ64" s="56"/>
      <c r="AK64" s="56"/>
      <c r="AL64" s="56"/>
      <c r="AM64" s="56"/>
      <c r="AN64" s="56"/>
      <c r="AO64" s="56"/>
      <c r="AP64" s="56"/>
      <c r="AQ64" s="54"/>
    </row>
    <row r="65" spans="1:46">
      <c r="A65" s="23">
        <v>40543</v>
      </c>
      <c r="B65" s="26">
        <v>13522.93</v>
      </c>
      <c r="C65" s="31">
        <f t="shared" si="3"/>
        <v>2.864534847917051E-3</v>
      </c>
      <c r="D65" s="25"/>
      <c r="E65" s="25"/>
      <c r="F65" s="25"/>
      <c r="AC65" s="76">
        <v>2019</v>
      </c>
      <c r="AD65" s="52" t="s">
        <v>3</v>
      </c>
      <c r="AE65" s="53"/>
      <c r="AF65" s="53"/>
      <c r="AG65" s="53"/>
      <c r="AH65" s="53"/>
      <c r="AI65" s="53"/>
      <c r="AJ65" s="53"/>
      <c r="AK65" s="53"/>
      <c r="AL65" s="53"/>
      <c r="AM65" s="53"/>
      <c r="AN65" s="53"/>
      <c r="AO65" s="53"/>
      <c r="AP65" s="53"/>
      <c r="AQ65" s="54"/>
    </row>
    <row r="66" spans="1:46">
      <c r="A66" s="23">
        <v>40574</v>
      </c>
      <c r="B66" s="26">
        <v>13557.12</v>
      </c>
      <c r="C66" s="31">
        <f t="shared" si="3"/>
        <v>2.4467402237675485E-3</v>
      </c>
      <c r="D66" s="25"/>
      <c r="E66" s="25"/>
      <c r="F66" s="25"/>
      <c r="AC66" s="76"/>
      <c r="AD66" s="52" t="s">
        <v>26</v>
      </c>
      <c r="AE66" s="53"/>
      <c r="AF66" s="53"/>
      <c r="AG66" s="53"/>
      <c r="AH66" s="53"/>
      <c r="AI66" s="53"/>
      <c r="AJ66" s="53"/>
      <c r="AK66" s="53"/>
      <c r="AL66" s="53"/>
      <c r="AM66" s="53"/>
      <c r="AN66" s="53"/>
      <c r="AO66" s="53"/>
      <c r="AP66" s="53"/>
      <c r="AQ66" s="54"/>
    </row>
    <row r="67" spans="1:46" s="10" customFormat="1">
      <c r="A67" s="23">
        <v>40602</v>
      </c>
      <c r="B67" s="26">
        <v>13592.3</v>
      </c>
      <c r="C67" s="31">
        <f t="shared" si="3"/>
        <v>2.780299734962648E-3</v>
      </c>
      <c r="D67" s="25"/>
      <c r="E67" s="25"/>
      <c r="F67" s="25"/>
      <c r="I67" s="11"/>
      <c r="N67" s="9"/>
      <c r="O67" s="9"/>
      <c r="P67" s="9"/>
      <c r="Q67" s="9"/>
      <c r="R67" s="9"/>
      <c r="S67" s="9"/>
      <c r="T67" s="9"/>
      <c r="U67" s="9"/>
      <c r="V67" s="9"/>
      <c r="W67" s="9"/>
      <c r="X67" s="9"/>
      <c r="Y67" s="9"/>
      <c r="Z67" s="9"/>
      <c r="AA67" s="9"/>
      <c r="AB67" s="9"/>
      <c r="AC67" s="76"/>
      <c r="AD67" s="52" t="s">
        <v>27</v>
      </c>
      <c r="AE67" s="53"/>
      <c r="AF67" s="53"/>
      <c r="AG67" s="53"/>
      <c r="AH67" s="53"/>
      <c r="AI67" s="53"/>
      <c r="AJ67" s="53"/>
      <c r="AK67" s="53"/>
      <c r="AL67" s="53"/>
      <c r="AM67" s="53"/>
      <c r="AN67" s="53"/>
      <c r="AO67" s="53"/>
      <c r="AP67" s="53"/>
      <c r="AQ67" s="54"/>
      <c r="AR67" s="9"/>
      <c r="AS67" s="9"/>
      <c r="AT67" s="9"/>
    </row>
    <row r="68" spans="1:46" s="10" customFormat="1">
      <c r="A68" s="23">
        <v>40633</v>
      </c>
      <c r="B68" s="26">
        <v>13635.91</v>
      </c>
      <c r="C68" s="31">
        <f t="shared" si="3"/>
        <v>3.1049363100028021E-3</v>
      </c>
      <c r="D68" s="25"/>
      <c r="E68" s="25"/>
      <c r="F68" s="25"/>
      <c r="I68" s="11"/>
      <c r="O68" s="9"/>
      <c r="P68" s="9"/>
      <c r="Q68" s="9"/>
      <c r="R68" s="9"/>
      <c r="S68" s="9"/>
      <c r="T68" s="9"/>
      <c r="U68" s="9"/>
      <c r="V68" s="9"/>
      <c r="W68" s="9"/>
      <c r="X68" s="9"/>
      <c r="Y68" s="9"/>
      <c r="Z68" s="9"/>
      <c r="AA68" s="9"/>
      <c r="AB68" s="9"/>
      <c r="AC68" s="76">
        <v>2020</v>
      </c>
      <c r="AD68" s="52" t="s">
        <v>3</v>
      </c>
      <c r="AE68" s="53"/>
      <c r="AF68" s="53"/>
      <c r="AG68" s="53"/>
      <c r="AH68" s="53"/>
      <c r="AI68" s="53"/>
      <c r="AJ68" s="53"/>
      <c r="AK68" s="53"/>
      <c r="AL68" s="53"/>
      <c r="AM68" s="53"/>
      <c r="AN68" s="53"/>
      <c r="AO68" s="53"/>
      <c r="AP68" s="53"/>
      <c r="AQ68" s="54"/>
      <c r="AR68" s="9"/>
      <c r="AS68" s="9"/>
    </row>
    <row r="69" spans="1:46" s="10" customFormat="1">
      <c r="A69" s="23">
        <v>40662</v>
      </c>
      <c r="B69" s="26">
        <v>13682.94</v>
      </c>
      <c r="C69" s="31">
        <f t="shared" si="3"/>
        <v>3.5679117959807392E-3</v>
      </c>
      <c r="D69" s="25"/>
      <c r="E69" s="25"/>
      <c r="F69" s="25"/>
      <c r="I69" s="11"/>
      <c r="O69" s="9"/>
      <c r="P69" s="9"/>
      <c r="Q69" s="9"/>
      <c r="R69" s="9"/>
      <c r="S69" s="9"/>
      <c r="T69" s="9"/>
      <c r="U69" s="9"/>
      <c r="V69" s="9"/>
      <c r="W69" s="9"/>
      <c r="X69" s="9"/>
      <c r="Y69" s="9"/>
      <c r="Z69" s="9"/>
      <c r="AA69" s="9"/>
      <c r="AB69" s="9"/>
      <c r="AC69" s="76"/>
      <c r="AD69" s="52" t="s">
        <v>26</v>
      </c>
      <c r="AE69" s="53"/>
      <c r="AF69" s="53"/>
      <c r="AG69" s="53"/>
      <c r="AH69" s="53"/>
      <c r="AI69" s="53"/>
      <c r="AJ69" s="53"/>
      <c r="AK69" s="53"/>
      <c r="AL69" s="53"/>
      <c r="AM69" s="53"/>
      <c r="AN69" s="53"/>
      <c r="AO69" s="53"/>
      <c r="AP69" s="53"/>
      <c r="AQ69" s="54"/>
      <c r="AR69" s="9"/>
      <c r="AS69" s="9"/>
    </row>
    <row r="70" spans="1:46" s="10" customFormat="1">
      <c r="A70" s="23">
        <v>40694</v>
      </c>
      <c r="B70" s="26">
        <v>13741.06</v>
      </c>
      <c r="C70" s="31">
        <f t="shared" si="3"/>
        <v>3.982148573332886E-3</v>
      </c>
      <c r="D70" s="25"/>
      <c r="E70" s="25"/>
      <c r="F70" s="25"/>
      <c r="I70" s="11"/>
      <c r="O70" s="9"/>
      <c r="P70" s="9"/>
      <c r="Q70" s="9"/>
      <c r="R70" s="9"/>
      <c r="S70" s="9"/>
      <c r="T70" s="9"/>
      <c r="U70" s="9"/>
      <c r="V70" s="9"/>
      <c r="W70" s="9"/>
      <c r="X70" s="9"/>
      <c r="Y70" s="9"/>
      <c r="Z70" s="9"/>
      <c r="AA70" s="9"/>
      <c r="AB70" s="9"/>
      <c r="AC70" s="76"/>
      <c r="AD70" s="52" t="s">
        <v>27</v>
      </c>
      <c r="AE70" s="53"/>
      <c r="AF70" s="53"/>
      <c r="AG70" s="53"/>
      <c r="AH70" s="53"/>
      <c r="AI70" s="53"/>
      <c r="AJ70" s="53"/>
      <c r="AK70" s="53"/>
      <c r="AL70" s="53"/>
      <c r="AM70" s="53"/>
      <c r="AN70" s="53"/>
      <c r="AO70" s="53"/>
      <c r="AP70" s="53"/>
      <c r="AQ70" s="54"/>
      <c r="AR70" s="9"/>
      <c r="AS70" s="9"/>
    </row>
    <row r="71" spans="1:46" s="10" customFormat="1">
      <c r="A71" s="23">
        <v>40724</v>
      </c>
      <c r="B71" s="26">
        <v>13799.74</v>
      </c>
      <c r="C71" s="31">
        <f t="shared" ref="C71:C134" si="37">(B71/B70-1)/(A71-A70)*30</f>
        <v>4.2704129084656373E-3</v>
      </c>
      <c r="D71" s="25"/>
      <c r="E71" s="25"/>
      <c r="F71" s="25"/>
      <c r="I71" s="11"/>
      <c r="O71" s="9"/>
      <c r="P71" s="9"/>
      <c r="Q71" s="9"/>
      <c r="R71" s="9"/>
      <c r="S71" s="9"/>
      <c r="T71" s="9"/>
      <c r="U71" s="9"/>
      <c r="V71" s="9"/>
      <c r="W71" s="9"/>
      <c r="X71" s="9"/>
      <c r="Y71" s="9"/>
      <c r="Z71" s="9"/>
      <c r="AA71" s="9"/>
      <c r="AC71" s="77">
        <v>2021</v>
      </c>
      <c r="AD71" s="55" t="s">
        <v>3</v>
      </c>
      <c r="AE71" s="78"/>
      <c r="AF71" s="78"/>
      <c r="AG71" s="78"/>
      <c r="AH71" s="78"/>
      <c r="AI71" s="78"/>
      <c r="AJ71" s="78"/>
      <c r="AK71" s="78"/>
      <c r="AL71" s="78"/>
      <c r="AM71" s="78"/>
      <c r="AN71" s="78"/>
      <c r="AO71" s="78"/>
      <c r="AP71" s="78"/>
      <c r="AQ71" s="78"/>
      <c r="AR71" s="9"/>
      <c r="AS71" s="9"/>
    </row>
    <row r="72" spans="1:46" s="10" customFormat="1">
      <c r="A72" s="23">
        <v>40753</v>
      </c>
      <c r="B72" s="26">
        <v>13858.14</v>
      </c>
      <c r="C72" s="31">
        <f t="shared" si="37"/>
        <v>4.3778935765055932E-3</v>
      </c>
      <c r="D72" s="25"/>
      <c r="E72" s="25"/>
      <c r="F72" s="25"/>
      <c r="I72" s="11"/>
      <c r="O72" s="9"/>
      <c r="P72" s="9"/>
      <c r="Q72" s="9"/>
      <c r="R72" s="9"/>
      <c r="S72" s="9"/>
      <c r="T72" s="9"/>
      <c r="U72" s="9"/>
      <c r="V72" s="9"/>
      <c r="W72" s="9"/>
      <c r="X72" s="9"/>
      <c r="Y72" s="9"/>
      <c r="Z72" s="9"/>
      <c r="AA72" s="9"/>
      <c r="AC72" s="77"/>
      <c r="AD72" s="55" t="s">
        <v>26</v>
      </c>
      <c r="AE72" s="78"/>
      <c r="AF72" s="78"/>
      <c r="AG72" s="78"/>
      <c r="AH72" s="78"/>
      <c r="AI72" s="78"/>
      <c r="AJ72" s="78"/>
      <c r="AK72" s="78"/>
      <c r="AL72" s="78"/>
      <c r="AM72" s="78"/>
      <c r="AN72" s="78"/>
      <c r="AO72" s="78"/>
      <c r="AP72" s="78"/>
      <c r="AQ72" s="78"/>
      <c r="AR72" s="9"/>
      <c r="AS72" s="9"/>
    </row>
    <row r="73" spans="1:46" s="10" customFormat="1">
      <c r="A73" s="23">
        <v>40786</v>
      </c>
      <c r="B73" s="26">
        <v>13925.03</v>
      </c>
      <c r="C73" s="31">
        <f t="shared" si="37"/>
        <v>4.3879691581331795E-3</v>
      </c>
      <c r="D73" s="25"/>
      <c r="E73" s="25"/>
      <c r="F73" s="25"/>
      <c r="I73" s="11"/>
      <c r="O73" s="9"/>
      <c r="P73" s="9"/>
      <c r="Q73" s="9"/>
      <c r="R73" s="9"/>
      <c r="S73" s="9"/>
      <c r="T73" s="9"/>
      <c r="U73" s="9"/>
      <c r="V73" s="9"/>
      <c r="W73" s="9"/>
      <c r="X73" s="9"/>
      <c r="Y73" s="9"/>
      <c r="Z73" s="9"/>
      <c r="AA73" s="9"/>
      <c r="AC73" s="77"/>
      <c r="AD73" s="52" t="s">
        <v>41</v>
      </c>
      <c r="AE73" s="78"/>
      <c r="AF73" s="78"/>
      <c r="AG73" s="78"/>
      <c r="AH73" s="78"/>
      <c r="AI73" s="78"/>
      <c r="AJ73" s="78"/>
      <c r="AK73" s="78"/>
      <c r="AL73" s="78"/>
      <c r="AM73" s="78"/>
      <c r="AN73" s="78"/>
      <c r="AO73" s="78"/>
      <c r="AP73" s="78"/>
      <c r="AQ73" s="78"/>
      <c r="AR73" s="9"/>
      <c r="AS73" s="9"/>
    </row>
    <row r="74" spans="1:46" s="10" customFormat="1">
      <c r="A74" s="23">
        <v>40816</v>
      </c>
      <c r="B74" s="26">
        <v>13985.97</v>
      </c>
      <c r="C74" s="31">
        <f t="shared" si="37"/>
        <v>4.3762921875212246E-3</v>
      </c>
      <c r="D74" s="25"/>
      <c r="E74" s="25"/>
      <c r="F74" s="25"/>
      <c r="I74" s="11"/>
      <c r="O74" s="9"/>
      <c r="P74" s="9"/>
      <c r="Q74" s="9"/>
      <c r="R74" s="9"/>
      <c r="S74" s="9"/>
      <c r="T74" s="9"/>
      <c r="U74" s="9"/>
      <c r="V74" s="9"/>
      <c r="W74" s="9"/>
      <c r="X74" s="9"/>
      <c r="Y74" s="9"/>
      <c r="Z74" s="9"/>
      <c r="AA74" s="9"/>
      <c r="AC74" s="103">
        <v>2022</v>
      </c>
      <c r="AD74" s="55" t="s">
        <v>3</v>
      </c>
      <c r="AE74" s="78"/>
      <c r="AF74" s="78"/>
      <c r="AG74" s="78"/>
      <c r="AH74" s="78"/>
      <c r="AI74" s="78"/>
      <c r="AJ74" s="78"/>
      <c r="AK74" s="78"/>
      <c r="AL74" s="78"/>
      <c r="AM74" s="78"/>
      <c r="AN74" s="78"/>
      <c r="AO74" s="78"/>
      <c r="AP74" s="78"/>
      <c r="AQ74" s="78"/>
      <c r="AR74" s="9"/>
      <c r="AS74" s="9"/>
    </row>
    <row r="75" spans="1:46" s="10" customFormat="1">
      <c r="A75" s="23">
        <v>40847</v>
      </c>
      <c r="B75" s="26">
        <v>14043.21</v>
      </c>
      <c r="C75" s="31">
        <f t="shared" si="37"/>
        <v>3.9606511659252518E-3</v>
      </c>
      <c r="D75" s="25"/>
      <c r="E75" s="25"/>
      <c r="F75" s="25"/>
      <c r="I75" s="11"/>
      <c r="O75" s="9"/>
      <c r="P75" s="9"/>
      <c r="Q75" s="9"/>
      <c r="R75" s="9"/>
      <c r="S75" s="9"/>
      <c r="T75" s="9"/>
      <c r="U75" s="9"/>
      <c r="V75" s="9"/>
      <c r="W75" s="9"/>
      <c r="X75" s="9"/>
      <c r="Y75" s="9"/>
      <c r="Z75" s="9"/>
      <c r="AA75" s="9"/>
      <c r="AC75" s="103"/>
      <c r="AD75" s="55" t="s">
        <v>26</v>
      </c>
      <c r="AE75" s="78"/>
      <c r="AF75" s="78"/>
      <c r="AG75" s="78"/>
      <c r="AH75" s="78"/>
      <c r="AI75" s="78"/>
      <c r="AJ75" s="78"/>
      <c r="AK75" s="78"/>
      <c r="AL75" s="78"/>
      <c r="AM75" s="78"/>
      <c r="AN75" s="78"/>
      <c r="AO75" s="78"/>
      <c r="AP75" s="78"/>
      <c r="AQ75" s="78"/>
      <c r="AR75" s="9"/>
      <c r="AS75" s="9"/>
    </row>
    <row r="76" spans="1:46" s="10" customFormat="1">
      <c r="A76" s="23">
        <v>40877</v>
      </c>
      <c r="B76" s="26">
        <v>14110.87</v>
      </c>
      <c r="C76" s="31">
        <f t="shared" si="37"/>
        <v>4.8179867708308954E-3</v>
      </c>
      <c r="D76" s="25"/>
      <c r="E76" s="25"/>
      <c r="F76" s="25"/>
      <c r="I76" s="11"/>
      <c r="O76" s="9"/>
      <c r="P76" s="9"/>
      <c r="Q76" s="9"/>
      <c r="R76" s="9"/>
      <c r="S76" s="9"/>
      <c r="T76" s="9"/>
      <c r="U76" s="9"/>
      <c r="V76" s="9"/>
      <c r="W76" s="9"/>
      <c r="X76" s="9"/>
      <c r="Y76" s="9"/>
      <c r="Z76" s="9"/>
      <c r="AA76" s="9"/>
      <c r="AC76" s="103"/>
      <c r="AD76" s="52" t="s">
        <v>27</v>
      </c>
      <c r="AE76" s="78"/>
      <c r="AF76" s="78"/>
      <c r="AG76" s="78"/>
      <c r="AH76" s="78"/>
      <c r="AI76" s="78"/>
      <c r="AJ76" s="78"/>
      <c r="AK76" s="78"/>
      <c r="AL76" s="78"/>
      <c r="AM76" s="78"/>
      <c r="AN76" s="78"/>
      <c r="AO76" s="78"/>
      <c r="AP76" s="78"/>
      <c r="AQ76" s="78"/>
      <c r="AR76" s="9"/>
      <c r="AS76" s="9"/>
    </row>
    <row r="77" spans="1:46" s="10" customFormat="1">
      <c r="A77" s="23">
        <v>40907</v>
      </c>
      <c r="B77" s="26">
        <v>14172.63</v>
      </c>
      <c r="C77" s="31">
        <f t="shared" si="37"/>
        <v>4.3767676975265957E-3</v>
      </c>
      <c r="D77" s="25"/>
      <c r="E77" s="25"/>
      <c r="F77" s="25"/>
      <c r="I77" s="11"/>
      <c r="O77" s="9"/>
      <c r="P77" s="9"/>
      <c r="Q77" s="9"/>
      <c r="R77" s="9"/>
      <c r="S77" s="9"/>
      <c r="T77" s="9"/>
      <c r="U77" s="9"/>
      <c r="V77" s="9"/>
      <c r="W77" s="9"/>
      <c r="X77" s="9"/>
      <c r="Y77" s="9"/>
      <c r="Z77" s="9"/>
      <c r="AA77" s="9"/>
      <c r="AC77" s="103">
        <v>2023</v>
      </c>
      <c r="AD77" s="55" t="s">
        <v>3</v>
      </c>
      <c r="AE77" s="78"/>
      <c r="AF77" s="78"/>
      <c r="AG77" s="78"/>
      <c r="AH77" s="78">
        <f t="shared" ref="AH77:AQ77" si="38">+AH19</f>
        <v>8.7852439132070081E-3</v>
      </c>
      <c r="AI77" s="78">
        <f t="shared" si="38"/>
        <v>1.036166313630571E-2</v>
      </c>
      <c r="AJ77" s="78">
        <f t="shared" si="38"/>
        <v>9.4150701308506335E-3</v>
      </c>
      <c r="AK77" s="78">
        <f t="shared" si="38"/>
        <v>9.7315292241744178E-3</v>
      </c>
      <c r="AL77" s="78">
        <f t="shared" si="38"/>
        <v>8.8633739513521714E-3</v>
      </c>
      <c r="AM77" s="78">
        <f t="shared" si="38"/>
        <v>7.7953451413450559E-3</v>
      </c>
      <c r="AN77" s="78">
        <f t="shared" si="38"/>
        <v>8.4601535041790576E-3</v>
      </c>
      <c r="AO77" s="78">
        <f t="shared" si="38"/>
        <v>7.5266143106456074E-3</v>
      </c>
      <c r="AP77" s="78">
        <f t="shared" si="38"/>
        <v>7.0819499482732695E-3</v>
      </c>
      <c r="AQ77" s="78">
        <f t="shared" si="38"/>
        <v>0.11194279263621576</v>
      </c>
    </row>
    <row r="78" spans="1:46" s="10" customFormat="1">
      <c r="A78" s="23">
        <v>40939</v>
      </c>
      <c r="B78" s="26">
        <v>14236.38</v>
      </c>
      <c r="C78" s="31">
        <f t="shared" si="37"/>
        <v>4.2169749016237462E-3</v>
      </c>
      <c r="D78" s="25"/>
      <c r="E78" s="25"/>
      <c r="F78" s="25"/>
      <c r="I78" s="11"/>
      <c r="AC78" s="103"/>
      <c r="AD78" s="55" t="s">
        <v>26</v>
      </c>
      <c r="AE78" s="78"/>
      <c r="AF78" s="78"/>
      <c r="AG78" s="78"/>
      <c r="AH78" s="78">
        <f t="shared" ref="AH78:AQ78" si="39">+AH48</f>
        <v>7.4581790813075255E-3</v>
      </c>
      <c r="AI78" s="78">
        <f t="shared" si="39"/>
        <v>8.8250764209547583E-3</v>
      </c>
      <c r="AJ78" s="78">
        <f t="shared" si="39"/>
        <v>8.0028913540715063E-3</v>
      </c>
      <c r="AK78" s="78">
        <f t="shared" si="39"/>
        <v>8.20447209350883E-3</v>
      </c>
      <c r="AL78" s="78">
        <f t="shared" si="39"/>
        <v>7.5962855810813856E-3</v>
      </c>
      <c r="AM78" s="78">
        <f t="shared" si="39"/>
        <v>6.7848226130593492E-3</v>
      </c>
      <c r="AN78" s="78">
        <f t="shared" si="39"/>
        <v>6.6760826965912567E-3</v>
      </c>
      <c r="AO78" s="78">
        <f t="shared" si="39"/>
        <v>6.1695672319295181E-3</v>
      </c>
      <c r="AP78" s="78">
        <f t="shared" si="39"/>
        <v>6.1015518639564448E-3</v>
      </c>
      <c r="AQ78" s="78">
        <f t="shared" si="39"/>
        <v>9.364840576365796E-2</v>
      </c>
    </row>
    <row r="79" spans="1:46" s="10" customFormat="1">
      <c r="A79" s="23">
        <v>40968</v>
      </c>
      <c r="B79" s="26">
        <v>14293.67</v>
      </c>
      <c r="C79" s="31">
        <f t="shared" si="37"/>
        <v>4.1629625818769339E-3</v>
      </c>
      <c r="D79" s="25"/>
      <c r="E79" s="25"/>
      <c r="F79" s="25"/>
      <c r="I79" s="11"/>
      <c r="AC79" s="103"/>
      <c r="AD79" s="52" t="s">
        <v>27</v>
      </c>
      <c r="AE79" s="78"/>
      <c r="AF79" s="78"/>
      <c r="AG79" s="78"/>
      <c r="AH79" s="78">
        <f t="shared" ref="AH79:AQ79" si="40">+AH35</f>
        <v>1.0951023865007459E-2</v>
      </c>
      <c r="AI79" s="78">
        <f t="shared" si="40"/>
        <v>1.1225826747699452E-2</v>
      </c>
      <c r="AJ79" s="78">
        <f t="shared" si="40"/>
        <v>1.0260503868912974E-2</v>
      </c>
      <c r="AK79" s="78">
        <f t="shared" si="40"/>
        <v>1.070101353336117E-2</v>
      </c>
      <c r="AL79" s="78">
        <f t="shared" si="40"/>
        <v>9.7128372094406057E-3</v>
      </c>
      <c r="AM79" s="78">
        <f t="shared" si="40"/>
        <v>9.2508808301228207E-3</v>
      </c>
      <c r="AN79" s="78">
        <f t="shared" si="40"/>
        <v>9.014862229435705E-3</v>
      </c>
      <c r="AO79" s="78">
        <f t="shared" si="40"/>
        <v>8.4537677537943612E-3</v>
      </c>
      <c r="AP79" s="78">
        <f t="shared" si="40"/>
        <v>8.5894573398119789E-3</v>
      </c>
      <c r="AQ79" s="78">
        <f t="shared" si="40"/>
        <v>0.12225336120438376</v>
      </c>
    </row>
    <row r="80" spans="1:46" s="10" customFormat="1">
      <c r="A80" s="23">
        <v>40998</v>
      </c>
      <c r="B80" s="26">
        <v>14353.34</v>
      </c>
      <c r="C80" s="31">
        <f t="shared" si="37"/>
        <v>4.1745751790827068E-3</v>
      </c>
      <c r="D80" s="25"/>
      <c r="E80" s="25"/>
      <c r="F80" s="25"/>
      <c r="I80" s="11"/>
      <c r="AC80" s="103">
        <v>2024</v>
      </c>
      <c r="AD80" s="55" t="s">
        <v>3</v>
      </c>
      <c r="AE80" s="78">
        <f t="shared" ref="AE80:AQ80" si="41">+AE20</f>
        <v>7.3572253241631635E-3</v>
      </c>
      <c r="AF80" s="78">
        <f t="shared" si="41"/>
        <v>6.1121391206355735E-3</v>
      </c>
      <c r="AG80" s="78">
        <f t="shared" si="41"/>
        <v>5.6473517140609442E-3</v>
      </c>
      <c r="AH80" s="78">
        <f t="shared" si="41"/>
        <v>6.0927839618283297E-3</v>
      </c>
      <c r="AI80" s="78">
        <f t="shared" si="41"/>
        <v>5.5141192903180869E-3</v>
      </c>
      <c r="AJ80" s="78">
        <f t="shared" si="41"/>
        <v>4.6135490632155385E-3</v>
      </c>
      <c r="AK80" s="78">
        <f t="shared" si="41"/>
        <v>5.2843503528434699E-3</v>
      </c>
      <c r="AL80" s="78">
        <f t="shared" si="41"/>
        <v>4.8023520375928275E-3</v>
      </c>
      <c r="AM80" s="78">
        <f t="shared" si="41"/>
        <v>4.7810434954138614E-3</v>
      </c>
      <c r="AN80" s="78">
        <f t="shared" si="41"/>
        <v>4.510440516418468E-3</v>
      </c>
      <c r="AO80" s="78">
        <f t="shared" si="41"/>
        <v>4.3843255475723986E-3</v>
      </c>
      <c r="AP80" s="78">
        <f t="shared" si="41"/>
        <v>4.4462641732778696E-3</v>
      </c>
      <c r="AQ80" s="78">
        <f t="shared" si="41"/>
        <v>6.5425125934971851E-2</v>
      </c>
    </row>
    <row r="81" spans="1:43" s="10" customFormat="1">
      <c r="A81" s="23">
        <v>41029</v>
      </c>
      <c r="B81" s="26">
        <v>14415.21</v>
      </c>
      <c r="C81" s="31">
        <f t="shared" si="37"/>
        <v>4.1714467537442316E-3</v>
      </c>
      <c r="D81" s="25"/>
      <c r="E81" s="25"/>
      <c r="F81" s="25"/>
      <c r="I81" s="11"/>
      <c r="AC81" s="103"/>
      <c r="AD81" s="55" t="s">
        <v>26</v>
      </c>
      <c r="AE81" s="78">
        <f t="shared" ref="AE81:AQ81" si="42">+AE49</f>
        <v>5.8719297517517699E-3</v>
      </c>
      <c r="AF81" s="78">
        <f t="shared" si="42"/>
        <v>5.0849107705890351E-3</v>
      </c>
      <c r="AG81" s="78">
        <f t="shared" si="42"/>
        <v>4.4501495538697977E-3</v>
      </c>
      <c r="AH81" s="78">
        <f t="shared" si="42"/>
        <v>4.7201240336098849E-3</v>
      </c>
      <c r="AI81" s="78">
        <f t="shared" si="42"/>
        <v>4.1677968559530321E-3</v>
      </c>
      <c r="AJ81" s="78">
        <f t="shared" si="42"/>
        <v>3.6501931277677091E-3</v>
      </c>
      <c r="AK81" s="78">
        <f t="shared" si="42"/>
        <v>3.6341260750816229E-3</v>
      </c>
      <c r="AL81" s="78">
        <f t="shared" si="42"/>
        <v>3.6276694159318446E-3</v>
      </c>
      <c r="AM81" s="78">
        <f t="shared" si="42"/>
        <v>3.3754452875442986E-3</v>
      </c>
      <c r="AN81" s="78">
        <f t="shared" si="42"/>
        <v>3.4108129956791355E-3</v>
      </c>
      <c r="AO81" s="78">
        <f t="shared" si="42"/>
        <v>3.220374604913312E-3</v>
      </c>
      <c r="AP81" s="78">
        <f t="shared" si="42"/>
        <v>3.2298559019789952E-3</v>
      </c>
      <c r="AQ81" s="78">
        <f t="shared" si="42"/>
        <v>4.9529562919770731E-2</v>
      </c>
    </row>
    <row r="82" spans="1:43" s="10" customFormat="1">
      <c r="A82" s="23">
        <v>41060</v>
      </c>
      <c r="B82" s="26">
        <v>14477.55</v>
      </c>
      <c r="C82" s="31">
        <f t="shared" si="37"/>
        <v>4.1850956217817379E-3</v>
      </c>
      <c r="D82" s="25"/>
      <c r="E82" s="25"/>
      <c r="F82" s="25"/>
      <c r="I82" s="11"/>
      <c r="AC82" s="103"/>
      <c r="AD82" s="52" t="s">
        <v>27</v>
      </c>
      <c r="AE82" s="78">
        <f t="shared" ref="AE82:AQ82" si="43">+AE36</f>
        <v>8.7155021008871181E-3</v>
      </c>
      <c r="AF82" s="78">
        <f t="shared" si="43"/>
        <v>6.7955784837125943E-3</v>
      </c>
      <c r="AG82" s="78">
        <f t="shared" si="43"/>
        <v>6.2771325061894423E-3</v>
      </c>
      <c r="AH82" s="78">
        <f t="shared" si="43"/>
        <v>6.7234428315485761E-3</v>
      </c>
      <c r="AI82" s="78">
        <f t="shared" si="43"/>
        <v>6.5268454127931363E-3</v>
      </c>
      <c r="AJ82" s="78">
        <f t="shared" si="43"/>
        <v>5.9161998920378434E-3</v>
      </c>
      <c r="AK82" s="78">
        <f t="shared" si="43"/>
        <v>5.4275767202143221E-3</v>
      </c>
      <c r="AL82" s="78">
        <f t="shared" si="43"/>
        <v>5.4594118368289646E-3</v>
      </c>
      <c r="AM82" s="78">
        <f t="shared" si="43"/>
        <v>4.9712145506344285E-3</v>
      </c>
      <c r="AN82" s="78">
        <f t="shared" si="43"/>
        <v>4.6385679857214868E-3</v>
      </c>
      <c r="AO82" s="78">
        <f t="shared" si="43"/>
        <v>4.4788464976539544E-3</v>
      </c>
      <c r="AP82" s="78">
        <f t="shared" si="43"/>
        <v>3.9051764467601391E-3</v>
      </c>
      <c r="AQ82" s="78">
        <f t="shared" si="43"/>
        <v>7.2104798098757916E-2</v>
      </c>
    </row>
    <row r="83" spans="1:43" s="10" customFormat="1">
      <c r="A83" s="23">
        <v>41089</v>
      </c>
      <c r="B83" s="26">
        <v>14536.13</v>
      </c>
      <c r="C83" s="31">
        <f t="shared" si="37"/>
        <v>4.1857911041577357E-3</v>
      </c>
      <c r="D83" s="25"/>
      <c r="E83" s="25"/>
      <c r="F83" s="25"/>
      <c r="I83" s="11"/>
      <c r="AC83" s="103">
        <v>2025</v>
      </c>
      <c r="AD83" s="55" t="s">
        <v>3</v>
      </c>
      <c r="AE83" s="78">
        <f t="shared" ref="AE83:AJ83" si="44">+AE21</f>
        <v>4.4544301743754122E-3</v>
      </c>
      <c r="AF83" s="78">
        <f t="shared" si="44"/>
        <v>3.8962630509944418E-3</v>
      </c>
      <c r="AG83" s="78">
        <f t="shared" si="44"/>
        <v>4.3138020854180947E-3</v>
      </c>
      <c r="AH83" s="78">
        <f t="shared" si="44"/>
        <v>4.175716443427735E-3</v>
      </c>
      <c r="AI83" s="78">
        <f t="shared" si="44"/>
        <v>4.1742269465041559E-3</v>
      </c>
      <c r="AJ83" s="78">
        <f t="shared" si="44"/>
        <v>4.3145661365249222E-3</v>
      </c>
      <c r="AK83" s="78">
        <f t="shared" ref="AK83:AL83" si="45">+AK21</f>
        <v>4.3062620834468657E-3</v>
      </c>
      <c r="AL83" s="78">
        <f t="shared" si="45"/>
        <v>3.8332746894158554E-3</v>
      </c>
      <c r="AM83" s="78">
        <f t="shared" ref="AM83:AN83" si="46">+AM21</f>
        <v>4.230048764417349E-3</v>
      </c>
      <c r="AN83" s="78">
        <f t="shared" si="46"/>
        <v>3.9661902107710478E-3</v>
      </c>
      <c r="AO83" s="78">
        <f t="shared" ref="AO83:AP83" si="47">+AO21</f>
        <v>3.8324396523354842E-3</v>
      </c>
      <c r="AP83" s="78">
        <f t="shared" si="47"/>
        <v>4.1394620357759759E-3</v>
      </c>
      <c r="AQ83" s="78">
        <f>+AQ21</f>
        <v>4.6121516637569471E-2</v>
      </c>
    </row>
    <row r="84" spans="1:43" s="10" customFormat="1">
      <c r="A84" s="23">
        <v>41121</v>
      </c>
      <c r="B84" s="26">
        <v>14600.61</v>
      </c>
      <c r="C84" s="31">
        <f t="shared" si="37"/>
        <v>4.1586034247079878E-3</v>
      </c>
      <c r="D84" s="25"/>
      <c r="E84" s="25"/>
      <c r="F84" s="25"/>
      <c r="I84" s="11"/>
      <c r="AC84" s="103"/>
      <c r="AD84" s="55" t="s">
        <v>26</v>
      </c>
      <c r="AE84" s="78">
        <f t="shared" ref="AE84:AJ84" si="48">+AE50</f>
        <v>3.0202103340466468E-3</v>
      </c>
      <c r="AF84" s="78">
        <f t="shared" si="48"/>
        <v>2.7621377102811095E-3</v>
      </c>
      <c r="AG84" s="78">
        <f t="shared" si="48"/>
        <v>3.0628269232331196E-3</v>
      </c>
      <c r="AH84" s="78">
        <f t="shared" si="48"/>
        <v>2.975949685819046E-3</v>
      </c>
      <c r="AI84" s="78">
        <f t="shared" si="48"/>
        <v>3.0897625227950254E-3</v>
      </c>
      <c r="AJ84" s="78">
        <f t="shared" si="48"/>
        <v>2.9970524574272073E-3</v>
      </c>
      <c r="AK84" s="78">
        <f t="shared" ref="AK84:AL84" si="49">+AK50</f>
        <v>2.9505495279136262E-3</v>
      </c>
      <c r="AL84" s="78">
        <f t="shared" si="49"/>
        <v>3.0005421908383401E-3</v>
      </c>
      <c r="AM84" s="78">
        <f t="shared" ref="AM84:AN84" si="50">+AM50</f>
        <v>2.7616149661373601E-3</v>
      </c>
      <c r="AN84" s="78">
        <f t="shared" si="50"/>
        <v>2.8651947244786591E-3</v>
      </c>
      <c r="AO84" s="78">
        <f t="shared" ref="AO84:AP84" si="51">+AO50</f>
        <v>2.7950157631990713E-3</v>
      </c>
      <c r="AP84" s="78">
        <f t="shared" si="51"/>
        <v>2.8377664992760288E-3</v>
      </c>
      <c r="AQ84" s="78">
        <f>+AQ50</f>
        <v>3.2570786205744717E-2</v>
      </c>
    </row>
    <row r="85" spans="1:43" s="10" customFormat="1">
      <c r="A85" s="23">
        <v>41152</v>
      </c>
      <c r="B85" s="26">
        <v>14663.33</v>
      </c>
      <c r="C85" s="31">
        <f t="shared" si="37"/>
        <v>4.1571396122181033E-3</v>
      </c>
      <c r="D85" s="25"/>
      <c r="E85" s="25"/>
      <c r="F85" s="25"/>
      <c r="I85" s="11"/>
      <c r="AC85" s="103"/>
      <c r="AD85" s="52" t="s">
        <v>27</v>
      </c>
      <c r="AE85" s="78">
        <f t="shared" ref="AE85:AQ85" si="52">+AE37</f>
        <v>4.2567710576433271E-3</v>
      </c>
      <c r="AF85" s="78">
        <f t="shared" si="52"/>
        <v>4.8648734221738987E-3</v>
      </c>
      <c r="AG85" s="78">
        <f t="shared" si="52"/>
        <v>5.0066957535002121E-3</v>
      </c>
      <c r="AH85" s="78">
        <f t="shared" si="52"/>
        <v>6.8488173687029086E-3</v>
      </c>
      <c r="AI85" s="78">
        <f t="shared" si="52"/>
        <v>5.8952336271897998E-3</v>
      </c>
      <c r="AJ85" s="78">
        <f t="shared" si="52"/>
        <v>6.0417303273920808E-3</v>
      </c>
      <c r="AK85" s="78">
        <f t="shared" si="52"/>
        <v>5.7971531085332373E-3</v>
      </c>
      <c r="AL85" s="78">
        <f t="shared" si="52"/>
        <v>6.1244573818366455E-3</v>
      </c>
      <c r="AM85" s="78">
        <f t="shared" si="52"/>
        <v>5.8265345486128162E-3</v>
      </c>
      <c r="AN85" s="78">
        <f t="shared" si="52"/>
        <v>5.9401711159736692E-3</v>
      </c>
      <c r="AO85" s="78">
        <f t="shared" si="52"/>
        <v>5.830070950088917E-3</v>
      </c>
      <c r="AP85" s="78">
        <f t="shared" si="52"/>
        <v>6.0141189724005617E-3</v>
      </c>
      <c r="AQ85" s="78">
        <f t="shared" si="52"/>
        <v>6.6094419252189507E-2</v>
      </c>
    </row>
    <row r="86" spans="1:43" s="10" customFormat="1">
      <c r="A86" s="23">
        <v>41180</v>
      </c>
      <c r="B86" s="26">
        <v>14720.68</v>
      </c>
      <c r="C86" s="31">
        <f t="shared" si="37"/>
        <v>4.1904825555606961E-3</v>
      </c>
      <c r="D86" s="25"/>
      <c r="E86" s="25"/>
      <c r="F86" s="25"/>
      <c r="I86" s="11"/>
      <c r="AC86" s="103">
        <v>2026</v>
      </c>
      <c r="AD86" s="55" t="s">
        <v>3</v>
      </c>
      <c r="AE86" s="78">
        <f>+AE22</f>
        <v>3.8823436327337646E-3</v>
      </c>
      <c r="AF86" s="78">
        <f t="shared" ref="AF86:AG86" si="53">+AF22</f>
        <v>3.6312646105696178E-3</v>
      </c>
      <c r="AG86" s="78">
        <f t="shared" si="53"/>
        <v>3.881928086548303E-3</v>
      </c>
      <c r="AH86" s="78">
        <f>+AH22</f>
        <v>3.7564119506456883E-3</v>
      </c>
      <c r="AI86" s="78"/>
      <c r="AJ86" s="78"/>
      <c r="AK86" s="78"/>
      <c r="AL86" s="78"/>
      <c r="AM86" s="78"/>
      <c r="AN86" s="78"/>
      <c r="AO86" s="78"/>
      <c r="AP86" s="78"/>
      <c r="AQ86" s="78">
        <f t="shared" ref="AQ86" si="54">+AQ22</f>
        <v>3.393592966266068E-2</v>
      </c>
    </row>
    <row r="87" spans="1:43" s="10" customFormat="1">
      <c r="A87" s="23">
        <v>41213</v>
      </c>
      <c r="B87" s="26">
        <v>14788.56</v>
      </c>
      <c r="C87" s="31">
        <f t="shared" si="37"/>
        <v>4.192000023714196E-3</v>
      </c>
      <c r="D87" s="25"/>
      <c r="E87" s="25"/>
      <c r="F87" s="25"/>
      <c r="I87" s="11"/>
      <c r="AC87" s="103"/>
      <c r="AD87" s="55" t="s">
        <v>26</v>
      </c>
      <c r="AE87" s="78">
        <f>+AE51</f>
        <v>2.7244381547273377E-3</v>
      </c>
      <c r="AF87" s="78">
        <f t="shared" ref="AF87" si="55">+AF51</f>
        <v>2.4452163666022209E-3</v>
      </c>
      <c r="AG87" s="78">
        <f>+AG51</f>
        <v>2.6877762515176151E-3</v>
      </c>
      <c r="AH87" s="78">
        <f>+AH51</f>
        <v>2.5969787217614559E-3</v>
      </c>
      <c r="AI87" s="78"/>
      <c r="AJ87" s="78"/>
      <c r="AK87" s="78"/>
      <c r="AL87" s="78"/>
      <c r="AM87" s="78"/>
      <c r="AN87" s="78"/>
      <c r="AO87" s="78"/>
      <c r="AP87" s="78"/>
      <c r="AQ87" s="78">
        <f t="shared" ref="AQ87" si="56">+AQ51</f>
        <v>2.3249672624455764E-2</v>
      </c>
    </row>
    <row r="88" spans="1:43" s="10" customFormat="1">
      <c r="A88" s="23">
        <v>41243</v>
      </c>
      <c r="B88" s="26">
        <v>14850.38</v>
      </c>
      <c r="C88" s="31">
        <f t="shared" si="37"/>
        <v>4.1802582536771826E-3</v>
      </c>
      <c r="D88" s="25"/>
      <c r="E88" s="25"/>
      <c r="F88" s="25"/>
      <c r="I88" s="11"/>
      <c r="AC88" s="103"/>
      <c r="AD88" s="52" t="s">
        <v>27</v>
      </c>
      <c r="AE88" s="78">
        <f>+AE38</f>
        <v>5.9755314742204746E-3</v>
      </c>
      <c r="AF88" s="78">
        <f t="shared" ref="AF88:AG88" si="57">+AF38</f>
        <v>5.7084575754653422E-3</v>
      </c>
      <c r="AG88" s="78">
        <f t="shared" si="57"/>
        <v>6.1044231906730584E-3</v>
      </c>
      <c r="AH88" s="78">
        <f>+AH38</f>
        <v>6.0157055532463755E-3</v>
      </c>
      <c r="AI88" s="78"/>
      <c r="AJ88" s="78"/>
      <c r="AK88" s="78"/>
      <c r="AL88" s="78"/>
      <c r="AM88" s="78"/>
      <c r="AN88" s="78"/>
      <c r="AO88" s="78"/>
      <c r="AP88" s="78"/>
      <c r="AQ88" s="78">
        <f t="shared" ref="AQ88" si="58">+AQ38</f>
        <v>5.3804116802849355E-2</v>
      </c>
    </row>
    <row r="89" spans="1:43" s="10" customFormat="1">
      <c r="A89" s="23">
        <v>41274</v>
      </c>
      <c r="B89" s="26">
        <v>14908.2</v>
      </c>
      <c r="C89" s="31">
        <f t="shared" si="37"/>
        <v>3.767906188910832E-3</v>
      </c>
      <c r="D89" s="25"/>
      <c r="E89" s="25"/>
      <c r="F89" s="25"/>
      <c r="I89" s="11"/>
      <c r="AC89" s="9"/>
      <c r="AF89" s="9"/>
      <c r="AG89" s="9"/>
      <c r="AH89" s="9"/>
      <c r="AI89" s="9"/>
      <c r="AJ89" s="9"/>
      <c r="AK89" s="9"/>
      <c r="AL89" s="9"/>
      <c r="AM89" s="9"/>
      <c r="AN89" s="9"/>
      <c r="AO89" s="9"/>
      <c r="AP89" s="9"/>
      <c r="AQ89" s="9"/>
    </row>
    <row r="90" spans="1:43" s="10" customFormat="1">
      <c r="A90" s="23">
        <v>41305</v>
      </c>
      <c r="B90" s="26">
        <v>14978.58</v>
      </c>
      <c r="C90" s="31">
        <f t="shared" si="37"/>
        <v>4.5686050240374559E-3</v>
      </c>
      <c r="D90" s="25"/>
      <c r="E90" s="25"/>
      <c r="F90" s="25"/>
      <c r="I90" s="11"/>
      <c r="AC90" s="9"/>
      <c r="AF90" s="9"/>
      <c r="AG90" s="9"/>
      <c r="AH90" s="9"/>
      <c r="AI90" s="9"/>
      <c r="AJ90" s="9"/>
      <c r="AK90" s="9"/>
      <c r="AL90" s="9"/>
      <c r="AM90" s="9"/>
      <c r="AN90" s="9"/>
      <c r="AO90" s="9"/>
      <c r="AP90" s="9"/>
      <c r="AQ90" s="9"/>
    </row>
    <row r="91" spans="1:43" s="10" customFormat="1">
      <c r="A91" s="23">
        <v>41333</v>
      </c>
      <c r="B91" s="26">
        <v>15036.94</v>
      </c>
      <c r="C91" s="31">
        <f t="shared" si="37"/>
        <v>4.1745326612116105E-3</v>
      </c>
      <c r="D91" s="25"/>
      <c r="E91" s="25"/>
      <c r="F91" s="25"/>
      <c r="I91" s="11"/>
      <c r="AC91" s="9"/>
      <c r="AF91" s="9"/>
      <c r="AG91" s="9"/>
      <c r="AH91" s="9"/>
      <c r="AI91" s="9"/>
      <c r="AJ91" s="9"/>
      <c r="AK91" s="9"/>
      <c r="AL91" s="9"/>
      <c r="AM91" s="9"/>
      <c r="AN91" s="9"/>
      <c r="AO91" s="9"/>
      <c r="AP91" s="9"/>
      <c r="AQ91" s="9"/>
    </row>
    <row r="92" spans="1:43" s="10" customFormat="1">
      <c r="A92" s="23">
        <v>41362</v>
      </c>
      <c r="B92" s="26">
        <v>15095.51</v>
      </c>
      <c r="C92" s="31">
        <f t="shared" si="37"/>
        <v>4.0293873070195892E-3</v>
      </c>
      <c r="D92" s="25"/>
      <c r="E92" s="25"/>
      <c r="F92" s="25"/>
      <c r="I92" s="11"/>
      <c r="AC92" s="9"/>
      <c r="AD92" s="23">
        <v>43008</v>
      </c>
      <c r="AE92" s="67">
        <v>3.112100000000062E-3</v>
      </c>
      <c r="AF92" s="9"/>
      <c r="AG92" s="9"/>
      <c r="AH92" s="9"/>
      <c r="AI92" s="9"/>
      <c r="AJ92" s="9"/>
      <c r="AK92" s="9"/>
      <c r="AL92" s="9"/>
      <c r="AM92" s="9"/>
      <c r="AN92" s="9"/>
      <c r="AO92" s="9"/>
      <c r="AP92" s="9"/>
      <c r="AQ92" s="9"/>
    </row>
    <row r="93" spans="1:43" s="10" customFormat="1">
      <c r="A93" s="23">
        <v>41394</v>
      </c>
      <c r="B93" s="26">
        <v>15164.77</v>
      </c>
      <c r="C93" s="31">
        <f t="shared" si="37"/>
        <v>4.3013617956598471E-3</v>
      </c>
      <c r="D93" s="25"/>
      <c r="E93" s="25"/>
      <c r="F93" s="25"/>
      <c r="I93" s="11"/>
      <c r="AC93" s="9"/>
      <c r="AD93" s="23">
        <v>43039</v>
      </c>
      <c r="AE93" s="67">
        <v>2.6635494773488786E-3</v>
      </c>
      <c r="AF93" s="9"/>
      <c r="AG93" s="9"/>
      <c r="AH93" s="9"/>
      <c r="AI93" s="9"/>
      <c r="AJ93" s="9"/>
      <c r="AK93" s="9"/>
      <c r="AL93" s="9"/>
      <c r="AM93" s="9"/>
      <c r="AN93" s="9"/>
      <c r="AO93" s="9"/>
      <c r="AP93" s="9"/>
      <c r="AQ93" s="9"/>
    </row>
    <row r="94" spans="1:43" s="10" customFormat="1">
      <c r="A94" s="23">
        <v>41425</v>
      </c>
      <c r="B94" s="26">
        <v>15230.38</v>
      </c>
      <c r="C94" s="31">
        <f t="shared" si="37"/>
        <v>4.1869113997177049E-3</v>
      </c>
      <c r="D94" s="25"/>
      <c r="E94" s="25"/>
      <c r="F94" s="25"/>
      <c r="I94" s="11"/>
      <c r="AC94" s="9"/>
      <c r="AD94" s="23">
        <v>43069</v>
      </c>
      <c r="AE94" s="67">
        <v>2.704019294682336E-3</v>
      </c>
      <c r="AF94" s="9"/>
      <c r="AG94" s="9"/>
      <c r="AH94" s="9"/>
      <c r="AI94" s="9"/>
      <c r="AJ94" s="9"/>
      <c r="AK94" s="9"/>
      <c r="AL94" s="9"/>
      <c r="AM94" s="9"/>
      <c r="AN94" s="9"/>
      <c r="AO94" s="9"/>
      <c r="AP94" s="9"/>
      <c r="AQ94" s="9"/>
    </row>
    <row r="95" spans="1:43" s="10" customFormat="1">
      <c r="A95" s="23">
        <v>41453</v>
      </c>
      <c r="B95" s="26">
        <v>15289.74</v>
      </c>
      <c r="C95" s="31">
        <f t="shared" si="37"/>
        <v>4.1758642922896348E-3</v>
      </c>
      <c r="D95" s="25"/>
      <c r="E95" s="25"/>
      <c r="F95" s="25"/>
      <c r="I95" s="11"/>
      <c r="AC95" s="9"/>
      <c r="AD95" s="23">
        <v>43100</v>
      </c>
      <c r="AE95" s="67">
        <v>3.0096544691444525E-3</v>
      </c>
      <c r="AF95" s="9"/>
      <c r="AG95" s="9"/>
      <c r="AH95" s="9"/>
      <c r="AI95" s="9"/>
      <c r="AJ95" s="9"/>
      <c r="AK95" s="9"/>
      <c r="AL95" s="9"/>
      <c r="AM95" s="9"/>
      <c r="AN95" s="9"/>
      <c r="AO95" s="9"/>
      <c r="AP95" s="9"/>
      <c r="AQ95" s="9"/>
    </row>
    <row r="96" spans="1:43" s="10" customFormat="1">
      <c r="A96" s="23">
        <v>41486</v>
      </c>
      <c r="B96" s="26">
        <v>15360.27</v>
      </c>
      <c r="C96" s="31">
        <f t="shared" si="37"/>
        <v>4.1935429783752035E-3</v>
      </c>
      <c r="D96" s="25"/>
      <c r="E96" s="25"/>
      <c r="F96" s="25"/>
      <c r="I96" s="11"/>
      <c r="AC96" s="9"/>
      <c r="AD96" s="23">
        <v>43131</v>
      </c>
      <c r="AE96" s="67">
        <v>4.7372723993422561E-3</v>
      </c>
      <c r="AF96" s="9"/>
      <c r="AG96" s="9"/>
      <c r="AH96" s="9"/>
      <c r="AI96" s="9"/>
      <c r="AJ96" s="9"/>
      <c r="AK96" s="9"/>
      <c r="AL96" s="9"/>
      <c r="AM96" s="9"/>
      <c r="AN96" s="9"/>
      <c r="AO96" s="9"/>
      <c r="AP96" s="9"/>
      <c r="AQ96" s="9"/>
    </row>
    <row r="97" spans="1:43" s="10" customFormat="1">
      <c r="A97" s="23">
        <v>41516</v>
      </c>
      <c r="B97" s="26">
        <v>15424.43</v>
      </c>
      <c r="C97" s="31">
        <f t="shared" si="37"/>
        <v>4.1770099093310087E-3</v>
      </c>
      <c r="D97" s="25"/>
      <c r="E97" s="25"/>
      <c r="F97" s="25"/>
      <c r="I97" s="11"/>
      <c r="AD97" s="23">
        <v>43159</v>
      </c>
      <c r="AE97" s="67">
        <v>3.7815230195404575E-3</v>
      </c>
      <c r="AF97" s="9"/>
      <c r="AG97" s="9"/>
      <c r="AH97" s="9"/>
      <c r="AI97" s="9"/>
      <c r="AJ97" s="9"/>
      <c r="AK97" s="9"/>
      <c r="AL97" s="9"/>
      <c r="AM97" s="9"/>
      <c r="AN97" s="9"/>
      <c r="AO97" s="9"/>
      <c r="AP97" s="9"/>
      <c r="AQ97" s="9"/>
    </row>
    <row r="98" spans="1:43" s="10" customFormat="1">
      <c r="A98" s="23">
        <v>41547</v>
      </c>
      <c r="B98" s="26">
        <v>15490.99</v>
      </c>
      <c r="C98" s="31">
        <f t="shared" si="37"/>
        <v>4.1760313493467392E-3</v>
      </c>
      <c r="D98" s="25"/>
      <c r="E98" s="25"/>
      <c r="F98" s="25"/>
      <c r="I98" s="11"/>
      <c r="AD98" s="23">
        <v>43190</v>
      </c>
      <c r="AE98" s="67">
        <v>3.0052751190857313E-3</v>
      </c>
    </row>
    <row r="99" spans="1:43" s="10" customFormat="1">
      <c r="A99" s="23">
        <v>41578</v>
      </c>
      <c r="B99" s="26">
        <v>15554.36</v>
      </c>
      <c r="C99" s="31">
        <f t="shared" si="37"/>
        <v>3.958804856991985E-3</v>
      </c>
      <c r="D99" s="25"/>
      <c r="E99" s="25"/>
      <c r="F99" s="25"/>
      <c r="I99" s="11"/>
      <c r="AD99" s="23">
        <v>43220</v>
      </c>
      <c r="AE99" s="67">
        <v>3.1613025457599697E-3</v>
      </c>
    </row>
    <row r="100" spans="1:43" s="10" customFormat="1">
      <c r="A100" s="23">
        <v>41607</v>
      </c>
      <c r="B100" s="26">
        <v>15615.06</v>
      </c>
      <c r="C100" s="31">
        <f t="shared" si="37"/>
        <v>4.037009780426537E-3</v>
      </c>
      <c r="D100" s="25"/>
      <c r="E100" s="25"/>
      <c r="F100" s="25"/>
      <c r="I100" s="11"/>
      <c r="AD100" s="23">
        <v>43251</v>
      </c>
      <c r="AE100" s="67">
        <v>3.1006786638901416E-3</v>
      </c>
    </row>
    <row r="101" spans="1:43" s="10" customFormat="1">
      <c r="A101" s="23">
        <v>41639</v>
      </c>
      <c r="B101" s="26">
        <v>15675.68</v>
      </c>
      <c r="C101" s="31">
        <f t="shared" si="37"/>
        <v>3.6395153140621889E-3</v>
      </c>
      <c r="D101" s="25"/>
      <c r="E101" s="25"/>
      <c r="F101" s="25"/>
      <c r="I101" s="11"/>
      <c r="AD101" s="23">
        <v>43281</v>
      </c>
      <c r="AE101" s="67">
        <v>2.8770914084554899E-3</v>
      </c>
    </row>
    <row r="102" spans="1:43" s="10" customFormat="1">
      <c r="A102" s="23">
        <v>41670</v>
      </c>
      <c r="B102" s="26">
        <v>15738.45</v>
      </c>
      <c r="C102" s="31">
        <f t="shared" si="37"/>
        <v>3.8751212891769038E-3</v>
      </c>
      <c r="D102" s="25"/>
      <c r="E102" s="25"/>
      <c r="F102" s="25"/>
      <c r="I102" s="11"/>
      <c r="AD102" s="23">
        <v>43312</v>
      </c>
      <c r="AE102" s="67">
        <v>2.7902540578691208E-3</v>
      </c>
    </row>
    <row r="103" spans="1:43" s="10" customFormat="1">
      <c r="A103" s="23">
        <v>41698</v>
      </c>
      <c r="B103" s="26">
        <v>15792.47</v>
      </c>
      <c r="C103" s="31">
        <f t="shared" si="37"/>
        <v>3.6775267849482279E-3</v>
      </c>
      <c r="D103" s="25"/>
      <c r="E103" s="25"/>
      <c r="F103" s="25"/>
      <c r="I103" s="11"/>
      <c r="AD103" s="23">
        <v>43343</v>
      </c>
      <c r="AE103" s="67">
        <v>2.697220022070491E-3</v>
      </c>
    </row>
    <row r="104" spans="1:43" s="10" customFormat="1">
      <c r="A104" s="23">
        <v>41729</v>
      </c>
      <c r="B104" s="26">
        <v>15848.53</v>
      </c>
      <c r="C104" s="31">
        <f t="shared" si="37"/>
        <v>3.4352835815568226E-3</v>
      </c>
      <c r="D104" s="25"/>
      <c r="E104" s="25"/>
      <c r="F104" s="25"/>
      <c r="I104" s="11"/>
      <c r="AD104" s="23">
        <v>43373</v>
      </c>
      <c r="AE104" s="67">
        <v>2.9467867740671227E-3</v>
      </c>
    </row>
    <row r="105" spans="1:43" s="10" customFormat="1">
      <c r="A105" s="23">
        <v>41759</v>
      </c>
      <c r="B105" s="26">
        <v>15901.43</v>
      </c>
      <c r="C105" s="31">
        <f t="shared" si="37"/>
        <v>3.3378489992446081E-3</v>
      </c>
      <c r="D105" s="25"/>
      <c r="E105" s="25"/>
      <c r="F105" s="25"/>
      <c r="I105" s="11"/>
      <c r="AD105" s="23">
        <v>43404</v>
      </c>
      <c r="AE105" s="67">
        <v>2.7341157981280824E-3</v>
      </c>
    </row>
    <row r="106" spans="1:43" s="10" customFormat="1">
      <c r="A106" s="23">
        <v>41789</v>
      </c>
      <c r="B106" s="26">
        <v>15954.5</v>
      </c>
      <c r="C106" s="31">
        <f t="shared" si="37"/>
        <v>3.3374356897462043E-3</v>
      </c>
      <c r="D106" s="25"/>
      <c r="E106" s="25"/>
      <c r="F106" s="25"/>
      <c r="I106" s="11"/>
      <c r="AD106" s="23">
        <v>43434</v>
      </c>
      <c r="AE106" s="67">
        <v>2.8440928865518522E-3</v>
      </c>
    </row>
    <row r="107" spans="1:43" s="10" customFormat="1">
      <c r="A107" s="23">
        <v>41820</v>
      </c>
      <c r="B107" s="26">
        <v>16009.53</v>
      </c>
      <c r="C107" s="31">
        <f t="shared" si="37"/>
        <v>3.3379196282979163E-3</v>
      </c>
      <c r="D107" s="25"/>
      <c r="E107" s="25"/>
      <c r="F107" s="25"/>
      <c r="I107" s="11"/>
      <c r="AD107" s="23">
        <v>43465</v>
      </c>
      <c r="AE107" s="67">
        <v>2.626598915806536E-3</v>
      </c>
    </row>
    <row r="108" spans="1:43" s="10" customFormat="1">
      <c r="A108" s="23">
        <v>41851</v>
      </c>
      <c r="B108" s="26">
        <v>16063.18</v>
      </c>
      <c r="C108" s="31">
        <f t="shared" si="37"/>
        <v>3.2430280488378181E-3</v>
      </c>
      <c r="D108" s="25"/>
      <c r="E108" s="25"/>
      <c r="F108" s="25"/>
      <c r="I108" s="11"/>
      <c r="AD108" s="23">
        <v>43496</v>
      </c>
      <c r="AE108" s="67">
        <v>2.8143032822894052E-3</v>
      </c>
    </row>
    <row r="109" spans="1:43" s="10" customFormat="1">
      <c r="A109" s="23">
        <v>41880</v>
      </c>
      <c r="B109" s="26">
        <v>16110.55</v>
      </c>
      <c r="C109" s="31">
        <f t="shared" si="37"/>
        <v>3.0506691872881088E-3</v>
      </c>
      <c r="D109" s="25"/>
      <c r="E109" s="25"/>
      <c r="F109" s="25"/>
      <c r="I109" s="11"/>
      <c r="AD109" s="23">
        <v>43524</v>
      </c>
      <c r="AE109" s="67">
        <v>2.8236063868719574E-3</v>
      </c>
    </row>
    <row r="110" spans="1:43" s="10" customFormat="1">
      <c r="A110" s="23">
        <v>41912</v>
      </c>
      <c r="B110" s="26">
        <v>16158.37</v>
      </c>
      <c r="C110" s="31">
        <f t="shared" si="37"/>
        <v>2.7827262259823987E-3</v>
      </c>
      <c r="D110" s="25"/>
      <c r="E110" s="25"/>
      <c r="F110" s="25"/>
      <c r="I110" s="11"/>
      <c r="AD110" s="23">
        <v>43555</v>
      </c>
      <c r="AE110" s="67">
        <v>2.8653627940388206E-3</v>
      </c>
    </row>
    <row r="111" spans="1:43" s="10" customFormat="1">
      <c r="A111" s="23">
        <v>41943</v>
      </c>
      <c r="B111" s="26">
        <v>16200.86</v>
      </c>
      <c r="C111" s="31">
        <f t="shared" si="37"/>
        <v>2.5447712138483617E-3</v>
      </c>
      <c r="D111" s="25"/>
      <c r="E111" s="25"/>
      <c r="F111" s="25"/>
      <c r="I111" s="11"/>
      <c r="AD111" s="23">
        <v>43585</v>
      </c>
      <c r="AE111" s="67">
        <v>2.932409051613627E-3</v>
      </c>
    </row>
    <row r="112" spans="1:43" s="10" customFormat="1">
      <c r="A112" s="23">
        <v>41971</v>
      </c>
      <c r="B112" s="26">
        <v>16240.11</v>
      </c>
      <c r="C112" s="31">
        <f t="shared" si="37"/>
        <v>2.5957616712057874E-3</v>
      </c>
      <c r="D112" s="25"/>
      <c r="E112" s="25"/>
      <c r="F112" s="25"/>
      <c r="I112" s="11"/>
    </row>
    <row r="113" spans="1:46" s="10" customFormat="1">
      <c r="A113" s="23">
        <v>42004</v>
      </c>
      <c r="B113" s="26">
        <v>16283.49</v>
      </c>
      <c r="C113" s="31">
        <f t="shared" si="37"/>
        <v>2.4283310664990391E-3</v>
      </c>
      <c r="D113" s="25"/>
      <c r="E113" s="25"/>
      <c r="F113" s="25"/>
      <c r="I113" s="11"/>
    </row>
    <row r="114" spans="1:46" s="10" customFormat="1">
      <c r="A114" s="23">
        <v>42034</v>
      </c>
      <c r="B114" s="26">
        <v>16325.65</v>
      </c>
      <c r="C114" s="31">
        <f t="shared" si="37"/>
        <v>2.5891255498666776E-3</v>
      </c>
      <c r="D114" s="25"/>
      <c r="E114" s="25"/>
      <c r="F114" s="25"/>
      <c r="I114" s="11"/>
    </row>
    <row r="115" spans="1:46">
      <c r="A115" s="23">
        <v>42062</v>
      </c>
      <c r="B115" s="26">
        <v>16363.77</v>
      </c>
      <c r="C115" s="31">
        <f t="shared" si="37"/>
        <v>2.5017599386766604E-3</v>
      </c>
      <c r="D115" s="25"/>
      <c r="E115" s="25"/>
      <c r="F115" s="25"/>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row>
    <row r="116" spans="1:46">
      <c r="A116" s="23">
        <v>42094</v>
      </c>
      <c r="B116" s="26">
        <v>16407.490000000002</v>
      </c>
      <c r="C116" s="31">
        <f t="shared" si="37"/>
        <v>2.5047712110351505E-3</v>
      </c>
      <c r="D116" s="25"/>
      <c r="E116" s="25"/>
      <c r="F116" s="25"/>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row>
    <row r="117" spans="1:46">
      <c r="A117" s="23">
        <v>42124</v>
      </c>
      <c r="B117" s="26">
        <v>16448.59</v>
      </c>
      <c r="C117" s="31">
        <f t="shared" si="37"/>
        <v>2.5049535303691695E-3</v>
      </c>
      <c r="D117" s="25"/>
      <c r="E117" s="25"/>
      <c r="F117" s="25"/>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row>
    <row r="118" spans="1:46">
      <c r="A118" s="23">
        <v>42153</v>
      </c>
      <c r="B118" s="26">
        <v>16488.37</v>
      </c>
      <c r="C118" s="31">
        <f t="shared" si="37"/>
        <v>2.5018390109991843E-3</v>
      </c>
      <c r="D118" s="25"/>
      <c r="E118" s="25"/>
      <c r="F118" s="25"/>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row>
    <row r="119" spans="1:46">
      <c r="A119" s="23">
        <v>42185</v>
      </c>
      <c r="B119" s="26">
        <v>16532.38</v>
      </c>
      <c r="C119" s="31">
        <f t="shared" si="37"/>
        <v>2.5023319466994237E-3</v>
      </c>
      <c r="D119" s="25"/>
      <c r="E119" s="25"/>
      <c r="F119" s="25"/>
      <c r="O119" s="10"/>
      <c r="P119" s="10"/>
      <c r="Q119" s="10"/>
      <c r="R119" s="10"/>
      <c r="S119" s="10"/>
      <c r="T119" s="10"/>
      <c r="U119" s="10"/>
      <c r="V119" s="10"/>
      <c r="W119" s="10"/>
      <c r="X119" s="10"/>
      <c r="Y119" s="10"/>
      <c r="Z119" s="10"/>
      <c r="AA119" s="10"/>
      <c r="AC119" s="10"/>
      <c r="AD119" s="10"/>
      <c r="AE119" s="10"/>
      <c r="AF119" s="10"/>
      <c r="AG119" s="10"/>
      <c r="AH119" s="10"/>
      <c r="AI119" s="10"/>
      <c r="AJ119" s="10"/>
      <c r="AK119" s="10"/>
      <c r="AL119" s="10"/>
      <c r="AM119" s="10"/>
      <c r="AN119" s="10"/>
      <c r="AO119" s="10"/>
      <c r="AP119" s="10"/>
      <c r="AQ119" s="10"/>
      <c r="AR119" s="10"/>
      <c r="AS119" s="10"/>
    </row>
    <row r="120" spans="1:46">
      <c r="A120" s="23">
        <v>42216</v>
      </c>
      <c r="B120" s="26">
        <v>16575.11</v>
      </c>
      <c r="C120" s="31">
        <f t="shared" si="37"/>
        <v>2.5012498444402483E-3</v>
      </c>
      <c r="D120" s="25"/>
      <c r="E120" s="25"/>
      <c r="F120" s="25"/>
      <c r="O120" s="10"/>
      <c r="P120" s="10"/>
      <c r="Q120" s="10"/>
      <c r="R120" s="10"/>
      <c r="S120" s="10"/>
      <c r="T120" s="10"/>
      <c r="U120" s="10"/>
      <c r="V120" s="10"/>
      <c r="W120" s="10"/>
      <c r="X120" s="10"/>
      <c r="Y120" s="10"/>
      <c r="Z120" s="10"/>
      <c r="AA120" s="10"/>
      <c r="AC120" s="10"/>
      <c r="AD120" s="10"/>
      <c r="AE120" s="10"/>
      <c r="AF120" s="10"/>
      <c r="AG120" s="10"/>
      <c r="AH120" s="10"/>
      <c r="AI120" s="10"/>
      <c r="AJ120" s="10"/>
      <c r="AK120" s="10"/>
      <c r="AL120" s="10"/>
      <c r="AM120" s="10"/>
      <c r="AN120" s="10"/>
      <c r="AO120" s="10"/>
      <c r="AP120" s="10"/>
      <c r="AQ120" s="10"/>
      <c r="AR120" s="10"/>
      <c r="AS120" s="10"/>
    </row>
    <row r="121" spans="1:46">
      <c r="A121" s="23">
        <v>42247</v>
      </c>
      <c r="B121" s="26">
        <v>16617.939999999999</v>
      </c>
      <c r="C121" s="31">
        <f t="shared" si="37"/>
        <v>2.5006402429167945E-3</v>
      </c>
      <c r="D121" s="25"/>
      <c r="E121" s="25"/>
      <c r="F121" s="25"/>
      <c r="O121" s="10"/>
      <c r="P121" s="10"/>
      <c r="Q121" s="10"/>
      <c r="R121" s="10"/>
      <c r="S121" s="10"/>
      <c r="T121" s="10"/>
      <c r="U121" s="10"/>
      <c r="V121" s="10"/>
      <c r="W121" s="10"/>
      <c r="X121" s="10"/>
      <c r="Y121" s="10"/>
      <c r="Z121" s="10"/>
      <c r="AA121" s="10"/>
      <c r="AC121" s="10"/>
      <c r="AD121" s="10"/>
      <c r="AE121" s="10"/>
      <c r="AF121" s="10"/>
      <c r="AG121" s="10"/>
      <c r="AH121" s="10"/>
      <c r="AI121" s="10"/>
      <c r="AJ121" s="10"/>
      <c r="AK121" s="10"/>
      <c r="AL121" s="10"/>
      <c r="AM121" s="10"/>
      <c r="AN121" s="10"/>
      <c r="AO121" s="10"/>
      <c r="AP121" s="10"/>
      <c r="AQ121" s="10"/>
      <c r="AR121" s="10"/>
      <c r="AS121" s="10"/>
    </row>
    <row r="122" spans="1:46">
      <c r="A122" s="23">
        <v>42277</v>
      </c>
      <c r="B122" s="26">
        <v>16659.580000000002</v>
      </c>
      <c r="C122" s="31">
        <f t="shared" si="37"/>
        <v>2.5057257397729238E-3</v>
      </c>
      <c r="D122" s="25"/>
      <c r="E122" s="25"/>
      <c r="F122" s="25"/>
      <c r="O122" s="10"/>
      <c r="P122" s="10"/>
      <c r="Q122" s="10"/>
      <c r="R122" s="10"/>
      <c r="S122" s="10"/>
      <c r="T122" s="10"/>
      <c r="U122" s="10"/>
      <c r="V122" s="10"/>
      <c r="W122" s="10"/>
      <c r="X122" s="10"/>
      <c r="Y122" s="10"/>
      <c r="Z122" s="10"/>
      <c r="AA122" s="10"/>
      <c r="AC122" s="10"/>
      <c r="AD122" s="10"/>
      <c r="AE122" s="10"/>
      <c r="AF122" s="10"/>
      <c r="AG122" s="10"/>
      <c r="AH122" s="10"/>
      <c r="AI122" s="10"/>
      <c r="AJ122" s="10"/>
      <c r="AK122" s="10"/>
      <c r="AL122" s="10"/>
      <c r="AM122" s="10"/>
      <c r="AN122" s="10"/>
      <c r="AO122" s="10"/>
      <c r="AP122" s="10"/>
      <c r="AQ122" s="10"/>
      <c r="AR122" s="10"/>
      <c r="AS122" s="10"/>
    </row>
    <row r="123" spans="1:46">
      <c r="A123" s="23">
        <v>42307</v>
      </c>
      <c r="B123" s="26">
        <v>16702.939999999999</v>
      </c>
      <c r="C123" s="31">
        <f t="shared" si="37"/>
        <v>2.6027066708762536E-3</v>
      </c>
      <c r="D123" s="25"/>
      <c r="E123" s="25"/>
      <c r="F123" s="25"/>
      <c r="O123" s="10"/>
      <c r="P123" s="10"/>
      <c r="Q123" s="10"/>
      <c r="R123" s="10"/>
      <c r="S123" s="10"/>
      <c r="T123" s="10"/>
      <c r="U123" s="10"/>
      <c r="V123" s="10"/>
      <c r="W123" s="10"/>
      <c r="X123" s="10"/>
      <c r="Y123" s="10"/>
      <c r="Z123" s="10"/>
      <c r="AA123" s="10"/>
      <c r="AC123" s="10"/>
      <c r="AD123" s="10"/>
      <c r="AE123" s="10"/>
      <c r="AF123" s="10"/>
      <c r="AG123" s="10"/>
      <c r="AH123" s="10"/>
      <c r="AI123" s="10"/>
      <c r="AJ123" s="10"/>
      <c r="AK123" s="10"/>
      <c r="AL123" s="10"/>
      <c r="AM123" s="10"/>
      <c r="AN123" s="10"/>
      <c r="AO123" s="10"/>
      <c r="AP123" s="10"/>
      <c r="AQ123" s="10"/>
      <c r="AR123" s="10"/>
      <c r="AS123" s="10"/>
    </row>
    <row r="124" spans="1:46">
      <c r="A124" s="23">
        <v>42338</v>
      </c>
      <c r="B124" s="26">
        <v>16749.75</v>
      </c>
      <c r="C124" s="31">
        <f t="shared" si="37"/>
        <v>2.712097391237853E-3</v>
      </c>
      <c r="D124" s="25"/>
      <c r="E124" s="25"/>
      <c r="F124" s="23"/>
      <c r="O124" s="10"/>
      <c r="P124" s="10"/>
      <c r="Q124" s="10"/>
      <c r="R124" s="10"/>
      <c r="S124" s="10"/>
      <c r="T124" s="10"/>
      <c r="U124" s="10"/>
      <c r="V124" s="10"/>
      <c r="W124" s="10"/>
      <c r="X124" s="10"/>
      <c r="Y124" s="10"/>
      <c r="Z124" s="10"/>
      <c r="AA124" s="10"/>
      <c r="AC124" s="10"/>
      <c r="AD124" s="10"/>
      <c r="AE124" s="10"/>
      <c r="AF124" s="10"/>
      <c r="AG124" s="10"/>
      <c r="AH124" s="10"/>
      <c r="AI124" s="10"/>
      <c r="AJ124" s="10"/>
      <c r="AK124" s="10"/>
      <c r="AL124" s="10"/>
      <c r="AM124" s="10"/>
      <c r="AN124" s="10"/>
      <c r="AO124" s="10"/>
      <c r="AP124" s="10"/>
      <c r="AQ124" s="10"/>
      <c r="AR124" s="10"/>
      <c r="AS124" s="10"/>
    </row>
    <row r="125" spans="1:46">
      <c r="A125" s="23">
        <v>42369</v>
      </c>
      <c r="B125" s="26">
        <v>16796.52</v>
      </c>
      <c r="C125" s="31">
        <f t="shared" si="37"/>
        <v>2.7022069178693799E-3</v>
      </c>
      <c r="D125" s="25"/>
      <c r="E125" s="25"/>
      <c r="F125" s="23">
        <v>42369</v>
      </c>
      <c r="K125" s="10">
        <v>997.09649258502498</v>
      </c>
      <c r="O125" s="10"/>
      <c r="P125" s="10"/>
      <c r="Q125" s="10"/>
      <c r="R125" s="10"/>
      <c r="S125" s="10"/>
      <c r="T125" s="10"/>
      <c r="U125" s="10"/>
      <c r="V125" s="10"/>
      <c r="W125" s="10"/>
      <c r="X125" s="10"/>
      <c r="Y125" s="10"/>
      <c r="Z125" s="10"/>
      <c r="AA125" s="10"/>
      <c r="AC125" s="10"/>
      <c r="AD125" s="10"/>
      <c r="AE125" s="10"/>
      <c r="AF125" s="10"/>
      <c r="AG125" s="10"/>
      <c r="AH125" s="10"/>
      <c r="AI125" s="10"/>
      <c r="AJ125" s="10"/>
      <c r="AK125" s="10"/>
      <c r="AL125" s="10"/>
      <c r="AM125" s="10"/>
      <c r="AN125" s="10"/>
      <c r="AO125" s="10"/>
      <c r="AP125" s="10"/>
      <c r="AQ125" s="10"/>
    </row>
    <row r="126" spans="1:46">
      <c r="A126" s="23">
        <v>42398</v>
      </c>
      <c r="B126" s="26">
        <v>16845.59</v>
      </c>
      <c r="C126" s="31">
        <f t="shared" si="37"/>
        <v>3.0221777466712088E-3</v>
      </c>
      <c r="D126" s="25"/>
      <c r="E126" s="25"/>
      <c r="F126" s="23">
        <v>42400</v>
      </c>
      <c r="K126" s="10">
        <v>999.91</v>
      </c>
      <c r="AC126" s="10"/>
      <c r="AD126" s="10"/>
      <c r="AE126" s="10"/>
      <c r="AF126" s="10"/>
      <c r="AG126" s="10"/>
      <c r="AH126" s="10"/>
      <c r="AI126" s="10"/>
      <c r="AJ126" s="10"/>
      <c r="AK126" s="10"/>
      <c r="AL126" s="10"/>
      <c r="AM126" s="10"/>
      <c r="AN126" s="10"/>
      <c r="AO126" s="10"/>
      <c r="AP126" s="10"/>
      <c r="AQ126" s="10"/>
    </row>
    <row r="127" spans="1:46">
      <c r="A127" s="23">
        <v>42429</v>
      </c>
      <c r="B127" s="26">
        <v>16896.43</v>
      </c>
      <c r="C127" s="31">
        <f t="shared" si="37"/>
        <v>2.9206457001506431E-3</v>
      </c>
      <c r="D127" s="25"/>
      <c r="E127" s="25"/>
      <c r="F127" s="23">
        <v>42428</v>
      </c>
      <c r="K127" s="10">
        <v>1003.0557</v>
      </c>
      <c r="AC127" s="10"/>
      <c r="AD127" s="10"/>
      <c r="AE127" s="10"/>
      <c r="AF127" s="10"/>
      <c r="AG127" s="10"/>
      <c r="AH127" s="10"/>
      <c r="AI127" s="10"/>
      <c r="AJ127" s="10"/>
      <c r="AK127" s="10"/>
      <c r="AL127" s="10"/>
      <c r="AM127" s="10"/>
      <c r="AN127" s="10"/>
      <c r="AO127" s="10"/>
      <c r="AP127" s="10"/>
      <c r="AQ127" s="10"/>
    </row>
    <row r="128" spans="1:46">
      <c r="A128" s="23">
        <v>42460</v>
      </c>
      <c r="B128" s="26">
        <v>16947.43</v>
      </c>
      <c r="C128" s="31">
        <f t="shared" si="37"/>
        <v>2.9210217016066354E-3</v>
      </c>
      <c r="D128" s="25"/>
      <c r="E128" s="25"/>
      <c r="F128" s="23">
        <v>42460</v>
      </c>
      <c r="K128" s="10">
        <v>1006.748</v>
      </c>
      <c r="AC128" s="10"/>
      <c r="AD128" s="10"/>
      <c r="AE128" s="10"/>
      <c r="AF128" s="10"/>
      <c r="AG128" s="10"/>
      <c r="AH128" s="10"/>
      <c r="AI128" s="10"/>
      <c r="AJ128" s="10"/>
      <c r="AK128" s="10"/>
      <c r="AL128" s="10"/>
      <c r="AM128" s="10"/>
      <c r="AN128" s="10"/>
      <c r="AO128" s="10"/>
      <c r="AP128" s="10"/>
      <c r="AQ128" s="10"/>
    </row>
    <row r="129" spans="1:43">
      <c r="A129" s="23">
        <v>42489</v>
      </c>
      <c r="B129" s="26">
        <v>16995.27</v>
      </c>
      <c r="C129" s="31">
        <f t="shared" si="37"/>
        <v>2.920186433719699E-3</v>
      </c>
      <c r="D129" s="25"/>
      <c r="F129" s="23">
        <v>42490</v>
      </c>
      <c r="K129" s="10">
        <v>1010.1901</v>
      </c>
      <c r="AC129" s="10"/>
      <c r="AD129" s="10"/>
      <c r="AE129" s="10"/>
      <c r="AF129" s="10"/>
      <c r="AG129" s="10"/>
      <c r="AH129" s="10"/>
      <c r="AI129" s="10"/>
      <c r="AJ129" s="10"/>
      <c r="AK129" s="10"/>
      <c r="AL129" s="10"/>
      <c r="AM129" s="10"/>
      <c r="AN129" s="10"/>
      <c r="AO129" s="10"/>
      <c r="AP129" s="10"/>
      <c r="AQ129" s="10"/>
    </row>
    <row r="130" spans="1:43">
      <c r="A130" s="23">
        <v>42521</v>
      </c>
      <c r="B130" s="26">
        <v>17048.23</v>
      </c>
      <c r="C130" s="31">
        <f t="shared" si="37"/>
        <v>2.9214010721807099E-3</v>
      </c>
      <c r="D130" s="25"/>
      <c r="F130" s="23">
        <f t="shared" ref="F130:F145" si="59">+A130</f>
        <v>42521</v>
      </c>
      <c r="G130" s="60"/>
      <c r="H130" s="60"/>
      <c r="J130" s="24"/>
      <c r="K130" s="10">
        <v>1013.6123</v>
      </c>
      <c r="L130" s="31">
        <f>+(K130/K129-1)/(F130-F129)*30</f>
        <v>3.2783992355625655E-3</v>
      </c>
      <c r="AC130" s="10"/>
      <c r="AD130" s="10"/>
      <c r="AE130" s="10"/>
      <c r="AF130" s="10"/>
      <c r="AG130" s="10"/>
      <c r="AH130" s="10"/>
      <c r="AI130" s="10"/>
      <c r="AJ130" s="10"/>
      <c r="AK130" s="10"/>
      <c r="AL130" s="10"/>
      <c r="AM130" s="10"/>
      <c r="AN130" s="10"/>
      <c r="AO130" s="10"/>
      <c r="AP130" s="10"/>
      <c r="AQ130" s="10"/>
    </row>
    <row r="131" spans="1:43">
      <c r="A131" s="23">
        <v>42551</v>
      </c>
      <c r="B131" s="26">
        <v>17098.02</v>
      </c>
      <c r="C131" s="31">
        <f t="shared" si="37"/>
        <v>2.9205377918999353E-3</v>
      </c>
      <c r="D131" s="25"/>
      <c r="F131" s="23">
        <f t="shared" si="59"/>
        <v>42551</v>
      </c>
      <c r="H131" s="60"/>
      <c r="I131" s="31"/>
      <c r="J131" s="24"/>
      <c r="K131" s="10">
        <v>1016.7787</v>
      </c>
      <c r="L131" s="31">
        <f t="shared" ref="L131:L165" si="60">+(K131/K130-1)/(F131-F130)*30</f>
        <v>3.1238768511392401E-3</v>
      </c>
      <c r="M131" s="25"/>
      <c r="AC131" s="10"/>
      <c r="AD131" s="10"/>
      <c r="AE131" s="10"/>
      <c r="AF131" s="10"/>
      <c r="AG131" s="10"/>
      <c r="AH131" s="10"/>
      <c r="AI131" s="10"/>
      <c r="AJ131" s="10"/>
      <c r="AK131" s="10"/>
      <c r="AL131" s="10"/>
      <c r="AM131" s="10"/>
      <c r="AN131" s="10"/>
      <c r="AO131" s="10"/>
      <c r="AP131" s="10"/>
      <c r="AQ131" s="10"/>
    </row>
    <row r="132" spans="1:43">
      <c r="A132" s="23">
        <v>42582</v>
      </c>
      <c r="B132" s="61">
        <v>17149.23</v>
      </c>
      <c r="C132" s="31">
        <f t="shared" si="37"/>
        <v>2.8984680399326843E-3</v>
      </c>
      <c r="D132" s="25"/>
      <c r="F132" s="23">
        <f t="shared" si="59"/>
        <v>42582</v>
      </c>
      <c r="H132" s="60"/>
      <c r="I132" s="31"/>
      <c r="J132" s="24"/>
      <c r="K132" s="10">
        <v>1020.0427</v>
      </c>
      <c r="L132" s="31">
        <f t="shared" si="60"/>
        <v>3.106585216054716E-3</v>
      </c>
      <c r="M132" s="25"/>
      <c r="AC132" s="10"/>
      <c r="AD132" s="10"/>
      <c r="AE132" s="10"/>
      <c r="AF132" s="10"/>
      <c r="AG132" s="10"/>
      <c r="AH132" s="10"/>
      <c r="AI132" s="10"/>
      <c r="AJ132" s="10"/>
      <c r="AK132" s="10"/>
      <c r="AL132" s="10"/>
      <c r="AM132" s="10"/>
      <c r="AN132" s="10"/>
      <c r="AO132" s="10"/>
      <c r="AP132" s="10"/>
      <c r="AQ132" s="10"/>
    </row>
    <row r="133" spans="1:43">
      <c r="A133" s="23">
        <v>42613</v>
      </c>
      <c r="B133" s="26">
        <v>17201.38</v>
      </c>
      <c r="C133" s="31">
        <f t="shared" si="37"/>
        <v>2.9428576055883799E-3</v>
      </c>
      <c r="D133" s="25"/>
      <c r="F133" s="23">
        <f t="shared" si="59"/>
        <v>42613</v>
      </c>
      <c r="H133" s="60"/>
      <c r="I133" s="31"/>
      <c r="J133" s="24"/>
      <c r="K133" s="10">
        <v>1023.2554</v>
      </c>
      <c r="L133" s="31">
        <f t="shared" si="60"/>
        <v>3.0479748701980804E-3</v>
      </c>
      <c r="M133" s="25"/>
      <c r="AC133" s="10"/>
      <c r="AD133" s="10"/>
      <c r="AE133" s="10"/>
      <c r="AF133" s="10"/>
      <c r="AG133" s="10"/>
      <c r="AH133" s="10"/>
      <c r="AI133" s="10"/>
      <c r="AJ133" s="10"/>
      <c r="AK133" s="10"/>
      <c r="AL133" s="10"/>
      <c r="AM133" s="10"/>
      <c r="AN133" s="10"/>
      <c r="AO133" s="10"/>
      <c r="AP133" s="10"/>
      <c r="AQ133" s="10"/>
    </row>
    <row r="134" spans="1:43">
      <c r="A134" s="23">
        <f>+A133+30</f>
        <v>42643</v>
      </c>
      <c r="B134" s="26">
        <v>17251.61</v>
      </c>
      <c r="C134" s="31">
        <f t="shared" si="37"/>
        <v>2.9201145489490266E-3</v>
      </c>
      <c r="D134" s="25"/>
      <c r="F134" s="23">
        <f t="shared" si="59"/>
        <v>42643</v>
      </c>
      <c r="H134" s="60"/>
      <c r="I134" s="31"/>
      <c r="J134" s="24"/>
      <c r="K134" s="10">
        <v>1026.3402000000001</v>
      </c>
      <c r="L134" s="31">
        <f t="shared" si="60"/>
        <v>3.0146921286708928E-3</v>
      </c>
      <c r="M134" s="25"/>
      <c r="AC134" s="10"/>
      <c r="AD134" s="10"/>
      <c r="AE134" s="10"/>
      <c r="AF134" s="10"/>
      <c r="AG134" s="10"/>
      <c r="AH134" s="10"/>
      <c r="AI134" s="10"/>
      <c r="AJ134" s="10"/>
      <c r="AK134" s="10"/>
      <c r="AL134" s="10"/>
      <c r="AM134" s="10"/>
      <c r="AN134" s="10"/>
      <c r="AO134" s="10"/>
      <c r="AP134" s="10"/>
      <c r="AQ134" s="10"/>
    </row>
    <row r="135" spans="1:43">
      <c r="A135" s="23">
        <v>42674</v>
      </c>
      <c r="B135" s="26">
        <v>17303.68</v>
      </c>
      <c r="C135" s="31">
        <f t="shared" ref="C135:C165" si="61">(B135/B134-1)/(A135-A134)*30</f>
        <v>2.920905502770276E-3</v>
      </c>
      <c r="D135" s="25"/>
      <c r="F135" s="23">
        <f t="shared" si="59"/>
        <v>42674</v>
      </c>
      <c r="H135" s="60"/>
      <c r="I135" s="31"/>
      <c r="J135" s="24"/>
      <c r="K135" s="10">
        <v>1029.5220999999999</v>
      </c>
      <c r="L135" s="31">
        <f t="shared" si="60"/>
        <v>3.0002313701792439E-3</v>
      </c>
      <c r="M135" s="25"/>
      <c r="AC135" s="10"/>
      <c r="AD135" s="10"/>
      <c r="AE135" s="10"/>
      <c r="AF135" s="10"/>
      <c r="AG135" s="10"/>
      <c r="AH135" s="10"/>
      <c r="AI135" s="10"/>
      <c r="AJ135" s="10"/>
      <c r="AK135" s="10"/>
      <c r="AL135" s="10"/>
      <c r="AM135" s="10"/>
      <c r="AN135" s="10"/>
      <c r="AO135" s="10"/>
      <c r="AP135" s="10"/>
      <c r="AQ135" s="10"/>
    </row>
    <row r="136" spans="1:43">
      <c r="A136" s="23">
        <v>42704</v>
      </c>
      <c r="B136" s="26">
        <v>17354.21</v>
      </c>
      <c r="C136" s="31">
        <f t="shared" si="61"/>
        <v>2.9201880756000165E-3</v>
      </c>
      <c r="D136" s="25"/>
      <c r="F136" s="23">
        <f t="shared" si="59"/>
        <v>42704</v>
      </c>
      <c r="H136" s="60"/>
      <c r="I136" s="31"/>
      <c r="J136" s="24"/>
      <c r="K136" s="10">
        <v>1032.6170999999999</v>
      </c>
      <c r="L136" s="31">
        <f t="shared" si="60"/>
        <v>3.0062492101918803E-3</v>
      </c>
      <c r="M136" s="25"/>
      <c r="AC136" s="10"/>
      <c r="AD136" s="10"/>
      <c r="AE136" s="10"/>
      <c r="AF136" s="10"/>
      <c r="AG136" s="10"/>
      <c r="AH136" s="10"/>
      <c r="AI136" s="10"/>
      <c r="AJ136" s="10"/>
      <c r="AK136" s="10"/>
      <c r="AL136" s="10"/>
      <c r="AM136" s="10"/>
      <c r="AN136" s="10"/>
      <c r="AO136" s="10"/>
      <c r="AP136" s="10"/>
      <c r="AQ136" s="10"/>
    </row>
    <row r="137" spans="1:43">
      <c r="A137" s="23">
        <v>42735</v>
      </c>
      <c r="B137" s="26">
        <v>17406.97</v>
      </c>
      <c r="C137" s="31">
        <f t="shared" si="61"/>
        <v>2.9421140182199269E-3</v>
      </c>
      <c r="D137" s="25"/>
      <c r="F137" s="23">
        <f t="shared" si="59"/>
        <v>42735</v>
      </c>
      <c r="H137" s="60"/>
      <c r="I137" s="31"/>
      <c r="J137" s="24"/>
      <c r="K137" s="10">
        <v>1035.8294000000001</v>
      </c>
      <c r="L137" s="31">
        <f t="shared" si="60"/>
        <v>3.0104841565716015E-3</v>
      </c>
      <c r="M137" s="25"/>
      <c r="AC137" s="10"/>
      <c r="AD137" s="10"/>
      <c r="AE137" s="10"/>
      <c r="AF137" s="10"/>
      <c r="AG137" s="10"/>
      <c r="AH137" s="10"/>
      <c r="AI137" s="10"/>
      <c r="AJ137" s="10"/>
      <c r="AK137" s="10"/>
      <c r="AL137" s="10"/>
      <c r="AM137" s="10"/>
      <c r="AN137" s="10"/>
      <c r="AO137" s="10"/>
      <c r="AP137" s="10"/>
      <c r="AQ137" s="10"/>
    </row>
    <row r="138" spans="1:43">
      <c r="A138" s="23">
        <v>42766</v>
      </c>
      <c r="B138" s="26">
        <v>17457.39</v>
      </c>
      <c r="C138" s="31">
        <f t="shared" si="61"/>
        <v>2.8031040661927633E-3</v>
      </c>
      <c r="D138" s="25"/>
      <c r="F138" s="23">
        <f t="shared" si="59"/>
        <v>42766</v>
      </c>
      <c r="I138" s="31"/>
      <c r="J138" s="24"/>
      <c r="K138" s="10">
        <v>1039.2620999999999</v>
      </c>
      <c r="L138" s="31">
        <f t="shared" si="60"/>
        <v>3.2070606819379504E-3</v>
      </c>
      <c r="M138" s="25"/>
      <c r="AC138" s="10"/>
      <c r="AD138" s="10"/>
      <c r="AE138" s="10"/>
      <c r="AF138" s="10"/>
      <c r="AG138" s="10"/>
      <c r="AH138" s="10"/>
      <c r="AI138" s="10"/>
      <c r="AJ138" s="10"/>
      <c r="AK138" s="10"/>
      <c r="AL138" s="10"/>
      <c r="AM138" s="10"/>
      <c r="AN138" s="10"/>
      <c r="AO138" s="10"/>
      <c r="AP138" s="10"/>
      <c r="AQ138" s="10"/>
    </row>
    <row r="139" spans="1:43">
      <c r="A139" s="23">
        <v>42794</v>
      </c>
      <c r="B139" s="26">
        <v>17501.060000000001</v>
      </c>
      <c r="C139" s="31">
        <f t="shared" si="61"/>
        <v>2.6801993719728829E-3</v>
      </c>
      <c r="D139" s="25"/>
      <c r="F139" s="23">
        <f t="shared" si="59"/>
        <v>42794</v>
      </c>
      <c r="I139" s="31"/>
      <c r="J139" s="24"/>
      <c r="K139" s="10">
        <v>1042.1611</v>
      </c>
      <c r="L139" s="31">
        <f t="shared" si="60"/>
        <v>2.9887277026377102E-3</v>
      </c>
      <c r="M139" s="25"/>
      <c r="AC139" s="10"/>
      <c r="AD139" s="10"/>
      <c r="AE139" s="10"/>
      <c r="AF139" s="10"/>
      <c r="AG139" s="10"/>
      <c r="AH139" s="10"/>
      <c r="AI139" s="10"/>
      <c r="AJ139" s="10"/>
      <c r="AK139" s="10"/>
      <c r="AL139" s="10"/>
      <c r="AM139" s="10"/>
      <c r="AN139" s="10"/>
      <c r="AO139" s="10"/>
      <c r="AP139" s="10"/>
      <c r="AQ139" s="10"/>
    </row>
    <row r="140" spans="1:43">
      <c r="A140" s="23">
        <v>42825</v>
      </c>
      <c r="B140" s="26">
        <v>17548.349999999999</v>
      </c>
      <c r="C140" s="31">
        <f t="shared" si="61"/>
        <v>2.6149568157032219E-3</v>
      </c>
      <c r="D140" s="25"/>
      <c r="F140" s="23">
        <f t="shared" si="59"/>
        <v>42825</v>
      </c>
      <c r="I140" s="31"/>
      <c r="J140" s="24"/>
      <c r="K140" s="10">
        <v>1045.2075</v>
      </c>
      <c r="L140" s="31">
        <f t="shared" si="60"/>
        <v>2.8288611350567629E-3</v>
      </c>
      <c r="M140" s="25"/>
      <c r="AC140" s="10"/>
      <c r="AD140" s="10"/>
      <c r="AE140" s="10"/>
      <c r="AF140" s="10"/>
      <c r="AG140" s="10"/>
      <c r="AH140" s="10"/>
      <c r="AI140" s="10"/>
      <c r="AJ140" s="10"/>
      <c r="AK140" s="10"/>
      <c r="AL140" s="10"/>
      <c r="AM140" s="10"/>
      <c r="AN140" s="10"/>
      <c r="AO140" s="10"/>
      <c r="AP140" s="10"/>
      <c r="AQ140" s="10"/>
    </row>
    <row r="141" spans="1:43">
      <c r="A141" s="23">
        <v>42855</v>
      </c>
      <c r="B141" s="26">
        <v>17587.919999999998</v>
      </c>
      <c r="C141" s="31">
        <f t="shared" si="61"/>
        <v>2.254912855054636E-3</v>
      </c>
      <c r="D141" s="25"/>
      <c r="F141" s="23">
        <f t="shared" si="59"/>
        <v>42855</v>
      </c>
      <c r="I141" s="31"/>
      <c r="J141" s="24"/>
      <c r="K141" s="10">
        <v>1047.9294</v>
      </c>
      <c r="L141" s="31">
        <f t="shared" si="60"/>
        <v>2.6041718988814022E-3</v>
      </c>
      <c r="M141" s="25"/>
      <c r="AC141" s="10"/>
      <c r="AD141" s="10"/>
      <c r="AE141" s="10"/>
      <c r="AF141" s="10"/>
      <c r="AG141" s="10"/>
      <c r="AH141" s="10"/>
      <c r="AI141" s="10"/>
      <c r="AJ141" s="10"/>
      <c r="AK141" s="10"/>
      <c r="AL141" s="10"/>
      <c r="AM141" s="10"/>
      <c r="AN141" s="10"/>
      <c r="AO141" s="10"/>
      <c r="AP141" s="10"/>
      <c r="AQ141" s="10"/>
    </row>
    <row r="142" spans="1:43">
      <c r="A142" s="23">
        <v>42886</v>
      </c>
      <c r="B142" s="26">
        <v>17630.79</v>
      </c>
      <c r="C142" s="31">
        <f t="shared" si="61"/>
        <v>2.3588404299198615E-3</v>
      </c>
      <c r="D142" s="25"/>
      <c r="F142" s="23">
        <f t="shared" si="59"/>
        <v>42886</v>
      </c>
      <c r="I142" s="31"/>
      <c r="J142" s="24"/>
      <c r="K142" s="10">
        <v>1050.5427</v>
      </c>
      <c r="L142" s="31">
        <f t="shared" si="60"/>
        <v>2.4133305163497355E-3</v>
      </c>
      <c r="M142" s="25"/>
      <c r="AC142" s="10"/>
      <c r="AD142" s="10"/>
      <c r="AE142" s="10"/>
      <c r="AF142" s="10"/>
      <c r="AG142" s="10"/>
      <c r="AH142" s="10"/>
      <c r="AI142" s="10"/>
      <c r="AJ142" s="10"/>
      <c r="AK142" s="10"/>
      <c r="AL142" s="10"/>
      <c r="AM142" s="10"/>
      <c r="AN142" s="10"/>
      <c r="AO142" s="10"/>
      <c r="AP142" s="10"/>
      <c r="AQ142" s="10"/>
    </row>
    <row r="143" spans="1:43">
      <c r="A143" s="23">
        <v>42916</v>
      </c>
      <c r="B143" s="26">
        <v>17667.59</v>
      </c>
      <c r="C143" s="31">
        <f t="shared" si="61"/>
        <v>2.0872575760926271E-3</v>
      </c>
      <c r="D143" s="25"/>
      <c r="F143" s="23">
        <f t="shared" si="59"/>
        <v>42916</v>
      </c>
      <c r="I143" s="31"/>
      <c r="J143" s="24"/>
      <c r="K143" s="10">
        <v>1052.9694</v>
      </c>
      <c r="L143" s="31">
        <f t="shared" si="60"/>
        <v>2.3099489435316478E-3</v>
      </c>
      <c r="M143" s="25"/>
      <c r="AC143" s="10"/>
      <c r="AD143" s="10"/>
      <c r="AE143" s="10"/>
      <c r="AF143" s="10"/>
      <c r="AG143" s="10"/>
      <c r="AH143" s="10"/>
      <c r="AI143" s="10"/>
      <c r="AJ143" s="10"/>
      <c r="AK143" s="10"/>
      <c r="AL143" s="10"/>
      <c r="AM143" s="10"/>
      <c r="AN143" s="10"/>
      <c r="AO143" s="10"/>
      <c r="AP143" s="10"/>
      <c r="AQ143" s="10"/>
    </row>
    <row r="144" spans="1:43">
      <c r="A144" s="23">
        <v>42947</v>
      </c>
      <c r="B144" s="26">
        <v>17705.689999999999</v>
      </c>
      <c r="C144" s="31">
        <f t="shared" si="61"/>
        <v>2.0869268384615313E-3</v>
      </c>
      <c r="D144" s="25"/>
      <c r="F144" s="23">
        <f t="shared" si="59"/>
        <v>42947</v>
      </c>
      <c r="I144" s="31"/>
      <c r="J144" s="24"/>
      <c r="K144" s="10">
        <v>1055.2846</v>
      </c>
      <c r="L144" s="31">
        <f t="shared" si="60"/>
        <v>2.1278074453371268E-3</v>
      </c>
      <c r="M144" s="25"/>
      <c r="AC144" s="10"/>
      <c r="AD144" s="10"/>
      <c r="AE144" s="10"/>
      <c r="AF144" s="10"/>
      <c r="AG144" s="10"/>
      <c r="AH144" s="10"/>
      <c r="AI144" s="10"/>
      <c r="AJ144" s="10"/>
      <c r="AK144" s="10"/>
      <c r="AL144" s="10"/>
      <c r="AM144" s="10"/>
      <c r="AN144" s="10"/>
      <c r="AO144" s="10"/>
      <c r="AP144" s="10"/>
      <c r="AQ144" s="10"/>
    </row>
    <row r="145" spans="1:44">
      <c r="A145" s="23">
        <v>42978</v>
      </c>
      <c r="B145" s="26">
        <v>17743.830000000002</v>
      </c>
      <c r="C145" s="31">
        <f t="shared" si="61"/>
        <v>2.0846223682533241E-3</v>
      </c>
      <c r="D145" s="25"/>
      <c r="F145" s="23">
        <f t="shared" si="59"/>
        <v>42978</v>
      </c>
      <c r="I145" s="31"/>
      <c r="J145" s="24"/>
      <c r="K145" s="10">
        <v>1057.4719</v>
      </c>
      <c r="L145" s="31">
        <f t="shared" si="60"/>
        <v>2.0058493561678128E-3</v>
      </c>
      <c r="M145" s="25"/>
      <c r="AD145" s="10"/>
      <c r="AE145" s="10"/>
      <c r="AF145" s="10"/>
      <c r="AG145" s="10"/>
      <c r="AH145" s="10"/>
      <c r="AI145" s="10"/>
      <c r="AJ145" s="10"/>
      <c r="AK145" s="10"/>
      <c r="AL145" s="10"/>
      <c r="AM145" s="10"/>
      <c r="AN145" s="10"/>
      <c r="AO145" s="10"/>
      <c r="AP145" s="10"/>
      <c r="AQ145" s="10"/>
    </row>
    <row r="146" spans="1:44">
      <c r="A146" s="23">
        <v>43008</v>
      </c>
      <c r="B146" s="26">
        <v>17780.7817</v>
      </c>
      <c r="C146" s="31">
        <f t="shared" si="61"/>
        <v>2.0825098076344695E-3</v>
      </c>
      <c r="D146" s="25"/>
      <c r="F146" s="23">
        <v>43008</v>
      </c>
      <c r="I146" s="31"/>
      <c r="J146" s="24"/>
      <c r="K146" s="10">
        <v>1059.5996</v>
      </c>
      <c r="L146" s="31">
        <f t="shared" si="60"/>
        <v>2.0120629210100827E-3</v>
      </c>
      <c r="M146" s="25"/>
    </row>
    <row r="147" spans="1:44">
      <c r="A147" s="23">
        <v>43039</v>
      </c>
      <c r="B147" s="9">
        <v>17819.150000000001</v>
      </c>
      <c r="C147" s="31">
        <f t="shared" si="61"/>
        <v>2.0882441238917289E-3</v>
      </c>
      <c r="D147" s="25"/>
      <c r="F147" s="23">
        <v>43039</v>
      </c>
      <c r="I147" s="31"/>
      <c r="J147" s="24"/>
      <c r="K147" s="10">
        <v>1061.7910999999999</v>
      </c>
      <c r="L147" s="31">
        <f t="shared" si="60"/>
        <v>2.0015168480742372E-3</v>
      </c>
      <c r="M147" s="25"/>
      <c r="S147" s="9" t="s">
        <v>42</v>
      </c>
    </row>
    <row r="148" spans="1:44">
      <c r="A148" s="23">
        <v>43069</v>
      </c>
      <c r="B148" s="9">
        <f>+VLOOKUP(A148,[2]Simple!$A$3790:$B$3818,2)</f>
        <v>17856.32</v>
      </c>
      <c r="C148" s="31">
        <f t="shared" si="61"/>
        <v>2.0859580844203585E-3</v>
      </c>
      <c r="D148" s="25"/>
      <c r="F148" s="23">
        <v>43069</v>
      </c>
      <c r="I148" s="31"/>
      <c r="J148" s="24"/>
      <c r="K148" s="10">
        <v>1063.8688</v>
      </c>
      <c r="L148" s="31">
        <f t="shared" si="60"/>
        <v>1.9567879218427287E-3</v>
      </c>
      <c r="M148" s="25"/>
      <c r="S148" s="9">
        <v>29.45</v>
      </c>
    </row>
    <row r="149" spans="1:44">
      <c r="A149" s="23">
        <v>43100</v>
      </c>
      <c r="B149" s="9">
        <f>+VLOOKUP(A149,[2]Simple!$A$3790:$B$3818,2)</f>
        <v>17872.439999999999</v>
      </c>
      <c r="C149" s="31">
        <f t="shared" si="61"/>
        <v>8.7364025734307325E-4</v>
      </c>
      <c r="D149" s="25"/>
      <c r="F149" s="23">
        <v>43100</v>
      </c>
      <c r="I149" s="31"/>
      <c r="J149" s="24"/>
      <c r="K149" s="10">
        <v>1066.0204000000001</v>
      </c>
      <c r="L149" s="31">
        <f t="shared" si="60"/>
        <v>1.9571901614063645E-3</v>
      </c>
      <c r="M149" s="25"/>
      <c r="Q149" s="10">
        <f>+G137+S148</f>
        <v>29.45</v>
      </c>
      <c r="S149" s="9" t="s">
        <v>43</v>
      </c>
    </row>
    <row r="150" spans="1:44">
      <c r="A150" s="23">
        <v>43131</v>
      </c>
      <c r="B150" s="9">
        <v>17933.28</v>
      </c>
      <c r="C150" s="31">
        <f t="shared" si="61"/>
        <v>3.2943134432030716E-3</v>
      </c>
      <c r="D150" s="25"/>
      <c r="F150" s="23">
        <v>43131</v>
      </c>
      <c r="I150" s="31"/>
      <c r="J150" s="24"/>
      <c r="K150" s="10">
        <v>1068.2126000000001</v>
      </c>
      <c r="L150" s="31">
        <f t="shared" si="60"/>
        <v>1.9900968789787039E-3</v>
      </c>
      <c r="M150" s="25"/>
    </row>
    <row r="151" spans="1:44">
      <c r="A151" s="23">
        <v>43159</v>
      </c>
      <c r="B151" s="9">
        <v>17968.11</v>
      </c>
      <c r="C151" s="31">
        <f t="shared" si="61"/>
        <v>2.0809275906504988E-3</v>
      </c>
      <c r="D151" s="25"/>
      <c r="F151" s="23">
        <v>43159</v>
      </c>
      <c r="I151" s="31"/>
      <c r="J151" s="24"/>
      <c r="K151" s="10">
        <v>1070.2119</v>
      </c>
      <c r="L151" s="31">
        <f t="shared" si="60"/>
        <v>2.0053191123724817E-3</v>
      </c>
      <c r="M151" s="25"/>
      <c r="S151" s="9" t="s">
        <v>44</v>
      </c>
    </row>
    <row r="152" spans="1:44">
      <c r="A152" s="23">
        <v>43190</v>
      </c>
      <c r="B152" s="9">
        <v>18006.830000000002</v>
      </c>
      <c r="C152" s="31">
        <f t="shared" si="61"/>
        <v>2.0854150905095488E-3</v>
      </c>
      <c r="D152" s="25"/>
      <c r="F152" s="23">
        <v>43190</v>
      </c>
      <c r="I152" s="31"/>
      <c r="J152" s="24"/>
      <c r="K152" s="10">
        <v>1072.548</v>
      </c>
      <c r="L152" s="31">
        <f t="shared" si="60"/>
        <v>2.1124245913205172E-3</v>
      </c>
      <c r="M152" s="25"/>
    </row>
    <row r="153" spans="1:44">
      <c r="A153" s="23">
        <v>43220</v>
      </c>
      <c r="B153" s="9">
        <v>18044.25</v>
      </c>
      <c r="C153" s="31">
        <f t="shared" si="61"/>
        <v>2.0781003652501351E-3</v>
      </c>
      <c r="D153" s="25"/>
      <c r="F153" s="23">
        <v>43220</v>
      </c>
      <c r="I153" s="31"/>
      <c r="J153" s="24"/>
      <c r="K153" s="10">
        <v>1074.6550999999999</v>
      </c>
      <c r="L153" s="31">
        <f t="shared" si="60"/>
        <v>1.9645740796681022E-3</v>
      </c>
      <c r="M153" s="25"/>
      <c r="S153" s="9" t="s">
        <v>44</v>
      </c>
    </row>
    <row r="154" spans="1:44">
      <c r="A154" s="23">
        <v>43251</v>
      </c>
      <c r="B154" s="24">
        <v>18082.87</v>
      </c>
      <c r="C154" s="31">
        <f t="shared" si="61"/>
        <v>2.0712522575549652E-3</v>
      </c>
      <c r="D154" s="25"/>
      <c r="F154" s="23">
        <v>43251</v>
      </c>
      <c r="I154" s="31"/>
      <c r="J154" s="24"/>
      <c r="K154" s="10">
        <v>1076.9917</v>
      </c>
      <c r="L154" s="31">
        <f t="shared" si="60"/>
        <v>2.1041409531779949E-3</v>
      </c>
      <c r="M154" s="25"/>
    </row>
    <row r="155" spans="1:44">
      <c r="A155" s="23">
        <v>43281</v>
      </c>
      <c r="B155" s="25">
        <v>18120.622499999998</v>
      </c>
      <c r="C155" s="31">
        <f t="shared" si="61"/>
        <v>2.0877493450983664E-3</v>
      </c>
      <c r="D155" s="25"/>
      <c r="F155" s="23">
        <v>43281</v>
      </c>
      <c r="I155" s="31"/>
      <c r="J155" s="24"/>
      <c r="K155" s="9">
        <v>1079.3906999999999</v>
      </c>
      <c r="L155" s="31">
        <f t="shared" si="60"/>
        <v>2.2275009176020433E-3</v>
      </c>
      <c r="M155" s="25"/>
      <c r="S155" s="9" t="s">
        <v>45</v>
      </c>
    </row>
    <row r="156" spans="1:44">
      <c r="A156" s="23">
        <v>43312</v>
      </c>
      <c r="B156" s="24">
        <v>18159.66</v>
      </c>
      <c r="C156" s="31">
        <f t="shared" si="61"/>
        <v>2.0848194263996837E-3</v>
      </c>
      <c r="D156" s="25"/>
      <c r="F156" s="23">
        <v>43312</v>
      </c>
      <c r="I156" s="31"/>
      <c r="J156" s="24"/>
      <c r="K156" s="9">
        <v>1081.8116</v>
      </c>
      <c r="L156" s="31">
        <f t="shared" si="60"/>
        <v>2.1704897509427158E-3</v>
      </c>
      <c r="M156" s="25"/>
      <c r="S156" s="9">
        <v>0</v>
      </c>
    </row>
    <row r="157" spans="1:44">
      <c r="A157" s="23">
        <v>43343</v>
      </c>
      <c r="B157" s="24">
        <v>18198.62</v>
      </c>
      <c r="C157" s="31">
        <f t="shared" si="61"/>
        <v>2.0762076936710386E-3</v>
      </c>
      <c r="D157" s="25"/>
      <c r="F157" s="23">
        <v>43343</v>
      </c>
      <c r="I157" s="31"/>
      <c r="J157" s="24"/>
      <c r="K157" s="9">
        <v>1084.2472</v>
      </c>
      <c r="L157" s="31">
        <f t="shared" si="60"/>
        <v>2.1787825699636615E-3</v>
      </c>
      <c r="M157" s="25"/>
      <c r="S157" s="9" t="s">
        <v>46</v>
      </c>
      <c r="AR157" s="62"/>
    </row>
    <row r="158" spans="1:44">
      <c r="A158" s="23">
        <v>43373</v>
      </c>
      <c r="B158" s="63">
        <v>18235.900000000001</v>
      </c>
      <c r="C158" s="31">
        <f t="shared" si="61"/>
        <v>2.0485069747047113E-3</v>
      </c>
      <c r="D158" s="25"/>
      <c r="F158" s="23">
        <v>43373</v>
      </c>
      <c r="I158" s="31"/>
      <c r="J158" s="24"/>
      <c r="K158" s="9">
        <v>1086.6424</v>
      </c>
      <c r="L158" s="31">
        <f t="shared" si="60"/>
        <v>2.2090903255271854E-3</v>
      </c>
      <c r="M158" s="25"/>
      <c r="S158" s="9">
        <v>0</v>
      </c>
    </row>
    <row r="159" spans="1:44">
      <c r="A159" s="23">
        <v>43404</v>
      </c>
      <c r="B159" s="9">
        <v>18277.400000000001</v>
      </c>
      <c r="C159" s="31">
        <f t="shared" si="61"/>
        <v>2.2023201664069722E-3</v>
      </c>
      <c r="D159" s="25"/>
      <c r="F159" s="23">
        <v>43404</v>
      </c>
      <c r="I159" s="31"/>
      <c r="J159" s="24"/>
      <c r="K159" s="9">
        <v>4807.6121000000003</v>
      </c>
      <c r="L159" s="31">
        <f t="shared" si="60"/>
        <v>3.3138210135688055</v>
      </c>
      <c r="M159" s="25"/>
      <c r="S159" s="9" t="s">
        <v>47</v>
      </c>
    </row>
    <row r="160" spans="1:44">
      <c r="A160" s="23">
        <v>43434</v>
      </c>
      <c r="B160" s="25">
        <v>18319.310000000001</v>
      </c>
      <c r="C160" s="31">
        <f t="shared" si="61"/>
        <v>2.2929957214921082E-3</v>
      </c>
      <c r="D160" s="25"/>
      <c r="F160" s="23">
        <v>43434</v>
      </c>
      <c r="I160" s="31"/>
      <c r="J160" s="24"/>
      <c r="K160" s="24">
        <v>4812.5415000000003</v>
      </c>
      <c r="L160" s="31">
        <f t="shared" si="60"/>
        <v>1.0253323058240227E-3</v>
      </c>
      <c r="M160" s="25"/>
      <c r="S160" s="9">
        <v>29.445048082005702</v>
      </c>
    </row>
    <row r="161" spans="1:13">
      <c r="A161" s="23">
        <v>43465</v>
      </c>
      <c r="B161" s="9">
        <v>18362.684000000001</v>
      </c>
      <c r="C161" s="31">
        <f t="shared" si="61"/>
        <v>2.2912892848953219E-3</v>
      </c>
      <c r="D161" s="25"/>
      <c r="F161" s="23">
        <v>43465</v>
      </c>
      <c r="I161" s="31"/>
      <c r="J161" s="24"/>
      <c r="K161" s="24">
        <v>4819.2415000000001</v>
      </c>
      <c r="L161" s="31">
        <f t="shared" si="60"/>
        <v>1.3472862452700689E-3</v>
      </c>
      <c r="M161" s="25"/>
    </row>
    <row r="162" spans="1:13">
      <c r="A162" s="23">
        <v>43496</v>
      </c>
      <c r="B162" s="9">
        <v>18407.689999999999</v>
      </c>
      <c r="C162" s="31">
        <f t="shared" si="61"/>
        <v>2.3718860243080522E-3</v>
      </c>
      <c r="D162" s="25"/>
      <c r="F162" s="23">
        <v>43496</v>
      </c>
      <c r="I162" s="31"/>
      <c r="J162" s="24"/>
      <c r="K162" s="9">
        <v>4825.82</v>
      </c>
      <c r="L162" s="31">
        <f t="shared" si="60"/>
        <v>1.321015002584915E-3</v>
      </c>
      <c r="M162" s="25"/>
    </row>
    <row r="163" spans="1:13">
      <c r="A163" s="23">
        <v>43524</v>
      </c>
      <c r="B163" s="9">
        <v>18449.16</v>
      </c>
      <c r="C163" s="31">
        <f t="shared" si="61"/>
        <v>2.4137815693954707E-3</v>
      </c>
      <c r="D163" s="25"/>
      <c r="F163" s="23">
        <v>43524</v>
      </c>
      <c r="I163" s="31"/>
      <c r="J163" s="24"/>
      <c r="K163" s="9">
        <v>4832.1058000000003</v>
      </c>
      <c r="L163" s="31">
        <f t="shared" si="60"/>
        <v>1.3955733355753522E-3</v>
      </c>
      <c r="M163" s="25"/>
    </row>
    <row r="164" spans="1:13">
      <c r="A164" s="23">
        <v>43555</v>
      </c>
      <c r="B164" s="9">
        <v>18496.82</v>
      </c>
      <c r="C164" s="31">
        <f t="shared" si="61"/>
        <v>2.4999826900066083E-3</v>
      </c>
      <c r="D164" s="25"/>
      <c r="F164" s="23">
        <v>43555</v>
      </c>
      <c r="I164" s="31"/>
      <c r="J164" s="24"/>
      <c r="K164" s="24">
        <v>4839.1072999999997</v>
      </c>
      <c r="L164" s="31">
        <f t="shared" si="60"/>
        <v>1.4022137431861147E-3</v>
      </c>
      <c r="M164" s="25"/>
    </row>
    <row r="165" spans="1:13">
      <c r="A165" s="23">
        <v>43585</v>
      </c>
      <c r="B165" s="9">
        <v>18543.07</v>
      </c>
      <c r="C165" s="31">
        <f t="shared" si="61"/>
        <v>2.5004298036095385E-3</v>
      </c>
      <c r="D165" s="25"/>
      <c r="F165" s="23">
        <v>43585</v>
      </c>
      <c r="I165" s="31"/>
      <c r="J165" s="24"/>
      <c r="K165" s="24">
        <v>4845.9628000000002</v>
      </c>
      <c r="L165" s="31">
        <f t="shared" si="60"/>
        <v>1.4166869166138962E-3</v>
      </c>
      <c r="M165" s="25"/>
    </row>
    <row r="166" spans="1:13">
      <c r="A166" s="23">
        <v>43616</v>
      </c>
      <c r="B166" s="9">
        <v>18591.02</v>
      </c>
      <c r="C166" s="31">
        <f t="shared" ref="C166:C168" si="62">(B166/B165-1)/(A166-A165)*30</f>
        <v>2.5024564867873636E-3</v>
      </c>
      <c r="D166" s="25"/>
      <c r="F166" s="23">
        <v>43616</v>
      </c>
      <c r="I166" s="31"/>
      <c r="J166" s="24"/>
      <c r="K166" s="24">
        <v>4852.5891000000001</v>
      </c>
      <c r="L166" s="31">
        <f t="shared" ref="L166:L168" si="63">+(K166/K165-1)/(F166-F165)*30</f>
        <v>1.3232764368510004E-3</v>
      </c>
      <c r="M166" s="25"/>
    </row>
    <row r="167" spans="1:13">
      <c r="A167" s="23">
        <v>43646</v>
      </c>
      <c r="B167" s="25">
        <v>18632.310000000001</v>
      </c>
      <c r="C167" s="31">
        <f t="shared" si="62"/>
        <v>2.2209647453448333E-3</v>
      </c>
      <c r="D167" s="25"/>
      <c r="F167" s="23">
        <v>43646</v>
      </c>
      <c r="I167" s="31"/>
      <c r="J167" s="24"/>
      <c r="K167" s="9">
        <v>4858.4076999999997</v>
      </c>
      <c r="L167" s="31">
        <f t="shared" si="63"/>
        <v>1.1990712339520204E-3</v>
      </c>
      <c r="M167" s="25"/>
    </row>
    <row r="168" spans="1:13">
      <c r="A168" s="23">
        <v>43677</v>
      </c>
      <c r="B168" s="9">
        <v>18672.310000000001</v>
      </c>
      <c r="C168" s="31">
        <f t="shared" si="62"/>
        <v>2.0775565358966928E-3</v>
      </c>
      <c r="D168" s="25"/>
      <c r="F168" s="23">
        <v>43677</v>
      </c>
      <c r="I168" s="31"/>
      <c r="J168" s="24"/>
      <c r="K168" s="9">
        <v>4863.4466000000002</v>
      </c>
      <c r="L168" s="31">
        <f t="shared" si="63"/>
        <v>1.0036940371863539E-3</v>
      </c>
      <c r="M168" s="25"/>
    </row>
    <row r="169" spans="1:13">
      <c r="A169" s="23">
        <v>43708</v>
      </c>
      <c r="B169" s="25">
        <v>18712.55</v>
      </c>
      <c r="C169" s="31">
        <f t="shared" ref="C169:C170" si="64">(B169/B168-1)/(A169-A168)*30</f>
        <v>2.0855446103813656E-3</v>
      </c>
      <c r="D169" s="25"/>
      <c r="F169" s="23">
        <v>43708</v>
      </c>
      <c r="I169" s="31"/>
      <c r="J169" s="24"/>
      <c r="K169" s="9">
        <v>4868.1252999999997</v>
      </c>
      <c r="L169" s="31">
        <f t="shared" ref="L169:L170" si="65">+(K169/K168-1)/(F169-F168)*30</f>
        <v>9.3098055061359821E-4</v>
      </c>
      <c r="M169" s="25"/>
    </row>
    <row r="170" spans="1:13">
      <c r="A170" s="23">
        <v>43738</v>
      </c>
      <c r="B170" s="9">
        <v>18744.77</v>
      </c>
      <c r="C170" s="31">
        <f t="shared" si="64"/>
        <v>1.7218390866022837E-3</v>
      </c>
      <c r="D170" s="25"/>
      <c r="F170" s="23">
        <v>43738</v>
      </c>
      <c r="I170" s="31"/>
      <c r="J170" s="24"/>
      <c r="K170" s="9">
        <v>4873.326</v>
      </c>
      <c r="L170" s="31">
        <f t="shared" si="65"/>
        <v>1.0683167912708402E-3</v>
      </c>
      <c r="M170" s="25"/>
    </row>
    <row r="171" spans="1:13">
      <c r="A171" s="23">
        <v>43769</v>
      </c>
      <c r="B171" s="25">
        <v>18776.101999999999</v>
      </c>
      <c r="C171" s="31">
        <f t="shared" ref="C171:C172" si="66">(B171/B170-1)/(A171-A170)*30</f>
        <v>1.6175866827163087E-3</v>
      </c>
      <c r="D171" s="25"/>
      <c r="F171" s="23">
        <v>43769</v>
      </c>
      <c r="I171" s="31"/>
      <c r="J171" s="24"/>
      <c r="K171" s="9">
        <v>4876.4951000000001</v>
      </c>
      <c r="L171" s="31">
        <f t="shared" ref="L171:L172" si="67">+(K171/K170-1)/(F171-F170)*30</f>
        <v>6.2931783503544249E-4</v>
      </c>
      <c r="M171" s="25"/>
    </row>
    <row r="172" spans="1:13">
      <c r="A172" s="23">
        <v>43799</v>
      </c>
      <c r="B172" s="9">
        <v>18802.79</v>
      </c>
      <c r="C172" s="31">
        <f t="shared" si="66"/>
        <v>1.4213812856365138E-3</v>
      </c>
      <c r="D172" s="25"/>
      <c r="F172" s="23">
        <v>43799</v>
      </c>
      <c r="I172" s="31"/>
      <c r="J172" s="24"/>
      <c r="K172" s="9">
        <v>4879.8683000000001</v>
      </c>
      <c r="L172" s="31">
        <f t="shared" si="67"/>
        <v>6.917263179451183E-4</v>
      </c>
      <c r="M172" s="25"/>
    </row>
    <row r="173" spans="1:13">
      <c r="A173" s="23">
        <v>43830</v>
      </c>
      <c r="B173" s="25">
        <v>18830.68</v>
      </c>
      <c r="C173" s="31">
        <f t="shared" ref="C173:C174" si="68">(B173/B172-1)/(A173-A172)*30</f>
        <v>1.435442430652211E-3</v>
      </c>
      <c r="D173" s="25"/>
      <c r="F173" s="23">
        <v>43830</v>
      </c>
      <c r="I173" s="31"/>
      <c r="J173" s="24"/>
      <c r="K173" s="9">
        <v>4882.8959000000004</v>
      </c>
      <c r="L173" s="31">
        <f t="shared" ref="L173:L174" si="69">+(K173/K172-1)/(F173-F172)*30</f>
        <v>6.004128193114861E-4</v>
      </c>
      <c r="M173" s="25"/>
    </row>
    <row r="174" spans="1:13">
      <c r="A174" s="23">
        <v>43861</v>
      </c>
      <c r="B174" s="9">
        <v>18861.86</v>
      </c>
      <c r="C174" s="31">
        <f t="shared" si="68"/>
        <v>1.6023953223350568E-3</v>
      </c>
      <c r="D174" s="25"/>
      <c r="F174" s="23">
        <v>43861</v>
      </c>
      <c r="I174" s="31"/>
      <c r="J174" s="24"/>
      <c r="K174" s="9">
        <v>4885.3887000000004</v>
      </c>
      <c r="L174" s="31">
        <f t="shared" si="69"/>
        <v>4.9404843891394238E-4</v>
      </c>
      <c r="M174" s="25"/>
    </row>
    <row r="175" spans="1:13">
      <c r="A175" s="23">
        <v>43890</v>
      </c>
      <c r="B175" s="25">
        <v>18887.886699999999</v>
      </c>
      <c r="C175" s="31">
        <f t="shared" ref="C175:C176" si="70">(B175/B174-1)/(A175-A174)*30</f>
        <v>1.4274399456784069E-3</v>
      </c>
      <c r="D175" s="25"/>
      <c r="F175" s="23">
        <v>43890</v>
      </c>
      <c r="I175" s="31"/>
      <c r="J175" s="24"/>
      <c r="K175" s="9">
        <v>4887.7164000000002</v>
      </c>
      <c r="L175" s="31">
        <f t="shared" ref="L175:L176" si="71">+(K175/K174-1)/(F175-F174)*30</f>
        <v>4.9289128564955866E-4</v>
      </c>
      <c r="M175" s="25"/>
    </row>
    <row r="176" spans="1:13">
      <c r="A176" s="23">
        <v>43921</v>
      </c>
      <c r="B176" s="9">
        <v>18908.77</v>
      </c>
      <c r="C176" s="31">
        <f t="shared" si="70"/>
        <v>1.069979160839285E-3</v>
      </c>
      <c r="D176" s="25"/>
      <c r="F176" s="23">
        <v>43921</v>
      </c>
      <c r="I176" s="31"/>
      <c r="J176" s="24"/>
      <c r="K176" s="9">
        <v>4892.3527999999997</v>
      </c>
      <c r="L176" s="31">
        <f t="shared" si="71"/>
        <v>9.1798262061139379E-4</v>
      </c>
      <c r="M176" s="25"/>
    </row>
    <row r="177" spans="1:43">
      <c r="A177" s="23">
        <v>43951</v>
      </c>
      <c r="B177" s="25">
        <v>18917.93</v>
      </c>
      <c r="C177" s="31">
        <f t="shared" ref="C177:C178" si="72">(B177/B176-1)/(A177-A176)*30</f>
        <v>4.8443129828124043E-4</v>
      </c>
      <c r="D177" s="25"/>
      <c r="F177" s="23">
        <v>43951</v>
      </c>
      <c r="I177" s="31"/>
      <c r="J177" s="24"/>
      <c r="K177" s="9">
        <v>4903.1163999999999</v>
      </c>
      <c r="L177" s="31">
        <f t="shared" ref="L177:L178" si="73">+(K177/K176-1)/(F177-F176)*30</f>
        <v>2.2000866331635116E-3</v>
      </c>
      <c r="M177" s="25"/>
    </row>
    <row r="178" spans="1:43">
      <c r="A178" s="23">
        <v>43982</v>
      </c>
      <c r="B178" s="25">
        <v>18925.240000000002</v>
      </c>
      <c r="C178" s="31">
        <f t="shared" si="72"/>
        <v>3.739412054273234E-4</v>
      </c>
      <c r="D178" s="25"/>
      <c r="F178" s="23">
        <v>43982</v>
      </c>
      <c r="I178" s="31"/>
      <c r="J178" s="24"/>
      <c r="K178" s="9">
        <v>4903.9022500000001</v>
      </c>
      <c r="L178" s="31">
        <f t="shared" si="73"/>
        <v>1.5510543457630094E-4</v>
      </c>
      <c r="M178" s="25"/>
      <c r="AD178" s="62"/>
      <c r="AE178" s="62"/>
      <c r="AF178" s="62"/>
      <c r="AG178" s="62"/>
      <c r="AH178" s="62"/>
      <c r="AI178" s="62"/>
      <c r="AJ178" s="62"/>
      <c r="AK178" s="62"/>
      <c r="AL178" s="62"/>
      <c r="AM178" s="62"/>
      <c r="AN178" s="62"/>
      <c r="AO178" s="62"/>
      <c r="AP178" s="62"/>
      <c r="AQ178" s="62"/>
    </row>
    <row r="179" spans="1:43">
      <c r="A179" s="23">
        <v>44012</v>
      </c>
      <c r="B179" s="25">
        <v>18932.63</v>
      </c>
      <c r="C179" s="31">
        <f t="shared" ref="C179:C180" si="74">(B179/B178-1)/(A179-A178)*30</f>
        <v>3.904838194919158E-4</v>
      </c>
      <c r="D179" s="25"/>
      <c r="F179" s="23">
        <v>44012</v>
      </c>
      <c r="I179" s="31"/>
      <c r="J179" s="24"/>
      <c r="K179" s="9">
        <v>4904.6881000000003</v>
      </c>
      <c r="L179" s="31">
        <f t="shared" ref="L179:L180" si="75">+(K179/K178-1)/(F179-F178)*30</f>
        <v>1.6024993157248701E-4</v>
      </c>
      <c r="M179" s="25"/>
    </row>
    <row r="180" spans="1:43">
      <c r="A180" s="23">
        <v>44043</v>
      </c>
      <c r="B180" s="9">
        <v>18940.740000000002</v>
      </c>
      <c r="C180" s="31">
        <f t="shared" si="74"/>
        <v>4.1454288689821064E-4</v>
      </c>
      <c r="D180" s="25"/>
      <c r="F180" s="23">
        <v>44043</v>
      </c>
      <c r="I180" s="31"/>
      <c r="J180" s="24"/>
      <c r="K180" s="9">
        <v>4905.1791000000003</v>
      </c>
      <c r="L180" s="31">
        <f t="shared" si="75"/>
        <v>9.6879002422644068E-5</v>
      </c>
      <c r="M180" s="25"/>
    </row>
    <row r="181" spans="1:43">
      <c r="A181" s="23">
        <v>44074</v>
      </c>
      <c r="B181" s="9">
        <v>18948.689999999999</v>
      </c>
      <c r="C181" s="31">
        <f t="shared" ref="C181:C218" si="76">(B181/B180-1)/(A181-A180)*30</f>
        <v>4.0619048606831625E-4</v>
      </c>
      <c r="D181" s="25"/>
      <c r="F181" s="23">
        <v>44074</v>
      </c>
      <c r="I181" s="31"/>
      <c r="J181" s="24"/>
      <c r="K181" s="9">
        <v>4906.1183000000001</v>
      </c>
      <c r="L181" s="31">
        <f t="shared" ref="L181:L191" si="77">+(K181/K180-1)/(F181-F180)*30</f>
        <v>1.8529460541132214E-4</v>
      </c>
      <c r="M181" s="25"/>
    </row>
    <row r="182" spans="1:43">
      <c r="A182" s="23">
        <v>44104</v>
      </c>
      <c r="B182" s="9">
        <v>18956.169999999998</v>
      </c>
      <c r="C182" s="31">
        <f t="shared" si="76"/>
        <v>3.9475024394830527E-4</v>
      </c>
      <c r="D182" s="25"/>
      <c r="F182" s="23">
        <v>44104</v>
      </c>
      <c r="I182" s="31"/>
      <c r="J182" s="24"/>
      <c r="K182" s="9">
        <v>4906.4660000000003</v>
      </c>
      <c r="L182" s="31">
        <f t="shared" si="77"/>
        <v>7.0870692213009789E-5</v>
      </c>
      <c r="M182" s="25"/>
    </row>
    <row r="183" spans="1:43">
      <c r="A183" s="23">
        <v>44135</v>
      </c>
      <c r="B183" s="9">
        <v>18963.23</v>
      </c>
      <c r="C183" s="31">
        <f t="shared" si="76"/>
        <v>3.6042397090336884E-4</v>
      </c>
      <c r="D183" s="25"/>
      <c r="F183" s="23">
        <v>44135</v>
      </c>
      <c r="I183" s="31"/>
      <c r="J183" s="24"/>
      <c r="K183" s="9">
        <v>4906.7963</v>
      </c>
      <c r="L183" s="31">
        <f t="shared" si="77"/>
        <v>6.5147737962569353E-5</v>
      </c>
      <c r="M183" s="25"/>
    </row>
    <row r="184" spans="1:43">
      <c r="A184" s="23">
        <v>44165</v>
      </c>
      <c r="B184" s="9">
        <v>18969.48</v>
      </c>
      <c r="C184" s="31">
        <f t="shared" si="76"/>
        <v>3.2958520252091006E-4</v>
      </c>
      <c r="D184" s="25"/>
      <c r="F184" s="23">
        <v>44165</v>
      </c>
      <c r="I184" s="31"/>
      <c r="J184" s="24"/>
      <c r="K184" s="9">
        <v>4907.0953</v>
      </c>
      <c r="L184" s="31">
        <f t="shared" si="77"/>
        <v>6.0935890083824162E-5</v>
      </c>
      <c r="M184" s="25"/>
    </row>
    <row r="185" spans="1:43">
      <c r="A185" s="23">
        <v>44196</v>
      </c>
      <c r="B185" s="9">
        <v>18976.88</v>
      </c>
      <c r="C185" s="31">
        <f t="shared" si="76"/>
        <v>3.7751642757640868E-4</v>
      </c>
      <c r="D185" s="25"/>
      <c r="F185" s="23">
        <v>44196</v>
      </c>
      <c r="I185" s="31"/>
      <c r="J185" s="24"/>
      <c r="K185" s="9">
        <v>4907.3927999999996</v>
      </c>
      <c r="L185" s="31">
        <f t="shared" si="77"/>
        <v>5.8670803847292406E-5</v>
      </c>
      <c r="M185" s="25"/>
    </row>
    <row r="186" spans="1:43">
      <c r="A186" s="23">
        <v>44246</v>
      </c>
      <c r="B186" s="9">
        <v>18982.04</v>
      </c>
      <c r="C186" s="31">
        <f t="shared" si="76"/>
        <v>1.6314589121071421E-4</v>
      </c>
      <c r="D186" s="25">
        <v>100</v>
      </c>
      <c r="F186" s="23">
        <v>44246</v>
      </c>
      <c r="I186" s="31"/>
      <c r="J186" s="24"/>
      <c r="K186" s="9">
        <v>4907.6377000000002</v>
      </c>
      <c r="L186" s="31">
        <f t="shared" si="77"/>
        <v>2.9942579693287288E-5</v>
      </c>
      <c r="M186" s="25"/>
    </row>
    <row r="187" spans="1:43">
      <c r="A187" s="23">
        <v>44255</v>
      </c>
      <c r="B187" s="9">
        <v>18986.580000000002</v>
      </c>
      <c r="C187" s="31">
        <f>(B187/B186-1)/(A187-A186)*11</f>
        <v>2.9232310588802847E-4</v>
      </c>
      <c r="D187" s="25">
        <f t="shared" ref="D187:D195" si="78">+D186*(1+C187)</f>
        <v>100.0292323105888</v>
      </c>
      <c r="F187" s="23">
        <v>44255</v>
      </c>
      <c r="I187" s="31"/>
      <c r="J187" s="24"/>
      <c r="K187" s="9">
        <v>4907.9052000000001</v>
      </c>
      <c r="L187" s="31">
        <f>+(K187/K186-1)/(F187-F186)*11</f>
        <v>6.6619515218925405E-5</v>
      </c>
      <c r="M187" s="25">
        <v>100</v>
      </c>
      <c r="Q187" s="23"/>
    </row>
    <row r="188" spans="1:43">
      <c r="A188" s="23">
        <v>44286</v>
      </c>
      <c r="B188" s="25">
        <v>18991.5</v>
      </c>
      <c r="C188" s="31">
        <f t="shared" si="76"/>
        <v>2.5077135126901301E-4</v>
      </c>
      <c r="D188" s="25">
        <f t="shared" si="78"/>
        <v>100.05431677634172</v>
      </c>
      <c r="F188" s="23">
        <v>44286</v>
      </c>
      <c r="I188" s="31"/>
      <c r="J188" s="24"/>
      <c r="K188" s="9">
        <v>4908.1704</v>
      </c>
      <c r="L188" s="31">
        <f t="shared" si="77"/>
        <v>5.229220020180354E-5</v>
      </c>
      <c r="M188" s="25">
        <f t="shared" ref="M188:M202" si="79">+M187*(1+L188)</f>
        <v>100.00522922002017</v>
      </c>
      <c r="Q188" s="23"/>
      <c r="R188" s="71"/>
    </row>
    <row r="189" spans="1:43">
      <c r="A189" s="23">
        <v>44316</v>
      </c>
      <c r="B189" s="9">
        <v>18997.09</v>
      </c>
      <c r="C189" s="31">
        <f t="shared" si="76"/>
        <v>2.943422057235523E-4</v>
      </c>
      <c r="D189" s="25">
        <f t="shared" si="78"/>
        <v>100.08376698463384</v>
      </c>
      <c r="F189" s="23">
        <v>44316</v>
      </c>
      <c r="I189" s="31"/>
      <c r="J189" s="24"/>
      <c r="K189" s="9">
        <v>4908.4956000000002</v>
      </c>
      <c r="L189" s="31">
        <f t="shared" si="77"/>
        <v>6.6256868343383957E-5</v>
      </c>
      <c r="M189" s="25">
        <f t="shared" si="79"/>
        <v>100.01185525332625</v>
      </c>
      <c r="Q189" s="72"/>
    </row>
    <row r="190" spans="1:43">
      <c r="A190" s="23">
        <v>44347</v>
      </c>
      <c r="B190" s="9">
        <v>19001.7</v>
      </c>
      <c r="C190" s="31">
        <f t="shared" si="76"/>
        <v>2.3484072153063233E-4</v>
      </c>
      <c r="D190" s="25">
        <f t="shared" si="78"/>
        <v>100.10727072868602</v>
      </c>
      <c r="F190" s="23">
        <v>44347</v>
      </c>
      <c r="I190" s="31"/>
      <c r="J190" s="24"/>
      <c r="K190" s="9">
        <v>4908.7905000000001</v>
      </c>
      <c r="L190" s="31">
        <f t="shared" si="77"/>
        <v>5.8141459223029576E-5</v>
      </c>
      <c r="M190" s="25">
        <v>100</v>
      </c>
      <c r="Q190" s="72"/>
    </row>
    <row r="191" spans="1:43">
      <c r="A191" s="23">
        <v>44377</v>
      </c>
      <c r="B191" s="9">
        <v>19006.88</v>
      </c>
      <c r="C191" s="31">
        <f t="shared" si="76"/>
        <v>2.7260718777788462E-4</v>
      </c>
      <c r="D191" s="25">
        <f t="shared" si="78"/>
        <v>100.13456069023549</v>
      </c>
      <c r="F191" s="23">
        <v>44377</v>
      </c>
      <c r="I191" s="31"/>
      <c r="J191" s="24"/>
      <c r="K191" s="9">
        <v>4909.0847000000003</v>
      </c>
      <c r="L191" s="31">
        <f t="shared" si="77"/>
        <v>5.9933297214431747E-5</v>
      </c>
      <c r="M191" s="25">
        <f t="shared" si="79"/>
        <v>100.00599332972145</v>
      </c>
    </row>
    <row r="192" spans="1:43">
      <c r="A192" s="23">
        <v>44408</v>
      </c>
      <c r="B192" s="9">
        <v>19016.419999999998</v>
      </c>
      <c r="C192" s="31">
        <f t="shared" si="76"/>
        <v>4.8573243291442333E-4</v>
      </c>
      <c r="D192" s="25">
        <f t="shared" si="78"/>
        <v>100.18319929401837</v>
      </c>
      <c r="F192" s="23">
        <v>44408</v>
      </c>
      <c r="I192" s="31"/>
      <c r="J192" s="24"/>
      <c r="K192" s="9">
        <v>4909.3885</v>
      </c>
      <c r="L192" s="31">
        <f t="shared" ref="L192:L202" si="80">+(K192/K191-1)/(F192-F191)*30</f>
        <v>5.9888964637381502E-5</v>
      </c>
      <c r="M192" s="25">
        <f t="shared" si="79"/>
        <v>100.01198258511951</v>
      </c>
    </row>
    <row r="193" spans="1:13">
      <c r="A193" s="23">
        <v>44439</v>
      </c>
      <c r="B193" s="9">
        <v>19028.38</v>
      </c>
      <c r="C193" s="31">
        <f t="shared" si="76"/>
        <v>6.0864208659629974E-4</v>
      </c>
      <c r="D193" s="25">
        <f t="shared" si="78"/>
        <v>100.24417500547857</v>
      </c>
      <c r="F193" s="23">
        <v>44439</v>
      </c>
      <c r="I193" s="31"/>
      <c r="J193" s="24"/>
      <c r="K193" s="9">
        <v>4909.6931000000004</v>
      </c>
      <c r="L193" s="31">
        <f t="shared" si="80"/>
        <v>6.0042955155997608E-5</v>
      </c>
      <c r="M193" s="25">
        <f t="shared" si="79"/>
        <v>100.01798760010493</v>
      </c>
    </row>
    <row r="194" spans="1:13">
      <c r="A194" s="23">
        <v>44469</v>
      </c>
      <c r="B194" s="9">
        <v>19052.12</v>
      </c>
      <c r="C194" s="31">
        <f t="shared" si="76"/>
        <v>1.2476101486305069E-3</v>
      </c>
      <c r="D194" s="25">
        <f t="shared" si="78"/>
        <v>100.3692406555565</v>
      </c>
      <c r="F194" s="23">
        <v>44469</v>
      </c>
      <c r="I194" s="31"/>
      <c r="J194" s="24"/>
      <c r="K194" s="24">
        <v>4909.1148999999996</v>
      </c>
      <c r="L194" s="31">
        <f t="shared" si="80"/>
        <v>-1.177670351739657E-4</v>
      </c>
      <c r="M194" s="25">
        <f t="shared" si="79"/>
        <v>100.0062087782412</v>
      </c>
    </row>
    <row r="195" spans="1:13">
      <c r="A195" s="23">
        <v>44500</v>
      </c>
      <c r="B195" s="9">
        <v>19091.59</v>
      </c>
      <c r="C195" s="31">
        <f t="shared" si="76"/>
        <v>2.0048568974764544E-3</v>
      </c>
      <c r="D195" s="25">
        <f t="shared" si="78"/>
        <v>100.57046661997926</v>
      </c>
      <c r="F195" s="23">
        <v>44500</v>
      </c>
      <c r="I195" s="31"/>
      <c r="J195" s="24"/>
      <c r="K195" s="9">
        <v>4914.1336000000001</v>
      </c>
      <c r="L195" s="31">
        <f t="shared" si="80"/>
        <v>9.8934462740187011E-4</v>
      </c>
      <c r="M195" s="25">
        <f t="shared" si="79"/>
        <v>100.10514938360278</v>
      </c>
    </row>
    <row r="196" spans="1:13">
      <c r="A196" s="23">
        <v>44530</v>
      </c>
      <c r="B196" s="9">
        <v>19132.47</v>
      </c>
      <c r="C196" s="31">
        <f t="shared" si="76"/>
        <v>2.1412569618350918E-3</v>
      </c>
      <c r="D196" s="25">
        <f t="shared" ref="D196:D218" si="81">+D195*(1+C196)</f>
        <v>100.7858138317843</v>
      </c>
      <c r="F196" s="23">
        <v>44530</v>
      </c>
      <c r="I196" s="31"/>
      <c r="J196" s="24"/>
      <c r="K196" s="24">
        <v>4920.3216000000002</v>
      </c>
      <c r="L196" s="31">
        <f t="shared" si="80"/>
        <v>1.2592250239187308E-3</v>
      </c>
      <c r="M196" s="25">
        <f t="shared" si="79"/>
        <v>100.23120429272973</v>
      </c>
    </row>
    <row r="197" spans="1:13">
      <c r="A197" s="23">
        <v>44561</v>
      </c>
      <c r="B197" s="9">
        <v>19193.41</v>
      </c>
      <c r="C197" s="31">
        <f t="shared" si="76"/>
        <v>3.0824140086661892E-3</v>
      </c>
      <c r="D197" s="25">
        <f t="shared" si="81"/>
        <v>101.09647743621422</v>
      </c>
      <c r="F197" s="23">
        <v>44561</v>
      </c>
      <c r="I197" s="31"/>
      <c r="J197" s="24"/>
      <c r="K197" s="9">
        <v>4929.2918</v>
      </c>
      <c r="L197" s="31">
        <f t="shared" si="80"/>
        <v>1.7642827878724863E-3</v>
      </c>
      <c r="M197" s="25">
        <f t="shared" si="79"/>
        <v>100.40804048127113</v>
      </c>
    </row>
    <row r="198" spans="1:13">
      <c r="A198" s="23">
        <v>44592</v>
      </c>
      <c r="B198" s="9">
        <v>19259.349999999999</v>
      </c>
      <c r="C198" s="31">
        <f t="shared" si="76"/>
        <v>3.3247298539344551E-3</v>
      </c>
      <c r="D198" s="25">
        <f t="shared" si="81"/>
        <v>101.43259591287401</v>
      </c>
      <c r="F198" s="23">
        <v>44592</v>
      </c>
      <c r="I198" s="31"/>
      <c r="J198" s="24"/>
      <c r="K198" s="9">
        <v>4941.9683000000005</v>
      </c>
      <c r="L198" s="31">
        <f t="shared" si="80"/>
        <v>2.4887105780919826E-3</v>
      </c>
      <c r="M198" s="25">
        <f t="shared" si="79"/>
        <v>100.65792703374235</v>
      </c>
    </row>
    <row r="199" spans="1:13">
      <c r="A199" s="23">
        <v>44620</v>
      </c>
      <c r="B199" s="25">
        <v>19341.900000000001</v>
      </c>
      <c r="C199" s="31">
        <f t="shared" si="76"/>
        <v>4.5923890770680322E-3</v>
      </c>
      <c r="D199" s="25">
        <f t="shared" si="81"/>
        <v>101.89841385840295</v>
      </c>
      <c r="F199" s="23">
        <v>44620</v>
      </c>
      <c r="I199" s="31"/>
      <c r="J199" s="24"/>
      <c r="K199" s="9">
        <v>4958.2785000000003</v>
      </c>
      <c r="L199" s="31">
        <f t="shared" si="80"/>
        <v>3.5360838485577945E-3</v>
      </c>
      <c r="M199" s="25">
        <f t="shared" si="79"/>
        <v>101.01386190375568</v>
      </c>
    </row>
    <row r="200" spans="1:13">
      <c r="A200" s="23">
        <v>44651</v>
      </c>
      <c r="B200" s="9">
        <v>19435.349999999999</v>
      </c>
      <c r="C200" s="31">
        <f t="shared" si="76"/>
        <v>4.6756256557506544E-3</v>
      </c>
      <c r="D200" s="25">
        <f t="shared" si="81"/>
        <v>102.3748526965196</v>
      </c>
      <c r="F200" s="23">
        <v>44651</v>
      </c>
      <c r="I200" s="31"/>
      <c r="J200" s="24"/>
      <c r="K200" s="9">
        <v>4977.0833000000002</v>
      </c>
      <c r="L200" s="31">
        <f t="shared" si="80"/>
        <v>3.6702644977257191E-3</v>
      </c>
      <c r="M200" s="25">
        <f t="shared" si="79"/>
        <v>101.38460949487921</v>
      </c>
    </row>
    <row r="201" spans="1:13">
      <c r="A201" s="23">
        <v>44681</v>
      </c>
      <c r="B201" s="9">
        <v>19541.32</v>
      </c>
      <c r="C201" s="31">
        <f t="shared" si="76"/>
        <v>5.4524358964465058E-3</v>
      </c>
      <c r="D201" s="25">
        <f t="shared" si="81"/>
        <v>102.93304501825553</v>
      </c>
      <c r="F201" s="23">
        <v>44681</v>
      </c>
      <c r="I201" s="31"/>
      <c r="J201" s="24"/>
      <c r="K201" s="9">
        <v>4999.8365999999996</v>
      </c>
      <c r="L201" s="31">
        <f t="shared" si="80"/>
        <v>4.5716132579094459E-3</v>
      </c>
      <c r="M201" s="25">
        <f t="shared" si="79"/>
        <v>101.84810071979398</v>
      </c>
    </row>
    <row r="202" spans="1:13">
      <c r="A202" s="23">
        <v>44712</v>
      </c>
      <c r="B202" s="9">
        <v>19680.32</v>
      </c>
      <c r="C202" s="31">
        <f t="shared" si="76"/>
        <v>6.8836766928876397E-3</v>
      </c>
      <c r="D202" s="25">
        <f t="shared" si="81"/>
        <v>103.64160282117565</v>
      </c>
      <c r="F202" s="23">
        <v>44735</v>
      </c>
      <c r="I202" s="31"/>
      <c r="J202" s="24"/>
      <c r="K202" s="9">
        <v>5027.3885</v>
      </c>
      <c r="L202" s="31">
        <f t="shared" si="80"/>
        <v>3.0614222695020863E-3</v>
      </c>
      <c r="M202" s="25">
        <f t="shared" si="79"/>
        <v>102.15990076344404</v>
      </c>
    </row>
    <row r="203" spans="1:13">
      <c r="A203" s="23">
        <v>44742</v>
      </c>
      <c r="B203" s="9">
        <v>19825.16</v>
      </c>
      <c r="C203" s="31">
        <f t="shared" si="76"/>
        <v>7.3596364286758744E-3</v>
      </c>
      <c r="D203" s="25">
        <f t="shared" si="81"/>
        <v>104.40436733682473</v>
      </c>
      <c r="F203" s="23">
        <v>44742</v>
      </c>
      <c r="I203" s="31"/>
      <c r="J203" s="24"/>
      <c r="K203" s="24">
        <v>5056.9675999999999</v>
      </c>
      <c r="L203" s="81">
        <f t="shared" ref="L203:L217" si="82">+(K203/K202-1)/(F203-A202)*30</f>
        <v>5.8835914511081722E-3</v>
      </c>
      <c r="M203" s="25">
        <f t="shared" ref="M203:M204" si="83">+M202*(1+L203)</f>
        <v>102.76096788222191</v>
      </c>
    </row>
    <row r="204" spans="1:13">
      <c r="A204" s="23">
        <v>44773</v>
      </c>
      <c r="B204" s="9">
        <v>19975.62</v>
      </c>
      <c r="C204" s="31">
        <f t="shared" si="76"/>
        <v>7.3445284483405222E-3</v>
      </c>
      <c r="D204" s="25">
        <f t="shared" si="81"/>
        <v>105.17116818286102</v>
      </c>
      <c r="F204" s="23">
        <v>44773</v>
      </c>
      <c r="I204" s="31"/>
      <c r="J204" s="24"/>
      <c r="K204" s="9">
        <v>5089.8978999999999</v>
      </c>
      <c r="L204" s="81">
        <f t="shared" si="82"/>
        <v>6.3018066910423788E-3</v>
      </c>
      <c r="M204" s="25">
        <f t="shared" si="83"/>
        <v>103.40854763720007</v>
      </c>
    </row>
    <row r="205" spans="1:13">
      <c r="A205" s="23">
        <v>44804</v>
      </c>
      <c r="B205" s="9">
        <v>20154.919999999998</v>
      </c>
      <c r="C205" s="31">
        <f t="shared" si="76"/>
        <v>8.6863951673217758E-3</v>
      </c>
      <c r="D205" s="25">
        <f t="shared" si="81"/>
        <v>106.0847265099062</v>
      </c>
      <c r="F205" s="23">
        <v>44804</v>
      </c>
      <c r="I205" s="31"/>
      <c r="J205" s="24"/>
      <c r="K205" s="24">
        <v>5125.6822000000002</v>
      </c>
      <c r="L205" s="81">
        <f t="shared" si="82"/>
        <v>6.8036664825705234E-3</v>
      </c>
      <c r="M205" s="25">
        <f t="shared" ref="M205:M217" si="84">+M204*(1+L205)</f>
        <v>104.1121049067706</v>
      </c>
    </row>
    <row r="206" spans="1:13">
      <c r="A206" s="23">
        <v>44834</v>
      </c>
      <c r="B206" s="9">
        <v>20332.28</v>
      </c>
      <c r="C206" s="31">
        <f t="shared" si="76"/>
        <v>8.7998364667287721E-3</v>
      </c>
      <c r="D206" s="25">
        <f t="shared" si="81"/>
        <v>107.01825475481103</v>
      </c>
      <c r="F206" s="23">
        <v>44834</v>
      </c>
      <c r="I206" s="31"/>
      <c r="J206" s="24"/>
      <c r="K206" s="24">
        <v>5163.2829000000002</v>
      </c>
      <c r="L206" s="81">
        <f t="shared" si="82"/>
        <v>7.3357454740365924E-3</v>
      </c>
      <c r="M206" s="25">
        <f t="shared" si="84"/>
        <v>104.87584480913286</v>
      </c>
    </row>
    <row r="207" spans="1:13">
      <c r="A207" s="23">
        <v>44862</v>
      </c>
      <c r="B207" s="9">
        <v>20507.2</v>
      </c>
      <c r="C207" s="31">
        <f t="shared" si="76"/>
        <v>9.2175735192653475E-3</v>
      </c>
      <c r="D207" s="25">
        <f t="shared" si="81"/>
        <v>108.00470338591697</v>
      </c>
      <c r="F207" s="23">
        <v>44862</v>
      </c>
      <c r="I207" s="31"/>
      <c r="J207" s="24"/>
      <c r="K207" s="24">
        <v>5200.6767</v>
      </c>
      <c r="L207" s="81">
        <f t="shared" si="82"/>
        <v>7.7595565631868469E-3</v>
      </c>
      <c r="M207" s="25">
        <f t="shared" si="84"/>
        <v>105.68963485904133</v>
      </c>
    </row>
    <row r="208" spans="1:13">
      <c r="A208" s="23">
        <v>44895</v>
      </c>
      <c r="B208" s="9">
        <v>20719.68</v>
      </c>
      <c r="C208" s="31">
        <f t="shared" si="76"/>
        <v>9.4193081631638812E-3</v>
      </c>
      <c r="D208" s="25">
        <f t="shared" si="81"/>
        <v>109.02203297018004</v>
      </c>
      <c r="F208" s="23">
        <v>44895</v>
      </c>
      <c r="I208" s="31"/>
      <c r="J208" s="24"/>
      <c r="K208" s="9">
        <v>5246.14</v>
      </c>
      <c r="L208" s="81">
        <f t="shared" si="82"/>
        <v>7.9470951784548823E-3</v>
      </c>
      <c r="M208" s="25">
        <f t="shared" si="84"/>
        <v>106.52956044664228</v>
      </c>
    </row>
    <row r="209" spans="1:13">
      <c r="A209" s="23">
        <v>44925</v>
      </c>
      <c r="B209" s="9">
        <v>20914.79</v>
      </c>
      <c r="C209" s="31">
        <f t="shared" si="76"/>
        <v>9.416651222412753E-3</v>
      </c>
      <c r="D209" s="25">
        <f t="shared" si="81"/>
        <v>110.0486554302186</v>
      </c>
      <c r="F209" s="23">
        <v>44925</v>
      </c>
      <c r="I209" s="31"/>
      <c r="J209" s="24"/>
      <c r="K209" s="9">
        <v>5287.7322999999997</v>
      </c>
      <c r="L209" s="81">
        <f t="shared" si="82"/>
        <v>7.9281719511867799E-3</v>
      </c>
      <c r="M209" s="25">
        <f t="shared" si="84"/>
        <v>107.37414511974761</v>
      </c>
    </row>
    <row r="210" spans="1:13">
      <c r="A210" s="23">
        <v>44957</v>
      </c>
      <c r="B210" s="9">
        <v>21124.92</v>
      </c>
      <c r="C210" s="31">
        <f t="shared" si="76"/>
        <v>9.4190223760313996E-3</v>
      </c>
      <c r="D210" s="25">
        <f t="shared" si="81"/>
        <v>111.08520617816799</v>
      </c>
      <c r="F210" s="23">
        <v>44957</v>
      </c>
      <c r="I210" s="31"/>
      <c r="J210" s="24"/>
      <c r="K210" s="9">
        <v>5332.3676999999998</v>
      </c>
      <c r="L210" s="81">
        <f t="shared" si="82"/>
        <v>7.9137303338899789E-3</v>
      </c>
      <c r="M210" s="25">
        <f t="shared" si="84"/>
        <v>108.22387514905728</v>
      </c>
    </row>
    <row r="211" spans="1:13">
      <c r="A211" s="23">
        <v>44985</v>
      </c>
      <c r="B211" s="9">
        <v>21310.51</v>
      </c>
      <c r="C211" s="31">
        <f t="shared" si="76"/>
        <v>9.4128843361976754E-3</v>
      </c>
      <c r="D211" s="25">
        <v>100</v>
      </c>
      <c r="F211" s="23">
        <v>45014</v>
      </c>
      <c r="G211" s="10">
        <v>999.99180000000001</v>
      </c>
      <c r="H211" s="10">
        <v>1000</v>
      </c>
      <c r="I211" s="31">
        <v>0</v>
      </c>
      <c r="J211" s="24">
        <v>100</v>
      </c>
      <c r="K211" s="9">
        <v>5371.7619999999997</v>
      </c>
      <c r="L211" s="81">
        <f t="shared" si="82"/>
        <v>3.8882993956442613E-3</v>
      </c>
      <c r="M211" s="25">
        <v>100</v>
      </c>
    </row>
    <row r="212" spans="1:13">
      <c r="A212" s="23">
        <v>45016</v>
      </c>
      <c r="B212" s="9">
        <v>21517.9</v>
      </c>
      <c r="C212" s="31">
        <f t="shared" si="76"/>
        <v>9.4178881687958082E-3</v>
      </c>
      <c r="D212" s="25">
        <f t="shared" si="81"/>
        <v>100.94178881687958</v>
      </c>
      <c r="F212" s="23">
        <v>45016</v>
      </c>
      <c r="G212" s="10">
        <v>1000.6272</v>
      </c>
      <c r="H212" s="10">
        <f t="shared" ref="H212:H218" si="85">+G212+$S$148+$S$150+$S$152+$S$154+$S$156+$S$158</f>
        <v>1030.0771999999999</v>
      </c>
      <c r="I212" s="31">
        <f>+(H212/H211-1)/(F212-F211)*2</f>
        <v>3.0077200000000026E-2</v>
      </c>
      <c r="J212" s="24">
        <f>+J211*(1+I212)</f>
        <v>103.00772000000001</v>
      </c>
      <c r="K212" s="9">
        <v>5415.8662000000004</v>
      </c>
      <c r="L212" s="81">
        <f t="shared" si="82"/>
        <v>7.9455277190181878E-3</v>
      </c>
      <c r="M212" s="25">
        <f t="shared" si="84"/>
        <v>100.79455277190181</v>
      </c>
    </row>
    <row r="213" spans="1:13">
      <c r="A213" s="23">
        <v>45044</v>
      </c>
      <c r="B213" s="9">
        <v>21706.94</v>
      </c>
      <c r="C213" s="31">
        <f t="shared" si="76"/>
        <v>9.4127613355789383E-3</v>
      </c>
      <c r="D213" s="25">
        <f t="shared" si="81"/>
        <v>101.89192978379928</v>
      </c>
      <c r="F213" s="23">
        <v>45044</v>
      </c>
      <c r="G213" s="10">
        <v>1011.9076</v>
      </c>
      <c r="H213" s="10">
        <f t="shared" si="85"/>
        <v>1041.3576</v>
      </c>
      <c r="I213" s="31">
        <f t="shared" ref="I213:I217" si="86">+(H213/H212-1)/(F213-F212)*30</f>
        <v>1.1733239855365134E-2</v>
      </c>
      <c r="J213" s="24">
        <f t="shared" ref="J213:J217" si="87">+J212*(1+I213)</f>
        <v>104.2163342857143</v>
      </c>
      <c r="K213" s="9">
        <v>5456.2587000000003</v>
      </c>
      <c r="L213" s="81">
        <f t="shared" si="82"/>
        <v>7.9909061585437761E-3</v>
      </c>
      <c r="M213" s="25">
        <f t="shared" si="84"/>
        <v>101.59999258439446</v>
      </c>
    </row>
    <row r="214" spans="1:13">
      <c r="A214" s="23">
        <v>45077</v>
      </c>
      <c r="B214" s="9">
        <v>21931.86</v>
      </c>
      <c r="C214" s="31">
        <f t="shared" si="76"/>
        <v>9.4196937602779168E-3</v>
      </c>
      <c r="D214" s="25">
        <f t="shared" si="81"/>
        <v>102.85172055900642</v>
      </c>
      <c r="F214" s="23">
        <v>45077</v>
      </c>
      <c r="G214" s="10">
        <v>1023.5977</v>
      </c>
      <c r="H214" s="10">
        <f t="shared" si="85"/>
        <v>1053.0477000000001</v>
      </c>
      <c r="I214" s="31">
        <f t="shared" si="86"/>
        <v>1.0205297043363138E-2</v>
      </c>
      <c r="J214" s="24">
        <f t="shared" si="87"/>
        <v>105.27989293387043</v>
      </c>
      <c r="K214" s="24">
        <v>5504.4106000000002</v>
      </c>
      <c r="L214" s="81">
        <f t="shared" si="82"/>
        <v>8.0227967463225077E-3</v>
      </c>
      <c r="M214" s="25">
        <f t="shared" si="84"/>
        <v>102.41510867432692</v>
      </c>
    </row>
    <row r="215" spans="1:13">
      <c r="A215" s="23">
        <v>45107</v>
      </c>
      <c r="B215" s="9">
        <v>22138.35</v>
      </c>
      <c r="C215" s="31">
        <f t="shared" si="76"/>
        <v>9.4150701308506335E-3</v>
      </c>
      <c r="D215" s="25">
        <f t="shared" si="81"/>
        <v>103.82007672114813</v>
      </c>
      <c r="F215" s="23">
        <v>45107</v>
      </c>
      <c r="G215" s="10">
        <v>1034.4024999999999</v>
      </c>
      <c r="H215" s="10">
        <f t="shared" si="85"/>
        <v>1063.8525</v>
      </c>
      <c r="I215" s="31">
        <f t="shared" si="86"/>
        <v>1.0260503868912974E-2</v>
      </c>
      <c r="J215" s="24">
        <f t="shared" si="87"/>
        <v>106.36011768263715</v>
      </c>
      <c r="K215" s="9">
        <v>5548.4618</v>
      </c>
      <c r="L215" s="81">
        <f t="shared" si="82"/>
        <v>8.0028913540715063E-3</v>
      </c>
      <c r="M215" s="25">
        <f t="shared" si="84"/>
        <v>103.23472566206298</v>
      </c>
    </row>
    <row r="216" spans="1:13">
      <c r="A216" s="23">
        <v>45138</v>
      </c>
      <c r="B216" s="9">
        <v>22353.79</v>
      </c>
      <c r="C216" s="31">
        <f t="shared" si="76"/>
        <v>9.4176089266204046E-3</v>
      </c>
      <c r="D216" s="25">
        <f t="shared" si="81"/>
        <v>104.79781360243963</v>
      </c>
      <c r="F216" s="23">
        <v>45138</v>
      </c>
      <c r="G216" s="10">
        <v>1045.7868000000001</v>
      </c>
      <c r="H216" s="10">
        <f t="shared" si="85"/>
        <v>1075.2368000000001</v>
      </c>
      <c r="I216" s="31">
        <f t="shared" si="86"/>
        <v>1.0355819548414035E-2</v>
      </c>
      <c r="J216" s="24">
        <f t="shared" si="87"/>
        <v>107.46156386850663</v>
      </c>
      <c r="K216" s="9">
        <v>5593.9840000000004</v>
      </c>
      <c r="L216" s="81">
        <f t="shared" si="82"/>
        <v>7.9398117033956418E-3</v>
      </c>
      <c r="M216" s="25">
        <f t="shared" si="84"/>
        <v>104.05438994507148</v>
      </c>
    </row>
    <row r="217" spans="1:13">
      <c r="A217" s="23">
        <v>45169</v>
      </c>
      <c r="B217" s="9">
        <v>22551.919999999998</v>
      </c>
      <c r="C217" s="31">
        <f t="shared" si="76"/>
        <v>8.5774586625988747E-3</v>
      </c>
      <c r="D217" s="25">
        <f t="shared" si="81"/>
        <v>105.6967125165453</v>
      </c>
      <c r="F217" s="23">
        <v>45169</v>
      </c>
      <c r="G217" s="10">
        <v>1056.2303999999999</v>
      </c>
      <c r="H217" s="10">
        <f t="shared" si="85"/>
        <v>1085.6804</v>
      </c>
      <c r="I217" s="31">
        <f t="shared" si="86"/>
        <v>9.399519880103813E-3</v>
      </c>
      <c r="J217" s="24">
        <f t="shared" si="87"/>
        <v>108.4716509744357</v>
      </c>
      <c r="K217" s="9">
        <v>5636.4775</v>
      </c>
      <c r="L217" s="81">
        <f t="shared" si="82"/>
        <v>7.3512441107239221E-3</v>
      </c>
      <c r="M217" s="25">
        <f t="shared" si="84"/>
        <v>104.81931916635016</v>
      </c>
    </row>
    <row r="218" spans="1:13">
      <c r="A218" s="23">
        <v>45199</v>
      </c>
      <c r="B218" s="9">
        <v>22727.72</v>
      </c>
      <c r="C218" s="31">
        <f t="shared" si="76"/>
        <v>7.7953451413450559E-3</v>
      </c>
      <c r="D218" s="25">
        <f t="shared" si="81"/>
        <v>106.5206548709173</v>
      </c>
      <c r="F218" s="23">
        <v>45199</v>
      </c>
      <c r="G218" s="10">
        <v>1066.2738999999999</v>
      </c>
      <c r="H218" s="10">
        <f t="shared" si="85"/>
        <v>1095.7239</v>
      </c>
      <c r="I218" s="31">
        <f t="shared" ref="I218" si="88">+(H218/H217-1)/(F218-F217)*30</f>
        <v>9.2508808301228207E-3</v>
      </c>
      <c r="J218" s="24">
        <f t="shared" ref="J218" si="89">+J217*(1+I218)</f>
        <v>109.47510929104689</v>
      </c>
      <c r="K218" s="9">
        <v>5674.72</v>
      </c>
      <c r="L218" s="81">
        <f t="shared" ref="L218" si="90">+(K218/K217-1)/(F218-A217)*30</f>
        <v>6.7848226130593492E-3</v>
      </c>
      <c r="M218" s="25">
        <f t="shared" ref="M218" si="91">+M217*(1+L218)</f>
        <v>105.53049965331549</v>
      </c>
    </row>
    <row r="219" spans="1:13">
      <c r="A219" s="23">
        <v>45230</v>
      </c>
      <c r="B219" s="25">
        <v>22920</v>
      </c>
      <c r="C219" s="31">
        <f t="shared" ref="C219:C223" si="92">(B219/B218-1)/(A219-A218)*30</f>
        <v>8.1872453266248948E-3</v>
      </c>
      <c r="D219" s="25">
        <f t="shared" ref="D219:D223" si="93">+D218*(1+C219)</f>
        <v>107.39276560469824</v>
      </c>
      <c r="F219" s="23">
        <v>45230</v>
      </c>
      <c r="G219" s="10">
        <v>1076.1516999999999</v>
      </c>
      <c r="H219" s="10">
        <f t="shared" ref="H219" si="94">+G219+$S$148+$S$150+$S$152+$S$154+$S$156+$S$158</f>
        <v>1105.6016999999999</v>
      </c>
      <c r="I219" s="31">
        <f t="shared" ref="I219" si="95">+(H219/H218-1)/(F219-F218)*30</f>
        <v>8.7240602220345544E-3</v>
      </c>
      <c r="J219" s="24">
        <f t="shared" ref="J219" si="96">+J218*(1+I219)</f>
        <v>110.4301767373158</v>
      </c>
      <c r="K219" s="9">
        <v>5712.6049000000003</v>
      </c>
      <c r="L219" s="81">
        <f t="shared" ref="L219" si="97">+(K219/K218-1)/(F219-A218)*30</f>
        <v>6.4607251902496039E-3</v>
      </c>
      <c r="M219" s="25">
        <f t="shared" ref="M219:M221" si="98">+M218*(1+L219)</f>
        <v>106.21230321076528</v>
      </c>
    </row>
    <row r="220" spans="1:13">
      <c r="A220" s="23">
        <v>45260</v>
      </c>
      <c r="B220" s="9">
        <v>23092.51</v>
      </c>
      <c r="C220" s="31">
        <f t="shared" si="92"/>
        <v>7.5266143106456082E-3</v>
      </c>
      <c r="D220" s="25">
        <f t="shared" si="93"/>
        <v>108.20106953115837</v>
      </c>
      <c r="F220" s="23">
        <v>45260</v>
      </c>
      <c r="G220" s="10">
        <v>1085.4982</v>
      </c>
      <c r="H220" s="10">
        <f t="shared" ref="H220" si="99">+G220+$S$148+$S$150+$S$152+$S$154+$S$156+$S$158</f>
        <v>1114.9482</v>
      </c>
      <c r="I220" s="31">
        <f t="shared" ref="I220" si="100">+(H220/H219-1)/(F220-F219)*30</f>
        <v>8.4537677537943612E-3</v>
      </c>
      <c r="J220" s="24">
        <f t="shared" ref="J220" si="101">+J219*(1+I220)</f>
        <v>111.36372780446354</v>
      </c>
      <c r="K220" s="24">
        <v>5747.8491999999997</v>
      </c>
      <c r="L220" s="31">
        <f t="shared" ref="L220:L221" si="102">+(K220/K219-1)/(F220-F219)*30</f>
        <v>6.1695672319295181E-3</v>
      </c>
      <c r="M220" s="25">
        <f t="shared" si="98"/>
        <v>106.86758715628218</v>
      </c>
    </row>
    <row r="221" spans="1:13">
      <c r="A221" s="23">
        <v>45291</v>
      </c>
      <c r="B221" s="9">
        <v>23256.05</v>
      </c>
      <c r="C221" s="31">
        <f t="shared" si="92"/>
        <v>6.8534999499418742E-3</v>
      </c>
      <c r="D221" s="25">
        <f t="shared" si="93"/>
        <v>108.94262555577382</v>
      </c>
      <c r="F221" s="23">
        <v>45291</v>
      </c>
      <c r="G221" s="10">
        <v>1095.075</v>
      </c>
      <c r="H221" s="10">
        <f t="shared" ref="H221" si="103">+G221+$S$148+$S$150+$S$152+$S$154+$S$156+$S$158</f>
        <v>1124.5250000000001</v>
      </c>
      <c r="I221" s="31">
        <f t="shared" ref="I221" si="104">+(H221/H220-1)/(F221-F220)*30</f>
        <v>8.3123780707857857E-3</v>
      </c>
      <c r="J221" s="24">
        <f t="shared" ref="J221" si="105">+J220*(1+I221)</f>
        <v>112.28942521334633</v>
      </c>
      <c r="K221" s="9">
        <v>5782.92</v>
      </c>
      <c r="L221" s="31">
        <f t="shared" si="102"/>
        <v>5.9047276102804306E-3</v>
      </c>
      <c r="M221" s="25">
        <f t="shared" si="98"/>
        <v>107.49861114880792</v>
      </c>
    </row>
    <row r="222" spans="1:13">
      <c r="A222" s="23">
        <v>45322</v>
      </c>
      <c r="B222" s="9">
        <v>23427.15</v>
      </c>
      <c r="C222" s="31">
        <f t="shared" si="92"/>
        <v>7.11989547499661E-3</v>
      </c>
      <c r="D222" s="25">
        <f t="shared" si="93"/>
        <v>109.71828566250262</v>
      </c>
      <c r="F222" s="23">
        <v>45322</v>
      </c>
      <c r="G222" s="10">
        <v>1104.8758</v>
      </c>
      <c r="H222" s="10">
        <f t="shared" ref="H222" si="106">+G222+$S$148+$S$150+$S$152+$S$154+$S$156+$S$158</f>
        <v>1134.3258000000001</v>
      </c>
      <c r="I222" s="31">
        <f t="shared" ref="I222" si="107">+(H222/H221-1)/(F222-F221)*30</f>
        <v>8.4343568718262436E-3</v>
      </c>
      <c r="J222" s="24">
        <f t="shared" ref="J222" si="108">+J221*(1+I222)</f>
        <v>113.23651429852794</v>
      </c>
      <c r="K222" s="9">
        <v>5816.8769000000002</v>
      </c>
      <c r="L222" s="31">
        <f t="shared" ref="L222" si="109">+(K222/K221-1)/(F222-F221)*30</f>
        <v>5.6825126629855838E-3</v>
      </c>
      <c r="M222" s="25">
        <f t="shared" ref="M222" si="110">+M221*(1+L222)</f>
        <v>108.10947336791439</v>
      </c>
    </row>
    <row r="223" spans="1:13">
      <c r="A223" s="23">
        <v>45351</v>
      </c>
      <c r="B223" s="9">
        <v>23570.34</v>
      </c>
      <c r="C223" s="31">
        <f t="shared" si="92"/>
        <v>6.3229025385885236E-3</v>
      </c>
      <c r="D223" s="25">
        <f t="shared" si="93"/>
        <v>110.41202368944764</v>
      </c>
      <c r="F223" s="23">
        <v>45351</v>
      </c>
      <c r="G223" s="10">
        <v>1112.5842</v>
      </c>
      <c r="H223" s="10">
        <f t="shared" ref="H223:H224" si="111">+G223+$S$148+$S$150+$S$152+$S$154+$S$156+$S$158</f>
        <v>1142.0342000000001</v>
      </c>
      <c r="I223" s="31">
        <f t="shared" ref="I223:I224" si="112">+(H223/H222-1)/(F223-F222)*30</f>
        <v>7.0299087762544076E-3</v>
      </c>
      <c r="J223" s="24">
        <f t="shared" ref="J223:J224" si="113">+J222*(1+I223)</f>
        <v>114.03255666418762</v>
      </c>
      <c r="K223" s="9">
        <v>5846.4552000000003</v>
      </c>
      <c r="L223" s="31">
        <f t="shared" ref="L223:L224" si="114">+(K223/K222-1)/(F223-F222)*30</f>
        <v>5.2602525212990022E-3</v>
      </c>
      <c r="M223" s="25">
        <f t="shared" ref="M223:M224" si="115">+M222*(1+L223)</f>
        <v>108.67815649777427</v>
      </c>
    </row>
    <row r="224" spans="1:13">
      <c r="A224" s="23">
        <v>45379</v>
      </c>
      <c r="B224" s="9">
        <v>23703.45</v>
      </c>
      <c r="C224" s="31">
        <f t="shared" ref="C224" si="116">(B224/B223-1)/(A224-A223)*30</f>
        <v>6.0507339793510117E-3</v>
      </c>
      <c r="D224" s="25">
        <f t="shared" ref="D224" si="117">+D223*(1+C224)</f>
        <v>111.08009747291428</v>
      </c>
      <c r="F224" s="23">
        <v>45379</v>
      </c>
      <c r="G224" s="10">
        <v>1119.7529</v>
      </c>
      <c r="H224" s="10">
        <f t="shared" si="111"/>
        <v>1149.2029</v>
      </c>
      <c r="I224" s="31">
        <f t="shared" si="112"/>
        <v>6.7254991137744025E-3</v>
      </c>
      <c r="J224" s="24">
        <f t="shared" si="113"/>
        <v>114.79948252297405</v>
      </c>
      <c r="K224" s="9">
        <v>5872.4727999999996</v>
      </c>
      <c r="L224" s="31">
        <f t="shared" si="114"/>
        <v>4.7680173791462112E-3</v>
      </c>
      <c r="M224" s="25">
        <f t="shared" si="115"/>
        <v>109.19633583668923</v>
      </c>
    </row>
    <row r="225" spans="1:13">
      <c r="A225" s="23">
        <v>45412</v>
      </c>
      <c r="B225" s="9">
        <v>23847.87</v>
      </c>
      <c r="C225" s="31">
        <f t="shared" ref="C225:C226" si="118">(B225/B224-1)/(A225-A224)*30</f>
        <v>5.5388945107530275E-3</v>
      </c>
      <c r="D225" s="25">
        <f t="shared" ref="D225:D226" si="119">+D224*(1+C225)</f>
        <v>111.69535841506091</v>
      </c>
      <c r="F225" s="23">
        <v>45412</v>
      </c>
      <c r="G225" s="10">
        <v>1127.4794999999999</v>
      </c>
      <c r="H225" s="10">
        <f t="shared" ref="H225" si="120">+G225+$S$148+$S$150+$S$152+$S$154+$S$156+$S$158</f>
        <v>1156.9295</v>
      </c>
      <c r="I225" s="31">
        <f t="shared" ref="I225" si="121">+(H225/H224-1)/(F225-F224)*30</f>
        <v>6.1122207559532512E-3</v>
      </c>
      <c r="J225" s="24">
        <f t="shared" ref="J225" si="122">+J224*(1+I225)</f>
        <v>115.50116230282366</v>
      </c>
      <c r="K225" s="9">
        <v>5900.1916000000001</v>
      </c>
      <c r="L225" s="31">
        <f t="shared" ref="L225" si="123">+(K225/K224-1)/(F225-F224)*30</f>
        <v>4.2910218487362591E-3</v>
      </c>
      <c r="M225" s="25">
        <f t="shared" ref="M225" si="124">+M224*(1+L225)</f>
        <v>109.6648996995664</v>
      </c>
    </row>
    <row r="226" spans="1:13">
      <c r="A226" s="23">
        <v>45443</v>
      </c>
      <c r="B226" s="9">
        <v>23979.37</v>
      </c>
      <c r="C226" s="31">
        <f t="shared" si="118"/>
        <v>5.3362444745013744E-3</v>
      </c>
      <c r="D226" s="25">
        <f t="shared" si="119"/>
        <v>112.29139215423072</v>
      </c>
      <c r="F226" s="23">
        <v>45443</v>
      </c>
      <c r="G226" s="10">
        <v>1135.0306</v>
      </c>
      <c r="H226" s="10">
        <f t="shared" ref="H226" si="125">+G226+$S$148+$S$150+$S$152+$S$154+$S$156+$S$158</f>
        <v>1164.4806000000001</v>
      </c>
      <c r="I226" s="31">
        <f t="shared" ref="I226" si="126">+(H226/H225-1)/(F226-F225)*30</f>
        <v>6.3163020123804545E-3</v>
      </c>
      <c r="J226" s="24">
        <f t="shared" ref="J226" si="127">+J225*(1+I226)</f>
        <v>116.23070252670927</v>
      </c>
      <c r="K226" s="9">
        <v>5924.7824000000001</v>
      </c>
      <c r="L226" s="31">
        <f t="shared" ref="L226" si="128">+(K226/K225-1)/(F226-F225)*30</f>
        <v>4.0333517960835794E-3</v>
      </c>
      <c r="M226" s="25">
        <f t="shared" ref="M226" si="129">+M225*(1+L226)</f>
        <v>110.10721681973698</v>
      </c>
    </row>
    <row r="227" spans="1:13">
      <c r="A227" s="23">
        <v>45473</v>
      </c>
      <c r="B227" s="25">
        <v>24090</v>
      </c>
      <c r="C227" s="31">
        <f t="shared" ref="C227" si="130">(B227/B226-1)/(A227-A226)*30</f>
        <v>4.6135490632155385E-3</v>
      </c>
      <c r="D227" s="25">
        <f t="shared" ref="D227" si="131">+D226*(1+C227)</f>
        <v>112.80945400131104</v>
      </c>
      <c r="F227" s="23">
        <v>45473</v>
      </c>
      <c r="G227" s="10">
        <v>1141.9199000000001</v>
      </c>
      <c r="H227" s="10">
        <f t="shared" ref="H227" si="132">+G227+$S$148+$S$150+$S$152+$S$154+$S$156+$S$158</f>
        <v>1171.3699000000001</v>
      </c>
      <c r="I227" s="31">
        <f t="shared" ref="I227" si="133">+(H227/H226-1)/(F227-F226)*30</f>
        <v>5.9161998920378434E-3</v>
      </c>
      <c r="J227" s="24">
        <f t="shared" ref="J227" si="134">+J226*(1+I227)</f>
        <v>116.91834659644927</v>
      </c>
      <c r="K227" s="9">
        <v>5946.4089999999997</v>
      </c>
      <c r="L227" s="31">
        <f t="shared" ref="L227" si="135">+(K227/K226-1)/(F227-F226)*30</f>
        <v>3.6501931277677091E-3</v>
      </c>
      <c r="M227" s="25">
        <f t="shared" ref="M227" si="136">+M226*(1+L227)</f>
        <v>110.50912942589001</v>
      </c>
    </row>
    <row r="228" spans="1:13">
      <c r="A228" s="23">
        <v>45504</v>
      </c>
      <c r="B228" s="9">
        <v>24217.3</v>
      </c>
      <c r="C228" s="31">
        <f t="shared" ref="C228" si="137">(B228/B227-1)/(A228-A227)*30</f>
        <v>5.1138874382356155E-3</v>
      </c>
      <c r="D228" s="25">
        <f t="shared" ref="D228" si="138">+D227*(1+C228)</f>
        <v>113.38634885104257</v>
      </c>
      <c r="F228" s="23">
        <v>45504</v>
      </c>
      <c r="G228" s="10">
        <v>1148.2775999999999</v>
      </c>
      <c r="H228" s="10">
        <f t="shared" ref="H228" si="139">+G228+$S$148+$S$150+$S$152+$S$154+$S$156+$S$158</f>
        <v>1177.7275999999999</v>
      </c>
      <c r="I228" s="31">
        <f t="shared" ref="I228" si="140">+(H228/H227-1)/(F228-F227)*30</f>
        <v>5.2524936002074085E-3</v>
      </c>
      <c r="J228" s="24">
        <f t="shared" ref="J228" si="141">+J227*(1+I228)</f>
        <v>117.53245946369395</v>
      </c>
      <c r="K228" s="9">
        <v>5968.0190000000002</v>
      </c>
      <c r="L228" s="31">
        <f t="shared" ref="L228" si="142">+(K228/K227-1)/(F228-F227)*30</f>
        <v>3.516896201691893E-3</v>
      </c>
      <c r="M228" s="25">
        <f t="shared" ref="M228" si="143">+M227*(1+L228)</f>
        <v>110.89777856342019</v>
      </c>
    </row>
    <row r="229" spans="1:13">
      <c r="A229" s="23">
        <v>45535</v>
      </c>
      <c r="B229" s="9">
        <v>24333.599999999999</v>
      </c>
      <c r="C229" s="31">
        <f t="shared" ref="C229" si="144">(B229/B228-1)/(A229-A228)*30</f>
        <v>4.6474374557349948E-3</v>
      </c>
      <c r="D229" s="25">
        <f t="shared" ref="D229" si="145">+D228*(1+C229)</f>
        <v>113.91330481566195</v>
      </c>
      <c r="F229" s="23">
        <v>45535</v>
      </c>
      <c r="G229" s="10">
        <v>1154.7073</v>
      </c>
      <c r="H229" s="10">
        <f t="shared" ref="H229" si="146">+G229+$S$148+$S$150+$S$152+$S$154+$S$156+$S$158</f>
        <v>1184.1573000000001</v>
      </c>
      <c r="I229" s="31">
        <f t="shared" ref="I229" si="147">+(H229/H228-1)/(F229-F228)*30</f>
        <v>5.2833017775764171E-3</v>
      </c>
      <c r="J229" s="24">
        <f t="shared" ref="J229" si="148">+J228*(1+I229)</f>
        <v>118.15341891570141</v>
      </c>
      <c r="K229" s="9">
        <v>5989.6689999999999</v>
      </c>
      <c r="L229" s="31">
        <f t="shared" ref="L229" si="149">+(K229/K228-1)/(F229-F228)*30</f>
        <v>3.5106478218695273E-3</v>
      </c>
      <c r="M229" s="25">
        <f t="shared" ref="M229" si="150">+M228*(1+L229)</f>
        <v>111.28710160818405</v>
      </c>
    </row>
    <row r="230" spans="1:13">
      <c r="A230" s="23">
        <v>45565</v>
      </c>
      <c r="B230" s="9">
        <v>24449.94</v>
      </c>
      <c r="C230" s="31">
        <f t="shared" ref="C230" si="151">(B230/B229-1)/(A230-A229)*30</f>
        <v>4.7810434954138614E-3</v>
      </c>
      <c r="D230" s="25">
        <f t="shared" ref="D230" si="152">+D229*(1+C230)</f>
        <v>114.45792928069196</v>
      </c>
      <c r="F230" s="23">
        <v>45565</v>
      </c>
      <c r="G230" s="10">
        <v>1160.5940000000001</v>
      </c>
      <c r="H230" s="10">
        <f t="shared" ref="H230" si="153">+G230+$S$148+$S$150+$S$152+$S$154+$S$156+$S$158</f>
        <v>1190.0440000000001</v>
      </c>
      <c r="I230" s="31">
        <f t="shared" ref="I230" si="154">+(H230/H229-1)/(F230-F229)*30</f>
        <v>4.9712145506344285E-3</v>
      </c>
      <c r="J230" s="24">
        <f t="shared" ref="J230" si="155">+J229*(1+I230)</f>
        <v>118.74078491102235</v>
      </c>
      <c r="K230" s="9">
        <v>6009.8868000000002</v>
      </c>
      <c r="L230" s="31">
        <f t="shared" ref="L230" si="156">+(K230/K229-1)/(F230-F229)*30</f>
        <v>3.3754452875442986E-3</v>
      </c>
      <c r="M230" s="25">
        <f t="shared" ref="M230" si="157">+M229*(1+L230)</f>
        <v>111.66274513087185</v>
      </c>
    </row>
    <row r="231" spans="1:13">
      <c r="A231" s="23">
        <v>45596</v>
      </c>
      <c r="B231" s="9">
        <v>24560.22</v>
      </c>
      <c r="C231" s="31">
        <f t="shared" ref="C231" si="158">(B231/B230-1)/(A231-A230)*30</f>
        <v>4.3649424352436789E-3</v>
      </c>
      <c r="D231" s="25">
        <f t="shared" ref="D231" si="159">+D230*(1+C231)</f>
        <v>114.95753155325937</v>
      </c>
      <c r="F231" s="23">
        <v>45596</v>
      </c>
      <c r="G231" s="10">
        <v>1166.1141</v>
      </c>
      <c r="H231" s="10">
        <f t="shared" ref="H231" si="160">+G231+$S$148+$S$150+$S$152+$S$154+$S$156+$S$158</f>
        <v>1195.5641000000001</v>
      </c>
      <c r="I231" s="31">
        <f t="shared" ref="I231" si="161">+(H231/H230-1)/(F231-F230)*30</f>
        <v>4.4889367603756329E-3</v>
      </c>
      <c r="J231" s="24">
        <f t="shared" ref="J231" si="162">+J230*(1+I231)</f>
        <v>119.27380478536527</v>
      </c>
      <c r="K231" s="9">
        <v>6030.3854000000001</v>
      </c>
      <c r="L231" s="31">
        <f t="shared" ref="L231" si="163">+(K231/K230-1)/(F231-F230)*30</f>
        <v>3.3007867700120667E-3</v>
      </c>
      <c r="M231" s="25">
        <f t="shared" ref="M231" si="164">+M230*(1+L231)</f>
        <v>112.03132004270307</v>
      </c>
    </row>
    <row r="232" spans="1:13">
      <c r="A232" s="23">
        <v>45626</v>
      </c>
      <c r="B232" s="9">
        <v>24667.9</v>
      </c>
      <c r="C232" s="31">
        <f t="shared" ref="C232" si="165">(B232/B231-1)/(A232-A231)*30</f>
        <v>4.3843255475723986E-3</v>
      </c>
      <c r="D232" s="25">
        <f t="shared" ref="D232" si="166">+D231*(1+C232)</f>
        <v>115.46154279573419</v>
      </c>
      <c r="F232" s="23">
        <v>45626</v>
      </c>
      <c r="G232" s="10">
        <v>1142.0237999999999</v>
      </c>
      <c r="H232" s="10">
        <f t="shared" ref="H232:H238" si="167">+G232+$S$148+$S$150+$S$152+$S$154+$S$156+$S$158+$S$160</f>
        <v>1200.9188480820058</v>
      </c>
      <c r="I232" s="31">
        <f t="shared" ref="I232" si="168">+(H232/H231-1)/(F232-F231)*30</f>
        <v>4.4788464976539544E-3</v>
      </c>
      <c r="J232" s="24">
        <f t="shared" ref="J232" si="169">+J231*(1+I232)</f>
        <v>119.80801384819007</v>
      </c>
      <c r="K232" s="9">
        <v>6049.8055000000004</v>
      </c>
      <c r="L232" s="31">
        <f t="shared" ref="L232" si="170">+(K232/K231-1)/(F232-F231)*30</f>
        <v>3.220374604913312E-3</v>
      </c>
      <c r="M232" s="25">
        <f t="shared" ref="M232" si="171">+M231*(1+L232)</f>
        <v>112.39210286072351</v>
      </c>
    </row>
    <row r="233" spans="1:13">
      <c r="A233" s="23">
        <v>45657</v>
      </c>
      <c r="B233" s="9">
        <v>24777.58</v>
      </c>
      <c r="C233" s="31">
        <f t="shared" ref="C233" si="172">(B233/B232-1)/(A233-A232)*30</f>
        <v>4.3028362967205188E-3</v>
      </c>
      <c r="D233" s="25">
        <f t="shared" ref="D233" si="173">+D232*(1+C233)</f>
        <v>115.95835491295102</v>
      </c>
      <c r="F233" s="23">
        <v>45657</v>
      </c>
      <c r="G233" s="10">
        <v>1146.7136</v>
      </c>
      <c r="H233" s="10">
        <f t="shared" si="167"/>
        <v>1205.6086480820059</v>
      </c>
      <c r="I233" s="31">
        <f t="shared" ref="I233" si="174">+(H233/H232-1)/(F233-F232)*30</f>
        <v>3.7792030129936835E-3</v>
      </c>
      <c r="J233" s="24">
        <f t="shared" ref="J233" si="175">+J232*(1+I233)</f>
        <v>120.26079265510594</v>
      </c>
      <c r="K233" s="9">
        <v>6069.3455000000004</v>
      </c>
      <c r="L233" s="31">
        <f t="shared" ref="L233" si="176">+(K233/K232-1)/(F233-F232)*30</f>
        <v>3.1256670019151563E-3</v>
      </c>
      <c r="M233" s="25">
        <f t="shared" ref="M233" si="177">+M232*(1+L233)</f>
        <v>112.74340314791112</v>
      </c>
    </row>
    <row r="234" spans="1:13">
      <c r="A234" s="23">
        <v>45688</v>
      </c>
      <c r="B234" s="9">
        <v>24887.95</v>
      </c>
      <c r="C234" s="31">
        <f t="shared" ref="C234" si="178">(B234/B233-1)/(A234-A233)*30</f>
        <v>4.3107388784278181E-3</v>
      </c>
      <c r="D234" s="25">
        <f t="shared" ref="D234" si="179">+D233*(1+C234)</f>
        <v>116.45822110175281</v>
      </c>
      <c r="F234" s="23">
        <v>45688</v>
      </c>
      <c r="G234" s="10">
        <v>1151.8456000000001</v>
      </c>
      <c r="H234" s="10">
        <f t="shared" si="167"/>
        <v>1210.7406480820059</v>
      </c>
      <c r="I234" s="31">
        <f t="shared" ref="I234" si="180">+(H234/H233-1)/(F234-F233)*30</f>
        <v>4.1194558622354776E-3</v>
      </c>
      <c r="J234" s="24">
        <f t="shared" ref="J234" si="181">+J233*(1+I234)</f>
        <v>120.75620168240611</v>
      </c>
      <c r="K234" s="9">
        <v>6087.6761999999999</v>
      </c>
      <c r="L234" s="31">
        <f t="shared" ref="L234" si="182">+(K234/K233-1)/(F234-F233)*30</f>
        <v>2.9227841942386906E-3</v>
      </c>
      <c r="M234" s="25">
        <f t="shared" ref="M234" si="183">+M233*(1+L234)</f>
        <v>113.07292778463652</v>
      </c>
    </row>
    <row r="235" spans="1:13">
      <c r="A235" s="23">
        <v>45716</v>
      </c>
      <c r="B235" s="9">
        <v>24984.92</v>
      </c>
      <c r="C235" s="31">
        <f t="shared" ref="C235" si="184">(B235/B234-1)/(A235-A234)*30</f>
        <v>4.1745675546369021E-3</v>
      </c>
      <c r="D235" s="25">
        <f t="shared" ref="D235" si="185">+D234*(1+C235)</f>
        <v>116.94438381303493</v>
      </c>
      <c r="F235" s="23">
        <v>45716</v>
      </c>
      <c r="G235" s="10">
        <v>1157.7357</v>
      </c>
      <c r="H235" s="10">
        <f t="shared" si="167"/>
        <v>1216.6307480820058</v>
      </c>
      <c r="I235" s="31">
        <f t="shared" ref="I235" si="186">+(H235/H234-1)/(F235-F234)*30</f>
        <v>5.2123643809006059E-3</v>
      </c>
      <c r="J235" s="24">
        <f t="shared" ref="J235" si="187">+J234*(1+I235)</f>
        <v>121.38562700682833</v>
      </c>
      <c r="K235" s="9">
        <v>6104.4912000000004</v>
      </c>
      <c r="L235" s="31">
        <f t="shared" ref="L235" si="188">+(K235/K234-1)/(F235-F234)*30</f>
        <v>2.9594332610154745E-3</v>
      </c>
      <c r="M235" s="25">
        <f t="shared" ref="M235" si="189">+M234*(1+L235)</f>
        <v>113.40755956804277</v>
      </c>
    </row>
    <row r="236" spans="1:13">
      <c r="A236" s="23">
        <v>45747</v>
      </c>
      <c r="B236" s="9">
        <v>25092.7</v>
      </c>
      <c r="C236" s="31">
        <f t="shared" ref="C236" si="190">(B236/B235-1)/(A236-A235)*30</f>
        <v>4.1746471794368665E-3</v>
      </c>
      <c r="D236" s="25">
        <f t="shared" ref="D236" si="191">+D235*(1+C236)</f>
        <v>117.432585355071</v>
      </c>
      <c r="F236" s="23">
        <v>45747</v>
      </c>
      <c r="G236" s="10">
        <v>1163.827</v>
      </c>
      <c r="H236" s="10">
        <f t="shared" si="167"/>
        <v>1222.7220480820058</v>
      </c>
      <c r="I236" s="31">
        <f t="shared" ref="I236" si="192">+(H236/H235-1)/(F236-F235)*30</f>
        <v>4.8451894388711735E-3</v>
      </c>
      <c r="J236" s="24">
        <f t="shared" ref="J236" si="193">+J235*(1+I236)</f>
        <v>121.97376336483258</v>
      </c>
      <c r="K236" s="9">
        <v>6123.1881999999996</v>
      </c>
      <c r="L236" s="31">
        <f t="shared" ref="L236" si="194">+(K236/K235-1)/(F236-F235)*30</f>
        <v>2.9640260547417283E-3</v>
      </c>
      <c r="M236" s="25">
        <f t="shared" ref="M236" si="195">+M235*(1+L236)</f>
        <v>113.74370252940712</v>
      </c>
    </row>
    <row r="237" spans="1:13">
      <c r="A237" s="23">
        <v>45777</v>
      </c>
      <c r="B237" s="9">
        <v>25197.48</v>
      </c>
      <c r="C237" s="31">
        <f t="shared" ref="C237" si="196">(B237/B236-1)/(A237-A236)*30</f>
        <v>4.175716443427735E-3</v>
      </c>
      <c r="D237" s="25">
        <f t="shared" ref="D237" si="197">+D236*(1+C237)</f>
        <v>117.9229505327324</v>
      </c>
      <c r="F237" s="23">
        <v>45777</v>
      </c>
      <c r="G237" s="10">
        <v>1172.2012</v>
      </c>
      <c r="H237" s="10">
        <f t="shared" si="167"/>
        <v>1231.0962480820058</v>
      </c>
      <c r="I237" s="31">
        <f t="shared" ref="I237" si="198">+(H237/H236-1)/(F237-F236)*30</f>
        <v>6.8488173687029086E-3</v>
      </c>
      <c r="J237" s="24">
        <f t="shared" ref="J237" si="199">+J236*(1+I237)</f>
        <v>122.8091393938917</v>
      </c>
      <c r="K237" s="9">
        <v>6141.4105</v>
      </c>
      <c r="L237" s="31">
        <f t="shared" ref="L237" si="200">+(K237/K236-1)/(F237-F236)*30</f>
        <v>2.975949685819046E-3</v>
      </c>
      <c r="M237" s="25">
        <f t="shared" ref="M237" si="201">+M236*(1+L237)</f>
        <v>114.0821980652134</v>
      </c>
    </row>
    <row r="238" spans="1:13">
      <c r="A238" s="23">
        <v>45808</v>
      </c>
      <c r="B238" s="9">
        <v>25302.66</v>
      </c>
      <c r="C238" s="31">
        <f t="shared" ref="C238" si="202">(B238/B237-1)/(A238-A237)*30</f>
        <v>4.039574464358861E-3</v>
      </c>
      <c r="D238" s="25">
        <f t="shared" ref="D238" si="203">+D237*(1+C238)</f>
        <v>118.39930907246628</v>
      </c>
      <c r="F238" s="23">
        <v>45808</v>
      </c>
      <c r="G238" s="10">
        <v>1179.4588000000001</v>
      </c>
      <c r="H238" s="10">
        <f t="shared" si="167"/>
        <v>1238.3538480820059</v>
      </c>
      <c r="I238" s="31">
        <f t="shared" ref="I238" si="204">+(H238/H237-1)/(F238-F237)*30</f>
        <v>5.7050648005062578E-3</v>
      </c>
      <c r="J238" s="24">
        <f t="shared" ref="J238" si="205">+J237*(1+I238)</f>
        <v>123.50977349222826</v>
      </c>
      <c r="K238" s="9">
        <v>6160.3860000000004</v>
      </c>
      <c r="L238" s="31">
        <f t="shared" ref="L238" si="206">+(K238/K237-1)/(F238-F237)*30</f>
        <v>2.9900927639951859E-3</v>
      </c>
      <c r="M238" s="25">
        <f t="shared" ref="M238" si="207">+M237*(1+L238)</f>
        <v>114.42331442014887</v>
      </c>
    </row>
    <row r="239" spans="1:13">
      <c r="A239" s="23">
        <v>45838</v>
      </c>
      <c r="B239" s="9">
        <v>25411.83</v>
      </c>
      <c r="C239" s="31">
        <f t="shared" ref="C239" si="208">(B239/B238-1)/(A239-A238)*30</f>
        <v>4.3145661365249222E-3</v>
      </c>
      <c r="D239" s="25">
        <f t="shared" ref="D239" si="209">+D238*(1+C239)</f>
        <v>118.9101507219783</v>
      </c>
      <c r="F239" s="23">
        <v>45838</v>
      </c>
      <c r="G239" s="10">
        <v>1186.9405999999999</v>
      </c>
      <c r="H239" s="10">
        <f t="shared" ref="H239" si="210">+G239+$S$148+$S$150+$S$152+$S$154+$S$156+$S$158+$S$160</f>
        <v>1245.8356480820057</v>
      </c>
      <c r="I239" s="31">
        <f t="shared" ref="I239" si="211">+(H239/H238-1)/(F239-F238)*30</f>
        <v>6.0417303273920808E-3</v>
      </c>
      <c r="J239" s="24">
        <f t="shared" ref="J239" si="212">+J238*(1+I239)</f>
        <v>124.25598623646559</v>
      </c>
      <c r="K239" s="9">
        <v>6178.8490000000002</v>
      </c>
      <c r="L239" s="31">
        <f t="shared" ref="L239" si="213">+(K239/K238-1)/(F239-F238)*30</f>
        <v>2.9970524574272073E-3</v>
      </c>
      <c r="M239" s="25">
        <f t="shared" ref="M239" si="214">+M238*(1+L239)</f>
        <v>114.76624709581874</v>
      </c>
    </row>
    <row r="240" spans="1:13">
      <c r="A240" s="23">
        <v>45869</v>
      </c>
      <c r="B240" s="9">
        <v>25521.26</v>
      </c>
      <c r="C240" s="31">
        <f t="shared" ref="C240" si="215">(B240/B239-1)/(A240-A239)*30</f>
        <v>4.1673504033356758E-3</v>
      </c>
      <c r="D240" s="25">
        <f t="shared" ref="D240" si="216">+D239*(1+C240)</f>
        <v>119.40569098655024</v>
      </c>
      <c r="F240" s="23">
        <v>45869</v>
      </c>
      <c r="G240" s="10">
        <v>1194.1629</v>
      </c>
      <c r="H240" s="10">
        <f t="shared" ref="H240" si="217">+G240+$S$148+$S$150+$S$152+$S$154+$S$156+$S$158+$S$160</f>
        <v>1253.0579480820059</v>
      </c>
      <c r="I240" s="31">
        <f t="shared" ref="I240" si="218">+(H240/H239-1)/(F240-F239)*30</f>
        <v>5.6101481695482944E-3</v>
      </c>
      <c r="J240" s="24">
        <f t="shared" ref="J240" si="219">+J239*(1+I240)</f>
        <v>124.95308073020551</v>
      </c>
      <c r="K240" s="9">
        <v>6197.08</v>
      </c>
      <c r="L240" s="31">
        <f t="shared" ref="L240" si="220">+(K240/K239-1)/(F240-F239)*30</f>
        <v>2.8553705108841547E-3</v>
      </c>
      <c r="M240" s="25">
        <f t="shared" ref="M240" si="221">+M239*(1+L240)</f>
        <v>115.09394725342099</v>
      </c>
    </row>
    <row r="241" spans="1:13">
      <c r="A241" s="23">
        <v>45900</v>
      </c>
      <c r="B241" s="9">
        <v>25619.09</v>
      </c>
      <c r="C241" s="31">
        <f t="shared" ref="C241" si="222">(B241/B240-1)/(A241-A240)*30</f>
        <v>3.7096206671766341E-3</v>
      </c>
      <c r="D241" s="25">
        <f t="shared" ref="D241" si="223">+D240*(1+C241)</f>
        <v>119.84864080561246</v>
      </c>
      <c r="F241" s="23">
        <v>45900</v>
      </c>
      <c r="G241" s="10">
        <v>1201.8371999999999</v>
      </c>
      <c r="H241" s="10">
        <f t="shared" ref="H241" si="224">+G241+$S$148+$S$150+$S$152+$S$154+$S$156+$S$158+$S$160</f>
        <v>1260.7322480820058</v>
      </c>
      <c r="I241" s="31">
        <f t="shared" ref="I241" si="225">+(H241/H240-1)/(F241-F240)*30</f>
        <v>5.9268942404870767E-3</v>
      </c>
      <c r="J241" s="24">
        <f t="shared" ref="J241" si="226">+J240*(1+I241)</f>
        <v>125.69366442471649</v>
      </c>
      <c r="K241" s="9">
        <v>6215.6746000000003</v>
      </c>
      <c r="L241" s="31">
        <f t="shared" ref="L241" si="227">+(K241/K240-1)/(F241-F240)*30</f>
        <v>2.9037505072629097E-3</v>
      </c>
      <c r="M241" s="25">
        <f t="shared" ref="M241" si="228">+M240*(1+L241)</f>
        <v>115.428151361141</v>
      </c>
    </row>
    <row r="242" spans="1:13">
      <c r="A242" s="23">
        <v>45930</v>
      </c>
      <c r="B242" s="9">
        <v>25727.46</v>
      </c>
      <c r="C242" s="31">
        <f t="shared" ref="C242" si="229">(B242/B241-1)/(A242-A241)*30</f>
        <v>4.230048764417349E-3</v>
      </c>
      <c r="D242" s="25">
        <f t="shared" ref="D242" si="230">+D241*(1+C242)</f>
        <v>120.35560640056934</v>
      </c>
      <c r="F242" s="23">
        <v>45930</v>
      </c>
      <c r="G242" s="10">
        <v>1209.1829</v>
      </c>
      <c r="H242" s="10">
        <f t="shared" ref="H242" si="231">+G242+$S$148+$S$150+$S$152+$S$154+$S$156+$S$158+$S$160</f>
        <v>1268.0779480820058</v>
      </c>
      <c r="I242" s="31">
        <f t="shared" ref="I242" si="232">+(H242/H241-1)/(F242-F241)*30</f>
        <v>5.8265345486128162E-3</v>
      </c>
      <c r="J242" s="24">
        <f t="shared" ref="J242" si="233">+J241*(1+I242)</f>
        <v>126.42602290302884</v>
      </c>
      <c r="K242" s="9">
        <v>6232.8398999999999</v>
      </c>
      <c r="L242" s="31">
        <f t="shared" ref="L242" si="234">+(K242/K241-1)/(F242-F241)*30</f>
        <v>2.7616149661373601E-3</v>
      </c>
      <c r="M242" s="25">
        <f t="shared" ref="M242" si="235">+M241*(1+L242)</f>
        <v>115.7469194714535</v>
      </c>
    </row>
    <row r="243" spans="1:13">
      <c r="A243" s="23">
        <v>45961</v>
      </c>
      <c r="B243" s="9">
        <v>25829.5</v>
      </c>
      <c r="C243" s="31">
        <f t="shared" ref="C243" si="236">(B243/B242-1)/(A243-A242)*30</f>
        <v>3.8382485910687558E-3</v>
      </c>
      <c r="D243" s="25">
        <f t="shared" ref="D243" si="237">+D242*(1+C243)</f>
        <v>120.81756113726357</v>
      </c>
      <c r="F243" s="23">
        <v>45961</v>
      </c>
      <c r="G243" s="10">
        <v>1216.7155</v>
      </c>
      <c r="H243" s="10">
        <f t="shared" ref="H243" si="238">+G243+$S$148+$S$150+$S$152+$S$154+$S$156+$S$158+$S$160</f>
        <v>1275.6105480820058</v>
      </c>
      <c r="I243" s="31">
        <f t="shared" ref="I243" si="239">+(H243/H242-1)/(F243-F242)*30</f>
        <v>5.7485526928777444E-3</v>
      </c>
      <c r="J243" s="24">
        <f t="shared" ref="J243" si="240">+J242*(1+I243)</f>
        <v>127.15278955743787</v>
      </c>
      <c r="K243" s="9">
        <v>6250.6981999999998</v>
      </c>
      <c r="L243" s="31">
        <f t="shared" ref="L243" si="241">+(K243/K242-1)/(F243-F242)*30</f>
        <v>2.7727690882051537E-3</v>
      </c>
      <c r="M243" s="25">
        <f t="shared" ref="M243" si="242">+M242*(1+L243)</f>
        <v>116.06785895181891</v>
      </c>
    </row>
    <row r="244" spans="1:13">
      <c r="A244" s="23">
        <v>45991</v>
      </c>
      <c r="B244" s="9">
        <v>25928.49</v>
      </c>
      <c r="C244" s="31">
        <f t="shared" ref="C244:C248" si="243">(B244/B243-1)/(A244-A243)*30</f>
        <v>3.8324396523354842E-3</v>
      </c>
      <c r="D244" s="25">
        <f t="shared" ref="D244:D248" si="244">+D243*(1+C244)</f>
        <v>121.28058714926448</v>
      </c>
      <c r="F244" s="23">
        <v>45991</v>
      </c>
      <c r="G244" s="10">
        <v>1224.1523999999999</v>
      </c>
      <c r="H244" s="10">
        <f>+G244+$S$148+$S$150+$S$152+$S$154+$S$156+$S$158+$S$160</f>
        <v>1283.0474480820058</v>
      </c>
      <c r="I244" s="31">
        <f t="shared" ref="I244:I249" si="245">+(H244/H243-1)/(F244-F243)*30</f>
        <v>5.830070950088917E-3</v>
      </c>
      <c r="J244" s="24">
        <f t="shared" ref="J244:J249" si="246">+J243*(1+I244)</f>
        <v>127.89409934205946</v>
      </c>
      <c r="K244" s="9">
        <v>6268.1689999999999</v>
      </c>
      <c r="L244" s="31">
        <f t="shared" ref="L244:L249" si="247">+(K244/K243-1)/(F244-F243)*30</f>
        <v>2.7950157631990713E-3</v>
      </c>
      <c r="M244" s="25">
        <f t="shared" ref="M244:M249" si="248">+M243*(1+L244)</f>
        <v>116.39227044719</v>
      </c>
    </row>
    <row r="245" spans="1:13">
      <c r="A245" s="23">
        <v>46022</v>
      </c>
      <c r="B245" s="9">
        <v>26035.82</v>
      </c>
      <c r="C245" s="31">
        <f t="shared" si="243"/>
        <v>4.0059310023638477E-3</v>
      </c>
      <c r="D245" s="25">
        <f t="shared" si="244"/>
        <v>121.76642881331061</v>
      </c>
      <c r="F245" s="23">
        <v>46022</v>
      </c>
      <c r="G245" s="99">
        <v>1231.8688</v>
      </c>
      <c r="H245" s="10">
        <f>+G245+$S$148+$S$150+$S$152+$S$154+$S$156+$S$158+$S$160</f>
        <v>1290.7638480820058</v>
      </c>
      <c r="I245" s="31">
        <f>+(H245/H244-1)/(F245-F244)*30</f>
        <v>5.8201151345811889E-3</v>
      </c>
      <c r="J245" s="24">
        <f t="shared" si="246"/>
        <v>128.63845772526381</v>
      </c>
      <c r="K245" s="9">
        <v>6285.9566000000004</v>
      </c>
      <c r="L245" s="31">
        <f t="shared" si="247"/>
        <v>2.7462256444606729E-3</v>
      </c>
      <c r="M245" s="25">
        <f t="shared" si="248"/>
        <v>116.71190988510907</v>
      </c>
    </row>
    <row r="246" spans="1:13">
      <c r="A246" s="23">
        <v>46053</v>
      </c>
      <c r="B246" s="9">
        <v>26136.9</v>
      </c>
      <c r="C246" s="31">
        <f t="shared" si="243"/>
        <v>3.7571067413552559E-3</v>
      </c>
      <c r="D246" s="25">
        <f t="shared" si="244"/>
        <v>122.22391828387586</v>
      </c>
      <c r="F246" s="23">
        <v>46053</v>
      </c>
      <c r="G246" s="99">
        <v>1239.5817999999999</v>
      </c>
      <c r="H246" s="10">
        <f>+G246+$S$148+$S$150+$S$152+$S$154+$S$156+$S$158+$S$160</f>
        <v>1298.4768480820057</v>
      </c>
      <c r="I246" s="31">
        <f t="shared" si="245"/>
        <v>5.782772394406911E-3</v>
      </c>
      <c r="J246" s="24">
        <f t="shared" si="246"/>
        <v>129.38234464745653</v>
      </c>
      <c r="K246" s="9">
        <v>6303.0823</v>
      </c>
      <c r="L246" s="31">
        <f t="shared" si="247"/>
        <v>2.6365530529619398E-3</v>
      </c>
      <c r="M246" s="25">
        <f t="shared" si="248"/>
        <v>117.01962702743367</v>
      </c>
    </row>
    <row r="247" spans="1:13">
      <c r="A247" s="97">
        <v>46081</v>
      </c>
      <c r="B247" s="98">
        <v>26231.81</v>
      </c>
      <c r="C247" s="31">
        <f t="shared" si="243"/>
        <v>3.8906406541817334E-3</v>
      </c>
      <c r="D247" s="25">
        <f t="shared" si="244"/>
        <v>122.69944762926448</v>
      </c>
      <c r="F247" s="97">
        <v>46081</v>
      </c>
      <c r="G247" s="99">
        <v>1246.9940999999999</v>
      </c>
      <c r="H247" s="10">
        <f>+G247+$S$148+$S$150+$S$152+$S$154+$S$156+$S$158+$S$160</f>
        <v>1305.8891480820057</v>
      </c>
      <c r="I247" s="31">
        <f t="shared" si="245"/>
        <v>6.1162045451414382E-3</v>
      </c>
      <c r="J247" s="24">
        <f t="shared" si="246"/>
        <v>130.17367353185037</v>
      </c>
      <c r="K247" s="101">
        <v>6318.4947000000002</v>
      </c>
      <c r="L247" s="31">
        <f t="shared" si="247"/>
        <v>2.6198746785023792E-3</v>
      </c>
      <c r="M247" s="25">
        <f t="shared" si="248"/>
        <v>117.32620378517065</v>
      </c>
    </row>
    <row r="248" spans="1:13">
      <c r="A248" s="97">
        <v>46112</v>
      </c>
      <c r="B248" s="98">
        <v>26333.64</v>
      </c>
      <c r="C248" s="31">
        <f t="shared" si="243"/>
        <v>3.7567045998854547E-3</v>
      </c>
      <c r="D248" s="25">
        <f t="shared" si="244"/>
        <v>123.16039320857674</v>
      </c>
      <c r="F248" s="97">
        <v>46112</v>
      </c>
      <c r="G248" s="100">
        <v>1254.9657999999999</v>
      </c>
      <c r="H248" s="10">
        <f>+G248+$S$148+$S$150+$S$152+$S$154+$S$156+$S$158+$S$160</f>
        <v>1313.8608480820058</v>
      </c>
      <c r="I248" s="31">
        <f t="shared" si="245"/>
        <v>5.9075063135545728E-3</v>
      </c>
      <c r="J248" s="24">
        <f t="shared" si="246"/>
        <v>130.94267533009835</v>
      </c>
      <c r="K248" s="102">
        <v>6335.4773999999998</v>
      </c>
      <c r="L248" s="31">
        <f t="shared" si="247"/>
        <v>2.6010737917912404E-3</v>
      </c>
      <c r="M248" s="25">
        <f t="shared" si="248"/>
        <v>117.63137789892662</v>
      </c>
    </row>
    <row r="249" spans="1:13">
      <c r="A249" s="97">
        <v>46142</v>
      </c>
      <c r="B249" s="98">
        <v>26432.560000000001</v>
      </c>
      <c r="C249" s="31">
        <f t="shared" ref="C249" si="249">(B249/B248-1)/(A249-A248)*30</f>
        <v>3.7564119506456883E-3</v>
      </c>
      <c r="D249" s="25">
        <f t="shared" ref="D249" si="250">+D248*(1+C249)</f>
        <v>123.62303438147165</v>
      </c>
      <c r="F249" s="97">
        <v>46142</v>
      </c>
      <c r="G249" s="99">
        <v>1262.8696</v>
      </c>
      <c r="H249" s="10">
        <f t="shared" ref="H249" si="251">+G249+$S$148+$S$150+$S$152+$S$154+$S$156+$S$158+$S$160</f>
        <v>1321.7646480820058</v>
      </c>
      <c r="I249" s="31">
        <f t="shared" si="245"/>
        <v>6.0157055532463755E-3</v>
      </c>
      <c r="J249" s="24">
        <f t="shared" si="246"/>
        <v>131.73038790923857</v>
      </c>
      <c r="K249" s="9">
        <v>6351.9305000000004</v>
      </c>
      <c r="L249" s="31">
        <f t="shared" si="247"/>
        <v>2.5969787217614559E-3</v>
      </c>
      <c r="M249" s="25">
        <f t="shared" si="248"/>
        <v>117.93686408434161</v>
      </c>
    </row>
    <row r="250" spans="1:13">
      <c r="A250" s="97"/>
      <c r="B250" s="98"/>
      <c r="C250" s="31"/>
      <c r="D250" s="25"/>
      <c r="F250" s="97"/>
    </row>
  </sheetData>
  <mergeCells count="6">
    <mergeCell ref="AC86:AC88"/>
    <mergeCell ref="AV29:AV30"/>
    <mergeCell ref="AC77:AC79"/>
    <mergeCell ref="AC74:AC76"/>
    <mergeCell ref="AC80:AC82"/>
    <mergeCell ref="AC83:AC8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X41"/>
  <sheetViews>
    <sheetView showGridLines="0" tabSelected="1" zoomScale="80" zoomScaleNormal="80" workbookViewId="0">
      <selection activeCell="E39" sqref="E39:H41"/>
    </sheetView>
  </sheetViews>
  <sheetFormatPr defaultColWidth="11.42578125" defaultRowHeight="15"/>
  <cols>
    <col min="3" max="3" width="5.85546875" style="7" bestFit="1" customWidth="1"/>
    <col min="4" max="4" width="18.85546875" customWidth="1"/>
    <col min="5" max="16" width="7.7109375" customWidth="1"/>
    <col min="17" max="17" width="10.140625" customWidth="1"/>
    <col min="19" max="19" width="21.42578125" customWidth="1"/>
    <col min="20" max="20" width="8.7109375" bestFit="1" customWidth="1"/>
    <col min="21" max="21" width="10.7109375" bestFit="1" customWidth="1"/>
    <col min="22" max="22" width="10.42578125" bestFit="1" customWidth="1"/>
    <col min="23" max="23" width="9.5703125" customWidth="1"/>
    <col min="24" max="24" width="13.28515625" customWidth="1"/>
  </cols>
  <sheetData>
    <row r="1" spans="2:24">
      <c r="C1" s="83"/>
      <c r="D1" s="84"/>
      <c r="E1" s="84"/>
      <c r="F1" s="84"/>
      <c r="G1" s="84"/>
      <c r="H1" s="84"/>
      <c r="I1" s="84"/>
      <c r="J1" s="84"/>
      <c r="K1" s="84"/>
      <c r="L1" s="84"/>
      <c r="M1" s="84"/>
      <c r="N1" s="84"/>
      <c r="O1" s="84"/>
      <c r="P1" s="84"/>
      <c r="Q1" s="84"/>
      <c r="R1" s="84"/>
      <c r="S1" s="87" t="s">
        <v>31</v>
      </c>
      <c r="T1" s="90" t="s">
        <v>32</v>
      </c>
      <c r="U1" s="90" t="s">
        <v>33</v>
      </c>
      <c r="V1" s="90" t="s">
        <v>34</v>
      </c>
      <c r="W1" s="90" t="s">
        <v>35</v>
      </c>
      <c r="X1" s="89" t="str">
        <f>+'Datos ICP (2)'!BB28</f>
        <v>Acum. 2026</v>
      </c>
    </row>
    <row r="2" spans="2:24">
      <c r="C2" s="83"/>
      <c r="D2" s="84"/>
      <c r="E2" s="84"/>
      <c r="F2" s="84"/>
      <c r="G2" s="84"/>
      <c r="H2" s="84"/>
      <c r="I2" s="84"/>
      <c r="J2" s="84"/>
      <c r="K2" s="84"/>
      <c r="L2" s="84"/>
      <c r="M2" s="84"/>
      <c r="N2" s="84"/>
      <c r="O2" s="84"/>
      <c r="P2" s="84"/>
      <c r="Q2" s="84"/>
      <c r="R2" s="84"/>
      <c r="S2" s="83" t="s">
        <v>48</v>
      </c>
      <c r="T2" s="91">
        <f>+'Datos ICP (2)'!AX29</f>
        <v>3.7564119506456883E-3</v>
      </c>
      <c r="U2" s="91">
        <f>+'Datos ICP (2)'!AY29</f>
        <v>1.1311976554220227E-2</v>
      </c>
      <c r="V2" s="91">
        <f>+'Datos ICP (2)'!AZ29</f>
        <v>2.3347722565283835E-2</v>
      </c>
      <c r="W2" s="91">
        <f>+'Datos ICP (2)'!BA29</f>
        <v>4.9016012712382429E-2</v>
      </c>
      <c r="X2" s="91">
        <f>+'Datos ICP (2)'!BB29</f>
        <v>3.393592966266068E-2</v>
      </c>
    </row>
    <row r="3" spans="2:24">
      <c r="C3" s="83"/>
      <c r="D3" s="84"/>
      <c r="E3" s="84"/>
      <c r="F3" s="84"/>
      <c r="G3" s="84"/>
      <c r="H3" s="84"/>
      <c r="I3" s="84"/>
      <c r="J3" s="84"/>
      <c r="K3" s="84"/>
      <c r="L3" s="84"/>
      <c r="M3" s="84"/>
      <c r="N3" s="84"/>
      <c r="O3" s="84"/>
      <c r="P3" s="84"/>
      <c r="Q3" s="84"/>
      <c r="R3" s="84"/>
      <c r="S3" s="83" t="s">
        <v>26</v>
      </c>
      <c r="T3" s="91">
        <f>+'Datos ICP (2)'!AX30</f>
        <v>2.5969787217614559E-3</v>
      </c>
      <c r="U3" s="91">
        <f>+'Datos ICP (2)'!AY30</f>
        <v>7.749890874818588E-3</v>
      </c>
      <c r="V3" s="91">
        <f>+'Datos ICP (2)'!AZ30</f>
        <v>1.6195358784079517E-2</v>
      </c>
      <c r="W3" s="91">
        <f>+'Datos ICP (2)'!BA30</f>
        <v>3.4278770324830177E-2</v>
      </c>
      <c r="X3" s="91">
        <f>+'Datos ICP (2)'!BB30</f>
        <v>2.3249672624455764E-2</v>
      </c>
    </row>
    <row r="4" spans="2:24">
      <c r="C4" s="83"/>
      <c r="D4" s="84"/>
      <c r="E4" s="84"/>
      <c r="F4" s="84"/>
      <c r="G4" s="84"/>
      <c r="H4" s="84"/>
      <c r="I4" s="84"/>
      <c r="J4" s="84"/>
      <c r="K4" s="84"/>
      <c r="L4" s="84"/>
      <c r="M4" s="84"/>
      <c r="N4" s="84"/>
      <c r="O4" s="84"/>
      <c r="P4" s="84"/>
      <c r="Q4" s="84"/>
      <c r="R4" s="84"/>
      <c r="S4" s="84" t="s">
        <v>38</v>
      </c>
      <c r="T4" s="91">
        <f>+'Datos ICP (2)'!AX31</f>
        <v>6.0157055532463755E-3</v>
      </c>
      <c r="U4" s="91">
        <f>+'Datos ICP (2)'!AY31</f>
        <v>1.7934705600949785E-2</v>
      </c>
      <c r="V4" s="91">
        <f>+'Datos ICP (2)'!AZ31</f>
        <v>3.6181967975568163E-2</v>
      </c>
      <c r="W4" s="91">
        <f>+'Datos ICP (2)'!BA31</f>
        <v>7.3648506476449382E-2</v>
      </c>
      <c r="X4" s="91">
        <f>+'Datos ICP (2)'!BB31</f>
        <v>5.3804116802849355E-2</v>
      </c>
    </row>
    <row r="5" spans="2:24">
      <c r="B5" s="8"/>
      <c r="C5" s="83"/>
      <c r="D5" s="84"/>
      <c r="E5" s="84"/>
      <c r="F5" s="84"/>
      <c r="G5" s="84"/>
      <c r="H5" s="84"/>
      <c r="I5" s="84"/>
      <c r="J5" s="84"/>
      <c r="K5" s="84"/>
      <c r="L5" s="84"/>
      <c r="M5" s="84"/>
      <c r="N5" s="84"/>
      <c r="O5" s="84"/>
      <c r="P5" s="84"/>
      <c r="Q5" s="84"/>
      <c r="R5" s="84"/>
      <c r="S5" s="84"/>
      <c r="T5" s="84"/>
      <c r="U5" s="84"/>
      <c r="V5" s="84"/>
      <c r="W5" s="84"/>
      <c r="X5" s="84"/>
    </row>
    <row r="6" spans="2:24" ht="25.5">
      <c r="B6" s="8"/>
      <c r="C6" s="87" t="s">
        <v>39</v>
      </c>
      <c r="D6" s="88" t="s">
        <v>40</v>
      </c>
      <c r="E6" s="90" t="s">
        <v>4</v>
      </c>
      <c r="F6" s="90" t="s">
        <v>5</v>
      </c>
      <c r="G6" s="90" t="s">
        <v>6</v>
      </c>
      <c r="H6" s="90" t="s">
        <v>7</v>
      </c>
      <c r="I6" s="90" t="s">
        <v>8</v>
      </c>
      <c r="J6" s="90" t="s">
        <v>9</v>
      </c>
      <c r="K6" s="90" t="s">
        <v>10</v>
      </c>
      <c r="L6" s="90" t="s">
        <v>11</v>
      </c>
      <c r="M6" s="90" t="s">
        <v>12</v>
      </c>
      <c r="N6" s="90" t="s">
        <v>13</v>
      </c>
      <c r="O6" s="90" t="s">
        <v>14</v>
      </c>
      <c r="P6" s="90" t="s">
        <v>15</v>
      </c>
      <c r="Q6" s="89" t="s">
        <v>49</v>
      </c>
      <c r="R6" s="85"/>
      <c r="S6" s="84"/>
      <c r="T6" s="84"/>
      <c r="U6" s="84"/>
      <c r="V6" s="84"/>
      <c r="W6" s="84"/>
      <c r="X6" s="84"/>
    </row>
    <row r="7" spans="2:24" ht="15" customHeight="1">
      <c r="B7" s="8"/>
      <c r="C7" s="83"/>
      <c r="D7" s="84"/>
      <c r="E7" s="92"/>
      <c r="F7" s="92"/>
      <c r="G7" s="92"/>
      <c r="H7" s="92"/>
      <c r="I7" s="92"/>
      <c r="J7" s="92"/>
      <c r="K7" s="92"/>
      <c r="L7" s="92"/>
      <c r="M7" s="92"/>
      <c r="N7" s="92"/>
      <c r="O7" s="92"/>
      <c r="P7" s="92"/>
      <c r="Q7" s="92"/>
      <c r="R7" s="85"/>
      <c r="S7" s="84"/>
      <c r="T7" s="84"/>
      <c r="U7" s="84"/>
      <c r="V7" s="84"/>
      <c r="W7" s="84"/>
      <c r="X7" s="84"/>
    </row>
    <row r="8" spans="2:24" ht="15" hidden="1" customHeight="1">
      <c r="B8" s="8"/>
      <c r="C8" s="83">
        <v>2013</v>
      </c>
      <c r="D8" s="84" t="s">
        <v>3</v>
      </c>
      <c r="E8" s="91"/>
      <c r="F8" s="91"/>
      <c r="G8" s="91"/>
      <c r="H8" s="91"/>
      <c r="I8" s="91"/>
      <c r="J8" s="91"/>
      <c r="K8" s="91"/>
      <c r="L8" s="91"/>
      <c r="M8" s="91"/>
      <c r="N8" s="91"/>
      <c r="O8" s="91"/>
      <c r="P8" s="91"/>
      <c r="Q8" s="91"/>
      <c r="R8" s="84"/>
      <c r="S8" s="84"/>
      <c r="T8" s="84"/>
      <c r="U8" s="84"/>
      <c r="V8" s="84"/>
      <c r="W8" s="84"/>
      <c r="X8" s="84"/>
    </row>
    <row r="9" spans="2:24" ht="15" hidden="1" customHeight="1">
      <c r="B9" s="8"/>
      <c r="C9" s="83">
        <v>2014</v>
      </c>
      <c r="D9" s="84" t="s">
        <v>3</v>
      </c>
      <c r="E9" s="91"/>
      <c r="F9" s="91"/>
      <c r="G9" s="91"/>
      <c r="H9" s="91"/>
      <c r="I9" s="91"/>
      <c r="J9" s="91"/>
      <c r="K9" s="91"/>
      <c r="L9" s="91"/>
      <c r="M9" s="91"/>
      <c r="N9" s="91"/>
      <c r="O9" s="91"/>
      <c r="P9" s="91"/>
      <c r="Q9" s="91"/>
      <c r="R9" s="84"/>
      <c r="S9" s="84"/>
      <c r="T9" s="84"/>
      <c r="U9" s="84"/>
      <c r="V9" s="84"/>
      <c r="W9" s="84"/>
      <c r="X9" s="84"/>
    </row>
    <row r="10" spans="2:24" ht="15" hidden="1" customHeight="1">
      <c r="B10" s="8"/>
      <c r="C10" s="83">
        <v>2015</v>
      </c>
      <c r="D10" s="84" t="s">
        <v>3</v>
      </c>
      <c r="E10" s="91"/>
      <c r="F10" s="91"/>
      <c r="G10" s="91"/>
      <c r="H10" s="91"/>
      <c r="I10" s="91"/>
      <c r="J10" s="91"/>
      <c r="K10" s="91"/>
      <c r="L10" s="91"/>
      <c r="M10" s="91"/>
      <c r="N10" s="91"/>
      <c r="O10" s="91"/>
      <c r="P10" s="91"/>
      <c r="Q10" s="91"/>
      <c r="R10" s="84"/>
      <c r="S10" s="84"/>
      <c r="T10" s="84"/>
      <c r="U10" s="84"/>
      <c r="V10" s="84"/>
      <c r="W10" s="84"/>
      <c r="X10" s="84"/>
    </row>
    <row r="11" spans="2:24" ht="15" hidden="1" customHeight="1">
      <c r="B11" s="8"/>
      <c r="C11" s="83">
        <v>2016</v>
      </c>
      <c r="D11" s="84" t="s">
        <v>3</v>
      </c>
      <c r="E11" s="91"/>
      <c r="F11" s="91"/>
      <c r="G11" s="91"/>
      <c r="H11" s="91"/>
      <c r="I11" s="91"/>
      <c r="J11" s="91"/>
      <c r="K11" s="91"/>
      <c r="L11" s="91"/>
      <c r="M11" s="91"/>
      <c r="N11" s="91"/>
      <c r="O11" s="91"/>
      <c r="P11" s="91"/>
      <c r="Q11" s="91"/>
      <c r="R11" s="84"/>
      <c r="S11" s="84"/>
      <c r="T11" s="84"/>
      <c r="U11" s="84"/>
      <c r="V11" s="84"/>
      <c r="W11" s="84"/>
      <c r="X11" s="84"/>
    </row>
    <row r="12" spans="2:24" ht="15" hidden="1" customHeight="1">
      <c r="B12" s="8"/>
      <c r="C12" s="83">
        <v>2017</v>
      </c>
      <c r="D12" s="84" t="s">
        <v>3</v>
      </c>
      <c r="E12" s="91"/>
      <c r="F12" s="91"/>
      <c r="G12" s="91"/>
      <c r="H12" s="91"/>
      <c r="I12" s="91"/>
      <c r="J12" s="91"/>
      <c r="K12" s="91"/>
      <c r="L12" s="91"/>
      <c r="M12" s="91"/>
      <c r="N12" s="91"/>
      <c r="O12" s="91"/>
      <c r="P12" s="91"/>
      <c r="Q12" s="91"/>
      <c r="R12" s="84"/>
      <c r="S12" s="84"/>
      <c r="T12" s="86"/>
      <c r="U12" s="84"/>
      <c r="V12" s="84"/>
      <c r="W12" s="84"/>
      <c r="X12" s="84"/>
    </row>
    <row r="13" spans="2:24" ht="15" hidden="1" customHeight="1">
      <c r="B13" s="8"/>
      <c r="C13" s="83"/>
      <c r="D13" s="84" t="s">
        <v>26</v>
      </c>
      <c r="E13" s="91"/>
      <c r="F13" s="91"/>
      <c r="G13" s="91"/>
      <c r="H13" s="91"/>
      <c r="I13" s="91"/>
      <c r="J13" s="91"/>
      <c r="K13" s="91"/>
      <c r="L13" s="91"/>
      <c r="M13" s="91"/>
      <c r="N13" s="91"/>
      <c r="O13" s="91"/>
      <c r="P13" s="91"/>
      <c r="Q13" s="91"/>
      <c r="R13" s="84"/>
      <c r="S13" s="84"/>
      <c r="T13" s="84"/>
      <c r="U13" s="84"/>
      <c r="V13" s="84"/>
      <c r="W13" s="84"/>
      <c r="X13" s="84"/>
    </row>
    <row r="14" spans="2:24" ht="15" hidden="1" customHeight="1">
      <c r="B14" s="8"/>
      <c r="C14" s="83"/>
      <c r="D14" s="84" t="s">
        <v>38</v>
      </c>
      <c r="E14" s="91"/>
      <c r="F14" s="91"/>
      <c r="G14" s="91"/>
      <c r="H14" s="91"/>
      <c r="I14" s="91"/>
      <c r="J14" s="91"/>
      <c r="K14" s="91"/>
      <c r="L14" s="91"/>
      <c r="M14" s="91"/>
      <c r="N14" s="91"/>
      <c r="O14" s="91"/>
      <c r="P14" s="91"/>
      <c r="Q14" s="91"/>
      <c r="R14" s="84"/>
      <c r="S14" s="84"/>
      <c r="T14" s="84"/>
      <c r="U14" s="84"/>
      <c r="V14" s="84"/>
      <c r="W14" s="84"/>
      <c r="X14" s="84"/>
    </row>
    <row r="15" spans="2:24" ht="15" hidden="1" customHeight="1">
      <c r="B15" s="8"/>
      <c r="C15" s="83">
        <v>2018</v>
      </c>
      <c r="D15" s="84" t="s">
        <v>3</v>
      </c>
      <c r="E15" s="91"/>
      <c r="F15" s="91"/>
      <c r="G15" s="91"/>
      <c r="H15" s="91"/>
      <c r="I15" s="91"/>
      <c r="J15" s="91"/>
      <c r="K15" s="91"/>
      <c r="L15" s="91"/>
      <c r="M15" s="91"/>
      <c r="N15" s="91"/>
      <c r="O15" s="91"/>
      <c r="P15" s="91"/>
      <c r="Q15" s="91"/>
      <c r="R15" s="84"/>
      <c r="S15" s="84"/>
      <c r="T15" s="84"/>
      <c r="U15" s="84"/>
      <c r="V15" s="84"/>
      <c r="W15" s="84"/>
      <c r="X15" s="84"/>
    </row>
    <row r="16" spans="2:24" ht="15" hidden="1" customHeight="1">
      <c r="B16" s="8"/>
      <c r="C16" s="83"/>
      <c r="D16" s="84" t="s">
        <v>26</v>
      </c>
      <c r="E16" s="91"/>
      <c r="F16" s="91"/>
      <c r="G16" s="91"/>
      <c r="H16" s="91"/>
      <c r="I16" s="91"/>
      <c r="J16" s="91"/>
      <c r="K16" s="91"/>
      <c r="L16" s="91"/>
      <c r="M16" s="91"/>
      <c r="N16" s="91"/>
      <c r="O16" s="91"/>
      <c r="P16" s="91"/>
      <c r="Q16" s="91"/>
      <c r="R16" s="84"/>
      <c r="S16" s="84"/>
      <c r="T16" s="84"/>
      <c r="U16" s="84"/>
      <c r="V16" s="84"/>
      <c r="W16" s="84"/>
      <c r="X16" s="84"/>
    </row>
    <row r="17" spans="2:24" ht="15" hidden="1" customHeight="1">
      <c r="B17" s="8"/>
      <c r="C17" s="83"/>
      <c r="D17" s="84" t="s">
        <v>38</v>
      </c>
      <c r="E17" s="91"/>
      <c r="F17" s="91"/>
      <c r="G17" s="91"/>
      <c r="H17" s="91"/>
      <c r="I17" s="91"/>
      <c r="J17" s="91"/>
      <c r="K17" s="91"/>
      <c r="L17" s="91"/>
      <c r="M17" s="91"/>
      <c r="N17" s="91"/>
      <c r="O17" s="91"/>
      <c r="P17" s="91"/>
      <c r="Q17" s="91"/>
      <c r="R17" s="84"/>
      <c r="S17" s="84"/>
      <c r="T17" s="84"/>
      <c r="U17" s="84"/>
      <c r="V17" s="84"/>
      <c r="W17" s="84"/>
      <c r="X17" s="84"/>
    </row>
    <row r="18" spans="2:24" ht="15" hidden="1" customHeight="1">
      <c r="C18" s="83">
        <v>2019</v>
      </c>
      <c r="D18" s="84" t="s">
        <v>3</v>
      </c>
      <c r="E18" s="91"/>
      <c r="F18" s="91"/>
      <c r="G18" s="91"/>
      <c r="H18" s="91"/>
      <c r="I18" s="91"/>
      <c r="J18" s="91"/>
      <c r="K18" s="91"/>
      <c r="L18" s="91"/>
      <c r="M18" s="91"/>
      <c r="N18" s="91"/>
      <c r="O18" s="91"/>
      <c r="P18" s="91"/>
      <c r="Q18" s="91"/>
      <c r="R18" s="84"/>
      <c r="S18" s="84"/>
      <c r="T18" s="84"/>
      <c r="U18" s="84"/>
      <c r="V18" s="84"/>
      <c r="W18" s="84"/>
      <c r="X18" s="84"/>
    </row>
    <row r="19" spans="2:24" ht="15" hidden="1" customHeight="1">
      <c r="C19" s="83"/>
      <c r="D19" s="84" t="s">
        <v>26</v>
      </c>
      <c r="E19" s="91"/>
      <c r="F19" s="91"/>
      <c r="G19" s="91"/>
      <c r="H19" s="91"/>
      <c r="I19" s="91"/>
      <c r="J19" s="91"/>
      <c r="K19" s="91"/>
      <c r="L19" s="91"/>
      <c r="M19" s="91"/>
      <c r="N19" s="91"/>
      <c r="O19" s="91"/>
      <c r="P19" s="91"/>
      <c r="Q19" s="91"/>
      <c r="R19" s="84"/>
      <c r="S19" s="84"/>
      <c r="T19" s="84"/>
      <c r="U19" s="84"/>
      <c r="V19" s="84"/>
      <c r="W19" s="84"/>
      <c r="X19" s="84"/>
    </row>
    <row r="20" spans="2:24" ht="15" hidden="1" customHeight="1">
      <c r="C20" s="83"/>
      <c r="D20" s="84" t="s">
        <v>38</v>
      </c>
      <c r="E20" s="91"/>
      <c r="F20" s="91"/>
      <c r="G20" s="91"/>
      <c r="H20" s="91"/>
      <c r="I20" s="91"/>
      <c r="J20" s="91"/>
      <c r="K20" s="91"/>
      <c r="L20" s="91"/>
      <c r="M20" s="91"/>
      <c r="N20" s="91"/>
      <c r="O20" s="91"/>
      <c r="P20" s="91"/>
      <c r="Q20" s="91"/>
      <c r="R20" s="84"/>
      <c r="S20" s="84"/>
      <c r="T20" s="84"/>
      <c r="U20" s="84"/>
      <c r="V20" s="84"/>
      <c r="W20" s="84"/>
      <c r="X20" s="84"/>
    </row>
    <row r="21" spans="2:24" ht="15" hidden="1" customHeight="1">
      <c r="C21" s="83">
        <v>2020</v>
      </c>
      <c r="D21" s="84" t="s">
        <v>3</v>
      </c>
      <c r="E21" s="91"/>
      <c r="F21" s="91"/>
      <c r="G21" s="91"/>
      <c r="H21" s="91"/>
      <c r="I21" s="91"/>
      <c r="J21" s="91"/>
      <c r="K21" s="91"/>
      <c r="L21" s="91"/>
      <c r="M21" s="91"/>
      <c r="N21" s="91"/>
      <c r="O21" s="91"/>
      <c r="P21" s="91"/>
      <c r="Q21" s="91"/>
      <c r="R21" s="84"/>
      <c r="S21" s="84"/>
      <c r="T21" s="84"/>
      <c r="U21" s="84"/>
      <c r="V21" s="84"/>
      <c r="W21" s="84"/>
      <c r="X21" s="84"/>
    </row>
    <row r="22" spans="2:24" ht="15" hidden="1" customHeight="1">
      <c r="C22" s="83"/>
      <c r="D22" s="84" t="s">
        <v>26</v>
      </c>
      <c r="E22" s="91"/>
      <c r="F22" s="91"/>
      <c r="G22" s="91"/>
      <c r="H22" s="91"/>
      <c r="I22" s="91"/>
      <c r="J22" s="91"/>
      <c r="K22" s="91"/>
      <c r="L22" s="91"/>
      <c r="M22" s="91"/>
      <c r="N22" s="91"/>
      <c r="O22" s="91"/>
      <c r="P22" s="91"/>
      <c r="Q22" s="91"/>
      <c r="R22" s="84"/>
      <c r="S22" s="84"/>
      <c r="T22" s="84"/>
      <c r="U22" s="84"/>
      <c r="V22" s="84"/>
      <c r="W22" s="84"/>
      <c r="X22" s="84"/>
    </row>
    <row r="23" spans="2:24" ht="15" hidden="1" customHeight="1">
      <c r="C23" s="83"/>
      <c r="D23" s="84" t="s">
        <v>38</v>
      </c>
      <c r="E23" s="91"/>
      <c r="F23" s="91"/>
      <c r="G23" s="91"/>
      <c r="H23" s="91"/>
      <c r="I23" s="91"/>
      <c r="J23" s="91"/>
      <c r="K23" s="91"/>
      <c r="L23" s="91"/>
      <c r="M23" s="91"/>
      <c r="N23" s="91"/>
      <c r="O23" s="91"/>
      <c r="P23" s="91"/>
      <c r="Q23" s="91"/>
      <c r="R23" s="84"/>
      <c r="S23" s="84"/>
      <c r="T23" s="84"/>
      <c r="U23" s="84"/>
      <c r="V23" s="84"/>
      <c r="W23" s="84"/>
      <c r="X23" s="84"/>
    </row>
    <row r="24" spans="2:24" ht="15" hidden="1" customHeight="1">
      <c r="C24" s="83">
        <v>2021</v>
      </c>
      <c r="D24" s="84" t="s">
        <v>3</v>
      </c>
      <c r="E24" s="91"/>
      <c r="F24" s="91"/>
      <c r="G24" s="91"/>
      <c r="H24" s="91"/>
      <c r="I24" s="91"/>
      <c r="J24" s="91"/>
      <c r="K24" s="91"/>
      <c r="L24" s="91"/>
      <c r="M24" s="91"/>
      <c r="N24" s="91"/>
      <c r="O24" s="91"/>
      <c r="P24" s="91"/>
      <c r="Q24" s="91"/>
      <c r="R24" s="84"/>
      <c r="S24" s="84"/>
      <c r="T24" s="84"/>
      <c r="U24" s="84"/>
      <c r="V24" s="84"/>
      <c r="W24" s="84"/>
      <c r="X24" s="84"/>
    </row>
    <row r="25" spans="2:24" ht="15" hidden="1" customHeight="1">
      <c r="C25" s="83"/>
      <c r="D25" s="84" t="s">
        <v>26</v>
      </c>
      <c r="E25" s="93"/>
      <c r="F25" s="91"/>
      <c r="G25" s="91"/>
      <c r="H25" s="91"/>
      <c r="I25" s="91"/>
      <c r="J25" s="91"/>
      <c r="K25" s="91"/>
      <c r="L25" s="91"/>
      <c r="M25" s="91"/>
      <c r="N25" s="91"/>
      <c r="O25" s="91"/>
      <c r="P25" s="91"/>
      <c r="Q25" s="91"/>
      <c r="R25" s="84"/>
      <c r="S25" s="84"/>
      <c r="T25" s="84"/>
      <c r="U25" s="84"/>
      <c r="V25" s="84"/>
      <c r="W25" s="84"/>
      <c r="X25" s="84"/>
    </row>
    <row r="26" spans="2:24" ht="15" hidden="1" customHeight="1">
      <c r="C26" s="83"/>
      <c r="D26" s="84" t="s">
        <v>38</v>
      </c>
      <c r="E26" s="93"/>
      <c r="F26" s="91"/>
      <c r="G26" s="91"/>
      <c r="H26" s="91"/>
      <c r="I26" s="91"/>
      <c r="J26" s="91"/>
      <c r="K26" s="91"/>
      <c r="L26" s="91"/>
      <c r="M26" s="91"/>
      <c r="N26" s="91"/>
      <c r="O26" s="91"/>
      <c r="P26" s="91"/>
      <c r="Q26" s="91"/>
      <c r="R26" s="84"/>
      <c r="S26" s="84"/>
      <c r="T26" s="84"/>
      <c r="U26" s="84"/>
      <c r="V26" s="84"/>
      <c r="W26" s="84"/>
      <c r="X26" s="84"/>
    </row>
    <row r="27" spans="2:24" ht="15" hidden="1" customHeight="1">
      <c r="C27" s="83">
        <v>2022</v>
      </c>
      <c r="D27" s="84" t="s">
        <v>3</v>
      </c>
      <c r="E27" s="91"/>
      <c r="F27" s="91"/>
      <c r="G27" s="91"/>
      <c r="H27" s="91"/>
      <c r="I27" s="91"/>
      <c r="J27" s="91"/>
      <c r="K27" s="91"/>
      <c r="L27" s="91"/>
      <c r="M27" s="91"/>
      <c r="N27" s="91"/>
      <c r="O27" s="91"/>
      <c r="P27" s="91"/>
      <c r="Q27" s="91"/>
      <c r="R27" s="84"/>
      <c r="S27" s="84"/>
      <c r="T27" s="84"/>
      <c r="U27" s="84"/>
      <c r="V27" s="84"/>
      <c r="W27" s="84"/>
      <c r="X27" s="84"/>
    </row>
    <row r="28" spans="2:24" ht="15" hidden="1" customHeight="1">
      <c r="C28" s="83"/>
      <c r="D28" s="84" t="s">
        <v>26</v>
      </c>
      <c r="E28" s="93"/>
      <c r="F28" s="91"/>
      <c r="G28" s="91"/>
      <c r="H28" s="91"/>
      <c r="I28" s="91"/>
      <c r="J28" s="91"/>
      <c r="K28" s="91"/>
      <c r="L28" s="91"/>
      <c r="M28" s="91"/>
      <c r="N28" s="91"/>
      <c r="O28" s="91"/>
      <c r="P28" s="91"/>
      <c r="Q28" s="91"/>
      <c r="R28" s="84"/>
      <c r="S28" s="84"/>
      <c r="T28" s="84"/>
      <c r="U28" s="84"/>
      <c r="V28" s="84"/>
      <c r="W28" s="84"/>
      <c r="X28" s="84"/>
    </row>
    <row r="29" spans="2:24" ht="15" hidden="1" customHeight="1">
      <c r="C29" s="83"/>
      <c r="D29" s="84" t="s">
        <v>38</v>
      </c>
      <c r="E29" s="93"/>
      <c r="F29" s="91"/>
      <c r="G29" s="91"/>
      <c r="H29" s="91"/>
      <c r="I29" s="91"/>
      <c r="J29" s="91"/>
      <c r="K29" s="91"/>
      <c r="L29" s="91"/>
      <c r="M29" s="91"/>
      <c r="N29" s="91"/>
      <c r="O29" s="91"/>
      <c r="P29" s="91"/>
      <c r="Q29" s="91"/>
      <c r="R29" s="84"/>
      <c r="S29" s="84"/>
      <c r="T29" s="84"/>
      <c r="U29" s="84"/>
      <c r="V29" s="84"/>
      <c r="W29" s="84"/>
      <c r="X29" s="84"/>
    </row>
    <row r="30" spans="2:24" ht="15" customHeight="1">
      <c r="C30" s="83">
        <v>2023</v>
      </c>
      <c r="D30" s="84" t="s">
        <v>3</v>
      </c>
      <c r="E30" s="91"/>
      <c r="F30" s="91"/>
      <c r="G30" s="91"/>
      <c r="H30" s="91">
        <f>+'Datos ICP (2)'!AH77</f>
        <v>8.7852439132070081E-3</v>
      </c>
      <c r="I30" s="91">
        <f>+'Datos ICP (2)'!AI77</f>
        <v>1.036166313630571E-2</v>
      </c>
      <c r="J30" s="91">
        <f>+'Datos ICP (2)'!AJ77</f>
        <v>9.4150701308506335E-3</v>
      </c>
      <c r="K30" s="91">
        <f>+'Datos ICP (2)'!AK77</f>
        <v>9.7315292241744178E-3</v>
      </c>
      <c r="L30" s="91">
        <f>+'Datos ICP (2)'!AL77</f>
        <v>8.8633739513521714E-3</v>
      </c>
      <c r="M30" s="91">
        <f>+'Datos ICP (2)'!AM77</f>
        <v>7.7953451413450559E-3</v>
      </c>
      <c r="N30" s="91">
        <f>+'Datos ICP (2)'!AN77</f>
        <v>8.4601535041790576E-3</v>
      </c>
      <c r="O30" s="91">
        <f>+'Datos ICP (2)'!AO77</f>
        <v>7.5266143106456074E-3</v>
      </c>
      <c r="P30" s="91">
        <f>+'Datos ICP (2)'!AP77</f>
        <v>7.0819499482732695E-3</v>
      </c>
      <c r="Q30" s="91">
        <f>+'Datos ICP (2)'!AQ77</f>
        <v>0.11194279263621576</v>
      </c>
      <c r="R30" s="84"/>
      <c r="S30" s="84"/>
      <c r="T30" s="84"/>
      <c r="U30" s="84"/>
      <c r="V30" s="84"/>
      <c r="W30" s="84"/>
      <c r="X30" s="84"/>
    </row>
    <row r="31" spans="2:24" ht="15" customHeight="1">
      <c r="C31" s="83"/>
      <c r="D31" s="84" t="s">
        <v>26</v>
      </c>
      <c r="E31" s="93"/>
      <c r="F31" s="93"/>
      <c r="G31" s="93"/>
      <c r="H31" s="93">
        <f>+'Datos ICP (2)'!AH78</f>
        <v>7.4581790813075255E-3</v>
      </c>
      <c r="I31" s="93">
        <f>+'Datos ICP (2)'!AI78</f>
        <v>8.8250764209547583E-3</v>
      </c>
      <c r="J31" s="93">
        <f>+'Datos ICP (2)'!AJ78</f>
        <v>8.0028913540715063E-3</v>
      </c>
      <c r="K31" s="93">
        <f>+'Datos ICP (2)'!AK78</f>
        <v>8.20447209350883E-3</v>
      </c>
      <c r="L31" s="93">
        <f>+'Datos ICP (2)'!AL78</f>
        <v>7.5962855810813856E-3</v>
      </c>
      <c r="M31" s="93">
        <f>+'Datos ICP (2)'!AM78</f>
        <v>6.7848226130593492E-3</v>
      </c>
      <c r="N31" s="93">
        <f>+'Datos ICP (2)'!AN78</f>
        <v>6.6760826965912567E-3</v>
      </c>
      <c r="O31" s="93">
        <f>+'Datos ICP (2)'!AO78</f>
        <v>6.1695672319295181E-3</v>
      </c>
      <c r="P31" s="93">
        <f>+'Datos ICP (2)'!AP78</f>
        <v>6.1015518639564448E-3</v>
      </c>
      <c r="Q31" s="91">
        <f>+'Datos ICP (2)'!AQ78</f>
        <v>9.364840576365796E-2</v>
      </c>
      <c r="R31" s="84"/>
      <c r="S31" s="84"/>
      <c r="T31" s="84"/>
      <c r="U31" s="84"/>
      <c r="V31" s="84"/>
      <c r="W31" s="84"/>
      <c r="X31" s="84"/>
    </row>
    <row r="32" spans="2:24" ht="15" customHeight="1">
      <c r="C32" s="83"/>
      <c r="D32" s="84" t="s">
        <v>38</v>
      </c>
      <c r="E32" s="93"/>
      <c r="F32" s="93"/>
      <c r="G32" s="93"/>
      <c r="H32" s="93">
        <f>+'Datos ICP (2)'!AH79</f>
        <v>1.0951023865007459E-2</v>
      </c>
      <c r="I32" s="93">
        <f>+'Datos ICP (2)'!AI79</f>
        <v>1.1225826747699452E-2</v>
      </c>
      <c r="J32" s="93">
        <f>+'Datos ICP (2)'!AJ79</f>
        <v>1.0260503868912974E-2</v>
      </c>
      <c r="K32" s="93">
        <f>+'Datos ICP (2)'!AK79</f>
        <v>1.070101353336117E-2</v>
      </c>
      <c r="L32" s="93">
        <f>+'Datos ICP (2)'!AL79</f>
        <v>9.7128372094406057E-3</v>
      </c>
      <c r="M32" s="93">
        <f>+'Datos ICP (2)'!AM79</f>
        <v>9.2508808301228207E-3</v>
      </c>
      <c r="N32" s="93">
        <f>+'Datos ICP (2)'!AN79</f>
        <v>9.014862229435705E-3</v>
      </c>
      <c r="O32" s="93">
        <f>+'Datos ICP (2)'!AO79</f>
        <v>8.4537677537943612E-3</v>
      </c>
      <c r="P32" s="93">
        <f>+'Datos ICP (2)'!AP79</f>
        <v>8.5894573398119789E-3</v>
      </c>
      <c r="Q32" s="91">
        <f>+'Datos ICP (2)'!AQ79</f>
        <v>0.12225336120438376</v>
      </c>
      <c r="R32" s="84"/>
      <c r="S32" s="84"/>
      <c r="T32" s="84"/>
      <c r="U32" s="84"/>
      <c r="V32" s="84"/>
      <c r="W32" s="84"/>
      <c r="X32" s="84"/>
    </row>
    <row r="33" spans="3:24" ht="15" customHeight="1">
      <c r="C33" s="83">
        <v>2024</v>
      </c>
      <c r="D33" s="84" t="s">
        <v>3</v>
      </c>
      <c r="E33" s="91">
        <f>+'Datos ICP (2)'!AE80</f>
        <v>7.3572253241631635E-3</v>
      </c>
      <c r="F33" s="91">
        <f>+'Datos ICP (2)'!AF80</f>
        <v>6.1121391206355735E-3</v>
      </c>
      <c r="G33" s="91">
        <f>+'Datos ICP (2)'!AG80</f>
        <v>5.6473517140609442E-3</v>
      </c>
      <c r="H33" s="91">
        <f>+'Datos ICP (2)'!AH80</f>
        <v>6.0927839618283297E-3</v>
      </c>
      <c r="I33" s="91">
        <f>+'Datos ICP (2)'!AI80</f>
        <v>5.5141192903180869E-3</v>
      </c>
      <c r="J33" s="91">
        <f>+'Datos ICP (2)'!AJ80</f>
        <v>4.6135490632155385E-3</v>
      </c>
      <c r="K33" s="91">
        <f>+'Datos ICP (2)'!AK80</f>
        <v>5.2843503528434699E-3</v>
      </c>
      <c r="L33" s="91">
        <f>+'Datos ICP (2)'!AL80</f>
        <v>4.8023520375928275E-3</v>
      </c>
      <c r="M33" s="91">
        <f>+'Datos ICP (2)'!AM80</f>
        <v>4.7810434954138614E-3</v>
      </c>
      <c r="N33" s="91">
        <f>+'Datos ICP (2)'!AN80</f>
        <v>4.510440516418468E-3</v>
      </c>
      <c r="O33" s="91">
        <f>+'Datos ICP (2)'!AO80</f>
        <v>4.3843255475723986E-3</v>
      </c>
      <c r="P33" s="91">
        <f>+'Datos ICP (2)'!AP80</f>
        <v>4.4462641732778696E-3</v>
      </c>
      <c r="Q33" s="91">
        <f>+'Datos ICP (2)'!AQ80</f>
        <v>6.5425125934971851E-2</v>
      </c>
      <c r="R33" s="84"/>
      <c r="S33" s="84"/>
      <c r="T33" s="84"/>
      <c r="U33" s="84"/>
      <c r="V33" s="84"/>
      <c r="W33" s="84"/>
      <c r="X33" s="84"/>
    </row>
    <row r="34" spans="3:24" ht="15" customHeight="1">
      <c r="C34" s="83"/>
      <c r="D34" s="84" t="s">
        <v>26</v>
      </c>
      <c r="E34" s="93">
        <f>+'Datos ICP (2)'!AE81</f>
        <v>5.8719297517517699E-3</v>
      </c>
      <c r="F34" s="93">
        <f>+'Datos ICP (2)'!AF81</f>
        <v>5.0849107705890351E-3</v>
      </c>
      <c r="G34" s="93">
        <f>+'Datos ICP (2)'!AG81</f>
        <v>4.4501495538697977E-3</v>
      </c>
      <c r="H34" s="93">
        <f>+'Datos ICP (2)'!AH81</f>
        <v>4.7201240336098849E-3</v>
      </c>
      <c r="I34" s="93">
        <f>+'Datos ICP (2)'!AI81</f>
        <v>4.1677968559530321E-3</v>
      </c>
      <c r="J34" s="93">
        <f>+'Datos ICP (2)'!AJ81</f>
        <v>3.6501931277677091E-3</v>
      </c>
      <c r="K34" s="93">
        <f>+'Datos ICP (2)'!AK81</f>
        <v>3.6341260750816229E-3</v>
      </c>
      <c r="L34" s="93">
        <f>+'Datos ICP (2)'!AL81</f>
        <v>3.6276694159318446E-3</v>
      </c>
      <c r="M34" s="93">
        <f>+'Datos ICP (2)'!AM81</f>
        <v>3.3754452875442986E-3</v>
      </c>
      <c r="N34" s="93">
        <f>+'Datos ICP (2)'!AN81</f>
        <v>3.4108129956791355E-3</v>
      </c>
      <c r="O34" s="93">
        <f>+'Datos ICP (2)'!AO81</f>
        <v>3.220374604913312E-3</v>
      </c>
      <c r="P34" s="93">
        <f>+'Datos ICP (2)'!AP81</f>
        <v>3.2298559019789952E-3</v>
      </c>
      <c r="Q34" s="91">
        <f>+'Datos ICP (2)'!AQ81</f>
        <v>4.9529562919770731E-2</v>
      </c>
      <c r="R34" s="84"/>
      <c r="S34" s="84"/>
      <c r="T34" s="84"/>
      <c r="U34" s="84"/>
      <c r="V34" s="84"/>
      <c r="W34" s="84"/>
      <c r="X34" s="84"/>
    </row>
    <row r="35" spans="3:24" ht="15" customHeight="1">
      <c r="C35" s="83"/>
      <c r="D35" s="84" t="s">
        <v>38</v>
      </c>
      <c r="E35" s="93">
        <f>+'Datos ICP (2)'!AE82</f>
        <v>8.7155021008871181E-3</v>
      </c>
      <c r="F35" s="93">
        <f>+'Datos ICP (2)'!AF82</f>
        <v>6.7955784837125943E-3</v>
      </c>
      <c r="G35" s="93">
        <f>+'Datos ICP (2)'!AG82</f>
        <v>6.2771325061894423E-3</v>
      </c>
      <c r="H35" s="93">
        <f>+'Datos ICP (2)'!AH82</f>
        <v>6.7234428315485761E-3</v>
      </c>
      <c r="I35" s="93">
        <f>+'Datos ICP (2)'!AI82</f>
        <v>6.5268454127931363E-3</v>
      </c>
      <c r="J35" s="93">
        <f>+'Datos ICP (2)'!AJ82</f>
        <v>5.9161998920378434E-3</v>
      </c>
      <c r="K35" s="93">
        <f>+'Datos ICP (2)'!AK82</f>
        <v>5.4275767202143221E-3</v>
      </c>
      <c r="L35" s="93">
        <f>+'Datos ICP (2)'!AL82</f>
        <v>5.4594118368289646E-3</v>
      </c>
      <c r="M35" s="93">
        <f>+'Datos ICP (2)'!AM82</f>
        <v>4.9712145506344285E-3</v>
      </c>
      <c r="N35" s="93">
        <f>+'Datos ICP (2)'!AN82</f>
        <v>4.6385679857214868E-3</v>
      </c>
      <c r="O35" s="93">
        <f>+'Datos ICP (2)'!AO82</f>
        <v>4.4788464976539544E-3</v>
      </c>
      <c r="P35" s="93">
        <f>+'Datos ICP (2)'!AP82</f>
        <v>3.9051764467601391E-3</v>
      </c>
      <c r="Q35" s="91">
        <f>+'Datos ICP (2)'!AQ82</f>
        <v>7.2104798098757916E-2</v>
      </c>
      <c r="R35" s="84"/>
      <c r="S35" s="84"/>
      <c r="T35" s="84"/>
      <c r="U35" s="84"/>
      <c r="V35" s="84"/>
      <c r="W35" s="84"/>
      <c r="X35" s="84"/>
    </row>
    <row r="36" spans="3:24" ht="15" customHeight="1">
      <c r="C36" s="83">
        <v>2025</v>
      </c>
      <c r="D36" s="84" t="s">
        <v>3</v>
      </c>
      <c r="E36" s="93">
        <f>+'Datos ICP (2)'!AE83</f>
        <v>4.4544301743754122E-3</v>
      </c>
      <c r="F36" s="93">
        <f>+'Datos ICP (2)'!AF83</f>
        <v>3.8962630509944418E-3</v>
      </c>
      <c r="G36" s="93">
        <f>+'Datos ICP (2)'!AG83</f>
        <v>4.3138020854180947E-3</v>
      </c>
      <c r="H36" s="93">
        <f>+'Datos ICP (2)'!AH83</f>
        <v>4.175716443427735E-3</v>
      </c>
      <c r="I36" s="93">
        <f>+'Datos ICP (2)'!AI83</f>
        <v>4.1742269465041559E-3</v>
      </c>
      <c r="J36" s="93">
        <f>+'Datos ICP (2)'!AJ83</f>
        <v>4.3145661365249222E-3</v>
      </c>
      <c r="K36" s="93">
        <f>+'Datos ICP (2)'!AK83</f>
        <v>4.3062620834468657E-3</v>
      </c>
      <c r="L36" s="93">
        <f>+'Datos ICP (2)'!AL83</f>
        <v>3.8332746894158554E-3</v>
      </c>
      <c r="M36" s="93">
        <f>+'Datos ICP (2)'!AM83</f>
        <v>4.230048764417349E-3</v>
      </c>
      <c r="N36" s="93">
        <f>+'Datos ICP (2)'!AN83</f>
        <v>3.9661902107710478E-3</v>
      </c>
      <c r="O36" s="93">
        <f>+'Datos ICP (2)'!AO83</f>
        <v>3.8324396523354842E-3</v>
      </c>
      <c r="P36" s="93">
        <f>+'Datos ICP (2)'!AP83</f>
        <v>4.1394620357759759E-3</v>
      </c>
      <c r="Q36" s="91">
        <f>+'Datos ICP (2)'!AQ83</f>
        <v>4.6121516637569471E-2</v>
      </c>
      <c r="R36" s="84"/>
      <c r="S36" s="84"/>
      <c r="T36" s="84"/>
      <c r="U36" s="84"/>
      <c r="V36" s="84"/>
      <c r="W36" s="84"/>
      <c r="X36" s="84"/>
    </row>
    <row r="37" spans="3:24" ht="15" customHeight="1">
      <c r="C37" s="83"/>
      <c r="D37" s="84" t="s">
        <v>26</v>
      </c>
      <c r="E37" s="93">
        <f>+'Datos ICP (2)'!AE84</f>
        <v>3.0202103340466468E-3</v>
      </c>
      <c r="F37" s="93">
        <f>+'Datos ICP (2)'!AF84</f>
        <v>2.7621377102811095E-3</v>
      </c>
      <c r="G37" s="93">
        <f>+'Datos ICP (2)'!AG84</f>
        <v>3.0628269232331196E-3</v>
      </c>
      <c r="H37" s="93">
        <f>+'Datos ICP (2)'!AH84</f>
        <v>2.975949685819046E-3</v>
      </c>
      <c r="I37" s="93">
        <f>+'Datos ICP (2)'!AI84</f>
        <v>3.0897625227950254E-3</v>
      </c>
      <c r="J37" s="93">
        <f>+'Datos ICP (2)'!AJ84</f>
        <v>2.9970524574272073E-3</v>
      </c>
      <c r="K37" s="93">
        <f>+'Datos ICP (2)'!AK84</f>
        <v>2.9505495279136262E-3</v>
      </c>
      <c r="L37" s="93">
        <f>+'Datos ICP (2)'!AL84</f>
        <v>3.0005421908383401E-3</v>
      </c>
      <c r="M37" s="93">
        <f>+'Datos ICP (2)'!AM84</f>
        <v>2.7616149661373601E-3</v>
      </c>
      <c r="N37" s="93">
        <f>+'Datos ICP (2)'!AN84</f>
        <v>2.8651947244786591E-3</v>
      </c>
      <c r="O37" s="93">
        <f>+'Datos ICP (2)'!AO84</f>
        <v>2.7950157631990713E-3</v>
      </c>
      <c r="P37" s="93">
        <f>+'Datos ICP (2)'!AP84</f>
        <v>2.8377664992760288E-3</v>
      </c>
      <c r="Q37" s="91">
        <f>+'Datos ICP (2)'!AQ84</f>
        <v>3.2570786205744717E-2</v>
      </c>
      <c r="R37" s="84"/>
      <c r="S37" s="84"/>
      <c r="T37" s="84"/>
      <c r="U37" s="84"/>
      <c r="V37" s="84"/>
      <c r="W37" s="84"/>
      <c r="X37" s="84"/>
    </row>
    <row r="38" spans="3:24" ht="15" customHeight="1">
      <c r="C38" s="83"/>
      <c r="D38" s="84" t="s">
        <v>38</v>
      </c>
      <c r="E38" s="93">
        <f>+'Datos ICP (2)'!AE85</f>
        <v>4.2567710576433271E-3</v>
      </c>
      <c r="F38" s="93">
        <f>+'Datos ICP (2)'!AF85</f>
        <v>4.8648734221738987E-3</v>
      </c>
      <c r="G38" s="93">
        <f>+'Datos ICP (2)'!AG85</f>
        <v>5.0066957535002121E-3</v>
      </c>
      <c r="H38" s="93">
        <f>+'Datos ICP (2)'!AH85</f>
        <v>6.8488173687029086E-3</v>
      </c>
      <c r="I38" s="93">
        <f>+'Datos ICP (2)'!AI85</f>
        <v>5.8952336271897998E-3</v>
      </c>
      <c r="J38" s="93">
        <f>+'Datos ICP (2)'!AJ85</f>
        <v>6.0417303273920808E-3</v>
      </c>
      <c r="K38" s="93">
        <f>+'Datos ICP (2)'!AK85</f>
        <v>5.7971531085332373E-3</v>
      </c>
      <c r="L38" s="93">
        <f>+'Datos ICP (2)'!AL85</f>
        <v>6.1244573818366455E-3</v>
      </c>
      <c r="M38" s="93">
        <f>+'Datos ICP (2)'!AM85</f>
        <v>5.8265345486128162E-3</v>
      </c>
      <c r="N38" s="93">
        <f>+'Datos ICP (2)'!AN85</f>
        <v>5.9401711159736692E-3</v>
      </c>
      <c r="O38" s="93">
        <f>+'Datos ICP (2)'!AO85</f>
        <v>5.830070950088917E-3</v>
      </c>
      <c r="P38" s="93">
        <f>+'Datos ICP (2)'!AP85</f>
        <v>6.0141189724005617E-3</v>
      </c>
      <c r="Q38" s="91">
        <f>+'Datos ICP (2)'!AQ85</f>
        <v>6.6094419252189507E-2</v>
      </c>
      <c r="R38" s="84"/>
      <c r="S38" s="84"/>
      <c r="T38" s="84"/>
      <c r="U38" s="84"/>
      <c r="V38" s="84"/>
      <c r="W38" s="84"/>
      <c r="X38" s="84"/>
    </row>
    <row r="39" spans="3:24">
      <c r="C39" s="83">
        <v>2026</v>
      </c>
      <c r="D39" s="84" t="s">
        <v>3</v>
      </c>
      <c r="E39" s="91">
        <f>+'Datos ICP (2)'!AE86</f>
        <v>3.8823436327337646E-3</v>
      </c>
      <c r="F39" s="91">
        <f>+'Datos ICP (2)'!AF86</f>
        <v>3.6312646105696178E-3</v>
      </c>
      <c r="G39" s="91">
        <f>+'Datos ICP (2)'!AG86</f>
        <v>3.881928086548303E-3</v>
      </c>
      <c r="H39" s="91">
        <f>+'Datos ICP (2)'!AH86</f>
        <v>3.7564119506456883E-3</v>
      </c>
      <c r="I39" s="91"/>
      <c r="J39" s="91"/>
      <c r="K39" s="91"/>
      <c r="L39" s="91"/>
      <c r="M39" s="91"/>
      <c r="N39" s="91"/>
      <c r="O39" s="91"/>
      <c r="P39" s="91"/>
      <c r="Q39" s="91">
        <f>+'Datos ICP (2)'!AQ86</f>
        <v>3.393592966266068E-2</v>
      </c>
    </row>
    <row r="40" spans="3:24">
      <c r="C40" s="83"/>
      <c r="D40" s="84" t="s">
        <v>26</v>
      </c>
      <c r="E40" s="93">
        <f>+'Datos ICP (2)'!AE87</f>
        <v>2.7244381547273377E-3</v>
      </c>
      <c r="F40" s="93">
        <f>+'Datos ICP (2)'!AF87</f>
        <v>2.4452163666022209E-3</v>
      </c>
      <c r="G40" s="93">
        <f>+'Datos ICP (2)'!AG87</f>
        <v>2.6877762515176151E-3</v>
      </c>
      <c r="H40" s="93">
        <f>+'Datos ICP (2)'!AH87</f>
        <v>2.5969787217614559E-3</v>
      </c>
      <c r="I40" s="93"/>
      <c r="J40" s="93"/>
      <c r="K40" s="93"/>
      <c r="L40" s="93"/>
      <c r="M40" s="93"/>
      <c r="N40" s="93"/>
      <c r="O40" s="93"/>
      <c r="P40" s="93"/>
      <c r="Q40" s="93">
        <f>+'Datos ICP (2)'!AQ87</f>
        <v>2.3249672624455764E-2</v>
      </c>
    </row>
    <row r="41" spans="3:24">
      <c r="C41" s="83"/>
      <c r="D41" s="84" t="s">
        <v>38</v>
      </c>
      <c r="E41" s="93">
        <f>+'Datos ICP (2)'!AE88</f>
        <v>5.9755314742204746E-3</v>
      </c>
      <c r="F41" s="93">
        <f>+'Datos ICP (2)'!AF88</f>
        <v>5.7084575754653422E-3</v>
      </c>
      <c r="G41" s="93">
        <f>+'Datos ICP (2)'!AG88</f>
        <v>6.1044231906730584E-3</v>
      </c>
      <c r="H41" s="93">
        <f>+'Datos ICP (2)'!AH88</f>
        <v>6.0157055532463755E-3</v>
      </c>
      <c r="I41" s="93"/>
      <c r="J41" s="93"/>
      <c r="K41" s="93"/>
      <c r="L41" s="93"/>
      <c r="M41" s="93"/>
      <c r="N41" s="93"/>
      <c r="O41" s="93"/>
      <c r="P41" s="93"/>
      <c r="Q41" s="93">
        <f>+'Datos ICP (2)'!AQ88</f>
        <v>5.3804116802849355E-2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4"/>
  <sheetViews>
    <sheetView showGridLines="0" topLeftCell="J1" zoomScaleNormal="100" workbookViewId="0">
      <selection activeCell="P8" sqref="P8"/>
    </sheetView>
  </sheetViews>
  <sheetFormatPr defaultColWidth="11.42578125" defaultRowHeight="15"/>
  <cols>
    <col min="1" max="1" width="14.28515625" bestFit="1" customWidth="1"/>
    <col min="2" max="2" width="15.28515625" bestFit="1" customWidth="1"/>
    <col min="9" max="10" width="11.5703125" customWidth="1"/>
    <col min="11" max="11" width="28.42578125" customWidth="1"/>
    <col min="13" max="13" width="11.5703125" customWidth="1"/>
    <col min="14" max="14" width="16.140625" bestFit="1" customWidth="1"/>
    <col min="15" max="15" width="42.140625" bestFit="1" customWidth="1"/>
    <col min="16" max="16" width="8" bestFit="1" customWidth="1"/>
    <col min="17" max="17" width="5" customWidth="1"/>
    <col min="19" max="19" width="28.7109375" customWidth="1"/>
  </cols>
  <sheetData>
    <row r="1" spans="1:20">
      <c r="B1" s="3"/>
      <c r="C1" s="1"/>
      <c r="J1" s="2" t="s">
        <v>50</v>
      </c>
      <c r="K1" s="3"/>
      <c r="L1" s="4"/>
      <c r="N1" s="2" t="s">
        <v>51</v>
      </c>
      <c r="O1" s="3"/>
      <c r="P1" s="4"/>
      <c r="R1" s="2" t="s">
        <v>52</v>
      </c>
      <c r="S1" s="3"/>
      <c r="T1" s="4"/>
    </row>
    <row r="2" spans="1:20">
      <c r="C2" s="1"/>
      <c r="O2" s="94" t="s">
        <v>53</v>
      </c>
      <c r="P2" s="95">
        <v>0</v>
      </c>
    </row>
    <row r="3" spans="1:20">
      <c r="C3" s="1"/>
      <c r="K3" s="94" t="s">
        <v>54</v>
      </c>
      <c r="L3" s="95">
        <v>0.61399999999999999</v>
      </c>
      <c r="O3" s="94" t="s">
        <v>55</v>
      </c>
      <c r="P3" s="95">
        <v>0</v>
      </c>
      <c r="S3" s="94" t="s">
        <v>56</v>
      </c>
      <c r="T3" s="95">
        <v>1</v>
      </c>
    </row>
    <row r="4" spans="1:20">
      <c r="C4" s="1"/>
      <c r="K4" s="94" t="s">
        <v>57</v>
      </c>
      <c r="L4" s="95">
        <v>0.36580000000000001</v>
      </c>
      <c r="O4" s="94" t="s">
        <v>58</v>
      </c>
      <c r="P4" s="95">
        <v>0</v>
      </c>
      <c r="S4" s="94" t="s">
        <v>59</v>
      </c>
      <c r="T4" s="95">
        <v>0</v>
      </c>
    </row>
    <row r="5" spans="1:20">
      <c r="A5" s="3"/>
      <c r="B5" s="3"/>
      <c r="C5" s="1"/>
      <c r="K5" s="94" t="s">
        <v>60</v>
      </c>
      <c r="L5" s="95">
        <v>2.0199999999999999E-2</v>
      </c>
      <c r="O5" s="94" t="s">
        <v>61</v>
      </c>
      <c r="P5" s="95">
        <v>8.1100000000000005E-2</v>
      </c>
    </row>
    <row r="6" spans="1:20">
      <c r="A6" s="3"/>
      <c r="B6" s="3"/>
      <c r="C6" s="1"/>
      <c r="K6" s="94" t="s">
        <v>62</v>
      </c>
      <c r="L6" s="95">
        <v>0</v>
      </c>
      <c r="O6" s="94" t="s">
        <v>63</v>
      </c>
      <c r="P6" s="95">
        <v>0.86180000000000001</v>
      </c>
    </row>
    <row r="7" spans="1:20">
      <c r="B7" s="3"/>
      <c r="C7" s="1"/>
      <c r="L7" s="74">
        <f>SUM(L3:L6)</f>
        <v>1</v>
      </c>
      <c r="O7" s="94" t="s">
        <v>64</v>
      </c>
      <c r="P7" s="95">
        <v>2.0199999999999999E-2</v>
      </c>
      <c r="Q7" s="74"/>
    </row>
    <row r="8" spans="1:20">
      <c r="C8" s="1"/>
      <c r="O8" s="94" t="s">
        <v>65</v>
      </c>
      <c r="P8" s="95">
        <v>3.6999999999999998E-2</v>
      </c>
    </row>
    <row r="9" spans="1:20">
      <c r="C9" s="1"/>
      <c r="O9" s="94" t="s">
        <v>66</v>
      </c>
      <c r="P9" s="95">
        <v>0</v>
      </c>
    </row>
    <row r="10" spans="1:20">
      <c r="C10" s="1"/>
      <c r="O10" s="94" t="s">
        <v>67</v>
      </c>
      <c r="P10" s="95">
        <v>0</v>
      </c>
    </row>
    <row r="11" spans="1:20">
      <c r="C11" s="1"/>
      <c r="O11" s="94" t="s">
        <v>68</v>
      </c>
      <c r="P11" s="95">
        <v>0</v>
      </c>
    </row>
    <row r="12" spans="1:20" hidden="1">
      <c r="C12" s="1"/>
      <c r="O12" s="94"/>
      <c r="P12" s="95">
        <v>0</v>
      </c>
    </row>
    <row r="13" spans="1:20">
      <c r="C13" s="1"/>
      <c r="O13" s="94" t="s">
        <v>69</v>
      </c>
      <c r="P13" s="95">
        <v>0</v>
      </c>
    </row>
    <row r="14" spans="1:20" hidden="1">
      <c r="A14" s="3" t="s">
        <v>70</v>
      </c>
      <c r="B14" s="5">
        <v>0</v>
      </c>
      <c r="C14" s="1"/>
    </row>
    <row r="15" spans="1:20">
      <c r="A15" s="3"/>
      <c r="B15" s="5"/>
      <c r="C15" s="1"/>
      <c r="P15" s="74">
        <f>SUM(P2:P14)</f>
        <v>1.0001</v>
      </c>
    </row>
    <row r="16" spans="1:20">
      <c r="B16" s="3"/>
      <c r="C16" s="1"/>
    </row>
    <row r="17" spans="1:15">
      <c r="C17" s="1"/>
    </row>
    <row r="18" spans="1:15">
      <c r="C18" s="1"/>
    </row>
    <row r="19" spans="1:15">
      <c r="C19" s="1"/>
    </row>
    <row r="20" spans="1:15">
      <c r="C20" s="1"/>
    </row>
    <row r="21" spans="1:15">
      <c r="C21" s="1"/>
      <c r="N21" s="6"/>
      <c r="O21" s="73"/>
    </row>
    <row r="22" spans="1:15">
      <c r="A22" s="1"/>
      <c r="B22" s="1"/>
      <c r="C22" s="1"/>
    </row>
    <row r="23" spans="1:15">
      <c r="A23" s="1"/>
      <c r="B23" s="1"/>
      <c r="C23" s="1"/>
    </row>
    <row r="24" spans="1:15">
      <c r="A24" s="1"/>
      <c r="B24" s="1"/>
      <c r="C24" s="1"/>
    </row>
  </sheetData>
  <autoFilter ref="K1:T24" xr:uid="{00000000-0009-0000-0000-000001000000}">
    <sortState xmlns:xlrd2="http://schemas.microsoft.com/office/spreadsheetml/2017/richdata2" ref="K2:T24">
      <sortCondition descending="1" ref="P1:P24"/>
    </sortState>
  </autoFilter>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HP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NCABEZAS</dc:creator>
  <cp:keywords/>
  <dc:description/>
  <cp:lastModifiedBy>María Isabel Velasco Retamal</cp:lastModifiedBy>
  <cp:revision/>
  <dcterms:created xsi:type="dcterms:W3CDTF">2018-12-10T21:02:38Z</dcterms:created>
  <dcterms:modified xsi:type="dcterms:W3CDTF">2026-05-12T18:12:21Z</dcterms:modified>
  <cp:category/>
  <cp:contentStatus/>
</cp:coreProperties>
</file>