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0.0%"/>
    <numFmt numFmtId="173"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family val="2"/>
      <color rgb="FF000000"/>
      <sz val="11"/>
    </font>
    <font>
      <name val="Aptos Narrow"/>
      <color rgb="FF000000"/>
      <sz val="11"/>
    </font>
    <font>
      <name val="Muli"/>
      <charset val="1"/>
      <color rgb="FF666666"/>
      <sz val="8.800000000000001"/>
    </font>
  </fonts>
  <fills count="1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DAF2D0"/>
        <bgColor rgb="FFDAF2D0"/>
      </patternFill>
    </fill>
    <fill>
      <patternFill patternType="solid">
        <fgColor rgb="FFF8F8F8"/>
        <bgColor indexed="64"/>
      </patternFill>
    </fill>
  </fills>
  <borders count="4">
    <border>
      <left/>
      <right/>
      <top/>
      <bottom/>
      <diagonal/>
    </border>
    <border>
      <left style="thin">
        <color indexed="64"/>
      </left>
      <right/>
      <top/>
      <bottom/>
      <diagonal/>
    </border>
    <border>
      <left/>
      <right/>
      <top style="thin">
        <color rgb="FF8ED973"/>
      </top>
      <bottom style="thin">
        <color rgb="FF8ED973"/>
      </bottom>
      <diagonal/>
    </border>
    <border>
      <left style="thick">
        <color rgb="FFFFFFFF"/>
      </left>
      <right style="thick">
        <color rgb="FFFFFFFF"/>
      </right>
      <top style="thick">
        <color rgb="FFFFFFFF"/>
      </top>
      <bottom style="thick">
        <color rgb="FFD4D4D4"/>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172"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30" fillId="0" borderId="0" pivotButton="0" quotePrefix="0" xfId="0"/>
    <xf numFmtId="2" fontId="30" fillId="0" borderId="0" pivotButton="0" quotePrefix="0" xfId="0"/>
    <xf numFmtId="164" fontId="29" fillId="14" borderId="2" pivotButton="0" quotePrefix="0" xfId="0"/>
    <xf numFmtId="164" fontId="29" fillId="0" borderId="2" pivotButton="0" quotePrefix="0" xfId="0"/>
    <xf numFmtId="0" fontId="31" fillId="15" borderId="3" applyAlignment="1" pivotButton="0" quotePrefix="0" xfId="0">
      <alignment wrapText="1"/>
    </xf>
    <xf numFmtId="0" fontId="31" fillId="15" borderId="3" pivotButton="0" quotePrefix="0" xfId="0"/>
    <xf numFmtId="3" fontId="29" fillId="0" borderId="2"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64" fontId="29" fillId="14" borderId="2" pivotButton="0" quotePrefix="0" xfId="0"/>
    <xf numFmtId="164" fontId="29" fillId="0" borderId="2" pivotButton="0" quotePrefix="0" xfId="0"/>
    <xf numFmtId="173"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Flexible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Flexible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manualLayout>
          <layoutTarget val="inner"/>
          <xMode val="edge"/>
          <yMode val="edge"/>
          <wMode val="factor"/>
          <hMode val="factor"/>
          <x val="0.07640650885154379"/>
          <y val="0.1074431889510883"/>
          <w val="0.9054466109900724"/>
          <h val="0.7799205151830042"/>
        </manualLayout>
      </layout>
      <lineChart>
        <grouping val="standard"/>
        <varyColors val="0"/>
        <ser>
          <idx val="0"/>
          <order val="0"/>
          <tx>
            <v>FIP Liquidez Flexible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(2)'!$J$236:$J$244</f>
              <numCache>
                <formatCode>#,##0.00</formatCode>
                <ptCount val="9"/>
                <pt idx="0">
                  <v>100</v>
                </pt>
                <pt idx="1">
                  <v>100.40216</v>
                </pt>
                <pt idx="2">
                  <v>101.0317825806451</v>
                </pt>
                <pt idx="3">
                  <v>101.6843170291012</v>
                </pt>
                <pt idx="4">
                  <v>102.2865241901526</v>
                </pt>
                <pt idx="5">
                  <v>102.8815805496273</v>
                </pt>
                <pt idx="6">
                  <v>103.4970531773961</v>
                </pt>
                <pt idx="7">
                  <v>104.1580811940487</v>
                </pt>
                <pt idx="8">
                  <v>104.7602642885623</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(2)'!$M$236:$M$244</f>
              <numCache>
                <formatCode>0.00</formatCode>
                <ptCount val="9"/>
                <pt idx="0">
                  <v>107.6553269839786</v>
                </pt>
                <pt idx="1">
                  <v>107.9757038204934</v>
                </pt>
                <pt idx="2">
                  <v>108.2985611911743</v>
                </pt>
                <pt idx="3">
                  <v>108.6231376601281</v>
                </pt>
                <pt idx="4">
                  <v>108.9436475165913</v>
                </pt>
                <pt idx="5">
                  <v>109.2496120966553</v>
                </pt>
                <pt idx="6">
                  <v>109.5513174604662</v>
                </pt>
                <pt idx="7">
                  <v>109.8550779670927</v>
                </pt>
                <pt idx="8">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(2)'!$F$236:$F$244</f>
              <numCache>
                <formatCode>m/d/yyyy</formatCode>
                <ptCount val="9"/>
                <pt idx="0">
                  <v>45747</v>
                </pt>
                <pt idx="1">
                  <v>45777</v>
                </pt>
                <pt idx="2">
                  <v>45808</v>
                </pt>
                <pt idx="3">
                  <v>45838</v>
                </pt>
                <pt idx="4">
                  <v>45869</v>
                </pt>
                <pt idx="5">
                  <v>45900</v>
                </pt>
                <pt idx="6">
                  <v>45930</v>
                </pt>
                <pt idx="7">
                  <v>45961</v>
                </pt>
                <pt idx="8">
                  <v>45991</v>
                </pt>
              </numCache>
            </numRef>
          </cat>
          <val>
            <numRef>
              <f>'Datos ICP (2)'!$D$236:$D$244</f>
              <numCache>
                <formatCode>0.00</formatCode>
                <ptCount val="9"/>
                <pt idx="0">
                  <v>110.2439573783854</v>
                </pt>
                <pt idx="1">
                  <v>110.7043048839988</v>
                </pt>
                <pt idx="2">
                  <v>111.1515031671028</v>
                </pt>
                <pt idx="3">
                  <v>111.6310736786915</v>
                </pt>
                <pt idx="4">
                  <v>112.0962794786111</v>
                </pt>
                <pt idx="5">
                  <v>112.5121141536786</v>
                </pt>
                <pt idx="6">
                  <v>112.9880458831364</v>
                </pt>
                <pt idx="7">
                  <v>113.4217220910549</v>
                </pt>
                <pt idx="8">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0.529</v>
                </pt>
                <pt idx="1">
                  <v>0.4679</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formatCode>
                <ptCount val="9"/>
                <pt idx="0">
                  <formatCode>0.00%</formatCode>
                  <v>0</v>
                </pt>
                <pt idx="1">
                  <v>0</v>
                </pt>
                <pt idx="2">
                  <formatCode>0.00%</formatCode>
                  <v>0.1185</v>
                </pt>
                <pt idx="3">
                  <formatCode>0.00%</formatCode>
                  <v>0.799</v>
                </pt>
                <pt idx="4">
                  <formatCode>0.00%</formatCode>
                  <v>0</v>
                </pt>
                <pt idx="5">
                  <v>0.0825</v>
                </pt>
                <pt idx="6">
                  <formatCode>0.00%</formatCode>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268062</colOff>
      <row>263</row>
      <rowOff>24492</rowOff>
    </from>
    <to>
      <col>14</col>
      <colOff>191860</colOff>
      <row>291</row>
      <rowOff>146957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F11" zoomScale="70"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1" min="7" max="7"/>
    <col width="14.5703125" customWidth="1" style="111" min="8" max="8"/>
    <col width="12.28515625" bestFit="1" customWidth="1" style="112"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7109375" bestFit="1"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 Recurrente</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3" t="n"/>
      <c r="H2" s="113" t="n"/>
      <c r="J2" s="14" t="inlineStr">
        <is>
          <t>Fondo Liquidez Recurrente</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t="n"/>
      <c r="AR2" s="20" t="n"/>
      <c r="AS2" s="20" t="n"/>
    </row>
    <row r="3">
      <c r="A3" s="28" t="n">
        <v>38717</v>
      </c>
      <c r="B3" s="29" t="n">
        <v>10953.14</v>
      </c>
      <c r="D3" s="30" t="n"/>
      <c r="E3" s="30" t="n"/>
      <c r="F3" s="30" t="n"/>
      <c r="K3" s="23" t="inlineStr">
        <is>
          <t>SERIE E</t>
        </is>
      </c>
      <c r="L3" s="24" t="n"/>
      <c r="N3" s="29">
        <f>B3</f>
        <v/>
      </c>
      <c r="O3" s="14" t="n">
        <v>2006</v>
      </c>
      <c r="P3" s="114" t="n"/>
      <c r="Q3" s="114" t="n"/>
      <c r="R3" s="114" t="n"/>
      <c r="S3" s="114" t="n"/>
      <c r="T3" s="114" t="n"/>
      <c r="U3" s="114" t="n"/>
      <c r="V3" s="114" t="n"/>
      <c r="W3" s="114" t="n"/>
      <c r="X3" s="114" t="n"/>
      <c r="Y3" s="114" t="n"/>
      <c r="Z3" s="114" t="n"/>
      <c r="AA3" s="114" t="n"/>
      <c r="AC3" s="17" t="n"/>
      <c r="AD3" s="32" t="n">
        <v>2007</v>
      </c>
      <c r="AE3" s="33" t="n"/>
      <c r="AF3" s="33" t="n"/>
      <c r="AG3" s="33" t="n"/>
      <c r="AH3" s="33" t="n"/>
      <c r="AI3" s="33" t="n"/>
      <c r="AJ3" s="33" t="n"/>
      <c r="AK3" s="33" t="n"/>
      <c r="AL3" s="33" t="n"/>
      <c r="AM3" s="33" t="n"/>
      <c r="AN3" s="33" t="n"/>
      <c r="AO3" s="33" t="n"/>
      <c r="AP3" s="33" t="n"/>
      <c r="AQ3" s="34" t="n"/>
      <c r="AR3" s="20" t="n"/>
      <c r="AS3" s="20" t="n"/>
    </row>
    <row r="4">
      <c r="A4" s="115" t="n">
        <v>38748</v>
      </c>
      <c r="B4" s="114" t="n">
        <v>10996.85</v>
      </c>
      <c r="C4" s="36">
        <f>(B4/B3-1)/(A4-A3)*30</f>
        <v/>
      </c>
      <c r="D4" s="30" t="n"/>
      <c r="E4" s="30" t="n"/>
      <c r="F4" s="30" t="n"/>
      <c r="K4" s="23" t="inlineStr">
        <is>
          <t>BCI EFICIENTE</t>
        </is>
      </c>
      <c r="L4" s="24" t="n"/>
      <c r="O4" s="14" t="n">
        <v>2007</v>
      </c>
      <c r="P4" s="114" t="n"/>
      <c r="Q4" s="114" t="n"/>
      <c r="R4" s="114" t="n"/>
      <c r="S4" s="114" t="n"/>
      <c r="T4" s="114" t="n"/>
      <c r="U4" s="114" t="n"/>
      <c r="V4" s="114" t="n"/>
      <c r="W4" s="114" t="n"/>
      <c r="X4" s="114" t="n"/>
      <c r="Y4" s="114" t="n"/>
      <c r="Z4" s="114" t="n"/>
      <c r="AA4" s="114"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4" t="n">
        <v>11035.11</v>
      </c>
      <c r="C5" s="36">
        <f>(B5/B4-1)/(A5-A4)*30</f>
        <v/>
      </c>
      <c r="D5" s="30" t="n"/>
      <c r="E5" s="30" t="n"/>
      <c r="F5" s="30" t="n"/>
      <c r="O5" s="14" t="n">
        <v>2008</v>
      </c>
      <c r="P5" s="114" t="n"/>
      <c r="Q5" s="114" t="n"/>
      <c r="R5" s="114" t="n"/>
      <c r="S5" s="114" t="n"/>
      <c r="T5" s="114" t="n"/>
      <c r="U5" s="114" t="n"/>
      <c r="V5" s="114" t="n"/>
      <c r="W5" s="114" t="n"/>
      <c r="X5" s="114" t="n"/>
      <c r="Y5" s="114" t="n"/>
      <c r="Z5" s="114" t="n"/>
      <c r="AA5" s="114"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4" t="n">
        <v>11078.66</v>
      </c>
      <c r="C6" s="36">
        <f>(B6/B5-1)/(A6-A5)*30</f>
        <v/>
      </c>
      <c r="D6" s="30" t="n"/>
      <c r="E6" s="30" t="n"/>
      <c r="F6" s="30" t="n"/>
      <c r="O6" s="14" t="n">
        <v>2009</v>
      </c>
      <c r="P6" s="114" t="n"/>
      <c r="Q6" s="114" t="n"/>
      <c r="R6" s="114" t="n"/>
      <c r="S6" s="114" t="n"/>
      <c r="T6" s="114" t="n"/>
      <c r="U6" s="114" t="n"/>
      <c r="V6" s="114" t="n"/>
      <c r="W6" s="114" t="n"/>
      <c r="X6" s="114" t="n"/>
      <c r="Y6" s="114" t="n"/>
      <c r="Z6" s="114" t="n"/>
      <c r="AA6" s="114"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4" t="n">
        <v>11118.82</v>
      </c>
      <c r="C7" s="36">
        <f>(B7/B6-1)/(A7-A6)*30</f>
        <v/>
      </c>
      <c r="D7" s="30" t="n"/>
      <c r="E7" s="30" t="n"/>
      <c r="F7" s="30" t="n"/>
      <c r="O7" s="14" t="n">
        <v>2010</v>
      </c>
      <c r="P7" s="114" t="n"/>
      <c r="Q7" s="114" t="n"/>
      <c r="R7" s="114" t="n"/>
      <c r="S7" s="114" t="n"/>
      <c r="T7" s="114" t="n"/>
      <c r="U7" s="114" t="n"/>
      <c r="V7" s="114" t="n"/>
      <c r="W7" s="114" t="n"/>
      <c r="X7" s="114" t="n"/>
      <c r="Y7" s="114" t="n"/>
      <c r="Z7" s="114" t="n"/>
      <c r="AA7" s="114"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4" t="n">
        <v>11169.1</v>
      </c>
      <c r="C8" s="36">
        <f>(B8/B7-1)/(A8-A7)*30</f>
        <v/>
      </c>
      <c r="D8" s="30" t="n"/>
      <c r="E8" s="30" t="n"/>
      <c r="F8" s="30" t="n"/>
      <c r="O8" s="14" t="n">
        <v>2011</v>
      </c>
      <c r="P8" s="114" t="n"/>
      <c r="Q8" s="114" t="n"/>
      <c r="R8" s="114" t="n"/>
      <c r="S8" s="114" t="n"/>
      <c r="T8" s="114" t="n"/>
      <c r="U8" s="114" t="n"/>
      <c r="V8" s="114" t="n"/>
      <c r="W8" s="114" t="n"/>
      <c r="X8" s="114" t="n"/>
      <c r="Y8" s="114" t="n"/>
      <c r="Z8" s="114" t="n"/>
      <c r="AA8" s="114"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4" t="n">
        <v>11215.04</v>
      </c>
      <c r="C9" s="36">
        <f>(B9/B8-1)/(A9-A8)*30</f>
        <v/>
      </c>
      <c r="D9" s="30" t="n"/>
      <c r="E9" s="30" t="n"/>
      <c r="F9" s="30" t="n"/>
      <c r="O9" s="14" t="n">
        <v>2012</v>
      </c>
      <c r="P9" s="114" t="n"/>
      <c r="Q9" s="114" t="n"/>
      <c r="R9" s="114" t="n"/>
      <c r="S9" s="114" t="n"/>
      <c r="T9" s="114" t="n"/>
      <c r="U9" s="114" t="n"/>
      <c r="V9" s="114" t="n"/>
      <c r="W9" s="114" t="n"/>
      <c r="X9" s="114" t="n"/>
      <c r="Y9" s="114" t="n"/>
      <c r="Z9" s="114" t="n"/>
      <c r="AA9" s="114"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4" t="n">
        <v>11263.22</v>
      </c>
      <c r="C10" s="36">
        <f>(B10/B9-1)/(A10-A9)*30</f>
        <v/>
      </c>
      <c r="D10" s="30" t="n"/>
      <c r="E10" s="30" t="n"/>
      <c r="F10" s="30" t="n"/>
      <c r="O10" s="14" t="n">
        <v>2013</v>
      </c>
      <c r="P10" s="114" t="n"/>
      <c r="Q10" s="114" t="n"/>
      <c r="R10" s="114" t="n"/>
      <c r="S10" s="114" t="n"/>
      <c r="T10" s="114" t="n"/>
      <c r="U10" s="114" t="n"/>
      <c r="V10" s="114" t="n"/>
      <c r="W10" s="114" t="n"/>
      <c r="X10" s="114" t="n"/>
      <c r="Y10" s="114" t="n"/>
      <c r="Z10" s="114" t="n"/>
      <c r="AA10" s="114"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4" t="n">
        <v>11313.29</v>
      </c>
      <c r="C11" s="36">
        <f>(B11/B10-1)/(A11-A10)*30</f>
        <v/>
      </c>
      <c r="D11" s="30" t="n"/>
      <c r="E11" s="30" t="n"/>
      <c r="F11" s="30" t="n"/>
      <c r="O11" s="14" t="n">
        <v>2014</v>
      </c>
      <c r="P11" s="114" t="n"/>
      <c r="Q11" s="114" t="n"/>
      <c r="R11" s="114" t="n"/>
      <c r="S11" s="114" t="n"/>
      <c r="T11" s="114" t="n"/>
      <c r="U11" s="114" t="n"/>
      <c r="V11" s="114" t="n"/>
      <c r="W11" s="114" t="n"/>
      <c r="X11" s="114" t="n"/>
      <c r="Y11" s="114" t="n"/>
      <c r="Z11" s="114" t="n"/>
      <c r="AA11" s="114"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4" t="n">
        <v>11360.92</v>
      </c>
      <c r="C12" s="36">
        <f>(B12/B11-1)/(A12-A11)*30</f>
        <v/>
      </c>
      <c r="D12" s="30" t="n"/>
      <c r="E12" s="30" t="n"/>
      <c r="F12" s="30" t="n"/>
      <c r="O12" s="14" t="n">
        <v>2015</v>
      </c>
      <c r="P12" s="114" t="n"/>
      <c r="Q12" s="114" t="n"/>
      <c r="R12" s="114" t="n"/>
      <c r="S12" s="114" t="n"/>
      <c r="T12" s="114" t="n"/>
      <c r="U12" s="114" t="n"/>
      <c r="V12" s="114" t="n"/>
      <c r="W12" s="114" t="n"/>
      <c r="X12" s="114" t="n"/>
      <c r="Y12" s="114" t="n"/>
      <c r="Z12" s="114" t="n"/>
      <c r="AA12" s="114"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4" t="n">
        <v>11413.02</v>
      </c>
      <c r="C13" s="36">
        <f>(B13/B12-1)/(A13-A12)*30</f>
        <v/>
      </c>
      <c r="D13" s="30" t="n"/>
      <c r="E13" s="30" t="n"/>
      <c r="F13" s="30" t="n"/>
      <c r="O13" s="14" t="n">
        <v>2016</v>
      </c>
      <c r="P13" s="114" t="n"/>
      <c r="Q13" s="114" t="n"/>
      <c r="R13" s="114" t="n"/>
      <c r="S13" s="114" t="n"/>
      <c r="T13" s="114" t="n"/>
      <c r="U13" s="114" t="n"/>
      <c r="V13" s="114" t="n"/>
      <c r="W13" s="114" t="n"/>
      <c r="X13" s="114" t="n"/>
      <c r="Y13" s="114" t="n"/>
      <c r="Z13" s="114" t="n"/>
      <c r="AA13" s="114"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4" t="n">
        <v>11463.01</v>
      </c>
      <c r="C14" s="36">
        <f>(B14/B13-1)/(A14-A13)*30</f>
        <v/>
      </c>
      <c r="D14" s="30" t="n"/>
      <c r="E14" s="30" t="n"/>
      <c r="F14" s="30" t="n"/>
      <c r="O14" s="14" t="n">
        <v>2017</v>
      </c>
      <c r="P14" s="114" t="n"/>
      <c r="Q14" s="114" t="n"/>
      <c r="R14" s="114" t="n"/>
      <c r="S14" s="114" t="n"/>
      <c r="T14" s="114" t="n"/>
      <c r="U14" s="114" t="n"/>
      <c r="V14" s="114" t="n"/>
      <c r="W14" s="114" t="n"/>
      <c r="X14" s="114" t="n"/>
      <c r="Y14" s="114" t="n"/>
      <c r="Z14" s="114" t="n"/>
      <c r="AA14" s="114"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4"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4"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4"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4"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4"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46142</v>
      </c>
      <c r="AX19" s="42">
        <f>EOMONTH($AW19,AX18)+6+1</f>
        <v/>
      </c>
      <c r="AY19" s="42">
        <f>EOMONTH($AW19,AY18)</f>
        <v/>
      </c>
      <c r="AZ19" s="42">
        <f>EOMONTH($AW19,AZ18)</f>
        <v/>
      </c>
      <c r="BA19" s="42">
        <f>EOMONTH($AW19,BA18)</f>
        <v/>
      </c>
      <c r="BB19" s="42" t="n">
        <v>43100</v>
      </c>
    </row>
    <row r="20">
      <c r="A20" s="28" t="n">
        <v>39233</v>
      </c>
      <c r="B20" s="114"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4" t="n">
        <v>11812.23</v>
      </c>
      <c r="C21" s="36">
        <f>(B21/B20-1)/(A21-A20)*30</f>
        <v/>
      </c>
      <c r="D21" s="30" t="n"/>
      <c r="E21" s="30" t="n"/>
      <c r="F21" s="30" t="n"/>
      <c r="O21" s="14" t="n">
        <v>2024</v>
      </c>
      <c r="Q21" s="30" t="n"/>
      <c r="U21" s="30" t="n"/>
      <c r="Y21" s="30" t="n"/>
      <c r="AD21" s="32" t="n">
        <v>2025</v>
      </c>
      <c r="AE21" s="33" t="n">
        <v>0</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4"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lexible</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4" t="n"/>
      <c r="C23" s="36" t="n"/>
      <c r="D23" s="30" t="n"/>
      <c r="E23" s="30" t="n"/>
      <c r="F23" s="30" t="n"/>
      <c r="O23" s="14" t="n">
        <v>2026</v>
      </c>
      <c r="P23" s="14">
        <f>+B246</f>
        <v/>
      </c>
      <c r="Q23" s="30">
        <f>+B247</f>
        <v/>
      </c>
      <c r="R23" s="30">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4"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4"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4" t="n">
        <v>12038.9</v>
      </c>
      <c r="C26" s="36">
        <f>(B26/B25-1)/(A26-A25)*30</f>
        <v/>
      </c>
      <c r="D26" s="30" t="n"/>
      <c r="E26" s="30" t="n"/>
      <c r="F26" s="30" t="n"/>
      <c r="O26" s="43" t="inlineStr">
        <is>
          <t>FONDO LIQUIDEZ FLEXIBLE</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4" t="n">
        <v>12096.85</v>
      </c>
      <c r="C27" s="36">
        <f>(B27/B26-1)/(A27-A26)*30</f>
        <v/>
      </c>
      <c r="D27" s="30" t="n"/>
      <c r="E27" s="30" t="n"/>
      <c r="F27" s="30" t="n"/>
      <c r="O27" s="14" t="n">
        <v>2016</v>
      </c>
      <c r="P27" s="114" t="n"/>
      <c r="Q27" s="114" t="n"/>
      <c r="R27" s="114" t="n"/>
      <c r="S27" s="114" t="n"/>
      <c r="T27" s="114">
        <f>'[1]Cuota Liquidez '!B2</f>
        <v/>
      </c>
      <c r="U27" s="116">
        <f>LOOKUP(DATE($O27,U$25,U$24),$A$2:$A$2943,$H$2:$H$2943)</f>
        <v/>
      </c>
      <c r="V27" s="116">
        <f>LOOKUP(DATE($O27,V$25,V$24),$A$2:$A$2943,$H$2:$H$2943)</f>
        <v/>
      </c>
      <c r="W27" s="116">
        <f>LOOKUP(DATE($O27,W$25,W$24),$A$2:$A$2943,$H$2:$H$2943)</f>
        <v/>
      </c>
      <c r="X27" s="116">
        <f>LOOKUP(DATE($O27,X$25,X$24),$A$2:$A$2943,$H$2:$H$2943)</f>
        <v/>
      </c>
      <c r="Y27" s="116">
        <f>LOOKUP(DATE($O27,Y$25,Y$24),$A$2:$A$2943,$H$2:$H$2943)</f>
        <v/>
      </c>
      <c r="Z27" s="116">
        <f>LOOKUP(DATE($O27,Z$25,Z$24),$A$2:$A$2943,$H$2:$H$2943)</f>
        <v/>
      </c>
      <c r="AA27" s="116">
        <f>LOOKUP(DATE($O27,AA$25,AA$24),$A$2:$A$2943,$H$2:$H$2943)</f>
        <v/>
      </c>
      <c r="AD27" s="40" t="inlineStr">
        <is>
          <t>FLEXIBLE</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4" t="n">
        <v>12152.6</v>
      </c>
      <c r="C28" s="36">
        <f>(B28/B27-1)/(A28-A27)*30</f>
        <v/>
      </c>
      <c r="D28" s="30" t="n"/>
      <c r="E28" s="30" t="n"/>
      <c r="F28" s="30" t="n"/>
      <c r="O28" s="14" t="n">
        <v>2017</v>
      </c>
      <c r="P28" s="116">
        <f>LOOKUP(DATE($O28,P$25,P$24),$A$2:$A$2943,$H$2:$H$2943)</f>
        <v/>
      </c>
      <c r="Q28" s="116">
        <f>LOOKUP(DATE($O28,Q$25,Q$24),$A$2:$A$2943,$H$2:$H$2943)</f>
        <v/>
      </c>
      <c r="R28" s="116">
        <f>LOOKUP(DATE($O28,R$25,R$24),$A$2:$A$2943,$H$2:$H$2943)</f>
        <v/>
      </c>
      <c r="S28" s="116">
        <f>LOOKUP(DATE($O28,S$25,S$24),$A$2:$A$2943,$H$2:$H$2943)</f>
        <v/>
      </c>
      <c r="T28" s="116">
        <f>LOOKUP(DATE($O28,T$25,T$24),$A$2:$A$2943,$H$2:$H$2943)</f>
        <v/>
      </c>
      <c r="U28" s="116">
        <f>LOOKUP(DATE($O28,U$25,U$24),$A$2:$A$2943,$H$2:$H$2943)</f>
        <v/>
      </c>
      <c r="V28" s="116">
        <f>LOOKUP(DATE($O28,V$25,V$24),$A$2:$A$2943,$H$2:$H$2943)</f>
        <v/>
      </c>
      <c r="W28" s="116">
        <f>LOOKUP(DATE($O28,W$25,W$24),$A$2:$A$2943,$H$2:$H$2943)</f>
        <v/>
      </c>
      <c r="X28" s="116">
        <f>LOOKUP(DATE($O28,X$25,X$24),$A$2:$A$2943,$H$2:$H$2943)</f>
        <v/>
      </c>
      <c r="Y28" s="116">
        <f>LOOKUP(DATE($O28,Y$25,Y$24),$A$2:$A$2943,$H$2:$H$2943)</f>
        <v/>
      </c>
      <c r="Z28" s="116">
        <f>LOOKUP(DATE($O28,Z$25,Z$24),$A$2:$A$2943,$H$2:$H$2943)</f>
        <v/>
      </c>
      <c r="AA28" s="116">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2025</t>
        </is>
      </c>
      <c r="BC28" s="49" t="n"/>
      <c r="BD28" s="50" t="n"/>
    </row>
    <row r="29">
      <c r="A29" s="28" t="n">
        <v>39478</v>
      </c>
      <c r="B29" s="114" t="n">
        <v>12223.14</v>
      </c>
      <c r="C29" s="36">
        <f>(B29/B28-1)/(A29-A28)*30</f>
        <v/>
      </c>
      <c r="D29" s="30" t="n"/>
      <c r="E29" s="30" t="n"/>
      <c r="F29" s="30" t="n"/>
      <c r="O29" s="14" t="n">
        <v>2018</v>
      </c>
      <c r="P29" s="116">
        <f>LOOKUP(DATE($O29,P$25,P$24),$A$2:$A$2943,$H$2:$H$2943)</f>
        <v/>
      </c>
      <c r="Q29" s="116">
        <f>LOOKUP(DATE($O29,Q$25,Q$24),$A$2:$A$2943,$H$2:$H$2943)</f>
        <v/>
      </c>
      <c r="R29" s="116">
        <f>LOOKUP(DATE($O29,R$25,R$24),$A$2:$A$2943,$H$2:$H$2943)</f>
        <v/>
      </c>
      <c r="S29" s="116">
        <f>LOOKUP(DATE($O29,S$25,S$24),$A$2:$A$2943,$H$2:$H$2943)</f>
        <v/>
      </c>
      <c r="T29" s="116">
        <f>LOOKUP(DATE($O29,T$25,T$24),$A$2:$A$2943,$H$2:$H$2943)</f>
        <v/>
      </c>
      <c r="U29" s="116">
        <f>LOOKUP(DATE($O29,U$25,U$24),$A$2:$A$2943,$H$2:$H$2943)</f>
        <v/>
      </c>
      <c r="V29" s="116">
        <f>LOOKUP(DATE($O29,V$25,V$24),$A$2:$A$2943,$H$2:$H$2943)</f>
        <v/>
      </c>
      <c r="W29" s="116">
        <f>LOOKUP(DATE($O29,W$25,W$24),$A$2:$A$2943,$H$2:$H$2943)</f>
        <v/>
      </c>
      <c r="X29" s="116">
        <f>LOOKUP(DATE($O29,X$25,X$24),$A$2:$A$2943,$H$2:$H$2943)</f>
        <v/>
      </c>
      <c r="Y29" s="117">
        <f>LOOKUP(DATE($O29,Y$25,Y$24),$A$2:$A$2943,$H$2:$H$2943)</f>
        <v/>
      </c>
      <c r="Z29" s="117">
        <f>LOOKUP(DATE($O29,Z$25,Z$24),$A$2:$A$2943,$H$2:$H$2943)</f>
        <v/>
      </c>
      <c r="AA29" s="117">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0" t="n"/>
      <c r="AW29" s="48" t="inlineStr">
        <is>
          <t>ICP (Bechmark)</t>
        </is>
      </c>
      <c r="AX29" s="51">
        <f>$AW20/AX20-1</f>
        <v/>
      </c>
      <c r="AY29" s="51">
        <f>$AW20/AY20-1</f>
        <v/>
      </c>
      <c r="AZ29" s="51">
        <f>$AW20/AZ20-1</f>
        <v/>
      </c>
      <c r="BA29" s="51">
        <f>$AW20/BA20-1</f>
        <v/>
      </c>
      <c r="BB29" s="51">
        <f>+AQ86</f>
        <v/>
      </c>
      <c r="BC29" s="52" t="n"/>
      <c r="BD29" s="38" t="n"/>
    </row>
    <row r="30">
      <c r="A30" s="28" t="n">
        <v>39507</v>
      </c>
      <c r="B30" s="114" t="n">
        <v>12284.88</v>
      </c>
      <c r="C30" s="36">
        <f>(B30/B29-1)/(A30-A29)*30</f>
        <v/>
      </c>
      <c r="D30" s="30" t="n"/>
      <c r="E30" s="30" t="n"/>
      <c r="F30" s="30" t="n"/>
      <c r="O30" s="14" t="n">
        <v>2019</v>
      </c>
      <c r="P30" s="116">
        <f>LOOKUP(DATE($O30,P$25,P$24),$A$2:$A$2943,$H$2:$H$2943)</f>
        <v/>
      </c>
      <c r="Q30" s="116">
        <f>LOOKUP(DATE($O30,Q$25,Q$24),$A$2:$A$2943,$H$2:$H$2943)</f>
        <v/>
      </c>
      <c r="R30" s="116">
        <f>LOOKUP(DATE($O30,R$25,R$24),$A$2:$A$2943,$H$2:$H$2943)</f>
        <v/>
      </c>
      <c r="S30" s="116">
        <f>LOOKUP(DATE($O30,S$25,S$24),$A$2:$A$2943,$H$2:$H$2943)</f>
        <v/>
      </c>
      <c r="T30" s="116">
        <f>LOOKUP(DATE($O30,T$25,T$24),$A$2:$A$2943,$H$2:$H$2943)</f>
        <v/>
      </c>
      <c r="U30" s="116">
        <f>LOOKUP(DATE($O30,U$25,U$24),$A$2:$A$2943,$H$2:$H$2943)</f>
        <v/>
      </c>
      <c r="V30" s="116">
        <f>LOOKUP(DATE($O30,V$25,V$24),$A$2:$A$2943,$H$2:$H$2943)</f>
        <v/>
      </c>
      <c r="W30" s="116">
        <f>LOOKUP(DATE($O30,W$25,W$24),$A$2:$A$2943,$H$2:$H$2943)</f>
        <v/>
      </c>
      <c r="X30" s="116">
        <f>LOOKUP(DATE($O30,X$25,X$24),$A$2:$A$2943,$H$2:$H$2943)</f>
        <v/>
      </c>
      <c r="Y30" s="116">
        <f>LOOKUP(DATE($O30,Y$25,Y$24),$A$2:$A$2943,$H$2:$H$2943)</f>
        <v/>
      </c>
      <c r="Z30" s="116">
        <f>LOOKUP(DATE($O30,Z$25,Z$24),$A$2:$A$2943,$H$2:$H$2943)</f>
        <v/>
      </c>
      <c r="AA30" s="116">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4" t="n">
        <v>12351.45</v>
      </c>
      <c r="C31" s="36">
        <f>(B31/B30-1)/(A31-A30)*30</f>
        <v/>
      </c>
      <c r="D31" s="30" t="n"/>
      <c r="E31" s="30" t="n"/>
      <c r="F31" s="30" t="n"/>
      <c r="O31" s="14" t="n">
        <v>2020</v>
      </c>
      <c r="P31" s="116">
        <f>LOOKUP(DATE($O31,P$25,P$24),$A$2:$A$2943,$H$2:$H$2943)</f>
        <v/>
      </c>
      <c r="Q31" s="116">
        <f>LOOKUP(DATE($O31,Q$25,Q$24)+1,$A$2:$A$2943,$H$2:$H$2943)</f>
        <v/>
      </c>
      <c r="R31" s="116">
        <f>LOOKUP(DATE($O31,R$25,R$24)+1,$A$2:$A$2943,$H$2:$H$2943)</f>
        <v/>
      </c>
      <c r="S31" s="116">
        <f>LOOKUP(DATE($O31,S$25,S$24)+1,$A$2:$A$2943,$H$2:$H$2943)</f>
        <v/>
      </c>
      <c r="T31" s="116">
        <f>LOOKUP(DATE($O31,T$25,T$24)+1,$A$2:$A$2943,$H$2:$H$2943)</f>
        <v/>
      </c>
      <c r="U31" s="116">
        <f>LOOKUP(DATE($O31,U$25,U$24)+1,$A$2:$A$2943,$H$2:$H$2943)</f>
        <v/>
      </c>
      <c r="V31" s="116">
        <f>LOOKUP(DATE($O31,V$25,V$24)+1,$A$2:$A$2943,$H$2:$H$2943)</f>
        <v/>
      </c>
      <c r="W31" s="116">
        <f>LOOKUP(DATE($O31,W$25,W$24)+1,$A$2:$A$2943,$H$2:$H$2943)</f>
        <v/>
      </c>
      <c r="X31" s="116">
        <f>LOOKUP(DATE($O31,X$25,X$24)+1,$A$2:$A$2943,$H$2:$H$2943)</f>
        <v/>
      </c>
      <c r="Y31" s="116">
        <f>+H183</f>
        <v/>
      </c>
      <c r="Z31" s="116">
        <f>+H184</f>
        <v/>
      </c>
      <c r="AA31" s="116">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FLEXIBLE</t>
        </is>
      </c>
      <c r="AX31" s="51">
        <f>$AW22/AX22-1</f>
        <v/>
      </c>
      <c r="AY31" s="51">
        <f>IFERROR($AW22/AY22-1,0)</f>
        <v/>
      </c>
      <c r="AZ31" s="51">
        <f>IFERROR($AW22/AZ22-1,0)</f>
        <v/>
      </c>
      <c r="BA31" s="51">
        <f>$AW22/BA22-1</f>
        <v/>
      </c>
      <c r="BB31" s="51">
        <f>+AQ88</f>
        <v/>
      </c>
      <c r="BC31" s="53" t="n"/>
      <c r="BD31" s="38" t="n"/>
    </row>
    <row r="32">
      <c r="A32" s="28" t="n">
        <v>39568</v>
      </c>
      <c r="B32" s="114" t="n">
        <v>12416.18</v>
      </c>
      <c r="C32" s="36">
        <f>(B32/B31-1)/(A32-A31)*30</f>
        <v/>
      </c>
      <c r="D32" s="30" t="n"/>
      <c r="E32" s="30" t="n"/>
      <c r="F32" s="30" t="n"/>
      <c r="O32" s="14" t="n">
        <v>2021</v>
      </c>
      <c r="P32" s="114" t="n"/>
      <c r="Q32" s="114" t="n"/>
      <c r="R32" s="114" t="n"/>
      <c r="S32" s="114" t="n"/>
      <c r="T32" s="114" t="n"/>
      <c r="U32" s="114" t="n"/>
      <c r="V32" s="114" t="n"/>
      <c r="W32" s="114" t="n"/>
      <c r="X32" s="114" t="n"/>
      <c r="Y32" s="114" t="n"/>
      <c r="Z32" s="114" t="n"/>
      <c r="AA32" s="114"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4" t="n">
        <v>12481.48</v>
      </c>
      <c r="C33" s="36">
        <f>(B33/B32-1)/(A33-A32)*30</f>
        <v/>
      </c>
      <c r="D33" s="30" t="n"/>
      <c r="E33" s="30" t="n"/>
      <c r="F33" s="30" t="n"/>
      <c r="O33" s="14" t="n">
        <v>2022</v>
      </c>
      <c r="P33" s="114" t="n"/>
      <c r="Q33" s="114" t="n"/>
      <c r="R33" s="114" t="n"/>
      <c r="S33" s="114" t="n"/>
      <c r="T33" s="114" t="n"/>
      <c r="U33" s="114" t="n"/>
      <c r="V33" s="114" t="n"/>
      <c r="W33" s="114" t="n"/>
      <c r="X33" s="114" t="n"/>
      <c r="Y33" s="114" t="n"/>
      <c r="Z33" s="114" t="n"/>
      <c r="AA33" s="114" t="n"/>
      <c r="AD33" s="32" t="n">
        <v>2021</v>
      </c>
      <c r="AE33" s="73" t="n"/>
      <c r="AF33" s="33" t="n"/>
      <c r="AG33" s="33" t="n"/>
      <c r="AH33" s="33" t="n"/>
      <c r="AI33" s="33" t="n"/>
      <c r="AJ33" s="33" t="n"/>
      <c r="AK33" s="33" t="n"/>
      <c r="AL33" s="33" t="n"/>
      <c r="AM33" s="33" t="n"/>
      <c r="AN33" s="33" t="n"/>
      <c r="AO33" s="33" t="n"/>
      <c r="AP33" s="33" t="n"/>
      <c r="AQ33" s="34" t="n"/>
      <c r="AR33" s="20" t="n"/>
      <c r="AS33" s="20" t="n"/>
      <c r="AY33" s="118" t="n"/>
      <c r="BD33" s="38" t="n"/>
    </row>
    <row r="34">
      <c r="A34" s="28" t="n">
        <v>39629</v>
      </c>
      <c r="B34" s="114" t="n">
        <v>12552.23</v>
      </c>
      <c r="C34" s="36">
        <f>(B34/B33-1)/(A34-A33)*30</f>
        <v/>
      </c>
      <c r="D34" s="30" t="n"/>
      <c r="E34" s="30" t="n"/>
      <c r="F34" s="30" t="n"/>
      <c r="O34" s="14" t="n">
        <v>2023</v>
      </c>
      <c r="P34" s="114" t="n"/>
      <c r="Q34" s="114" t="n"/>
      <c r="R34" s="114" t="n"/>
      <c r="S34" s="114" t="n"/>
      <c r="T34" s="114" t="n"/>
      <c r="U34" s="114" t="n"/>
      <c r="V34" s="114" t="n"/>
      <c r="W34" s="114" t="n"/>
      <c r="X34" s="114" t="n"/>
      <c r="Y34" s="114" t="n"/>
      <c r="Z34" s="114" t="n"/>
      <c r="AA34" s="114"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4" t="n">
        <v>12628.9</v>
      </c>
      <c r="C35" s="36">
        <f>(B35/B34-1)/(A35-A34)*30</f>
        <v/>
      </c>
      <c r="D35" s="30" t="n"/>
      <c r="E35" s="30" t="n"/>
      <c r="F35" s="30" t="n"/>
      <c r="O35" s="14" t="n">
        <v>2024</v>
      </c>
      <c r="P35" s="114" t="n"/>
      <c r="Q35" s="114" t="n"/>
      <c r="R35" s="114" t="n"/>
      <c r="S35" s="114" t="n"/>
      <c r="T35" s="114" t="n"/>
      <c r="U35" s="114" t="n"/>
      <c r="V35" s="114" t="n"/>
      <c r="W35" s="114" t="n"/>
      <c r="X35" s="114" t="n"/>
      <c r="Y35" s="114" t="n"/>
      <c r="Z35" s="114" t="n"/>
      <c r="AA35" s="114" t="n"/>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4" t="n">
        <v>12704.63</v>
      </c>
      <c r="C36" s="36">
        <f>(B36/B35-1)/(A36-A35)*30</f>
        <v/>
      </c>
      <c r="D36" s="30" t="n"/>
      <c r="E36" s="30" t="n"/>
      <c r="F36" s="30" t="n"/>
      <c r="O36" s="14" t="n">
        <v>2025</v>
      </c>
      <c r="P36" s="114" t="n">
        <v>1000</v>
      </c>
      <c r="Q36" s="114" t="n">
        <v>1000</v>
      </c>
      <c r="R36" s="114" t="n">
        <v>1000</v>
      </c>
      <c r="S36" s="114">
        <f>+H237</f>
        <v/>
      </c>
      <c r="T36" s="114">
        <f>+H238</f>
        <v/>
      </c>
      <c r="U36" s="114">
        <f>+H239</f>
        <v/>
      </c>
      <c r="V36" s="114">
        <f>+H240</f>
        <v/>
      </c>
      <c r="W36" s="114">
        <f>+H241</f>
        <v/>
      </c>
      <c r="X36" s="114">
        <f>+H242</f>
        <v/>
      </c>
      <c r="Y36" s="114">
        <f>+H243</f>
        <v/>
      </c>
      <c r="Z36" s="114">
        <f>+H244</f>
        <v/>
      </c>
      <c r="AA36" s="114">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4" t="n"/>
      <c r="C37" s="36" t="n"/>
      <c r="D37" s="30" t="n"/>
      <c r="E37" s="30" t="n"/>
      <c r="F37" s="30" t="n"/>
      <c r="O37" s="14" t="n">
        <v>2026</v>
      </c>
      <c r="P37" s="114">
        <f>$H246</f>
        <v/>
      </c>
      <c r="Q37" s="114">
        <f>$H247</f>
        <v/>
      </c>
      <c r="R37" s="114">
        <f>$H248</f>
        <v/>
      </c>
      <c r="S37" s="114">
        <f>$H249</f>
        <v/>
      </c>
      <c r="T37" s="114" t="n"/>
      <c r="U37" s="114" t="n"/>
      <c r="V37" s="114" t="n"/>
      <c r="W37" s="114" t="n"/>
      <c r="X37" s="114" t="n"/>
      <c r="Y37" s="114" t="n"/>
      <c r="Z37" s="114" t="n"/>
      <c r="AA37" s="114"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+(AA36/R36-1)/COUNTA(AE37:AP37)*12</f>
        <v/>
      </c>
      <c r="AR37" s="20" t="n"/>
      <c r="AS37" s="20" t="n"/>
    </row>
    <row r="38">
      <c r="A38" s="28" t="n">
        <v>39721</v>
      </c>
      <c r="B38" s="114"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+(R37/AA36-1)/COUNTA(AE38:AP38)*12</f>
        <v/>
      </c>
      <c r="AR38" s="37" t="inlineStr">
        <is>
          <t>(*)</t>
        </is>
      </c>
      <c r="AS38" s="20" t="n"/>
    </row>
    <row r="39">
      <c r="A39" s="28" t="n">
        <v>39752</v>
      </c>
      <c r="B39" s="114"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4"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4" t="n">
        <v>13066.33</v>
      </c>
      <c r="C41" s="36">
        <f>(B41/B40-1)/(A41-A40)*30</f>
        <v/>
      </c>
      <c r="D41" s="30" t="n"/>
      <c r="E41" s="30" t="n"/>
      <c r="F41" s="30" t="n"/>
      <c r="O41" s="14" t="n">
        <v>2016</v>
      </c>
      <c r="P41" s="114" t="n"/>
      <c r="Q41" s="114" t="n"/>
      <c r="R41" s="114" t="n"/>
      <c r="S41" s="114" t="n"/>
      <c r="T41" s="114" t="n"/>
      <c r="U41" s="116" t="n"/>
      <c r="V41" s="116" t="n"/>
      <c r="W41" s="116" t="n"/>
      <c r="X41" s="116" t="n"/>
      <c r="Y41" s="116" t="n"/>
      <c r="Z41" s="116" t="n"/>
      <c r="AA41" s="116"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4" t="n">
        <v>13151.16</v>
      </c>
      <c r="C42" s="36">
        <f>(B42/B41-1)/(A42-A41)*30</f>
        <v/>
      </c>
      <c r="D42" s="30" t="n"/>
      <c r="E42" s="30" t="n"/>
      <c r="F42" s="30" t="n"/>
      <c r="O42" s="14" t="n">
        <v>2017</v>
      </c>
      <c r="P42" s="116" t="n"/>
      <c r="Q42" s="116" t="n"/>
      <c r="R42" s="116" t="n"/>
      <c r="S42" s="116" t="n"/>
      <c r="T42" s="116" t="n"/>
      <c r="U42" s="111" t="n"/>
      <c r="V42" s="111" t="n"/>
      <c r="W42" s="111" t="n"/>
      <c r="X42" s="111" t="n"/>
      <c r="Y42" s="111" t="n"/>
      <c r="Z42" s="111" t="n"/>
      <c r="AA42" s="111"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4" t="n">
        <v>13212.09</v>
      </c>
      <c r="C43" s="36">
        <f>(B43/B42-1)/(A43-A42)*30</f>
        <v/>
      </c>
      <c r="D43" s="30" t="n"/>
      <c r="E43" s="30" t="n"/>
      <c r="F43" s="30" t="n"/>
      <c r="O43" s="14" t="n">
        <v>2018</v>
      </c>
      <c r="P43" s="116" t="n"/>
      <c r="Q43" s="116" t="n"/>
      <c r="R43" s="116" t="n"/>
      <c r="S43" s="116" t="n"/>
      <c r="T43" s="114" t="n"/>
      <c r="U43" s="114" t="n"/>
      <c r="V43" s="114" t="n"/>
      <c r="W43" s="114" t="n"/>
      <c r="X43" s="114" t="n"/>
      <c r="Y43" s="114" t="n"/>
      <c r="Z43" s="114" t="n"/>
      <c r="AA43" s="114"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4" t="n">
        <v>13251.18</v>
      </c>
      <c r="C44" s="36">
        <f>(B44/B43-1)/(A44-A43)*30</f>
        <v/>
      </c>
      <c r="D44" s="30" t="n"/>
      <c r="E44" s="30" t="n"/>
      <c r="F44" s="30" t="n"/>
      <c r="O44" s="14" t="n">
        <v>2019</v>
      </c>
      <c r="R44" s="29" t="n"/>
      <c r="S44" s="29" t="n"/>
      <c r="T44" s="29" t="n"/>
      <c r="X44" s="119" t="n"/>
      <c r="Y44" s="119"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4"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4"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4"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4"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4" t="n">
        <v>13310.07</v>
      </c>
      <c r="C49" s="36">
        <f>(B49/B48-1)/(A49-A48)*30</f>
        <v/>
      </c>
      <c r="D49" s="30" t="n"/>
      <c r="E49" s="30" t="n"/>
      <c r="F49" s="30" t="n"/>
      <c r="O49" s="14" t="n">
        <v>2024</v>
      </c>
      <c r="P49" s="29" t="n"/>
      <c r="AA49" s="14">
        <f>+V232</f>
        <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4" t="n">
        <v>13315.05</v>
      </c>
      <c r="C50" s="36">
        <f>(B50/B49-1)/(A50-A49)*30</f>
        <v/>
      </c>
      <c r="D50" s="30" t="n"/>
      <c r="E50" s="30" t="n"/>
      <c r="F50" s="30" t="n"/>
      <c r="O50" s="14" t="n">
        <v>2025</v>
      </c>
      <c r="P50" s="14">
        <f>+K233</f>
        <v/>
      </c>
      <c r="Q50" s="14">
        <f>+K234</f>
        <v/>
      </c>
      <c r="R50" s="14">
        <f>+K235</f>
        <v/>
      </c>
      <c r="S50" s="14">
        <f>+K236</f>
        <v/>
      </c>
      <c r="T50" s="14">
        <f>+K238</f>
        <v/>
      </c>
      <c r="U50" s="14">
        <f>+K239</f>
        <v/>
      </c>
      <c r="V50" s="14">
        <f>+K240</f>
        <v/>
      </c>
      <c r="W50" s="14">
        <f>+K241</f>
        <v/>
      </c>
      <c r="X50" s="14">
        <f>+K242</f>
        <v/>
      </c>
      <c r="Y50" s="14">
        <f>+K243</f>
        <v/>
      </c>
      <c r="Z50" s="14">
        <f>+K244</f>
        <v/>
      </c>
      <c r="AA50" s="14">
        <f>+K245</f>
        <v/>
      </c>
      <c r="AD50" s="32" t="n">
        <v>2025</v>
      </c>
      <c r="AE50" s="33" t="n">
        <v>0.003</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4"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4" t="n">
        <v>13324.51</v>
      </c>
      <c r="C52" s="36">
        <f>(B52/B51-1)/(A52-A51)*30</f>
        <v/>
      </c>
      <c r="D52" s="30" t="n"/>
      <c r="E52" s="30" t="n"/>
      <c r="F52" s="30" t="n"/>
      <c r="AD52" s="37" t="inlineStr">
        <is>
          <t>(*) Acum a Mar</t>
        </is>
      </c>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4" t="n">
        <v>13329.5</v>
      </c>
      <c r="C53" s="36">
        <f>(B53/B52-1)/(A53-A52)*30</f>
        <v/>
      </c>
      <c r="D53" s="30" t="n"/>
      <c r="E53" s="30" t="n"/>
      <c r="F53" s="30" t="n"/>
      <c r="AD53" s="37" t="n"/>
      <c r="AE53" s="20" t="n"/>
      <c r="AF53" s="20" t="n"/>
      <c r="AG53" s="20" t="n"/>
      <c r="AH53" s="20" t="n"/>
      <c r="AI53" s="20" t="n"/>
      <c r="AJ53" s="20" t="n"/>
      <c r="AK53" s="20" t="n"/>
      <c r="AL53" s="20" t="n"/>
      <c r="AM53" s="20" t="n"/>
      <c r="AN53" s="20" t="n"/>
      <c r="AO53" s="20" t="n"/>
      <c r="AP53" s="20" t="n"/>
      <c r="AQ53" s="20" t="n"/>
      <c r="AR53" s="20" t="n"/>
      <c r="AS53" s="20" t="n"/>
    </row>
    <row r="54">
      <c r="A54" s="28" t="n">
        <v>40207</v>
      </c>
      <c r="B54" s="114"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4"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4"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4"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4"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4"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4"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4" t="n">
        <v>13395.21</v>
      </c>
      <c r="C61" s="36">
        <f>(B61/B60-1)/(A61-A60)*30</f>
        <v/>
      </c>
      <c r="D61" s="30" t="n"/>
      <c r="E61" s="30" t="n"/>
      <c r="F61" s="30" t="n"/>
      <c r="AC61" s="81" t="n"/>
      <c r="AD61" s="57" t="inlineStr">
        <is>
          <t>FIP Liquidez Flexible</t>
        </is>
      </c>
      <c r="AE61" s="58" t="n"/>
      <c r="AF61" s="58" t="n"/>
      <c r="AG61" s="58" t="n"/>
      <c r="AH61" s="58" t="n"/>
      <c r="AI61" s="58" t="n"/>
      <c r="AJ61" s="58" t="n"/>
      <c r="AK61" s="58" t="n"/>
      <c r="AL61" s="58" t="n"/>
      <c r="AM61" s="58" t="n"/>
      <c r="AN61" s="58" t="n"/>
      <c r="AO61" s="58" t="n"/>
      <c r="AP61" s="58" t="n"/>
      <c r="AQ61" s="59" t="n"/>
      <c r="AR61" s="63" t="n"/>
      <c r="AS61" s="20" t="n"/>
    </row>
    <row r="62">
      <c r="A62" s="28" t="n">
        <v>40451</v>
      </c>
      <c r="B62" s="114" t="n">
        <v>13419.79</v>
      </c>
      <c r="C62" s="36">
        <f>(B62/B61-1)/(A62-A61)*30</f>
        <v/>
      </c>
      <c r="D62" s="30" t="n"/>
      <c r="E62" s="30" t="n"/>
      <c r="F62" s="30" t="n"/>
      <c r="AC62" s="109"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4" t="n">
        <v>13448.69</v>
      </c>
      <c r="C63" s="36">
        <f>(B63/B62-1)/(A63-A62)*30</f>
        <v/>
      </c>
      <c r="D63" s="30" t="n"/>
      <c r="E63" s="30" t="n"/>
      <c r="F63" s="30" t="n"/>
      <c r="AC63" s="109"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4" t="n">
        <v>13483.02</v>
      </c>
      <c r="C64" s="36">
        <f>(B64/B63-1)/(A64-A63)*30</f>
        <v/>
      </c>
      <c r="D64" s="30" t="n"/>
      <c r="E64" s="30" t="n"/>
      <c r="F64" s="30" t="n"/>
      <c r="AC64" s="109" t="n"/>
      <c r="AD64" s="57" t="inlineStr">
        <is>
          <t>FIP Liquidez Flexible</t>
        </is>
      </c>
      <c r="AE64" s="61" t="n"/>
      <c r="AF64" s="61" t="n"/>
      <c r="AG64" s="61" t="n"/>
      <c r="AH64" s="61" t="n"/>
      <c r="AI64" s="61" t="n"/>
      <c r="AJ64" s="61" t="n"/>
      <c r="AK64" s="61" t="n"/>
      <c r="AL64" s="61" t="n"/>
      <c r="AM64" s="61" t="n"/>
      <c r="AN64" s="61" t="n"/>
      <c r="AO64" s="61" t="n"/>
      <c r="AP64" s="61" t="n"/>
      <c r="AQ64" s="59" t="n"/>
    </row>
    <row r="65">
      <c r="A65" s="28" t="n">
        <v>40543</v>
      </c>
      <c r="B65" s="114"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4"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1">
      <c r="A67" s="28" t="n">
        <v>40602</v>
      </c>
      <c r="B67" s="114" t="n">
        <v>13592.3</v>
      </c>
      <c r="C67" s="36">
        <f>(B67/B66-1)/(A67-A66)*30</f>
        <v/>
      </c>
      <c r="D67" s="30" t="n"/>
      <c r="E67" s="30" t="n"/>
      <c r="F67" s="30" t="n"/>
      <c r="I67" s="112" t="n"/>
      <c r="N67" s="14" t="n"/>
      <c r="O67" s="14" t="n"/>
      <c r="P67" s="14" t="n"/>
      <c r="Q67" s="14" t="n"/>
      <c r="R67" s="14" t="n"/>
      <c r="S67" s="14" t="n"/>
      <c r="T67" s="14" t="n"/>
      <c r="U67" s="14" t="n"/>
      <c r="V67" s="14" t="n"/>
      <c r="W67" s="14" t="n"/>
      <c r="X67" s="14" t="n"/>
      <c r="Y67" s="14" t="n"/>
      <c r="Z67" s="14" t="n"/>
      <c r="AA67" s="14" t="n"/>
      <c r="AB67" s="14" t="n"/>
      <c r="AC67" s="81" t="n"/>
      <c r="AD67" s="57" t="inlineStr">
        <is>
          <t>FIP Liquidez Flexible</t>
        </is>
      </c>
      <c r="AE67" s="58" t="n"/>
      <c r="AF67" s="58" t="n"/>
      <c r="AG67" s="58" t="n"/>
      <c r="AH67" s="58" t="n"/>
      <c r="AI67" s="58" t="n"/>
      <c r="AJ67" s="58" t="n"/>
      <c r="AK67" s="58" t="n"/>
      <c r="AL67" s="58" t="n"/>
      <c r="AM67" s="58" t="n"/>
      <c r="AN67" s="58" t="n"/>
      <c r="AO67" s="58" t="n"/>
      <c r="AP67" s="58" t="n"/>
      <c r="AQ67" s="59" t="n"/>
      <c r="AR67" s="14" t="n"/>
      <c r="AS67" s="14" t="n"/>
      <c r="AT67" s="14" t="n"/>
    </row>
    <row r="68" customFormat="1" s="111">
      <c r="A68" s="28" t="n">
        <v>40633</v>
      </c>
      <c r="B68" s="114" t="n">
        <v>13635.91</v>
      </c>
      <c r="C68" s="36">
        <f>(B68/B67-1)/(A68-A67)*30</f>
        <v/>
      </c>
      <c r="D68" s="30" t="n"/>
      <c r="E68" s="30" t="n"/>
      <c r="F68" s="30" t="n"/>
      <c r="I68" s="112"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1">
      <c r="A69" s="28" t="n">
        <v>40662</v>
      </c>
      <c r="B69" s="114" t="n">
        <v>13682.94</v>
      </c>
      <c r="C69" s="36">
        <f>(B69/B68-1)/(A69-A68)*30</f>
        <v/>
      </c>
      <c r="D69" s="30" t="n"/>
      <c r="E69" s="30" t="n"/>
      <c r="F69" s="30" t="n"/>
      <c r="I69" s="112"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1">
      <c r="A70" s="28" t="n">
        <v>40694</v>
      </c>
      <c r="B70" s="114" t="n">
        <v>13741.06</v>
      </c>
      <c r="C70" s="36">
        <f>(B70/B69-1)/(A70-A69)*30</f>
        <v/>
      </c>
      <c r="D70" s="30" t="n"/>
      <c r="E70" s="30" t="n"/>
      <c r="F70" s="30" t="n"/>
      <c r="I70" s="112" t="n"/>
      <c r="O70" s="14" t="n"/>
      <c r="P70" s="14" t="n"/>
      <c r="Q70" s="14" t="n"/>
      <c r="R70" s="14" t="n"/>
      <c r="S70" s="14" t="n"/>
      <c r="T70" s="14" t="n"/>
      <c r="U70" s="14" t="n"/>
      <c r="V70" s="14" t="n"/>
      <c r="W70" s="14" t="n"/>
      <c r="X70" s="14" t="n"/>
      <c r="Y70" s="14" t="n"/>
      <c r="Z70" s="14" t="n"/>
      <c r="AA70" s="14" t="n"/>
      <c r="AB70" s="14" t="n"/>
      <c r="AC70" s="81" t="n"/>
      <c r="AD70" s="57" t="inlineStr">
        <is>
          <t>FIP Liquidez Flexible</t>
        </is>
      </c>
      <c r="AE70" s="58" t="n"/>
      <c r="AF70" s="58" t="n"/>
      <c r="AG70" s="58" t="n"/>
      <c r="AH70" s="58" t="n"/>
      <c r="AI70" s="58" t="n"/>
      <c r="AJ70" s="58" t="n"/>
      <c r="AK70" s="58" t="n"/>
      <c r="AL70" s="58" t="n"/>
      <c r="AM70" s="58" t="n"/>
      <c r="AN70" s="58" t="n"/>
      <c r="AO70" s="58" t="n"/>
      <c r="AP70" s="58" t="n"/>
      <c r="AQ70" s="59" t="n"/>
      <c r="AR70" s="14" t="n"/>
      <c r="AS70" s="14" t="n"/>
    </row>
    <row r="71" customFormat="1" s="111">
      <c r="A71" s="28" t="n">
        <v>40724</v>
      </c>
      <c r="B71" s="114" t="n">
        <v>13799.74</v>
      </c>
      <c r="C71" s="36">
        <f>(B71/B70-1)/(A71-A70)*30</f>
        <v/>
      </c>
      <c r="D71" s="30" t="n"/>
      <c r="E71" s="30" t="n"/>
      <c r="F71" s="30" t="n"/>
      <c r="I71" s="112" t="n"/>
      <c r="O71" s="14" t="n"/>
      <c r="P71" s="14" t="n"/>
      <c r="Q71" s="14" t="n"/>
      <c r="R71" s="14" t="n"/>
      <c r="S71" s="14" t="n"/>
      <c r="T71" s="14" t="n"/>
      <c r="U71" s="14" t="n"/>
      <c r="V71" s="14" t="n"/>
      <c r="W71" s="14" t="n"/>
      <c r="X71" s="14" t="n"/>
      <c r="Y71" s="14" t="n"/>
      <c r="Z71" s="14" t="n"/>
      <c r="AA71" s="14" t="n"/>
      <c r="AC71" s="109"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1">
      <c r="A72" s="28" t="n">
        <v>40753</v>
      </c>
      <c r="B72" s="114" t="n">
        <v>13858.14</v>
      </c>
      <c r="C72" s="36">
        <f>(B72/B71-1)/(A72-A71)*30</f>
        <v/>
      </c>
      <c r="D72" s="30" t="n"/>
      <c r="E72" s="30" t="n"/>
      <c r="F72" s="30" t="n"/>
      <c r="I72" s="112" t="n"/>
      <c r="O72" s="14" t="n"/>
      <c r="P72" s="14" t="n"/>
      <c r="Q72" s="14" t="n"/>
      <c r="R72" s="14" t="n"/>
      <c r="S72" s="14" t="n"/>
      <c r="T72" s="14" t="n"/>
      <c r="U72" s="14" t="n"/>
      <c r="V72" s="14" t="n"/>
      <c r="W72" s="14" t="n"/>
      <c r="X72" s="14" t="n"/>
      <c r="Y72" s="14" t="n"/>
      <c r="Z72" s="14" t="n"/>
      <c r="AA72" s="14" t="n"/>
      <c r="AC72" s="109"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1">
      <c r="A73" s="28" t="n">
        <v>40786</v>
      </c>
      <c r="B73" s="114" t="n">
        <v>13925.03</v>
      </c>
      <c r="C73" s="36">
        <f>(B73/B72-1)/(A73-A72)*30</f>
        <v/>
      </c>
      <c r="D73" s="30" t="n"/>
      <c r="E73" s="30" t="n"/>
      <c r="F73" s="30" t="n"/>
      <c r="I73" s="112" t="n"/>
      <c r="O73" s="14" t="n"/>
      <c r="P73" s="14" t="n"/>
      <c r="Q73" s="14" t="n"/>
      <c r="R73" s="14" t="n"/>
      <c r="S73" s="14" t="n"/>
      <c r="T73" s="14" t="n"/>
      <c r="U73" s="14" t="n"/>
      <c r="V73" s="14" t="n"/>
      <c r="W73" s="14" t="n"/>
      <c r="X73" s="14" t="n"/>
      <c r="Y73" s="14" t="n"/>
      <c r="Z73" s="14" t="n"/>
      <c r="AA73" s="14" t="n"/>
      <c r="AC73" s="109" t="n"/>
      <c r="AD73" s="57" t="inlineStr">
        <is>
          <t>FIP Liquidez Flexible</t>
        </is>
      </c>
      <c r="AE73" s="83" t="n"/>
      <c r="AF73" s="83" t="n"/>
      <c r="AG73" s="83" t="n"/>
      <c r="AH73" s="83" t="n"/>
      <c r="AI73" s="83" t="n"/>
      <c r="AJ73" s="83" t="n"/>
      <c r="AK73" s="83" t="n"/>
      <c r="AL73" s="83" t="n"/>
      <c r="AM73" s="83" t="n"/>
      <c r="AN73" s="83" t="n"/>
      <c r="AO73" s="83" t="n"/>
      <c r="AP73" s="83" t="n"/>
      <c r="AQ73" s="83" t="n"/>
      <c r="AR73" s="14" t="n"/>
      <c r="AS73" s="14" t="n"/>
    </row>
    <row r="74" customFormat="1" s="111">
      <c r="A74" s="28" t="n">
        <v>40816</v>
      </c>
      <c r="B74" s="114" t="n">
        <v>13985.97</v>
      </c>
      <c r="C74" s="36">
        <f>(B74/B73-1)/(A74-A73)*30</f>
        <v/>
      </c>
      <c r="D74" s="30" t="n"/>
      <c r="E74" s="30" t="n"/>
      <c r="F74" s="30" t="n"/>
      <c r="I74" s="112" t="n"/>
      <c r="O74" s="14" t="n"/>
      <c r="P74" s="14" t="n"/>
      <c r="Q74" s="14" t="n"/>
      <c r="R74" s="14" t="n"/>
      <c r="S74" s="14" t="n"/>
      <c r="T74" s="14" t="n"/>
      <c r="U74" s="14" t="n"/>
      <c r="V74" s="14" t="n"/>
      <c r="W74" s="14" t="n"/>
      <c r="X74" s="14" t="n"/>
      <c r="Y74" s="14" t="n"/>
      <c r="Z74" s="14" t="n"/>
      <c r="AA74" s="14" t="n"/>
      <c r="AC74" s="109"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1">
      <c r="A75" s="28" t="n">
        <v>40847</v>
      </c>
      <c r="B75" s="114" t="n">
        <v>14043.21</v>
      </c>
      <c r="C75" s="36">
        <f>(B75/B74-1)/(A75-A74)*30</f>
        <v/>
      </c>
      <c r="D75" s="30" t="n"/>
      <c r="E75" s="30" t="n"/>
      <c r="F75" s="30" t="n"/>
      <c r="I75" s="112"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1">
      <c r="A76" s="28" t="n">
        <v>40877</v>
      </c>
      <c r="B76" s="114" t="n">
        <v>14110.87</v>
      </c>
      <c r="C76" s="36">
        <f>(B76/B75-1)/(A76-A75)*30</f>
        <v/>
      </c>
      <c r="D76" s="30" t="n"/>
      <c r="E76" s="30" t="n"/>
      <c r="F76" s="30" t="n"/>
      <c r="I76" s="112" t="n"/>
      <c r="O76" s="14" t="n"/>
      <c r="P76" s="14" t="n"/>
      <c r="Q76" s="14" t="n"/>
      <c r="R76" s="14" t="n"/>
      <c r="S76" s="14" t="n"/>
      <c r="T76" s="14" t="n"/>
      <c r="U76" s="14" t="n"/>
      <c r="V76" s="14" t="n"/>
      <c r="W76" s="14" t="n"/>
      <c r="X76" s="14" t="n"/>
      <c r="Y76" s="14" t="n"/>
      <c r="Z76" s="14" t="n"/>
      <c r="AA76" s="14" t="n"/>
      <c r="AD76" s="57" t="inlineStr">
        <is>
          <t>FIP Liquidez Flexible</t>
        </is>
      </c>
      <c r="AE76" s="83" t="n"/>
      <c r="AF76" s="83" t="n"/>
      <c r="AG76" s="83" t="n"/>
      <c r="AH76" s="83" t="n"/>
      <c r="AI76" s="83" t="n"/>
      <c r="AJ76" s="83" t="n"/>
      <c r="AK76" s="83" t="n"/>
      <c r="AL76" s="83" t="n"/>
      <c r="AM76" s="83" t="n"/>
      <c r="AN76" s="83" t="n"/>
      <c r="AO76" s="83" t="n"/>
      <c r="AP76" s="83" t="n"/>
      <c r="AQ76" s="83" t="n"/>
      <c r="AR76" s="14" t="n"/>
      <c r="AS76" s="14" t="n"/>
    </row>
    <row r="77" customFormat="1" s="111">
      <c r="A77" s="28" t="n">
        <v>40907</v>
      </c>
      <c r="B77" s="114" t="n">
        <v>14172.63</v>
      </c>
      <c r="C77" s="36">
        <f>(B77/B76-1)/(A77-A76)*30</f>
        <v/>
      </c>
      <c r="D77" s="30" t="n"/>
      <c r="E77" s="30" t="n"/>
      <c r="F77" s="30" t="n"/>
      <c r="I77" s="112" t="n"/>
      <c r="O77" s="14" t="n"/>
      <c r="P77" s="14" t="n"/>
      <c r="Q77" s="14" t="n"/>
      <c r="R77" s="14" t="n"/>
      <c r="S77" s="14" t="n"/>
      <c r="T77" s="14" t="n"/>
      <c r="U77" s="14" t="n"/>
      <c r="V77" s="14" t="n"/>
      <c r="W77" s="14" t="n"/>
      <c r="X77" s="14" t="n"/>
      <c r="Y77" s="14" t="n"/>
      <c r="Z77" s="14" t="n"/>
      <c r="AA77" s="14" t="n"/>
      <c r="AC77" s="109"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1">
      <c r="A78" s="28" t="n">
        <v>40939</v>
      </c>
      <c r="B78" s="114" t="n">
        <v>14236.38</v>
      </c>
      <c r="C78" s="36">
        <f>(B78/B77-1)/(A78-A77)*30</f>
        <v/>
      </c>
      <c r="D78" s="30" t="n"/>
      <c r="E78" s="30" t="n"/>
      <c r="F78" s="30" t="n"/>
      <c r="I78" s="112"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1">
      <c r="A79" s="28" t="n">
        <v>40968</v>
      </c>
      <c r="B79" s="114" t="n">
        <v>14293.67</v>
      </c>
      <c r="C79" s="36">
        <f>(B79/B78-1)/(A79-A78)*30</f>
        <v/>
      </c>
      <c r="D79" s="30" t="n"/>
      <c r="E79" s="30" t="n"/>
      <c r="F79" s="30" t="n"/>
      <c r="I79" s="112" t="n"/>
      <c r="AD79" s="57" t="inlineStr">
        <is>
          <t>FIP Liquidez Flexible</t>
        </is>
      </c>
      <c r="AE79" s="83" t="n"/>
      <c r="AF79" s="83" t="n"/>
      <c r="AG79" s="83" t="n"/>
      <c r="AH79" s="83" t="n"/>
      <c r="AI79" s="83" t="n"/>
      <c r="AJ79" s="83" t="n"/>
      <c r="AK79" s="83" t="n"/>
      <c r="AL79" s="83" t="n"/>
      <c r="AM79" s="83" t="n"/>
      <c r="AN79" s="83" t="n"/>
      <c r="AO79" s="83">
        <f>+AO35</f>
        <v/>
      </c>
      <c r="AP79" s="83">
        <f>+AP35</f>
        <v/>
      </c>
      <c r="AQ79" s="83">
        <f>+AQ35</f>
        <v/>
      </c>
    </row>
    <row r="80" customFormat="1" s="111">
      <c r="A80" s="28" t="n">
        <v>40998</v>
      </c>
      <c r="B80" s="114" t="n">
        <v>14353.34</v>
      </c>
      <c r="C80" s="36">
        <f>(B80/B79-1)/(A80-A79)*30</f>
        <v/>
      </c>
      <c r="D80" s="30" t="n"/>
      <c r="E80" s="30" t="n"/>
      <c r="F80" s="30" t="n"/>
      <c r="I80" s="112" t="n"/>
      <c r="AC80" s="109"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1">
      <c r="A81" s="28" t="n">
        <v>41029</v>
      </c>
      <c r="B81" s="114" t="n">
        <v>14415.21</v>
      </c>
      <c r="C81" s="36">
        <f>(B81/B80-1)/(A81-A80)*30</f>
        <v/>
      </c>
      <c r="D81" s="30" t="n"/>
      <c r="E81" s="30" t="n"/>
      <c r="F81" s="30" t="n"/>
      <c r="I81" s="112"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1">
      <c r="A82" s="28" t="n">
        <v>41060</v>
      </c>
      <c r="B82" s="114" t="n">
        <v>14477.55</v>
      </c>
      <c r="C82" s="36">
        <f>(B82/B81-1)/(A82-A81)*30</f>
        <v/>
      </c>
      <c r="D82" s="30" t="n"/>
      <c r="E82" s="30" t="n"/>
      <c r="F82" s="30" t="n"/>
      <c r="I82" s="112" t="n"/>
      <c r="AD82" s="57" t="inlineStr">
        <is>
          <t>FIP Liquidez Flexible</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1">
      <c r="A83" s="28" t="n">
        <v>41089</v>
      </c>
      <c r="B83" s="114" t="n">
        <v>14536.13</v>
      </c>
      <c r="C83" s="36">
        <f>(B83/B82-1)/(A83-A82)*30</f>
        <v/>
      </c>
      <c r="D83" s="30" t="n"/>
      <c r="E83" s="30" t="n"/>
      <c r="F83" s="30" t="n"/>
      <c r="I83" s="112" t="n"/>
      <c r="AC83" s="109"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1">
      <c r="A84" s="28" t="n">
        <v>41121</v>
      </c>
      <c r="B84" s="114" t="n">
        <v>14600.61</v>
      </c>
      <c r="C84" s="36">
        <f>(B84/B83-1)/(A84-A83)*30</f>
        <v/>
      </c>
      <c r="D84" s="30" t="n"/>
      <c r="E84" s="30" t="n"/>
      <c r="F84" s="30" t="n"/>
      <c r="I84" s="112"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1">
      <c r="A85" s="28" t="n">
        <v>41152</v>
      </c>
      <c r="B85" s="114" t="n">
        <v>14663.33</v>
      </c>
      <c r="C85" s="36">
        <f>(B85/B84-1)/(A85-A84)*30</f>
        <v/>
      </c>
      <c r="D85" s="30" t="n"/>
      <c r="E85" s="30" t="n"/>
      <c r="F85" s="30" t="n"/>
      <c r="I85" s="112" t="n"/>
      <c r="AD85" s="57" t="inlineStr">
        <is>
          <t>FIP Liquidez Flexible</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1">
      <c r="A86" s="28" t="n">
        <v>41180</v>
      </c>
      <c r="B86" s="114" t="n">
        <v>14720.68</v>
      </c>
      <c r="C86" s="36">
        <f>(B86/B85-1)/(A86-A85)*30</f>
        <v/>
      </c>
      <c r="D86" s="30" t="n"/>
      <c r="E86" s="30" t="n"/>
      <c r="F86" s="30" t="n"/>
      <c r="I86" s="112" t="n"/>
      <c r="AC86" s="109"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1">
      <c r="A87" s="28" t="n">
        <v>41213</v>
      </c>
      <c r="B87" s="114" t="n">
        <v>14788.56</v>
      </c>
      <c r="C87" s="36">
        <f>(B87/B86-1)/(A87-A86)*30</f>
        <v/>
      </c>
      <c r="D87" s="30" t="n"/>
      <c r="E87" s="30" t="n"/>
      <c r="F87" s="30" t="n"/>
      <c r="I87" s="112"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1">
      <c r="A88" s="28" t="n">
        <v>41243</v>
      </c>
      <c r="B88" s="114" t="n">
        <v>14850.38</v>
      </c>
      <c r="C88" s="36">
        <f>(B88/B87-1)/(A88-A87)*30</f>
        <v/>
      </c>
      <c r="D88" s="30" t="n"/>
      <c r="E88" s="30" t="n"/>
      <c r="F88" s="30" t="n"/>
      <c r="I88" s="112" t="n"/>
      <c r="AD88" s="57" t="inlineStr">
        <is>
          <t>FIP Liquidez Flexible</t>
        </is>
      </c>
      <c r="AE88" s="83">
        <f>+AE38</f>
        <v/>
      </c>
      <c r="AF88" s="83">
        <f>+AF38</f>
        <v/>
      </c>
      <c r="AG88" s="83">
        <f>+AG38</f>
        <v/>
      </c>
      <c r="AH88" s="83">
        <f>+AH38</f>
        <v/>
      </c>
      <c r="AI88" s="83" t="n"/>
      <c r="AJ88" s="83" t="n"/>
      <c r="AK88" s="83" t="n"/>
      <c r="AL88" s="83" t="n"/>
      <c r="AM88" s="83" t="n"/>
      <c r="AN88" s="83" t="n"/>
      <c r="AO88" s="83" t="n"/>
      <c r="AP88" s="83" t="n"/>
      <c r="AQ88" s="83">
        <f>+AQ38</f>
        <v/>
      </c>
    </row>
    <row r="89" customFormat="1" s="111">
      <c r="A89" s="28" t="n">
        <v>41274</v>
      </c>
      <c r="B89" s="114" t="n">
        <v>14908.2</v>
      </c>
      <c r="C89" s="36">
        <f>(B89/B88-1)/(A89-A88)*30</f>
        <v/>
      </c>
      <c r="D89" s="30" t="n"/>
      <c r="E89" s="30" t="n"/>
      <c r="F89" s="30" t="n"/>
      <c r="I89" s="112" t="n"/>
      <c r="AC89" s="14" t="n"/>
      <c r="AF89" s="14" t="n"/>
      <c r="AG89" s="14" t="n"/>
      <c r="AH89" s="14" t="n"/>
      <c r="AI89" s="14" t="n"/>
      <c r="AJ89" s="14" t="n"/>
      <c r="AK89" s="14" t="n"/>
      <c r="AL89" s="14" t="n"/>
      <c r="AM89" s="14" t="n"/>
      <c r="AN89" s="14" t="n"/>
      <c r="AO89" s="14" t="n"/>
      <c r="AP89" s="14" t="n"/>
      <c r="AQ89" s="14" t="n"/>
    </row>
    <row r="90" customFormat="1" s="111">
      <c r="A90" s="28" t="n">
        <v>41305</v>
      </c>
      <c r="B90" s="114" t="n">
        <v>14978.58</v>
      </c>
      <c r="C90" s="36">
        <f>(B90/B89-1)/(A90-A89)*30</f>
        <v/>
      </c>
      <c r="D90" s="30" t="n"/>
      <c r="E90" s="30" t="n"/>
      <c r="F90" s="30" t="n"/>
      <c r="I90" s="112" t="n"/>
      <c r="AC90" s="14" t="n"/>
      <c r="AF90" s="14" t="n"/>
      <c r="AG90" s="14" t="n"/>
      <c r="AH90" s="14" t="n"/>
      <c r="AI90" s="14" t="n"/>
      <c r="AJ90" s="14" t="n"/>
      <c r="AK90" s="14" t="n"/>
      <c r="AL90" s="14" t="n"/>
      <c r="AM90" s="14" t="n"/>
      <c r="AN90" s="14" t="n"/>
      <c r="AO90" s="14" t="n"/>
      <c r="AP90" s="14" t="n"/>
      <c r="AQ90" s="14" t="n"/>
    </row>
    <row r="91" customFormat="1" s="111">
      <c r="A91" s="28" t="n">
        <v>41333</v>
      </c>
      <c r="B91" s="114" t="n">
        <v>15036.94</v>
      </c>
      <c r="C91" s="36">
        <f>(B91/B90-1)/(A91-A90)*30</f>
        <v/>
      </c>
      <c r="D91" s="30" t="n"/>
      <c r="E91" s="30" t="n"/>
      <c r="F91" s="30" t="n"/>
      <c r="I91" s="112" t="n"/>
      <c r="AC91" s="14" t="n"/>
      <c r="AD91" s="28" t="n">
        <v>43008</v>
      </c>
      <c r="AE91" s="72" t="n">
        <v>0.003112100000000062</v>
      </c>
      <c r="AF91" s="14" t="n"/>
      <c r="AG91" s="14" t="n"/>
      <c r="AH91" s="14" t="n"/>
      <c r="AI91" s="14" t="n"/>
      <c r="AJ91" s="14" t="n"/>
      <c r="AK91" s="14" t="n"/>
      <c r="AL91" s="14" t="n"/>
      <c r="AM91" s="14" t="n"/>
      <c r="AN91" s="14" t="n"/>
      <c r="AO91" s="14" t="n"/>
      <c r="AP91" s="14" t="n"/>
      <c r="AQ91" s="14" t="n"/>
    </row>
    <row r="92" customFormat="1" s="111">
      <c r="A92" s="28" t="n">
        <v>41362</v>
      </c>
      <c r="B92" s="114" t="n">
        <v>15095.51</v>
      </c>
      <c r="C92" s="36">
        <f>(B92/B91-1)/(A92-A91)*30</f>
        <v/>
      </c>
      <c r="D92" s="30" t="n"/>
      <c r="E92" s="30" t="n"/>
      <c r="F92" s="30" t="n"/>
      <c r="I92" s="112" t="n"/>
      <c r="AC92" s="14" t="n"/>
      <c r="AD92" s="28" t="n">
        <v>43039</v>
      </c>
      <c r="AE92" s="72" t="n">
        <v>0.002663549477348879</v>
      </c>
      <c r="AF92" s="14" t="n"/>
      <c r="AG92" s="14" t="n"/>
      <c r="AH92" s="14" t="n"/>
      <c r="AI92" s="14" t="n"/>
      <c r="AJ92" s="14" t="n"/>
      <c r="AK92" s="14" t="n"/>
      <c r="AL92" s="14" t="n"/>
      <c r="AM92" s="14" t="n"/>
      <c r="AN92" s="14" t="n"/>
      <c r="AO92" s="14" t="n"/>
      <c r="AP92" s="14" t="n"/>
      <c r="AQ92" s="14" t="n"/>
    </row>
    <row r="93" customFormat="1" s="111">
      <c r="A93" s="28" t="n">
        <v>41394</v>
      </c>
      <c r="B93" s="114" t="n">
        <v>15164.77</v>
      </c>
      <c r="C93" s="36">
        <f>(B93/B92-1)/(A93-A92)*30</f>
        <v/>
      </c>
      <c r="D93" s="30" t="n"/>
      <c r="E93" s="30" t="n"/>
      <c r="F93" s="30" t="n"/>
      <c r="I93" s="112" t="n"/>
      <c r="AC93" s="14" t="n"/>
      <c r="AD93" s="28" t="n">
        <v>43069</v>
      </c>
      <c r="AE93" s="72" t="n">
        <v>0.002704019294682336</v>
      </c>
      <c r="AF93" s="14" t="n"/>
      <c r="AG93" s="14" t="n"/>
      <c r="AH93" s="14" t="n"/>
      <c r="AI93" s="14" t="n"/>
      <c r="AJ93" s="14" t="n"/>
      <c r="AK93" s="14" t="n"/>
      <c r="AL93" s="14" t="n"/>
      <c r="AM93" s="14" t="n"/>
      <c r="AN93" s="14" t="n"/>
      <c r="AO93" s="14" t="n"/>
      <c r="AP93" s="14" t="n"/>
      <c r="AQ93" s="14" t="n"/>
    </row>
    <row r="94" customFormat="1" s="111">
      <c r="A94" s="28" t="n">
        <v>41425</v>
      </c>
      <c r="B94" s="114" t="n">
        <v>15230.38</v>
      </c>
      <c r="C94" s="36">
        <f>(B94/B93-1)/(A94-A93)*30</f>
        <v/>
      </c>
      <c r="D94" s="30" t="n"/>
      <c r="E94" s="30" t="n"/>
      <c r="F94" s="30" t="n"/>
      <c r="I94" s="112" t="n"/>
      <c r="AC94" s="14" t="n"/>
      <c r="AD94" s="28" t="n">
        <v>43100</v>
      </c>
      <c r="AE94" s="72" t="n">
        <v>0.003009654469144453</v>
      </c>
      <c r="AF94" s="14" t="n"/>
      <c r="AG94" s="14" t="n"/>
      <c r="AH94" s="14" t="n"/>
      <c r="AI94" s="14" t="n"/>
      <c r="AJ94" s="14" t="n"/>
      <c r="AK94" s="14" t="n"/>
      <c r="AL94" s="14" t="n"/>
      <c r="AM94" s="14" t="n"/>
      <c r="AN94" s="14" t="n"/>
      <c r="AO94" s="14" t="n"/>
      <c r="AP94" s="14" t="n"/>
      <c r="AQ94" s="14" t="n"/>
    </row>
    <row r="95" customFormat="1" s="111">
      <c r="A95" s="28" t="n">
        <v>41453</v>
      </c>
      <c r="B95" s="114" t="n">
        <v>15289.74</v>
      </c>
      <c r="C95" s="36">
        <f>(B95/B94-1)/(A95-A94)*30</f>
        <v/>
      </c>
      <c r="D95" s="30" t="n"/>
      <c r="E95" s="30" t="n"/>
      <c r="F95" s="30" t="n"/>
      <c r="I95" s="112" t="n"/>
      <c r="AC95" s="14" t="n"/>
      <c r="AD95" s="28" t="n">
        <v>43131</v>
      </c>
      <c r="AE95" s="72" t="n">
        <v>0.004737272399342256</v>
      </c>
      <c r="AF95" s="14" t="n"/>
      <c r="AG95" s="14" t="n"/>
      <c r="AH95" s="14" t="n"/>
      <c r="AI95" s="14" t="n"/>
      <c r="AJ95" s="14" t="n"/>
      <c r="AK95" s="14" t="n"/>
      <c r="AL95" s="14" t="n"/>
      <c r="AM95" s="14" t="n"/>
      <c r="AN95" s="14" t="n"/>
      <c r="AO95" s="14" t="n"/>
      <c r="AP95" s="14" t="n"/>
      <c r="AQ95" s="14" t="n"/>
    </row>
    <row r="96" customFormat="1" s="111">
      <c r="A96" s="28" t="n">
        <v>41486</v>
      </c>
      <c r="B96" s="114" t="n">
        <v>15360.27</v>
      </c>
      <c r="C96" s="36">
        <f>(B96/B95-1)/(A96-A95)*30</f>
        <v/>
      </c>
      <c r="D96" s="30" t="n"/>
      <c r="E96" s="30" t="n"/>
      <c r="F96" s="30" t="n"/>
      <c r="I96" s="112" t="n"/>
      <c r="AC96" s="14" t="n"/>
      <c r="AD96" s="28" t="n">
        <v>43159</v>
      </c>
      <c r="AE96" s="72" t="n">
        <v>0.003781523019540458</v>
      </c>
      <c r="AF96" s="14" t="n"/>
      <c r="AG96" s="14" t="n"/>
      <c r="AH96" s="14" t="n"/>
      <c r="AI96" s="14" t="n"/>
      <c r="AJ96" s="14" t="n"/>
      <c r="AK96" s="14" t="n"/>
      <c r="AL96" s="14" t="n"/>
      <c r="AM96" s="14" t="n"/>
      <c r="AN96" s="14" t="n"/>
      <c r="AO96" s="14" t="n"/>
      <c r="AP96" s="14" t="n"/>
      <c r="AQ96" s="14" t="n"/>
    </row>
    <row r="97" customFormat="1" s="111">
      <c r="A97" s="28" t="n">
        <v>41516</v>
      </c>
      <c r="B97" s="114" t="n">
        <v>15424.43</v>
      </c>
      <c r="C97" s="36">
        <f>(B97/B96-1)/(A97-A96)*30</f>
        <v/>
      </c>
      <c r="D97" s="30" t="n"/>
      <c r="E97" s="30" t="n"/>
      <c r="F97" s="30" t="n"/>
      <c r="I97" s="112" t="n"/>
      <c r="AC97" s="14" t="n"/>
      <c r="AD97" s="28" t="n">
        <v>43190</v>
      </c>
      <c r="AE97" s="72" t="n">
        <v>0.003005275119085731</v>
      </c>
      <c r="AF97" s="14" t="n"/>
      <c r="AG97" s="14" t="n"/>
      <c r="AH97" s="14" t="n"/>
      <c r="AI97" s="14" t="n"/>
      <c r="AJ97" s="14" t="n"/>
      <c r="AK97" s="14" t="n"/>
      <c r="AL97" s="14" t="n"/>
      <c r="AM97" s="14" t="n"/>
      <c r="AN97" s="14" t="n"/>
      <c r="AO97" s="14" t="n"/>
      <c r="AP97" s="14" t="n"/>
      <c r="AQ97" s="14" t="n"/>
    </row>
    <row r="98" customFormat="1" s="111">
      <c r="A98" s="28" t="n">
        <v>41547</v>
      </c>
      <c r="B98" s="114" t="n">
        <v>15490.99</v>
      </c>
      <c r="C98" s="36">
        <f>(B98/B97-1)/(A98-A97)*30</f>
        <v/>
      </c>
      <c r="D98" s="30" t="n"/>
      <c r="E98" s="30" t="n"/>
      <c r="F98" s="30" t="n"/>
      <c r="I98" s="112" t="n"/>
      <c r="AC98" s="14" t="n"/>
      <c r="AD98" s="28" t="n">
        <v>43220</v>
      </c>
      <c r="AE98" s="72" t="n">
        <v>0.00316130254575997</v>
      </c>
      <c r="AF98" s="14" t="n"/>
      <c r="AG98" s="14" t="n"/>
      <c r="AH98" s="14" t="n"/>
      <c r="AI98" s="14" t="n"/>
      <c r="AJ98" s="14" t="n"/>
      <c r="AK98" s="14" t="n"/>
      <c r="AL98" s="14" t="n"/>
      <c r="AM98" s="14" t="n"/>
      <c r="AN98" s="14" t="n"/>
      <c r="AO98" s="14" t="n"/>
      <c r="AP98" s="14" t="n"/>
      <c r="AQ98" s="14" t="n"/>
    </row>
    <row r="99" customFormat="1" s="111">
      <c r="A99" s="28" t="n">
        <v>41578</v>
      </c>
      <c r="B99" s="114" t="n">
        <v>15554.36</v>
      </c>
      <c r="C99" s="36">
        <f>(B99/B98-1)/(A99-A98)*30</f>
        <v/>
      </c>
      <c r="D99" s="30" t="n"/>
      <c r="E99" s="30" t="n"/>
      <c r="F99" s="30" t="n"/>
      <c r="I99" s="112" t="n"/>
      <c r="AD99" s="28" t="n">
        <v>43251</v>
      </c>
      <c r="AE99" s="72" t="n">
        <v>0.003100678663890142</v>
      </c>
      <c r="AF99" s="14" t="n"/>
      <c r="AG99" s="14" t="n"/>
      <c r="AH99" s="14" t="n"/>
      <c r="AI99" s="14" t="n"/>
      <c r="AJ99" s="14" t="n"/>
      <c r="AK99" s="14" t="n"/>
      <c r="AL99" s="14" t="n"/>
      <c r="AM99" s="14" t="n"/>
      <c r="AN99" s="14" t="n"/>
      <c r="AO99" s="14" t="n"/>
      <c r="AP99" s="14" t="n"/>
      <c r="AQ99" s="14" t="n"/>
    </row>
    <row r="100" customFormat="1" s="111">
      <c r="A100" s="28" t="n">
        <v>41607</v>
      </c>
      <c r="B100" s="114" t="n">
        <v>15615.06</v>
      </c>
      <c r="C100" s="36">
        <f>(B100/B99-1)/(A100-A99)*30</f>
        <v/>
      </c>
      <c r="D100" s="30" t="n"/>
      <c r="E100" s="30" t="n"/>
      <c r="F100" s="30" t="n"/>
      <c r="I100" s="112" t="n"/>
      <c r="AD100" s="28" t="n">
        <v>43281</v>
      </c>
      <c r="AE100" s="72" t="n">
        <v>0.00287709140845549</v>
      </c>
    </row>
    <row r="101" customFormat="1" s="111">
      <c r="A101" s="28" t="n">
        <v>41639</v>
      </c>
      <c r="B101" s="114" t="n">
        <v>15675.68</v>
      </c>
      <c r="C101" s="36">
        <f>(B101/B100-1)/(A101-A100)*30</f>
        <v/>
      </c>
      <c r="D101" s="30" t="n"/>
      <c r="E101" s="30" t="n"/>
      <c r="F101" s="30" t="n"/>
      <c r="I101" s="112" t="n"/>
      <c r="AD101" s="28" t="n">
        <v>43312</v>
      </c>
      <c r="AE101" s="72" t="n">
        <v>0.002790254057869121</v>
      </c>
    </row>
    <row r="102" customFormat="1" s="111">
      <c r="A102" s="28" t="n">
        <v>41670</v>
      </c>
      <c r="B102" s="114" t="n">
        <v>15738.45</v>
      </c>
      <c r="C102" s="36">
        <f>(B102/B101-1)/(A102-A101)*30</f>
        <v/>
      </c>
      <c r="D102" s="30" t="n"/>
      <c r="E102" s="30" t="n"/>
      <c r="F102" s="30" t="n"/>
      <c r="I102" s="112" t="n"/>
      <c r="AD102" s="28" t="n">
        <v>43343</v>
      </c>
      <c r="AE102" s="72" t="n">
        <v>0.002697220022070491</v>
      </c>
    </row>
    <row r="103" customFormat="1" s="111">
      <c r="A103" s="28" t="n">
        <v>41698</v>
      </c>
      <c r="B103" s="114" t="n">
        <v>15792.47</v>
      </c>
      <c r="C103" s="36">
        <f>(B103/B102-1)/(A103-A102)*30</f>
        <v/>
      </c>
      <c r="D103" s="30" t="n"/>
      <c r="E103" s="30" t="n"/>
      <c r="F103" s="30" t="n"/>
      <c r="I103" s="112" t="n"/>
      <c r="AD103" s="28" t="n">
        <v>43373</v>
      </c>
      <c r="AE103" s="72" t="n">
        <v>0.002946786774067123</v>
      </c>
    </row>
    <row r="104" customFormat="1" s="111">
      <c r="A104" s="28" t="n">
        <v>41729</v>
      </c>
      <c r="B104" s="114" t="n">
        <v>15848.53</v>
      </c>
      <c r="C104" s="36">
        <f>(B104/B103-1)/(A104-A103)*30</f>
        <v/>
      </c>
      <c r="D104" s="30" t="n"/>
      <c r="E104" s="30" t="n"/>
      <c r="F104" s="30" t="n"/>
      <c r="I104" s="112" t="n"/>
      <c r="AD104" s="28" t="n">
        <v>43404</v>
      </c>
      <c r="AE104" s="72" t="n">
        <v>0.002734115798128082</v>
      </c>
    </row>
    <row r="105" customFormat="1" s="111">
      <c r="A105" s="28" t="n">
        <v>41759</v>
      </c>
      <c r="B105" s="114" t="n">
        <v>15901.43</v>
      </c>
      <c r="C105" s="36">
        <f>(B105/B104-1)/(A105-A104)*30</f>
        <v/>
      </c>
      <c r="D105" s="30" t="n"/>
      <c r="E105" s="30" t="n"/>
      <c r="F105" s="30" t="n"/>
      <c r="I105" s="112" t="n"/>
      <c r="AD105" s="28" t="n">
        <v>43434</v>
      </c>
      <c r="AE105" s="72" t="n">
        <v>0.002844092886551852</v>
      </c>
    </row>
    <row r="106" customFormat="1" s="111">
      <c r="A106" s="28" t="n">
        <v>41789</v>
      </c>
      <c r="B106" s="114" t="n">
        <v>15954.5</v>
      </c>
      <c r="C106" s="36">
        <f>(B106/B105-1)/(A106-A105)*30</f>
        <v/>
      </c>
      <c r="D106" s="30" t="n"/>
      <c r="E106" s="30" t="n"/>
      <c r="F106" s="30" t="n"/>
      <c r="I106" s="112" t="n"/>
      <c r="AD106" s="28" t="n">
        <v>43465</v>
      </c>
      <c r="AE106" s="72" t="n">
        <v>0.002626598915806536</v>
      </c>
    </row>
    <row r="107" customFormat="1" s="111">
      <c r="A107" s="28" t="n">
        <v>41820</v>
      </c>
      <c r="B107" s="114" t="n">
        <v>16009.53</v>
      </c>
      <c r="C107" s="36">
        <f>(B107/B106-1)/(A107-A106)*30</f>
        <v/>
      </c>
      <c r="D107" s="30" t="n"/>
      <c r="E107" s="30" t="n"/>
      <c r="F107" s="30" t="n"/>
      <c r="I107" s="112" t="n"/>
      <c r="AD107" s="28" t="n">
        <v>43496</v>
      </c>
      <c r="AE107" s="72" t="n">
        <v>0.002814303282289405</v>
      </c>
    </row>
    <row r="108" customFormat="1" s="111">
      <c r="A108" s="28" t="n">
        <v>41851</v>
      </c>
      <c r="B108" s="114" t="n">
        <v>16063.18</v>
      </c>
      <c r="C108" s="36">
        <f>(B108/B107-1)/(A108-A107)*30</f>
        <v/>
      </c>
      <c r="D108" s="30" t="n"/>
      <c r="E108" s="30" t="n"/>
      <c r="F108" s="30" t="n"/>
      <c r="I108" s="112" t="n"/>
      <c r="AD108" s="28" t="n">
        <v>43524</v>
      </c>
      <c r="AE108" s="72" t="n">
        <v>0.002823606386871957</v>
      </c>
    </row>
    <row r="109" customFormat="1" s="111">
      <c r="A109" s="28" t="n">
        <v>41880</v>
      </c>
      <c r="B109" s="114" t="n">
        <v>16110.55</v>
      </c>
      <c r="C109" s="36">
        <f>(B109/B108-1)/(A109-A108)*30</f>
        <v/>
      </c>
      <c r="D109" s="30" t="n"/>
      <c r="E109" s="30" t="n"/>
      <c r="F109" s="30" t="n"/>
      <c r="I109" s="112" t="n"/>
      <c r="AD109" s="28" t="n">
        <v>43555</v>
      </c>
      <c r="AE109" s="72" t="n">
        <v>0.002865362794038821</v>
      </c>
    </row>
    <row r="110" customFormat="1" s="111">
      <c r="A110" s="28" t="n">
        <v>41912</v>
      </c>
      <c r="B110" s="114" t="n">
        <v>16158.37</v>
      </c>
      <c r="C110" s="36">
        <f>(B110/B109-1)/(A110-A109)*30</f>
        <v/>
      </c>
      <c r="D110" s="30" t="n"/>
      <c r="E110" s="30" t="n"/>
      <c r="F110" s="30" t="n"/>
      <c r="I110" s="112" t="n"/>
      <c r="AD110" s="28" t="n">
        <v>43585</v>
      </c>
      <c r="AE110" s="72" t="n">
        <v>0.002932409051613627</v>
      </c>
    </row>
    <row r="111" customFormat="1" s="111">
      <c r="A111" s="28" t="n">
        <v>41943</v>
      </c>
      <c r="B111" s="114" t="n">
        <v>16200.86</v>
      </c>
      <c r="C111" s="36">
        <f>(B111/B110-1)/(A111-A110)*30</f>
        <v/>
      </c>
      <c r="D111" s="30" t="n"/>
      <c r="E111" s="30" t="n"/>
      <c r="F111" s="30" t="n"/>
      <c r="I111" s="112" t="n"/>
    </row>
    <row r="112" customFormat="1" s="111">
      <c r="A112" s="28" t="n">
        <v>41971</v>
      </c>
      <c r="B112" s="114" t="n">
        <v>16240.11</v>
      </c>
      <c r="C112" s="36">
        <f>(B112/B111-1)/(A112-A111)*30</f>
        <v/>
      </c>
      <c r="D112" s="30" t="n"/>
      <c r="E112" s="30" t="n"/>
      <c r="F112" s="30" t="n"/>
      <c r="I112" s="112" t="n"/>
    </row>
    <row r="113" customFormat="1" s="111">
      <c r="A113" s="28" t="n">
        <v>42004</v>
      </c>
      <c r="B113" s="114" t="n">
        <v>16283.49</v>
      </c>
      <c r="C113" s="36">
        <f>(B113/B112-1)/(A113-A112)*30</f>
        <v/>
      </c>
      <c r="D113" s="30" t="n"/>
      <c r="E113" s="30" t="n"/>
      <c r="F113" s="30" t="n"/>
      <c r="I113" s="112" t="n"/>
    </row>
    <row r="114" customFormat="1" s="111">
      <c r="A114" s="28" t="n">
        <v>42034</v>
      </c>
      <c r="B114" s="114" t="n">
        <v>16325.65</v>
      </c>
      <c r="C114" s="36">
        <f>(B114/B113-1)/(A114-A113)*30</f>
        <v/>
      </c>
      <c r="D114" s="30" t="n"/>
      <c r="E114" s="30" t="n"/>
      <c r="F114" s="30" t="n"/>
      <c r="I114" s="112" t="n"/>
    </row>
    <row r="115">
      <c r="A115" s="28" t="n">
        <v>42062</v>
      </c>
      <c r="B115" s="114" t="n">
        <v>16363.77</v>
      </c>
      <c r="C115" s="36">
        <f>(B115/B114-1)/(A115-A114)*30</f>
        <v/>
      </c>
      <c r="D115" s="30" t="n"/>
      <c r="E115" s="30" t="n"/>
      <c r="F115" s="30"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8" t="n">
        <v>42094</v>
      </c>
      <c r="B116" s="114" t="n">
        <v>16407.49</v>
      </c>
      <c r="C116" s="36">
        <f>(B116/B115-1)/(A116-A115)*30</f>
        <v/>
      </c>
      <c r="D116" s="30" t="n"/>
      <c r="E116" s="30" t="n"/>
      <c r="F116" s="30"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8" t="n">
        <v>42124</v>
      </c>
      <c r="B117" s="114" t="n">
        <v>16448.59</v>
      </c>
      <c r="C117" s="36">
        <f>(B117/B116-1)/(A117-A116)*30</f>
        <v/>
      </c>
      <c r="D117" s="30" t="n"/>
      <c r="E117" s="30" t="n"/>
      <c r="F117" s="30"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8" t="n">
        <v>42153</v>
      </c>
      <c r="B118" s="114" t="n">
        <v>16488.37</v>
      </c>
      <c r="C118" s="36">
        <f>(B118/B117-1)/(A118-A117)*30</f>
        <v/>
      </c>
      <c r="D118" s="30" t="n"/>
      <c r="E118" s="30" t="n"/>
      <c r="F118" s="30"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8" t="n">
        <v>42185</v>
      </c>
      <c r="B119" s="114" t="n">
        <v>16532.38</v>
      </c>
      <c r="C119" s="36">
        <f>(B119/B118-1)/(A119-A118)*30</f>
        <v/>
      </c>
      <c r="D119" s="30" t="n"/>
      <c r="E119" s="30" t="n"/>
      <c r="F119" s="30" t="n"/>
      <c r="O119" s="111" t="n"/>
      <c r="P119" s="111" t="n"/>
      <c r="Q119" s="111" t="n"/>
      <c r="R119" s="111" t="n"/>
      <c r="S119" s="111" t="n"/>
      <c r="T119" s="111" t="n"/>
      <c r="U119" s="111" t="n"/>
      <c r="V119" s="111" t="n"/>
      <c r="W119" s="111" t="n"/>
      <c r="X119" s="111" t="n"/>
      <c r="Y119" s="111" t="n"/>
      <c r="Z119" s="111" t="n"/>
      <c r="AA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8" t="n">
        <v>42216</v>
      </c>
      <c r="B120" s="114" t="n">
        <v>16575.11</v>
      </c>
      <c r="C120" s="36">
        <f>(B120/B119-1)/(A120-A119)*30</f>
        <v/>
      </c>
      <c r="D120" s="30" t="n"/>
      <c r="E120" s="30" t="n"/>
      <c r="F120" s="30" t="n"/>
      <c r="O120" s="111" t="n"/>
      <c r="P120" s="111" t="n"/>
      <c r="Q120" s="111" t="n"/>
      <c r="R120" s="111" t="n"/>
      <c r="S120" s="111" t="n"/>
      <c r="T120" s="111" t="n"/>
      <c r="U120" s="111" t="n"/>
      <c r="V120" s="111" t="n"/>
      <c r="W120" s="111" t="n"/>
      <c r="X120" s="111" t="n"/>
      <c r="Y120" s="111" t="n"/>
      <c r="Z120" s="111" t="n"/>
      <c r="AA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8" t="n">
        <v>42247</v>
      </c>
      <c r="B121" s="114" t="n">
        <v>16617.94</v>
      </c>
      <c r="C121" s="36">
        <f>(B121/B120-1)/(A121-A120)*30</f>
        <v/>
      </c>
      <c r="D121" s="30" t="n"/>
      <c r="E121" s="30" t="n"/>
      <c r="F121" s="30" t="n"/>
      <c r="O121" s="111" t="n"/>
      <c r="P121" s="111" t="n"/>
      <c r="Q121" s="111" t="n"/>
      <c r="R121" s="111" t="n"/>
      <c r="S121" s="111" t="n"/>
      <c r="T121" s="111" t="n"/>
      <c r="U121" s="111" t="n"/>
      <c r="V121" s="111" t="n"/>
      <c r="W121" s="111" t="n"/>
      <c r="X121" s="111" t="n"/>
      <c r="Y121" s="111" t="n"/>
      <c r="Z121" s="111" t="n"/>
      <c r="AA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8" t="n">
        <v>42277</v>
      </c>
      <c r="B122" s="114" t="n">
        <v>16659.58</v>
      </c>
      <c r="C122" s="36">
        <f>(B122/B121-1)/(A122-A121)*30</f>
        <v/>
      </c>
      <c r="D122" s="30" t="n"/>
      <c r="E122" s="30" t="n"/>
      <c r="F122" s="30"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8" t="n">
        <v>42307</v>
      </c>
      <c r="B123" s="114" t="n">
        <v>16702.94</v>
      </c>
      <c r="C123" s="36">
        <f>(B123/B122-1)/(A123-A122)*30</f>
        <v/>
      </c>
      <c r="D123" s="30" t="n"/>
      <c r="E123" s="30" t="n"/>
      <c r="F123" s="30"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8" t="n">
        <v>42338</v>
      </c>
      <c r="B124" s="114" t="n">
        <v>16749.75</v>
      </c>
      <c r="C124" s="36">
        <f>(B124/B123-1)/(A124-A123)*30</f>
        <v/>
      </c>
      <c r="D124" s="30" t="n"/>
      <c r="E124" s="30" t="n"/>
      <c r="F124" s="28" t="n"/>
      <c r="O124" s="111" t="n"/>
      <c r="P124" s="111" t="n"/>
      <c r="Q124" s="111" t="n"/>
      <c r="R124" s="111" t="n"/>
      <c r="S124" s="111" t="n"/>
      <c r="T124" s="111" t="n"/>
      <c r="U124" s="111" t="n"/>
      <c r="V124" s="111" t="n"/>
      <c r="W124" s="111" t="n"/>
      <c r="X124" s="111" t="n"/>
      <c r="Y124" s="111" t="n"/>
      <c r="Z124" s="111" t="n"/>
      <c r="AA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8" t="n">
        <v>42369</v>
      </c>
      <c r="B125" s="114" t="n">
        <v>16796.52</v>
      </c>
      <c r="C125" s="36">
        <f>(B125/B124-1)/(A125-A124)*30</f>
        <v/>
      </c>
      <c r="D125" s="30" t="n"/>
      <c r="E125" s="30" t="n"/>
      <c r="F125" s="28" t="n"/>
      <c r="K125" s="111" t="n">
        <v>997.096492585025</v>
      </c>
      <c r="O125" s="111" t="n"/>
      <c r="P125" s="111" t="n"/>
      <c r="Q125" s="111" t="n"/>
      <c r="R125" s="111" t="n"/>
      <c r="S125" s="111" t="n"/>
      <c r="T125" s="111" t="n"/>
      <c r="U125" s="111" t="n"/>
      <c r="V125" s="111" t="n"/>
      <c r="W125" s="111" t="n"/>
      <c r="X125" s="111" t="n"/>
      <c r="Y125" s="111" t="n"/>
      <c r="Z125" s="111" t="n"/>
      <c r="AA125" s="111" t="n"/>
      <c r="AC125" s="111" t="n"/>
      <c r="AD125" s="111" t="n"/>
      <c r="AE125" s="111" t="n"/>
      <c r="AF125" s="111" t="n"/>
      <c r="AG125" s="111" t="n"/>
      <c r="AH125" s="111" t="n"/>
      <c r="AI125" s="111" t="n"/>
      <c r="AJ125" s="111" t="n"/>
      <c r="AK125" s="111" t="n"/>
      <c r="AL125" s="111" t="n"/>
      <c r="AM125" s="111" t="n"/>
      <c r="AN125" s="111" t="n"/>
      <c r="AO125" s="111" t="n"/>
      <c r="AP125" s="111" t="n"/>
      <c r="AQ125" s="111" t="n"/>
    </row>
    <row r="126">
      <c r="A126" s="28" t="n">
        <v>42398</v>
      </c>
      <c r="B126" s="114" t="n">
        <v>16845.59</v>
      </c>
      <c r="C126" s="36">
        <f>(B126/B125-1)/(A126-A125)*30</f>
        <v/>
      </c>
      <c r="D126" s="30" t="n"/>
      <c r="E126" s="30" t="n"/>
      <c r="F126" s="28" t="n"/>
      <c r="K126" s="111" t="n">
        <v>999.91</v>
      </c>
      <c r="AC126" s="111" t="n"/>
      <c r="AD126" s="111" t="n"/>
      <c r="AE126" s="111" t="n"/>
      <c r="AF126" s="111" t="n"/>
      <c r="AG126" s="111" t="n"/>
      <c r="AH126" s="111" t="n"/>
      <c r="AI126" s="111" t="n"/>
      <c r="AJ126" s="111" t="n"/>
      <c r="AK126" s="111" t="n"/>
      <c r="AL126" s="111" t="n"/>
      <c r="AM126" s="111" t="n"/>
      <c r="AN126" s="111" t="n"/>
      <c r="AO126" s="111" t="n"/>
      <c r="AP126" s="111" t="n"/>
      <c r="AQ126" s="111" t="n"/>
    </row>
    <row r="127">
      <c r="A127" s="28" t="n">
        <v>42429</v>
      </c>
      <c r="B127" s="114" t="n">
        <v>16896.43</v>
      </c>
      <c r="C127" s="36">
        <f>(B127/B126-1)/(A127-A126)*30</f>
        <v/>
      </c>
      <c r="D127" s="30" t="n"/>
      <c r="E127" s="30" t="n"/>
      <c r="F127" s="28" t="n"/>
      <c r="K127" s="111" t="n">
        <v>1003.0557</v>
      </c>
      <c r="AC127" s="111" t="n"/>
      <c r="AD127" s="111" t="n"/>
      <c r="AE127" s="111" t="n"/>
      <c r="AF127" s="111" t="n"/>
      <c r="AG127" s="111" t="n"/>
      <c r="AH127" s="111" t="n"/>
      <c r="AI127" s="111" t="n"/>
      <c r="AJ127" s="111" t="n"/>
      <c r="AK127" s="111" t="n"/>
      <c r="AL127" s="111" t="n"/>
      <c r="AM127" s="111" t="n"/>
      <c r="AN127" s="111" t="n"/>
      <c r="AO127" s="111" t="n"/>
      <c r="AP127" s="111" t="n"/>
      <c r="AQ127" s="111" t="n"/>
    </row>
    <row r="128">
      <c r="A128" s="28" t="n">
        <v>42460</v>
      </c>
      <c r="B128" s="114" t="n">
        <v>16947.43</v>
      </c>
      <c r="C128" s="36">
        <f>(B128/B127-1)/(A128-A127)*30</f>
        <v/>
      </c>
      <c r="D128" s="30" t="n"/>
      <c r="E128" s="30" t="n"/>
      <c r="F128" s="28" t="n"/>
      <c r="K128" s="111" t="n">
        <v>1006.748</v>
      </c>
      <c r="AC128" s="111" t="n"/>
      <c r="AD128" s="111" t="n"/>
      <c r="AE128" s="111" t="n"/>
      <c r="AF128" s="111" t="n"/>
      <c r="AG128" s="111" t="n"/>
      <c r="AH128" s="111" t="n"/>
      <c r="AI128" s="111" t="n"/>
      <c r="AJ128" s="111" t="n"/>
      <c r="AK128" s="111" t="n"/>
      <c r="AL128" s="111" t="n"/>
      <c r="AM128" s="111" t="n"/>
      <c r="AN128" s="111" t="n"/>
      <c r="AO128" s="111" t="n"/>
      <c r="AP128" s="111" t="n"/>
      <c r="AQ128" s="111" t="n"/>
    </row>
    <row r="129">
      <c r="A129" s="28" t="n">
        <v>42489</v>
      </c>
      <c r="B129" s="114" t="n">
        <v>16995.27</v>
      </c>
      <c r="C129" s="36">
        <f>(B129/B128-1)/(A129-A128)*30</f>
        <v/>
      </c>
      <c r="D129" s="30" t="n"/>
      <c r="F129" s="28" t="n"/>
      <c r="K129" s="111" t="n">
        <v>1010.1901</v>
      </c>
      <c r="AC129" s="111" t="n"/>
      <c r="AD129" s="111" t="n"/>
      <c r="AE129" s="111" t="n"/>
      <c r="AF129" s="111" t="n"/>
      <c r="AG129" s="111" t="n"/>
      <c r="AH129" s="111" t="n"/>
      <c r="AI129" s="111" t="n"/>
      <c r="AJ129" s="111" t="n"/>
      <c r="AK129" s="111" t="n"/>
      <c r="AL129" s="111" t="n"/>
      <c r="AM129" s="111" t="n"/>
      <c r="AN129" s="111" t="n"/>
      <c r="AO129" s="111" t="n"/>
      <c r="AP129" s="111" t="n"/>
      <c r="AQ129" s="111" t="n"/>
    </row>
    <row r="130">
      <c r="A130" s="28" t="n">
        <v>42521</v>
      </c>
      <c r="B130" s="114" t="n">
        <v>17048.23</v>
      </c>
      <c r="C130" s="36">
        <f>(B130/B129-1)/(A130-A129)*30</f>
        <v/>
      </c>
      <c r="D130" s="30" t="n"/>
      <c r="F130" s="28" t="n"/>
      <c r="G130" s="120" t="n"/>
      <c r="H130" s="120" t="n"/>
      <c r="J130" s="29" t="n"/>
      <c r="K130" s="111" t="n">
        <v>1013.6123</v>
      </c>
      <c r="L130" s="36">
        <f>+(K130/K129-1)/(F130-F129)*30</f>
        <v/>
      </c>
      <c r="AC130" s="111" t="n"/>
      <c r="AD130" s="111" t="n"/>
      <c r="AE130" s="111" t="n"/>
      <c r="AF130" s="111" t="n"/>
      <c r="AG130" s="111" t="n"/>
      <c r="AH130" s="111" t="n"/>
      <c r="AI130" s="111" t="n"/>
      <c r="AJ130" s="111" t="n"/>
      <c r="AK130" s="111" t="n"/>
      <c r="AL130" s="111" t="n"/>
      <c r="AM130" s="111" t="n"/>
      <c r="AN130" s="111" t="n"/>
      <c r="AO130" s="111" t="n"/>
      <c r="AP130" s="111" t="n"/>
      <c r="AQ130" s="111" t="n"/>
    </row>
    <row r="131">
      <c r="A131" s="28" t="n">
        <v>42551</v>
      </c>
      <c r="B131" s="114" t="n">
        <v>17098.02</v>
      </c>
      <c r="C131" s="36">
        <f>(B131/B130-1)/(A131-A130)*30</f>
        <v/>
      </c>
      <c r="D131" s="30" t="n"/>
      <c r="F131" s="28" t="n"/>
      <c r="H131" s="120" t="n"/>
      <c r="I131" s="36" t="n"/>
      <c r="J131" s="29" t="n"/>
      <c r="K131" s="111" t="n">
        <v>1016.7787</v>
      </c>
      <c r="L131" s="36">
        <f>+(K131/K130-1)/(F131-F130)*30</f>
        <v/>
      </c>
      <c r="M131" s="30" t="n"/>
      <c r="AC131" s="111" t="n"/>
      <c r="AD131" s="111" t="n"/>
      <c r="AE131" s="111" t="n"/>
      <c r="AF131" s="111" t="n"/>
      <c r="AG131" s="111" t="n"/>
      <c r="AH131" s="111" t="n"/>
      <c r="AI131" s="111" t="n"/>
      <c r="AJ131" s="111" t="n"/>
      <c r="AK131" s="111" t="n"/>
      <c r="AL131" s="111" t="n"/>
      <c r="AM131" s="111" t="n"/>
      <c r="AN131" s="111" t="n"/>
      <c r="AO131" s="111" t="n"/>
      <c r="AP131" s="111" t="n"/>
      <c r="AQ131" s="111" t="n"/>
    </row>
    <row r="132">
      <c r="A132" s="28" t="n">
        <v>42582</v>
      </c>
      <c r="B132" s="121" t="n">
        <v>17149.23</v>
      </c>
      <c r="C132" s="36">
        <f>(B132/B131-1)/(A132-A131)*30</f>
        <v/>
      </c>
      <c r="D132" s="30" t="n"/>
      <c r="F132" s="28" t="n"/>
      <c r="H132" s="120" t="n"/>
      <c r="I132" s="36" t="n"/>
      <c r="J132" s="29" t="n"/>
      <c r="K132" s="111" t="n">
        <v>1020.0427</v>
      </c>
      <c r="L132" s="36">
        <f>+(K132/K131-1)/(F132-F131)*30</f>
        <v/>
      </c>
      <c r="M132" s="30" t="n"/>
      <c r="AC132" s="111" t="n"/>
      <c r="AD132" s="111" t="n"/>
      <c r="AE132" s="111" t="n"/>
      <c r="AF132" s="111" t="n"/>
      <c r="AG132" s="111" t="n"/>
      <c r="AH132" s="111" t="n"/>
      <c r="AI132" s="111" t="n"/>
      <c r="AJ132" s="111" t="n"/>
      <c r="AK132" s="111" t="n"/>
      <c r="AL132" s="111" t="n"/>
      <c r="AM132" s="111" t="n"/>
      <c r="AN132" s="111" t="n"/>
      <c r="AO132" s="111" t="n"/>
      <c r="AP132" s="111" t="n"/>
      <c r="AQ132" s="111" t="n"/>
    </row>
    <row r="133">
      <c r="A133" s="28" t="n">
        <v>42613</v>
      </c>
      <c r="B133" s="114" t="n">
        <v>17201.38</v>
      </c>
      <c r="C133" s="36">
        <f>(B133/B132-1)/(A133-A132)*30</f>
        <v/>
      </c>
      <c r="D133" s="30" t="n"/>
      <c r="F133" s="28" t="n"/>
      <c r="H133" s="120" t="n"/>
      <c r="I133" s="36" t="n"/>
      <c r="J133" s="29" t="n"/>
      <c r="K133" s="111" t="n">
        <v>1023.2554</v>
      </c>
      <c r="L133" s="36">
        <f>+(K133/K132-1)/(F133-F132)*30</f>
        <v/>
      </c>
      <c r="M133" s="30" t="n"/>
      <c r="AC133" s="111" t="n"/>
      <c r="AD133" s="111" t="n"/>
      <c r="AE133" s="111" t="n"/>
      <c r="AF133" s="111" t="n"/>
      <c r="AG133" s="111" t="n"/>
      <c r="AH133" s="111" t="n"/>
      <c r="AI133" s="111" t="n"/>
      <c r="AJ133" s="111" t="n"/>
      <c r="AK133" s="111" t="n"/>
      <c r="AL133" s="111" t="n"/>
      <c r="AM133" s="111" t="n"/>
      <c r="AN133" s="111" t="n"/>
      <c r="AO133" s="111" t="n"/>
      <c r="AP133" s="111" t="n"/>
      <c r="AQ133" s="111" t="n"/>
    </row>
    <row r="134">
      <c r="A134" s="28">
        <f>+A133+30</f>
        <v/>
      </c>
      <c r="B134" s="114" t="n">
        <v>17251.61</v>
      </c>
      <c r="C134" s="36">
        <f>(B134/B133-1)/(A134-A133)*30</f>
        <v/>
      </c>
      <c r="D134" s="30" t="n"/>
      <c r="F134" s="28" t="n"/>
      <c r="H134" s="120" t="n"/>
      <c r="I134" s="36" t="n"/>
      <c r="J134" s="29" t="n"/>
      <c r="K134" s="111" t="n">
        <v>1026.3402</v>
      </c>
      <c r="L134" s="36">
        <f>+(K134/K133-1)/(F134-F133)*30</f>
        <v/>
      </c>
      <c r="M134" s="30" t="n"/>
      <c r="AC134" s="111" t="n"/>
      <c r="AD134" s="111" t="n"/>
      <c r="AE134" s="111" t="n"/>
      <c r="AF134" s="111" t="n"/>
      <c r="AG134" s="111" t="n"/>
      <c r="AH134" s="111" t="n"/>
      <c r="AI134" s="111" t="n"/>
      <c r="AJ134" s="111" t="n"/>
      <c r="AK134" s="111" t="n"/>
      <c r="AL134" s="111" t="n"/>
      <c r="AM134" s="111" t="n"/>
      <c r="AN134" s="111" t="n"/>
      <c r="AO134" s="111" t="n"/>
      <c r="AP134" s="111" t="n"/>
      <c r="AQ134" s="111" t="n"/>
    </row>
    <row r="135">
      <c r="A135" s="28" t="n">
        <v>42674</v>
      </c>
      <c r="B135" s="114" t="n">
        <v>17303.68</v>
      </c>
      <c r="C135" s="36">
        <f>(B135/B134-1)/(A135-A134)*30</f>
        <v/>
      </c>
      <c r="D135" s="30" t="n"/>
      <c r="F135" s="28" t="n"/>
      <c r="H135" s="120" t="n"/>
      <c r="I135" s="36" t="n"/>
      <c r="J135" s="29" t="n"/>
      <c r="K135" s="111" t="n">
        <v>1029.5221</v>
      </c>
      <c r="L135" s="36">
        <f>+(K135/K134-1)/(F135-F134)*30</f>
        <v/>
      </c>
      <c r="M135" s="30" t="n"/>
      <c r="AC135" s="111" t="n"/>
      <c r="AD135" s="111" t="n"/>
      <c r="AE135" s="111" t="n"/>
      <c r="AF135" s="111" t="n"/>
      <c r="AG135" s="111" t="n"/>
      <c r="AH135" s="111" t="n"/>
      <c r="AI135" s="111" t="n"/>
      <c r="AJ135" s="111" t="n"/>
      <c r="AK135" s="111" t="n"/>
      <c r="AL135" s="111" t="n"/>
      <c r="AM135" s="111" t="n"/>
      <c r="AN135" s="111" t="n"/>
      <c r="AO135" s="111" t="n"/>
      <c r="AP135" s="111" t="n"/>
      <c r="AQ135" s="111" t="n"/>
    </row>
    <row r="136">
      <c r="A136" s="28" t="n">
        <v>42704</v>
      </c>
      <c r="B136" s="114" t="n">
        <v>17354.21</v>
      </c>
      <c r="C136" s="36">
        <f>(B136/B135-1)/(A136-A135)*30</f>
        <v/>
      </c>
      <c r="D136" s="30" t="n"/>
      <c r="F136" s="28" t="n"/>
      <c r="H136" s="120" t="n"/>
      <c r="I136" s="36" t="n"/>
      <c r="J136" s="29" t="n"/>
      <c r="K136" s="111" t="n">
        <v>1032.6171</v>
      </c>
      <c r="L136" s="36">
        <f>+(K136/K135-1)/(F136-F135)*30</f>
        <v/>
      </c>
      <c r="M136" s="30"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8" t="n">
        <v>42735</v>
      </c>
      <c r="B137" s="114" t="n">
        <v>17406.97</v>
      </c>
      <c r="C137" s="36">
        <f>(B137/B136-1)/(A137-A136)*30</f>
        <v/>
      </c>
      <c r="D137" s="30" t="n"/>
      <c r="F137" s="28" t="n"/>
      <c r="H137" s="120" t="n"/>
      <c r="I137" s="36" t="n"/>
      <c r="J137" s="29" t="n"/>
      <c r="K137" s="111" t="n">
        <v>1035.8294</v>
      </c>
      <c r="L137" s="36">
        <f>+(K137/K136-1)/(F137-F136)*30</f>
        <v/>
      </c>
      <c r="M137" s="30"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8" t="n">
        <v>42766</v>
      </c>
      <c r="B138" s="114" t="n">
        <v>17457.39</v>
      </c>
      <c r="C138" s="36">
        <f>(B138/B137-1)/(A138-A137)*30</f>
        <v/>
      </c>
      <c r="D138" s="30" t="n"/>
      <c r="F138" s="28" t="n"/>
      <c r="I138" s="36" t="n"/>
      <c r="J138" s="29" t="n"/>
      <c r="K138" s="111" t="n">
        <v>1039.2621</v>
      </c>
      <c r="L138" s="36">
        <f>+(K138/K137-1)/(F138-F137)*30</f>
        <v/>
      </c>
      <c r="M138" s="30"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8" t="n">
        <v>42794</v>
      </c>
      <c r="B139" s="114" t="n">
        <v>17501.06</v>
      </c>
      <c r="C139" s="36">
        <f>(B139/B138-1)/(A139-A138)*30</f>
        <v/>
      </c>
      <c r="D139" s="30" t="n"/>
      <c r="F139" s="28" t="n"/>
      <c r="I139" s="36" t="n"/>
      <c r="J139" s="29" t="n"/>
      <c r="K139" s="111" t="n">
        <v>1042.1611</v>
      </c>
      <c r="L139" s="36">
        <f>+(K139/K138-1)/(F139-F138)*30</f>
        <v/>
      </c>
      <c r="M139" s="30"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8" t="n">
        <v>42825</v>
      </c>
      <c r="B140" s="114" t="n">
        <v>17548.35</v>
      </c>
      <c r="C140" s="36">
        <f>(B140/B139-1)/(A140-A139)*30</f>
        <v/>
      </c>
      <c r="D140" s="30" t="n"/>
      <c r="F140" s="28" t="n"/>
      <c r="I140" s="36" t="n"/>
      <c r="J140" s="29" t="n"/>
      <c r="K140" s="111" t="n">
        <v>1045.2075</v>
      </c>
      <c r="L140" s="36">
        <f>+(K140/K139-1)/(F140-F139)*30</f>
        <v/>
      </c>
      <c r="M140" s="30"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8" t="n">
        <v>42855</v>
      </c>
      <c r="B141" s="114" t="n">
        <v>17587.92</v>
      </c>
      <c r="C141" s="36">
        <f>(B141/B140-1)/(A141-A140)*30</f>
        <v/>
      </c>
      <c r="D141" s="30" t="n"/>
      <c r="F141" s="28" t="n"/>
      <c r="I141" s="36" t="n"/>
      <c r="J141" s="29" t="n"/>
      <c r="K141" s="111" t="n">
        <v>1047.9294</v>
      </c>
      <c r="L141" s="36">
        <f>+(K141/K140-1)/(F141-F140)*30</f>
        <v/>
      </c>
      <c r="M141" s="30" t="n"/>
      <c r="AC141" s="111" t="n"/>
      <c r="AD141" s="111" t="n"/>
      <c r="AE141" s="111" t="n"/>
      <c r="AF141" s="111" t="n"/>
      <c r="AG141" s="111" t="n"/>
      <c r="AH141" s="111" t="n"/>
      <c r="AI141" s="111" t="n"/>
      <c r="AJ141" s="111" t="n"/>
      <c r="AK141" s="111" t="n"/>
      <c r="AL141" s="111" t="n"/>
      <c r="AM141" s="111" t="n"/>
      <c r="AN141" s="111" t="n"/>
      <c r="AO141" s="111" t="n"/>
      <c r="AP141" s="111" t="n"/>
      <c r="AQ141" s="111" t="n"/>
    </row>
    <row r="142">
      <c r="A142" s="28" t="n">
        <v>42886</v>
      </c>
      <c r="B142" s="114" t="n">
        <v>17630.79</v>
      </c>
      <c r="C142" s="36">
        <f>(B142/B141-1)/(A142-A141)*30</f>
        <v/>
      </c>
      <c r="D142" s="30" t="n"/>
      <c r="F142" s="28" t="n"/>
      <c r="I142" s="36" t="n"/>
      <c r="J142" s="29" t="n"/>
      <c r="K142" s="111" t="n">
        <v>1050.5427</v>
      </c>
      <c r="L142" s="36">
        <f>+(K142/K141-1)/(F142-F141)*30</f>
        <v/>
      </c>
      <c r="M142" s="30" t="n"/>
      <c r="AC142" s="111" t="n"/>
      <c r="AD142" s="111" t="n"/>
      <c r="AE142" s="111" t="n"/>
      <c r="AF142" s="111" t="n"/>
      <c r="AG142" s="111" t="n"/>
      <c r="AH142" s="111" t="n"/>
      <c r="AI142" s="111" t="n"/>
      <c r="AJ142" s="111" t="n"/>
      <c r="AK142" s="111" t="n"/>
      <c r="AL142" s="111" t="n"/>
      <c r="AM142" s="111" t="n"/>
      <c r="AN142" s="111" t="n"/>
      <c r="AO142" s="111" t="n"/>
      <c r="AP142" s="111" t="n"/>
      <c r="AQ142" s="111" t="n"/>
    </row>
    <row r="143">
      <c r="A143" s="28" t="n">
        <v>42916</v>
      </c>
      <c r="B143" s="114" t="n">
        <v>17667.59</v>
      </c>
      <c r="C143" s="36">
        <f>(B143/B142-1)/(A143-A142)*30</f>
        <v/>
      </c>
      <c r="D143" s="30" t="n"/>
      <c r="F143" s="28" t="n"/>
      <c r="I143" s="36" t="n"/>
      <c r="J143" s="29" t="n"/>
      <c r="K143" s="111" t="n">
        <v>1052.9694</v>
      </c>
      <c r="L143" s="36">
        <f>+(K143/K142-1)/(F143-F142)*30</f>
        <v/>
      </c>
      <c r="M143" s="30" t="n"/>
      <c r="AC143" s="111" t="n"/>
      <c r="AD143" s="111" t="n"/>
      <c r="AE143" s="111" t="n"/>
      <c r="AF143" s="111" t="n"/>
      <c r="AG143" s="111" t="n"/>
      <c r="AH143" s="111" t="n"/>
      <c r="AI143" s="111" t="n"/>
      <c r="AJ143" s="111" t="n"/>
      <c r="AK143" s="111" t="n"/>
      <c r="AL143" s="111" t="n"/>
      <c r="AM143" s="111" t="n"/>
      <c r="AN143" s="111" t="n"/>
      <c r="AO143" s="111" t="n"/>
      <c r="AP143" s="111" t="n"/>
      <c r="AQ143" s="111" t="n"/>
    </row>
    <row r="144">
      <c r="A144" s="28" t="n">
        <v>42947</v>
      </c>
      <c r="B144" s="114" t="n">
        <v>17705.69</v>
      </c>
      <c r="C144" s="36">
        <f>(B144/B143-1)/(A144-A143)*30</f>
        <v/>
      </c>
      <c r="D144" s="30" t="n"/>
      <c r="F144" s="28" t="n"/>
      <c r="I144" s="36" t="n"/>
      <c r="J144" s="29" t="n"/>
      <c r="K144" s="111" t="n">
        <v>1055.2846</v>
      </c>
      <c r="L144" s="36">
        <f>+(K144/K143-1)/(F144-F143)*30</f>
        <v/>
      </c>
      <c r="M144" s="30" t="n"/>
      <c r="AC144" s="111" t="n"/>
      <c r="AD144" s="111" t="n"/>
      <c r="AE144" s="111" t="n"/>
      <c r="AF144" s="111" t="n"/>
      <c r="AG144" s="111" t="n"/>
      <c r="AH144" s="111" t="n"/>
      <c r="AI144" s="111" t="n"/>
      <c r="AJ144" s="111" t="n"/>
      <c r="AK144" s="111" t="n"/>
      <c r="AL144" s="111" t="n"/>
      <c r="AM144" s="111" t="n"/>
      <c r="AN144" s="111" t="n"/>
      <c r="AO144" s="111" t="n"/>
      <c r="AP144" s="111" t="n"/>
      <c r="AQ144" s="111" t="n"/>
    </row>
    <row r="145">
      <c r="A145" s="28" t="n">
        <v>42978</v>
      </c>
      <c r="B145" s="114" t="n">
        <v>17743.83</v>
      </c>
      <c r="C145" s="36">
        <f>(B145/B144-1)/(A145-A144)*30</f>
        <v/>
      </c>
      <c r="D145" s="30" t="n"/>
      <c r="F145" s="28" t="n"/>
      <c r="I145" s="36" t="n"/>
      <c r="J145" s="29" t="n"/>
      <c r="K145" s="111" t="n">
        <v>1057.4719</v>
      </c>
      <c r="L145" s="36">
        <f>+(K145/K144-1)/(F145-F144)*30</f>
        <v/>
      </c>
      <c r="M145" s="30" t="n"/>
      <c r="AC145" s="111" t="n"/>
      <c r="AD145" s="111" t="n"/>
      <c r="AE145" s="111" t="n"/>
      <c r="AF145" s="111" t="n"/>
      <c r="AG145" s="111" t="n"/>
      <c r="AH145" s="111" t="n"/>
      <c r="AI145" s="111" t="n"/>
      <c r="AJ145" s="111" t="n"/>
      <c r="AK145" s="111" t="n"/>
      <c r="AL145" s="111" t="n"/>
      <c r="AM145" s="111" t="n"/>
      <c r="AN145" s="111" t="n"/>
      <c r="AO145" s="111" t="n"/>
      <c r="AP145" s="111" t="n"/>
      <c r="AQ145" s="111" t="n"/>
    </row>
    <row r="146">
      <c r="A146" s="28" t="n">
        <v>43008</v>
      </c>
      <c r="B146" s="114" t="n">
        <v>17780.7817</v>
      </c>
      <c r="C146" s="36">
        <f>(B146/B145-1)/(A146-A145)*30</f>
        <v/>
      </c>
      <c r="D146" s="30" t="n"/>
      <c r="F146" s="28" t="n"/>
      <c r="I146" s="36" t="n"/>
      <c r="J146" s="29" t="n"/>
      <c r="K146" s="111" t="n">
        <v>1059.5996</v>
      </c>
      <c r="L146" s="36">
        <f>+(K146/K145-1)/(F146-F145)*30</f>
        <v/>
      </c>
      <c r="M146" s="30" t="n"/>
      <c r="AC146" s="111" t="n"/>
      <c r="AD146" s="111" t="n"/>
      <c r="AE146" s="111" t="n"/>
      <c r="AF146" s="111" t="n"/>
      <c r="AG146" s="111" t="n"/>
      <c r="AH146" s="111" t="n"/>
      <c r="AI146" s="111" t="n"/>
      <c r="AJ146" s="111" t="n"/>
      <c r="AK146" s="111" t="n"/>
      <c r="AL146" s="111" t="n"/>
      <c r="AM146" s="111" t="n"/>
      <c r="AN146" s="111" t="n"/>
      <c r="AO146" s="111" t="n"/>
      <c r="AP146" s="111" t="n"/>
      <c r="AQ146" s="111" t="n"/>
    </row>
    <row r="147">
      <c r="A147" s="28" t="n">
        <v>43039</v>
      </c>
      <c r="B147" s="14" t="n">
        <v>17819.15</v>
      </c>
      <c r="C147" s="36">
        <f>(B147/B146-1)/(A147-A146)*30</f>
        <v/>
      </c>
      <c r="D147" s="30" t="n"/>
      <c r="F147" s="28" t="n"/>
      <c r="I147" s="36" t="n"/>
      <c r="J147" s="29" t="n"/>
      <c r="K147" s="111" t="n">
        <v>1061.7911</v>
      </c>
      <c r="L147" s="36">
        <f>+(K147/K146-1)/(F147-F146)*30</f>
        <v/>
      </c>
      <c r="M147" s="30" t="n"/>
      <c r="S147" s="14" t="inlineStr">
        <is>
          <t>DIVIDENDO 2016</t>
        </is>
      </c>
      <c r="AD147" s="111" t="n"/>
      <c r="AE147" s="111" t="n"/>
      <c r="AF147" s="111" t="n"/>
      <c r="AG147" s="111" t="n"/>
      <c r="AH147" s="111" t="n"/>
      <c r="AI147" s="111" t="n"/>
      <c r="AJ147" s="111" t="n"/>
      <c r="AK147" s="111" t="n"/>
      <c r="AL147" s="111" t="n"/>
      <c r="AM147" s="111" t="n"/>
      <c r="AN147" s="111" t="n"/>
      <c r="AO147" s="111" t="n"/>
      <c r="AP147" s="111" t="n"/>
      <c r="AQ147" s="111" t="n"/>
    </row>
    <row r="148">
      <c r="A148" s="28" t="n">
        <v>43069</v>
      </c>
      <c r="B148" s="14">
        <f>+VLOOKUP(A148,[2]Simple!$A$3790:$B$3818,2)</f>
        <v/>
      </c>
      <c r="C148" s="36">
        <f>(B148/B147-1)/(A148-A147)*30</f>
        <v/>
      </c>
      <c r="D148" s="30" t="n"/>
      <c r="F148" s="28" t="n"/>
      <c r="I148" s="36" t="n"/>
      <c r="J148" s="29" t="n"/>
      <c r="K148" s="111" t="n">
        <v>1063.8688</v>
      </c>
      <c r="L148" s="36">
        <f>+(K148/K147-1)/(F148-F147)*30</f>
        <v/>
      </c>
      <c r="M148" s="30" t="n"/>
    </row>
    <row r="149">
      <c r="A149" s="28" t="n">
        <v>43100</v>
      </c>
      <c r="B149" s="14">
        <f>+VLOOKUP(A149,[2]Simple!$A$3790:$B$3818,2)</f>
        <v/>
      </c>
      <c r="C149" s="36">
        <f>(B149/B148-1)/(A149-A148)*30</f>
        <v/>
      </c>
      <c r="D149" s="30" t="n"/>
      <c r="F149" s="28" t="n"/>
      <c r="I149" s="36" t="n"/>
      <c r="J149" s="29" t="n"/>
      <c r="K149" s="111" t="n">
        <v>1066.0204</v>
      </c>
      <c r="L149" s="36">
        <f>+(K149/K148-1)/(F149-F148)*30</f>
        <v/>
      </c>
      <c r="M149" s="30" t="n"/>
      <c r="Q149" s="111">
        <f>+G137+S148</f>
        <v/>
      </c>
      <c r="S149" s="14" t="inlineStr">
        <is>
          <t>Dividendo 2017</t>
        </is>
      </c>
    </row>
    <row r="150">
      <c r="A150" s="28" t="n">
        <v>43131</v>
      </c>
      <c r="B150" s="14" t="n">
        <v>17933.28</v>
      </c>
      <c r="C150" s="36">
        <f>(B150/B149-1)/(A150-A149)*30</f>
        <v/>
      </c>
      <c r="D150" s="30" t="n"/>
      <c r="F150" s="28" t="n"/>
      <c r="I150" s="36" t="n"/>
      <c r="J150" s="29" t="n"/>
      <c r="K150" s="111" t="n">
        <v>1068.2126</v>
      </c>
      <c r="L150" s="36">
        <f>+(K150/K149-1)/(F150-F149)*30</f>
        <v/>
      </c>
      <c r="M150" s="30" t="n"/>
    </row>
    <row r="151">
      <c r="A151" s="28" t="n">
        <v>43159</v>
      </c>
      <c r="B151" s="14" t="n">
        <v>17968.11</v>
      </c>
      <c r="C151" s="36">
        <f>(B151/B150-1)/(A151-A150)*30</f>
        <v/>
      </c>
      <c r="D151" s="30" t="n"/>
      <c r="F151" s="28" t="n"/>
      <c r="I151" s="36" t="n"/>
      <c r="J151" s="29" t="n"/>
      <c r="K151" s="111" t="n">
        <v>1070.2119</v>
      </c>
      <c r="L151" s="36">
        <f>+(K151/K150-1)/(F151-F150)*30</f>
        <v/>
      </c>
      <c r="M151" s="30" t="n"/>
      <c r="S151" s="14" t="inlineStr">
        <is>
          <t>Dividendo 2018</t>
        </is>
      </c>
    </row>
    <row r="152">
      <c r="A152" s="28" t="n">
        <v>43190</v>
      </c>
      <c r="B152" s="14" t="n">
        <v>18006.83</v>
      </c>
      <c r="C152" s="36">
        <f>(B152/B151-1)/(A152-A151)*30</f>
        <v/>
      </c>
      <c r="D152" s="30" t="n"/>
      <c r="F152" s="28" t="n"/>
      <c r="I152" s="36" t="n"/>
      <c r="J152" s="29" t="n"/>
      <c r="K152" s="111" t="n">
        <v>1072.548</v>
      </c>
      <c r="L152" s="36">
        <f>+(K152/K151-1)/(F152-F151)*30</f>
        <v/>
      </c>
      <c r="M152" s="30" t="n"/>
    </row>
    <row r="153">
      <c r="A153" s="28" t="n">
        <v>43220</v>
      </c>
      <c r="B153" s="14" t="n">
        <v>18044.25</v>
      </c>
      <c r="C153" s="36">
        <f>(B153/B152-1)/(A153-A152)*30</f>
        <v/>
      </c>
      <c r="D153" s="30" t="n"/>
      <c r="F153" s="28" t="n"/>
      <c r="I153" s="36" t="n"/>
      <c r="J153" s="29" t="n"/>
      <c r="K153" s="111" t="n">
        <v>1074.6551</v>
      </c>
      <c r="L153" s="36">
        <f>+(K153/K152-1)/(F153-F152)*30</f>
        <v/>
      </c>
      <c r="M153" s="30" t="n"/>
      <c r="S153" s="14" t="inlineStr">
        <is>
          <t>Dividendo 2018</t>
        </is>
      </c>
    </row>
    <row r="154">
      <c r="A154" s="28" t="n">
        <v>43251</v>
      </c>
      <c r="B154" s="29" t="n">
        <v>18082.87</v>
      </c>
      <c r="C154" s="36">
        <f>(B154/B153-1)/(A154-A153)*30</f>
        <v/>
      </c>
      <c r="D154" s="30" t="n"/>
      <c r="F154" s="28" t="n"/>
      <c r="I154" s="36" t="n"/>
      <c r="J154" s="29" t="n"/>
      <c r="K154" s="111" t="n">
        <v>1076.9917</v>
      </c>
      <c r="L154" s="36">
        <f>+(K154/K153-1)/(F154-F153)*30</f>
        <v/>
      </c>
      <c r="M154" s="30" t="n"/>
    </row>
    <row r="155">
      <c r="A155" s="28" t="n">
        <v>43281</v>
      </c>
      <c r="B155" s="30" t="n">
        <v>18120.6225</v>
      </c>
      <c r="C155" s="36">
        <f>(B155/B154-1)/(A155-A154)*30</f>
        <v/>
      </c>
      <c r="D155" s="30" t="n"/>
      <c r="F155" s="28" t="n"/>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c r="I156" s="36" t="n"/>
      <c r="J156" s="29" t="n"/>
      <c r="K156" s="14" t="n">
        <v>1081.8116</v>
      </c>
      <c r="L156" s="36">
        <f>+(K156/K155-1)/(F156-F155)*30</f>
        <v/>
      </c>
      <c r="M156" s="30" t="n"/>
      <c r="S156" s="14" t="n">
        <v>0</v>
      </c>
    </row>
    <row r="157">
      <c r="A157" s="28" t="n">
        <v>43343</v>
      </c>
      <c r="B157" s="29" t="n">
        <v>18198.62</v>
      </c>
      <c r="C157" s="36">
        <f>(B157/B156-1)/(A157-A156)*30</f>
        <v/>
      </c>
      <c r="D157" s="30" t="n"/>
      <c r="F157" s="28" t="n"/>
      <c r="I157" s="36" t="n"/>
      <c r="J157" s="29" t="n"/>
      <c r="K157" s="14" t="n">
        <v>1084.2472</v>
      </c>
      <c r="L157" s="36">
        <f>+(K157/K156-1)/(F157-F156)*30</f>
        <v/>
      </c>
      <c r="M157" s="30" t="n"/>
      <c r="S157" s="14" t="inlineStr">
        <is>
          <t>Dividendo 2022</t>
        </is>
      </c>
      <c r="AR157" s="67" t="n"/>
    </row>
    <row r="158">
      <c r="A158" s="28" t="n">
        <v>43373</v>
      </c>
      <c r="B158" s="122" t="n">
        <v>18235.9</v>
      </c>
      <c r="C158" s="36">
        <f>(B158/B157-1)/(A158-A157)*30</f>
        <v/>
      </c>
      <c r="D158" s="30" t="n"/>
      <c r="F158" s="28" t="n"/>
      <c r="I158" s="36" t="n"/>
      <c r="J158" s="29" t="n"/>
      <c r="K158" s="14" t="n">
        <v>1086.6424</v>
      </c>
      <c r="L158" s="36">
        <f>+(K158/K157-1)/(F158-F157)*30</f>
        <v/>
      </c>
      <c r="M158" s="30" t="n"/>
      <c r="S158" s="14" t="n">
        <v>0</v>
      </c>
    </row>
    <row r="159">
      <c r="A159" s="28" t="n">
        <v>43404</v>
      </c>
      <c r="B159" s="14" t="n">
        <v>18277.4</v>
      </c>
      <c r="C159" s="36">
        <f>(B159/B158-1)/(A159-A158)*30</f>
        <v/>
      </c>
      <c r="D159" s="30" t="n"/>
      <c r="F159" s="28" t="n"/>
      <c r="I159" s="36" t="n"/>
      <c r="J159" s="29" t="n"/>
      <c r="K159" s="14" t="n">
        <v>4807.6121</v>
      </c>
      <c r="L159" s="36">
        <f>+(K159/K158-1)/(F159-F158)*30</f>
        <v/>
      </c>
      <c r="M159" s="30" t="n"/>
    </row>
    <row r="160">
      <c r="A160" s="28" t="n">
        <v>43434</v>
      </c>
      <c r="B160" s="30" t="n">
        <v>18319.31</v>
      </c>
      <c r="C160" s="36">
        <f>(B160/B159-1)/(A160-A159)*30</f>
        <v/>
      </c>
      <c r="D160" s="30" t="n"/>
      <c r="F160" s="28" t="n"/>
      <c r="I160" s="36" t="n"/>
      <c r="J160" s="29" t="n"/>
      <c r="K160" s="29" t="n">
        <v>4812.5415</v>
      </c>
      <c r="L160" s="36">
        <f>+(K160/K159-1)/(F160-F159)*30</f>
        <v/>
      </c>
      <c r="M160" s="30" t="n"/>
    </row>
    <row r="161">
      <c r="A161" s="28" t="n">
        <v>43465</v>
      </c>
      <c r="B161" s="14" t="n">
        <v>18362.684</v>
      </c>
      <c r="C161" s="36">
        <f>(B161/B160-1)/(A161-A160)*30</f>
        <v/>
      </c>
      <c r="D161" s="30" t="n"/>
      <c r="F161" s="28" t="n"/>
      <c r="I161" s="36" t="n"/>
      <c r="J161" s="29" t="n"/>
      <c r="K161" s="29" t="n">
        <v>4819.2415</v>
      </c>
      <c r="L161" s="36">
        <f>+(K161/K160-1)/(F161-F160)*30</f>
        <v/>
      </c>
      <c r="M161" s="30" t="n"/>
    </row>
    <row r="162">
      <c r="A162" s="28" t="n">
        <v>43496</v>
      </c>
      <c r="B162" s="14" t="n">
        <v>18407.69</v>
      </c>
      <c r="C162" s="36">
        <f>(B162/B161-1)/(A162-A161)*30</f>
        <v/>
      </c>
      <c r="D162" s="30" t="n"/>
      <c r="F162" s="28" t="n"/>
      <c r="I162" s="36" t="n"/>
      <c r="J162" s="29" t="n"/>
      <c r="K162" s="14" t="n">
        <v>4825.82</v>
      </c>
      <c r="L162" s="36">
        <f>+(K162/K161-1)/(F162-F161)*30</f>
        <v/>
      </c>
      <c r="M162" s="30" t="n"/>
    </row>
    <row r="163">
      <c r="A163" s="28" t="n">
        <v>43524</v>
      </c>
      <c r="B163" s="14" t="n">
        <v>18449.16</v>
      </c>
      <c r="C163" s="36">
        <f>(B163/B162-1)/(A163-A162)*30</f>
        <v/>
      </c>
      <c r="D163" s="30" t="n"/>
      <c r="F163" s="28" t="n"/>
      <c r="I163" s="36" t="n"/>
      <c r="J163" s="29" t="n"/>
      <c r="K163" s="14" t="n">
        <v>4832.1058</v>
      </c>
      <c r="L163" s="36">
        <f>+(K163/K162-1)/(F163-F162)*30</f>
        <v/>
      </c>
      <c r="M163" s="30" t="n"/>
    </row>
    <row r="164">
      <c r="A164" s="28" t="n">
        <v>43555</v>
      </c>
      <c r="B164" s="14" t="n">
        <v>18496.82</v>
      </c>
      <c r="C164" s="36">
        <f>(B164/B163-1)/(A164-A163)*30</f>
        <v/>
      </c>
      <c r="D164" s="30" t="n"/>
      <c r="F164" s="28" t="n"/>
      <c r="I164" s="36" t="n"/>
      <c r="J164" s="29" t="n"/>
      <c r="K164" s="29" t="n">
        <v>4839.1073</v>
      </c>
      <c r="L164" s="36">
        <f>+(K164/K163-1)/(F164-F163)*30</f>
        <v/>
      </c>
      <c r="M164" s="30" t="n"/>
    </row>
    <row r="165">
      <c r="A165" s="28" t="n">
        <v>43585</v>
      </c>
      <c r="B165" s="14" t="n">
        <v>18543.07</v>
      </c>
      <c r="C165" s="36">
        <f>(B165/B164-1)/(A165-A164)*30</f>
        <v/>
      </c>
      <c r="D165" s="30" t="n"/>
      <c r="F165" s="28" t="n"/>
      <c r="I165" s="36" t="n"/>
      <c r="J165" s="29" t="n"/>
      <c r="K165" s="29" t="n">
        <v>4845.9628</v>
      </c>
      <c r="L165" s="36">
        <f>+(K165/K164-1)/(F165-F164)*30</f>
        <v/>
      </c>
      <c r="M165" s="30" t="n"/>
    </row>
    <row r="166">
      <c r="A166" s="28" t="n">
        <v>43616</v>
      </c>
      <c r="B166" s="14" t="n">
        <v>18591.02</v>
      </c>
      <c r="C166" s="36">
        <f>(B166/B165-1)/(A166-A165)*30</f>
        <v/>
      </c>
      <c r="D166" s="30" t="n"/>
      <c r="F166" s="28" t="n"/>
      <c r="I166" s="36" t="n"/>
      <c r="J166" s="29" t="n"/>
      <c r="K166" s="29" t="n">
        <v>4852.5891</v>
      </c>
      <c r="L166" s="36">
        <f>+(K166/K165-1)/(F166-F165)*30</f>
        <v/>
      </c>
      <c r="M166" s="30" t="n"/>
    </row>
    <row r="167">
      <c r="A167" s="28" t="n">
        <v>43646</v>
      </c>
      <c r="B167" s="30" t="n">
        <v>18632.31</v>
      </c>
      <c r="C167" s="36">
        <f>(B167/B166-1)/(A167-A166)*30</f>
        <v/>
      </c>
      <c r="D167" s="30" t="n"/>
      <c r="F167" s="28" t="n"/>
      <c r="I167" s="36" t="n"/>
      <c r="J167" s="29" t="n"/>
      <c r="K167" s="14" t="n">
        <v>4858.4077</v>
      </c>
      <c r="L167" s="36">
        <f>+(K167/K166-1)/(F167-F166)*30</f>
        <v/>
      </c>
      <c r="M167" s="30" t="n"/>
    </row>
    <row r="168">
      <c r="A168" s="28" t="n">
        <v>43677</v>
      </c>
      <c r="B168" s="14" t="n">
        <v>18672.31</v>
      </c>
      <c r="C168" s="36">
        <f>(B168/B167-1)/(A168-A167)*30</f>
        <v/>
      </c>
      <c r="D168" s="30" t="n"/>
      <c r="F168" s="28" t="n"/>
      <c r="I168" s="36" t="n"/>
      <c r="J168" s="29" t="n"/>
      <c r="K168" s="14" t="n">
        <v>4863.4466</v>
      </c>
      <c r="L168" s="36">
        <f>+(K168/K167-1)/(F168-F167)*30</f>
        <v/>
      </c>
      <c r="M168" s="30" t="n"/>
    </row>
    <row r="169">
      <c r="A169" s="28" t="n">
        <v>43708</v>
      </c>
      <c r="B169" s="30" t="n">
        <v>18712.55</v>
      </c>
      <c r="C169" s="36">
        <f>(B169/B168-1)/(A169-A168)*30</f>
        <v/>
      </c>
      <c r="D169" s="30" t="n"/>
      <c r="F169" s="28" t="n"/>
      <c r="I169" s="36" t="n"/>
      <c r="J169" s="29" t="n"/>
      <c r="K169" s="14" t="n">
        <v>4868.1253</v>
      </c>
      <c r="L169" s="36">
        <f>+(K169/K168-1)/(F169-F168)*30</f>
        <v/>
      </c>
      <c r="M169" s="30" t="n"/>
    </row>
    <row r="170">
      <c r="A170" s="28" t="n">
        <v>43738</v>
      </c>
      <c r="B170" s="14" t="n">
        <v>18744.77</v>
      </c>
      <c r="C170" s="36">
        <f>(B170/B169-1)/(A170-A169)*30</f>
        <v/>
      </c>
      <c r="D170" s="30" t="n"/>
      <c r="F170" s="28" t="n"/>
      <c r="I170" s="36" t="n"/>
      <c r="J170" s="29" t="n"/>
      <c r="K170" s="14" t="n">
        <v>4873.326</v>
      </c>
      <c r="L170" s="36">
        <f>+(K170/K169-1)/(F170-F169)*30</f>
        <v/>
      </c>
      <c r="M170" s="30" t="n"/>
    </row>
    <row r="171">
      <c r="A171" s="28" t="n">
        <v>43769</v>
      </c>
      <c r="B171" s="30" t="n">
        <v>18776.102</v>
      </c>
      <c r="C171" s="36">
        <f>(B171/B170-1)/(A171-A170)*30</f>
        <v/>
      </c>
      <c r="D171" s="30" t="n"/>
      <c r="F171" s="28" t="n"/>
      <c r="I171" s="36" t="n"/>
      <c r="J171" s="29" t="n"/>
      <c r="K171" s="14" t="n">
        <v>4876.4951</v>
      </c>
      <c r="L171" s="36">
        <f>+(K171/K170-1)/(F171-F170)*30</f>
        <v/>
      </c>
      <c r="M171" s="30" t="n"/>
    </row>
    <row r="172">
      <c r="A172" s="28" t="n">
        <v>43799</v>
      </c>
      <c r="B172" s="14" t="n">
        <v>18802.79</v>
      </c>
      <c r="C172" s="36">
        <f>(B172/B171-1)/(A172-A171)*30</f>
        <v/>
      </c>
      <c r="D172" s="30" t="n"/>
      <c r="F172" s="28" t="n"/>
      <c r="I172" s="36" t="n"/>
      <c r="J172" s="29" t="n"/>
      <c r="K172" s="14" t="n">
        <v>4879.8683</v>
      </c>
      <c r="L172" s="36">
        <f>+(K172/K171-1)/(F172-F171)*30</f>
        <v/>
      </c>
      <c r="M172" s="30" t="n"/>
    </row>
    <row r="173">
      <c r="A173" s="28" t="n">
        <v>43830</v>
      </c>
      <c r="B173" s="30" t="n">
        <v>18830.68</v>
      </c>
      <c r="C173" s="36">
        <f>(B173/B172-1)/(A173-A172)*30</f>
        <v/>
      </c>
      <c r="D173" s="30" t="n"/>
      <c r="F173" s="28" t="n"/>
      <c r="I173" s="36" t="n"/>
      <c r="J173" s="29" t="n"/>
      <c r="K173" s="14" t="n">
        <v>4882.8959</v>
      </c>
      <c r="L173" s="36">
        <f>+(K173/K172-1)/(F173-F172)*30</f>
        <v/>
      </c>
      <c r="M173" s="30" t="n"/>
    </row>
    <row r="174">
      <c r="A174" s="28" t="n">
        <v>43861</v>
      </c>
      <c r="B174" s="14" t="n">
        <v>18861.86</v>
      </c>
      <c r="C174" s="36">
        <f>(B174/B173-1)/(A174-A173)*30</f>
        <v/>
      </c>
      <c r="D174" s="30" t="n"/>
      <c r="F174" s="28" t="n"/>
      <c r="I174" s="36" t="n"/>
      <c r="J174" s="29" t="n"/>
      <c r="K174" s="14" t="n">
        <v>4885.3887</v>
      </c>
      <c r="L174" s="36">
        <f>+(K174/K173-1)/(F174-F173)*30</f>
        <v/>
      </c>
      <c r="M174" s="30" t="n"/>
    </row>
    <row r="175">
      <c r="A175" s="28" t="n">
        <v>43890</v>
      </c>
      <c r="B175" s="30" t="n">
        <v>18887.8867</v>
      </c>
      <c r="C175" s="36">
        <f>(B175/B174-1)/(A175-A174)*30</f>
        <v/>
      </c>
      <c r="D175" s="30" t="n"/>
      <c r="F175" s="28" t="n"/>
      <c r="I175" s="36" t="n"/>
      <c r="J175" s="29" t="n"/>
      <c r="K175" s="14" t="n">
        <v>4887.7164</v>
      </c>
      <c r="L175" s="36">
        <f>+(K175/K174-1)/(F175-F174)*30</f>
        <v/>
      </c>
      <c r="M175" s="30" t="n"/>
    </row>
    <row r="176">
      <c r="A176" s="28" t="n">
        <v>43921</v>
      </c>
      <c r="B176" s="14" t="n">
        <v>18908.77</v>
      </c>
      <c r="C176" s="36">
        <f>(B176/B175-1)/(A176-A175)*30</f>
        <v/>
      </c>
      <c r="D176" s="30" t="n"/>
      <c r="F176" s="28" t="n"/>
      <c r="I176" s="36" t="n"/>
      <c r="J176" s="29" t="n"/>
      <c r="K176" s="14" t="n">
        <v>4892.3528</v>
      </c>
      <c r="L176" s="36">
        <f>+(K176/K175-1)/(F176-F175)*30</f>
        <v/>
      </c>
      <c r="M176" s="30" t="n"/>
    </row>
    <row r="177">
      <c r="A177" s="28" t="n">
        <v>43951</v>
      </c>
      <c r="B177" s="30" t="n">
        <v>18917.93</v>
      </c>
      <c r="C177" s="36">
        <f>(B177/B176-1)/(A177-A176)*30</f>
        <v/>
      </c>
      <c r="D177" s="30" t="n"/>
      <c r="F177" s="28" t="n"/>
      <c r="I177" s="36" t="n"/>
      <c r="J177" s="29" t="n"/>
      <c r="K177" s="14" t="n">
        <v>4903.1164</v>
      </c>
      <c r="L177" s="36">
        <f>+(K177/K176-1)/(F177-F176)*30</f>
        <v/>
      </c>
      <c r="M177" s="30" t="n"/>
    </row>
    <row r="178">
      <c r="A178" s="28" t="n">
        <v>43982</v>
      </c>
      <c r="B178" s="30" t="n">
        <v>18925.24</v>
      </c>
      <c r="C178" s="36">
        <f>(B178/B177-1)/(A178-A177)*30</f>
        <v/>
      </c>
      <c r="D178" s="30" t="n"/>
      <c r="F178" s="28" t="n"/>
      <c r="I178" s="36" t="n"/>
      <c r="J178" s="29" t="n"/>
      <c r="K178" s="14" t="n">
        <v>4903.90225</v>
      </c>
      <c r="L178" s="36">
        <f>+(K178/K177-1)/(F178-F177)*30</f>
        <v/>
      </c>
      <c r="M178" s="30" t="n"/>
    </row>
    <row r="179">
      <c r="A179" s="28" t="n">
        <v>44012</v>
      </c>
      <c r="B179" s="30" t="n">
        <v>18932.63</v>
      </c>
      <c r="C179" s="36">
        <f>(B179/B178-1)/(A179-A178)*30</f>
        <v/>
      </c>
      <c r="D179" s="30" t="n"/>
      <c r="F179" s="28" t="n"/>
      <c r="I179" s="36" t="n"/>
      <c r="J179" s="29" t="n"/>
      <c r="K179" s="14" t="n">
        <v>4904.6881</v>
      </c>
      <c r="L179" s="36">
        <f>+(K179/K178-1)/(F179-F178)*30</f>
        <v/>
      </c>
      <c r="M179" s="30" t="n"/>
    </row>
    <row r="180">
      <c r="A180" s="28" t="n">
        <v>44043</v>
      </c>
      <c r="B180" s="14" t="n">
        <v>18940.74</v>
      </c>
      <c r="C180" s="36">
        <f>(B180/B179-1)/(A180-A179)*30</f>
        <v/>
      </c>
      <c r="D180" s="30" t="n"/>
      <c r="F180" s="28" t="n"/>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c r="I181" s="36" t="n"/>
      <c r="J181" s="29" t="n"/>
      <c r="K181" s="14" t="n">
        <v>4906.1183</v>
      </c>
      <c r="L181" s="36">
        <f>+(K181/K180-1)/(F181-F180)*30</f>
        <v/>
      </c>
      <c r="M181" s="30" t="n"/>
    </row>
    <row r="182">
      <c r="A182" s="28" t="n">
        <v>44104</v>
      </c>
      <c r="B182" s="14" t="n">
        <v>18956.17</v>
      </c>
      <c r="C182" s="36">
        <f>(B182/B181-1)/(A182-A181)*30</f>
        <v/>
      </c>
      <c r="D182" s="30" t="n"/>
      <c r="F182" s="28" t="n"/>
      <c r="I182" s="36" t="n"/>
      <c r="J182" s="29" t="n"/>
      <c r="K182" s="14" t="n">
        <v>4906.466</v>
      </c>
      <c r="L182" s="36">
        <f>+(K182/K181-1)/(F182-F181)*30</f>
        <v/>
      </c>
      <c r="M182" s="30" t="n"/>
    </row>
    <row r="183">
      <c r="A183" s="28" t="n">
        <v>44135</v>
      </c>
      <c r="B183" s="14" t="n">
        <v>18963.23</v>
      </c>
      <c r="C183" s="36">
        <f>(B183/B182-1)/(A183-A182)*30</f>
        <v/>
      </c>
      <c r="D183" s="30" t="n"/>
      <c r="F183" s="28" t="n"/>
      <c r="I183" s="36" t="n"/>
      <c r="J183" s="29" t="n"/>
      <c r="K183" s="14" t="n">
        <v>4906.7963</v>
      </c>
      <c r="L183" s="36">
        <f>+(K183/K182-1)/(F183-F182)*30</f>
        <v/>
      </c>
      <c r="M183" s="30" t="n"/>
    </row>
    <row r="184">
      <c r="A184" s="28" t="n">
        <v>44165</v>
      </c>
      <c r="B184" s="14" t="n">
        <v>18969.48</v>
      </c>
      <c r="C184" s="36">
        <f>(B184/B183-1)/(A184-A183)*30</f>
        <v/>
      </c>
      <c r="D184" s="30" t="n"/>
      <c r="F184" s="28" t="n"/>
      <c r="I184" s="36" t="n"/>
      <c r="J184" s="29" t="n"/>
      <c r="K184" s="14" t="n">
        <v>4907.0953</v>
      </c>
      <c r="L184" s="36">
        <f>+(K184/K183-1)/(F184-F183)*30</f>
        <v/>
      </c>
      <c r="M184" s="30" t="n"/>
    </row>
    <row r="185">
      <c r="A185" s="28" t="n">
        <v>44196</v>
      </c>
      <c r="B185" s="14" t="n">
        <v>18976.88</v>
      </c>
      <c r="C185" s="36">
        <f>(B185/B184-1)/(A185-A184)*30</f>
        <v/>
      </c>
      <c r="D185" s="30" t="n"/>
      <c r="F185" s="28" t="n"/>
      <c r="I185" s="36" t="n"/>
      <c r="J185" s="29" t="n"/>
      <c r="K185" s="14" t="n">
        <v>4907.3928</v>
      </c>
      <c r="L185" s="36">
        <f>+(K185/K184-1)/(F185-F184)*30</f>
        <v/>
      </c>
      <c r="M185" s="30" t="n"/>
    </row>
    <row r="186">
      <c r="A186" s="28" t="n">
        <v>44246</v>
      </c>
      <c r="B186" s="14" t="n">
        <v>18982.04</v>
      </c>
      <c r="C186" s="36">
        <f>(B186/B185-1)/(A186-A185)*30</f>
        <v/>
      </c>
      <c r="D186" s="30" t="n">
        <v>100</v>
      </c>
      <c r="F186" s="28" t="n"/>
      <c r="I186" s="36" t="n"/>
      <c r="J186" s="29" t="n"/>
      <c r="K186" s="14" t="n">
        <v>4907.6377</v>
      </c>
      <c r="L186" s="36">
        <f>+(K186/K185-1)/(F186-F185)*30</f>
        <v/>
      </c>
      <c r="M186" s="30" t="n"/>
    </row>
    <row r="187">
      <c r="A187" s="28" t="n">
        <v>44255</v>
      </c>
      <c r="B187" s="14" t="n">
        <v>18986.58</v>
      </c>
      <c r="C187" s="36">
        <f>(B187/B186-1)/(A187-A186)*11</f>
        <v/>
      </c>
      <c r="D187" s="30">
        <f>+D186*(1+C187)</f>
        <v/>
      </c>
      <c r="F187" s="28" t="n"/>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c r="I188" s="36" t="n"/>
      <c r="J188" s="29" t="n"/>
      <c r="K188" s="14" t="n">
        <v>4908.1704</v>
      </c>
      <c r="L188" s="36">
        <f>+(K188/K187-1)/(F188-F187)*30</f>
        <v/>
      </c>
      <c r="M188" s="30">
        <f>+M187*(1+L188)</f>
        <v/>
      </c>
      <c r="Q188" s="28" t="n"/>
      <c r="R188" s="123" t="n"/>
    </row>
    <row r="189">
      <c r="A189" s="28" t="n">
        <v>44316</v>
      </c>
      <c r="B189" s="14" t="n">
        <v>18997.09</v>
      </c>
      <c r="C189" s="36">
        <f>(B189/B188-1)/(A189-A188)*30</f>
        <v/>
      </c>
      <c r="D189" s="30">
        <f>+D188*(1+C189)</f>
        <v/>
      </c>
      <c r="F189" s="28" t="n"/>
      <c r="I189" s="36" t="n"/>
      <c r="J189" s="29" t="n"/>
      <c r="K189" s="14" t="n">
        <v>4908.4956</v>
      </c>
      <c r="L189" s="36">
        <f>+(K189/K188-1)/(F189-F188)*30</f>
        <v/>
      </c>
      <c r="M189" s="30">
        <f>+M188*(1+L189)</f>
        <v/>
      </c>
      <c r="Q189" s="124" t="n"/>
    </row>
    <row r="190">
      <c r="A190" s="28" t="n">
        <v>44347</v>
      </c>
      <c r="B190" s="14" t="n">
        <v>19001.7</v>
      </c>
      <c r="C190" s="36">
        <f>(B190/B189-1)/(A190-A189)*30</f>
        <v/>
      </c>
      <c r="D190" s="30">
        <f>+D189*(1+C190)</f>
        <v/>
      </c>
      <c r="F190" s="28" t="n"/>
      <c r="I190" s="36" t="n"/>
      <c r="J190" s="29" t="n"/>
      <c r="K190" s="14" t="n">
        <v>4908.7905</v>
      </c>
      <c r="L190" s="36">
        <f>+(K190/K189-1)/(F190-F189)*30</f>
        <v/>
      </c>
      <c r="M190" s="30" t="n">
        <v>100</v>
      </c>
      <c r="Q190" s="124" t="n"/>
    </row>
    <row r="191">
      <c r="A191" s="28" t="n">
        <v>44377</v>
      </c>
      <c r="B191" s="14" t="n">
        <v>19006.88</v>
      </c>
      <c r="C191" s="36">
        <f>(B191/B190-1)/(A191-A190)*30</f>
        <v/>
      </c>
      <c r="D191" s="30">
        <f>+D190*(1+C191)</f>
        <v/>
      </c>
      <c r="F191" s="28" t="n"/>
      <c r="I191" s="36" t="n"/>
      <c r="J191" s="29" t="n"/>
      <c r="K191" s="14" t="n">
        <v>4909.0847</v>
      </c>
      <c r="L191" s="36">
        <f>+(K191/K190-1)/(F191-F190)*30</f>
        <v/>
      </c>
      <c r="M191" s="30">
        <f>+M190*(1+L191)</f>
        <v/>
      </c>
    </row>
    <row r="192">
      <c r="A192" s="28" t="n">
        <v>44408</v>
      </c>
      <c r="B192" s="14" t="n">
        <v>19016.42</v>
      </c>
      <c r="C192" s="36">
        <f>(B192/B191-1)/(A192-A191)*30</f>
        <v/>
      </c>
      <c r="D192" s="30">
        <f>+D191*(1+C192)</f>
        <v/>
      </c>
      <c r="F192" s="28" t="n"/>
      <c r="I192" s="36" t="n"/>
      <c r="J192" s="29" t="n"/>
      <c r="K192" s="14" t="n">
        <v>4909.3885</v>
      </c>
      <c r="L192" s="36">
        <f>+(K192/K191-1)/(F192-F191)*30</f>
        <v/>
      </c>
      <c r="M192" s="30">
        <f>+M191*(1+L192)</f>
        <v/>
      </c>
    </row>
    <row r="193">
      <c r="A193" s="28" t="n">
        <v>44439</v>
      </c>
      <c r="B193" s="14" t="n">
        <v>19028.38</v>
      </c>
      <c r="C193" s="36">
        <f>(B193/B192-1)/(A193-A192)*30</f>
        <v/>
      </c>
      <c r="D193" s="30">
        <f>+D192*(1+C193)</f>
        <v/>
      </c>
      <c r="F193" s="28" t="n"/>
      <c r="I193" s="36" t="n"/>
      <c r="J193" s="29" t="n"/>
      <c r="K193" s="14" t="n">
        <v>4909.6931</v>
      </c>
      <c r="L193" s="36">
        <f>+(K193/K192-1)/(F193-F192)*30</f>
        <v/>
      </c>
      <c r="M193" s="30">
        <f>+M192*(1+L193)</f>
        <v/>
      </c>
    </row>
    <row r="194">
      <c r="A194" s="28" t="n">
        <v>44469</v>
      </c>
      <c r="B194" s="14" t="n">
        <v>19052.12</v>
      </c>
      <c r="C194" s="36">
        <f>(B194/B193-1)/(A194-A193)*30</f>
        <v/>
      </c>
      <c r="D194" s="30">
        <f>+D193*(1+C194)</f>
        <v/>
      </c>
      <c r="F194" s="28" t="n"/>
      <c r="I194" s="36" t="n"/>
      <c r="J194" s="29" t="n"/>
      <c r="K194" s="29" t="n">
        <v>4909.1149</v>
      </c>
      <c r="L194" s="36">
        <f>+(K194/K193-1)/(F194-F193)*30</f>
        <v/>
      </c>
      <c r="M194" s="30">
        <f>+M193*(1+L194)</f>
        <v/>
      </c>
    </row>
    <row r="195">
      <c r="A195" s="28" t="n">
        <v>44500</v>
      </c>
      <c r="B195" s="14" t="n">
        <v>19091.59</v>
      </c>
      <c r="C195" s="36">
        <f>(B195/B194-1)/(A195-A194)*30</f>
        <v/>
      </c>
      <c r="D195" s="30">
        <f>+D194*(1+C195)</f>
        <v/>
      </c>
      <c r="F195" s="28" t="n"/>
      <c r="I195" s="36" t="n"/>
      <c r="J195" s="29" t="n"/>
      <c r="K195" s="14" t="n">
        <v>4914.1336</v>
      </c>
      <c r="L195" s="36">
        <f>+(K195/K194-1)/(F195-F194)*30</f>
        <v/>
      </c>
      <c r="M195" s="30">
        <f>+M194*(1+L195)</f>
        <v/>
      </c>
    </row>
    <row r="196">
      <c r="A196" s="28" t="n">
        <v>44530</v>
      </c>
      <c r="B196" s="14" t="n">
        <v>19132.47</v>
      </c>
      <c r="C196" s="36">
        <f>(B196/B195-1)/(A196-A195)*30</f>
        <v/>
      </c>
      <c r="D196" s="30">
        <f>+D195*(1+C196)</f>
        <v/>
      </c>
      <c r="F196" s="28" t="n"/>
      <c r="I196" s="36" t="n"/>
      <c r="J196" s="29" t="n"/>
      <c r="K196" s="29" t="n">
        <v>4920.3216</v>
      </c>
      <c r="L196" s="36">
        <f>+(K196/K195-1)/(F196-F195)*30</f>
        <v/>
      </c>
      <c r="M196" s="30">
        <f>+M195*(1+L196)</f>
        <v/>
      </c>
    </row>
    <row r="197">
      <c r="A197" s="28" t="n">
        <v>44561</v>
      </c>
      <c r="B197" s="14" t="n">
        <v>19193.41</v>
      </c>
      <c r="C197" s="36">
        <f>(B197/B196-1)/(A197-A196)*30</f>
        <v/>
      </c>
      <c r="D197" s="30">
        <f>+D196*(1+C197)</f>
        <v/>
      </c>
      <c r="F197" s="28" t="n"/>
      <c r="I197" s="36" t="n"/>
      <c r="J197" s="29" t="n"/>
      <c r="K197" s="14" t="n">
        <v>4929.2918</v>
      </c>
      <c r="L197" s="36">
        <f>+(K197/K196-1)/(F197-F196)*30</f>
        <v/>
      </c>
      <c r="M197" s="30">
        <f>+M196*(1+L197)</f>
        <v/>
      </c>
    </row>
    <row r="198">
      <c r="A198" s="28" t="n">
        <v>44592</v>
      </c>
      <c r="B198" s="14" t="n">
        <v>19259.35</v>
      </c>
      <c r="C198" s="36">
        <f>(B198/B197-1)/(A198-A197)*30</f>
        <v/>
      </c>
      <c r="D198" s="30">
        <f>+D197*(1+C198)</f>
        <v/>
      </c>
      <c r="F198" s="28" t="n"/>
      <c r="I198" s="36" t="n"/>
      <c r="J198" s="29" t="n"/>
      <c r="K198" s="14" t="n">
        <v>4941.9683</v>
      </c>
      <c r="L198" s="36">
        <f>+(K198/K197-1)/(F198-F197)*30</f>
        <v/>
      </c>
      <c r="M198" s="30">
        <f>+M197*(1+L198)</f>
        <v/>
      </c>
    </row>
    <row r="199">
      <c r="A199" s="28" t="n">
        <v>44620</v>
      </c>
      <c r="B199" s="30" t="n">
        <v>19341.9</v>
      </c>
      <c r="C199" s="36">
        <f>(B199/B198-1)/(A199-A198)*30</f>
        <v/>
      </c>
      <c r="D199" s="30">
        <f>+D198*(1+C199)</f>
        <v/>
      </c>
      <c r="F199" s="28" t="n"/>
      <c r="I199" s="36" t="n"/>
      <c r="J199" s="29" t="n"/>
      <c r="K199" s="14" t="n">
        <v>4958.2785</v>
      </c>
      <c r="L199" s="36">
        <f>+(K199/K198-1)/(F199-F198)*30</f>
        <v/>
      </c>
      <c r="M199" s="30">
        <f>+M198*(1+L199)</f>
        <v/>
      </c>
    </row>
    <row r="200">
      <c r="A200" s="28" t="n">
        <v>44651</v>
      </c>
      <c r="B200" s="14" t="n">
        <v>19435.35</v>
      </c>
      <c r="C200" s="36">
        <f>(B200/B199-1)/(A200-A199)*30</f>
        <v/>
      </c>
      <c r="D200" s="30">
        <f>+D199*(1+C200)</f>
        <v/>
      </c>
      <c r="F200" s="28" t="n"/>
      <c r="I200" s="36" t="n"/>
      <c r="J200" s="29" t="n"/>
      <c r="K200" s="14" t="n">
        <v>4977.0833</v>
      </c>
      <c r="L200" s="36">
        <f>+(K200/K199-1)/(F200-F199)*30</f>
        <v/>
      </c>
      <c r="M200" s="30">
        <f>+M199*(1+L200)</f>
        <v/>
      </c>
    </row>
    <row r="201">
      <c r="A201" s="28" t="n">
        <v>44681</v>
      </c>
      <c r="B201" s="14" t="n">
        <v>19541.32</v>
      </c>
      <c r="C201" s="36">
        <f>(B201/B200-1)/(A201-A200)*30</f>
        <v/>
      </c>
      <c r="D201" s="30">
        <f>+D200*(1+C201)</f>
        <v/>
      </c>
      <c r="F201" s="28" t="n"/>
      <c r="I201" s="36" t="n"/>
      <c r="J201" s="29" t="n"/>
      <c r="K201" s="14" t="n">
        <v>4999.8366</v>
      </c>
      <c r="L201" s="36">
        <f>+(K201/K200-1)/(F201-F200)*30</f>
        <v/>
      </c>
      <c r="M201" s="30">
        <f>+M200*(1+L201)</f>
        <v/>
      </c>
    </row>
    <row r="202">
      <c r="A202" s="28" t="n">
        <v>44712</v>
      </c>
      <c r="B202" s="14" t="n">
        <v>19680.32</v>
      </c>
      <c r="C202" s="36">
        <f>(B202/B201-1)/(A202-A201)*30</f>
        <v/>
      </c>
      <c r="D202" s="30">
        <f>+D201*(1+C202)</f>
        <v/>
      </c>
      <c r="F202" s="28" t="n"/>
      <c r="I202" s="36" t="n"/>
      <c r="J202" s="29" t="n"/>
      <c r="K202" s="14" t="n">
        <v>5027.3885</v>
      </c>
      <c r="L202" s="36">
        <f>+(K202/K201-1)/(F202-F201)*30</f>
        <v/>
      </c>
      <c r="M202" s="30">
        <f>+M201*(1+L202)</f>
        <v/>
      </c>
    </row>
    <row r="203">
      <c r="A203" s="28" t="n">
        <v>44742</v>
      </c>
      <c r="B203" s="14" t="n">
        <v>19825.16</v>
      </c>
      <c r="C203" s="36">
        <f>(B203/B202-1)/(A203-A202)*30</f>
        <v/>
      </c>
      <c r="D203" s="30">
        <f>+D202*(1+C203)</f>
        <v/>
      </c>
      <c r="F203" s="28" t="n"/>
      <c r="I203" s="36" t="n"/>
      <c r="J203" s="29" t="n"/>
      <c r="K203" s="29" t="n">
        <v>5056.9676</v>
      </c>
      <c r="L203" s="86">
        <f>+(K203/K202-1)/(F203-A202)*30</f>
        <v/>
      </c>
      <c r="M203" s="30">
        <f>+M202*(1+L203)</f>
        <v/>
      </c>
    </row>
    <row r="204">
      <c r="A204" s="28" t="n">
        <v>44773</v>
      </c>
      <c r="B204" s="14" t="n">
        <v>19975.62</v>
      </c>
      <c r="C204" s="36">
        <f>(B204/B203-1)/(A204-A203)*30</f>
        <v/>
      </c>
      <c r="D204" s="30">
        <f>+D203*(1+C204)</f>
        <v/>
      </c>
      <c r="F204" s="28" t="n"/>
      <c r="I204" s="36" t="n"/>
      <c r="J204" s="29" t="n"/>
      <c r="K204" s="14" t="n">
        <v>5089.8979</v>
      </c>
      <c r="L204" s="86">
        <f>+(K204/K203-1)/(F204-A203)*30</f>
        <v/>
      </c>
      <c r="M204" s="30">
        <f>+M203*(1+L204)</f>
        <v/>
      </c>
    </row>
    <row r="205">
      <c r="A205" s="28" t="n">
        <v>44804</v>
      </c>
      <c r="B205" s="14" t="n">
        <v>20154.92</v>
      </c>
      <c r="C205" s="36">
        <f>(B205/B204-1)/(A205-A204)*30</f>
        <v/>
      </c>
      <c r="D205" s="30">
        <f>+D204*(1+C205)</f>
        <v/>
      </c>
      <c r="F205" s="28" t="n"/>
      <c r="I205" s="36" t="n"/>
      <c r="J205" s="29" t="n"/>
      <c r="K205" s="29" t="n">
        <v>5125.6822</v>
      </c>
      <c r="L205" s="86">
        <f>+(K205/K204-1)/(F205-A204)*30</f>
        <v/>
      </c>
      <c r="M205" s="30">
        <f>+M204*(1+L205)</f>
        <v/>
      </c>
    </row>
    <row r="206">
      <c r="A206" s="28" t="n">
        <v>44834</v>
      </c>
      <c r="B206" s="14" t="n">
        <v>20332.28</v>
      </c>
      <c r="C206" s="36">
        <f>(B206/B205-1)/(A206-A205)*30</f>
        <v/>
      </c>
      <c r="D206" s="30">
        <f>+D205*(1+C206)</f>
        <v/>
      </c>
      <c r="F206" s="28" t="n"/>
      <c r="I206" s="36" t="n"/>
      <c r="J206" s="29" t="n"/>
      <c r="K206" s="29" t="n">
        <v>5163.2829</v>
      </c>
      <c r="L206" s="86">
        <f>+(K206/K205-1)/(F206-A205)*30</f>
        <v/>
      </c>
      <c r="M206" s="30">
        <f>+M205*(1+L206)</f>
        <v/>
      </c>
    </row>
    <row r="207">
      <c r="A207" s="28" t="n">
        <v>44862</v>
      </c>
      <c r="B207" s="14" t="n">
        <v>20507.2</v>
      </c>
      <c r="C207" s="36">
        <f>(B207/B206-1)/(A207-A206)*30</f>
        <v/>
      </c>
      <c r="D207" s="30">
        <f>+D206*(1+C207)</f>
        <v/>
      </c>
      <c r="F207" s="28" t="n"/>
      <c r="I207" s="36" t="n"/>
      <c r="J207" s="29" t="n"/>
      <c r="K207" s="29" t="n">
        <v>5200.6767</v>
      </c>
      <c r="L207" s="86">
        <f>+(K207/K206-1)/(F207-A206)*30</f>
        <v/>
      </c>
      <c r="M207" s="30">
        <f>+M206*(1+L207)</f>
        <v/>
      </c>
    </row>
    <row r="208">
      <c r="A208" s="28" t="n">
        <v>44895</v>
      </c>
      <c r="B208" s="14" t="n">
        <v>20719.68</v>
      </c>
      <c r="C208" s="36">
        <f>(B208/B207-1)/(A208-A207)*30</f>
        <v/>
      </c>
      <c r="D208" s="30">
        <f>+D207*(1+C208)</f>
        <v/>
      </c>
      <c r="F208" s="28" t="n"/>
      <c r="I208" s="36" t="n"/>
      <c r="J208" s="29" t="n"/>
      <c r="K208" s="14" t="n">
        <v>5246.14</v>
      </c>
      <c r="L208" s="86">
        <f>+(K208/K207-1)/(F208-A207)*30</f>
        <v/>
      </c>
      <c r="M208" s="30">
        <f>+M207*(1+L208)</f>
        <v/>
      </c>
    </row>
    <row r="209">
      <c r="A209" s="28" t="n">
        <v>44925</v>
      </c>
      <c r="B209" s="14" t="n">
        <v>20914.79</v>
      </c>
      <c r="C209" s="36">
        <f>(B209/B208-1)/(A209-A208)*30</f>
        <v/>
      </c>
      <c r="D209" s="30">
        <f>+D208*(1+C209)</f>
        <v/>
      </c>
      <c r="F209" s="28" t="n"/>
      <c r="I209" s="36" t="n"/>
      <c r="J209" s="29" t="n"/>
      <c r="K209" s="14" t="n">
        <v>5287.7323</v>
      </c>
      <c r="L209" s="86">
        <f>+(K209/K208-1)/(F209-A208)*30</f>
        <v/>
      </c>
      <c r="M209" s="30">
        <f>+M208*(1+L209)</f>
        <v/>
      </c>
    </row>
    <row r="210">
      <c r="A210" s="28" t="n">
        <v>44957</v>
      </c>
      <c r="B210" s="14" t="n">
        <v>21124.92</v>
      </c>
      <c r="C210" s="36">
        <f>(B210/B209-1)/(A210-A209)*30</f>
        <v/>
      </c>
      <c r="D210" s="30">
        <f>+D209*(1+C210)</f>
        <v/>
      </c>
      <c r="F210" s="28" t="n"/>
      <c r="I210" s="36" t="n"/>
      <c r="J210" s="29" t="n"/>
      <c r="K210" s="14" t="n">
        <v>5332.3677</v>
      </c>
      <c r="L210" s="86">
        <f>+(K210/K209-1)/(F210-A209)*30</f>
        <v/>
      </c>
      <c r="M210" s="30">
        <f>+M209*(1+L210)</f>
        <v/>
      </c>
    </row>
    <row r="211">
      <c r="A211" s="28" t="n">
        <v>44985</v>
      </c>
      <c r="B211" s="14" t="n">
        <v>21310.51</v>
      </c>
      <c r="C211" s="36">
        <f>(B211/B210-1)/(A211-A210)*30</f>
        <v/>
      </c>
      <c r="D211" s="30">
        <f>+D210*(1+C211)</f>
        <v/>
      </c>
      <c r="F211" s="28" t="n"/>
      <c r="I211" s="36" t="n"/>
      <c r="J211" s="29" t="n"/>
      <c r="K211" s="14" t="n">
        <v>5371.762</v>
      </c>
      <c r="L211" s="86">
        <f>+(K211/K210-1)/(F211-A210)*30</f>
        <v/>
      </c>
      <c r="M211" s="30">
        <f>+M210*(1+L211)</f>
        <v/>
      </c>
    </row>
    <row r="212">
      <c r="A212" s="28" t="n">
        <v>45016</v>
      </c>
      <c r="B212" s="14" t="n">
        <v>21517.9</v>
      </c>
      <c r="C212" s="36">
        <f>(B212/B211-1)/(A212-A211)*30</f>
        <v/>
      </c>
      <c r="D212" s="30">
        <f>+D211*(1+C212)</f>
        <v/>
      </c>
      <c r="F212" s="28" t="n"/>
      <c r="I212" s="36" t="n"/>
      <c r="J212" s="29" t="n"/>
      <c r="K212" s="14" t="n">
        <v>5415.8662</v>
      </c>
      <c r="L212" s="86">
        <f>+(K212/K211-1)/(F212-A211)*30</f>
        <v/>
      </c>
      <c r="M212" s="30">
        <f>+M211*(1+L212)</f>
        <v/>
      </c>
    </row>
    <row r="213">
      <c r="A213" s="28" t="n">
        <v>45044</v>
      </c>
      <c r="B213" s="14" t="n">
        <v>21706.94</v>
      </c>
      <c r="C213" s="36">
        <f>(B213/B212-1)/(A213-A212)*30</f>
        <v/>
      </c>
      <c r="D213" s="30">
        <f>+D212*(1+C213)</f>
        <v/>
      </c>
      <c r="F213" s="28" t="n"/>
      <c r="I213" s="36" t="n"/>
      <c r="J213" s="29" t="n"/>
      <c r="K213" s="14" t="n">
        <v>5456.2587</v>
      </c>
      <c r="L213" s="86">
        <f>+(K213/K212-1)/(F213-A212)*30</f>
        <v/>
      </c>
      <c r="M213" s="30">
        <f>+M212*(1+L213)</f>
        <v/>
      </c>
    </row>
    <row r="214">
      <c r="A214" s="28" t="n">
        <v>45077</v>
      </c>
      <c r="B214" s="14" t="n">
        <v>21931.86</v>
      </c>
      <c r="C214" s="36">
        <f>(B214/B213-1)/(A214-A213)*30</f>
        <v/>
      </c>
      <c r="D214" s="30">
        <f>+D213*(1+C214)</f>
        <v/>
      </c>
      <c r="F214" s="28" t="n"/>
      <c r="I214" s="36" t="n"/>
      <c r="J214" s="29" t="n"/>
      <c r="K214" s="29" t="n">
        <v>5504.4106</v>
      </c>
      <c r="L214" s="86">
        <f>+(K214/K213-1)/(F214-A213)*30</f>
        <v/>
      </c>
      <c r="M214" s="30">
        <f>+M213*(1+L214)</f>
        <v/>
      </c>
    </row>
    <row r="215">
      <c r="A215" s="28" t="n">
        <v>45107</v>
      </c>
      <c r="B215" s="14" t="n">
        <v>22138.35</v>
      </c>
      <c r="C215" s="36">
        <f>(B215/B214-1)/(A215-A214)*30</f>
        <v/>
      </c>
      <c r="D215" s="30">
        <f>+D214*(1+C215)</f>
        <v/>
      </c>
      <c r="F215" s="28" t="n"/>
      <c r="I215" s="36" t="n"/>
      <c r="J215" s="29" t="n"/>
      <c r="K215" s="14" t="n">
        <v>5548.4618</v>
      </c>
      <c r="L215" s="86">
        <f>+(K215/K214-1)/(F215-A214)*30</f>
        <v/>
      </c>
      <c r="M215" s="30">
        <f>+M214*(1+L215)</f>
        <v/>
      </c>
    </row>
    <row r="216">
      <c r="A216" s="28" t="n">
        <v>45138</v>
      </c>
      <c r="B216" s="14" t="n">
        <v>22353.79</v>
      </c>
      <c r="C216" s="36">
        <f>(B216/B215-1)/(A216-A215)*30</f>
        <v/>
      </c>
      <c r="D216" s="30">
        <f>+D215*(1+C216)</f>
        <v/>
      </c>
      <c r="F216" s="28" t="n"/>
      <c r="I216" s="36" t="n"/>
      <c r="J216" s="29" t="n"/>
      <c r="K216" s="14" t="n">
        <v>5593.984</v>
      </c>
      <c r="L216" s="86">
        <f>+(K216/K215-1)/(F216-A215)*30</f>
        <v/>
      </c>
      <c r="M216" s="30">
        <f>+M215*(1+L216)</f>
        <v/>
      </c>
    </row>
    <row r="217">
      <c r="A217" s="28" t="n">
        <v>45169</v>
      </c>
      <c r="B217" s="14" t="n">
        <v>22551.92</v>
      </c>
      <c r="C217" s="36">
        <f>(B217/B216-1)/(A217-A216)*30</f>
        <v/>
      </c>
      <c r="D217" s="30">
        <f>+D216*(1+C217)</f>
        <v/>
      </c>
      <c r="F217" s="28" t="n"/>
      <c r="I217" s="36" t="n"/>
      <c r="J217" s="29" t="n"/>
      <c r="K217" s="29" t="n">
        <v>5636.4775</v>
      </c>
      <c r="L217" s="86">
        <f>+(K217/K216-1)/(F217-A216)*30</f>
        <v/>
      </c>
      <c r="M217" s="30" t="n">
        <v>100</v>
      </c>
    </row>
    <row r="218">
      <c r="A218" s="28" t="n">
        <v>45199</v>
      </c>
      <c r="B218" s="14" t="n">
        <v>22727.72</v>
      </c>
      <c r="C218" s="36">
        <f>(B218/B217-1)/(A218-A217)*30</f>
        <v/>
      </c>
      <c r="D218" s="30" t="n">
        <v>100</v>
      </c>
      <c r="F218" s="28" t="n"/>
      <c r="I218" s="36" t="n"/>
      <c r="J218" s="29" t="n"/>
      <c r="K218" s="29" t="n">
        <v>5674.7198</v>
      </c>
      <c r="L218" s="86">
        <f>+(K218/K217-1)/(F218-A217)*30</f>
        <v/>
      </c>
      <c r="M218" s="30" t="n">
        <v>100</v>
      </c>
    </row>
    <row r="219">
      <c r="A219" s="28" t="n">
        <v>45230</v>
      </c>
      <c r="B219" s="30" t="n">
        <v>22920</v>
      </c>
      <c r="C219" s="36">
        <f>(B219/B218-1)/(A219-A218)*30</f>
        <v/>
      </c>
      <c r="D219" s="30">
        <f>+D218*(1+C219)</f>
        <v/>
      </c>
      <c r="F219" s="28" t="n"/>
      <c r="I219" s="36" t="n"/>
      <c r="J219" s="29" t="n"/>
      <c r="K219" s="14" t="n">
        <v>5712.6049</v>
      </c>
      <c r="L219" s="86">
        <f>+(K219/K218-1)/(F219-A218)*30</f>
        <v/>
      </c>
      <c r="M219" s="30">
        <f>+M218*(1+L219)</f>
        <v/>
      </c>
    </row>
    <row r="220">
      <c r="A220" s="28" t="n">
        <v>45260</v>
      </c>
      <c r="B220" s="14" t="n">
        <v>23092.51</v>
      </c>
      <c r="C220" s="36">
        <f>(B220/B219-1)/(A220-A219)*30</f>
        <v/>
      </c>
      <c r="D220" s="30">
        <f>+D219*(1+C220)</f>
        <v/>
      </c>
      <c r="F220" s="28" t="n"/>
      <c r="I220" s="36" t="n"/>
      <c r="J220" s="29" t="n"/>
      <c r="K220" s="29" t="n">
        <v>5747.8492</v>
      </c>
      <c r="L220" s="86">
        <f>+(K220/K219-1)/(F220-A219)*30</f>
        <v/>
      </c>
      <c r="M220" s="30">
        <f>+M219*(1+L220)</f>
        <v/>
      </c>
    </row>
    <row r="221">
      <c r="A221" s="28" t="n">
        <v>45291</v>
      </c>
      <c r="B221" s="14" t="n">
        <v>23256.05</v>
      </c>
      <c r="C221" s="36">
        <f>(B221/B220-1)/(A221-A220)*30</f>
        <v/>
      </c>
      <c r="D221" s="30">
        <f>+D220*(1+C221)</f>
        <v/>
      </c>
      <c r="F221" s="28" t="n"/>
      <c r="I221" s="36" t="n"/>
      <c r="J221" s="29" t="n"/>
      <c r="K221" s="14" t="n">
        <v>5782.92</v>
      </c>
      <c r="L221" s="36">
        <f>+(K221/K220-1)/(F221-F220)*30</f>
        <v/>
      </c>
      <c r="M221" s="30">
        <f>+M220*(1+L221)</f>
        <v/>
      </c>
    </row>
    <row r="222">
      <c r="A222" s="28" t="n">
        <v>45322</v>
      </c>
      <c r="B222" s="14" t="n">
        <v>23427.15</v>
      </c>
      <c r="C222" s="36">
        <f>(B222/B221-1)/(A222-A221)*30</f>
        <v/>
      </c>
      <c r="D222" s="30">
        <f>+D221*(1+C222)</f>
        <v/>
      </c>
      <c r="F222" s="28" t="n"/>
      <c r="I222" s="36" t="n"/>
      <c r="J222" s="29" t="n"/>
      <c r="K222" s="29" t="n">
        <v>5816.8769</v>
      </c>
      <c r="L222" s="36">
        <f>+(K222/K221-1)/(F222-F221)*30</f>
        <v/>
      </c>
      <c r="M222" s="30">
        <f>+M221*(1+L222)</f>
        <v/>
      </c>
    </row>
    <row r="223">
      <c r="A223" s="28" t="n">
        <v>45351</v>
      </c>
      <c r="B223" s="14" t="n">
        <v>23570.34</v>
      </c>
      <c r="C223" s="36">
        <f>(B223/B222-1)/(A223-A222)*30</f>
        <v/>
      </c>
      <c r="D223" s="30">
        <f>+D222*(1+C223)</f>
        <v/>
      </c>
      <c r="F223" s="28" t="n"/>
      <c r="I223" s="36" t="n"/>
      <c r="J223" s="29" t="n"/>
      <c r="K223" s="14" t="n">
        <v>5846.4552</v>
      </c>
      <c r="L223" s="36">
        <f>+(K223/K222-1)/(F223-F222)*30</f>
        <v/>
      </c>
      <c r="M223" s="30">
        <f>+M222*(1+L223)</f>
        <v/>
      </c>
    </row>
    <row r="224">
      <c r="A224" s="28" t="n">
        <v>45379</v>
      </c>
      <c r="B224" s="14" t="n">
        <v>23703.45</v>
      </c>
      <c r="C224" s="36">
        <f>(B224/B223-1)/(A224-A223)*30</f>
        <v/>
      </c>
      <c r="D224" s="30">
        <f>+D223*(1+C224)</f>
        <v/>
      </c>
      <c r="F224" s="28" t="n"/>
      <c r="I224" s="36" t="n"/>
      <c r="J224" s="29" t="n"/>
      <c r="K224" s="14" t="n">
        <v>5872.4728</v>
      </c>
      <c r="L224" s="36">
        <f>+(K224/K223-1)/(F224-F223)*30</f>
        <v/>
      </c>
      <c r="M224" s="30">
        <f>+M223*(1+L224)</f>
        <v/>
      </c>
    </row>
    <row r="225">
      <c r="A225" s="28" t="n">
        <v>45412</v>
      </c>
      <c r="B225" s="14" t="n">
        <v>23847.87</v>
      </c>
      <c r="C225" s="36">
        <f>(B225/B224-1)/(A225-A224)*30</f>
        <v/>
      </c>
      <c r="D225" s="30">
        <f>+D224*(1+C225)</f>
        <v/>
      </c>
      <c r="F225" s="28" t="n"/>
      <c r="I225" s="36" t="n"/>
      <c r="J225" s="29" t="n"/>
      <c r="K225" s="14" t="n">
        <v>5900.1916</v>
      </c>
      <c r="L225" s="36">
        <f>+(K225/K224-1)/(F225-F224)*30</f>
        <v/>
      </c>
      <c r="M225" s="30">
        <f>+M224*(1+L225)</f>
        <v/>
      </c>
    </row>
    <row r="226">
      <c r="A226" s="28" t="n">
        <v>45443</v>
      </c>
      <c r="B226" s="14" t="n">
        <v>23979.37</v>
      </c>
      <c r="C226" s="36">
        <f>(B226/B225-1)/(A226-A225)*30</f>
        <v/>
      </c>
      <c r="D226" s="30">
        <f>+D225*(1+C226)</f>
        <v/>
      </c>
      <c r="F226" s="28" t="n"/>
      <c r="I226" s="36" t="n"/>
      <c r="J226" s="29" t="n"/>
      <c r="K226" s="14" t="n">
        <v>5924.7824</v>
      </c>
      <c r="L226" s="36">
        <f>+(K226/K225-1)/(F226-F225)*30</f>
        <v/>
      </c>
      <c r="M226" s="30">
        <f>+M225*(1+L226)</f>
        <v/>
      </c>
    </row>
    <row r="227">
      <c r="A227" s="28" t="n">
        <v>45473</v>
      </c>
      <c r="B227" s="30" t="n">
        <v>24090</v>
      </c>
      <c r="C227" s="36">
        <f>(B227/B226-1)/(A227-A226)*30</f>
        <v/>
      </c>
      <c r="D227" s="30">
        <f>+D226*(1+C227)</f>
        <v/>
      </c>
      <c r="F227" s="28" t="n"/>
      <c r="I227" s="36" t="n"/>
      <c r="J227" s="29" t="n"/>
      <c r="K227" s="14" t="n">
        <v>5946.409</v>
      </c>
      <c r="L227" s="36">
        <f>+(K227/K226-1)/(F227-F226)*30</f>
        <v/>
      </c>
      <c r="M227" s="30">
        <f>+M226*(1+L227)</f>
        <v/>
      </c>
    </row>
    <row r="228">
      <c r="A228" s="28" t="n">
        <v>45504</v>
      </c>
      <c r="B228" s="14" t="n">
        <v>24217.3</v>
      </c>
      <c r="C228" s="36">
        <f>(B228/B227-1)/(A228-A227)*30</f>
        <v/>
      </c>
      <c r="D228" s="30">
        <f>+D227*(1+C228)</f>
        <v/>
      </c>
      <c r="F228" s="28" t="n"/>
      <c r="I228" s="36" t="n"/>
      <c r="J228" s="29" t="n"/>
      <c r="K228" s="14" t="n">
        <v>5968.019</v>
      </c>
      <c r="L228" s="36">
        <f>+(K228/K227-1)/(F228-F227)*30</f>
        <v/>
      </c>
      <c r="M228" s="30">
        <f>+M227*(1+L228)</f>
        <v/>
      </c>
    </row>
    <row r="229">
      <c r="A229" s="28" t="n">
        <v>45535</v>
      </c>
      <c r="B229" s="14" t="n">
        <v>24333.6</v>
      </c>
      <c r="C229" s="36">
        <f>(B229/B228-1)/(A229-A228)*30</f>
        <v/>
      </c>
      <c r="D229" s="30">
        <f>+D228*(1+C229)</f>
        <v/>
      </c>
      <c r="F229" s="28" t="n"/>
      <c r="I229" s="36" t="n"/>
      <c r="J229" s="29" t="n"/>
      <c r="K229" s="14" t="n">
        <v>5989.669</v>
      </c>
      <c r="L229" s="36">
        <f>+(K229/K228-1)/(F229-F228)*30</f>
        <v/>
      </c>
      <c r="M229" s="30">
        <f>+M228*(1+L229)</f>
        <v/>
      </c>
    </row>
    <row r="230">
      <c r="A230" s="28" t="n">
        <v>45565</v>
      </c>
      <c r="B230" s="14" t="n">
        <v>24449.94</v>
      </c>
      <c r="C230" s="36">
        <f>(B230/B229-1)/(A230-A229)*30</f>
        <v/>
      </c>
      <c r="D230" s="30">
        <f>+D229*(1+C230)</f>
        <v/>
      </c>
      <c r="F230" s="28" t="n"/>
      <c r="I230" s="36" t="n"/>
      <c r="J230" s="29" t="n"/>
      <c r="K230" s="14" t="n">
        <v>6009.8868</v>
      </c>
      <c r="L230" s="36">
        <f>+(K230/K229-1)/(F230-F229)*30</f>
        <v/>
      </c>
      <c r="M230" s="30">
        <f>+M229*(1+L230)</f>
        <v/>
      </c>
    </row>
    <row r="231">
      <c r="A231" s="28" t="n">
        <v>45596</v>
      </c>
      <c r="B231" s="14" t="n">
        <v>24560.22</v>
      </c>
      <c r="C231" s="36">
        <f>(B231/B230-1)/(A231-A230)*30</f>
        <v/>
      </c>
      <c r="D231" s="30">
        <f>+D230*(1+C231)</f>
        <v/>
      </c>
      <c r="F231" s="28" t="n"/>
      <c r="I231" s="36" t="n"/>
      <c r="J231" s="29" t="n"/>
      <c r="K231" s="14" t="n">
        <v>6030.3854</v>
      </c>
      <c r="L231" s="36">
        <f>+(K231/K230-1)/(F231-F230)*30</f>
        <v/>
      </c>
      <c r="M231" s="30">
        <f>+M230*(1+L231)</f>
        <v/>
      </c>
    </row>
    <row r="232">
      <c r="A232" s="28" t="n">
        <v>45626</v>
      </c>
      <c r="B232" s="14" t="n">
        <v>24667.9</v>
      </c>
      <c r="C232" s="36">
        <f>(B232/B231-1)/(A232-A231)*30</f>
        <v/>
      </c>
      <c r="D232" s="30">
        <f>+D231*(1+C232)</f>
        <v/>
      </c>
      <c r="F232" s="28" t="n"/>
      <c r="I232" s="36" t="n"/>
      <c r="J232" s="29" t="n"/>
      <c r="K232" s="14" t="n">
        <v>6049.8055</v>
      </c>
      <c r="L232" s="36">
        <f>+(K232/K231-1)/(F232-F231)*30</f>
        <v/>
      </c>
      <c r="M232" s="30">
        <f>+M231*(1+L232)</f>
        <v/>
      </c>
    </row>
    <row r="233">
      <c r="A233" s="28" t="n">
        <v>45657</v>
      </c>
      <c r="B233" s="14" t="n">
        <v>24777.58</v>
      </c>
      <c r="C233" s="36">
        <f>(B233/B232-1)/(A233-A232)*30</f>
        <v/>
      </c>
      <c r="D233" s="30">
        <f>+D232*(1+C233)</f>
        <v/>
      </c>
      <c r="F233" s="28" t="n"/>
      <c r="I233" s="36" t="n"/>
      <c r="J233" s="29" t="n"/>
      <c r="K233" s="14" t="n">
        <v>6069.3455</v>
      </c>
      <c r="L233" s="36">
        <f>+(K233/K232-1)/(F233-F232)*30</f>
        <v/>
      </c>
      <c r="M233" s="30">
        <f>+M232*(1+L233)</f>
        <v/>
      </c>
    </row>
    <row r="234">
      <c r="A234" s="28" t="n">
        <v>45688</v>
      </c>
      <c r="B234" s="14" t="n">
        <v>24887.95</v>
      </c>
      <c r="C234" s="36">
        <f>(B234/B233-1)/(A234-A233)*30</f>
        <v/>
      </c>
      <c r="D234" s="30">
        <f>+D233*(1+C234)</f>
        <v/>
      </c>
      <c r="F234" s="28" t="n"/>
      <c r="I234" s="36" t="n"/>
      <c r="J234" s="29" t="n"/>
      <c r="K234" s="14" t="n">
        <v>6087.6762</v>
      </c>
      <c r="L234" s="36">
        <f>+(K234/K233-1)/(F234-F233)*30</f>
        <v/>
      </c>
      <c r="M234" s="30">
        <f>+M233*(1+L234)</f>
        <v/>
      </c>
    </row>
    <row r="235">
      <c r="A235" s="28" t="n">
        <v>45716</v>
      </c>
      <c r="B235" s="14" t="n">
        <v>24984.92</v>
      </c>
      <c r="C235" s="36">
        <f>(B235/B234-1)/(A235-A234)*30</f>
        <v/>
      </c>
      <c r="D235" s="30">
        <f>+D234*(1+C235)</f>
        <v/>
      </c>
      <c r="F235" s="28" t="n"/>
      <c r="I235" s="36" t="n"/>
      <c r="J235" s="29" t="n"/>
      <c r="K235" s="14" t="n">
        <v>6104.4912</v>
      </c>
      <c r="L235" s="36">
        <f>+(K235/K234-1)/(F235-F234)*30</f>
        <v/>
      </c>
      <c r="M235" s="30">
        <f>+M234*(1+L235)</f>
        <v/>
      </c>
    </row>
    <row r="236">
      <c r="A236" s="28" t="n">
        <v>45747</v>
      </c>
      <c r="B236" s="14" t="n">
        <v>25092.7</v>
      </c>
      <c r="C236" s="36">
        <f>(B236/B235-1)/(A236-A235)*30</f>
        <v/>
      </c>
      <c r="D236" s="30">
        <f>+D235*(1+C236)</f>
        <v/>
      </c>
      <c r="F236" s="28" t="n"/>
      <c r="G236" s="111" t="n"/>
      <c r="H236" s="111" t="n"/>
      <c r="I236" s="36" t="n"/>
      <c r="J236" s="29" t="n"/>
      <c r="K236" s="14" t="n">
        <v>6123.1882</v>
      </c>
      <c r="L236" s="36">
        <f>+(K236/K235-1)/(F236-F235)*30</f>
        <v/>
      </c>
      <c r="M236" s="30">
        <f>+M235*(1+L236)</f>
        <v/>
      </c>
    </row>
    <row r="237">
      <c r="A237" s="28" t="n">
        <v>45777</v>
      </c>
      <c r="B237" s="14" t="n">
        <v>25197.48</v>
      </c>
      <c r="C237" s="36">
        <f>(B237/B236-1)/(A237-A236)*30</f>
        <v/>
      </c>
      <c r="D237" s="30">
        <f>+D236*(1+C237)</f>
        <v/>
      </c>
      <c r="F237" s="28" t="n"/>
      <c r="G237" s="111" t="n"/>
      <c r="H237" s="111" t="n"/>
      <c r="I237" s="36" t="n"/>
      <c r="J237" s="29" t="n"/>
      <c r="K237" s="14" t="n">
        <v>6141.4105</v>
      </c>
      <c r="L237" s="36">
        <f>+(K237/K236-1)/(F237-F236)*30</f>
        <v/>
      </c>
      <c r="M237" s="30">
        <f>+M236*(1+L237)</f>
        <v/>
      </c>
    </row>
    <row r="238">
      <c r="A238" s="28" t="n">
        <v>45808</v>
      </c>
      <c r="B238" s="14" t="n">
        <v>25302.66</v>
      </c>
      <c r="C238" s="36">
        <f>(B238/B237-1)/(A238-A237)*30</f>
        <v/>
      </c>
      <c r="D238" s="30">
        <f>+D237*(1+C238)</f>
        <v/>
      </c>
      <c r="F238" s="28" t="n"/>
      <c r="G238" s="111" t="n"/>
      <c r="H238" s="111" t="n"/>
      <c r="I238" s="36" t="n"/>
      <c r="J238" s="29" t="n"/>
      <c r="K238" s="14" t="n">
        <v>6160.386</v>
      </c>
      <c r="L238" s="36">
        <f>+(K238/K237-1)/(F238-F237)*30</f>
        <v/>
      </c>
      <c r="M238" s="30">
        <f>+M237*(1+L238)</f>
        <v/>
      </c>
    </row>
    <row r="239">
      <c r="A239" s="28" t="n">
        <v>45838</v>
      </c>
      <c r="B239" s="14" t="n">
        <v>25411.83</v>
      </c>
      <c r="C239" s="36">
        <f>(B239/B238-1)/(A239-A238)*30</f>
        <v/>
      </c>
      <c r="D239" s="30">
        <f>+D238*(1+C239)</f>
        <v/>
      </c>
      <c r="F239" s="28" t="n"/>
      <c r="G239" s="111" t="n"/>
      <c r="H239" s="111" t="n"/>
      <c r="I239" s="36" t="n"/>
      <c r="J239" s="29" t="n"/>
      <c r="K239" s="14" t="n">
        <v>6178.849</v>
      </c>
      <c r="L239" s="36">
        <f>+(K239/K238-1)/(F239-F238)*30</f>
        <v/>
      </c>
      <c r="M239" s="30">
        <f>+M238*(1+L239)</f>
        <v/>
      </c>
    </row>
    <row r="240">
      <c r="A240" s="28" t="n">
        <v>45869</v>
      </c>
      <c r="B240" s="14" t="n">
        <v>25521.26</v>
      </c>
      <c r="C240" s="36">
        <f>(B240/B239-1)/(A240-A239)*30</f>
        <v/>
      </c>
      <c r="D240" s="30">
        <f>+D239*(1+C240)</f>
        <v/>
      </c>
      <c r="F240" s="28" t="n"/>
      <c r="G240" s="111" t="n"/>
      <c r="H240" s="111" t="n"/>
      <c r="I240" s="36" t="n"/>
      <c r="J240" s="29" t="n"/>
      <c r="K240" s="14" t="n">
        <v>6197.6884</v>
      </c>
      <c r="L240" s="36">
        <f>+(K240/K239-1)/(F240-F239)*30</f>
        <v/>
      </c>
      <c r="M240" s="30">
        <f>+M239*(1+L240)</f>
        <v/>
      </c>
    </row>
    <row r="241">
      <c r="A241" s="28" t="n">
        <v>45900</v>
      </c>
      <c r="B241" s="14" t="n">
        <v>25619.09</v>
      </c>
      <c r="C241" s="36">
        <f>(B241/B240-1)/(A241-A240)*30</f>
        <v/>
      </c>
      <c r="D241" s="30">
        <f>+D240*(1+C241)</f>
        <v/>
      </c>
      <c r="F241" s="28" t="n"/>
      <c r="G241" s="111" t="n"/>
      <c r="H241" s="111" t="n"/>
      <c r="I241" s="36" t="n"/>
      <c r="J241" s="29" t="n"/>
      <c r="K241" s="14" t="n">
        <v>6215.6746</v>
      </c>
      <c r="L241" s="36">
        <f>+(K241/K240-1)/(F241-F240)*30</f>
        <v/>
      </c>
      <c r="M241" s="30">
        <f>+M240*(1+L241)</f>
        <v/>
      </c>
    </row>
    <row r="242">
      <c r="A242" s="28" t="n">
        <v>45930</v>
      </c>
      <c r="B242" s="14" t="n">
        <v>25727.46</v>
      </c>
      <c r="C242" s="36">
        <f>(B242/B241-1)/(A242-A241)*30</f>
        <v/>
      </c>
      <c r="D242" s="30">
        <f>+D241*(1+C242)</f>
        <v/>
      </c>
      <c r="F242" s="28" t="n"/>
      <c r="G242" s="111" t="n"/>
      <c r="H242" s="111" t="n"/>
      <c r="I242" s="36" t="n"/>
      <c r="J242" s="29" t="n"/>
      <c r="K242" s="14" t="n">
        <v>6232.8399</v>
      </c>
      <c r="L242" s="36">
        <f>+(K242/K241-1)/(F242-F241)*30</f>
        <v/>
      </c>
      <c r="M242" s="30">
        <f>+M241*(1+L242)</f>
        <v/>
      </c>
    </row>
    <row r="243">
      <c r="A243" s="28" t="n">
        <v>45961</v>
      </c>
      <c r="B243" s="14" t="n">
        <v>25829.5</v>
      </c>
      <c r="C243" s="36">
        <f>(B243/B242-1)/(A243-A242)*30</f>
        <v/>
      </c>
      <c r="D243" s="30">
        <f>+D242*(1+C243)</f>
        <v/>
      </c>
      <c r="F243" s="28" t="n"/>
      <c r="G243" s="111" t="n"/>
      <c r="H243" s="111" t="n"/>
      <c r="I243" s="36" t="n"/>
      <c r="J243" s="29" t="n"/>
      <c r="K243" s="14" t="n">
        <v>6250.6982</v>
      </c>
      <c r="L243" s="36">
        <f>+(K243/K242-1)/(F243-F242)*30</f>
        <v/>
      </c>
      <c r="M243" s="30">
        <f>+M242*(1+L243)</f>
        <v/>
      </c>
    </row>
    <row r="244">
      <c r="A244" s="28" t="n">
        <v>45991</v>
      </c>
      <c r="B244" s="14" t="n">
        <v>25928.49</v>
      </c>
      <c r="C244" s="36">
        <f>(B244/B243-1)/(A244-A243)*30</f>
        <v/>
      </c>
      <c r="D244" s="30">
        <f>+D243*(1+C244)</f>
        <v/>
      </c>
      <c r="F244" s="28" t="n"/>
      <c r="G244" s="111" t="n"/>
      <c r="H244" s="111" t="n"/>
      <c r="I244" s="36" t="n"/>
      <c r="J244" s="29" t="n"/>
      <c r="K244" s="14" t="n">
        <v>6268.169</v>
      </c>
      <c r="L244" s="36">
        <f>+(K244/K243-1)/(F244-F243)*30</f>
        <v/>
      </c>
      <c r="M244" s="30">
        <f>+M243*(1+L244)</f>
        <v/>
      </c>
    </row>
    <row r="245">
      <c r="A245" s="28" t="n">
        <v>46022</v>
      </c>
      <c r="B245" s="14" t="n">
        <v>26035.82</v>
      </c>
      <c r="C245" s="36">
        <f>(B245/B244-1)/(A245-A244)*30</f>
        <v/>
      </c>
      <c r="D245" s="30">
        <f>+D244*(1+C245)</f>
        <v/>
      </c>
      <c r="F245" s="28" t="n"/>
      <c r="G245" s="125" t="n"/>
      <c r="H245" s="111" t="n"/>
      <c r="I245" s="36" t="n"/>
      <c r="J245" s="29" t="n"/>
      <c r="K245" s="14" t="n">
        <v>6285.9566</v>
      </c>
      <c r="L245" s="36">
        <f>+(K245/K244-1)/(F245-F244)*30</f>
        <v/>
      </c>
      <c r="M245" s="30">
        <f>+M244*(1+L245)</f>
        <v/>
      </c>
    </row>
    <row r="246">
      <c r="A246" s="28" t="n">
        <v>46053</v>
      </c>
      <c r="B246" s="14" t="n">
        <v>26136.9</v>
      </c>
      <c r="C246" s="36">
        <f>(B246/B245-1)/(A246-A245)*30</f>
        <v/>
      </c>
      <c r="D246" s="30">
        <f>+D245*(1+C246)</f>
        <v/>
      </c>
      <c r="F246" s="28" t="n"/>
      <c r="G246" s="125" t="n"/>
      <c r="H246" s="111" t="n"/>
      <c r="I246" s="36" t="n"/>
      <c r="J246" s="29" t="n"/>
      <c r="K246" s="14" t="n">
        <v>6303.0823</v>
      </c>
      <c r="L246" s="36">
        <f>+(K246/K245-1)/(F246-F245)*30</f>
        <v/>
      </c>
      <c r="M246" s="30">
        <f>+M245*(1+L246)</f>
        <v/>
      </c>
    </row>
    <row r="247">
      <c r="A247" s="102" t="n">
        <v>46081</v>
      </c>
      <c r="B247" s="103" t="n">
        <v>26231.81</v>
      </c>
      <c r="C247" s="36">
        <f>(B247/B246-1)/(A247-A246)*30</f>
        <v/>
      </c>
      <c r="D247" s="30">
        <f>+D246*(1+C247)</f>
        <v/>
      </c>
      <c r="F247" s="102" t="n"/>
      <c r="G247" s="125" t="n"/>
      <c r="H247" s="111" t="n"/>
      <c r="I247" s="36" t="n"/>
      <c r="J247" s="29" t="n"/>
      <c r="K247" s="106" t="n">
        <v>6318.4947</v>
      </c>
      <c r="L247" s="36">
        <f>+(K247/K246-1)/(F247-F246)*30</f>
        <v/>
      </c>
      <c r="M247" s="30">
        <f>+M246*(1+L247)</f>
        <v/>
      </c>
    </row>
    <row r="248">
      <c r="A248" s="102" t="n">
        <v>46112</v>
      </c>
      <c r="B248" s="103" t="n">
        <v>26333.64</v>
      </c>
      <c r="C248" s="36">
        <f>(B248/B247-1)/(A248-A247)*30</f>
        <v/>
      </c>
      <c r="D248" s="30">
        <f>+D247*(1+C248)</f>
        <v/>
      </c>
      <c r="F248" s="102" t="n">
        <v>46112</v>
      </c>
      <c r="G248" s="126" t="n">
        <v>1001.8092</v>
      </c>
      <c r="H248" s="111">
        <f>+G248</f>
        <v/>
      </c>
      <c r="I248" s="36" t="n"/>
      <c r="J248" s="29" t="n"/>
      <c r="K248" s="107" t="n">
        <v>6335.4774</v>
      </c>
      <c r="L248" s="36">
        <f>+(K248/K247-1)/(F248-F247)*30</f>
        <v/>
      </c>
      <c r="M248" s="30">
        <f>+M247*(1+L248)</f>
        <v/>
      </c>
    </row>
    <row r="249">
      <c r="A249" s="28" t="n">
        <v>46142</v>
      </c>
      <c r="B249" s="14" t="n">
        <v>26432.56</v>
      </c>
      <c r="C249" s="36">
        <f>(B249/B248-1)/(A249-A248)*30</f>
        <v/>
      </c>
      <c r="D249" s="30">
        <f>+D248*(1+C249)</f>
        <v/>
      </c>
      <c r="F249" s="28" t="n">
        <v>46142</v>
      </c>
      <c r="G249" s="108" t="n">
        <v>1007.3268</v>
      </c>
      <c r="H249" s="111">
        <f>+G249</f>
        <v/>
      </c>
      <c r="I249" s="36">
        <f>+(H249/H248-1)/(F249-F248)*30</f>
        <v/>
      </c>
      <c r="J249" s="29" t="n"/>
      <c r="K249" s="14" t="n">
        <v>6351.9305</v>
      </c>
      <c r="L249" s="36">
        <f>+(K249/K248-1)/(F249-F248)*30</f>
        <v/>
      </c>
      <c r="M249" s="30">
        <f>+M248*(1+L249)</f>
        <v/>
      </c>
    </row>
    <row r="250">
      <c r="A250" s="127" t="n">
        <v>46173</v>
      </c>
      <c r="B250" t="n">
        <v>26535.18</v>
      </c>
      <c r="C250">
        <f>(B250/B249-1)/(A250-A249)*30</f>
        <v/>
      </c>
      <c r="D250">
        <f>+D249*(1+C250)</f>
        <v/>
      </c>
      <c r="F250" s="127" t="n">
        <v>46173</v>
      </c>
      <c r="G250" t="n">
        <v>1013.1399</v>
      </c>
      <c r="H250">
        <f>+G250</f>
        <v/>
      </c>
      <c r="I250">
        <f>+(H250/H249-1)/(F250-F249)*30</f>
        <v/>
      </c>
      <c r="K250" t="n">
        <v>6368.94</v>
      </c>
      <c r="L250">
        <f>+(K250/K249-1)/(F250-F249)*30</f>
        <v/>
      </c>
      <c r="M250">
        <f>+M249*(1+L250)</f>
        <v/>
      </c>
    </row>
    <row r="251">
      <c r="A251" s="127" t="n">
        <v>46203</v>
      </c>
      <c r="C251">
        <f>(B251/B250-1)/(A251-A250)*30</f>
        <v/>
      </c>
      <c r="D251">
        <f>+D250*(1+C251)</f>
        <v/>
      </c>
      <c r="F251" s="127" t="n">
        <v>46203</v>
      </c>
      <c r="G251" t="n">
        <v>1018.9618</v>
      </c>
      <c r="H251">
        <f>+G251</f>
        <v/>
      </c>
      <c r="I251">
        <f>+(H251/H250-1)/(F251-F250)*30</f>
        <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D1" zoomScale="80" zoomScaleNormal="80" workbookViewId="0">
      <selection activeCell="E39" sqref="E39:H41"/>
    </sheetView>
  </sheetViews>
  <sheetFormatPr baseColWidth="8" defaultColWidth="11.42578125" defaultRowHeight="15"/>
  <cols>
    <col width="6.28515625" bestFit="1" customWidth="1" style="7" min="3" max="3"/>
    <col width="27.140625" customWidth="1" min="4" max="4"/>
    <col width="7.42578125" bestFit="1" customWidth="1" min="5" max="8"/>
    <col width="7.42578125" customWidth="1" min="9" max="9"/>
    <col width="7.42578125" bestFit="1" customWidth="1" min="10" max="15"/>
    <col width="7.42578125" customWidth="1" min="16" max="16"/>
    <col width="8.7109375" bestFit="1" customWidth="1" min="17" max="17"/>
    <col width="27.7109375" customWidth="1" min="19" max="19"/>
    <col width="7.85546875" bestFit="1" customWidth="1" min="20" max="20"/>
    <col width="9.7109375" bestFit="1" customWidth="1" min="21" max="21"/>
    <col width="9.5703125" bestFit="1" customWidth="1" min="22" max="22"/>
    <col width="7.42578125" customWidth="1" min="23" max="23"/>
    <col width="11" customWidth="1" min="24" max="24"/>
  </cols>
  <sheetData>
    <row r="1">
      <c r="S1" s="88" t="inlineStr">
        <is>
          <t>Rentabilidad</t>
        </is>
      </c>
      <c r="T1" s="89" t="inlineStr">
        <is>
          <t>Mensual</t>
        </is>
      </c>
      <c r="U1" s="89" t="inlineStr">
        <is>
          <t>Trimestral</t>
        </is>
      </c>
      <c r="V1" s="89" t="inlineStr">
        <is>
          <t>Semestral</t>
        </is>
      </c>
      <c r="W1" s="89" t="inlineStr">
        <is>
          <t>Anual</t>
        </is>
      </c>
      <c r="X1" s="90">
        <f>+'Datos ICP (2)'!BB28</f>
        <v/>
      </c>
    </row>
    <row r="2">
      <c r="S2" s="91" t="inlineStr">
        <is>
          <t>ICP (Benchmark)</t>
        </is>
      </c>
      <c r="T2" s="92">
        <f>+'Datos ICP (2)'!AX29</f>
        <v/>
      </c>
      <c r="U2" s="92">
        <f>+'Datos ICP (2)'!AY29</f>
        <v/>
      </c>
      <c r="V2" s="92">
        <f>+'Datos ICP (2)'!AZ29</f>
        <v/>
      </c>
      <c r="W2" s="92">
        <f>+'Datos ICP (2)'!BA29</f>
        <v/>
      </c>
      <c r="X2" s="92">
        <f>+'Datos ICP (2)'!BB29</f>
        <v/>
      </c>
    </row>
    <row r="3">
      <c r="S3" s="91" t="inlineStr">
        <is>
          <t>Competencia</t>
        </is>
      </c>
      <c r="T3" s="92">
        <f>+'Datos ICP (2)'!AX30</f>
        <v/>
      </c>
      <c r="U3" s="92">
        <f>+'Datos ICP (2)'!AY30</f>
        <v/>
      </c>
      <c r="V3" s="92">
        <f>+'Datos ICP (2)'!AZ30</f>
        <v/>
      </c>
      <c r="W3" s="92">
        <f>+'Datos ICP (2)'!BA30</f>
        <v/>
      </c>
      <c r="X3" s="92">
        <f>+'Datos ICP (2)'!BB30</f>
        <v/>
      </c>
    </row>
    <row r="4">
      <c r="S4" s="9" t="inlineStr">
        <is>
          <t>FIP LIQUIDEZ FLEXIBLE</t>
        </is>
      </c>
      <c r="T4" s="92">
        <f>+'Datos ICP (2)'!AX31</f>
        <v/>
      </c>
      <c r="U4" s="92">
        <f>'Datos ICP (2)'!AY31</f>
        <v/>
      </c>
      <c r="V4" s="92">
        <f>+'Datos ICP (2)'!AZ31</f>
        <v/>
      </c>
      <c r="W4" s="92">
        <f>+'Datos ICP (2)'!BA31</f>
        <v/>
      </c>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Recurrente</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Recurrente</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Recurrente</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Recurrente</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Recurrente</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Recurrente</t>
        </is>
      </c>
      <c r="E29" s="101" t="n"/>
      <c r="F29" s="101" t="n"/>
      <c r="G29" s="101" t="n"/>
      <c r="H29" s="101" t="n"/>
      <c r="I29" s="101" t="n"/>
      <c r="J29" s="101" t="n"/>
      <c r="K29" s="101" t="n"/>
      <c r="L29" s="101" t="n"/>
      <c r="M29" s="101" t="n"/>
      <c r="N29" s="101" t="n"/>
      <c r="O29" s="101" t="n"/>
      <c r="P29" s="101" t="n"/>
      <c r="Q29" s="101" t="n"/>
      <c r="R29" s="11" t="n"/>
    </row>
    <row r="30" hidden="1"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idden="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idden="1" ht="16.9" customHeight="1">
      <c r="B32" s="11" t="n"/>
      <c r="C32" s="8" t="n"/>
      <c r="D32" s="9" t="inlineStr">
        <is>
          <t>FIP LIQUIDEZ Recurrente</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idden="1"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idden="1"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idden="1" ht="16.9" customHeight="1">
      <c r="B35" s="11" t="n"/>
      <c r="C35" s="8" t="n"/>
      <c r="D35" s="9" t="inlineStr">
        <is>
          <t>FIP LIQUIDEZ Recurrente</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Recurrente</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109"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D41" s="9" t="inlineStr">
        <is>
          <t>FIP LIQUIDEZ Recurrente</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mergeCells count="1">
    <mergeCell ref="C39:C4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D1" zoomScaleNormal="100" workbookViewId="0">
      <selection activeCell="P9" sqref="P9"/>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0.529</v>
      </c>
      <c r="O3" s="93" t="inlineStr">
        <is>
          <t>Depósitos</t>
        </is>
      </c>
      <c r="P3" s="94" t="n">
        <v>0</v>
      </c>
      <c r="S3" s="93" t="inlineStr">
        <is>
          <t>Pesos</t>
        </is>
      </c>
      <c r="T3" s="94" t="n">
        <v>1</v>
      </c>
    </row>
    <row r="4">
      <c r="C4" s="1" t="n"/>
      <c r="K4" s="93" t="inlineStr">
        <is>
          <t>1-3 meses</t>
        </is>
      </c>
      <c r="L4" s="94" t="n">
        <v>0.4679</v>
      </c>
      <c r="O4" s="93" t="inlineStr">
        <is>
          <t>Factoring</t>
        </is>
      </c>
      <c r="P4" s="95" t="n">
        <v>0</v>
      </c>
      <c r="S4" s="93" t="inlineStr">
        <is>
          <t>UF</t>
        </is>
      </c>
      <c r="T4" s="94" t="n">
        <v>0</v>
      </c>
    </row>
    <row r="5">
      <c r="A5" s="3" t="n"/>
      <c r="B5" s="3" t="n"/>
      <c r="C5" s="1" t="n"/>
      <c r="K5" s="93" t="inlineStr">
        <is>
          <t>3-4 meses</t>
        </is>
      </c>
      <c r="L5" s="94" t="n">
        <v>0</v>
      </c>
      <c r="O5" s="93" t="inlineStr">
        <is>
          <t>Financiamiento Inmobiliario</t>
        </is>
      </c>
      <c r="P5" s="94" t="n">
        <v>0.1185</v>
      </c>
    </row>
    <row r="6">
      <c r="A6" s="3" t="n"/>
      <c r="B6" s="3" t="n"/>
      <c r="C6" s="1" t="n"/>
      <c r="K6" s="93" t="inlineStr">
        <is>
          <t>Más de 4 meses</t>
        </is>
      </c>
      <c r="L6" s="94" t="n">
        <v>0</v>
      </c>
      <c r="O6" s="93" t="inlineStr">
        <is>
          <t>Financiamiento Mesa Moneda Extranjera</t>
        </is>
      </c>
      <c r="P6" s="94" t="n">
        <v>0.799</v>
      </c>
    </row>
    <row r="7">
      <c r="B7" s="3" t="n"/>
      <c r="C7" s="1" t="n"/>
      <c r="L7" s="79">
        <f>SUM(L3:L6)</f>
        <v/>
      </c>
      <c r="O7" s="93" t="inlineStr">
        <is>
          <t>Garantías</t>
        </is>
      </c>
      <c r="P7" s="94" t="n">
        <v>0</v>
      </c>
      <c r="Q7" s="79" t="n"/>
    </row>
    <row r="8">
      <c r="C8" s="1" t="n"/>
      <c r="O8" s="93" t="inlineStr">
        <is>
          <t>Nota Estructurada</t>
        </is>
      </c>
      <c r="P8" s="95" t="n">
        <v>0.0825</v>
      </c>
    </row>
    <row r="9">
      <c r="C9" s="1" t="n"/>
      <c r="O9" s="93" t="inlineStr">
        <is>
          <t>Financiamiento Mesa Renta Fija</t>
        </is>
      </c>
      <c r="P9" s="94" t="n">
        <v>0</v>
      </c>
    </row>
    <row r="10">
      <c r="C10" s="1" t="n"/>
      <c r="O10" s="93" t="inlineStr">
        <is>
          <t>Simultánea</t>
        </is>
      </c>
      <c r="P10" s="95" t="n">
        <v>0</v>
      </c>
    </row>
    <row r="11">
      <c r="C11" s="1" t="n"/>
      <c r="O11" s="93" t="inlineStr">
        <is>
          <t>Efectos de Comercio</t>
        </is>
      </c>
      <c r="P11" s="95" t="n">
        <v>0</v>
      </c>
    </row>
    <row r="12" hidden="1">
      <c r="C12" s="1" t="n"/>
      <c r="O12" s="93" t="n"/>
      <c r="P12" s="95" t="n"/>
    </row>
    <row r="13">
      <c r="C13" s="1" t="n"/>
      <c r="O13" s="93"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2026-07-02T15:43:06Z</dcterms:modified>
  <cp:lastModifiedBy>María Isabel Velasco Retamal</cp:lastModifiedBy>
</cp:coreProperties>
</file>