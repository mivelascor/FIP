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4.xml" ContentType="application/vnd.openxmlformats-officedocument.themeOverrid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10"/>
  <workbookPr/>
  <mc:AlternateContent xmlns:mc="http://schemas.openxmlformats.org/markup-compatibility/2006">
    <mc:Choice Requires="x15">
      <x15ac:absPath xmlns:x15ac="http://schemas.microsoft.com/office/spreadsheetml/2010/11/ac" url="Z:\Carpeta Renta Fija\Fondos\TEMPLATE FONDOS\EXCELS\"/>
    </mc:Choice>
  </mc:AlternateContent>
  <xr:revisionPtr revIDLastSave="0" documentId="13_ncr:1_{4FCFE035-A302-4D50-BE6C-8DB8D7CD8AC8}" xr6:coauthVersionLast="47" xr6:coauthVersionMax="47" xr10:uidLastSave="{00000000-0000-0000-0000-000000000000}"/>
  <bookViews>
    <workbookView xWindow="-108" yWindow="-108" windowWidth="23256" windowHeight="12456" firstSheet="3" activeTab="3" xr2:uid="{00000000-000D-0000-FFFF-FFFF00000000}"/>
  </bookViews>
  <sheets>
    <sheet name="Comentario" sheetId="4" r:id="rId1"/>
    <sheet name="Datos ICP (2)" sheetId="3" r:id="rId2"/>
    <sheet name="rentabilidad" sheetId="2" r:id="rId3"/>
    <sheet name="composición" sheetId="1" r:id="rId4"/>
  </sheets>
  <externalReferences>
    <externalReference r:id="rId5"/>
  </externalReferences>
  <definedNames>
    <definedName name="_xlnm._FilterDatabase" localSheetId="3" hidden="1">composición!$K$1:$T$24</definedName>
    <definedName name="OLE_LINK1" localSheetId="1">'Datos ICP (2)'!#REF!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B28" i="3" l="1"/>
  <c r="BB27" i="3"/>
  <c r="Q25" i="2"/>
  <c r="Q24" i="2"/>
  <c r="E25" i="2"/>
  <c r="E24" i="2"/>
  <c r="AQ76" i="3"/>
  <c r="AQ75" i="3"/>
  <c r="AE76" i="3"/>
  <c r="AE75" i="3"/>
  <c r="AQ46" i="3"/>
  <c r="AQ35" i="3"/>
  <c r="AQ21" i="3"/>
  <c r="AE21" i="3"/>
  <c r="AE35" i="3"/>
  <c r="AE46" i="3"/>
  <c r="P46" i="3"/>
  <c r="P34" i="3"/>
  <c r="P22" i="3"/>
  <c r="L232" i="3"/>
  <c r="M232" i="3" s="1"/>
  <c r="H232" i="3"/>
  <c r="I232" i="3" s="1"/>
  <c r="J232" i="3" s="1"/>
  <c r="C232" i="3"/>
  <c r="D232" i="3"/>
  <c r="S22" i="3"/>
  <c r="T22" i="3"/>
  <c r="U22" i="3"/>
  <c r="V22" i="3"/>
  <c r="W22" i="3"/>
  <c r="X22" i="3"/>
  <c r="Y22" i="3"/>
  <c r="Z22" i="3"/>
  <c r="AA22" i="3"/>
  <c r="H231" i="3"/>
  <c r="L231" i="3"/>
  <c r="C231" i="3"/>
  <c r="D231" i="3"/>
  <c r="H230" i="3"/>
  <c r="L230" i="3"/>
  <c r="Z45" i="3" s="1"/>
  <c r="AO45" i="3" s="1"/>
  <c r="AO73" i="3" s="1"/>
  <c r="O22" i="2" s="1"/>
  <c r="C230" i="3"/>
  <c r="D230" i="3"/>
  <c r="Y21" i="3"/>
  <c r="AN20" i="3" s="1"/>
  <c r="L229" i="3"/>
  <c r="Y45" i="3" s="1"/>
  <c r="AN45" i="3" s="1"/>
  <c r="AN73" i="3" s="1"/>
  <c r="N22" i="2" s="1"/>
  <c r="H229" i="3"/>
  <c r="C229" i="3"/>
  <c r="D229" i="3"/>
  <c r="X21" i="3"/>
  <c r="AM20" i="3" s="1"/>
  <c r="L228" i="3"/>
  <c r="X45" i="3" s="1"/>
  <c r="AM45" i="3" s="1"/>
  <c r="AM73" i="3" s="1"/>
  <c r="M22" i="2" s="1"/>
  <c r="H228" i="3"/>
  <c r="C228" i="3"/>
  <c r="D228" i="3"/>
  <c r="I231" i="3" l="1"/>
  <c r="AA33" i="3" s="1"/>
  <c r="AP34" i="3" s="1"/>
  <c r="AP74" i="3" s="1"/>
  <c r="P23" i="2" s="1"/>
  <c r="I230" i="3"/>
  <c r="Z33" i="3" s="1"/>
  <c r="AO34" i="3" s="1"/>
  <c r="AO74" i="3" s="1"/>
  <c r="O23" i="2" s="1"/>
  <c r="I229" i="3"/>
  <c r="AA45" i="3"/>
  <c r="AP45" i="3" s="1"/>
  <c r="AP73" i="3" s="1"/>
  <c r="P22" i="2" s="1"/>
  <c r="L227" i="3"/>
  <c r="W45" i="3" s="1"/>
  <c r="AL45" i="3" s="1"/>
  <c r="Y33" i="3" l="1"/>
  <c r="AN34" i="3" s="1"/>
  <c r="AN74" i="3" s="1"/>
  <c r="N23" i="2" s="1"/>
  <c r="H227" i="3"/>
  <c r="C227" i="3"/>
  <c r="W21" i="3" s="1"/>
  <c r="AL20" i="3" s="1"/>
  <c r="D227" i="3"/>
  <c r="AL73" i="3"/>
  <c r="L22" i="2" s="1"/>
  <c r="V21" i="3"/>
  <c r="AK20" i="3" s="1"/>
  <c r="L226" i="3"/>
  <c r="V45" i="3" s="1"/>
  <c r="AK45" i="3" s="1"/>
  <c r="AK73" i="3" s="1"/>
  <c r="K22" i="2" s="1"/>
  <c r="H226" i="3"/>
  <c r="C226" i="3"/>
  <c r="D226" i="3"/>
  <c r="H225" i="3"/>
  <c r="L225" i="3"/>
  <c r="U45" i="3" s="1"/>
  <c r="AJ45" i="3" s="1"/>
  <c r="AJ73" i="3" s="1"/>
  <c r="J22" i="2" s="1"/>
  <c r="C225" i="3"/>
  <c r="U21" i="3" s="1"/>
  <c r="AJ20" i="3" s="1"/>
  <c r="D225" i="3"/>
  <c r="T21" i="3"/>
  <c r="AI20" i="3" s="1"/>
  <c r="H224" i="3"/>
  <c r="L224" i="3"/>
  <c r="H223" i="3"/>
  <c r="L223" i="3"/>
  <c r="S45" i="3" s="1"/>
  <c r="AH45" i="3" s="1"/>
  <c r="AH73" i="3" s="1"/>
  <c r="H22" i="2" s="1"/>
  <c r="C223" i="3"/>
  <c r="D223" i="3"/>
  <c r="C224" i="3"/>
  <c r="D224" i="3"/>
  <c r="L222" i="3"/>
  <c r="H222" i="3"/>
  <c r="C222" i="3"/>
  <c r="R21" i="3" s="1"/>
  <c r="AG20" i="3" s="1"/>
  <c r="D222" i="3"/>
  <c r="C221" i="3"/>
  <c r="D221" i="3"/>
  <c r="L221" i="3"/>
  <c r="Q45" i="3" s="1"/>
  <c r="AF45" i="3" s="1"/>
  <c r="AF73" i="3" s="1"/>
  <c r="F22" i="2" s="1"/>
  <c r="H221" i="3"/>
  <c r="I225" i="3" l="1"/>
  <c r="U33" i="3" s="1"/>
  <c r="AJ34" i="3" s="1"/>
  <c r="AJ74" i="3" s="1"/>
  <c r="J23" i="2" s="1"/>
  <c r="I224" i="3"/>
  <c r="T33" i="3" s="1"/>
  <c r="AI34" i="3" s="1"/>
  <c r="AI74" i="3" s="1"/>
  <c r="I23" i="2" s="1"/>
  <c r="I222" i="3"/>
  <c r="I223" i="3"/>
  <c r="I227" i="3"/>
  <c r="I228" i="3"/>
  <c r="I226" i="3"/>
  <c r="R45" i="3"/>
  <c r="AG45" i="3" s="1"/>
  <c r="AG73" i="3" s="1"/>
  <c r="G22" i="2" s="1"/>
  <c r="T45" i="3"/>
  <c r="AI45" i="3" s="1"/>
  <c r="AI73" i="3" s="1"/>
  <c r="I22" i="2" s="1"/>
  <c r="L220" i="3"/>
  <c r="H220" i="3"/>
  <c r="I221" i="3" s="1"/>
  <c r="C220" i="3"/>
  <c r="Q21" i="3" s="1"/>
  <c r="AF20" i="3" s="1"/>
  <c r="D220" i="3"/>
  <c r="Q33" i="3" l="1"/>
  <c r="AF34" i="3" s="1"/>
  <c r="AF74" i="3" s="1"/>
  <c r="F23" i="2" s="1"/>
  <c r="P21" i="3"/>
  <c r="AE20" i="3" s="1"/>
  <c r="S33" i="3"/>
  <c r="AH34" i="3" s="1"/>
  <c r="AH74" i="3" s="1"/>
  <c r="H23" i="2" s="1"/>
  <c r="P45" i="3"/>
  <c r="AE45" i="3" s="1"/>
  <c r="V33" i="3"/>
  <c r="AK34" i="3" s="1"/>
  <c r="AK74" i="3" s="1"/>
  <c r="K23" i="2" s="1"/>
  <c r="X33" i="3"/>
  <c r="AM34" i="3" s="1"/>
  <c r="AM74" i="3" s="1"/>
  <c r="M23" i="2" s="1"/>
  <c r="R33" i="3"/>
  <c r="AG34" i="3" s="1"/>
  <c r="AG74" i="3" s="1"/>
  <c r="G23" i="2" s="1"/>
  <c r="W33" i="3"/>
  <c r="AL34" i="3" s="1"/>
  <c r="AL74" i="3" s="1"/>
  <c r="L23" i="2" s="1"/>
  <c r="S21" i="3"/>
  <c r="AH20" i="3" s="1"/>
  <c r="Z21" i="3"/>
  <c r="AO20" i="3" s="1"/>
  <c r="AA21" i="3"/>
  <c r="AP20" i="3" s="1"/>
  <c r="L219" i="3"/>
  <c r="AA44" i="3" s="1"/>
  <c r="AP44" i="3" s="1"/>
  <c r="AP71" i="3" s="1"/>
  <c r="P20" i="2" s="1"/>
  <c r="H219" i="3"/>
  <c r="I220" i="3" s="1"/>
  <c r="H218" i="3"/>
  <c r="L218" i="3"/>
  <c r="Z44" i="3" s="1"/>
  <c r="AO44" i="3" s="1"/>
  <c r="AO71" i="3" s="1"/>
  <c r="O20" i="2" s="1"/>
  <c r="C218" i="3"/>
  <c r="Z20" i="3" s="1"/>
  <c r="AO19" i="3" s="1"/>
  <c r="D218" i="3"/>
  <c r="C219" i="3"/>
  <c r="AA20" i="3" s="1"/>
  <c r="AP19" i="3" s="1"/>
  <c r="D219" i="3"/>
  <c r="L217" i="3"/>
  <c r="Y44" i="3" s="1"/>
  <c r="AN44" i="3" s="1"/>
  <c r="AN71" i="3" s="1"/>
  <c r="N20" i="2" s="1"/>
  <c r="P33" i="3" l="1"/>
  <c r="AE34" i="3" s="1"/>
  <c r="AE74" i="3" s="1"/>
  <c r="E23" i="2" s="1"/>
  <c r="AQ45" i="3"/>
  <c r="AQ73" i="3" s="1"/>
  <c r="AE73" i="3"/>
  <c r="E22" i="2" s="1"/>
  <c r="I219" i="3"/>
  <c r="AA32" i="3" s="1"/>
  <c r="AP33" i="3" s="1"/>
  <c r="AP72" i="3" s="1"/>
  <c r="P21" i="2" s="1"/>
  <c r="AQ20" i="3"/>
  <c r="H217" i="3"/>
  <c r="C217" i="3"/>
  <c r="Y20" i="3" s="1"/>
  <c r="AN19" i="3" s="1"/>
  <c r="D217" i="3"/>
  <c r="L216" i="3"/>
  <c r="AQ34" i="3" l="1"/>
  <c r="AQ74" i="3" s="1"/>
  <c r="Q22" i="2"/>
  <c r="I218" i="3"/>
  <c r="X44" i="3"/>
  <c r="AM44" i="3" s="1"/>
  <c r="AM71" i="3" s="1"/>
  <c r="M20" i="2" s="1"/>
  <c r="H216" i="3"/>
  <c r="I217" i="3" s="1"/>
  <c r="C216" i="3"/>
  <c r="X20" i="3" s="1"/>
  <c r="AM19" i="3" s="1"/>
  <c r="D216" i="3"/>
  <c r="C215" i="3"/>
  <c r="W20" i="3" s="1"/>
  <c r="AL19" i="3" s="1"/>
  <c r="D215" i="3"/>
  <c r="H215" i="3"/>
  <c r="L215" i="3"/>
  <c r="W44" i="3" s="1"/>
  <c r="AL44" i="3" s="1"/>
  <c r="AL71" i="3" s="1"/>
  <c r="H214" i="3"/>
  <c r="D214" i="3"/>
  <c r="C214" i="3"/>
  <c r="V20" i="3" s="1"/>
  <c r="AK19" i="3" s="1"/>
  <c r="L214" i="3"/>
  <c r="V44" i="3" s="1"/>
  <c r="AK44" i="3" s="1"/>
  <c r="AK71" i="3" s="1"/>
  <c r="H213" i="3"/>
  <c r="L213" i="3"/>
  <c r="U44" i="3" s="1"/>
  <c r="AJ44" i="3" s="1"/>
  <c r="AJ71" i="3" s="1"/>
  <c r="J20" i="2" s="1"/>
  <c r="D213" i="3"/>
  <c r="C213" i="3"/>
  <c r="U20" i="3" s="1"/>
  <c r="AJ19" i="3" s="1"/>
  <c r="Q23" i="2" l="1"/>
  <c r="Y32" i="3"/>
  <c r="AN33" i="3" s="1"/>
  <c r="AN72" i="3" s="1"/>
  <c r="N21" i="2" s="1"/>
  <c r="I214" i="3"/>
  <c r="V32" i="3" s="1"/>
  <c r="AK33" i="3" s="1"/>
  <c r="AK72" i="3" s="1"/>
  <c r="K21" i="2" s="1"/>
  <c r="Z32" i="3"/>
  <c r="AO33" i="3" s="1"/>
  <c r="AO72" i="3" s="1"/>
  <c r="O21" i="2" s="1"/>
  <c r="I215" i="3"/>
  <c r="W32" i="3" s="1"/>
  <c r="AL33" i="3" s="1"/>
  <c r="AL72" i="3" s="1"/>
  <c r="L21" i="2" s="1"/>
  <c r="I216" i="3"/>
  <c r="L212" i="3"/>
  <c r="T44" i="3" s="1"/>
  <c r="AI44" i="3" s="1"/>
  <c r="AI71" i="3" s="1"/>
  <c r="I20" i="2" s="1"/>
  <c r="H212" i="3"/>
  <c r="I213" i="3" s="1"/>
  <c r="U32" i="3" s="1"/>
  <c r="AJ33" i="3" s="1"/>
  <c r="AJ72" i="3" s="1"/>
  <c r="J21" i="2" s="1"/>
  <c r="C212" i="3"/>
  <c r="T20" i="3" s="1"/>
  <c r="AI19" i="3" s="1"/>
  <c r="D212" i="3"/>
  <c r="D210" i="3"/>
  <c r="D211" i="3"/>
  <c r="C210" i="3"/>
  <c r="R20" i="3" s="1"/>
  <c r="AG19" i="3" s="1"/>
  <c r="C211" i="3"/>
  <c r="S20" i="3" s="1"/>
  <c r="AH19" i="3" s="1"/>
  <c r="L211" i="3"/>
  <c r="S44" i="3" s="1"/>
  <c r="AH44" i="3" s="1"/>
  <c r="AH71" i="3" s="1"/>
  <c r="H20" i="2" s="1"/>
  <c r="H211" i="3"/>
  <c r="H210" i="3"/>
  <c r="L210" i="3"/>
  <c r="R44" i="3" s="1"/>
  <c r="AG44" i="3" s="1"/>
  <c r="AG71" i="3" s="1"/>
  <c r="G20" i="2" s="1"/>
  <c r="L20" i="2"/>
  <c r="K20" i="2"/>
  <c r="L208" i="3"/>
  <c r="P44" i="3" s="1"/>
  <c r="AE44" i="3" s="1"/>
  <c r="L209" i="3"/>
  <c r="Q44" i="3" s="1"/>
  <c r="AF44" i="3" s="1"/>
  <c r="AF71" i="3" s="1"/>
  <c r="F20" i="2" s="1"/>
  <c r="H209" i="3"/>
  <c r="H208" i="3"/>
  <c r="D208" i="3"/>
  <c r="D209" i="3"/>
  <c r="C208" i="3"/>
  <c r="P20" i="3" s="1"/>
  <c r="AE19" i="3" s="1"/>
  <c r="C209" i="3"/>
  <c r="Q20" i="3" s="1"/>
  <c r="AF19" i="3" s="1"/>
  <c r="L8" i="1"/>
  <c r="AP68" i="3"/>
  <c r="D207" i="3"/>
  <c r="C207" i="3"/>
  <c r="AA19" i="3" s="1"/>
  <c r="H207" i="3"/>
  <c r="L207" i="3"/>
  <c r="AA43" i="3" s="1"/>
  <c r="AP43" i="3" s="1"/>
  <c r="AP69" i="3" s="1"/>
  <c r="P18" i="2" s="1"/>
  <c r="D206" i="3"/>
  <c r="C206" i="3"/>
  <c r="Z19" i="3" s="1"/>
  <c r="AO68" i="3"/>
  <c r="H206" i="3"/>
  <c r="L206" i="3"/>
  <c r="Z43" i="3" s="1"/>
  <c r="AO43" i="3" s="1"/>
  <c r="AO69" i="3" s="1"/>
  <c r="O18" i="2" s="1"/>
  <c r="D204" i="3"/>
  <c r="D205" i="3"/>
  <c r="C204" i="3"/>
  <c r="X19" i="3" s="1"/>
  <c r="AM18" i="3" s="1"/>
  <c r="AM68" i="3" s="1"/>
  <c r="C205" i="3"/>
  <c r="Y19" i="3" s="1"/>
  <c r="AN18" i="3" s="1"/>
  <c r="AN68" i="3" s="1"/>
  <c r="H205" i="3"/>
  <c r="L205" i="3"/>
  <c r="Y43" i="3" s="1"/>
  <c r="AN43" i="3" s="1"/>
  <c r="D202" i="3"/>
  <c r="D203" i="3"/>
  <c r="C202" i="3"/>
  <c r="V19" i="3" s="1"/>
  <c r="AK18" i="3" s="1"/>
  <c r="AK68" i="3" s="1"/>
  <c r="C203" i="3"/>
  <c r="W19" i="3" s="1"/>
  <c r="AL18" i="3" s="1"/>
  <c r="AL68" i="3" s="1"/>
  <c r="H204" i="3"/>
  <c r="L204" i="3"/>
  <c r="X43" i="3" s="1"/>
  <c r="AM43" i="3" s="1"/>
  <c r="AM69" i="3" s="1"/>
  <c r="M18" i="2" s="1"/>
  <c r="H203" i="3"/>
  <c r="L203" i="3"/>
  <c r="W43" i="3" s="1"/>
  <c r="AL43" i="3" s="1"/>
  <c r="AL69" i="3" s="1"/>
  <c r="L18" i="2" s="1"/>
  <c r="H202" i="3"/>
  <c r="L202" i="3"/>
  <c r="V43" i="3" s="1"/>
  <c r="AK43" i="3" s="1"/>
  <c r="AK69" i="3" s="1"/>
  <c r="K18" i="2" s="1"/>
  <c r="D200" i="3"/>
  <c r="D201" i="3"/>
  <c r="C200" i="3"/>
  <c r="T19" i="3" s="1"/>
  <c r="AI18" i="3" s="1"/>
  <c r="AI68" i="3" s="1"/>
  <c r="C201" i="3"/>
  <c r="U19" i="3" s="1"/>
  <c r="AJ18" i="3" s="1"/>
  <c r="AJ68" i="3" s="1"/>
  <c r="H201" i="3"/>
  <c r="L201" i="3"/>
  <c r="U43" i="3" s="1"/>
  <c r="AJ43" i="3" s="1"/>
  <c r="AJ69" i="3" s="1"/>
  <c r="J18" i="2" s="1"/>
  <c r="D199" i="3"/>
  <c r="C199" i="3"/>
  <c r="S19" i="3" s="1"/>
  <c r="AH18" i="3" s="1"/>
  <c r="AH68" i="3" s="1"/>
  <c r="H200" i="3"/>
  <c r="L200" i="3"/>
  <c r="T43" i="3" s="1"/>
  <c r="AI43" i="3" s="1"/>
  <c r="AI69" i="3" s="1"/>
  <c r="I18" i="2" s="1"/>
  <c r="P15" i="1"/>
  <c r="H199" i="3"/>
  <c r="L199" i="3"/>
  <c r="S43" i="3" s="1"/>
  <c r="AH43" i="3" s="1"/>
  <c r="AH69" i="3" s="1"/>
  <c r="H18" i="2" s="1"/>
  <c r="H198" i="3"/>
  <c r="D198" i="3"/>
  <c r="C198" i="3"/>
  <c r="R19" i="3" s="1"/>
  <c r="AG18" i="3" s="1"/>
  <c r="AG68" i="3" s="1"/>
  <c r="L198" i="3"/>
  <c r="R43" i="3" s="1"/>
  <c r="AG43" i="3" s="1"/>
  <c r="L197" i="3"/>
  <c r="Q43" i="3" s="1"/>
  <c r="AF43" i="3" s="1"/>
  <c r="AF69" i="3" s="1"/>
  <c r="F18" i="2" s="1"/>
  <c r="H197" i="3"/>
  <c r="C197" i="3"/>
  <c r="Q19" i="3" s="1"/>
  <c r="AF18" i="3" s="1"/>
  <c r="AF68" i="3" s="1"/>
  <c r="D197" i="3"/>
  <c r="L196" i="3"/>
  <c r="P43" i="3" s="1"/>
  <c r="AE43" i="3" s="1"/>
  <c r="H196" i="3"/>
  <c r="D196" i="3"/>
  <c r="C196" i="3"/>
  <c r="P19" i="3" s="1"/>
  <c r="AE18" i="3" s="1"/>
  <c r="L195" i="3"/>
  <c r="AA42" i="3" s="1"/>
  <c r="AP42" i="3" s="1"/>
  <c r="AP66" i="3" s="1"/>
  <c r="P16" i="2" s="1"/>
  <c r="H195" i="3"/>
  <c r="D195" i="3"/>
  <c r="C195" i="3"/>
  <c r="AA18" i="3" s="1"/>
  <c r="AP17" i="3" s="1"/>
  <c r="AP65" i="3" s="1"/>
  <c r="H194" i="3"/>
  <c r="L194" i="3"/>
  <c r="Z42" i="3" s="1"/>
  <c r="AO42" i="3" s="1"/>
  <c r="AO66" i="3" s="1"/>
  <c r="O16" i="2" s="1"/>
  <c r="C194" i="3"/>
  <c r="Z18" i="3" s="1"/>
  <c r="AO17" i="3" s="1"/>
  <c r="AO65" i="3" s="1"/>
  <c r="D194" i="3"/>
  <c r="L193" i="3"/>
  <c r="Y42" i="3" s="1"/>
  <c r="AN42" i="3" s="1"/>
  <c r="AN66" i="3" s="1"/>
  <c r="N16" i="2" s="1"/>
  <c r="H193" i="3"/>
  <c r="D193" i="3"/>
  <c r="C193" i="3"/>
  <c r="Y18" i="3" s="1"/>
  <c r="AN17" i="3" s="1"/>
  <c r="AN65" i="3" s="1"/>
  <c r="L192" i="3"/>
  <c r="X42" i="3" s="1"/>
  <c r="AM42" i="3" s="1"/>
  <c r="AM66" i="3" s="1"/>
  <c r="M16" i="2" s="1"/>
  <c r="H192" i="3"/>
  <c r="D192" i="3"/>
  <c r="C192" i="3"/>
  <c r="D191" i="3"/>
  <c r="C191" i="3"/>
  <c r="L191" i="3"/>
  <c r="W42" i="3" s="1"/>
  <c r="AL42" i="3" s="1"/>
  <c r="AL66" i="3" s="1"/>
  <c r="L16" i="2" s="1"/>
  <c r="H191" i="3"/>
  <c r="D190" i="3"/>
  <c r="C190" i="3"/>
  <c r="L190" i="3"/>
  <c r="V42" i="3" s="1"/>
  <c r="AK42" i="3" s="1"/>
  <c r="AK66" i="3" s="1"/>
  <c r="K16" i="2" s="1"/>
  <c r="H190" i="3"/>
  <c r="L189" i="3"/>
  <c r="U42" i="3" s="1"/>
  <c r="AJ42" i="3" s="1"/>
  <c r="AJ66" i="3" s="1"/>
  <c r="J16" i="2" s="1"/>
  <c r="H189" i="3"/>
  <c r="D189" i="3"/>
  <c r="C189" i="3"/>
  <c r="U18" i="3" s="1"/>
  <c r="AJ17" i="3" s="1"/>
  <c r="AJ65" i="3" s="1"/>
  <c r="D188" i="3"/>
  <c r="C188" i="3"/>
  <c r="L188" i="3"/>
  <c r="T42" i="3" s="1"/>
  <c r="AI42" i="3" s="1"/>
  <c r="AI66" i="3" s="1"/>
  <c r="I16" i="2" s="1"/>
  <c r="H188" i="3"/>
  <c r="D187" i="3"/>
  <c r="C187" i="3"/>
  <c r="L187" i="3"/>
  <c r="S42" i="3" s="1"/>
  <c r="AH42" i="3" s="1"/>
  <c r="AH66" i="3" s="1"/>
  <c r="H16" i="2" s="1"/>
  <c r="H187" i="3"/>
  <c r="D186" i="3"/>
  <c r="C186" i="3"/>
  <c r="L186" i="3"/>
  <c r="R42" i="3" s="1"/>
  <c r="AG42" i="3" s="1"/>
  <c r="AG66" i="3" s="1"/>
  <c r="G16" i="2" s="1"/>
  <c r="H186" i="3"/>
  <c r="L176" i="3"/>
  <c r="L185" i="3"/>
  <c r="L184" i="3"/>
  <c r="L183" i="3"/>
  <c r="AA41" i="3" s="1"/>
  <c r="L182" i="3"/>
  <c r="Z41" i="3" s="1"/>
  <c r="L181" i="3"/>
  <c r="Y41" i="3" s="1"/>
  <c r="L180" i="3"/>
  <c r="X41" i="3" s="1"/>
  <c r="L179" i="3"/>
  <c r="W41" i="3" s="1"/>
  <c r="L178" i="3"/>
  <c r="V41" i="3" s="1"/>
  <c r="L177" i="3"/>
  <c r="U41" i="3" s="1"/>
  <c r="AJ41" i="3" s="1"/>
  <c r="AJ63" i="3" s="1"/>
  <c r="I211" i="3" l="1"/>
  <c r="S32" i="3" s="1"/>
  <c r="AH33" i="3" s="1"/>
  <c r="AH72" i="3" s="1"/>
  <c r="H21" i="2" s="1"/>
  <c r="AQ44" i="3"/>
  <c r="AQ71" i="3" s="1"/>
  <c r="Q20" i="2" s="1"/>
  <c r="I209" i="3"/>
  <c r="Q32" i="3" s="1"/>
  <c r="AF33" i="3" s="1"/>
  <c r="AF72" i="3" s="1"/>
  <c r="F21" i="2" s="1"/>
  <c r="I212" i="3"/>
  <c r="T32" i="3" s="1"/>
  <c r="AI33" i="3" s="1"/>
  <c r="AI72" i="3" s="1"/>
  <c r="I21" i="2" s="1"/>
  <c r="I188" i="3"/>
  <c r="T30" i="3" s="1"/>
  <c r="AI31" i="3" s="1"/>
  <c r="AI67" i="3" s="1"/>
  <c r="I17" i="2" s="1"/>
  <c r="AQ19" i="3"/>
  <c r="AE71" i="3"/>
  <c r="E20" i="2" s="1"/>
  <c r="AG69" i="3"/>
  <c r="G18" i="2" s="1"/>
  <c r="AQ43" i="3"/>
  <c r="AQ69" i="3" s="1"/>
  <c r="Q18" i="2" s="1"/>
  <c r="I208" i="3"/>
  <c r="P32" i="3" s="1"/>
  <c r="AE33" i="3" s="1"/>
  <c r="AE72" i="3" s="1"/>
  <c r="E21" i="2" s="1"/>
  <c r="I210" i="3"/>
  <c r="X32" i="3"/>
  <c r="AM33" i="3" s="1"/>
  <c r="AM72" i="3" s="1"/>
  <c r="M21" i="2" s="1"/>
  <c r="I206" i="3"/>
  <c r="Z31" i="3" s="1"/>
  <c r="AO32" i="3" s="1"/>
  <c r="AO70" i="3" s="1"/>
  <c r="O19" i="2" s="1"/>
  <c r="I202" i="3"/>
  <c r="V31" i="3" s="1"/>
  <c r="AK32" i="3" s="1"/>
  <c r="AK70" i="3" s="1"/>
  <c r="K19" i="2" s="1"/>
  <c r="I204" i="3"/>
  <c r="X31" i="3" s="1"/>
  <c r="AM32" i="3" s="1"/>
  <c r="AM70" i="3" s="1"/>
  <c r="M19" i="2" s="1"/>
  <c r="I200" i="3"/>
  <c r="T31" i="3" s="1"/>
  <c r="AI32" i="3" s="1"/>
  <c r="AI70" i="3" s="1"/>
  <c r="I19" i="2" s="1"/>
  <c r="I197" i="3"/>
  <c r="Q31" i="3" s="1"/>
  <c r="AF32" i="3" s="1"/>
  <c r="AF70" i="3" s="1"/>
  <c r="F19" i="2" s="1"/>
  <c r="I198" i="3"/>
  <c r="R31" i="3" s="1"/>
  <c r="AG32" i="3" s="1"/>
  <c r="AG70" i="3" s="1"/>
  <c r="G19" i="2" s="1"/>
  <c r="AE69" i="3"/>
  <c r="E18" i="2" s="1"/>
  <c r="AQ18" i="3"/>
  <c r="AQ68" i="3" s="1"/>
  <c r="I205" i="3"/>
  <c r="Y31" i="3" s="1"/>
  <c r="AN32" i="3" s="1"/>
  <c r="AN70" i="3" s="1"/>
  <c r="N19" i="2" s="1"/>
  <c r="I196" i="3"/>
  <c r="P31" i="3" s="1"/>
  <c r="AE32" i="3" s="1"/>
  <c r="AE70" i="3" s="1"/>
  <c r="E19" i="2" s="1"/>
  <c r="I199" i="3"/>
  <c r="I207" i="3"/>
  <c r="AA31" i="3" s="1"/>
  <c r="AP32" i="3" s="1"/>
  <c r="AP70" i="3" s="1"/>
  <c r="P19" i="2" s="1"/>
  <c r="I201" i="3"/>
  <c r="I203" i="3"/>
  <c r="AN69" i="3"/>
  <c r="N18" i="2" s="1"/>
  <c r="AE68" i="3"/>
  <c r="I190" i="3"/>
  <c r="V30" i="3" s="1"/>
  <c r="AK31" i="3" s="1"/>
  <c r="AK67" i="3" s="1"/>
  <c r="K17" i="2" s="1"/>
  <c r="I187" i="3"/>
  <c r="S30" i="3" s="1"/>
  <c r="AH31" i="3" s="1"/>
  <c r="AH67" i="3" s="1"/>
  <c r="H17" i="2" s="1"/>
  <c r="I193" i="3"/>
  <c r="Y30" i="3" s="1"/>
  <c r="AN31" i="3" s="1"/>
  <c r="AN67" i="3" s="1"/>
  <c r="N17" i="2" s="1"/>
  <c r="I191" i="3"/>
  <c r="W30" i="3" s="1"/>
  <c r="AL31" i="3" s="1"/>
  <c r="AL67" i="3" s="1"/>
  <c r="L17" i="2" s="1"/>
  <c r="I194" i="3"/>
  <c r="Z30" i="3" s="1"/>
  <c r="AO31" i="3" s="1"/>
  <c r="AO67" i="3" s="1"/>
  <c r="O17" i="2" s="1"/>
  <c r="I189" i="3"/>
  <c r="U30" i="3" s="1"/>
  <c r="AJ31" i="3" s="1"/>
  <c r="AJ67" i="3" s="1"/>
  <c r="J17" i="2" s="1"/>
  <c r="I192" i="3"/>
  <c r="X30" i="3" s="1"/>
  <c r="AM31" i="3" s="1"/>
  <c r="AM67" i="3" s="1"/>
  <c r="M17" i="2" s="1"/>
  <c r="I195" i="3"/>
  <c r="AA30" i="3" s="1"/>
  <c r="AP31" i="3" s="1"/>
  <c r="AP67" i="3" s="1"/>
  <c r="P17" i="2" s="1"/>
  <c r="R18" i="3"/>
  <c r="AG17" i="3" s="1"/>
  <c r="AG65" i="3" s="1"/>
  <c r="S18" i="3"/>
  <c r="AH17" i="3" s="1"/>
  <c r="AH65" i="3" s="1"/>
  <c r="T18" i="3"/>
  <c r="AI17" i="3" s="1"/>
  <c r="AI65" i="3" s="1"/>
  <c r="V18" i="3"/>
  <c r="AK17" i="3" s="1"/>
  <c r="AK65" i="3" s="1"/>
  <c r="W18" i="3"/>
  <c r="AL17" i="3" s="1"/>
  <c r="AL65" i="3" s="1"/>
  <c r="X18" i="3"/>
  <c r="AM17" i="3" s="1"/>
  <c r="AM65" i="3" s="1"/>
  <c r="D181" i="3"/>
  <c r="D182" i="3"/>
  <c r="D183" i="3"/>
  <c r="D184" i="3"/>
  <c r="D185" i="3"/>
  <c r="C181" i="3"/>
  <c r="Y17" i="3" s="1"/>
  <c r="AN16" i="3" s="1"/>
  <c r="AN56" i="3" s="1"/>
  <c r="C182" i="3"/>
  <c r="Z17" i="3" s="1"/>
  <c r="AO16" i="3" s="1"/>
  <c r="AO56" i="3" s="1"/>
  <c r="C183" i="3"/>
  <c r="AA17" i="3" s="1"/>
  <c r="AP16" i="3" s="1"/>
  <c r="AP56" i="3" s="1"/>
  <c r="C184" i="3"/>
  <c r="P18" i="3" s="1"/>
  <c r="AE17" i="3" s="1"/>
  <c r="C185" i="3"/>
  <c r="Q18" i="3" s="1"/>
  <c r="AF17" i="3" s="1"/>
  <c r="AF65" i="3" s="1"/>
  <c r="AN41" i="3"/>
  <c r="AN63" i="3" s="1"/>
  <c r="N14" i="2" s="1"/>
  <c r="H183" i="3"/>
  <c r="AO41" i="3"/>
  <c r="AO63" i="3" s="1"/>
  <c r="O14" i="2" s="1"/>
  <c r="AP41" i="3"/>
  <c r="AP63" i="3" s="1"/>
  <c r="P14" i="2" s="1"/>
  <c r="P42" i="3"/>
  <c r="AE42" i="3" s="1"/>
  <c r="Q42" i="3"/>
  <c r="AF42" i="3" s="1"/>
  <c r="AF66" i="3" s="1"/>
  <c r="F16" i="2" s="1"/>
  <c r="H184" i="3"/>
  <c r="H185" i="3"/>
  <c r="I186" i="3" s="1"/>
  <c r="R30" i="3" s="1"/>
  <c r="AG31" i="3" s="1"/>
  <c r="AG67" i="3" s="1"/>
  <c r="G17" i="2" s="1"/>
  <c r="H181" i="3"/>
  <c r="H182" i="3"/>
  <c r="C179" i="3"/>
  <c r="W17" i="3" s="1"/>
  <c r="AL16" i="3" s="1"/>
  <c r="AL56" i="3" s="1"/>
  <c r="D179" i="3"/>
  <c r="H179" i="3"/>
  <c r="AL41" i="3"/>
  <c r="AL63" i="3" s="1"/>
  <c r="L14" i="2" s="1"/>
  <c r="C180" i="3"/>
  <c r="X17" i="3" s="1"/>
  <c r="D180" i="3"/>
  <c r="H180" i="3"/>
  <c r="AM41" i="3"/>
  <c r="AM63" i="3" s="1"/>
  <c r="M14" i="2" s="1"/>
  <c r="R32" i="3" l="1"/>
  <c r="AG33" i="3" s="1"/>
  <c r="AQ33" i="3" s="1"/>
  <c r="W31" i="3"/>
  <c r="AL32" i="3" s="1"/>
  <c r="AL70" i="3" s="1"/>
  <c r="L19" i="2" s="1"/>
  <c r="U31" i="3"/>
  <c r="AJ32" i="3" s="1"/>
  <c r="AJ70" i="3" s="1"/>
  <c r="J19" i="2" s="1"/>
  <c r="AE66" i="3"/>
  <c r="E16" i="2" s="1"/>
  <c r="AQ42" i="3"/>
  <c r="AQ66" i="3" s="1"/>
  <c r="Q16" i="2" s="1"/>
  <c r="S31" i="3"/>
  <c r="AH32" i="3" s="1"/>
  <c r="AH70" i="3" s="1"/>
  <c r="H19" i="2" s="1"/>
  <c r="AQ17" i="3"/>
  <c r="AQ65" i="3" s="1"/>
  <c r="AE65" i="3"/>
  <c r="I182" i="3"/>
  <c r="Z29" i="3" s="1"/>
  <c r="AO30" i="3" s="1"/>
  <c r="AO64" i="3" s="1"/>
  <c r="I181" i="3"/>
  <c r="Y29" i="3" s="1"/>
  <c r="AN30" i="3" s="1"/>
  <c r="AN64" i="3" s="1"/>
  <c r="I185" i="3"/>
  <c r="Q30" i="3" s="1"/>
  <c r="AF31" i="3" s="1"/>
  <c r="AF67" i="3" s="1"/>
  <c r="F17" i="2" s="1"/>
  <c r="AM16" i="3"/>
  <c r="AM56" i="3" s="1"/>
  <c r="I183" i="3"/>
  <c r="AA29" i="3" s="1"/>
  <c r="AP30" i="3" s="1"/>
  <c r="AP64" i="3" s="1"/>
  <c r="I184" i="3"/>
  <c r="P30" i="3" s="1"/>
  <c r="AE31" i="3" s="1"/>
  <c r="I180" i="3"/>
  <c r="X29" i="3" s="1"/>
  <c r="AM30" i="3" s="1"/>
  <c r="AM64" i="3" s="1"/>
  <c r="C176" i="3"/>
  <c r="T17" i="3" s="1"/>
  <c r="AI16" i="3" s="1"/>
  <c r="AI56" i="3" s="1"/>
  <c r="D176" i="3"/>
  <c r="H176" i="3"/>
  <c r="C177" i="3"/>
  <c r="U17" i="3" s="1"/>
  <c r="AJ16" i="3" s="1"/>
  <c r="AJ56" i="3" s="1"/>
  <c r="D177" i="3"/>
  <c r="H177" i="3"/>
  <c r="C178" i="3"/>
  <c r="V17" i="3" s="1"/>
  <c r="AK16" i="3" s="1"/>
  <c r="AK56" i="3" s="1"/>
  <c r="D178" i="3"/>
  <c r="H178" i="3"/>
  <c r="AK41" i="3"/>
  <c r="AK63" i="3" s="1"/>
  <c r="K14" i="2" s="1"/>
  <c r="AG72" i="3" l="1"/>
  <c r="G21" i="2" s="1"/>
  <c r="AQ72" i="3"/>
  <c r="AQ32" i="3"/>
  <c r="AQ70" i="3" s="1"/>
  <c r="I178" i="3"/>
  <c r="V29" i="3" s="1"/>
  <c r="AK30" i="3" s="1"/>
  <c r="AK64" i="3" s="1"/>
  <c r="AQ31" i="3"/>
  <c r="AQ67" i="3" s="1"/>
  <c r="X2" i="2"/>
  <c r="AE67" i="3"/>
  <c r="E17" i="2" s="1"/>
  <c r="I179" i="3"/>
  <c r="T41" i="3"/>
  <c r="AI41" i="3" s="1"/>
  <c r="AI63" i="3" s="1"/>
  <c r="I177" i="3"/>
  <c r="C175" i="3"/>
  <c r="S17" i="3" s="1"/>
  <c r="AH16" i="3" s="1"/>
  <c r="AH56" i="3" s="1"/>
  <c r="D175" i="3"/>
  <c r="H175" i="3"/>
  <c r="L175" i="3"/>
  <c r="Q21" i="2" l="1"/>
  <c r="X3" i="2"/>
  <c r="Q19" i="2"/>
  <c r="Q17" i="2"/>
  <c r="S41" i="3"/>
  <c r="AH41" i="3" s="1"/>
  <c r="AH63" i="3" s="1"/>
  <c r="W29" i="3"/>
  <c r="AL30" i="3" s="1"/>
  <c r="AL64" i="3" s="1"/>
  <c r="U29" i="3"/>
  <c r="AJ30" i="3" s="1"/>
  <c r="AJ64" i="3" s="1"/>
  <c r="I176" i="3"/>
  <c r="C174" i="3"/>
  <c r="R17" i="3" s="1"/>
  <c r="AG16" i="3" s="1"/>
  <c r="AG56" i="3" s="1"/>
  <c r="D174" i="3"/>
  <c r="H174" i="3"/>
  <c r="I175" i="3" s="1"/>
  <c r="L174" i="3"/>
  <c r="S29" i="3" l="1"/>
  <c r="AH30" i="3" s="1"/>
  <c r="AH64" i="3" s="1"/>
  <c r="R41" i="3"/>
  <c r="AG41" i="3" s="1"/>
  <c r="AG63" i="3" s="1"/>
  <c r="T29" i="3"/>
  <c r="AI30" i="3" s="1"/>
  <c r="AI64" i="3" s="1"/>
  <c r="C173" i="3"/>
  <c r="Q17" i="3" s="1"/>
  <c r="AF16" i="3" s="1"/>
  <c r="AF56" i="3" s="1"/>
  <c r="D173" i="3"/>
  <c r="H173" i="3"/>
  <c r="L173" i="3"/>
  <c r="Q41" i="3" s="1"/>
  <c r="AF41" i="3" s="1"/>
  <c r="AF63" i="3" s="1"/>
  <c r="I174" i="3" l="1"/>
  <c r="C172" i="3"/>
  <c r="P17" i="3" s="1"/>
  <c r="AE16" i="3" s="1"/>
  <c r="D172" i="3"/>
  <c r="H172" i="3"/>
  <c r="I173" i="3" s="1"/>
  <c r="L172" i="3"/>
  <c r="P41" i="3" s="1"/>
  <c r="AE41" i="3" s="1"/>
  <c r="AQ41" i="3" s="1"/>
  <c r="AQ16" i="3" l="1"/>
  <c r="AQ56" i="3" s="1"/>
  <c r="AE56" i="3"/>
  <c r="Q29" i="3"/>
  <c r="AF30" i="3" s="1"/>
  <c r="AF64" i="3" s="1"/>
  <c r="R29" i="3"/>
  <c r="AG30" i="3" s="1"/>
  <c r="AG64" i="3" s="1"/>
  <c r="AQ63" i="3"/>
  <c r="AE63" i="3"/>
  <c r="C171" i="3"/>
  <c r="AA16" i="3" s="1"/>
  <c r="AP15" i="3" s="1"/>
  <c r="AP55" i="3" s="1"/>
  <c r="D171" i="3"/>
  <c r="H171" i="3"/>
  <c r="L171" i="3"/>
  <c r="AA40" i="3" s="1"/>
  <c r="AP40" i="3" s="1"/>
  <c r="AP61" i="3" s="1"/>
  <c r="I172" i="3" l="1"/>
  <c r="P29" i="3" s="1"/>
  <c r="AE30" i="3" s="1"/>
  <c r="AQ30" i="3" s="1"/>
  <c r="C170" i="3"/>
  <c r="Z16" i="3" s="1"/>
  <c r="AO15" i="3" s="1"/>
  <c r="AO55" i="3" s="1"/>
  <c r="D170" i="3"/>
  <c r="H170" i="3"/>
  <c r="I171" i="3" s="1"/>
  <c r="L170" i="3"/>
  <c r="Z40" i="3" s="1"/>
  <c r="AO40" i="3" s="1"/>
  <c r="AO61" i="3" s="1"/>
  <c r="AQ64" i="3" l="1"/>
  <c r="AE64" i="3"/>
  <c r="AA28" i="3"/>
  <c r="AP29" i="3" s="1"/>
  <c r="AP62" i="3" s="1"/>
  <c r="C169" i="3"/>
  <c r="Y16" i="3" s="1"/>
  <c r="AN15" i="3" s="1"/>
  <c r="AN55" i="3" s="1"/>
  <c r="D169" i="3"/>
  <c r="H169" i="3"/>
  <c r="I170" i="3" s="1"/>
  <c r="L169" i="3"/>
  <c r="Z28" i="3" l="1"/>
  <c r="AO29" i="3" s="1"/>
  <c r="AO62" i="3" s="1"/>
  <c r="Y40" i="3"/>
  <c r="AN40" i="3" s="1"/>
  <c r="AN61" i="3" s="1"/>
  <c r="C168" i="3"/>
  <c r="X16" i="3" s="1"/>
  <c r="AM15" i="3" s="1"/>
  <c r="AM55" i="3" s="1"/>
  <c r="D168" i="3"/>
  <c r="H168" i="3"/>
  <c r="L168" i="3"/>
  <c r="X40" i="3" s="1"/>
  <c r="AM40" i="3" s="1"/>
  <c r="AM61" i="3" s="1"/>
  <c r="I169" i="3" l="1"/>
  <c r="C167" i="3"/>
  <c r="W16" i="3" s="1"/>
  <c r="AL15" i="3" s="1"/>
  <c r="AL55" i="3" s="1"/>
  <c r="D167" i="3"/>
  <c r="H167" i="3"/>
  <c r="I168" i="3" s="1"/>
  <c r="L167" i="3"/>
  <c r="W40" i="3" s="1"/>
  <c r="AL40" i="3" s="1"/>
  <c r="AL61" i="3" s="1"/>
  <c r="X28" i="3" l="1"/>
  <c r="AM29" i="3" s="1"/>
  <c r="AM62" i="3" s="1"/>
  <c r="Y28" i="3"/>
  <c r="AN29" i="3" s="1"/>
  <c r="AN62" i="3" s="1"/>
  <c r="AC53" i="3"/>
  <c r="AC54" i="3"/>
  <c r="AC55" i="3"/>
  <c r="AC52" i="3"/>
  <c r="L166" i="3"/>
  <c r="V40" i="3" s="1"/>
  <c r="AK40" i="3" s="1"/>
  <c r="AK61" i="3" s="1"/>
  <c r="H166" i="3"/>
  <c r="I167" i="3" s="1"/>
  <c r="C166" i="3"/>
  <c r="V16" i="3" s="1"/>
  <c r="AK15" i="3" s="1"/>
  <c r="AK55" i="3" s="1"/>
  <c r="D166" i="3"/>
  <c r="W28" i="3" l="1"/>
  <c r="AL29" i="3" s="1"/>
  <c r="AL62" i="3" s="1"/>
  <c r="L165" i="3" l="1"/>
  <c r="U40" i="3" s="1"/>
  <c r="AJ40" i="3" s="1"/>
  <c r="AJ61" i="3" s="1"/>
  <c r="H165" i="3"/>
  <c r="I166" i="3" s="1"/>
  <c r="V28" i="3" s="1"/>
  <c r="AK29" i="3" s="1"/>
  <c r="AK62" i="3" s="1"/>
  <c r="C165" i="3"/>
  <c r="U16" i="3" s="1"/>
  <c r="AJ15" i="3" s="1"/>
  <c r="AJ55" i="3" s="1"/>
  <c r="D165" i="3"/>
  <c r="D164" i="3" l="1"/>
  <c r="C164" i="3"/>
  <c r="T16" i="3" s="1"/>
  <c r="AI15" i="3" s="1"/>
  <c r="AI55" i="3" s="1"/>
  <c r="L164" i="3"/>
  <c r="T40" i="3" s="1"/>
  <c r="AI40" i="3" s="1"/>
  <c r="AI61" i="3" s="1"/>
  <c r="H164" i="3"/>
  <c r="I165" i="3" s="1"/>
  <c r="U28" i="3" l="1"/>
  <c r="AJ29" i="3" s="1"/>
  <c r="AJ62" i="3" s="1"/>
  <c r="AQ38" i="3"/>
  <c r="AQ39" i="3"/>
  <c r="AQ12" i="3" l="1"/>
  <c r="AQ52" i="3" s="1"/>
  <c r="AQ11" i="3"/>
  <c r="AQ10" i="3"/>
  <c r="AQ9" i="3"/>
  <c r="AQ8" i="3"/>
  <c r="AQ7" i="3"/>
  <c r="AQ6" i="3"/>
  <c r="AQ5" i="3"/>
  <c r="AQ4" i="3"/>
  <c r="AQ3" i="3"/>
  <c r="AQ2" i="3"/>
  <c r="C4" i="3"/>
  <c r="P3" i="3" s="1"/>
  <c r="AE2" i="3" s="1"/>
  <c r="C5" i="3"/>
  <c r="Q3" i="3" s="1"/>
  <c r="AF2" i="3" s="1"/>
  <c r="C6" i="3"/>
  <c r="R3" i="3" s="1"/>
  <c r="AG2" i="3" s="1"/>
  <c r="C7" i="3"/>
  <c r="S3" i="3" s="1"/>
  <c r="AH2" i="3" s="1"/>
  <c r="C8" i="3"/>
  <c r="T3" i="3" s="1"/>
  <c r="AI2" i="3" s="1"/>
  <c r="C9" i="3"/>
  <c r="U3" i="3" s="1"/>
  <c r="AJ2" i="3" s="1"/>
  <c r="C10" i="3"/>
  <c r="V3" i="3" s="1"/>
  <c r="AK2" i="3" s="1"/>
  <c r="C11" i="3"/>
  <c r="W3" i="3" s="1"/>
  <c r="AL2" i="3" s="1"/>
  <c r="C12" i="3"/>
  <c r="X3" i="3" s="1"/>
  <c r="AM2" i="3" s="1"/>
  <c r="C13" i="3"/>
  <c r="Y3" i="3" s="1"/>
  <c r="AN2" i="3" s="1"/>
  <c r="C14" i="3"/>
  <c r="Z3" i="3" s="1"/>
  <c r="AO2" i="3" s="1"/>
  <c r="C15" i="3"/>
  <c r="AA3" i="3" s="1"/>
  <c r="AP2" i="3" s="1"/>
  <c r="C16" i="3"/>
  <c r="P4" i="3" s="1"/>
  <c r="AE3" i="3" s="1"/>
  <c r="C17" i="3"/>
  <c r="Q4" i="3" s="1"/>
  <c r="AF3" i="3" s="1"/>
  <c r="C18" i="3"/>
  <c r="R4" i="3" s="1"/>
  <c r="AG3" i="3" s="1"/>
  <c r="C19" i="3"/>
  <c r="S4" i="3" s="1"/>
  <c r="AH3" i="3" s="1"/>
  <c r="C20" i="3"/>
  <c r="T4" i="3" s="1"/>
  <c r="AI3" i="3" s="1"/>
  <c r="C21" i="3"/>
  <c r="U4" i="3" s="1"/>
  <c r="AJ3" i="3" s="1"/>
  <c r="C22" i="3"/>
  <c r="V4" i="3" s="1"/>
  <c r="AK3" i="3" s="1"/>
  <c r="C23" i="3"/>
  <c r="W4" i="3" s="1"/>
  <c r="AL3" i="3" s="1"/>
  <c r="C24" i="3"/>
  <c r="X4" i="3" s="1"/>
  <c r="AM3" i="3" s="1"/>
  <c r="C25" i="3"/>
  <c r="Y4" i="3" s="1"/>
  <c r="AN3" i="3" s="1"/>
  <c r="C26" i="3"/>
  <c r="Z4" i="3" s="1"/>
  <c r="AO3" i="3" s="1"/>
  <c r="C27" i="3"/>
  <c r="AA4" i="3" s="1"/>
  <c r="AP3" i="3" s="1"/>
  <c r="C28" i="3"/>
  <c r="P5" i="3" s="1"/>
  <c r="AE4" i="3" s="1"/>
  <c r="C29" i="3"/>
  <c r="C30" i="3"/>
  <c r="R5" i="3" s="1"/>
  <c r="AG4" i="3" s="1"/>
  <c r="C31" i="3"/>
  <c r="S5" i="3" s="1"/>
  <c r="AH4" i="3" s="1"/>
  <c r="C32" i="3"/>
  <c r="T5" i="3" s="1"/>
  <c r="AI4" i="3" s="1"/>
  <c r="C33" i="3"/>
  <c r="U5" i="3" s="1"/>
  <c r="AJ4" i="3" s="1"/>
  <c r="C34" i="3"/>
  <c r="V5" i="3" s="1"/>
  <c r="AK4" i="3" s="1"/>
  <c r="C35" i="3"/>
  <c r="W5" i="3" s="1"/>
  <c r="AL4" i="3" s="1"/>
  <c r="C36" i="3"/>
  <c r="X5" i="3" s="1"/>
  <c r="AM4" i="3" s="1"/>
  <c r="C37" i="3"/>
  <c r="Y5" i="3" s="1"/>
  <c r="AN4" i="3" s="1"/>
  <c r="C38" i="3"/>
  <c r="Z5" i="3" s="1"/>
  <c r="AO4" i="3" s="1"/>
  <c r="C39" i="3"/>
  <c r="AA5" i="3" s="1"/>
  <c r="AP4" i="3" s="1"/>
  <c r="C40" i="3"/>
  <c r="P6" i="3" s="1"/>
  <c r="AE5" i="3" s="1"/>
  <c r="C41" i="3"/>
  <c r="Q6" i="3" s="1"/>
  <c r="AF5" i="3" s="1"/>
  <c r="C42" i="3"/>
  <c r="R6" i="3" s="1"/>
  <c r="AG5" i="3" s="1"/>
  <c r="C43" i="3"/>
  <c r="S6" i="3" s="1"/>
  <c r="AH5" i="3" s="1"/>
  <c r="C44" i="3"/>
  <c r="T6" i="3" s="1"/>
  <c r="AI5" i="3" s="1"/>
  <c r="C45" i="3"/>
  <c r="U6" i="3" s="1"/>
  <c r="AJ5" i="3" s="1"/>
  <c r="C46" i="3"/>
  <c r="V6" i="3" s="1"/>
  <c r="AK5" i="3" s="1"/>
  <c r="C47" i="3"/>
  <c r="W6" i="3" s="1"/>
  <c r="AL5" i="3" s="1"/>
  <c r="C48" i="3"/>
  <c r="X6" i="3" s="1"/>
  <c r="AM5" i="3" s="1"/>
  <c r="C49" i="3"/>
  <c r="Y6" i="3" s="1"/>
  <c r="AN5" i="3" s="1"/>
  <c r="C50" i="3"/>
  <c r="Z6" i="3" s="1"/>
  <c r="AO5" i="3" s="1"/>
  <c r="C51" i="3"/>
  <c r="AA6" i="3" s="1"/>
  <c r="AP5" i="3" s="1"/>
  <c r="C52" i="3"/>
  <c r="P7" i="3" s="1"/>
  <c r="AE6" i="3" s="1"/>
  <c r="C53" i="3"/>
  <c r="Q7" i="3" s="1"/>
  <c r="AF6" i="3" s="1"/>
  <c r="C54" i="3"/>
  <c r="R7" i="3" s="1"/>
  <c r="AG6" i="3" s="1"/>
  <c r="C55" i="3"/>
  <c r="S7" i="3" s="1"/>
  <c r="AH6" i="3" s="1"/>
  <c r="C56" i="3"/>
  <c r="T7" i="3" s="1"/>
  <c r="AI6" i="3" s="1"/>
  <c r="C57" i="3"/>
  <c r="U7" i="3" s="1"/>
  <c r="AJ6" i="3" s="1"/>
  <c r="C58" i="3"/>
  <c r="V7" i="3" s="1"/>
  <c r="AK6" i="3" s="1"/>
  <c r="C59" i="3"/>
  <c r="W7" i="3" s="1"/>
  <c r="AL6" i="3" s="1"/>
  <c r="C60" i="3"/>
  <c r="X7" i="3" s="1"/>
  <c r="AM6" i="3" s="1"/>
  <c r="C61" i="3"/>
  <c r="Y7" i="3" s="1"/>
  <c r="AN6" i="3" s="1"/>
  <c r="C62" i="3"/>
  <c r="Z7" i="3" s="1"/>
  <c r="AO6" i="3" s="1"/>
  <c r="C63" i="3"/>
  <c r="AA7" i="3" s="1"/>
  <c r="AP6" i="3" s="1"/>
  <c r="C64" i="3"/>
  <c r="P8" i="3" s="1"/>
  <c r="AE7" i="3" s="1"/>
  <c r="C65" i="3"/>
  <c r="Q8" i="3" s="1"/>
  <c r="AF7" i="3" s="1"/>
  <c r="C66" i="3"/>
  <c r="R8" i="3" s="1"/>
  <c r="AG7" i="3" s="1"/>
  <c r="C67" i="3"/>
  <c r="S8" i="3" s="1"/>
  <c r="AH7" i="3" s="1"/>
  <c r="C68" i="3"/>
  <c r="T8" i="3" s="1"/>
  <c r="AI7" i="3" s="1"/>
  <c r="C69" i="3"/>
  <c r="U8" i="3" s="1"/>
  <c r="AJ7" i="3" s="1"/>
  <c r="C70" i="3"/>
  <c r="V8" i="3" s="1"/>
  <c r="AK7" i="3" s="1"/>
  <c r="C71" i="3"/>
  <c r="W8" i="3" s="1"/>
  <c r="AL7" i="3" s="1"/>
  <c r="C72" i="3"/>
  <c r="X8" i="3" s="1"/>
  <c r="AM7" i="3" s="1"/>
  <c r="C73" i="3"/>
  <c r="Y8" i="3" s="1"/>
  <c r="AN7" i="3" s="1"/>
  <c r="C74" i="3"/>
  <c r="Z8" i="3" s="1"/>
  <c r="AO7" i="3" s="1"/>
  <c r="C75" i="3"/>
  <c r="AA8" i="3" s="1"/>
  <c r="AP7" i="3" s="1"/>
  <c r="C76" i="3"/>
  <c r="P9" i="3" s="1"/>
  <c r="AE8" i="3" s="1"/>
  <c r="C77" i="3"/>
  <c r="C78" i="3"/>
  <c r="R9" i="3" s="1"/>
  <c r="AG8" i="3" s="1"/>
  <c r="C79" i="3"/>
  <c r="S9" i="3" s="1"/>
  <c r="AH8" i="3" s="1"/>
  <c r="C80" i="3"/>
  <c r="T9" i="3" s="1"/>
  <c r="AI8" i="3" s="1"/>
  <c r="C81" i="3"/>
  <c r="U9" i="3" s="1"/>
  <c r="AJ8" i="3" s="1"/>
  <c r="C82" i="3"/>
  <c r="V9" i="3" s="1"/>
  <c r="AK8" i="3" s="1"/>
  <c r="C83" i="3"/>
  <c r="W9" i="3" s="1"/>
  <c r="AL8" i="3" s="1"/>
  <c r="C84" i="3"/>
  <c r="X9" i="3" s="1"/>
  <c r="AM8" i="3" s="1"/>
  <c r="C85" i="3"/>
  <c r="Y9" i="3" s="1"/>
  <c r="AN8" i="3" s="1"/>
  <c r="C86" i="3"/>
  <c r="Z9" i="3" s="1"/>
  <c r="AO8" i="3" s="1"/>
  <c r="C87" i="3"/>
  <c r="AA9" i="3" s="1"/>
  <c r="AP8" i="3" s="1"/>
  <c r="C88" i="3"/>
  <c r="P10" i="3" s="1"/>
  <c r="AE9" i="3" s="1"/>
  <c r="C89" i="3"/>
  <c r="Q10" i="3" s="1"/>
  <c r="AF9" i="3" s="1"/>
  <c r="C90" i="3"/>
  <c r="R10" i="3" s="1"/>
  <c r="AG9" i="3" s="1"/>
  <c r="C91" i="3"/>
  <c r="S10" i="3" s="1"/>
  <c r="AH9" i="3" s="1"/>
  <c r="C92" i="3"/>
  <c r="T10" i="3" s="1"/>
  <c r="AI9" i="3" s="1"/>
  <c r="C93" i="3"/>
  <c r="U10" i="3" s="1"/>
  <c r="AJ9" i="3" s="1"/>
  <c r="C94" i="3"/>
  <c r="V10" i="3" s="1"/>
  <c r="AK9" i="3" s="1"/>
  <c r="C95" i="3"/>
  <c r="W10" i="3" s="1"/>
  <c r="AL9" i="3" s="1"/>
  <c r="C96" i="3"/>
  <c r="X10" i="3" s="1"/>
  <c r="AM9" i="3" s="1"/>
  <c r="C97" i="3"/>
  <c r="Y10" i="3" s="1"/>
  <c r="AN9" i="3" s="1"/>
  <c r="C98" i="3"/>
  <c r="Z10" i="3" s="1"/>
  <c r="AO9" i="3" s="1"/>
  <c r="C99" i="3"/>
  <c r="AA10" i="3" s="1"/>
  <c r="AP9" i="3" s="1"/>
  <c r="C100" i="3"/>
  <c r="P11" i="3" s="1"/>
  <c r="AE10" i="3" s="1"/>
  <c r="C101" i="3"/>
  <c r="Q11" i="3" s="1"/>
  <c r="AF10" i="3" s="1"/>
  <c r="C102" i="3"/>
  <c r="R11" i="3" s="1"/>
  <c r="AG10" i="3" s="1"/>
  <c r="C103" i="3"/>
  <c r="S11" i="3" s="1"/>
  <c r="AH10" i="3" s="1"/>
  <c r="C104" i="3"/>
  <c r="T11" i="3" s="1"/>
  <c r="AI10" i="3" s="1"/>
  <c r="C105" i="3"/>
  <c r="U11" i="3" s="1"/>
  <c r="AJ10" i="3" s="1"/>
  <c r="C106" i="3"/>
  <c r="V11" i="3" s="1"/>
  <c r="AK10" i="3" s="1"/>
  <c r="C107" i="3"/>
  <c r="W11" i="3" s="1"/>
  <c r="AL10" i="3" s="1"/>
  <c r="C108" i="3"/>
  <c r="X11" i="3" s="1"/>
  <c r="AM10" i="3" s="1"/>
  <c r="C109" i="3"/>
  <c r="Y11" i="3" s="1"/>
  <c r="AN10" i="3" s="1"/>
  <c r="C110" i="3"/>
  <c r="Z11" i="3" s="1"/>
  <c r="AO10" i="3" s="1"/>
  <c r="C111" i="3"/>
  <c r="AA11" i="3" s="1"/>
  <c r="AP10" i="3" s="1"/>
  <c r="C112" i="3"/>
  <c r="P12" i="3" s="1"/>
  <c r="AE11" i="3" s="1"/>
  <c r="C113" i="3"/>
  <c r="Q12" i="3" s="1"/>
  <c r="AF11" i="3" s="1"/>
  <c r="C114" i="3"/>
  <c r="R12" i="3" s="1"/>
  <c r="AG11" i="3" s="1"/>
  <c r="C115" i="3"/>
  <c r="S12" i="3" s="1"/>
  <c r="AH11" i="3" s="1"/>
  <c r="C116" i="3"/>
  <c r="T12" i="3" s="1"/>
  <c r="AI11" i="3" s="1"/>
  <c r="C117" i="3"/>
  <c r="U12" i="3" s="1"/>
  <c r="AJ11" i="3" s="1"/>
  <c r="C118" i="3"/>
  <c r="V12" i="3" s="1"/>
  <c r="AK11" i="3" s="1"/>
  <c r="C119" i="3"/>
  <c r="W12" i="3" s="1"/>
  <c r="AL11" i="3" s="1"/>
  <c r="C120" i="3"/>
  <c r="X12" i="3" s="1"/>
  <c r="AM11" i="3" s="1"/>
  <c r="C121" i="3"/>
  <c r="Y12" i="3" s="1"/>
  <c r="AN11" i="3" s="1"/>
  <c r="C122" i="3"/>
  <c r="Z12" i="3" s="1"/>
  <c r="AO11" i="3" s="1"/>
  <c r="C123" i="3"/>
  <c r="AA12" i="3" s="1"/>
  <c r="AP11" i="3" s="1"/>
  <c r="C124" i="3"/>
  <c r="P13" i="3" s="1"/>
  <c r="AE12" i="3" s="1"/>
  <c r="AE52" i="3" s="1"/>
  <c r="C125" i="3"/>
  <c r="C126" i="3"/>
  <c r="R13" i="3" s="1"/>
  <c r="AG12" i="3" s="1"/>
  <c r="AG52" i="3" s="1"/>
  <c r="C127" i="3"/>
  <c r="C128" i="3"/>
  <c r="C129" i="3"/>
  <c r="C130" i="3"/>
  <c r="C131" i="3"/>
  <c r="C134" i="3"/>
  <c r="C135" i="3"/>
  <c r="C136" i="3"/>
  <c r="C137" i="3"/>
  <c r="C138" i="3"/>
  <c r="R14" i="3" s="1"/>
  <c r="AG13" i="3" s="1"/>
  <c r="AG53" i="3" s="1"/>
  <c r="C139" i="3"/>
  <c r="S14" i="3" s="1"/>
  <c r="AH13" i="3" s="1"/>
  <c r="AH53" i="3" s="1"/>
  <c r="C140" i="3"/>
  <c r="T14" i="3" s="1"/>
  <c r="AI13" i="3" s="1"/>
  <c r="AI53" i="3" s="1"/>
  <c r="C141" i="3"/>
  <c r="U14" i="3" s="1"/>
  <c r="AJ13" i="3" s="1"/>
  <c r="AJ53" i="3" s="1"/>
  <c r="C142" i="3"/>
  <c r="V14" i="3" s="1"/>
  <c r="AK13" i="3" s="1"/>
  <c r="AK53" i="3" s="1"/>
  <c r="C143" i="3"/>
  <c r="W14" i="3" s="1"/>
  <c r="AL13" i="3" s="1"/>
  <c r="AL53" i="3" s="1"/>
  <c r="C144" i="3"/>
  <c r="X14" i="3" s="1"/>
  <c r="AM13" i="3" s="1"/>
  <c r="AM53" i="3" s="1"/>
  <c r="C145" i="3"/>
  <c r="Y14" i="3" s="1"/>
  <c r="AN13" i="3" s="1"/>
  <c r="AN53" i="3" s="1"/>
  <c r="C149" i="3"/>
  <c r="Q15" i="3" s="1"/>
  <c r="AF14" i="3" s="1"/>
  <c r="AF54" i="3" s="1"/>
  <c r="C150" i="3"/>
  <c r="R15" i="3" s="1"/>
  <c r="AG14" i="3" s="1"/>
  <c r="AG54" i="3" s="1"/>
  <c r="C151" i="3"/>
  <c r="S15" i="3" s="1"/>
  <c r="AH14" i="3" s="1"/>
  <c r="AH54" i="3" s="1"/>
  <c r="C152" i="3"/>
  <c r="T15" i="3" s="1"/>
  <c r="AI14" i="3" s="1"/>
  <c r="AI54" i="3" s="1"/>
  <c r="C153" i="3"/>
  <c r="U15" i="3" s="1"/>
  <c r="AJ14" i="3" s="1"/>
  <c r="AJ54" i="3" s="1"/>
  <c r="C154" i="3"/>
  <c r="V15" i="3" s="1"/>
  <c r="AK14" i="3" s="1"/>
  <c r="AK54" i="3" s="1"/>
  <c r="C155" i="3"/>
  <c r="W15" i="3" s="1"/>
  <c r="AL14" i="3" s="1"/>
  <c r="AL54" i="3" s="1"/>
  <c r="C156" i="3"/>
  <c r="X15" i="3" s="1"/>
  <c r="AM14" i="3" s="1"/>
  <c r="AM54" i="3" s="1"/>
  <c r="C157" i="3"/>
  <c r="Y15" i="3" s="1"/>
  <c r="AN14" i="3" s="1"/>
  <c r="AN54" i="3" s="1"/>
  <c r="C158" i="3"/>
  <c r="Z15" i="3" s="1"/>
  <c r="AO14" i="3" s="1"/>
  <c r="AO54" i="3" s="1"/>
  <c r="C159" i="3"/>
  <c r="AA15" i="3" s="1"/>
  <c r="AP14" i="3" s="1"/>
  <c r="AP54" i="3" s="1"/>
  <c r="C160" i="3"/>
  <c r="P16" i="3" s="1"/>
  <c r="AE15" i="3" s="1"/>
  <c r="AE55" i="3" s="1"/>
  <c r="C161" i="3"/>
  <c r="Q16" i="3" s="1"/>
  <c r="AF15" i="3" s="1"/>
  <c r="AF55" i="3" s="1"/>
  <c r="C162" i="3"/>
  <c r="R16" i="3" s="1"/>
  <c r="AG15" i="3" s="1"/>
  <c r="AG55" i="3" s="1"/>
  <c r="C163" i="3"/>
  <c r="S16" i="3" s="1"/>
  <c r="AH15" i="3" s="1"/>
  <c r="AH55" i="3" s="1"/>
  <c r="AQ15" i="3" l="1"/>
  <c r="AQ55" i="3" s="1"/>
  <c r="Q5" i="3"/>
  <c r="AF4" i="3" s="1"/>
  <c r="Q13" i="3"/>
  <c r="AF12" i="3" s="1"/>
  <c r="AF52" i="3" s="1"/>
  <c r="Q9" i="3"/>
  <c r="AF8" i="3" s="1"/>
  <c r="AW20" i="3"/>
  <c r="L162" i="3"/>
  <c r="R40" i="3" s="1"/>
  <c r="AG40" i="3" s="1"/>
  <c r="AG61" i="3" s="1"/>
  <c r="L163" i="3"/>
  <c r="L145" i="3"/>
  <c r="Y38" i="3" s="1"/>
  <c r="AN38" i="3" s="1"/>
  <c r="L146" i="3"/>
  <c r="Z38" i="3" s="1"/>
  <c r="AO38" i="3" s="1"/>
  <c r="L147" i="3"/>
  <c r="AA38" i="3" s="1"/>
  <c r="AP38" i="3" s="1"/>
  <c r="L148" i="3"/>
  <c r="P39" i="3" s="1"/>
  <c r="AE39" i="3" s="1"/>
  <c r="L149" i="3"/>
  <c r="Q39" i="3" s="1"/>
  <c r="AF39" i="3" s="1"/>
  <c r="L150" i="3"/>
  <c r="R39" i="3" s="1"/>
  <c r="AG39" i="3" s="1"/>
  <c r="L151" i="3"/>
  <c r="S39" i="3" s="1"/>
  <c r="AH39" i="3" s="1"/>
  <c r="L152" i="3"/>
  <c r="T39" i="3" s="1"/>
  <c r="AI39" i="3" s="1"/>
  <c r="L153" i="3"/>
  <c r="U39" i="3" s="1"/>
  <c r="AJ39" i="3" s="1"/>
  <c r="L154" i="3"/>
  <c r="V39" i="3" s="1"/>
  <c r="AK39" i="3" s="1"/>
  <c r="L155" i="3"/>
  <c r="W39" i="3" s="1"/>
  <c r="AL39" i="3" s="1"/>
  <c r="L156" i="3"/>
  <c r="X39" i="3" s="1"/>
  <c r="AM39" i="3" s="1"/>
  <c r="L157" i="3"/>
  <c r="Y39" i="3" s="1"/>
  <c r="AN39" i="3" s="1"/>
  <c r="L158" i="3"/>
  <c r="Z39" i="3" s="1"/>
  <c r="AO39" i="3" s="1"/>
  <c r="L159" i="3"/>
  <c r="AA39" i="3" s="1"/>
  <c r="AP39" i="3" s="1"/>
  <c r="L160" i="3"/>
  <c r="L161" i="3"/>
  <c r="Q40" i="3" s="1"/>
  <c r="AF40" i="3" s="1"/>
  <c r="AF61" i="3" s="1"/>
  <c r="H163" i="3"/>
  <c r="I164" i="3" s="1"/>
  <c r="T28" i="3" s="1"/>
  <c r="AI29" i="3" s="1"/>
  <c r="AI62" i="3" s="1"/>
  <c r="D161" i="3"/>
  <c r="D162" i="3"/>
  <c r="D163" i="3"/>
  <c r="P40" i="3" l="1"/>
  <c r="AE40" i="3" s="1"/>
  <c r="S40" i="3"/>
  <c r="AH40" i="3" s="1"/>
  <c r="AH61" i="3" s="1"/>
  <c r="H162" i="3"/>
  <c r="AE61" i="3" l="1"/>
  <c r="AQ40" i="3"/>
  <c r="I163" i="3"/>
  <c r="S28" i="3" s="1"/>
  <c r="AH29" i="3" s="1"/>
  <c r="AH62" i="3" s="1"/>
  <c r="H161" i="3"/>
  <c r="I162" i="3" s="1"/>
  <c r="R28" i="3" s="1"/>
  <c r="AG29" i="3" s="1"/>
  <c r="AG62" i="3" s="1"/>
  <c r="AQ61" i="3" l="1"/>
  <c r="H160" i="3"/>
  <c r="D160" i="3"/>
  <c r="I161" i="3" l="1"/>
  <c r="Q28" i="3" s="1"/>
  <c r="AF29" i="3" s="1"/>
  <c r="AF62" i="3" s="1"/>
  <c r="D159" i="3"/>
  <c r="H159" i="3"/>
  <c r="I160" i="3" l="1"/>
  <c r="H148" i="3"/>
  <c r="H149" i="3"/>
  <c r="H150" i="3"/>
  <c r="H151" i="3"/>
  <c r="H152" i="3"/>
  <c r="H153" i="3"/>
  <c r="H154" i="3"/>
  <c r="H155" i="3"/>
  <c r="H156" i="3"/>
  <c r="H157" i="3"/>
  <c r="H158" i="3"/>
  <c r="H147" i="3"/>
  <c r="AQ28" i="3" s="1"/>
  <c r="I158" i="3" l="1"/>
  <c r="Z27" i="3" s="1"/>
  <c r="AO28" i="3" s="1"/>
  <c r="I154" i="3"/>
  <c r="V27" i="3" s="1"/>
  <c r="AK28" i="3" s="1"/>
  <c r="I150" i="3"/>
  <c r="R27" i="3" s="1"/>
  <c r="AG28" i="3" s="1"/>
  <c r="P28" i="3"/>
  <c r="AE29" i="3" s="1"/>
  <c r="AQ29" i="3" s="1"/>
  <c r="I156" i="3"/>
  <c r="X27" i="3" s="1"/>
  <c r="AM28" i="3" s="1"/>
  <c r="I152" i="3"/>
  <c r="T27" i="3" s="1"/>
  <c r="AI28" i="3" s="1"/>
  <c r="I157" i="3"/>
  <c r="Y27" i="3" s="1"/>
  <c r="AN28" i="3" s="1"/>
  <c r="I153" i="3"/>
  <c r="U27" i="3" s="1"/>
  <c r="AJ28" i="3" s="1"/>
  <c r="I149" i="3"/>
  <c r="Q27" i="3" s="1"/>
  <c r="AF28" i="3" s="1"/>
  <c r="I159" i="3"/>
  <c r="AA27" i="3" s="1"/>
  <c r="AP28" i="3" s="1"/>
  <c r="I148" i="3"/>
  <c r="P27" i="3" s="1"/>
  <c r="AE28" i="3" s="1"/>
  <c r="I155" i="3"/>
  <c r="W27" i="3" s="1"/>
  <c r="AL28" i="3" s="1"/>
  <c r="I151" i="3"/>
  <c r="S27" i="3" s="1"/>
  <c r="AH28" i="3" s="1"/>
  <c r="H140" i="3"/>
  <c r="H141" i="3"/>
  <c r="H142" i="3"/>
  <c r="H143" i="3"/>
  <c r="H144" i="3"/>
  <c r="H145" i="3"/>
  <c r="H146" i="3"/>
  <c r="I147" i="3" s="1"/>
  <c r="AA26" i="3" s="1"/>
  <c r="AP27" i="3" s="1"/>
  <c r="H139" i="3"/>
  <c r="AQ27" i="3" s="1"/>
  <c r="AE62" i="3" l="1"/>
  <c r="AQ62" i="3"/>
  <c r="I145" i="3"/>
  <c r="Y26" i="3" s="1"/>
  <c r="AN27" i="3" s="1"/>
  <c r="I146" i="3"/>
  <c r="Z26" i="3" s="1"/>
  <c r="AO27" i="3" s="1"/>
  <c r="Q145" i="3"/>
  <c r="D158" i="3" l="1"/>
  <c r="D157" i="3"/>
  <c r="D156" i="3"/>
  <c r="D155" i="3"/>
  <c r="D154" i="3"/>
  <c r="D153" i="3"/>
  <c r="D152" i="3"/>
  <c r="D151" i="3"/>
  <c r="D150" i="3"/>
  <c r="D149" i="3"/>
  <c r="D148" i="3"/>
  <c r="B147" i="3"/>
  <c r="B146" i="3"/>
  <c r="D145" i="3"/>
  <c r="D144" i="3"/>
  <c r="F143" i="3"/>
  <c r="D143" i="3"/>
  <c r="F142" i="3"/>
  <c r="D142" i="3"/>
  <c r="F141" i="3"/>
  <c r="D141" i="3"/>
  <c r="F140" i="3"/>
  <c r="D140" i="3"/>
  <c r="F139" i="3"/>
  <c r="D139" i="3"/>
  <c r="F138" i="3"/>
  <c r="BB20" i="3" s="1"/>
  <c r="D138" i="3"/>
  <c r="F137" i="3"/>
  <c r="D137" i="3"/>
  <c r="F136" i="3"/>
  <c r="D136" i="3"/>
  <c r="F135" i="3"/>
  <c r="D135" i="3"/>
  <c r="F134" i="3"/>
  <c r="D134" i="3"/>
  <c r="F133" i="3"/>
  <c r="D133" i="3"/>
  <c r="D132" i="3"/>
  <c r="A132" i="3"/>
  <c r="F131" i="3"/>
  <c r="D131" i="3"/>
  <c r="F130" i="3"/>
  <c r="D130" i="3"/>
  <c r="F129" i="3"/>
  <c r="D129" i="3"/>
  <c r="F128" i="3"/>
  <c r="D128" i="3"/>
  <c r="D127" i="3"/>
  <c r="D126" i="3"/>
  <c r="D125" i="3"/>
  <c r="D124" i="3"/>
  <c r="D123" i="3"/>
  <c r="D122" i="3"/>
  <c r="D121" i="3"/>
  <c r="D120" i="3"/>
  <c r="D119" i="3"/>
  <c r="D118" i="3"/>
  <c r="D117" i="3"/>
  <c r="D116" i="3"/>
  <c r="D115" i="3"/>
  <c r="D114" i="3"/>
  <c r="D113" i="3"/>
  <c r="D112" i="3"/>
  <c r="D111" i="3"/>
  <c r="D110" i="3"/>
  <c r="D109" i="3"/>
  <c r="D108" i="3"/>
  <c r="D107" i="3"/>
  <c r="D106" i="3"/>
  <c r="D105" i="3"/>
  <c r="D104" i="3"/>
  <c r="D103" i="3"/>
  <c r="D102" i="3"/>
  <c r="D101" i="3"/>
  <c r="D100" i="3"/>
  <c r="D99" i="3"/>
  <c r="D98" i="3"/>
  <c r="D97" i="3"/>
  <c r="D96" i="3"/>
  <c r="D95" i="3"/>
  <c r="D94" i="3"/>
  <c r="D93" i="3"/>
  <c r="D92" i="3"/>
  <c r="D91" i="3"/>
  <c r="D90" i="3"/>
  <c r="D89" i="3"/>
  <c r="D88" i="3"/>
  <c r="D87" i="3"/>
  <c r="D86" i="3"/>
  <c r="D85" i="3"/>
  <c r="D84" i="3"/>
  <c r="D83" i="3"/>
  <c r="D82" i="3"/>
  <c r="D81" i="3"/>
  <c r="D80" i="3"/>
  <c r="D79" i="3"/>
  <c r="D78" i="3"/>
  <c r="D77" i="3"/>
  <c r="D76" i="3"/>
  <c r="D75" i="3"/>
  <c r="D74" i="3"/>
  <c r="D73" i="3"/>
  <c r="D72" i="3"/>
  <c r="D71" i="3"/>
  <c r="D70" i="3"/>
  <c r="D69" i="3"/>
  <c r="D68" i="3"/>
  <c r="D67" i="3"/>
  <c r="D66" i="3"/>
  <c r="D65" i="3"/>
  <c r="D64" i="3"/>
  <c r="D63" i="3"/>
  <c r="D62" i="3"/>
  <c r="D61" i="3"/>
  <c r="D60" i="3"/>
  <c r="D59" i="3"/>
  <c r="D58" i="3"/>
  <c r="D57" i="3"/>
  <c r="D56" i="3"/>
  <c r="D55" i="3"/>
  <c r="D54" i="3"/>
  <c r="D53" i="3"/>
  <c r="D52" i="3"/>
  <c r="D51" i="3"/>
  <c r="D50" i="3"/>
  <c r="D49" i="3"/>
  <c r="D48" i="3"/>
  <c r="D47" i="3"/>
  <c r="D46" i="3"/>
  <c r="D45" i="3"/>
  <c r="D44" i="3"/>
  <c r="D43" i="3"/>
  <c r="D42" i="3"/>
  <c r="D41" i="3"/>
  <c r="D40" i="3"/>
  <c r="D39" i="3"/>
  <c r="D38" i="3"/>
  <c r="D37" i="3"/>
  <c r="D36" i="3"/>
  <c r="D35" i="3"/>
  <c r="D34" i="3"/>
  <c r="D33" i="3"/>
  <c r="D32" i="3"/>
  <c r="D31" i="3"/>
  <c r="D30" i="3"/>
  <c r="D29" i="3"/>
  <c r="D28" i="3"/>
  <c r="D27" i="3"/>
  <c r="D26" i="3"/>
  <c r="D25" i="3"/>
  <c r="D24" i="3"/>
  <c r="D23" i="3"/>
  <c r="AW21" i="3"/>
  <c r="D22" i="3"/>
  <c r="D21" i="3"/>
  <c r="D20" i="3"/>
  <c r="BA19" i="3"/>
  <c r="AZ19" i="3"/>
  <c r="AZ21" i="3" s="1"/>
  <c r="AY19" i="3"/>
  <c r="AY21" i="3" s="1"/>
  <c r="AX19" i="3"/>
  <c r="D19" i="3"/>
  <c r="D18" i="3"/>
  <c r="D17" i="3"/>
  <c r="D16" i="3"/>
  <c r="D15" i="3"/>
  <c r="D14" i="3"/>
  <c r="D13" i="3"/>
  <c r="D12" i="3"/>
  <c r="D11" i="3"/>
  <c r="D10" i="3"/>
  <c r="D9" i="3"/>
  <c r="D8" i="3"/>
  <c r="D7" i="3"/>
  <c r="D6" i="3"/>
  <c r="D5" i="3"/>
  <c r="D4" i="3"/>
  <c r="N3" i="3"/>
  <c r="D3" i="3"/>
  <c r="D146" i="3" l="1"/>
  <c r="C146" i="3"/>
  <c r="Z14" i="3" s="1"/>
  <c r="AO13" i="3" s="1"/>
  <c r="AO53" i="3" s="1"/>
  <c r="L140" i="3"/>
  <c r="I140" i="3"/>
  <c r="BB21" i="3"/>
  <c r="L142" i="3"/>
  <c r="V38" i="3" s="1"/>
  <c r="AK38" i="3" s="1"/>
  <c r="I142" i="3"/>
  <c r="V26" i="3" s="1"/>
  <c r="AK27" i="3" s="1"/>
  <c r="F132" i="3"/>
  <c r="V13" i="3"/>
  <c r="AK12" i="3" s="1"/>
  <c r="AK52" i="3" s="1"/>
  <c r="Z13" i="3"/>
  <c r="AO12" i="3" s="1"/>
  <c r="AO52" i="3" s="1"/>
  <c r="T13" i="3"/>
  <c r="AI12" i="3" s="1"/>
  <c r="AI52" i="3" s="1"/>
  <c r="Q14" i="3"/>
  <c r="AF13" i="3" s="1"/>
  <c r="AF53" i="3" s="1"/>
  <c r="S13" i="3"/>
  <c r="AH12" i="3" s="1"/>
  <c r="AH52" i="3" s="1"/>
  <c r="W13" i="3"/>
  <c r="AL12" i="3" s="1"/>
  <c r="AL52" i="3" s="1"/>
  <c r="AA13" i="3"/>
  <c r="AP12" i="3" s="1"/>
  <c r="AP52" i="3" s="1"/>
  <c r="P14" i="3"/>
  <c r="AE13" i="3" s="1"/>
  <c r="AE53" i="3" s="1"/>
  <c r="C132" i="3"/>
  <c r="X13" i="3" s="1"/>
  <c r="AM12" i="3" s="1"/>
  <c r="AM52" i="3" s="1"/>
  <c r="C133" i="3"/>
  <c r="Y13" i="3" s="1"/>
  <c r="AN12" i="3" s="1"/>
  <c r="AN52" i="3" s="1"/>
  <c r="U13" i="3"/>
  <c r="AJ12" i="3" s="1"/>
  <c r="AJ52" i="3" s="1"/>
  <c r="L141" i="3"/>
  <c r="U38" i="3" s="1"/>
  <c r="AJ38" i="3" s="1"/>
  <c r="I141" i="3"/>
  <c r="U26" i="3" s="1"/>
  <c r="AJ27" i="3" s="1"/>
  <c r="L143" i="3"/>
  <c r="W38" i="3" s="1"/>
  <c r="AL38" i="3" s="1"/>
  <c r="L144" i="3"/>
  <c r="X38" i="3" s="1"/>
  <c r="AM38" i="3" s="1"/>
  <c r="I144" i="3"/>
  <c r="X26" i="3" s="1"/>
  <c r="AM27" i="3" s="1"/>
  <c r="I143" i="3"/>
  <c r="W26" i="3" s="1"/>
  <c r="AL27" i="3" s="1"/>
  <c r="D147" i="3"/>
  <c r="C147" i="3"/>
  <c r="AA14" i="3" s="1"/>
  <c r="AP13" i="3" s="1"/>
  <c r="AP53" i="3" s="1"/>
  <c r="AQ14" i="3"/>
  <c r="AQ54" i="3" s="1"/>
  <c r="AQ13" i="3"/>
  <c r="AQ53" i="3" s="1"/>
  <c r="C148" i="3"/>
  <c r="P15" i="3" s="1"/>
  <c r="AE14" i="3" s="1"/>
  <c r="AE54" i="3" s="1"/>
  <c r="AZ28" i="3"/>
  <c r="V3" i="2" s="1"/>
  <c r="AY28" i="3"/>
  <c r="U3" i="2" s="1"/>
  <c r="AQ59" i="3"/>
  <c r="AQ58" i="3"/>
  <c r="AQ60" i="3"/>
  <c r="BA21" i="3"/>
  <c r="BA28" i="3" s="1"/>
  <c r="W3" i="2" s="1"/>
  <c r="AX20" i="3"/>
  <c r="AX21" i="3"/>
  <c r="AX28" i="3" s="1"/>
  <c r="T3" i="2" s="1"/>
  <c r="AY20" i="3"/>
  <c r="AY27" i="3" s="1"/>
  <c r="U2" i="2" s="1"/>
  <c r="AZ20" i="3"/>
  <c r="AZ27" i="3" s="1"/>
  <c r="V2" i="2" s="1"/>
  <c r="BA20" i="3"/>
  <c r="BA27" i="3" s="1"/>
  <c r="W2" i="2" s="1"/>
  <c r="AX27" i="3" l="1"/>
  <c r="T2" i="2" s="1"/>
  <c r="T26" i="3"/>
  <c r="AI27" i="3" s="1"/>
  <c r="J140" i="3"/>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T38" i="3"/>
  <c r="AI38" i="3" s="1"/>
  <c r="M140" i="3"/>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AQ57" i="3"/>
</calcChain>
</file>

<file path=xl/sharedStrings.xml><?xml version="1.0" encoding="utf-8"?>
<sst xmlns="http://schemas.openxmlformats.org/spreadsheetml/2006/main" count="215" uniqueCount="64">
  <si>
    <t>IPC del mes de Enero fue 1,10% que fue muy por sobre las expectativas del mercado, el tipo de cambio durante el mes de Enero fue desde 996,46 a 988,10, tuvo una baja de 8 pesos, durante este mes, el precio del cobre subió un 2,50%. este mes la inflación fue muy alta por sobre los parámetros históricos de este mes, eso no está ayudando al Banco Central con el manejo de la inflación, lo que si es positivo para la inflación es la leve baja en el tipo de cambio y el alza en el precio del cobre. El Banco Central tiene que seguir manteniendo su tasa de política económica, ya que la inflación en 12 meses sigue por sobre el 4,0%</t>
  </si>
  <si>
    <t>CLICP Index</t>
  </si>
  <si>
    <t>Cuota USD Money Market</t>
  </si>
  <si>
    <t>ICP</t>
  </si>
  <si>
    <t>Ene</t>
  </si>
  <si>
    <t>Feb</t>
  </si>
  <si>
    <t>Mar</t>
  </si>
  <si>
    <t>Abr</t>
  </si>
  <si>
    <t>May</t>
  </si>
  <si>
    <t>Jun</t>
  </si>
  <si>
    <t>Jul</t>
  </si>
  <si>
    <t>Ago</t>
  </si>
  <si>
    <t>Sep</t>
  </si>
  <si>
    <t>Oct</t>
  </si>
  <si>
    <t>Nov</t>
  </si>
  <si>
    <t>Dic</t>
  </si>
  <si>
    <t>Total Año</t>
  </si>
  <si>
    <t>Fecha</t>
  </si>
  <si>
    <t>ICP Norm.</t>
  </si>
  <si>
    <t>Fondo USD Money Market</t>
  </si>
  <si>
    <t xml:space="preserve"> 8248-1</t>
  </si>
  <si>
    <t>Competencia Relevante (*)</t>
  </si>
  <si>
    <t>Corporate Dollar Serie A Banchile</t>
  </si>
  <si>
    <t>(*)</t>
  </si>
  <si>
    <t>Ingresar mes actual==&gt;</t>
  </si>
  <si>
    <t>Competencia</t>
  </si>
  <si>
    <t>USD Money Market</t>
  </si>
  <si>
    <t>(*) Acum a Mar</t>
  </si>
  <si>
    <t>FONDO USD MONEY MARKET</t>
  </si>
  <si>
    <t>Rentabilidad</t>
  </si>
  <si>
    <t>Mensual</t>
  </si>
  <si>
    <t>Trimestral</t>
  </si>
  <si>
    <t>Semestral</t>
  </si>
  <si>
    <t>Anual</t>
  </si>
  <si>
    <t>Acum. 2025</t>
  </si>
  <si>
    <t>Año</t>
  </si>
  <si>
    <t>Fondo</t>
  </si>
  <si>
    <t>DIVIDENDO 2016</t>
  </si>
  <si>
    <t>Dividendo 2017</t>
  </si>
  <si>
    <t>Dividendo 2020</t>
  </si>
  <si>
    <t>Dividendo 2021</t>
  </si>
  <si>
    <t>Dividendo 2022</t>
  </si>
  <si>
    <t>Acum
2025 (*)</t>
  </si>
  <si>
    <t>Total
Año</t>
  </si>
  <si>
    <t>Duración</t>
  </si>
  <si>
    <t>Instrumentos</t>
  </si>
  <si>
    <t>Moneda</t>
  </si>
  <si>
    <t>Bono</t>
  </si>
  <si>
    <t>Menos de 1 mes</t>
  </si>
  <si>
    <t>Depósitos</t>
  </si>
  <si>
    <t>USD</t>
  </si>
  <si>
    <t>1-3 meses</t>
  </si>
  <si>
    <t>Factoring</t>
  </si>
  <si>
    <t>3-4 meses</t>
  </si>
  <si>
    <t>Financiamiento Inmobiliario</t>
  </si>
  <si>
    <t>Más de 4 meses</t>
  </si>
  <si>
    <t>Financiamiento Mesa Moneda Extranjera</t>
  </si>
  <si>
    <t>Garantías</t>
  </si>
  <si>
    <t>Nota Estructurada</t>
  </si>
  <si>
    <t>Financiamiento Mesa Renta Fija</t>
  </si>
  <si>
    <t>Simultánea</t>
  </si>
  <si>
    <t>Efectos de Comercio</t>
  </si>
  <si>
    <t>Pagaré</t>
  </si>
  <si>
    <t>Facturas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</si>
</sst>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_ ;_ * \-#,##0_ ;_ * &quot;-&quot;_ ;_ @_ "/>
    <numFmt numFmtId="165" formatCode="#,##0.0000"/>
    <numFmt numFmtId="166" formatCode="0.0000"/>
    <numFmt numFmtId="167" formatCode="#,##0.00_ ;[Red]\-#,##0.00\ "/>
    <numFmt numFmtId="168" formatCode="dd\-mm\-yyyy"/>
    <numFmt numFmtId="169" formatCode="_ * #,##0.00_ ;_ * \-#,##0.00_ ;_ * &quot;-&quot;_ ;_ @_ "/>
    <numFmt numFmtId="170" formatCode="_ * #,##0.0000_ ;_ * \-#,##0.0000_ ;_ * &quot;-&quot;_ ;_ @_ "/>
  </numFmts>
  <fonts count="27">
    <font>
      <sz val="11"/>
      <color theme="1"/>
      <name val="Calibri"/>
      <family val="2"/>
      <scheme val="minor"/>
    </font>
    <font>
      <sz val="11"/>
      <name val="Calibri"/>
      <family val="2"/>
      <scheme val="minor"/>
    </font>
    <font>
      <b/>
      <sz val="11"/>
      <name val="Acumin Pro Extra Light"/>
      <family val="2"/>
    </font>
    <font>
      <sz val="11"/>
      <name val="Acumin Pro Extra Light"/>
      <family val="2"/>
    </font>
    <font>
      <u/>
      <sz val="11"/>
      <color theme="1"/>
      <name val="Calibri"/>
      <family val="2"/>
      <scheme val="minor"/>
    </font>
    <font>
      <sz val="11"/>
      <color theme="1"/>
      <name val="Calibri"/>
      <family val="2"/>
      <scheme val="minor"/>
    </font>
    <font>
      <sz val="11"/>
      <name val="Aileron Light"/>
      <family val="3"/>
    </font>
    <font>
      <sz val="11"/>
      <color theme="1"/>
      <name val="Aileron Light"/>
      <family val="3"/>
    </font>
    <font>
      <sz val="12"/>
      <color theme="1"/>
      <name val="Calibri"/>
      <family val="2"/>
      <scheme val="minor"/>
    </font>
    <font>
      <b/>
      <sz val="11"/>
      <color rgb="FF000000"/>
      <name val="Aileron Light"/>
      <family val="3"/>
    </font>
    <font>
      <b/>
      <sz val="8"/>
      <color rgb="FF000000"/>
      <name val="Aileron Light"/>
      <family val="3"/>
    </font>
    <font>
      <sz val="7"/>
      <color rgb="FF000000"/>
      <name val="Aileron Light"/>
      <family val="3"/>
    </font>
    <font>
      <b/>
      <sz val="7"/>
      <color rgb="FF000000"/>
      <name val="Aileron Light"/>
      <family val="3"/>
    </font>
    <font>
      <b/>
      <sz val="8"/>
      <color theme="1"/>
      <name val="Aileron Light"/>
      <family val="3"/>
    </font>
    <font>
      <b/>
      <sz val="9"/>
      <color rgb="FF000000"/>
      <name val="Aileron Light"/>
      <family val="3"/>
    </font>
    <font>
      <sz val="9"/>
      <color rgb="FF000000"/>
      <name val="Aileron Light"/>
      <family val="3"/>
    </font>
    <font>
      <sz val="6"/>
      <color rgb="FF000000"/>
      <name val="Aileron Light"/>
      <family val="3"/>
    </font>
    <font>
      <b/>
      <sz val="10"/>
      <color theme="1"/>
      <name val="Aileron Light"/>
      <family val="3"/>
    </font>
    <font>
      <b/>
      <sz val="10"/>
      <color rgb="FF000000"/>
      <name val="Aileron Light"/>
      <family val="3"/>
    </font>
    <font>
      <sz val="10"/>
      <color rgb="FF000000"/>
      <name val="Aileron Light"/>
      <family val="3"/>
    </font>
    <font>
      <sz val="8"/>
      <color rgb="FF000000"/>
      <name val="Aileron Light"/>
      <family val="3"/>
    </font>
    <font>
      <sz val="8"/>
      <color theme="1"/>
      <name val="Aileron Light"/>
      <family val="3"/>
    </font>
    <font>
      <sz val="10"/>
      <color theme="1"/>
      <name val="Aileron Light"/>
      <family val="3"/>
    </font>
    <font>
      <sz val="10"/>
      <color theme="1"/>
      <name val="Be Vietnam Pro Light"/>
    </font>
    <font>
      <sz val="9"/>
      <color theme="1"/>
      <name val="Be Vietnam Pro Light"/>
    </font>
    <font>
      <sz val="10"/>
      <color theme="1"/>
      <name val="Be Vietnam Pro Medium"/>
    </font>
    <font>
      <sz val="10"/>
      <color theme="0"/>
      <name val="Be Vietnam Pro Light"/>
    </font>
  </fonts>
  <fills count="12">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4.9989318521683403E-2"/>
        <bgColor rgb="FF000000"/>
      </patternFill>
    </fill>
    <fill>
      <patternFill patternType="solid">
        <fgColor theme="0"/>
        <bgColor rgb="FF000000"/>
      </patternFill>
    </fill>
    <fill>
      <patternFill patternType="solid">
        <fgColor theme="0" tint="-0.249977111117893"/>
        <bgColor rgb="FF000000"/>
      </patternFill>
    </fill>
    <fill>
      <patternFill patternType="solid">
        <fgColor rgb="FFFFFF00"/>
        <bgColor indexed="64"/>
      </patternFill>
    </fill>
    <fill>
      <patternFill patternType="solid">
        <fgColor theme="1"/>
        <bgColor indexed="64"/>
      </patternFill>
    </fill>
  </fills>
  <borders count="2">
    <border>
      <left/>
      <right/>
      <top/>
      <bottom/>
      <diagonal/>
    </border>
    <border>
      <left style="thin">
        <color indexed="64"/>
      </left>
      <right/>
      <top/>
      <bottom/>
      <diagonal/>
    </border>
  </borders>
  <cellStyleXfs count="8">
    <xf numFmtId="0" fontId="0" fillId="0" borderId="0"/>
    <xf numFmtId="0" fontId="8" fillId="0" borderId="0"/>
    <xf numFmtId="0" fontId="5" fillId="0" borderId="0"/>
    <xf numFmtId="9" fontId="5" fillId="0" borderId="0" applyFont="0" applyFill="0" applyBorder="0" applyAlignment="0" applyProtection="0"/>
    <xf numFmtId="9" fontId="8" fillId="0" borderId="0" applyFont="0" applyFill="0" applyBorder="0" applyAlignment="0" applyProtection="0"/>
    <xf numFmtId="164" fontId="8" fillId="0" borderId="0" applyFont="0" applyFill="0" applyBorder="0" applyAlignment="0" applyProtection="0"/>
    <xf numFmtId="164" fontId="5" fillId="0" borderId="0" applyFont="0" applyFill="0" applyBorder="0" applyAlignment="0" applyProtection="0"/>
    <xf numFmtId="9" fontId="5" fillId="0" borderId="0" applyFont="0" applyFill="0" applyBorder="0" applyAlignment="0" applyProtection="0"/>
  </cellStyleXfs>
  <cellXfs count="94">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horizontal="center"/>
    </xf>
    <xf numFmtId="10" fontId="3" fillId="0" borderId="0" xfId="0" applyNumberFormat="1" applyFont="1"/>
    <xf numFmtId="0" fontId="4" fillId="0" borderId="0" xfId="0" applyFont="1"/>
    <xf numFmtId="0" fontId="0" fillId="0" borderId="0" xfId="0" applyAlignment="1">
      <alignment horizontal="left"/>
    </xf>
    <xf numFmtId="0" fontId="6" fillId="0" borderId="0" xfId="0" applyFont="1"/>
    <xf numFmtId="10" fontId="6" fillId="0" borderId="0" xfId="0" applyNumberFormat="1" applyFont="1"/>
    <xf numFmtId="0" fontId="7" fillId="0" borderId="0" xfId="0" applyFont="1"/>
    <xf numFmtId="0" fontId="7" fillId="0" borderId="0" xfId="1" applyFont="1"/>
    <xf numFmtId="165" fontId="7" fillId="0" borderId="0" xfId="1" applyNumberFormat="1" applyFont="1"/>
    <xf numFmtId="166" fontId="7" fillId="0" borderId="0" xfId="1" applyNumberFormat="1" applyFont="1"/>
    <xf numFmtId="0" fontId="7" fillId="4" borderId="0" xfId="1" applyFont="1" applyFill="1"/>
    <xf numFmtId="0" fontId="9" fillId="5" borderId="0" xfId="1" applyFont="1" applyFill="1"/>
    <xf numFmtId="0" fontId="10" fillId="5" borderId="0" xfId="1" applyFont="1" applyFill="1" applyAlignment="1">
      <alignment horizontal="center"/>
    </xf>
    <xf numFmtId="0" fontId="7" fillId="6" borderId="0" xfId="1" applyFont="1" applyFill="1"/>
    <xf numFmtId="0" fontId="7" fillId="0" borderId="0" xfId="1" applyFont="1" applyAlignment="1">
      <alignment horizontal="center"/>
    </xf>
    <xf numFmtId="165" fontId="7" fillId="0" borderId="0" xfId="1" applyNumberFormat="1" applyFont="1" applyAlignment="1">
      <alignment horizontal="center"/>
    </xf>
    <xf numFmtId="0" fontId="7" fillId="0" borderId="1" xfId="2" applyFont="1" applyBorder="1"/>
    <xf numFmtId="10" fontId="7" fillId="0" borderId="0" xfId="3" applyNumberFormat="1" applyFont="1"/>
    <xf numFmtId="0" fontId="10" fillId="4" borderId="0" xfId="1" applyFont="1" applyFill="1" applyAlignment="1">
      <alignment horizontal="center"/>
    </xf>
    <xf numFmtId="10" fontId="11" fillId="4" borderId="0" xfId="4" applyNumberFormat="1" applyFont="1" applyFill="1" applyBorder="1" applyAlignment="1">
      <alignment horizontal="center"/>
    </xf>
    <xf numFmtId="10" fontId="12" fillId="4" borderId="0" xfId="4" applyNumberFormat="1" applyFont="1" applyFill="1" applyBorder="1" applyAlignment="1">
      <alignment horizontal="center"/>
    </xf>
    <xf numFmtId="14" fontId="7" fillId="0" borderId="0" xfId="1" applyNumberFormat="1" applyFont="1"/>
    <xf numFmtId="4" fontId="7" fillId="0" borderId="0" xfId="1" applyNumberFormat="1" applyFont="1"/>
    <xf numFmtId="2" fontId="7" fillId="0" borderId="0" xfId="1" applyNumberFormat="1" applyFont="1"/>
    <xf numFmtId="167" fontId="7" fillId="0" borderId="0" xfId="1" applyNumberFormat="1" applyFont="1"/>
    <xf numFmtId="0" fontId="10" fillId="6" borderId="0" xfId="1" applyFont="1" applyFill="1" applyAlignment="1">
      <alignment horizontal="center"/>
    </xf>
    <xf numFmtId="10" fontId="11" fillId="6" borderId="0" xfId="4" applyNumberFormat="1" applyFont="1" applyFill="1" applyBorder="1" applyAlignment="1">
      <alignment horizontal="center"/>
    </xf>
    <xf numFmtId="10" fontId="12" fillId="6" borderId="0" xfId="4" applyNumberFormat="1" applyFont="1" applyFill="1" applyBorder="1" applyAlignment="1">
      <alignment horizontal="center"/>
    </xf>
    <xf numFmtId="168" fontId="7" fillId="0" borderId="0" xfId="1" applyNumberFormat="1" applyFont="1"/>
    <xf numFmtId="10" fontId="7" fillId="0" borderId="0" xfId="4" applyNumberFormat="1" applyFont="1" applyFill="1" applyBorder="1"/>
    <xf numFmtId="0" fontId="11" fillId="6" borderId="0" xfId="1" applyFont="1" applyFill="1" applyAlignment="1">
      <alignment horizontal="left"/>
    </xf>
    <xf numFmtId="10" fontId="11" fillId="0" borderId="0" xfId="4" applyNumberFormat="1" applyFont="1" applyFill="1" applyBorder="1" applyAlignment="1">
      <alignment horizontal="center"/>
    </xf>
    <xf numFmtId="0" fontId="7" fillId="2" borderId="0" xfId="1" applyFont="1" applyFill="1"/>
    <xf numFmtId="0" fontId="9" fillId="5" borderId="0" xfId="1" applyFont="1" applyFill="1" applyAlignment="1">
      <alignment horizontal="right"/>
    </xf>
    <xf numFmtId="0" fontId="7" fillId="2" borderId="0" xfId="1" applyFont="1" applyFill="1" applyAlignment="1">
      <alignment horizontal="right"/>
    </xf>
    <xf numFmtId="14" fontId="7" fillId="2" borderId="0" xfId="1" applyNumberFormat="1" applyFont="1" applyFill="1"/>
    <xf numFmtId="0" fontId="7" fillId="0" borderId="0" xfId="1" applyFont="1" applyAlignment="1">
      <alignment horizontal="right"/>
    </xf>
    <xf numFmtId="4" fontId="7" fillId="2" borderId="0" xfId="1" applyNumberFormat="1" applyFont="1" applyFill="1"/>
    <xf numFmtId="0" fontId="7" fillId="3" borderId="0" xfId="1" applyFont="1" applyFill="1"/>
    <xf numFmtId="0" fontId="13" fillId="7" borderId="0" xfId="1" applyFont="1" applyFill="1" applyAlignment="1">
      <alignment horizontal="center"/>
    </xf>
    <xf numFmtId="0" fontId="14" fillId="8" borderId="0" xfId="1" applyFont="1" applyFill="1" applyAlignment="1">
      <alignment horizontal="center"/>
    </xf>
    <xf numFmtId="0" fontId="14" fillId="7" borderId="0" xfId="1" applyFont="1" applyFill="1" applyAlignment="1">
      <alignment horizontal="center"/>
    </xf>
    <xf numFmtId="0" fontId="10" fillId="0" borderId="0" xfId="1" applyFont="1" applyAlignment="1">
      <alignment horizontal="center"/>
    </xf>
    <xf numFmtId="10" fontId="15" fillId="8" borderId="0" xfId="4" applyNumberFormat="1" applyFont="1" applyFill="1" applyBorder="1" applyAlignment="1">
      <alignment horizontal="center"/>
    </xf>
    <xf numFmtId="10" fontId="15" fillId="7" borderId="0" xfId="4" applyNumberFormat="1" applyFont="1" applyFill="1" applyBorder="1" applyAlignment="1">
      <alignment horizontal="center"/>
    </xf>
    <xf numFmtId="0" fontId="7" fillId="7" borderId="0" xfId="1" applyFont="1" applyFill="1"/>
    <xf numFmtId="0" fontId="16" fillId="6" borderId="0" xfId="1" applyFont="1" applyFill="1" applyAlignment="1">
      <alignment horizontal="left"/>
    </xf>
    <xf numFmtId="0" fontId="17" fillId="9" borderId="0" xfId="1" applyFont="1" applyFill="1" applyAlignment="1">
      <alignment horizontal="center"/>
    </xf>
    <xf numFmtId="0" fontId="18" fillId="5" borderId="0" xfId="1" applyFont="1" applyFill="1" applyAlignment="1">
      <alignment horizontal="center"/>
    </xf>
    <xf numFmtId="10" fontId="18" fillId="8" borderId="0" xfId="4" applyNumberFormat="1" applyFont="1" applyFill="1" applyBorder="1" applyAlignment="1">
      <alignment horizontal="center"/>
    </xf>
    <xf numFmtId="0" fontId="18" fillId="8" borderId="0" xfId="1" applyFont="1" applyFill="1" applyAlignment="1">
      <alignment horizontal="center"/>
    </xf>
    <xf numFmtId="10" fontId="12" fillId="0" borderId="0" xfId="4" applyNumberFormat="1" applyFont="1" applyFill="1" applyBorder="1" applyAlignment="1">
      <alignment horizontal="center"/>
    </xf>
    <xf numFmtId="0" fontId="20" fillId="7" borderId="0" xfId="1" applyFont="1" applyFill="1" applyAlignment="1">
      <alignment horizontal="left"/>
    </xf>
    <xf numFmtId="0" fontId="20" fillId="6" borderId="0" xfId="1" applyFont="1" applyFill="1" applyAlignment="1">
      <alignment horizontal="left"/>
    </xf>
    <xf numFmtId="0" fontId="21" fillId="6" borderId="0" xfId="1" applyFont="1" applyFill="1"/>
    <xf numFmtId="0" fontId="11" fillId="0" borderId="0" xfId="1" applyFont="1" applyAlignment="1">
      <alignment horizontal="left"/>
    </xf>
    <xf numFmtId="165" fontId="7" fillId="0" borderId="0" xfId="4" applyNumberFormat="1" applyFont="1" applyFill="1" applyBorder="1"/>
    <xf numFmtId="167" fontId="7" fillId="10" borderId="0" xfId="1" applyNumberFormat="1" applyFont="1" applyFill="1"/>
    <xf numFmtId="0" fontId="21" fillId="0" borderId="0" xfId="1" applyFont="1"/>
    <xf numFmtId="169" fontId="7" fillId="0" borderId="0" xfId="5" applyNumberFormat="1" applyFont="1" applyFill="1" applyBorder="1"/>
    <xf numFmtId="0" fontId="18" fillId="7" borderId="0" xfId="1" applyFont="1" applyFill="1" applyAlignment="1">
      <alignment horizontal="center"/>
    </xf>
    <xf numFmtId="10" fontId="19" fillId="7" borderId="0" xfId="4" applyNumberFormat="1" applyFont="1" applyFill="1" applyBorder="1" applyAlignment="1">
      <alignment horizontal="center"/>
    </xf>
    <xf numFmtId="10" fontId="18" fillId="7" borderId="0" xfId="4" applyNumberFormat="1" applyFont="1" applyFill="1" applyBorder="1" applyAlignment="1">
      <alignment horizontal="center"/>
    </xf>
    <xf numFmtId="170" fontId="7" fillId="2" borderId="0" xfId="6" applyNumberFormat="1" applyFont="1" applyFill="1" applyBorder="1"/>
    <xf numFmtId="10" fontId="7" fillId="0" borderId="0" xfId="7" applyNumberFormat="1" applyFont="1" applyFill="1" applyBorder="1"/>
    <xf numFmtId="10" fontId="22" fillId="0" borderId="0" xfId="7" applyNumberFormat="1" applyFont="1" applyFill="1" applyBorder="1"/>
    <xf numFmtId="10" fontId="22" fillId="3" borderId="0" xfId="7" applyNumberFormat="1" applyFont="1" applyFill="1" applyBorder="1"/>
    <xf numFmtId="10" fontId="7" fillId="0" borderId="0" xfId="7" quotePrefix="1" applyNumberFormat="1" applyFont="1" applyFill="1" applyBorder="1"/>
    <xf numFmtId="10" fontId="18" fillId="7" borderId="0" xfId="7" applyNumberFormat="1" applyFont="1" applyFill="1" applyBorder="1" applyAlignment="1">
      <alignment horizontal="center"/>
    </xf>
    <xf numFmtId="10" fontId="19" fillId="7" borderId="0" xfId="7" applyNumberFormat="1" applyFont="1" applyFill="1" applyBorder="1" applyAlignment="1">
      <alignment horizontal="center"/>
    </xf>
    <xf numFmtId="10" fontId="19" fillId="8" borderId="0" xfId="7" applyNumberFormat="1" applyFont="1" applyFill="1" applyBorder="1" applyAlignment="1">
      <alignment horizontal="center"/>
    </xf>
    <xf numFmtId="10" fontId="18" fillId="8" borderId="0" xfId="7" applyNumberFormat="1" applyFont="1" applyFill="1" applyBorder="1" applyAlignment="1">
      <alignment horizontal="center"/>
    </xf>
    <xf numFmtId="10" fontId="7" fillId="0" borderId="0" xfId="1" applyNumberFormat="1" applyFont="1"/>
    <xf numFmtId="14" fontId="7" fillId="10" borderId="0" xfId="1" applyNumberFormat="1" applyFont="1" applyFill="1"/>
    <xf numFmtId="10" fontId="0" fillId="0" borderId="0" xfId="0" applyNumberFormat="1"/>
    <xf numFmtId="0" fontId="24" fillId="0" borderId="0" xfId="0" applyFont="1" applyAlignment="1">
      <alignment vertical="center" wrapText="1"/>
    </xf>
    <xf numFmtId="0" fontId="23" fillId="0" borderId="0" xfId="0" applyFont="1" applyAlignment="1">
      <alignment horizontal="left"/>
    </xf>
    <xf numFmtId="0" fontId="23" fillId="0" borderId="0" xfId="0" applyFont="1"/>
    <xf numFmtId="0" fontId="23" fillId="0" borderId="0" xfId="0" applyFont="1" applyAlignment="1">
      <alignment horizontal="right"/>
    </xf>
    <xf numFmtId="0" fontId="25" fillId="0" borderId="0" xfId="0" applyFont="1" applyAlignment="1">
      <alignment horizontal="left" vertical="center"/>
    </xf>
    <xf numFmtId="0" fontId="25" fillId="0" borderId="0" xfId="0" applyFont="1" applyAlignment="1">
      <alignment horizontal="center" vertical="center"/>
    </xf>
    <xf numFmtId="0" fontId="25" fillId="0" borderId="0" xfId="0" applyFont="1" applyAlignment="1">
      <alignment horizontal="center" vertical="center" wrapText="1"/>
    </xf>
    <xf numFmtId="10" fontId="23" fillId="0" borderId="0" xfId="0" applyNumberFormat="1" applyFont="1" applyAlignment="1">
      <alignment horizontal="center"/>
    </xf>
    <xf numFmtId="0" fontId="25" fillId="0" borderId="0" xfId="0" applyFont="1" applyAlignment="1">
      <alignment vertical="center"/>
    </xf>
    <xf numFmtId="0" fontId="23" fillId="0" borderId="0" xfId="0" applyFont="1" applyAlignment="1">
      <alignment horizontal="center"/>
    </xf>
    <xf numFmtId="0" fontId="26" fillId="11" borderId="0" xfId="0" applyFont="1" applyFill="1"/>
    <xf numFmtId="10" fontId="26" fillId="11" borderId="0" xfId="0" applyNumberFormat="1" applyFont="1" applyFill="1"/>
    <xf numFmtId="0" fontId="17" fillId="3" borderId="0" xfId="1" applyFont="1" applyFill="1" applyAlignment="1">
      <alignment horizontal="center" vertical="center"/>
    </xf>
    <xf numFmtId="0" fontId="10" fillId="7" borderId="0" xfId="1" applyFont="1" applyFill="1" applyAlignment="1">
      <alignment horizontal="center" vertical="center"/>
    </xf>
    <xf numFmtId="0" fontId="17" fillId="2" borderId="0" xfId="1" applyFont="1" applyFill="1" applyAlignment="1">
      <alignment horizontal="center" vertical="center"/>
    </xf>
  </cellXfs>
  <cellStyles count="8">
    <cellStyle name="Millares [0]" xfId="6" builtinId="6"/>
    <cellStyle name="Millares [0] 2" xfId="5" xr:uid="{00000000-0005-0000-0000-000001000000}"/>
    <cellStyle name="Normal" xfId="0" builtinId="0"/>
    <cellStyle name="Normal 2" xfId="1" xr:uid="{00000000-0005-0000-0000-000003000000}"/>
    <cellStyle name="Normal 54" xfId="2" xr:uid="{00000000-0005-0000-0000-000004000000}"/>
    <cellStyle name="Porcentaje" xfId="7" builtinId="5"/>
    <cellStyle name="Porcentaje 2" xfId="4" xr:uid="{00000000-0005-0000-0000-000006000000}"/>
    <cellStyle name="Porcentaje 29" xfId="3" xr:uid="{00000000-0005-0000-0000-000007000000}"/>
  </cellStyles>
  <dxfs count="0"/>
  <tableStyles count="0" defaultTableStyle="TableStyleMedium2" defaultPivotStyle="PivotStyleLight16"/>
  <colors>
    <mruColors>
      <color rgb="FFFDD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a:pPr>
            <a:r>
              <a:rPr lang="en-US"/>
              <a:t>FIP USD MONEY MARKET</a:t>
            </a:r>
          </a:p>
        </c:rich>
      </c:tx>
      <c:overlay val="0"/>
    </c:title>
    <c:autoTitleDeleted val="0"/>
    <c:plotArea>
      <c:layout>
        <c:manualLayout>
          <c:layoutTarget val="inner"/>
          <c:xMode val="edge"/>
          <c:yMode val="edge"/>
          <c:x val="9.3464617746071066E-2"/>
          <c:y val="0.14340705352157054"/>
          <c:w val="0.86940468507439261"/>
          <c:h val="0.80639580814155976"/>
        </c:manualLayout>
      </c:layout>
      <c:lineChart>
        <c:grouping val="standard"/>
        <c:varyColors val="0"/>
        <c:ser>
          <c:idx val="0"/>
          <c:order val="0"/>
          <c:tx>
            <c:strRef>
              <c:f>'Datos ICP (2)'!$J$2</c:f>
              <c:strCache>
                <c:ptCount val="1"/>
                <c:pt idx="0">
                  <c:v>Fondo USD Money Market</c:v>
                </c:pt>
              </c:strCache>
            </c:strRef>
          </c:tx>
          <c:spPr>
            <a:ln w="38100">
              <a:solidFill>
                <a:sysClr val="windowText" lastClr="000000"/>
              </a:solidFill>
            </a:ln>
          </c:spPr>
          <c:marker>
            <c:symbol val="none"/>
          </c:marker>
          <c:cat>
            <c:numRef>
              <c:f>'Datos ICP (2)'!$A$139:$A$232</c:f>
              <c:numCache>
                <c:formatCode>m/d/yyyy</c:formatCode>
                <c:ptCount val="94"/>
                <c:pt idx="0">
                  <c:v>42855</c:v>
                </c:pt>
                <c:pt idx="1">
                  <c:v>42886</c:v>
                </c:pt>
                <c:pt idx="2">
                  <c:v>42916</c:v>
                </c:pt>
                <c:pt idx="3">
                  <c:v>42947</c:v>
                </c:pt>
                <c:pt idx="4">
                  <c:v>42978</c:v>
                </c:pt>
                <c:pt idx="5">
                  <c:v>43008</c:v>
                </c:pt>
                <c:pt idx="6">
                  <c:v>43039</c:v>
                </c:pt>
                <c:pt idx="7">
                  <c:v>43069</c:v>
                </c:pt>
                <c:pt idx="8">
                  <c:v>43100</c:v>
                </c:pt>
                <c:pt idx="9">
                  <c:v>43131</c:v>
                </c:pt>
                <c:pt idx="10">
                  <c:v>43159</c:v>
                </c:pt>
                <c:pt idx="11">
                  <c:v>43190</c:v>
                </c:pt>
                <c:pt idx="12">
                  <c:v>43220</c:v>
                </c:pt>
                <c:pt idx="13">
                  <c:v>43251</c:v>
                </c:pt>
                <c:pt idx="14">
                  <c:v>43281</c:v>
                </c:pt>
                <c:pt idx="15">
                  <c:v>43312</c:v>
                </c:pt>
                <c:pt idx="16">
                  <c:v>43343</c:v>
                </c:pt>
                <c:pt idx="17">
                  <c:v>43373</c:v>
                </c:pt>
                <c:pt idx="18">
                  <c:v>43404</c:v>
                </c:pt>
                <c:pt idx="19">
                  <c:v>43434</c:v>
                </c:pt>
                <c:pt idx="20">
                  <c:v>43465</c:v>
                </c:pt>
                <c:pt idx="21">
                  <c:v>43496</c:v>
                </c:pt>
                <c:pt idx="22">
                  <c:v>43524</c:v>
                </c:pt>
                <c:pt idx="23">
                  <c:v>43555</c:v>
                </c:pt>
                <c:pt idx="24">
                  <c:v>43585</c:v>
                </c:pt>
                <c:pt idx="25">
                  <c:v>43616</c:v>
                </c:pt>
                <c:pt idx="26">
                  <c:v>43646</c:v>
                </c:pt>
                <c:pt idx="27">
                  <c:v>43677</c:v>
                </c:pt>
                <c:pt idx="28">
                  <c:v>43708</c:v>
                </c:pt>
                <c:pt idx="29">
                  <c:v>43738</c:v>
                </c:pt>
                <c:pt idx="30">
                  <c:v>43769</c:v>
                </c:pt>
                <c:pt idx="31">
                  <c:v>43799</c:v>
                </c:pt>
                <c:pt idx="32">
                  <c:v>43830</c:v>
                </c:pt>
                <c:pt idx="33">
                  <c:v>43861</c:v>
                </c:pt>
                <c:pt idx="34">
                  <c:v>43890</c:v>
                </c:pt>
                <c:pt idx="35">
                  <c:v>43921</c:v>
                </c:pt>
                <c:pt idx="36">
                  <c:v>43951</c:v>
                </c:pt>
                <c:pt idx="37">
                  <c:v>43982</c:v>
                </c:pt>
                <c:pt idx="38">
                  <c:v>44012</c:v>
                </c:pt>
                <c:pt idx="39">
                  <c:v>44043</c:v>
                </c:pt>
                <c:pt idx="40">
                  <c:v>44074</c:v>
                </c:pt>
                <c:pt idx="41">
                  <c:v>44104</c:v>
                </c:pt>
                <c:pt idx="42">
                  <c:v>44135</c:v>
                </c:pt>
                <c:pt idx="43">
                  <c:v>44165</c:v>
                </c:pt>
                <c:pt idx="44">
                  <c:v>44196</c:v>
                </c:pt>
                <c:pt idx="45">
                  <c:v>44227</c:v>
                </c:pt>
                <c:pt idx="46">
                  <c:v>44255</c:v>
                </c:pt>
                <c:pt idx="47">
                  <c:v>44286</c:v>
                </c:pt>
                <c:pt idx="48">
                  <c:v>44316</c:v>
                </c:pt>
                <c:pt idx="49">
                  <c:v>44347</c:v>
                </c:pt>
                <c:pt idx="50">
                  <c:v>44377</c:v>
                </c:pt>
                <c:pt idx="51">
                  <c:v>44408</c:v>
                </c:pt>
                <c:pt idx="52">
                  <c:v>44439</c:v>
                </c:pt>
                <c:pt idx="53">
                  <c:v>44469</c:v>
                </c:pt>
                <c:pt idx="54">
                  <c:v>44500</c:v>
                </c:pt>
                <c:pt idx="55">
                  <c:v>44530</c:v>
                </c:pt>
                <c:pt idx="56">
                  <c:v>44561</c:v>
                </c:pt>
                <c:pt idx="57">
                  <c:v>44592</c:v>
                </c:pt>
                <c:pt idx="58">
                  <c:v>44620</c:v>
                </c:pt>
                <c:pt idx="59">
                  <c:v>44651</c:v>
                </c:pt>
                <c:pt idx="60">
                  <c:v>44681</c:v>
                </c:pt>
                <c:pt idx="61">
                  <c:v>44712</c:v>
                </c:pt>
                <c:pt idx="62">
                  <c:v>44742</c:v>
                </c:pt>
                <c:pt idx="63">
                  <c:v>44773</c:v>
                </c:pt>
                <c:pt idx="64">
                  <c:v>44804</c:v>
                </c:pt>
                <c:pt idx="65">
                  <c:v>44834</c:v>
                </c:pt>
                <c:pt idx="66">
                  <c:v>44862</c:v>
                </c:pt>
                <c:pt idx="67">
                  <c:v>44895</c:v>
                </c:pt>
                <c:pt idx="68">
                  <c:v>44925</c:v>
                </c:pt>
                <c:pt idx="69">
                  <c:v>44957</c:v>
                </c:pt>
                <c:pt idx="70">
                  <c:v>44985</c:v>
                </c:pt>
                <c:pt idx="71">
                  <c:v>45016</c:v>
                </c:pt>
                <c:pt idx="72">
                  <c:v>45044</c:v>
                </c:pt>
                <c:pt idx="73">
                  <c:v>45077</c:v>
                </c:pt>
                <c:pt idx="74">
                  <c:v>45107</c:v>
                </c:pt>
                <c:pt idx="75">
                  <c:v>45138</c:v>
                </c:pt>
                <c:pt idx="76">
                  <c:v>45169</c:v>
                </c:pt>
                <c:pt idx="77">
                  <c:v>45199</c:v>
                </c:pt>
                <c:pt idx="78">
                  <c:v>45230</c:v>
                </c:pt>
                <c:pt idx="79">
                  <c:v>45260</c:v>
                </c:pt>
                <c:pt idx="80">
                  <c:v>45291</c:v>
                </c:pt>
                <c:pt idx="81">
                  <c:v>45322</c:v>
                </c:pt>
                <c:pt idx="82">
                  <c:v>45351</c:v>
                </c:pt>
                <c:pt idx="83">
                  <c:v>45379</c:v>
                </c:pt>
                <c:pt idx="84">
                  <c:v>45412</c:v>
                </c:pt>
                <c:pt idx="85">
                  <c:v>45443</c:v>
                </c:pt>
                <c:pt idx="86">
                  <c:v>45473</c:v>
                </c:pt>
                <c:pt idx="87">
                  <c:v>45504</c:v>
                </c:pt>
                <c:pt idx="88">
                  <c:v>45535</c:v>
                </c:pt>
                <c:pt idx="89">
                  <c:v>45565</c:v>
                </c:pt>
                <c:pt idx="90">
                  <c:v>45596</c:v>
                </c:pt>
                <c:pt idx="91">
                  <c:v>45626</c:v>
                </c:pt>
                <c:pt idx="92">
                  <c:v>45657</c:v>
                </c:pt>
                <c:pt idx="93">
                  <c:v>45688</c:v>
                </c:pt>
              </c:numCache>
            </c:numRef>
          </c:cat>
          <c:val>
            <c:numRef>
              <c:f>'Datos ICP (2)'!$J$139:$J$232</c:f>
              <c:numCache>
                <c:formatCode>#,##0.00</c:formatCode>
                <c:ptCount val="94"/>
                <c:pt idx="0">
                  <c:v>100</c:v>
                </c:pt>
                <c:pt idx="1">
                  <c:v>100.58064516129026</c:v>
                </c:pt>
                <c:pt idx="2">
                  <c:v>101.18382744111808</c:v>
                </c:pt>
                <c:pt idx="3">
                  <c:v>101.77075950709762</c:v>
                </c:pt>
                <c:pt idx="4">
                  <c:v>102.36080143489234</c:v>
                </c:pt>
                <c:pt idx="5">
                  <c:v>102.97374036564001</c:v>
                </c:pt>
                <c:pt idx="6">
                  <c:v>103.5701613540018</c:v>
                </c:pt>
                <c:pt idx="7">
                  <c:v>104.43754854779429</c:v>
                </c:pt>
                <c:pt idx="8">
                  <c:v>105.32097172957155</c:v>
                </c:pt>
                <c:pt idx="9">
                  <c:v>106.05158366831526</c:v>
                </c:pt>
                <c:pt idx="10">
                  <c:v>106.86560048728371</c:v>
                </c:pt>
                <c:pt idx="11">
                  <c:v>107.6060429098593</c:v>
                </c:pt>
                <c:pt idx="12">
                  <c:v>108.37600868705771</c:v>
                </c:pt>
                <c:pt idx="13">
                  <c:v>109.1260213381163</c:v>
                </c:pt>
                <c:pt idx="14">
                  <c:v>109.90593309154772</c:v>
                </c:pt>
                <c:pt idx="15">
                  <c:v>110.91885975083521</c:v>
                </c:pt>
                <c:pt idx="16">
                  <c:v>111.68494833842314</c:v>
                </c:pt>
                <c:pt idx="17">
                  <c:v>115.26973221865589</c:v>
                </c:pt>
                <c:pt idx="18">
                  <c:v>119.5019626040152</c:v>
                </c:pt>
                <c:pt idx="19">
                  <c:v>123.88031073129443</c:v>
                </c:pt>
                <c:pt idx="20">
                  <c:v>128.40054995424205</c:v>
                </c:pt>
                <c:pt idx="21">
                  <c:v>132.77914560746882</c:v>
                </c:pt>
                <c:pt idx="22">
                  <c:v>136.77783847835246</c:v>
                </c:pt>
                <c:pt idx="23">
                  <c:v>141.41758445791993</c:v>
                </c:pt>
                <c:pt idx="24">
                  <c:v>146.36018575737157</c:v>
                </c:pt>
                <c:pt idx="25">
                  <c:v>151.78974159169707</c:v>
                </c:pt>
                <c:pt idx="26">
                  <c:v>156.88684137056458</c:v>
                </c:pt>
                <c:pt idx="27">
                  <c:v>161.97093090686815</c:v>
                </c:pt>
                <c:pt idx="28">
                  <c:v>167.56615163024398</c:v>
                </c:pt>
                <c:pt idx="29">
                  <c:v>173.33748915903993</c:v>
                </c:pt>
                <c:pt idx="30">
                  <c:v>178.5223849595962</c:v>
                </c:pt>
                <c:pt idx="31">
                  <c:v>183.61850549693474</c:v>
                </c:pt>
                <c:pt idx="32">
                  <c:v>188.0717219134095</c:v>
                </c:pt>
                <c:pt idx="33">
                  <c:v>192.41653829300256</c:v>
                </c:pt>
                <c:pt idx="34">
                  <c:v>196.4813846263105</c:v>
                </c:pt>
                <c:pt idx="35">
                  <c:v>200.35771705268883</c:v>
                </c:pt>
                <c:pt idx="36">
                  <c:v>205.34149991097769</c:v>
                </c:pt>
                <c:pt idx="37">
                  <c:v>212.06799142365068</c:v>
                </c:pt>
                <c:pt idx="38">
                  <c:v>216.60152093464825</c:v>
                </c:pt>
                <c:pt idx="39">
                  <c:v>220.83920225367314</c:v>
                </c:pt>
                <c:pt idx="40">
                  <c:v>224.19400852556473</c:v>
                </c:pt>
                <c:pt idx="41">
                  <c:v>227.20660654609733</c:v>
                </c:pt>
                <c:pt idx="42">
                  <c:v>229.66601356783417</c:v>
                </c:pt>
                <c:pt idx="43">
                  <c:v>231.2059161667554</c:v>
                </c:pt>
                <c:pt idx="44">
                  <c:v>216.63813499420473</c:v>
                </c:pt>
                <c:pt idx="45">
                  <c:v>221.11128540944276</c:v>
                </c:pt>
                <c:pt idx="46">
                  <c:v>225.89142489034134</c:v>
                </c:pt>
                <c:pt idx="47">
                  <c:v>230.53954353303041</c:v>
                </c:pt>
                <c:pt idx="48">
                  <c:v>233.88753419816936</c:v>
                </c:pt>
                <c:pt idx="49">
                  <c:v>236.91806061100345</c:v>
                </c:pt>
                <c:pt idx="50">
                  <c:v>240.08664522188639</c:v>
                </c:pt>
                <c:pt idx="51">
                  <c:v>242.67324776104692</c:v>
                </c:pt>
                <c:pt idx="52">
                  <c:v>245.02408947153214</c:v>
                </c:pt>
                <c:pt idx="53">
                  <c:v>246.38558454361649</c:v>
                </c:pt>
                <c:pt idx="54">
                  <c:v>251.15300651225846</c:v>
                </c:pt>
                <c:pt idx="55">
                  <c:v>253.38114192570006</c:v>
                </c:pt>
                <c:pt idx="56">
                  <c:v>255.82664726896053</c:v>
                </c:pt>
                <c:pt idx="57">
                  <c:v>257.47135242812749</c:v>
                </c:pt>
                <c:pt idx="58">
                  <c:v>258.99769931175825</c:v>
                </c:pt>
                <c:pt idx="59">
                  <c:v>261.77003853528885</c:v>
                </c:pt>
                <c:pt idx="60">
                  <c:v>265.53061192195213</c:v>
                </c:pt>
                <c:pt idx="61">
                  <c:v>270.63587153159745</c:v>
                </c:pt>
                <c:pt idx="62">
                  <c:v>274.81096429940078</c:v>
                </c:pt>
                <c:pt idx="63">
                  <c:v>278.90844035658108</c:v>
                </c:pt>
                <c:pt idx="64">
                  <c:v>287.21491559830679</c:v>
                </c:pt>
                <c:pt idx="65">
                  <c:v>293.51232834529458</c:v>
                </c:pt>
                <c:pt idx="66">
                  <c:v>300.05078951124113</c:v>
                </c:pt>
                <c:pt idx="67">
                  <c:v>306.30830511978752</c:v>
                </c:pt>
                <c:pt idx="68">
                  <c:v>312.31979872533697</c:v>
                </c:pt>
                <c:pt idx="69">
                  <c:v>320.4981312129525</c:v>
                </c:pt>
                <c:pt idx="70">
                  <c:v>332.43170220169094</c:v>
                </c:pt>
                <c:pt idx="71">
                  <c:v>345.3213049085935</c:v>
                </c:pt>
                <c:pt idx="72">
                  <c:v>355.70347479459014</c:v>
                </c:pt>
                <c:pt idx="73">
                  <c:v>364.75626768622249</c:v>
                </c:pt>
                <c:pt idx="74">
                  <c:v>374.55217297843211</c:v>
                </c:pt>
                <c:pt idx="75">
                  <c:v>382.32238406727419</c:v>
                </c:pt>
                <c:pt idx="76">
                  <c:v>392.61482636524988</c:v>
                </c:pt>
                <c:pt idx="77">
                  <c:v>405.60690339192337</c:v>
                </c:pt>
                <c:pt idx="78">
                  <c:v>416.88882037210436</c:v>
                </c:pt>
                <c:pt idx="79">
                  <c:v>426.18607689329895</c:v>
                </c:pt>
                <c:pt idx="80">
                  <c:v>436.67857646882914</c:v>
                </c:pt>
                <c:pt idx="81">
                  <c:v>445.61864002735683</c:v>
                </c:pt>
                <c:pt idx="82">
                  <c:v>453.89348239414284</c:v>
                </c:pt>
                <c:pt idx="83">
                  <c:v>464.66089876299316</c:v>
                </c:pt>
                <c:pt idx="84">
                  <c:v>474.4409380745538</c:v>
                </c:pt>
                <c:pt idx="85">
                  <c:v>482.15705975960879</c:v>
                </c:pt>
                <c:pt idx="86">
                  <c:v>486.20289405497118</c:v>
                </c:pt>
                <c:pt idx="87">
                  <c:v>488.66878065622518</c:v>
                </c:pt>
                <c:pt idx="88">
                  <c:v>492.63247821739907</c:v>
                </c:pt>
                <c:pt idx="89">
                  <c:v>509.1371218755753</c:v>
                </c:pt>
                <c:pt idx="90">
                  <c:v>511.19479613981019</c:v>
                </c:pt>
                <c:pt idx="91">
                  <c:v>521.33183752919228</c:v>
                </c:pt>
                <c:pt idx="92">
                  <c:v>540.78228713824763</c:v>
                </c:pt>
                <c:pt idx="93">
                  <c:v>556.00181313462258</c:v>
                </c:pt>
              </c:numCache>
            </c:numRef>
          </c:val>
          <c:smooth val="0"/>
          <c:extLst>
            <c:ext xmlns:c16="http://schemas.microsoft.com/office/drawing/2014/chart" uri="{C3380CC4-5D6E-409C-BE32-E72D297353CC}">
              <c16:uniqueId val="{00000001-BF7A-4118-97AA-A61AA822C6B2}"/>
            </c:ext>
          </c:extLst>
        </c:ser>
        <c:ser>
          <c:idx val="1"/>
          <c:order val="1"/>
          <c:tx>
            <c:strRef>
              <c:f>'Datos ICP (2)'!$M$2</c:f>
              <c:strCache>
                <c:ptCount val="1"/>
                <c:pt idx="0">
                  <c:v>Competencia Relevante (*)</c:v>
                </c:pt>
              </c:strCache>
            </c:strRef>
          </c:tx>
          <c:spPr>
            <a:ln w="38100">
              <a:solidFill>
                <a:sysClr val="window" lastClr="FFFFFF">
                  <a:lumMod val="65000"/>
                </a:sysClr>
              </a:solidFill>
            </a:ln>
          </c:spPr>
          <c:marker>
            <c:symbol val="none"/>
          </c:marker>
          <c:cat>
            <c:numRef>
              <c:f>'Datos ICP (2)'!$A$139:$A$232</c:f>
              <c:numCache>
                <c:formatCode>m/d/yyyy</c:formatCode>
                <c:ptCount val="94"/>
                <c:pt idx="0">
                  <c:v>42855</c:v>
                </c:pt>
                <c:pt idx="1">
                  <c:v>42886</c:v>
                </c:pt>
                <c:pt idx="2">
                  <c:v>42916</c:v>
                </c:pt>
                <c:pt idx="3">
                  <c:v>42947</c:v>
                </c:pt>
                <c:pt idx="4">
                  <c:v>42978</c:v>
                </c:pt>
                <c:pt idx="5">
                  <c:v>43008</c:v>
                </c:pt>
                <c:pt idx="6">
                  <c:v>43039</c:v>
                </c:pt>
                <c:pt idx="7">
                  <c:v>43069</c:v>
                </c:pt>
                <c:pt idx="8">
                  <c:v>43100</c:v>
                </c:pt>
                <c:pt idx="9">
                  <c:v>43131</c:v>
                </c:pt>
                <c:pt idx="10">
                  <c:v>43159</c:v>
                </c:pt>
                <c:pt idx="11">
                  <c:v>43190</c:v>
                </c:pt>
                <c:pt idx="12">
                  <c:v>43220</c:v>
                </c:pt>
                <c:pt idx="13">
                  <c:v>43251</c:v>
                </c:pt>
                <c:pt idx="14">
                  <c:v>43281</c:v>
                </c:pt>
                <c:pt idx="15">
                  <c:v>43312</c:v>
                </c:pt>
                <c:pt idx="16">
                  <c:v>43343</c:v>
                </c:pt>
                <c:pt idx="17">
                  <c:v>43373</c:v>
                </c:pt>
                <c:pt idx="18">
                  <c:v>43404</c:v>
                </c:pt>
                <c:pt idx="19">
                  <c:v>43434</c:v>
                </c:pt>
                <c:pt idx="20">
                  <c:v>43465</c:v>
                </c:pt>
                <c:pt idx="21">
                  <c:v>43496</c:v>
                </c:pt>
                <c:pt idx="22">
                  <c:v>43524</c:v>
                </c:pt>
                <c:pt idx="23">
                  <c:v>43555</c:v>
                </c:pt>
                <c:pt idx="24">
                  <c:v>43585</c:v>
                </c:pt>
                <c:pt idx="25">
                  <c:v>43616</c:v>
                </c:pt>
                <c:pt idx="26">
                  <c:v>43646</c:v>
                </c:pt>
                <c:pt idx="27">
                  <c:v>43677</c:v>
                </c:pt>
                <c:pt idx="28">
                  <c:v>43708</c:v>
                </c:pt>
                <c:pt idx="29">
                  <c:v>43738</c:v>
                </c:pt>
                <c:pt idx="30">
                  <c:v>43769</c:v>
                </c:pt>
                <c:pt idx="31">
                  <c:v>43799</c:v>
                </c:pt>
                <c:pt idx="32">
                  <c:v>43830</c:v>
                </c:pt>
                <c:pt idx="33">
                  <c:v>43861</c:v>
                </c:pt>
                <c:pt idx="34">
                  <c:v>43890</c:v>
                </c:pt>
                <c:pt idx="35">
                  <c:v>43921</c:v>
                </c:pt>
                <c:pt idx="36">
                  <c:v>43951</c:v>
                </c:pt>
                <c:pt idx="37">
                  <c:v>43982</c:v>
                </c:pt>
                <c:pt idx="38">
                  <c:v>44012</c:v>
                </c:pt>
                <c:pt idx="39">
                  <c:v>44043</c:v>
                </c:pt>
                <c:pt idx="40">
                  <c:v>44074</c:v>
                </c:pt>
                <c:pt idx="41">
                  <c:v>44104</c:v>
                </c:pt>
                <c:pt idx="42">
                  <c:v>44135</c:v>
                </c:pt>
                <c:pt idx="43">
                  <c:v>44165</c:v>
                </c:pt>
                <c:pt idx="44">
                  <c:v>44196</c:v>
                </c:pt>
                <c:pt idx="45">
                  <c:v>44227</c:v>
                </c:pt>
                <c:pt idx="46">
                  <c:v>44255</c:v>
                </c:pt>
                <c:pt idx="47">
                  <c:v>44286</c:v>
                </c:pt>
                <c:pt idx="48">
                  <c:v>44316</c:v>
                </c:pt>
                <c:pt idx="49">
                  <c:v>44347</c:v>
                </c:pt>
                <c:pt idx="50">
                  <c:v>44377</c:v>
                </c:pt>
                <c:pt idx="51">
                  <c:v>44408</c:v>
                </c:pt>
                <c:pt idx="52">
                  <c:v>44439</c:v>
                </c:pt>
                <c:pt idx="53">
                  <c:v>44469</c:v>
                </c:pt>
                <c:pt idx="54">
                  <c:v>44500</c:v>
                </c:pt>
                <c:pt idx="55">
                  <c:v>44530</c:v>
                </c:pt>
                <c:pt idx="56">
                  <c:v>44561</c:v>
                </c:pt>
                <c:pt idx="57">
                  <c:v>44592</c:v>
                </c:pt>
                <c:pt idx="58">
                  <c:v>44620</c:v>
                </c:pt>
                <c:pt idx="59">
                  <c:v>44651</c:v>
                </c:pt>
                <c:pt idx="60">
                  <c:v>44681</c:v>
                </c:pt>
                <c:pt idx="61">
                  <c:v>44712</c:v>
                </c:pt>
                <c:pt idx="62">
                  <c:v>44742</c:v>
                </c:pt>
                <c:pt idx="63">
                  <c:v>44773</c:v>
                </c:pt>
                <c:pt idx="64">
                  <c:v>44804</c:v>
                </c:pt>
                <c:pt idx="65">
                  <c:v>44834</c:v>
                </c:pt>
                <c:pt idx="66">
                  <c:v>44862</c:v>
                </c:pt>
                <c:pt idx="67">
                  <c:v>44895</c:v>
                </c:pt>
                <c:pt idx="68">
                  <c:v>44925</c:v>
                </c:pt>
                <c:pt idx="69">
                  <c:v>44957</c:v>
                </c:pt>
                <c:pt idx="70">
                  <c:v>44985</c:v>
                </c:pt>
                <c:pt idx="71">
                  <c:v>45016</c:v>
                </c:pt>
                <c:pt idx="72">
                  <c:v>45044</c:v>
                </c:pt>
                <c:pt idx="73">
                  <c:v>45077</c:v>
                </c:pt>
                <c:pt idx="74">
                  <c:v>45107</c:v>
                </c:pt>
                <c:pt idx="75">
                  <c:v>45138</c:v>
                </c:pt>
                <c:pt idx="76">
                  <c:v>45169</c:v>
                </c:pt>
                <c:pt idx="77">
                  <c:v>45199</c:v>
                </c:pt>
                <c:pt idx="78">
                  <c:v>45230</c:v>
                </c:pt>
                <c:pt idx="79">
                  <c:v>45260</c:v>
                </c:pt>
                <c:pt idx="80">
                  <c:v>45291</c:v>
                </c:pt>
                <c:pt idx="81">
                  <c:v>45322</c:v>
                </c:pt>
                <c:pt idx="82">
                  <c:v>45351</c:v>
                </c:pt>
                <c:pt idx="83">
                  <c:v>45379</c:v>
                </c:pt>
                <c:pt idx="84">
                  <c:v>45412</c:v>
                </c:pt>
                <c:pt idx="85">
                  <c:v>45443</c:v>
                </c:pt>
                <c:pt idx="86">
                  <c:v>45473</c:v>
                </c:pt>
                <c:pt idx="87">
                  <c:v>45504</c:v>
                </c:pt>
                <c:pt idx="88">
                  <c:v>45535</c:v>
                </c:pt>
                <c:pt idx="89">
                  <c:v>45565</c:v>
                </c:pt>
                <c:pt idx="90">
                  <c:v>45596</c:v>
                </c:pt>
                <c:pt idx="91">
                  <c:v>45626</c:v>
                </c:pt>
                <c:pt idx="92">
                  <c:v>45657</c:v>
                </c:pt>
                <c:pt idx="93">
                  <c:v>45688</c:v>
                </c:pt>
              </c:numCache>
            </c:numRef>
          </c:cat>
          <c:val>
            <c:numRef>
              <c:f>'Datos ICP (2)'!$M$139:$M$232</c:f>
              <c:numCache>
                <c:formatCode>#,##0.00</c:formatCode>
                <c:ptCount val="94"/>
                <c:pt idx="0" formatCode="0.00">
                  <c:v>100</c:v>
                </c:pt>
                <c:pt idx="1">
                  <c:v>100.46197641583763</c:v>
                </c:pt>
                <c:pt idx="2">
                  <c:v>100.96409085202275</c:v>
                </c:pt>
                <c:pt idx="3">
                  <c:v>101.44374394020609</c:v>
                </c:pt>
                <c:pt idx="4">
                  <c:v>102.06151155010721</c:v>
                </c:pt>
                <c:pt idx="5">
                  <c:v>102.75335759114731</c:v>
                </c:pt>
                <c:pt idx="6">
                  <c:v>103.50066718059101</c:v>
                </c:pt>
                <c:pt idx="7">
                  <c:v>104.3140133871005</c:v>
                </c:pt>
                <c:pt idx="8">
                  <c:v>105.31581678642766</c:v>
                </c:pt>
                <c:pt idx="9">
                  <c:v>106.4708898937736</c:v>
                </c:pt>
                <c:pt idx="10">
                  <c:v>107.6018570378525</c:v>
                </c:pt>
                <c:pt idx="11">
                  <c:v>108.77500737236836</c:v>
                </c:pt>
                <c:pt idx="12">
                  <c:v>110.11160239684769</c:v>
                </c:pt>
                <c:pt idx="13">
                  <c:v>111.60648296097385</c:v>
                </c:pt>
                <c:pt idx="14">
                  <c:v>113.2798152417821</c:v>
                </c:pt>
                <c:pt idx="15">
                  <c:v>115.09429123909116</c:v>
                </c:pt>
                <c:pt idx="16">
                  <c:v>116.90973421869101</c:v>
                </c:pt>
                <c:pt idx="17">
                  <c:v>118.86274267262196</c:v>
                </c:pt>
                <c:pt idx="18">
                  <c:v>120.87921102512183</c:v>
                </c:pt>
                <c:pt idx="19">
                  <c:v>122.7135445058391</c:v>
                </c:pt>
                <c:pt idx="20">
                  <c:v>124.93475280055291</c:v>
                </c:pt>
                <c:pt idx="21">
                  <c:v>127.4173700178501</c:v>
                </c:pt>
                <c:pt idx="22">
                  <c:v>129.87330737576514</c:v>
                </c:pt>
                <c:pt idx="23">
                  <c:v>132.43146168018487</c:v>
                </c:pt>
                <c:pt idx="24">
                  <c:v>135.04968825741315</c:v>
                </c:pt>
                <c:pt idx="25">
                  <c:v>137.63458695900124</c:v>
                </c:pt>
                <c:pt idx="26">
                  <c:v>140.2473347721681</c:v>
                </c:pt>
                <c:pt idx="27">
                  <c:v>142.79171198871586</c:v>
                </c:pt>
                <c:pt idx="28">
                  <c:v>145.3008456872646</c:v>
                </c:pt>
                <c:pt idx="29">
                  <c:v>147.80209003689217</c:v>
                </c:pt>
                <c:pt idx="30">
                  <c:v>150.30399237383418</c:v>
                </c:pt>
                <c:pt idx="31">
                  <c:v>152.84946593113568</c:v>
                </c:pt>
                <c:pt idx="32">
                  <c:v>155.29180368011259</c:v>
                </c:pt>
                <c:pt idx="33">
                  <c:v>157.8389866831242</c:v>
                </c:pt>
                <c:pt idx="34">
                  <c:v>160.14308057287593</c:v>
                </c:pt>
                <c:pt idx="35">
                  <c:v>162.24811980285588</c:v>
                </c:pt>
                <c:pt idx="36">
                  <c:v>164.10849281508959</c:v>
                </c:pt>
                <c:pt idx="37">
                  <c:v>166.06557285330032</c:v>
                </c:pt>
                <c:pt idx="38">
                  <c:v>166.27758133794333</c:v>
                </c:pt>
                <c:pt idx="39">
                  <c:v>166.30727360472079</c:v>
                </c:pt>
                <c:pt idx="40">
                  <c:v>166.34214867505162</c:v>
                </c:pt>
                <c:pt idx="41">
                  <c:v>166.37126757727336</c:v>
                </c:pt>
                <c:pt idx="42">
                  <c:v>166.39427190049241</c:v>
                </c:pt>
                <c:pt idx="43">
                  <c:v>166.48196855442512</c:v>
                </c:pt>
                <c:pt idx="44">
                  <c:v>166.52922475919266</c:v>
                </c:pt>
                <c:pt idx="45">
                  <c:v>166.70457550959622</c:v>
                </c:pt>
                <c:pt idx="46">
                  <c:v>166.77841906021806</c:v>
                </c:pt>
                <c:pt idx="47">
                  <c:v>166.82285126159178</c:v>
                </c:pt>
                <c:pt idx="48">
                  <c:v>166.952418189562</c:v>
                </c:pt>
                <c:pt idx="49">
                  <c:v>166.98344346671499</c:v>
                </c:pt>
                <c:pt idx="50">
                  <c:v>166.9979753415129</c:v>
                </c:pt>
                <c:pt idx="51">
                  <c:v>167.02518656235162</c:v>
                </c:pt>
                <c:pt idx="52">
                  <c:v>167.05683578416563</c:v>
                </c:pt>
                <c:pt idx="53">
                  <c:v>167.08464706540997</c:v>
                </c:pt>
                <c:pt idx="54">
                  <c:v>167.11309476176075</c:v>
                </c:pt>
                <c:pt idx="55">
                  <c:v>167.18691221340615</c:v>
                </c:pt>
                <c:pt idx="56">
                  <c:v>167.24567586317102</c:v>
                </c:pt>
                <c:pt idx="57">
                  <c:v>167.32053173502308</c:v>
                </c:pt>
                <c:pt idx="58">
                  <c:v>167.41564939065873</c:v>
                </c:pt>
                <c:pt idx="59">
                  <c:v>167.51692938941207</c:v>
                </c:pt>
                <c:pt idx="60">
                  <c:v>167.70211925077172</c:v>
                </c:pt>
                <c:pt idx="61">
                  <c:v>168.34973074281206</c:v>
                </c:pt>
                <c:pt idx="62">
                  <c:v>169.16403636606913</c:v>
                </c:pt>
                <c:pt idx="63">
                  <c:v>170.3528014523385</c:v>
                </c:pt>
                <c:pt idx="64">
                  <c:v>172.41882056750433</c:v>
                </c:pt>
                <c:pt idx="65">
                  <c:v>175.31805101534684</c:v>
                </c:pt>
                <c:pt idx="66">
                  <c:v>179.00480161748484</c:v>
                </c:pt>
                <c:pt idx="67">
                  <c:v>183.54598948540004</c:v>
                </c:pt>
                <c:pt idx="68">
                  <c:v>189.40478468240011</c:v>
                </c:pt>
                <c:pt idx="69">
                  <c:v>196.66421645477121</c:v>
                </c:pt>
                <c:pt idx="70">
                  <c:v>204.751865108673</c:v>
                </c:pt>
                <c:pt idx="71">
                  <c:v>213.30378348087754</c:v>
                </c:pt>
                <c:pt idx="72">
                  <c:v>222.42267400566899</c:v>
                </c:pt>
                <c:pt idx="73">
                  <c:v>232.22140319606814</c:v>
                </c:pt>
                <c:pt idx="74">
                  <c:v>242.72491367964167</c:v>
                </c:pt>
                <c:pt idx="75">
                  <c:v>253.83924742274019</c:v>
                </c:pt>
                <c:pt idx="76">
                  <c:v>265.90394286437692</c:v>
                </c:pt>
                <c:pt idx="77">
                  <c:v>278.33522144321205</c:v>
                </c:pt>
                <c:pt idx="78">
                  <c:v>291.05558485263788</c:v>
                </c:pt>
                <c:pt idx="79">
                  <c:v>303.33195943993746</c:v>
                </c:pt>
                <c:pt idx="80">
                  <c:v>317.16269539753637</c:v>
                </c:pt>
                <c:pt idx="81">
                  <c:v>331.29086507610941</c:v>
                </c:pt>
                <c:pt idx="82">
                  <c:v>345.7637311946159</c:v>
                </c:pt>
                <c:pt idx="83">
                  <c:v>360.64909358248474</c:v>
                </c:pt>
                <c:pt idx="84">
                  <c:v>376.08696839656039</c:v>
                </c:pt>
                <c:pt idx="85">
                  <c:v>392.08733151137989</c:v>
                </c:pt>
                <c:pt idx="86">
                  <c:v>408.75845041931558</c:v>
                </c:pt>
                <c:pt idx="87">
                  <c:v>426.0123671115042</c:v>
                </c:pt>
                <c:pt idx="88">
                  <c:v>444.11399770353358</c:v>
                </c:pt>
                <c:pt idx="89">
                  <c:v>462.24965958882785</c:v>
                </c:pt>
                <c:pt idx="90">
                  <c:v>480.4953478875218</c:v>
                </c:pt>
                <c:pt idx="91">
                  <c:v>498.58191349795823</c:v>
                </c:pt>
                <c:pt idx="92">
                  <c:v>516.97076550638837</c:v>
                </c:pt>
                <c:pt idx="93">
                  <c:v>535.49066377389272</c:v>
                </c:pt>
              </c:numCache>
            </c:numRef>
          </c:val>
          <c:smooth val="0"/>
          <c:extLst>
            <c:ext xmlns:c16="http://schemas.microsoft.com/office/drawing/2014/chart" uri="{C3380CC4-5D6E-409C-BE32-E72D297353CC}">
              <c16:uniqueId val="{00000002-BF7A-4118-97AA-A61AA822C6B2}"/>
            </c:ext>
          </c:extLst>
        </c:ser>
        <c:dLbls>
          <c:showLegendKey val="0"/>
          <c:showVal val="0"/>
          <c:showCatName val="0"/>
          <c:showSerName val="0"/>
          <c:showPercent val="0"/>
          <c:showBubbleSize val="0"/>
        </c:dLbls>
        <c:smooth val="0"/>
        <c:axId val="231479168"/>
        <c:axId val="231480704"/>
      </c:lineChart>
      <c:dateAx>
        <c:axId val="231479168"/>
        <c:scaling>
          <c:orientation val="minMax"/>
        </c:scaling>
        <c:delete val="1"/>
        <c:axPos val="b"/>
        <c:numFmt formatCode="mmm/yyyy" sourceLinked="0"/>
        <c:majorTickMark val="out"/>
        <c:minorTickMark val="none"/>
        <c:tickLblPos val="nextTo"/>
        <c:crossAx val="231480704"/>
        <c:crosses val="autoZero"/>
        <c:auto val="1"/>
        <c:lblOffset val="100"/>
        <c:baseTimeUnit val="months"/>
        <c:majorUnit val="2"/>
        <c:majorTimeUnit val="months"/>
        <c:minorUnit val="2"/>
        <c:minorTimeUnit val="months"/>
      </c:dateAx>
      <c:valAx>
        <c:axId val="231480704"/>
        <c:scaling>
          <c:orientation val="minMax"/>
        </c:scaling>
        <c:delete val="0"/>
        <c:axPos val="l"/>
        <c:majorGridlines>
          <c:spPr>
            <a:ln>
              <a:solidFill>
                <a:schemeClr val="bg1">
                  <a:lumMod val="85000"/>
                </a:schemeClr>
              </a:solidFill>
            </a:ln>
          </c:spPr>
        </c:majorGridlines>
        <c:title>
          <c:tx>
            <c:rich>
              <a:bodyPr/>
              <a:lstStyle/>
              <a:p>
                <a:pPr>
                  <a:defRPr/>
                </a:pPr>
                <a:r>
                  <a:rPr lang="en-US"/>
                  <a:t>Indice</a:t>
                </a:r>
              </a:p>
            </c:rich>
          </c:tx>
          <c:overlay val="0"/>
        </c:title>
        <c:numFmt formatCode="0" sourceLinked="0"/>
        <c:majorTickMark val="out"/>
        <c:minorTickMark val="none"/>
        <c:tickLblPos val="nextTo"/>
        <c:txPr>
          <a:bodyPr/>
          <a:lstStyle/>
          <a:p>
            <a:pPr>
              <a:defRPr sz="1400"/>
            </a:pPr>
            <a:endParaRPr lang="es-CL"/>
          </a:p>
        </c:txPr>
        <c:crossAx val="231479168"/>
        <c:crosses val="autoZero"/>
        <c:crossBetween val="between"/>
      </c:valAx>
      <c:spPr>
        <a:noFill/>
        <a:ln>
          <a:noFill/>
        </a:ln>
      </c:spPr>
    </c:plotArea>
    <c:legend>
      <c:legendPos val="r"/>
      <c:layout>
        <c:manualLayout>
          <c:xMode val="edge"/>
          <c:yMode val="edge"/>
          <c:x val="0.65696170427307554"/>
          <c:y val="0.85190506603808813"/>
          <c:w val="0.30925897754944615"/>
          <c:h val="0.1092172406851596"/>
        </c:manualLayout>
      </c:layout>
      <c:overlay val="1"/>
      <c:txPr>
        <a:bodyPr/>
        <a:lstStyle/>
        <a:p>
          <a:pPr>
            <a:defRPr sz="1400"/>
          </a:pPr>
          <a:endParaRPr lang="es-CL"/>
        </a:p>
      </c:txPr>
    </c:legend>
    <c:plotVisOnly val="1"/>
    <c:dispBlanksAs val="gap"/>
    <c:showDLblsOverMax val="0"/>
  </c:chart>
  <c:spPr>
    <a:noFill/>
    <a:ln>
      <a:noFill/>
    </a:ln>
  </c:spPr>
  <c:txPr>
    <a:bodyPr/>
    <a:lstStyle/>
    <a:p>
      <a:pPr>
        <a:defRPr>
          <a:latin typeface="Be Vietnam Pro Medium" pitchFamily="2" charset="0"/>
        </a:defRPr>
      </a:pPr>
      <a:endParaRPr lang="es-CL"/>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dPt>
            <c:idx val="0"/>
            <c:bubble3D val="0"/>
            <c:spPr>
              <a:solidFill>
                <a:srgbClr val="FDD900"/>
              </a:solidFill>
              <a:ln w="19050">
                <a:solidFill>
                  <a:schemeClr val="lt1"/>
                </a:solidFill>
              </a:ln>
              <a:effectLst/>
            </c:spPr>
            <c:extLst>
              <c:ext xmlns:c16="http://schemas.microsoft.com/office/drawing/2014/chart" uri="{C3380CC4-5D6E-409C-BE32-E72D297353CC}">
                <c16:uniqueId val="{00000001-17B3-4997-ADE4-65804F1E5062}"/>
              </c:ext>
            </c:extLst>
          </c:dPt>
          <c:dPt>
            <c:idx val="1"/>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2-17B3-4997-ADE4-65804F1E5062}"/>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17B3-4997-ADE4-65804F1E5062}"/>
              </c:ext>
            </c:extLst>
          </c:dPt>
          <c:dPt>
            <c:idx val="3"/>
            <c:bubble3D val="0"/>
            <c:spPr>
              <a:solidFill>
                <a:schemeClr val="accent3">
                  <a:tint val="54000"/>
                </a:schemeClr>
              </a:solidFill>
              <a:ln w="19050">
                <a:solidFill>
                  <a:schemeClr val="lt1"/>
                </a:solidFill>
              </a:ln>
              <a:effectLst/>
            </c:spPr>
            <c:extLst>
              <c:ext xmlns:c16="http://schemas.microsoft.com/office/drawing/2014/chart" uri="{C3380CC4-5D6E-409C-BE32-E72D297353CC}">
                <c16:uniqueId val="{00000004-17B3-4997-ADE4-65804F1E5062}"/>
              </c:ext>
            </c:extLst>
          </c:dPt>
          <c:cat>
            <c:strRef>
              <c:f>composición!$K$3:$K$6</c:f>
              <c:strCache>
                <c:ptCount val="4"/>
                <c:pt idx="0">
                  <c:v>Menos de 1 mes</c:v>
                </c:pt>
                <c:pt idx="1">
                  <c:v>1-3 meses</c:v>
                </c:pt>
                <c:pt idx="2">
                  <c:v>3-4 meses</c:v>
                </c:pt>
                <c:pt idx="3">
                  <c:v>Más de 4 meses</c:v>
                </c:pt>
              </c:strCache>
            </c:strRef>
          </c:cat>
          <c:val>
            <c:numRef>
              <c:f>composición!$L$3:$L$6</c:f>
              <c:numCache>
                <c:formatCode>0.00%</c:formatCode>
                <c:ptCount val="4"/>
                <c:pt idx="0">
                  <c:v>0.48782422926400032</c:v>
                </c:pt>
                <c:pt idx="1">
                  <c:v>0.18643534207589813</c:v>
                </c:pt>
                <c:pt idx="2">
                  <c:v>0</c:v>
                </c:pt>
                <c:pt idx="3">
                  <c:v>0.32574042866010161</c:v>
                </c:pt>
              </c:numCache>
            </c:numRef>
          </c:val>
          <c:extLst>
            <c:ext xmlns:c16="http://schemas.microsoft.com/office/drawing/2014/chart" uri="{C3380CC4-5D6E-409C-BE32-E72D297353CC}">
              <c16:uniqueId val="{00000000-17B3-4997-ADE4-65804F1E5062}"/>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CL"/>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dPt>
            <c:idx val="0"/>
            <c:bubble3D val="0"/>
            <c:spPr>
              <a:solidFill>
                <a:srgbClr val="FDD900"/>
              </a:solidFill>
              <a:ln w="19050">
                <a:solidFill>
                  <a:schemeClr val="lt1"/>
                </a:solidFill>
              </a:ln>
              <a:effectLst/>
            </c:spPr>
            <c:extLst>
              <c:ext xmlns:c16="http://schemas.microsoft.com/office/drawing/2014/chart" uri="{C3380CC4-5D6E-409C-BE32-E72D297353CC}">
                <c16:uniqueId val="{00000001-17B3-4997-ADE4-65804F1E5062}"/>
              </c:ext>
            </c:extLst>
          </c:dPt>
          <c:dPt>
            <c:idx val="1"/>
            <c:bubble3D val="0"/>
            <c:spPr>
              <a:solidFill>
                <a:schemeClr val="bg1">
                  <a:lumMod val="65000"/>
                </a:schemeClr>
              </a:solidFill>
              <a:ln w="19050">
                <a:solidFill>
                  <a:schemeClr val="lt1"/>
                </a:solidFill>
              </a:ln>
              <a:effectLst/>
            </c:spPr>
            <c:extLst>
              <c:ext xmlns:c16="http://schemas.microsoft.com/office/drawing/2014/chart" uri="{C3380CC4-5D6E-409C-BE32-E72D297353CC}">
                <c16:uniqueId val="{00000002-17B3-4997-ADE4-65804F1E5062}"/>
              </c:ext>
            </c:extLst>
          </c:dPt>
          <c:dPt>
            <c:idx val="2"/>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17B3-4997-ADE4-65804F1E5062}"/>
              </c:ext>
            </c:extLst>
          </c:dPt>
          <c:dPt>
            <c:idx val="3"/>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4-17B3-4997-ADE4-65804F1E5062}"/>
              </c:ext>
            </c:extLst>
          </c:dPt>
          <c:dPt>
            <c:idx val="4"/>
            <c:bubble3D val="0"/>
            <c:spPr>
              <a:solidFill>
                <a:schemeClr val="accent3">
                  <a:tint val="54000"/>
                </a:schemeClr>
              </a:solidFill>
              <a:ln w="19050">
                <a:solidFill>
                  <a:schemeClr val="lt1"/>
                </a:solidFill>
              </a:ln>
              <a:effectLst/>
            </c:spPr>
            <c:extLst>
              <c:ext xmlns:c16="http://schemas.microsoft.com/office/drawing/2014/chart" uri="{C3380CC4-5D6E-409C-BE32-E72D297353CC}">
                <c16:uniqueId val="{00000014-087D-45E1-A7D9-C84D2AF7E522}"/>
              </c:ext>
            </c:extLst>
          </c:dPt>
          <c:cat>
            <c:strRef>
              <c:f>composición!$O$2:$O$6</c:f>
              <c:strCache>
                <c:ptCount val="5"/>
                <c:pt idx="0">
                  <c:v>Bono</c:v>
                </c:pt>
                <c:pt idx="1">
                  <c:v>Depósitos</c:v>
                </c:pt>
                <c:pt idx="2">
                  <c:v>Factoring</c:v>
                </c:pt>
                <c:pt idx="3">
                  <c:v>Financiamiento Inmobiliario</c:v>
                </c:pt>
                <c:pt idx="4">
                  <c:v>Financiamiento Mesa Moneda Extranjera</c:v>
                </c:pt>
              </c:strCache>
            </c:strRef>
          </c:cat>
          <c:val>
            <c:numRef>
              <c:f>composición!$P$2:$P$6</c:f>
              <c:numCache>
                <c:formatCode>0.00%</c:formatCode>
                <c:ptCount val="5"/>
                <c:pt idx="0">
                  <c:v>0</c:v>
                </c:pt>
                <c:pt idx="1">
                  <c:v>0</c:v>
                </c:pt>
                <c:pt idx="2">
                  <c:v>0</c:v>
                </c:pt>
                <c:pt idx="3">
                  <c:v>0</c:v>
                </c:pt>
                <c:pt idx="4">
                  <c:v>1</c:v>
                </c:pt>
              </c:numCache>
            </c:numRef>
          </c:val>
          <c:extLst>
            <c:ext xmlns:c16="http://schemas.microsoft.com/office/drawing/2014/chart" uri="{C3380CC4-5D6E-409C-BE32-E72D297353CC}">
              <c16:uniqueId val="{00000000-17B3-4997-ADE4-65804F1E5062}"/>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CL"/>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5"/>
    </mc:Choice>
    <mc:Fallback>
      <c:style val="5"/>
    </mc:Fallback>
  </mc:AlternateContent>
  <c:clrMapOvr bg1="lt1" tx1="dk1" bg2="lt2" tx2="dk2" accent1="accent1" accent2="accent2" accent3="accent3" accent4="accent4" accent5="accent5" accent6="accent6" hlink="hlink" folHlink="folHlink"/>
  <c:chart>
    <c:autoTitleDeleted val="1"/>
    <c:plotArea>
      <c:layout/>
      <c:doughnutChart>
        <c:varyColors val="1"/>
        <c:ser>
          <c:idx val="0"/>
          <c:order val="0"/>
          <c:dPt>
            <c:idx val="0"/>
            <c:bubble3D val="0"/>
            <c:spPr>
              <a:solidFill>
                <a:srgbClr val="FDD900"/>
              </a:solidFill>
              <a:ln w="19050">
                <a:solidFill>
                  <a:schemeClr val="lt1"/>
                </a:solidFill>
              </a:ln>
              <a:effectLst/>
            </c:spPr>
            <c:extLst>
              <c:ext xmlns:c16="http://schemas.microsoft.com/office/drawing/2014/chart" uri="{C3380CC4-5D6E-409C-BE32-E72D297353CC}">
                <c16:uniqueId val="{00000001-17B3-4997-ADE4-65804F1E5062}"/>
              </c:ext>
            </c:extLst>
          </c:dPt>
          <c:dPt>
            <c:idx val="1"/>
            <c:bubble3D val="0"/>
            <c:spPr>
              <a:solidFill>
                <a:schemeClr val="accent3">
                  <a:tint val="30000"/>
                </a:schemeClr>
              </a:solidFill>
              <a:ln w="19050">
                <a:solidFill>
                  <a:schemeClr val="lt1"/>
                </a:solidFill>
              </a:ln>
              <a:effectLst/>
            </c:spPr>
            <c:extLst>
              <c:ext xmlns:c16="http://schemas.microsoft.com/office/drawing/2014/chart" uri="{C3380CC4-5D6E-409C-BE32-E72D297353CC}">
                <c16:uniqueId val="{00000002-17B3-4997-ADE4-65804F1E5062}"/>
              </c:ext>
            </c:extLst>
          </c:dPt>
          <c:dPt>
            <c:idx val="2"/>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17B3-4997-ADE4-65804F1E5062}"/>
              </c:ext>
            </c:extLst>
          </c:dPt>
          <c:dPt>
            <c:idx val="3"/>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4-17B3-4997-ADE4-65804F1E5062}"/>
              </c:ext>
            </c:extLst>
          </c:dPt>
          <c:dPt>
            <c:idx val="4"/>
            <c:bubble3D val="0"/>
            <c:spPr>
              <a:solidFill>
                <a:schemeClr val="accent3">
                  <a:tint val="54000"/>
                </a:schemeClr>
              </a:solidFill>
              <a:ln w="19050">
                <a:solidFill>
                  <a:schemeClr val="lt1"/>
                </a:solidFill>
              </a:ln>
              <a:effectLst/>
            </c:spPr>
            <c:extLst>
              <c:ext xmlns:c16="http://schemas.microsoft.com/office/drawing/2014/chart" uri="{C3380CC4-5D6E-409C-BE32-E72D297353CC}">
                <c16:uniqueId val="{00000012-1A4A-4078-93C9-F5DB9EA212B7}"/>
              </c:ext>
            </c:extLst>
          </c:dPt>
          <c:cat>
            <c:strRef>
              <c:f>composición!$S$3</c:f>
              <c:strCache>
                <c:ptCount val="1"/>
                <c:pt idx="0">
                  <c:v>USD</c:v>
                </c:pt>
              </c:strCache>
            </c:strRef>
          </c:cat>
          <c:val>
            <c:numRef>
              <c:f>composición!$T$3</c:f>
              <c:numCache>
                <c:formatCode>0.00%</c:formatCode>
                <c:ptCount val="1"/>
                <c:pt idx="0">
                  <c:v>1</c:v>
                </c:pt>
              </c:numCache>
            </c:numRef>
          </c:val>
          <c:extLst>
            <c:ext xmlns:c16="http://schemas.microsoft.com/office/drawing/2014/chart" uri="{C3380CC4-5D6E-409C-BE32-E72D297353CC}">
              <c16:uniqueId val="{00000000-17B3-4997-ADE4-65804F1E5062}"/>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s-C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435186</xdr:colOff>
      <xdr:row>245</xdr:row>
      <xdr:rowOff>177800</xdr:rowOff>
    </xdr:from>
    <xdr:to>
      <xdr:col>12</xdr:col>
      <xdr:colOff>804333</xdr:colOff>
      <xdr:row>274</xdr:row>
      <xdr:rowOff>75137</xdr:rowOff>
    </xdr:to>
    <xdr:graphicFrame macro="">
      <xdr:nvGraphicFramePr>
        <xdr:cNvPr id="3" name="34 Gráfico">
          <a:extLst>
            <a:ext uri="{FF2B5EF4-FFF2-40B4-BE49-F238E27FC236}">
              <a16:creationId xmlns:a16="http://schemas.microsoft.com/office/drawing/2014/main" id="{00000000-0008-0000-00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106680</xdr:colOff>
      <xdr:row>33</xdr:row>
      <xdr:rowOff>34290</xdr:rowOff>
    </xdr:from>
    <xdr:to>
      <xdr:col>8</xdr:col>
      <xdr:colOff>716280</xdr:colOff>
      <xdr:row>48</xdr:row>
      <xdr:rowOff>34290</xdr:rowOff>
    </xdr:to>
    <xdr:graphicFrame macro="">
      <xdr:nvGraphicFramePr>
        <xdr:cNvPr id="2" name="Gráfico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76200</xdr:colOff>
      <xdr:row>18</xdr:row>
      <xdr:rowOff>34290</xdr:rowOff>
    </xdr:from>
    <xdr:to>
      <xdr:col>8</xdr:col>
      <xdr:colOff>685800</xdr:colOff>
      <xdr:row>33</xdr:row>
      <xdr:rowOff>34290</xdr:rowOff>
    </xdr:to>
    <xdr:graphicFrame macro="">
      <xdr:nvGraphicFramePr>
        <xdr:cNvPr id="3" name="Gráfico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175260</xdr:colOff>
      <xdr:row>1</xdr:row>
      <xdr:rowOff>167640</xdr:rowOff>
    </xdr:from>
    <xdr:to>
      <xdr:col>8</xdr:col>
      <xdr:colOff>784860</xdr:colOff>
      <xdr:row>18</xdr:row>
      <xdr:rowOff>167640</xdr:rowOff>
    </xdr:to>
    <xdr:graphicFrame macro="">
      <xdr:nvGraphicFramePr>
        <xdr:cNvPr id="4" name="Gráfico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orge%20Valenzuela\Downloads\ICP%20hist&#243;rico%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CEB6B-1933-4299-992A-7571A5ED7496}">
  <dimension ref="A2:A3"/>
  <sheetViews>
    <sheetView showGridLines="0" workbookViewId="0">
      <selection activeCell="A22" sqref="A22"/>
    </sheetView>
  </sheetViews>
  <sheetFormatPr defaultColWidth="11.42578125" defaultRowHeight="14.45"/>
  <cols>
    <col min="1" max="1" width="76.140625" customWidth="1"/>
  </cols>
  <sheetData>
    <row r="2" spans="1:1" ht="79.900000000000006">
      <c r="A2" s="79" t="s">
        <v>0</v>
      </c>
    </row>
    <row r="3" spans="1:1" ht="16.899999999999999">
      <c r="A3" s="7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243"/>
  <sheetViews>
    <sheetView showGridLines="0" topLeftCell="AL1" zoomScale="90" zoomScaleNormal="90" workbookViewId="0">
      <pane ySplit="2" topLeftCell="A21" activePane="bottomLeft" state="frozen"/>
      <selection pane="bottomLeft" activeCell="BB29" sqref="BB29"/>
    </sheetView>
  </sheetViews>
  <sheetFormatPr defaultColWidth="12.28515625" defaultRowHeight="14.45"/>
  <cols>
    <col min="1" max="1" width="14.28515625" style="11" customWidth="1"/>
    <col min="2" max="2" width="18.140625" style="11" bestFit="1" customWidth="1"/>
    <col min="3" max="4" width="12.28515625" style="11" bestFit="1" customWidth="1"/>
    <col min="5" max="5" width="12.28515625" style="11"/>
    <col min="6" max="6" width="16.140625" style="11" customWidth="1"/>
    <col min="7" max="7" width="13.42578125" style="12" bestFit="1" customWidth="1"/>
    <col min="8" max="8" width="12.28515625" style="12" bestFit="1" customWidth="1"/>
    <col min="9" max="9" width="12.28515625" style="13" bestFit="1" customWidth="1"/>
    <col min="10" max="10" width="12.28515625" style="11" bestFit="1" customWidth="1"/>
    <col min="11" max="11" width="14.140625" style="11" bestFit="1" customWidth="1"/>
    <col min="12" max="12" width="12.28515625" style="11" bestFit="1" customWidth="1"/>
    <col min="13" max="24" width="11.85546875" style="11" bestFit="1" customWidth="1"/>
    <col min="25" max="25" width="12.28515625" style="11" bestFit="1" customWidth="1"/>
    <col min="26" max="27" width="10.85546875" style="11" bestFit="1" customWidth="1"/>
    <col min="28" max="28" width="5.5703125" style="11" bestFit="1" customWidth="1"/>
    <col min="29" max="29" width="5.7109375" style="11" bestFit="1" customWidth="1"/>
    <col min="30" max="30" width="11.28515625" style="11" bestFit="1" customWidth="1"/>
    <col min="31" max="31" width="7.7109375" style="11" bestFit="1" customWidth="1"/>
    <col min="32" max="32" width="8" style="11" customWidth="1"/>
    <col min="33" max="34" width="7.28515625" style="11" customWidth="1"/>
    <col min="35" max="35" width="7.7109375" style="11" customWidth="1"/>
    <col min="36" max="36" width="7.5703125" style="11" customWidth="1"/>
    <col min="37" max="37" width="8.140625" style="11" customWidth="1"/>
    <col min="38" max="38" width="8.85546875" style="11" customWidth="1"/>
    <col min="39" max="39" width="9.28515625" style="11" customWidth="1"/>
    <col min="40" max="40" width="9.140625" style="11" customWidth="1"/>
    <col min="41" max="41" width="9.42578125" style="11" customWidth="1"/>
    <col min="42" max="42" width="8.5703125" style="11" customWidth="1"/>
    <col min="43" max="43" width="8.5703125" style="11" bestFit="1" customWidth="1"/>
    <col min="44" max="44" width="3.85546875" style="11" customWidth="1"/>
    <col min="45" max="45" width="11.7109375" style="11" customWidth="1"/>
    <col min="46" max="46" width="12.28515625" style="11"/>
    <col min="47" max="47" width="12.7109375" style="11" customWidth="1"/>
    <col min="48" max="48" width="11.7109375" style="11" customWidth="1"/>
    <col min="49" max="49" width="14.28515625" style="11" bestFit="1" customWidth="1"/>
    <col min="50" max="51" width="13.7109375" style="11" customWidth="1"/>
    <col min="52" max="52" width="15.85546875" style="11" customWidth="1"/>
    <col min="53" max="53" width="14.28515625" style="11" customWidth="1"/>
    <col min="54" max="54" width="13.42578125" style="11" customWidth="1"/>
    <col min="55" max="16384" width="12.28515625" style="11"/>
  </cols>
  <sheetData>
    <row r="1" spans="1:45">
      <c r="A1" s="11" t="s">
        <v>1</v>
      </c>
      <c r="F1" s="11" t="s">
        <v>2</v>
      </c>
      <c r="AC1" s="14"/>
      <c r="AD1" s="15" t="s">
        <v>3</v>
      </c>
      <c r="AE1" s="16" t="s">
        <v>4</v>
      </c>
      <c r="AF1" s="16" t="s">
        <v>5</v>
      </c>
      <c r="AG1" s="16" t="s">
        <v>6</v>
      </c>
      <c r="AH1" s="16" t="s">
        <v>7</v>
      </c>
      <c r="AI1" s="16" t="s">
        <v>8</v>
      </c>
      <c r="AJ1" s="16" t="s">
        <v>9</v>
      </c>
      <c r="AK1" s="16" t="s">
        <v>10</v>
      </c>
      <c r="AL1" s="16" t="s">
        <v>11</v>
      </c>
      <c r="AM1" s="16" t="s">
        <v>12</v>
      </c>
      <c r="AN1" s="16" t="s">
        <v>13</v>
      </c>
      <c r="AO1" s="16" t="s">
        <v>14</v>
      </c>
      <c r="AP1" s="16" t="s">
        <v>15</v>
      </c>
      <c r="AQ1" s="16" t="s">
        <v>16</v>
      </c>
      <c r="AR1" s="17"/>
      <c r="AS1" s="17"/>
    </row>
    <row r="2" spans="1:45">
      <c r="A2" s="18" t="s">
        <v>17</v>
      </c>
      <c r="B2" s="18" t="s">
        <v>3</v>
      </c>
      <c r="C2" s="18"/>
      <c r="D2" s="18" t="s">
        <v>18</v>
      </c>
      <c r="E2" s="18"/>
      <c r="F2" s="18"/>
      <c r="G2" s="19"/>
      <c r="H2" s="19"/>
      <c r="J2" s="11" t="s">
        <v>19</v>
      </c>
      <c r="K2" s="20" t="s">
        <v>20</v>
      </c>
      <c r="L2" s="21"/>
      <c r="M2" s="11" t="s">
        <v>21</v>
      </c>
      <c r="P2" s="11" t="s">
        <v>4</v>
      </c>
      <c r="Q2" s="11" t="s">
        <v>5</v>
      </c>
      <c r="R2" s="11" t="s">
        <v>6</v>
      </c>
      <c r="S2" s="11" t="s">
        <v>7</v>
      </c>
      <c r="T2" s="11" t="s">
        <v>8</v>
      </c>
      <c r="U2" s="11" t="s">
        <v>9</v>
      </c>
      <c r="V2" s="11" t="s">
        <v>10</v>
      </c>
      <c r="W2" s="11" t="s">
        <v>11</v>
      </c>
      <c r="X2" s="11" t="s">
        <v>12</v>
      </c>
      <c r="Y2" s="11" t="s">
        <v>13</v>
      </c>
      <c r="Z2" s="11" t="s">
        <v>14</v>
      </c>
      <c r="AA2" s="11" t="s">
        <v>15</v>
      </c>
      <c r="AC2" s="14"/>
      <c r="AD2" s="22">
        <v>2006</v>
      </c>
      <c r="AE2" s="23">
        <f>+P3</f>
        <v>4.6342875193780178E-2</v>
      </c>
      <c r="AF2" s="23">
        <f t="shared" ref="AF2:AP16" si="0">+Q3</f>
        <v>4.4732290220770299E-2</v>
      </c>
      <c r="AG2" s="23">
        <f t="shared" si="0"/>
        <v>4.5830257739512284E-2</v>
      </c>
      <c r="AH2" s="23">
        <f t="shared" si="0"/>
        <v>4.6606977481289703E-2</v>
      </c>
      <c r="AI2" s="23">
        <f t="shared" si="0"/>
        <v>4.9331591923343604E-2</v>
      </c>
      <c r="AJ2" s="23">
        <f t="shared" si="0"/>
        <v>4.9357602671657126E-2</v>
      </c>
      <c r="AK2" s="23">
        <f t="shared" si="0"/>
        <v>4.9889227093201829E-2</v>
      </c>
      <c r="AL2" s="23">
        <f t="shared" si="0"/>
        <v>5.1624496770563258E-2</v>
      </c>
      <c r="AM2" s="23">
        <f t="shared" si="0"/>
        <v>5.2263220116978877E-2</v>
      </c>
      <c r="AN2" s="23">
        <f t="shared" si="0"/>
        <v>5.1591332392094402E-2</v>
      </c>
      <c r="AO2" s="23">
        <f t="shared" si="0"/>
        <v>5.2561022411246931E-2</v>
      </c>
      <c r="AP2" s="23">
        <f t="shared" si="0"/>
        <v>5.3584048409502927E-2</v>
      </c>
      <c r="AQ2" s="24">
        <f>+B16/B3-1</f>
        <v>5.6065201394303488E-2</v>
      </c>
      <c r="AR2" s="17"/>
      <c r="AS2" s="17"/>
    </row>
    <row r="3" spans="1:45">
      <c r="A3" s="25">
        <v>38717</v>
      </c>
      <c r="B3" s="26">
        <v>10953.14</v>
      </c>
      <c r="D3" s="27">
        <f t="shared" ref="D3:D66" si="1">B3/$B$3*100</f>
        <v>100</v>
      </c>
      <c r="E3" s="27"/>
      <c r="F3" s="27"/>
      <c r="K3" s="20"/>
      <c r="L3" s="21"/>
      <c r="N3" s="26">
        <f>B3</f>
        <v>10953.14</v>
      </c>
      <c r="O3" s="11">
        <v>2006</v>
      </c>
      <c r="P3" s="68">
        <f t="shared" ref="P3:AA16" si="2">LOOKUP(DATE($O3,P$24,P$23),$A$2:$A$2941,$C$2:$C$2941)</f>
        <v>4.6342875193780178E-2</v>
      </c>
      <c r="Q3" s="68">
        <f t="shared" si="2"/>
        <v>4.4732290220770299E-2</v>
      </c>
      <c r="R3" s="68">
        <f t="shared" si="2"/>
        <v>4.5830257739512284E-2</v>
      </c>
      <c r="S3" s="68">
        <f t="shared" si="2"/>
        <v>4.6606977481289703E-2</v>
      </c>
      <c r="T3" s="68">
        <f t="shared" si="2"/>
        <v>4.9331591923343604E-2</v>
      </c>
      <c r="U3" s="68">
        <f t="shared" si="2"/>
        <v>4.9357602671657126E-2</v>
      </c>
      <c r="V3" s="68">
        <f t="shared" si="2"/>
        <v>4.9889227093201829E-2</v>
      </c>
      <c r="W3" s="68">
        <f t="shared" si="2"/>
        <v>5.1624496770563258E-2</v>
      </c>
      <c r="X3" s="68">
        <f t="shared" si="2"/>
        <v>5.2263220116978877E-2</v>
      </c>
      <c r="Y3" s="68">
        <f t="shared" si="2"/>
        <v>5.1591332392094402E-2</v>
      </c>
      <c r="Z3" s="68">
        <f t="shared" si="2"/>
        <v>5.2561022411246931E-2</v>
      </c>
      <c r="AA3" s="68">
        <f t="shared" si="2"/>
        <v>5.3584048409502927E-2</v>
      </c>
      <c r="AC3" s="14"/>
      <c r="AD3" s="29">
        <v>2007</v>
      </c>
      <c r="AE3" s="23">
        <f t="shared" ref="AE3:AE15" si="3">+P4</f>
        <v>5.1870936379846716E-2</v>
      </c>
      <c r="AF3" s="23">
        <f t="shared" si="0"/>
        <v>5.0518330045926492E-2</v>
      </c>
      <c r="AG3" s="23">
        <f t="shared" si="0"/>
        <v>5.0448303061824802E-2</v>
      </c>
      <c r="AH3" s="23">
        <f t="shared" si="0"/>
        <v>5.0867135169078329E-2</v>
      </c>
      <c r="AI3" s="23">
        <f t="shared" si="0"/>
        <v>5.076427611690202E-2</v>
      </c>
      <c r="AJ3" s="23">
        <f t="shared" si="0"/>
        <v>5.1127127153182933E-2</v>
      </c>
      <c r="AK3" s="23">
        <f t="shared" si="0"/>
        <v>5.1715467782121605E-2</v>
      </c>
      <c r="AL3" s="23">
        <f t="shared" si="0"/>
        <v>5.4754164484803067E-2</v>
      </c>
      <c r="AM3" s="23">
        <f t="shared" si="0"/>
        <v>5.7295126517304E-2</v>
      </c>
      <c r="AN3" s="23">
        <f t="shared" si="0"/>
        <v>5.7653544465488787E-2</v>
      </c>
      <c r="AO3" s="23">
        <f t="shared" si="0"/>
        <v>5.7762752410936535E-2</v>
      </c>
      <c r="AP3" s="23">
        <f t="shared" si="0"/>
        <v>5.3519664610101367E-2</v>
      </c>
      <c r="AQ3" s="24">
        <f>+B27/B15-1</f>
        <v>5.5601351228101059E-2</v>
      </c>
      <c r="AR3" s="17"/>
      <c r="AS3" s="17"/>
    </row>
    <row r="4" spans="1:45">
      <c r="A4" s="32">
        <v>38748</v>
      </c>
      <c r="B4" s="28">
        <v>10996.85</v>
      </c>
      <c r="C4" s="33">
        <f t="shared" ref="C4:C67" si="4">(B4/B3-1)/(A4-A3)*360</f>
        <v>4.6342875193780178E-2</v>
      </c>
      <c r="D4" s="27">
        <f t="shared" si="1"/>
        <v>100.39906364750199</v>
      </c>
      <c r="E4" s="27"/>
      <c r="F4" s="27"/>
      <c r="K4" s="20" t="s">
        <v>22</v>
      </c>
      <c r="L4" s="21"/>
      <c r="O4" s="11">
        <v>2007</v>
      </c>
      <c r="P4" s="68">
        <f t="shared" si="2"/>
        <v>5.1870936379846716E-2</v>
      </c>
      <c r="Q4" s="68">
        <f t="shared" si="2"/>
        <v>5.0518330045926492E-2</v>
      </c>
      <c r="R4" s="68">
        <f t="shared" si="2"/>
        <v>5.0448303061824802E-2</v>
      </c>
      <c r="S4" s="68">
        <f t="shared" si="2"/>
        <v>5.0867135169078329E-2</v>
      </c>
      <c r="T4" s="68">
        <f t="shared" si="2"/>
        <v>5.076427611690202E-2</v>
      </c>
      <c r="U4" s="68">
        <f t="shared" si="2"/>
        <v>5.1127127153182933E-2</v>
      </c>
      <c r="V4" s="68">
        <f t="shared" si="2"/>
        <v>5.1715467782121605E-2</v>
      </c>
      <c r="W4" s="68">
        <f t="shared" si="2"/>
        <v>5.4754164484803067E-2</v>
      </c>
      <c r="X4" s="68">
        <f t="shared" si="2"/>
        <v>5.7295126517304E-2</v>
      </c>
      <c r="Y4" s="68">
        <f t="shared" si="2"/>
        <v>5.7653544465488787E-2</v>
      </c>
      <c r="Z4" s="68">
        <f t="shared" si="2"/>
        <v>5.7762752410936535E-2</v>
      </c>
      <c r="AA4" s="68">
        <f t="shared" si="2"/>
        <v>5.3519664610101367E-2</v>
      </c>
      <c r="AC4" s="14"/>
      <c r="AD4" s="22">
        <v>2008</v>
      </c>
      <c r="AE4" s="23">
        <f t="shared" si="3"/>
        <v>6.7407319713344446E-2</v>
      </c>
      <c r="AF4" s="23">
        <f t="shared" si="0"/>
        <v>6.7407319713344446E-2</v>
      </c>
      <c r="AG4" s="23">
        <f t="shared" si="0"/>
        <v>6.2928654389945465E-2</v>
      </c>
      <c r="AH4" s="23">
        <f t="shared" si="0"/>
        <v>6.2888162928238955E-2</v>
      </c>
      <c r="AI4" s="23">
        <f t="shared" si="0"/>
        <v>6.311119845234181E-2</v>
      </c>
      <c r="AJ4" s="23">
        <f t="shared" si="0"/>
        <v>6.5826560890679578E-2</v>
      </c>
      <c r="AK4" s="23">
        <f t="shared" si="0"/>
        <v>7.0932518789296503E-2</v>
      </c>
      <c r="AL4" s="23">
        <f t="shared" si="0"/>
        <v>7.4440097848913853E-2</v>
      </c>
      <c r="AM4" s="23">
        <f t="shared" si="0"/>
        <v>8.1749724313105177E-2</v>
      </c>
      <c r="AN4" s="23">
        <f t="shared" si="0"/>
        <v>8.0238877484542018E-2</v>
      </c>
      <c r="AO4" s="23">
        <f t="shared" si="0"/>
        <v>8.53725692670948E-2</v>
      </c>
      <c r="AP4" s="23">
        <f t="shared" si="0"/>
        <v>8.0235362670776855E-2</v>
      </c>
      <c r="AQ4" s="24">
        <f>+B39/B28-1</f>
        <v>6.898309272412817E-2</v>
      </c>
      <c r="AR4" s="17"/>
      <c r="AS4" s="17"/>
    </row>
    <row r="5" spans="1:45">
      <c r="A5" s="25">
        <v>38776</v>
      </c>
      <c r="B5" s="28">
        <v>11035.11</v>
      </c>
      <c r="C5" s="33">
        <f t="shared" si="4"/>
        <v>4.4732290220770299E-2</v>
      </c>
      <c r="D5" s="27">
        <f t="shared" si="1"/>
        <v>100.74836987384441</v>
      </c>
      <c r="E5" s="27"/>
      <c r="F5" s="27"/>
      <c r="O5" s="11">
        <v>2008</v>
      </c>
      <c r="P5" s="68">
        <f t="shared" si="2"/>
        <v>6.7407319713344446E-2</v>
      </c>
      <c r="Q5" s="68">
        <f t="shared" si="2"/>
        <v>6.7407319713344446E-2</v>
      </c>
      <c r="R5" s="68">
        <f t="shared" si="2"/>
        <v>6.2928654389945465E-2</v>
      </c>
      <c r="S5" s="68">
        <f t="shared" si="2"/>
        <v>6.2888162928238955E-2</v>
      </c>
      <c r="T5" s="68">
        <f t="shared" si="2"/>
        <v>6.311119845234181E-2</v>
      </c>
      <c r="U5" s="68">
        <f t="shared" si="2"/>
        <v>6.5826560890679578E-2</v>
      </c>
      <c r="V5" s="68">
        <f t="shared" si="2"/>
        <v>7.0932518789296503E-2</v>
      </c>
      <c r="W5" s="68">
        <f t="shared" si="2"/>
        <v>7.4440097848913853E-2</v>
      </c>
      <c r="X5" s="68">
        <f t="shared" si="2"/>
        <v>8.1749724313105177E-2</v>
      </c>
      <c r="Y5" s="68">
        <f t="shared" si="2"/>
        <v>8.0238877484542018E-2</v>
      </c>
      <c r="Z5" s="68">
        <f t="shared" si="2"/>
        <v>8.53725692670948E-2</v>
      </c>
      <c r="AA5" s="68">
        <f t="shared" si="2"/>
        <v>8.0235362670776855E-2</v>
      </c>
      <c r="AC5" s="14"/>
      <c r="AD5" s="29">
        <v>2009</v>
      </c>
      <c r="AE5" s="23">
        <f t="shared" si="3"/>
        <v>7.7907109341338376E-2</v>
      </c>
      <c r="AF5" s="23">
        <f t="shared" si="0"/>
        <v>5.9567803470242771E-2</v>
      </c>
      <c r="AG5" s="23">
        <f t="shared" si="0"/>
        <v>3.3284855007800485E-2</v>
      </c>
      <c r="AH5" s="23">
        <f t="shared" si="0"/>
        <v>1.9415629400551637E-2</v>
      </c>
      <c r="AI5" s="23">
        <f t="shared" si="0"/>
        <v>1.341210650975014E-2</v>
      </c>
      <c r="AJ5" s="23">
        <f t="shared" si="0"/>
        <v>1.0261941030906274E-2</v>
      </c>
      <c r="AK5" s="23">
        <f t="shared" si="0"/>
        <v>5.4663009917644088E-3</v>
      </c>
      <c r="AL5" s="23">
        <f t="shared" si="0"/>
        <v>4.12834487942919E-3</v>
      </c>
      <c r="AM5" s="23">
        <f t="shared" si="0"/>
        <v>4.4898336372378722E-3</v>
      </c>
      <c r="AN5" s="23">
        <f t="shared" si="0"/>
        <v>4.2267959940085476E-3</v>
      </c>
      <c r="AO5" s="23">
        <f t="shared" si="0"/>
        <v>4.15875598075411E-3</v>
      </c>
      <c r="AP5" s="23">
        <f t="shared" si="0"/>
        <v>4.3490069876329605E-3</v>
      </c>
      <c r="AQ5" s="24">
        <f>+B51/B39-1</f>
        <v>2.0141080165585912E-2</v>
      </c>
      <c r="AR5" s="17"/>
      <c r="AS5" s="17"/>
    </row>
    <row r="6" spans="1:45">
      <c r="A6" s="25">
        <v>38807</v>
      </c>
      <c r="B6" s="28">
        <v>11078.66</v>
      </c>
      <c r="C6" s="33">
        <f t="shared" si="4"/>
        <v>4.5830257739512284E-2</v>
      </c>
      <c r="D6" s="27">
        <f t="shared" si="1"/>
        <v>101.14597275301878</v>
      </c>
      <c r="E6" s="27"/>
      <c r="F6" s="27"/>
      <c r="O6" s="11">
        <v>2009</v>
      </c>
      <c r="P6" s="68">
        <f t="shared" si="2"/>
        <v>7.7907109341338376E-2</v>
      </c>
      <c r="Q6" s="68">
        <f t="shared" si="2"/>
        <v>5.9567803470242771E-2</v>
      </c>
      <c r="R6" s="68">
        <f t="shared" si="2"/>
        <v>3.3284855007800485E-2</v>
      </c>
      <c r="S6" s="68">
        <f t="shared" si="2"/>
        <v>1.9415629400551637E-2</v>
      </c>
      <c r="T6" s="68">
        <f t="shared" si="2"/>
        <v>1.341210650975014E-2</v>
      </c>
      <c r="U6" s="68">
        <f t="shared" si="2"/>
        <v>1.0261941030906274E-2</v>
      </c>
      <c r="V6" s="68">
        <f t="shared" si="2"/>
        <v>5.4663009917644088E-3</v>
      </c>
      <c r="W6" s="68">
        <f t="shared" si="2"/>
        <v>4.12834487942919E-3</v>
      </c>
      <c r="X6" s="68">
        <f t="shared" si="2"/>
        <v>4.4898336372378722E-3</v>
      </c>
      <c r="Y6" s="68">
        <f t="shared" si="2"/>
        <v>4.2267959940085476E-3</v>
      </c>
      <c r="Z6" s="68">
        <f t="shared" si="2"/>
        <v>4.15875598075411E-3</v>
      </c>
      <c r="AA6" s="68">
        <f t="shared" si="2"/>
        <v>4.3490069876329605E-3</v>
      </c>
      <c r="AC6" s="14"/>
      <c r="AD6" s="22">
        <v>2010</v>
      </c>
      <c r="AE6" s="23">
        <f t="shared" si="3"/>
        <v>4.4236856027135181E-3</v>
      </c>
      <c r="AF6" s="23">
        <f t="shared" si="0"/>
        <v>4.1268591355768181E-3</v>
      </c>
      <c r="AG6" s="23">
        <f t="shared" si="0"/>
        <v>4.3019596748542195E-3</v>
      </c>
      <c r="AH6" s="23">
        <f t="shared" si="0"/>
        <v>4.3525864840487927E-3</v>
      </c>
      <c r="AI6" s="23">
        <f t="shared" si="0"/>
        <v>4.2367522891621186E-3</v>
      </c>
      <c r="AJ6" s="23">
        <f t="shared" si="0"/>
        <v>6.6499419627819023E-3</v>
      </c>
      <c r="AK6" s="23">
        <f t="shared" si="0"/>
        <v>1.1756693037146883E-2</v>
      </c>
      <c r="AL6" s="23">
        <f t="shared" si="0"/>
        <v>1.7849946052000965E-2</v>
      </c>
      <c r="AM6" s="23">
        <f t="shared" si="0"/>
        <v>2.2019811559507833E-2</v>
      </c>
      <c r="AN6" s="23">
        <f t="shared" si="0"/>
        <v>2.6733549533162513E-2</v>
      </c>
      <c r="AO6" s="23">
        <f t="shared" si="0"/>
        <v>2.8717481033468939E-2</v>
      </c>
      <c r="AP6" s="23">
        <f t="shared" si="0"/>
        <v>3.4374418175004612E-2</v>
      </c>
      <c r="AQ6" s="24">
        <f>+B63/B51-1</f>
        <v>1.4511422033834709E-2</v>
      </c>
      <c r="AR6" s="17"/>
      <c r="AS6" s="17"/>
    </row>
    <row r="7" spans="1:45">
      <c r="A7" s="25">
        <v>38835</v>
      </c>
      <c r="B7" s="28">
        <v>11118.82</v>
      </c>
      <c r="C7" s="33">
        <f t="shared" si="4"/>
        <v>4.6606977481289703E-2</v>
      </c>
      <c r="D7" s="27">
        <f t="shared" si="1"/>
        <v>101.51262560325168</v>
      </c>
      <c r="E7" s="27"/>
      <c r="F7" s="27"/>
      <c r="O7" s="11">
        <v>2010</v>
      </c>
      <c r="P7" s="68">
        <f t="shared" si="2"/>
        <v>4.4236856027135181E-3</v>
      </c>
      <c r="Q7" s="68">
        <f t="shared" si="2"/>
        <v>4.1268591355768181E-3</v>
      </c>
      <c r="R7" s="68">
        <f t="shared" si="2"/>
        <v>4.3019596748542195E-3</v>
      </c>
      <c r="S7" s="68">
        <f t="shared" si="2"/>
        <v>4.3525864840487927E-3</v>
      </c>
      <c r="T7" s="68">
        <f t="shared" si="2"/>
        <v>4.2367522891621186E-3</v>
      </c>
      <c r="U7" s="68">
        <f t="shared" si="2"/>
        <v>6.6499419627819023E-3</v>
      </c>
      <c r="V7" s="68">
        <f t="shared" si="2"/>
        <v>1.1756693037146883E-2</v>
      </c>
      <c r="W7" s="68">
        <f t="shared" si="2"/>
        <v>1.7849946052000965E-2</v>
      </c>
      <c r="X7" s="68">
        <f t="shared" si="2"/>
        <v>2.2019811559507833E-2</v>
      </c>
      <c r="Y7" s="68">
        <f t="shared" si="2"/>
        <v>2.6733549533162513E-2</v>
      </c>
      <c r="Z7" s="68">
        <f t="shared" si="2"/>
        <v>2.8717481033468939E-2</v>
      </c>
      <c r="AA7" s="68">
        <f t="shared" si="2"/>
        <v>3.4374418175004612E-2</v>
      </c>
      <c r="AC7" s="14"/>
      <c r="AD7" s="29">
        <v>2011</v>
      </c>
      <c r="AE7" s="23">
        <f t="shared" si="3"/>
        <v>2.9360882685210581E-2</v>
      </c>
      <c r="AF7" s="23">
        <f t="shared" si="0"/>
        <v>3.3363596819551776E-2</v>
      </c>
      <c r="AG7" s="23">
        <f t="shared" si="0"/>
        <v>3.7259235720033625E-2</v>
      </c>
      <c r="AH7" s="23">
        <f t="shared" si="0"/>
        <v>4.2814941551768869E-2</v>
      </c>
      <c r="AI7" s="23">
        <f t="shared" si="0"/>
        <v>4.7785782879994632E-2</v>
      </c>
      <c r="AJ7" s="23">
        <f t="shared" si="0"/>
        <v>5.1244954901587647E-2</v>
      </c>
      <c r="AK7" s="23">
        <f t="shared" si="0"/>
        <v>5.2534722918067114E-2</v>
      </c>
      <c r="AL7" s="23">
        <f t="shared" si="0"/>
        <v>5.2655629897598158E-2</v>
      </c>
      <c r="AM7" s="23">
        <f t="shared" si="0"/>
        <v>5.2515506250254695E-2</v>
      </c>
      <c r="AN7" s="23">
        <f t="shared" si="0"/>
        <v>4.7527813991103021E-2</v>
      </c>
      <c r="AO7" s="23">
        <f t="shared" si="0"/>
        <v>5.7815841249970745E-2</v>
      </c>
      <c r="AP7" s="23">
        <f t="shared" si="0"/>
        <v>5.2521212370319148E-2</v>
      </c>
      <c r="AQ7" s="24">
        <f>+B75/B63-1</f>
        <v>4.8044321755714048E-2</v>
      </c>
      <c r="AR7" s="17"/>
      <c r="AS7" s="17"/>
    </row>
    <row r="8" spans="1:45">
      <c r="A8" s="25">
        <v>38868</v>
      </c>
      <c r="B8" s="28">
        <v>11169.1</v>
      </c>
      <c r="C8" s="33">
        <f t="shared" si="4"/>
        <v>4.9331591923343604E-2</v>
      </c>
      <c r="D8" s="27">
        <f t="shared" si="1"/>
        <v>101.97167205020661</v>
      </c>
      <c r="E8" s="27"/>
      <c r="F8" s="27"/>
      <c r="O8" s="11">
        <v>2011</v>
      </c>
      <c r="P8" s="68">
        <f t="shared" si="2"/>
        <v>2.9360882685210581E-2</v>
      </c>
      <c r="Q8" s="68">
        <f t="shared" si="2"/>
        <v>3.3363596819551776E-2</v>
      </c>
      <c r="R8" s="68">
        <f t="shared" si="2"/>
        <v>3.7259235720033625E-2</v>
      </c>
      <c r="S8" s="68">
        <f t="shared" si="2"/>
        <v>4.2814941551768869E-2</v>
      </c>
      <c r="T8" s="68">
        <f t="shared" si="2"/>
        <v>4.7785782879994632E-2</v>
      </c>
      <c r="U8" s="68">
        <f t="shared" si="2"/>
        <v>5.1244954901587647E-2</v>
      </c>
      <c r="V8" s="68">
        <f t="shared" si="2"/>
        <v>5.2534722918067114E-2</v>
      </c>
      <c r="W8" s="68">
        <f t="shared" si="2"/>
        <v>5.2655629897598158E-2</v>
      </c>
      <c r="X8" s="68">
        <f t="shared" si="2"/>
        <v>5.2515506250254695E-2</v>
      </c>
      <c r="Y8" s="68">
        <f t="shared" si="2"/>
        <v>4.7527813991103021E-2</v>
      </c>
      <c r="Z8" s="68">
        <f t="shared" si="2"/>
        <v>5.7815841249970745E-2</v>
      </c>
      <c r="AA8" s="68">
        <f t="shared" si="2"/>
        <v>5.2521212370319148E-2</v>
      </c>
      <c r="AC8" s="14"/>
      <c r="AD8" s="22">
        <v>2012</v>
      </c>
      <c r="AE8" s="23">
        <f t="shared" si="3"/>
        <v>5.0603698819484955E-2</v>
      </c>
      <c r="AF8" s="23">
        <f t="shared" si="0"/>
        <v>5.0603698819484955E-2</v>
      </c>
      <c r="AG8" s="23">
        <f t="shared" si="0"/>
        <v>5.0094902148992482E-2</v>
      </c>
      <c r="AH8" s="23">
        <f t="shared" si="0"/>
        <v>5.0057361044930783E-2</v>
      </c>
      <c r="AI8" s="23">
        <f t="shared" si="0"/>
        <v>5.0221147461380858E-2</v>
      </c>
      <c r="AJ8" s="23">
        <f t="shared" si="0"/>
        <v>5.0229493249892829E-2</v>
      </c>
      <c r="AK8" s="23">
        <f t="shared" si="0"/>
        <v>4.9903241096495854E-2</v>
      </c>
      <c r="AL8" s="23">
        <f t="shared" si="0"/>
        <v>4.9885675346617239E-2</v>
      </c>
      <c r="AM8" s="23">
        <f t="shared" si="0"/>
        <v>5.0285790666728357E-2</v>
      </c>
      <c r="AN8" s="23">
        <f t="shared" si="0"/>
        <v>5.0304000284570355E-2</v>
      </c>
      <c r="AO8" s="23">
        <f t="shared" si="0"/>
        <v>5.0163099044126191E-2</v>
      </c>
      <c r="AP8" s="23">
        <f t="shared" si="0"/>
        <v>4.521487426692998E-2</v>
      </c>
      <c r="AQ8" s="24">
        <f>+B87/B76-1</f>
        <v>4.7190367214137385E-2</v>
      </c>
      <c r="AR8" s="17"/>
      <c r="AS8" s="17"/>
    </row>
    <row r="9" spans="1:45">
      <c r="A9" s="25">
        <v>38898</v>
      </c>
      <c r="B9" s="28">
        <v>11215.04</v>
      </c>
      <c r="C9" s="33">
        <f t="shared" si="4"/>
        <v>4.9357602671657126E-2</v>
      </c>
      <c r="D9" s="27">
        <f t="shared" si="1"/>
        <v>102.39109515627483</v>
      </c>
      <c r="E9" s="27"/>
      <c r="F9" s="27"/>
      <c r="O9" s="11">
        <v>2012</v>
      </c>
      <c r="P9" s="68">
        <f t="shared" si="2"/>
        <v>5.0603698819484955E-2</v>
      </c>
      <c r="Q9" s="68">
        <f t="shared" si="2"/>
        <v>5.0603698819484955E-2</v>
      </c>
      <c r="R9" s="68">
        <f t="shared" si="2"/>
        <v>5.0094902148992482E-2</v>
      </c>
      <c r="S9" s="68">
        <f t="shared" si="2"/>
        <v>5.0057361044930783E-2</v>
      </c>
      <c r="T9" s="68">
        <f t="shared" si="2"/>
        <v>5.0221147461380858E-2</v>
      </c>
      <c r="U9" s="68">
        <f t="shared" si="2"/>
        <v>5.0229493249892829E-2</v>
      </c>
      <c r="V9" s="68">
        <f t="shared" si="2"/>
        <v>4.9903241096495854E-2</v>
      </c>
      <c r="W9" s="68">
        <f t="shared" si="2"/>
        <v>4.9885675346617239E-2</v>
      </c>
      <c r="X9" s="68">
        <f t="shared" si="2"/>
        <v>5.0285790666728357E-2</v>
      </c>
      <c r="Y9" s="68">
        <f t="shared" si="2"/>
        <v>5.0304000284570355E-2</v>
      </c>
      <c r="Z9" s="68">
        <f t="shared" si="2"/>
        <v>5.0163099044126191E-2</v>
      </c>
      <c r="AA9" s="68">
        <f t="shared" si="2"/>
        <v>4.521487426692998E-2</v>
      </c>
      <c r="AC9" s="14"/>
      <c r="AD9" s="29">
        <v>2013</v>
      </c>
      <c r="AE9" s="23">
        <f t="shared" si="3"/>
        <v>5.4823260288449471E-2</v>
      </c>
      <c r="AF9" s="23">
        <f t="shared" si="0"/>
        <v>5.0094391934539323E-2</v>
      </c>
      <c r="AG9" s="23">
        <f t="shared" si="0"/>
        <v>4.835264768423507E-2</v>
      </c>
      <c r="AH9" s="23">
        <f t="shared" si="0"/>
        <v>5.1616341547918165E-2</v>
      </c>
      <c r="AI9" s="23">
        <f t="shared" si="0"/>
        <v>5.0242936796612458E-2</v>
      </c>
      <c r="AJ9" s="23">
        <f t="shared" si="0"/>
        <v>5.0110371507475611E-2</v>
      </c>
      <c r="AK9" s="23">
        <f t="shared" si="0"/>
        <v>5.0322515740502442E-2</v>
      </c>
      <c r="AL9" s="23">
        <f t="shared" si="0"/>
        <v>5.0124118911972097E-2</v>
      </c>
      <c r="AM9" s="23">
        <f t="shared" si="0"/>
        <v>5.0112376192160871E-2</v>
      </c>
      <c r="AN9" s="23">
        <f t="shared" si="0"/>
        <v>4.7505658283903816E-2</v>
      </c>
      <c r="AO9" s="23">
        <f t="shared" si="0"/>
        <v>4.8444117365118444E-2</v>
      </c>
      <c r="AP9" s="23">
        <f t="shared" si="0"/>
        <v>4.3674183768746266E-2</v>
      </c>
      <c r="AQ9" s="24">
        <f>+B99/B87-1</f>
        <v>5.1480393340577635E-2</v>
      </c>
      <c r="AR9" s="17"/>
      <c r="AS9" s="17"/>
    </row>
    <row r="10" spans="1:45">
      <c r="A10" s="25">
        <v>38929</v>
      </c>
      <c r="B10" s="28">
        <v>11263.22</v>
      </c>
      <c r="C10" s="33">
        <f t="shared" si="4"/>
        <v>4.9889227093201829E-2</v>
      </c>
      <c r="D10" s="27">
        <f t="shared" si="1"/>
        <v>102.83096901892974</v>
      </c>
      <c r="E10" s="27"/>
      <c r="F10" s="27"/>
      <c r="O10" s="11">
        <v>2013</v>
      </c>
      <c r="P10" s="68">
        <f t="shared" si="2"/>
        <v>5.4823260288449471E-2</v>
      </c>
      <c r="Q10" s="68">
        <f t="shared" si="2"/>
        <v>5.0094391934539323E-2</v>
      </c>
      <c r="R10" s="68">
        <f t="shared" si="2"/>
        <v>4.835264768423507E-2</v>
      </c>
      <c r="S10" s="68">
        <f t="shared" si="2"/>
        <v>5.1616341547918165E-2</v>
      </c>
      <c r="T10" s="68">
        <f t="shared" si="2"/>
        <v>5.0242936796612458E-2</v>
      </c>
      <c r="U10" s="68">
        <f t="shared" si="2"/>
        <v>5.0110371507475611E-2</v>
      </c>
      <c r="V10" s="68">
        <f t="shared" si="2"/>
        <v>5.0322515740502442E-2</v>
      </c>
      <c r="W10" s="68">
        <f t="shared" si="2"/>
        <v>5.0124118911972097E-2</v>
      </c>
      <c r="X10" s="68">
        <f t="shared" si="2"/>
        <v>5.0112376192160871E-2</v>
      </c>
      <c r="Y10" s="68">
        <f t="shared" si="2"/>
        <v>4.7505658283903816E-2</v>
      </c>
      <c r="Z10" s="68">
        <f t="shared" si="2"/>
        <v>4.8444117365118444E-2</v>
      </c>
      <c r="AA10" s="68">
        <f t="shared" si="2"/>
        <v>4.3674183768746266E-2</v>
      </c>
      <c r="AC10" s="14"/>
      <c r="AD10" s="22">
        <v>2014</v>
      </c>
      <c r="AE10" s="23">
        <f t="shared" si="3"/>
        <v>4.6501455470122841E-2</v>
      </c>
      <c r="AF10" s="23">
        <f t="shared" si="0"/>
        <v>4.4130321419378733E-2</v>
      </c>
      <c r="AG10" s="23">
        <f t="shared" si="0"/>
        <v>4.1223402978681871E-2</v>
      </c>
      <c r="AH10" s="23">
        <f t="shared" si="0"/>
        <v>4.0054187990935297E-2</v>
      </c>
      <c r="AI10" s="23">
        <f t="shared" si="0"/>
        <v>4.0049228276954452E-2</v>
      </c>
      <c r="AJ10" s="23">
        <f t="shared" si="0"/>
        <v>4.0055035539574999E-2</v>
      </c>
      <c r="AK10" s="23">
        <f t="shared" si="0"/>
        <v>3.8916336586053819E-2</v>
      </c>
      <c r="AL10" s="23">
        <f t="shared" si="0"/>
        <v>3.6608030247457304E-2</v>
      </c>
      <c r="AM10" s="23">
        <f t="shared" si="0"/>
        <v>3.3392714711788785E-2</v>
      </c>
      <c r="AN10" s="23">
        <f t="shared" si="0"/>
        <v>3.0537254566180339E-2</v>
      </c>
      <c r="AO10" s="23">
        <f t="shared" si="0"/>
        <v>3.1149140054469449E-2</v>
      </c>
      <c r="AP10" s="23">
        <f t="shared" si="0"/>
        <v>2.9139972797988471E-2</v>
      </c>
      <c r="AQ10" s="24">
        <f>+B111/B100-1</f>
        <v>3.463111043336542E-2</v>
      </c>
      <c r="AR10" s="17"/>
      <c r="AS10" s="17"/>
    </row>
    <row r="11" spans="1:45">
      <c r="A11" s="25">
        <v>38960</v>
      </c>
      <c r="B11" s="28">
        <v>11313.29</v>
      </c>
      <c r="C11" s="33">
        <f t="shared" si="4"/>
        <v>5.1624496770563258E-2</v>
      </c>
      <c r="D11" s="27">
        <f t="shared" si="1"/>
        <v>103.28809820745468</v>
      </c>
      <c r="E11" s="27"/>
      <c r="F11" s="27"/>
      <c r="O11" s="11">
        <v>2014</v>
      </c>
      <c r="P11" s="68">
        <f t="shared" si="2"/>
        <v>4.6501455470122841E-2</v>
      </c>
      <c r="Q11" s="68">
        <f t="shared" si="2"/>
        <v>4.4130321419378733E-2</v>
      </c>
      <c r="R11" s="68">
        <f t="shared" si="2"/>
        <v>4.1223402978681871E-2</v>
      </c>
      <c r="S11" s="68">
        <f t="shared" si="2"/>
        <v>4.0054187990935297E-2</v>
      </c>
      <c r="T11" s="68">
        <f t="shared" si="2"/>
        <v>4.0049228276954452E-2</v>
      </c>
      <c r="U11" s="68">
        <f t="shared" si="2"/>
        <v>4.0055035539574999E-2</v>
      </c>
      <c r="V11" s="68">
        <f t="shared" si="2"/>
        <v>3.8916336586053819E-2</v>
      </c>
      <c r="W11" s="68">
        <f t="shared" si="2"/>
        <v>3.6608030247457304E-2</v>
      </c>
      <c r="X11" s="68">
        <f t="shared" si="2"/>
        <v>3.3392714711788785E-2</v>
      </c>
      <c r="Y11" s="68">
        <f t="shared" si="2"/>
        <v>3.0537254566180339E-2</v>
      </c>
      <c r="Z11" s="68">
        <f t="shared" si="2"/>
        <v>3.1149140054469449E-2</v>
      </c>
      <c r="AA11" s="68">
        <f t="shared" si="2"/>
        <v>2.9139972797988471E-2</v>
      </c>
      <c r="AC11" s="14"/>
      <c r="AD11" s="29">
        <v>2015</v>
      </c>
      <c r="AE11" s="23">
        <f t="shared" si="3"/>
        <v>3.1069506598400132E-2</v>
      </c>
      <c r="AF11" s="23">
        <f t="shared" si="0"/>
        <v>3.0021119264119923E-2</v>
      </c>
      <c r="AG11" s="23">
        <f t="shared" si="0"/>
        <v>3.0057254532421807E-2</v>
      </c>
      <c r="AH11" s="23">
        <f t="shared" si="0"/>
        <v>3.0059442364430033E-2</v>
      </c>
      <c r="AI11" s="23">
        <f t="shared" si="0"/>
        <v>3.0022068131990209E-2</v>
      </c>
      <c r="AJ11" s="23">
        <f t="shared" si="0"/>
        <v>3.0027983360393085E-2</v>
      </c>
      <c r="AK11" s="23">
        <f t="shared" si="0"/>
        <v>3.0014998133282976E-2</v>
      </c>
      <c r="AL11" s="23">
        <f t="shared" si="0"/>
        <v>3.0007682915001534E-2</v>
      </c>
      <c r="AM11" s="23">
        <f t="shared" si="0"/>
        <v>3.0068708877275089E-2</v>
      </c>
      <c r="AN11" s="23">
        <f t="shared" si="0"/>
        <v>3.1232480050515044E-2</v>
      </c>
      <c r="AO11" s="23">
        <f t="shared" si="0"/>
        <v>3.2545168694854236E-2</v>
      </c>
      <c r="AP11" s="23">
        <f t="shared" si="0"/>
        <v>3.2426483014432558E-2</v>
      </c>
      <c r="AQ11" s="24">
        <f>+B123/B111-1</f>
        <v>3.1506145181407819E-2</v>
      </c>
      <c r="AR11" s="17"/>
      <c r="AS11" s="17"/>
    </row>
    <row r="12" spans="1:45">
      <c r="A12" s="25">
        <v>38989</v>
      </c>
      <c r="B12" s="28">
        <v>11360.92</v>
      </c>
      <c r="C12" s="33">
        <f t="shared" si="4"/>
        <v>5.2263220116978877E-2</v>
      </c>
      <c r="D12" s="27">
        <f t="shared" si="1"/>
        <v>103.72295067898338</v>
      </c>
      <c r="E12" s="27"/>
      <c r="F12" s="27"/>
      <c r="O12" s="11">
        <v>2015</v>
      </c>
      <c r="P12" s="68">
        <f t="shared" si="2"/>
        <v>3.1069506598400132E-2</v>
      </c>
      <c r="Q12" s="68">
        <f t="shared" si="2"/>
        <v>3.0021119264119923E-2</v>
      </c>
      <c r="R12" s="68">
        <f t="shared" si="2"/>
        <v>3.0057254532421807E-2</v>
      </c>
      <c r="S12" s="68">
        <f t="shared" si="2"/>
        <v>3.0059442364430033E-2</v>
      </c>
      <c r="T12" s="68">
        <f t="shared" si="2"/>
        <v>3.0022068131990209E-2</v>
      </c>
      <c r="U12" s="68">
        <f t="shared" si="2"/>
        <v>3.0027983360393085E-2</v>
      </c>
      <c r="V12" s="68">
        <f t="shared" si="2"/>
        <v>3.0014998133282976E-2</v>
      </c>
      <c r="W12" s="68">
        <f t="shared" si="2"/>
        <v>3.0007682915001534E-2</v>
      </c>
      <c r="X12" s="68">
        <f t="shared" si="2"/>
        <v>3.0068708877275089E-2</v>
      </c>
      <c r="Y12" s="68">
        <f t="shared" si="2"/>
        <v>3.1232480050515044E-2</v>
      </c>
      <c r="Z12" s="68">
        <f t="shared" si="2"/>
        <v>3.2545168694854236E-2</v>
      </c>
      <c r="AA12" s="68">
        <f t="shared" si="2"/>
        <v>3.2426483014432558E-2</v>
      </c>
      <c r="AC12" s="14"/>
      <c r="AD12" s="22">
        <v>2016</v>
      </c>
      <c r="AE12" s="23">
        <f t="shared" si="3"/>
        <v>3.6266132960054508E-2</v>
      </c>
      <c r="AF12" s="23">
        <f t="shared" si="0"/>
        <v>3.6266132960054508E-2</v>
      </c>
      <c r="AG12" s="23">
        <f t="shared" si="0"/>
        <v>3.5052260419279627E-2</v>
      </c>
      <c r="AH12" s="23">
        <f t="shared" si="0"/>
        <v>3.5042237204636388E-2</v>
      </c>
      <c r="AI12" s="23">
        <f t="shared" si="0"/>
        <v>3.5056812866168519E-2</v>
      </c>
      <c r="AJ12" s="23">
        <f t="shared" si="0"/>
        <v>3.5046453502799224E-2</v>
      </c>
      <c r="AK12" s="23">
        <f t="shared" si="0"/>
        <v>3.4781616479192215E-2</v>
      </c>
      <c r="AL12" s="23">
        <f t="shared" si="0"/>
        <v>3.5314291267060559E-2</v>
      </c>
      <c r="AM12" s="23">
        <f t="shared" si="0"/>
        <v>3.5041374587388319E-2</v>
      </c>
      <c r="AN12" s="23">
        <f t="shared" si="0"/>
        <v>3.5050866033243311E-2</v>
      </c>
      <c r="AO12" s="23">
        <f t="shared" si="0"/>
        <v>3.5042256907200198E-2</v>
      </c>
      <c r="AP12" s="23">
        <f t="shared" si="0"/>
        <v>3.5305368218639124E-2</v>
      </c>
      <c r="AQ12" s="24">
        <f>+B135/B123-1</f>
        <v>3.6343837890229658E-2</v>
      </c>
      <c r="AR12" s="34"/>
      <c r="AS12" s="17"/>
    </row>
    <row r="13" spans="1:45">
      <c r="A13" s="25">
        <v>39021</v>
      </c>
      <c r="B13" s="28">
        <v>11413.02</v>
      </c>
      <c r="C13" s="33">
        <f t="shared" si="4"/>
        <v>5.1591332392094402E-2</v>
      </c>
      <c r="D13" s="27">
        <f t="shared" si="1"/>
        <v>104.19861336566501</v>
      </c>
      <c r="E13" s="27"/>
      <c r="F13" s="27"/>
      <c r="O13" s="11">
        <v>2016</v>
      </c>
      <c r="P13" s="68">
        <f t="shared" si="2"/>
        <v>3.6266132960054508E-2</v>
      </c>
      <c r="Q13" s="68">
        <f t="shared" si="2"/>
        <v>3.6266132960054508E-2</v>
      </c>
      <c r="R13" s="68">
        <f t="shared" si="2"/>
        <v>3.5052260419279627E-2</v>
      </c>
      <c r="S13" s="68">
        <f t="shared" si="2"/>
        <v>3.5042237204636388E-2</v>
      </c>
      <c r="T13" s="68">
        <f t="shared" si="2"/>
        <v>3.5056812866168519E-2</v>
      </c>
      <c r="U13" s="68">
        <f t="shared" si="2"/>
        <v>3.5046453502799224E-2</v>
      </c>
      <c r="V13" s="68">
        <f t="shared" si="2"/>
        <v>3.4781616479192215E-2</v>
      </c>
      <c r="W13" s="68">
        <f t="shared" si="2"/>
        <v>3.5314291267060559E-2</v>
      </c>
      <c r="X13" s="68">
        <f t="shared" si="2"/>
        <v>3.5041374587388319E-2</v>
      </c>
      <c r="Y13" s="68">
        <f t="shared" si="2"/>
        <v>3.5050866033243311E-2</v>
      </c>
      <c r="Z13" s="68">
        <f t="shared" si="2"/>
        <v>3.5042256907200198E-2</v>
      </c>
      <c r="AA13" s="68">
        <f t="shared" si="2"/>
        <v>3.5305368218639124E-2</v>
      </c>
      <c r="AC13" s="14"/>
      <c r="AD13" s="29">
        <v>2017</v>
      </c>
      <c r="AE13" s="23">
        <f t="shared" si="3"/>
        <v>3.3637248794313165E-2</v>
      </c>
      <c r="AF13" s="23">
        <f t="shared" si="0"/>
        <v>3.2162392463674597E-2</v>
      </c>
      <c r="AG13" s="23">
        <f t="shared" si="0"/>
        <v>3.1379481788438662E-2</v>
      </c>
      <c r="AH13" s="23">
        <f t="shared" si="0"/>
        <v>2.7058954260655632E-2</v>
      </c>
      <c r="AI13" s="23">
        <f t="shared" si="0"/>
        <v>2.8306085159038336E-2</v>
      </c>
      <c r="AJ13" s="23">
        <f t="shared" si="0"/>
        <v>2.5047090913111525E-2</v>
      </c>
      <c r="AK13" s="23">
        <f t="shared" si="0"/>
        <v>2.5043122061538376E-2</v>
      </c>
      <c r="AL13" s="23">
        <f t="shared" si="0"/>
        <v>2.5015468419039889E-2</v>
      </c>
      <c r="AM13" s="23">
        <f t="shared" si="0"/>
        <v>2.4990117691613634E-2</v>
      </c>
      <c r="AN13" s="23">
        <f t="shared" si="0"/>
        <v>2.505892948670075E-2</v>
      </c>
      <c r="AO13" s="23">
        <f t="shared" si="0"/>
        <v>2.5031497013044302E-2</v>
      </c>
      <c r="AP13" s="23">
        <f t="shared" si="0"/>
        <v>1.0483683088116879E-2</v>
      </c>
      <c r="AQ13" s="24">
        <f>+B147/B135-1</f>
        <v>2.6740437882066592E-2</v>
      </c>
      <c r="AR13" s="34"/>
      <c r="AS13" s="17"/>
    </row>
    <row r="14" spans="1:45">
      <c r="A14" s="25">
        <v>39051</v>
      </c>
      <c r="B14" s="28">
        <v>11463.01</v>
      </c>
      <c r="C14" s="33">
        <f t="shared" si="4"/>
        <v>5.2561022411246931E-2</v>
      </c>
      <c r="D14" s="27">
        <f t="shared" si="1"/>
        <v>104.65501217002613</v>
      </c>
      <c r="E14" s="27"/>
      <c r="F14" s="27"/>
      <c r="O14" s="11">
        <v>2017</v>
      </c>
      <c r="P14" s="68">
        <f t="shared" si="2"/>
        <v>3.3637248794313165E-2</v>
      </c>
      <c r="Q14" s="68">
        <f t="shared" si="2"/>
        <v>3.2162392463674597E-2</v>
      </c>
      <c r="R14" s="68">
        <f t="shared" si="2"/>
        <v>3.1379481788438662E-2</v>
      </c>
      <c r="S14" s="68">
        <f t="shared" si="2"/>
        <v>2.7058954260655632E-2</v>
      </c>
      <c r="T14" s="68">
        <f t="shared" si="2"/>
        <v>2.8306085159038336E-2</v>
      </c>
      <c r="U14" s="68">
        <f t="shared" si="2"/>
        <v>2.5047090913111525E-2</v>
      </c>
      <c r="V14" s="68">
        <f t="shared" si="2"/>
        <v>2.5043122061538376E-2</v>
      </c>
      <c r="W14" s="68">
        <f t="shared" si="2"/>
        <v>2.5015468419039889E-2</v>
      </c>
      <c r="X14" s="68">
        <f t="shared" si="2"/>
        <v>2.4990117691613634E-2</v>
      </c>
      <c r="Y14" s="68">
        <f t="shared" si="2"/>
        <v>2.505892948670075E-2</v>
      </c>
      <c r="Z14" s="68">
        <f t="shared" si="2"/>
        <v>2.5031497013044302E-2</v>
      </c>
      <c r="AA14" s="68">
        <f t="shared" si="2"/>
        <v>1.0483683088116879E-2</v>
      </c>
      <c r="AC14" s="14"/>
      <c r="AD14" s="22">
        <v>2018</v>
      </c>
      <c r="AE14" s="23">
        <f t="shared" si="3"/>
        <v>3.9531761318436859E-2</v>
      </c>
      <c r="AF14" s="23">
        <f t="shared" si="0"/>
        <v>2.4971131087805989E-2</v>
      </c>
      <c r="AG14" s="23">
        <f t="shared" si="0"/>
        <v>2.5024981086114582E-2</v>
      </c>
      <c r="AH14" s="23">
        <f t="shared" si="0"/>
        <v>2.4937204383001621E-2</v>
      </c>
      <c r="AI14" s="23">
        <f t="shared" si="0"/>
        <v>2.4855027090659582E-2</v>
      </c>
      <c r="AJ14" s="23">
        <f t="shared" si="0"/>
        <v>2.5052992141180397E-2</v>
      </c>
      <c r="AK14" s="23">
        <f t="shared" si="0"/>
        <v>2.5017833116796208E-2</v>
      </c>
      <c r="AL14" s="23">
        <f t="shared" si="0"/>
        <v>2.4914492324052462E-2</v>
      </c>
      <c r="AM14" s="23">
        <f t="shared" si="0"/>
        <v>2.4582083696456536E-2</v>
      </c>
      <c r="AN14" s="23">
        <f t="shared" si="0"/>
        <v>2.6427841996883666E-2</v>
      </c>
      <c r="AO14" s="23">
        <f t="shared" si="0"/>
        <v>2.7515948657905302E-2</v>
      </c>
      <c r="AP14" s="23">
        <f t="shared" si="0"/>
        <v>2.749547141874386E-2</v>
      </c>
      <c r="AQ14" s="24">
        <f>+B159/B147-1</f>
        <v>2.7430166222407459E-2</v>
      </c>
      <c r="AR14" s="34"/>
      <c r="AS14" s="17"/>
    </row>
    <row r="15" spans="1:45">
      <c r="A15" s="25">
        <v>39080</v>
      </c>
      <c r="B15" s="28">
        <v>11512.49</v>
      </c>
      <c r="C15" s="33">
        <f t="shared" si="4"/>
        <v>5.3584048409502927E-2</v>
      </c>
      <c r="D15" s="27">
        <f t="shared" si="1"/>
        <v>105.10675477534296</v>
      </c>
      <c r="E15" s="27"/>
      <c r="F15" s="27"/>
      <c r="O15" s="11">
        <v>2018</v>
      </c>
      <c r="P15" s="68">
        <f t="shared" si="2"/>
        <v>3.9531761318436859E-2</v>
      </c>
      <c r="Q15" s="68">
        <f t="shared" si="2"/>
        <v>2.4971131087805989E-2</v>
      </c>
      <c r="R15" s="68">
        <f t="shared" si="2"/>
        <v>2.5024981086114582E-2</v>
      </c>
      <c r="S15" s="68">
        <f t="shared" si="2"/>
        <v>2.4937204383001621E-2</v>
      </c>
      <c r="T15" s="68">
        <f t="shared" si="2"/>
        <v>2.4855027090659582E-2</v>
      </c>
      <c r="U15" s="68">
        <f t="shared" si="2"/>
        <v>2.5052992141180397E-2</v>
      </c>
      <c r="V15" s="68">
        <f t="shared" si="2"/>
        <v>2.5017833116796208E-2</v>
      </c>
      <c r="W15" s="68">
        <f t="shared" si="2"/>
        <v>2.4914492324052462E-2</v>
      </c>
      <c r="X15" s="68">
        <f t="shared" si="2"/>
        <v>2.4582083696456536E-2</v>
      </c>
      <c r="Y15" s="68">
        <f t="shared" si="2"/>
        <v>2.6427841996883666E-2</v>
      </c>
      <c r="Z15" s="68">
        <f t="shared" si="2"/>
        <v>2.7515948657905302E-2</v>
      </c>
      <c r="AA15" s="68">
        <f t="shared" si="2"/>
        <v>2.749547141874386E-2</v>
      </c>
      <c r="AC15" s="14"/>
      <c r="AD15" s="22">
        <v>2019</v>
      </c>
      <c r="AE15" s="23">
        <f t="shared" si="3"/>
        <v>2.8462632291696627E-2</v>
      </c>
      <c r="AF15" s="23">
        <f t="shared" si="0"/>
        <v>2.896537883274565E-2</v>
      </c>
      <c r="AG15" s="23">
        <f t="shared" si="0"/>
        <v>2.9999792280079301E-2</v>
      </c>
      <c r="AH15" s="23">
        <f t="shared" si="0"/>
        <v>3.0005157643314462E-2</v>
      </c>
      <c r="AI15" s="23">
        <f t="shared" ref="AI15:AI16" si="5">+T16</f>
        <v>3.0029477841448365E-2</v>
      </c>
      <c r="AJ15" s="23">
        <f t="shared" ref="AJ15:AK16" si="6">+U16</f>
        <v>2.6651576944137997E-2</v>
      </c>
      <c r="AK15" s="23">
        <f t="shared" si="6"/>
        <v>2.4930678430760311E-2</v>
      </c>
      <c r="AL15" s="23">
        <f t="shared" si="0"/>
        <v>2.5026535324576389E-2</v>
      </c>
      <c r="AM15" s="23">
        <f t="shared" si="0"/>
        <v>2.0662069039227404E-2</v>
      </c>
      <c r="AN15" s="23">
        <f t="shared" si="0"/>
        <v>1.9411040192595704E-2</v>
      </c>
      <c r="AO15" s="23">
        <f t="shared" si="0"/>
        <v>1.7056575427638165E-2</v>
      </c>
      <c r="AP15" s="23">
        <f t="shared" si="0"/>
        <v>1.7225309167826532E-2</v>
      </c>
      <c r="AQ15" s="24">
        <f>+(B171/B159-1)/COUNTA(AE15:AP15)*12</f>
        <v>2.5486252445448665E-2</v>
      </c>
      <c r="AR15" s="34" t="s">
        <v>23</v>
      </c>
      <c r="AS15" s="17"/>
    </row>
    <row r="16" spans="1:45">
      <c r="A16" s="25">
        <v>39113</v>
      </c>
      <c r="B16" s="28">
        <v>11567.23</v>
      </c>
      <c r="C16" s="33">
        <f t="shared" si="4"/>
        <v>5.1870936379846716E-2</v>
      </c>
      <c r="D16" s="27">
        <f t="shared" si="1"/>
        <v>105.60652013943034</v>
      </c>
      <c r="E16" s="27"/>
      <c r="F16" s="27"/>
      <c r="O16" s="11">
        <v>2019</v>
      </c>
      <c r="P16" s="68">
        <f t="shared" si="2"/>
        <v>2.8462632291696627E-2</v>
      </c>
      <c r="Q16" s="68">
        <f t="shared" si="2"/>
        <v>2.896537883274565E-2</v>
      </c>
      <c r="R16" s="68">
        <f t="shared" si="2"/>
        <v>2.9999792280079301E-2</v>
      </c>
      <c r="S16" s="68">
        <f t="shared" si="2"/>
        <v>3.0005157643314462E-2</v>
      </c>
      <c r="T16" s="68">
        <f t="shared" si="2"/>
        <v>3.0029477841448365E-2</v>
      </c>
      <c r="U16" s="68">
        <f t="shared" si="2"/>
        <v>2.6651576944137997E-2</v>
      </c>
      <c r="V16" s="68">
        <f t="shared" si="2"/>
        <v>2.4930678430760311E-2</v>
      </c>
      <c r="W16" s="68">
        <f t="shared" si="2"/>
        <v>2.5026535324576389E-2</v>
      </c>
      <c r="X16" s="68">
        <f t="shared" si="2"/>
        <v>2.0662069039227404E-2</v>
      </c>
      <c r="Y16" s="68">
        <f t="shared" si="2"/>
        <v>1.9411040192595704E-2</v>
      </c>
      <c r="Z16" s="68">
        <f t="shared" si="2"/>
        <v>1.7056575427638165E-2</v>
      </c>
      <c r="AA16" s="68">
        <f t="shared" si="2"/>
        <v>1.7225309167826532E-2</v>
      </c>
      <c r="AC16" s="14"/>
      <c r="AD16" s="22">
        <v>2020</v>
      </c>
      <c r="AE16" s="23">
        <f t="shared" ref="AE16:AP20" si="7">+P17</f>
        <v>1.9228743868020683E-2</v>
      </c>
      <c r="AF16" s="23">
        <f t="shared" si="7"/>
        <v>1.7129279348140885E-2</v>
      </c>
      <c r="AG16" s="23">
        <f t="shared" si="7"/>
        <v>1.283974993007142E-2</v>
      </c>
      <c r="AH16" s="23">
        <f t="shared" si="7"/>
        <v>5.8131755793748852E-3</v>
      </c>
      <c r="AI16" s="23">
        <f t="shared" si="5"/>
        <v>4.4872944651278808E-3</v>
      </c>
      <c r="AJ16" s="23">
        <f t="shared" si="6"/>
        <v>4.6858058339029895E-3</v>
      </c>
      <c r="AK16" s="23">
        <f t="shared" si="6"/>
        <v>4.9745146427785276E-3</v>
      </c>
      <c r="AL16" s="23">
        <f t="shared" si="0"/>
        <v>4.8742858328197948E-3</v>
      </c>
      <c r="AM16" s="23">
        <f t="shared" si="0"/>
        <v>4.7370029273796632E-3</v>
      </c>
      <c r="AN16" s="23">
        <f t="shared" ref="AN16" si="8">+Y17</f>
        <v>4.3250876508404267E-3</v>
      </c>
      <c r="AO16" s="23">
        <f t="shared" ref="AO16" si="9">+Z17</f>
        <v>3.9550224302509207E-3</v>
      </c>
      <c r="AP16" s="23">
        <f t="shared" si="0"/>
        <v>4.5301971309169037E-3</v>
      </c>
      <c r="AQ16" s="24">
        <f>+(B183/B171-1)/COUNTA(AE16:AP16)*12</f>
        <v>7.7639256787327415E-3</v>
      </c>
      <c r="AR16" s="34"/>
      <c r="AS16" s="17"/>
    </row>
    <row r="17" spans="1:56">
      <c r="A17" s="25">
        <v>39141</v>
      </c>
      <c r="B17" s="28">
        <v>11612.68</v>
      </c>
      <c r="C17" s="33">
        <f t="shared" si="4"/>
        <v>5.0518330045926492E-2</v>
      </c>
      <c r="D17" s="27">
        <f t="shared" si="1"/>
        <v>106.02146964249522</v>
      </c>
      <c r="E17" s="27"/>
      <c r="F17" s="27"/>
      <c r="O17" s="11">
        <v>2020</v>
      </c>
      <c r="P17" s="68">
        <f>LOOKUP(DATE($O17,P$24,P$23),$A$2:$A$2941,$C$2:$C$2941)</f>
        <v>1.9228743868020683E-2</v>
      </c>
      <c r="Q17" s="68">
        <f>LOOKUP(DATE($O17,Q$24,Q$23)+1,$A$2:$A$2941,$C$2:$C$2941)</f>
        <v>1.7129279348140885E-2</v>
      </c>
      <c r="R17" s="68">
        <f>LOOKUP(DATE($O17,R$24,R$23),$A$2:$A$2941,$C$2:$C$2941)</f>
        <v>1.283974993007142E-2</v>
      </c>
      <c r="S17" s="68">
        <f t="shared" ref="S17:AA22" si="10">LOOKUP(DATE($O17,S$24,S$23),$A:$A,$C:$C)</f>
        <v>5.8131755793748852E-3</v>
      </c>
      <c r="T17" s="68">
        <f t="shared" si="10"/>
        <v>4.4872944651278808E-3</v>
      </c>
      <c r="U17" s="68">
        <f t="shared" si="10"/>
        <v>4.6858058339029895E-3</v>
      </c>
      <c r="V17" s="68">
        <f t="shared" si="10"/>
        <v>4.9745146427785276E-3</v>
      </c>
      <c r="W17" s="68">
        <f t="shared" si="10"/>
        <v>4.8742858328197948E-3</v>
      </c>
      <c r="X17" s="68">
        <f t="shared" si="10"/>
        <v>4.7370029273796632E-3</v>
      </c>
      <c r="Y17" s="68">
        <f t="shared" si="10"/>
        <v>4.3250876508404267E-3</v>
      </c>
      <c r="Z17" s="68">
        <f t="shared" si="10"/>
        <v>3.9550224302509207E-3</v>
      </c>
      <c r="AA17" s="68">
        <f t="shared" si="10"/>
        <v>4.5301971309169037E-3</v>
      </c>
      <c r="AC17" s="14"/>
      <c r="AD17" s="22">
        <v>2021</v>
      </c>
      <c r="AE17" s="23">
        <f t="shared" si="7"/>
        <v>3.1576624105299524E-3</v>
      </c>
      <c r="AF17" s="23">
        <f t="shared" si="7"/>
        <v>3.0750872177831567E-3</v>
      </c>
      <c r="AG17" s="23">
        <f t="shared" si="7"/>
        <v>3.0092562152281557E-3</v>
      </c>
      <c r="AH17" s="23">
        <f t="shared" si="7"/>
        <v>3.5321064686826271E-3</v>
      </c>
      <c r="AI17" s="23">
        <f t="shared" si="7"/>
        <v>2.8180886583675882E-3</v>
      </c>
      <c r="AJ17" s="23">
        <f t="shared" si="7"/>
        <v>3.2712862533346154E-3</v>
      </c>
      <c r="AK17" s="23">
        <f t="shared" si="7"/>
        <v>5.8287891949730802E-3</v>
      </c>
      <c r="AL17" s="23">
        <f t="shared" si="7"/>
        <v>7.3037050391555978E-3</v>
      </c>
      <c r="AM17" s="23">
        <f t="shared" si="7"/>
        <v>1.4971321783566083E-2</v>
      </c>
      <c r="AN17" s="23">
        <f t="shared" si="7"/>
        <v>2.4058282769717453E-2</v>
      </c>
      <c r="AO17" s="23">
        <f t="shared" si="7"/>
        <v>2.5695083542021102E-2</v>
      </c>
      <c r="AP17" s="23">
        <f t="shared" si="7"/>
        <v>3.6988968103994269E-2</v>
      </c>
      <c r="AQ17" s="24">
        <f>+(B195/B183-1)/COUNTA(AE17:AP17)*12</f>
        <v>1.1410200201508403E-2</v>
      </c>
      <c r="AR17" s="34"/>
      <c r="AS17" s="17"/>
    </row>
    <row r="18" spans="1:56">
      <c r="A18" s="25">
        <v>39171</v>
      </c>
      <c r="B18" s="28">
        <v>11661.5</v>
      </c>
      <c r="C18" s="33">
        <f t="shared" si="4"/>
        <v>5.0448303061824802E-2</v>
      </c>
      <c r="D18" s="27">
        <f t="shared" si="1"/>
        <v>106.46718657846061</v>
      </c>
      <c r="E18" s="27"/>
      <c r="F18" s="27"/>
      <c r="O18" s="11">
        <v>2021</v>
      </c>
      <c r="P18" s="68">
        <f>LOOKUP(DATE($O18,P$24,P$23),$A$2:$A$2941,$C$2:$C$2941)</f>
        <v>3.1576624105299524E-3</v>
      </c>
      <c r="Q18" s="68">
        <f>LOOKUP(DATE($O18,Q$24,Q$23)+1,$A$2:$A$2941,$C$2:$C$2941)</f>
        <v>3.0750872177831567E-3</v>
      </c>
      <c r="R18" s="68">
        <f>LOOKUP(DATE($O18,R$24,R$23),$A$2:$A$2941,$C$2:$C$2941)</f>
        <v>3.0092562152281557E-3</v>
      </c>
      <c r="S18" s="68">
        <f t="shared" si="10"/>
        <v>3.5321064686826271E-3</v>
      </c>
      <c r="T18" s="68">
        <f t="shared" si="10"/>
        <v>2.8180886583675882E-3</v>
      </c>
      <c r="U18" s="68">
        <f t="shared" si="10"/>
        <v>3.2712862533346154E-3</v>
      </c>
      <c r="V18" s="68">
        <f t="shared" si="10"/>
        <v>5.8287891949730802E-3</v>
      </c>
      <c r="W18" s="68">
        <f t="shared" si="10"/>
        <v>7.3037050391555978E-3</v>
      </c>
      <c r="X18" s="68">
        <f t="shared" si="10"/>
        <v>1.4971321783566083E-2</v>
      </c>
      <c r="Y18" s="68">
        <f t="shared" si="10"/>
        <v>2.4058282769717453E-2</v>
      </c>
      <c r="Z18" s="68">
        <f t="shared" si="10"/>
        <v>2.5695083542021102E-2</v>
      </c>
      <c r="AA18" s="68">
        <f t="shared" si="10"/>
        <v>3.6988968103994269E-2</v>
      </c>
      <c r="AC18" s="14"/>
      <c r="AD18" s="22">
        <v>2022</v>
      </c>
      <c r="AE18" s="23">
        <f t="shared" si="7"/>
        <v>3.9896758247213462E-2</v>
      </c>
      <c r="AF18" s="23">
        <f t="shared" si="7"/>
        <v>5.510866892481639E-2</v>
      </c>
      <c r="AG18" s="23">
        <f t="shared" si="7"/>
        <v>5.6107507869007853E-2</v>
      </c>
      <c r="AH18" s="23">
        <f t="shared" si="7"/>
        <v>6.542923075735807E-2</v>
      </c>
      <c r="AI18" s="23">
        <f t="shared" ref="AI18" si="11">+T19</f>
        <v>8.2604120314651669E-2</v>
      </c>
      <c r="AJ18" s="23">
        <f t="shared" ref="AJ18" si="12">+U19</f>
        <v>8.831563714411049E-2</v>
      </c>
      <c r="AK18" s="23">
        <f t="shared" si="7"/>
        <v>8.8134341380086273E-2</v>
      </c>
      <c r="AL18" s="23">
        <f t="shared" si="7"/>
        <v>0.1042367420078613</v>
      </c>
      <c r="AM18" s="23">
        <f>+X19</f>
        <v>0.10559803760074526</v>
      </c>
      <c r="AN18" s="23">
        <f>+Y19</f>
        <v>0.11061088223118416</v>
      </c>
      <c r="AO18" s="23">
        <v>0.11061088223118416</v>
      </c>
      <c r="AP18" s="23">
        <v>0.11061088223118416</v>
      </c>
      <c r="AQ18" s="24">
        <f>+(B207/B195-1)/COUNTA(AE18:AP18)*12</f>
        <v>8.9685991181348346E-2</v>
      </c>
      <c r="AR18" s="34"/>
      <c r="AS18" s="17"/>
      <c r="AV18" s="36"/>
      <c r="AW18" s="36"/>
      <c r="AX18" s="36">
        <v>-1</v>
      </c>
      <c r="AY18" s="36">
        <v>-3</v>
      </c>
      <c r="AZ18" s="36">
        <v>-6</v>
      </c>
      <c r="BA18" s="36">
        <v>-12</v>
      </c>
      <c r="BB18" s="36"/>
    </row>
    <row r="19" spans="1:56">
      <c r="A19" s="25">
        <v>39202</v>
      </c>
      <c r="B19" s="28">
        <v>11712.58</v>
      </c>
      <c r="C19" s="33">
        <f t="shared" si="4"/>
        <v>5.0867135169078329E-2</v>
      </c>
      <c r="D19" s="27">
        <f t="shared" si="1"/>
        <v>106.93353686705365</v>
      </c>
      <c r="E19" s="27"/>
      <c r="F19" s="27"/>
      <c r="O19" s="11">
        <v>2022</v>
      </c>
      <c r="P19" s="68">
        <f t="shared" ref="P19:R21" si="13">LOOKUP(DATE($O19,P$24,P$23),$A:$A,$C:$C)</f>
        <v>3.9896758247213462E-2</v>
      </c>
      <c r="Q19" s="68">
        <f t="shared" si="13"/>
        <v>5.510866892481639E-2</v>
      </c>
      <c r="R19" s="68">
        <f t="shared" si="13"/>
        <v>5.6107507869007853E-2</v>
      </c>
      <c r="S19" s="68">
        <f t="shared" si="10"/>
        <v>6.542923075735807E-2</v>
      </c>
      <c r="T19" s="68">
        <f t="shared" si="10"/>
        <v>8.2604120314651669E-2</v>
      </c>
      <c r="U19" s="68">
        <f t="shared" si="10"/>
        <v>8.831563714411049E-2</v>
      </c>
      <c r="V19" s="68">
        <f t="shared" si="10"/>
        <v>8.8134341380086273E-2</v>
      </c>
      <c r="W19" s="68">
        <f t="shared" si="10"/>
        <v>0.1042367420078613</v>
      </c>
      <c r="X19" s="68">
        <f t="shared" si="10"/>
        <v>0.10559803760074526</v>
      </c>
      <c r="Y19" s="68">
        <f t="shared" si="10"/>
        <v>0.11061088223118416</v>
      </c>
      <c r="Z19" s="68">
        <f t="shared" si="10"/>
        <v>0.11303169795796657</v>
      </c>
      <c r="AA19" s="68">
        <f t="shared" si="10"/>
        <v>0.11299981466895305</v>
      </c>
      <c r="AC19" s="14"/>
      <c r="AD19" s="22">
        <v>2023</v>
      </c>
      <c r="AE19" s="23">
        <f t="shared" ref="AE19:AE21" si="14">+P20</f>
        <v>0.11302826851237679</v>
      </c>
      <c r="AF19" s="23">
        <f t="shared" ref="AF19:AF20" si="15">+Q20</f>
        <v>0.11295461203437211</v>
      </c>
      <c r="AG19" s="23">
        <f t="shared" si="7"/>
        <v>0.11301465802554971</v>
      </c>
      <c r="AH19" s="23">
        <f t="shared" si="7"/>
        <v>0.11295313602694725</v>
      </c>
      <c r="AI19" s="23">
        <f t="shared" si="7"/>
        <v>0.11303632512333502</v>
      </c>
      <c r="AJ19" s="23">
        <f t="shared" si="7"/>
        <v>0.1129808415702076</v>
      </c>
      <c r="AK19" s="23">
        <f t="shared" si="7"/>
        <v>0.11301130711944485</v>
      </c>
      <c r="AL19" s="23">
        <f t="shared" si="7"/>
        <v>0.1029295039511865</v>
      </c>
      <c r="AM19" s="23">
        <f t="shared" si="7"/>
        <v>9.354414169614067E-2</v>
      </c>
      <c r="AN19" s="23">
        <f t="shared" si="7"/>
        <v>9.824694391949873E-2</v>
      </c>
      <c r="AO19" s="23">
        <f t="shared" si="7"/>
        <v>9.0319371727747289E-2</v>
      </c>
      <c r="AP19" s="23">
        <f t="shared" si="7"/>
        <v>8.224199939930249E-2</v>
      </c>
      <c r="AQ19" s="24">
        <f>+(B219/B207-1)/COUNTA(AE19:AP19)*12</f>
        <v>0.11194279263621576</v>
      </c>
      <c r="AR19" s="34"/>
      <c r="AS19" s="17"/>
      <c r="AV19" s="38" t="s">
        <v>24</v>
      </c>
      <c r="AW19" s="77">
        <v>45688</v>
      </c>
      <c r="AX19" s="39">
        <f>EOMONTH($AW19,AX18)</f>
        <v>45657</v>
      </c>
      <c r="AY19" s="39">
        <f>EOMONTH($AW19,AY18)</f>
        <v>45596</v>
      </c>
      <c r="AZ19" s="39">
        <f>EOMONTH($AW19,AZ18)</f>
        <v>45504</v>
      </c>
      <c r="BA19" s="39">
        <f>EOMONTH($AW19,BA18)</f>
        <v>45322</v>
      </c>
      <c r="BB19" s="39">
        <v>43100</v>
      </c>
    </row>
    <row r="20" spans="1:56">
      <c r="A20" s="25">
        <v>39233</v>
      </c>
      <c r="B20" s="28">
        <v>11763.78</v>
      </c>
      <c r="C20" s="33">
        <f t="shared" si="4"/>
        <v>5.076427611690202E-2</v>
      </c>
      <c r="D20" s="27">
        <f t="shared" si="1"/>
        <v>107.40098273189243</v>
      </c>
      <c r="E20" s="27"/>
      <c r="F20" s="27"/>
      <c r="O20" s="11">
        <v>2023</v>
      </c>
      <c r="P20" s="68">
        <f t="shared" si="13"/>
        <v>0.11302826851237679</v>
      </c>
      <c r="Q20" s="68">
        <f t="shared" si="13"/>
        <v>0.11295461203437211</v>
      </c>
      <c r="R20" s="68">
        <f t="shared" si="13"/>
        <v>0.11301465802554971</v>
      </c>
      <c r="S20" s="68">
        <f t="shared" si="10"/>
        <v>0.11295313602694725</v>
      </c>
      <c r="T20" s="68">
        <f t="shared" si="10"/>
        <v>0.11303632512333502</v>
      </c>
      <c r="U20" s="68">
        <f t="shared" si="10"/>
        <v>0.1129808415702076</v>
      </c>
      <c r="V20" s="68">
        <f t="shared" si="10"/>
        <v>0.11301130711944485</v>
      </c>
      <c r="W20" s="68">
        <f t="shared" si="10"/>
        <v>0.1029295039511865</v>
      </c>
      <c r="X20" s="68">
        <f t="shared" si="10"/>
        <v>9.354414169614067E-2</v>
      </c>
      <c r="Y20" s="68">
        <f t="shared" si="10"/>
        <v>9.824694391949873E-2</v>
      </c>
      <c r="Z20" s="68">
        <f t="shared" si="10"/>
        <v>9.0319371727747289E-2</v>
      </c>
      <c r="AA20" s="68">
        <f t="shared" si="10"/>
        <v>8.224199939930249E-2</v>
      </c>
      <c r="AC20" s="14"/>
      <c r="AD20" s="22">
        <v>2024</v>
      </c>
      <c r="AE20" s="23">
        <f t="shared" si="14"/>
        <v>8.5438745699959323E-2</v>
      </c>
      <c r="AF20" s="23">
        <f t="shared" si="15"/>
        <v>8.5438745699959323E-2</v>
      </c>
      <c r="AG20" s="23">
        <f t="shared" ref="AG20:AL20" si="16">+R21</f>
        <v>7.2608807752212137E-2</v>
      </c>
      <c r="AH20" s="23">
        <f t="shared" si="16"/>
        <v>6.6466734129036323E-2</v>
      </c>
      <c r="AI20" s="23">
        <f t="shared" si="16"/>
        <v>6.4034933694016499E-2</v>
      </c>
      <c r="AJ20" s="23">
        <f t="shared" si="16"/>
        <v>5.5362588758586462E-2</v>
      </c>
      <c r="AK20" s="23">
        <f t="shared" si="16"/>
        <v>6.1366649258827385E-2</v>
      </c>
      <c r="AL20" s="23">
        <f t="shared" si="16"/>
        <v>5.5769249468819934E-2</v>
      </c>
      <c r="AM20" s="23">
        <f t="shared" si="7"/>
        <v>5.7372521944966344E-2</v>
      </c>
      <c r="AN20" s="23">
        <f t="shared" si="7"/>
        <v>5.2379309222924143E-2</v>
      </c>
      <c r="AO20" s="23">
        <f t="shared" si="7"/>
        <v>5.2611906570868783E-2</v>
      </c>
      <c r="AP20" s="23">
        <f t="shared" si="7"/>
        <v>5.1634035560646233E-2</v>
      </c>
      <c r="AQ20" s="24">
        <f>+(B231/B219-1)/COUNTA(AE20:AP20)*12</f>
        <v>6.5425125934971851E-2</v>
      </c>
      <c r="AR20" s="17"/>
      <c r="AS20" s="17"/>
      <c r="AV20" s="36" t="s">
        <v>25</v>
      </c>
      <c r="AW20" s="41">
        <f>LOOKUP(AW19,$F$2:$F$2972,$K$2:$K$2972)</f>
        <v>1402.8009999999999</v>
      </c>
      <c r="AX20" s="41">
        <f t="shared" ref="AX20:BB20" si="17">LOOKUP(AX19,$F$2:$F$2972,$K$2:$K$2972)</f>
        <v>1398.4869000000001</v>
      </c>
      <c r="AY20" s="41">
        <f t="shared" si="17"/>
        <v>1389.7002</v>
      </c>
      <c r="AZ20" s="41">
        <f t="shared" si="17"/>
        <v>1375.2636</v>
      </c>
      <c r="BA20" s="41">
        <f t="shared" si="17"/>
        <v>1345.8844999999999</v>
      </c>
      <c r="BB20" s="41">
        <f t="shared" si="17"/>
        <v>1219.7684999999999</v>
      </c>
    </row>
    <row r="21" spans="1:56">
      <c r="A21" s="25">
        <v>39262</v>
      </c>
      <c r="B21" s="28">
        <v>11812.23</v>
      </c>
      <c r="C21" s="33">
        <f t="shared" si="4"/>
        <v>5.1127127153182933E-2</v>
      </c>
      <c r="D21" s="27">
        <f t="shared" si="1"/>
        <v>107.84332164110018</v>
      </c>
      <c r="E21" s="27"/>
      <c r="F21" s="27"/>
      <c r="O21" s="11">
        <v>2024</v>
      </c>
      <c r="P21" s="68">
        <f t="shared" si="13"/>
        <v>8.5438745699959323E-2</v>
      </c>
      <c r="Q21" s="68">
        <f t="shared" si="13"/>
        <v>8.5438745699959323E-2</v>
      </c>
      <c r="R21" s="68">
        <f t="shared" si="13"/>
        <v>7.2608807752212137E-2</v>
      </c>
      <c r="S21" s="68">
        <f t="shared" si="10"/>
        <v>6.6466734129036323E-2</v>
      </c>
      <c r="T21" s="68">
        <f t="shared" si="10"/>
        <v>6.4034933694016499E-2</v>
      </c>
      <c r="U21" s="68">
        <f t="shared" si="10"/>
        <v>5.5362588758586462E-2</v>
      </c>
      <c r="V21" s="68">
        <f t="shared" si="10"/>
        <v>6.1366649258827385E-2</v>
      </c>
      <c r="W21" s="68">
        <f t="shared" si="10"/>
        <v>5.5769249468819934E-2</v>
      </c>
      <c r="X21" s="68">
        <f t="shared" si="10"/>
        <v>5.7372521944966344E-2</v>
      </c>
      <c r="Y21" s="68">
        <f t="shared" si="10"/>
        <v>5.2379309222924143E-2</v>
      </c>
      <c r="Z21" s="68">
        <f t="shared" si="10"/>
        <v>5.2611906570868783E-2</v>
      </c>
      <c r="AA21" s="68">
        <f t="shared" si="10"/>
        <v>5.1634035560646233E-2</v>
      </c>
      <c r="AC21" s="14"/>
      <c r="AD21" s="22">
        <v>2025</v>
      </c>
      <c r="AE21" s="23">
        <f t="shared" si="14"/>
        <v>5.1728866541133824E-2</v>
      </c>
      <c r="AF21" s="23"/>
      <c r="AG21" s="23"/>
      <c r="AH21" s="23"/>
      <c r="AI21" s="23"/>
      <c r="AJ21" s="23"/>
      <c r="AK21" s="23"/>
      <c r="AL21" s="23"/>
      <c r="AM21" s="23"/>
      <c r="AN21" s="23"/>
      <c r="AO21" s="23"/>
      <c r="AP21" s="23"/>
      <c r="AQ21" s="24">
        <f>+(B232/B231-1)/COUNTA(AE21:AP21)*12</f>
        <v>5.3453162092504947E-2</v>
      </c>
      <c r="AV21" s="36" t="s">
        <v>26</v>
      </c>
      <c r="AW21" s="67">
        <f t="shared" ref="AW21:BB21" si="18">LOOKUP(AW19,$F$2:$F$2970,$H$2:$H$2970)</f>
        <v>1.1581675607989894</v>
      </c>
      <c r="AX21" s="67">
        <f t="shared" si="18"/>
        <v>1.1553675607989893</v>
      </c>
      <c r="AY21" s="67">
        <f t="shared" si="18"/>
        <v>1.1497675607989895</v>
      </c>
      <c r="AZ21" s="67">
        <f t="shared" si="18"/>
        <v>1.1453675607989895</v>
      </c>
      <c r="BA21" s="67">
        <f t="shared" si="18"/>
        <v>1.1364675607989894</v>
      </c>
      <c r="BB21" s="67">
        <f t="shared" si="18"/>
        <v>1.0044310974000001</v>
      </c>
    </row>
    <row r="22" spans="1:56">
      <c r="A22" s="25">
        <v>39294</v>
      </c>
      <c r="B22" s="28">
        <v>11866.53</v>
      </c>
      <c r="C22" s="33">
        <f t="shared" si="4"/>
        <v>5.1715467782121605E-2</v>
      </c>
      <c r="D22" s="27">
        <f t="shared" si="1"/>
        <v>108.33906989228662</v>
      </c>
      <c r="E22" s="27"/>
      <c r="F22" s="27"/>
      <c r="O22" s="11">
        <v>2025</v>
      </c>
      <c r="P22" s="68">
        <f>LOOKUP(DATE($O22,P$24,P$23),$A:$A,$C:$C)</f>
        <v>5.1728866541133824E-2</v>
      </c>
      <c r="Q22" s="68"/>
      <c r="R22" s="68"/>
      <c r="S22" s="68">
        <f t="shared" si="10"/>
        <v>0</v>
      </c>
      <c r="T22" s="68">
        <f t="shared" si="10"/>
        <v>0</v>
      </c>
      <c r="U22" s="68">
        <f t="shared" si="10"/>
        <v>0</v>
      </c>
      <c r="V22" s="68">
        <f t="shared" si="10"/>
        <v>0</v>
      </c>
      <c r="W22" s="68">
        <f t="shared" si="10"/>
        <v>0</v>
      </c>
      <c r="X22" s="68">
        <f t="shared" si="10"/>
        <v>0</v>
      </c>
      <c r="Y22" s="68">
        <f t="shared" si="10"/>
        <v>0</v>
      </c>
      <c r="Z22" s="68">
        <f t="shared" si="10"/>
        <v>0</v>
      </c>
      <c r="AA22" s="68">
        <f t="shared" si="10"/>
        <v>0</v>
      </c>
      <c r="AD22" s="34" t="s">
        <v>27</v>
      </c>
      <c r="AE22" s="17"/>
      <c r="AF22" s="17"/>
      <c r="AG22" s="17"/>
      <c r="AH22" s="17"/>
      <c r="AI22" s="17"/>
      <c r="AJ22" s="17"/>
      <c r="AK22" s="17"/>
      <c r="AL22" s="17"/>
      <c r="AM22" s="17"/>
      <c r="AN22" s="17"/>
      <c r="AO22" s="17"/>
      <c r="AP22" s="17"/>
      <c r="AQ22" s="17"/>
      <c r="AV22" s="36"/>
      <c r="AW22" s="36"/>
      <c r="AX22" s="36"/>
      <c r="AY22" s="36"/>
      <c r="AZ22" s="36"/>
      <c r="BA22" s="36"/>
      <c r="BB22" s="36"/>
    </row>
    <row r="23" spans="1:56">
      <c r="A23" s="25">
        <v>39325</v>
      </c>
      <c r="B23" s="28">
        <v>11922.48</v>
      </c>
      <c r="C23" s="33">
        <f t="shared" si="4"/>
        <v>5.4754164484803067E-2</v>
      </c>
      <c r="D23" s="27">
        <f t="shared" si="1"/>
        <v>108.84988231685159</v>
      </c>
      <c r="E23" s="27"/>
      <c r="F23" s="27"/>
      <c r="P23" s="18">
        <v>31</v>
      </c>
      <c r="Q23" s="18">
        <v>28</v>
      </c>
      <c r="R23" s="18">
        <v>31</v>
      </c>
      <c r="S23" s="18">
        <v>30</v>
      </c>
      <c r="T23" s="18">
        <v>31</v>
      </c>
      <c r="U23" s="18">
        <v>30</v>
      </c>
      <c r="V23" s="18">
        <v>31</v>
      </c>
      <c r="W23" s="18">
        <v>31</v>
      </c>
      <c r="X23" s="18">
        <v>30</v>
      </c>
      <c r="Y23" s="18">
        <v>31</v>
      </c>
      <c r="Z23" s="18">
        <v>30</v>
      </c>
      <c r="AA23" s="18">
        <v>31</v>
      </c>
    </row>
    <row r="24" spans="1:56">
      <c r="A24" s="25">
        <v>39353</v>
      </c>
      <c r="B24" s="28">
        <v>11975.61</v>
      </c>
      <c r="C24" s="33">
        <f t="shared" si="4"/>
        <v>5.7295126517304E-2</v>
      </c>
      <c r="D24" s="27">
        <f t="shared" si="1"/>
        <v>109.33494869964231</v>
      </c>
      <c r="E24" s="27"/>
      <c r="F24" s="27"/>
      <c r="P24" s="18">
        <v>1</v>
      </c>
      <c r="Q24" s="18">
        <v>2</v>
      </c>
      <c r="R24" s="18">
        <v>3</v>
      </c>
      <c r="S24" s="18">
        <v>4</v>
      </c>
      <c r="T24" s="18">
        <v>5</v>
      </c>
      <c r="U24" s="18">
        <v>6</v>
      </c>
      <c r="V24" s="18">
        <v>7</v>
      </c>
      <c r="W24" s="18">
        <v>8</v>
      </c>
      <c r="X24" s="18">
        <v>9</v>
      </c>
      <c r="Y24" s="18">
        <v>10</v>
      </c>
      <c r="Z24" s="18">
        <v>11</v>
      </c>
      <c r="AA24" s="18">
        <v>12</v>
      </c>
      <c r="AR24" s="17"/>
      <c r="AS24" s="17"/>
    </row>
    <row r="25" spans="1:56">
      <c r="A25" s="25">
        <v>39386</v>
      </c>
      <c r="B25" s="28">
        <v>12038.9</v>
      </c>
      <c r="C25" s="33">
        <f t="shared" si="4"/>
        <v>5.7653544465488787E-2</v>
      </c>
      <c r="D25" s="27">
        <f t="shared" si="1"/>
        <v>109.91277387123692</v>
      </c>
      <c r="E25" s="27"/>
      <c r="F25" s="27"/>
      <c r="O25" s="40" t="s">
        <v>28</v>
      </c>
      <c r="P25" s="11" t="s">
        <v>4</v>
      </c>
      <c r="Q25" s="11" t="s">
        <v>5</v>
      </c>
      <c r="R25" s="11" t="s">
        <v>6</v>
      </c>
      <c r="S25" s="11" t="s">
        <v>7</v>
      </c>
      <c r="T25" s="11" t="s">
        <v>8</v>
      </c>
      <c r="U25" s="11" t="s">
        <v>9</v>
      </c>
      <c r="V25" s="11" t="s">
        <v>10</v>
      </c>
      <c r="W25" s="11" t="s">
        <v>11</v>
      </c>
      <c r="X25" s="11" t="s">
        <v>12</v>
      </c>
      <c r="Y25" s="11" t="s">
        <v>13</v>
      </c>
      <c r="Z25" s="11" t="s">
        <v>14</v>
      </c>
      <c r="AA25" s="11" t="s">
        <v>15</v>
      </c>
      <c r="AR25" s="34"/>
      <c r="AS25" s="17"/>
      <c r="AV25" s="42"/>
      <c r="AW25" s="42"/>
      <c r="AX25" s="42"/>
      <c r="AY25" s="42"/>
      <c r="AZ25" s="42"/>
      <c r="BA25" s="42"/>
      <c r="BB25" s="42"/>
    </row>
    <row r="26" spans="1:56">
      <c r="A26" s="25">
        <v>39416</v>
      </c>
      <c r="B26" s="28">
        <v>12096.85</v>
      </c>
      <c r="C26" s="33">
        <f t="shared" si="4"/>
        <v>5.7762752410936535E-2</v>
      </c>
      <c r="D26" s="27">
        <f t="shared" si="1"/>
        <v>110.4418458998972</v>
      </c>
      <c r="E26" s="27"/>
      <c r="F26" s="27"/>
      <c r="O26" s="11">
        <v>2017</v>
      </c>
      <c r="P26" s="71"/>
      <c r="Q26" s="71"/>
      <c r="R26" s="71"/>
      <c r="S26" s="71"/>
      <c r="T26" s="71">
        <f t="shared" ref="T26:AA28" si="19">LOOKUP(DATE($O26,T$24,T$23),$A$2:$A$2941,$I$2:$I$2941)</f>
        <v>5.806451612902587E-3</v>
      </c>
      <c r="U26" s="71">
        <f t="shared" si="19"/>
        <v>5.9970014992503096E-3</v>
      </c>
      <c r="V26" s="71">
        <f t="shared" si="19"/>
        <v>5.8006509619443116E-3</v>
      </c>
      <c r="W26" s="71">
        <f t="shared" si="19"/>
        <v>5.7977549804329401E-3</v>
      </c>
      <c r="X26" s="71">
        <f t="shared" si="19"/>
        <v>5.9880239520939691E-3</v>
      </c>
      <c r="Y26" s="71">
        <f t="shared" si="19"/>
        <v>5.7919716836933727E-3</v>
      </c>
      <c r="Z26" s="71">
        <f t="shared" si="19"/>
        <v>8.374875373880819E-3</v>
      </c>
      <c r="AA26" s="71">
        <f t="shared" si="19"/>
        <v>8.4588655522967217E-3</v>
      </c>
      <c r="AD26" s="37" t="s">
        <v>26</v>
      </c>
      <c r="AE26" s="16" t="s">
        <v>4</v>
      </c>
      <c r="AF26" s="16" t="s">
        <v>5</v>
      </c>
      <c r="AG26" s="16" t="s">
        <v>6</v>
      </c>
      <c r="AH26" s="16" t="s">
        <v>7</v>
      </c>
      <c r="AI26" s="16" t="s">
        <v>8</v>
      </c>
      <c r="AJ26" s="16" t="s">
        <v>9</v>
      </c>
      <c r="AK26" s="16" t="s">
        <v>10</v>
      </c>
      <c r="AL26" s="16" t="s">
        <v>11</v>
      </c>
      <c r="AM26" s="16" t="s">
        <v>12</v>
      </c>
      <c r="AN26" s="16" t="s">
        <v>13</v>
      </c>
      <c r="AO26" s="16" t="s">
        <v>14</v>
      </c>
      <c r="AP26" s="16" t="s">
        <v>15</v>
      </c>
      <c r="AQ26" s="16" t="s">
        <v>16</v>
      </c>
      <c r="AV26" s="43"/>
      <c r="AW26" s="44" t="s">
        <v>29</v>
      </c>
      <c r="AX26" s="44" t="s">
        <v>30</v>
      </c>
      <c r="AY26" s="44" t="s">
        <v>31</v>
      </c>
      <c r="AZ26" s="44" t="s">
        <v>32</v>
      </c>
      <c r="BA26" s="44" t="s">
        <v>33</v>
      </c>
      <c r="BB26" s="44" t="s">
        <v>34</v>
      </c>
      <c r="BC26" s="42"/>
    </row>
    <row r="27" spans="1:56">
      <c r="A27" s="25">
        <v>39447</v>
      </c>
      <c r="B27" s="28">
        <v>12152.6</v>
      </c>
      <c r="C27" s="33">
        <f t="shared" si="4"/>
        <v>5.3519664610101367E-2</v>
      </c>
      <c r="D27" s="27">
        <f t="shared" si="1"/>
        <v>110.9508323640527</v>
      </c>
      <c r="E27" s="27"/>
      <c r="F27" s="27"/>
      <c r="O27" s="11">
        <v>2018</v>
      </c>
      <c r="P27" s="71">
        <f t="shared" ref="P27:S28" si="20">LOOKUP(DATE($O27,P$24,P$23),$A$2:$A$2941,$I$2:$I$2941)</f>
        <v>6.937003397762766E-3</v>
      </c>
      <c r="Q27" s="71">
        <f t="shared" si="20"/>
        <v>7.6756686775593585E-3</v>
      </c>
      <c r="R27" s="71">
        <f t="shared" si="20"/>
        <v>6.9287256067372283E-3</v>
      </c>
      <c r="S27" s="71">
        <f t="shared" si="20"/>
        <v>7.1554139189320401E-3</v>
      </c>
      <c r="T27" s="71">
        <f t="shared" si="19"/>
        <v>6.9204675476129641E-3</v>
      </c>
      <c r="U27" s="71">
        <f t="shared" si="19"/>
        <v>7.1468907586664798E-3</v>
      </c>
      <c r="V27" s="71">
        <f t="shared" si="19"/>
        <v>9.2163055332394155E-3</v>
      </c>
      <c r="W27" s="71">
        <f t="shared" si="19"/>
        <v>6.9067477731815834E-3</v>
      </c>
      <c r="X27" s="71">
        <f t="shared" si="19"/>
        <v>3.2097287356665838E-2</v>
      </c>
      <c r="Y27" s="71">
        <f t="shared" si="19"/>
        <v>3.6715886329389373E-2</v>
      </c>
      <c r="Z27" s="71">
        <f t="shared" si="19"/>
        <v>3.6638294734852472E-2</v>
      </c>
      <c r="AA27" s="71">
        <f t="shared" si="19"/>
        <v>3.6488762388983381E-2</v>
      </c>
      <c r="AD27" s="29">
        <v>2017</v>
      </c>
      <c r="AE27" s="30"/>
      <c r="AF27" s="30"/>
      <c r="AG27" s="30"/>
      <c r="AH27" s="30"/>
      <c r="AI27" s="30">
        <f t="shared" ref="AI27:AP34" si="21">+T26</f>
        <v>5.806451612902587E-3</v>
      </c>
      <c r="AJ27" s="30">
        <f t="shared" si="21"/>
        <v>5.9970014992503096E-3</v>
      </c>
      <c r="AK27" s="30">
        <f t="shared" si="21"/>
        <v>5.8006509619443116E-3</v>
      </c>
      <c r="AL27" s="30">
        <f t="shared" si="21"/>
        <v>5.7977549804329401E-3</v>
      </c>
      <c r="AM27" s="30">
        <f t="shared" si="21"/>
        <v>5.9880239520939691E-3</v>
      </c>
      <c r="AN27" s="30">
        <f t="shared" si="21"/>
        <v>5.7919716836933727E-3</v>
      </c>
      <c r="AO27" s="30">
        <f t="shared" si="21"/>
        <v>8.374875373880819E-3</v>
      </c>
      <c r="AP27" s="30">
        <f t="shared" si="21"/>
        <v>8.4588655522967217E-3</v>
      </c>
      <c r="AQ27" s="31">
        <f>+(H147/H139-1)/8*12</f>
        <v>6.6466461000002086E-3</v>
      </c>
      <c r="AR27" s="34" t="s">
        <v>23</v>
      </c>
      <c r="AV27" s="92"/>
      <c r="AW27" s="44" t="s">
        <v>25</v>
      </c>
      <c r="AX27" s="47">
        <f>($AW20/AX20-1)/(AW19-AX19)*360</f>
        <v>3.5823879227219982E-2</v>
      </c>
      <c r="AY27" s="47">
        <f>($AW20/AY20-1)/(AW19-AY19)*360</f>
        <v>3.6888531785488246E-2</v>
      </c>
      <c r="AZ27" s="47">
        <f>($AW20/AZ20-1)/(AW19-AZ19)*360</f>
        <v>3.9176141751392453E-2</v>
      </c>
      <c r="BA27" s="47">
        <f>($AW20/BA20-1)/(AW19-BA19)*360</f>
        <v>4.1596023004166323E-2</v>
      </c>
      <c r="BB27" s="47">
        <f>+AQ75</f>
        <v>3.7018008534793978E-2</v>
      </c>
      <c r="BC27" s="45"/>
      <c r="BD27" s="46"/>
    </row>
    <row r="28" spans="1:56">
      <c r="A28" s="25">
        <v>39478</v>
      </c>
      <c r="B28" s="28">
        <v>12223.14</v>
      </c>
      <c r="C28" s="33">
        <f t="shared" si="4"/>
        <v>6.7407319713344446E-2</v>
      </c>
      <c r="D28" s="27">
        <f t="shared" si="1"/>
        <v>111.59484860049264</v>
      </c>
      <c r="E28" s="27"/>
      <c r="F28" s="27"/>
      <c r="O28" s="11">
        <v>2019</v>
      </c>
      <c r="P28" s="71">
        <f t="shared" si="20"/>
        <v>3.4101066193152181E-2</v>
      </c>
      <c r="Q28" s="71">
        <f t="shared" si="20"/>
        <v>3.0115368287614141E-2</v>
      </c>
      <c r="R28" s="71">
        <f t="shared" si="20"/>
        <v>3.3921767087303267E-2</v>
      </c>
      <c r="S28" s="71">
        <f t="shared" si="20"/>
        <v>3.4950401100383388E-2</v>
      </c>
      <c r="T28" s="71">
        <f t="shared" si="19"/>
        <v>3.709721879778375E-2</v>
      </c>
      <c r="U28" s="71">
        <f t="shared" si="19"/>
        <v>3.358000168798192E-2</v>
      </c>
      <c r="V28" s="71">
        <f t="shared" si="19"/>
        <v>3.2406092772911524E-2</v>
      </c>
      <c r="W28" s="71">
        <f t="shared" si="19"/>
        <v>3.4544598169859456E-2</v>
      </c>
      <c r="X28" s="71">
        <f t="shared" si="19"/>
        <v>3.4442144028772326E-2</v>
      </c>
      <c r="Y28" s="71">
        <f t="shared" si="19"/>
        <v>2.9912143216745596E-2</v>
      </c>
      <c r="Z28" s="71">
        <f t="shared" si="19"/>
        <v>2.8546115034772335E-2</v>
      </c>
      <c r="AA28" s="71">
        <f t="shared" si="19"/>
        <v>2.425254690110256E-2</v>
      </c>
      <c r="AD28" s="22">
        <v>2018</v>
      </c>
      <c r="AE28" s="30">
        <f t="shared" ref="AE28:AH34" si="22">+P27</f>
        <v>6.937003397762766E-3</v>
      </c>
      <c r="AF28" s="30">
        <f t="shared" si="22"/>
        <v>7.6756686775593585E-3</v>
      </c>
      <c r="AG28" s="30">
        <f t="shared" si="22"/>
        <v>6.9287256067372283E-3</v>
      </c>
      <c r="AH28" s="30">
        <f t="shared" si="22"/>
        <v>7.1554139189320401E-3</v>
      </c>
      <c r="AI28" s="30">
        <f t="shared" si="21"/>
        <v>6.9204675476129641E-3</v>
      </c>
      <c r="AJ28" s="30">
        <f t="shared" si="21"/>
        <v>7.1468907586664798E-3</v>
      </c>
      <c r="AK28" s="30">
        <f t="shared" si="21"/>
        <v>9.2163055332394155E-3</v>
      </c>
      <c r="AL28" s="30">
        <f t="shared" si="21"/>
        <v>6.9067477731815834E-3</v>
      </c>
      <c r="AM28" s="30">
        <f t="shared" si="21"/>
        <v>3.2097287356665838E-2</v>
      </c>
      <c r="AN28" s="30">
        <f t="shared" si="21"/>
        <v>3.6715886329389373E-2</v>
      </c>
      <c r="AO28" s="30">
        <f t="shared" si="21"/>
        <v>3.6638294734852472E-2</v>
      </c>
      <c r="AP28" s="30">
        <f t="shared" si="21"/>
        <v>3.6488762388983381E-2</v>
      </c>
      <c r="AQ28" s="24">
        <f>+H159/H147-1</f>
        <v>1.7124121350406751E-2</v>
      </c>
      <c r="AR28" s="34"/>
      <c r="AV28" s="92"/>
      <c r="AW28" s="44" t="s">
        <v>26</v>
      </c>
      <c r="AX28" s="47">
        <f>($AW21/AX21-1)/(AW19-AX19)*360</f>
        <v>2.8143536425563727E-2</v>
      </c>
      <c r="AY28" s="47">
        <f>($AW21/AY21-1)/(AW19-AY19)*360</f>
        <v>2.8588008862025817E-2</v>
      </c>
      <c r="AZ28" s="47">
        <f>($AW21/AZ21-1)/(AW19-AZ19)*360</f>
        <v>2.1865014444271136E-2</v>
      </c>
      <c r="BA28" s="47">
        <f>($AW21/BA21-1)/(AW19-BA19)*360</f>
        <v>1.8781233210102367E-2</v>
      </c>
      <c r="BB28" s="47">
        <f>+AQ76</f>
        <v>2.9081654306415849E-2</v>
      </c>
      <c r="BC28" s="48"/>
      <c r="BD28" s="35"/>
    </row>
    <row r="29" spans="1:56">
      <c r="A29" s="25">
        <v>39507</v>
      </c>
      <c r="B29" s="28">
        <v>12284.88</v>
      </c>
      <c r="C29" s="33">
        <f t="shared" si="4"/>
        <v>6.2703003173234295E-2</v>
      </c>
      <c r="D29" s="27">
        <f t="shared" si="1"/>
        <v>112.15852257891343</v>
      </c>
      <c r="E29" s="27"/>
      <c r="F29" s="27"/>
      <c r="O29" s="11">
        <v>2020</v>
      </c>
      <c r="P29" s="71">
        <f>LOOKUP(DATE($O29,P$24,P$23),$A$2:$A$2941,$I$2:$I$2941)</f>
        <v>2.3101912054559044E-2</v>
      </c>
      <c r="Q29" s="71">
        <f>LOOKUP(DATE($O29,Q$24,Q$23)+1,$A$2:$A$2941,$I$2:$I$2941)</f>
        <v>2.1125244063575094E-2</v>
      </c>
      <c r="R29" s="71">
        <f t="shared" ref="R29:X29" si="23">LOOKUP(DATE($O29,R$24,R$23),$A:$A,$I:$I)</f>
        <v>1.9728751574866862E-2</v>
      </c>
      <c r="S29" s="71">
        <f t="shared" si="23"/>
        <v>2.48744242627712E-2</v>
      </c>
      <c r="T29" s="71">
        <f t="shared" si="23"/>
        <v>3.2757584392775638E-2</v>
      </c>
      <c r="U29" s="71">
        <f t="shared" si="23"/>
        <v>2.1377717026332732E-2</v>
      </c>
      <c r="V29" s="71">
        <f t="shared" si="23"/>
        <v>1.9564411647430065E-2</v>
      </c>
      <c r="W29" s="71">
        <f t="shared" si="23"/>
        <v>1.5191171846554611E-2</v>
      </c>
      <c r="X29" s="71">
        <f t="shared" si="23"/>
        <v>1.3437459994338317E-2</v>
      </c>
      <c r="Y29" s="71">
        <f>+I181</f>
        <v>1.0824540092049896E-2</v>
      </c>
      <c r="Z29" s="71">
        <f>+I182</f>
        <v>6.7049650707957644E-3</v>
      </c>
      <c r="AA29" s="71">
        <f>+I183</f>
        <v>-6.3007821832914424E-2</v>
      </c>
      <c r="AD29" s="29">
        <v>2019</v>
      </c>
      <c r="AE29" s="30">
        <f t="shared" si="22"/>
        <v>3.4101066193152181E-2</v>
      </c>
      <c r="AF29" s="30">
        <f t="shared" si="22"/>
        <v>3.0115368287614141E-2</v>
      </c>
      <c r="AG29" s="30">
        <f t="shared" si="22"/>
        <v>3.3921767087303267E-2</v>
      </c>
      <c r="AH29" s="30">
        <f t="shared" si="22"/>
        <v>3.4950401100383388E-2</v>
      </c>
      <c r="AI29" s="30">
        <f t="shared" si="21"/>
        <v>3.709721879778375E-2</v>
      </c>
      <c r="AJ29" s="30">
        <f t="shared" si="21"/>
        <v>3.358000168798192E-2</v>
      </c>
      <c r="AK29" s="30">
        <f t="shared" si="21"/>
        <v>3.2406092772911524E-2</v>
      </c>
      <c r="AL29" s="30">
        <f t="shared" si="21"/>
        <v>3.4544598169859456E-2</v>
      </c>
      <c r="AM29" s="30">
        <f t="shared" si="21"/>
        <v>3.4442144028772326E-2</v>
      </c>
      <c r="AN29" s="30">
        <f t="shared" si="21"/>
        <v>2.9912143216745596E-2</v>
      </c>
      <c r="AO29" s="30">
        <f t="shared" si="21"/>
        <v>2.8546115034772335E-2</v>
      </c>
      <c r="AP29" s="30">
        <f t="shared" si="21"/>
        <v>2.425254690110256E-2</v>
      </c>
      <c r="AQ29" s="31">
        <f>+(H171/H159-1)/COUNTA(AE29:AP29)*12</f>
        <v>3.3280114599612665E-2</v>
      </c>
      <c r="AR29" s="34"/>
      <c r="AV29" s="49"/>
      <c r="AW29" s="50"/>
      <c r="AX29" s="17"/>
      <c r="AY29" s="17"/>
      <c r="AZ29" s="17"/>
      <c r="BA29" s="17"/>
      <c r="BB29" s="17"/>
      <c r="BC29" s="48"/>
      <c r="BD29" s="35"/>
    </row>
    <row r="30" spans="1:56">
      <c r="A30" s="25">
        <v>39538</v>
      </c>
      <c r="B30" s="28">
        <v>12351.45</v>
      </c>
      <c r="C30" s="33">
        <f t="shared" si="4"/>
        <v>6.2928654389945465E-2</v>
      </c>
      <c r="D30" s="27">
        <f t="shared" si="1"/>
        <v>112.76629350122431</v>
      </c>
      <c r="E30" s="27"/>
      <c r="F30" s="27"/>
      <c r="O30" s="11">
        <v>2021</v>
      </c>
      <c r="P30" s="71">
        <f>+I184</f>
        <v>2.0648028637052829E-2</v>
      </c>
      <c r="Q30" s="71">
        <f>+I185</f>
        <v>2.1618704228718904E-2</v>
      </c>
      <c r="R30" s="68">
        <f>+I186</f>
        <v>2.0576782164021902E-2</v>
      </c>
      <c r="S30" s="68">
        <f>+I187</f>
        <v>1.4522413872391837E-2</v>
      </c>
      <c r="T30" s="68">
        <f>+I188</f>
        <v>1.2957195103294201E-2</v>
      </c>
      <c r="U30" s="68">
        <f>+I189</f>
        <v>1.337417925299267E-2</v>
      </c>
      <c r="V30" s="68">
        <f>+I190</f>
        <v>1.0773621068218983E-2</v>
      </c>
      <c r="W30" s="68">
        <f>+I191</f>
        <v>9.6872718034417046E-3</v>
      </c>
      <c r="X30" s="68">
        <f>+I192</f>
        <v>5.5565763963079107E-3</v>
      </c>
      <c r="Y30" s="68">
        <f>+I193</f>
        <v>1.9349435469095167E-2</v>
      </c>
      <c r="Z30" s="68">
        <f>+I194</f>
        <v>8.8716254859280141E-3</v>
      </c>
      <c r="AA30" s="68">
        <f>+I195</f>
        <v>9.6514891545384333E-3</v>
      </c>
      <c r="AD30" s="29">
        <v>2020</v>
      </c>
      <c r="AE30" s="30">
        <f t="shared" si="22"/>
        <v>2.3101912054559044E-2</v>
      </c>
      <c r="AF30" s="30">
        <f t="shared" si="22"/>
        <v>2.1125244063575094E-2</v>
      </c>
      <c r="AG30" s="30">
        <f t="shared" si="22"/>
        <v>1.9728751574866862E-2</v>
      </c>
      <c r="AH30" s="30">
        <f t="shared" si="22"/>
        <v>2.48744242627712E-2</v>
      </c>
      <c r="AI30" s="30">
        <f t="shared" si="21"/>
        <v>3.2757584392775638E-2</v>
      </c>
      <c r="AJ30" s="30">
        <f t="shared" si="21"/>
        <v>2.1377717026332732E-2</v>
      </c>
      <c r="AK30" s="30">
        <f t="shared" si="21"/>
        <v>1.9564411647430065E-2</v>
      </c>
      <c r="AL30" s="30">
        <f t="shared" si="21"/>
        <v>1.5191171846554611E-2</v>
      </c>
      <c r="AM30" s="30">
        <f t="shared" si="21"/>
        <v>1.3437459994338317E-2</v>
      </c>
      <c r="AN30" s="30">
        <f t="shared" si="21"/>
        <v>1.0824540092049896E-2</v>
      </c>
      <c r="AO30" s="30">
        <f t="shared" si="21"/>
        <v>6.7049650707957644E-3</v>
      </c>
      <c r="AP30" s="30">
        <f t="shared" si="21"/>
        <v>-6.3007821832914424E-2</v>
      </c>
      <c r="AQ30" s="31">
        <f>+(H183/H171-1)/COUNTA(AE30:AP30)*12</f>
        <v>1.2286951046635686E-2</v>
      </c>
      <c r="AR30" s="34"/>
      <c r="AV30" s="49"/>
      <c r="BC30" s="49"/>
      <c r="BD30" s="35"/>
    </row>
    <row r="31" spans="1:56">
      <c r="A31" s="25">
        <v>39568</v>
      </c>
      <c r="B31" s="28">
        <v>12416.18</v>
      </c>
      <c r="C31" s="33">
        <f t="shared" si="4"/>
        <v>6.2888162928238955E-2</v>
      </c>
      <c r="D31" s="27">
        <f t="shared" si="1"/>
        <v>113.35726558776753</v>
      </c>
      <c r="E31" s="27"/>
      <c r="F31" s="27"/>
      <c r="O31" s="11">
        <v>2022</v>
      </c>
      <c r="P31" s="71">
        <f>+I196</f>
        <v>6.4289829723556697E-3</v>
      </c>
      <c r="Q31" s="71">
        <f>+I197</f>
        <v>5.9282202436748499E-3</v>
      </c>
      <c r="R31" s="68">
        <f>+I198</f>
        <v>1.0704107530289279E-2</v>
      </c>
      <c r="S31" s="68">
        <f>+I199</f>
        <v>1.4365942747708083E-2</v>
      </c>
      <c r="T31" s="68">
        <f>+I200</f>
        <v>1.9226632939579602E-2</v>
      </c>
      <c r="U31" s="68">
        <f>+I201</f>
        <v>1.5426974791536095E-2</v>
      </c>
      <c r="V31" s="68">
        <f>+I202</f>
        <v>1.4910162218695847E-2</v>
      </c>
      <c r="W31" s="68">
        <f>+I203</f>
        <v>2.9782086304401396E-2</v>
      </c>
      <c r="X31" s="68">
        <f>+I204</f>
        <v>2.1925785901019346E-2</v>
      </c>
      <c r="Y31" s="68">
        <f>+I205</f>
        <v>2.2276615101000416E-2</v>
      </c>
      <c r="Z31" s="68">
        <f>+I206</f>
        <v>2.0854854668902367E-2</v>
      </c>
      <c r="AA31" s="68">
        <f>+I207</f>
        <v>1.9625630467964505E-2</v>
      </c>
      <c r="AD31" s="29">
        <v>2021</v>
      </c>
      <c r="AE31" s="30">
        <f t="shared" si="22"/>
        <v>2.0648028637052829E-2</v>
      </c>
      <c r="AF31" s="30">
        <f t="shared" si="22"/>
        <v>2.1618704228718904E-2</v>
      </c>
      <c r="AG31" s="30">
        <f t="shared" si="22"/>
        <v>2.0576782164021902E-2</v>
      </c>
      <c r="AH31" s="30">
        <f t="shared" si="22"/>
        <v>1.4522413872391837E-2</v>
      </c>
      <c r="AI31" s="30">
        <f t="shared" si="21"/>
        <v>1.2957195103294201E-2</v>
      </c>
      <c r="AJ31" s="30">
        <f t="shared" si="21"/>
        <v>1.337417925299267E-2</v>
      </c>
      <c r="AK31" s="30">
        <f t="shared" si="21"/>
        <v>1.0773621068218983E-2</v>
      </c>
      <c r="AL31" s="30">
        <f t="shared" si="21"/>
        <v>9.6872718034417046E-3</v>
      </c>
      <c r="AM31" s="30">
        <f t="shared" si="21"/>
        <v>5.5565763963079107E-3</v>
      </c>
      <c r="AN31" s="30">
        <f t="shared" si="21"/>
        <v>1.9349435469095167E-2</v>
      </c>
      <c r="AO31" s="30">
        <f t="shared" si="21"/>
        <v>8.8716254859280141E-3</v>
      </c>
      <c r="AP31" s="30">
        <f t="shared" si="21"/>
        <v>9.6514891545384333E-3</v>
      </c>
      <c r="AQ31" s="31">
        <f>+(H195/H183-1)/COUNTA(AE31:AP31)*12</f>
        <v>1.422419750552506E-2</v>
      </c>
      <c r="AR31" s="34"/>
      <c r="BC31" s="49"/>
      <c r="BD31" s="35"/>
    </row>
    <row r="32" spans="1:56">
      <c r="A32" s="25">
        <v>39598</v>
      </c>
      <c r="B32" s="28">
        <v>12481.48</v>
      </c>
      <c r="C32" s="33">
        <f t="shared" si="4"/>
        <v>6.311119845234181E-2</v>
      </c>
      <c r="D32" s="27">
        <f t="shared" si="1"/>
        <v>113.9534416614779</v>
      </c>
      <c r="E32" s="27"/>
      <c r="F32" s="27"/>
      <c r="O32" s="11">
        <v>2023</v>
      </c>
      <c r="P32" s="71">
        <f>+I208</f>
        <v>2.6185763826032105E-2</v>
      </c>
      <c r="Q32" s="71">
        <f>+I209</f>
        <v>3.7234447962534958E-2</v>
      </c>
      <c r="R32" s="68">
        <f>+I210</f>
        <v>3.877368681005712E-2</v>
      </c>
      <c r="S32" s="68">
        <f>+I211</f>
        <v>3.0065245724542691E-2</v>
      </c>
      <c r="T32" s="68">
        <f>+I212</f>
        <v>2.5450392062827249E-2</v>
      </c>
      <c r="U32" s="68">
        <f>+I213</f>
        <v>2.685603006727888E-2</v>
      </c>
      <c r="V32" s="68">
        <f>+I214</f>
        <v>2.0745337096974927E-2</v>
      </c>
      <c r="W32" s="68">
        <f>+I215</f>
        <v>2.6920846717059289E-2</v>
      </c>
      <c r="X32" s="68">
        <f>+I216</f>
        <v>3.3091152331030216E-2</v>
      </c>
      <c r="Y32" s="68">
        <f>+I217</f>
        <v>2.7814903754928583E-2</v>
      </c>
      <c r="Z32" s="68">
        <f>+I218</f>
        <v>2.2301525171378067E-2</v>
      </c>
      <c r="AA32" s="68">
        <f>+I219</f>
        <v>2.4619526879000202E-2</v>
      </c>
      <c r="AD32" s="29">
        <v>2022</v>
      </c>
      <c r="AE32" s="30">
        <f t="shared" si="22"/>
        <v>6.4289829723556697E-3</v>
      </c>
      <c r="AF32" s="30">
        <f t="shared" si="22"/>
        <v>5.9282202436748499E-3</v>
      </c>
      <c r="AG32" s="30">
        <f t="shared" si="22"/>
        <v>1.0704107530289279E-2</v>
      </c>
      <c r="AH32" s="30">
        <f t="shared" si="22"/>
        <v>1.4365942747708083E-2</v>
      </c>
      <c r="AI32" s="30">
        <f t="shared" si="21"/>
        <v>1.9226632939579602E-2</v>
      </c>
      <c r="AJ32" s="30">
        <f t="shared" si="21"/>
        <v>1.5426974791536095E-2</v>
      </c>
      <c r="AK32" s="30">
        <f t="shared" si="21"/>
        <v>1.4910162218695847E-2</v>
      </c>
      <c r="AL32" s="30">
        <f t="shared" si="21"/>
        <v>2.9782086304401396E-2</v>
      </c>
      <c r="AM32" s="30">
        <f t="shared" si="21"/>
        <v>2.1925785901019346E-2</v>
      </c>
      <c r="AN32" s="30">
        <f t="shared" si="21"/>
        <v>2.2276615101000416E-2</v>
      </c>
      <c r="AO32" s="30">
        <f t="shared" si="21"/>
        <v>2.0854854668902367E-2</v>
      </c>
      <c r="AP32" s="30">
        <f t="shared" si="21"/>
        <v>1.9625630467964505E-2</v>
      </c>
      <c r="AQ32" s="31">
        <f>+(H207/H195-1)/COUNTA(AE32:AP32)*12</f>
        <v>1.7161812878975891E-2</v>
      </c>
      <c r="AR32" s="17"/>
      <c r="AS32" s="17"/>
      <c r="BD32" s="35"/>
    </row>
    <row r="33" spans="1:62">
      <c r="A33" s="25">
        <v>39629</v>
      </c>
      <c r="B33" s="28">
        <v>12552.23</v>
      </c>
      <c r="C33" s="33">
        <f t="shared" si="4"/>
        <v>6.5826560890679578E-2</v>
      </c>
      <c r="D33" s="27">
        <f t="shared" si="1"/>
        <v>114.59937515634786</v>
      </c>
      <c r="E33" s="27"/>
      <c r="F33" s="27"/>
      <c r="O33" s="11">
        <v>2024</v>
      </c>
      <c r="P33" s="71">
        <f>+I220</f>
        <v>2.0472869612292194E-2</v>
      </c>
      <c r="Q33" s="71">
        <f>+I221</f>
        <v>1.856933625190816E-2</v>
      </c>
      <c r="R33" s="68">
        <f>+I222</f>
        <v>2.3722341885271513E-2</v>
      </c>
      <c r="S33" s="68">
        <f>+I223</f>
        <v>2.1047691634042662E-2</v>
      </c>
      <c r="T33" s="68">
        <f>+I224</f>
        <v>1.6263608524950877E-2</v>
      </c>
      <c r="U33" s="68">
        <f>+I225</f>
        <v>8.3911128406572999E-3</v>
      </c>
      <c r="V33" s="68">
        <f>+I226</f>
        <v>5.0717234130144432E-3</v>
      </c>
      <c r="W33" s="68">
        <f>+I227</f>
        <v>8.1112150357776809E-3</v>
      </c>
      <c r="X33" s="68">
        <f>+I228</f>
        <v>3.3502954815116226E-2</v>
      </c>
      <c r="Y33" s="68">
        <f>+I229</f>
        <v>4.0414932948804319E-3</v>
      </c>
      <c r="Z33" s="68">
        <f>+I230</f>
        <v>1.9830095036041051E-2</v>
      </c>
      <c r="AA33" s="68">
        <f>+I231</f>
        <v>3.7309153611717036E-2</v>
      </c>
      <c r="AD33" s="29">
        <v>2023</v>
      </c>
      <c r="AE33" s="30">
        <f t="shared" si="22"/>
        <v>2.6185763826032105E-2</v>
      </c>
      <c r="AF33" s="30">
        <f t="shared" si="22"/>
        <v>3.7234447962534958E-2</v>
      </c>
      <c r="AG33" s="30">
        <f t="shared" si="22"/>
        <v>3.877368681005712E-2</v>
      </c>
      <c r="AH33" s="30">
        <f t="shared" si="22"/>
        <v>3.0065245724542691E-2</v>
      </c>
      <c r="AI33" s="30">
        <f t="shared" si="21"/>
        <v>2.5450392062827249E-2</v>
      </c>
      <c r="AJ33" s="30">
        <f t="shared" si="21"/>
        <v>2.685603006727888E-2</v>
      </c>
      <c r="AK33" s="30">
        <f t="shared" si="21"/>
        <v>2.0745337096974927E-2</v>
      </c>
      <c r="AL33" s="30">
        <f t="shared" si="21"/>
        <v>2.6920846717059289E-2</v>
      </c>
      <c r="AM33" s="30">
        <f t="shared" si="21"/>
        <v>3.3091152331030216E-2</v>
      </c>
      <c r="AN33" s="30">
        <f t="shared" si="21"/>
        <v>2.7814903754928583E-2</v>
      </c>
      <c r="AO33" s="30">
        <f t="shared" si="21"/>
        <v>2.2301525171378067E-2</v>
      </c>
      <c r="AP33" s="30">
        <f t="shared" si="21"/>
        <v>2.4619526879000202E-2</v>
      </c>
      <c r="AQ33" s="31">
        <f>+(H219/H207-1)/COUNTA(AE33:AP33)*12</f>
        <v>2.9087381783320598E-2</v>
      </c>
    </row>
    <row r="34" spans="1:62">
      <c r="A34" s="25">
        <v>39660</v>
      </c>
      <c r="B34" s="28">
        <v>12628.9</v>
      </c>
      <c r="C34" s="33">
        <f t="shared" si="4"/>
        <v>7.0932518789296503E-2</v>
      </c>
      <c r="D34" s="27">
        <f t="shared" si="1"/>
        <v>115.2993570793398</v>
      </c>
      <c r="E34" s="27"/>
      <c r="F34" s="27"/>
      <c r="O34" s="11">
        <v>2025</v>
      </c>
      <c r="P34" s="71">
        <f>+I232</f>
        <v>2.8143536425563727E-2</v>
      </c>
      <c r="Q34" s="71"/>
      <c r="R34" s="68"/>
      <c r="S34" s="68"/>
      <c r="T34" s="68"/>
      <c r="U34" s="68"/>
      <c r="V34" s="68"/>
      <c r="W34" s="68"/>
      <c r="X34" s="68"/>
      <c r="Y34" s="68"/>
      <c r="Z34" s="68"/>
      <c r="AA34" s="68"/>
      <c r="AD34" s="29">
        <v>2024</v>
      </c>
      <c r="AE34" s="30">
        <f t="shared" si="22"/>
        <v>2.0472869612292194E-2</v>
      </c>
      <c r="AF34" s="30">
        <f t="shared" si="22"/>
        <v>1.856933625190816E-2</v>
      </c>
      <c r="AG34" s="30">
        <f t="shared" si="22"/>
        <v>2.3722341885271513E-2</v>
      </c>
      <c r="AH34" s="30">
        <f t="shared" si="22"/>
        <v>2.1047691634042662E-2</v>
      </c>
      <c r="AI34" s="30">
        <f t="shared" si="21"/>
        <v>1.6263608524950877E-2</v>
      </c>
      <c r="AJ34" s="30">
        <f t="shared" si="21"/>
        <v>8.3911128406572999E-3</v>
      </c>
      <c r="AK34" s="30">
        <f t="shared" si="21"/>
        <v>5.0717234130144432E-3</v>
      </c>
      <c r="AL34" s="30">
        <f t="shared" si="21"/>
        <v>8.1112150357776809E-3</v>
      </c>
      <c r="AM34" s="30">
        <f t="shared" si="21"/>
        <v>3.3502954815116226E-2</v>
      </c>
      <c r="AN34" s="30">
        <f t="shared" si="21"/>
        <v>4.0414932948804319E-3</v>
      </c>
      <c r="AO34" s="30">
        <f t="shared" si="21"/>
        <v>1.9830095036041051E-2</v>
      </c>
      <c r="AP34" s="30">
        <f t="shared" si="21"/>
        <v>3.7309153611717036E-2</v>
      </c>
      <c r="AQ34" s="31">
        <f>+(H231/H219-1)/COUNTA(AE34:AP34)*12</f>
        <v>1.8422739196950033E-2</v>
      </c>
      <c r="AR34" s="17"/>
      <c r="AS34" s="17"/>
    </row>
    <row r="35" spans="1:62">
      <c r="A35" s="25">
        <v>39689</v>
      </c>
      <c r="B35" s="28">
        <v>12704.63</v>
      </c>
      <c r="C35" s="33">
        <f t="shared" si="4"/>
        <v>7.4440097848913853E-2</v>
      </c>
      <c r="D35" s="27">
        <f t="shared" si="1"/>
        <v>115.99075698840697</v>
      </c>
      <c r="E35" s="27"/>
      <c r="F35" s="27"/>
      <c r="P35" s="18">
        <v>31</v>
      </c>
      <c r="Q35" s="18">
        <v>28</v>
      </c>
      <c r="R35" s="18">
        <v>31</v>
      </c>
      <c r="S35" s="18">
        <v>30</v>
      </c>
      <c r="T35" s="18">
        <v>31</v>
      </c>
      <c r="U35" s="18">
        <v>30</v>
      </c>
      <c r="V35" s="18">
        <v>31</v>
      </c>
      <c r="W35" s="18">
        <v>31</v>
      </c>
      <c r="X35" s="18">
        <v>30</v>
      </c>
      <c r="Y35" s="18">
        <v>31</v>
      </c>
      <c r="Z35" s="18">
        <v>30</v>
      </c>
      <c r="AA35" s="18">
        <v>31</v>
      </c>
      <c r="AD35" s="29">
        <v>2025</v>
      </c>
      <c r="AE35" s="30">
        <f>+P34</f>
        <v>2.8143536425563727E-2</v>
      </c>
      <c r="AF35" s="30"/>
      <c r="AG35" s="30"/>
      <c r="AH35" s="30"/>
      <c r="AI35" s="30"/>
      <c r="AJ35" s="30"/>
      <c r="AK35" s="30"/>
      <c r="AL35" s="30"/>
      <c r="AM35" s="30"/>
      <c r="AN35" s="30"/>
      <c r="AO35" s="30"/>
      <c r="AP35" s="30"/>
      <c r="AQ35" s="31">
        <f>+(H232/H231-1)/COUNTA(AE35:AP35)*12</f>
        <v>2.9081654306415849E-2</v>
      </c>
      <c r="AR35" s="34"/>
      <c r="AS35" s="17"/>
    </row>
    <row r="36" spans="1:62">
      <c r="A36" s="25">
        <v>39721</v>
      </c>
      <c r="B36" s="28">
        <v>12796.95</v>
      </c>
      <c r="C36" s="33">
        <f t="shared" si="4"/>
        <v>8.1749724313105177E-2</v>
      </c>
      <c r="D36" s="27">
        <f t="shared" si="1"/>
        <v>116.83362031344437</v>
      </c>
      <c r="E36" s="27"/>
      <c r="F36" s="27"/>
      <c r="P36" s="18">
        <v>1</v>
      </c>
      <c r="Q36" s="18">
        <v>2</v>
      </c>
      <c r="R36" s="18">
        <v>3</v>
      </c>
      <c r="S36" s="18">
        <v>4</v>
      </c>
      <c r="T36" s="18">
        <v>4</v>
      </c>
      <c r="U36" s="18">
        <v>6</v>
      </c>
      <c r="V36" s="18">
        <v>7</v>
      </c>
      <c r="W36" s="18">
        <v>8</v>
      </c>
      <c r="X36" s="18">
        <v>9</v>
      </c>
      <c r="Y36" s="18">
        <v>10</v>
      </c>
      <c r="Z36" s="18">
        <v>11</v>
      </c>
      <c r="AA36" s="18">
        <v>12</v>
      </c>
      <c r="AD36" s="34" t="s">
        <v>27</v>
      </c>
      <c r="AR36" s="34" t="s">
        <v>23</v>
      </c>
    </row>
    <row r="37" spans="1:62">
      <c r="A37" s="25">
        <v>39752</v>
      </c>
      <c r="B37" s="28">
        <v>12885.37</v>
      </c>
      <c r="C37" s="33">
        <f t="shared" si="4"/>
        <v>8.0238877484542018E-2</v>
      </c>
      <c r="D37" s="27">
        <f t="shared" si="1"/>
        <v>117.640877410496</v>
      </c>
      <c r="E37" s="27"/>
      <c r="F37" s="27"/>
      <c r="O37" s="40" t="s">
        <v>25</v>
      </c>
      <c r="P37" s="11" t="s">
        <v>4</v>
      </c>
      <c r="Q37" s="11" t="s">
        <v>5</v>
      </c>
      <c r="R37" s="11" t="s">
        <v>6</v>
      </c>
      <c r="S37" s="11" t="s">
        <v>7</v>
      </c>
      <c r="T37" s="11" t="s">
        <v>8</v>
      </c>
      <c r="U37" s="11" t="s">
        <v>9</v>
      </c>
      <c r="V37" s="11" t="s">
        <v>10</v>
      </c>
      <c r="W37" s="11" t="s">
        <v>11</v>
      </c>
      <c r="X37" s="11" t="s">
        <v>12</v>
      </c>
      <c r="Y37" s="11" t="s">
        <v>13</v>
      </c>
      <c r="Z37" s="11" t="s">
        <v>14</v>
      </c>
      <c r="AA37" s="11" t="s">
        <v>15</v>
      </c>
      <c r="AD37" s="37" t="s">
        <v>25</v>
      </c>
      <c r="AE37" s="16" t="s">
        <v>4</v>
      </c>
      <c r="AF37" s="16" t="s">
        <v>5</v>
      </c>
      <c r="AG37" s="16" t="s">
        <v>6</v>
      </c>
      <c r="AH37" s="16" t="s">
        <v>7</v>
      </c>
      <c r="AI37" s="16" t="s">
        <v>8</v>
      </c>
      <c r="AJ37" s="16" t="s">
        <v>9</v>
      </c>
      <c r="AK37" s="16" t="s">
        <v>10</v>
      </c>
      <c r="AL37" s="16" t="s">
        <v>11</v>
      </c>
      <c r="AM37" s="16" t="s">
        <v>12</v>
      </c>
      <c r="AN37" s="16" t="s">
        <v>13</v>
      </c>
      <c r="AO37" s="16" t="s">
        <v>14</v>
      </c>
      <c r="AP37" s="16" t="s">
        <v>15</v>
      </c>
      <c r="AQ37" s="16" t="s">
        <v>16</v>
      </c>
      <c r="AR37" s="34"/>
    </row>
    <row r="38" spans="1:62">
      <c r="A38" s="25">
        <v>39780</v>
      </c>
      <c r="B38" s="28">
        <v>12970.93</v>
      </c>
      <c r="C38" s="33">
        <f t="shared" si="4"/>
        <v>8.53725692670948E-2</v>
      </c>
      <c r="D38" s="27">
        <f t="shared" si="1"/>
        <v>118.42202327369138</v>
      </c>
      <c r="E38" s="27"/>
      <c r="F38" s="27"/>
      <c r="O38" s="11">
        <v>2017</v>
      </c>
      <c r="P38" s="71"/>
      <c r="Q38" s="71"/>
      <c r="R38" s="71"/>
      <c r="S38" s="71"/>
      <c r="T38" s="71">
        <f t="shared" ref="T38:AA40" si="24">LOOKUP(DATE($O38,T$24,T$23),$A$2:$A$2941,$L$2:$L$2941)</f>
        <v>4.6197641583761899E-3</v>
      </c>
      <c r="U38" s="71">
        <f t="shared" si="24"/>
        <v>4.9980545286780753E-3</v>
      </c>
      <c r="V38" s="71">
        <f t="shared" si="24"/>
        <v>4.7507295330012815E-3</v>
      </c>
      <c r="W38" s="71">
        <f t="shared" si="24"/>
        <v>6.0897556212559777E-3</v>
      </c>
      <c r="X38" s="71">
        <f t="shared" si="24"/>
        <v>6.7787163890908886E-3</v>
      </c>
      <c r="Y38" s="71">
        <f t="shared" si="24"/>
        <v>7.2728483717021675E-3</v>
      </c>
      <c r="Z38" s="71">
        <f t="shared" si="24"/>
        <v>7.8583667976781513E-3</v>
      </c>
      <c r="AA38" s="71">
        <f t="shared" si="24"/>
        <v>9.6037278865836583E-3</v>
      </c>
      <c r="AD38" s="29">
        <v>2017</v>
      </c>
      <c r="AE38" s="30"/>
      <c r="AF38" s="30"/>
      <c r="AG38" s="30"/>
      <c r="AH38" s="30"/>
      <c r="AI38" s="30">
        <f t="shared" ref="AI38:AP45" si="25">+T38</f>
        <v>4.6197641583761899E-3</v>
      </c>
      <c r="AJ38" s="30">
        <f t="shared" si="25"/>
        <v>4.9980545286780753E-3</v>
      </c>
      <c r="AK38" s="30">
        <f t="shared" si="25"/>
        <v>4.7507295330012815E-3</v>
      </c>
      <c r="AL38" s="30">
        <f t="shared" si="25"/>
        <v>6.0897556212559777E-3</v>
      </c>
      <c r="AM38" s="30">
        <f t="shared" si="25"/>
        <v>6.7787163890908886E-3</v>
      </c>
      <c r="AN38" s="30">
        <f t="shared" si="25"/>
        <v>7.2728483717021675E-3</v>
      </c>
      <c r="AO38" s="30">
        <f t="shared" si="25"/>
        <v>7.8583667976781513E-3</v>
      </c>
      <c r="AP38" s="30">
        <f t="shared" si="25"/>
        <v>9.6037278865836583E-3</v>
      </c>
      <c r="AQ38" s="31">
        <f>+(K147/K139-1)/8*12</f>
        <v>6.6439551195101032E-3</v>
      </c>
      <c r="AR38" s="34"/>
      <c r="BE38" s="46"/>
      <c r="BF38" s="46"/>
      <c r="BG38" s="46"/>
      <c r="BH38" s="46"/>
      <c r="BI38" s="46"/>
      <c r="BJ38" s="46"/>
    </row>
    <row r="39" spans="1:62" ht="15" customHeight="1">
      <c r="A39" s="25">
        <v>39813</v>
      </c>
      <c r="B39" s="28">
        <v>13066.33</v>
      </c>
      <c r="C39" s="33">
        <f t="shared" si="4"/>
        <v>8.0235362670776855E-2</v>
      </c>
      <c r="D39" s="27">
        <f t="shared" si="1"/>
        <v>119.29300638903548</v>
      </c>
      <c r="E39" s="27"/>
      <c r="F39" s="27"/>
      <c r="O39" s="11">
        <v>2018</v>
      </c>
      <c r="P39" s="71">
        <f t="shared" ref="P39:S40" si="26">LOOKUP(DATE($O39,P$24,P$23),$A$2:$A$2941,$L$2:$L$2941)</f>
        <v>1.0967707820073671E-2</v>
      </c>
      <c r="Q39" s="71">
        <f t="shared" si="26"/>
        <v>1.0622313246440029E-2</v>
      </c>
      <c r="R39" s="71">
        <f t="shared" si="26"/>
        <v>1.090269598324102E-2</v>
      </c>
      <c r="S39" s="71">
        <f t="shared" si="26"/>
        <v>1.228770336832774E-2</v>
      </c>
      <c r="T39" s="71">
        <f t="shared" si="24"/>
        <v>1.3576049495116269E-2</v>
      </c>
      <c r="U39" s="71">
        <f t="shared" si="24"/>
        <v>1.4993145885560999E-2</v>
      </c>
      <c r="V39" s="71">
        <f t="shared" si="24"/>
        <v>1.6017646157316396E-2</v>
      </c>
      <c r="W39" s="71">
        <f t="shared" si="24"/>
        <v>1.5773527601195707E-2</v>
      </c>
      <c r="X39" s="71">
        <f t="shared" si="24"/>
        <v>1.6705268102634285E-2</v>
      </c>
      <c r="Y39" s="71">
        <f t="shared" si="24"/>
        <v>1.6964679656212699E-2</v>
      </c>
      <c r="Z39" s="71">
        <f t="shared" si="24"/>
        <v>1.5174929296453143E-2</v>
      </c>
      <c r="AA39" s="71">
        <f t="shared" si="24"/>
        <v>1.8100758996559756E-2</v>
      </c>
      <c r="AD39" s="22">
        <v>2018</v>
      </c>
      <c r="AE39" s="30">
        <f t="shared" ref="AE39:AH45" si="27">+P39</f>
        <v>1.0967707820073671E-2</v>
      </c>
      <c r="AF39" s="30">
        <f t="shared" si="27"/>
        <v>1.0622313246440029E-2</v>
      </c>
      <c r="AG39" s="30">
        <f t="shared" si="27"/>
        <v>1.090269598324102E-2</v>
      </c>
      <c r="AH39" s="30">
        <f t="shared" si="27"/>
        <v>1.228770336832774E-2</v>
      </c>
      <c r="AI39" s="30">
        <f t="shared" si="25"/>
        <v>1.3576049495116269E-2</v>
      </c>
      <c r="AJ39" s="30">
        <f t="shared" si="25"/>
        <v>1.4993145885560999E-2</v>
      </c>
      <c r="AK39" s="30">
        <f t="shared" si="25"/>
        <v>1.6017646157316396E-2</v>
      </c>
      <c r="AL39" s="30">
        <f t="shared" si="25"/>
        <v>1.5773527601195707E-2</v>
      </c>
      <c r="AM39" s="30">
        <f t="shared" si="25"/>
        <v>1.6705268102634285E-2</v>
      </c>
      <c r="AN39" s="30">
        <f t="shared" si="25"/>
        <v>1.6964679656212699E-2</v>
      </c>
      <c r="AO39" s="30">
        <f t="shared" si="25"/>
        <v>1.5174929296453143E-2</v>
      </c>
      <c r="AP39" s="30">
        <f t="shared" si="25"/>
        <v>1.8100758996559756E-2</v>
      </c>
      <c r="AQ39" s="24">
        <f>+K159/K147-1</f>
        <v>1.4663028271348244E-2</v>
      </c>
      <c r="AR39" s="34"/>
      <c r="BE39" s="35"/>
      <c r="BF39" s="35"/>
      <c r="BG39" s="35"/>
      <c r="BH39" s="35"/>
      <c r="BI39" s="35"/>
      <c r="BJ39" s="55"/>
    </row>
    <row r="40" spans="1:62" ht="15" customHeight="1">
      <c r="A40" s="25">
        <v>39843</v>
      </c>
      <c r="B40" s="28">
        <v>13151.16</v>
      </c>
      <c r="C40" s="33">
        <f t="shared" si="4"/>
        <v>7.7907109341338376E-2</v>
      </c>
      <c r="D40" s="27">
        <f t="shared" si="1"/>
        <v>120.06748749673611</v>
      </c>
      <c r="E40" s="27"/>
      <c r="F40" s="27"/>
      <c r="O40" s="11">
        <v>2019</v>
      </c>
      <c r="P40" s="71">
        <f t="shared" si="26"/>
        <v>1.9871310117053377E-2</v>
      </c>
      <c r="Q40" s="71">
        <f t="shared" si="26"/>
        <v>1.9274745331590015E-2</v>
      </c>
      <c r="R40" s="71">
        <f t="shared" si="26"/>
        <v>1.9697306214110293E-2</v>
      </c>
      <c r="S40" s="71">
        <f t="shared" si="26"/>
        <v>1.9770427238439581E-2</v>
      </c>
      <c r="T40" s="71">
        <f t="shared" si="24"/>
        <v>1.9140352968909653E-2</v>
      </c>
      <c r="U40" s="71">
        <f t="shared" si="24"/>
        <v>1.8983221230177705E-2</v>
      </c>
      <c r="V40" s="71">
        <f t="shared" si="24"/>
        <v>1.814207179538296E-2</v>
      </c>
      <c r="W40" s="71">
        <f t="shared" si="24"/>
        <v>1.7571984141117443E-2</v>
      </c>
      <c r="X40" s="71">
        <f t="shared" si="24"/>
        <v>1.7214244953612123E-2</v>
      </c>
      <c r="Y40" s="71">
        <f t="shared" si="24"/>
        <v>1.6927381313197275E-2</v>
      </c>
      <c r="Z40" s="71">
        <f t="shared" si="24"/>
        <v>1.6935501959059351E-2</v>
      </c>
      <c r="AA40" s="71">
        <f t="shared" si="24"/>
        <v>1.59787130043181E-2</v>
      </c>
      <c r="AD40" s="29">
        <v>2019</v>
      </c>
      <c r="AE40" s="30">
        <f t="shared" si="27"/>
        <v>1.9871310117053377E-2</v>
      </c>
      <c r="AF40" s="30">
        <f t="shared" si="27"/>
        <v>1.9274745331590015E-2</v>
      </c>
      <c r="AG40" s="30">
        <f t="shared" si="27"/>
        <v>1.9697306214110293E-2</v>
      </c>
      <c r="AH40" s="30">
        <f t="shared" si="27"/>
        <v>1.9770427238439581E-2</v>
      </c>
      <c r="AI40" s="30">
        <f t="shared" si="25"/>
        <v>1.9140352968909653E-2</v>
      </c>
      <c r="AJ40" s="30">
        <f t="shared" si="25"/>
        <v>1.8983221230177705E-2</v>
      </c>
      <c r="AK40" s="30">
        <f t="shared" si="25"/>
        <v>1.814207179538296E-2</v>
      </c>
      <c r="AL40" s="30">
        <f t="shared" si="25"/>
        <v>1.7571984141117443E-2</v>
      </c>
      <c r="AM40" s="30">
        <f t="shared" si="25"/>
        <v>1.7214244953612123E-2</v>
      </c>
      <c r="AN40" s="30">
        <f t="shared" si="25"/>
        <v>1.6927381313197275E-2</v>
      </c>
      <c r="AO40" s="30">
        <f t="shared" si="25"/>
        <v>1.6935501959059351E-2</v>
      </c>
      <c r="AP40" s="30">
        <f t="shared" si="25"/>
        <v>1.59787130043181E-2</v>
      </c>
      <c r="AQ40" s="31">
        <f>+(K171/K159-1)/COUNTA(AE40:AP40)*12</f>
        <v>1.8697147991280305E-2</v>
      </c>
      <c r="AR40" s="34"/>
      <c r="BE40" s="35"/>
      <c r="BF40" s="35"/>
      <c r="BG40" s="35"/>
      <c r="BH40" s="35"/>
      <c r="BI40" s="35"/>
      <c r="BJ40" s="55"/>
    </row>
    <row r="41" spans="1:62" ht="15" customHeight="1">
      <c r="A41" s="25">
        <v>39871</v>
      </c>
      <c r="B41" s="28">
        <v>13212.09</v>
      </c>
      <c r="C41" s="33">
        <f t="shared" si="4"/>
        <v>5.9567803470242771E-2</v>
      </c>
      <c r="D41" s="27">
        <f t="shared" si="1"/>
        <v>120.62376633549832</v>
      </c>
      <c r="E41" s="27"/>
      <c r="F41" s="27"/>
      <c r="O41" s="11">
        <v>2020</v>
      </c>
      <c r="P41" s="68">
        <f>LOOKUP(DATE($O41,P$24,P$23),$A$2:$A$2941,$L$2:$L$2941)</f>
        <v>1.6402559199187192E-2</v>
      </c>
      <c r="Q41" s="68">
        <f>LOOKUP(DATE($O41,Q$24,Q$23)+1,$A$2:$A$2941,$L$2:$L$2941)</f>
        <v>1.4597748871623052E-2</v>
      </c>
      <c r="R41" s="68">
        <f t="shared" ref="R41:AA41" si="28">LOOKUP(DATE($O41,R$24,R$23),$A:$A,$L:$L)</f>
        <v>1.3144740456157381E-2</v>
      </c>
      <c r="S41" s="68">
        <f t="shared" si="28"/>
        <v>1.1466222317363162E-2</v>
      </c>
      <c r="T41" s="68">
        <f t="shared" si="28"/>
        <v>1.1925525636360044E-2</v>
      </c>
      <c r="U41" s="68">
        <f t="shared" si="28"/>
        <v>1.2766552452765367E-3</v>
      </c>
      <c r="V41" s="68">
        <f t="shared" si="28"/>
        <v>1.785704755779567E-4</v>
      </c>
      <c r="W41" s="68">
        <f t="shared" si="28"/>
        <v>2.0970261597648646E-4</v>
      </c>
      <c r="X41" s="68">
        <f t="shared" si="28"/>
        <v>1.7505426287733883E-4</v>
      </c>
      <c r="Y41" s="68">
        <f t="shared" si="28"/>
        <v>1.3827101009715237E-4</v>
      </c>
      <c r="Z41" s="68">
        <f t="shared" si="28"/>
        <v>5.27041303351794E-4</v>
      </c>
      <c r="AA41" s="68">
        <f t="shared" si="28"/>
        <v>2.83851789943802E-4</v>
      </c>
      <c r="AD41" s="29">
        <v>2020</v>
      </c>
      <c r="AE41" s="30">
        <f t="shared" si="27"/>
        <v>1.6402559199187192E-2</v>
      </c>
      <c r="AF41" s="30">
        <f t="shared" si="27"/>
        <v>1.4597748871623052E-2</v>
      </c>
      <c r="AG41" s="30">
        <f t="shared" si="27"/>
        <v>1.3144740456157381E-2</v>
      </c>
      <c r="AH41" s="30">
        <f t="shared" si="27"/>
        <v>1.1466222317363162E-2</v>
      </c>
      <c r="AI41" s="30">
        <f t="shared" si="25"/>
        <v>1.1925525636360044E-2</v>
      </c>
      <c r="AJ41" s="30">
        <f t="shared" si="25"/>
        <v>1.2766552452765367E-3</v>
      </c>
      <c r="AK41" s="30">
        <f t="shared" si="25"/>
        <v>1.785704755779567E-4</v>
      </c>
      <c r="AL41" s="30">
        <f t="shared" si="25"/>
        <v>2.0970261597648646E-4</v>
      </c>
      <c r="AM41" s="30">
        <f t="shared" si="25"/>
        <v>1.7505426287733883E-4</v>
      </c>
      <c r="AN41" s="30">
        <f t="shared" si="25"/>
        <v>1.3827101009715237E-4</v>
      </c>
      <c r="AO41" s="30">
        <f t="shared" si="25"/>
        <v>5.27041303351794E-4</v>
      </c>
      <c r="AP41" s="30">
        <f t="shared" si="25"/>
        <v>2.83851789943802E-4</v>
      </c>
      <c r="AQ41" s="31">
        <f>+(K183/K171-1)/COUNTA(AE41:AP41)*12</f>
        <v>5.9517228262242483E-3</v>
      </c>
      <c r="AR41" s="17"/>
      <c r="AS41" s="17"/>
      <c r="BE41" s="35"/>
      <c r="BF41" s="35"/>
      <c r="BG41" s="35"/>
      <c r="BH41" s="35"/>
      <c r="BI41" s="35"/>
      <c r="BJ41" s="55"/>
    </row>
    <row r="42" spans="1:62">
      <c r="A42" s="25">
        <v>39903</v>
      </c>
      <c r="B42" s="28">
        <v>13251.18</v>
      </c>
      <c r="C42" s="33">
        <f t="shared" si="4"/>
        <v>3.3284855007800485E-2</v>
      </c>
      <c r="D42" s="27">
        <f t="shared" si="1"/>
        <v>120.98065029754027</v>
      </c>
      <c r="E42" s="27"/>
      <c r="F42" s="27"/>
      <c r="O42" s="11">
        <v>2021</v>
      </c>
      <c r="P42" s="76">
        <f>+L184</f>
        <v>1.0529728379936275E-3</v>
      </c>
      <c r="Q42" s="76">
        <f>+L185</f>
        <v>4.4296055099923848E-4</v>
      </c>
      <c r="R42" s="76">
        <f>+L186</f>
        <v>2.6641457344469828E-4</v>
      </c>
      <c r="S42" s="76">
        <f>+L187</f>
        <v>7.7667374097956099E-4</v>
      </c>
      <c r="T42" s="76">
        <f>+L188</f>
        <v>1.8583305045492783E-4</v>
      </c>
      <c r="U42" s="76">
        <f>+L189</f>
        <v>8.7025842180565846E-5</v>
      </c>
      <c r="V42" s="76">
        <f>+L190</f>
        <v>1.6294341762577945E-4</v>
      </c>
      <c r="W42" s="76">
        <f>+L191</f>
        <v>1.894877201779091E-4</v>
      </c>
      <c r="X42" s="76">
        <f>+L192</f>
        <v>1.664779601133759E-4</v>
      </c>
      <c r="Y42" s="76">
        <f>+L193</f>
        <v>1.7025918808488336E-4</v>
      </c>
      <c r="Z42" s="76">
        <f>+L194</f>
        <v>4.4172152846932988E-4</v>
      </c>
      <c r="AA42" s="68">
        <f>+L195</f>
        <v>3.5148474833882867E-4</v>
      </c>
      <c r="AD42" s="29">
        <v>2021</v>
      </c>
      <c r="AE42" s="30">
        <f t="shared" si="27"/>
        <v>1.0529728379936275E-3</v>
      </c>
      <c r="AF42" s="30">
        <f t="shared" si="27"/>
        <v>4.4296055099923848E-4</v>
      </c>
      <c r="AG42" s="30">
        <f t="shared" si="27"/>
        <v>2.6641457344469828E-4</v>
      </c>
      <c r="AH42" s="30">
        <f t="shared" si="27"/>
        <v>7.7667374097956099E-4</v>
      </c>
      <c r="AI42" s="30">
        <f t="shared" si="25"/>
        <v>1.8583305045492783E-4</v>
      </c>
      <c r="AJ42" s="30">
        <f t="shared" si="25"/>
        <v>8.7025842180565846E-5</v>
      </c>
      <c r="AK42" s="30">
        <f t="shared" si="25"/>
        <v>1.6294341762577945E-4</v>
      </c>
      <c r="AL42" s="30">
        <f t="shared" si="25"/>
        <v>1.894877201779091E-4</v>
      </c>
      <c r="AM42" s="30">
        <f t="shared" si="25"/>
        <v>1.664779601133759E-4</v>
      </c>
      <c r="AN42" s="30">
        <f t="shared" si="25"/>
        <v>1.7025918808488336E-4</v>
      </c>
      <c r="AO42" s="30">
        <f t="shared" si="25"/>
        <v>4.4172152846932988E-4</v>
      </c>
      <c r="AP42" s="30">
        <f t="shared" si="25"/>
        <v>3.5148474833882867E-4</v>
      </c>
      <c r="AQ42" s="31">
        <f>+(K195/K183-1)/COUNTA(AE42:AP42)*12</f>
        <v>3.6205987785997706E-4</v>
      </c>
      <c r="AR42" s="17"/>
      <c r="AS42" s="17"/>
      <c r="BE42" s="35"/>
      <c r="BF42" s="35"/>
      <c r="BG42" s="35"/>
      <c r="BH42" s="35"/>
      <c r="BI42" s="35"/>
      <c r="BJ42" s="55"/>
    </row>
    <row r="43" spans="1:62">
      <c r="A43" s="25">
        <v>39933</v>
      </c>
      <c r="B43" s="28">
        <v>13272.62</v>
      </c>
      <c r="C43" s="33">
        <f t="shared" si="4"/>
        <v>1.9415629400551637E-2</v>
      </c>
      <c r="D43" s="27">
        <f t="shared" si="1"/>
        <v>121.17639325344149</v>
      </c>
      <c r="E43" s="27"/>
      <c r="F43" s="27"/>
      <c r="O43" s="11">
        <v>2022</v>
      </c>
      <c r="P43" s="76">
        <f>+L196</f>
        <v>4.4758031241007572E-4</v>
      </c>
      <c r="Q43" s="76">
        <f>+L197</f>
        <v>5.6847569541718102E-4</v>
      </c>
      <c r="R43" s="76">
        <f>+L198</f>
        <v>6.0496135888121034E-4</v>
      </c>
      <c r="S43" s="76">
        <f>+L199</f>
        <v>1.1054993786876466E-3</v>
      </c>
      <c r="T43" s="76">
        <f>+L200</f>
        <v>3.8616774488814932E-3</v>
      </c>
      <c r="U43" s="76">
        <f>+L201</f>
        <v>4.8369879753540346E-3</v>
      </c>
      <c r="V43" s="76">
        <f>+L202</f>
        <v>7.0272920403535721E-3</v>
      </c>
      <c r="W43" s="76">
        <f>+L203</f>
        <v>1.2127884587468062E-2</v>
      </c>
      <c r="X43" s="76">
        <f>+L204</f>
        <v>1.6815046282649959E-2</v>
      </c>
      <c r="Y43" s="76">
        <f>+L205</f>
        <v>2.1028927602071423E-2</v>
      </c>
      <c r="Z43" s="76">
        <f>+L206</f>
        <v>2.5369084107694884E-2</v>
      </c>
      <c r="AA43" s="68">
        <f>+L207</f>
        <v>3.1920039296015723E-2</v>
      </c>
      <c r="AD43" s="29">
        <v>2022</v>
      </c>
      <c r="AE43" s="30">
        <f t="shared" si="27"/>
        <v>4.4758031241007572E-4</v>
      </c>
      <c r="AF43" s="30">
        <f t="shared" si="27"/>
        <v>5.6847569541718102E-4</v>
      </c>
      <c r="AG43" s="30">
        <f t="shared" si="27"/>
        <v>6.0496135888121034E-4</v>
      </c>
      <c r="AH43" s="30">
        <f t="shared" si="27"/>
        <v>1.1054993786876466E-3</v>
      </c>
      <c r="AI43" s="30">
        <f t="shared" si="25"/>
        <v>3.8616774488814932E-3</v>
      </c>
      <c r="AJ43" s="30">
        <f t="shared" si="25"/>
        <v>4.8369879753540346E-3</v>
      </c>
      <c r="AK43" s="30">
        <f t="shared" si="25"/>
        <v>7.0272920403535721E-3</v>
      </c>
      <c r="AL43" s="30">
        <f t="shared" si="25"/>
        <v>1.2127884587468062E-2</v>
      </c>
      <c r="AM43" s="30">
        <f t="shared" si="25"/>
        <v>1.6815046282649959E-2</v>
      </c>
      <c r="AN43" s="30">
        <f t="shared" si="25"/>
        <v>2.1028927602071423E-2</v>
      </c>
      <c r="AO43" s="30">
        <f t="shared" si="25"/>
        <v>2.5369084107694884E-2</v>
      </c>
      <c r="AP43" s="30">
        <f t="shared" si="25"/>
        <v>3.1920039296015723E-2</v>
      </c>
      <c r="AQ43" s="31">
        <f>+(K207/K195-1)/COUNTA(AE43:AP43)*12</f>
        <v>1.0681629754837996E-2</v>
      </c>
      <c r="AR43" s="17"/>
      <c r="AS43" s="17"/>
      <c r="BE43" s="35"/>
      <c r="BF43" s="35"/>
      <c r="BG43" s="35"/>
      <c r="BH43" s="35"/>
      <c r="BI43" s="35"/>
      <c r="BJ43" s="55"/>
    </row>
    <row r="44" spans="1:62">
      <c r="A44" s="25">
        <v>39962</v>
      </c>
      <c r="B44" s="28">
        <v>13286.96</v>
      </c>
      <c r="C44" s="33">
        <f t="shared" si="4"/>
        <v>1.341210650975014E-2</v>
      </c>
      <c r="D44" s="27">
        <f t="shared" si="1"/>
        <v>121.30731461480453</v>
      </c>
      <c r="E44" s="27"/>
      <c r="F44" s="27"/>
      <c r="O44" s="11">
        <v>2023</v>
      </c>
      <c r="P44" s="76">
        <f>+L208</f>
        <v>3.8327604999757181E-2</v>
      </c>
      <c r="Q44" s="76">
        <f>+L209</f>
        <v>4.1124149576859156E-2</v>
      </c>
      <c r="R44" s="76">
        <f>+L210</f>
        <v>4.1767230631406381E-2</v>
      </c>
      <c r="S44" s="76">
        <f>+L211</f>
        <v>4.2750720948224262E-2</v>
      </c>
      <c r="T44" s="76">
        <f>+L212</f>
        <v>4.4054542704353009E-2</v>
      </c>
      <c r="U44" s="76">
        <f>+L213</f>
        <v>4.5230587443764847E-2</v>
      </c>
      <c r="V44" s="76">
        <f>+L214</f>
        <v>4.5789834980712693E-2</v>
      </c>
      <c r="W44" s="76">
        <f>+L215</f>
        <v>4.7528881227513232E-2</v>
      </c>
      <c r="X44" s="76">
        <f>+L216</f>
        <v>4.6751012583426288E-2</v>
      </c>
      <c r="Y44" s="76">
        <f>+L217</f>
        <v>4.5701594442373247E-2</v>
      </c>
      <c r="Z44" s="76">
        <f>+L218</f>
        <v>4.2178797543139801E-2</v>
      </c>
      <c r="AA44" s="76">
        <f>+L219</f>
        <v>4.5596039346251428E-2</v>
      </c>
      <c r="AD44" s="29">
        <v>2023</v>
      </c>
      <c r="AE44" s="30">
        <f t="shared" si="27"/>
        <v>3.8327604999757181E-2</v>
      </c>
      <c r="AF44" s="30">
        <f t="shared" si="27"/>
        <v>4.1124149576859156E-2</v>
      </c>
      <c r="AG44" s="30">
        <f t="shared" si="27"/>
        <v>4.1767230631406381E-2</v>
      </c>
      <c r="AH44" s="30">
        <f t="shared" si="27"/>
        <v>4.2750720948224262E-2</v>
      </c>
      <c r="AI44" s="30">
        <f t="shared" si="25"/>
        <v>4.4054542704353009E-2</v>
      </c>
      <c r="AJ44" s="30">
        <f t="shared" si="25"/>
        <v>4.5230587443764847E-2</v>
      </c>
      <c r="AK44" s="30">
        <f t="shared" si="25"/>
        <v>4.5789834980712693E-2</v>
      </c>
      <c r="AL44" s="30">
        <f t="shared" si="25"/>
        <v>4.7528881227513232E-2</v>
      </c>
      <c r="AM44" s="30">
        <f t="shared" si="25"/>
        <v>4.6751012583426288E-2</v>
      </c>
      <c r="AN44" s="30">
        <f t="shared" si="25"/>
        <v>4.5701594442373247E-2</v>
      </c>
      <c r="AO44" s="30">
        <f t="shared" si="25"/>
        <v>4.2178797543139801E-2</v>
      </c>
      <c r="AP44" s="30">
        <f t="shared" si="25"/>
        <v>4.5596039346251428E-2</v>
      </c>
      <c r="AQ44" s="31">
        <f>+(K219/K207-1)/COUNTA(AE44:AP44)*12</f>
        <v>4.5567370950287511E-2</v>
      </c>
      <c r="AR44" s="17"/>
      <c r="AS44" s="17"/>
      <c r="BD44" s="35"/>
      <c r="BE44" s="35"/>
      <c r="BF44" s="35"/>
      <c r="BG44" s="35"/>
      <c r="BH44" s="35"/>
      <c r="BI44" s="35"/>
      <c r="BJ44" s="55"/>
    </row>
    <row r="45" spans="1:62" ht="15.75" customHeight="1">
      <c r="A45" s="25">
        <v>39994</v>
      </c>
      <c r="B45" s="28">
        <v>13299.08</v>
      </c>
      <c r="C45" s="33">
        <f t="shared" si="4"/>
        <v>1.0261941030906274E-2</v>
      </c>
      <c r="D45" s="27">
        <f t="shared" si="1"/>
        <v>121.41796781562182</v>
      </c>
      <c r="E45" s="27"/>
      <c r="F45" s="27"/>
      <c r="O45" s="11">
        <v>2024</v>
      </c>
      <c r="P45" s="76">
        <f>+L220</f>
        <v>4.4545496313381353E-2</v>
      </c>
      <c r="Q45" s="76">
        <f>+L221</f>
        <v>4.3686281887614267E-2</v>
      </c>
      <c r="R45" s="76">
        <f>+L222</f>
        <v>4.3050676068423499E-2</v>
      </c>
      <c r="S45" s="76">
        <f>+L223</f>
        <v>4.2805805113010305E-2</v>
      </c>
      <c r="T45" s="76">
        <f>+L224</f>
        <v>4.2544316765445692E-2</v>
      </c>
      <c r="U45" s="76">
        <f>+L225</f>
        <v>4.2518892012331833E-2</v>
      </c>
      <c r="V45" s="76">
        <f>+L226</f>
        <v>4.2210544331228068E-2</v>
      </c>
      <c r="W45" s="76">
        <f>+L227</f>
        <v>4.2490857048972694E-2</v>
      </c>
      <c r="X45" s="76">
        <f>+L228</f>
        <v>4.0835600722048504E-2</v>
      </c>
      <c r="Y45" s="76">
        <f>+L229</f>
        <v>3.9471501860971661E-2</v>
      </c>
      <c r="Z45" s="76">
        <f>+L230</f>
        <v>3.7641499943658729E-2</v>
      </c>
      <c r="AA45" s="76">
        <f>+L231</f>
        <v>3.6882308624910591E-2</v>
      </c>
      <c r="AD45" s="29">
        <v>2024</v>
      </c>
      <c r="AE45" s="30">
        <f t="shared" si="27"/>
        <v>4.4545496313381353E-2</v>
      </c>
      <c r="AF45" s="30">
        <f t="shared" si="27"/>
        <v>4.3686281887614267E-2</v>
      </c>
      <c r="AG45" s="30">
        <f t="shared" si="27"/>
        <v>4.3050676068423499E-2</v>
      </c>
      <c r="AH45" s="30">
        <f t="shared" si="27"/>
        <v>4.2805805113010305E-2</v>
      </c>
      <c r="AI45" s="30">
        <f t="shared" si="25"/>
        <v>4.2544316765445692E-2</v>
      </c>
      <c r="AJ45" s="30">
        <f t="shared" si="25"/>
        <v>4.2518892012331833E-2</v>
      </c>
      <c r="AK45" s="30">
        <f t="shared" si="25"/>
        <v>4.2210544331228068E-2</v>
      </c>
      <c r="AL45" s="30">
        <f t="shared" si="25"/>
        <v>4.2490857048972694E-2</v>
      </c>
      <c r="AM45" s="30">
        <f t="shared" si="25"/>
        <v>4.0835600722048504E-2</v>
      </c>
      <c r="AN45" s="30">
        <f t="shared" si="25"/>
        <v>3.9471501860971661E-2</v>
      </c>
      <c r="AO45" s="30">
        <f t="shared" si="25"/>
        <v>3.7641499943658729E-2</v>
      </c>
      <c r="AP45" s="30">
        <f t="shared" si="25"/>
        <v>3.6882308624910591E-2</v>
      </c>
      <c r="AQ45" s="31">
        <f>+(K231/K219-1)/COUNTA(AE45:AP45)*12</f>
        <v>4.3069671292365497E-2</v>
      </c>
      <c r="AR45" s="17"/>
      <c r="AS45" s="17"/>
      <c r="BD45" s="35"/>
      <c r="BE45" s="35"/>
      <c r="BF45" s="35"/>
      <c r="BG45" s="35"/>
      <c r="BH45" s="35"/>
      <c r="BI45" s="35"/>
      <c r="BJ45" s="55"/>
    </row>
    <row r="46" spans="1:62">
      <c r="A46" s="25">
        <v>40025</v>
      </c>
      <c r="B46" s="28">
        <v>13305.34</v>
      </c>
      <c r="C46" s="33">
        <f t="shared" si="4"/>
        <v>5.4663009917644088E-3</v>
      </c>
      <c r="D46" s="27">
        <f t="shared" si="1"/>
        <v>121.47512037644002</v>
      </c>
      <c r="E46" s="27"/>
      <c r="F46" s="27"/>
      <c r="O46" s="11">
        <v>2025</v>
      </c>
      <c r="P46" s="76">
        <f>+L232</f>
        <v>3.5823879227219982E-2</v>
      </c>
      <c r="AD46" s="29">
        <v>2025</v>
      </c>
      <c r="AE46" s="30">
        <f>+P46</f>
        <v>3.5823879227219982E-2</v>
      </c>
      <c r="AF46" s="30"/>
      <c r="AG46" s="30"/>
      <c r="AH46" s="30"/>
      <c r="AI46" s="30"/>
      <c r="AJ46" s="30"/>
      <c r="AK46" s="30"/>
      <c r="AL46" s="30"/>
      <c r="AM46" s="30"/>
      <c r="AN46" s="30"/>
      <c r="AO46" s="30"/>
      <c r="AP46" s="30"/>
      <c r="AQ46" s="31">
        <f>+(K232/K231-1)/COUNTA(AE46:AP46)*12</f>
        <v>3.7018008534793978E-2</v>
      </c>
      <c r="AR46" s="49"/>
      <c r="AS46" s="17"/>
      <c r="BD46" s="35"/>
      <c r="BE46" s="35"/>
      <c r="BF46" s="35"/>
      <c r="BG46" s="35"/>
      <c r="BH46" s="35"/>
      <c r="BI46" s="35"/>
      <c r="BJ46" s="55"/>
    </row>
    <row r="47" spans="1:62">
      <c r="A47" s="25">
        <v>40056</v>
      </c>
      <c r="B47" s="28">
        <v>13310.07</v>
      </c>
      <c r="C47" s="33">
        <f t="shared" si="4"/>
        <v>4.12834487942919E-3</v>
      </c>
      <c r="D47" s="27">
        <f t="shared" si="1"/>
        <v>121.5183043401253</v>
      </c>
      <c r="E47" s="27"/>
      <c r="F47" s="27"/>
      <c r="AD47" s="34" t="s">
        <v>27</v>
      </c>
      <c r="AE47" s="17"/>
      <c r="AF47" s="17"/>
      <c r="AG47" s="17"/>
      <c r="AH47" s="17"/>
      <c r="AI47" s="17"/>
      <c r="AJ47" s="17"/>
      <c r="AK47" s="17"/>
      <c r="AL47" s="17"/>
      <c r="AM47" s="17"/>
      <c r="AN47" s="17"/>
      <c r="AO47" s="17"/>
      <c r="AP47" s="17"/>
      <c r="AQ47" s="17"/>
      <c r="AR47" s="17"/>
      <c r="AS47" s="17"/>
      <c r="BD47" s="35"/>
      <c r="BE47" s="35"/>
      <c r="BF47" s="35"/>
      <c r="BG47" s="35"/>
      <c r="BH47" s="35"/>
      <c r="BI47" s="35"/>
      <c r="BJ47" s="55"/>
    </row>
    <row r="48" spans="1:62">
      <c r="A48" s="25">
        <v>40086</v>
      </c>
      <c r="B48" s="28">
        <v>13315.05</v>
      </c>
      <c r="C48" s="33">
        <f t="shared" si="4"/>
        <v>4.4898336372378722E-3</v>
      </c>
      <c r="D48" s="27">
        <f t="shared" si="1"/>
        <v>121.56377075432249</v>
      </c>
      <c r="E48" s="27"/>
      <c r="F48" s="27"/>
      <c r="AD48" s="34"/>
      <c r="AE48" s="17"/>
      <c r="AF48" s="17"/>
      <c r="AG48" s="17"/>
      <c r="AH48" s="17"/>
      <c r="AI48" s="17"/>
      <c r="AJ48" s="17"/>
      <c r="AK48" s="17"/>
      <c r="AL48" s="17"/>
      <c r="AM48" s="17"/>
      <c r="AN48" s="17"/>
      <c r="AO48" s="17"/>
      <c r="AP48" s="17"/>
      <c r="AQ48" s="17"/>
      <c r="AR48" s="49"/>
      <c r="AS48" s="17"/>
      <c r="BD48" s="35"/>
      <c r="BE48" s="35"/>
      <c r="BF48" s="35"/>
      <c r="BG48" s="35"/>
      <c r="BH48" s="35"/>
      <c r="BI48" s="35"/>
      <c r="BJ48" s="55"/>
    </row>
    <row r="49" spans="1:63">
      <c r="A49" s="25">
        <v>40116</v>
      </c>
      <c r="B49" s="28">
        <v>13319.74</v>
      </c>
      <c r="C49" s="33">
        <f t="shared" si="4"/>
        <v>4.2267959940085476E-3</v>
      </c>
      <c r="D49" s="27">
        <f t="shared" si="1"/>
        <v>121.60658952592591</v>
      </c>
      <c r="E49" s="27"/>
      <c r="F49" s="27"/>
      <c r="AD49" s="34"/>
      <c r="AE49" s="17"/>
      <c r="AF49" s="17"/>
      <c r="AG49" s="17"/>
      <c r="AH49" s="17"/>
      <c r="AI49" s="17"/>
      <c r="AJ49" s="17"/>
      <c r="AK49" s="17"/>
      <c r="AL49" s="17"/>
      <c r="AM49" s="17"/>
      <c r="AN49" s="17"/>
      <c r="AO49" s="17"/>
      <c r="AP49" s="17"/>
      <c r="AQ49" s="17"/>
      <c r="AR49" s="17"/>
      <c r="AS49" s="17"/>
      <c r="BD49" s="35"/>
      <c r="BE49" s="35"/>
      <c r="BF49" s="35"/>
      <c r="BG49" s="35"/>
      <c r="BH49" s="35"/>
      <c r="BI49" s="35"/>
      <c r="BJ49" s="55"/>
      <c r="BK49" s="59"/>
    </row>
    <row r="50" spans="1:63">
      <c r="A50" s="25">
        <v>40147</v>
      </c>
      <c r="B50" s="28">
        <v>13324.51</v>
      </c>
      <c r="C50" s="33">
        <f t="shared" si="4"/>
        <v>4.15875598075411E-3</v>
      </c>
      <c r="D50" s="27">
        <f t="shared" si="1"/>
        <v>121.65013868169312</v>
      </c>
      <c r="E50" s="27"/>
      <c r="F50" s="27"/>
      <c r="AD50" s="34"/>
      <c r="AE50" s="17"/>
      <c r="AF50" s="17"/>
      <c r="AG50" s="17"/>
      <c r="AH50" s="17"/>
      <c r="AI50" s="17"/>
      <c r="AJ50" s="17"/>
      <c r="AK50" s="17"/>
      <c r="AL50" s="17"/>
      <c r="AM50" s="17"/>
      <c r="AN50" s="17"/>
      <c r="AO50" s="17"/>
      <c r="AP50" s="17"/>
      <c r="AQ50" s="17"/>
      <c r="AR50" s="49"/>
      <c r="AS50" s="49"/>
      <c r="BD50" s="35"/>
      <c r="BE50" s="35"/>
      <c r="BF50" s="35"/>
      <c r="BG50" s="35"/>
      <c r="BH50" s="35"/>
      <c r="BI50" s="35"/>
      <c r="BJ50" s="55"/>
      <c r="BK50" s="59"/>
    </row>
    <row r="51" spans="1:63">
      <c r="A51" s="25">
        <v>40178</v>
      </c>
      <c r="B51" s="28">
        <v>13329.5</v>
      </c>
      <c r="C51" s="33">
        <f t="shared" si="4"/>
        <v>4.3490069876329605E-3</v>
      </c>
      <c r="D51" s="27">
        <f t="shared" si="1"/>
        <v>121.69569639391081</v>
      </c>
      <c r="E51" s="27"/>
      <c r="F51" s="27"/>
      <c r="AC51" s="51" t="s">
        <v>35</v>
      </c>
      <c r="AD51" s="52" t="s">
        <v>36</v>
      </c>
      <c r="AE51" s="52" t="s">
        <v>4</v>
      </c>
      <c r="AF51" s="52" t="s">
        <v>5</v>
      </c>
      <c r="AG51" s="52" t="s">
        <v>6</v>
      </c>
      <c r="AH51" s="52" t="s">
        <v>7</v>
      </c>
      <c r="AI51" s="52" t="s">
        <v>8</v>
      </c>
      <c r="AJ51" s="52" t="s">
        <v>9</v>
      </c>
      <c r="AK51" s="52" t="s">
        <v>10</v>
      </c>
      <c r="AL51" s="52" t="s">
        <v>11</v>
      </c>
      <c r="AM51" s="52" t="s">
        <v>12</v>
      </c>
      <c r="AN51" s="52" t="s">
        <v>13</v>
      </c>
      <c r="AO51" s="52" t="s">
        <v>14</v>
      </c>
      <c r="AP51" s="52" t="s">
        <v>15</v>
      </c>
      <c r="AQ51" s="52" t="s">
        <v>16</v>
      </c>
      <c r="AR51" s="49"/>
      <c r="AS51" s="49"/>
    </row>
    <row r="52" spans="1:63">
      <c r="A52" s="25">
        <v>40207</v>
      </c>
      <c r="B52" s="28">
        <v>13334.25</v>
      </c>
      <c r="C52" s="33">
        <f t="shared" si="4"/>
        <v>4.4236856027135181E-3</v>
      </c>
      <c r="D52" s="27">
        <f t="shared" si="1"/>
        <v>121.73906295363706</v>
      </c>
      <c r="E52" s="27"/>
      <c r="F52" s="27"/>
      <c r="AC52" s="64">
        <f>+AD12</f>
        <v>2016</v>
      </c>
      <c r="AD52" s="64" t="s">
        <v>3</v>
      </c>
      <c r="AE52" s="73">
        <f t="shared" ref="AE52:AQ52" si="29">+AE12</f>
        <v>3.6266132960054508E-2</v>
      </c>
      <c r="AF52" s="73">
        <f t="shared" si="29"/>
        <v>3.6266132960054508E-2</v>
      </c>
      <c r="AG52" s="73">
        <f t="shared" si="29"/>
        <v>3.5052260419279627E-2</v>
      </c>
      <c r="AH52" s="73">
        <f t="shared" si="29"/>
        <v>3.5042237204636388E-2</v>
      </c>
      <c r="AI52" s="73">
        <f t="shared" si="29"/>
        <v>3.5056812866168519E-2</v>
      </c>
      <c r="AJ52" s="73">
        <f t="shared" si="29"/>
        <v>3.5046453502799224E-2</v>
      </c>
      <c r="AK52" s="73">
        <f t="shared" si="29"/>
        <v>3.4781616479192215E-2</v>
      </c>
      <c r="AL52" s="73">
        <f t="shared" si="29"/>
        <v>3.5314291267060559E-2</v>
      </c>
      <c r="AM52" s="73">
        <f t="shared" si="29"/>
        <v>3.5041374587388319E-2</v>
      </c>
      <c r="AN52" s="73">
        <f t="shared" si="29"/>
        <v>3.5050866033243311E-2</v>
      </c>
      <c r="AO52" s="73">
        <f t="shared" si="29"/>
        <v>3.5042256907200198E-2</v>
      </c>
      <c r="AP52" s="73">
        <f t="shared" si="29"/>
        <v>3.5305368218639124E-2</v>
      </c>
      <c r="AQ52" s="72">
        <f t="shared" si="29"/>
        <v>3.6343837890229658E-2</v>
      </c>
      <c r="AR52" s="17"/>
      <c r="AS52" s="17"/>
    </row>
    <row r="53" spans="1:63">
      <c r="A53" s="25">
        <v>40235</v>
      </c>
      <c r="B53" s="28">
        <v>13338.53</v>
      </c>
      <c r="C53" s="33">
        <f t="shared" si="4"/>
        <v>4.1268591355768181E-3</v>
      </c>
      <c r="D53" s="27">
        <f t="shared" si="1"/>
        <v>121.77813850640091</v>
      </c>
      <c r="E53" s="27"/>
      <c r="F53" s="27"/>
      <c r="AC53" s="64">
        <f>+AD13</f>
        <v>2017</v>
      </c>
      <c r="AD53" s="54" t="s">
        <v>3</v>
      </c>
      <c r="AE53" s="74">
        <f t="shared" ref="AE53:AQ53" si="30">+AE13</f>
        <v>3.3637248794313165E-2</v>
      </c>
      <c r="AF53" s="74">
        <f t="shared" si="30"/>
        <v>3.2162392463674597E-2</v>
      </c>
      <c r="AG53" s="74">
        <f t="shared" si="30"/>
        <v>3.1379481788438662E-2</v>
      </c>
      <c r="AH53" s="74">
        <f t="shared" si="30"/>
        <v>2.7058954260655632E-2</v>
      </c>
      <c r="AI53" s="74">
        <f t="shared" si="30"/>
        <v>2.8306085159038336E-2</v>
      </c>
      <c r="AJ53" s="74">
        <f t="shared" si="30"/>
        <v>2.5047090913111525E-2</v>
      </c>
      <c r="AK53" s="74">
        <f t="shared" si="30"/>
        <v>2.5043122061538376E-2</v>
      </c>
      <c r="AL53" s="74">
        <f t="shared" si="30"/>
        <v>2.5015468419039889E-2</v>
      </c>
      <c r="AM53" s="74">
        <f t="shared" si="30"/>
        <v>2.4990117691613634E-2</v>
      </c>
      <c r="AN53" s="74">
        <f t="shared" si="30"/>
        <v>2.505892948670075E-2</v>
      </c>
      <c r="AO53" s="74">
        <f t="shared" si="30"/>
        <v>2.5031497013044302E-2</v>
      </c>
      <c r="AP53" s="74">
        <f t="shared" si="30"/>
        <v>1.0483683088116879E-2</v>
      </c>
      <c r="AQ53" s="75">
        <f t="shared" si="30"/>
        <v>2.6740437882066592E-2</v>
      </c>
      <c r="AR53" s="17"/>
      <c r="AS53" s="17"/>
    </row>
    <row r="54" spans="1:63">
      <c r="A54" s="25">
        <v>40268</v>
      </c>
      <c r="B54" s="28">
        <v>13343.79</v>
      </c>
      <c r="C54" s="33">
        <f t="shared" si="4"/>
        <v>4.3019596748542195E-3</v>
      </c>
      <c r="D54" s="27">
        <f t="shared" si="1"/>
        <v>121.82616126517148</v>
      </c>
      <c r="E54" s="27"/>
      <c r="F54" s="27"/>
      <c r="AC54" s="64">
        <f>+AD14</f>
        <v>2018</v>
      </c>
      <c r="AD54" s="64" t="s">
        <v>3</v>
      </c>
      <c r="AE54" s="73">
        <f t="shared" ref="AE54:AQ54" si="31">+AE14</f>
        <v>3.9531761318436859E-2</v>
      </c>
      <c r="AF54" s="73">
        <f t="shared" si="31"/>
        <v>2.4971131087805989E-2</v>
      </c>
      <c r="AG54" s="73">
        <f t="shared" si="31"/>
        <v>2.5024981086114582E-2</v>
      </c>
      <c r="AH54" s="73">
        <f t="shared" si="31"/>
        <v>2.4937204383001621E-2</v>
      </c>
      <c r="AI54" s="73">
        <f t="shared" si="31"/>
        <v>2.4855027090659582E-2</v>
      </c>
      <c r="AJ54" s="73">
        <f t="shared" si="31"/>
        <v>2.5052992141180397E-2</v>
      </c>
      <c r="AK54" s="73">
        <f t="shared" si="31"/>
        <v>2.5017833116796208E-2</v>
      </c>
      <c r="AL54" s="73">
        <f t="shared" si="31"/>
        <v>2.4914492324052462E-2</v>
      </c>
      <c r="AM54" s="73">
        <f t="shared" si="31"/>
        <v>2.4582083696456536E-2</v>
      </c>
      <c r="AN54" s="73">
        <f t="shared" si="31"/>
        <v>2.6427841996883666E-2</v>
      </c>
      <c r="AO54" s="73">
        <f t="shared" si="31"/>
        <v>2.7515948657905302E-2</v>
      </c>
      <c r="AP54" s="73">
        <f t="shared" si="31"/>
        <v>2.749547141874386E-2</v>
      </c>
      <c r="AQ54" s="72">
        <f t="shared" si="31"/>
        <v>2.7430166222407459E-2</v>
      </c>
      <c r="AR54" s="49"/>
      <c r="AS54" s="17"/>
    </row>
    <row r="55" spans="1:63">
      <c r="A55" s="25">
        <v>40298</v>
      </c>
      <c r="B55" s="28">
        <v>13348.63</v>
      </c>
      <c r="C55" s="33">
        <f t="shared" si="4"/>
        <v>4.3525864840487927E-3</v>
      </c>
      <c r="D55" s="27">
        <f t="shared" si="1"/>
        <v>121.87034950708198</v>
      </c>
      <c r="E55" s="27"/>
      <c r="F55" s="27"/>
      <c r="AC55" s="64">
        <f>+AD15</f>
        <v>2019</v>
      </c>
      <c r="AD55" s="54" t="s">
        <v>3</v>
      </c>
      <c r="AE55" s="74">
        <f t="shared" ref="AE55:AQ55" si="32">+AE15</f>
        <v>2.8462632291696627E-2</v>
      </c>
      <c r="AF55" s="74">
        <f t="shared" si="32"/>
        <v>2.896537883274565E-2</v>
      </c>
      <c r="AG55" s="74">
        <f t="shared" si="32"/>
        <v>2.9999792280079301E-2</v>
      </c>
      <c r="AH55" s="74">
        <f t="shared" si="32"/>
        <v>3.0005157643314462E-2</v>
      </c>
      <c r="AI55" s="74">
        <f t="shared" si="32"/>
        <v>3.0029477841448365E-2</v>
      </c>
      <c r="AJ55" s="74">
        <f t="shared" si="32"/>
        <v>2.6651576944137997E-2</v>
      </c>
      <c r="AK55" s="74">
        <f t="shared" si="32"/>
        <v>2.4930678430760311E-2</v>
      </c>
      <c r="AL55" s="74">
        <f t="shared" si="32"/>
        <v>2.5026535324576389E-2</v>
      </c>
      <c r="AM55" s="74">
        <f t="shared" si="32"/>
        <v>2.0662069039227404E-2</v>
      </c>
      <c r="AN55" s="74">
        <f t="shared" si="32"/>
        <v>1.9411040192595704E-2</v>
      </c>
      <c r="AO55" s="74">
        <f t="shared" si="32"/>
        <v>1.7056575427638165E-2</v>
      </c>
      <c r="AP55" s="74">
        <f t="shared" si="32"/>
        <v>1.7225309167826532E-2</v>
      </c>
      <c r="AQ55" s="75">
        <f t="shared" si="32"/>
        <v>2.5486252445448665E-2</v>
      </c>
      <c r="AR55" s="49"/>
      <c r="AS55" s="17"/>
    </row>
    <row r="56" spans="1:63">
      <c r="A56" s="25">
        <v>40329</v>
      </c>
      <c r="B56" s="28">
        <v>13353.5</v>
      </c>
      <c r="C56" s="33">
        <f t="shared" si="4"/>
        <v>4.2367522891621186E-3</v>
      </c>
      <c r="D56" s="27">
        <f t="shared" si="1"/>
        <v>121.91481164305395</v>
      </c>
      <c r="E56" s="27"/>
      <c r="F56" s="27"/>
      <c r="AC56" s="64">
        <v>2020</v>
      </c>
      <c r="AD56" s="54" t="s">
        <v>3</v>
      </c>
      <c r="AE56" s="74">
        <f t="shared" ref="AE56:AQ56" si="33">+AE16</f>
        <v>1.9228743868020683E-2</v>
      </c>
      <c r="AF56" s="74">
        <f t="shared" si="33"/>
        <v>1.7129279348140885E-2</v>
      </c>
      <c r="AG56" s="74">
        <f t="shared" si="33"/>
        <v>1.283974993007142E-2</v>
      </c>
      <c r="AH56" s="74">
        <f t="shared" si="33"/>
        <v>5.8131755793748852E-3</v>
      </c>
      <c r="AI56" s="74">
        <f t="shared" si="33"/>
        <v>4.4872944651278808E-3</v>
      </c>
      <c r="AJ56" s="74">
        <f t="shared" si="33"/>
        <v>4.6858058339029895E-3</v>
      </c>
      <c r="AK56" s="74">
        <f t="shared" si="33"/>
        <v>4.9745146427785276E-3</v>
      </c>
      <c r="AL56" s="74">
        <f t="shared" si="33"/>
        <v>4.8742858328197948E-3</v>
      </c>
      <c r="AM56" s="74">
        <f t="shared" si="33"/>
        <v>4.7370029273796632E-3</v>
      </c>
      <c r="AN56" s="74">
        <f t="shared" si="33"/>
        <v>4.3250876508404267E-3</v>
      </c>
      <c r="AO56" s="74">
        <f t="shared" si="33"/>
        <v>3.9550224302509207E-3</v>
      </c>
      <c r="AP56" s="74">
        <f t="shared" si="33"/>
        <v>4.5301971309169037E-3</v>
      </c>
      <c r="AQ56" s="75">
        <f t="shared" si="33"/>
        <v>7.7639256787327415E-3</v>
      </c>
      <c r="AR56" s="49"/>
      <c r="AS56" s="17"/>
    </row>
    <row r="57" spans="1:63">
      <c r="A57" s="25">
        <v>40359</v>
      </c>
      <c r="B57" s="28">
        <v>13360.9</v>
      </c>
      <c r="C57" s="33">
        <f t="shared" si="4"/>
        <v>6.6499419627819023E-3</v>
      </c>
      <c r="D57" s="27">
        <f t="shared" si="1"/>
        <v>121.98237217820645</v>
      </c>
      <c r="E57" s="27"/>
      <c r="F57" s="27"/>
      <c r="AC57" s="91">
        <v>2017</v>
      </c>
      <c r="AD57" s="64" t="s">
        <v>25</v>
      </c>
      <c r="AE57" s="65"/>
      <c r="AF57" s="65"/>
      <c r="AG57" s="65"/>
      <c r="AH57" s="65"/>
      <c r="AI57" s="70">
        <v>4.6197641583761899E-3</v>
      </c>
      <c r="AJ57" s="70">
        <v>4.9980545286780753E-3</v>
      </c>
      <c r="AK57" s="70">
        <v>4.7507295330012815E-3</v>
      </c>
      <c r="AL57" s="70">
        <v>6.0897556212559777E-3</v>
      </c>
      <c r="AM57" s="70">
        <v>6.7787163890908886E-3</v>
      </c>
      <c r="AN57" s="70">
        <v>7.2728483717021675E-3</v>
      </c>
      <c r="AO57" s="70">
        <v>7.8583667976781513E-3</v>
      </c>
      <c r="AP57" s="70">
        <v>9.6037278865836583E-3</v>
      </c>
      <c r="AQ57" s="66">
        <f>+AQ38</f>
        <v>6.6439551195101032E-3</v>
      </c>
      <c r="AR57" s="49"/>
      <c r="AS57" s="17"/>
    </row>
    <row r="58" spans="1:63">
      <c r="A58" s="25">
        <v>40389</v>
      </c>
      <c r="B58" s="28">
        <v>13373.99</v>
      </c>
      <c r="C58" s="33">
        <f t="shared" si="4"/>
        <v>1.1756693037146883E-2</v>
      </c>
      <c r="D58" s="27">
        <f t="shared" si="1"/>
        <v>122.10188128700995</v>
      </c>
      <c r="E58" s="27"/>
      <c r="F58" s="27"/>
      <c r="AC58" s="91"/>
      <c r="AD58" s="64" t="s">
        <v>26</v>
      </c>
      <c r="AE58" s="65"/>
      <c r="AF58" s="65"/>
      <c r="AG58" s="65"/>
      <c r="AH58" s="65"/>
      <c r="AI58" s="70">
        <v>5.806451612902587E-3</v>
      </c>
      <c r="AJ58" s="70">
        <v>5.9970014992503096E-3</v>
      </c>
      <c r="AK58" s="70">
        <v>5.8006509619443116E-3</v>
      </c>
      <c r="AL58" s="70">
        <v>5.7977549804329401E-3</v>
      </c>
      <c r="AM58" s="70">
        <v>5.9880239520939691E-3</v>
      </c>
      <c r="AN58" s="70">
        <v>5.7919716836933727E-3</v>
      </c>
      <c r="AO58" s="70">
        <v>8.374875373880819E-3</v>
      </c>
      <c r="AP58" s="70">
        <v>8.4588655522967217E-3</v>
      </c>
      <c r="AQ58" s="66">
        <f>+AQ27</f>
        <v>6.6466461000002086E-3</v>
      </c>
      <c r="AR58" s="56"/>
      <c r="AS58" s="17"/>
    </row>
    <row r="59" spans="1:63">
      <c r="A59" s="25">
        <v>40421</v>
      </c>
      <c r="B59" s="28">
        <v>13395.21</v>
      </c>
      <c r="C59" s="33">
        <f t="shared" si="4"/>
        <v>1.7849946052000965E-2</v>
      </c>
      <c r="D59" s="27">
        <f t="shared" si="1"/>
        <v>122.29561568646068</v>
      </c>
      <c r="E59" s="27"/>
      <c r="F59" s="27"/>
      <c r="AC59" s="93">
        <v>2018</v>
      </c>
      <c r="AD59" s="54" t="s">
        <v>25</v>
      </c>
      <c r="AE59" s="69">
        <v>1.0967707820073671E-2</v>
      </c>
      <c r="AF59" s="69">
        <v>1.0622313246440029E-2</v>
      </c>
      <c r="AG59" s="69">
        <v>1.090269598324102E-2</v>
      </c>
      <c r="AH59" s="69">
        <v>1.228770336832774E-2</v>
      </c>
      <c r="AI59" s="69">
        <v>1.3576049495116269E-2</v>
      </c>
      <c r="AJ59" s="69">
        <v>1.4993145885560999E-2</v>
      </c>
      <c r="AK59" s="69">
        <v>1.6017646157316396E-2</v>
      </c>
      <c r="AL59" s="69">
        <v>1.5773527601195707E-2</v>
      </c>
      <c r="AM59" s="69">
        <v>1.6705268102634285E-2</v>
      </c>
      <c r="AN59" s="69">
        <v>1.6964679656212699E-2</v>
      </c>
      <c r="AO59" s="69">
        <v>1.5174929296453143E-2</v>
      </c>
      <c r="AP59" s="69">
        <v>1.8100758996559756E-2</v>
      </c>
      <c r="AQ59" s="53">
        <f>+AQ39</f>
        <v>1.4663028271348244E-2</v>
      </c>
      <c r="AR59" s="56"/>
      <c r="AS59" s="17"/>
    </row>
    <row r="60" spans="1:63">
      <c r="A60" s="25">
        <v>40451</v>
      </c>
      <c r="B60" s="28">
        <v>13419.79</v>
      </c>
      <c r="C60" s="33">
        <f t="shared" si="4"/>
        <v>2.2019811559507833E-2</v>
      </c>
      <c r="D60" s="27">
        <f t="shared" si="1"/>
        <v>122.52002622079149</v>
      </c>
      <c r="E60" s="27"/>
      <c r="F60" s="27"/>
      <c r="AC60" s="93"/>
      <c r="AD60" s="54" t="s">
        <v>26</v>
      </c>
      <c r="AE60" s="69">
        <v>6.937003397762766E-3</v>
      </c>
      <c r="AF60" s="69">
        <v>7.6756686775593585E-3</v>
      </c>
      <c r="AG60" s="69">
        <v>6.9287256067372283E-3</v>
      </c>
      <c r="AH60" s="69">
        <v>7.1554139189320401E-3</v>
      </c>
      <c r="AI60" s="69">
        <v>6.9204675476129641E-3</v>
      </c>
      <c r="AJ60" s="69">
        <v>7.1468907586664798E-3</v>
      </c>
      <c r="AK60" s="69">
        <v>9.2163055332394155E-3</v>
      </c>
      <c r="AL60" s="69">
        <v>6.9067477731815834E-3</v>
      </c>
      <c r="AM60" s="69">
        <v>3.2097287356665838E-2</v>
      </c>
      <c r="AN60" s="69">
        <v>3.6715886329389373E-2</v>
      </c>
      <c r="AO60" s="69">
        <v>3.6638294734852472E-2</v>
      </c>
      <c r="AP60" s="69">
        <v>3.6488762388983381E-2</v>
      </c>
      <c r="AQ60" s="53">
        <f>+AQ28</f>
        <v>1.7124121350406751E-2</v>
      </c>
      <c r="AR60" s="56"/>
      <c r="AS60" s="17"/>
    </row>
    <row r="61" spans="1:63">
      <c r="A61" s="25">
        <v>40480</v>
      </c>
      <c r="B61" s="28">
        <v>13448.69</v>
      </c>
      <c r="C61" s="33">
        <f t="shared" si="4"/>
        <v>2.6733549533162513E-2</v>
      </c>
      <c r="D61" s="27">
        <f t="shared" si="1"/>
        <v>122.78387749996807</v>
      </c>
      <c r="E61" s="27"/>
      <c r="F61" s="27"/>
      <c r="AC61" s="91">
        <v>2019</v>
      </c>
      <c r="AD61" s="64" t="s">
        <v>25</v>
      </c>
      <c r="AE61" s="65">
        <f t="shared" ref="AE61:AQ61" si="34">+AE40</f>
        <v>1.9871310117053377E-2</v>
      </c>
      <c r="AF61" s="65">
        <f t="shared" si="34"/>
        <v>1.9274745331590015E-2</v>
      </c>
      <c r="AG61" s="65">
        <f t="shared" si="34"/>
        <v>1.9697306214110293E-2</v>
      </c>
      <c r="AH61" s="65">
        <f t="shared" si="34"/>
        <v>1.9770427238439581E-2</v>
      </c>
      <c r="AI61" s="65">
        <f t="shared" si="34"/>
        <v>1.9140352968909653E-2</v>
      </c>
      <c r="AJ61" s="65">
        <f t="shared" si="34"/>
        <v>1.8983221230177705E-2</v>
      </c>
      <c r="AK61" s="65">
        <f t="shared" si="34"/>
        <v>1.814207179538296E-2</v>
      </c>
      <c r="AL61" s="65">
        <f t="shared" si="34"/>
        <v>1.7571984141117443E-2</v>
      </c>
      <c r="AM61" s="65">
        <f t="shared" si="34"/>
        <v>1.7214244953612123E-2</v>
      </c>
      <c r="AN61" s="65">
        <f t="shared" si="34"/>
        <v>1.6927381313197275E-2</v>
      </c>
      <c r="AO61" s="65">
        <f t="shared" si="34"/>
        <v>1.6935501959059351E-2</v>
      </c>
      <c r="AP61" s="65">
        <f t="shared" si="34"/>
        <v>1.59787130043181E-2</v>
      </c>
      <c r="AQ61" s="72">
        <f t="shared" si="34"/>
        <v>1.8697147991280305E-2</v>
      </c>
      <c r="AR61" s="17"/>
      <c r="AS61" s="17"/>
    </row>
    <row r="62" spans="1:63">
      <c r="A62" s="25">
        <v>40512</v>
      </c>
      <c r="B62" s="28">
        <v>13483.02</v>
      </c>
      <c r="C62" s="33">
        <f t="shared" si="4"/>
        <v>2.8717481033468939E-2</v>
      </c>
      <c r="D62" s="27">
        <f t="shared" si="1"/>
        <v>123.09730360426326</v>
      </c>
      <c r="E62" s="27"/>
      <c r="F62" s="27"/>
      <c r="AC62" s="91"/>
      <c r="AD62" s="64" t="s">
        <v>26</v>
      </c>
      <c r="AE62" s="65">
        <f t="shared" ref="AE62:AQ62" si="35">+AE29</f>
        <v>3.4101066193152181E-2</v>
      </c>
      <c r="AF62" s="65">
        <f t="shared" si="35"/>
        <v>3.0115368287614141E-2</v>
      </c>
      <c r="AG62" s="65">
        <f t="shared" si="35"/>
        <v>3.3921767087303267E-2</v>
      </c>
      <c r="AH62" s="65">
        <f t="shared" si="35"/>
        <v>3.4950401100383388E-2</v>
      </c>
      <c r="AI62" s="65">
        <f t="shared" si="35"/>
        <v>3.709721879778375E-2</v>
      </c>
      <c r="AJ62" s="65">
        <f t="shared" si="35"/>
        <v>3.358000168798192E-2</v>
      </c>
      <c r="AK62" s="65">
        <f t="shared" si="35"/>
        <v>3.2406092772911524E-2</v>
      </c>
      <c r="AL62" s="65">
        <f t="shared" si="35"/>
        <v>3.4544598169859456E-2</v>
      </c>
      <c r="AM62" s="65">
        <f t="shared" si="35"/>
        <v>3.4442144028772326E-2</v>
      </c>
      <c r="AN62" s="65">
        <f t="shared" si="35"/>
        <v>2.9912143216745596E-2</v>
      </c>
      <c r="AO62" s="65">
        <f t="shared" si="35"/>
        <v>2.8546115034772335E-2</v>
      </c>
      <c r="AP62" s="65">
        <f t="shared" si="35"/>
        <v>2.425254690110256E-2</v>
      </c>
      <c r="AQ62" s="66">
        <f t="shared" si="35"/>
        <v>3.3280114599612665E-2</v>
      </c>
      <c r="AR62" s="17"/>
      <c r="AS62" s="49"/>
    </row>
    <row r="63" spans="1:63">
      <c r="A63" s="25">
        <v>40543</v>
      </c>
      <c r="B63" s="28">
        <v>13522.93</v>
      </c>
      <c r="C63" s="33">
        <f t="shared" si="4"/>
        <v>3.4374418175004612E-2</v>
      </c>
      <c r="D63" s="27">
        <f t="shared" si="1"/>
        <v>123.46167400398424</v>
      </c>
      <c r="E63" s="27"/>
      <c r="F63" s="27"/>
      <c r="AC63" s="91">
        <v>2020</v>
      </c>
      <c r="AD63" s="64" t="s">
        <v>25</v>
      </c>
      <c r="AE63" s="65">
        <f t="shared" ref="AE63:AQ63" si="36">+AE41</f>
        <v>1.6402559199187192E-2</v>
      </c>
      <c r="AF63" s="65">
        <f t="shared" si="36"/>
        <v>1.4597748871623052E-2</v>
      </c>
      <c r="AG63" s="65">
        <f t="shared" si="36"/>
        <v>1.3144740456157381E-2</v>
      </c>
      <c r="AH63" s="65">
        <f t="shared" si="36"/>
        <v>1.1466222317363162E-2</v>
      </c>
      <c r="AI63" s="65">
        <f t="shared" si="36"/>
        <v>1.1925525636360044E-2</v>
      </c>
      <c r="AJ63" s="65">
        <f t="shared" si="36"/>
        <v>1.2766552452765367E-3</v>
      </c>
      <c r="AK63" s="65">
        <f t="shared" si="36"/>
        <v>1.785704755779567E-4</v>
      </c>
      <c r="AL63" s="65">
        <f t="shared" si="36"/>
        <v>2.0970261597648646E-4</v>
      </c>
      <c r="AM63" s="65">
        <f t="shared" si="36"/>
        <v>1.7505426287733883E-4</v>
      </c>
      <c r="AN63" s="65">
        <f t="shared" si="36"/>
        <v>1.3827101009715237E-4</v>
      </c>
      <c r="AO63" s="65">
        <f t="shared" si="36"/>
        <v>5.27041303351794E-4</v>
      </c>
      <c r="AP63" s="65">
        <f t="shared" si="36"/>
        <v>2.83851789943802E-4</v>
      </c>
      <c r="AQ63" s="72">
        <f t="shared" si="36"/>
        <v>5.9517228262242483E-3</v>
      </c>
      <c r="AR63" s="17"/>
      <c r="AS63" s="49"/>
      <c r="AW63" s="12"/>
      <c r="AX63" s="12"/>
      <c r="AY63" s="12"/>
      <c r="AZ63" s="12"/>
      <c r="BA63" s="12"/>
      <c r="BB63" s="12"/>
    </row>
    <row r="64" spans="1:63">
      <c r="A64" s="25">
        <v>40574</v>
      </c>
      <c r="B64" s="28">
        <v>13557.12</v>
      </c>
      <c r="C64" s="33">
        <f t="shared" si="4"/>
        <v>2.9360882685210581E-2</v>
      </c>
      <c r="D64" s="27">
        <f t="shared" si="1"/>
        <v>123.7738219359928</v>
      </c>
      <c r="E64" s="27"/>
      <c r="F64" s="27"/>
      <c r="AC64" s="91"/>
      <c r="AD64" s="64" t="s">
        <v>26</v>
      </c>
      <c r="AE64" s="65">
        <f t="shared" ref="AE64:AQ64" si="37">+AE30</f>
        <v>2.3101912054559044E-2</v>
      </c>
      <c r="AF64" s="65">
        <f t="shared" si="37"/>
        <v>2.1125244063575094E-2</v>
      </c>
      <c r="AG64" s="65">
        <f t="shared" si="37"/>
        <v>1.9728751574866862E-2</v>
      </c>
      <c r="AH64" s="65">
        <f t="shared" si="37"/>
        <v>2.48744242627712E-2</v>
      </c>
      <c r="AI64" s="65">
        <f t="shared" si="37"/>
        <v>3.2757584392775638E-2</v>
      </c>
      <c r="AJ64" s="65">
        <f t="shared" si="37"/>
        <v>2.1377717026332732E-2</v>
      </c>
      <c r="AK64" s="65">
        <f t="shared" si="37"/>
        <v>1.9564411647430065E-2</v>
      </c>
      <c r="AL64" s="65">
        <f t="shared" si="37"/>
        <v>1.5191171846554611E-2</v>
      </c>
      <c r="AM64" s="65">
        <f t="shared" si="37"/>
        <v>1.3437459994338317E-2</v>
      </c>
      <c r="AN64" s="65">
        <f t="shared" si="37"/>
        <v>1.0824540092049896E-2</v>
      </c>
      <c r="AO64" s="65">
        <f t="shared" si="37"/>
        <v>6.7049650707957644E-3</v>
      </c>
      <c r="AP64" s="65">
        <f t="shared" si="37"/>
        <v>-6.3007821832914424E-2</v>
      </c>
      <c r="AQ64" s="66">
        <f t="shared" si="37"/>
        <v>1.2286951046635686E-2</v>
      </c>
      <c r="AR64" s="56"/>
      <c r="AS64" s="49"/>
      <c r="AV64" s="12"/>
      <c r="AW64" s="12"/>
      <c r="AX64" s="12"/>
      <c r="AY64" s="12"/>
      <c r="AZ64" s="12"/>
      <c r="BA64" s="12"/>
      <c r="BB64" s="12"/>
    </row>
    <row r="65" spans="1:46" s="12" customFormat="1">
      <c r="A65" s="25">
        <v>40602</v>
      </c>
      <c r="B65" s="28">
        <v>13592.3</v>
      </c>
      <c r="C65" s="33">
        <f t="shared" si="4"/>
        <v>3.3363596819551776E-2</v>
      </c>
      <c r="D65" s="27">
        <f t="shared" si="1"/>
        <v>124.09500837202847</v>
      </c>
      <c r="E65" s="27"/>
      <c r="F65" s="27"/>
      <c r="I65" s="13"/>
      <c r="N65" s="11"/>
      <c r="O65" s="11"/>
      <c r="P65" s="11"/>
      <c r="Q65" s="11"/>
      <c r="R65" s="11"/>
      <c r="S65" s="11"/>
      <c r="T65" s="11"/>
      <c r="U65" s="11"/>
      <c r="V65" s="11"/>
      <c r="W65" s="11"/>
      <c r="X65" s="11"/>
      <c r="Y65" s="11"/>
      <c r="Z65" s="11"/>
      <c r="AA65" s="11"/>
      <c r="AB65" s="11"/>
      <c r="AC65" s="11"/>
      <c r="AD65" s="11" t="s">
        <v>3</v>
      </c>
      <c r="AE65" s="76">
        <f t="shared" ref="AE65:AQ65" si="38">+AE17</f>
        <v>3.1576624105299524E-3</v>
      </c>
      <c r="AF65" s="76">
        <f t="shared" si="38"/>
        <v>3.0750872177831567E-3</v>
      </c>
      <c r="AG65" s="76">
        <f t="shared" si="38"/>
        <v>3.0092562152281557E-3</v>
      </c>
      <c r="AH65" s="76">
        <f t="shared" si="38"/>
        <v>3.5321064686826271E-3</v>
      </c>
      <c r="AI65" s="76">
        <f t="shared" si="38"/>
        <v>2.8180886583675882E-3</v>
      </c>
      <c r="AJ65" s="76">
        <f t="shared" si="38"/>
        <v>3.2712862533346154E-3</v>
      </c>
      <c r="AK65" s="76">
        <f t="shared" si="38"/>
        <v>5.8287891949730802E-3</v>
      </c>
      <c r="AL65" s="76">
        <f t="shared" si="38"/>
        <v>7.3037050391555978E-3</v>
      </c>
      <c r="AM65" s="76">
        <f t="shared" si="38"/>
        <v>1.4971321783566083E-2</v>
      </c>
      <c r="AN65" s="76">
        <f t="shared" si="38"/>
        <v>2.4058282769717453E-2</v>
      </c>
      <c r="AO65" s="76">
        <f t="shared" si="38"/>
        <v>2.5695083542021102E-2</v>
      </c>
      <c r="AP65" s="76">
        <f t="shared" si="38"/>
        <v>3.6988968103994269E-2</v>
      </c>
      <c r="AQ65" s="76">
        <f t="shared" si="38"/>
        <v>1.1410200201508403E-2</v>
      </c>
      <c r="AR65" s="56"/>
      <c r="AS65" s="49"/>
      <c r="AT65" s="11"/>
    </row>
    <row r="66" spans="1:46" s="12" customFormat="1">
      <c r="A66" s="25">
        <v>40633</v>
      </c>
      <c r="B66" s="28">
        <v>13635.91</v>
      </c>
      <c r="C66" s="33">
        <f t="shared" si="4"/>
        <v>3.7259235720033625E-2</v>
      </c>
      <c r="D66" s="27">
        <f t="shared" si="1"/>
        <v>124.49315903932572</v>
      </c>
      <c r="E66" s="27"/>
      <c r="F66" s="27"/>
      <c r="I66" s="13"/>
      <c r="N66" s="11"/>
      <c r="O66" s="11"/>
      <c r="P66" s="11"/>
      <c r="Q66" s="11"/>
      <c r="R66" s="11"/>
      <c r="S66" s="11"/>
      <c r="T66" s="11"/>
      <c r="U66" s="11"/>
      <c r="V66" s="11"/>
      <c r="W66" s="11"/>
      <c r="X66" s="11"/>
      <c r="Y66" s="11"/>
      <c r="Z66" s="11"/>
      <c r="AA66" s="11"/>
      <c r="AB66" s="11"/>
      <c r="AC66" s="91">
        <v>2021</v>
      </c>
      <c r="AD66" s="64" t="s">
        <v>25</v>
      </c>
      <c r="AE66" s="76">
        <f t="shared" ref="AE66:AQ66" si="39">+AE42</f>
        <v>1.0529728379936275E-3</v>
      </c>
      <c r="AF66" s="76">
        <f t="shared" si="39"/>
        <v>4.4296055099923848E-4</v>
      </c>
      <c r="AG66" s="76">
        <f t="shared" si="39"/>
        <v>2.6641457344469828E-4</v>
      </c>
      <c r="AH66" s="76">
        <f t="shared" si="39"/>
        <v>7.7667374097956099E-4</v>
      </c>
      <c r="AI66" s="76">
        <f t="shared" si="39"/>
        <v>1.8583305045492783E-4</v>
      </c>
      <c r="AJ66" s="76">
        <f t="shared" si="39"/>
        <v>8.7025842180565846E-5</v>
      </c>
      <c r="AK66" s="76">
        <f t="shared" si="39"/>
        <v>1.6294341762577945E-4</v>
      </c>
      <c r="AL66" s="76">
        <f t="shared" si="39"/>
        <v>1.894877201779091E-4</v>
      </c>
      <c r="AM66" s="76">
        <f t="shared" si="39"/>
        <v>1.664779601133759E-4</v>
      </c>
      <c r="AN66" s="76">
        <f t="shared" si="39"/>
        <v>1.7025918808488336E-4</v>
      </c>
      <c r="AO66" s="76">
        <f t="shared" si="39"/>
        <v>4.4172152846932988E-4</v>
      </c>
      <c r="AP66" s="76">
        <f t="shared" si="39"/>
        <v>3.5148474833882867E-4</v>
      </c>
      <c r="AQ66" s="76">
        <f t="shared" si="39"/>
        <v>3.6205987785997706E-4</v>
      </c>
      <c r="AR66" s="56"/>
      <c r="AS66" s="49"/>
    </row>
    <row r="67" spans="1:46" s="12" customFormat="1">
      <c r="A67" s="25">
        <v>40662</v>
      </c>
      <c r="B67" s="28">
        <v>13682.94</v>
      </c>
      <c r="C67" s="33">
        <f t="shared" si="4"/>
        <v>4.2814941551768869E-2</v>
      </c>
      <c r="D67" s="27">
        <f t="shared" ref="D67:D129" si="40">B67/$B$3*100</f>
        <v>124.92253362962586</v>
      </c>
      <c r="E67" s="27"/>
      <c r="F67" s="27"/>
      <c r="I67" s="13"/>
      <c r="N67" s="11"/>
      <c r="O67" s="11"/>
      <c r="P67" s="11"/>
      <c r="Q67" s="11"/>
      <c r="R67" s="11"/>
      <c r="S67" s="11"/>
      <c r="T67" s="11"/>
      <c r="U67" s="11"/>
      <c r="V67" s="11"/>
      <c r="W67" s="11"/>
      <c r="X67" s="11"/>
      <c r="Y67" s="11"/>
      <c r="Z67" s="11"/>
      <c r="AA67" s="11"/>
      <c r="AB67" s="11"/>
      <c r="AC67" s="91"/>
      <c r="AD67" s="64" t="s">
        <v>26</v>
      </c>
      <c r="AE67" s="76">
        <f t="shared" ref="AE67:AQ67" si="41">+AE31</f>
        <v>2.0648028637052829E-2</v>
      </c>
      <c r="AF67" s="76">
        <f t="shared" si="41"/>
        <v>2.1618704228718904E-2</v>
      </c>
      <c r="AG67" s="76">
        <f t="shared" si="41"/>
        <v>2.0576782164021902E-2</v>
      </c>
      <c r="AH67" s="76">
        <f t="shared" si="41"/>
        <v>1.4522413872391837E-2</v>
      </c>
      <c r="AI67" s="76">
        <f t="shared" si="41"/>
        <v>1.2957195103294201E-2</v>
      </c>
      <c r="AJ67" s="76">
        <f t="shared" si="41"/>
        <v>1.337417925299267E-2</v>
      </c>
      <c r="AK67" s="76">
        <f t="shared" si="41"/>
        <v>1.0773621068218983E-2</v>
      </c>
      <c r="AL67" s="76">
        <f t="shared" si="41"/>
        <v>9.6872718034417046E-3</v>
      </c>
      <c r="AM67" s="76">
        <f t="shared" si="41"/>
        <v>5.5565763963079107E-3</v>
      </c>
      <c r="AN67" s="76">
        <f t="shared" si="41"/>
        <v>1.9349435469095167E-2</v>
      </c>
      <c r="AO67" s="76">
        <f t="shared" si="41"/>
        <v>8.8716254859280141E-3</v>
      </c>
      <c r="AP67" s="76">
        <f t="shared" si="41"/>
        <v>9.6514891545384333E-3</v>
      </c>
      <c r="AQ67" s="76">
        <f t="shared" si="41"/>
        <v>1.422419750552506E-2</v>
      </c>
      <c r="AR67" s="56"/>
      <c r="AS67" s="49"/>
    </row>
    <row r="68" spans="1:46" s="12" customFormat="1">
      <c r="A68" s="25">
        <v>40694</v>
      </c>
      <c r="B68" s="28">
        <v>13741.06</v>
      </c>
      <c r="C68" s="33">
        <f t="shared" ref="C68:C131" si="42">(B68/B67-1)/(A68-A67)*360</f>
        <v>4.7785782879994632E-2</v>
      </c>
      <c r="D68" s="27">
        <f t="shared" si="40"/>
        <v>125.45315772463421</v>
      </c>
      <c r="E68" s="27"/>
      <c r="F68" s="27"/>
      <c r="I68" s="13"/>
      <c r="O68" s="11"/>
      <c r="P68" s="11"/>
      <c r="Q68" s="11"/>
      <c r="R68" s="11"/>
      <c r="S68" s="11"/>
      <c r="T68" s="11"/>
      <c r="U68" s="11"/>
      <c r="V68" s="11"/>
      <c r="W68" s="11"/>
      <c r="X68" s="11"/>
      <c r="Y68" s="11"/>
      <c r="Z68" s="11"/>
      <c r="AA68" s="11"/>
      <c r="AB68" s="11"/>
      <c r="AC68" s="11"/>
      <c r="AD68" s="11" t="s">
        <v>3</v>
      </c>
      <c r="AE68" s="76">
        <f t="shared" ref="AE68:AQ68" si="43">+AE18</f>
        <v>3.9896758247213462E-2</v>
      </c>
      <c r="AF68" s="76">
        <f t="shared" si="43"/>
        <v>5.510866892481639E-2</v>
      </c>
      <c r="AG68" s="76">
        <f t="shared" si="43"/>
        <v>5.6107507869007853E-2</v>
      </c>
      <c r="AH68" s="76">
        <f t="shared" si="43"/>
        <v>6.542923075735807E-2</v>
      </c>
      <c r="AI68" s="76">
        <f t="shared" si="43"/>
        <v>8.2604120314651669E-2</v>
      </c>
      <c r="AJ68" s="76">
        <f t="shared" si="43"/>
        <v>8.831563714411049E-2</v>
      </c>
      <c r="AK68" s="76">
        <f t="shared" si="43"/>
        <v>8.8134341380086273E-2</v>
      </c>
      <c r="AL68" s="76">
        <f t="shared" si="43"/>
        <v>0.1042367420078613</v>
      </c>
      <c r="AM68" s="76">
        <f t="shared" si="43"/>
        <v>0.10559803760074526</v>
      </c>
      <c r="AN68" s="76">
        <f t="shared" si="43"/>
        <v>0.11061088223118416</v>
      </c>
      <c r="AO68" s="76">
        <f t="shared" si="43"/>
        <v>0.11061088223118416</v>
      </c>
      <c r="AP68" s="76">
        <f t="shared" si="43"/>
        <v>0.11061088223118416</v>
      </c>
      <c r="AQ68" s="76">
        <f t="shared" si="43"/>
        <v>8.9685991181348346E-2</v>
      </c>
      <c r="AR68" s="56"/>
      <c r="AS68" s="49"/>
    </row>
    <row r="69" spans="1:46" s="12" customFormat="1">
      <c r="A69" s="25">
        <v>40724</v>
      </c>
      <c r="B69" s="28">
        <v>13799.74</v>
      </c>
      <c r="C69" s="33">
        <f t="shared" si="42"/>
        <v>5.1244954901587647E-2</v>
      </c>
      <c r="D69" s="27">
        <f t="shared" si="40"/>
        <v>125.98889450878927</v>
      </c>
      <c r="E69" s="27"/>
      <c r="F69" s="27"/>
      <c r="I69" s="13"/>
      <c r="O69" s="11"/>
      <c r="P69" s="11"/>
      <c r="Q69" s="11"/>
      <c r="R69" s="11"/>
      <c r="S69" s="11"/>
      <c r="T69" s="11"/>
      <c r="U69" s="11"/>
      <c r="V69" s="11"/>
      <c r="W69" s="11"/>
      <c r="X69" s="11"/>
      <c r="Y69" s="11"/>
      <c r="Z69" s="11"/>
      <c r="AA69" s="11"/>
      <c r="AB69" s="11"/>
      <c r="AC69" s="91">
        <v>2022</v>
      </c>
      <c r="AD69" s="64" t="s">
        <v>25</v>
      </c>
      <c r="AE69" s="76">
        <f t="shared" ref="AE69:AQ69" si="44">+AE43</f>
        <v>4.4758031241007572E-4</v>
      </c>
      <c r="AF69" s="76">
        <f t="shared" si="44"/>
        <v>5.6847569541718102E-4</v>
      </c>
      <c r="AG69" s="76">
        <f t="shared" si="44"/>
        <v>6.0496135888121034E-4</v>
      </c>
      <c r="AH69" s="76">
        <f t="shared" si="44"/>
        <v>1.1054993786876466E-3</v>
      </c>
      <c r="AI69" s="76">
        <f t="shared" si="44"/>
        <v>3.8616774488814932E-3</v>
      </c>
      <c r="AJ69" s="76">
        <f t="shared" si="44"/>
        <v>4.8369879753540346E-3</v>
      </c>
      <c r="AK69" s="76">
        <f t="shared" si="44"/>
        <v>7.0272920403535721E-3</v>
      </c>
      <c r="AL69" s="76">
        <f t="shared" si="44"/>
        <v>1.2127884587468062E-2</v>
      </c>
      <c r="AM69" s="76">
        <f t="shared" si="44"/>
        <v>1.6815046282649959E-2</v>
      </c>
      <c r="AN69" s="76">
        <f t="shared" si="44"/>
        <v>2.1028927602071423E-2</v>
      </c>
      <c r="AO69" s="76">
        <f t="shared" si="44"/>
        <v>2.5369084107694884E-2</v>
      </c>
      <c r="AP69" s="76">
        <f t="shared" si="44"/>
        <v>3.1920039296015723E-2</v>
      </c>
      <c r="AQ69" s="76">
        <f t="shared" si="44"/>
        <v>1.0681629754837996E-2</v>
      </c>
      <c r="AR69" s="56" t="s">
        <v>23</v>
      </c>
      <c r="AS69" s="17"/>
    </row>
    <row r="70" spans="1:46" s="12" customFormat="1">
      <c r="A70" s="25">
        <v>40753</v>
      </c>
      <c r="B70" s="28">
        <v>13858.14</v>
      </c>
      <c r="C70" s="33">
        <f t="shared" si="42"/>
        <v>5.2534722918067114E-2</v>
      </c>
      <c r="D70" s="27">
        <f t="shared" si="40"/>
        <v>126.52207494837097</v>
      </c>
      <c r="E70" s="27"/>
      <c r="F70" s="27"/>
      <c r="I70" s="13"/>
      <c r="O70" s="11"/>
      <c r="P70" s="11"/>
      <c r="Q70" s="11"/>
      <c r="R70" s="11"/>
      <c r="S70" s="11"/>
      <c r="T70" s="11"/>
      <c r="U70" s="11"/>
      <c r="V70" s="11"/>
      <c r="W70" s="11"/>
      <c r="X70" s="11"/>
      <c r="Y70" s="11"/>
      <c r="Z70" s="11"/>
      <c r="AA70" s="11"/>
      <c r="AB70" s="11"/>
      <c r="AC70" s="91"/>
      <c r="AD70" s="64" t="s">
        <v>26</v>
      </c>
      <c r="AE70" s="76">
        <f t="shared" ref="AE70:AQ70" si="45">+AE32</f>
        <v>6.4289829723556697E-3</v>
      </c>
      <c r="AF70" s="76">
        <f t="shared" si="45"/>
        <v>5.9282202436748499E-3</v>
      </c>
      <c r="AG70" s="76">
        <f t="shared" si="45"/>
        <v>1.0704107530289279E-2</v>
      </c>
      <c r="AH70" s="76">
        <f t="shared" si="45"/>
        <v>1.4365942747708083E-2</v>
      </c>
      <c r="AI70" s="76">
        <f t="shared" si="45"/>
        <v>1.9226632939579602E-2</v>
      </c>
      <c r="AJ70" s="76">
        <f t="shared" si="45"/>
        <v>1.5426974791536095E-2</v>
      </c>
      <c r="AK70" s="76">
        <f t="shared" si="45"/>
        <v>1.4910162218695847E-2</v>
      </c>
      <c r="AL70" s="76">
        <f t="shared" si="45"/>
        <v>2.9782086304401396E-2</v>
      </c>
      <c r="AM70" s="76">
        <f t="shared" si="45"/>
        <v>2.1925785901019346E-2</v>
      </c>
      <c r="AN70" s="76">
        <f t="shared" si="45"/>
        <v>2.2276615101000416E-2</v>
      </c>
      <c r="AO70" s="76">
        <f t="shared" si="45"/>
        <v>2.0854854668902367E-2</v>
      </c>
      <c r="AP70" s="76">
        <f t="shared" si="45"/>
        <v>1.9625630467964505E-2</v>
      </c>
      <c r="AQ70" s="76">
        <f t="shared" si="45"/>
        <v>1.7161812878975891E-2</v>
      </c>
      <c r="AR70" s="56"/>
      <c r="AS70" s="17"/>
    </row>
    <row r="71" spans="1:46" s="12" customFormat="1">
      <c r="A71" s="25">
        <v>40786</v>
      </c>
      <c r="B71" s="28">
        <v>13925.03</v>
      </c>
      <c r="C71" s="33">
        <f t="shared" si="42"/>
        <v>5.2655629897598158E-2</v>
      </c>
      <c r="D71" s="27">
        <f t="shared" si="40"/>
        <v>127.13276740733707</v>
      </c>
      <c r="E71" s="27"/>
      <c r="F71" s="27"/>
      <c r="I71" s="13"/>
      <c r="O71" s="11"/>
      <c r="P71" s="11"/>
      <c r="Q71" s="11"/>
      <c r="R71" s="11"/>
      <c r="S71" s="11"/>
      <c r="T71" s="11"/>
      <c r="U71" s="11"/>
      <c r="V71" s="11"/>
      <c r="W71" s="11"/>
      <c r="X71" s="11"/>
      <c r="Y71" s="11"/>
      <c r="Z71" s="11"/>
      <c r="AA71" s="11"/>
      <c r="AB71" s="11"/>
      <c r="AC71" s="91">
        <v>2023</v>
      </c>
      <c r="AD71" s="64" t="s">
        <v>25</v>
      </c>
      <c r="AE71" s="76">
        <f t="shared" ref="AE71:AQ71" si="46">+AE44</f>
        <v>3.8327604999757181E-2</v>
      </c>
      <c r="AF71" s="76">
        <f t="shared" si="46"/>
        <v>4.1124149576859156E-2</v>
      </c>
      <c r="AG71" s="76">
        <f t="shared" si="46"/>
        <v>4.1767230631406381E-2</v>
      </c>
      <c r="AH71" s="76">
        <f t="shared" si="46"/>
        <v>4.2750720948224262E-2</v>
      </c>
      <c r="AI71" s="76">
        <f t="shared" si="46"/>
        <v>4.4054542704353009E-2</v>
      </c>
      <c r="AJ71" s="76">
        <f t="shared" si="46"/>
        <v>4.5230587443764847E-2</v>
      </c>
      <c r="AK71" s="76">
        <f t="shared" si="46"/>
        <v>4.5789834980712693E-2</v>
      </c>
      <c r="AL71" s="76">
        <f t="shared" si="46"/>
        <v>4.7528881227513232E-2</v>
      </c>
      <c r="AM71" s="76">
        <f t="shared" si="46"/>
        <v>4.6751012583426288E-2</v>
      </c>
      <c r="AN71" s="76">
        <f t="shared" si="46"/>
        <v>4.5701594442373247E-2</v>
      </c>
      <c r="AO71" s="76">
        <f t="shared" si="46"/>
        <v>4.2178797543139801E-2</v>
      </c>
      <c r="AP71" s="76">
        <f t="shared" si="46"/>
        <v>4.5596039346251428E-2</v>
      </c>
      <c r="AQ71" s="76">
        <f t="shared" si="46"/>
        <v>4.5567370950287511E-2</v>
      </c>
      <c r="AR71" s="17"/>
      <c r="AS71" s="11"/>
    </row>
    <row r="72" spans="1:46" s="12" customFormat="1">
      <c r="A72" s="25">
        <v>40816</v>
      </c>
      <c r="B72" s="28">
        <v>13985.97</v>
      </c>
      <c r="C72" s="33">
        <f t="shared" si="42"/>
        <v>5.2515506250254695E-2</v>
      </c>
      <c r="D72" s="27">
        <f t="shared" si="40"/>
        <v>127.68913754411977</v>
      </c>
      <c r="E72" s="27"/>
      <c r="F72" s="27"/>
      <c r="I72" s="13"/>
      <c r="O72" s="11"/>
      <c r="P72" s="11"/>
      <c r="Q72" s="11"/>
      <c r="R72" s="11"/>
      <c r="S72" s="11"/>
      <c r="T72" s="11"/>
      <c r="U72" s="11"/>
      <c r="V72" s="11"/>
      <c r="W72" s="11"/>
      <c r="X72" s="11"/>
      <c r="Y72" s="11"/>
      <c r="Z72" s="11"/>
      <c r="AA72" s="11"/>
      <c r="AC72" s="91"/>
      <c r="AD72" s="64" t="s">
        <v>26</v>
      </c>
      <c r="AE72" s="76">
        <f t="shared" ref="AE72:AQ72" si="47">+AE33</f>
        <v>2.6185763826032105E-2</v>
      </c>
      <c r="AF72" s="76">
        <f t="shared" si="47"/>
        <v>3.7234447962534958E-2</v>
      </c>
      <c r="AG72" s="76">
        <f t="shared" si="47"/>
        <v>3.877368681005712E-2</v>
      </c>
      <c r="AH72" s="76">
        <f t="shared" si="47"/>
        <v>3.0065245724542691E-2</v>
      </c>
      <c r="AI72" s="76">
        <f t="shared" si="47"/>
        <v>2.5450392062827249E-2</v>
      </c>
      <c r="AJ72" s="76">
        <f t="shared" si="47"/>
        <v>2.685603006727888E-2</v>
      </c>
      <c r="AK72" s="76">
        <f t="shared" si="47"/>
        <v>2.0745337096974927E-2</v>
      </c>
      <c r="AL72" s="76">
        <f t="shared" si="47"/>
        <v>2.6920846717059289E-2</v>
      </c>
      <c r="AM72" s="76">
        <f t="shared" si="47"/>
        <v>3.3091152331030216E-2</v>
      </c>
      <c r="AN72" s="76">
        <f t="shared" si="47"/>
        <v>2.7814903754928583E-2</v>
      </c>
      <c r="AO72" s="76">
        <f t="shared" si="47"/>
        <v>2.2301525171378067E-2</v>
      </c>
      <c r="AP72" s="76">
        <f t="shared" si="47"/>
        <v>2.4619526879000202E-2</v>
      </c>
      <c r="AQ72" s="76">
        <f t="shared" si="47"/>
        <v>2.9087381783320598E-2</v>
      </c>
      <c r="AR72" s="17"/>
      <c r="AS72" s="11"/>
    </row>
    <row r="73" spans="1:46" s="12" customFormat="1">
      <c r="A73" s="25">
        <v>40847</v>
      </c>
      <c r="B73" s="28">
        <v>14043.21</v>
      </c>
      <c r="C73" s="33">
        <f t="shared" si="42"/>
        <v>4.7527813991103021E-2</v>
      </c>
      <c r="D73" s="27">
        <f t="shared" si="40"/>
        <v>128.21172741332623</v>
      </c>
      <c r="E73" s="27"/>
      <c r="F73" s="27"/>
      <c r="I73" s="13"/>
      <c r="O73" s="11"/>
      <c r="P73" s="11"/>
      <c r="Q73" s="11"/>
      <c r="R73" s="11"/>
      <c r="S73" s="11"/>
      <c r="T73" s="11"/>
      <c r="U73" s="11"/>
      <c r="V73" s="11"/>
      <c r="W73" s="11"/>
      <c r="X73" s="11"/>
      <c r="Y73" s="11"/>
      <c r="Z73" s="11"/>
      <c r="AA73" s="11"/>
      <c r="AC73" s="91">
        <v>2024</v>
      </c>
      <c r="AD73" s="64" t="s">
        <v>25</v>
      </c>
      <c r="AE73" s="76">
        <f t="shared" ref="AE73:AQ73" si="48">+AE45</f>
        <v>4.4545496313381353E-2</v>
      </c>
      <c r="AF73" s="76">
        <f t="shared" si="48"/>
        <v>4.3686281887614267E-2</v>
      </c>
      <c r="AG73" s="76">
        <f t="shared" si="48"/>
        <v>4.3050676068423499E-2</v>
      </c>
      <c r="AH73" s="76">
        <f t="shared" si="48"/>
        <v>4.2805805113010305E-2</v>
      </c>
      <c r="AI73" s="76">
        <f t="shared" si="48"/>
        <v>4.2544316765445692E-2</v>
      </c>
      <c r="AJ73" s="76">
        <f t="shared" si="48"/>
        <v>4.2518892012331833E-2</v>
      </c>
      <c r="AK73" s="76">
        <f t="shared" si="48"/>
        <v>4.2210544331228068E-2</v>
      </c>
      <c r="AL73" s="76">
        <f t="shared" si="48"/>
        <v>4.2490857048972694E-2</v>
      </c>
      <c r="AM73" s="76">
        <f t="shared" si="48"/>
        <v>4.0835600722048504E-2</v>
      </c>
      <c r="AN73" s="76">
        <f t="shared" si="48"/>
        <v>3.9471501860971661E-2</v>
      </c>
      <c r="AO73" s="76">
        <f t="shared" si="48"/>
        <v>3.7641499943658729E-2</v>
      </c>
      <c r="AP73" s="76">
        <f t="shared" si="48"/>
        <v>3.6882308624910591E-2</v>
      </c>
      <c r="AQ73" s="76">
        <f t="shared" si="48"/>
        <v>4.3069671292365497E-2</v>
      </c>
      <c r="AR73" s="11"/>
      <c r="AS73" s="11"/>
    </row>
    <row r="74" spans="1:46" s="12" customFormat="1">
      <c r="A74" s="25">
        <v>40877</v>
      </c>
      <c r="B74" s="28">
        <v>14110.87</v>
      </c>
      <c r="C74" s="33">
        <f t="shared" si="42"/>
        <v>5.7815841249970745E-2</v>
      </c>
      <c r="D74" s="27">
        <f t="shared" si="40"/>
        <v>128.82944981986901</v>
      </c>
      <c r="E74" s="27"/>
      <c r="F74" s="27"/>
      <c r="I74" s="13"/>
      <c r="AC74" s="91"/>
      <c r="AD74" s="64" t="s">
        <v>26</v>
      </c>
      <c r="AE74" s="76">
        <f t="shared" ref="AE74:AQ74" si="49">+AE34</f>
        <v>2.0472869612292194E-2</v>
      </c>
      <c r="AF74" s="76">
        <f t="shared" si="49"/>
        <v>1.856933625190816E-2</v>
      </c>
      <c r="AG74" s="76">
        <f t="shared" si="49"/>
        <v>2.3722341885271513E-2</v>
      </c>
      <c r="AH74" s="76">
        <f t="shared" si="49"/>
        <v>2.1047691634042662E-2</v>
      </c>
      <c r="AI74" s="76">
        <f t="shared" si="49"/>
        <v>1.6263608524950877E-2</v>
      </c>
      <c r="AJ74" s="76">
        <f t="shared" si="49"/>
        <v>8.3911128406572999E-3</v>
      </c>
      <c r="AK74" s="76">
        <f t="shared" si="49"/>
        <v>5.0717234130144432E-3</v>
      </c>
      <c r="AL74" s="76">
        <f t="shared" si="49"/>
        <v>8.1112150357776809E-3</v>
      </c>
      <c r="AM74" s="76">
        <f t="shared" si="49"/>
        <v>3.3502954815116226E-2</v>
      </c>
      <c r="AN74" s="76">
        <f t="shared" si="49"/>
        <v>4.0414932948804319E-3</v>
      </c>
      <c r="AO74" s="76">
        <f t="shared" si="49"/>
        <v>1.9830095036041051E-2</v>
      </c>
      <c r="AP74" s="76">
        <f t="shared" si="49"/>
        <v>3.7309153611717036E-2</v>
      </c>
      <c r="AQ74" s="76">
        <f t="shared" si="49"/>
        <v>1.8422739196950033E-2</v>
      </c>
      <c r="AR74" s="11"/>
      <c r="AS74" s="11"/>
    </row>
    <row r="75" spans="1:46" s="12" customFormat="1">
      <c r="A75" s="25">
        <v>40907</v>
      </c>
      <c r="B75" s="28">
        <v>14172.63</v>
      </c>
      <c r="C75" s="33">
        <f t="shared" si="42"/>
        <v>5.2521212370319148E-2</v>
      </c>
      <c r="D75" s="27">
        <f t="shared" si="40"/>
        <v>129.39330639433075</v>
      </c>
      <c r="E75" s="27"/>
      <c r="F75" s="27"/>
      <c r="I75" s="13"/>
      <c r="AC75" s="91">
        <v>2025</v>
      </c>
      <c r="AD75" s="64" t="s">
        <v>25</v>
      </c>
      <c r="AE75" s="76">
        <f>+AE46</f>
        <v>3.5823879227219982E-2</v>
      </c>
      <c r="AF75" s="76"/>
      <c r="AG75" s="76"/>
      <c r="AH75" s="76"/>
      <c r="AI75" s="76"/>
      <c r="AJ75" s="76"/>
      <c r="AK75" s="76"/>
      <c r="AL75" s="76"/>
      <c r="AM75" s="76"/>
      <c r="AN75" s="76"/>
      <c r="AO75" s="76"/>
      <c r="AP75" s="76"/>
      <c r="AQ75" s="76">
        <f>+AQ46</f>
        <v>3.7018008534793978E-2</v>
      </c>
      <c r="AR75" s="11"/>
      <c r="AS75" s="11"/>
    </row>
    <row r="76" spans="1:46" s="12" customFormat="1">
      <c r="A76" s="25">
        <v>40939</v>
      </c>
      <c r="B76" s="28">
        <v>14236.38</v>
      </c>
      <c r="C76" s="33">
        <f t="shared" si="42"/>
        <v>5.0603698819484955E-2</v>
      </c>
      <c r="D76" s="27">
        <f t="shared" si="40"/>
        <v>129.9753312748673</v>
      </c>
      <c r="E76" s="27"/>
      <c r="F76" s="27"/>
      <c r="I76" s="13"/>
      <c r="AC76" s="91"/>
      <c r="AD76" s="64" t="s">
        <v>26</v>
      </c>
      <c r="AE76" s="76">
        <f>+AE35</f>
        <v>2.8143536425563727E-2</v>
      </c>
      <c r="AF76" s="76"/>
      <c r="AG76" s="76"/>
      <c r="AH76" s="76"/>
      <c r="AI76" s="76"/>
      <c r="AJ76" s="76"/>
      <c r="AK76" s="76"/>
      <c r="AL76" s="76"/>
      <c r="AM76" s="76"/>
      <c r="AN76" s="76"/>
      <c r="AO76" s="76"/>
      <c r="AP76" s="76"/>
      <c r="AQ76" s="76">
        <f>+AQ35</f>
        <v>2.9081654306415849E-2</v>
      </c>
      <c r="AR76" s="11"/>
      <c r="AS76" s="11"/>
    </row>
    <row r="77" spans="1:46" s="12" customFormat="1">
      <c r="A77" s="25">
        <v>40968</v>
      </c>
      <c r="B77" s="28">
        <v>14293.67</v>
      </c>
      <c r="C77" s="33">
        <f t="shared" si="42"/>
        <v>4.9955550982523203E-2</v>
      </c>
      <c r="D77" s="27">
        <f t="shared" si="40"/>
        <v>130.49837763417614</v>
      </c>
      <c r="E77" s="27"/>
      <c r="F77" s="27"/>
      <c r="I77" s="13"/>
      <c r="AC77" s="34" t="s">
        <v>27</v>
      </c>
      <c r="AD77" s="57"/>
      <c r="AE77" s="58"/>
      <c r="AF77" s="58"/>
      <c r="AG77" s="58"/>
      <c r="AH77" s="58"/>
      <c r="AI77" s="58"/>
      <c r="AJ77" s="58"/>
      <c r="AK77" s="58"/>
      <c r="AL77" s="58"/>
      <c r="AM77" s="58"/>
      <c r="AN77" s="58"/>
      <c r="AO77" s="58"/>
      <c r="AP77" s="58"/>
      <c r="AQ77" s="58"/>
      <c r="AR77" s="11"/>
      <c r="AS77" s="11"/>
    </row>
    <row r="78" spans="1:46" s="12" customFormat="1">
      <c r="A78" s="25">
        <v>40998</v>
      </c>
      <c r="B78" s="28">
        <v>14353.34</v>
      </c>
      <c r="C78" s="33">
        <f t="shared" si="42"/>
        <v>5.0094902148992482E-2</v>
      </c>
      <c r="D78" s="27">
        <f t="shared" si="40"/>
        <v>131.04315292235836</v>
      </c>
      <c r="E78" s="27"/>
      <c r="F78" s="27"/>
      <c r="I78" s="13"/>
      <c r="AC78" s="11"/>
      <c r="AD78" s="11"/>
      <c r="AE78" s="11"/>
      <c r="AF78" s="11"/>
      <c r="AG78" s="11"/>
      <c r="AH78" s="11"/>
      <c r="AI78" s="11"/>
      <c r="AJ78" s="11"/>
      <c r="AK78" s="11"/>
      <c r="AL78" s="11"/>
      <c r="AM78" s="11"/>
      <c r="AN78" s="11"/>
      <c r="AO78" s="11"/>
      <c r="AP78" s="11"/>
      <c r="AQ78" s="11"/>
      <c r="AR78" s="11"/>
      <c r="AS78" s="11"/>
    </row>
    <row r="79" spans="1:46" s="12" customFormat="1">
      <c r="A79" s="25">
        <v>41029</v>
      </c>
      <c r="B79" s="28">
        <v>14415.21</v>
      </c>
      <c r="C79" s="33">
        <f t="shared" si="42"/>
        <v>5.0057361044930783E-2</v>
      </c>
      <c r="D79" s="27">
        <f t="shared" si="40"/>
        <v>131.60801377504532</v>
      </c>
      <c r="E79" s="27"/>
      <c r="F79" s="27"/>
      <c r="I79" s="13"/>
      <c r="AC79" s="11"/>
      <c r="AD79" s="11"/>
      <c r="AE79" s="11"/>
      <c r="AF79" s="11"/>
      <c r="AG79" s="11"/>
      <c r="AH79" s="11"/>
      <c r="AI79" s="11"/>
      <c r="AJ79" s="11"/>
      <c r="AK79" s="11"/>
      <c r="AL79" s="11"/>
      <c r="AM79" s="11"/>
      <c r="AN79" s="11"/>
      <c r="AO79" s="11"/>
      <c r="AP79" s="11"/>
      <c r="AQ79" s="11"/>
      <c r="AR79" s="11"/>
      <c r="AS79" s="11"/>
    </row>
    <row r="80" spans="1:46" s="12" customFormat="1">
      <c r="A80" s="25">
        <v>41060</v>
      </c>
      <c r="B80" s="28">
        <v>14477.55</v>
      </c>
      <c r="C80" s="33">
        <f t="shared" si="42"/>
        <v>5.0221147461380858E-2</v>
      </c>
      <c r="D80" s="27">
        <f t="shared" si="40"/>
        <v>132.17716563469472</v>
      </c>
      <c r="E80" s="27"/>
      <c r="F80" s="27"/>
      <c r="I80" s="13"/>
      <c r="AC80" s="11"/>
      <c r="AD80" s="11"/>
      <c r="AE80" s="11"/>
      <c r="AF80" s="11"/>
      <c r="AG80" s="11"/>
      <c r="AH80" s="11"/>
      <c r="AI80" s="11"/>
      <c r="AJ80" s="11"/>
      <c r="AK80" s="11"/>
      <c r="AL80" s="11"/>
      <c r="AM80" s="11"/>
      <c r="AN80" s="11"/>
      <c r="AO80" s="11"/>
      <c r="AP80" s="11"/>
      <c r="AQ80" s="11"/>
      <c r="AR80" s="11"/>
      <c r="AS80" s="11"/>
    </row>
    <row r="81" spans="1:45" s="12" customFormat="1">
      <c r="A81" s="25">
        <v>41089</v>
      </c>
      <c r="B81" s="28">
        <v>14536.13</v>
      </c>
      <c r="C81" s="33">
        <f t="shared" si="42"/>
        <v>5.0229493249892829E-2</v>
      </c>
      <c r="D81" s="27">
        <f t="shared" si="40"/>
        <v>132.71198943864499</v>
      </c>
      <c r="E81" s="27"/>
      <c r="F81" s="27"/>
      <c r="I81" s="13"/>
      <c r="AC81" s="11"/>
      <c r="AD81" s="25">
        <v>42886</v>
      </c>
      <c r="AE81" s="68"/>
      <c r="AF81" s="68"/>
      <c r="AG81" s="11"/>
      <c r="AH81" s="11"/>
      <c r="AI81" s="11"/>
      <c r="AJ81" s="11"/>
      <c r="AK81" s="11"/>
      <c r="AL81" s="11"/>
      <c r="AM81" s="11"/>
      <c r="AN81" s="11"/>
      <c r="AO81" s="11"/>
      <c r="AP81" s="11"/>
      <c r="AQ81" s="11"/>
      <c r="AR81" s="11"/>
      <c r="AS81" s="11"/>
    </row>
    <row r="82" spans="1:45" s="12" customFormat="1">
      <c r="A82" s="25">
        <v>41121</v>
      </c>
      <c r="B82" s="28">
        <v>14600.61</v>
      </c>
      <c r="C82" s="33">
        <f t="shared" si="42"/>
        <v>4.9903241096495854E-2</v>
      </c>
      <c r="D82" s="27">
        <f t="shared" si="40"/>
        <v>133.30067907467631</v>
      </c>
      <c r="E82" s="27"/>
      <c r="F82" s="27"/>
      <c r="I82" s="13"/>
      <c r="AC82" s="11"/>
      <c r="AD82" s="25">
        <v>42916</v>
      </c>
      <c r="AE82" s="68"/>
      <c r="AF82" s="68"/>
      <c r="AG82" s="11"/>
      <c r="AH82" s="11"/>
      <c r="AI82" s="11"/>
      <c r="AJ82" s="11"/>
      <c r="AK82" s="11"/>
      <c r="AL82" s="11"/>
      <c r="AM82" s="11"/>
      <c r="AN82" s="11"/>
      <c r="AO82" s="11"/>
      <c r="AP82" s="11"/>
      <c r="AQ82" s="11"/>
      <c r="AR82" s="11"/>
      <c r="AS82" s="11"/>
    </row>
    <row r="83" spans="1:45" s="12" customFormat="1">
      <c r="A83" s="25">
        <v>41152</v>
      </c>
      <c r="B83" s="28">
        <v>14663.33</v>
      </c>
      <c r="C83" s="33">
        <f t="shared" si="42"/>
        <v>4.9885675346617239E-2</v>
      </c>
      <c r="D83" s="27">
        <f t="shared" si="40"/>
        <v>133.87330025910379</v>
      </c>
      <c r="E83" s="27"/>
      <c r="F83" s="27"/>
      <c r="I83" s="13"/>
      <c r="AC83" s="11"/>
      <c r="AD83" s="25">
        <v>42947</v>
      </c>
      <c r="AE83" s="68"/>
      <c r="AF83" s="68"/>
      <c r="AG83" s="11"/>
      <c r="AH83" s="11"/>
      <c r="AI83" s="11"/>
      <c r="AJ83" s="11"/>
      <c r="AK83" s="11"/>
      <c r="AL83" s="11"/>
      <c r="AM83" s="11"/>
      <c r="AN83" s="11"/>
      <c r="AO83" s="11"/>
      <c r="AP83" s="11"/>
      <c r="AQ83" s="11"/>
      <c r="AR83" s="11"/>
      <c r="AS83" s="11"/>
    </row>
    <row r="84" spans="1:45" s="12" customFormat="1">
      <c r="A84" s="25">
        <v>41180</v>
      </c>
      <c r="B84" s="28">
        <v>14720.68</v>
      </c>
      <c r="C84" s="33">
        <f t="shared" si="42"/>
        <v>5.0285790666728357E-2</v>
      </c>
      <c r="D84" s="27">
        <f t="shared" si="40"/>
        <v>134.39689440653549</v>
      </c>
      <c r="E84" s="27"/>
      <c r="F84" s="27"/>
      <c r="I84" s="13"/>
      <c r="AC84" s="11"/>
      <c r="AD84" s="25">
        <v>42978</v>
      </c>
      <c r="AE84" s="68"/>
      <c r="AF84" s="68"/>
      <c r="AG84" s="11"/>
      <c r="AH84" s="11"/>
      <c r="AI84" s="11"/>
      <c r="AJ84" s="11"/>
      <c r="AK84" s="11"/>
      <c r="AL84" s="11"/>
      <c r="AM84" s="11"/>
      <c r="AN84" s="11"/>
      <c r="AO84" s="11"/>
      <c r="AP84" s="11"/>
      <c r="AQ84" s="11"/>
      <c r="AR84" s="11"/>
      <c r="AS84" s="11"/>
    </row>
    <row r="85" spans="1:45" s="12" customFormat="1">
      <c r="A85" s="25">
        <v>41213</v>
      </c>
      <c r="B85" s="28">
        <v>14788.56</v>
      </c>
      <c r="C85" s="33">
        <f t="shared" si="42"/>
        <v>5.0304000284570355E-2</v>
      </c>
      <c r="D85" s="27">
        <f t="shared" si="40"/>
        <v>135.01662536952875</v>
      </c>
      <c r="E85" s="27"/>
      <c r="F85" s="27"/>
      <c r="I85" s="13"/>
      <c r="AC85" s="11"/>
      <c r="AD85" s="25">
        <v>43008</v>
      </c>
      <c r="AE85" s="68"/>
      <c r="AF85" s="68"/>
      <c r="AG85" s="11"/>
      <c r="AH85" s="11"/>
      <c r="AI85" s="11"/>
      <c r="AJ85" s="11"/>
      <c r="AK85" s="11"/>
      <c r="AL85" s="11"/>
      <c r="AM85" s="11"/>
      <c r="AN85" s="11"/>
      <c r="AO85" s="11"/>
      <c r="AP85" s="11"/>
      <c r="AQ85" s="11"/>
      <c r="AR85" s="11"/>
      <c r="AS85" s="11"/>
    </row>
    <row r="86" spans="1:45" s="12" customFormat="1">
      <c r="A86" s="25">
        <v>41243</v>
      </c>
      <c r="B86" s="28">
        <v>14850.38</v>
      </c>
      <c r="C86" s="33">
        <f t="shared" si="42"/>
        <v>5.0163099044126191E-2</v>
      </c>
      <c r="D86" s="27">
        <f t="shared" si="40"/>
        <v>135.58102973211334</v>
      </c>
      <c r="E86" s="27"/>
      <c r="F86" s="27"/>
      <c r="I86" s="13"/>
      <c r="AC86" s="11"/>
      <c r="AD86" s="25">
        <v>43039</v>
      </c>
      <c r="AE86" s="68"/>
      <c r="AF86" s="68"/>
      <c r="AG86" s="11"/>
      <c r="AH86" s="11"/>
      <c r="AI86" s="11"/>
      <c r="AJ86" s="11"/>
      <c r="AK86" s="11"/>
      <c r="AL86" s="11"/>
      <c r="AM86" s="11"/>
      <c r="AN86" s="11"/>
      <c r="AO86" s="11"/>
      <c r="AP86" s="11"/>
      <c r="AQ86" s="11"/>
    </row>
    <row r="87" spans="1:45" s="12" customFormat="1">
      <c r="A87" s="25">
        <v>41274</v>
      </c>
      <c r="B87" s="28">
        <v>14908.2</v>
      </c>
      <c r="C87" s="33">
        <f t="shared" si="42"/>
        <v>4.521487426692998E-2</v>
      </c>
      <c r="D87" s="27">
        <f t="shared" si="40"/>
        <v>136.10891488650745</v>
      </c>
      <c r="E87" s="27"/>
      <c r="F87" s="27"/>
      <c r="I87" s="13"/>
      <c r="AC87" s="11"/>
      <c r="AD87" s="25">
        <v>43069</v>
      </c>
      <c r="AE87" s="68"/>
      <c r="AF87" s="68"/>
      <c r="AG87" s="11"/>
      <c r="AH87" s="11"/>
      <c r="AI87" s="11"/>
      <c r="AJ87" s="11"/>
      <c r="AK87" s="11"/>
      <c r="AL87" s="11"/>
      <c r="AM87" s="11"/>
      <c r="AN87" s="11"/>
      <c r="AO87" s="11"/>
      <c r="AP87" s="11"/>
      <c r="AQ87" s="11"/>
    </row>
    <row r="88" spans="1:45" s="12" customFormat="1">
      <c r="A88" s="25">
        <v>41305</v>
      </c>
      <c r="B88" s="28">
        <v>14978.58</v>
      </c>
      <c r="C88" s="33">
        <f t="shared" si="42"/>
        <v>5.4823260288449471E-2</v>
      </c>
      <c r="D88" s="27">
        <f t="shared" si="40"/>
        <v>136.75147035461978</v>
      </c>
      <c r="E88" s="27"/>
      <c r="F88" s="27"/>
      <c r="I88" s="13"/>
      <c r="AC88" s="11"/>
      <c r="AD88" s="25">
        <v>43100</v>
      </c>
      <c r="AE88" s="68"/>
      <c r="AF88" s="68"/>
      <c r="AG88" s="11"/>
      <c r="AH88" s="11"/>
      <c r="AI88" s="11"/>
      <c r="AJ88" s="11"/>
      <c r="AK88" s="11"/>
      <c r="AL88" s="11"/>
      <c r="AM88" s="11"/>
      <c r="AN88" s="11"/>
      <c r="AO88" s="11"/>
      <c r="AP88" s="11"/>
      <c r="AQ88" s="11"/>
    </row>
    <row r="89" spans="1:45" s="12" customFormat="1">
      <c r="A89" s="25">
        <v>41333</v>
      </c>
      <c r="B89" s="28">
        <v>15036.94</v>
      </c>
      <c r="C89" s="33">
        <f t="shared" si="42"/>
        <v>5.0094391934539323E-2</v>
      </c>
      <c r="D89" s="27">
        <f t="shared" si="40"/>
        <v>137.28428560211958</v>
      </c>
      <c r="E89" s="27"/>
      <c r="F89" s="27"/>
      <c r="I89" s="13"/>
      <c r="AC89" s="11"/>
      <c r="AD89" s="25">
        <v>43131</v>
      </c>
      <c r="AE89" s="68"/>
      <c r="AF89" s="68">
        <v>1.0967707820073671E-2</v>
      </c>
      <c r="AG89" s="11"/>
      <c r="AH89" s="11"/>
      <c r="AI89" s="11"/>
      <c r="AJ89" s="11"/>
      <c r="AK89" s="11"/>
      <c r="AL89" s="11"/>
      <c r="AM89" s="11"/>
      <c r="AN89" s="11"/>
      <c r="AO89" s="11"/>
      <c r="AP89" s="11"/>
      <c r="AQ89" s="11"/>
    </row>
    <row r="90" spans="1:45" s="12" customFormat="1">
      <c r="A90" s="25">
        <v>41362</v>
      </c>
      <c r="B90" s="28">
        <v>15095.51</v>
      </c>
      <c r="C90" s="33">
        <f t="shared" si="42"/>
        <v>4.835264768423507E-2</v>
      </c>
      <c r="D90" s="27">
        <f t="shared" si="40"/>
        <v>137.81901810804939</v>
      </c>
      <c r="E90" s="27"/>
      <c r="F90" s="27"/>
      <c r="I90" s="13"/>
      <c r="AC90" s="11"/>
      <c r="AD90" s="25">
        <v>43159</v>
      </c>
      <c r="AE90" s="68"/>
      <c r="AF90" s="68">
        <v>1.0622313246440029E-2</v>
      </c>
      <c r="AG90" s="11"/>
      <c r="AH90" s="11"/>
      <c r="AI90" s="11"/>
      <c r="AJ90" s="11"/>
      <c r="AK90" s="11"/>
      <c r="AL90" s="11"/>
      <c r="AM90" s="11"/>
      <c r="AN90" s="11"/>
      <c r="AO90" s="11"/>
      <c r="AP90" s="11"/>
      <c r="AQ90" s="11"/>
    </row>
    <row r="91" spans="1:45" s="12" customFormat="1">
      <c r="A91" s="25">
        <v>41394</v>
      </c>
      <c r="B91" s="28">
        <v>15164.77</v>
      </c>
      <c r="C91" s="33">
        <f t="shared" si="42"/>
        <v>5.1616341547918165E-2</v>
      </c>
      <c r="D91" s="27">
        <f t="shared" si="40"/>
        <v>138.45134819786838</v>
      </c>
      <c r="E91" s="27"/>
      <c r="F91" s="27"/>
      <c r="I91" s="13"/>
      <c r="AC91" s="11"/>
      <c r="AD91" s="25">
        <v>43190</v>
      </c>
      <c r="AE91" s="68"/>
      <c r="AF91" s="68">
        <v>1.090269598324102E-2</v>
      </c>
      <c r="AG91" s="11"/>
      <c r="AH91" s="11"/>
      <c r="AI91" s="11"/>
      <c r="AJ91" s="11"/>
      <c r="AK91" s="11"/>
      <c r="AL91" s="11"/>
      <c r="AM91" s="11"/>
      <c r="AN91" s="11"/>
      <c r="AO91" s="11"/>
      <c r="AP91" s="11"/>
      <c r="AQ91" s="11"/>
    </row>
    <row r="92" spans="1:45" s="12" customFormat="1">
      <c r="A92" s="25">
        <v>41425</v>
      </c>
      <c r="B92" s="28">
        <v>15230.38</v>
      </c>
      <c r="C92" s="33">
        <f t="shared" si="42"/>
        <v>5.0242936796612458E-2</v>
      </c>
      <c r="D92" s="27">
        <f t="shared" si="40"/>
        <v>139.05035451021351</v>
      </c>
      <c r="E92" s="27"/>
      <c r="F92" s="27"/>
      <c r="I92" s="13"/>
      <c r="AC92" s="11"/>
      <c r="AD92" s="25">
        <v>43220</v>
      </c>
      <c r="AE92" s="68"/>
      <c r="AF92" s="68">
        <v>1.228770336832774E-2</v>
      </c>
      <c r="AG92" s="11"/>
      <c r="AH92" s="11"/>
      <c r="AI92" s="11"/>
      <c r="AJ92" s="11"/>
      <c r="AK92" s="11"/>
      <c r="AL92" s="11"/>
      <c r="AM92" s="11"/>
      <c r="AN92" s="11"/>
      <c r="AO92" s="11"/>
      <c r="AP92" s="11"/>
      <c r="AQ92" s="11"/>
    </row>
    <row r="93" spans="1:45" s="12" customFormat="1">
      <c r="A93" s="25">
        <v>41453</v>
      </c>
      <c r="B93" s="28">
        <v>15289.74</v>
      </c>
      <c r="C93" s="33">
        <f t="shared" si="42"/>
        <v>5.0110371507475611E-2</v>
      </c>
      <c r="D93" s="27">
        <f t="shared" si="40"/>
        <v>139.59229955976096</v>
      </c>
      <c r="E93" s="27"/>
      <c r="F93" s="27"/>
      <c r="I93" s="13"/>
      <c r="AC93" s="11"/>
      <c r="AD93" s="25">
        <v>43251</v>
      </c>
      <c r="AE93" s="68"/>
      <c r="AF93" s="68">
        <v>1.3576049495116269E-2</v>
      </c>
      <c r="AG93" s="11"/>
      <c r="AH93" s="11"/>
      <c r="AI93" s="11"/>
      <c r="AJ93" s="11"/>
      <c r="AK93" s="11"/>
      <c r="AL93" s="11"/>
      <c r="AM93" s="11"/>
      <c r="AN93" s="11"/>
      <c r="AO93" s="11"/>
      <c r="AP93" s="11"/>
      <c r="AQ93" s="11"/>
    </row>
    <row r="94" spans="1:45" s="12" customFormat="1">
      <c r="A94" s="25">
        <v>41486</v>
      </c>
      <c r="B94" s="28">
        <v>15360.27</v>
      </c>
      <c r="C94" s="33">
        <f t="shared" si="42"/>
        <v>5.0322515740502442E-2</v>
      </c>
      <c r="D94" s="27">
        <f t="shared" si="40"/>
        <v>140.23622449818046</v>
      </c>
      <c r="E94" s="27"/>
      <c r="F94" s="27"/>
      <c r="I94" s="13"/>
      <c r="AC94" s="11"/>
      <c r="AD94" s="25">
        <v>43281</v>
      </c>
      <c r="AE94" s="68"/>
      <c r="AF94" s="68">
        <v>1.4993145885560999E-2</v>
      </c>
      <c r="AG94" s="11"/>
      <c r="AH94" s="11"/>
      <c r="AI94" s="11"/>
      <c r="AJ94" s="11"/>
      <c r="AK94" s="11"/>
      <c r="AL94" s="11"/>
      <c r="AM94" s="11"/>
      <c r="AN94" s="11"/>
      <c r="AO94" s="11"/>
      <c r="AP94" s="11"/>
      <c r="AQ94" s="11"/>
    </row>
    <row r="95" spans="1:45" s="12" customFormat="1">
      <c r="A95" s="25">
        <v>41516</v>
      </c>
      <c r="B95" s="28">
        <v>15424.43</v>
      </c>
      <c r="C95" s="33">
        <f t="shared" si="42"/>
        <v>5.0124118911972097E-2</v>
      </c>
      <c r="D95" s="27">
        <f t="shared" si="40"/>
        <v>140.82199259755649</v>
      </c>
      <c r="E95" s="27"/>
      <c r="F95" s="27"/>
      <c r="I95" s="13"/>
      <c r="AD95" s="25">
        <v>43312</v>
      </c>
      <c r="AE95" s="68"/>
      <c r="AF95" s="68">
        <v>1.6017646157316396E-2</v>
      </c>
    </row>
    <row r="96" spans="1:45" s="12" customFormat="1">
      <c r="A96" s="25">
        <v>41547</v>
      </c>
      <c r="B96" s="28">
        <v>15490.99</v>
      </c>
      <c r="C96" s="33">
        <f t="shared" si="42"/>
        <v>5.0112376192160871E-2</v>
      </c>
      <c r="D96" s="27">
        <f t="shared" si="40"/>
        <v>141.42967222184689</v>
      </c>
      <c r="E96" s="27"/>
      <c r="F96" s="27"/>
      <c r="I96" s="13"/>
      <c r="AD96" s="25">
        <v>43343</v>
      </c>
      <c r="AE96" s="68"/>
      <c r="AF96" s="68">
        <v>1.5773527601195707E-2</v>
      </c>
    </row>
    <row r="97" spans="1:54" s="12" customFormat="1">
      <c r="A97" s="25">
        <v>41578</v>
      </c>
      <c r="B97" s="28">
        <v>15554.36</v>
      </c>
      <c r="C97" s="33">
        <f t="shared" si="42"/>
        <v>4.7505658283903816E-2</v>
      </c>
      <c r="D97" s="27">
        <f t="shared" si="40"/>
        <v>142.00822777760533</v>
      </c>
      <c r="E97" s="27"/>
      <c r="F97" s="27"/>
      <c r="I97" s="13"/>
      <c r="AD97" s="25">
        <v>43373</v>
      </c>
      <c r="AE97" s="68"/>
      <c r="AF97" s="68">
        <v>1.6705268102634285E-2</v>
      </c>
    </row>
    <row r="98" spans="1:54" s="12" customFormat="1">
      <c r="A98" s="25">
        <v>41607</v>
      </c>
      <c r="B98" s="28">
        <v>15615.06</v>
      </c>
      <c r="C98" s="33">
        <f t="shared" si="42"/>
        <v>4.8444117365118444E-2</v>
      </c>
      <c r="D98" s="27">
        <f t="shared" si="40"/>
        <v>142.5624067618966</v>
      </c>
      <c r="E98" s="27"/>
      <c r="F98" s="27"/>
      <c r="I98" s="13"/>
      <c r="AD98" s="25">
        <v>43404</v>
      </c>
      <c r="AE98" s="68"/>
      <c r="AF98" s="68">
        <v>1.6964679656212699E-2</v>
      </c>
    </row>
    <row r="99" spans="1:54" s="12" customFormat="1">
      <c r="A99" s="25">
        <v>41639</v>
      </c>
      <c r="B99" s="28">
        <v>15675.68</v>
      </c>
      <c r="C99" s="33">
        <f t="shared" si="42"/>
        <v>4.3674183768746266E-2</v>
      </c>
      <c r="D99" s="27">
        <f t="shared" si="40"/>
        <v>143.11585536202404</v>
      </c>
      <c r="E99" s="27"/>
      <c r="F99" s="27"/>
      <c r="I99" s="13"/>
      <c r="AD99" s="25">
        <v>43434</v>
      </c>
      <c r="AE99" s="68"/>
      <c r="AF99" s="68">
        <v>1.5174929296453143E-2</v>
      </c>
    </row>
    <row r="100" spans="1:54" s="12" customFormat="1">
      <c r="A100" s="25">
        <v>41670</v>
      </c>
      <c r="B100" s="28">
        <v>15738.45</v>
      </c>
      <c r="C100" s="33">
        <f t="shared" si="42"/>
        <v>4.6501455470122841E-2</v>
      </c>
      <c r="D100" s="27">
        <f t="shared" si="40"/>
        <v>143.68893303655392</v>
      </c>
      <c r="E100" s="27"/>
      <c r="F100" s="27"/>
      <c r="I100" s="13"/>
      <c r="AD100" s="25">
        <v>43465</v>
      </c>
      <c r="AE100" s="68"/>
      <c r="AF100" s="68">
        <v>1.8100758996559756E-2</v>
      </c>
    </row>
    <row r="101" spans="1:54" s="12" customFormat="1">
      <c r="A101" s="25">
        <v>41698</v>
      </c>
      <c r="B101" s="28">
        <v>15792.47</v>
      </c>
      <c r="C101" s="33">
        <f t="shared" si="42"/>
        <v>4.4130321419378733E-2</v>
      </c>
      <c r="D101" s="27">
        <f t="shared" si="40"/>
        <v>144.18212494316697</v>
      </c>
      <c r="E101" s="27"/>
      <c r="F101" s="27"/>
      <c r="I101" s="13"/>
      <c r="AD101" s="25">
        <v>43496</v>
      </c>
      <c r="AE101" s="68">
        <v>3.4101066193152181E-2</v>
      </c>
      <c r="AF101" s="68">
        <v>1.9871310117053377E-2</v>
      </c>
    </row>
    <row r="102" spans="1:54" s="12" customFormat="1">
      <c r="A102" s="25">
        <v>41729</v>
      </c>
      <c r="B102" s="28">
        <v>15848.53</v>
      </c>
      <c r="C102" s="33">
        <f t="shared" si="42"/>
        <v>4.1223402978681871E-2</v>
      </c>
      <c r="D102" s="27">
        <f t="shared" si="40"/>
        <v>144.69394164595724</v>
      </c>
      <c r="E102" s="27"/>
      <c r="F102" s="27"/>
      <c r="I102" s="13"/>
      <c r="AD102" s="25">
        <v>43524</v>
      </c>
      <c r="AE102" s="68">
        <v>3.0115368287614141E-2</v>
      </c>
      <c r="AF102" s="68">
        <v>1.9274745331590015E-2</v>
      </c>
    </row>
    <row r="103" spans="1:54" s="12" customFormat="1">
      <c r="A103" s="25">
        <v>41759</v>
      </c>
      <c r="B103" s="28">
        <v>15901.43</v>
      </c>
      <c r="C103" s="33">
        <f t="shared" si="42"/>
        <v>4.0054187990935297E-2</v>
      </c>
      <c r="D103" s="27">
        <f t="shared" si="40"/>
        <v>145.17690817427697</v>
      </c>
      <c r="E103" s="27"/>
      <c r="F103" s="27"/>
      <c r="I103" s="13"/>
      <c r="AD103" s="25">
        <v>43555</v>
      </c>
      <c r="AE103" s="68">
        <v>3.3921767087303267E-2</v>
      </c>
      <c r="AF103" s="68">
        <v>1.9697306214110293E-2</v>
      </c>
    </row>
    <row r="104" spans="1:54" s="12" customFormat="1">
      <c r="A104" s="25">
        <v>41789</v>
      </c>
      <c r="B104" s="28">
        <v>15954.5</v>
      </c>
      <c r="C104" s="33">
        <f t="shared" si="42"/>
        <v>4.0049228276954452E-2</v>
      </c>
      <c r="D104" s="27">
        <f t="shared" si="40"/>
        <v>145.66142676894481</v>
      </c>
      <c r="E104" s="27"/>
      <c r="F104" s="27"/>
      <c r="I104" s="13"/>
      <c r="AD104" s="25">
        <v>43585</v>
      </c>
      <c r="AE104" s="68">
        <v>3.4950401100383388E-2</v>
      </c>
      <c r="AF104" s="68">
        <v>1.9770427238439581E-2</v>
      </c>
    </row>
    <row r="105" spans="1:54" s="12" customFormat="1">
      <c r="A105" s="25">
        <v>41820</v>
      </c>
      <c r="B105" s="28">
        <v>16009.53</v>
      </c>
      <c r="C105" s="33">
        <f t="shared" si="42"/>
        <v>4.0055035539574999E-2</v>
      </c>
      <c r="D105" s="27">
        <f t="shared" si="40"/>
        <v>146.163839775626</v>
      </c>
      <c r="E105" s="27"/>
      <c r="F105" s="27"/>
      <c r="I105" s="13"/>
      <c r="AD105" s="25"/>
    </row>
    <row r="106" spans="1:54" s="12" customFormat="1">
      <c r="A106" s="25">
        <v>41851</v>
      </c>
      <c r="B106" s="28">
        <v>16063.18</v>
      </c>
      <c r="C106" s="33">
        <f t="shared" si="42"/>
        <v>3.8916336586053819E-2</v>
      </c>
      <c r="D106" s="27">
        <f t="shared" si="40"/>
        <v>146.65365365548143</v>
      </c>
      <c r="E106" s="27"/>
      <c r="F106" s="27"/>
      <c r="I106" s="13"/>
    </row>
    <row r="107" spans="1:54" s="12" customFormat="1">
      <c r="A107" s="25">
        <v>41880</v>
      </c>
      <c r="B107" s="28">
        <v>16110.55</v>
      </c>
      <c r="C107" s="33">
        <f t="shared" si="42"/>
        <v>3.6608030247457304E-2</v>
      </c>
      <c r="D107" s="27">
        <f t="shared" si="40"/>
        <v>147.08613237847777</v>
      </c>
      <c r="E107" s="27"/>
      <c r="F107" s="27"/>
      <c r="I107" s="13"/>
    </row>
    <row r="108" spans="1:54" s="12" customFormat="1">
      <c r="A108" s="25">
        <v>41912</v>
      </c>
      <c r="B108" s="28">
        <v>16158.37</v>
      </c>
      <c r="C108" s="33">
        <f t="shared" si="42"/>
        <v>3.3392714711788785E-2</v>
      </c>
      <c r="D108" s="27">
        <f t="shared" si="40"/>
        <v>147.52271951239555</v>
      </c>
      <c r="E108" s="27"/>
      <c r="F108" s="27"/>
      <c r="I108" s="13"/>
    </row>
    <row r="109" spans="1:54" s="12" customFormat="1">
      <c r="A109" s="25">
        <v>41943</v>
      </c>
      <c r="B109" s="28">
        <v>16200.86</v>
      </c>
      <c r="C109" s="33">
        <f t="shared" si="42"/>
        <v>3.0537254566180339E-2</v>
      </c>
      <c r="D109" s="27">
        <f t="shared" si="40"/>
        <v>147.91064480139943</v>
      </c>
      <c r="E109" s="27"/>
      <c r="F109" s="27"/>
      <c r="I109" s="13"/>
    </row>
    <row r="110" spans="1:54" s="12" customFormat="1">
      <c r="A110" s="25">
        <v>41971</v>
      </c>
      <c r="B110" s="28">
        <v>16240.11</v>
      </c>
      <c r="C110" s="33">
        <f t="shared" si="42"/>
        <v>3.1149140054469449E-2</v>
      </c>
      <c r="D110" s="27">
        <f t="shared" si="40"/>
        <v>148.26898953176899</v>
      </c>
      <c r="E110" s="27"/>
      <c r="F110" s="27"/>
      <c r="I110" s="13"/>
    </row>
    <row r="111" spans="1:54" s="12" customFormat="1">
      <c r="A111" s="25">
        <v>42004</v>
      </c>
      <c r="B111" s="28">
        <v>16283.49</v>
      </c>
      <c r="C111" s="33">
        <f t="shared" si="42"/>
        <v>2.9139972797988471E-2</v>
      </c>
      <c r="D111" s="27">
        <f t="shared" si="40"/>
        <v>148.66504034459524</v>
      </c>
      <c r="E111" s="27"/>
      <c r="F111" s="27"/>
      <c r="I111" s="13"/>
      <c r="AW111" s="11"/>
      <c r="AX111" s="11"/>
      <c r="AY111" s="11"/>
      <c r="AZ111" s="11"/>
      <c r="BA111" s="11"/>
      <c r="BB111" s="11"/>
    </row>
    <row r="112" spans="1:54" s="12" customFormat="1">
      <c r="A112" s="25">
        <v>42034</v>
      </c>
      <c r="B112" s="28">
        <v>16325.65</v>
      </c>
      <c r="C112" s="33">
        <f t="shared" si="42"/>
        <v>3.1069506598400132E-2</v>
      </c>
      <c r="D112" s="27">
        <f t="shared" si="40"/>
        <v>149.04995279892341</v>
      </c>
      <c r="E112" s="27"/>
      <c r="F112" s="27"/>
      <c r="I112" s="13"/>
      <c r="AV112" s="11"/>
      <c r="AW112" s="11"/>
      <c r="AX112" s="11"/>
      <c r="AY112" s="11"/>
      <c r="AZ112" s="11"/>
      <c r="BA112" s="11"/>
      <c r="BB112" s="11"/>
    </row>
    <row r="113" spans="1:46">
      <c r="A113" s="25">
        <v>42062</v>
      </c>
      <c r="B113" s="28">
        <v>16363.77</v>
      </c>
      <c r="C113" s="33">
        <f t="shared" si="42"/>
        <v>3.0021119264119923E-2</v>
      </c>
      <c r="D113" s="27">
        <f t="shared" si="40"/>
        <v>149.39798085297915</v>
      </c>
      <c r="E113" s="27"/>
      <c r="F113" s="27"/>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row>
    <row r="114" spans="1:46">
      <c r="A114" s="25">
        <v>42094</v>
      </c>
      <c r="B114" s="28">
        <v>16407.490000000002</v>
      </c>
      <c r="C114" s="33">
        <f t="shared" si="42"/>
        <v>3.0057254532421807E-2</v>
      </c>
      <c r="D114" s="27">
        <f t="shared" si="40"/>
        <v>149.79713579850164</v>
      </c>
      <c r="E114" s="27"/>
      <c r="F114" s="27"/>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row>
    <row r="115" spans="1:46">
      <c r="A115" s="25">
        <v>42124</v>
      </c>
      <c r="B115" s="28">
        <v>16448.59</v>
      </c>
      <c r="C115" s="33">
        <f t="shared" si="42"/>
        <v>3.0059442364430033E-2</v>
      </c>
      <c r="D115" s="27">
        <f t="shared" si="40"/>
        <v>150.17237066265929</v>
      </c>
      <c r="E115" s="27"/>
      <c r="F115" s="27"/>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row>
    <row r="116" spans="1:46">
      <c r="A116" s="25">
        <v>42153</v>
      </c>
      <c r="B116" s="28">
        <v>16488.37</v>
      </c>
      <c r="C116" s="33">
        <f t="shared" si="42"/>
        <v>3.0022068131990209E-2</v>
      </c>
      <c r="D116" s="27">
        <f t="shared" si="40"/>
        <v>150.53555418811408</v>
      </c>
      <c r="E116" s="27"/>
      <c r="F116" s="27"/>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row>
    <row r="117" spans="1:46">
      <c r="A117" s="25">
        <v>42185</v>
      </c>
      <c r="B117" s="28">
        <v>16532.38</v>
      </c>
      <c r="C117" s="33">
        <f t="shared" si="42"/>
        <v>3.0027983360393085E-2</v>
      </c>
      <c r="D117" s="27">
        <f t="shared" si="40"/>
        <v>150.93735677623039</v>
      </c>
      <c r="E117" s="27"/>
      <c r="F117" s="27"/>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row>
    <row r="118" spans="1:46">
      <c r="A118" s="25">
        <v>42216</v>
      </c>
      <c r="B118" s="28">
        <v>16575.11</v>
      </c>
      <c r="C118" s="33">
        <f t="shared" si="42"/>
        <v>3.0014998133282976E-2</v>
      </c>
      <c r="D118" s="27">
        <f t="shared" si="40"/>
        <v>151.3274732177257</v>
      </c>
      <c r="E118" s="27"/>
      <c r="F118" s="27"/>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row>
    <row r="119" spans="1:46">
      <c r="A119" s="25">
        <v>42247</v>
      </c>
      <c r="B119" s="28">
        <v>16617.939999999999</v>
      </c>
      <c r="C119" s="33">
        <f t="shared" si="42"/>
        <v>3.0007682915001534E-2</v>
      </c>
      <c r="D119" s="27">
        <f t="shared" si="40"/>
        <v>151.71850263942576</v>
      </c>
      <c r="E119" s="27"/>
      <c r="F119" s="27"/>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row>
    <row r="120" spans="1:46">
      <c r="A120" s="25">
        <v>42277</v>
      </c>
      <c r="B120" s="28">
        <v>16659.580000000002</v>
      </c>
      <c r="C120" s="33">
        <f t="shared" si="42"/>
        <v>3.0068708877275089E-2</v>
      </c>
      <c r="D120" s="27">
        <f t="shared" si="40"/>
        <v>152.09866759668921</v>
      </c>
      <c r="E120" s="27"/>
      <c r="F120" s="27"/>
      <c r="O120" s="12"/>
      <c r="P120" s="12"/>
      <c r="Q120" s="12"/>
      <c r="R120" s="12"/>
      <c r="S120" s="12"/>
      <c r="T120" s="12"/>
      <c r="U120" s="12"/>
      <c r="V120" s="12"/>
      <c r="W120" s="12"/>
      <c r="X120" s="12"/>
      <c r="Y120" s="12"/>
      <c r="Z120" s="12"/>
      <c r="AA120" s="12"/>
      <c r="AC120" s="12"/>
      <c r="AD120" s="12"/>
      <c r="AE120" s="12"/>
      <c r="AF120" s="12"/>
      <c r="AG120" s="12"/>
      <c r="AH120" s="12"/>
      <c r="AI120" s="12"/>
      <c r="AJ120" s="12"/>
      <c r="AK120" s="12"/>
      <c r="AL120" s="12"/>
      <c r="AM120" s="12"/>
      <c r="AN120" s="12"/>
      <c r="AO120" s="12"/>
      <c r="AP120" s="12"/>
      <c r="AQ120" s="12"/>
      <c r="AR120" s="12"/>
      <c r="AS120" s="12"/>
    </row>
    <row r="121" spans="1:46">
      <c r="A121" s="25">
        <v>42307</v>
      </c>
      <c r="B121" s="28">
        <v>16702.939999999999</v>
      </c>
      <c r="C121" s="33">
        <f t="shared" si="42"/>
        <v>3.1232480050515044E-2</v>
      </c>
      <c r="D121" s="27">
        <f t="shared" si="40"/>
        <v>152.4945358134745</v>
      </c>
      <c r="E121" s="27"/>
      <c r="F121" s="27"/>
      <c r="O121" s="12"/>
      <c r="P121" s="12"/>
      <c r="Q121" s="12"/>
      <c r="R121" s="12"/>
      <c r="S121" s="12"/>
      <c r="T121" s="12"/>
      <c r="U121" s="12"/>
      <c r="V121" s="12"/>
      <c r="W121" s="12"/>
      <c r="X121" s="12"/>
      <c r="Y121" s="12"/>
      <c r="Z121" s="12"/>
      <c r="AA121" s="12"/>
      <c r="AC121" s="12"/>
      <c r="AD121" s="12"/>
      <c r="AE121" s="12"/>
      <c r="AF121" s="12"/>
      <c r="AG121" s="12"/>
      <c r="AH121" s="12"/>
      <c r="AI121" s="12"/>
      <c r="AJ121" s="12"/>
      <c r="AK121" s="12"/>
      <c r="AL121" s="12"/>
      <c r="AM121" s="12"/>
      <c r="AN121" s="12"/>
      <c r="AO121" s="12"/>
      <c r="AP121" s="12"/>
      <c r="AQ121" s="12"/>
      <c r="AR121" s="12"/>
      <c r="AS121" s="12"/>
    </row>
    <row r="122" spans="1:46">
      <c r="A122" s="25">
        <v>42338</v>
      </c>
      <c r="B122" s="28">
        <v>16749.75</v>
      </c>
      <c r="C122" s="33">
        <f t="shared" si="42"/>
        <v>3.2545168694854236E-2</v>
      </c>
      <c r="D122" s="27">
        <f t="shared" si="40"/>
        <v>152.92190184732414</v>
      </c>
      <c r="E122" s="27"/>
      <c r="F122" s="25"/>
      <c r="AC122" s="12"/>
      <c r="AD122" s="12"/>
      <c r="AE122" s="12"/>
      <c r="AF122" s="12"/>
      <c r="AG122" s="12"/>
      <c r="AH122" s="12"/>
      <c r="AI122" s="12"/>
      <c r="AJ122" s="12"/>
      <c r="AK122" s="12"/>
      <c r="AL122" s="12"/>
      <c r="AM122" s="12"/>
      <c r="AN122" s="12"/>
      <c r="AO122" s="12"/>
      <c r="AP122" s="12"/>
      <c r="AQ122" s="12"/>
      <c r="AR122" s="12"/>
      <c r="AS122" s="12"/>
    </row>
    <row r="123" spans="1:46">
      <c r="A123" s="25">
        <v>42369</v>
      </c>
      <c r="B123" s="28">
        <v>16796.52</v>
      </c>
      <c r="C123" s="33">
        <f t="shared" si="42"/>
        <v>3.2426483014432558E-2</v>
      </c>
      <c r="D123" s="27">
        <f t="shared" si="40"/>
        <v>153.34890268909191</v>
      </c>
      <c r="E123" s="27"/>
      <c r="F123" s="25">
        <v>42369</v>
      </c>
      <c r="K123" s="12"/>
      <c r="AC123" s="12"/>
      <c r="AD123" s="12"/>
      <c r="AE123" s="12"/>
      <c r="AF123" s="12"/>
      <c r="AG123" s="12"/>
      <c r="AH123" s="12"/>
      <c r="AI123" s="12"/>
      <c r="AJ123" s="12"/>
      <c r="AK123" s="12"/>
      <c r="AL123" s="12"/>
      <c r="AM123" s="12"/>
      <c r="AN123" s="12"/>
      <c r="AO123" s="12"/>
      <c r="AP123" s="12"/>
      <c r="AQ123" s="12"/>
      <c r="AR123" s="12"/>
      <c r="AS123" s="12"/>
    </row>
    <row r="124" spans="1:46">
      <c r="A124" s="25">
        <v>42398</v>
      </c>
      <c r="B124" s="28">
        <v>16845.59</v>
      </c>
      <c r="C124" s="33">
        <f t="shared" si="42"/>
        <v>3.6266132960054508E-2</v>
      </c>
      <c r="D124" s="27">
        <f t="shared" si="40"/>
        <v>153.79690207556919</v>
      </c>
      <c r="E124" s="27"/>
      <c r="F124" s="25">
        <v>42400</v>
      </c>
      <c r="K124" s="12"/>
      <c r="AC124" s="12"/>
      <c r="AD124" s="12"/>
      <c r="AE124" s="12"/>
      <c r="AF124" s="12"/>
      <c r="AG124" s="12"/>
      <c r="AH124" s="12"/>
      <c r="AI124" s="12"/>
      <c r="AJ124" s="12"/>
      <c r="AK124" s="12"/>
      <c r="AL124" s="12"/>
      <c r="AM124" s="12"/>
      <c r="AN124" s="12"/>
      <c r="AO124" s="12"/>
      <c r="AP124" s="12"/>
      <c r="AQ124" s="12"/>
      <c r="AR124" s="12"/>
      <c r="AS124" s="12"/>
    </row>
    <row r="125" spans="1:46">
      <c r="A125" s="25">
        <v>42429</v>
      </c>
      <c r="B125" s="28">
        <v>16896.43</v>
      </c>
      <c r="C125" s="33">
        <f t="shared" si="42"/>
        <v>3.5047748401807716E-2</v>
      </c>
      <c r="D125" s="27">
        <f t="shared" si="40"/>
        <v>154.26106121167084</v>
      </c>
      <c r="E125" s="27"/>
      <c r="F125" s="25">
        <v>42428</v>
      </c>
      <c r="K125" s="12"/>
      <c r="AC125" s="12"/>
      <c r="AD125" s="12"/>
      <c r="AE125" s="12"/>
      <c r="AF125" s="12"/>
      <c r="AG125" s="12"/>
      <c r="AH125" s="12"/>
      <c r="AI125" s="12"/>
      <c r="AJ125" s="12"/>
      <c r="AK125" s="12"/>
      <c r="AL125" s="12"/>
      <c r="AM125" s="12"/>
      <c r="AN125" s="12"/>
      <c r="AO125" s="12"/>
      <c r="AP125" s="12"/>
      <c r="AQ125" s="12"/>
      <c r="AR125" s="12"/>
      <c r="AS125" s="12"/>
    </row>
    <row r="126" spans="1:46">
      <c r="A126" s="25">
        <v>42460</v>
      </c>
      <c r="B126" s="28">
        <v>16947.43</v>
      </c>
      <c r="C126" s="33">
        <f t="shared" si="42"/>
        <v>3.5052260419279627E-2</v>
      </c>
      <c r="D126" s="27">
        <f t="shared" si="40"/>
        <v>154.72668111610005</v>
      </c>
      <c r="E126" s="27"/>
      <c r="F126" s="25">
        <v>42460</v>
      </c>
      <c r="K126" s="12"/>
      <c r="AC126" s="12"/>
      <c r="AD126" s="12"/>
      <c r="AE126" s="12"/>
      <c r="AF126" s="12"/>
      <c r="AG126" s="12"/>
      <c r="AH126" s="12"/>
      <c r="AI126" s="12"/>
      <c r="AJ126" s="12"/>
      <c r="AK126" s="12"/>
      <c r="AL126" s="12"/>
      <c r="AM126" s="12"/>
      <c r="AN126" s="12"/>
      <c r="AO126" s="12"/>
      <c r="AP126" s="12"/>
      <c r="AQ126" s="12"/>
      <c r="AR126" s="12"/>
      <c r="AS126" s="12"/>
    </row>
    <row r="127" spans="1:46">
      <c r="A127" s="25">
        <v>42489</v>
      </c>
      <c r="B127" s="28">
        <v>16995.27</v>
      </c>
      <c r="C127" s="33">
        <f t="shared" si="42"/>
        <v>3.5042237204636388E-2</v>
      </c>
      <c r="D127" s="27">
        <f t="shared" si="40"/>
        <v>155.16345084605877</v>
      </c>
      <c r="F127" s="25">
        <v>42490</v>
      </c>
      <c r="K127" s="12"/>
      <c r="AC127" s="12"/>
      <c r="AD127" s="12"/>
      <c r="AE127" s="12"/>
      <c r="AF127" s="12"/>
      <c r="AG127" s="12"/>
      <c r="AH127" s="12"/>
      <c r="AI127" s="12"/>
      <c r="AJ127" s="12"/>
      <c r="AK127" s="12"/>
      <c r="AL127" s="12"/>
      <c r="AM127" s="12"/>
      <c r="AN127" s="12"/>
      <c r="AO127" s="12"/>
      <c r="AP127" s="12"/>
      <c r="AQ127" s="12"/>
      <c r="AR127" s="12"/>
      <c r="AS127" s="12"/>
    </row>
    <row r="128" spans="1:46">
      <c r="A128" s="25">
        <v>42521</v>
      </c>
      <c r="B128" s="28">
        <v>17048.23</v>
      </c>
      <c r="C128" s="33">
        <f t="shared" si="42"/>
        <v>3.5056812866168519E-2</v>
      </c>
      <c r="D128" s="27">
        <f t="shared" si="40"/>
        <v>155.64696516250137</v>
      </c>
      <c r="F128" s="25">
        <f t="shared" ref="F128:F143" si="50">+A128</f>
        <v>42521</v>
      </c>
      <c r="G128" s="60"/>
      <c r="I128" s="33"/>
      <c r="J128" s="26"/>
      <c r="K128" s="12"/>
      <c r="L128" s="33"/>
      <c r="AC128" s="12"/>
      <c r="AD128" s="12"/>
      <c r="AE128" s="12"/>
      <c r="AF128" s="12"/>
      <c r="AG128" s="12"/>
      <c r="AH128" s="12"/>
      <c r="AI128" s="12"/>
      <c r="AJ128" s="12"/>
      <c r="AK128" s="12"/>
      <c r="AL128" s="12"/>
      <c r="AM128" s="12"/>
      <c r="AN128" s="12"/>
      <c r="AO128" s="12"/>
      <c r="AP128" s="12"/>
      <c r="AQ128" s="12"/>
      <c r="AR128" s="12"/>
      <c r="AS128" s="12"/>
    </row>
    <row r="129" spans="1:45">
      <c r="A129" s="25">
        <v>42551</v>
      </c>
      <c r="B129" s="28">
        <v>17098.02</v>
      </c>
      <c r="C129" s="33">
        <f t="shared" si="42"/>
        <v>3.5046453502799224E-2</v>
      </c>
      <c r="D129" s="27">
        <f t="shared" si="40"/>
        <v>156.10153800645296</v>
      </c>
      <c r="F129" s="25">
        <f t="shared" si="50"/>
        <v>42551</v>
      </c>
      <c r="I129" s="33"/>
      <c r="J129" s="26"/>
      <c r="K129" s="12"/>
      <c r="L129" s="33"/>
      <c r="M129" s="27"/>
      <c r="AC129" s="12"/>
      <c r="AD129" s="12"/>
      <c r="AE129" s="12"/>
      <c r="AF129" s="12"/>
      <c r="AG129" s="12"/>
      <c r="AH129" s="12"/>
      <c r="AI129" s="12"/>
      <c r="AJ129" s="12"/>
      <c r="AK129" s="12"/>
      <c r="AL129" s="12"/>
      <c r="AM129" s="12"/>
      <c r="AN129" s="12"/>
      <c r="AO129" s="12"/>
      <c r="AP129" s="12"/>
      <c r="AQ129" s="12"/>
      <c r="AR129" s="12"/>
      <c r="AS129" s="12"/>
    </row>
    <row r="130" spans="1:45">
      <c r="A130" s="25">
        <v>42582</v>
      </c>
      <c r="B130" s="61">
        <v>17149.23</v>
      </c>
      <c r="C130" s="33">
        <f t="shared" si="42"/>
        <v>3.4781616479192215E-2</v>
      </c>
      <c r="D130" s="27">
        <f>B130/$B$3*100</f>
        <v>156.56907516931219</v>
      </c>
      <c r="F130" s="25">
        <f t="shared" si="50"/>
        <v>42582</v>
      </c>
      <c r="I130" s="33"/>
      <c r="J130" s="26"/>
      <c r="K130" s="12"/>
      <c r="L130" s="33"/>
      <c r="M130" s="27"/>
      <c r="AC130" s="12"/>
      <c r="AD130" s="12"/>
      <c r="AE130" s="12"/>
      <c r="AF130" s="12"/>
      <c r="AG130" s="12"/>
      <c r="AH130" s="12"/>
      <c r="AI130" s="12"/>
      <c r="AJ130" s="12"/>
      <c r="AK130" s="12"/>
      <c r="AL130" s="12"/>
      <c r="AM130" s="12"/>
      <c r="AN130" s="12"/>
      <c r="AO130" s="12"/>
      <c r="AP130" s="12"/>
      <c r="AQ130" s="12"/>
      <c r="AR130" s="12"/>
      <c r="AS130" s="12"/>
    </row>
    <row r="131" spans="1:45">
      <c r="A131" s="25">
        <v>42613</v>
      </c>
      <c r="B131" s="28">
        <v>17201.38</v>
      </c>
      <c r="C131" s="33">
        <f t="shared" si="42"/>
        <v>3.5314291267060559E-2</v>
      </c>
      <c r="D131" s="27">
        <f t="shared" ref="D131:D158" si="51">B131/$B$3*100</f>
        <v>157.0451943460962</v>
      </c>
      <c r="F131" s="25">
        <f t="shared" si="50"/>
        <v>42613</v>
      </c>
      <c r="I131" s="33"/>
      <c r="J131" s="26"/>
      <c r="K131" s="12"/>
      <c r="L131" s="33"/>
      <c r="M131" s="27"/>
      <c r="AC131" s="12"/>
      <c r="AD131" s="12"/>
      <c r="AE131" s="12"/>
      <c r="AF131" s="12"/>
      <c r="AG131" s="12"/>
      <c r="AH131" s="12"/>
      <c r="AI131" s="12"/>
      <c r="AJ131" s="12"/>
      <c r="AK131" s="12"/>
      <c r="AL131" s="12"/>
      <c r="AM131" s="12"/>
      <c r="AN131" s="12"/>
      <c r="AO131" s="12"/>
      <c r="AP131" s="12"/>
      <c r="AQ131" s="12"/>
      <c r="AR131" s="12"/>
      <c r="AS131" s="12"/>
    </row>
    <row r="132" spans="1:45">
      <c r="A132" s="25">
        <f>+A131+30</f>
        <v>42643</v>
      </c>
      <c r="B132" s="28">
        <v>17251.61</v>
      </c>
      <c r="C132" s="33">
        <f t="shared" ref="C132:C162" si="52">(B132/B131-1)/(A132-A131)*360</f>
        <v>3.5041374587388319E-2</v>
      </c>
      <c r="D132" s="27">
        <f t="shared" si="51"/>
        <v>157.50378430294876</v>
      </c>
      <c r="F132" s="25">
        <f t="shared" si="50"/>
        <v>42643</v>
      </c>
      <c r="I132" s="33"/>
      <c r="J132" s="26"/>
      <c r="K132" s="12"/>
      <c r="L132" s="33"/>
      <c r="M132" s="27"/>
      <c r="AC132" s="12"/>
      <c r="AD132" s="12"/>
      <c r="AE132" s="12"/>
      <c r="AF132" s="12"/>
      <c r="AG132" s="12"/>
      <c r="AH132" s="12"/>
      <c r="AI132" s="12"/>
      <c r="AJ132" s="12"/>
      <c r="AK132" s="12"/>
      <c r="AL132" s="12"/>
      <c r="AM132" s="12"/>
      <c r="AN132" s="12"/>
      <c r="AO132" s="12"/>
      <c r="AP132" s="12"/>
      <c r="AQ132" s="12"/>
      <c r="AR132" s="12"/>
      <c r="AS132" s="12"/>
    </row>
    <row r="133" spans="1:45">
      <c r="A133" s="25">
        <v>42674</v>
      </c>
      <c r="B133" s="28">
        <v>17303.68</v>
      </c>
      <c r="C133" s="33">
        <f t="shared" si="52"/>
        <v>3.5050866033243311E-2</v>
      </c>
      <c r="D133" s="27">
        <f t="shared" si="51"/>
        <v>157.97917309556894</v>
      </c>
      <c r="F133" s="25">
        <f t="shared" si="50"/>
        <v>42674</v>
      </c>
      <c r="I133" s="33"/>
      <c r="J133" s="26"/>
      <c r="K133" s="12"/>
      <c r="L133" s="33"/>
      <c r="M133" s="27"/>
      <c r="AC133" s="12"/>
      <c r="AD133" s="12"/>
      <c r="AE133" s="12"/>
      <c r="AF133" s="12"/>
      <c r="AG133" s="12"/>
      <c r="AH133" s="12"/>
      <c r="AI133" s="12"/>
      <c r="AJ133" s="12"/>
      <c r="AK133" s="12"/>
      <c r="AL133" s="12"/>
      <c r="AM133" s="12"/>
      <c r="AN133" s="12"/>
      <c r="AO133" s="12"/>
      <c r="AP133" s="12"/>
      <c r="AQ133" s="12"/>
      <c r="AR133" s="12"/>
      <c r="AS133" s="12"/>
    </row>
    <row r="134" spans="1:45">
      <c r="A134" s="25">
        <v>42704</v>
      </c>
      <c r="B134" s="28">
        <v>17354.21</v>
      </c>
      <c r="C134" s="33">
        <f t="shared" si="52"/>
        <v>3.5042256907200198E-2</v>
      </c>
      <c r="D134" s="27">
        <f t="shared" si="51"/>
        <v>158.44050199303578</v>
      </c>
      <c r="F134" s="25">
        <f t="shared" si="50"/>
        <v>42704</v>
      </c>
      <c r="I134" s="33"/>
      <c r="J134" s="26"/>
      <c r="K134" s="12"/>
      <c r="L134" s="33"/>
      <c r="M134" s="27"/>
      <c r="AC134" s="12"/>
      <c r="AD134" s="12"/>
      <c r="AE134" s="12"/>
      <c r="AF134" s="12"/>
      <c r="AG134" s="12"/>
      <c r="AH134" s="12"/>
      <c r="AI134" s="12"/>
      <c r="AJ134" s="12"/>
      <c r="AK134" s="12"/>
      <c r="AL134" s="12"/>
      <c r="AM134" s="12"/>
      <c r="AN134" s="12"/>
      <c r="AO134" s="12"/>
      <c r="AP134" s="12"/>
      <c r="AQ134" s="12"/>
    </row>
    <row r="135" spans="1:45">
      <c r="A135" s="25">
        <v>42735</v>
      </c>
      <c r="B135" s="28">
        <v>17406.97</v>
      </c>
      <c r="C135" s="33">
        <f t="shared" si="52"/>
        <v>3.5305368218639124E-2</v>
      </c>
      <c r="D135" s="27">
        <f t="shared" si="51"/>
        <v>158.92219034906887</v>
      </c>
      <c r="F135" s="25">
        <f t="shared" si="50"/>
        <v>42735</v>
      </c>
      <c r="I135" s="33"/>
      <c r="J135" s="26"/>
      <c r="K135" s="12"/>
      <c r="L135" s="33"/>
      <c r="M135" s="27"/>
      <c r="AC135" s="12"/>
      <c r="AD135" s="12"/>
      <c r="AE135" s="12"/>
      <c r="AF135" s="12"/>
      <c r="AG135" s="12"/>
      <c r="AH135" s="12"/>
      <c r="AI135" s="12"/>
      <c r="AJ135" s="12"/>
      <c r="AK135" s="12"/>
      <c r="AL135" s="12"/>
      <c r="AM135" s="12"/>
      <c r="AN135" s="12"/>
      <c r="AO135" s="12"/>
      <c r="AP135" s="12"/>
      <c r="AQ135" s="12"/>
    </row>
    <row r="136" spans="1:45">
      <c r="A136" s="25">
        <v>42766</v>
      </c>
      <c r="B136" s="28">
        <v>17457.39</v>
      </c>
      <c r="C136" s="33">
        <f t="shared" si="52"/>
        <v>3.3637248794313165E-2</v>
      </c>
      <c r="D136" s="27">
        <f t="shared" si="51"/>
        <v>159.38251496831046</v>
      </c>
      <c r="F136" s="25">
        <f t="shared" si="50"/>
        <v>42766</v>
      </c>
      <c r="I136" s="33"/>
      <c r="J136" s="26"/>
      <c r="K136" s="12"/>
      <c r="L136" s="33"/>
      <c r="M136" s="27"/>
      <c r="AC136" s="12"/>
      <c r="AD136" s="12"/>
      <c r="AE136" s="12"/>
      <c r="AF136" s="12"/>
      <c r="AG136" s="12"/>
      <c r="AH136" s="12"/>
      <c r="AI136" s="12"/>
      <c r="AJ136" s="12"/>
      <c r="AK136" s="12"/>
      <c r="AL136" s="12"/>
      <c r="AM136" s="12"/>
      <c r="AN136" s="12"/>
      <c r="AO136" s="12"/>
      <c r="AP136" s="12"/>
      <c r="AQ136" s="12"/>
    </row>
    <row r="137" spans="1:45">
      <c r="A137" s="25">
        <v>42794</v>
      </c>
      <c r="B137" s="28">
        <v>17501.060000000001</v>
      </c>
      <c r="C137" s="33">
        <f t="shared" si="52"/>
        <v>3.2162392463674597E-2</v>
      </c>
      <c r="D137" s="27">
        <f t="shared" si="51"/>
        <v>159.78121342373058</v>
      </c>
      <c r="F137" s="25">
        <f t="shared" si="50"/>
        <v>42794</v>
      </c>
      <c r="I137" s="33"/>
      <c r="J137" s="26"/>
      <c r="K137" s="12"/>
      <c r="L137" s="33"/>
      <c r="M137" s="27"/>
      <c r="AC137" s="12"/>
      <c r="AD137" s="12"/>
      <c r="AE137" s="12"/>
      <c r="AF137" s="12"/>
      <c r="AG137" s="12"/>
      <c r="AH137" s="12"/>
      <c r="AI137" s="12"/>
      <c r="AJ137" s="12"/>
      <c r="AK137" s="12"/>
      <c r="AL137" s="12"/>
      <c r="AM137" s="12"/>
      <c r="AN137" s="12"/>
      <c r="AO137" s="12"/>
      <c r="AP137" s="12"/>
      <c r="AQ137" s="12"/>
    </row>
    <row r="138" spans="1:45">
      <c r="A138" s="25">
        <v>42825</v>
      </c>
      <c r="B138" s="28">
        <v>17548.349999999999</v>
      </c>
      <c r="C138" s="33">
        <f t="shared" si="52"/>
        <v>3.1379481788438662E-2</v>
      </c>
      <c r="D138" s="27">
        <f t="shared" si="51"/>
        <v>160.21296176256305</v>
      </c>
      <c r="F138" s="25">
        <f t="shared" si="50"/>
        <v>42825</v>
      </c>
      <c r="I138" s="33"/>
      <c r="J138" s="26"/>
      <c r="K138" s="12"/>
      <c r="L138" s="33"/>
      <c r="M138" s="27"/>
      <c r="AC138" s="12"/>
      <c r="AD138" s="12"/>
      <c r="AE138" s="12"/>
      <c r="AF138" s="12"/>
      <c r="AG138" s="12"/>
      <c r="AH138" s="12"/>
      <c r="AI138" s="12"/>
      <c r="AJ138" s="12"/>
      <c r="AK138" s="12"/>
      <c r="AL138" s="12"/>
      <c r="AM138" s="12"/>
      <c r="AN138" s="12"/>
      <c r="AO138" s="12"/>
      <c r="AP138" s="12"/>
      <c r="AQ138" s="12"/>
    </row>
    <row r="139" spans="1:45">
      <c r="A139" s="25">
        <v>42855</v>
      </c>
      <c r="B139" s="28">
        <v>17587.919999999998</v>
      </c>
      <c r="C139" s="33">
        <f t="shared" si="52"/>
        <v>2.7058954260655632E-2</v>
      </c>
      <c r="D139" s="27">
        <f t="shared" si="51"/>
        <v>160.57422802958786</v>
      </c>
      <c r="F139" s="25">
        <f t="shared" si="50"/>
        <v>42855</v>
      </c>
      <c r="G139" s="12">
        <v>1</v>
      </c>
      <c r="H139" s="12">
        <f>+G139</f>
        <v>1</v>
      </c>
      <c r="I139" s="33"/>
      <c r="J139" s="26">
        <v>100</v>
      </c>
      <c r="K139" s="12">
        <v>1214.3896</v>
      </c>
      <c r="L139" s="33"/>
      <c r="M139" s="27">
        <v>100</v>
      </c>
      <c r="AC139" s="12"/>
      <c r="AD139" s="12"/>
      <c r="AE139" s="12"/>
      <c r="AF139" s="12"/>
      <c r="AG139" s="12"/>
      <c r="AH139" s="12"/>
      <c r="AI139" s="12"/>
      <c r="AJ139" s="12"/>
      <c r="AK139" s="12"/>
      <c r="AL139" s="12"/>
      <c r="AM139" s="12"/>
      <c r="AN139" s="12"/>
      <c r="AO139" s="12"/>
      <c r="AP139" s="12"/>
      <c r="AQ139" s="12"/>
    </row>
    <row r="140" spans="1:45">
      <c r="A140" s="25">
        <v>42886</v>
      </c>
      <c r="B140" s="28">
        <v>17630.79</v>
      </c>
      <c r="C140" s="33">
        <f t="shared" si="52"/>
        <v>2.8306085159038336E-2</v>
      </c>
      <c r="D140" s="27">
        <f t="shared" si="51"/>
        <v>160.96562264336987</v>
      </c>
      <c r="F140" s="25">
        <f t="shared" si="50"/>
        <v>42886</v>
      </c>
      <c r="G140" s="12">
        <v>1.0004999999999999</v>
      </c>
      <c r="H140" s="12">
        <f t="shared" ref="H140:H146" si="53">+G140</f>
        <v>1.0004999999999999</v>
      </c>
      <c r="I140" s="33">
        <f>+(H140/H139-1)/(F140-F139)*360</f>
        <v>5.806451612902587E-3</v>
      </c>
      <c r="J140" s="26">
        <f t="shared" ref="J140:J144" si="54">+J139*(1+I140)</f>
        <v>100.58064516129026</v>
      </c>
      <c r="K140" s="12">
        <v>1214.8726999999999</v>
      </c>
      <c r="L140" s="33">
        <f>+(K140/K139-1)/(F140-F139)*360</f>
        <v>4.6197641583761899E-3</v>
      </c>
      <c r="M140" s="26">
        <f t="shared" ref="M140:M158" si="55">+M139*(1+L140)</f>
        <v>100.46197641583763</v>
      </c>
      <c r="AC140" s="12"/>
      <c r="AD140" s="12"/>
      <c r="AE140" s="12"/>
      <c r="AF140" s="12"/>
      <c r="AG140" s="12"/>
      <c r="AH140" s="12"/>
      <c r="AI140" s="12"/>
      <c r="AJ140" s="12"/>
      <c r="AK140" s="12"/>
      <c r="AL140" s="12"/>
      <c r="AM140" s="12"/>
      <c r="AN140" s="12"/>
      <c r="AO140" s="12"/>
      <c r="AP140" s="12"/>
      <c r="AQ140" s="12"/>
    </row>
    <row r="141" spans="1:45">
      <c r="A141" s="25">
        <v>42916</v>
      </c>
      <c r="B141" s="28">
        <v>17667.59</v>
      </c>
      <c r="C141" s="33">
        <f t="shared" si="52"/>
        <v>2.5047090913111525E-2</v>
      </c>
      <c r="D141" s="27">
        <f t="shared" si="51"/>
        <v>161.30159935872271</v>
      </c>
      <c r="F141" s="25">
        <f t="shared" si="50"/>
        <v>42916</v>
      </c>
      <c r="G141" s="12">
        <v>1.0009999999999999</v>
      </c>
      <c r="H141" s="12">
        <f t="shared" si="53"/>
        <v>1.0009999999999999</v>
      </c>
      <c r="I141" s="33">
        <f t="shared" ref="I141:I162" si="56">+(H141/H140-1)/(F141-F140)*360</f>
        <v>5.9970014992503096E-3</v>
      </c>
      <c r="J141" s="26">
        <f t="shared" si="54"/>
        <v>101.18382744111808</v>
      </c>
      <c r="K141" s="12">
        <v>1215.3787</v>
      </c>
      <c r="L141" s="33">
        <f t="shared" ref="L141:L161" si="57">+(K141/K140-1)/(F141-F140)*360</f>
        <v>4.9980545286780753E-3</v>
      </c>
      <c r="M141" s="26">
        <f t="shared" si="55"/>
        <v>100.96409085202275</v>
      </c>
      <c r="AC141" s="12"/>
      <c r="AD141" s="12"/>
      <c r="AE141" s="12"/>
      <c r="AF141" s="12"/>
      <c r="AG141" s="12"/>
      <c r="AH141" s="12"/>
      <c r="AI141" s="12"/>
      <c r="AJ141" s="12"/>
      <c r="AK141" s="12"/>
      <c r="AL141" s="12"/>
      <c r="AM141" s="12"/>
      <c r="AN141" s="12"/>
      <c r="AO141" s="12"/>
      <c r="AP141" s="12"/>
      <c r="AQ141" s="12"/>
    </row>
    <row r="142" spans="1:45">
      <c r="A142" s="25">
        <v>42947</v>
      </c>
      <c r="B142" s="28">
        <v>17705.689999999999</v>
      </c>
      <c r="C142" s="33">
        <f t="shared" si="52"/>
        <v>2.5043122061538376E-2</v>
      </c>
      <c r="D142" s="27">
        <f t="shared" si="51"/>
        <v>161.64944481673749</v>
      </c>
      <c r="F142" s="25">
        <f t="shared" si="50"/>
        <v>42947</v>
      </c>
      <c r="G142" s="12">
        <v>1.0015000000000001</v>
      </c>
      <c r="H142" s="12">
        <f t="shared" si="53"/>
        <v>1.0015000000000001</v>
      </c>
      <c r="I142" s="33">
        <f t="shared" si="56"/>
        <v>5.8006509619443116E-3</v>
      </c>
      <c r="J142" s="26">
        <f t="shared" si="54"/>
        <v>101.77075950709762</v>
      </c>
      <c r="K142" s="12">
        <v>1215.8759</v>
      </c>
      <c r="L142" s="33">
        <f t="shared" si="57"/>
        <v>4.7507295330012815E-3</v>
      </c>
      <c r="M142" s="26">
        <f t="shared" si="55"/>
        <v>101.44374394020609</v>
      </c>
      <c r="AC142" s="12"/>
      <c r="AD142" s="12"/>
      <c r="AE142" s="12"/>
      <c r="AF142" s="12"/>
      <c r="AG142" s="12"/>
      <c r="AH142" s="12"/>
      <c r="AI142" s="12"/>
      <c r="AJ142" s="12"/>
      <c r="AK142" s="12"/>
      <c r="AL142" s="12"/>
      <c r="AM142" s="12"/>
      <c r="AN142" s="12"/>
      <c r="AO142" s="12"/>
      <c r="AP142" s="12"/>
      <c r="AQ142" s="12"/>
    </row>
    <row r="143" spans="1:45">
      <c r="A143" s="25">
        <v>42978</v>
      </c>
      <c r="B143" s="28">
        <v>17743.830000000002</v>
      </c>
      <c r="C143" s="33">
        <f t="shared" si="52"/>
        <v>2.5015468419039889E-2</v>
      </c>
      <c r="D143" s="27">
        <f t="shared" si="51"/>
        <v>161.9976554668342</v>
      </c>
      <c r="F143" s="25">
        <f t="shared" si="50"/>
        <v>42978</v>
      </c>
      <c r="G143" s="12">
        <v>1.002</v>
      </c>
      <c r="H143" s="12">
        <f t="shared" si="53"/>
        <v>1.002</v>
      </c>
      <c r="I143" s="33">
        <f t="shared" si="56"/>
        <v>5.7977549804329401E-3</v>
      </c>
      <c r="J143" s="26">
        <f t="shared" si="54"/>
        <v>102.36080143489234</v>
      </c>
      <c r="K143" s="12">
        <v>1216.5135</v>
      </c>
      <c r="L143" s="33">
        <f t="shared" si="57"/>
        <v>6.0897556212559777E-3</v>
      </c>
      <c r="M143" s="26">
        <f t="shared" si="55"/>
        <v>102.06151155010721</v>
      </c>
      <c r="S143" s="11" t="s">
        <v>37</v>
      </c>
    </row>
    <row r="144" spans="1:45">
      <c r="A144" s="25">
        <v>43008</v>
      </c>
      <c r="B144" s="28">
        <v>17780.7817</v>
      </c>
      <c r="C144" s="33">
        <f t="shared" si="52"/>
        <v>2.4990117691613634E-2</v>
      </c>
      <c r="D144" s="27">
        <f t="shared" si="51"/>
        <v>162.33501717315767</v>
      </c>
      <c r="F144" s="25">
        <v>43008</v>
      </c>
      <c r="G144" s="12">
        <v>1.0024999999999999</v>
      </c>
      <c r="H144" s="12">
        <f t="shared" si="53"/>
        <v>1.0024999999999999</v>
      </c>
      <c r="I144" s="33">
        <f t="shared" si="56"/>
        <v>5.9880239520939691E-3</v>
      </c>
      <c r="J144" s="26">
        <f t="shared" si="54"/>
        <v>102.97374036564001</v>
      </c>
      <c r="K144" s="12">
        <v>1217.2007000000001</v>
      </c>
      <c r="L144" s="33">
        <f t="shared" si="57"/>
        <v>6.7787163890908886E-3</v>
      </c>
      <c r="M144" s="26">
        <f t="shared" si="55"/>
        <v>102.75335759114731</v>
      </c>
      <c r="S144" s="11">
        <v>2.0562480000000001</v>
      </c>
    </row>
    <row r="145" spans="1:19">
      <c r="A145" s="25">
        <v>43039</v>
      </c>
      <c r="B145" s="11">
        <v>17819.150000000001</v>
      </c>
      <c r="C145" s="33">
        <f t="shared" si="52"/>
        <v>2.505892948670075E-2</v>
      </c>
      <c r="D145" s="27">
        <f t="shared" si="51"/>
        <v>162.68531215706184</v>
      </c>
      <c r="F145" s="25">
        <v>43039</v>
      </c>
      <c r="G145" s="12">
        <v>1.0029999999999999</v>
      </c>
      <c r="H145" s="12">
        <f t="shared" si="53"/>
        <v>1.0029999999999999</v>
      </c>
      <c r="I145" s="33">
        <f t="shared" si="56"/>
        <v>5.7919716836933727E-3</v>
      </c>
      <c r="J145" s="26">
        <f>+J144*(1+I145)</f>
        <v>103.5701613540018</v>
      </c>
      <c r="K145" s="12">
        <v>1217.963</v>
      </c>
      <c r="L145" s="33">
        <f t="shared" si="57"/>
        <v>7.2728483717021675E-3</v>
      </c>
      <c r="M145" s="26">
        <f t="shared" si="55"/>
        <v>103.50066718059101</v>
      </c>
      <c r="Q145" s="12">
        <f>+G135+S144</f>
        <v>2.0562480000000001</v>
      </c>
      <c r="S145" s="11" t="s">
        <v>38</v>
      </c>
    </row>
    <row r="146" spans="1:19">
      <c r="A146" s="25">
        <v>43069</v>
      </c>
      <c r="B146" s="11">
        <f>+VLOOKUP(A146,[1]Simple!$A$3790:$B$3818,2)</f>
        <v>17856.32</v>
      </c>
      <c r="C146" s="33">
        <f t="shared" si="52"/>
        <v>2.5031497013044302E-2</v>
      </c>
      <c r="D146" s="27">
        <f t="shared" si="51"/>
        <v>163.0246668991723</v>
      </c>
      <c r="F146" s="25">
        <v>43069</v>
      </c>
      <c r="G146" s="12">
        <v>1.0037</v>
      </c>
      <c r="H146" s="12">
        <f t="shared" si="53"/>
        <v>1.0037</v>
      </c>
      <c r="I146" s="33">
        <f t="shared" si="56"/>
        <v>8.374875373880819E-3</v>
      </c>
      <c r="J146" s="26">
        <f>+J145*(1+I146)</f>
        <v>104.43754854779429</v>
      </c>
      <c r="K146" s="12">
        <v>1218.7606000000001</v>
      </c>
      <c r="L146" s="33">
        <f t="shared" si="57"/>
        <v>7.8583667976781513E-3</v>
      </c>
      <c r="M146" s="26">
        <f t="shared" si="55"/>
        <v>104.3140133871005</v>
      </c>
      <c r="S146" s="11">
        <v>7.3109740000000002E-4</v>
      </c>
    </row>
    <row r="147" spans="1:19">
      <c r="A147" s="25">
        <v>43100</v>
      </c>
      <c r="B147" s="11">
        <f>+VLOOKUP(A147,[1]Simple!$A$3790:$B$3818,2)</f>
        <v>17872.439999999999</v>
      </c>
      <c r="C147" s="33">
        <f t="shared" si="52"/>
        <v>1.0483683088116879E-2</v>
      </c>
      <c r="D147" s="27">
        <f t="shared" si="51"/>
        <v>163.1718393081801</v>
      </c>
      <c r="F147" s="25">
        <v>43100</v>
      </c>
      <c r="G147" s="12">
        <v>1.0037</v>
      </c>
      <c r="H147" s="12">
        <f t="shared" ref="H147:H182" si="58">+G147+$S$146</f>
        <v>1.0044310974000001</v>
      </c>
      <c r="I147" s="33">
        <f t="shared" si="56"/>
        <v>8.4588655522967217E-3</v>
      </c>
      <c r="J147" s="26">
        <f>+J146*(1+I147)</f>
        <v>105.32097172957155</v>
      </c>
      <c r="K147" s="12">
        <v>1219.7684999999999</v>
      </c>
      <c r="L147" s="33">
        <f t="shared" si="57"/>
        <v>9.6037278865836583E-3</v>
      </c>
      <c r="M147" s="26">
        <f t="shared" si="55"/>
        <v>105.31581678642766</v>
      </c>
      <c r="S147" s="11" t="s">
        <v>39</v>
      </c>
    </row>
    <row r="148" spans="1:19">
      <c r="A148" s="25">
        <v>43131</v>
      </c>
      <c r="B148" s="11">
        <v>17933.28</v>
      </c>
      <c r="C148" s="33">
        <f t="shared" si="52"/>
        <v>3.9531761318436859E-2</v>
      </c>
      <c r="D148" s="27">
        <f t="shared" si="51"/>
        <v>163.72729646475804</v>
      </c>
      <c r="F148" s="25">
        <v>43131</v>
      </c>
      <c r="G148" s="12">
        <v>1.0043</v>
      </c>
      <c r="H148" s="12">
        <f t="shared" si="58"/>
        <v>1.0050310974000001</v>
      </c>
      <c r="I148" s="33">
        <f t="shared" si="56"/>
        <v>6.937003397762766E-3</v>
      </c>
      <c r="J148" s="26">
        <f t="shared" ref="J148:J158" si="59">+J147*(1+I148)</f>
        <v>106.05158366831526</v>
      </c>
      <c r="K148" s="12">
        <v>1220.9204999999999</v>
      </c>
      <c r="L148" s="33">
        <f t="shared" si="57"/>
        <v>1.0967707820073671E-2</v>
      </c>
      <c r="M148" s="26">
        <f t="shared" si="55"/>
        <v>106.4708898937736</v>
      </c>
      <c r="S148" s="11">
        <v>1.5970487617060051E-2</v>
      </c>
    </row>
    <row r="149" spans="1:19">
      <c r="A149" s="25">
        <v>43159</v>
      </c>
      <c r="B149" s="11">
        <v>17968.11</v>
      </c>
      <c r="C149" s="33">
        <f t="shared" si="52"/>
        <v>2.4971131087805989E-2</v>
      </c>
      <c r="D149" s="27">
        <f t="shared" si="51"/>
        <v>164.04528747007708</v>
      </c>
      <c r="F149" s="25">
        <v>43159</v>
      </c>
      <c r="G149" s="12">
        <v>1.0048999999999999</v>
      </c>
      <c r="H149" s="12">
        <f t="shared" si="58"/>
        <v>1.0056310974</v>
      </c>
      <c r="I149" s="33">
        <f t="shared" si="56"/>
        <v>7.6756686775593585E-3</v>
      </c>
      <c r="J149" s="26">
        <f t="shared" si="59"/>
        <v>106.86560048728371</v>
      </c>
      <c r="K149" s="12">
        <v>1221.9292</v>
      </c>
      <c r="L149" s="33">
        <f t="shared" si="57"/>
        <v>1.0622313246440029E-2</v>
      </c>
      <c r="M149" s="26">
        <f t="shared" si="55"/>
        <v>107.6018570378525</v>
      </c>
      <c r="S149" s="11" t="s">
        <v>40</v>
      </c>
    </row>
    <row r="150" spans="1:19">
      <c r="A150" s="25">
        <v>43190</v>
      </c>
      <c r="B150" s="11">
        <v>18006.830000000002</v>
      </c>
      <c r="C150" s="33">
        <f t="shared" si="52"/>
        <v>2.5024981086114582E-2</v>
      </c>
      <c r="D150" s="27">
        <f t="shared" si="51"/>
        <v>164.3987934053614</v>
      </c>
      <c r="F150" s="25">
        <v>43190</v>
      </c>
      <c r="G150" s="12">
        <v>1.0055000000000001</v>
      </c>
      <c r="H150" s="12">
        <f t="shared" si="58"/>
        <v>1.0062310974000002</v>
      </c>
      <c r="I150" s="33">
        <f t="shared" si="56"/>
        <v>6.9287256067372283E-3</v>
      </c>
      <c r="J150" s="26">
        <f t="shared" si="59"/>
        <v>107.6060429098593</v>
      </c>
      <c r="K150" s="12">
        <v>1223.0763999999999</v>
      </c>
      <c r="L150" s="33">
        <f t="shared" si="57"/>
        <v>1.090269598324102E-2</v>
      </c>
      <c r="M150" s="26">
        <f t="shared" si="55"/>
        <v>108.77500737236836</v>
      </c>
      <c r="S150" s="11">
        <v>0</v>
      </c>
    </row>
    <row r="151" spans="1:19">
      <c r="A151" s="25">
        <v>43220</v>
      </c>
      <c r="B151" s="11">
        <v>18044.25</v>
      </c>
      <c r="C151" s="33">
        <f t="shared" si="52"/>
        <v>2.4937204383001621E-2</v>
      </c>
      <c r="D151" s="27">
        <f t="shared" si="51"/>
        <v>164.74043059798379</v>
      </c>
      <c r="F151" s="25">
        <v>43220</v>
      </c>
      <c r="G151" s="12">
        <v>1.0061</v>
      </c>
      <c r="H151" s="12">
        <f t="shared" si="58"/>
        <v>1.0068310974000001</v>
      </c>
      <c r="I151" s="33">
        <f t="shared" si="56"/>
        <v>7.1554139189320401E-3</v>
      </c>
      <c r="J151" s="26">
        <f t="shared" si="59"/>
        <v>108.37600868705771</v>
      </c>
      <c r="K151" s="12">
        <v>1224.3288</v>
      </c>
      <c r="L151" s="33">
        <f t="shared" si="57"/>
        <v>1.228770336832774E-2</v>
      </c>
      <c r="M151" s="26">
        <f t="shared" si="55"/>
        <v>110.11160239684769</v>
      </c>
      <c r="S151" s="11" t="s">
        <v>41</v>
      </c>
    </row>
    <row r="152" spans="1:19">
      <c r="A152" s="25">
        <v>43251</v>
      </c>
      <c r="B152" s="26">
        <v>18082.87</v>
      </c>
      <c r="C152" s="33">
        <f t="shared" si="52"/>
        <v>2.4855027090659582E-2</v>
      </c>
      <c r="D152" s="27">
        <f t="shared" si="51"/>
        <v>165.09302355306332</v>
      </c>
      <c r="F152" s="25">
        <v>43251</v>
      </c>
      <c r="G152" s="12">
        <v>1.0066999999999999</v>
      </c>
      <c r="H152" s="12">
        <f t="shared" si="58"/>
        <v>1.0074310974</v>
      </c>
      <c r="I152" s="33">
        <f t="shared" si="56"/>
        <v>6.9204675476129641E-3</v>
      </c>
      <c r="J152" s="26">
        <f t="shared" si="59"/>
        <v>109.1260213381163</v>
      </c>
      <c r="K152" s="12">
        <v>1225.7601</v>
      </c>
      <c r="L152" s="33">
        <f t="shared" si="57"/>
        <v>1.3576049495116269E-2</v>
      </c>
      <c r="M152" s="26">
        <f t="shared" si="55"/>
        <v>111.60648296097385</v>
      </c>
      <c r="S152" s="11">
        <v>5.6597578192915622E-4</v>
      </c>
    </row>
    <row r="153" spans="1:19">
      <c r="A153" s="25">
        <v>43281</v>
      </c>
      <c r="B153" s="27">
        <v>18120.622499999998</v>
      </c>
      <c r="C153" s="33">
        <f t="shared" si="52"/>
        <v>2.5052992141180397E-2</v>
      </c>
      <c r="D153" s="27">
        <f t="shared" si="51"/>
        <v>165.43769640486653</v>
      </c>
      <c r="F153" s="25">
        <v>43281</v>
      </c>
      <c r="G153" s="12">
        <v>1.0073000000000001</v>
      </c>
      <c r="H153" s="12">
        <f t="shared" si="58"/>
        <v>1.0080310974000002</v>
      </c>
      <c r="I153" s="33">
        <f t="shared" si="56"/>
        <v>7.1468907586664798E-3</v>
      </c>
      <c r="J153" s="26">
        <f t="shared" si="59"/>
        <v>109.90593309154772</v>
      </c>
      <c r="K153" s="12">
        <v>1227.2916</v>
      </c>
      <c r="L153" s="33">
        <f t="shared" si="57"/>
        <v>1.4993145885560999E-2</v>
      </c>
      <c r="M153" s="26">
        <f t="shared" si="55"/>
        <v>113.2798152417821</v>
      </c>
    </row>
    <row r="154" spans="1:19">
      <c r="A154" s="25">
        <v>43312</v>
      </c>
      <c r="B154" s="26">
        <v>18159.66</v>
      </c>
      <c r="C154" s="33">
        <f t="shared" si="52"/>
        <v>2.5017833116796208E-2</v>
      </c>
      <c r="D154" s="27">
        <f t="shared" si="51"/>
        <v>165.79410105230099</v>
      </c>
      <c r="F154" s="25">
        <v>43312</v>
      </c>
      <c r="G154" s="12">
        <v>1.0081</v>
      </c>
      <c r="H154" s="12">
        <f t="shared" si="58"/>
        <v>1.0088310974000001</v>
      </c>
      <c r="I154" s="33">
        <f t="shared" si="56"/>
        <v>9.2163055332394155E-3</v>
      </c>
      <c r="J154" s="26">
        <f t="shared" si="59"/>
        <v>110.91885975083521</v>
      </c>
      <c r="K154" s="12">
        <v>1228.9844000000001</v>
      </c>
      <c r="L154" s="33">
        <f t="shared" si="57"/>
        <v>1.6017646157316396E-2</v>
      </c>
      <c r="M154" s="26">
        <f t="shared" si="55"/>
        <v>115.09429123909116</v>
      </c>
    </row>
    <row r="155" spans="1:19">
      <c r="A155" s="25">
        <v>43343</v>
      </c>
      <c r="B155" s="26">
        <v>18198.62</v>
      </c>
      <c r="C155" s="33">
        <f t="shared" si="52"/>
        <v>2.4914492324052462E-2</v>
      </c>
      <c r="D155" s="27">
        <f t="shared" si="51"/>
        <v>166.14979814007674</v>
      </c>
      <c r="F155" s="25">
        <v>43343</v>
      </c>
      <c r="G155" s="12">
        <v>1.0086999999999999</v>
      </c>
      <c r="H155" s="12">
        <f t="shared" si="58"/>
        <v>1.0094310974</v>
      </c>
      <c r="I155" s="33">
        <f t="shared" si="56"/>
        <v>6.9067477731815834E-3</v>
      </c>
      <c r="J155" s="26">
        <f t="shared" si="59"/>
        <v>111.68494833842314</v>
      </c>
      <c r="K155" s="12">
        <v>1230.6537000000001</v>
      </c>
      <c r="L155" s="33">
        <f t="shared" si="57"/>
        <v>1.5773527601195707E-2</v>
      </c>
      <c r="M155" s="26">
        <f t="shared" si="55"/>
        <v>116.90973421869101</v>
      </c>
    </row>
    <row r="156" spans="1:19">
      <c r="A156" s="25">
        <v>43373</v>
      </c>
      <c r="B156" s="63">
        <v>18235.900000000001</v>
      </c>
      <c r="C156" s="33">
        <f t="shared" si="52"/>
        <v>2.4582083696456536E-2</v>
      </c>
      <c r="D156" s="27">
        <f t="shared" si="51"/>
        <v>166.49015716041248</v>
      </c>
      <c r="F156" s="25">
        <v>43373</v>
      </c>
      <c r="G156" s="12">
        <v>1.0114000000000001</v>
      </c>
      <c r="H156" s="12">
        <f t="shared" si="58"/>
        <v>1.0121310974000002</v>
      </c>
      <c r="I156" s="33">
        <f t="shared" si="56"/>
        <v>3.2097287356665838E-2</v>
      </c>
      <c r="J156" s="26">
        <f t="shared" si="59"/>
        <v>115.26973221865589</v>
      </c>
      <c r="K156" s="12">
        <v>1232.3669</v>
      </c>
      <c r="L156" s="33">
        <f t="shared" si="57"/>
        <v>1.6705268102634285E-2</v>
      </c>
      <c r="M156" s="26">
        <f t="shared" si="55"/>
        <v>118.86274267262196</v>
      </c>
    </row>
    <row r="157" spans="1:19">
      <c r="A157" s="25">
        <v>43404</v>
      </c>
      <c r="B157" s="11">
        <v>18277.400000000001</v>
      </c>
      <c r="C157" s="33">
        <f t="shared" si="52"/>
        <v>2.6427841996883666E-2</v>
      </c>
      <c r="D157" s="27">
        <f t="shared" si="51"/>
        <v>166.86904394538919</v>
      </c>
      <c r="F157" s="25">
        <v>43404</v>
      </c>
      <c r="G157" s="12">
        <v>1.0145999999999999</v>
      </c>
      <c r="H157" s="12">
        <f t="shared" si="58"/>
        <v>1.0153310974</v>
      </c>
      <c r="I157" s="33">
        <f t="shared" si="56"/>
        <v>3.6715886329389373E-2</v>
      </c>
      <c r="J157" s="26">
        <f t="shared" si="59"/>
        <v>119.5019626040152</v>
      </c>
      <c r="K157" s="12">
        <v>1234.1672000000001</v>
      </c>
      <c r="L157" s="33">
        <f t="shared" si="57"/>
        <v>1.6964679656212699E-2</v>
      </c>
      <c r="M157" s="26">
        <f t="shared" si="55"/>
        <v>120.87921102512183</v>
      </c>
    </row>
    <row r="158" spans="1:19">
      <c r="A158" s="25">
        <v>43434</v>
      </c>
      <c r="B158" s="27">
        <v>18319.310000000001</v>
      </c>
      <c r="C158" s="33">
        <f t="shared" si="52"/>
        <v>2.7515948657905302E-2</v>
      </c>
      <c r="D158" s="27">
        <f t="shared" si="51"/>
        <v>167.25167394920547</v>
      </c>
      <c r="F158" s="25">
        <v>43434</v>
      </c>
      <c r="G158" s="12">
        <v>1.0177</v>
      </c>
      <c r="H158" s="12">
        <f t="shared" si="58"/>
        <v>1.0184310974000002</v>
      </c>
      <c r="I158" s="33">
        <f t="shared" si="56"/>
        <v>3.6638294734852472E-2</v>
      </c>
      <c r="J158" s="26">
        <f t="shared" si="59"/>
        <v>123.88031073129443</v>
      </c>
      <c r="K158" s="12">
        <v>1235.7279000000001</v>
      </c>
      <c r="L158" s="33">
        <f t="shared" si="57"/>
        <v>1.5174929296453143E-2</v>
      </c>
      <c r="M158" s="26">
        <f t="shared" si="55"/>
        <v>122.7135445058391</v>
      </c>
    </row>
    <row r="159" spans="1:19">
      <c r="A159" s="25">
        <v>43465</v>
      </c>
      <c r="B159" s="11">
        <v>18362.684000000001</v>
      </c>
      <c r="C159" s="33">
        <f t="shared" si="52"/>
        <v>2.749547141874386E-2</v>
      </c>
      <c r="D159" s="27">
        <f t="shared" ref="D159" si="60">B159/$B$3*100</f>
        <v>167.64766998321946</v>
      </c>
      <c r="F159" s="25">
        <v>43465</v>
      </c>
      <c r="G159" s="12">
        <v>1.0208999999999999</v>
      </c>
      <c r="H159" s="12">
        <f t="shared" si="58"/>
        <v>1.0216310974</v>
      </c>
      <c r="I159" s="33">
        <f t="shared" si="56"/>
        <v>3.6488762388983381E-2</v>
      </c>
      <c r="J159" s="26">
        <f t="shared" ref="J159" si="61">+J158*(1+I159)</f>
        <v>128.40054995424205</v>
      </c>
      <c r="K159" s="26">
        <v>1237.654</v>
      </c>
      <c r="L159" s="33">
        <f t="shared" si="57"/>
        <v>1.8100758996559756E-2</v>
      </c>
      <c r="M159" s="26">
        <f t="shared" ref="M159" si="62">+M158*(1+L159)</f>
        <v>124.93475280055291</v>
      </c>
    </row>
    <row r="160" spans="1:19">
      <c r="A160" s="25">
        <v>43496</v>
      </c>
      <c r="B160" s="11">
        <v>18407.689999999999</v>
      </c>
      <c r="C160" s="33">
        <f t="shared" si="52"/>
        <v>2.8462632291696627E-2</v>
      </c>
      <c r="D160" s="27">
        <f t="shared" ref="D160:D166" si="63">B160/$B$3*100</f>
        <v>168.05856585417516</v>
      </c>
      <c r="F160" s="25">
        <v>43496</v>
      </c>
      <c r="G160" s="12">
        <v>1.0239</v>
      </c>
      <c r="H160" s="12">
        <f t="shared" si="58"/>
        <v>1.0246310974000001</v>
      </c>
      <c r="I160" s="33">
        <f t="shared" si="56"/>
        <v>3.4101066193152181E-2</v>
      </c>
      <c r="J160" s="26">
        <f t="shared" ref="J160" si="64">+J159*(1+I160)</f>
        <v>132.77914560746882</v>
      </c>
      <c r="K160" s="26">
        <v>1239.7718</v>
      </c>
      <c r="L160" s="33">
        <f t="shared" si="57"/>
        <v>1.9871310117053377E-2</v>
      </c>
      <c r="M160" s="26">
        <f t="shared" ref="M160" si="65">+M159*(1+L160)</f>
        <v>127.4173700178501</v>
      </c>
    </row>
    <row r="161" spans="1:44">
      <c r="A161" s="25">
        <v>43524</v>
      </c>
      <c r="B161" s="11">
        <v>18449.16</v>
      </c>
      <c r="C161" s="33">
        <f t="shared" si="52"/>
        <v>2.896537883274565E-2</v>
      </c>
      <c r="D161" s="27">
        <f t="shared" si="63"/>
        <v>168.43717874509045</v>
      </c>
      <c r="F161" s="25">
        <v>43524</v>
      </c>
      <c r="G161" s="12">
        <v>1.0263</v>
      </c>
      <c r="H161" s="12">
        <f t="shared" si="58"/>
        <v>1.0270310974000001</v>
      </c>
      <c r="I161" s="33">
        <f t="shared" si="56"/>
        <v>3.0115368287614141E-2</v>
      </c>
      <c r="J161" s="26">
        <f t="shared" ref="J161" si="66">+J160*(1+I161)</f>
        <v>136.77783847835246</v>
      </c>
      <c r="K161" s="26">
        <v>1241.6304</v>
      </c>
      <c r="L161" s="33">
        <f t="shared" si="57"/>
        <v>1.9274745331590015E-2</v>
      </c>
      <c r="M161" s="26">
        <f t="shared" ref="M161" si="67">+M160*(1+L161)</f>
        <v>129.87330737576514</v>
      </c>
    </row>
    <row r="162" spans="1:44">
      <c r="A162" s="25">
        <v>43555</v>
      </c>
      <c r="B162" s="11">
        <v>18496.82</v>
      </c>
      <c r="C162" s="33">
        <f t="shared" si="52"/>
        <v>2.9999792280079301E-2</v>
      </c>
      <c r="D162" s="27">
        <f t="shared" si="63"/>
        <v>168.8723051106806</v>
      </c>
      <c r="F162" s="25">
        <v>43555</v>
      </c>
      <c r="G162" s="12">
        <v>1.0293000000000001</v>
      </c>
      <c r="H162" s="12">
        <f t="shared" si="58"/>
        <v>1.0300310974000002</v>
      </c>
      <c r="I162" s="33">
        <f t="shared" si="56"/>
        <v>3.3921767087303267E-2</v>
      </c>
      <c r="J162" s="26">
        <f t="shared" ref="J162:J166" si="68">+J161*(1+I162)</f>
        <v>141.41758445791993</v>
      </c>
      <c r="K162" s="26">
        <v>1243.7364</v>
      </c>
      <c r="L162" s="33">
        <f t="shared" ref="L162:L167" si="69">+(K162/K161-1)/(F162-F161)*360</f>
        <v>1.9697306214110293E-2</v>
      </c>
      <c r="M162" s="26">
        <f>+M161*(1+L162)</f>
        <v>132.43146168018487</v>
      </c>
    </row>
    <row r="163" spans="1:44">
      <c r="A163" s="25">
        <v>43585</v>
      </c>
      <c r="B163" s="11">
        <v>18543.07</v>
      </c>
      <c r="C163" s="33">
        <f t="shared" ref="C163:C168" si="70">(B163/B162-1)/(A163-A162)*360</f>
        <v>3.0005157643314462E-2</v>
      </c>
      <c r="D163" s="27">
        <f t="shared" si="63"/>
        <v>169.29455845538357</v>
      </c>
      <c r="F163" s="25">
        <v>43585</v>
      </c>
      <c r="G163" s="12">
        <v>1.0323</v>
      </c>
      <c r="H163" s="12">
        <f t="shared" si="58"/>
        <v>1.0330310974000001</v>
      </c>
      <c r="I163" s="33">
        <f t="shared" ref="I163:I168" si="71">+(H163/H162-1)/(F163-F162)*360</f>
        <v>3.4950401100383388E-2</v>
      </c>
      <c r="J163" s="26">
        <f t="shared" si="68"/>
        <v>146.36018575737157</v>
      </c>
      <c r="K163" s="26">
        <v>1245.7855</v>
      </c>
      <c r="L163" s="33">
        <f t="shared" si="69"/>
        <v>1.9770427238439581E-2</v>
      </c>
      <c r="M163" s="26">
        <f t="shared" ref="M163:M165" si="72">+M162*(1+L163)</f>
        <v>135.04968825741315</v>
      </c>
    </row>
    <row r="164" spans="1:44">
      <c r="A164" s="25">
        <v>43616</v>
      </c>
      <c r="B164" s="11">
        <v>18591.02</v>
      </c>
      <c r="C164" s="33">
        <f t="shared" si="70"/>
        <v>3.0029477841448365E-2</v>
      </c>
      <c r="D164" s="27">
        <f t="shared" si="63"/>
        <v>169.73233246356753</v>
      </c>
      <c r="F164" s="25">
        <v>43616</v>
      </c>
      <c r="G164" s="12">
        <v>1.0356000000000001</v>
      </c>
      <c r="H164" s="12">
        <f t="shared" si="58"/>
        <v>1.0363310974000002</v>
      </c>
      <c r="I164" s="33">
        <f t="shared" si="71"/>
        <v>3.709721879778375E-2</v>
      </c>
      <c r="J164" s="26">
        <f t="shared" si="68"/>
        <v>151.78974159169707</v>
      </c>
      <c r="K164" s="11">
        <v>1247.8388</v>
      </c>
      <c r="L164" s="33">
        <f t="shared" si="69"/>
        <v>1.9140352968909653E-2</v>
      </c>
      <c r="M164" s="26">
        <f t="shared" si="72"/>
        <v>137.63458695900124</v>
      </c>
    </row>
    <row r="165" spans="1:44">
      <c r="A165" s="25">
        <v>43646</v>
      </c>
      <c r="B165" s="11">
        <v>18632.310000000001</v>
      </c>
      <c r="C165" s="33">
        <f t="shared" si="70"/>
        <v>2.6651576944137997E-2</v>
      </c>
      <c r="D165" s="11">
        <f t="shared" si="63"/>
        <v>170.10930199011426</v>
      </c>
      <c r="F165" s="25">
        <v>43646</v>
      </c>
      <c r="G165" s="12">
        <v>1.0385</v>
      </c>
      <c r="H165" s="12">
        <f t="shared" si="58"/>
        <v>1.0392310974000001</v>
      </c>
      <c r="I165" s="33">
        <f t="shared" si="71"/>
        <v>3.358000168798192E-2</v>
      </c>
      <c r="J165" s="26">
        <f t="shared" si="68"/>
        <v>156.88684137056458</v>
      </c>
      <c r="K165" s="11">
        <v>1249.8127999999999</v>
      </c>
      <c r="L165" s="33">
        <f t="shared" si="69"/>
        <v>1.8983221230177705E-2</v>
      </c>
      <c r="M165" s="26">
        <f t="shared" si="72"/>
        <v>140.2473347721681</v>
      </c>
    </row>
    <row r="166" spans="1:44">
      <c r="A166" s="25">
        <v>43677</v>
      </c>
      <c r="B166" s="11">
        <v>18672.310000000001</v>
      </c>
      <c r="C166" s="33">
        <f t="shared" si="70"/>
        <v>2.4930678430760311E-2</v>
      </c>
      <c r="D166" s="11">
        <f t="shared" si="63"/>
        <v>170.47449407201955</v>
      </c>
      <c r="F166" s="25">
        <v>43677</v>
      </c>
      <c r="G166" s="12">
        <v>1.0414000000000001</v>
      </c>
      <c r="H166" s="12">
        <f t="shared" si="58"/>
        <v>1.0421310974000002</v>
      </c>
      <c r="I166" s="33">
        <f t="shared" si="71"/>
        <v>3.2406092772911524E-2</v>
      </c>
      <c r="J166" s="26">
        <f t="shared" si="68"/>
        <v>161.97093090686815</v>
      </c>
      <c r="K166" s="11">
        <v>1251.7653</v>
      </c>
      <c r="L166" s="33">
        <f t="shared" si="69"/>
        <v>1.814207179538296E-2</v>
      </c>
      <c r="M166" s="26">
        <f t="shared" ref="M166:M167" si="73">+M165*(1+L166)</f>
        <v>142.79171198871586</v>
      </c>
      <c r="AR166" s="62"/>
    </row>
    <row r="167" spans="1:44">
      <c r="A167" s="25">
        <v>43708</v>
      </c>
      <c r="B167" s="11">
        <v>18712.55</v>
      </c>
      <c r="C167" s="33">
        <f t="shared" si="70"/>
        <v>2.5026535324576389E-2</v>
      </c>
      <c r="D167" s="11">
        <f t="shared" ref="D167:D168" si="74">B167/$B$3*100</f>
        <v>170.84187730641625</v>
      </c>
      <c r="F167" s="25">
        <v>43708</v>
      </c>
      <c r="G167" s="12">
        <v>1.0445</v>
      </c>
      <c r="H167" s="12">
        <f t="shared" si="58"/>
        <v>1.0452310974000001</v>
      </c>
      <c r="I167" s="33">
        <f t="shared" si="71"/>
        <v>3.4544598169859456E-2</v>
      </c>
      <c r="J167" s="26">
        <f t="shared" ref="J167:J168" si="75">+J166*(1+I167)</f>
        <v>167.56615163024398</v>
      </c>
      <c r="K167" s="11">
        <v>1253.6594</v>
      </c>
      <c r="L167" s="33">
        <f t="shared" si="69"/>
        <v>1.7571984141117443E-2</v>
      </c>
      <c r="M167" s="26">
        <f t="shared" si="73"/>
        <v>145.3008456872646</v>
      </c>
    </row>
    <row r="168" spans="1:44">
      <c r="A168" s="25">
        <v>43738</v>
      </c>
      <c r="B168" s="11">
        <v>18744.77</v>
      </c>
      <c r="C168" s="33">
        <f t="shared" si="70"/>
        <v>2.0662069039227404E-2</v>
      </c>
      <c r="D168" s="11">
        <f t="shared" si="74"/>
        <v>171.13603952839097</v>
      </c>
      <c r="F168" s="25">
        <v>43738</v>
      </c>
      <c r="G168" s="12">
        <v>1.0475000000000001</v>
      </c>
      <c r="H168" s="12">
        <f t="shared" si="58"/>
        <v>1.0482310974000002</v>
      </c>
      <c r="I168" s="33">
        <f t="shared" si="71"/>
        <v>3.4442144028772326E-2</v>
      </c>
      <c r="J168" s="26">
        <f t="shared" si="75"/>
        <v>173.33748915903993</v>
      </c>
      <c r="K168" s="11">
        <v>1255.4577999999999</v>
      </c>
      <c r="L168" s="33">
        <f t="shared" ref="L168:L169" si="76">+(K168/K167-1)/(F168-F167)*360</f>
        <v>1.7214244953612123E-2</v>
      </c>
      <c r="M168" s="26">
        <f t="shared" ref="M168:M169" si="77">+M167*(1+L168)</f>
        <v>147.80209003689217</v>
      </c>
    </row>
    <row r="169" spans="1:44">
      <c r="A169" s="25">
        <v>43769</v>
      </c>
      <c r="B169" s="11">
        <v>18776.101999999999</v>
      </c>
      <c r="C169" s="33">
        <f t="shared" ref="C169:C170" si="78">(B169/B168-1)/(A169-A168)*360</f>
        <v>1.9411040192595704E-2</v>
      </c>
      <c r="D169" s="11">
        <f t="shared" ref="D169:D170" si="79">B169/$B$3*100</f>
        <v>171.42209448614736</v>
      </c>
      <c r="F169" s="25">
        <v>43769</v>
      </c>
      <c r="G169" s="12">
        <v>1.0502</v>
      </c>
      <c r="H169" s="12">
        <f t="shared" si="58"/>
        <v>1.0509310974000001</v>
      </c>
      <c r="I169" s="33">
        <f t="shared" ref="I169:I170" si="80">+(H169/H168-1)/(F169-F168)*360</f>
        <v>2.9912143216745596E-2</v>
      </c>
      <c r="J169" s="26">
        <f t="shared" ref="J169:J170" si="81">+J168*(1+I169)</f>
        <v>178.5223849595962</v>
      </c>
      <c r="K169" s="11">
        <v>1257.2878000000001</v>
      </c>
      <c r="L169" s="33">
        <f t="shared" si="76"/>
        <v>1.6927381313197275E-2</v>
      </c>
      <c r="M169" s="26">
        <f t="shared" si="77"/>
        <v>150.30399237383418</v>
      </c>
    </row>
    <row r="170" spans="1:44">
      <c r="A170" s="25">
        <v>43799</v>
      </c>
      <c r="B170" s="11">
        <v>18802.79</v>
      </c>
      <c r="C170" s="33">
        <f t="shared" si="78"/>
        <v>1.7056575427638165E-2</v>
      </c>
      <c r="D170" s="11">
        <f t="shared" si="79"/>
        <v>171.66575064319457</v>
      </c>
      <c r="F170" s="25">
        <v>43799</v>
      </c>
      <c r="G170" s="12">
        <v>1.0527</v>
      </c>
      <c r="H170" s="12">
        <f t="shared" si="58"/>
        <v>1.0534310974000001</v>
      </c>
      <c r="I170" s="33">
        <f t="shared" si="80"/>
        <v>2.8546115034772335E-2</v>
      </c>
      <c r="J170" s="26">
        <f t="shared" si="81"/>
        <v>183.61850549693474</v>
      </c>
      <c r="K170" s="11">
        <v>1259.0622000000001</v>
      </c>
      <c r="L170" s="33">
        <f t="shared" ref="L170:L171" si="82">+(K170/K169-1)/(F170-F169)*360</f>
        <v>1.6935501959059351E-2</v>
      </c>
      <c r="M170" s="26">
        <f t="shared" ref="M170:M171" si="83">+M169*(1+L170)</f>
        <v>152.84946593113568</v>
      </c>
    </row>
    <row r="171" spans="1:44">
      <c r="A171" s="25">
        <v>43830</v>
      </c>
      <c r="B171" s="11">
        <v>18830.68</v>
      </c>
      <c r="C171" s="33">
        <f t="shared" ref="C171:C172" si="84">(B171/B170-1)/(A171-A170)*360</f>
        <v>1.7225309167826532E-2</v>
      </c>
      <c r="D171" s="11">
        <f t="shared" ref="D171:D172" si="85">B171/$B$3*100</f>
        <v>171.92038082230303</v>
      </c>
      <c r="F171" s="25">
        <v>43830</v>
      </c>
      <c r="G171" s="12">
        <v>1.0548999999999999</v>
      </c>
      <c r="H171" s="12">
        <f t="shared" si="58"/>
        <v>1.0556310974000001</v>
      </c>
      <c r="I171" s="33">
        <f t="shared" ref="I171:I172" si="86">+(H171/H170-1)/(F171-F170)*360</f>
        <v>2.425254690110256E-2</v>
      </c>
      <c r="J171" s="26">
        <f t="shared" ref="J171:J172" si="87">+J170*(1+I171)</f>
        <v>188.0717219134095</v>
      </c>
      <c r="K171" s="11">
        <v>1260.7945999999999</v>
      </c>
      <c r="L171" s="33">
        <f t="shared" si="82"/>
        <v>1.59787130043181E-2</v>
      </c>
      <c r="M171" s="26">
        <f t="shared" si="83"/>
        <v>155.29180368011259</v>
      </c>
    </row>
    <row r="172" spans="1:44">
      <c r="A172" s="25">
        <v>43861</v>
      </c>
      <c r="B172" s="11">
        <v>18861.86</v>
      </c>
      <c r="C172" s="33">
        <f t="shared" si="84"/>
        <v>1.9228743868020683E-2</v>
      </c>
      <c r="D172" s="11">
        <f t="shared" si="85"/>
        <v>172.20504805014821</v>
      </c>
      <c r="F172" s="25">
        <v>43861</v>
      </c>
      <c r="G172" s="12">
        <v>1.0569999999999999</v>
      </c>
      <c r="H172" s="12">
        <f t="shared" si="58"/>
        <v>1.0577310974</v>
      </c>
      <c r="I172" s="33">
        <f t="shared" si="86"/>
        <v>2.3101912054559044E-2</v>
      </c>
      <c r="J172" s="26">
        <f t="shared" si="87"/>
        <v>192.41653829300256</v>
      </c>
      <c r="K172" s="11">
        <v>1262.5753999999999</v>
      </c>
      <c r="L172" s="33">
        <f t="shared" ref="L172:L173" si="88">+(K172/K171-1)/(F172-F171)*360</f>
        <v>1.6402559199187192E-2</v>
      </c>
      <c r="M172" s="26">
        <f t="shared" ref="M172:M173" si="89">+M171*(1+L172)</f>
        <v>157.8389866831242</v>
      </c>
    </row>
    <row r="173" spans="1:44">
      <c r="A173" s="25">
        <v>43890</v>
      </c>
      <c r="B173" s="11">
        <v>18887.886699999999</v>
      </c>
      <c r="C173" s="33">
        <f t="shared" ref="C173:C174" si="90">(B173/B172-1)/(A173-A172)*360</f>
        <v>1.7129279348140885E-2</v>
      </c>
      <c r="D173" s="11">
        <f t="shared" ref="D173:D174" si="91">B173/$B$3*100</f>
        <v>172.4426666691013</v>
      </c>
      <c r="F173" s="25">
        <v>43890</v>
      </c>
      <c r="G173" s="12">
        <v>1.0588</v>
      </c>
      <c r="H173" s="12">
        <f t="shared" si="58"/>
        <v>1.0595310974000001</v>
      </c>
      <c r="I173" s="33">
        <f t="shared" ref="I173:I174" si="92">+(H173/H172-1)/(F173-F172)*360</f>
        <v>2.1125244063575094E-2</v>
      </c>
      <c r="J173" s="26">
        <f t="shared" ref="J173:J174" si="93">+J172*(1+I173)</f>
        <v>196.4813846263105</v>
      </c>
      <c r="K173" s="11">
        <v>1264.0600999999999</v>
      </c>
      <c r="L173" s="33">
        <f t="shared" si="88"/>
        <v>1.4597748871623052E-2</v>
      </c>
      <c r="M173" s="26">
        <f t="shared" si="89"/>
        <v>160.14308057287593</v>
      </c>
    </row>
    <row r="174" spans="1:44">
      <c r="A174" s="25">
        <v>43921</v>
      </c>
      <c r="B174" s="11">
        <v>18908.77</v>
      </c>
      <c r="C174" s="33">
        <f t="shared" si="90"/>
        <v>1.283974993007142E-2</v>
      </c>
      <c r="D174" s="11">
        <f t="shared" si="91"/>
        <v>172.6333270642026</v>
      </c>
      <c r="F174" s="25">
        <v>43921</v>
      </c>
      <c r="G174" s="12">
        <v>1.0606</v>
      </c>
      <c r="H174" s="12">
        <f t="shared" si="58"/>
        <v>1.0613310974000001</v>
      </c>
      <c r="I174" s="33">
        <f t="shared" si="92"/>
        <v>1.9728751574866862E-2</v>
      </c>
      <c r="J174" s="26">
        <f t="shared" si="93"/>
        <v>200.35771705268883</v>
      </c>
      <c r="K174" s="11">
        <v>1265.4909</v>
      </c>
      <c r="L174" s="33">
        <f t="shared" ref="L174:L175" si="94">+(K174/K173-1)/(F174-F173)*360</f>
        <v>1.3144740456157381E-2</v>
      </c>
      <c r="M174" s="26">
        <f t="shared" ref="M174:M175" si="95">+M173*(1+L174)</f>
        <v>162.24811980285588</v>
      </c>
    </row>
    <row r="175" spans="1:44">
      <c r="A175" s="25">
        <v>43951</v>
      </c>
      <c r="B175" s="11">
        <v>18917.93</v>
      </c>
      <c r="C175" s="33">
        <f t="shared" ref="C175:C176" si="96">(B175/B174-1)/(A175-A174)*360</f>
        <v>5.8131755793748852E-3</v>
      </c>
      <c r="D175" s="11">
        <f t="shared" ref="D175:D176" si="97">B175/$B$3*100</f>
        <v>172.71695605095891</v>
      </c>
      <c r="F175" s="25">
        <v>43951</v>
      </c>
      <c r="G175" s="12">
        <v>1.0628</v>
      </c>
      <c r="H175" s="12">
        <f t="shared" si="58"/>
        <v>1.0635310974000001</v>
      </c>
      <c r="I175" s="33">
        <f t="shared" ref="I175:I176" si="98">+(H175/H174-1)/(F175-F174)*360</f>
        <v>2.48744242627712E-2</v>
      </c>
      <c r="J175" s="26">
        <f t="shared" ref="J175:J176" si="99">+J174*(1+I175)</f>
        <v>205.34149991097769</v>
      </c>
      <c r="K175" s="11">
        <v>1266.7001</v>
      </c>
      <c r="L175" s="33">
        <f t="shared" si="94"/>
        <v>1.1466222317363162E-2</v>
      </c>
      <c r="M175" s="26">
        <f t="shared" si="95"/>
        <v>164.10849281508959</v>
      </c>
      <c r="AD175" s="62"/>
      <c r="AE175" s="62"/>
      <c r="AF175" s="62"/>
      <c r="AG175" s="62"/>
      <c r="AH175" s="62"/>
      <c r="AI175" s="62"/>
      <c r="AJ175" s="62"/>
      <c r="AK175" s="62"/>
      <c r="AL175" s="62"/>
      <c r="AM175" s="62"/>
      <c r="AN175" s="62"/>
      <c r="AO175" s="62"/>
      <c r="AP175" s="62"/>
      <c r="AQ175" s="62"/>
    </row>
    <row r="176" spans="1:44">
      <c r="A176" s="25">
        <v>43982</v>
      </c>
      <c r="B176" s="11">
        <v>18925.240000000002</v>
      </c>
      <c r="C176" s="33">
        <f t="shared" si="96"/>
        <v>4.4872944651278808E-3</v>
      </c>
      <c r="D176" s="11">
        <f t="shared" si="97"/>
        <v>172.78369490392711</v>
      </c>
      <c r="F176" s="25">
        <v>43982</v>
      </c>
      <c r="G176" s="12">
        <v>1.0658000000000001</v>
      </c>
      <c r="H176" s="12">
        <f t="shared" si="58"/>
        <v>1.0665310974000002</v>
      </c>
      <c r="I176" s="33">
        <f t="shared" si="98"/>
        <v>3.2757584392775638E-2</v>
      </c>
      <c r="J176" s="26">
        <f t="shared" si="99"/>
        <v>212.06799142365068</v>
      </c>
      <c r="K176" s="11">
        <v>1268.0009</v>
      </c>
      <c r="L176" s="33">
        <f t="shared" ref="L176:L200" si="100">+(K176/K175-1)/(F176-F175)*360</f>
        <v>1.1925525636360044E-2</v>
      </c>
      <c r="M176" s="26">
        <f t="shared" ref="M176:M178" si="101">+M175*(1+L176)</f>
        <v>166.06557285330032</v>
      </c>
    </row>
    <row r="177" spans="1:13">
      <c r="A177" s="25">
        <v>44012</v>
      </c>
      <c r="B177" s="11">
        <v>18932.63</v>
      </c>
      <c r="C177" s="33">
        <f t="shared" ref="C177:C178" si="102">(B177/B176-1)/(A177-A176)*360</f>
        <v>4.6858058339029895E-3</v>
      </c>
      <c r="D177" s="11">
        <f t="shared" ref="D177:D178" si="103">B177/$B$3*100</f>
        <v>172.85116414105912</v>
      </c>
      <c r="F177" s="25">
        <v>44012</v>
      </c>
      <c r="G177" s="12">
        <v>1.0677000000000001</v>
      </c>
      <c r="H177" s="12">
        <f t="shared" si="58"/>
        <v>1.0684310974000002</v>
      </c>
      <c r="I177" s="33">
        <f t="shared" ref="I177:I178" si="104">+(H177/H176-1)/(F177-F176)*360</f>
        <v>2.1377717026332732E-2</v>
      </c>
      <c r="J177" s="26">
        <f t="shared" ref="J177:J178" si="105">+J176*(1+I177)</f>
        <v>216.60152093464825</v>
      </c>
      <c r="K177" s="11">
        <v>1268.1358</v>
      </c>
      <c r="L177" s="33">
        <f t="shared" si="100"/>
        <v>1.2766552452765367E-3</v>
      </c>
      <c r="M177" s="26">
        <f t="shared" si="101"/>
        <v>166.27758133794333</v>
      </c>
    </row>
    <row r="178" spans="1:13">
      <c r="A178" s="25">
        <v>44043</v>
      </c>
      <c r="B178" s="11">
        <v>18940.740000000002</v>
      </c>
      <c r="C178" s="33">
        <f t="shared" si="102"/>
        <v>4.9745146427785276E-3</v>
      </c>
      <c r="D178" s="11">
        <f t="shared" si="103"/>
        <v>172.92520683566542</v>
      </c>
      <c r="F178" s="25">
        <v>44043</v>
      </c>
      <c r="G178" s="12">
        <v>1.0694999999999999</v>
      </c>
      <c r="H178" s="12">
        <f t="shared" si="58"/>
        <v>1.0702310974</v>
      </c>
      <c r="I178" s="33">
        <f t="shared" si="104"/>
        <v>1.9564411647430065E-2</v>
      </c>
      <c r="J178" s="26">
        <f t="shared" si="105"/>
        <v>220.83920225367314</v>
      </c>
      <c r="K178" s="11">
        <v>1268.1552999999999</v>
      </c>
      <c r="L178" s="33">
        <f t="shared" si="100"/>
        <v>1.785704755779567E-4</v>
      </c>
      <c r="M178" s="26">
        <f t="shared" si="101"/>
        <v>166.30727360472079</v>
      </c>
    </row>
    <row r="179" spans="1:13">
      <c r="A179" s="25">
        <v>44074</v>
      </c>
      <c r="B179" s="11">
        <v>18948.689999999999</v>
      </c>
      <c r="C179" s="33">
        <f t="shared" ref="C179:C215" si="106">(B179/B178-1)/(A179-A178)*360</f>
        <v>4.8742858328197948E-3</v>
      </c>
      <c r="D179" s="11">
        <f t="shared" ref="D179:D217" si="107">B179/$B$3*100</f>
        <v>172.99778876194407</v>
      </c>
      <c r="F179" s="25">
        <v>44074</v>
      </c>
      <c r="G179" s="12">
        <v>1.0709</v>
      </c>
      <c r="H179" s="12">
        <f t="shared" si="58"/>
        <v>1.0716310974000001</v>
      </c>
      <c r="I179" s="33">
        <f t="shared" ref="I179:I200" si="108">+(H179/H178-1)/(F179-F178)*360</f>
        <v>1.5191171846554611E-2</v>
      </c>
      <c r="J179" s="26">
        <f t="shared" ref="J179:J200" si="109">+J178*(1+I179)</f>
        <v>224.19400852556473</v>
      </c>
      <c r="K179" s="11">
        <v>1268.1782000000001</v>
      </c>
      <c r="L179" s="33">
        <f t="shared" si="100"/>
        <v>2.0970261597648646E-4</v>
      </c>
      <c r="M179" s="26">
        <f t="shared" ref="M179:M200" si="110">+M178*(1+L179)</f>
        <v>166.34214867505162</v>
      </c>
    </row>
    <row r="180" spans="1:13">
      <c r="A180" s="25">
        <v>44104</v>
      </c>
      <c r="B180" s="11">
        <v>18956.169999999998</v>
      </c>
      <c r="C180" s="33">
        <f t="shared" si="106"/>
        <v>4.7370029273796632E-3</v>
      </c>
      <c r="D180" s="11">
        <f t="shared" si="107"/>
        <v>173.06607968126036</v>
      </c>
      <c r="F180" s="25">
        <v>44104</v>
      </c>
      <c r="G180" s="12">
        <v>1.0721000000000001</v>
      </c>
      <c r="H180" s="12">
        <f t="shared" si="58"/>
        <v>1.0728310974000002</v>
      </c>
      <c r="I180" s="33">
        <f t="shared" si="108"/>
        <v>1.3437459994338317E-2</v>
      </c>
      <c r="J180" s="26">
        <f t="shared" si="109"/>
        <v>227.20660654609733</v>
      </c>
      <c r="K180" s="11">
        <v>1268.1967</v>
      </c>
      <c r="L180" s="33">
        <f t="shared" si="100"/>
        <v>1.7505426287733883E-4</v>
      </c>
      <c r="M180" s="26">
        <f t="shared" si="110"/>
        <v>166.37126757727336</v>
      </c>
    </row>
    <row r="181" spans="1:13">
      <c r="A181" s="25">
        <v>44135</v>
      </c>
      <c r="B181" s="11">
        <v>18963.23</v>
      </c>
      <c r="C181" s="33">
        <f t="shared" si="106"/>
        <v>4.3250876508404267E-3</v>
      </c>
      <c r="D181" s="11">
        <f t="shared" si="107"/>
        <v>173.13053608371663</v>
      </c>
      <c r="F181" s="25">
        <v>44135</v>
      </c>
      <c r="G181" s="12">
        <v>1.0730999999999999</v>
      </c>
      <c r="H181" s="12">
        <f t="shared" si="58"/>
        <v>1.0738310974</v>
      </c>
      <c r="I181" s="33">
        <f t="shared" si="108"/>
        <v>1.0824540092049896E-2</v>
      </c>
      <c r="J181" s="26">
        <f t="shared" si="109"/>
        <v>229.66601356783417</v>
      </c>
      <c r="K181" s="11">
        <v>1268.2118</v>
      </c>
      <c r="L181" s="33">
        <f t="shared" si="100"/>
        <v>1.3827101009715237E-4</v>
      </c>
      <c r="M181" s="26">
        <f t="shared" si="110"/>
        <v>166.39427190049241</v>
      </c>
    </row>
    <row r="182" spans="1:13">
      <c r="A182" s="25">
        <v>44165</v>
      </c>
      <c r="B182" s="27">
        <v>18969.48</v>
      </c>
      <c r="C182" s="33">
        <f t="shared" si="106"/>
        <v>3.9550224302509207E-3</v>
      </c>
      <c r="D182" s="11">
        <f t="shared" si="107"/>
        <v>173.18759734651434</v>
      </c>
      <c r="F182" s="25">
        <v>44165</v>
      </c>
      <c r="G182" s="12">
        <v>1.0737000000000001</v>
      </c>
      <c r="H182" s="12">
        <f t="shared" si="58"/>
        <v>1.0744310974000002</v>
      </c>
      <c r="I182" s="33">
        <f t="shared" si="108"/>
        <v>6.7049650707957644E-3</v>
      </c>
      <c r="J182" s="26">
        <f t="shared" si="109"/>
        <v>231.2059161667554</v>
      </c>
      <c r="K182" s="11">
        <v>1268.2674999999999</v>
      </c>
      <c r="L182" s="33">
        <f t="shared" si="100"/>
        <v>5.27041303351794E-4</v>
      </c>
      <c r="M182" s="26">
        <f t="shared" si="110"/>
        <v>166.48196855442512</v>
      </c>
    </row>
    <row r="183" spans="1:13">
      <c r="A183" s="25">
        <v>44196</v>
      </c>
      <c r="B183" s="11">
        <v>18976.88</v>
      </c>
      <c r="C183" s="33">
        <f t="shared" si="106"/>
        <v>4.5301971309169037E-3</v>
      </c>
      <c r="D183" s="11">
        <f t="shared" si="107"/>
        <v>173.25515788166683</v>
      </c>
      <c r="F183" s="25">
        <v>44196</v>
      </c>
      <c r="G183" s="12">
        <v>1.0519000000000001</v>
      </c>
      <c r="H183" s="12">
        <f t="shared" ref="H183:H207" si="111">+G183+$S$146+$S$148</f>
        <v>1.0686015850170603</v>
      </c>
      <c r="I183" s="33">
        <f t="shared" si="108"/>
        <v>-6.3007821832914424E-2</v>
      </c>
      <c r="J183" s="26">
        <f t="shared" si="109"/>
        <v>216.63813499420473</v>
      </c>
      <c r="K183" s="11">
        <v>1268.2985000000001</v>
      </c>
      <c r="L183" s="33">
        <f t="shared" si="100"/>
        <v>2.83851789943802E-4</v>
      </c>
      <c r="M183" s="26">
        <f t="shared" si="110"/>
        <v>166.52922475919266</v>
      </c>
    </row>
    <row r="184" spans="1:13">
      <c r="A184" s="25">
        <v>44227</v>
      </c>
      <c r="B184" s="11">
        <v>18982.04</v>
      </c>
      <c r="C184" s="33">
        <f t="shared" si="106"/>
        <v>3.1576624105299524E-3</v>
      </c>
      <c r="D184" s="11">
        <f t="shared" si="107"/>
        <v>173.30226766023259</v>
      </c>
      <c r="F184" s="25">
        <v>44227</v>
      </c>
      <c r="G184" s="12">
        <v>1.0538000000000001</v>
      </c>
      <c r="H184" s="12">
        <f t="shared" si="111"/>
        <v>1.0705015850170603</v>
      </c>
      <c r="I184" s="33">
        <f t="shared" si="108"/>
        <v>2.0648028637052829E-2</v>
      </c>
      <c r="J184" s="26">
        <f t="shared" si="109"/>
        <v>221.11128540944276</v>
      </c>
      <c r="K184" s="11">
        <v>1268.4135000000001</v>
      </c>
      <c r="L184" s="33">
        <f t="shared" si="100"/>
        <v>1.0529728379936275E-3</v>
      </c>
      <c r="M184" s="26">
        <f t="shared" si="110"/>
        <v>166.70457550959622</v>
      </c>
    </row>
    <row r="185" spans="1:13">
      <c r="A185" s="25">
        <v>44255</v>
      </c>
      <c r="B185" s="11">
        <v>18986.580000000002</v>
      </c>
      <c r="C185" s="33">
        <f t="shared" si="106"/>
        <v>3.0750872177831567E-3</v>
      </c>
      <c r="D185" s="11">
        <f t="shared" si="107"/>
        <v>173.34371696152886</v>
      </c>
      <c r="F185" s="25">
        <v>44255</v>
      </c>
      <c r="G185" s="12">
        <v>1.0556000000000001</v>
      </c>
      <c r="H185" s="12">
        <f t="shared" si="111"/>
        <v>1.0723015850170603</v>
      </c>
      <c r="I185" s="33">
        <f t="shared" si="108"/>
        <v>2.1618704228718904E-2</v>
      </c>
      <c r="J185" s="26">
        <f t="shared" si="109"/>
        <v>225.89142489034134</v>
      </c>
      <c r="K185" s="11">
        <v>1268.4572000000001</v>
      </c>
      <c r="L185" s="33">
        <f t="shared" si="100"/>
        <v>4.4296055099923848E-4</v>
      </c>
      <c r="M185" s="26">
        <f t="shared" si="110"/>
        <v>166.77841906021806</v>
      </c>
    </row>
    <row r="186" spans="1:13">
      <c r="A186" s="25">
        <v>44286</v>
      </c>
      <c r="B186" s="27">
        <v>18991.5</v>
      </c>
      <c r="C186" s="33">
        <f t="shared" si="106"/>
        <v>3.0092562152281557E-3</v>
      </c>
      <c r="D186" s="11">
        <f t="shared" si="107"/>
        <v>173.3886355876032</v>
      </c>
      <c r="F186" s="25">
        <v>44286</v>
      </c>
      <c r="G186" s="12">
        <v>1.0575000000000001</v>
      </c>
      <c r="H186" s="12">
        <f t="shared" si="111"/>
        <v>1.0742015850170603</v>
      </c>
      <c r="I186" s="33">
        <f t="shared" si="108"/>
        <v>2.0576782164021902E-2</v>
      </c>
      <c r="J186" s="26">
        <f t="shared" si="109"/>
        <v>230.53954353303041</v>
      </c>
      <c r="K186" s="11">
        <v>1268.4863</v>
      </c>
      <c r="L186" s="33">
        <f t="shared" si="100"/>
        <v>2.6641457344469828E-4</v>
      </c>
      <c r="M186" s="26">
        <f t="shared" si="110"/>
        <v>166.82285126159178</v>
      </c>
    </row>
    <row r="187" spans="1:13">
      <c r="A187" s="25">
        <v>44316</v>
      </c>
      <c r="B187" s="11">
        <v>18997.09</v>
      </c>
      <c r="C187" s="33">
        <f t="shared" si="106"/>
        <v>3.5321064686826271E-3</v>
      </c>
      <c r="D187" s="11">
        <f t="shared" si="107"/>
        <v>173.43967118104945</v>
      </c>
      <c r="F187" s="25">
        <v>44316</v>
      </c>
      <c r="G187" s="12">
        <v>1.0588</v>
      </c>
      <c r="H187" s="12">
        <f t="shared" si="111"/>
        <v>1.0755015850170602</v>
      </c>
      <c r="I187" s="33">
        <f t="shared" si="108"/>
        <v>1.4522413872391837E-2</v>
      </c>
      <c r="J187" s="26">
        <f t="shared" si="109"/>
        <v>233.88753419816936</v>
      </c>
      <c r="K187" s="26">
        <v>1268.5684000000001</v>
      </c>
      <c r="L187" s="33">
        <f t="shared" si="100"/>
        <v>7.7667374097956099E-4</v>
      </c>
      <c r="M187" s="26">
        <f t="shared" si="110"/>
        <v>166.952418189562</v>
      </c>
    </row>
    <row r="188" spans="1:13">
      <c r="A188" s="25">
        <v>44347</v>
      </c>
      <c r="B188" s="11">
        <v>19001.7</v>
      </c>
      <c r="C188" s="33">
        <f t="shared" si="106"/>
        <v>2.8180886583675882E-3</v>
      </c>
      <c r="D188" s="11">
        <f t="shared" si="107"/>
        <v>173.48175956848905</v>
      </c>
      <c r="F188" s="25">
        <v>44347</v>
      </c>
      <c r="G188" s="12">
        <v>1.06</v>
      </c>
      <c r="H188" s="12">
        <f t="shared" si="111"/>
        <v>1.0767015850170603</v>
      </c>
      <c r="I188" s="33">
        <f t="shared" si="108"/>
        <v>1.2957195103294201E-2</v>
      </c>
      <c r="J188" s="26">
        <f t="shared" si="109"/>
        <v>236.91806061100345</v>
      </c>
      <c r="K188" s="26">
        <v>1268.5887</v>
      </c>
      <c r="L188" s="33">
        <f t="shared" si="100"/>
        <v>1.8583305045492783E-4</v>
      </c>
      <c r="M188" s="26">
        <f t="shared" si="110"/>
        <v>166.98344346671499</v>
      </c>
    </row>
    <row r="189" spans="1:13">
      <c r="A189" s="25">
        <v>44377</v>
      </c>
      <c r="B189" s="11">
        <v>19006.88</v>
      </c>
      <c r="C189" s="33">
        <f t="shared" si="106"/>
        <v>3.2712862533346154E-3</v>
      </c>
      <c r="D189" s="11">
        <f t="shared" si="107"/>
        <v>173.52905194309579</v>
      </c>
      <c r="F189" s="25">
        <v>44377</v>
      </c>
      <c r="G189" s="12">
        <v>1.0611999999999999</v>
      </c>
      <c r="H189" s="12">
        <f t="shared" si="111"/>
        <v>1.0779015850170601</v>
      </c>
      <c r="I189" s="33">
        <f t="shared" si="108"/>
        <v>1.337417925299267E-2</v>
      </c>
      <c r="J189" s="26">
        <f t="shared" si="109"/>
        <v>240.08664522188639</v>
      </c>
      <c r="K189" s="11">
        <v>1268.5979</v>
      </c>
      <c r="L189" s="33">
        <f t="shared" si="100"/>
        <v>8.7025842180565846E-5</v>
      </c>
      <c r="M189" s="26">
        <f t="shared" si="110"/>
        <v>166.9979753415129</v>
      </c>
    </row>
    <row r="190" spans="1:13">
      <c r="A190" s="25">
        <v>44408</v>
      </c>
      <c r="B190" s="11">
        <v>19016.419999999998</v>
      </c>
      <c r="C190" s="33">
        <f t="shared" si="106"/>
        <v>5.8287891949730802E-3</v>
      </c>
      <c r="D190" s="11">
        <f t="shared" si="107"/>
        <v>173.61615025463018</v>
      </c>
      <c r="F190" s="25">
        <v>44408</v>
      </c>
      <c r="G190" s="12">
        <v>1.0622</v>
      </c>
      <c r="H190" s="12">
        <f t="shared" si="111"/>
        <v>1.0789015850170602</v>
      </c>
      <c r="I190" s="33">
        <f t="shared" si="108"/>
        <v>1.0773621068218983E-2</v>
      </c>
      <c r="J190" s="26">
        <f t="shared" si="109"/>
        <v>242.67324776104692</v>
      </c>
      <c r="K190" s="26">
        <v>1268.6157000000001</v>
      </c>
      <c r="L190" s="33">
        <f t="shared" si="100"/>
        <v>1.6294341762577945E-4</v>
      </c>
      <c r="M190" s="26">
        <f t="shared" si="110"/>
        <v>167.02518656235162</v>
      </c>
    </row>
    <row r="191" spans="1:13">
      <c r="A191" s="25">
        <v>44439</v>
      </c>
      <c r="B191" s="11">
        <v>19028.38</v>
      </c>
      <c r="C191" s="33">
        <f t="shared" si="106"/>
        <v>7.3037050391555978E-3</v>
      </c>
      <c r="D191" s="11">
        <f t="shared" si="107"/>
        <v>173.72534268711988</v>
      </c>
      <c r="F191" s="25">
        <v>44439</v>
      </c>
      <c r="G191" s="12">
        <v>1.0630999999999999</v>
      </c>
      <c r="H191" s="12">
        <f t="shared" si="111"/>
        <v>1.0798015850170601</v>
      </c>
      <c r="I191" s="33">
        <f t="shared" si="108"/>
        <v>9.6872718034417046E-3</v>
      </c>
      <c r="J191" s="26">
        <f t="shared" si="109"/>
        <v>245.02408947153214</v>
      </c>
      <c r="K191" s="26">
        <v>1268.6364000000001</v>
      </c>
      <c r="L191" s="33">
        <f t="shared" si="100"/>
        <v>1.894877201779091E-4</v>
      </c>
      <c r="M191" s="26">
        <f t="shared" si="110"/>
        <v>167.05683578416563</v>
      </c>
    </row>
    <row r="192" spans="1:13">
      <c r="A192" s="25">
        <v>44469</v>
      </c>
      <c r="B192" s="11">
        <v>19052.12</v>
      </c>
      <c r="C192" s="33">
        <f t="shared" si="106"/>
        <v>1.4971321783566083E-2</v>
      </c>
      <c r="D192" s="11">
        <f t="shared" si="107"/>
        <v>173.94208418773064</v>
      </c>
      <c r="F192" s="25">
        <v>44469</v>
      </c>
      <c r="G192" s="12">
        <v>1.0636000000000001</v>
      </c>
      <c r="H192" s="12">
        <f t="shared" si="111"/>
        <v>1.0803015850170603</v>
      </c>
      <c r="I192" s="33">
        <f t="shared" si="108"/>
        <v>5.5565763963079107E-3</v>
      </c>
      <c r="J192" s="26">
        <f t="shared" si="109"/>
        <v>246.38558454361649</v>
      </c>
      <c r="K192" s="26">
        <v>1268.654</v>
      </c>
      <c r="L192" s="33">
        <f t="shared" si="100"/>
        <v>1.664779601133759E-4</v>
      </c>
      <c r="M192" s="26">
        <f t="shared" si="110"/>
        <v>167.08464706540997</v>
      </c>
    </row>
    <row r="193" spans="1:13">
      <c r="A193" s="25">
        <v>44500</v>
      </c>
      <c r="B193" s="11">
        <v>19091.59</v>
      </c>
      <c r="C193" s="33">
        <f t="shared" si="106"/>
        <v>2.4058282769717453E-2</v>
      </c>
      <c r="D193" s="11">
        <f t="shared" si="107"/>
        <v>174.30243747455069</v>
      </c>
      <c r="F193" s="25">
        <v>44500</v>
      </c>
      <c r="G193" s="12">
        <v>1.0653999999999999</v>
      </c>
      <c r="H193" s="12">
        <f t="shared" si="111"/>
        <v>1.0821015850170601</v>
      </c>
      <c r="I193" s="33">
        <f t="shared" si="108"/>
        <v>1.9349435469095167E-2</v>
      </c>
      <c r="J193" s="26">
        <f t="shared" si="109"/>
        <v>251.15300651225846</v>
      </c>
      <c r="K193" s="26">
        <v>1268.6726000000001</v>
      </c>
      <c r="L193" s="33">
        <f t="shared" si="100"/>
        <v>1.7025918808488336E-4</v>
      </c>
      <c r="M193" s="26">
        <f t="shared" si="110"/>
        <v>167.11309476176075</v>
      </c>
    </row>
    <row r="194" spans="1:13">
      <c r="A194" s="25">
        <v>44530</v>
      </c>
      <c r="B194" s="11">
        <v>19132.47</v>
      </c>
      <c r="C194" s="33">
        <f t="shared" si="106"/>
        <v>2.5695083542021102E-2</v>
      </c>
      <c r="D194" s="11">
        <f t="shared" si="107"/>
        <v>174.67566378225789</v>
      </c>
      <c r="F194" s="25">
        <v>44530</v>
      </c>
      <c r="G194" s="12">
        <v>1.0662</v>
      </c>
      <c r="H194" s="12">
        <f t="shared" si="111"/>
        <v>1.0829015850170602</v>
      </c>
      <c r="I194" s="33">
        <f t="shared" si="108"/>
        <v>8.8716254859280141E-3</v>
      </c>
      <c r="J194" s="26">
        <f t="shared" si="109"/>
        <v>253.38114192570006</v>
      </c>
      <c r="K194" s="26">
        <v>1268.7193</v>
      </c>
      <c r="L194" s="33">
        <f t="shared" si="100"/>
        <v>4.4172152846932988E-4</v>
      </c>
      <c r="M194" s="26">
        <f t="shared" si="110"/>
        <v>167.18691221340615</v>
      </c>
    </row>
    <row r="195" spans="1:13">
      <c r="A195" s="25">
        <v>44561</v>
      </c>
      <c r="B195" s="11">
        <v>19193.41</v>
      </c>
      <c r="C195" s="33">
        <f t="shared" si="106"/>
        <v>3.6988968103994269E-2</v>
      </c>
      <c r="D195" s="11">
        <f t="shared" si="107"/>
        <v>175.23203391904059</v>
      </c>
      <c r="F195" s="25">
        <v>44561</v>
      </c>
      <c r="G195" s="12">
        <v>1.0670999999999999</v>
      </c>
      <c r="H195" s="12">
        <f t="shared" si="111"/>
        <v>1.0838015850170601</v>
      </c>
      <c r="I195" s="33">
        <f t="shared" si="108"/>
        <v>9.6514891545384333E-3</v>
      </c>
      <c r="J195" s="26">
        <f t="shared" si="109"/>
        <v>255.82664726896053</v>
      </c>
      <c r="K195" s="11">
        <v>1268.7577000000001</v>
      </c>
      <c r="L195" s="33">
        <f t="shared" si="100"/>
        <v>3.5148474833882867E-4</v>
      </c>
      <c r="M195" s="26">
        <f t="shared" si="110"/>
        <v>167.24567586317102</v>
      </c>
    </row>
    <row r="196" spans="1:13">
      <c r="A196" s="25">
        <v>44592</v>
      </c>
      <c r="B196" s="11">
        <v>19259.349999999999</v>
      </c>
      <c r="C196" s="33">
        <f t="shared" si="106"/>
        <v>3.9896758247213462E-2</v>
      </c>
      <c r="D196" s="11">
        <f t="shared" si="107"/>
        <v>175.83405306606141</v>
      </c>
      <c r="F196" s="25">
        <v>44592</v>
      </c>
      <c r="G196" s="12">
        <v>1.0677000000000001</v>
      </c>
      <c r="H196" s="12">
        <f t="shared" si="111"/>
        <v>1.0844015850170603</v>
      </c>
      <c r="I196" s="33">
        <f t="shared" si="108"/>
        <v>6.4289829723556697E-3</v>
      </c>
      <c r="J196" s="26">
        <f t="shared" si="109"/>
        <v>257.47135242812749</v>
      </c>
      <c r="K196" s="11">
        <v>1268.8065999999999</v>
      </c>
      <c r="L196" s="33">
        <f t="shared" si="100"/>
        <v>4.4758031241007572E-4</v>
      </c>
      <c r="M196" s="26">
        <f t="shared" si="110"/>
        <v>167.32053173502308</v>
      </c>
    </row>
    <row r="197" spans="1:13">
      <c r="A197" s="25">
        <v>44620</v>
      </c>
      <c r="B197" s="11">
        <v>19341.900000000001</v>
      </c>
      <c r="C197" s="33">
        <f t="shared" si="106"/>
        <v>5.510866892481639E-2</v>
      </c>
      <c r="D197" s="11">
        <f t="shared" si="107"/>
        <v>176.58771822509348</v>
      </c>
      <c r="F197" s="25">
        <v>44620</v>
      </c>
      <c r="G197" s="12">
        <v>1.0682</v>
      </c>
      <c r="H197" s="12">
        <f t="shared" si="111"/>
        <v>1.0849015850170602</v>
      </c>
      <c r="I197" s="33">
        <f t="shared" si="108"/>
        <v>5.9282202436748499E-3</v>
      </c>
      <c r="J197" s="26">
        <f t="shared" si="109"/>
        <v>258.99769931175825</v>
      </c>
      <c r="K197" s="11">
        <v>1268.8626999999999</v>
      </c>
      <c r="L197" s="33">
        <f t="shared" si="100"/>
        <v>5.6847569541718102E-4</v>
      </c>
      <c r="M197" s="26">
        <f t="shared" si="110"/>
        <v>167.41564939065873</v>
      </c>
    </row>
    <row r="198" spans="1:13">
      <c r="A198" s="25">
        <v>44651</v>
      </c>
      <c r="B198" s="11">
        <v>19435.349999999999</v>
      </c>
      <c r="C198" s="33">
        <f t="shared" si="106"/>
        <v>5.6107507869007853E-2</v>
      </c>
      <c r="D198" s="11">
        <f t="shared" si="107"/>
        <v>177.44089822644463</v>
      </c>
      <c r="F198" s="25">
        <v>44651</v>
      </c>
      <c r="G198" s="12">
        <v>1.0691999999999999</v>
      </c>
      <c r="H198" s="12">
        <f t="shared" si="111"/>
        <v>1.0859015850170601</v>
      </c>
      <c r="I198" s="33">
        <f t="shared" si="108"/>
        <v>1.0704107530289279E-2</v>
      </c>
      <c r="J198" s="26">
        <f t="shared" si="109"/>
        <v>261.77003853528885</v>
      </c>
      <c r="K198" s="26">
        <v>1268.9287999999999</v>
      </c>
      <c r="L198" s="33">
        <f t="shared" si="100"/>
        <v>6.0496135888121034E-4</v>
      </c>
      <c r="M198" s="26">
        <f t="shared" si="110"/>
        <v>167.51692938941207</v>
      </c>
    </row>
    <row r="199" spans="1:13">
      <c r="A199" s="25">
        <v>44681</v>
      </c>
      <c r="B199" s="11">
        <v>19541.32</v>
      </c>
      <c r="C199" s="33">
        <f t="shared" si="106"/>
        <v>6.542923075735807E-2</v>
      </c>
      <c r="D199" s="11">
        <f t="shared" si="107"/>
        <v>178.40838334943223</v>
      </c>
      <c r="F199" s="25">
        <v>44681</v>
      </c>
      <c r="G199" s="12">
        <v>1.0705</v>
      </c>
      <c r="H199" s="12">
        <f t="shared" si="111"/>
        <v>1.0872015850170602</v>
      </c>
      <c r="I199" s="33">
        <f t="shared" si="108"/>
        <v>1.4365942747708083E-2</v>
      </c>
      <c r="J199" s="26">
        <f t="shared" si="109"/>
        <v>265.53061192195213</v>
      </c>
      <c r="K199" s="11">
        <v>1269.0456999999999</v>
      </c>
      <c r="L199" s="33">
        <f t="shared" si="100"/>
        <v>1.1054993786876466E-3</v>
      </c>
      <c r="M199" s="26">
        <f t="shared" si="110"/>
        <v>167.70211925077172</v>
      </c>
    </row>
    <row r="200" spans="1:13">
      <c r="A200" s="25">
        <v>44712</v>
      </c>
      <c r="B200" s="11">
        <v>19680.32</v>
      </c>
      <c r="C200" s="33">
        <f t="shared" si="106"/>
        <v>8.2604120314651669E-2</v>
      </c>
      <c r="D200" s="11">
        <f t="shared" si="107"/>
        <v>179.67742583405308</v>
      </c>
      <c r="F200" s="25">
        <v>44712</v>
      </c>
      <c r="G200" s="12">
        <v>1.0723</v>
      </c>
      <c r="H200" s="12">
        <f t="shared" si="111"/>
        <v>1.0890015850170602</v>
      </c>
      <c r="I200" s="33">
        <f t="shared" si="108"/>
        <v>1.9226632939579602E-2</v>
      </c>
      <c r="J200" s="26">
        <f t="shared" si="109"/>
        <v>270.63587153159745</v>
      </c>
      <c r="K200" s="11">
        <v>1269.4676999999999</v>
      </c>
      <c r="L200" s="33">
        <f t="shared" si="100"/>
        <v>3.8616774488814932E-3</v>
      </c>
      <c r="M200" s="26">
        <f t="shared" si="110"/>
        <v>168.34973074281206</v>
      </c>
    </row>
    <row r="201" spans="1:13">
      <c r="A201" s="25">
        <v>44742</v>
      </c>
      <c r="B201" s="11">
        <v>19825.16</v>
      </c>
      <c r="C201" s="33">
        <f t="shared" si="106"/>
        <v>8.831563714411049E-2</v>
      </c>
      <c r="D201" s="11">
        <f t="shared" si="107"/>
        <v>180.99978636263211</v>
      </c>
      <c r="F201" s="25">
        <v>44742</v>
      </c>
      <c r="G201" s="12">
        <v>1.0737000000000001</v>
      </c>
      <c r="H201" s="12">
        <f t="shared" si="111"/>
        <v>1.0904015850170603</v>
      </c>
      <c r="I201" s="33">
        <f t="shared" ref="I201:I202" si="112">+(H201/H200-1)/(F201-F200)*360</f>
        <v>1.5426974791536095E-2</v>
      </c>
      <c r="J201" s="26">
        <f t="shared" ref="J201:J202" si="113">+J200*(1+I201)</f>
        <v>274.81096429940078</v>
      </c>
      <c r="K201" s="26">
        <v>1269.9793999999999</v>
      </c>
      <c r="L201" s="33">
        <f t="shared" ref="L201:L202" si="114">+(K201/K200-1)/(F201-F200)*360</f>
        <v>4.8369879753540346E-3</v>
      </c>
      <c r="M201" s="26">
        <f t="shared" ref="M201:M202" si="115">+M200*(1+L201)</f>
        <v>169.16403636606913</v>
      </c>
    </row>
    <row r="202" spans="1:13">
      <c r="A202" s="25">
        <v>44773</v>
      </c>
      <c r="B202" s="11">
        <v>19975.62</v>
      </c>
      <c r="C202" s="33">
        <f t="shared" si="106"/>
        <v>8.8134341380086273E-2</v>
      </c>
      <c r="D202" s="11">
        <f t="shared" si="107"/>
        <v>182.3734563787188</v>
      </c>
      <c r="F202" s="25">
        <v>44773</v>
      </c>
      <c r="G202" s="12">
        <v>1.0750999999999999</v>
      </c>
      <c r="H202" s="12">
        <f t="shared" si="111"/>
        <v>1.0918015850170601</v>
      </c>
      <c r="I202" s="33">
        <f t="shared" si="112"/>
        <v>1.4910162218695847E-2</v>
      </c>
      <c r="J202" s="26">
        <f t="shared" si="113"/>
        <v>278.90844035658108</v>
      </c>
      <c r="K202" s="26">
        <v>1270.7479000000001</v>
      </c>
      <c r="L202" s="33">
        <f t="shared" si="114"/>
        <v>7.0272920403535721E-3</v>
      </c>
      <c r="M202" s="26">
        <f t="shared" si="115"/>
        <v>170.3528014523385</v>
      </c>
    </row>
    <row r="203" spans="1:13">
      <c r="A203" s="25">
        <v>44804</v>
      </c>
      <c r="B203" s="11">
        <v>20154.919999999998</v>
      </c>
      <c r="C203" s="33">
        <f t="shared" si="106"/>
        <v>0.1042367420078613</v>
      </c>
      <c r="D203" s="11">
        <f t="shared" si="107"/>
        <v>184.0104298858592</v>
      </c>
      <c r="F203" s="25">
        <v>44804</v>
      </c>
      <c r="G203" s="12">
        <v>1.0779000000000001</v>
      </c>
      <c r="H203" s="12">
        <f t="shared" si="111"/>
        <v>1.0946015850170603</v>
      </c>
      <c r="I203" s="33">
        <f t="shared" ref="I203:I209" si="116">+(H203/H202-1)/(F203-F202)*360</f>
        <v>2.9782086304401396E-2</v>
      </c>
      <c r="J203" s="26">
        <f t="shared" ref="J203:J209" si="117">+J202*(1+I203)</f>
        <v>287.21491559830679</v>
      </c>
      <c r="K203" s="26">
        <v>1272.075</v>
      </c>
      <c r="L203" s="33">
        <f t="shared" ref="L203:L209" si="118">+(K203/K202-1)/(F203-F202)*360</f>
        <v>1.2127884587468062E-2</v>
      </c>
      <c r="M203" s="26">
        <f t="shared" ref="M203:M209" si="119">+M202*(1+L203)</f>
        <v>172.41882056750433</v>
      </c>
    </row>
    <row r="204" spans="1:13">
      <c r="A204" s="25">
        <v>44834</v>
      </c>
      <c r="B204" s="11">
        <v>20332.28</v>
      </c>
      <c r="C204" s="33">
        <f t="shared" si="106"/>
        <v>0.10559803760074526</v>
      </c>
      <c r="D204" s="11">
        <f t="shared" si="107"/>
        <v>185.62969157702722</v>
      </c>
      <c r="F204" s="25">
        <v>44834</v>
      </c>
      <c r="G204" s="12">
        <v>1.0799000000000001</v>
      </c>
      <c r="H204" s="12">
        <f t="shared" si="111"/>
        <v>1.0966015850170603</v>
      </c>
      <c r="I204" s="33">
        <f t="shared" si="116"/>
        <v>2.1925785901019346E-2</v>
      </c>
      <c r="J204" s="26">
        <f t="shared" si="117"/>
        <v>293.51232834529458</v>
      </c>
      <c r="K204" s="26">
        <v>1273.8575000000001</v>
      </c>
      <c r="L204" s="33">
        <f t="shared" si="118"/>
        <v>1.6815046282649959E-2</v>
      </c>
      <c r="M204" s="26">
        <f t="shared" si="119"/>
        <v>175.31805101534684</v>
      </c>
    </row>
    <row r="205" spans="1:13">
      <c r="A205" s="25">
        <v>44862</v>
      </c>
      <c r="B205" s="11">
        <v>20507.2</v>
      </c>
      <c r="C205" s="33">
        <f t="shared" si="106"/>
        <v>0.11061088223118416</v>
      </c>
      <c r="D205" s="11">
        <f t="shared" si="107"/>
        <v>187.22667655119903</v>
      </c>
      <c r="F205" s="25">
        <v>44862</v>
      </c>
      <c r="G205" s="12">
        <v>1.0818000000000001</v>
      </c>
      <c r="H205" s="12">
        <f t="shared" si="111"/>
        <v>1.0985015850170603</v>
      </c>
      <c r="I205" s="33">
        <f t="shared" si="116"/>
        <v>2.2276615101000416E-2</v>
      </c>
      <c r="J205" s="26">
        <f t="shared" si="117"/>
        <v>300.05078951124113</v>
      </c>
      <c r="K205" s="26">
        <v>1275.941</v>
      </c>
      <c r="L205" s="33">
        <f t="shared" si="118"/>
        <v>2.1028927602071423E-2</v>
      </c>
      <c r="M205" s="26">
        <f t="shared" si="119"/>
        <v>179.00480161748484</v>
      </c>
    </row>
    <row r="206" spans="1:13">
      <c r="A206" s="25">
        <v>44895</v>
      </c>
      <c r="B206" s="11">
        <v>20719.68</v>
      </c>
      <c r="C206" s="33">
        <f t="shared" si="106"/>
        <v>0.11303169795796657</v>
      </c>
      <c r="D206" s="11">
        <f t="shared" si="107"/>
        <v>189.16657689027986</v>
      </c>
      <c r="F206" s="25">
        <v>44895</v>
      </c>
      <c r="G206" s="12">
        <v>1.0839000000000001</v>
      </c>
      <c r="H206" s="12">
        <f t="shared" si="111"/>
        <v>1.1006015850170603</v>
      </c>
      <c r="I206" s="33">
        <f t="shared" si="116"/>
        <v>2.0854854668902367E-2</v>
      </c>
      <c r="J206" s="26">
        <f t="shared" si="117"/>
        <v>306.30830511978752</v>
      </c>
      <c r="K206" s="26">
        <v>1278.9082000000001</v>
      </c>
      <c r="L206" s="33">
        <f t="shared" si="118"/>
        <v>2.5369084107694884E-2</v>
      </c>
      <c r="M206" s="26">
        <f t="shared" si="119"/>
        <v>183.54598948540004</v>
      </c>
    </row>
    <row r="207" spans="1:13">
      <c r="A207" s="25">
        <v>44925</v>
      </c>
      <c r="B207" s="11">
        <v>20914.79</v>
      </c>
      <c r="C207" s="33">
        <f t="shared" si="106"/>
        <v>0.11299981466895305</v>
      </c>
      <c r="D207" s="11">
        <f t="shared" si="107"/>
        <v>190.94789256779336</v>
      </c>
      <c r="F207" s="25">
        <v>44925</v>
      </c>
      <c r="G207" s="12">
        <v>1.0857000000000001</v>
      </c>
      <c r="H207" s="12">
        <f t="shared" si="111"/>
        <v>1.1024015850170603</v>
      </c>
      <c r="I207" s="33">
        <f t="shared" si="116"/>
        <v>1.9625630467964505E-2</v>
      </c>
      <c r="J207" s="26">
        <f t="shared" si="117"/>
        <v>312.31979872533697</v>
      </c>
      <c r="K207" s="26">
        <v>1282.3100999999999</v>
      </c>
      <c r="L207" s="33">
        <f t="shared" si="118"/>
        <v>3.1920039296015723E-2</v>
      </c>
      <c r="M207" s="26">
        <f t="shared" si="119"/>
        <v>189.40478468240011</v>
      </c>
    </row>
    <row r="208" spans="1:13">
      <c r="A208" s="25">
        <v>44957</v>
      </c>
      <c r="B208" s="11">
        <v>21124.92</v>
      </c>
      <c r="C208" s="33">
        <f t="shared" si="106"/>
        <v>0.11302826851237679</v>
      </c>
      <c r="D208" s="11">
        <f t="shared" si="107"/>
        <v>192.86633787206225</v>
      </c>
      <c r="F208" s="25">
        <v>44957</v>
      </c>
      <c r="G208" s="12">
        <v>1.0876999999999999</v>
      </c>
      <c r="H208" s="12">
        <f t="shared" ref="H208:H215" si="120">+G208+$S$146+$S$148+$S$150+$S$152</f>
        <v>1.1049675607989893</v>
      </c>
      <c r="I208" s="33">
        <f t="shared" si="116"/>
        <v>2.6185763826032105E-2</v>
      </c>
      <c r="J208" s="26">
        <f t="shared" si="117"/>
        <v>320.4981312129525</v>
      </c>
      <c r="K208" s="26">
        <v>1286.6787999999999</v>
      </c>
      <c r="L208" s="33">
        <f t="shared" si="118"/>
        <v>3.8327604999757181E-2</v>
      </c>
      <c r="M208" s="26">
        <f t="shared" si="119"/>
        <v>196.66421645477121</v>
      </c>
    </row>
    <row r="209" spans="1:13">
      <c r="A209" s="25">
        <v>44985</v>
      </c>
      <c r="B209" s="11">
        <v>21310.51</v>
      </c>
      <c r="C209" s="33">
        <f t="shared" si="106"/>
        <v>0.11295461203437211</v>
      </c>
      <c r="D209" s="11">
        <f t="shared" si="107"/>
        <v>194.56073783408229</v>
      </c>
      <c r="F209" s="25">
        <v>44985</v>
      </c>
      <c r="G209" s="12">
        <v>1.0909</v>
      </c>
      <c r="H209" s="12">
        <f t="shared" si="120"/>
        <v>1.1081675607989894</v>
      </c>
      <c r="I209" s="33">
        <f t="shared" si="116"/>
        <v>3.7234447962534958E-2</v>
      </c>
      <c r="J209" s="26">
        <f t="shared" si="117"/>
        <v>332.43170220169094</v>
      </c>
      <c r="K209" s="26">
        <v>1290.7943</v>
      </c>
      <c r="L209" s="33">
        <f t="shared" si="118"/>
        <v>4.1124149576859156E-2</v>
      </c>
      <c r="M209" s="26">
        <f t="shared" si="119"/>
        <v>204.751865108673</v>
      </c>
    </row>
    <row r="210" spans="1:13">
      <c r="A210" s="25">
        <v>45016</v>
      </c>
      <c r="B210" s="11">
        <v>21517.9</v>
      </c>
      <c r="C210" s="33">
        <f t="shared" si="106"/>
        <v>0.11301465802554971</v>
      </c>
      <c r="D210" s="11">
        <f t="shared" si="107"/>
        <v>196.45416748074072</v>
      </c>
      <c r="F210" s="25">
        <v>45016</v>
      </c>
      <c r="G210" s="12">
        <v>1.0946</v>
      </c>
      <c r="H210" s="12">
        <f t="shared" si="120"/>
        <v>1.1118675607989894</v>
      </c>
      <c r="I210" s="33">
        <f t="shared" ref="I210:I215" si="121">+(H210/H209-1)/(F210-F209)*360</f>
        <v>3.877368681005712E-2</v>
      </c>
      <c r="J210" s="26">
        <f t="shared" ref="J210:J215" si="122">+J209*(1+I210)</f>
        <v>345.3213049085935</v>
      </c>
      <c r="K210" s="11">
        <v>1295.4367999999999</v>
      </c>
      <c r="L210" s="33">
        <f t="shared" ref="L210:L215" si="123">+(K210/K209-1)/(F210-F209)*360</f>
        <v>4.1767230631406381E-2</v>
      </c>
      <c r="M210" s="26">
        <f t="shared" ref="M210:M215" si="124">+M209*(1+L210)</f>
        <v>213.30378348087754</v>
      </c>
    </row>
    <row r="211" spans="1:13">
      <c r="A211" s="25">
        <v>45044</v>
      </c>
      <c r="B211" s="11">
        <v>21706.94</v>
      </c>
      <c r="C211" s="33">
        <f t="shared" si="106"/>
        <v>0.11295313602694725</v>
      </c>
      <c r="D211" s="11">
        <f t="shared" si="107"/>
        <v>198.18006525982503</v>
      </c>
      <c r="F211" s="25">
        <v>45044</v>
      </c>
      <c r="G211" s="12">
        <v>1.0972</v>
      </c>
      <c r="H211" s="12">
        <f t="shared" si="120"/>
        <v>1.1144675607989893</v>
      </c>
      <c r="I211" s="33">
        <f t="shared" si="121"/>
        <v>3.0065245724542691E-2</v>
      </c>
      <c r="J211" s="26">
        <f t="shared" si="122"/>
        <v>355.70347479459014</v>
      </c>
      <c r="K211" s="26">
        <v>1299.7442000000001</v>
      </c>
      <c r="L211" s="33">
        <f t="shared" si="123"/>
        <v>4.2750720948224262E-2</v>
      </c>
      <c r="M211" s="26">
        <f t="shared" si="124"/>
        <v>222.42267400566899</v>
      </c>
    </row>
    <row r="212" spans="1:13">
      <c r="A212" s="25">
        <v>45077</v>
      </c>
      <c r="B212" s="11">
        <v>21931.86</v>
      </c>
      <c r="C212" s="33">
        <f t="shared" si="106"/>
        <v>0.11303632512333502</v>
      </c>
      <c r="D212" s="11">
        <f t="shared" si="107"/>
        <v>200.23354033637847</v>
      </c>
      <c r="F212" s="25">
        <v>45077</v>
      </c>
      <c r="G212" s="12">
        <v>1.0998000000000001</v>
      </c>
      <c r="H212" s="12">
        <f t="shared" si="120"/>
        <v>1.1170675607989895</v>
      </c>
      <c r="I212" s="33">
        <f t="shared" si="121"/>
        <v>2.5450392062827249E-2</v>
      </c>
      <c r="J212" s="26">
        <f t="shared" si="122"/>
        <v>364.75626768622249</v>
      </c>
      <c r="K212" s="26">
        <v>1304.9929999999999</v>
      </c>
      <c r="L212" s="33">
        <f t="shared" si="123"/>
        <v>4.4054542704353009E-2</v>
      </c>
      <c r="M212" s="26">
        <f t="shared" si="124"/>
        <v>232.22140319606814</v>
      </c>
    </row>
    <row r="213" spans="1:13">
      <c r="A213" s="25">
        <v>45107</v>
      </c>
      <c r="B213" s="11">
        <v>22138.35</v>
      </c>
      <c r="C213" s="33">
        <f t="shared" si="106"/>
        <v>0.1129808415702076</v>
      </c>
      <c r="D213" s="11">
        <f t="shared" si="107"/>
        <v>202.11875316119398</v>
      </c>
      <c r="F213" s="25">
        <v>45107</v>
      </c>
      <c r="G213" s="12">
        <v>1.1023000000000001</v>
      </c>
      <c r="H213" s="12">
        <f t="shared" si="120"/>
        <v>1.1195675607989894</v>
      </c>
      <c r="I213" s="33">
        <f t="shared" si="121"/>
        <v>2.685603006727888E-2</v>
      </c>
      <c r="J213" s="26">
        <f t="shared" si="122"/>
        <v>374.55217297843211</v>
      </c>
      <c r="K213" s="11">
        <v>1309.9118000000001</v>
      </c>
      <c r="L213" s="33">
        <f t="shared" si="123"/>
        <v>4.5230587443764847E-2</v>
      </c>
      <c r="M213" s="26">
        <f t="shared" si="124"/>
        <v>242.72491367964167</v>
      </c>
    </row>
    <row r="214" spans="1:13">
      <c r="A214" s="25">
        <v>45138</v>
      </c>
      <c r="B214" s="11">
        <v>22353.79</v>
      </c>
      <c r="C214" s="33">
        <f t="shared" si="106"/>
        <v>0.11301130711944485</v>
      </c>
      <c r="D214" s="11">
        <f t="shared" si="107"/>
        <v>204.08567771433584</v>
      </c>
      <c r="F214" s="25">
        <v>45138</v>
      </c>
      <c r="G214" s="12">
        <v>1.1043000000000001</v>
      </c>
      <c r="H214" s="12">
        <f t="shared" si="120"/>
        <v>1.1215675607989894</v>
      </c>
      <c r="I214" s="33">
        <f t="shared" si="121"/>
        <v>2.0745337096974927E-2</v>
      </c>
      <c r="J214" s="26">
        <f t="shared" si="122"/>
        <v>382.32238406727419</v>
      </c>
      <c r="K214" s="11">
        <v>1315.0768</v>
      </c>
      <c r="L214" s="33">
        <f t="shared" si="123"/>
        <v>4.5789834980712693E-2</v>
      </c>
      <c r="M214" s="26">
        <f t="shared" si="124"/>
        <v>253.83924742274019</v>
      </c>
    </row>
    <row r="215" spans="1:13">
      <c r="A215" s="25">
        <v>45169</v>
      </c>
      <c r="B215" s="11">
        <v>22551.919999999998</v>
      </c>
      <c r="C215" s="33">
        <f t="shared" si="106"/>
        <v>0.1029295039511865</v>
      </c>
      <c r="D215" s="11">
        <f t="shared" si="107"/>
        <v>205.89456539403312</v>
      </c>
      <c r="F215" s="25">
        <v>45169</v>
      </c>
      <c r="G215" s="12">
        <v>1.1069</v>
      </c>
      <c r="H215" s="12">
        <f t="shared" si="120"/>
        <v>1.1241675607989894</v>
      </c>
      <c r="I215" s="33">
        <f t="shared" si="121"/>
        <v>2.6920846717059289E-2</v>
      </c>
      <c r="J215" s="26">
        <f t="shared" si="122"/>
        <v>392.61482636524988</v>
      </c>
      <c r="K215" s="26">
        <v>1320.4591</v>
      </c>
      <c r="L215" s="33">
        <f t="shared" si="123"/>
        <v>4.7528881227513232E-2</v>
      </c>
      <c r="M215" s="26">
        <f t="shared" si="124"/>
        <v>265.90394286437692</v>
      </c>
    </row>
    <row r="216" spans="1:13">
      <c r="A216" s="25">
        <v>45199</v>
      </c>
      <c r="B216" s="11">
        <v>22727.72</v>
      </c>
      <c r="C216" s="33">
        <f>(B216/B215-1)/(A216-A215)*360</f>
        <v>9.354414169614067E-2</v>
      </c>
      <c r="D216" s="11">
        <f t="shared" si="107"/>
        <v>207.49958459400685</v>
      </c>
      <c r="F216" s="25">
        <v>45199</v>
      </c>
      <c r="G216" s="12">
        <v>1.1100000000000001</v>
      </c>
      <c r="H216" s="12">
        <f t="shared" ref="H216" si="125">+G216+$S$146+$S$148+$S$150+$S$152</f>
        <v>1.1272675607989895</v>
      </c>
      <c r="I216" s="33">
        <f t="shared" ref="I216" si="126">+(H216/H215-1)/(F216-F215)*360</f>
        <v>3.3091152331030216E-2</v>
      </c>
      <c r="J216" s="26">
        <f t="shared" ref="J216" si="127">+J215*(1+I216)</f>
        <v>405.60690339192337</v>
      </c>
      <c r="K216" s="11">
        <v>1325.6034999999999</v>
      </c>
      <c r="L216" s="33">
        <f t="shared" ref="L216" si="128">+(K216/K215-1)/(F216-F215)*360</f>
        <v>4.6751012583426288E-2</v>
      </c>
      <c r="M216" s="26">
        <f t="shared" ref="M216" si="129">+M215*(1+L216)</f>
        <v>278.33522144321205</v>
      </c>
    </row>
    <row r="217" spans="1:13">
      <c r="A217" s="25">
        <v>45230</v>
      </c>
      <c r="B217" s="27">
        <v>22920</v>
      </c>
      <c r="C217" s="33">
        <f>(B217/B216-1)/(A217-A216)*360</f>
        <v>9.824694391949873E-2</v>
      </c>
      <c r="D217" s="11">
        <f t="shared" si="107"/>
        <v>209.25506293172555</v>
      </c>
      <c r="F217" s="25">
        <v>45230</v>
      </c>
      <c r="G217" s="12">
        <v>1.1127</v>
      </c>
      <c r="H217" s="12">
        <f t="shared" ref="H217" si="130">+G217+$S$146+$S$148+$S$150+$S$152</f>
        <v>1.1299675607989894</v>
      </c>
      <c r="I217" s="33">
        <f t="shared" ref="I217" si="131">+(H217/H216-1)/(F217-F216)*360</f>
        <v>2.7814903754928583E-2</v>
      </c>
      <c r="J217" s="26">
        <f t="shared" ref="J217" si="132">+J216*(1+I217)</f>
        <v>416.88882037210436</v>
      </c>
      <c r="K217" s="11">
        <v>1330.8203000000001</v>
      </c>
      <c r="L217" s="33">
        <f t="shared" ref="L217" si="133">+(K217/K216-1)/(F217-F216)*360</f>
        <v>4.5701594442373247E-2</v>
      </c>
      <c r="M217" s="26">
        <f t="shared" ref="M217" si="134">+M216*(1+L217)</f>
        <v>291.05558485263788</v>
      </c>
    </row>
    <row r="218" spans="1:13">
      <c r="A218" s="25">
        <v>45260</v>
      </c>
      <c r="B218" s="11">
        <v>23092.51</v>
      </c>
      <c r="C218" s="33">
        <f t="shared" ref="C218:C219" si="135">(B218/B217-1)/(A218-A217)*360</f>
        <v>9.0319371727747289E-2</v>
      </c>
      <c r="D218" s="11">
        <f t="shared" ref="D218:D219" si="136">B218/$B$3*100</f>
        <v>210.8300450829625</v>
      </c>
      <c r="F218" s="25">
        <v>45260</v>
      </c>
      <c r="G218" s="12">
        <v>1.1148</v>
      </c>
      <c r="H218" s="12">
        <f t="shared" ref="H218" si="137">+G218+$S$146+$S$148+$S$150+$S$152</f>
        <v>1.1320675607989894</v>
      </c>
      <c r="I218" s="33">
        <f t="shared" ref="I218" si="138">+(H218/H217-1)/(F218-F217)*360</f>
        <v>2.2301525171378067E-2</v>
      </c>
      <c r="J218" s="26">
        <f t="shared" ref="J218" si="139">+J217*(1+I218)</f>
        <v>426.18607689329895</v>
      </c>
      <c r="K218" s="11">
        <v>1335.498</v>
      </c>
      <c r="L218" s="33">
        <f t="shared" ref="L218:L219" si="140">+(K218/K217-1)/(F218-F217)*360</f>
        <v>4.2178797543139801E-2</v>
      </c>
      <c r="M218" s="26">
        <f t="shared" ref="M218:M219" si="141">+M217*(1+L218)</f>
        <v>303.33195943993746</v>
      </c>
    </row>
    <row r="219" spans="1:13">
      <c r="A219" s="25">
        <v>45291</v>
      </c>
      <c r="B219" s="11">
        <v>23256.05</v>
      </c>
      <c r="C219" s="33">
        <f t="shared" si="135"/>
        <v>8.224199939930249E-2</v>
      </c>
      <c r="D219" s="11">
        <f t="shared" si="136"/>
        <v>212.32313290983225</v>
      </c>
      <c r="F219" s="25">
        <v>45291</v>
      </c>
      <c r="G219" s="12">
        <v>1.1172</v>
      </c>
      <c r="H219" s="12">
        <f t="shared" ref="H219" si="142">+G219+$S$146+$S$148+$S$150+$S$152</f>
        <v>1.1344675607989894</v>
      </c>
      <c r="I219" s="33">
        <f t="shared" ref="I219" si="143">+(H219/H218-1)/(F219-F218)*360</f>
        <v>2.4619526879000202E-2</v>
      </c>
      <c r="J219" s="26">
        <f t="shared" ref="J219" si="144">+J218*(1+I219)</f>
        <v>436.67857646882914</v>
      </c>
      <c r="K219" s="11">
        <v>1340.7416000000001</v>
      </c>
      <c r="L219" s="33">
        <f t="shared" si="140"/>
        <v>4.5596039346251428E-2</v>
      </c>
      <c r="M219" s="26">
        <f t="shared" si="141"/>
        <v>317.16269539753637</v>
      </c>
    </row>
    <row r="220" spans="1:13">
      <c r="A220" s="25">
        <v>45322</v>
      </c>
      <c r="B220" s="11">
        <v>23427.15</v>
      </c>
      <c r="C220" s="33">
        <f t="shared" ref="C220" si="145">(B220/B219-1)/(A220-A219)*360</f>
        <v>8.5438745699959323E-2</v>
      </c>
      <c r="D220" s="11">
        <f t="shared" ref="D220" si="146">B220/$B$3*100</f>
        <v>213.88524204018208</v>
      </c>
      <c r="F220" s="25">
        <v>45322</v>
      </c>
      <c r="G220" s="12">
        <v>1.1192</v>
      </c>
      <c r="H220" s="12">
        <f t="shared" ref="H220" si="147">+G220+$S$146+$S$148+$S$150+$S$152</f>
        <v>1.1364675607989894</v>
      </c>
      <c r="I220" s="33">
        <f t="shared" ref="I220" si="148">+(H220/H219-1)/(F220-F219)*360</f>
        <v>2.0472869612292194E-2</v>
      </c>
      <c r="J220" s="26">
        <f t="shared" ref="J220" si="149">+J219*(1+I220)</f>
        <v>445.61864002735683</v>
      </c>
      <c r="K220" s="11">
        <v>1345.8844999999999</v>
      </c>
      <c r="L220" s="33">
        <f t="shared" ref="L220" si="150">+(K220/K219-1)/(F220-F219)*360</f>
        <v>4.4545496313381353E-2</v>
      </c>
      <c r="M220" s="26">
        <f t="shared" ref="M220" si="151">+M219*(1+L220)</f>
        <v>331.29086507610941</v>
      </c>
    </row>
    <row r="221" spans="1:13">
      <c r="A221" s="25">
        <v>45351</v>
      </c>
      <c r="B221" s="11">
        <v>23570.34</v>
      </c>
      <c r="C221" s="33">
        <f t="shared" ref="C221" si="152">(B221/B220-1)/(A221-A220)*360</f>
        <v>7.5874830463062287E-2</v>
      </c>
      <c r="D221" s="11">
        <f t="shared" ref="D221" si="153">B221/$B$3*100</f>
        <v>215.19253839538251</v>
      </c>
      <c r="F221" s="25">
        <v>45351</v>
      </c>
      <c r="G221" s="12">
        <v>1.1209</v>
      </c>
      <c r="H221" s="12">
        <f t="shared" ref="H221" si="154">+G221+$S$146+$S$148+$S$150+$S$152</f>
        <v>1.1381675607989894</v>
      </c>
      <c r="I221" s="33">
        <f t="shared" ref="I221" si="155">+(H221/H220-1)/(F221-F220)*360</f>
        <v>1.856933625190816E-2</v>
      </c>
      <c r="J221" s="26">
        <f t="shared" ref="J221" si="156">+J220*(1+I221)</f>
        <v>453.89348239414284</v>
      </c>
      <c r="K221" s="11">
        <v>1350.6208999999999</v>
      </c>
      <c r="L221" s="33">
        <f t="shared" ref="L221" si="157">+(K221/K220-1)/(F221-F220)*360</f>
        <v>4.3686281887614267E-2</v>
      </c>
      <c r="M221" s="26">
        <f t="shared" ref="M221" si="158">+M220*(1+L221)</f>
        <v>345.7637311946159</v>
      </c>
    </row>
    <row r="222" spans="1:13">
      <c r="A222" s="25">
        <v>45379</v>
      </c>
      <c r="B222" s="11">
        <v>23703.45</v>
      </c>
      <c r="C222" s="33">
        <f t="shared" ref="C222" si="159">(B222/B221-1)/(A222-A221)*360</f>
        <v>7.2608807752212137E-2</v>
      </c>
      <c r="D222" s="11">
        <f t="shared" ref="D222" si="160">B222/$B$3*100</f>
        <v>216.40780634594284</v>
      </c>
      <c r="F222" s="25">
        <v>45379</v>
      </c>
      <c r="G222" s="12">
        <v>1.123</v>
      </c>
      <c r="H222" s="12">
        <f t="shared" ref="H222" si="161">+G222+$S$146+$S$148+$S$150+$S$152</f>
        <v>1.1402675607989894</v>
      </c>
      <c r="I222" s="33">
        <f t="shared" ref="I222" si="162">+(H222/H221-1)/(F222-F221)*360</f>
        <v>2.3722341885271513E-2</v>
      </c>
      <c r="J222" s="26">
        <f t="shared" ref="J222" si="163">+J221*(1+I222)</f>
        <v>464.66089876299316</v>
      </c>
      <c r="K222" s="11">
        <v>1355.1433</v>
      </c>
      <c r="L222" s="33">
        <f t="shared" ref="L222" si="164">+(K222/K221-1)/(F222-F221)*360</f>
        <v>4.3050676068423499E-2</v>
      </c>
      <c r="M222" s="26">
        <f t="shared" ref="M222" si="165">+M221*(1+L222)</f>
        <v>360.64909358248474</v>
      </c>
    </row>
    <row r="223" spans="1:13">
      <c r="A223" s="25">
        <v>45412</v>
      </c>
      <c r="B223" s="11">
        <v>23847.87</v>
      </c>
      <c r="C223" s="33">
        <f t="shared" ref="C223:C224" si="166">(B223/B222-1)/(A223-A222)*360</f>
        <v>6.6466734129036323E-2</v>
      </c>
      <c r="D223" s="11">
        <f t="shared" ref="D223:D224" si="167">B223/$B$3*100</f>
        <v>217.72633235766185</v>
      </c>
      <c r="F223" s="25">
        <v>45412</v>
      </c>
      <c r="G223" s="12">
        <v>1.1252</v>
      </c>
      <c r="H223" s="12">
        <f t="shared" ref="H223" si="168">+G223+$S$146+$S$148+$S$150+$S$152</f>
        <v>1.1424675607989894</v>
      </c>
      <c r="I223" s="33">
        <f t="shared" ref="I223" si="169">+(H223/H222-1)/(F223-F222)*360</f>
        <v>2.1047691634042662E-2</v>
      </c>
      <c r="J223" s="26">
        <f t="shared" ref="J223" si="170">+J222*(1+I223)</f>
        <v>474.4409380745538</v>
      </c>
      <c r="K223" s="11">
        <v>1360.4607000000001</v>
      </c>
      <c r="L223" s="33">
        <f t="shared" ref="L223" si="171">+(K223/K222-1)/(F223-F222)*360</f>
        <v>4.2805805113010305E-2</v>
      </c>
      <c r="M223" s="26">
        <f t="shared" ref="M223" si="172">+M222*(1+L223)</f>
        <v>376.08696839656039</v>
      </c>
    </row>
    <row r="224" spans="1:13">
      <c r="A224" s="25">
        <v>45443</v>
      </c>
      <c r="B224" s="11">
        <v>23979.37</v>
      </c>
      <c r="C224" s="33">
        <f t="shared" si="166"/>
        <v>6.4034933694016499E-2</v>
      </c>
      <c r="D224" s="11">
        <f t="shared" si="167"/>
        <v>218.92690132692545</v>
      </c>
      <c r="F224" s="25">
        <v>45443</v>
      </c>
      <c r="G224" s="12">
        <v>1.1268</v>
      </c>
      <c r="H224" s="12">
        <f t="shared" ref="H224" si="173">+G224+$S$146+$S$148+$S$150+$S$152</f>
        <v>1.1440675607989894</v>
      </c>
      <c r="I224" s="33">
        <f t="shared" ref="I224" si="174">+(H224/H223-1)/(F224-F223)*360</f>
        <v>1.6263608524950877E-2</v>
      </c>
      <c r="J224" s="26">
        <f t="shared" ref="J224" si="175">+J223*(1+I224)</f>
        <v>482.15705975960879</v>
      </c>
      <c r="K224" s="11">
        <v>1365.4448</v>
      </c>
      <c r="L224" s="33">
        <f t="shared" ref="L224" si="176">+(K224/K223-1)/(F224-F223)*360</f>
        <v>4.2544316765445692E-2</v>
      </c>
      <c r="M224" s="26">
        <f t="shared" ref="M224" si="177">+M223*(1+L224)</f>
        <v>392.08733151137989</v>
      </c>
    </row>
    <row r="225" spans="1:13">
      <c r="A225" s="25">
        <v>45473</v>
      </c>
      <c r="B225" s="27">
        <v>24090</v>
      </c>
      <c r="C225" s="33">
        <f t="shared" ref="C225" si="178">(B225/B224-1)/(A225-A224)*360</f>
        <v>5.5362588758586462E-2</v>
      </c>
      <c r="D225" s="11">
        <f t="shared" ref="D225" si="179">B225/$B$3*100</f>
        <v>219.93693132745497</v>
      </c>
      <c r="F225" s="25">
        <v>45473</v>
      </c>
      <c r="G225" s="12">
        <v>1.1275999999999999</v>
      </c>
      <c r="H225" s="12">
        <f t="shared" ref="H225" si="180">+G225+$S$146+$S$148+$S$150+$S$152</f>
        <v>1.1448675607989893</v>
      </c>
      <c r="I225" s="33">
        <f t="shared" ref="I225" si="181">+(H225/H224-1)/(F225-F224)*360</f>
        <v>8.3911128406572999E-3</v>
      </c>
      <c r="J225" s="26">
        <f t="shared" ref="J225" si="182">+J224*(1+I225)</f>
        <v>486.20289405497118</v>
      </c>
      <c r="K225" s="11">
        <v>1370.2828999999999</v>
      </c>
      <c r="L225" s="33">
        <f t="shared" ref="L225" si="183">+(K225/K224-1)/(F225-F224)*360</f>
        <v>4.2518892012331833E-2</v>
      </c>
      <c r="M225" s="26">
        <f t="shared" ref="M225" si="184">+M224*(1+L225)</f>
        <v>408.75845041931558</v>
      </c>
    </row>
    <row r="226" spans="1:13">
      <c r="A226" s="25">
        <v>45504</v>
      </c>
      <c r="B226" s="11">
        <v>24217.3</v>
      </c>
      <c r="C226" s="33">
        <f t="shared" ref="C226" si="185">(B226/B225-1)/(A226-A225)*360</f>
        <v>6.1366649258827385E-2</v>
      </c>
      <c r="D226" s="11">
        <f t="shared" ref="D226" si="186">B226/$B$3*100</f>
        <v>221.0991551281185</v>
      </c>
      <c r="F226" s="25">
        <v>45504</v>
      </c>
      <c r="G226" s="12">
        <v>1.1281000000000001</v>
      </c>
      <c r="H226" s="12">
        <f t="shared" ref="H226" si="187">+G226+$S$146+$S$148+$S$150+$S$152</f>
        <v>1.1453675607989895</v>
      </c>
      <c r="I226" s="33">
        <f t="shared" ref="I226" si="188">+(H226/H225-1)/(F226-F225)*360</f>
        <v>5.0717234130144432E-3</v>
      </c>
      <c r="J226" s="26">
        <f t="shared" ref="J226" si="189">+J225*(1+I226)</f>
        <v>488.66878065622518</v>
      </c>
      <c r="K226" s="11">
        <v>1375.2636</v>
      </c>
      <c r="L226" s="33">
        <f t="shared" ref="L226" si="190">+(K226/K225-1)/(F226-F225)*360</f>
        <v>4.2210544331228068E-2</v>
      </c>
      <c r="M226" s="26">
        <f t="shared" ref="M226" si="191">+M225*(1+L226)</f>
        <v>426.0123671115042</v>
      </c>
    </row>
    <row r="227" spans="1:13">
      <c r="A227" s="25">
        <v>45535</v>
      </c>
      <c r="B227" s="11">
        <v>24333.599999999999</v>
      </c>
      <c r="C227" s="33">
        <f t="shared" ref="C227" si="192">(B227/B226-1)/(A227-A226)*360</f>
        <v>5.5769249468819934E-2</v>
      </c>
      <c r="D227" s="11">
        <f t="shared" ref="D227" si="193">B227/$B$3*100</f>
        <v>222.1609511062581</v>
      </c>
      <c r="F227" s="25">
        <v>45535</v>
      </c>
      <c r="G227" s="12">
        <v>1.1289</v>
      </c>
      <c r="H227" s="12">
        <f t="shared" ref="H227" si="194">+G227+$S$146+$S$148+$S$150+$S$152</f>
        <v>1.1461675607989894</v>
      </c>
      <c r="I227" s="33">
        <f t="shared" ref="I227" si="195">+(H227/H226-1)/(F227-F226)*360</f>
        <v>8.1112150357776809E-3</v>
      </c>
      <c r="J227" s="26">
        <f t="shared" ref="J227" si="196">+J226*(1+I227)</f>
        <v>492.63247821739907</v>
      </c>
      <c r="K227" s="11">
        <v>1380.2955999999999</v>
      </c>
      <c r="L227" s="33">
        <f t="shared" ref="L227" si="197">+(K227/K226-1)/(F227-F226)*360</f>
        <v>4.2490857048972694E-2</v>
      </c>
      <c r="M227" s="26">
        <f t="shared" ref="M227" si="198">+M226*(1+L227)</f>
        <v>444.11399770353358</v>
      </c>
    </row>
    <row r="228" spans="1:13">
      <c r="A228" s="25">
        <v>45565</v>
      </c>
      <c r="B228" s="11">
        <v>24449.94</v>
      </c>
      <c r="C228" s="33">
        <f t="shared" ref="C228" si="199">(B228/B227-1)/(A228-A227)*360</f>
        <v>5.7372521944966344E-2</v>
      </c>
      <c r="D228" s="11">
        <f t="shared" ref="D228" si="200">B228/$B$3*100</f>
        <v>223.22311227647961</v>
      </c>
      <c r="F228" s="25">
        <v>45565</v>
      </c>
      <c r="G228" s="12">
        <v>1.1321000000000001</v>
      </c>
      <c r="H228" s="12">
        <f t="shared" ref="H228" si="201">+G228+$S$146+$S$148+$S$150+$S$152</f>
        <v>1.1493675607989895</v>
      </c>
      <c r="I228" s="33">
        <f t="shared" ref="I228" si="202">+(H228/H227-1)/(F228-F227)*360</f>
        <v>3.3502954815116226E-2</v>
      </c>
      <c r="J228" s="26">
        <f t="shared" ref="J228" si="203">+J227*(1+I228)</f>
        <v>509.1371218755753</v>
      </c>
      <c r="K228" s="11">
        <v>1384.9927</v>
      </c>
      <c r="L228" s="33">
        <f t="shared" ref="L228" si="204">+(K228/K227-1)/(F228-F227)*360</f>
        <v>4.0835600722048504E-2</v>
      </c>
      <c r="M228" s="26">
        <f t="shared" ref="M228" si="205">+M227*(1+L228)</f>
        <v>462.24965958882785</v>
      </c>
    </row>
    <row r="229" spans="1:13">
      <c r="A229" s="25">
        <v>45596</v>
      </c>
      <c r="B229" s="11">
        <v>24560.22</v>
      </c>
      <c r="C229" s="33">
        <f t="shared" ref="C229" si="206">(B229/B228-1)/(A229-A228)*360</f>
        <v>5.2379309222924143E-2</v>
      </c>
      <c r="D229" s="11">
        <f t="shared" ref="D229" si="207">B229/$B$3*100</f>
        <v>224.22994684629251</v>
      </c>
      <c r="F229" s="25">
        <v>45596</v>
      </c>
      <c r="G229" s="12">
        <v>1.1325000000000001</v>
      </c>
      <c r="H229" s="12">
        <f t="shared" ref="H229" si="208">+G229+$S$146+$S$148+$S$150+$S$152</f>
        <v>1.1497675607989895</v>
      </c>
      <c r="I229" s="33">
        <f t="shared" ref="I229" si="209">+(H229/H228-1)/(F229-F228)*360</f>
        <v>4.0414932948804319E-3</v>
      </c>
      <c r="J229" s="26">
        <f t="shared" ref="J229" si="210">+J228*(1+I229)</f>
        <v>511.19479613981019</v>
      </c>
      <c r="K229" s="11">
        <v>1389.7002</v>
      </c>
      <c r="L229" s="33">
        <f t="shared" ref="L229" si="211">+(K229/K228-1)/(F229-F228)*360</f>
        <v>3.9471501860971661E-2</v>
      </c>
      <c r="M229" s="26">
        <f t="shared" ref="M229" si="212">+M228*(1+L229)</f>
        <v>480.4953478875218</v>
      </c>
    </row>
    <row r="230" spans="1:13">
      <c r="A230" s="25">
        <v>45626</v>
      </c>
      <c r="B230" s="11">
        <v>24667.9</v>
      </c>
      <c r="C230" s="33">
        <f t="shared" ref="C230" si="213">(B230/B229-1)/(A230-A229)*360</f>
        <v>5.2611906570868783E-2</v>
      </c>
      <c r="D230" s="11">
        <f t="shared" ref="D230" si="214">B230/$B$3*100</f>
        <v>225.21304393078151</v>
      </c>
      <c r="F230" s="25">
        <v>45626</v>
      </c>
      <c r="G230" s="12">
        <v>1.1344000000000001</v>
      </c>
      <c r="H230" s="12">
        <f t="shared" ref="H230" si="215">+G230+$S$146+$S$148+$S$150+$S$152</f>
        <v>1.1516675607989895</v>
      </c>
      <c r="I230" s="33">
        <f t="shared" ref="I230" si="216">+(H230/H229-1)/(F230-F229)*360</f>
        <v>1.9830095036041051E-2</v>
      </c>
      <c r="J230" s="26">
        <f t="shared" ref="J230" si="217">+J229*(1+I230)</f>
        <v>521.33183752919228</v>
      </c>
      <c r="K230" s="11">
        <v>1394.0594000000001</v>
      </c>
      <c r="L230" s="33">
        <f t="shared" ref="L230" si="218">+(K230/K229-1)/(F230-F229)*360</f>
        <v>3.7641499943658729E-2</v>
      </c>
      <c r="M230" s="26">
        <f t="shared" ref="M230" si="219">+M229*(1+L230)</f>
        <v>498.58191349795823</v>
      </c>
    </row>
    <row r="231" spans="1:13">
      <c r="A231" s="25">
        <v>45657</v>
      </c>
      <c r="B231" s="11">
        <v>24777.58</v>
      </c>
      <c r="C231" s="33">
        <f t="shared" ref="C231" si="220">(B231/B230-1)/(A231-A230)*360</f>
        <v>5.1634035560646233E-2</v>
      </c>
      <c r="D231" s="11">
        <f t="shared" ref="D231" si="221">B231/$B$3*100</f>
        <v>226.21440061936582</v>
      </c>
      <c r="F231" s="25">
        <v>45657</v>
      </c>
      <c r="G231" s="12">
        <v>1.1380999999999999</v>
      </c>
      <c r="H231" s="12">
        <f t="shared" ref="H231" si="222">+G231+$S$146+$S$148+$S$150+$S$152</f>
        <v>1.1553675607989893</v>
      </c>
      <c r="I231" s="33">
        <f t="shared" ref="I231" si="223">+(H231/H230-1)/(F231-F230)*360</f>
        <v>3.7309153611717036E-2</v>
      </c>
      <c r="J231" s="26">
        <f t="shared" ref="J231" si="224">+J230*(1+I231)</f>
        <v>540.78228713824763</v>
      </c>
      <c r="K231" s="11">
        <v>1398.4869000000001</v>
      </c>
      <c r="L231" s="33">
        <f t="shared" ref="L231" si="225">+(K231/K230-1)/(F231-F230)*360</f>
        <v>3.6882308624910591E-2</v>
      </c>
      <c r="M231" s="26">
        <f t="shared" ref="M231" si="226">+M230*(1+L231)</f>
        <v>516.97076550638837</v>
      </c>
    </row>
    <row r="232" spans="1:13">
      <c r="A232" s="25">
        <v>45688</v>
      </c>
      <c r="B232" s="11">
        <v>24887.95</v>
      </c>
      <c r="C232" s="33">
        <f t="shared" ref="C232" si="227">(B232/B231-1)/(A232-A231)*360</f>
        <v>5.1728866541133824E-2</v>
      </c>
      <c r="D232" s="11">
        <f t="shared" ref="D232" si="228">B232/$B$3*100</f>
        <v>227.22205687136295</v>
      </c>
      <c r="F232" s="25">
        <v>45688</v>
      </c>
      <c r="G232" s="12">
        <v>1.1409</v>
      </c>
      <c r="H232" s="12">
        <f t="shared" ref="H232" si="229">+G232+$S$146+$S$148+$S$150+$S$152</f>
        <v>1.1581675607989894</v>
      </c>
      <c r="I232" s="33">
        <f t="shared" ref="I232" si="230">+(H232/H231-1)/(F232-F231)*360</f>
        <v>2.8143536425563727E-2</v>
      </c>
      <c r="J232" s="26">
        <f t="shared" ref="J232" si="231">+J231*(1+I232)</f>
        <v>556.00181313462258</v>
      </c>
      <c r="K232" s="11">
        <v>1402.8009999999999</v>
      </c>
      <c r="L232" s="33">
        <f t="shared" ref="L232" si="232">+(K232/K231-1)/(F232-F231)*360</f>
        <v>3.5823879227219982E-2</v>
      </c>
      <c r="M232" s="26">
        <f t="shared" ref="M232" si="233">+M231*(1+L232)</f>
        <v>535.49066377389272</v>
      </c>
    </row>
    <row r="233" spans="1:13">
      <c r="A233" s="25">
        <v>45716</v>
      </c>
      <c r="F233" s="25">
        <v>45716</v>
      </c>
    </row>
    <row r="234" spans="1:13">
      <c r="A234" s="25">
        <v>45747</v>
      </c>
      <c r="F234" s="25">
        <v>45747</v>
      </c>
    </row>
    <row r="235" spans="1:13">
      <c r="A235" s="25">
        <v>45777</v>
      </c>
      <c r="F235" s="25">
        <v>45777</v>
      </c>
    </row>
    <row r="236" spans="1:13">
      <c r="A236" s="25">
        <v>45808</v>
      </c>
      <c r="F236" s="25">
        <v>45808</v>
      </c>
    </row>
    <row r="237" spans="1:13">
      <c r="A237" s="25">
        <v>45838</v>
      </c>
      <c r="F237" s="25">
        <v>45838</v>
      </c>
    </row>
    <row r="238" spans="1:13">
      <c r="A238" s="25">
        <v>45869</v>
      </c>
      <c r="F238" s="25">
        <v>45869</v>
      </c>
    </row>
    <row r="239" spans="1:13">
      <c r="A239" s="25">
        <v>45900</v>
      </c>
      <c r="F239" s="25">
        <v>45900</v>
      </c>
    </row>
    <row r="240" spans="1:13">
      <c r="A240" s="25">
        <v>45930</v>
      </c>
      <c r="F240" s="25">
        <v>45930</v>
      </c>
    </row>
    <row r="241" spans="1:6">
      <c r="A241" s="25">
        <v>45961</v>
      </c>
      <c r="F241" s="25">
        <v>45961</v>
      </c>
    </row>
    <row r="242" spans="1:6">
      <c r="A242" s="25">
        <v>45991</v>
      </c>
      <c r="F242" s="25">
        <v>45991</v>
      </c>
    </row>
    <row r="243" spans="1:6">
      <c r="A243" s="25">
        <v>46022</v>
      </c>
      <c r="F243" s="25">
        <v>46022</v>
      </c>
    </row>
  </sheetData>
  <mergeCells count="10">
    <mergeCell ref="AV27:AV28"/>
    <mergeCell ref="AC59:AC60"/>
    <mergeCell ref="AC57:AC58"/>
    <mergeCell ref="AC61:AC62"/>
    <mergeCell ref="AC63:AC64"/>
    <mergeCell ref="AC75:AC76"/>
    <mergeCell ref="AC73:AC74"/>
    <mergeCell ref="AC71:AC72"/>
    <mergeCell ref="AC69:AC70"/>
    <mergeCell ref="AC66:AC6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X25"/>
  <sheetViews>
    <sheetView showGridLines="0" zoomScale="70" zoomScaleNormal="70" workbookViewId="0">
      <selection activeCell="C6" sqref="C6:Q25"/>
    </sheetView>
  </sheetViews>
  <sheetFormatPr defaultColWidth="11.42578125" defaultRowHeight="14.45"/>
  <cols>
    <col min="3" max="3" width="6.140625" style="7" bestFit="1" customWidth="1"/>
    <col min="4" max="4" width="18.85546875" customWidth="1"/>
    <col min="5" max="16" width="7.7109375" customWidth="1"/>
    <col min="17" max="17" width="10.140625" customWidth="1"/>
    <col min="19" max="19" width="19" bestFit="1" customWidth="1"/>
    <col min="20" max="20" width="9" bestFit="1" customWidth="1"/>
    <col min="21" max="21" width="11.140625" bestFit="1" customWidth="1"/>
    <col min="22" max="22" width="12.28515625" customWidth="1"/>
    <col min="23" max="23" width="6.85546875" bestFit="1" customWidth="1"/>
    <col min="24" max="24" width="13.85546875" customWidth="1"/>
  </cols>
  <sheetData>
    <row r="1" spans="2:24" ht="26.45">
      <c r="C1" s="80"/>
      <c r="D1" s="81"/>
      <c r="E1" s="81"/>
      <c r="F1" s="81"/>
      <c r="G1" s="81"/>
      <c r="H1" s="81"/>
      <c r="I1" s="81"/>
      <c r="J1" s="81"/>
      <c r="K1" s="81"/>
      <c r="L1" s="81"/>
      <c r="M1" s="81"/>
      <c r="N1" s="81"/>
      <c r="O1" s="81"/>
      <c r="P1" s="81"/>
      <c r="Q1" s="81"/>
      <c r="R1" s="81"/>
      <c r="S1" s="83" t="s">
        <v>29</v>
      </c>
      <c r="T1" s="84" t="s">
        <v>30</v>
      </c>
      <c r="U1" s="84" t="s">
        <v>31</v>
      </c>
      <c r="V1" s="84" t="s">
        <v>32</v>
      </c>
      <c r="W1" s="84" t="s">
        <v>33</v>
      </c>
      <c r="X1" s="85" t="s">
        <v>42</v>
      </c>
    </row>
    <row r="2" spans="2:24">
      <c r="C2" s="80"/>
      <c r="D2" s="81"/>
      <c r="E2" s="81"/>
      <c r="F2" s="81"/>
      <c r="G2" s="81"/>
      <c r="H2" s="81"/>
      <c r="I2" s="81"/>
      <c r="J2" s="81"/>
      <c r="K2" s="81"/>
      <c r="L2" s="81"/>
      <c r="M2" s="81"/>
      <c r="N2" s="81"/>
      <c r="O2" s="81"/>
      <c r="P2" s="81"/>
      <c r="Q2" s="81"/>
      <c r="R2" s="81"/>
      <c r="S2" s="80" t="s">
        <v>25</v>
      </c>
      <c r="T2" s="86">
        <f>+'Datos ICP (2)'!AX27</f>
        <v>3.5823879227219982E-2</v>
      </c>
      <c r="U2" s="86">
        <f>+'Datos ICP (2)'!AY27</f>
        <v>3.6888531785488246E-2</v>
      </c>
      <c r="V2" s="86">
        <f>+'Datos ICP (2)'!AZ27</f>
        <v>3.9176141751392453E-2</v>
      </c>
      <c r="W2" s="86">
        <f>+'Datos ICP (2)'!BA27</f>
        <v>4.1596023004166323E-2</v>
      </c>
      <c r="X2" s="86">
        <f>+'Datos ICP (2)'!BB27</f>
        <v>3.7018008534793978E-2</v>
      </c>
    </row>
    <row r="3" spans="2:24">
      <c r="C3" s="80"/>
      <c r="D3" s="81"/>
      <c r="E3" s="81"/>
      <c r="F3" s="81"/>
      <c r="G3" s="81"/>
      <c r="H3" s="81"/>
      <c r="I3" s="81"/>
      <c r="J3" s="81"/>
      <c r="K3" s="81"/>
      <c r="L3" s="81"/>
      <c r="M3" s="81"/>
      <c r="N3" s="81"/>
      <c r="O3" s="81"/>
      <c r="P3" s="81"/>
      <c r="Q3" s="81"/>
      <c r="R3" s="81"/>
      <c r="S3" s="80" t="s">
        <v>26</v>
      </c>
      <c r="T3" s="86">
        <f>+'Datos ICP (2)'!AX28</f>
        <v>2.8143536425563727E-2</v>
      </c>
      <c r="U3" s="86">
        <f>+'Datos ICP (2)'!AY28</f>
        <v>2.8588008862025817E-2</v>
      </c>
      <c r="V3" s="86">
        <f>+'Datos ICP (2)'!AZ28</f>
        <v>2.1865014444271136E-2</v>
      </c>
      <c r="W3" s="86">
        <f>+'Datos ICP (2)'!BA28</f>
        <v>1.8781233210102367E-2</v>
      </c>
      <c r="X3" s="86">
        <f>+'Datos ICP (2)'!BB28</f>
        <v>2.9081654306415849E-2</v>
      </c>
    </row>
    <row r="4" spans="2:24">
      <c r="C4" s="80"/>
      <c r="D4" s="81"/>
      <c r="E4" s="81"/>
      <c r="F4" s="81"/>
      <c r="G4" s="81"/>
      <c r="H4" s="81"/>
      <c r="I4" s="81"/>
      <c r="J4" s="81"/>
      <c r="K4" s="81"/>
      <c r="L4" s="81"/>
      <c r="M4" s="81"/>
      <c r="N4" s="81"/>
      <c r="O4" s="81"/>
      <c r="P4" s="81"/>
      <c r="Q4" s="81"/>
      <c r="R4" s="81"/>
      <c r="S4" s="81"/>
      <c r="T4" s="81"/>
      <c r="U4" s="81"/>
      <c r="V4" s="81"/>
      <c r="W4" s="81"/>
      <c r="X4" s="81"/>
    </row>
    <row r="5" spans="2:24">
      <c r="B5" s="10"/>
      <c r="C5" s="80"/>
      <c r="D5" s="81"/>
      <c r="E5" s="81"/>
      <c r="F5" s="81"/>
      <c r="G5" s="81"/>
      <c r="H5" s="81"/>
      <c r="I5" s="81"/>
      <c r="J5" s="81"/>
      <c r="K5" s="81"/>
      <c r="L5" s="81"/>
      <c r="M5" s="81"/>
      <c r="N5" s="81"/>
      <c r="O5" s="81"/>
      <c r="P5" s="81"/>
      <c r="Q5" s="81"/>
      <c r="R5" s="81"/>
      <c r="S5" s="81"/>
      <c r="T5" s="81"/>
      <c r="U5" s="81"/>
      <c r="V5" s="81"/>
      <c r="W5" s="81"/>
      <c r="X5" s="81"/>
    </row>
    <row r="6" spans="2:24" ht="26.45">
      <c r="B6" s="10"/>
      <c r="C6" s="83" t="s">
        <v>35</v>
      </c>
      <c r="D6" s="87" t="s">
        <v>36</v>
      </c>
      <c r="E6" s="84" t="s">
        <v>4</v>
      </c>
      <c r="F6" s="84" t="s">
        <v>5</v>
      </c>
      <c r="G6" s="84" t="s">
        <v>6</v>
      </c>
      <c r="H6" s="84" t="s">
        <v>7</v>
      </c>
      <c r="I6" s="84" t="s">
        <v>8</v>
      </c>
      <c r="J6" s="84" t="s">
        <v>9</v>
      </c>
      <c r="K6" s="84" t="s">
        <v>10</v>
      </c>
      <c r="L6" s="84" t="s">
        <v>11</v>
      </c>
      <c r="M6" s="84" t="s">
        <v>12</v>
      </c>
      <c r="N6" s="84" t="s">
        <v>13</v>
      </c>
      <c r="O6" s="84" t="s">
        <v>14</v>
      </c>
      <c r="P6" s="84" t="s">
        <v>15</v>
      </c>
      <c r="Q6" s="85" t="s">
        <v>43</v>
      </c>
      <c r="R6" s="82"/>
      <c r="S6" s="81"/>
      <c r="T6" s="81"/>
      <c r="U6" s="81"/>
      <c r="V6" s="81"/>
      <c r="W6" s="81"/>
      <c r="X6" s="81"/>
    </row>
    <row r="7" spans="2:24" ht="9.6" customHeight="1">
      <c r="B7" s="10"/>
      <c r="C7" s="80"/>
      <c r="D7" s="81"/>
      <c r="E7" s="88"/>
      <c r="F7" s="88"/>
      <c r="G7" s="88"/>
      <c r="H7" s="88"/>
      <c r="I7" s="88"/>
      <c r="J7" s="88"/>
      <c r="K7" s="88"/>
      <c r="L7" s="88"/>
      <c r="M7" s="88"/>
      <c r="N7" s="88"/>
      <c r="O7" s="88"/>
      <c r="P7" s="88"/>
      <c r="Q7" s="88"/>
      <c r="R7" s="82"/>
      <c r="S7" s="81"/>
      <c r="T7" s="81"/>
      <c r="U7" s="81"/>
      <c r="V7" s="81"/>
      <c r="W7" s="81"/>
      <c r="X7" s="81"/>
    </row>
    <row r="8" spans="2:24" ht="15" customHeight="1">
      <c r="B8" s="10"/>
      <c r="C8" s="80">
        <v>2017</v>
      </c>
      <c r="D8" s="81" t="s">
        <v>25</v>
      </c>
      <c r="E8" s="86"/>
      <c r="F8" s="86"/>
      <c r="G8" s="86"/>
      <c r="H8" s="86"/>
      <c r="I8" s="86">
        <v>4.6197641583761899E-3</v>
      </c>
      <c r="J8" s="86">
        <v>4.9980545286780753E-3</v>
      </c>
      <c r="K8" s="86">
        <v>4.7507295330012815E-3</v>
      </c>
      <c r="L8" s="86">
        <v>6.0897556212559777E-3</v>
      </c>
      <c r="M8" s="86">
        <v>6.7787163890908886E-3</v>
      </c>
      <c r="N8" s="86">
        <v>7.2728483717021675E-3</v>
      </c>
      <c r="O8" s="86">
        <v>7.8583667976781513E-3</v>
      </c>
      <c r="P8" s="86">
        <v>9.6037278865836583E-3</v>
      </c>
      <c r="Q8" s="86">
        <v>6.6439551195101032E-3</v>
      </c>
      <c r="R8" s="81"/>
      <c r="S8" s="81"/>
      <c r="T8" s="81"/>
      <c r="U8" s="81"/>
      <c r="V8" s="81"/>
      <c r="W8" s="81"/>
      <c r="X8" s="81"/>
    </row>
    <row r="9" spans="2:24" ht="15" customHeight="1">
      <c r="B9" s="10"/>
      <c r="C9" s="80"/>
      <c r="D9" s="81" t="s">
        <v>26</v>
      </c>
      <c r="E9" s="86"/>
      <c r="F9" s="86"/>
      <c r="G9" s="86"/>
      <c r="H9" s="86"/>
      <c r="I9" s="86">
        <v>5.806451612902587E-3</v>
      </c>
      <c r="J9" s="86">
        <v>5.9970014992503096E-3</v>
      </c>
      <c r="K9" s="86">
        <v>5.8006509619443116E-3</v>
      </c>
      <c r="L9" s="86">
        <v>5.7977549804329401E-3</v>
      </c>
      <c r="M9" s="86">
        <v>5.9880239520939691E-3</v>
      </c>
      <c r="N9" s="86">
        <v>5.7919716836933727E-3</v>
      </c>
      <c r="O9" s="86">
        <v>8.374875373880819E-3</v>
      </c>
      <c r="P9" s="86">
        <v>8.4588655522967217E-3</v>
      </c>
      <c r="Q9" s="86">
        <v>6.6466461000002086E-3</v>
      </c>
      <c r="R9" s="81"/>
      <c r="S9" s="81"/>
      <c r="T9" s="81"/>
      <c r="U9" s="81"/>
      <c r="V9" s="81"/>
      <c r="W9" s="81"/>
      <c r="X9" s="81"/>
    </row>
    <row r="10" spans="2:24" ht="15" customHeight="1">
      <c r="B10" s="10"/>
      <c r="C10" s="80">
        <v>2018</v>
      </c>
      <c r="D10" s="81" t="s">
        <v>25</v>
      </c>
      <c r="E10" s="86">
        <v>1.0967707820073671E-2</v>
      </c>
      <c r="F10" s="86">
        <v>1.0622313246440029E-2</v>
      </c>
      <c r="G10" s="86">
        <v>1.090269598324102E-2</v>
      </c>
      <c r="H10" s="86">
        <v>1.228770336832774E-2</v>
      </c>
      <c r="I10" s="86">
        <v>1.3576049495116269E-2</v>
      </c>
      <c r="J10" s="86">
        <v>1.4993145885560999E-2</v>
      </c>
      <c r="K10" s="86">
        <v>1.6017646157316396E-2</v>
      </c>
      <c r="L10" s="86">
        <v>1.5773527601195707E-2</v>
      </c>
      <c r="M10" s="86">
        <v>1.6705268102634285E-2</v>
      </c>
      <c r="N10" s="86">
        <v>1.6964679656212699E-2</v>
      </c>
      <c r="O10" s="86">
        <v>1.5174929296453143E-2</v>
      </c>
      <c r="P10" s="86">
        <v>1.8100758996559756E-2</v>
      </c>
      <c r="Q10" s="86">
        <v>1.4663028271348244E-2</v>
      </c>
      <c r="R10" s="81"/>
      <c r="S10" s="81"/>
      <c r="T10" s="81"/>
      <c r="U10" s="81"/>
      <c r="V10" s="81"/>
      <c r="W10" s="81"/>
      <c r="X10" s="81"/>
    </row>
    <row r="11" spans="2:24" ht="15" customHeight="1">
      <c r="B11" s="10"/>
      <c r="C11" s="80"/>
      <c r="D11" s="81" t="s">
        <v>26</v>
      </c>
      <c r="E11" s="86">
        <v>6.937003397762766E-3</v>
      </c>
      <c r="F11" s="86">
        <v>7.6756686775593585E-3</v>
      </c>
      <c r="G11" s="86">
        <v>6.9287256067372283E-3</v>
      </c>
      <c r="H11" s="86">
        <v>7.1554139189320401E-3</v>
      </c>
      <c r="I11" s="86">
        <v>6.9204675476129641E-3</v>
      </c>
      <c r="J11" s="86">
        <v>7.1468907586664798E-3</v>
      </c>
      <c r="K11" s="86">
        <v>9.2163055332394155E-3</v>
      </c>
      <c r="L11" s="86">
        <v>6.9067477731815834E-3</v>
      </c>
      <c r="M11" s="86">
        <v>3.2097287356665838E-2</v>
      </c>
      <c r="N11" s="86">
        <v>3.6715886329389373E-2</v>
      </c>
      <c r="O11" s="86">
        <v>3.6638294734852472E-2</v>
      </c>
      <c r="P11" s="86">
        <v>3.6488762388983381E-2</v>
      </c>
      <c r="Q11" s="86">
        <v>1.7124121350406751E-2</v>
      </c>
      <c r="R11" s="81"/>
      <c r="S11" s="81"/>
      <c r="T11" s="81"/>
      <c r="U11" s="81"/>
      <c r="V11" s="81"/>
      <c r="W11" s="81"/>
      <c r="X11" s="81"/>
    </row>
    <row r="12" spans="2:24" ht="15" customHeight="1">
      <c r="B12" s="10"/>
      <c r="C12" s="80">
        <v>2019</v>
      </c>
      <c r="D12" s="81" t="s">
        <v>25</v>
      </c>
      <c r="E12" s="86">
        <v>1.9871310117053377E-2</v>
      </c>
      <c r="F12" s="86">
        <v>1.9274745331590015E-2</v>
      </c>
      <c r="G12" s="86">
        <v>1.9697306214110293E-2</v>
      </c>
      <c r="H12" s="86">
        <v>1.9770427238439581E-2</v>
      </c>
      <c r="I12" s="86">
        <v>1.9140352968909653E-2</v>
      </c>
      <c r="J12" s="86">
        <v>1.8983221230177705E-2</v>
      </c>
      <c r="K12" s="86">
        <v>1.814207179538296E-2</v>
      </c>
      <c r="L12" s="86">
        <v>1.7571984141117443E-2</v>
      </c>
      <c r="M12" s="86">
        <v>1.7214244953612123E-2</v>
      </c>
      <c r="N12" s="86">
        <v>1.6927381313197275E-2</v>
      </c>
      <c r="O12" s="86">
        <v>1.6935501959059351E-2</v>
      </c>
      <c r="P12" s="86">
        <v>1.59787130043181E-2</v>
      </c>
      <c r="Q12" s="86">
        <v>1.8697147991280305E-2</v>
      </c>
      <c r="R12" s="81"/>
      <c r="S12" s="81"/>
      <c r="T12" s="81"/>
      <c r="U12" s="81"/>
      <c r="V12" s="81"/>
      <c r="W12" s="81"/>
      <c r="X12" s="81"/>
    </row>
    <row r="13" spans="2:24" ht="15" customHeight="1">
      <c r="B13" s="10"/>
      <c r="C13" s="80"/>
      <c r="D13" s="81" t="s">
        <v>26</v>
      </c>
      <c r="E13" s="86">
        <v>3.4101066193152181E-2</v>
      </c>
      <c r="F13" s="86">
        <v>3.0115368287614141E-2</v>
      </c>
      <c r="G13" s="86">
        <v>3.3921767087303267E-2</v>
      </c>
      <c r="H13" s="86">
        <v>3.4950401100383388E-2</v>
      </c>
      <c r="I13" s="86">
        <v>3.709721879778375E-2</v>
      </c>
      <c r="J13" s="86">
        <v>3.358000168798192E-2</v>
      </c>
      <c r="K13" s="86">
        <v>3.2406092772911524E-2</v>
      </c>
      <c r="L13" s="86">
        <v>3.4544598169859456E-2</v>
      </c>
      <c r="M13" s="86">
        <v>3.4442144028772326E-2</v>
      </c>
      <c r="N13" s="86">
        <v>2.9912143216745596E-2</v>
      </c>
      <c r="O13" s="86">
        <v>2.8546115034772335E-2</v>
      </c>
      <c r="P13" s="86">
        <v>2.425254690110256E-2</v>
      </c>
      <c r="Q13" s="86">
        <v>3.3280114599612665E-2</v>
      </c>
      <c r="R13" s="81"/>
      <c r="S13" s="81"/>
      <c r="T13" s="81"/>
      <c r="U13" s="81"/>
      <c r="V13" s="81"/>
      <c r="W13" s="81"/>
      <c r="X13" s="81"/>
    </row>
    <row r="14" spans="2:24" ht="15" customHeight="1">
      <c r="B14" s="10"/>
      <c r="C14" s="80">
        <v>2020</v>
      </c>
      <c r="D14" s="81" t="s">
        <v>25</v>
      </c>
      <c r="E14" s="86">
        <v>1.6402559199187192E-2</v>
      </c>
      <c r="F14" s="86">
        <v>1.4597748871623052E-2</v>
      </c>
      <c r="G14" s="86">
        <v>1.3144740456157381E-2</v>
      </c>
      <c r="H14" s="86">
        <v>1.1466222317363162E-2</v>
      </c>
      <c r="I14" s="86">
        <v>1.1925525636360044E-2</v>
      </c>
      <c r="J14" s="86">
        <v>1.2766552452765367E-3</v>
      </c>
      <c r="K14" s="86">
        <f>+'Datos ICP (2)'!AK63</f>
        <v>1.785704755779567E-4</v>
      </c>
      <c r="L14" s="86">
        <f>+'Datos ICP (2)'!AL63</f>
        <v>2.0970261597648646E-4</v>
      </c>
      <c r="M14" s="86">
        <f>+'Datos ICP (2)'!AM63</f>
        <v>1.7505426287733883E-4</v>
      </c>
      <c r="N14" s="86">
        <f>+'Datos ICP (2)'!AN63</f>
        <v>1.3827101009715237E-4</v>
      </c>
      <c r="O14" s="86">
        <f>+'Datos ICP (2)'!AO63</f>
        <v>5.27041303351794E-4</v>
      </c>
      <c r="P14" s="86">
        <f>+'Datos ICP (2)'!AP63</f>
        <v>2.83851789943802E-4</v>
      </c>
      <c r="Q14" s="86">
        <v>7.8279734594888239E-3</v>
      </c>
      <c r="R14" s="81"/>
      <c r="S14" s="81"/>
      <c r="T14" s="81"/>
      <c r="U14" s="81"/>
      <c r="V14" s="81"/>
      <c r="W14" s="81"/>
      <c r="X14" s="81"/>
    </row>
    <row r="15" spans="2:24" ht="15" customHeight="1">
      <c r="B15" s="10"/>
      <c r="C15" s="80"/>
      <c r="D15" s="81" t="s">
        <v>26</v>
      </c>
      <c r="E15" s="86">
        <v>2.3101912054559044E-2</v>
      </c>
      <c r="F15" s="86">
        <v>2.1125244063575094E-2</v>
      </c>
      <c r="G15" s="86">
        <v>1.9728751574866862E-2</v>
      </c>
      <c r="H15" s="86">
        <v>2.48744242627712E-2</v>
      </c>
      <c r="I15" s="86">
        <v>3.2757584392775638E-2</v>
      </c>
      <c r="J15" s="86">
        <v>2.1377717026332732E-2</v>
      </c>
      <c r="K15" s="86">
        <v>1.9564411647430065E-2</v>
      </c>
      <c r="L15" s="86">
        <v>1.5191171846554611E-2</v>
      </c>
      <c r="M15" s="86">
        <v>1.3437459994338317E-2</v>
      </c>
      <c r="N15" s="86">
        <v>1.12E-2</v>
      </c>
      <c r="O15" s="86">
        <v>6.7000000000000002E-3</v>
      </c>
      <c r="P15" s="86">
        <v>6.7000000000000002E-3</v>
      </c>
      <c r="Q15" s="86">
        <v>2.1724761036140332E-2</v>
      </c>
      <c r="R15" s="81"/>
      <c r="S15" s="81"/>
      <c r="T15" s="81"/>
      <c r="U15" s="81"/>
      <c r="V15" s="81"/>
      <c r="W15" s="81"/>
      <c r="X15" s="81"/>
    </row>
    <row r="16" spans="2:24" ht="15" customHeight="1">
      <c r="B16" s="10"/>
      <c r="C16" s="80">
        <v>2021</v>
      </c>
      <c r="D16" s="81" t="s">
        <v>25</v>
      </c>
      <c r="E16" s="86">
        <f>+'Datos ICP (2)'!AE66</f>
        <v>1.0529728379936275E-3</v>
      </c>
      <c r="F16" s="86">
        <f>+'Datos ICP (2)'!AF66</f>
        <v>4.4296055099923848E-4</v>
      </c>
      <c r="G16" s="86">
        <f>+'Datos ICP (2)'!AG66</f>
        <v>2.6641457344469828E-4</v>
      </c>
      <c r="H16" s="86">
        <f>+'Datos ICP (2)'!AH66</f>
        <v>7.7667374097956099E-4</v>
      </c>
      <c r="I16" s="86">
        <f>+'Datos ICP (2)'!AI66</f>
        <v>1.8583305045492783E-4</v>
      </c>
      <c r="J16" s="86">
        <f>+'Datos ICP (2)'!AJ66</f>
        <v>8.7025842180565846E-5</v>
      </c>
      <c r="K16" s="86">
        <f>+'Datos ICP (2)'!AK66</f>
        <v>1.6294341762577945E-4</v>
      </c>
      <c r="L16" s="86">
        <f>+'Datos ICP (2)'!AL66</f>
        <v>1.894877201779091E-4</v>
      </c>
      <c r="M16" s="86">
        <f>+'Datos ICP (2)'!AM66</f>
        <v>1.664779601133759E-4</v>
      </c>
      <c r="N16" s="86">
        <f>+'Datos ICP (2)'!AN66</f>
        <v>1.7025918808488336E-4</v>
      </c>
      <c r="O16" s="86">
        <f>+'Datos ICP (2)'!AO66</f>
        <v>4.4172152846932988E-4</v>
      </c>
      <c r="P16" s="86">
        <f>+'Datos ICP (2)'!AP66</f>
        <v>3.5148474833882867E-4</v>
      </c>
      <c r="Q16" s="86">
        <f>+'Datos ICP (2)'!AQ66</f>
        <v>3.6205987785997706E-4</v>
      </c>
      <c r="R16" s="81"/>
      <c r="S16" s="81"/>
      <c r="T16" s="81"/>
      <c r="U16" s="81"/>
      <c r="V16" s="81"/>
      <c r="W16" s="81"/>
      <c r="X16" s="81"/>
    </row>
    <row r="17" spans="2:24" ht="15" customHeight="1">
      <c r="B17" s="10"/>
      <c r="C17" s="80"/>
      <c r="D17" s="81" t="s">
        <v>26</v>
      </c>
      <c r="E17" s="86">
        <f>+'Datos ICP (2)'!AE67</f>
        <v>2.0648028637052829E-2</v>
      </c>
      <c r="F17" s="86">
        <f>+'Datos ICP (2)'!AF67</f>
        <v>2.1618704228718904E-2</v>
      </c>
      <c r="G17" s="86">
        <f>+'Datos ICP (2)'!AG67</f>
        <v>2.0576782164021902E-2</v>
      </c>
      <c r="H17" s="86">
        <f>+'Datos ICP (2)'!AH67</f>
        <v>1.4522413872391837E-2</v>
      </c>
      <c r="I17" s="86">
        <f>+'Datos ICP (2)'!AI67</f>
        <v>1.2957195103294201E-2</v>
      </c>
      <c r="J17" s="86">
        <f>+'Datos ICP (2)'!AJ67</f>
        <v>1.337417925299267E-2</v>
      </c>
      <c r="K17" s="86">
        <f>+'Datos ICP (2)'!AK67</f>
        <v>1.0773621068218983E-2</v>
      </c>
      <c r="L17" s="86">
        <f>+'Datos ICP (2)'!AL67</f>
        <v>9.6872718034417046E-3</v>
      </c>
      <c r="M17" s="86">
        <f>+'Datos ICP (2)'!AM67</f>
        <v>5.5565763963079107E-3</v>
      </c>
      <c r="N17" s="86">
        <f>+'Datos ICP (2)'!AN67</f>
        <v>1.9349435469095167E-2</v>
      </c>
      <c r="O17" s="86">
        <f>+'Datos ICP (2)'!AO67</f>
        <v>8.8716254859280141E-3</v>
      </c>
      <c r="P17" s="86">
        <f>+'Datos ICP (2)'!AP67</f>
        <v>9.6514891545384333E-3</v>
      </c>
      <c r="Q17" s="86">
        <f>+'Datos ICP (2)'!AQ67</f>
        <v>1.422419750552506E-2</v>
      </c>
      <c r="R17" s="81"/>
      <c r="S17" s="81"/>
      <c r="T17" s="81"/>
      <c r="U17" s="81"/>
      <c r="V17" s="81"/>
      <c r="W17" s="81"/>
      <c r="X17" s="81"/>
    </row>
    <row r="18" spans="2:24" ht="15" customHeight="1">
      <c r="C18" s="80">
        <v>2022</v>
      </c>
      <c r="D18" s="81" t="s">
        <v>25</v>
      </c>
      <c r="E18" s="86">
        <f>+'Datos ICP (2)'!AE69</f>
        <v>4.4758031241007572E-4</v>
      </c>
      <c r="F18" s="86">
        <f>+'Datos ICP (2)'!AF69</f>
        <v>5.6847569541718102E-4</v>
      </c>
      <c r="G18" s="86">
        <f>+'Datos ICP (2)'!AG69</f>
        <v>6.0496135888121034E-4</v>
      </c>
      <c r="H18" s="86">
        <f>+'Datos ICP (2)'!AH69</f>
        <v>1.1054993786876466E-3</v>
      </c>
      <c r="I18" s="86">
        <f>+'Datos ICP (2)'!AI69</f>
        <v>3.8616774488814932E-3</v>
      </c>
      <c r="J18" s="86">
        <f>+'Datos ICP (2)'!AJ69</f>
        <v>4.8369879753540346E-3</v>
      </c>
      <c r="K18" s="86">
        <f>+'Datos ICP (2)'!AK69</f>
        <v>7.0272920403535721E-3</v>
      </c>
      <c r="L18" s="86">
        <f>+'Datos ICP (2)'!AL69</f>
        <v>1.2127884587468062E-2</v>
      </c>
      <c r="M18" s="86">
        <f>+'Datos ICP (2)'!AM69</f>
        <v>1.6815046282649959E-2</v>
      </c>
      <c r="N18" s="86">
        <f>+'Datos ICP (2)'!AN69</f>
        <v>2.1028927602071423E-2</v>
      </c>
      <c r="O18" s="86">
        <f>+'Datos ICP (2)'!AO69</f>
        <v>2.5369084107694884E-2</v>
      </c>
      <c r="P18" s="86">
        <f>+'Datos ICP (2)'!AP69</f>
        <v>3.1920039296015723E-2</v>
      </c>
      <c r="Q18" s="86">
        <f>+'Datos ICP (2)'!AQ69</f>
        <v>1.0681629754837996E-2</v>
      </c>
      <c r="R18" s="81"/>
      <c r="S18" s="81"/>
      <c r="T18" s="81"/>
      <c r="U18" s="81"/>
      <c r="V18" s="81"/>
      <c r="W18" s="81"/>
      <c r="X18" s="81"/>
    </row>
    <row r="19" spans="2:24" ht="15" customHeight="1">
      <c r="C19" s="80"/>
      <c r="D19" s="81" t="s">
        <v>26</v>
      </c>
      <c r="E19" s="86">
        <f>+'Datos ICP (2)'!AE70</f>
        <v>6.4289829723556697E-3</v>
      </c>
      <c r="F19" s="86">
        <f>+'Datos ICP (2)'!AF70</f>
        <v>5.9282202436748499E-3</v>
      </c>
      <c r="G19" s="86">
        <f>+'Datos ICP (2)'!AG70</f>
        <v>1.0704107530289279E-2</v>
      </c>
      <c r="H19" s="86">
        <f>+'Datos ICP (2)'!AH70</f>
        <v>1.4365942747708083E-2</v>
      </c>
      <c r="I19" s="86">
        <f>+'Datos ICP (2)'!AI70</f>
        <v>1.9226632939579602E-2</v>
      </c>
      <c r="J19" s="86">
        <f>+'Datos ICP (2)'!AJ70</f>
        <v>1.5426974791536095E-2</v>
      </c>
      <c r="K19" s="86">
        <f>+'Datos ICP (2)'!AK70</f>
        <v>1.4910162218695847E-2</v>
      </c>
      <c r="L19" s="86">
        <f>+'Datos ICP (2)'!AL70</f>
        <v>2.9782086304401396E-2</v>
      </c>
      <c r="M19" s="86">
        <f>+'Datos ICP (2)'!AM70</f>
        <v>2.1925785901019346E-2</v>
      </c>
      <c r="N19" s="86">
        <f>+'Datos ICP (2)'!AN70</f>
        <v>2.2276615101000416E-2</v>
      </c>
      <c r="O19" s="86">
        <f>+'Datos ICP (2)'!AO70</f>
        <v>2.0854854668902367E-2</v>
      </c>
      <c r="P19" s="86">
        <f>+'Datos ICP (2)'!AP70</f>
        <v>1.9625630467964505E-2</v>
      </c>
      <c r="Q19" s="86">
        <f>+'Datos ICP (2)'!AQ70</f>
        <v>1.7161812878975891E-2</v>
      </c>
      <c r="R19" s="81"/>
      <c r="S19" s="81"/>
      <c r="T19" s="81"/>
      <c r="U19" s="81"/>
      <c r="V19" s="81"/>
      <c r="W19" s="81"/>
      <c r="X19" s="81"/>
    </row>
    <row r="20" spans="2:24" ht="15" customHeight="1">
      <c r="C20" s="80">
        <v>2023</v>
      </c>
      <c r="D20" s="81" t="s">
        <v>25</v>
      </c>
      <c r="E20" s="86">
        <f>+'Datos ICP (2)'!AE71</f>
        <v>3.8327604999757181E-2</v>
      </c>
      <c r="F20" s="86">
        <f>+'Datos ICP (2)'!AF71</f>
        <v>4.1124149576859156E-2</v>
      </c>
      <c r="G20" s="86">
        <f>+'Datos ICP (2)'!AG71</f>
        <v>4.1767230631406381E-2</v>
      </c>
      <c r="H20" s="86">
        <f>+'Datos ICP (2)'!AH71</f>
        <v>4.2750720948224262E-2</v>
      </c>
      <c r="I20" s="86">
        <f>+'Datos ICP (2)'!AI71</f>
        <v>4.4054542704353009E-2</v>
      </c>
      <c r="J20" s="86">
        <f>+'Datos ICP (2)'!AJ71</f>
        <v>4.5230587443764847E-2</v>
      </c>
      <c r="K20" s="86">
        <f>+'Datos ICP (2)'!AK71</f>
        <v>4.5789834980712693E-2</v>
      </c>
      <c r="L20" s="86">
        <f>+'Datos ICP (2)'!AL71</f>
        <v>4.7528881227513232E-2</v>
      </c>
      <c r="M20" s="86">
        <f>+'Datos ICP (2)'!AM71</f>
        <v>4.6751012583426288E-2</v>
      </c>
      <c r="N20" s="86">
        <f>+'Datos ICP (2)'!AN71</f>
        <v>4.5701594442373247E-2</v>
      </c>
      <c r="O20" s="86">
        <f>+'Datos ICP (2)'!AO71</f>
        <v>4.2178797543139801E-2</v>
      </c>
      <c r="P20" s="86">
        <f>+'Datos ICP (2)'!AP71</f>
        <v>4.5596039346251428E-2</v>
      </c>
      <c r="Q20" s="86">
        <f>+'Datos ICP (2)'!AQ71</f>
        <v>4.5567370950287511E-2</v>
      </c>
      <c r="R20" s="81"/>
      <c r="S20" s="81"/>
      <c r="T20" s="81"/>
      <c r="U20" s="81"/>
      <c r="V20" s="81"/>
      <c r="W20" s="81"/>
      <c r="X20" s="81"/>
    </row>
    <row r="21" spans="2:24" ht="15" customHeight="1">
      <c r="C21" s="80"/>
      <c r="D21" s="81" t="s">
        <v>26</v>
      </c>
      <c r="E21" s="86">
        <f>+'Datos ICP (2)'!AE72</f>
        <v>2.6185763826032105E-2</v>
      </c>
      <c r="F21" s="86">
        <f>+'Datos ICP (2)'!AF72</f>
        <v>3.7234447962534958E-2</v>
      </c>
      <c r="G21" s="86">
        <f>+'Datos ICP (2)'!AG72</f>
        <v>3.877368681005712E-2</v>
      </c>
      <c r="H21" s="86">
        <f>+'Datos ICP (2)'!AH72</f>
        <v>3.0065245724542691E-2</v>
      </c>
      <c r="I21" s="86">
        <f>+'Datos ICP (2)'!AI72</f>
        <v>2.5450392062827249E-2</v>
      </c>
      <c r="J21" s="86">
        <f>+'Datos ICP (2)'!AJ72</f>
        <v>2.685603006727888E-2</v>
      </c>
      <c r="K21" s="86">
        <f>+'Datos ICP (2)'!AK72</f>
        <v>2.0745337096974927E-2</v>
      </c>
      <c r="L21" s="86">
        <f>+'Datos ICP (2)'!AL72</f>
        <v>2.6920846717059289E-2</v>
      </c>
      <c r="M21" s="86">
        <f>+'Datos ICP (2)'!AM72</f>
        <v>3.3091152331030216E-2</v>
      </c>
      <c r="N21" s="86">
        <f>+'Datos ICP (2)'!AN72</f>
        <v>2.7814903754928583E-2</v>
      </c>
      <c r="O21" s="86">
        <f>+'Datos ICP (2)'!AO72</f>
        <v>2.2301525171378067E-2</v>
      </c>
      <c r="P21" s="86">
        <f>+'Datos ICP (2)'!AP72</f>
        <v>2.4619526879000202E-2</v>
      </c>
      <c r="Q21" s="86">
        <f>+'Datos ICP (2)'!AQ72</f>
        <v>2.9087381783320598E-2</v>
      </c>
      <c r="R21" s="81"/>
      <c r="S21" s="81"/>
      <c r="T21" s="81"/>
      <c r="U21" s="81"/>
      <c r="V21" s="81"/>
      <c r="W21" s="81"/>
      <c r="X21" s="81"/>
    </row>
    <row r="22" spans="2:24" ht="15" customHeight="1">
      <c r="C22" s="80">
        <v>2024</v>
      </c>
      <c r="D22" s="81" t="s">
        <v>25</v>
      </c>
      <c r="E22" s="86">
        <f>+'Datos ICP (2)'!AE73</f>
        <v>4.4545496313381353E-2</v>
      </c>
      <c r="F22" s="86">
        <f>+'Datos ICP (2)'!AF73</f>
        <v>4.3686281887614267E-2</v>
      </c>
      <c r="G22" s="86">
        <f>+'Datos ICP (2)'!AG73</f>
        <v>4.3050676068423499E-2</v>
      </c>
      <c r="H22" s="86">
        <f>+'Datos ICP (2)'!AH73</f>
        <v>4.2805805113010305E-2</v>
      </c>
      <c r="I22" s="86">
        <f>+'Datos ICP (2)'!AI73</f>
        <v>4.2544316765445692E-2</v>
      </c>
      <c r="J22" s="86">
        <f>+'Datos ICP (2)'!AJ73</f>
        <v>4.2518892012331833E-2</v>
      </c>
      <c r="K22" s="86">
        <f>+'Datos ICP (2)'!AK73</f>
        <v>4.2210544331228068E-2</v>
      </c>
      <c r="L22" s="86">
        <f>+'Datos ICP (2)'!AL73</f>
        <v>4.2490857048972694E-2</v>
      </c>
      <c r="M22" s="86">
        <f>+'Datos ICP (2)'!AM73</f>
        <v>4.0835600722048504E-2</v>
      </c>
      <c r="N22" s="86">
        <f>+'Datos ICP (2)'!AN73</f>
        <v>3.9471501860971661E-2</v>
      </c>
      <c r="O22" s="86">
        <f>+'Datos ICP (2)'!AO73</f>
        <v>3.7641499943658729E-2</v>
      </c>
      <c r="P22" s="86">
        <f>+'Datos ICP (2)'!AP73</f>
        <v>3.6882308624910591E-2</v>
      </c>
      <c r="Q22" s="86">
        <f>+'Datos ICP (2)'!AQ73</f>
        <v>4.3069671292365497E-2</v>
      </c>
      <c r="R22" s="81"/>
      <c r="S22" s="81"/>
      <c r="T22" s="81"/>
      <c r="U22" s="81"/>
      <c r="V22" s="81"/>
      <c r="W22" s="81"/>
      <c r="X22" s="81"/>
    </row>
    <row r="23" spans="2:24" ht="15" customHeight="1">
      <c r="C23" s="80"/>
      <c r="D23" s="81" t="s">
        <v>26</v>
      </c>
      <c r="E23" s="86">
        <f>+'Datos ICP (2)'!AE74</f>
        <v>2.0472869612292194E-2</v>
      </c>
      <c r="F23" s="86">
        <f>+'Datos ICP (2)'!AF74</f>
        <v>1.856933625190816E-2</v>
      </c>
      <c r="G23" s="86">
        <f>+'Datos ICP (2)'!AG74</f>
        <v>2.3722341885271513E-2</v>
      </c>
      <c r="H23" s="86">
        <f>+'Datos ICP (2)'!AH74</f>
        <v>2.1047691634042662E-2</v>
      </c>
      <c r="I23" s="86">
        <f>+'Datos ICP (2)'!AI74</f>
        <v>1.6263608524950877E-2</v>
      </c>
      <c r="J23" s="86">
        <f>+'Datos ICP (2)'!AJ74</f>
        <v>8.3911128406572999E-3</v>
      </c>
      <c r="K23" s="86">
        <f>+'Datos ICP (2)'!AK74</f>
        <v>5.0717234130144432E-3</v>
      </c>
      <c r="L23" s="86">
        <f>+'Datos ICP (2)'!AL74</f>
        <v>8.1112150357776809E-3</v>
      </c>
      <c r="M23" s="86">
        <f>+'Datos ICP (2)'!AM74</f>
        <v>3.3502954815116226E-2</v>
      </c>
      <c r="N23" s="86">
        <f>+'Datos ICP (2)'!AN74</f>
        <v>4.0414932948804319E-3</v>
      </c>
      <c r="O23" s="86">
        <f>+'Datos ICP (2)'!AO74</f>
        <v>1.9830095036041051E-2</v>
      </c>
      <c r="P23" s="86">
        <f>+'Datos ICP (2)'!AP74</f>
        <v>3.7309153611717036E-2</v>
      </c>
      <c r="Q23" s="86">
        <f>+'Datos ICP (2)'!AQ74</f>
        <v>1.8422739196950033E-2</v>
      </c>
      <c r="R23" s="81"/>
      <c r="S23" s="81"/>
      <c r="T23" s="81"/>
      <c r="U23" s="81"/>
      <c r="V23" s="81"/>
      <c r="W23" s="81"/>
      <c r="X23" s="81"/>
    </row>
    <row r="24" spans="2:24">
      <c r="C24" s="80">
        <v>2025</v>
      </c>
      <c r="D24" s="81" t="s">
        <v>25</v>
      </c>
      <c r="E24" s="86">
        <f>+'Datos ICP (2)'!AE75</f>
        <v>3.5823879227219982E-2</v>
      </c>
      <c r="Q24" s="86">
        <f>+'Datos ICP (2)'!AQ75</f>
        <v>3.7018008534793978E-2</v>
      </c>
    </row>
    <row r="25" spans="2:24">
      <c r="C25" s="80"/>
      <c r="D25" s="81" t="s">
        <v>26</v>
      </c>
      <c r="E25" s="86">
        <f>+'Datos ICP (2)'!AE76</f>
        <v>2.8143536425563727E-2</v>
      </c>
      <c r="Q25" s="86">
        <f>+'Datos ICP (2)'!AQ76</f>
        <v>2.9081654306415849E-2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4"/>
  <sheetViews>
    <sheetView showGridLines="0" tabSelected="1" topLeftCell="J1" zoomScaleNormal="100" workbookViewId="0">
      <selection activeCell="L6" sqref="L6"/>
    </sheetView>
  </sheetViews>
  <sheetFormatPr defaultColWidth="11.42578125" defaultRowHeight="14.45"/>
  <cols>
    <col min="1" max="1" width="14.28515625" bestFit="1" customWidth="1"/>
    <col min="2" max="2" width="15.28515625" bestFit="1" customWidth="1"/>
    <col min="9" max="10" width="11.5703125" customWidth="1"/>
    <col min="11" max="11" width="28.42578125" customWidth="1"/>
    <col min="13" max="13" width="11.5703125" customWidth="1"/>
    <col min="14" max="14" width="16.140625" bestFit="1" customWidth="1"/>
    <col min="15" max="15" width="40.140625" bestFit="1" customWidth="1"/>
    <col min="16" max="16" width="8" bestFit="1" customWidth="1"/>
    <col min="19" max="19" width="28.7109375" customWidth="1"/>
  </cols>
  <sheetData>
    <row r="1" spans="1:20">
      <c r="B1" s="3"/>
      <c r="C1" s="1"/>
      <c r="J1" s="2" t="s">
        <v>44</v>
      </c>
      <c r="K1" s="3"/>
      <c r="L1" s="4"/>
      <c r="N1" s="2" t="s">
        <v>45</v>
      </c>
      <c r="O1" s="3"/>
      <c r="P1" s="4"/>
      <c r="R1" s="2" t="s">
        <v>46</v>
      </c>
      <c r="S1" s="3"/>
      <c r="T1" s="4"/>
    </row>
    <row r="2" spans="1:20">
      <c r="C2" s="1"/>
      <c r="O2" s="89" t="s">
        <v>47</v>
      </c>
      <c r="P2" s="90">
        <v>0</v>
      </c>
    </row>
    <row r="3" spans="1:20">
      <c r="C3" s="1"/>
      <c r="K3" s="89" t="s">
        <v>48</v>
      </c>
      <c r="L3" s="90">
        <v>0.48782422926400032</v>
      </c>
      <c r="O3" s="89" t="s">
        <v>49</v>
      </c>
      <c r="P3" s="90">
        <v>0</v>
      </c>
      <c r="S3" s="89" t="s">
        <v>50</v>
      </c>
      <c r="T3" s="90">
        <v>1</v>
      </c>
    </row>
    <row r="4" spans="1:20">
      <c r="C4" s="1"/>
      <c r="K4" s="89" t="s">
        <v>51</v>
      </c>
      <c r="L4" s="90">
        <v>0.18643534207589813</v>
      </c>
      <c r="O4" s="89" t="s">
        <v>52</v>
      </c>
      <c r="P4" s="90">
        <v>0</v>
      </c>
      <c r="S4" s="8"/>
      <c r="T4" s="9"/>
    </row>
    <row r="5" spans="1:20">
      <c r="A5" s="3"/>
      <c r="B5" s="3"/>
      <c r="C5" s="1"/>
      <c r="K5" s="89" t="s">
        <v>53</v>
      </c>
      <c r="L5" s="90">
        <v>0</v>
      </c>
      <c r="O5" s="89" t="s">
        <v>54</v>
      </c>
      <c r="P5" s="90">
        <v>0</v>
      </c>
    </row>
    <row r="6" spans="1:20">
      <c r="A6" s="3"/>
      <c r="B6" s="3"/>
      <c r="C6" s="1"/>
      <c r="K6" s="89" t="s">
        <v>55</v>
      </c>
      <c r="L6" s="90">
        <v>0.32574042866010161</v>
      </c>
      <c r="O6" s="89" t="s">
        <v>56</v>
      </c>
      <c r="P6" s="90">
        <v>1</v>
      </c>
    </row>
    <row r="7" spans="1:20">
      <c r="B7" s="3"/>
      <c r="C7" s="1"/>
      <c r="O7" s="89" t="s">
        <v>57</v>
      </c>
      <c r="P7" s="90">
        <v>0</v>
      </c>
    </row>
    <row r="8" spans="1:20">
      <c r="C8" s="1"/>
      <c r="L8" s="78">
        <f>SUM(L3:L7)</f>
        <v>1</v>
      </c>
      <c r="O8" s="89" t="s">
        <v>58</v>
      </c>
      <c r="P8" s="90">
        <v>0</v>
      </c>
    </row>
    <row r="9" spans="1:20">
      <c r="C9" s="1"/>
      <c r="O9" s="89" t="s">
        <v>59</v>
      </c>
      <c r="P9" s="90">
        <v>0</v>
      </c>
    </row>
    <row r="10" spans="1:20">
      <c r="C10" s="1"/>
      <c r="O10" s="89" t="s">
        <v>60</v>
      </c>
      <c r="P10" s="90">
        <v>0</v>
      </c>
    </row>
    <row r="11" spans="1:20">
      <c r="C11" s="1"/>
      <c r="O11" s="89" t="s">
        <v>61</v>
      </c>
      <c r="P11" s="90">
        <v>0</v>
      </c>
    </row>
    <row r="12" spans="1:20" hidden="1">
      <c r="C12" s="1"/>
      <c r="O12" s="89"/>
      <c r="P12" s="90"/>
    </row>
    <row r="13" spans="1:20">
      <c r="C13" s="1"/>
      <c r="O13" s="89" t="s">
        <v>62</v>
      </c>
      <c r="P13" s="90">
        <v>0</v>
      </c>
    </row>
    <row r="14" spans="1:20" hidden="1">
      <c r="A14" s="3" t="s">
        <v>63</v>
      </c>
      <c r="B14" s="5">
        <v>0</v>
      </c>
      <c r="C14" s="1"/>
    </row>
    <row r="15" spans="1:20">
      <c r="A15" s="3"/>
      <c r="B15" s="5"/>
      <c r="C15" s="1"/>
      <c r="P15" s="78">
        <f>SUM(P2:P14)</f>
        <v>1</v>
      </c>
    </row>
    <row r="16" spans="1:20">
      <c r="B16" s="3"/>
      <c r="C16" s="1"/>
    </row>
    <row r="17" spans="1:14">
      <c r="C17" s="1"/>
    </row>
    <row r="18" spans="1:14">
      <c r="C18" s="1"/>
    </row>
    <row r="19" spans="1:14">
      <c r="C19" s="1"/>
    </row>
    <row r="20" spans="1:14">
      <c r="C20" s="1"/>
    </row>
    <row r="21" spans="1:14">
      <c r="C21" s="1"/>
      <c r="N21" s="6"/>
    </row>
    <row r="22" spans="1:14">
      <c r="A22" s="1"/>
      <c r="B22" s="1"/>
      <c r="C22" s="1"/>
    </row>
    <row r="23" spans="1:14">
      <c r="A23" s="1"/>
      <c r="B23" s="1"/>
      <c r="C23" s="1"/>
    </row>
    <row r="24" spans="1:14">
      <c r="A24" s="1"/>
      <c r="B24" s="1"/>
      <c r="C24" s="1"/>
    </row>
  </sheetData>
  <autoFilter ref="K1:T24" xr:uid="{00000000-0009-0000-0000-000002000000}">
    <sortState xmlns:xlrd2="http://schemas.microsoft.com/office/spreadsheetml/2017/richdata2" ref="K2:T24">
      <sortCondition descending="1" ref="P1:P24"/>
    </sortState>
  </autoFilter>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HP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NCABEZAS</dc:creator>
  <cp:keywords/>
  <dc:description/>
  <cp:lastModifiedBy>María Isabel Velasco Retamal</cp:lastModifiedBy>
  <cp:revision/>
  <dcterms:created xsi:type="dcterms:W3CDTF">2018-12-10T21:02:38Z</dcterms:created>
  <dcterms:modified xsi:type="dcterms:W3CDTF">2026-05-12T12:50:49Z</dcterms:modified>
  <cp:category/>
  <cp:contentStatus/>
</cp:coreProperties>
</file>