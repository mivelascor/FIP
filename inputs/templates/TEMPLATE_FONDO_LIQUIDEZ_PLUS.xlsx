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omentario" sheetId="1" state="visible" r:id="rId1"/>
    <sheet xmlns:r="http://schemas.openxmlformats.org/officeDocument/2006/relationships" name="Datos ICP (2)" sheetId="2" state="visible" r:id="rId2"/>
    <sheet xmlns:r="http://schemas.openxmlformats.org/officeDocument/2006/relationships" name="rentabilidad" sheetId="3" state="visible" r:id="rId3"/>
    <sheet xmlns:r="http://schemas.openxmlformats.org/officeDocument/2006/relationships" name="composición" sheetId="4" state="visible" r:id="rId4"/>
  </sheets>
  <externalReferences>
    <externalReference xmlns:r="http://schemas.openxmlformats.org/officeDocument/2006/relationships" r:id="rId5"/>
  </externalReferences>
  <definedNames>
    <definedName name="OLE_LINK1" localSheetId="1" hidden="0" function="0" vbProcedure="0">'datos icp (2)'!#ref!</definedName>
    <definedName name="_xlnm._FilterDatabase" localSheetId="3" hidden="1">'composición'!$K$1:$T$24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0.0000"/>
    <numFmt numFmtId="166" formatCode="m/d/yyyy"/>
    <numFmt numFmtId="167" formatCode="#,##0.00_ ;[RED]\-#,##0.00\ "/>
    <numFmt numFmtId="168" formatCode="dd\-mm\-yyyy"/>
    <numFmt numFmtId="169" formatCode="_ * #,##0.00_ ;_ * \-#,##0.00_ ;_ * \-_ ;_ @_ "/>
    <numFmt numFmtId="170" formatCode="yyyy\-mm\-dd\ h:mm:ss"/>
    <numFmt numFmtId="171" formatCode="_ * #,##0_ ;_ * \-#,##0_ ;_ * \-_ ;_ @_ "/>
    <numFmt numFmtId="172" formatCode="yyyy-mm-dd h:mm:ss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2"/>
    </font>
    <font>
      <name val="Be Vietnam Pro Light"/>
      <charset val="1"/>
      <family val="0"/>
      <color theme="1"/>
      <sz val="9"/>
    </font>
    <font>
      <name val="Be Vietnam Pro Light"/>
      <charset val="1"/>
      <family val="0"/>
      <color theme="1"/>
      <sz val="10"/>
    </font>
    <font>
      <name val="Aileron Light"/>
      <charset val="1"/>
      <family val="3"/>
      <color theme="1"/>
      <sz val="11"/>
    </font>
    <font>
      <name val="Aileron Light"/>
      <charset val="1"/>
      <family val="3"/>
      <b val="1"/>
      <color rgb="FF000000"/>
      <sz val="11"/>
    </font>
    <font>
      <name val="Aileron Light"/>
      <charset val="1"/>
      <family val="3"/>
      <b val="1"/>
      <color rgb="FF000000"/>
      <sz val="8"/>
    </font>
    <font>
      <name val="Aileron Light"/>
      <charset val="1"/>
      <family val="3"/>
      <color rgb="FF000000"/>
      <sz val="7"/>
    </font>
    <font>
      <name val="Aileron Light"/>
      <charset val="1"/>
      <family val="3"/>
      <b val="1"/>
      <color rgb="FF000000"/>
      <sz val="7"/>
    </font>
    <font>
      <name val="Aileron Light"/>
      <charset val="1"/>
      <family val="3"/>
      <b val="1"/>
      <color theme="1"/>
      <sz val="8"/>
    </font>
    <font>
      <name val="Aileron Light"/>
      <charset val="1"/>
      <family val="3"/>
      <b val="1"/>
      <color rgb="FF000000"/>
      <sz val="9"/>
    </font>
    <font>
      <name val="Aileron Light"/>
      <charset val="1"/>
      <family val="3"/>
      <color rgb="FF000000"/>
      <sz val="9"/>
    </font>
    <font>
      <name val="Aileron Light"/>
      <charset val="1"/>
      <family val="3"/>
      <color rgb="FF000000"/>
      <sz val="6"/>
    </font>
    <font>
      <name val="Aileron Light"/>
      <charset val="1"/>
      <family val="3"/>
      <b val="1"/>
      <color theme="1"/>
      <sz val="10"/>
    </font>
    <font>
      <name val="Aileron Light"/>
      <charset val="1"/>
      <family val="3"/>
      <b val="1"/>
      <color rgb="FF000000"/>
      <sz val="10"/>
    </font>
    <font>
      <name val="Aileron Light"/>
      <charset val="1"/>
      <family val="3"/>
      <color rgb="FF000000"/>
      <sz val="10"/>
    </font>
    <font>
      <name val="Aileron Light"/>
      <charset val="1"/>
      <family val="3"/>
      <color rgb="FF000000"/>
      <sz val="8"/>
    </font>
    <font>
      <name val="Aileron Light"/>
      <charset val="1"/>
      <family val="3"/>
      <color theme="1"/>
      <sz val="8"/>
    </font>
    <font>
      <name val="Be Vietnam Pro Light"/>
      <charset val="1"/>
      <family val="0"/>
      <color theme="1"/>
      <sz val="11"/>
    </font>
    <font>
      <name val="Be Vietnam Pro Medium"/>
      <charset val="1"/>
      <family val="0"/>
      <color theme="1"/>
      <sz val="10"/>
    </font>
    <font>
      <name val="Acumin Pro Extra Light"/>
      <charset val="1"/>
      <family val="2"/>
      <sz val="11"/>
    </font>
    <font>
      <name val="Calibri"/>
      <charset val="1"/>
      <family val="2"/>
      <sz val="11"/>
    </font>
    <font>
      <name val="Acumin Pro Extra Light"/>
      <charset val="1"/>
      <family val="2"/>
      <b val="1"/>
      <sz val="11"/>
    </font>
    <font>
      <name val="Be Vietnam Pro Light"/>
      <charset val="1"/>
      <family val="0"/>
      <color theme="0"/>
      <sz val="9"/>
    </font>
    <font>
      <name val="Calibri"/>
      <charset val="1"/>
      <family val="2"/>
      <color theme="1"/>
      <sz val="11"/>
      <u val="single"/>
    </font>
  </fonts>
  <fills count="7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FBFBF"/>
        <bgColor rgb="FFD4D4D4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</fills>
  <borders count="2">
    <border>
      <left/>
      <right/>
      <top/>
      <bottom/>
      <diagonal/>
    </border>
    <border>
      <left style="thin"/>
      <right/>
      <top/>
      <bottom/>
      <diagonal/>
    </border>
  </borders>
  <cellStyleXfs count="11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71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1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10" fontId="10" fillId="2" borderId="0" applyAlignment="1" pivotButton="0" quotePrefix="0" xfId="0">
      <alignment horizontal="center" vertical="bottom"/>
    </xf>
    <xf numFmtId="10" fontId="11" fillId="2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bottom"/>
    </xf>
    <xf numFmtId="10" fontId="10" fillId="4" borderId="0" applyAlignment="1" pivotButton="0" quotePrefix="0" xfId="0">
      <alignment horizontal="center" vertical="bottom"/>
    </xf>
    <xf numFmtId="10" fontId="11" fillId="4" borderId="0" applyAlignment="1" pivotButton="0" quotePrefix="0" xfId="0">
      <alignment horizontal="center" vertical="bottom"/>
    </xf>
    <xf numFmtId="168" fontId="7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left" vertical="bottom"/>
    </xf>
    <xf numFmtId="10" fontId="10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right" vertical="bottom"/>
    </xf>
    <xf numFmtId="166" fontId="7" fillId="5" borderId="0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4" fontId="7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169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center" vertical="bottom"/>
    </xf>
    <xf numFmtId="0" fontId="13" fillId="2" borderId="0" applyAlignment="1" pivotButton="0" quotePrefix="0" xfId="0">
      <alignment horizontal="center" vertical="bottom"/>
    </xf>
    <xf numFmtId="0" fontId="13" fillId="4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9" fillId="4" borderId="0" applyAlignment="1" pivotButton="0" quotePrefix="0" xfId="0">
      <alignment horizontal="center" vertical="center"/>
    </xf>
    <xf numFmtId="10" fontId="14" fillId="2" borderId="0" applyAlignment="1" pivotButton="0" quotePrefix="0" xfId="0">
      <alignment horizontal="center" vertical="bottom"/>
    </xf>
    <xf numFmtId="10" fontId="14" fillId="4" borderId="0" applyAlignment="1" pivotButton="0" quotePrefix="0" xfId="0">
      <alignment horizontal="center" vertical="bottom"/>
    </xf>
    <xf numFmtId="0" fontId="15" fillId="4" borderId="0" applyAlignment="1" pivotButton="0" quotePrefix="0" xfId="0">
      <alignment horizontal="left" vertical="bottom"/>
    </xf>
    <xf numFmtId="10" fontId="11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bottom"/>
    </xf>
    <xf numFmtId="0" fontId="16" fillId="3" borderId="0" applyAlignment="1" pivotButton="0" quotePrefix="0" xfId="0">
      <alignment horizontal="center" vertical="bottom"/>
    </xf>
    <xf numFmtId="0" fontId="17" fillId="3" borderId="0" applyAlignment="1" pivotButton="0" quotePrefix="0" xfId="0">
      <alignment horizontal="center" vertical="bottom"/>
    </xf>
    <xf numFmtId="0" fontId="17" fillId="4" borderId="0" applyAlignment="1" pivotButton="0" quotePrefix="0" xfId="0">
      <alignment horizontal="center" vertical="bottom"/>
    </xf>
    <xf numFmtId="10" fontId="18" fillId="4" borderId="0" applyAlignment="1" pivotButton="0" quotePrefix="0" xfId="0">
      <alignment horizontal="center" vertical="bottom"/>
    </xf>
    <xf numFmtId="10" fontId="17" fillId="4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center" vertical="bottom"/>
    </xf>
    <xf numFmtId="10" fontId="18" fillId="2" borderId="0" applyAlignment="1" pivotButton="0" quotePrefix="0" xfId="0">
      <alignment horizontal="center" vertical="bottom"/>
    </xf>
    <xf numFmtId="10" fontId="17" fillId="2" borderId="0" applyAlignment="1" pivotButton="0" quotePrefix="0" xfId="0">
      <alignment horizontal="center" vertical="bottom"/>
    </xf>
    <xf numFmtId="0" fontId="19" fillId="4" borderId="0" applyAlignment="1" pivotButton="0" quotePrefix="0" xfId="0">
      <alignment horizontal="left" vertical="bottom"/>
    </xf>
    <xf numFmtId="0" fontId="16" fillId="4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general" vertical="bottom"/>
    </xf>
    <xf numFmtId="167" fontId="7" fillId="5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bottom"/>
    </xf>
    <xf numFmtId="10" fontId="6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1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inden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bottom"/>
    </xf>
    <xf numFmtId="0" fontId="26" fillId="6" borderId="0" applyAlignment="1" pivotButton="0" quotePrefix="0" xfId="0">
      <alignment horizontal="general" vertical="bottom"/>
    </xf>
    <xf numFmtId="10" fontId="26" fillId="6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0" fontId="23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10" fontId="10" fillId="2" borderId="0" applyAlignment="1" pivotButton="0" quotePrefix="0" xfId="0">
      <alignment horizontal="center" vertical="bottom"/>
    </xf>
    <xf numFmtId="10" fontId="11" fillId="2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bottom"/>
    </xf>
    <xf numFmtId="10" fontId="10" fillId="4" borderId="0" applyAlignment="1" pivotButton="0" quotePrefix="0" xfId="0">
      <alignment horizontal="center" vertical="bottom"/>
    </xf>
    <xf numFmtId="10" fontId="11" fillId="4" borderId="0" applyAlignment="1" pivotButton="0" quotePrefix="0" xfId="0">
      <alignment horizontal="center" vertical="bottom"/>
    </xf>
    <xf numFmtId="168" fontId="7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left" vertical="bottom"/>
    </xf>
    <xf numFmtId="10" fontId="10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right" vertical="bottom"/>
    </xf>
    <xf numFmtId="166" fontId="7" fillId="5" borderId="0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4" fontId="7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169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center" vertical="bottom"/>
    </xf>
    <xf numFmtId="0" fontId="13" fillId="2" borderId="0" applyAlignment="1" pivotButton="0" quotePrefix="0" xfId="0">
      <alignment horizontal="center" vertical="bottom"/>
    </xf>
    <xf numFmtId="0" fontId="13" fillId="4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9" fillId="4" borderId="0" applyAlignment="1" pivotButton="0" quotePrefix="0" xfId="0">
      <alignment horizontal="center" vertical="center"/>
    </xf>
    <xf numFmtId="10" fontId="14" fillId="2" borderId="0" applyAlignment="1" pivotButton="0" quotePrefix="0" xfId="0">
      <alignment horizontal="center" vertical="bottom"/>
    </xf>
    <xf numFmtId="10" fontId="14" fillId="4" borderId="0" applyAlignment="1" pivotButton="0" quotePrefix="0" xfId="0">
      <alignment horizontal="center" vertical="bottom"/>
    </xf>
    <xf numFmtId="0" fontId="15" fillId="4" borderId="0" applyAlignment="1" pivotButton="0" quotePrefix="0" xfId="0">
      <alignment horizontal="left" vertical="bottom"/>
    </xf>
    <xf numFmtId="10" fontId="11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bottom"/>
    </xf>
    <xf numFmtId="0" fontId="16" fillId="3" borderId="0" applyAlignment="1" pivotButton="0" quotePrefix="0" xfId="0">
      <alignment horizontal="center" vertical="bottom"/>
    </xf>
    <xf numFmtId="0" fontId="17" fillId="3" borderId="0" applyAlignment="1" pivotButton="0" quotePrefix="0" xfId="0">
      <alignment horizontal="center" vertical="bottom"/>
    </xf>
    <xf numFmtId="0" fontId="17" fillId="4" borderId="0" applyAlignment="1" pivotButton="0" quotePrefix="0" xfId="0">
      <alignment horizontal="center" vertical="bottom"/>
    </xf>
    <xf numFmtId="10" fontId="18" fillId="4" borderId="0" applyAlignment="1" pivotButton="0" quotePrefix="0" xfId="0">
      <alignment horizontal="center" vertical="bottom"/>
    </xf>
    <xf numFmtId="10" fontId="17" fillId="4" borderId="0" applyAlignment="1" pivotButton="0" quotePrefix="0" xfId="0">
      <alignment horizontal="center" vertical="bottom"/>
    </xf>
    <xf numFmtId="0" fontId="17" fillId="2" borderId="0" applyAlignment="1" pivotButton="0" quotePrefix="0" xfId="0">
      <alignment horizontal="center" vertical="bottom"/>
    </xf>
    <xf numFmtId="10" fontId="18" fillId="2" borderId="0" applyAlignment="1" pivotButton="0" quotePrefix="0" xfId="0">
      <alignment horizontal="center" vertical="bottom"/>
    </xf>
    <xf numFmtId="10" fontId="17" fillId="2" borderId="0" applyAlignment="1" pivotButton="0" quotePrefix="0" xfId="0">
      <alignment horizontal="center" vertical="bottom"/>
    </xf>
    <xf numFmtId="0" fontId="19" fillId="4" borderId="0" applyAlignment="1" pivotButton="0" quotePrefix="0" xfId="0">
      <alignment horizontal="left" vertical="bottom"/>
    </xf>
    <xf numFmtId="0" fontId="16" fillId="4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general" vertical="bottom"/>
    </xf>
    <xf numFmtId="167" fontId="7" fillId="5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bottom"/>
    </xf>
    <xf numFmtId="10" fontId="6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1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inden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bottom"/>
    </xf>
    <xf numFmtId="0" fontId="26" fillId="6" borderId="0" applyAlignment="1" pivotButton="0" quotePrefix="0" xfId="0">
      <alignment horizontal="general" vertical="bottom"/>
    </xf>
    <xf numFmtId="10" fontId="26" fillId="6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0" fontId="23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72" fontId="0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Millares [0] 2" xfId="6"/>
    <cellStyle name="Normal 2" xfId="7"/>
    <cellStyle name="Normal 54" xfId="8"/>
    <cellStyle name="Porcentaje 2" xfId="9"/>
    <cellStyle name="Porcentaje 29" xfId="10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28282"/>
      <rgbColor rgb="FFA6A6A6"/>
      <rgbColor rgb="FF993366"/>
      <rgbColor rgb="FFF2F2F2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DD900"/>
      <rgbColor rgb="FFFF9900"/>
      <rgbColor rgb="FFFF6600"/>
      <rgbColor rgb="FF858585"/>
      <rgbColor rgb="FF929292"/>
      <rgbColor rgb="FF003366"/>
      <rgbColor rgb="FF5B9BD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828282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fdd9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a6a6a6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3"/>
            <spPr>
              <a:solidFill xmlns:a="http://schemas.openxmlformats.org/drawingml/2006/main">
                <a:srgbClr val="d9d9d9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4"/>
            <spPr>
              <a:solidFill xmlns:a="http://schemas.openxmlformats.org/drawingml/2006/main">
                <a:srgbClr val="d4d4d4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composición!$K$2:$K$6</f>
              <strCache>
                <ptCount val="5"/>
                <pt idx="0">
                  <v>None</v>
                </pt>
                <pt idx="1">
                  <v>Menos de 1 mes</v>
                </pt>
                <pt idx="2">
                  <v>1-3 meses</v>
                </pt>
                <pt idx="3">
                  <v>3-4 meses</v>
                </pt>
                <pt idx="4">
                  <v>Más de 4 meses</v>
                </pt>
              </strCache>
            </strRef>
          </cat>
          <val>
            <numRef>
              <f>composición!$L$2:$L$6</f>
              <numCache>
                <formatCode>0.00%</formatCode>
                <ptCount val="5"/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firstSliceAng val="0"/>
        <holeSize val="50"/>
      </doughnutChart>
    </plotArea>
    <plotVisOnly val="1"/>
    <dispBlanksAs val="gap"/>
  </chart>
  <spPr>
    <a:noFill xmlns:a="http://schemas.openxmlformats.org/drawingml/2006/main"/>
    <a:ln xmlns:a="http://schemas.openxmlformats.org/drawingml/2006/main" w="9360">
      <a:noFill/>
      <a:prstDash val="solid"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33374766935985"/>
          <y val="0.0509554140127389"/>
          <w val="0.538688626476072"/>
          <h val="0.897292993630573"/>
        </manualLayout>
      </layout>
      <doughnut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fdd9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858585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929292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3"/>
            <spPr>
              <a:solidFill xmlns:a="http://schemas.openxmlformats.org/drawingml/2006/main">
                <a:srgbClr val="a6a6a6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4"/>
            <spPr>
              <a:solidFill xmlns:a="http://schemas.openxmlformats.org/drawingml/2006/main">
                <a:srgbClr val="bfbfbf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composición!$O$2:$O$6</f>
              <strCache>
                <ptCount val="5"/>
                <pt idx="0">
                  <v>Bono</v>
                </pt>
                <pt idx="1">
                  <v>Depósitos</v>
                </pt>
                <pt idx="2">
                  <v>Factoring</v>
                </pt>
                <pt idx="3">
                  <v>Financiamiento Inmobiliario</v>
                </pt>
                <pt idx="4">
                  <v>Financiamiento Mesa Moneda Extranjera</v>
                </pt>
              </strCache>
            </strRef>
          </cat>
          <val>
            <numRef>
              <f>composición!$P$2:$P$6</f>
              <numCache>
                <formatCode>0.00%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0.013080307684046</v>
                </pt>
                <pt idx="4">
                  <v>0.986919692315954</v>
                </pt>
              </numCache>
            </numRef>
          </val>
        </ser>
        <firstSliceAng val="0"/>
        <holeSize val="50"/>
      </doughnutChart>
    </plotArea>
    <plotVisOnly val="1"/>
    <dispBlanksAs val="gap"/>
  </chart>
  <spPr>
    <a:noFill xmlns:a="http://schemas.openxmlformats.org/drawingml/2006/main"/>
    <a:ln xmlns:a="http://schemas.openxmlformats.org/drawingml/2006/main" w="9360">
      <a:noFill/>
      <a:prstDash val="solid"/>
    </a:ln>
  </spPr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fdd9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a6a6a6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composición!$S$3:$S$4</f>
              <strCache>
                <ptCount val="2"/>
                <pt idx="0">
                  <v>Pesos</v>
                </pt>
                <pt idx="1">
                  <v>UF</v>
                </pt>
              </strCache>
            </strRef>
          </cat>
          <val>
            <numRef>
              <f>composición!$T$3:$T$4</f>
              <numCache>
                <formatCode>0.00%</formatCode>
                <ptCount val="2"/>
                <pt idx="0">
                  <v>0.982676864212738</v>
                </pt>
                <pt idx="1">
                  <v>0.0173231357872617</v>
                </pt>
              </numCache>
            </numRef>
          </val>
        </ser>
        <firstSliceAng val="0"/>
        <holeSize val="50"/>
      </doughnutChart>
    </plotArea>
    <plotVisOnly val="1"/>
    <dispBlanksAs val="gap"/>
  </chart>
  <spPr>
    <a:noFill xmlns:a="http://schemas.openxmlformats.org/drawingml/2006/main"/>
    <a:ln xmlns:a="http://schemas.openxmlformats.org/drawingml/2006/main" w="9360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3</col>
      <colOff>106560</colOff>
      <row>33</row>
      <rowOff>34200</rowOff>
    </from>
    <to>
      <col>8</col>
      <colOff>713880</colOff>
      <row>48</row>
      <rowOff>32040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3</col>
      <colOff>76320</colOff>
      <row>18</row>
      <rowOff>34200</rowOff>
    </from>
    <to>
      <col>8</col>
      <colOff>683640</colOff>
      <row>33</row>
      <rowOff>32040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3</col>
      <colOff>175320</colOff>
      <row>1</row>
      <rowOff>167760</rowOff>
    </from>
    <to>
      <col>8</col>
      <colOff>782640</colOff>
      <row>18</row>
      <rowOff>165600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C:/Users/Jorge%20Valenzuela/Downloads/ICP%20hist&#243;rico%20(1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imple"/>
    </sheetNames>
    <sheetDataSet>
      <sheetData sheetId="0">
        <row r="3790">
          <cell r="A3790">
            <v>43041</v>
          </cell>
          <cell r="B3790">
            <v>17821.62</v>
          </cell>
        </row>
        <row r="3791">
          <cell r="A3791">
            <v>43042</v>
          </cell>
          <cell r="B3791">
            <v>17822.86</v>
          </cell>
        </row>
        <row r="3792">
          <cell r="A3792">
            <v>43045</v>
          </cell>
          <cell r="B3792">
            <v>17826.57</v>
          </cell>
        </row>
        <row r="3793">
          <cell r="A3793">
            <v>43046</v>
          </cell>
          <cell r="B3793">
            <v>17827.81</v>
          </cell>
        </row>
        <row r="3794">
          <cell r="A3794">
            <v>43047</v>
          </cell>
          <cell r="B3794">
            <v>17829.05</v>
          </cell>
        </row>
        <row r="3795">
          <cell r="A3795">
            <v>43048</v>
          </cell>
          <cell r="B3795">
            <v>17830.29</v>
          </cell>
        </row>
        <row r="3796">
          <cell r="A3796">
            <v>43049</v>
          </cell>
          <cell r="B3796">
            <v>17831.53</v>
          </cell>
        </row>
        <row r="3797">
          <cell r="A3797">
            <v>43052</v>
          </cell>
          <cell r="B3797">
            <v>17835.24</v>
          </cell>
        </row>
        <row r="3798">
          <cell r="A3798">
            <v>43053</v>
          </cell>
          <cell r="B3798">
            <v>17836.48</v>
          </cell>
        </row>
        <row r="3799">
          <cell r="A3799">
            <v>43054</v>
          </cell>
          <cell r="B3799">
            <v>17837.72</v>
          </cell>
        </row>
        <row r="3800">
          <cell r="A3800">
            <v>43055</v>
          </cell>
          <cell r="B3800">
            <v>17838.96</v>
          </cell>
        </row>
        <row r="3801">
          <cell r="A3801">
            <v>43056</v>
          </cell>
          <cell r="B3801">
            <v>17840.2</v>
          </cell>
        </row>
        <row r="3802">
          <cell r="A3802">
            <v>43059</v>
          </cell>
          <cell r="B3802">
            <v>17843.92</v>
          </cell>
        </row>
        <row r="3803">
          <cell r="A3803">
            <v>43060</v>
          </cell>
          <cell r="B3803">
            <v>17845.16</v>
          </cell>
        </row>
        <row r="3804">
          <cell r="A3804">
            <v>43061</v>
          </cell>
          <cell r="B3804">
            <v>17846.4</v>
          </cell>
        </row>
        <row r="3805">
          <cell r="A3805">
            <v>43062</v>
          </cell>
          <cell r="B3805">
            <v>17847.64</v>
          </cell>
        </row>
        <row r="3806">
          <cell r="A3806">
            <v>43063</v>
          </cell>
          <cell r="B3806">
            <v>17848.88</v>
          </cell>
        </row>
        <row r="3807">
          <cell r="A3807">
            <v>43066</v>
          </cell>
          <cell r="B3807">
            <v>17852.6</v>
          </cell>
        </row>
        <row r="3808">
          <cell r="A3808">
            <v>43067</v>
          </cell>
          <cell r="B3808">
            <v>17853.84</v>
          </cell>
        </row>
        <row r="3809">
          <cell r="A3809">
            <v>43068</v>
          </cell>
          <cell r="B3809">
            <v>17855.08</v>
          </cell>
        </row>
        <row r="3810">
          <cell r="A3810">
            <v>43069</v>
          </cell>
          <cell r="B3810">
            <v>17856.32</v>
          </cell>
        </row>
        <row r="3811">
          <cell r="A3811">
            <v>43070</v>
          </cell>
          <cell r="B3811">
            <v>17857.56</v>
          </cell>
        </row>
        <row r="3812">
          <cell r="A3812">
            <v>43073</v>
          </cell>
          <cell r="B3812">
            <v>17861.28</v>
          </cell>
        </row>
        <row r="3813">
          <cell r="A3813">
            <v>43074</v>
          </cell>
          <cell r="B3813">
            <v>17862.52</v>
          </cell>
        </row>
        <row r="3814">
          <cell r="A3814">
            <v>43075</v>
          </cell>
          <cell r="B3814">
            <v>17863.76</v>
          </cell>
        </row>
        <row r="3815">
          <cell r="A3815">
            <v>43076</v>
          </cell>
          <cell r="B3815">
            <v>17865</v>
          </cell>
        </row>
        <row r="3816">
          <cell r="A3816">
            <v>43080</v>
          </cell>
          <cell r="B3816">
            <v>17869.96</v>
          </cell>
        </row>
        <row r="3817">
          <cell r="A3817">
            <v>43081</v>
          </cell>
          <cell r="B3817">
            <v>17871.2</v>
          </cell>
        </row>
        <row r="3818">
          <cell r="A3818">
            <v>43082</v>
          </cell>
          <cell r="B3818">
            <v>17872.44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A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1.42578125" defaultRowHeight="14.25" zeroHeight="0" outlineLevelRow="0"/>
  <cols>
    <col width="68.42" customWidth="1" style="85" min="1" max="1"/>
  </cols>
  <sheetData>
    <row r="2" ht="68.25" customHeight="1" s="86">
      <c r="A2" s="87" t="inlineStr">
        <is>
          <t>La variación del IPC del mes de Enero fue de 1,10% que fue muy por sobre de las expectativas de mercado y la variación en 12 meses quedó, en 4,90%. Este IPC muestra que la situación todavía no está controlada, El BC tiene que evaluar muy bien las medidas a seguir, por lo pronto no deberían seguir bajando la TPM hasta que tenga datos más positivos de Inflación. Los depósitos a plazo (IIF) no reflejan movimientos de tasa por todo el año por parte del emisor.</t>
        </is>
      </c>
    </row>
    <row r="3" ht="16.5" customHeight="1" s="86">
      <c r="A3" s="87" t="n"/>
    </row>
    <row r="4" ht="18" customHeight="1" s="86">
      <c r="A4" s="8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K499"/>
  <sheetViews>
    <sheetView showFormulas="0" showGridLines="0" showRowColHeaders="1" showZeros="1" rightToLeft="0" tabSelected="0" showOutlineSymbols="1" defaultGridColor="1" view="normal" topLeftCell="Z1" colorId="64" zoomScale="71" zoomScaleNormal="71" zoomScalePageLayoutView="100" workbookViewId="0">
      <pane xSplit="0" ySplit="2" topLeftCell="A18" activePane="bottomLeft" state="frozen"/>
      <selection pane="topLeft" activeCell="Z1" activeCellId="0" sqref="Z1"/>
      <selection pane="bottomLeft" activeCell="BB30" activeCellId="0" sqref="BB30"/>
    </sheetView>
  </sheetViews>
  <sheetFormatPr baseColWidth="8" defaultColWidth="12.2890625" defaultRowHeight="14.25" zeroHeight="0" outlineLevelRow="0"/>
  <cols>
    <col width="14.14" customWidth="1" style="89" min="1" max="1"/>
    <col width="18.14" customWidth="1" style="89" min="2" max="2"/>
    <col width="12.29" customWidth="1" style="89" min="3" max="5"/>
    <col width="16.14" customWidth="1" style="89" min="6" max="6"/>
    <col width="14.14" customWidth="1" style="90" min="7" max="7"/>
    <col width="14.86" customWidth="1" style="90" min="8" max="8"/>
    <col width="12.29" customWidth="1" style="91" min="9" max="9"/>
    <col width="12.29" customWidth="1" style="89" min="10" max="12"/>
    <col width="11.85" customWidth="1" style="89" min="13" max="24"/>
    <col width="12.29" customWidth="1" style="89" min="25" max="25"/>
    <col width="14.14" customWidth="1" style="89" min="26" max="26"/>
    <col width="10.85" customWidth="1" style="89" min="27" max="27"/>
    <col width="5.57" customWidth="1" style="89" min="28" max="28"/>
    <col width="8.289999999999999" customWidth="1" style="89" min="29" max="29"/>
    <col width="10.57" customWidth="1" style="89" min="30" max="30"/>
    <col width="7.86" customWidth="1" style="89" min="31" max="31"/>
    <col width="6.71" customWidth="1" style="89" min="32" max="32"/>
    <col width="6.85" customWidth="1" style="89" min="33" max="33"/>
    <col width="6.29" customWidth="1" style="89" min="34" max="34"/>
    <col width="7.16" customWidth="1" style="89" min="35" max="35"/>
    <col width="7" customWidth="1" style="89" min="36" max="36"/>
    <col width="6.57" customWidth="1" style="89" min="37" max="37"/>
    <col width="8.15" customWidth="1" style="89" min="38" max="38"/>
    <col width="7.42" customWidth="1" style="89" min="39" max="39"/>
    <col width="7.29" customWidth="1" style="89" min="40" max="40"/>
    <col width="7.42" customWidth="1" style="89" min="41" max="42"/>
    <col width="8.289999999999999" customWidth="1" style="89" min="43" max="43"/>
    <col width="3.86" customWidth="1" style="89" min="44" max="44"/>
    <col width="11.71" customWidth="1" style="89" min="45" max="45"/>
    <col width="12.29" customWidth="1" style="89" min="46" max="46"/>
    <col width="12.71" customWidth="1" style="89" min="47" max="47"/>
    <col width="11.71" customWidth="1" style="89" min="48" max="48"/>
    <col width="14.29" customWidth="1" style="89" min="49" max="49"/>
    <col width="14.42" customWidth="1" style="89" min="50" max="50"/>
    <col width="14.57" customWidth="1" style="89" min="51" max="51"/>
    <col width="15.29" customWidth="1" style="89" min="52" max="52"/>
    <col width="15" customWidth="1" style="89" min="53" max="53"/>
    <col width="16.29" customWidth="1" style="89" min="54" max="54"/>
    <col width="12.29" customWidth="1" style="89" min="55" max="16384"/>
  </cols>
  <sheetData>
    <row r="1" ht="14.25" customHeight="1" s="86">
      <c r="A1" s="89" t="inlineStr">
        <is>
          <t>CLICP Index</t>
        </is>
      </c>
      <c r="F1" s="89" t="inlineStr">
        <is>
          <t>Cuota Liquidez Monetario</t>
        </is>
      </c>
      <c r="AC1" s="92" t="n"/>
      <c r="AD1" s="93" t="inlineStr">
        <is>
          <t>ICP</t>
        </is>
      </c>
      <c r="AE1" s="94" t="inlineStr">
        <is>
          <t>Ene</t>
        </is>
      </c>
      <c r="AF1" s="94" t="inlineStr">
        <is>
          <t>Feb</t>
        </is>
      </c>
      <c r="AG1" s="94" t="inlineStr">
        <is>
          <t>Mar</t>
        </is>
      </c>
      <c r="AH1" s="94" t="inlineStr">
        <is>
          <t>Abr</t>
        </is>
      </c>
      <c r="AI1" s="94" t="inlineStr">
        <is>
          <t>May</t>
        </is>
      </c>
      <c r="AJ1" s="94" t="inlineStr">
        <is>
          <t>Jun</t>
        </is>
      </c>
      <c r="AK1" s="94" t="inlineStr">
        <is>
          <t>Jul</t>
        </is>
      </c>
      <c r="AL1" s="94" t="inlineStr">
        <is>
          <t>Ago</t>
        </is>
      </c>
      <c r="AM1" s="94" t="inlineStr">
        <is>
          <t>Sep</t>
        </is>
      </c>
      <c r="AN1" s="94" t="inlineStr">
        <is>
          <t>Oct</t>
        </is>
      </c>
      <c r="AO1" s="94" t="inlineStr">
        <is>
          <t>Nov</t>
        </is>
      </c>
      <c r="AP1" s="94" t="inlineStr">
        <is>
          <t>Dic</t>
        </is>
      </c>
      <c r="AQ1" s="94" t="inlineStr">
        <is>
          <t>Total Año</t>
        </is>
      </c>
      <c r="AR1" s="95" t="n"/>
      <c r="AS1" s="95" t="n"/>
    </row>
    <row r="2" ht="14.25" customHeight="1" s="86">
      <c r="A2" s="96" t="inlineStr">
        <is>
          <t>Fecha</t>
        </is>
      </c>
      <c r="B2" s="96" t="inlineStr">
        <is>
          <t>ICP</t>
        </is>
      </c>
      <c r="C2" s="96" t="n"/>
      <c r="D2" s="96" t="inlineStr">
        <is>
          <t>ICP Norm.</t>
        </is>
      </c>
      <c r="E2" s="96" t="n"/>
      <c r="F2" s="96" t="n"/>
      <c r="G2" s="97" t="n"/>
      <c r="H2" s="97" t="n"/>
      <c r="J2" s="89" t="inlineStr">
        <is>
          <t>Fondo Liquidez Monetario</t>
        </is>
      </c>
      <c r="K2" s="98" t="inlineStr">
        <is>
          <t>8057-8</t>
        </is>
      </c>
      <c r="L2" s="99" t="n"/>
      <c r="M2" s="89" t="inlineStr">
        <is>
          <t>Competencia Relevante (*)</t>
        </is>
      </c>
      <c r="P2" s="89" t="inlineStr">
        <is>
          <t>Ene</t>
        </is>
      </c>
      <c r="Q2" s="89" t="inlineStr">
        <is>
          <t>Feb</t>
        </is>
      </c>
      <c r="R2" s="89" t="inlineStr">
        <is>
          <t>Mar</t>
        </is>
      </c>
      <c r="S2" s="89" t="inlineStr">
        <is>
          <t>Abr</t>
        </is>
      </c>
      <c r="T2" s="89" t="inlineStr">
        <is>
          <t>May</t>
        </is>
      </c>
      <c r="U2" s="89" t="inlineStr">
        <is>
          <t>Jun</t>
        </is>
      </c>
      <c r="V2" s="89" t="inlineStr">
        <is>
          <t>Jul</t>
        </is>
      </c>
      <c r="W2" s="89" t="inlineStr">
        <is>
          <t>Ago</t>
        </is>
      </c>
      <c r="X2" s="89" t="inlineStr">
        <is>
          <t>Sep</t>
        </is>
      </c>
      <c r="Y2" s="89" t="inlineStr">
        <is>
          <t>Oct</t>
        </is>
      </c>
      <c r="Z2" s="89" t="inlineStr">
        <is>
          <t>Nov</t>
        </is>
      </c>
      <c r="AA2" s="89" t="inlineStr">
        <is>
          <t>Dic</t>
        </is>
      </c>
      <c r="AC2" s="92" t="n"/>
      <c r="AD2" s="100" t="n">
        <v>2006</v>
      </c>
      <c r="AE2" s="101">
        <f>P3/N3-1</f>
        <v/>
      </c>
      <c r="AF2" s="101">
        <f>Q3/P3-1</f>
        <v/>
      </c>
      <c r="AG2" s="101">
        <f>R3/Q3-1</f>
        <v/>
      </c>
      <c r="AH2" s="101">
        <f>S3/R3-1</f>
        <v/>
      </c>
      <c r="AI2" s="101">
        <f>T3/S3-1</f>
        <v/>
      </c>
      <c r="AJ2" s="101">
        <f>U3/T3-1</f>
        <v/>
      </c>
      <c r="AK2" s="101">
        <f>V3/U3-1</f>
        <v/>
      </c>
      <c r="AL2" s="101">
        <f>W3/V3-1</f>
        <v/>
      </c>
      <c r="AM2" s="101">
        <f>X3/W3-1</f>
        <v/>
      </c>
      <c r="AN2" s="101">
        <f>Y3/X3-1</f>
        <v/>
      </c>
      <c r="AO2" s="101">
        <f>Z3/Y3-1</f>
        <v/>
      </c>
      <c r="AP2" s="101">
        <f>AA3/Z3-1</f>
        <v/>
      </c>
      <c r="AQ2" s="102">
        <f>AA3/N3-1</f>
        <v/>
      </c>
      <c r="AR2" s="95" t="n"/>
      <c r="AS2" s="95" t="n"/>
    </row>
    <row r="3" ht="14.25" customHeight="1" s="86">
      <c r="A3" s="103" t="n">
        <v>38717</v>
      </c>
      <c r="B3" s="104" t="n">
        <v>10953.14</v>
      </c>
      <c r="D3" s="105">
        <f>B3/$B$3*100</f>
        <v/>
      </c>
      <c r="E3" s="105" t="n"/>
      <c r="F3" s="105" t="n"/>
      <c r="K3" s="98" t="n"/>
      <c r="L3" s="99" t="n"/>
      <c r="N3" s="104">
        <f>B3</f>
        <v/>
      </c>
      <c r="O3" s="89" t="n">
        <v>2006</v>
      </c>
      <c r="P3" s="106" t="n">
        <v>10996.85</v>
      </c>
      <c r="Q3" s="106" t="n">
        <v>11035.11</v>
      </c>
      <c r="R3" s="106" t="n">
        <v>11078.66</v>
      </c>
      <c r="S3" s="106" t="n">
        <v>11118.82</v>
      </c>
      <c r="T3" s="106" t="n">
        <v>11169.1</v>
      </c>
      <c r="U3" s="106" t="n">
        <v>11215.04</v>
      </c>
      <c r="V3" s="106" t="n">
        <v>11263.22</v>
      </c>
      <c r="W3" s="106" t="n">
        <v>11313.29</v>
      </c>
      <c r="X3" s="106" t="n">
        <v>11360.92</v>
      </c>
      <c r="Y3" s="106" t="n">
        <v>11413.02</v>
      </c>
      <c r="Z3" s="106" t="n">
        <v>11463.01</v>
      </c>
      <c r="AA3" s="106" t="n">
        <v>11512.49</v>
      </c>
      <c r="AC3" s="92" t="n"/>
      <c r="AD3" s="107" t="n">
        <v>2007</v>
      </c>
      <c r="AE3" s="108">
        <f>P4/AA3-1</f>
        <v/>
      </c>
      <c r="AF3" s="108">
        <f>Q4/P4-1</f>
        <v/>
      </c>
      <c r="AG3" s="108">
        <f>R4/Q4-1</f>
        <v/>
      </c>
      <c r="AH3" s="108">
        <f>S4/R4-1</f>
        <v/>
      </c>
      <c r="AI3" s="108">
        <f>T4/S4-1</f>
        <v/>
      </c>
      <c r="AJ3" s="108">
        <f>U4/T4-1</f>
        <v/>
      </c>
      <c r="AK3" s="108">
        <f>V4/U4-1</f>
        <v/>
      </c>
      <c r="AL3" s="108">
        <f>W4/V4-1</f>
        <v/>
      </c>
      <c r="AM3" s="108">
        <f>X4/W4-1</f>
        <v/>
      </c>
      <c r="AN3" s="108">
        <f>Y4/X4-1</f>
        <v/>
      </c>
      <c r="AO3" s="108">
        <f>Z4/Y4-1</f>
        <v/>
      </c>
      <c r="AP3" s="108">
        <f>AA4/Z4-1</f>
        <v/>
      </c>
      <c r="AQ3" s="109">
        <f>AA4/AA3-1</f>
        <v/>
      </c>
      <c r="AR3" s="95" t="n"/>
      <c r="AS3" s="95" t="n"/>
    </row>
    <row r="4" ht="14.25" customHeight="1" s="86">
      <c r="A4" s="110" t="n">
        <v>38748</v>
      </c>
      <c r="B4" s="106" t="n">
        <v>10996.85</v>
      </c>
      <c r="C4" s="99">
        <f>(B4/B3-1)/(A4-A3)*30</f>
        <v/>
      </c>
      <c r="D4" s="105">
        <f>B4/$B$3*100</f>
        <v/>
      </c>
      <c r="E4" s="105" t="n"/>
      <c r="F4" s="105" t="n"/>
      <c r="K4" s="98" t="inlineStr">
        <is>
          <t>Sant. Money Market UNIV</t>
        </is>
      </c>
      <c r="L4" s="99" t="n"/>
      <c r="O4" s="89" t="n">
        <v>2007</v>
      </c>
      <c r="P4" s="106" t="n">
        <v>11567.23</v>
      </c>
      <c r="Q4" s="106" t="n">
        <v>11612.68</v>
      </c>
      <c r="R4" s="106" t="n">
        <v>11661.5</v>
      </c>
      <c r="S4" s="106" t="n">
        <v>11712.58</v>
      </c>
      <c r="T4" s="106" t="n">
        <v>11763.78</v>
      </c>
      <c r="U4" s="106" t="n">
        <v>11812.23</v>
      </c>
      <c r="V4" s="106" t="n">
        <v>11866.53</v>
      </c>
      <c r="W4" s="106" t="n">
        <v>11922.48</v>
      </c>
      <c r="X4" s="106" t="n">
        <v>11975.61</v>
      </c>
      <c r="Y4" s="106" t="n">
        <v>12038.9</v>
      </c>
      <c r="Z4" s="106" t="n">
        <v>12096.85</v>
      </c>
      <c r="AA4" s="106" t="n">
        <v>12152.6</v>
      </c>
      <c r="AC4" s="92" t="n"/>
      <c r="AD4" s="100" t="n">
        <v>2008</v>
      </c>
      <c r="AE4" s="101">
        <f>P5/AA4-1</f>
        <v/>
      </c>
      <c r="AF4" s="101">
        <f>Q5/P5-1</f>
        <v/>
      </c>
      <c r="AG4" s="101">
        <f>R5/Q5-1</f>
        <v/>
      </c>
      <c r="AH4" s="101">
        <f>S5/R5-1</f>
        <v/>
      </c>
      <c r="AI4" s="101">
        <f>T5/S5-1</f>
        <v/>
      </c>
      <c r="AJ4" s="101">
        <f>U5/T5-1</f>
        <v/>
      </c>
      <c r="AK4" s="101">
        <f>V5/U5-1</f>
        <v/>
      </c>
      <c r="AL4" s="101">
        <f>W5/V5-1</f>
        <v/>
      </c>
      <c r="AM4" s="101">
        <f>X5/W5-1</f>
        <v/>
      </c>
      <c r="AN4" s="101">
        <f>Y5/X5-1</f>
        <v/>
      </c>
      <c r="AO4" s="101">
        <f>Z5/Y5-1</f>
        <v/>
      </c>
      <c r="AP4" s="101">
        <f>AA5/Z5-1</f>
        <v/>
      </c>
      <c r="AQ4" s="102">
        <f>AA5/AA4-1</f>
        <v/>
      </c>
      <c r="AR4" s="95" t="n"/>
      <c r="AS4" s="95" t="n"/>
    </row>
    <row r="5" ht="14.25" customHeight="1" s="86">
      <c r="A5" s="103" t="n">
        <v>38776</v>
      </c>
      <c r="B5" s="106" t="n">
        <v>11035.11</v>
      </c>
      <c r="C5" s="99">
        <f>(B5/B4-1)/(A5-A4)*30</f>
        <v/>
      </c>
      <c r="D5" s="105">
        <f>B5/$B$3*100</f>
        <v/>
      </c>
      <c r="E5" s="105" t="n"/>
      <c r="F5" s="105" t="n"/>
      <c r="O5" s="89" t="n">
        <v>2008</v>
      </c>
      <c r="P5" s="106" t="n">
        <v>12223.14</v>
      </c>
      <c r="Q5" s="106" t="n">
        <v>12284.88</v>
      </c>
      <c r="R5" s="106" t="n">
        <v>12351.45</v>
      </c>
      <c r="S5" s="106" t="n">
        <v>12416.18</v>
      </c>
      <c r="T5" s="106" t="n">
        <v>12481.48</v>
      </c>
      <c r="U5" s="106" t="n">
        <v>12552.23</v>
      </c>
      <c r="V5" s="106" t="n">
        <v>12628.9</v>
      </c>
      <c r="W5" s="106" t="n">
        <v>12704.63</v>
      </c>
      <c r="X5" s="106" t="n">
        <v>12796.95</v>
      </c>
      <c r="Y5" s="106" t="n">
        <v>12885.37</v>
      </c>
      <c r="Z5" s="106" t="n">
        <v>12970.93</v>
      </c>
      <c r="AA5" s="106" t="n">
        <v>13066.33</v>
      </c>
      <c r="AC5" s="92" t="n"/>
      <c r="AD5" s="107" t="n">
        <v>2009</v>
      </c>
      <c r="AE5" s="108">
        <f>P6/AA5-1</f>
        <v/>
      </c>
      <c r="AF5" s="108">
        <f>Q6/P6-1</f>
        <v/>
      </c>
      <c r="AG5" s="108">
        <f>R6/Q6-1</f>
        <v/>
      </c>
      <c r="AH5" s="108">
        <f>S6/R6-1</f>
        <v/>
      </c>
      <c r="AI5" s="108">
        <f>T6/S6-1</f>
        <v/>
      </c>
      <c r="AJ5" s="108">
        <f>U6/T6-1</f>
        <v/>
      </c>
      <c r="AK5" s="108">
        <f>V6/U6-1</f>
        <v/>
      </c>
      <c r="AL5" s="108">
        <f>W6/V6-1</f>
        <v/>
      </c>
      <c r="AM5" s="108">
        <f>X6/W6-1</f>
        <v/>
      </c>
      <c r="AN5" s="108">
        <f>Y6/X6-1</f>
        <v/>
      </c>
      <c r="AO5" s="108">
        <f>Z6/Y6-1</f>
        <v/>
      </c>
      <c r="AP5" s="108">
        <f>AA6/Z6-1</f>
        <v/>
      </c>
      <c r="AQ5" s="109">
        <f>AA6/AA5-1</f>
        <v/>
      </c>
      <c r="AR5" s="95" t="n"/>
      <c r="AS5" s="95" t="n"/>
    </row>
    <row r="6" ht="14.25" customHeight="1" s="86">
      <c r="A6" s="103" t="n">
        <v>38807</v>
      </c>
      <c r="B6" s="106" t="n">
        <v>11078.66</v>
      </c>
      <c r="C6" s="99">
        <f>(B6/B5-1)/(A6-A5)*30</f>
        <v/>
      </c>
      <c r="D6" s="105">
        <f>B6/$B$3*100</f>
        <v/>
      </c>
      <c r="E6" s="105" t="n"/>
      <c r="F6" s="105" t="n"/>
      <c r="O6" s="89" t="n">
        <v>2009</v>
      </c>
      <c r="P6" s="106" t="n">
        <v>13151.16</v>
      </c>
      <c r="Q6" s="106" t="n">
        <v>13212.09</v>
      </c>
      <c r="R6" s="106" t="n">
        <v>13251.18</v>
      </c>
      <c r="S6" s="106" t="n">
        <v>13272.62</v>
      </c>
      <c r="T6" s="106" t="n">
        <v>13286.96</v>
      </c>
      <c r="U6" s="106" t="n">
        <v>13299.08</v>
      </c>
      <c r="V6" s="106" t="n">
        <v>13305.34</v>
      </c>
      <c r="W6" s="106" t="n">
        <v>13310.07</v>
      </c>
      <c r="X6" s="106" t="n">
        <v>13315.05</v>
      </c>
      <c r="Y6" s="106" t="n">
        <v>13319.74</v>
      </c>
      <c r="Z6" s="106" t="n">
        <v>13324.51</v>
      </c>
      <c r="AA6" s="106" t="n">
        <v>13329.5</v>
      </c>
      <c r="AC6" s="92" t="n"/>
      <c r="AD6" s="100" t="n">
        <v>2010</v>
      </c>
      <c r="AE6" s="101">
        <f>P7/AA6-1</f>
        <v/>
      </c>
      <c r="AF6" s="101">
        <f>Q7/P7-1</f>
        <v/>
      </c>
      <c r="AG6" s="101">
        <f>R7/Q7-1</f>
        <v/>
      </c>
      <c r="AH6" s="101">
        <f>S7/R7-1</f>
        <v/>
      </c>
      <c r="AI6" s="101">
        <f>T7/S7-1</f>
        <v/>
      </c>
      <c r="AJ6" s="101">
        <f>U7/T7-1</f>
        <v/>
      </c>
      <c r="AK6" s="101">
        <f>V7/U7-1</f>
        <v/>
      </c>
      <c r="AL6" s="101">
        <f>W7/V7-1</f>
        <v/>
      </c>
      <c r="AM6" s="101">
        <f>X7/W7-1</f>
        <v/>
      </c>
      <c r="AN6" s="101">
        <f>Y7/X7-1</f>
        <v/>
      </c>
      <c r="AO6" s="101">
        <f>Z7/Y7-1</f>
        <v/>
      </c>
      <c r="AP6" s="101">
        <f>AA7/Z7-1</f>
        <v/>
      </c>
      <c r="AQ6" s="102">
        <f>AA7/AA6-1</f>
        <v/>
      </c>
      <c r="AR6" s="95" t="n"/>
      <c r="AS6" s="95" t="n"/>
    </row>
    <row r="7" ht="14.25" customHeight="1" s="86">
      <c r="A7" s="103" t="n">
        <v>38835</v>
      </c>
      <c r="B7" s="106" t="n">
        <v>11118.82</v>
      </c>
      <c r="C7" s="99">
        <f>(B7/B6-1)/(A7-A6)*30</f>
        <v/>
      </c>
      <c r="D7" s="105">
        <f>B7/$B$3*100</f>
        <v/>
      </c>
      <c r="E7" s="105" t="n"/>
      <c r="F7" s="105" t="n"/>
      <c r="O7" s="89" t="n">
        <v>2010</v>
      </c>
      <c r="P7" s="106" t="n">
        <v>13334.25</v>
      </c>
      <c r="Q7" s="106" t="n">
        <v>13338.53</v>
      </c>
      <c r="R7" s="106" t="n">
        <v>13343.79</v>
      </c>
      <c r="S7" s="106" t="n">
        <v>13348.63</v>
      </c>
      <c r="T7" s="106" t="n">
        <v>13353.5</v>
      </c>
      <c r="U7" s="106" t="n">
        <v>13360.9</v>
      </c>
      <c r="V7" s="106" t="n">
        <v>13373.99</v>
      </c>
      <c r="W7" s="106" t="n">
        <v>13395.21</v>
      </c>
      <c r="X7" s="106" t="n">
        <v>13419.79</v>
      </c>
      <c r="Y7" s="106" t="n">
        <v>13448.69</v>
      </c>
      <c r="Z7" s="106" t="n">
        <v>13483.02</v>
      </c>
      <c r="AA7" s="106" t="n">
        <v>13522.93</v>
      </c>
      <c r="AC7" s="92" t="n"/>
      <c r="AD7" s="107" t="n">
        <v>2011</v>
      </c>
      <c r="AE7" s="108">
        <f>P8/AA7-1</f>
        <v/>
      </c>
      <c r="AF7" s="108">
        <f>Q8/P8-1</f>
        <v/>
      </c>
      <c r="AG7" s="108">
        <f>R8/Q8-1</f>
        <v/>
      </c>
      <c r="AH7" s="108">
        <f>S8/R8-1</f>
        <v/>
      </c>
      <c r="AI7" s="108">
        <f>T8/S8-1</f>
        <v/>
      </c>
      <c r="AJ7" s="108">
        <f>U8/T8-1</f>
        <v/>
      </c>
      <c r="AK7" s="108">
        <f>V8/U8-1</f>
        <v/>
      </c>
      <c r="AL7" s="108">
        <f>W8/V8-1</f>
        <v/>
      </c>
      <c r="AM7" s="108">
        <f>X8/W8-1</f>
        <v/>
      </c>
      <c r="AN7" s="108">
        <f>Y8/X8-1</f>
        <v/>
      </c>
      <c r="AO7" s="108">
        <f>Z8/Y8-1</f>
        <v/>
      </c>
      <c r="AP7" s="108">
        <f>AA8/Z8-1</f>
        <v/>
      </c>
      <c r="AQ7" s="109">
        <f>AA8/AA7-1</f>
        <v/>
      </c>
      <c r="AR7" s="95" t="n"/>
      <c r="AS7" s="95" t="n"/>
    </row>
    <row r="8" ht="14.25" customHeight="1" s="86">
      <c r="A8" s="103" t="n">
        <v>38868</v>
      </c>
      <c r="B8" s="106" t="n">
        <v>11169.1</v>
      </c>
      <c r="C8" s="99">
        <f>(B8/B7-1)/(A8-A7)*30</f>
        <v/>
      </c>
      <c r="D8" s="105">
        <f>B8/$B$3*100</f>
        <v/>
      </c>
      <c r="E8" s="105" t="n"/>
      <c r="F8" s="105" t="n"/>
      <c r="O8" s="89" t="n">
        <v>2011</v>
      </c>
      <c r="P8" s="106" t="n">
        <v>13557.12</v>
      </c>
      <c r="Q8" s="106" t="n">
        <v>13592.3</v>
      </c>
      <c r="R8" s="106" t="n">
        <v>13635.91</v>
      </c>
      <c r="S8" s="106" t="n">
        <v>13682.94</v>
      </c>
      <c r="T8" s="106" t="n">
        <v>13741.06</v>
      </c>
      <c r="U8" s="106" t="n">
        <v>13799.74</v>
      </c>
      <c r="V8" s="106" t="n">
        <v>13858.14</v>
      </c>
      <c r="W8" s="106" t="n">
        <v>13925.03</v>
      </c>
      <c r="X8" s="106" t="n">
        <v>13985.97</v>
      </c>
      <c r="Y8" s="106" t="n">
        <v>14043.21</v>
      </c>
      <c r="Z8" s="106" t="n">
        <v>14110.87</v>
      </c>
      <c r="AA8" s="106" t="n">
        <v>14172.63</v>
      </c>
      <c r="AC8" s="92" t="n"/>
      <c r="AD8" s="100" t="n">
        <v>2012</v>
      </c>
      <c r="AE8" s="101">
        <f>P9/AA8-1</f>
        <v/>
      </c>
      <c r="AF8" s="101">
        <f>Q9/P9-1</f>
        <v/>
      </c>
      <c r="AG8" s="101">
        <f>R9/Q9-1</f>
        <v/>
      </c>
      <c r="AH8" s="101">
        <f>S9/R9-1</f>
        <v/>
      </c>
      <c r="AI8" s="101">
        <f>T9/S9-1</f>
        <v/>
      </c>
      <c r="AJ8" s="101">
        <f>U9/T9-1</f>
        <v/>
      </c>
      <c r="AK8" s="101">
        <f>V9/U9-1</f>
        <v/>
      </c>
      <c r="AL8" s="101">
        <f>W9/V9-1</f>
        <v/>
      </c>
      <c r="AM8" s="101">
        <f>X9/W9-1</f>
        <v/>
      </c>
      <c r="AN8" s="101">
        <f>Y9/X9-1</f>
        <v/>
      </c>
      <c r="AO8" s="101">
        <f>Z9/Y9-1</f>
        <v/>
      </c>
      <c r="AP8" s="101">
        <f>AA9/Z9-1</f>
        <v/>
      </c>
      <c r="AQ8" s="102">
        <f>AA9/AA8-1</f>
        <v/>
      </c>
      <c r="AR8" s="95" t="n"/>
      <c r="AS8" s="95" t="n"/>
    </row>
    <row r="9" ht="14.25" customHeight="1" s="86">
      <c r="A9" s="103" t="n">
        <v>38898</v>
      </c>
      <c r="B9" s="106" t="n">
        <v>11215.04</v>
      </c>
      <c r="C9" s="99">
        <f>(B9/B8-1)/(A9-A8)*30</f>
        <v/>
      </c>
      <c r="D9" s="105">
        <f>B9/$B$3*100</f>
        <v/>
      </c>
      <c r="E9" s="105" t="n"/>
      <c r="F9" s="105" t="n"/>
      <c r="O9" s="89" t="n">
        <v>2012</v>
      </c>
      <c r="P9" s="106" t="n">
        <v>14236.38</v>
      </c>
      <c r="Q9" s="106" t="n">
        <v>14293.67</v>
      </c>
      <c r="R9" s="106" t="n">
        <v>14353.34</v>
      </c>
      <c r="S9" s="106" t="n">
        <v>14415.21</v>
      </c>
      <c r="T9" s="106" t="n">
        <v>14477.55</v>
      </c>
      <c r="U9" s="106" t="n">
        <v>14536.13</v>
      </c>
      <c r="V9" s="106" t="n">
        <v>14600.61</v>
      </c>
      <c r="W9" s="106" t="n">
        <v>14663.33</v>
      </c>
      <c r="X9" s="106" t="n">
        <v>14720.68</v>
      </c>
      <c r="Y9" s="106" t="n">
        <v>14788.56</v>
      </c>
      <c r="Z9" s="106" t="n">
        <v>14850.38</v>
      </c>
      <c r="AA9" s="106" t="n">
        <v>14908.2</v>
      </c>
      <c r="AC9" s="92" t="n"/>
      <c r="AD9" s="107" t="n">
        <v>2013</v>
      </c>
      <c r="AE9" s="108">
        <f>P10/AA9-1</f>
        <v/>
      </c>
      <c r="AF9" s="108">
        <f>Q10/P10-1</f>
        <v/>
      </c>
      <c r="AG9" s="108">
        <f>R10/Q10-1</f>
        <v/>
      </c>
      <c r="AH9" s="108">
        <f>S10/R10-1</f>
        <v/>
      </c>
      <c r="AI9" s="108">
        <f>T10/S10-1</f>
        <v/>
      </c>
      <c r="AJ9" s="108">
        <f>U10/T10-1</f>
        <v/>
      </c>
      <c r="AK9" s="108">
        <f>V10/U10-1</f>
        <v/>
      </c>
      <c r="AL9" s="108">
        <f>W10/V10-1</f>
        <v/>
      </c>
      <c r="AM9" s="108">
        <f>X10/W10-1</f>
        <v/>
      </c>
      <c r="AN9" s="108">
        <f>Y10/X10-1</f>
        <v/>
      </c>
      <c r="AO9" s="108">
        <f>Z10/Y10-1</f>
        <v/>
      </c>
      <c r="AP9" s="108">
        <f>AA10/Z10-1</f>
        <v/>
      </c>
      <c r="AQ9" s="109">
        <f>AA10/AA9-1</f>
        <v/>
      </c>
      <c r="AR9" s="95" t="n"/>
      <c r="AS9" s="95" t="n"/>
    </row>
    <row r="10" ht="14.25" customHeight="1" s="86">
      <c r="A10" s="103" t="n">
        <v>38929</v>
      </c>
      <c r="B10" s="106" t="n">
        <v>11263.22</v>
      </c>
      <c r="C10" s="99">
        <f>(B10/B9-1)/(A10-A9)*30</f>
        <v/>
      </c>
      <c r="D10" s="105">
        <f>B10/$B$3*100</f>
        <v/>
      </c>
      <c r="E10" s="105" t="n"/>
      <c r="F10" s="105" t="n"/>
      <c r="O10" s="89" t="n">
        <v>2013</v>
      </c>
      <c r="P10" s="106" t="n">
        <v>14978.58</v>
      </c>
      <c r="Q10" s="106" t="n">
        <v>15036.94</v>
      </c>
      <c r="R10" s="106" t="n">
        <v>15095.51</v>
      </c>
      <c r="S10" s="106" t="n">
        <v>15164.77</v>
      </c>
      <c r="T10" s="106" t="n">
        <v>15230.38</v>
      </c>
      <c r="U10" s="106" t="n">
        <v>15289.74</v>
      </c>
      <c r="V10" s="106" t="n">
        <v>15360.27</v>
      </c>
      <c r="W10" s="106" t="n">
        <v>15424.43</v>
      </c>
      <c r="X10" s="106" t="n">
        <v>15490.99</v>
      </c>
      <c r="Y10" s="106" t="n">
        <v>15554.36</v>
      </c>
      <c r="Z10" s="106" t="n">
        <v>15615.06</v>
      </c>
      <c r="AA10" s="106" t="n">
        <v>15675.68</v>
      </c>
      <c r="AC10" s="92" t="n"/>
      <c r="AD10" s="100" t="n">
        <v>2014</v>
      </c>
      <c r="AE10" s="101">
        <f>P11/AA10-1</f>
        <v/>
      </c>
      <c r="AF10" s="101">
        <f>Q11/P11-1</f>
        <v/>
      </c>
      <c r="AG10" s="101">
        <f>R11/Q11-1</f>
        <v/>
      </c>
      <c r="AH10" s="101">
        <f>S11/R11-1</f>
        <v/>
      </c>
      <c r="AI10" s="101">
        <f>T11/S11-1</f>
        <v/>
      </c>
      <c r="AJ10" s="101">
        <f>U11/T11-1</f>
        <v/>
      </c>
      <c r="AK10" s="101">
        <f>V11/U11-1</f>
        <v/>
      </c>
      <c r="AL10" s="101">
        <f>W11/V11-1</f>
        <v/>
      </c>
      <c r="AM10" s="101">
        <f>X11/W11-1</f>
        <v/>
      </c>
      <c r="AN10" s="101">
        <f>Y11/X11-1</f>
        <v/>
      </c>
      <c r="AO10" s="101">
        <f>Z11/Y11-1</f>
        <v/>
      </c>
      <c r="AP10" s="101">
        <f>AA11/Z11-1</f>
        <v/>
      </c>
      <c r="AQ10" s="102">
        <f>AA11/AA10-1</f>
        <v/>
      </c>
      <c r="AR10" s="95" t="n"/>
      <c r="AS10" s="95" t="n"/>
    </row>
    <row r="11" ht="14.25" customHeight="1" s="86">
      <c r="A11" s="103" t="n">
        <v>38960</v>
      </c>
      <c r="B11" s="106" t="n">
        <v>11313.29</v>
      </c>
      <c r="C11" s="99">
        <f>(B11/B10-1)/(A11-A10)*30</f>
        <v/>
      </c>
      <c r="D11" s="105">
        <f>B11/$B$3*100</f>
        <v/>
      </c>
      <c r="E11" s="105" t="n"/>
      <c r="F11" s="105" t="n"/>
      <c r="O11" s="89" t="n">
        <v>2014</v>
      </c>
      <c r="P11" s="106" t="n">
        <v>15738.45</v>
      </c>
      <c r="Q11" s="106" t="n">
        <v>15792.47</v>
      </c>
      <c r="R11" s="106" t="n">
        <v>15848.53</v>
      </c>
      <c r="S11" s="106" t="n">
        <v>15901.43</v>
      </c>
      <c r="T11" s="106" t="n">
        <v>15954.5</v>
      </c>
      <c r="U11" s="106" t="n">
        <v>16009.53</v>
      </c>
      <c r="V11" s="106" t="n">
        <v>16063.18</v>
      </c>
      <c r="W11" s="106" t="n">
        <v>16110.55</v>
      </c>
      <c r="X11" s="106" t="n">
        <v>16158.37</v>
      </c>
      <c r="Y11" s="106" t="n">
        <v>16200.86</v>
      </c>
      <c r="Z11" s="106" t="n">
        <v>16240.11</v>
      </c>
      <c r="AA11" s="106" t="n">
        <v>16283.49</v>
      </c>
      <c r="AC11" s="92" t="n"/>
      <c r="AD11" s="107" t="n">
        <v>2015</v>
      </c>
      <c r="AE11" s="108">
        <f>P12/AA11-1</f>
        <v/>
      </c>
      <c r="AF11" s="108">
        <f>Q12/P12-1</f>
        <v/>
      </c>
      <c r="AG11" s="108">
        <f>R12/Q12-1</f>
        <v/>
      </c>
      <c r="AH11" s="108">
        <f>S12/R12-1</f>
        <v/>
      </c>
      <c r="AI11" s="108">
        <f>T12/S12-1</f>
        <v/>
      </c>
      <c r="AJ11" s="108">
        <f>U12/T12-1</f>
        <v/>
      </c>
      <c r="AK11" s="108">
        <f>V12/U12-1</f>
        <v/>
      </c>
      <c r="AL11" s="108">
        <f>W12/V12-1</f>
        <v/>
      </c>
      <c r="AM11" s="108">
        <f>X12/W12-1</f>
        <v/>
      </c>
      <c r="AN11" s="108">
        <f>Y12/X12-1</f>
        <v/>
      </c>
      <c r="AO11" s="108">
        <f>Z12/Y12-1</f>
        <v/>
      </c>
      <c r="AP11" s="108">
        <f>AA12/Z12-1</f>
        <v/>
      </c>
      <c r="AQ11" s="109">
        <f>AA12/AA11-1</f>
        <v/>
      </c>
      <c r="AR11" s="95" t="n"/>
      <c r="AS11" s="95" t="n"/>
    </row>
    <row r="12" ht="14.25" customHeight="1" s="86">
      <c r="A12" s="103" t="n">
        <v>38989</v>
      </c>
      <c r="B12" s="106" t="n">
        <v>11360.92</v>
      </c>
      <c r="C12" s="99">
        <f>(B12/B11-1)/(A12-A11)*30</f>
        <v/>
      </c>
      <c r="D12" s="105">
        <f>B12/$B$3*100</f>
        <v/>
      </c>
      <c r="E12" s="105" t="n"/>
      <c r="F12" s="105" t="n"/>
      <c r="O12" s="89" t="n">
        <v>2015</v>
      </c>
      <c r="P12" s="106" t="n">
        <v>16325.65</v>
      </c>
      <c r="Q12" s="106" t="n">
        <v>16363.77</v>
      </c>
      <c r="R12" s="106" t="n">
        <v>16407.49</v>
      </c>
      <c r="S12" s="106" t="n">
        <v>16448.59</v>
      </c>
      <c r="T12" s="106" t="n">
        <v>16488.37</v>
      </c>
      <c r="U12" s="106" t="n">
        <v>16532.38</v>
      </c>
      <c r="V12" s="106" t="n">
        <v>16575.11</v>
      </c>
      <c r="W12" s="106" t="n">
        <v>16617.94</v>
      </c>
      <c r="X12" s="106" t="n">
        <v>16659.58</v>
      </c>
      <c r="Y12" s="106" t="n">
        <v>16702.94</v>
      </c>
      <c r="Z12" s="106" t="n">
        <v>16749.75</v>
      </c>
      <c r="AA12" s="106" t="n">
        <v>16796.52</v>
      </c>
      <c r="AC12" s="92" t="n"/>
      <c r="AD12" s="100" t="n">
        <v>2016</v>
      </c>
      <c r="AE12" s="101">
        <f>P13/AA12-1</f>
        <v/>
      </c>
      <c r="AF12" s="101">
        <f>Q13/P13-1</f>
        <v/>
      </c>
      <c r="AG12" s="101">
        <f>R13/Q13-1</f>
        <v/>
      </c>
      <c r="AH12" s="101">
        <f>S13/R13-1</f>
        <v/>
      </c>
      <c r="AI12" s="101">
        <f>T13/S13-1</f>
        <v/>
      </c>
      <c r="AJ12" s="101">
        <f>U13/T13-1</f>
        <v/>
      </c>
      <c r="AK12" s="101">
        <f>V13/U13-1</f>
        <v/>
      </c>
      <c r="AL12" s="101">
        <f>W13/V13-1</f>
        <v/>
      </c>
      <c r="AM12" s="101">
        <f>X13/W13-1</f>
        <v/>
      </c>
      <c r="AN12" s="101">
        <f>Y13/X13-1</f>
        <v/>
      </c>
      <c r="AO12" s="101">
        <f>Z13/Y13-1</f>
        <v/>
      </c>
      <c r="AP12" s="101">
        <f>AA13/Z13-1</f>
        <v/>
      </c>
      <c r="AQ12" s="102">
        <f>AA13/AA12-1</f>
        <v/>
      </c>
      <c r="AR12" s="111" t="n"/>
      <c r="AS12" s="95" t="n"/>
    </row>
    <row r="13" ht="14.25" customHeight="1" s="86">
      <c r="A13" s="103" t="n">
        <v>39021</v>
      </c>
      <c r="B13" s="106" t="n">
        <v>11413.02</v>
      </c>
      <c r="C13" s="99">
        <f>(B13/B12-1)/(A13-A12)*30</f>
        <v/>
      </c>
      <c r="D13" s="105">
        <f>B13/$B$3*100</f>
        <v/>
      </c>
      <c r="E13" s="105" t="n"/>
      <c r="F13" s="105" t="n"/>
      <c r="O13" s="89" t="n">
        <v>2016</v>
      </c>
      <c r="P13" s="106" t="n">
        <v>16845.59</v>
      </c>
      <c r="Q13" s="106" t="n">
        <v>16896.43</v>
      </c>
      <c r="R13" s="106" t="n">
        <v>16947.43</v>
      </c>
      <c r="S13" s="106" t="n">
        <v>16995.27</v>
      </c>
      <c r="T13" s="106" t="n">
        <v>17048.23</v>
      </c>
      <c r="U13" s="106" t="n">
        <v>17098.02</v>
      </c>
      <c r="V13" s="106" t="n">
        <v>17149.62</v>
      </c>
      <c r="W13" s="106" t="n">
        <v>17201.38</v>
      </c>
      <c r="X13" s="106" t="n">
        <v>17251.69</v>
      </c>
      <c r="Y13" s="106">
        <f>+B133</f>
        <v/>
      </c>
      <c r="Z13" s="106">
        <f>+B134</f>
        <v/>
      </c>
      <c r="AA13" s="106">
        <f>+B135</f>
        <v/>
      </c>
      <c r="AC13" s="92" t="n"/>
      <c r="AD13" s="107" t="n">
        <v>2017</v>
      </c>
      <c r="AE13" s="108">
        <f>P14/AA13-1</f>
        <v/>
      </c>
      <c r="AF13" s="108">
        <f>+Q14/P14-1</f>
        <v/>
      </c>
      <c r="AG13" s="108">
        <f>+R14/Q14-1</f>
        <v/>
      </c>
      <c r="AH13" s="108">
        <f>+S14/R14-1</f>
        <v/>
      </c>
      <c r="AI13" s="108">
        <f>+T14/S14-1</f>
        <v/>
      </c>
      <c r="AJ13" s="108">
        <f>+U14/T14-1</f>
        <v/>
      </c>
      <c r="AK13" s="108">
        <f>+V14/U14-1</f>
        <v/>
      </c>
      <c r="AL13" s="108">
        <f>+W14/V14-1</f>
        <v/>
      </c>
      <c r="AM13" s="108">
        <f>+X14/W14-1</f>
        <v/>
      </c>
      <c r="AN13" s="108">
        <f>+Y14/X14-1</f>
        <v/>
      </c>
      <c r="AO13" s="108">
        <f>+Z14/Y14-1</f>
        <v/>
      </c>
      <c r="AP13" s="108">
        <f>+AA14/Z14-1</f>
        <v/>
      </c>
      <c r="AQ13" s="109">
        <f>AA14/AA13-1</f>
        <v/>
      </c>
      <c r="AR13" s="111" t="n"/>
      <c r="AS13" s="95" t="n"/>
    </row>
    <row r="14" ht="14.25" customHeight="1" s="86">
      <c r="A14" s="103" t="n">
        <v>39051</v>
      </c>
      <c r="B14" s="106" t="n">
        <v>11463.01</v>
      </c>
      <c r="C14" s="99">
        <f>(B14/B13-1)/(A14-A13)*30</f>
        <v/>
      </c>
      <c r="D14" s="105">
        <f>B14/$B$3*100</f>
        <v/>
      </c>
      <c r="E14" s="105" t="n"/>
      <c r="F14" s="105" t="n"/>
      <c r="O14" s="89" t="n">
        <v>2017</v>
      </c>
      <c r="P14" s="106">
        <f>+B136</f>
        <v/>
      </c>
      <c r="Q14" s="106">
        <f>+B137</f>
        <v/>
      </c>
      <c r="R14" s="106">
        <f>+B138</f>
        <v/>
      </c>
      <c r="S14" s="106">
        <f>+B139</f>
        <v/>
      </c>
      <c r="T14" s="106">
        <f>+B140</f>
        <v/>
      </c>
      <c r="U14" s="106">
        <f>+$B141</f>
        <v/>
      </c>
      <c r="V14" s="106">
        <f>+$B142</f>
        <v/>
      </c>
      <c r="W14" s="106">
        <f>+$B143</f>
        <v/>
      </c>
      <c r="X14" s="106">
        <f>+$B144</f>
        <v/>
      </c>
      <c r="Y14" s="106">
        <f>+$B145</f>
        <v/>
      </c>
      <c r="Z14" s="106">
        <f>+$B146</f>
        <v/>
      </c>
      <c r="AA14" s="106">
        <f>+$B147</f>
        <v/>
      </c>
      <c r="AC14" s="92" t="n"/>
      <c r="AD14" s="100" t="n">
        <v>2018</v>
      </c>
      <c r="AE14" s="101">
        <f>P15/AA14-1</f>
        <v/>
      </c>
      <c r="AF14" s="101">
        <f>+Q15/P15-1</f>
        <v/>
      </c>
      <c r="AG14" s="101">
        <f>+R15/Q15-1</f>
        <v/>
      </c>
      <c r="AH14" s="101">
        <f>+S15/R15-1</f>
        <v/>
      </c>
      <c r="AI14" s="101">
        <f>+T15/S15-1</f>
        <v/>
      </c>
      <c r="AJ14" s="101">
        <f>+U15/T15-1</f>
        <v/>
      </c>
      <c r="AK14" s="112">
        <f>+V15/U15-1</f>
        <v/>
      </c>
      <c r="AL14" s="112">
        <f>+W15/V15-1</f>
        <v/>
      </c>
      <c r="AM14" s="112">
        <f>+X15/W15-1</f>
        <v/>
      </c>
      <c r="AN14" s="112">
        <f>+Y15/X15-1</f>
        <v/>
      </c>
      <c r="AO14" s="112">
        <f>+Z15/Y15-1</f>
        <v/>
      </c>
      <c r="AP14" s="112">
        <f>+AA15/Z15-1</f>
        <v/>
      </c>
      <c r="AQ14" s="102">
        <f>+AA15/AA14-1</f>
        <v/>
      </c>
      <c r="AR14" s="111" t="n"/>
      <c r="AS14" s="95" t="n"/>
    </row>
    <row r="15" ht="14.25" customHeight="1" s="86">
      <c r="A15" s="103" t="n">
        <v>39080</v>
      </c>
      <c r="B15" s="106" t="n">
        <v>11512.49</v>
      </c>
      <c r="C15" s="99">
        <f>(B15/B14-1)/(A15-A14)*30</f>
        <v/>
      </c>
      <c r="D15" s="105">
        <f>B15/$B$3*100</f>
        <v/>
      </c>
      <c r="E15" s="105" t="n"/>
      <c r="F15" s="105" t="n"/>
      <c r="O15" s="89" t="n">
        <v>2018</v>
      </c>
      <c r="P15" s="89">
        <f>+B148</f>
        <v/>
      </c>
      <c r="Q15" s="89">
        <f>+B149</f>
        <v/>
      </c>
      <c r="R15" s="89">
        <f>+B150</f>
        <v/>
      </c>
      <c r="S15" s="89">
        <f>+B151</f>
        <v/>
      </c>
      <c r="T15" s="104">
        <f>+B152</f>
        <v/>
      </c>
      <c r="U15" s="105">
        <f>+B153</f>
        <v/>
      </c>
      <c r="V15" s="104">
        <f>+B154</f>
        <v/>
      </c>
      <c r="W15" s="104">
        <f>+B155</f>
        <v/>
      </c>
      <c r="X15" s="104">
        <f>+B156</f>
        <v/>
      </c>
      <c r="Y15" s="89">
        <f>+B157</f>
        <v/>
      </c>
      <c r="Z15" s="105">
        <f>+B158</f>
        <v/>
      </c>
      <c r="AA15" s="89">
        <f>+B159</f>
        <v/>
      </c>
      <c r="AC15" s="92" t="n"/>
      <c r="AD15" s="107" t="n">
        <v>2019</v>
      </c>
      <c r="AE15" s="108">
        <f>+P16/AA15-1</f>
        <v/>
      </c>
      <c r="AF15" s="108">
        <f>+Q16/P16-1</f>
        <v/>
      </c>
      <c r="AG15" s="108">
        <f>+R16/Q16-1</f>
        <v/>
      </c>
      <c r="AH15" s="108">
        <f>+S16/R16-1</f>
        <v/>
      </c>
      <c r="AI15" s="108">
        <f>+T16/S16-1</f>
        <v/>
      </c>
      <c r="AJ15" s="108">
        <f>+U16/T16-1</f>
        <v/>
      </c>
      <c r="AK15" s="108">
        <f>+V16/U16-1</f>
        <v/>
      </c>
      <c r="AL15" s="108">
        <f>+W16/V16-1</f>
        <v/>
      </c>
      <c r="AM15" s="108">
        <f>+X16/W16-1</f>
        <v/>
      </c>
      <c r="AN15" s="108">
        <f>+Y16/X16-1</f>
        <v/>
      </c>
      <c r="AO15" s="108">
        <f>+Z16/Y16-1</f>
        <v/>
      </c>
      <c r="AP15" s="108">
        <f>+AA16/Z16-1</f>
        <v/>
      </c>
      <c r="AQ15" s="109">
        <f>+(AA16/AA15-1)/COUNTA(AE15:AP15)*12</f>
        <v/>
      </c>
      <c r="AR15" s="111" t="inlineStr">
        <is>
          <t>(*)</t>
        </is>
      </c>
      <c r="AS15" s="95" t="n"/>
    </row>
    <row r="16" ht="14.25" customHeight="1" s="86">
      <c r="A16" s="103" t="n">
        <v>39113</v>
      </c>
      <c r="B16" s="106" t="n">
        <v>11567.23</v>
      </c>
      <c r="C16" s="99">
        <f>(B16/B15-1)/(A16-A15)*30</f>
        <v/>
      </c>
      <c r="D16" s="105">
        <f>B16/$B$3*100</f>
        <v/>
      </c>
      <c r="E16" s="105" t="n"/>
      <c r="F16" s="105" t="n"/>
      <c r="O16" s="89" t="n">
        <v>2019</v>
      </c>
      <c r="P16" s="89">
        <f>+B160</f>
        <v/>
      </c>
      <c r="Q16" s="89">
        <f>+B161</f>
        <v/>
      </c>
      <c r="R16" s="89">
        <f>+B162</f>
        <v/>
      </c>
      <c r="S16" s="89">
        <f>+B163</f>
        <v/>
      </c>
      <c r="T16" s="89">
        <f>+B164</f>
        <v/>
      </c>
      <c r="U16" s="89">
        <f>+B165</f>
        <v/>
      </c>
      <c r="V16" s="89">
        <f>+B166</f>
        <v/>
      </c>
      <c r="W16" s="89">
        <f>+B167</f>
        <v/>
      </c>
      <c r="X16" s="89">
        <f>+B168</f>
        <v/>
      </c>
      <c r="Y16" s="89">
        <f>+B169</f>
        <v/>
      </c>
      <c r="Z16" s="89">
        <f>+B170</f>
        <v/>
      </c>
      <c r="AA16" s="89">
        <f>+B171</f>
        <v/>
      </c>
      <c r="AC16" s="92" t="n"/>
      <c r="AD16" s="107" t="n">
        <v>2020</v>
      </c>
      <c r="AE16" s="108">
        <f>+P17/AA16-1</f>
        <v/>
      </c>
      <c r="AF16" s="108">
        <f>+Q17/P17-1</f>
        <v/>
      </c>
      <c r="AG16" s="108">
        <f>+R17/Q17-1</f>
        <v/>
      </c>
      <c r="AH16" s="108">
        <f>+S17/R17-1</f>
        <v/>
      </c>
      <c r="AI16" s="108">
        <f>+T17/S17-1</f>
        <v/>
      </c>
      <c r="AJ16" s="108">
        <f>+U17/T17-1</f>
        <v/>
      </c>
      <c r="AK16" s="108">
        <f>+V17/U17-1</f>
        <v/>
      </c>
      <c r="AL16" s="108">
        <f>+W17/V17-1</f>
        <v/>
      </c>
      <c r="AM16" s="108">
        <f>+X17/W17-1</f>
        <v/>
      </c>
      <c r="AN16" s="108">
        <f>+Y17/X17-1</f>
        <v/>
      </c>
      <c r="AO16" s="108">
        <f>+Z17/Y17-1</f>
        <v/>
      </c>
      <c r="AP16" s="108">
        <f>+AA17/Z17-1</f>
        <v/>
      </c>
      <c r="AQ16" s="109">
        <f>+(AA17/AA16-1)/COUNTA(AE16:AP16)*12</f>
        <v/>
      </c>
      <c r="AR16" s="95" t="n"/>
      <c r="AS16" s="95" t="n"/>
    </row>
    <row r="17" ht="14.25" customHeight="1" s="86">
      <c r="A17" s="103" t="n">
        <v>39141</v>
      </c>
      <c r="B17" s="106" t="n">
        <v>11612.68</v>
      </c>
      <c r="C17" s="99">
        <f>(B17/B16-1)/(A17-A16)*30</f>
        <v/>
      </c>
      <c r="D17" s="105">
        <f>B17/$B$3*100</f>
        <v/>
      </c>
      <c r="E17" s="105" t="n"/>
      <c r="F17" s="105" t="n"/>
      <c r="O17" s="89" t="n">
        <v>2020</v>
      </c>
      <c r="P17" s="89">
        <f>+B172</f>
        <v/>
      </c>
      <c r="Q17" s="89">
        <f>+B173</f>
        <v/>
      </c>
      <c r="R17" s="89">
        <f>+B174</f>
        <v/>
      </c>
      <c r="S17" s="89">
        <f>+B175</f>
        <v/>
      </c>
      <c r="T17" s="89">
        <f>+B176</f>
        <v/>
      </c>
      <c r="U17" s="89">
        <f>+B177</f>
        <v/>
      </c>
      <c r="V17" s="89">
        <f>+B178</f>
        <v/>
      </c>
      <c r="W17" s="89">
        <f>+B179</f>
        <v/>
      </c>
      <c r="X17" s="89">
        <f>+B180</f>
        <v/>
      </c>
      <c r="Y17" s="89">
        <f>+B181</f>
        <v/>
      </c>
      <c r="Z17" s="105">
        <f>+B182</f>
        <v/>
      </c>
      <c r="AA17" s="89">
        <f>+B183</f>
        <v/>
      </c>
      <c r="AC17" s="92" t="n"/>
      <c r="AD17" s="107" t="n">
        <v>2021</v>
      </c>
      <c r="AE17" s="108">
        <f>+P18/AA17-1</f>
        <v/>
      </c>
      <c r="AF17" s="108">
        <f>+Q18/P18-1</f>
        <v/>
      </c>
      <c r="AG17" s="108">
        <f>+R18/Q18-1</f>
        <v/>
      </c>
      <c r="AH17" s="108">
        <f>+S18/R18-1</f>
        <v/>
      </c>
      <c r="AI17" s="108">
        <f>+T18/S18-1</f>
        <v/>
      </c>
      <c r="AJ17" s="108">
        <f>+U18/T18-1</f>
        <v/>
      </c>
      <c r="AK17" s="108">
        <f>+V18/U18-1</f>
        <v/>
      </c>
      <c r="AL17" s="108">
        <f>+W18/V18-1</f>
        <v/>
      </c>
      <c r="AM17" s="108">
        <f>+X18/W18-1</f>
        <v/>
      </c>
      <c r="AN17" s="108">
        <f>+Y18/X18-1</f>
        <v/>
      </c>
      <c r="AO17" s="108">
        <f>+Z18/Y18-1</f>
        <v/>
      </c>
      <c r="AP17" s="108">
        <f>+AA18/Z18-1</f>
        <v/>
      </c>
      <c r="AQ17" s="109">
        <f>+(AA18/AA17-1)/COUNTA(AE17:AP17)*12</f>
        <v/>
      </c>
      <c r="AR17" s="95" t="n"/>
      <c r="AS17" s="95" t="n"/>
    </row>
    <row r="18" ht="14.25" customHeight="1" s="86">
      <c r="A18" s="103" t="n">
        <v>39171</v>
      </c>
      <c r="B18" s="106" t="n">
        <v>11661.5</v>
      </c>
      <c r="C18" s="99">
        <f>(B18/B17-1)/(A18-A17)*30</f>
        <v/>
      </c>
      <c r="D18" s="105">
        <f>B18/$B$3*100</f>
        <v/>
      </c>
      <c r="E18" s="105" t="n"/>
      <c r="F18" s="105" t="n"/>
      <c r="O18" s="89" t="n">
        <v>2021</v>
      </c>
      <c r="P18" s="89">
        <f>+B184</f>
        <v/>
      </c>
      <c r="Q18" s="89">
        <f>+B185</f>
        <v/>
      </c>
      <c r="R18" s="105">
        <f>+B186</f>
        <v/>
      </c>
      <c r="S18" s="89">
        <f>+B187</f>
        <v/>
      </c>
      <c r="T18" s="89">
        <f>+B188</f>
        <v/>
      </c>
      <c r="U18" s="89">
        <f>+B189</f>
        <v/>
      </c>
      <c r="V18" s="89">
        <f>+B190</f>
        <v/>
      </c>
      <c r="W18" s="89">
        <f>+B191</f>
        <v/>
      </c>
      <c r="X18" s="89">
        <f>+B192</f>
        <v/>
      </c>
      <c r="Y18" s="89">
        <f>+B193</f>
        <v/>
      </c>
      <c r="Z18" s="89">
        <f>+B194</f>
        <v/>
      </c>
      <c r="AA18" s="89">
        <f>+B195</f>
        <v/>
      </c>
      <c r="AC18" s="92" t="n"/>
      <c r="AD18" s="107" t="n">
        <v>2022</v>
      </c>
      <c r="AE18" s="108">
        <f>+P19/AA18-1</f>
        <v/>
      </c>
      <c r="AF18" s="108">
        <f>+Q19/P19-1</f>
        <v/>
      </c>
      <c r="AG18" s="108">
        <f>+R19/Q19-1</f>
        <v/>
      </c>
      <c r="AH18" s="108">
        <f>+S19/R19-1</f>
        <v/>
      </c>
      <c r="AI18" s="108">
        <f>+T19/S19-1</f>
        <v/>
      </c>
      <c r="AJ18" s="108">
        <f>+U19/T19-1</f>
        <v/>
      </c>
      <c r="AK18" s="108">
        <f>+V19/U19-1</f>
        <v/>
      </c>
      <c r="AL18" s="108">
        <f>+W19/V19-1</f>
        <v/>
      </c>
      <c r="AM18" s="108">
        <f>+X19/W19-1</f>
        <v/>
      </c>
      <c r="AN18" s="108">
        <f>+Y19/X19-1</f>
        <v/>
      </c>
      <c r="AO18" s="108">
        <f>+Z19/Y19-1</f>
        <v/>
      </c>
      <c r="AP18" s="108">
        <f>+AA19/Z19-1</f>
        <v/>
      </c>
      <c r="AQ18" s="109">
        <f>+(AA19/AA18-1)/COUNTA(AE18:AP18)*12</f>
        <v/>
      </c>
      <c r="AR18" s="95" t="n"/>
      <c r="AS18" s="95" t="n"/>
      <c r="AV18" s="92" t="n"/>
      <c r="AW18" s="92" t="n"/>
      <c r="AX18" s="92" t="n">
        <v>-1</v>
      </c>
      <c r="AY18" s="92" t="n">
        <v>-3</v>
      </c>
      <c r="AZ18" s="92" t="n">
        <v>-6</v>
      </c>
      <c r="BA18" s="92" t="n">
        <v>-12</v>
      </c>
      <c r="BB18" s="92" t="n"/>
    </row>
    <row r="19" ht="14.25" customHeight="1" s="86">
      <c r="A19" s="103" t="n">
        <v>39202</v>
      </c>
      <c r="B19" s="106" t="n">
        <v>11712.58</v>
      </c>
      <c r="C19" s="99">
        <f>(B19/B18-1)/(A19-A18)*30</f>
        <v/>
      </c>
      <c r="D19" s="105">
        <f>B19/$B$3*100</f>
        <v/>
      </c>
      <c r="E19" s="105" t="n"/>
      <c r="F19" s="105" t="n"/>
      <c r="O19" s="89" t="n">
        <v>2022</v>
      </c>
      <c r="P19" s="89">
        <f>+B196</f>
        <v/>
      </c>
      <c r="Q19" s="89">
        <f>+B197</f>
        <v/>
      </c>
      <c r="R19" s="105">
        <f>+B198</f>
        <v/>
      </c>
      <c r="S19" s="89">
        <f>+B199</f>
        <v/>
      </c>
      <c r="T19" s="89">
        <f>+B200</f>
        <v/>
      </c>
      <c r="U19" s="89">
        <f>+B201</f>
        <v/>
      </c>
      <c r="V19" s="89">
        <f>+B202</f>
        <v/>
      </c>
      <c r="W19" s="89">
        <f>+B203</f>
        <v/>
      </c>
      <c r="X19" s="89">
        <f>+B204</f>
        <v/>
      </c>
      <c r="Y19" s="89">
        <f>+B205</f>
        <v/>
      </c>
      <c r="Z19" s="89">
        <f>+B206</f>
        <v/>
      </c>
      <c r="AA19" s="89">
        <f>+B207</f>
        <v/>
      </c>
      <c r="AC19" s="92" t="n"/>
      <c r="AD19" s="107" t="n">
        <v>2023</v>
      </c>
      <c r="AE19" s="108">
        <f>+P20/AA19-1</f>
        <v/>
      </c>
      <c r="AF19" s="108">
        <f>+Q20/P20-1</f>
        <v/>
      </c>
      <c r="AG19" s="108">
        <f>+R20/Q20-1</f>
        <v/>
      </c>
      <c r="AH19" s="108">
        <f>+S20/R20-1</f>
        <v/>
      </c>
      <c r="AI19" s="108">
        <f>+T20/S20-1</f>
        <v/>
      </c>
      <c r="AJ19" s="108">
        <f>+U20/T20-1</f>
        <v/>
      </c>
      <c r="AK19" s="108">
        <f>+V20/U20-1</f>
        <v/>
      </c>
      <c r="AL19" s="108">
        <f>+W20/V20-1</f>
        <v/>
      </c>
      <c r="AM19" s="108">
        <f>+X20/W20-1</f>
        <v/>
      </c>
      <c r="AN19" s="108">
        <f>+Y20/X20-1</f>
        <v/>
      </c>
      <c r="AO19" s="108">
        <f>+Z20/Y20-1</f>
        <v/>
      </c>
      <c r="AP19" s="108">
        <f>+AA20/Z20-1</f>
        <v/>
      </c>
      <c r="AQ19" s="109">
        <f>+(AA20/AA19-1)/COUNTA(AE19:AP19)*12</f>
        <v/>
      </c>
      <c r="AR19" s="95" t="n"/>
      <c r="AS19" s="95" t="n"/>
      <c r="AV19" s="113" t="inlineStr">
        <is>
          <t>Ingresar mes actual==&gt;</t>
        </is>
      </c>
      <c r="AW19" s="114" t="n">
        <v>46144</v>
      </c>
      <c r="AX19" s="115">
        <f>EOMONTH($AW19,AX18)</f>
        <v/>
      </c>
      <c r="AY19" s="115">
        <f>EOMONTH($AW19,AY18)</f>
        <v/>
      </c>
      <c r="AZ19" s="115">
        <f>EOMONTH($AW19,AZ18)</f>
        <v/>
      </c>
      <c r="BA19" s="115">
        <f>EOMONTH($AW19,BA18)</f>
        <v/>
      </c>
      <c r="BB19" s="115" t="n">
        <v>43465</v>
      </c>
    </row>
    <row r="20" ht="14.25" customHeight="1" s="86">
      <c r="A20" s="103" t="n">
        <v>39233</v>
      </c>
      <c r="B20" s="106" t="n">
        <v>11763.78</v>
      </c>
      <c r="C20" s="99">
        <f>(B20/B19-1)/(A20-A19)*30</f>
        <v/>
      </c>
      <c r="D20" s="105">
        <f>B20/$B$3*100</f>
        <v/>
      </c>
      <c r="E20" s="105" t="n"/>
      <c r="F20" s="105" t="n"/>
      <c r="O20" s="89" t="n">
        <v>2023</v>
      </c>
      <c r="P20" s="89">
        <f>+B208</f>
        <v/>
      </c>
      <c r="Q20" s="89">
        <f>+B209</f>
        <v/>
      </c>
      <c r="R20" s="105">
        <f>+B210</f>
        <v/>
      </c>
      <c r="S20" s="89">
        <f>+B211</f>
        <v/>
      </c>
      <c r="T20" s="89">
        <f>+B212</f>
        <v/>
      </c>
      <c r="U20" s="89">
        <f>+B213</f>
        <v/>
      </c>
      <c r="V20" s="89">
        <f>+B214</f>
        <v/>
      </c>
      <c r="W20" s="89">
        <f>+B215</f>
        <v/>
      </c>
      <c r="X20" s="89">
        <f>+B216</f>
        <v/>
      </c>
      <c r="Y20" s="105">
        <f>+B217</f>
        <v/>
      </c>
      <c r="Z20" s="89">
        <f>+B218</f>
        <v/>
      </c>
      <c r="AA20" s="89">
        <f>+B219</f>
        <v/>
      </c>
      <c r="AC20" s="92" t="n"/>
      <c r="AD20" s="107" t="n">
        <v>2024</v>
      </c>
      <c r="AE20" s="108">
        <f>+P21/AA20-1</f>
        <v/>
      </c>
      <c r="AF20" s="108">
        <f>+Q21/P21-1</f>
        <v/>
      </c>
      <c r="AG20" s="108">
        <f>+R21/Q21-1</f>
        <v/>
      </c>
      <c r="AH20" s="108">
        <f>+S21/R21-1</f>
        <v/>
      </c>
      <c r="AI20" s="108">
        <f>+T21/S21-1</f>
        <v/>
      </c>
      <c r="AJ20" s="108">
        <f>+U21/T21-1</f>
        <v/>
      </c>
      <c r="AK20" s="108">
        <f>+V21/U21-1</f>
        <v/>
      </c>
      <c r="AL20" s="108">
        <f>+W21/V21-1</f>
        <v/>
      </c>
      <c r="AM20" s="108">
        <f>+X21/W21-1</f>
        <v/>
      </c>
      <c r="AN20" s="108">
        <f>+Y21/X21-1</f>
        <v/>
      </c>
      <c r="AO20" s="108">
        <f>+Z21/Y21-1</f>
        <v/>
      </c>
      <c r="AP20" s="108">
        <f>+AA21/Z21-1</f>
        <v/>
      </c>
      <c r="AQ20" s="109">
        <f>+(AA21/AA20-1)/COUNTA(AE20:AP20)*12</f>
        <v/>
      </c>
      <c r="AV20" s="92" t="inlineStr">
        <is>
          <t>ICP</t>
        </is>
      </c>
      <c r="AW20" s="116">
        <f>LOOKUP(AW19,$A$3:$A$2971,$B$3:$B$2971)</f>
        <v/>
      </c>
      <c r="AX20" s="116">
        <f>LOOKUP(AX19,$A$3:$A$2971,$B$3:$B$2971)</f>
        <v/>
      </c>
      <c r="AY20" s="116">
        <f>LOOKUP(AY19,$A$3:$A$2971,$B$3:$B$2971)</f>
        <v/>
      </c>
      <c r="AZ20" s="116">
        <f>LOOKUP(AZ19,$A$3:$A$2971,$B$3:$B$2971)</f>
        <v/>
      </c>
      <c r="BA20" s="116">
        <f>LOOKUP(BA19,$A$3:$A$2971,$B$3:$B$2971)</f>
        <v/>
      </c>
      <c r="BB20" s="116">
        <f>LOOKUP(BB19,$A$3:$A$2971,$B$3:$B$2971)</f>
        <v/>
      </c>
    </row>
    <row r="21" ht="14.25" customHeight="1" s="86">
      <c r="A21" s="103" t="n">
        <v>39262</v>
      </c>
      <c r="B21" s="106" t="n">
        <v>11812.23</v>
      </c>
      <c r="C21" s="99">
        <f>(B21/B20-1)/(A21-A20)*30</f>
        <v/>
      </c>
      <c r="D21" s="105">
        <f>B21/$B$3*100</f>
        <v/>
      </c>
      <c r="E21" s="105" t="n"/>
      <c r="F21" s="105" t="n"/>
      <c r="O21" s="89" t="n">
        <v>2024</v>
      </c>
      <c r="P21" s="89">
        <f>+B220</f>
        <v/>
      </c>
      <c r="Q21" s="89">
        <f>+B221</f>
        <v/>
      </c>
      <c r="R21" s="105">
        <f>+B222</f>
        <v/>
      </c>
      <c r="S21" s="89">
        <f>+B223</f>
        <v/>
      </c>
      <c r="T21" s="89">
        <f>+B224</f>
        <v/>
      </c>
      <c r="U21" s="105">
        <f>+B225</f>
        <v/>
      </c>
      <c r="V21" s="89">
        <f>+B226</f>
        <v/>
      </c>
      <c r="W21" s="89">
        <f>+B227</f>
        <v/>
      </c>
      <c r="X21" s="89">
        <f>+B228</f>
        <v/>
      </c>
      <c r="Y21" s="105">
        <f>+B229</f>
        <v/>
      </c>
      <c r="Z21" s="89">
        <f>+B230</f>
        <v/>
      </c>
      <c r="AA21" s="89">
        <f>+B231</f>
        <v/>
      </c>
      <c r="AC21" s="92" t="n"/>
      <c r="AD21" s="107" t="n">
        <v>2025</v>
      </c>
      <c r="AE21" s="108">
        <f>+P22/AA21-1</f>
        <v/>
      </c>
      <c r="AF21" s="108" t="n"/>
      <c r="AG21" s="108" t="n"/>
      <c r="AH21" s="108" t="n"/>
      <c r="AI21" s="108" t="n"/>
      <c r="AJ21" s="108" t="n"/>
      <c r="AK21" s="108" t="n"/>
      <c r="AL21" s="108" t="n"/>
      <c r="AM21" s="108" t="n"/>
      <c r="AN21" s="108" t="n"/>
      <c r="AO21" s="108" t="n"/>
      <c r="AP21" s="108" t="n"/>
      <c r="AQ21" s="109">
        <f>+(P22/AA21-1)/COUNTA(AE21:AP21)*12</f>
        <v/>
      </c>
      <c r="AV21" s="92" t="inlineStr">
        <is>
          <t>Competencia</t>
        </is>
      </c>
      <c r="AW21" s="116">
        <f>LOOKUP(AW19,$F$2:$F$2972,$K$2:$K$2972)</f>
        <v/>
      </c>
      <c r="AX21" s="116">
        <f>LOOKUP(AX19,$F$2:$F$2972,$K$2:$K$2972)</f>
        <v/>
      </c>
      <c r="AY21" s="116">
        <f>LOOKUP(AY19,$F$2:$F$2972,$K$2:$K$2972)</f>
        <v/>
      </c>
      <c r="AZ21" s="116">
        <f>LOOKUP(AZ19,$F$2:$F$2972,$K$2:$K$2972)</f>
        <v/>
      </c>
      <c r="BA21" s="116">
        <f>LOOKUP(BA19,$F$2:$F$2972,$K$2:$K$2972)</f>
        <v/>
      </c>
      <c r="BB21" s="116">
        <f>LOOKUP(BB19,$F$2:$F$2972,$K$2:$K$2972)</f>
        <v/>
      </c>
    </row>
    <row r="22" ht="14.25" customHeight="1" s="86">
      <c r="A22" s="103" t="n">
        <v>39294</v>
      </c>
      <c r="B22" s="106" t="n">
        <v>11866.53</v>
      </c>
      <c r="C22" s="99">
        <f>(B22/B21-1)/(A22-A21)*30</f>
        <v/>
      </c>
      <c r="D22" s="105">
        <f>B22/$B$3*100</f>
        <v/>
      </c>
      <c r="E22" s="105" t="n"/>
      <c r="F22" s="105" t="n"/>
      <c r="O22" s="89" t="n">
        <v>2025</v>
      </c>
      <c r="P22" s="89">
        <f>+B232</f>
        <v/>
      </c>
      <c r="R22" s="105" t="n"/>
      <c r="U22" s="105" t="n"/>
      <c r="Y22" s="105" t="n"/>
      <c r="AD22" s="111" t="inlineStr">
        <is>
          <t>(*) Acum a Mar</t>
        </is>
      </c>
      <c r="AE22" s="95" t="n"/>
      <c r="AF22" s="95" t="n"/>
      <c r="AG22" s="95" t="n"/>
      <c r="AH22" s="95" t="n"/>
      <c r="AI22" s="95" t="n"/>
      <c r="AJ22" s="95" t="n"/>
      <c r="AK22" s="95" t="n"/>
      <c r="AL22" s="95" t="n"/>
      <c r="AM22" s="95" t="n"/>
      <c r="AN22" s="95" t="n"/>
      <c r="AO22" s="95" t="n"/>
      <c r="AP22" s="95" t="n"/>
      <c r="AQ22" s="95" t="n"/>
      <c r="AV22" s="92" t="inlineStr">
        <is>
          <t>FIP Monetario</t>
        </is>
      </c>
      <c r="AW22" s="116">
        <f>LOOKUP(AW19,$F$2:$F$2970,$H$2:$H$2970)</f>
        <v/>
      </c>
      <c r="AX22" s="116">
        <f>LOOKUP(AX19,$F$2:$F$2970,$H$2:$H$2970)</f>
        <v/>
      </c>
      <c r="AY22" s="116">
        <f>LOOKUP(AY19,$F$2:$F$2970,$H$2:$H$2970)</f>
        <v/>
      </c>
      <c r="AZ22" s="116">
        <f>LOOKUP(AZ19,$F$2:$F$2970,$H$2:$H$2970)</f>
        <v/>
      </c>
      <c r="BA22" s="116">
        <f>LOOKUP(BA19,$F$2:$F$2970,$H$2:$H$2970)</f>
        <v/>
      </c>
      <c r="BB22" s="116">
        <f>LOOKUP(BB19,$F$2:$F$2972,$H$2:$H$2972)</f>
        <v/>
      </c>
    </row>
    <row r="23" ht="14.25" customHeight="1" s="86">
      <c r="A23" s="103" t="n">
        <v>39325</v>
      </c>
      <c r="B23" s="106" t="n">
        <v>11922.48</v>
      </c>
      <c r="C23" s="99">
        <f>(B23/B22-1)/(A23-A22)*30</f>
        <v/>
      </c>
      <c r="D23" s="105">
        <f>B23/$B$3*100</f>
        <v/>
      </c>
      <c r="E23" s="105" t="n"/>
      <c r="F23" s="105" t="n"/>
      <c r="P23" s="96" t="n">
        <v>31</v>
      </c>
      <c r="Q23" s="96" t="n">
        <v>28</v>
      </c>
      <c r="R23" s="96" t="n">
        <v>31</v>
      </c>
      <c r="S23" s="96" t="n">
        <v>30</v>
      </c>
      <c r="T23" s="96" t="n">
        <v>31</v>
      </c>
      <c r="U23" s="96" t="n">
        <v>30</v>
      </c>
      <c r="V23" s="96" t="n">
        <v>31</v>
      </c>
      <c r="W23" s="96" t="n">
        <v>31</v>
      </c>
      <c r="X23" s="96" t="n">
        <v>30</v>
      </c>
      <c r="Y23" s="96" t="n">
        <v>31</v>
      </c>
      <c r="Z23" s="96" t="n">
        <v>30</v>
      </c>
      <c r="AA23" s="96" t="n">
        <v>31</v>
      </c>
      <c r="AR23" s="95" t="n"/>
      <c r="AS23" s="95" t="n"/>
      <c r="AV23" s="92" t="n"/>
      <c r="AW23" s="92" t="n"/>
      <c r="AX23" s="92" t="n"/>
      <c r="AY23" s="92" t="n"/>
      <c r="AZ23" s="92" t="n"/>
      <c r="BA23" s="92" t="n"/>
      <c r="BB23" s="92" t="n"/>
    </row>
    <row r="24" ht="14.25" customHeight="1" s="86">
      <c r="A24" s="103" t="n">
        <v>39353</v>
      </c>
      <c r="B24" s="106" t="n">
        <v>11975.61</v>
      </c>
      <c r="C24" s="99">
        <f>(B24/B23-1)/(A24-A23)*30</f>
        <v/>
      </c>
      <c r="D24" s="105">
        <f>B24/$B$3*100</f>
        <v/>
      </c>
      <c r="E24" s="105" t="n"/>
      <c r="F24" s="105" t="n"/>
      <c r="P24" s="96" t="n">
        <v>1</v>
      </c>
      <c r="Q24" s="96" t="n">
        <v>2</v>
      </c>
      <c r="R24" s="96" t="n">
        <v>3</v>
      </c>
      <c r="S24" s="96" t="n">
        <v>4</v>
      </c>
      <c r="T24" s="96" t="n">
        <v>5</v>
      </c>
      <c r="U24" s="96" t="n">
        <v>6</v>
      </c>
      <c r="V24" s="96" t="n">
        <v>7</v>
      </c>
      <c r="W24" s="96" t="n">
        <v>8</v>
      </c>
      <c r="X24" s="96" t="n">
        <v>9</v>
      </c>
      <c r="Y24" s="96" t="n">
        <v>10</v>
      </c>
      <c r="Z24" s="96" t="n">
        <v>11</v>
      </c>
      <c r="AA24" s="96" t="n">
        <v>12</v>
      </c>
      <c r="AR24" s="111" t="n"/>
      <c r="AS24" s="95" t="n"/>
    </row>
    <row r="25" ht="14.25" customHeight="1" s="86">
      <c r="A25" s="103" t="n">
        <v>39386</v>
      </c>
      <c r="B25" s="106" t="n">
        <v>12038.9</v>
      </c>
      <c r="C25" s="99">
        <f>(B25/B24-1)/(A25-A24)*30</f>
        <v/>
      </c>
      <c r="D25" s="105">
        <f>B25/$B$3*100</f>
        <v/>
      </c>
      <c r="E25" s="105" t="n"/>
      <c r="F25" s="105" t="n"/>
      <c r="O25" s="117" t="inlineStr">
        <is>
          <t>FONDO LIQUIDEZ MONETARIO</t>
        </is>
      </c>
      <c r="P25" s="89" t="inlineStr">
        <is>
          <t>Ene</t>
        </is>
      </c>
      <c r="Q25" s="89" t="inlineStr">
        <is>
          <t>Feb</t>
        </is>
      </c>
      <c r="R25" s="89" t="inlineStr">
        <is>
          <t>Mar</t>
        </is>
      </c>
      <c r="S25" s="89" t="inlineStr">
        <is>
          <t>Abr</t>
        </is>
      </c>
      <c r="T25" s="89" t="inlineStr">
        <is>
          <t>May</t>
        </is>
      </c>
      <c r="U25" s="89" t="inlineStr">
        <is>
          <t>Jun</t>
        </is>
      </c>
      <c r="V25" s="89" t="inlineStr">
        <is>
          <t>Jul</t>
        </is>
      </c>
      <c r="W25" s="89" t="inlineStr">
        <is>
          <t>Ago</t>
        </is>
      </c>
      <c r="X25" s="89" t="inlineStr">
        <is>
          <t>Sep</t>
        </is>
      </c>
      <c r="Y25" s="89" t="inlineStr">
        <is>
          <t>Oct</t>
        </is>
      </c>
      <c r="Z25" s="89" t="inlineStr">
        <is>
          <t>Nov</t>
        </is>
      </c>
      <c r="AA25" s="89" t="inlineStr">
        <is>
          <t>Dic</t>
        </is>
      </c>
      <c r="AR25" s="95" t="n"/>
      <c r="AS25" s="95" t="n"/>
    </row>
    <row r="26" ht="14.25" customHeight="1" s="86">
      <c r="A26" s="103" t="n">
        <v>39416</v>
      </c>
      <c r="B26" s="106" t="n">
        <v>12096.85</v>
      </c>
      <c r="C26" s="99">
        <f>(B26/B25-1)/(A26-A25)*30</f>
        <v/>
      </c>
      <c r="D26" s="105">
        <f>B26/$B$3*100</f>
        <v/>
      </c>
      <c r="E26" s="105" t="n"/>
      <c r="F26" s="105" t="n"/>
      <c r="O26" s="89" t="n">
        <v>2016</v>
      </c>
      <c r="P26" s="106" t="n"/>
      <c r="Q26" s="106" t="n"/>
      <c r="R26" s="106" t="n"/>
      <c r="S26" s="106" t="n"/>
      <c r="T26" s="106" t="n"/>
      <c r="U26" s="118">
        <f>LOOKUP(DATE($O26,U$24,U$23),$A$2:$A$2941,$H$2:$H$2941)</f>
        <v/>
      </c>
      <c r="V26" s="118">
        <f>LOOKUP(DATE($O26,V$24,V$23),$A$2:$A$2941,$H$2:$H$2941)</f>
        <v/>
      </c>
      <c r="W26" s="118">
        <f>LOOKUP(DATE($O26,W$24,W$23),$A$2:$A$2941,$H$2:$H$2941)</f>
        <v/>
      </c>
      <c r="X26" s="118">
        <f>LOOKUP(DATE($O26,X$24,X$23),$A$2:$A$2941,$H$2:$H$2941)</f>
        <v/>
      </c>
      <c r="Y26" s="118">
        <f>LOOKUP(DATE($O26,Y$24,Y$23),$A$2:$A$2941,$H$2:$H$2941)</f>
        <v/>
      </c>
      <c r="Z26" s="118">
        <f>LOOKUP(DATE($O26,Z$24,Z$23),$A$2:$A$2941,$H$2:$H$2941)</f>
        <v/>
      </c>
      <c r="AA26" s="118">
        <f>LOOKUP(DATE($O26,AA$24,AA$23),$A$2:$A$2941,$H$2:$H$2941)</f>
        <v/>
      </c>
      <c r="AD26" s="119" t="inlineStr">
        <is>
          <t>Monetario</t>
        </is>
      </c>
      <c r="AE26" s="94" t="inlineStr">
        <is>
          <t>Ene</t>
        </is>
      </c>
      <c r="AF26" s="94" t="inlineStr">
        <is>
          <t>Feb</t>
        </is>
      </c>
      <c r="AG26" s="94" t="inlineStr">
        <is>
          <t>Mar</t>
        </is>
      </c>
      <c r="AH26" s="94" t="inlineStr">
        <is>
          <t>Abr</t>
        </is>
      </c>
      <c r="AI26" s="94" t="inlineStr">
        <is>
          <t>May</t>
        </is>
      </c>
      <c r="AJ26" s="94" t="inlineStr">
        <is>
          <t>Jun</t>
        </is>
      </c>
      <c r="AK26" s="94" t="inlineStr">
        <is>
          <t>Jul</t>
        </is>
      </c>
      <c r="AL26" s="94" t="inlineStr">
        <is>
          <t>Ago</t>
        </is>
      </c>
      <c r="AM26" s="94" t="inlineStr">
        <is>
          <t>Sep</t>
        </is>
      </c>
      <c r="AN26" s="94" t="inlineStr">
        <is>
          <t>Oct</t>
        </is>
      </c>
      <c r="AO26" s="94" t="inlineStr">
        <is>
          <t>Nov</t>
        </is>
      </c>
      <c r="AP26" s="94" t="inlineStr">
        <is>
          <t>Dic</t>
        </is>
      </c>
      <c r="AQ26" s="94" t="inlineStr">
        <is>
          <t>Total Año</t>
        </is>
      </c>
      <c r="AR26" s="95" t="n"/>
      <c r="AS26" s="95" t="n"/>
      <c r="AV26" s="95" t="n"/>
      <c r="AW26" s="95" t="n"/>
      <c r="AX26" s="95" t="n"/>
      <c r="AY26" s="95" t="n"/>
      <c r="AZ26" s="95" t="n"/>
      <c r="BA26" s="95" t="n"/>
      <c r="BB26" s="95" t="n"/>
      <c r="BC26" s="95" t="n"/>
    </row>
    <row r="27" ht="14.25" customHeight="1" s="86">
      <c r="A27" s="103" t="n">
        <v>39447</v>
      </c>
      <c r="B27" s="106" t="n">
        <v>12152.6</v>
      </c>
      <c r="C27" s="99">
        <f>(B27/B26-1)/(A27-A26)*30</f>
        <v/>
      </c>
      <c r="D27" s="105">
        <f>B27/$B$3*100</f>
        <v/>
      </c>
      <c r="E27" s="105" t="n"/>
      <c r="F27" s="105" t="n"/>
      <c r="O27" s="89" t="n">
        <v>2017</v>
      </c>
      <c r="P27" s="118">
        <f>LOOKUP(DATE($O27,P$24,P$23),$A$2:$A$2941,$H$2:$H$2941)</f>
        <v/>
      </c>
      <c r="Q27" s="118">
        <f>LOOKUP(DATE($O27,Q$24,Q$23),$A$2:$A$2941,$H$2:$H$2941)</f>
        <v/>
      </c>
      <c r="R27" s="118">
        <f>LOOKUP(DATE($O27,R$24,R$23),$A$2:$A$2941,$H$2:$H$2941)</f>
        <v/>
      </c>
      <c r="S27" s="118">
        <f>LOOKUP(DATE($O27,S$24,S$23),$A$2:$A$2941,$H$2:$H$2941)</f>
        <v/>
      </c>
      <c r="T27" s="118">
        <f>LOOKUP(DATE($O27,T$24,T$23),$A$2:$A$2941,$H$2:$H$2941)</f>
        <v/>
      </c>
      <c r="U27" s="118">
        <f>LOOKUP(DATE($O27,U$24,U$23),$A$2:$A$2941,$H$2:$H$2941)</f>
        <v/>
      </c>
      <c r="V27" s="118">
        <f>LOOKUP(DATE($O27,V$24,V$23),$A$2:$A$2941,$H$2:$H$2941)</f>
        <v/>
      </c>
      <c r="W27" s="118">
        <f>LOOKUP(DATE($O27,W$24,W$23),$A$2:$A$2941,$H$2:$H$2941)</f>
        <v/>
      </c>
      <c r="X27" s="118">
        <f>LOOKUP(DATE($O27,X$24,X$23),$A$2:$A$2941,$H$2:$H$2941)</f>
        <v/>
      </c>
      <c r="Y27" s="118">
        <f>LOOKUP(DATE($O27,Y$24,Y$23),$A$2:$A$2941,$H$2:$H$2941)</f>
        <v/>
      </c>
      <c r="Z27" s="118">
        <f>LOOKUP(DATE($O27,Z$24,Z$23),$A$2:$A$2941,$H$2:$H$2941)</f>
        <v/>
      </c>
      <c r="AA27" s="118">
        <f>LOOKUP(DATE($O27,AA$24,AA$23),$A$2:$A$2941,$H$2:$H$2941)</f>
        <v/>
      </c>
      <c r="AD27" s="100" t="n">
        <v>2016</v>
      </c>
      <c r="AE27" s="101" t="n"/>
      <c r="AF27" s="101" t="n"/>
      <c r="AG27" s="101" t="n"/>
      <c r="AH27" s="101" t="n"/>
      <c r="AI27" s="101" t="n"/>
      <c r="AJ27" s="101" t="n"/>
      <c r="AK27" s="101" t="n"/>
      <c r="AL27" s="101" t="n"/>
      <c r="AM27" s="101" t="n"/>
      <c r="AN27" s="101" t="n"/>
      <c r="AO27" s="101" t="n"/>
      <c r="AP27" s="101" t="n"/>
      <c r="AQ27" s="102" t="n"/>
      <c r="AR27" s="111" t="inlineStr">
        <is>
          <t>(*)</t>
        </is>
      </c>
      <c r="AS27" s="95" t="n"/>
      <c r="AV27" s="120" t="n"/>
      <c r="AW27" s="121" t="inlineStr">
        <is>
          <t>Rentabilidad</t>
        </is>
      </c>
      <c r="AX27" s="121" t="inlineStr">
        <is>
          <t>Mensual</t>
        </is>
      </c>
      <c r="AY27" s="121" t="inlineStr">
        <is>
          <t>Trimestral</t>
        </is>
      </c>
      <c r="AZ27" s="121" t="inlineStr">
        <is>
          <t>Semestral</t>
        </is>
      </c>
      <c r="BA27" s="121" t="inlineStr">
        <is>
          <t>Anual</t>
        </is>
      </c>
      <c r="BB27" s="121" t="inlineStr">
        <is>
          <t>Acum. 2025</t>
        </is>
      </c>
      <c r="BC27" s="122" t="n"/>
      <c r="BD27" s="123" t="n"/>
    </row>
    <row r="28" ht="14.25" customHeight="1" s="86">
      <c r="A28" s="103" t="n">
        <v>39478</v>
      </c>
      <c r="B28" s="106" t="n">
        <v>12223.14</v>
      </c>
      <c r="C28" s="99">
        <f>(B28/B27-1)/(A28-A27)*30</f>
        <v/>
      </c>
      <c r="D28" s="105">
        <f>B28/$B$3*100</f>
        <v/>
      </c>
      <c r="E28" s="105" t="n"/>
      <c r="F28" s="105" t="n"/>
      <c r="O28" s="89" t="n">
        <v>2018</v>
      </c>
      <c r="P28" s="118">
        <f>LOOKUP(DATE($O28,P$24,P$23),$A$2:$A$2941,$H$2:$H$2941)</f>
        <v/>
      </c>
      <c r="Q28" s="118">
        <f>LOOKUP(DATE($O28,Q$24,Q$23),$A$2:$A$2941,$H$2:$H$2941)</f>
        <v/>
      </c>
      <c r="R28" s="118">
        <f>LOOKUP(DATE($O28,R$24,R$23),$A$2:$A$2941,$H$2:$H$2941)</f>
        <v/>
      </c>
      <c r="S28" s="118">
        <f>LOOKUP(DATE($O28,S$24,S$23),$A$2:$A$2941,$H$2:$H$2941)</f>
        <v/>
      </c>
      <c r="T28" s="118">
        <f>LOOKUP(DATE($O28,T$24,T$23),$A$2:$A$2941,$H$2:$H$2941)</f>
        <v/>
      </c>
      <c r="U28" s="99" t="n"/>
      <c r="V28" s="99">
        <f>LOOKUP(DATE($O28,V$24,V$23),$A$2:$A$2941,$I$2:$I$2941)</f>
        <v/>
      </c>
      <c r="W28" s="99">
        <f>LOOKUP(DATE($O28,W$24,W$23),$A$2:$A$2941,$I$2:$I$2941)</f>
        <v/>
      </c>
      <c r="X28" s="99">
        <f>LOOKUP(DATE($O28,X$24,X$23),$A$2:$A$2941,$I$2:$I$2941)</f>
        <v/>
      </c>
      <c r="Y28" s="99">
        <f>LOOKUP(DATE($O28,Y$24,Y$23),$A$2:$A$2941,$I$2:$I$2941)</f>
        <v/>
      </c>
      <c r="Z28" s="99">
        <f>LOOKUP(DATE($O28,Z$24,Z$23),$A$2:$A$2941,$I$2:$I$2941)</f>
        <v/>
      </c>
      <c r="AA28" s="99">
        <f>LOOKUP(DATE($O28,AA$24,AA$23),$A$2:$A$2941,$I$2:$I$2941)</f>
        <v/>
      </c>
      <c r="AD28" s="107" t="n">
        <v>2017</v>
      </c>
      <c r="AE28" s="108" t="n"/>
      <c r="AF28" s="108" t="n"/>
      <c r="AG28" s="108" t="n"/>
      <c r="AH28" s="108" t="n"/>
      <c r="AI28" s="108" t="n"/>
      <c r="AJ28" s="108" t="n"/>
      <c r="AK28" s="108" t="n"/>
      <c r="AL28" s="108" t="n"/>
      <c r="AM28" s="108" t="n"/>
      <c r="AN28" s="108" t="n"/>
      <c r="AO28" s="108" t="n"/>
      <c r="AP28" s="108" t="n"/>
      <c r="AQ28" s="109" t="n"/>
      <c r="AS28" s="95" t="n"/>
      <c r="AV28" s="124" t="n"/>
      <c r="AW28" s="121" t="inlineStr">
        <is>
          <t>ICP (Bechmark)</t>
        </is>
      </c>
      <c r="AX28" s="125">
        <f>($AW20/AX20-1)/(AW19-AX19)*30</f>
        <v/>
      </c>
      <c r="AY28" s="125">
        <f>$AW20/AY20-1</f>
        <v/>
      </c>
      <c r="AZ28" s="125">
        <f>$AW20/AZ20-1</f>
        <v/>
      </c>
      <c r="BA28" s="125">
        <f>$AW20/BA20-1</f>
        <v/>
      </c>
      <c r="BB28" s="125">
        <f>+AQ82</f>
        <v/>
      </c>
      <c r="BC28" s="126" t="n"/>
      <c r="BD28" s="112" t="n"/>
    </row>
    <row r="29" ht="14.25" customHeight="1" s="86">
      <c r="A29" s="103" t="n">
        <v>39507</v>
      </c>
      <c r="B29" s="106" t="n">
        <v>12284.88</v>
      </c>
      <c r="C29" s="99">
        <f>(B29/B28-1)/(A29-A28)*30</f>
        <v/>
      </c>
      <c r="D29" s="105">
        <f>B29/$B$3*100</f>
        <v/>
      </c>
      <c r="E29" s="105" t="n"/>
      <c r="F29" s="105" t="n"/>
      <c r="O29" s="89" t="n">
        <v>2019</v>
      </c>
      <c r="P29" s="99">
        <f>LOOKUP(DATE($O29,P$24,P$23),$A$2:$A$2941,$I$2:$I$2941)</f>
        <v/>
      </c>
      <c r="Q29" s="99">
        <f>LOOKUP(DATE($O29,Q$24,Q$23),$A$2:$A$2941,$I$2:$I$2941)</f>
        <v/>
      </c>
      <c r="R29" s="99">
        <f>LOOKUP(DATE($O29,R$24,R$23),$A$2:$A$2941,$I$2:$I$2941)</f>
        <v/>
      </c>
      <c r="S29" s="99">
        <f>LOOKUP(DATE($O29,S$24,S$23),$A$2:$A$2941,$I$2:$I$2941)</f>
        <v/>
      </c>
      <c r="T29" s="99">
        <f>LOOKUP(DATE($O29,T$24,T$23),$A$2:$A$2941,$I$2:$I$2941)</f>
        <v/>
      </c>
      <c r="U29" s="99">
        <f>LOOKUP(DATE($O29,U$24,U$23),$A$2:$A$2941,$I$2:$I$2941)</f>
        <v/>
      </c>
      <c r="V29" s="99">
        <f>LOOKUP(DATE($O29,V$24,V$23),$A$2:$A$2941,$I$2:$I$2941)</f>
        <v/>
      </c>
      <c r="W29" s="99">
        <f>LOOKUP(DATE($O29,W$24,W$23),$A$2:$A$2941,$I$2:$I$2941)</f>
        <v/>
      </c>
      <c r="X29" s="99">
        <f>LOOKUP(DATE($O29,X$24,X$23),$A$2:$A$2941,$I$2:$I$2941)</f>
        <v/>
      </c>
      <c r="Y29" s="99">
        <f>LOOKUP(DATE($O29,Y$24,Y$23),$A$2:$A$2941,$I$2:$I$2941)</f>
        <v/>
      </c>
      <c r="Z29" s="99">
        <f>LOOKUP(DATE($O29,Z$24,Z$23),$A$2:$A$2941,$I$2:$I$2941)</f>
        <v/>
      </c>
      <c r="AA29" s="99">
        <f>LOOKUP(DATE($O29,AA$24,AA$23),$A$2:$A$2941,$I$2:$I$2941)</f>
        <v/>
      </c>
      <c r="AD29" s="100" t="n">
        <v>2018</v>
      </c>
      <c r="AE29" s="101" t="n"/>
      <c r="AF29" s="101" t="n"/>
      <c r="AG29" s="101" t="n"/>
      <c r="AH29" s="101" t="n"/>
      <c r="AI29" s="101" t="n"/>
      <c r="AJ29" s="101" t="n"/>
      <c r="AK29" s="112">
        <f>+V28</f>
        <v/>
      </c>
      <c r="AL29" s="112">
        <f>+W28</f>
        <v/>
      </c>
      <c r="AM29" s="112">
        <f>+X28</f>
        <v/>
      </c>
      <c r="AN29" s="112">
        <f>+Y28</f>
        <v/>
      </c>
      <c r="AO29" s="112">
        <f>+Z28</f>
        <v/>
      </c>
      <c r="AP29" s="112">
        <f>+AA28</f>
        <v/>
      </c>
      <c r="AQ29" s="102">
        <f>+H159/H153-1</f>
        <v/>
      </c>
      <c r="AS29" s="95" t="n"/>
      <c r="AW29" s="121" t="inlineStr">
        <is>
          <t>Competencia</t>
        </is>
      </c>
      <c r="AX29" s="125">
        <f>($AW21/AX21-1)/(AW19-AX19)*30</f>
        <v/>
      </c>
      <c r="AY29" s="125">
        <f>($AW21)/AY21-1</f>
        <v/>
      </c>
      <c r="AZ29" s="125">
        <f>($AW21)/AZ21-1</f>
        <v/>
      </c>
      <c r="BA29" s="125">
        <f>($AW21)/BA21-1</f>
        <v/>
      </c>
      <c r="BB29" s="125">
        <f>+AQ83</f>
        <v/>
      </c>
      <c r="BC29" s="126" t="n"/>
      <c r="BD29" s="112" t="n"/>
    </row>
    <row r="30" ht="14.25" customHeight="1" s="86">
      <c r="A30" s="103" t="n">
        <v>39538</v>
      </c>
      <c r="B30" s="106" t="n">
        <v>12351.45</v>
      </c>
      <c r="C30" s="99">
        <f>(B30/B29-1)/(A30-A29)*30</f>
        <v/>
      </c>
      <c r="D30" s="105">
        <f>B30/$B$3*100</f>
        <v/>
      </c>
      <c r="E30" s="105" t="n"/>
      <c r="F30" s="105" t="n"/>
      <c r="O30" s="89" t="n">
        <v>2020</v>
      </c>
      <c r="P30" s="99">
        <f>LOOKUP(DATE($O30,P$24,P$23),$A$2:$A$2941,$I$2:$I$2941)</f>
        <v/>
      </c>
      <c r="Q30" s="99">
        <f>LOOKUP(DATE($O30,Q$24,Q$23)+1,$A$2:$A$2941,$I$2:$I$2941)</f>
        <v/>
      </c>
      <c r="R30" s="99">
        <f>LOOKUP(DATE($O30,R$24,R$23),$A:$A,$I:$I)</f>
        <v/>
      </c>
      <c r="S30" s="99">
        <f>LOOKUP(DATE($O30,S$24,S$23),$A:$A,$I:$I)</f>
        <v/>
      </c>
      <c r="T30" s="99">
        <f>LOOKUP(DATE($O30,T$24,T$23),$A:$A,$I:$I)</f>
        <v/>
      </c>
      <c r="U30" s="99">
        <f>LOOKUP(DATE($O30,U$24,U$23),$A:$A,$I:$I)</f>
        <v/>
      </c>
      <c r="V30" s="99">
        <f>LOOKUP(DATE($O30,V$24,V$23),$A:$A,$I:$I)</f>
        <v/>
      </c>
      <c r="W30" s="99">
        <f>LOOKUP(DATE($O30,W$24,W$23),$A:$A,$I:$I)</f>
        <v/>
      </c>
      <c r="X30" s="99">
        <f>LOOKUP(DATE($O30,X$24,X$23),$A:$A,$I:$I)</f>
        <v/>
      </c>
      <c r="Y30" s="99">
        <f>+I181</f>
        <v/>
      </c>
      <c r="Z30" s="99">
        <f>+I182</f>
        <v/>
      </c>
      <c r="AA30" s="99">
        <f>+I183</f>
        <v/>
      </c>
      <c r="AD30" s="107" t="n">
        <v>2019</v>
      </c>
      <c r="AE30" s="108">
        <f>+P29</f>
        <v/>
      </c>
      <c r="AF30" s="108">
        <f>+Q29</f>
        <v/>
      </c>
      <c r="AG30" s="108">
        <f>+R29</f>
        <v/>
      </c>
      <c r="AH30" s="108">
        <f>+S29</f>
        <v/>
      </c>
      <c r="AI30" s="108">
        <f>+T29</f>
        <v/>
      </c>
      <c r="AJ30" s="108">
        <f>+U29</f>
        <v/>
      </c>
      <c r="AK30" s="108">
        <f>+V29</f>
        <v/>
      </c>
      <c r="AL30" s="108">
        <f>+W29</f>
        <v/>
      </c>
      <c r="AM30" s="108">
        <f>+X29</f>
        <v/>
      </c>
      <c r="AN30" s="108">
        <f>+Y29</f>
        <v/>
      </c>
      <c r="AO30" s="108">
        <f>+Z29</f>
        <v/>
      </c>
      <c r="AP30" s="108">
        <f>+AA29</f>
        <v/>
      </c>
      <c r="AQ30" s="109">
        <f>+(H171/H159-1)/COUNTA(AE30:AP30)*12</f>
        <v/>
      </c>
      <c r="AS30" s="95" t="n"/>
      <c r="AV30" s="95" t="n"/>
      <c r="AW30" s="121" t="inlineStr">
        <is>
          <t>FIP Monetario</t>
        </is>
      </c>
      <c r="AX30" s="125">
        <f>($AW22/AX22-1)/(AW19-AX19)*30</f>
        <v/>
      </c>
      <c r="AY30" s="125">
        <f>+AW22/AY22-1</f>
        <v/>
      </c>
      <c r="AZ30" s="125">
        <f>+AW22/AZ22-1</f>
        <v/>
      </c>
      <c r="BA30" s="125">
        <f>($AW22)/BA22-1</f>
        <v/>
      </c>
      <c r="BB30" s="125">
        <f>+AQ84</f>
        <v/>
      </c>
      <c r="BC30" s="95" t="n"/>
      <c r="BD30" s="112" t="n"/>
    </row>
    <row r="31" ht="14.25" customHeight="1" s="86">
      <c r="A31" s="103" t="n">
        <v>39568</v>
      </c>
      <c r="B31" s="106" t="n">
        <v>12416.18</v>
      </c>
      <c r="C31" s="99">
        <f>(B31/B30-1)/(A31-A30)*30</f>
        <v/>
      </c>
      <c r="D31" s="105">
        <f>B31/$B$3*100</f>
        <v/>
      </c>
      <c r="E31" s="105" t="n"/>
      <c r="F31" s="105" t="n"/>
      <c r="O31" s="89" t="n">
        <v>2021</v>
      </c>
      <c r="P31" s="99">
        <f>+I184</f>
        <v/>
      </c>
      <c r="Q31" s="99">
        <f>+I185</f>
        <v/>
      </c>
      <c r="R31" s="99">
        <f>+I186</f>
        <v/>
      </c>
      <c r="S31" s="99">
        <f>+I187</f>
        <v/>
      </c>
      <c r="T31" s="99">
        <f>+I188</f>
        <v/>
      </c>
      <c r="U31" s="99">
        <f>+I189</f>
        <v/>
      </c>
      <c r="V31" s="99">
        <f>+I190</f>
        <v/>
      </c>
      <c r="W31" s="99">
        <f>+I191</f>
        <v/>
      </c>
      <c r="X31" s="99">
        <f>+I192</f>
        <v/>
      </c>
      <c r="Y31" s="99">
        <f>+I193</f>
        <v/>
      </c>
      <c r="Z31" s="99">
        <f>+I194</f>
        <v/>
      </c>
      <c r="AA31" s="99">
        <f>+I195</f>
        <v/>
      </c>
      <c r="AD31" s="107" t="n">
        <v>2020</v>
      </c>
      <c r="AE31" s="108">
        <f>+P30</f>
        <v/>
      </c>
      <c r="AF31" s="108">
        <f>+Q30</f>
        <v/>
      </c>
      <c r="AG31" s="108">
        <f>+R30</f>
        <v/>
      </c>
      <c r="AH31" s="108">
        <f>+S30</f>
        <v/>
      </c>
      <c r="AI31" s="108">
        <f>+T30</f>
        <v/>
      </c>
      <c r="AJ31" s="108">
        <f>+U30</f>
        <v/>
      </c>
      <c r="AK31" s="108">
        <f>+V30</f>
        <v/>
      </c>
      <c r="AL31" s="108">
        <f>+W30</f>
        <v/>
      </c>
      <c r="AM31" s="108">
        <f>+X30</f>
        <v/>
      </c>
      <c r="AN31" s="108">
        <f>+Y30</f>
        <v/>
      </c>
      <c r="AO31" s="108">
        <f>+Z30</f>
        <v/>
      </c>
      <c r="AP31" s="108">
        <f>+AA30</f>
        <v/>
      </c>
      <c r="AQ31" s="109">
        <f>+(H180/H171-1)/COUNTA(AE31:AP31)*12</f>
        <v/>
      </c>
      <c r="AS31" s="95" t="n"/>
      <c r="AV31" s="95" t="n"/>
      <c r="AW31" s="127" t="n"/>
      <c r="AX31" s="95" t="n"/>
      <c r="AY31" s="95" t="n"/>
      <c r="AZ31" s="95" t="n"/>
      <c r="BA31" s="95" t="n"/>
      <c r="BB31" s="95" t="n"/>
      <c r="BC31" s="95" t="n"/>
      <c r="BD31" s="112" t="n"/>
    </row>
    <row r="32" ht="14.25" customHeight="1" s="86">
      <c r="A32" s="103" t="n">
        <v>39598</v>
      </c>
      <c r="B32" s="106" t="n">
        <v>12481.48</v>
      </c>
      <c r="C32" s="99">
        <f>(B32/B31-1)/(A32-A31)*30</f>
        <v/>
      </c>
      <c r="D32" s="105">
        <f>B32/$B$3*100</f>
        <v/>
      </c>
      <c r="E32" s="105" t="n"/>
      <c r="F32" s="105" t="n"/>
      <c r="O32" s="89" t="n">
        <v>2022</v>
      </c>
      <c r="P32" s="99">
        <f>+I196</f>
        <v/>
      </c>
      <c r="Q32" s="99">
        <f>+I197</f>
        <v/>
      </c>
      <c r="R32" s="99">
        <f>+I198</f>
        <v/>
      </c>
      <c r="S32" s="99">
        <f>+I199</f>
        <v/>
      </c>
      <c r="T32" s="99">
        <f>+I200</f>
        <v/>
      </c>
      <c r="U32" s="99">
        <f>+I201</f>
        <v/>
      </c>
      <c r="V32" s="99">
        <f>+I202</f>
        <v/>
      </c>
      <c r="W32" s="99">
        <f>+I203</f>
        <v/>
      </c>
      <c r="X32" s="99">
        <f>+I204</f>
        <v/>
      </c>
      <c r="Y32" s="99">
        <f>+I205</f>
        <v/>
      </c>
      <c r="Z32" s="99">
        <f>+I206</f>
        <v/>
      </c>
      <c r="AA32" s="99">
        <f>+I207</f>
        <v/>
      </c>
      <c r="AD32" s="107" t="n">
        <v>2021</v>
      </c>
      <c r="AE32" s="108">
        <f>+P31</f>
        <v/>
      </c>
      <c r="AF32" s="108">
        <f>+Q31</f>
        <v/>
      </c>
      <c r="AG32" s="108">
        <f>+R31</f>
        <v/>
      </c>
      <c r="AH32" s="108">
        <f>+S31</f>
        <v/>
      </c>
      <c r="AI32" s="108">
        <f>+T31</f>
        <v/>
      </c>
      <c r="AJ32" s="108">
        <f>+U31</f>
        <v/>
      </c>
      <c r="AK32" s="108">
        <f>+V31</f>
        <v/>
      </c>
      <c r="AL32" s="108">
        <f>+W31</f>
        <v/>
      </c>
      <c r="AM32" s="108">
        <f>+X31</f>
        <v/>
      </c>
      <c r="AN32" s="108">
        <f>+Y31</f>
        <v/>
      </c>
      <c r="AO32" s="108">
        <f>+Z31</f>
        <v/>
      </c>
      <c r="AP32" s="108">
        <f>+AA31</f>
        <v/>
      </c>
      <c r="AQ32" s="109">
        <f>+(H195/H183-1)/COUNTA(AE32:AP32)*12</f>
        <v/>
      </c>
      <c r="AS32" s="95" t="n"/>
      <c r="BD32" s="112" t="n"/>
    </row>
    <row r="33" ht="14.25" customHeight="1" s="86">
      <c r="A33" s="103" t="n">
        <v>39629</v>
      </c>
      <c r="B33" s="106" t="n">
        <v>12552.23</v>
      </c>
      <c r="C33" s="99">
        <f>(B33/B32-1)/(A33-A32)*30</f>
        <v/>
      </c>
      <c r="D33" s="105">
        <f>B33/$B$3*100</f>
        <v/>
      </c>
      <c r="E33" s="105" t="n"/>
      <c r="F33" s="105" t="n"/>
      <c r="O33" s="89" t="n">
        <v>2023</v>
      </c>
      <c r="P33" s="99">
        <f>+I208</f>
        <v/>
      </c>
      <c r="Q33" s="99">
        <f>+I209</f>
        <v/>
      </c>
      <c r="R33" s="99">
        <f>+I210</f>
        <v/>
      </c>
      <c r="S33" s="99">
        <f>+I211</f>
        <v/>
      </c>
      <c r="T33" s="99">
        <f>+I212</f>
        <v/>
      </c>
      <c r="U33" s="99">
        <f>+I213</f>
        <v/>
      </c>
      <c r="V33" s="99">
        <f>+I214</f>
        <v/>
      </c>
      <c r="W33" s="99">
        <f>+I215</f>
        <v/>
      </c>
      <c r="X33" s="99">
        <f>+I216</f>
        <v/>
      </c>
      <c r="Y33" s="99">
        <f>+I217</f>
        <v/>
      </c>
      <c r="Z33" s="99">
        <f>+I218</f>
        <v/>
      </c>
      <c r="AA33" s="99">
        <f>+I219</f>
        <v/>
      </c>
      <c r="AD33" s="107" t="n">
        <v>2022</v>
      </c>
      <c r="AE33" s="108">
        <f>+P32</f>
        <v/>
      </c>
      <c r="AF33" s="108">
        <f>+Q32</f>
        <v/>
      </c>
      <c r="AG33" s="108">
        <f>+R32</f>
        <v/>
      </c>
      <c r="AH33" s="108">
        <f>+S32</f>
        <v/>
      </c>
      <c r="AI33" s="108">
        <f>+T32</f>
        <v/>
      </c>
      <c r="AJ33" s="108">
        <f>+U32</f>
        <v/>
      </c>
      <c r="AK33" s="108">
        <f>+V32</f>
        <v/>
      </c>
      <c r="AL33" s="108">
        <f>+W32</f>
        <v/>
      </c>
      <c r="AM33" s="108">
        <f>+X32</f>
        <v/>
      </c>
      <c r="AN33" s="108">
        <f>+Y32</f>
        <v/>
      </c>
      <c r="AO33" s="108">
        <f>+Z32</f>
        <v/>
      </c>
      <c r="AP33" s="108">
        <f>+AA32</f>
        <v/>
      </c>
      <c r="AQ33" s="109">
        <f>+(H207/H195-1)/COUNTA(AE33:AP33)*12</f>
        <v/>
      </c>
      <c r="AR33" s="95" t="n"/>
    </row>
    <row r="34" ht="14.25" customHeight="1" s="86">
      <c r="A34" s="103" t="n">
        <v>39660</v>
      </c>
      <c r="B34" s="106" t="n">
        <v>12628.9</v>
      </c>
      <c r="C34" s="99">
        <f>(B34/B33-1)/(A34-A33)*30</f>
        <v/>
      </c>
      <c r="D34" s="105">
        <f>B34/$B$3*100</f>
        <v/>
      </c>
      <c r="E34" s="105" t="n"/>
      <c r="F34" s="105" t="n"/>
      <c r="O34" s="89" t="n">
        <v>2024</v>
      </c>
      <c r="P34" s="99">
        <f>+I220</f>
        <v/>
      </c>
      <c r="Q34" s="99">
        <f>+I221</f>
        <v/>
      </c>
      <c r="R34" s="99">
        <f>+I222</f>
        <v/>
      </c>
      <c r="S34" s="99">
        <f>+I223</f>
        <v/>
      </c>
      <c r="T34" s="99">
        <f>+I224</f>
        <v/>
      </c>
      <c r="U34" s="99">
        <f>+I225</f>
        <v/>
      </c>
      <c r="V34" s="99">
        <f>+I226</f>
        <v/>
      </c>
      <c r="W34" s="99">
        <f>+I227</f>
        <v/>
      </c>
      <c r="X34" s="99">
        <f>+I228</f>
        <v/>
      </c>
      <c r="Y34" s="99">
        <f>+I229</f>
        <v/>
      </c>
      <c r="Z34" s="99">
        <f>+I230</f>
        <v/>
      </c>
      <c r="AA34" s="99">
        <f>+I231</f>
        <v/>
      </c>
      <c r="AD34" s="107" t="n">
        <v>2023</v>
      </c>
      <c r="AE34" s="108">
        <f>+P33</f>
        <v/>
      </c>
      <c r="AF34" s="108">
        <f>+Q33</f>
        <v/>
      </c>
      <c r="AG34" s="108">
        <f>+R33</f>
        <v/>
      </c>
      <c r="AH34" s="108">
        <f>+S33</f>
        <v/>
      </c>
      <c r="AI34" s="108">
        <f>+T33</f>
        <v/>
      </c>
      <c r="AJ34" s="108">
        <f>+U33</f>
        <v/>
      </c>
      <c r="AK34" s="108">
        <f>+V33</f>
        <v/>
      </c>
      <c r="AL34" s="108">
        <f>+W33</f>
        <v/>
      </c>
      <c r="AM34" s="108">
        <f>+X33</f>
        <v/>
      </c>
      <c r="AN34" s="108">
        <f>+Y33</f>
        <v/>
      </c>
      <c r="AO34" s="108">
        <f>+Z33</f>
        <v/>
      </c>
      <c r="AP34" s="108">
        <f>+AA33</f>
        <v/>
      </c>
      <c r="AQ34" s="109">
        <f>+(H219/H207-1)/COUNTA(AE34:AP34)*12</f>
        <v/>
      </c>
      <c r="AR34" s="111" t="n"/>
      <c r="AS34" s="95" t="n"/>
    </row>
    <row r="35" ht="14.25" customHeight="1" s="86">
      <c r="A35" s="103" t="n">
        <v>39689</v>
      </c>
      <c r="B35" s="106" t="n">
        <v>12704.63</v>
      </c>
      <c r="C35" s="99">
        <f>(B35/B34-1)/(A35-A34)*30</f>
        <v/>
      </c>
      <c r="D35" s="105">
        <f>B35/$B$3*100</f>
        <v/>
      </c>
      <c r="E35" s="105" t="n"/>
      <c r="F35" s="105" t="n"/>
      <c r="O35" s="89" t="n">
        <v>2025</v>
      </c>
      <c r="P35" s="99">
        <f>+I232</f>
        <v/>
      </c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D35" s="107" t="n">
        <v>2024</v>
      </c>
      <c r="AE35" s="108">
        <f>+P34</f>
        <v/>
      </c>
      <c r="AF35" s="108">
        <f>+Q34</f>
        <v/>
      </c>
      <c r="AG35" s="108">
        <f>+R34</f>
        <v/>
      </c>
      <c r="AH35" s="108">
        <f>+S34</f>
        <v/>
      </c>
      <c r="AI35" s="108">
        <f>+T34</f>
        <v/>
      </c>
      <c r="AJ35" s="108">
        <f>+U34</f>
        <v/>
      </c>
      <c r="AK35" s="108">
        <f>+V34</f>
        <v/>
      </c>
      <c r="AL35" s="108">
        <f>+W34</f>
        <v/>
      </c>
      <c r="AM35" s="108">
        <f>+X34</f>
        <v/>
      </c>
      <c r="AN35" s="108">
        <f>+Y34</f>
        <v/>
      </c>
      <c r="AO35" s="108">
        <f>+Z34</f>
        <v/>
      </c>
      <c r="AP35" s="108">
        <f>+AA34</f>
        <v/>
      </c>
      <c r="AQ35" s="109">
        <f>+(H231/H219-1)/COUNTA(AE35:AP35)*12</f>
        <v/>
      </c>
      <c r="AR35" s="111" t="inlineStr">
        <is>
          <t>(*)</t>
        </is>
      </c>
      <c r="AS35" s="95" t="n"/>
    </row>
    <row r="36" ht="14.25" customHeight="1" s="86">
      <c r="A36" s="103" t="n">
        <v>39721</v>
      </c>
      <c r="B36" s="106" t="n">
        <v>12796.95</v>
      </c>
      <c r="C36" s="99">
        <f>(B36/B35-1)/(A36-A35)*30</f>
        <v/>
      </c>
      <c r="D36" s="105">
        <f>B36/$B$3*100</f>
        <v/>
      </c>
      <c r="E36" s="105" t="n"/>
      <c r="F36" s="105" t="n"/>
      <c r="P36" s="96" t="n">
        <v>31</v>
      </c>
      <c r="Q36" s="96" t="n">
        <v>28</v>
      </c>
      <c r="R36" s="96" t="n">
        <v>31</v>
      </c>
      <c r="S36" s="96" t="n">
        <v>30</v>
      </c>
      <c r="T36" s="96" t="n">
        <v>31</v>
      </c>
      <c r="U36" s="96" t="n">
        <v>30</v>
      </c>
      <c r="V36" s="96" t="n">
        <v>31</v>
      </c>
      <c r="W36" s="96" t="n">
        <v>31</v>
      </c>
      <c r="X36" s="96" t="n">
        <v>30</v>
      </c>
      <c r="Y36" s="96" t="n">
        <v>31</v>
      </c>
      <c r="Z36" s="96" t="n">
        <v>30</v>
      </c>
      <c r="AA36" s="96" t="n">
        <v>31</v>
      </c>
      <c r="AD36" s="107" t="n">
        <v>2025</v>
      </c>
      <c r="AE36" s="108">
        <f>+P35</f>
        <v/>
      </c>
      <c r="AF36" s="108" t="n"/>
      <c r="AG36" s="108" t="n"/>
      <c r="AH36" s="108" t="n"/>
      <c r="AI36" s="108" t="n"/>
      <c r="AJ36" s="108" t="n"/>
      <c r="AK36" s="108" t="n"/>
      <c r="AL36" s="108" t="n"/>
      <c r="AM36" s="108" t="n"/>
      <c r="AN36" s="108" t="n"/>
      <c r="AO36" s="108" t="n"/>
      <c r="AP36" s="108" t="n"/>
      <c r="AQ36" s="109">
        <f>+(H232/H231-1)/COUNTA(AE36:AP36)*12</f>
        <v/>
      </c>
      <c r="AR36" s="95" t="n"/>
      <c r="AS36" s="95" t="n"/>
    </row>
    <row r="37" ht="14.25" customHeight="1" s="86">
      <c r="A37" s="103" t="n">
        <v>39752</v>
      </c>
      <c r="B37" s="106" t="n">
        <v>12885.37</v>
      </c>
      <c r="C37" s="99">
        <f>(B37/B36-1)/(A37-A36)*30</f>
        <v/>
      </c>
      <c r="D37" s="105">
        <f>B37/$B$3*100</f>
        <v/>
      </c>
      <c r="E37" s="105" t="n"/>
      <c r="F37" s="105" t="n"/>
      <c r="P37" s="96" t="n">
        <v>1</v>
      </c>
      <c r="Q37" s="96" t="n">
        <v>2</v>
      </c>
      <c r="R37" s="96" t="n">
        <v>3</v>
      </c>
      <c r="S37" s="96" t="n">
        <v>4</v>
      </c>
      <c r="T37" s="96" t="n">
        <v>5</v>
      </c>
      <c r="U37" s="96" t="n">
        <v>6</v>
      </c>
      <c r="V37" s="96" t="n">
        <v>7</v>
      </c>
      <c r="W37" s="96" t="n">
        <v>8</v>
      </c>
      <c r="X37" s="96" t="n">
        <v>9</v>
      </c>
      <c r="Y37" s="96" t="n">
        <v>10</v>
      </c>
      <c r="Z37" s="96" t="n">
        <v>11</v>
      </c>
      <c r="AA37" s="96" t="n">
        <v>12</v>
      </c>
      <c r="AD37" s="111" t="inlineStr">
        <is>
          <t>(*) Acum a Mar</t>
        </is>
      </c>
      <c r="AR37" s="111" t="inlineStr">
        <is>
          <t>(*)</t>
        </is>
      </c>
      <c r="AS37" s="95" t="n"/>
    </row>
    <row r="38" ht="14.25" customHeight="1" s="86">
      <c r="A38" s="103" t="n">
        <v>39780</v>
      </c>
      <c r="B38" s="106" t="n">
        <v>12970.93</v>
      </c>
      <c r="C38" s="99">
        <f>(B38/B37-1)/(A38-A37)*30</f>
        <v/>
      </c>
      <c r="D38" s="105">
        <f>B38/$B$3*100</f>
        <v/>
      </c>
      <c r="E38" s="105" t="n"/>
      <c r="F38" s="105" t="n"/>
      <c r="O38" s="117" t="inlineStr">
        <is>
          <t>Competencia</t>
        </is>
      </c>
      <c r="P38" s="89" t="inlineStr">
        <is>
          <t>Ene</t>
        </is>
      </c>
      <c r="Q38" s="89" t="inlineStr">
        <is>
          <t>Feb</t>
        </is>
      </c>
      <c r="R38" s="89" t="inlineStr">
        <is>
          <t>Mar</t>
        </is>
      </c>
      <c r="S38" s="89" t="inlineStr">
        <is>
          <t>Abr</t>
        </is>
      </c>
      <c r="T38" s="89" t="inlineStr">
        <is>
          <t>May</t>
        </is>
      </c>
      <c r="U38" s="89" t="inlineStr">
        <is>
          <t>Jun</t>
        </is>
      </c>
      <c r="V38" s="89" t="inlineStr">
        <is>
          <t>Jul</t>
        </is>
      </c>
      <c r="W38" s="89" t="inlineStr">
        <is>
          <t>Ago</t>
        </is>
      </c>
      <c r="X38" s="89" t="inlineStr">
        <is>
          <t>Sep</t>
        </is>
      </c>
      <c r="Y38" s="89" t="inlineStr">
        <is>
          <t>Oct</t>
        </is>
      </c>
      <c r="Z38" s="89" t="inlineStr">
        <is>
          <t>Nov</t>
        </is>
      </c>
      <c r="AA38" s="89" t="inlineStr">
        <is>
          <t>Dic</t>
        </is>
      </c>
      <c r="AD38" s="119" t="inlineStr">
        <is>
          <t>Competencia</t>
        </is>
      </c>
      <c r="AE38" s="94" t="inlineStr">
        <is>
          <t>Ene</t>
        </is>
      </c>
      <c r="AF38" s="94" t="inlineStr">
        <is>
          <t>Feb</t>
        </is>
      </c>
      <c r="AG38" s="94" t="inlineStr">
        <is>
          <t>Mar</t>
        </is>
      </c>
      <c r="AH38" s="94" t="inlineStr">
        <is>
          <t>Abr</t>
        </is>
      </c>
      <c r="AI38" s="94" t="inlineStr">
        <is>
          <t>May</t>
        </is>
      </c>
      <c r="AJ38" s="94" t="inlineStr">
        <is>
          <t>Jun</t>
        </is>
      </c>
      <c r="AK38" s="94" t="inlineStr">
        <is>
          <t>Jul</t>
        </is>
      </c>
      <c r="AL38" s="94" t="inlineStr">
        <is>
          <t>Ago</t>
        </is>
      </c>
      <c r="AM38" s="94" t="inlineStr">
        <is>
          <t>Sep</t>
        </is>
      </c>
      <c r="AN38" s="94" t="inlineStr">
        <is>
          <t>Oct</t>
        </is>
      </c>
      <c r="AO38" s="94" t="inlineStr">
        <is>
          <t>Nov</t>
        </is>
      </c>
      <c r="AP38" s="94" t="inlineStr">
        <is>
          <t>Dic</t>
        </is>
      </c>
      <c r="AQ38" s="94" t="inlineStr">
        <is>
          <t>Total Año</t>
        </is>
      </c>
      <c r="AR38" s="95" t="n"/>
      <c r="AS38" s="95" t="n"/>
      <c r="BE38" s="123" t="n"/>
      <c r="BF38" s="123" t="n"/>
      <c r="BG38" s="123" t="n"/>
      <c r="BH38" s="123" t="n"/>
      <c r="BI38" s="123" t="n"/>
      <c r="BJ38" s="123" t="n"/>
    </row>
    <row r="39" ht="15" customHeight="1" s="86">
      <c r="A39" s="103" t="n">
        <v>39813</v>
      </c>
      <c r="B39" s="106" t="n">
        <v>13066.33</v>
      </c>
      <c r="C39" s="99">
        <f>(B39/B38-1)/(A39-A38)*30</f>
        <v/>
      </c>
      <c r="D39" s="105">
        <f>B39/$B$3*100</f>
        <v/>
      </c>
      <c r="E39" s="105" t="n"/>
      <c r="F39" s="105" t="n"/>
      <c r="O39" s="89" t="n">
        <v>2016</v>
      </c>
      <c r="P39" s="99" t="n"/>
      <c r="Q39" s="99" t="n"/>
      <c r="R39" s="99" t="n"/>
      <c r="S39" s="99" t="n"/>
      <c r="T39" s="99" t="n"/>
      <c r="U39" s="99">
        <f>LOOKUP(DATE($O39,U$37,U$36),$A$2:$A$2941,$L$2:$L$2941)</f>
        <v/>
      </c>
      <c r="V39" s="99">
        <f>LOOKUP(DATE($O39,V$37,V$36),$A$2:$A$2941,$L$2:$L$2941)</f>
        <v/>
      </c>
      <c r="W39" s="99">
        <f>LOOKUP(DATE($O39,W$37,W$36),$A$2:$A$2941,$L$2:$L$2941)</f>
        <v/>
      </c>
      <c r="X39" s="99">
        <f>LOOKUP(DATE($O39,X$37,X$36),$A$2:$A$2941,$L$2:$L$2941)</f>
        <v/>
      </c>
      <c r="Y39" s="99">
        <f>LOOKUP(DATE($O39,Y$37,Y$36),$A$2:$A$2941,$L$2:$L$2941)</f>
        <v/>
      </c>
      <c r="Z39" s="99">
        <f>LOOKUP(DATE($O39,Z$37,Z$36),$A$2:$A$2941,$L$2:$L$2941)</f>
        <v/>
      </c>
      <c r="AA39" s="99">
        <f>LOOKUP(DATE($O39,AA$37,AA$36),$A$2:$A$2941,$L$2:$L$2941)</f>
        <v/>
      </c>
      <c r="AD39" s="100" t="n">
        <v>2016</v>
      </c>
      <c r="AE39" s="101" t="n"/>
      <c r="AF39" s="101" t="n"/>
      <c r="AG39" s="101" t="n"/>
      <c r="AH39" s="101" t="n"/>
      <c r="AI39" s="101" t="n"/>
      <c r="AJ39" s="101">
        <f>+U39</f>
        <v/>
      </c>
      <c r="AK39" s="101">
        <f>+V39</f>
        <v/>
      </c>
      <c r="AL39" s="101">
        <f>+W39</f>
        <v/>
      </c>
      <c r="AM39" s="101">
        <f>+X39</f>
        <v/>
      </c>
      <c r="AN39" s="101">
        <f>+Y39</f>
        <v/>
      </c>
      <c r="AO39" s="101">
        <f>+Z39</f>
        <v/>
      </c>
      <c r="AP39" s="101">
        <f>+AA39</f>
        <v/>
      </c>
      <c r="AQ39" s="102">
        <f>+K136/K129-1</f>
        <v/>
      </c>
      <c r="AR39" s="95" t="n"/>
      <c r="AS39" s="95" t="n"/>
      <c r="BE39" s="112" t="n"/>
      <c r="BF39" s="112" t="n"/>
      <c r="BG39" s="112" t="n"/>
      <c r="BH39" s="112" t="n"/>
      <c r="BI39" s="112" t="n"/>
      <c r="BJ39" s="128" t="n"/>
    </row>
    <row r="40" ht="15" customHeight="1" s="86">
      <c r="A40" s="103" t="n">
        <v>39843</v>
      </c>
      <c r="B40" s="106" t="n">
        <v>13151.16</v>
      </c>
      <c r="C40" s="99">
        <f>(B40/B39-1)/(A40-A39)*30</f>
        <v/>
      </c>
      <c r="D40" s="105">
        <f>B40/$B$3*100</f>
        <v/>
      </c>
      <c r="E40" s="105" t="n"/>
      <c r="F40" s="105" t="n"/>
      <c r="O40" s="89" t="n">
        <v>2017</v>
      </c>
      <c r="P40" s="99">
        <f>LOOKUP(DATE($O40,P$37,P$36),$A$2:$A$2941,$L$2:$L$2941)</f>
        <v/>
      </c>
      <c r="Q40" s="99">
        <f>LOOKUP(DATE($O40,Q$37,Q$36),$A$2:$A$2941,$L$2:$L$2941)</f>
        <v/>
      </c>
      <c r="R40" s="99">
        <f>LOOKUP(DATE($O40,R$37,R$36),$A$2:$A$2941,$L$2:$L$2941)</f>
        <v/>
      </c>
      <c r="S40" s="99">
        <f>LOOKUP(DATE($O40,S$37,S$36),$A$2:$A$2941,$L$2:$L$2941)</f>
        <v/>
      </c>
      <c r="T40" s="99">
        <f>LOOKUP(DATE($O40,T$37,T$36),$A$2:$A$2941,$L$2:$L$2941)</f>
        <v/>
      </c>
      <c r="U40" s="99">
        <f>LOOKUP(DATE($O40,U$37,U$36),$A$2:$A$2941,$L$2:$L$2941)</f>
        <v/>
      </c>
      <c r="V40" s="99">
        <f>LOOKUP(DATE($O40,V$37,V$36),$A$2:$A$2941,$L$2:$L$2941)</f>
        <v/>
      </c>
      <c r="W40" s="99">
        <f>LOOKUP(DATE($O40,W$37,W$36),$A$2:$A$2941,$L$2:$L$2941)</f>
        <v/>
      </c>
      <c r="X40" s="99">
        <f>LOOKUP(DATE($O40,X$37,X$36),$A$2:$A$2941,$L$2:$L$2941)</f>
        <v/>
      </c>
      <c r="Y40" s="99">
        <f>LOOKUP(DATE($O40,Y$37,Y$36),$A$2:$A$2941,$L$2:$L$2941)</f>
        <v/>
      </c>
      <c r="Z40" s="99">
        <f>LOOKUP(DATE($O40,Z$37,Z$36),$A$2:$A$2941,$L$2:$L$2941)</f>
        <v/>
      </c>
      <c r="AA40" s="99">
        <f>LOOKUP(DATE($O40,AA$37,AA$36),$A$2:$A$2941,$L$2:$L$2941)</f>
        <v/>
      </c>
      <c r="AD40" s="107" t="n">
        <v>2017</v>
      </c>
      <c r="AE40" s="108">
        <f>+P40</f>
        <v/>
      </c>
      <c r="AF40" s="108">
        <f>+Q40</f>
        <v/>
      </c>
      <c r="AG40" s="108">
        <f>+R40</f>
        <v/>
      </c>
      <c r="AH40" s="108">
        <f>+S40</f>
        <v/>
      </c>
      <c r="AI40" s="108">
        <f>+T40</f>
        <v/>
      </c>
      <c r="AJ40" s="108">
        <f>+U40</f>
        <v/>
      </c>
      <c r="AK40" s="108">
        <f>+V40</f>
        <v/>
      </c>
      <c r="AL40" s="108">
        <f>+W40</f>
        <v/>
      </c>
      <c r="AM40" s="108">
        <f>+X40</f>
        <v/>
      </c>
      <c r="AN40" s="108">
        <f>+Y40</f>
        <v/>
      </c>
      <c r="AO40" s="108">
        <f>+Z40</f>
        <v/>
      </c>
      <c r="AP40" s="108">
        <f>+AA40</f>
        <v/>
      </c>
      <c r="AQ40" s="109">
        <f>+K147/K135-1</f>
        <v/>
      </c>
      <c r="AR40" s="95" t="n"/>
      <c r="AS40" s="95" t="n"/>
      <c r="BE40" s="112" t="n"/>
      <c r="BF40" s="112" t="n"/>
      <c r="BG40" s="112" t="n"/>
      <c r="BH40" s="112" t="n"/>
      <c r="BI40" s="112" t="n"/>
      <c r="BJ40" s="128" t="n"/>
    </row>
    <row r="41" ht="15" customHeight="1" s="86">
      <c r="A41" s="103" t="n">
        <v>39871</v>
      </c>
      <c r="B41" s="106" t="n">
        <v>13212.09</v>
      </c>
      <c r="C41" s="99">
        <f>(B41/B40-1)/(A41-A40)*30</f>
        <v/>
      </c>
      <c r="D41" s="105">
        <f>B41/$B$3*100</f>
        <v/>
      </c>
      <c r="E41" s="105" t="n"/>
      <c r="F41" s="105" t="n"/>
      <c r="O41" s="89" t="n">
        <v>2018</v>
      </c>
      <c r="P41" s="99">
        <f>LOOKUP(DATE($O41,P$37,P$36),$A$2:$A$2941,$L$2:$L$2941)</f>
        <v/>
      </c>
      <c r="Q41" s="99">
        <f>LOOKUP(DATE($O41,Q$37,Q$36),$A$2:$A$2941,$L$2:$L$2941)</f>
        <v/>
      </c>
      <c r="R41" s="99">
        <f>LOOKUP(DATE($O41,R$37,R$36),$A$2:$A$2941,$L$2:$L$2941)</f>
        <v/>
      </c>
      <c r="S41" s="99">
        <f>LOOKUP(DATE($O41,S$37,S$36),$A$2:$A$2941,$L$2:$L$2941)</f>
        <v/>
      </c>
      <c r="T41" s="99">
        <f>LOOKUP(DATE($O41,T$37,T$36),$A$2:$A$2941,$L$2:$L$2941)</f>
        <v/>
      </c>
      <c r="U41" s="99">
        <f>LOOKUP(DATE($O41,U$37,U$36),$A$2:$A$2941,$L$2:$L$2941)</f>
        <v/>
      </c>
      <c r="V41" s="99">
        <f>LOOKUP(DATE($O41,V$37,V$36),$A$2:$A$2941,$L$2:$L$2941)</f>
        <v/>
      </c>
      <c r="W41" s="99">
        <f>LOOKUP(DATE($O41,W$37,W$36),$A$2:$A$2941,$L$2:$L$2941)</f>
        <v/>
      </c>
      <c r="X41" s="99">
        <f>LOOKUP(DATE($O41,X$37,X$36),$A$2:$A$2941,$L$2:$L$2941)</f>
        <v/>
      </c>
      <c r="Y41" s="99">
        <f>LOOKUP(DATE($O41,Y$37,Y$36),$A$2:$A$2941,$L$2:$L$2941)</f>
        <v/>
      </c>
      <c r="Z41" s="99">
        <f>LOOKUP(DATE($O41,Z$37,Z$36),$A$2:$A$2941,$L$2:$L$2941)</f>
        <v/>
      </c>
      <c r="AA41" s="99">
        <f>LOOKUP(DATE($O41,AA$37,AA$36),$A$2:$A$2941,$L$2:$L$2941)</f>
        <v/>
      </c>
      <c r="AD41" s="100" t="n">
        <v>2018</v>
      </c>
      <c r="AE41" s="101">
        <f>+P41</f>
        <v/>
      </c>
      <c r="AF41" s="101">
        <f>+Q41</f>
        <v/>
      </c>
      <c r="AG41" s="101">
        <f>+R41</f>
        <v/>
      </c>
      <c r="AH41" s="101">
        <f>+S41</f>
        <v/>
      </c>
      <c r="AI41" s="101">
        <f>+T41</f>
        <v/>
      </c>
      <c r="AJ41" s="101">
        <f>+U41</f>
        <v/>
      </c>
      <c r="AK41" s="101">
        <f>+V41</f>
        <v/>
      </c>
      <c r="AL41" s="101">
        <f>+W41</f>
        <v/>
      </c>
      <c r="AM41" s="101">
        <f>+X41</f>
        <v/>
      </c>
      <c r="AN41" s="101">
        <f>+Y41</f>
        <v/>
      </c>
      <c r="AO41" s="101">
        <f>+Z41</f>
        <v/>
      </c>
      <c r="AP41" s="101">
        <f>+AA41</f>
        <v/>
      </c>
      <c r="AQ41" s="102">
        <f>+K159/K148-1</f>
        <v/>
      </c>
      <c r="AR41" s="95" t="n"/>
      <c r="AS41" s="95" t="n"/>
      <c r="BE41" s="112" t="n"/>
      <c r="BF41" s="112" t="n"/>
      <c r="BG41" s="112" t="n"/>
      <c r="BH41" s="112" t="n"/>
      <c r="BI41" s="112" t="n"/>
      <c r="BJ41" s="128" t="n"/>
    </row>
    <row r="42" ht="14.25" customHeight="1" s="86">
      <c r="A42" s="103" t="n">
        <v>39903</v>
      </c>
      <c r="B42" s="106" t="n">
        <v>13251.18</v>
      </c>
      <c r="C42" s="99">
        <f>(B42/B41-1)/(A42-A41)*30</f>
        <v/>
      </c>
      <c r="D42" s="105">
        <f>B42/$B$3*100</f>
        <v/>
      </c>
      <c r="E42" s="105" t="n"/>
      <c r="F42" s="105" t="n"/>
      <c r="O42" s="89" t="n">
        <v>2019</v>
      </c>
      <c r="P42" s="99">
        <f>LOOKUP(DATE($O42,P$37,P$36),$A$2:$A$2941,$L$2:$L$2941)</f>
        <v/>
      </c>
      <c r="Q42" s="99">
        <f>LOOKUP(DATE($O42,Q$37,Q$36),$A$2:$A$2941,$L$2:$L$2941)</f>
        <v/>
      </c>
      <c r="R42" s="99">
        <f>LOOKUP(DATE($O42,R$37,R$36),$A$2:$A$2941,$L$2:$L$2941)</f>
        <v/>
      </c>
      <c r="S42" s="99">
        <f>LOOKUP(DATE($O42,S$37,S$36),$A$2:$A$2941,$L$2:$L$2941)</f>
        <v/>
      </c>
      <c r="T42" s="99">
        <f>LOOKUP(DATE($O42,T$37,T$36),$A$2:$A$2941,$L$2:$L$2941)</f>
        <v/>
      </c>
      <c r="U42" s="99">
        <f>LOOKUP(DATE($O42,U$37,U$36),$A$2:$A$2941,$L$2:$L$2941)</f>
        <v/>
      </c>
      <c r="V42" s="99">
        <f>LOOKUP(DATE($O42,V$37,V$36),$A$2:$A$2941,$L$2:$L$2941)</f>
        <v/>
      </c>
      <c r="W42" s="99">
        <f>LOOKUP(DATE($O42,W$37,W$36),$A$2:$A$2941,$L$2:$L$2941)</f>
        <v/>
      </c>
      <c r="X42" s="99">
        <f>LOOKUP(DATE($O42,X$37,X$36),$A$2:$A$2941,$L$2:$L$2941)</f>
        <v/>
      </c>
      <c r="Y42" s="99">
        <f>LOOKUP(DATE($O42,Y$37,Y$36),$A$2:$A$2941,$L$2:$L$2941)</f>
        <v/>
      </c>
      <c r="Z42" s="99">
        <f>LOOKUP(DATE($O42,Z$37,Z$36),$A$2:$A$2941,$L$2:$L$2941)</f>
        <v/>
      </c>
      <c r="AA42" s="99">
        <f>LOOKUP(DATE($O42,AA$37,AA$36),$A$2:$A$2941,$L$2:$L$2941)</f>
        <v/>
      </c>
      <c r="AD42" s="107" t="n">
        <v>2019</v>
      </c>
      <c r="AE42" s="108">
        <f>+P42</f>
        <v/>
      </c>
      <c r="AF42" s="108">
        <f>+Q42</f>
        <v/>
      </c>
      <c r="AG42" s="108">
        <f>+R42</f>
        <v/>
      </c>
      <c r="AH42" s="108">
        <f>+S42</f>
        <v/>
      </c>
      <c r="AI42" s="108">
        <f>+T42</f>
        <v/>
      </c>
      <c r="AJ42" s="108">
        <f>+U42</f>
        <v/>
      </c>
      <c r="AK42" s="108">
        <f>+V42</f>
        <v/>
      </c>
      <c r="AL42" s="108">
        <f>+W42</f>
        <v/>
      </c>
      <c r="AM42" s="108">
        <f>+X42</f>
        <v/>
      </c>
      <c r="AN42" s="108">
        <f>+Y42</f>
        <v/>
      </c>
      <c r="AO42" s="108">
        <f>+Z42</f>
        <v/>
      </c>
      <c r="AP42" s="108">
        <f>+AA42</f>
        <v/>
      </c>
      <c r="AQ42" s="109">
        <f>+(K171/K159-1)/COUNTA(AE42:AP42)*12</f>
        <v/>
      </c>
      <c r="AR42" s="95" t="n"/>
      <c r="AS42" s="95" t="n"/>
      <c r="BE42" s="112" t="n"/>
      <c r="BF42" s="112" t="n"/>
      <c r="BG42" s="112" t="n"/>
      <c r="BH42" s="112" t="n"/>
      <c r="BI42" s="112" t="n"/>
      <c r="BJ42" s="128" t="n"/>
    </row>
    <row r="43" ht="14.25" customHeight="1" s="86">
      <c r="A43" s="103" t="n">
        <v>39933</v>
      </c>
      <c r="B43" s="106" t="n">
        <v>13272.62</v>
      </c>
      <c r="C43" s="99">
        <f>(B43/B42-1)/(A43-A42)*30</f>
        <v/>
      </c>
      <c r="D43" s="105">
        <f>B43/$B$3*100</f>
        <v/>
      </c>
      <c r="E43" s="105" t="n"/>
      <c r="F43" s="105" t="n"/>
      <c r="O43" s="89" t="n">
        <v>2020</v>
      </c>
      <c r="P43" s="99">
        <f>LOOKUP(DATE($O43,P$37,P$36),$A$2:$A$2941,$L$2:$L$2941)</f>
        <v/>
      </c>
      <c r="Q43" s="99">
        <f>LOOKUP(DATE($O43,Q$37,Q$36)+1,$A$2:$A$2941,$L$2:$L$2941)</f>
        <v/>
      </c>
      <c r="R43" s="99">
        <f>LOOKUP(DATE($O43,R$37,R$36),$A:$A,$L:$L)</f>
        <v/>
      </c>
      <c r="S43" s="99">
        <f>LOOKUP(DATE($O43,S$37,S$36),$A:$A,$L:$L)</f>
        <v/>
      </c>
      <c r="T43" s="99">
        <f>LOOKUP(DATE($O43,T$37,T$36),$A:$A,$L:$L)</f>
        <v/>
      </c>
      <c r="U43" s="99">
        <f>LOOKUP(DATE($O43,U$37,U$36),$A:$A,$L:$L)</f>
        <v/>
      </c>
      <c r="V43" s="99">
        <f>LOOKUP(DATE($O43,V$37,V$36),$A:$A,$L:$L)</f>
        <v/>
      </c>
      <c r="W43" s="99">
        <f>LOOKUP(DATE($O43,W$37,W$36),$A:$A,$L:$L)</f>
        <v/>
      </c>
      <c r="X43" s="99">
        <f>LOOKUP(DATE($O43,X$37,X$36),$A:$A,$L:$L)</f>
        <v/>
      </c>
      <c r="Y43" s="99">
        <f>LOOKUP(DATE($O43,Y$37,Y$36),$A:$A,$L:$L)</f>
        <v/>
      </c>
      <c r="Z43" s="99">
        <f>LOOKUP(DATE($O43,Z$37,Z$36),$A:$A,$L:$L)</f>
        <v/>
      </c>
      <c r="AA43" s="99">
        <f>LOOKUP(DATE($O43,AA$37,AA$36),$A:$A,$L:$L)</f>
        <v/>
      </c>
      <c r="AD43" s="107" t="n">
        <v>2020</v>
      </c>
      <c r="AE43" s="108">
        <f>+P43</f>
        <v/>
      </c>
      <c r="AF43" s="108">
        <f>+Q43</f>
        <v/>
      </c>
      <c r="AG43" s="108">
        <f>+R43</f>
        <v/>
      </c>
      <c r="AH43" s="108">
        <f>+S43</f>
        <v/>
      </c>
      <c r="AI43" s="108">
        <f>+T43</f>
        <v/>
      </c>
      <c r="AJ43" s="108">
        <f>+U43</f>
        <v/>
      </c>
      <c r="AK43" s="108">
        <f>+V43</f>
        <v/>
      </c>
      <c r="AL43" s="108">
        <f>+W43</f>
        <v/>
      </c>
      <c r="AM43" s="108">
        <f>+X43</f>
        <v/>
      </c>
      <c r="AN43" s="108">
        <f>+Y43</f>
        <v/>
      </c>
      <c r="AO43" s="108">
        <f>+Z43</f>
        <v/>
      </c>
      <c r="AP43" s="108">
        <f>+AA43</f>
        <v/>
      </c>
      <c r="AQ43" s="109">
        <f>+(K180/K171-1)/COUNTA(AE43:AP43)*12</f>
        <v/>
      </c>
      <c r="AR43" s="95" t="n"/>
      <c r="AS43" s="95" t="n"/>
      <c r="BE43" s="112" t="n"/>
      <c r="BF43" s="112" t="n"/>
      <c r="BG43" s="112" t="n"/>
      <c r="BH43" s="112" t="n"/>
      <c r="BI43" s="112" t="n"/>
      <c r="BJ43" s="128" t="n"/>
    </row>
    <row r="44" ht="14.25" customHeight="1" s="86">
      <c r="A44" s="103" t="n">
        <v>39962</v>
      </c>
      <c r="B44" s="106" t="n">
        <v>13286.96</v>
      </c>
      <c r="C44" s="99">
        <f>(B44/B43-1)/(A44-A43)*30</f>
        <v/>
      </c>
      <c r="D44" s="105">
        <f>B44/$B$3*100</f>
        <v/>
      </c>
      <c r="E44" s="105" t="n"/>
      <c r="F44" s="105" t="n"/>
      <c r="O44" s="89" t="n">
        <v>2021</v>
      </c>
      <c r="P44" s="99">
        <f>LOOKUP(DATE($O44,P$37,P$36),$A$2:$A$2941,$L$2:$L$2941)</f>
        <v/>
      </c>
      <c r="Q44" s="99">
        <f>LOOKUP(DATE($O44,Q$37,Q$36),$A$2:$A$2941,$L$2:$L$2941)</f>
        <v/>
      </c>
      <c r="R44" s="99">
        <f>LOOKUP(DATE($O44,R$37,R$36),$A$2:$A$2941,$L$2:$L$2941)</f>
        <v/>
      </c>
      <c r="S44" s="99">
        <f>LOOKUP(DATE($O44,S$37,S$36),$A$2:$A$2941,$L$2:$L$2941)</f>
        <v/>
      </c>
      <c r="T44" s="99">
        <f>LOOKUP(DATE($O44,T$37,T$36),$A$2:$A$2941,$L$2:$L$2941)</f>
        <v/>
      </c>
      <c r="U44" s="99">
        <f>LOOKUP(DATE($O44,U$37,U$36),$A$2:$A$2941,$L$2:$L$2941)</f>
        <v/>
      </c>
      <c r="V44" s="99">
        <f>LOOKUP(DATE($O44,V$37,V$36),$A$2:$A$2941,$L$2:$L$2941)</f>
        <v/>
      </c>
      <c r="W44" s="99">
        <f>LOOKUP(DATE($O44,W$37,W$36),$A$2:$A$2941,$L$2:$L$2941)</f>
        <v/>
      </c>
      <c r="X44" s="99">
        <f>LOOKUP(DATE($O44,X$37,X$36),$A$2:$A$2941,$L$2:$L$2941)</f>
        <v/>
      </c>
      <c r="Y44" s="99">
        <f>LOOKUP(DATE($O44,Y$37,Y$36),$A$2:$A$2941,$L$2:$L$2941)</f>
        <v/>
      </c>
      <c r="Z44" s="99">
        <f>LOOKUP(DATE($O44,Z$37,Z$36),$A$2:$A$2941,$L$2:$L$2941)</f>
        <v/>
      </c>
      <c r="AA44" s="99">
        <f>LOOKUP(DATE($O44,AA$37,AA$36),$A$2:$A$2941,$L$2:$L$2941)</f>
        <v/>
      </c>
      <c r="AD44" s="107" t="n">
        <v>2021</v>
      </c>
      <c r="AE44" s="108">
        <f>+P44</f>
        <v/>
      </c>
      <c r="AF44" s="108">
        <f>+Q44</f>
        <v/>
      </c>
      <c r="AG44" s="108">
        <f>+R44</f>
        <v/>
      </c>
      <c r="AH44" s="108">
        <f>+S44</f>
        <v/>
      </c>
      <c r="AI44" s="108">
        <f>+T44</f>
        <v/>
      </c>
      <c r="AJ44" s="108">
        <f>+U44</f>
        <v/>
      </c>
      <c r="AK44" s="108">
        <f>+V44</f>
        <v/>
      </c>
      <c r="AL44" s="108">
        <f>+W44</f>
        <v/>
      </c>
      <c r="AM44" s="108">
        <f>+X44</f>
        <v/>
      </c>
      <c r="AN44" s="108">
        <f>+Y44</f>
        <v/>
      </c>
      <c r="AO44" s="108">
        <f>+Z44</f>
        <v/>
      </c>
      <c r="AP44" s="108">
        <f>+AA44</f>
        <v/>
      </c>
      <c r="AQ44" s="109">
        <f>+(K194/K183-1)/COUNTA(AE44:AP44)*12</f>
        <v/>
      </c>
      <c r="AR44" s="95" t="n"/>
      <c r="AS44" s="95" t="n"/>
      <c r="BD44" s="112" t="n"/>
      <c r="BE44" s="112" t="n"/>
      <c r="BF44" s="112" t="n"/>
      <c r="BG44" s="112" t="n"/>
      <c r="BH44" s="112" t="n"/>
      <c r="BI44" s="112" t="n"/>
      <c r="BJ44" s="128" t="n"/>
    </row>
    <row r="45" ht="15.75" customHeight="1" s="86">
      <c r="A45" s="103" t="n">
        <v>39994</v>
      </c>
      <c r="B45" s="106" t="n">
        <v>13299.08</v>
      </c>
      <c r="C45" s="99">
        <f>(B45/B44-1)/(A45-A44)*30</f>
        <v/>
      </c>
      <c r="D45" s="105">
        <f>B45/$B$3*100</f>
        <v/>
      </c>
      <c r="E45" s="105" t="n"/>
      <c r="F45" s="105" t="n"/>
      <c r="O45" s="89" t="n">
        <v>2022</v>
      </c>
      <c r="P45" s="99">
        <f>LOOKUP(DATE($O45,P$37,P$36),$A$2:$A$2941,$L$2:$L$2941)</f>
        <v/>
      </c>
      <c r="Q45" s="99">
        <f>LOOKUP(DATE($O45,Q$37,Q$36),$A$2:$A$2941,$L$2:$L$2941)</f>
        <v/>
      </c>
      <c r="R45" s="99">
        <f>LOOKUP(DATE($O45,R$37,R$36),$A$2:$A$2941,$L$2:$L$2941)</f>
        <v/>
      </c>
      <c r="S45" s="99">
        <f>LOOKUP(DATE($O45,S$37,S$36),$A$2:$A$2941,$L$2:$L$2941)</f>
        <v/>
      </c>
      <c r="T45" s="99">
        <f>LOOKUP(DATE($O45,T$37,T$36),$A$2:$A$2941,$L$2:$L$2941)</f>
        <v/>
      </c>
      <c r="U45" s="99">
        <f>+L201</f>
        <v/>
      </c>
      <c r="V45" s="99">
        <f>+L202</f>
        <v/>
      </c>
      <c r="W45" s="99">
        <f>+L203</f>
        <v/>
      </c>
      <c r="X45" s="99">
        <f>+L204</f>
        <v/>
      </c>
      <c r="Y45" s="99">
        <f>+L205</f>
        <v/>
      </c>
      <c r="Z45" s="99">
        <f>+L206</f>
        <v/>
      </c>
      <c r="AA45" s="99">
        <f>+L207</f>
        <v/>
      </c>
      <c r="AD45" s="107" t="n">
        <v>2022</v>
      </c>
      <c r="AE45" s="108">
        <f>+P45</f>
        <v/>
      </c>
      <c r="AF45" s="108">
        <f>+Q45</f>
        <v/>
      </c>
      <c r="AG45" s="108">
        <f>+R45</f>
        <v/>
      </c>
      <c r="AH45" s="108">
        <f>+S45</f>
        <v/>
      </c>
      <c r="AI45" s="108">
        <f>+T45</f>
        <v/>
      </c>
      <c r="AJ45" s="108">
        <f>+U45</f>
        <v/>
      </c>
      <c r="AK45" s="108">
        <f>+V45</f>
        <v/>
      </c>
      <c r="AL45" s="108">
        <f>+W45</f>
        <v/>
      </c>
      <c r="AM45" s="108">
        <f>+X45</f>
        <v/>
      </c>
      <c r="AN45" s="108">
        <f>+Y45</f>
        <v/>
      </c>
      <c r="AO45" s="108">
        <f>+Z45</f>
        <v/>
      </c>
      <c r="AP45" s="108">
        <f>+AA45</f>
        <v/>
      </c>
      <c r="AQ45" s="109">
        <f>+(K206/K195-1)/COUNTA(AE45:AP45)*12</f>
        <v/>
      </c>
      <c r="AR45" s="95" t="n"/>
      <c r="AS45" s="95" t="n"/>
      <c r="BD45" s="112" t="n"/>
      <c r="BE45" s="112" t="n"/>
      <c r="BF45" s="112" t="n"/>
      <c r="BG45" s="112" t="n"/>
      <c r="BH45" s="112" t="n"/>
      <c r="BI45" s="112" t="n"/>
      <c r="BJ45" s="128" t="n"/>
    </row>
    <row r="46" ht="14.25" customHeight="1" s="86">
      <c r="A46" s="103" t="n">
        <v>40025</v>
      </c>
      <c r="B46" s="106" t="n">
        <v>13305.34</v>
      </c>
      <c r="C46" s="99">
        <f>(B46/B45-1)/(A46-A45)*30</f>
        <v/>
      </c>
      <c r="D46" s="105">
        <f>B46/$B$3*100</f>
        <v/>
      </c>
      <c r="E46" s="105" t="n"/>
      <c r="F46" s="105" t="n"/>
      <c r="O46" s="89" t="n">
        <v>2023</v>
      </c>
      <c r="P46" s="99">
        <f>+L208</f>
        <v/>
      </c>
      <c r="Q46" s="99">
        <f>+L209</f>
        <v/>
      </c>
      <c r="R46" s="99">
        <f>+L210</f>
        <v/>
      </c>
      <c r="S46" s="99">
        <f>+L211</f>
        <v/>
      </c>
      <c r="T46" s="99">
        <f>+L212</f>
        <v/>
      </c>
      <c r="U46" s="99">
        <f>+L213</f>
        <v/>
      </c>
      <c r="V46" s="99">
        <f>+L214</f>
        <v/>
      </c>
      <c r="W46" s="99">
        <f>+L215</f>
        <v/>
      </c>
      <c r="X46" s="99">
        <f>+L216</f>
        <v/>
      </c>
      <c r="Y46" s="99">
        <f>+L217</f>
        <v/>
      </c>
      <c r="Z46" s="99">
        <f>+L218</f>
        <v/>
      </c>
      <c r="AA46" s="99">
        <f>+L219</f>
        <v/>
      </c>
      <c r="AD46" s="107" t="n">
        <v>2023</v>
      </c>
      <c r="AE46" s="108">
        <f>+P46</f>
        <v/>
      </c>
      <c r="AF46" s="108">
        <f>+Q46</f>
        <v/>
      </c>
      <c r="AG46" s="108">
        <f>+R46</f>
        <v/>
      </c>
      <c r="AH46" s="108">
        <f>+S46</f>
        <v/>
      </c>
      <c r="AI46" s="108">
        <f>+T46</f>
        <v/>
      </c>
      <c r="AJ46" s="108">
        <f>+U46</f>
        <v/>
      </c>
      <c r="AK46" s="108">
        <f>+V46</f>
        <v/>
      </c>
      <c r="AL46" s="108">
        <f>+W46</f>
        <v/>
      </c>
      <c r="AM46" s="108">
        <f>+X46</f>
        <v/>
      </c>
      <c r="AN46" s="108">
        <f>+Y46</f>
        <v/>
      </c>
      <c r="AO46" s="108">
        <f>+Z46</f>
        <v/>
      </c>
      <c r="AP46" s="108">
        <f>+AA46</f>
        <v/>
      </c>
      <c r="AQ46" s="109">
        <f>+(K219/K207-1)/COUNTA(AE46:AP46)*12</f>
        <v/>
      </c>
      <c r="AR46" s="95" t="n"/>
      <c r="AS46" s="95" t="n"/>
      <c r="BD46" s="112" t="n"/>
      <c r="BE46" s="112" t="n"/>
      <c r="BF46" s="112" t="n"/>
      <c r="BG46" s="112" t="n"/>
      <c r="BH46" s="112" t="n"/>
      <c r="BI46" s="112" t="n"/>
      <c r="BJ46" s="128" t="n"/>
    </row>
    <row r="47" ht="14.25" customHeight="1" s="86">
      <c r="A47" s="103" t="n">
        <v>40056</v>
      </c>
      <c r="B47" s="106" t="n">
        <v>13310.07</v>
      </c>
      <c r="C47" s="99">
        <f>(B47/B46-1)/(A47-A46)*30</f>
        <v/>
      </c>
      <c r="D47" s="105">
        <f>B47/$B$3*100</f>
        <v/>
      </c>
      <c r="E47" s="105" t="n"/>
      <c r="F47" s="105" t="n"/>
      <c r="O47" s="89" t="n">
        <v>2024</v>
      </c>
      <c r="P47" s="99">
        <f>+L220</f>
        <v/>
      </c>
      <c r="Q47" s="99">
        <f>+L221</f>
        <v/>
      </c>
      <c r="R47" s="99">
        <f>+L222</f>
        <v/>
      </c>
      <c r="S47" s="99">
        <f>+L223</f>
        <v/>
      </c>
      <c r="T47" s="99">
        <f>+L224</f>
        <v/>
      </c>
      <c r="U47" s="99">
        <f>+L225</f>
        <v/>
      </c>
      <c r="V47" s="99">
        <f>+L226</f>
        <v/>
      </c>
      <c r="W47" s="99">
        <f>+L227</f>
        <v/>
      </c>
      <c r="X47" s="99">
        <f>+L228</f>
        <v/>
      </c>
      <c r="Y47" s="99">
        <f>+L229</f>
        <v/>
      </c>
      <c r="Z47" s="99">
        <f>+L230</f>
        <v/>
      </c>
      <c r="AA47" s="99">
        <f>+L231</f>
        <v/>
      </c>
      <c r="AD47" s="107" t="n">
        <v>2024</v>
      </c>
      <c r="AE47" s="108">
        <f>+P47</f>
        <v/>
      </c>
      <c r="AF47" s="108">
        <f>+Q47</f>
        <v/>
      </c>
      <c r="AG47" s="108">
        <f>+R47</f>
        <v/>
      </c>
      <c r="AH47" s="108">
        <f>+S47</f>
        <v/>
      </c>
      <c r="AI47" s="108">
        <f>+T47</f>
        <v/>
      </c>
      <c r="AJ47" s="108">
        <f>+U47</f>
        <v/>
      </c>
      <c r="AK47" s="108">
        <f>+V47</f>
        <v/>
      </c>
      <c r="AL47" s="108">
        <f>+W47</f>
        <v/>
      </c>
      <c r="AM47" s="108">
        <f>+X47</f>
        <v/>
      </c>
      <c r="AN47" s="108">
        <f>+Y47</f>
        <v/>
      </c>
      <c r="AO47" s="108">
        <f>+Z47</f>
        <v/>
      </c>
      <c r="AP47" s="108">
        <f>+AA47</f>
        <v/>
      </c>
      <c r="AQ47" s="109">
        <f>+(K231/K219-1)/COUNTA(AE47:AP47)*12</f>
        <v/>
      </c>
      <c r="AR47" s="95" t="n"/>
      <c r="AS47" s="95" t="n"/>
      <c r="BD47" s="112" t="n"/>
      <c r="BE47" s="112" t="n"/>
      <c r="BF47" s="112" t="n"/>
      <c r="BG47" s="112" t="n"/>
      <c r="BH47" s="112" t="n"/>
      <c r="BI47" s="112" t="n"/>
      <c r="BJ47" s="128" t="n"/>
    </row>
    <row r="48" ht="14.25" customHeight="1" s="86">
      <c r="A48" s="103" t="n">
        <v>40086</v>
      </c>
      <c r="B48" s="106" t="n">
        <v>13315.05</v>
      </c>
      <c r="C48" s="99">
        <f>(B48/B47-1)/(A48-A47)*30</f>
        <v/>
      </c>
      <c r="D48" s="105">
        <f>B48/$B$3*100</f>
        <v/>
      </c>
      <c r="E48" s="105" t="n"/>
      <c r="F48" s="105" t="n"/>
      <c r="O48" s="89" t="n">
        <v>2025</v>
      </c>
      <c r="P48" s="99">
        <f>+L232</f>
        <v/>
      </c>
      <c r="AD48" s="107" t="n">
        <v>2025</v>
      </c>
      <c r="AE48" s="108">
        <f>+P48</f>
        <v/>
      </c>
      <c r="AF48" s="108" t="n"/>
      <c r="AG48" s="108" t="n"/>
      <c r="AH48" s="108" t="n"/>
      <c r="AI48" s="108" t="n"/>
      <c r="AJ48" s="108" t="n"/>
      <c r="AK48" s="108" t="n"/>
      <c r="AL48" s="108" t="n"/>
      <c r="AM48" s="108" t="n"/>
      <c r="AN48" s="108" t="n"/>
      <c r="AO48" s="108" t="n"/>
      <c r="AP48" s="108" t="n"/>
      <c r="AQ48" s="109">
        <f>+(K232/K231-1)/COUNTA(AE48:AP48)*12</f>
        <v/>
      </c>
      <c r="AR48" s="95" t="n"/>
      <c r="AS48" s="95" t="n"/>
      <c r="BD48" s="112" t="n"/>
      <c r="BE48" s="112" t="n"/>
      <c r="BF48" s="112" t="n"/>
      <c r="BG48" s="112" t="n"/>
      <c r="BH48" s="112" t="n"/>
      <c r="BI48" s="112" t="n"/>
      <c r="BJ48" s="128" t="n"/>
    </row>
    <row r="49" ht="14.25" customHeight="1" s="86">
      <c r="A49" s="103" t="n">
        <v>40116</v>
      </c>
      <c r="B49" s="106" t="n">
        <v>13319.74</v>
      </c>
      <c r="C49" s="99">
        <f>(B49/B48-1)/(A49-A48)*30</f>
        <v/>
      </c>
      <c r="D49" s="105">
        <f>B49/$B$3*100</f>
        <v/>
      </c>
      <c r="E49" s="105" t="n"/>
      <c r="F49" s="105" t="n"/>
      <c r="AD49" s="111" t="inlineStr">
        <is>
          <t>(*) Acum a Mar</t>
        </is>
      </c>
      <c r="AE49" s="95" t="n"/>
      <c r="AF49" s="95" t="n"/>
      <c r="AG49" s="95" t="n"/>
      <c r="AH49" s="95" t="n"/>
      <c r="AI49" s="95" t="n"/>
      <c r="AJ49" s="95" t="n"/>
      <c r="AK49" s="95" t="n"/>
      <c r="AL49" s="95" t="n"/>
      <c r="AM49" s="95" t="n"/>
      <c r="AN49" s="95" t="n"/>
      <c r="AO49" s="95" t="n"/>
      <c r="AP49" s="95" t="n"/>
      <c r="AQ49" s="95" t="n"/>
      <c r="AR49" s="95" t="n"/>
      <c r="AS49" s="95" t="n"/>
      <c r="BD49" s="112" t="n"/>
      <c r="BE49" s="112" t="n"/>
      <c r="BF49" s="112" t="n"/>
      <c r="BG49" s="112" t="n"/>
      <c r="BH49" s="112" t="n"/>
      <c r="BI49" s="112" t="n"/>
      <c r="BJ49" s="128" t="n"/>
      <c r="BK49" s="129" t="n"/>
    </row>
    <row r="50" ht="14.25" customHeight="1" s="86">
      <c r="A50" s="103" t="n">
        <v>40147</v>
      </c>
      <c r="B50" s="106" t="n">
        <v>13324.51</v>
      </c>
      <c r="C50" s="99">
        <f>(B50/B49-1)/(A50-A49)*30</f>
        <v/>
      </c>
      <c r="D50" s="105">
        <f>B50/$B$3*100</f>
        <v/>
      </c>
      <c r="E50" s="105" t="n"/>
      <c r="F50" s="105" t="n"/>
      <c r="AD50" s="111" t="n"/>
      <c r="AE50" s="95" t="n"/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95" t="n"/>
      <c r="AP50" s="95" t="n"/>
      <c r="AQ50" s="95" t="n"/>
      <c r="AR50" s="95" t="n"/>
      <c r="AS50" s="95" t="n"/>
      <c r="BD50" s="112" t="n"/>
      <c r="BE50" s="112" t="n"/>
      <c r="BF50" s="112" t="n"/>
      <c r="BG50" s="112" t="n"/>
      <c r="BH50" s="112" t="n"/>
      <c r="BI50" s="112" t="n"/>
      <c r="BJ50" s="128" t="n"/>
      <c r="BK50" s="129" t="n"/>
    </row>
    <row r="51" ht="14.25" customHeight="1" s="86">
      <c r="A51" s="103" t="n">
        <v>40178</v>
      </c>
      <c r="B51" s="106" t="n">
        <v>13329.5</v>
      </c>
      <c r="C51" s="99">
        <f>(B51/B50-1)/(A51-A50)*30</f>
        <v/>
      </c>
      <c r="D51" s="105">
        <f>B51/$B$3*100</f>
        <v/>
      </c>
      <c r="E51" s="105" t="n"/>
      <c r="F51" s="105" t="n"/>
      <c r="AD51" s="111" t="n"/>
      <c r="AE51" s="95" t="n"/>
      <c r="AF51" s="95" t="n"/>
      <c r="AG51" s="95" t="n"/>
      <c r="AH51" s="95" t="n"/>
      <c r="AI51" s="95" t="n"/>
      <c r="AJ51" s="95" t="n"/>
      <c r="AK51" s="95" t="n"/>
      <c r="AL51" s="95" t="n"/>
      <c r="AM51" s="95" t="n"/>
      <c r="AN51" s="95" t="n"/>
      <c r="AO51" s="95" t="n"/>
      <c r="AP51" s="95" t="n"/>
      <c r="AQ51" s="95" t="n"/>
      <c r="AR51" s="95" t="n"/>
      <c r="AS51" s="95" t="n"/>
    </row>
    <row r="52" ht="14.25" customHeight="1" s="86">
      <c r="A52" s="103" t="n">
        <v>40207</v>
      </c>
      <c r="B52" s="106" t="n">
        <v>13334.25</v>
      </c>
      <c r="C52" s="99">
        <f>(B52/B51-1)/(A52-A51)*30</f>
        <v/>
      </c>
      <c r="D52" s="105">
        <f>B52/$B$3*100</f>
        <v/>
      </c>
      <c r="E52" s="105" t="n"/>
      <c r="F52" s="105" t="n"/>
      <c r="AD52" s="111" t="n"/>
      <c r="AE52" s="95" t="n"/>
      <c r="AF52" s="95" t="n"/>
      <c r="AG52" s="95" t="n"/>
      <c r="AH52" s="95" t="n"/>
      <c r="AI52" s="95" t="n"/>
      <c r="AJ52" s="95" t="n"/>
      <c r="AK52" s="95" t="n"/>
      <c r="AL52" s="95" t="n"/>
      <c r="AM52" s="95" t="n"/>
      <c r="AN52" s="95" t="n"/>
      <c r="AO52" s="95" t="n"/>
      <c r="AP52" s="95" t="n"/>
      <c r="AQ52" s="95" t="n"/>
      <c r="AR52" s="95" t="n"/>
      <c r="AS52" s="95" t="n"/>
    </row>
    <row r="53" ht="14.25" customHeight="1" s="86">
      <c r="A53" s="103" t="n">
        <v>40235</v>
      </c>
      <c r="B53" s="106" t="n">
        <v>13338.53</v>
      </c>
      <c r="C53" s="99">
        <f>(B53/B52-1)/(A53-A52)*30</f>
        <v/>
      </c>
      <c r="D53" s="105">
        <f>B53/$B$3*100</f>
        <v/>
      </c>
      <c r="E53" s="105" t="n"/>
      <c r="F53" s="105" t="n"/>
      <c r="AC53" s="130" t="inlineStr">
        <is>
          <t>Año</t>
        </is>
      </c>
      <c r="AD53" s="131" t="inlineStr">
        <is>
          <t>Fondo</t>
        </is>
      </c>
      <c r="AE53" s="131" t="inlineStr">
        <is>
          <t>Ene</t>
        </is>
      </c>
      <c r="AF53" s="131" t="inlineStr">
        <is>
          <t>Feb</t>
        </is>
      </c>
      <c r="AG53" s="131" t="inlineStr">
        <is>
          <t>Mar</t>
        </is>
      </c>
      <c r="AH53" s="131" t="inlineStr">
        <is>
          <t>Abr</t>
        </is>
      </c>
      <c r="AI53" s="131" t="inlineStr">
        <is>
          <t>May</t>
        </is>
      </c>
      <c r="AJ53" s="131" t="inlineStr">
        <is>
          <t>Jun</t>
        </is>
      </c>
      <c r="AK53" s="131" t="inlineStr">
        <is>
          <t>Jul</t>
        </is>
      </c>
      <c r="AL53" s="131" t="inlineStr">
        <is>
          <t>Ago</t>
        </is>
      </c>
      <c r="AM53" s="131" t="inlineStr">
        <is>
          <t>Sep</t>
        </is>
      </c>
      <c r="AN53" s="131" t="inlineStr">
        <is>
          <t>Oct</t>
        </is>
      </c>
      <c r="AO53" s="131" t="inlineStr">
        <is>
          <t>Nov</t>
        </is>
      </c>
      <c r="AP53" s="131" t="inlineStr">
        <is>
          <t>Dic</t>
        </is>
      </c>
      <c r="AQ53" s="131" t="inlineStr">
        <is>
          <t>Total Año</t>
        </is>
      </c>
      <c r="AR53" s="95" t="n"/>
      <c r="AS53" s="95" t="n"/>
    </row>
    <row r="54" ht="14.25" customHeight="1" s="86">
      <c r="A54" s="103" t="n">
        <v>40268</v>
      </c>
      <c r="B54" s="106" t="n">
        <v>13343.79</v>
      </c>
      <c r="C54" s="99">
        <f>(B54/B53-1)/(A54-A53)*30</f>
        <v/>
      </c>
      <c r="D54" s="105">
        <f>B54/$B$3*100</f>
        <v/>
      </c>
      <c r="E54" s="105" t="n"/>
      <c r="F54" s="105" t="n"/>
      <c r="AC54" s="132" t="n">
        <v>2013</v>
      </c>
      <c r="AD54" s="132" t="inlineStr">
        <is>
          <t>ICP</t>
        </is>
      </c>
      <c r="AE54" s="133">
        <f>AE9</f>
        <v/>
      </c>
      <c r="AF54" s="133">
        <f>AF9</f>
        <v/>
      </c>
      <c r="AG54" s="133">
        <f>AG9</f>
        <v/>
      </c>
      <c r="AH54" s="133">
        <f>AH9</f>
        <v/>
      </c>
      <c r="AI54" s="133">
        <f>AI9</f>
        <v/>
      </c>
      <c r="AJ54" s="133">
        <f>AJ9</f>
        <v/>
      </c>
      <c r="AK54" s="133">
        <f>AK9</f>
        <v/>
      </c>
      <c r="AL54" s="133">
        <f>AL9</f>
        <v/>
      </c>
      <c r="AM54" s="133">
        <f>AM9</f>
        <v/>
      </c>
      <c r="AN54" s="133">
        <f>AN9</f>
        <v/>
      </c>
      <c r="AO54" s="133">
        <f>AO9</f>
        <v/>
      </c>
      <c r="AP54" s="133">
        <f>AP9</f>
        <v/>
      </c>
      <c r="AQ54" s="134">
        <f>AQ9</f>
        <v/>
      </c>
      <c r="AR54" s="95" t="n"/>
      <c r="AS54" s="95" t="n"/>
    </row>
    <row r="55" ht="14.25" customHeight="1" s="86">
      <c r="A55" s="103" t="n">
        <v>40298</v>
      </c>
      <c r="B55" s="106" t="n">
        <v>13348.63</v>
      </c>
      <c r="C55" s="99">
        <f>(B55/B54-1)/(A55-A54)*30</f>
        <v/>
      </c>
      <c r="D55" s="105">
        <f>B55/$B$3*100</f>
        <v/>
      </c>
      <c r="E55" s="105" t="n"/>
      <c r="F55" s="105" t="n"/>
      <c r="AC55" s="135" t="n">
        <v>2014</v>
      </c>
      <c r="AD55" s="135" t="inlineStr">
        <is>
          <t>ICP</t>
        </is>
      </c>
      <c r="AE55" s="136">
        <f>AE10</f>
        <v/>
      </c>
      <c r="AF55" s="136">
        <f>AF10</f>
        <v/>
      </c>
      <c r="AG55" s="136">
        <f>AG10</f>
        <v/>
      </c>
      <c r="AH55" s="136">
        <f>AH10</f>
        <v/>
      </c>
      <c r="AI55" s="136">
        <f>AI10</f>
        <v/>
      </c>
      <c r="AJ55" s="136">
        <f>AJ10</f>
        <v/>
      </c>
      <c r="AK55" s="136">
        <f>AK10</f>
        <v/>
      </c>
      <c r="AL55" s="136">
        <f>AL10</f>
        <v/>
      </c>
      <c r="AM55" s="136">
        <f>AM10</f>
        <v/>
      </c>
      <c r="AN55" s="136">
        <f>AN10</f>
        <v/>
      </c>
      <c r="AO55" s="136">
        <f>AO10</f>
        <v/>
      </c>
      <c r="AP55" s="136">
        <f>AP10</f>
        <v/>
      </c>
      <c r="AQ55" s="137">
        <f>AQ10</f>
        <v/>
      </c>
      <c r="AR55" s="138" t="n"/>
      <c r="AS55" s="95" t="n"/>
    </row>
    <row r="56" ht="14.25" customHeight="1" s="86">
      <c r="A56" s="103" t="n">
        <v>40329</v>
      </c>
      <c r="B56" s="106" t="n">
        <v>13353.5</v>
      </c>
      <c r="C56" s="99">
        <f>(B56/B55-1)/(A56-A55)*30</f>
        <v/>
      </c>
      <c r="D56" s="105">
        <f>B56/$B$3*100</f>
        <v/>
      </c>
      <c r="E56" s="105" t="n"/>
      <c r="F56" s="105" t="n"/>
      <c r="AC56" s="132" t="n">
        <v>2015</v>
      </c>
      <c r="AD56" s="132" t="inlineStr">
        <is>
          <t>ICP</t>
        </is>
      </c>
      <c r="AE56" s="133">
        <f>AE11</f>
        <v/>
      </c>
      <c r="AF56" s="133">
        <f>AF11</f>
        <v/>
      </c>
      <c r="AG56" s="133">
        <f>AG11</f>
        <v/>
      </c>
      <c r="AH56" s="133">
        <f>AH11</f>
        <v/>
      </c>
      <c r="AI56" s="133">
        <f>AI11</f>
        <v/>
      </c>
      <c r="AJ56" s="133">
        <f>AJ11</f>
        <v/>
      </c>
      <c r="AK56" s="133">
        <f>AK11</f>
        <v/>
      </c>
      <c r="AL56" s="133">
        <f>AL11</f>
        <v/>
      </c>
      <c r="AM56" s="133">
        <f>AM11</f>
        <v/>
      </c>
      <c r="AN56" s="133">
        <f>AN11</f>
        <v/>
      </c>
      <c r="AO56" s="133">
        <f>AO11</f>
        <v/>
      </c>
      <c r="AP56" s="133">
        <f>AP11</f>
        <v/>
      </c>
      <c r="AQ56" s="134">
        <f>AQ11</f>
        <v/>
      </c>
      <c r="AR56" s="95" t="n"/>
      <c r="AS56" s="95" t="n"/>
    </row>
    <row r="57" ht="14.25" customHeight="1" s="86">
      <c r="A57" s="103" t="n">
        <v>40359</v>
      </c>
      <c r="B57" s="106" t="n">
        <v>13360.9</v>
      </c>
      <c r="C57" s="99">
        <f>(B57/B56-1)/(A57-A56)*30</f>
        <v/>
      </c>
      <c r="D57" s="105">
        <f>B57/$B$3*100</f>
        <v/>
      </c>
      <c r="E57" s="105" t="n"/>
      <c r="F57" s="105" t="n"/>
      <c r="AC57" s="135" t="n">
        <v>2016</v>
      </c>
      <c r="AD57" s="135" t="inlineStr">
        <is>
          <t>ICP</t>
        </is>
      </c>
      <c r="AE57" s="136">
        <f>AE12</f>
        <v/>
      </c>
      <c r="AF57" s="136">
        <f>AF12</f>
        <v/>
      </c>
      <c r="AG57" s="136">
        <f>AG12</f>
        <v/>
      </c>
      <c r="AH57" s="136">
        <f>AH12</f>
        <v/>
      </c>
      <c r="AI57" s="136">
        <f>AI12</f>
        <v/>
      </c>
      <c r="AJ57" s="136">
        <f>AJ12</f>
        <v/>
      </c>
      <c r="AK57" s="136">
        <f>AK12</f>
        <v/>
      </c>
      <c r="AL57" s="136">
        <f>AL12</f>
        <v/>
      </c>
      <c r="AM57" s="136">
        <f>AM12</f>
        <v/>
      </c>
      <c r="AN57" s="136">
        <f>AN12</f>
        <v/>
      </c>
      <c r="AO57" s="136">
        <f>AO12</f>
        <v/>
      </c>
      <c r="AP57" s="136">
        <f>AP12</f>
        <v/>
      </c>
      <c r="AQ57" s="137">
        <f>AQ12</f>
        <v/>
      </c>
      <c r="AR57" s="95" t="n"/>
      <c r="AS57" s="95" t="n"/>
    </row>
    <row r="58" ht="14.25" customHeight="1" s="86">
      <c r="A58" s="103" t="n">
        <v>40389</v>
      </c>
      <c r="B58" s="106" t="n">
        <v>13373.99</v>
      </c>
      <c r="C58" s="99">
        <f>(B58/B57-1)/(A58-A57)*30</f>
        <v/>
      </c>
      <c r="D58" s="105">
        <f>B58/$B$3*100</f>
        <v/>
      </c>
      <c r="E58" s="105" t="n"/>
      <c r="F58" s="105" t="n"/>
      <c r="AC58" s="139" t="n">
        <v>2017</v>
      </c>
      <c r="AD58" s="132" t="inlineStr">
        <is>
          <t>ICP</t>
        </is>
      </c>
      <c r="AE58" s="133">
        <f>+AE13</f>
        <v/>
      </c>
      <c r="AF58" s="133">
        <f>+AF13</f>
        <v/>
      </c>
      <c r="AG58" s="133">
        <f>+AG13</f>
        <v/>
      </c>
      <c r="AH58" s="133">
        <f>+AH13</f>
        <v/>
      </c>
      <c r="AI58" s="133">
        <f>+AI13</f>
        <v/>
      </c>
      <c r="AJ58" s="133">
        <f>+AJ13</f>
        <v/>
      </c>
      <c r="AK58" s="133">
        <f>+AK13</f>
        <v/>
      </c>
      <c r="AL58" s="133">
        <f>+AL13</f>
        <v/>
      </c>
      <c r="AM58" s="133">
        <f>+AM13</f>
        <v/>
      </c>
      <c r="AN58" s="133">
        <f>+AN13</f>
        <v/>
      </c>
      <c r="AO58" s="133">
        <f>+AO13</f>
        <v/>
      </c>
      <c r="AP58" s="133">
        <f>+AP13</f>
        <v/>
      </c>
      <c r="AQ58" s="134">
        <f>+AQ40</f>
        <v/>
      </c>
      <c r="AR58" s="95" t="n"/>
      <c r="AS58" s="95" t="n"/>
    </row>
    <row r="59" ht="14.25" customHeight="1" s="86">
      <c r="A59" s="103" t="n">
        <v>40421</v>
      </c>
      <c r="B59" s="106" t="n">
        <v>13395.21</v>
      </c>
      <c r="C59" s="99">
        <f>(B59/B58-1)/(A59-A58)*30</f>
        <v/>
      </c>
      <c r="D59" s="105">
        <f>B59/$B$3*100</f>
        <v/>
      </c>
      <c r="E59" s="105" t="n"/>
      <c r="F59" s="105" t="n"/>
      <c r="AD59" s="132" t="inlineStr">
        <is>
          <t>Competencia</t>
        </is>
      </c>
      <c r="AE59" s="133">
        <f>+AE40</f>
        <v/>
      </c>
      <c r="AF59" s="133">
        <f>+AF40</f>
        <v/>
      </c>
      <c r="AG59" s="133">
        <f>+AG40</f>
        <v/>
      </c>
      <c r="AH59" s="133">
        <f>+AH40</f>
        <v/>
      </c>
      <c r="AI59" s="133">
        <f>+AI40</f>
        <v/>
      </c>
      <c r="AJ59" s="133">
        <f>+AJ40</f>
        <v/>
      </c>
      <c r="AK59" s="133">
        <f>+AK40</f>
        <v/>
      </c>
      <c r="AL59" s="133">
        <f>+AL40</f>
        <v/>
      </c>
      <c r="AM59" s="133">
        <f>+AM40</f>
        <v/>
      </c>
      <c r="AN59" s="133">
        <f>+AN40</f>
        <v/>
      </c>
      <c r="AO59" s="133">
        <f>+AO40</f>
        <v/>
      </c>
      <c r="AP59" s="133">
        <f>+AP40</f>
        <v/>
      </c>
      <c r="AQ59" s="134">
        <f>+AQ40</f>
        <v/>
      </c>
      <c r="AR59" s="138" t="n"/>
      <c r="AS59" s="95" t="n"/>
    </row>
    <row r="60" ht="14.25" customHeight="1" s="86">
      <c r="A60" s="103" t="n">
        <v>40451</v>
      </c>
      <c r="B60" s="106" t="n">
        <v>13419.79</v>
      </c>
      <c r="C60" s="99">
        <f>(B60/B59-1)/(A60-A59)*30</f>
        <v/>
      </c>
      <c r="D60" s="105">
        <f>B60/$B$3*100</f>
        <v/>
      </c>
      <c r="E60" s="105" t="n"/>
      <c r="F60" s="105" t="n"/>
      <c r="AD60" s="132" t="inlineStr">
        <is>
          <t>FIP Monetario</t>
        </is>
      </c>
      <c r="AE60" s="133" t="n"/>
      <c r="AF60" s="133" t="n"/>
      <c r="AG60" s="133" t="n"/>
      <c r="AH60" s="133" t="n"/>
      <c r="AI60" s="133" t="n"/>
      <c r="AJ60" s="133" t="n"/>
      <c r="AK60" s="133" t="n"/>
      <c r="AL60" s="133" t="n"/>
      <c r="AM60" s="133" t="n"/>
      <c r="AN60" s="133" t="n"/>
      <c r="AO60" s="133" t="n"/>
      <c r="AP60" s="133" t="n"/>
      <c r="AQ60" s="134" t="n"/>
      <c r="AR60" s="138" t="n"/>
      <c r="AS60" s="95" t="n"/>
    </row>
    <row r="61" ht="14.25" customHeight="1" s="86">
      <c r="A61" s="103" t="n">
        <v>40480</v>
      </c>
      <c r="B61" s="106" t="n">
        <v>13448.69</v>
      </c>
      <c r="C61" s="99">
        <f>(B61/B60-1)/(A61-A60)*30</f>
        <v/>
      </c>
      <c r="D61" s="105">
        <f>B61/$B$3*100</f>
        <v/>
      </c>
      <c r="E61" s="105" t="n"/>
      <c r="F61" s="105" t="n"/>
      <c r="AC61" s="140" t="n">
        <v>2018</v>
      </c>
      <c r="AD61" s="135" t="inlineStr">
        <is>
          <t>ICP</t>
        </is>
      </c>
      <c r="AE61" s="136">
        <f>+AE14</f>
        <v/>
      </c>
      <c r="AF61" s="136">
        <f>+AF14</f>
        <v/>
      </c>
      <c r="AG61" s="136">
        <f>+AG14</f>
        <v/>
      </c>
      <c r="AH61" s="136">
        <f>+AH14</f>
        <v/>
      </c>
      <c r="AI61" s="136">
        <f>+AI14</f>
        <v/>
      </c>
      <c r="AJ61" s="136">
        <f>+AJ14</f>
        <v/>
      </c>
      <c r="AK61" s="136">
        <f>+AK14</f>
        <v/>
      </c>
      <c r="AL61" s="136">
        <f>+AL14</f>
        <v/>
      </c>
      <c r="AM61" s="136">
        <f>+AM14</f>
        <v/>
      </c>
      <c r="AN61" s="136">
        <f>+AN14</f>
        <v/>
      </c>
      <c r="AO61" s="136">
        <f>+AO14</f>
        <v/>
      </c>
      <c r="AP61" s="136">
        <f>+AP14</f>
        <v/>
      </c>
      <c r="AQ61" s="137">
        <f>+AQ14</f>
        <v/>
      </c>
      <c r="AR61" s="138" t="n"/>
    </row>
    <row r="62" ht="14.25" customHeight="1" s="86">
      <c r="A62" s="103" t="n">
        <v>40512</v>
      </c>
      <c r="B62" s="106" t="n">
        <v>13483.02</v>
      </c>
      <c r="C62" s="99">
        <f>(B62/B61-1)/(A62-A61)*30</f>
        <v/>
      </c>
      <c r="D62" s="105">
        <f>B62/$B$3*100</f>
        <v/>
      </c>
      <c r="E62" s="105" t="n"/>
      <c r="F62" s="105" t="n"/>
      <c r="AD62" s="135" t="inlineStr">
        <is>
          <t>Competencia</t>
        </is>
      </c>
      <c r="AE62" s="136">
        <f>+AE41</f>
        <v/>
      </c>
      <c r="AF62" s="136">
        <f>+AF41</f>
        <v/>
      </c>
      <c r="AG62" s="136">
        <f>+AG41</f>
        <v/>
      </c>
      <c r="AH62" s="136">
        <f>+AH41</f>
        <v/>
      </c>
      <c r="AI62" s="136">
        <f>+AI41</f>
        <v/>
      </c>
      <c r="AJ62" s="136">
        <f>+AJ41</f>
        <v/>
      </c>
      <c r="AK62" s="136">
        <f>+AK41</f>
        <v/>
      </c>
      <c r="AL62" s="136">
        <f>+AL41</f>
        <v/>
      </c>
      <c r="AM62" s="136">
        <f>+AM41</f>
        <v/>
      </c>
      <c r="AN62" s="136">
        <f>+AN41</f>
        <v/>
      </c>
      <c r="AO62" s="136">
        <f>+AO41</f>
        <v/>
      </c>
      <c r="AP62" s="136">
        <f>+AP41</f>
        <v/>
      </c>
      <c r="AQ62" s="137">
        <f>+AQ41</f>
        <v/>
      </c>
      <c r="AR62" s="138" t="n"/>
    </row>
    <row r="63" ht="14.25" customHeight="1" s="86">
      <c r="A63" s="103" t="n">
        <v>40543</v>
      </c>
      <c r="B63" s="106" t="n">
        <v>13522.93</v>
      </c>
      <c r="C63" s="99">
        <f>(B63/B62-1)/(A63-A62)*30</f>
        <v/>
      </c>
      <c r="D63" s="105">
        <f>B63/$B$3*100</f>
        <v/>
      </c>
      <c r="E63" s="105" t="n"/>
      <c r="F63" s="105" t="n"/>
      <c r="AD63" s="135" t="inlineStr">
        <is>
          <t>FIP Monetario</t>
        </is>
      </c>
      <c r="AE63" s="136" t="n"/>
      <c r="AF63" s="136" t="n"/>
      <c r="AG63" s="136" t="n"/>
      <c r="AH63" s="136" t="n"/>
      <c r="AI63" s="136" t="n"/>
      <c r="AJ63" s="136" t="n"/>
      <c r="AK63" s="136">
        <f>+AK29</f>
        <v/>
      </c>
      <c r="AL63" s="136">
        <f>+AL29</f>
        <v/>
      </c>
      <c r="AM63" s="136">
        <f>+AM29</f>
        <v/>
      </c>
      <c r="AN63" s="136">
        <f>+AN29</f>
        <v/>
      </c>
      <c r="AO63" s="136">
        <f>+AO29</f>
        <v/>
      </c>
      <c r="AP63" s="136">
        <f>+AP29</f>
        <v/>
      </c>
      <c r="AQ63" s="137">
        <f>+AQ29</f>
        <v/>
      </c>
      <c r="AR63" s="95" t="n"/>
    </row>
    <row r="64" ht="14.25" customHeight="1" s="86">
      <c r="A64" s="103" t="n">
        <v>40574</v>
      </c>
      <c r="B64" s="106" t="n">
        <v>13557.12</v>
      </c>
      <c r="C64" s="99">
        <f>(B64/B63-1)/(A64-A63)*30</f>
        <v/>
      </c>
      <c r="D64" s="105">
        <f>B64/$B$3*100</f>
        <v/>
      </c>
      <c r="E64" s="105" t="n"/>
      <c r="F64" s="105" t="n"/>
      <c r="AC64" s="139" t="n">
        <v>2019</v>
      </c>
      <c r="AD64" s="132" t="inlineStr">
        <is>
          <t>ICP</t>
        </is>
      </c>
      <c r="AE64" s="133">
        <f>+AE15</f>
        <v/>
      </c>
      <c r="AF64" s="133">
        <f>+AF15</f>
        <v/>
      </c>
      <c r="AG64" s="133">
        <f>+AG15</f>
        <v/>
      </c>
      <c r="AH64" s="133">
        <f>+AH15</f>
        <v/>
      </c>
      <c r="AI64" s="133">
        <f>+AI15</f>
        <v/>
      </c>
      <c r="AJ64" s="133">
        <f>+AJ15</f>
        <v/>
      </c>
      <c r="AK64" s="133">
        <f>+AK15</f>
        <v/>
      </c>
      <c r="AL64" s="133">
        <f>+AL15</f>
        <v/>
      </c>
      <c r="AM64" s="133">
        <f>+AM15</f>
        <v/>
      </c>
      <c r="AN64" s="133">
        <f>+AN15</f>
        <v/>
      </c>
      <c r="AO64" s="133">
        <f>+AO15</f>
        <v/>
      </c>
      <c r="AP64" s="133">
        <f>+AP15</f>
        <v/>
      </c>
      <c r="AQ64" s="134">
        <f>+AQ15</f>
        <v/>
      </c>
      <c r="AR64" s="95" t="n"/>
    </row>
    <row r="65" ht="14.25" customFormat="1" customHeight="1" s="90">
      <c r="A65" s="103" t="n">
        <v>40602</v>
      </c>
      <c r="B65" s="106" t="n">
        <v>13592.3</v>
      </c>
      <c r="C65" s="99">
        <f>(B65/B64-1)/(A65-A64)*30</f>
        <v/>
      </c>
      <c r="D65" s="105">
        <f>B65/$B$3*100</f>
        <v/>
      </c>
      <c r="E65" s="105" t="n"/>
      <c r="F65" s="105" t="n"/>
      <c r="I65" s="91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  <c r="AA65" s="89" t="n"/>
      <c r="AB65" s="89" t="n"/>
      <c r="AD65" s="132" t="inlineStr">
        <is>
          <t>Competencia</t>
        </is>
      </c>
      <c r="AE65" s="133">
        <f>+AE42</f>
        <v/>
      </c>
      <c r="AF65" s="133">
        <f>+AF42</f>
        <v/>
      </c>
      <c r="AG65" s="133">
        <f>+AG42</f>
        <v/>
      </c>
      <c r="AH65" s="133">
        <f>+AH42</f>
        <v/>
      </c>
      <c r="AI65" s="133">
        <f>+AI42</f>
        <v/>
      </c>
      <c r="AJ65" s="133">
        <f>+AJ42</f>
        <v/>
      </c>
      <c r="AK65" s="133">
        <f>+AK42</f>
        <v/>
      </c>
      <c r="AL65" s="133">
        <f>+AL42</f>
        <v/>
      </c>
      <c r="AM65" s="133">
        <f>+AM42</f>
        <v/>
      </c>
      <c r="AN65" s="133">
        <f>+AN42</f>
        <v/>
      </c>
      <c r="AO65" s="133">
        <f>+AO42</f>
        <v/>
      </c>
      <c r="AP65" s="133">
        <f>+AP42</f>
        <v/>
      </c>
      <c r="AQ65" s="134">
        <f>+AQ42</f>
        <v/>
      </c>
      <c r="AR65" s="95" t="n"/>
      <c r="AS65" s="89" t="n"/>
    </row>
    <row r="66" ht="14.25" customFormat="1" customHeight="1" s="90">
      <c r="A66" s="103" t="n">
        <v>40633</v>
      </c>
      <c r="B66" s="106" t="n">
        <v>13635.91</v>
      </c>
      <c r="C66" s="99">
        <f>(B66/B65-1)/(A66-A65)*30</f>
        <v/>
      </c>
      <c r="D66" s="105">
        <f>B66/$B$3*100</f>
        <v/>
      </c>
      <c r="E66" s="105" t="n"/>
      <c r="F66" s="105" t="n"/>
      <c r="I66" s="91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  <c r="AD66" s="132" t="inlineStr">
        <is>
          <t>FIP Monetario</t>
        </is>
      </c>
      <c r="AE66" s="133">
        <f>+AE30</f>
        <v/>
      </c>
      <c r="AF66" s="133">
        <f>+AF30</f>
        <v/>
      </c>
      <c r="AG66" s="133">
        <f>+AG30</f>
        <v/>
      </c>
      <c r="AH66" s="133">
        <f>+AH30</f>
        <v/>
      </c>
      <c r="AI66" s="133">
        <f>+AI30</f>
        <v/>
      </c>
      <c r="AJ66" s="133">
        <f>+AJ30</f>
        <v/>
      </c>
      <c r="AK66" s="133">
        <f>+AK30</f>
        <v/>
      </c>
      <c r="AL66" s="133">
        <f>+AL30</f>
        <v/>
      </c>
      <c r="AM66" s="133">
        <f>+AM30</f>
        <v/>
      </c>
      <c r="AN66" s="133">
        <f>+AN30</f>
        <v/>
      </c>
      <c r="AO66" s="133">
        <f>+AO30</f>
        <v/>
      </c>
      <c r="AP66" s="133">
        <f>+AP30</f>
        <v/>
      </c>
      <c r="AQ66" s="134">
        <f>+AQ30</f>
        <v/>
      </c>
      <c r="AR66" s="95" t="n"/>
      <c r="AS66" s="89" t="n"/>
    </row>
    <row r="67" ht="14.25" customFormat="1" customHeight="1" s="90">
      <c r="A67" s="103" t="n">
        <v>40662</v>
      </c>
      <c r="B67" s="106" t="n">
        <v>13682.94</v>
      </c>
      <c r="C67" s="99">
        <f>(B67/B66-1)/(A67-A66)*30</f>
        <v/>
      </c>
      <c r="D67" s="105">
        <f>B67/$B$3*100</f>
        <v/>
      </c>
      <c r="E67" s="105" t="n"/>
      <c r="F67" s="105" t="n"/>
      <c r="I67" s="91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  <c r="AC67" s="139" t="n">
        <v>2020</v>
      </c>
      <c r="AD67" s="132" t="inlineStr">
        <is>
          <t>ICP</t>
        </is>
      </c>
      <c r="AE67" s="133">
        <f>+AE16</f>
        <v/>
      </c>
      <c r="AF67" s="133">
        <f>+AF16</f>
        <v/>
      </c>
      <c r="AG67" s="133">
        <f>+AG16</f>
        <v/>
      </c>
      <c r="AH67" s="133">
        <f>+AH16</f>
        <v/>
      </c>
      <c r="AI67" s="133">
        <f>+AI16</f>
        <v/>
      </c>
      <c r="AJ67" s="133">
        <f>+AJ16</f>
        <v/>
      </c>
      <c r="AK67" s="133">
        <f>+AK16</f>
        <v/>
      </c>
      <c r="AL67" s="133">
        <f>+AL16</f>
        <v/>
      </c>
      <c r="AM67" s="133">
        <f>+AM16</f>
        <v/>
      </c>
      <c r="AN67" s="133">
        <f>+AN16</f>
        <v/>
      </c>
      <c r="AO67" s="133">
        <f>+AO16</f>
        <v/>
      </c>
      <c r="AP67" s="133">
        <f>+AP16</f>
        <v/>
      </c>
      <c r="AQ67" s="134">
        <f>+AQ16</f>
        <v/>
      </c>
      <c r="AR67" s="95" t="n"/>
      <c r="AS67" s="89" t="n"/>
    </row>
    <row r="68" ht="14.25" customFormat="1" customHeight="1" s="90">
      <c r="A68" s="103" t="n">
        <v>40694</v>
      </c>
      <c r="B68" s="106" t="n">
        <v>13741.06</v>
      </c>
      <c r="C68" s="99">
        <f>(B68/B67-1)/(A68-A67)*30</f>
        <v/>
      </c>
      <c r="D68" s="105">
        <f>B68/$B$3*100</f>
        <v/>
      </c>
      <c r="E68" s="105" t="n"/>
      <c r="F68" s="105" t="n"/>
      <c r="I68" s="91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  <c r="AB68" s="89" t="n"/>
      <c r="AD68" s="132" t="inlineStr">
        <is>
          <t>Competencia</t>
        </is>
      </c>
      <c r="AE68" s="133">
        <f>+AE43</f>
        <v/>
      </c>
      <c r="AF68" s="133">
        <f>+AF43</f>
        <v/>
      </c>
      <c r="AG68" s="133">
        <f>+AG43</f>
        <v/>
      </c>
      <c r="AH68" s="133">
        <f>+AH43</f>
        <v/>
      </c>
      <c r="AI68" s="133">
        <f>+AI43</f>
        <v/>
      </c>
      <c r="AJ68" s="133">
        <f>+AJ43</f>
        <v/>
      </c>
      <c r="AK68" s="133">
        <f>+AK43</f>
        <v/>
      </c>
      <c r="AL68" s="133">
        <f>+AL43</f>
        <v/>
      </c>
      <c r="AM68" s="133">
        <f>+AM43</f>
        <v/>
      </c>
      <c r="AN68" s="133">
        <f>+AN43</f>
        <v/>
      </c>
      <c r="AO68" s="133">
        <f>+AO43</f>
        <v/>
      </c>
      <c r="AP68" s="133">
        <f>+AP43</f>
        <v/>
      </c>
      <c r="AQ68" s="134">
        <f>+AQ43</f>
        <v/>
      </c>
      <c r="AR68" s="89" t="n"/>
      <c r="AS68" s="89" t="n"/>
    </row>
    <row r="69" ht="14.25" customFormat="1" customHeight="1" s="90">
      <c r="A69" s="103" t="n">
        <v>40724</v>
      </c>
      <c r="B69" s="106" t="n">
        <v>13799.74</v>
      </c>
      <c r="C69" s="99">
        <f>(B69/B68-1)/(A69-A68)*30</f>
        <v/>
      </c>
      <c r="D69" s="105">
        <f>B69/$B$3*100</f>
        <v/>
      </c>
      <c r="E69" s="105" t="n"/>
      <c r="F69" s="105" t="n"/>
      <c r="I69" s="91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  <c r="AD69" s="132" t="inlineStr">
        <is>
          <t>FIP Monetario</t>
        </is>
      </c>
      <c r="AE69" s="133">
        <f>+AE31</f>
        <v/>
      </c>
      <c r="AF69" s="133">
        <f>+AF31</f>
        <v/>
      </c>
      <c r="AG69" s="133">
        <f>+AG31</f>
        <v/>
      </c>
      <c r="AH69" s="133">
        <f>+AH31</f>
        <v/>
      </c>
      <c r="AI69" s="133">
        <f>+AI31</f>
        <v/>
      </c>
      <c r="AJ69" s="133">
        <f>+AJ31</f>
        <v/>
      </c>
      <c r="AK69" s="133">
        <f>+AK31</f>
        <v/>
      </c>
      <c r="AL69" s="133">
        <f>+AL31</f>
        <v/>
      </c>
      <c r="AM69" s="133">
        <f>+AM31</f>
        <v/>
      </c>
      <c r="AN69" s="133">
        <f>+AN31</f>
        <v/>
      </c>
      <c r="AO69" s="133">
        <f>+AO31</f>
        <v/>
      </c>
      <c r="AP69" s="133">
        <f>+AP31</f>
        <v/>
      </c>
      <c r="AQ69" s="134">
        <f>+AQ31</f>
        <v/>
      </c>
      <c r="AR69" s="89" t="n"/>
      <c r="AS69" s="89" t="n"/>
    </row>
    <row r="70" ht="14.25" customFormat="1" customHeight="1" s="90">
      <c r="A70" s="103" t="n">
        <v>40753</v>
      </c>
      <c r="B70" s="106" t="n">
        <v>13858.14</v>
      </c>
      <c r="C70" s="99">
        <f>(B70/B69-1)/(A70-A69)*30</f>
        <v/>
      </c>
      <c r="D70" s="105">
        <f>B70/$B$3*100</f>
        <v/>
      </c>
      <c r="E70" s="105" t="n"/>
      <c r="F70" s="105" t="n"/>
      <c r="I70" s="91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C70" s="139" t="n">
        <v>2021</v>
      </c>
      <c r="AD70" s="132" t="inlineStr">
        <is>
          <t>ICP</t>
        </is>
      </c>
      <c r="AE70" s="133">
        <f>+AE17</f>
        <v/>
      </c>
      <c r="AF70" s="133">
        <f>+AF32</f>
        <v/>
      </c>
      <c r="AG70" s="133">
        <f>+AG17</f>
        <v/>
      </c>
      <c r="AH70" s="133">
        <f>+AH17</f>
        <v/>
      </c>
      <c r="AI70" s="133">
        <f>+AI17</f>
        <v/>
      </c>
      <c r="AJ70" s="133">
        <f>+AJ17</f>
        <v/>
      </c>
      <c r="AK70" s="133">
        <f>+AK17</f>
        <v/>
      </c>
      <c r="AL70" s="133">
        <f>+AL17</f>
        <v/>
      </c>
      <c r="AM70" s="133">
        <f>+AM17</f>
        <v/>
      </c>
      <c r="AN70" s="133">
        <f>+AN17</f>
        <v/>
      </c>
      <c r="AO70" s="133">
        <f>+AO17</f>
        <v/>
      </c>
      <c r="AP70" s="133">
        <f>+AP17</f>
        <v/>
      </c>
      <c r="AQ70" s="134">
        <f>+AQ17</f>
        <v/>
      </c>
      <c r="AR70" s="89" t="n"/>
      <c r="AS70" s="89" t="n"/>
    </row>
    <row r="71" ht="14.25" customFormat="1" customHeight="1" s="90">
      <c r="A71" s="103" t="n">
        <v>40786</v>
      </c>
      <c r="B71" s="106" t="n">
        <v>13925.03</v>
      </c>
      <c r="C71" s="99">
        <f>(B71/B70-1)/(A71-A70)*30</f>
        <v/>
      </c>
      <c r="D71" s="105">
        <f>B71/$B$3*100</f>
        <v/>
      </c>
      <c r="E71" s="105" t="n"/>
      <c r="F71" s="105" t="n"/>
      <c r="I71" s="91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D71" s="132" t="inlineStr">
        <is>
          <t>Competencia</t>
        </is>
      </c>
      <c r="AE71" s="133">
        <f>+AE44</f>
        <v/>
      </c>
      <c r="AF71" s="133">
        <f>+AF44</f>
        <v/>
      </c>
      <c r="AG71" s="133">
        <f>+AG44</f>
        <v/>
      </c>
      <c r="AH71" s="133">
        <f>+AH44</f>
        <v/>
      </c>
      <c r="AI71" s="133">
        <f>+AI44</f>
        <v/>
      </c>
      <c r="AJ71" s="133">
        <f>+AJ44</f>
        <v/>
      </c>
      <c r="AK71" s="133">
        <f>+AK44</f>
        <v/>
      </c>
      <c r="AL71" s="133">
        <f>+AL44</f>
        <v/>
      </c>
      <c r="AM71" s="133">
        <f>+AM44</f>
        <v/>
      </c>
      <c r="AN71" s="133">
        <f>+AN44</f>
        <v/>
      </c>
      <c r="AO71" s="133">
        <f>+AO44</f>
        <v/>
      </c>
      <c r="AP71" s="133">
        <f>+AP44</f>
        <v/>
      </c>
      <c r="AQ71" s="134">
        <f>+AQ44</f>
        <v/>
      </c>
      <c r="AR71" s="89" t="n"/>
      <c r="AS71" s="89" t="n"/>
    </row>
    <row r="72" ht="14.25" customFormat="1" customHeight="1" s="90">
      <c r="A72" s="103" t="n">
        <v>40816</v>
      </c>
      <c r="B72" s="106" t="n">
        <v>13985.97</v>
      </c>
      <c r="C72" s="99">
        <f>(B72/B71-1)/(A72-A71)*30</f>
        <v/>
      </c>
      <c r="D72" s="105">
        <f>B72/$B$3*100</f>
        <v/>
      </c>
      <c r="E72" s="105" t="n"/>
      <c r="F72" s="105" t="n"/>
      <c r="I72" s="91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D72" s="132" t="inlineStr">
        <is>
          <t>FIP Monetario</t>
        </is>
      </c>
      <c r="AE72" s="133">
        <f>+AE32</f>
        <v/>
      </c>
      <c r="AF72" s="133">
        <f>+AF32</f>
        <v/>
      </c>
      <c r="AG72" s="133">
        <f>+AG32</f>
        <v/>
      </c>
      <c r="AH72" s="133">
        <f>+AH32</f>
        <v/>
      </c>
      <c r="AI72" s="133">
        <f>+AI32</f>
        <v/>
      </c>
      <c r="AJ72" s="133">
        <f>+AJ32</f>
        <v/>
      </c>
      <c r="AK72" s="133">
        <f>+AK32</f>
        <v/>
      </c>
      <c r="AL72" s="133">
        <f>+AL32</f>
        <v/>
      </c>
      <c r="AM72" s="133">
        <f>+AM32</f>
        <v/>
      </c>
      <c r="AN72" s="133">
        <f>+AN32</f>
        <v/>
      </c>
      <c r="AO72" s="133">
        <f>+AO32</f>
        <v/>
      </c>
      <c r="AP72" s="133">
        <f>+AP32</f>
        <v/>
      </c>
      <c r="AQ72" s="134">
        <f>+AQ32</f>
        <v/>
      </c>
      <c r="AR72" s="89" t="n"/>
      <c r="AS72" s="89" t="n"/>
    </row>
    <row r="73" ht="14.25" customFormat="1" customHeight="1" s="90">
      <c r="A73" s="103" t="n">
        <v>40847</v>
      </c>
      <c r="B73" s="106" t="n">
        <v>14043.21</v>
      </c>
      <c r="C73" s="99">
        <f>(B73/B72-1)/(A73-A72)*30</f>
        <v/>
      </c>
      <c r="D73" s="105">
        <f>B73/$B$3*100</f>
        <v/>
      </c>
      <c r="E73" s="105" t="n"/>
      <c r="F73" s="105" t="n"/>
      <c r="I73" s="91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C73" s="139" t="n">
        <v>2022</v>
      </c>
      <c r="AD73" s="132" t="inlineStr">
        <is>
          <t>ICP</t>
        </is>
      </c>
      <c r="AE73" s="133">
        <f>+AE18</f>
        <v/>
      </c>
      <c r="AF73" s="133">
        <f>+AF18</f>
        <v/>
      </c>
      <c r="AG73" s="133">
        <f>+AG18</f>
        <v/>
      </c>
      <c r="AH73" s="133">
        <f>+AH18</f>
        <v/>
      </c>
      <c r="AI73" s="133">
        <f>+AI18</f>
        <v/>
      </c>
      <c r="AJ73" s="133">
        <f>+AJ18</f>
        <v/>
      </c>
      <c r="AK73" s="133">
        <f>+AK18</f>
        <v/>
      </c>
      <c r="AL73" s="133">
        <f>+AL18</f>
        <v/>
      </c>
      <c r="AM73" s="133">
        <f>+AM18</f>
        <v/>
      </c>
      <c r="AN73" s="133">
        <f>+AN18</f>
        <v/>
      </c>
      <c r="AO73" s="133">
        <f>+AO18</f>
        <v/>
      </c>
      <c r="AP73" s="133">
        <f>+AP18</f>
        <v/>
      </c>
      <c r="AQ73" s="134">
        <f>+AQ18</f>
        <v/>
      </c>
      <c r="AR73" s="89" t="n"/>
      <c r="AS73" s="89" t="n"/>
    </row>
    <row r="74" ht="14.25" customFormat="1" customHeight="1" s="90">
      <c r="A74" s="103" t="n">
        <v>40877</v>
      </c>
      <c r="B74" s="106" t="n">
        <v>14110.87</v>
      </c>
      <c r="C74" s="99">
        <f>(B74/B73-1)/(A74-A73)*30</f>
        <v/>
      </c>
      <c r="D74" s="105">
        <f>B74/$B$3*100</f>
        <v/>
      </c>
      <c r="E74" s="105" t="n"/>
      <c r="F74" s="105" t="n"/>
      <c r="I74" s="91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D74" s="132" t="inlineStr">
        <is>
          <t>Competencia</t>
        </is>
      </c>
      <c r="AE74" s="133">
        <f>+AE45</f>
        <v/>
      </c>
      <c r="AF74" s="133">
        <f>+AF45</f>
        <v/>
      </c>
      <c r="AG74" s="133">
        <f>+AG45</f>
        <v/>
      </c>
      <c r="AH74" s="133">
        <f>+AH45</f>
        <v/>
      </c>
      <c r="AI74" s="133">
        <f>+AI45</f>
        <v/>
      </c>
      <c r="AJ74" s="133">
        <f>+AJ45</f>
        <v/>
      </c>
      <c r="AK74" s="133">
        <f>+AK45</f>
        <v/>
      </c>
      <c r="AL74" s="133">
        <f>+AL45</f>
        <v/>
      </c>
      <c r="AM74" s="133">
        <f>+AM45</f>
        <v/>
      </c>
      <c r="AN74" s="133">
        <f>+AN45</f>
        <v/>
      </c>
      <c r="AO74" s="133">
        <f>+AO45</f>
        <v/>
      </c>
      <c r="AP74" s="133">
        <f>+AP45</f>
        <v/>
      </c>
      <c r="AQ74" s="134">
        <f>+AQ45</f>
        <v/>
      </c>
      <c r="AR74" s="89" t="n"/>
      <c r="AS74" s="89" t="n"/>
    </row>
    <row r="75" ht="14.25" customFormat="1" customHeight="1" s="90">
      <c r="A75" s="103" t="n">
        <v>40907</v>
      </c>
      <c r="B75" s="106" t="n">
        <v>14172.63</v>
      </c>
      <c r="C75" s="99">
        <f>(B75/B74-1)/(A75-A74)*30</f>
        <v/>
      </c>
      <c r="D75" s="105">
        <f>B75/$B$3*100</f>
        <v/>
      </c>
      <c r="E75" s="105" t="n"/>
      <c r="F75" s="105" t="n"/>
      <c r="I75" s="91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D75" s="132" t="inlineStr">
        <is>
          <t>FIP Monetario</t>
        </is>
      </c>
      <c r="AE75" s="133">
        <f>+AE33</f>
        <v/>
      </c>
      <c r="AF75" s="133">
        <f>+AF33</f>
        <v/>
      </c>
      <c r="AG75" s="133">
        <f>+AG33</f>
        <v/>
      </c>
      <c r="AH75" s="133">
        <f>+AH33</f>
        <v/>
      </c>
      <c r="AI75" s="133">
        <f>+AI33</f>
        <v/>
      </c>
      <c r="AJ75" s="133">
        <f>+AJ33</f>
        <v/>
      </c>
      <c r="AK75" s="133">
        <f>+AK33</f>
        <v/>
      </c>
      <c r="AL75" s="133">
        <f>+AL33</f>
        <v/>
      </c>
      <c r="AM75" s="133">
        <f>+AM33</f>
        <v/>
      </c>
      <c r="AN75" s="133">
        <f>+AN33</f>
        <v/>
      </c>
      <c r="AO75" s="133">
        <f>+AO33</f>
        <v/>
      </c>
      <c r="AP75" s="133">
        <f>+AP33</f>
        <v/>
      </c>
      <c r="AQ75" s="134">
        <f>+AQ33</f>
        <v/>
      </c>
      <c r="AR75" s="89" t="n"/>
      <c r="AS75" s="89" t="n"/>
    </row>
    <row r="76" ht="14.25" customFormat="1" customHeight="1" s="90">
      <c r="A76" s="103" t="n">
        <v>40939</v>
      </c>
      <c r="B76" s="106" t="n">
        <v>14236.38</v>
      </c>
      <c r="C76" s="99">
        <f>(B76/B75-1)/(A76-A75)*30</f>
        <v/>
      </c>
      <c r="D76" s="105">
        <f>B76/$B$3*100</f>
        <v/>
      </c>
      <c r="E76" s="105" t="n"/>
      <c r="F76" s="105" t="n"/>
      <c r="I76" s="91" t="n"/>
      <c r="AC76" s="139" t="n">
        <v>2023</v>
      </c>
      <c r="AD76" s="132" t="inlineStr">
        <is>
          <t>ICP</t>
        </is>
      </c>
      <c r="AE76" s="133">
        <f>+AE19</f>
        <v/>
      </c>
      <c r="AF76" s="133">
        <f>+AF19</f>
        <v/>
      </c>
      <c r="AG76" s="133">
        <f>+AG19</f>
        <v/>
      </c>
      <c r="AH76" s="133">
        <f>+AH19</f>
        <v/>
      </c>
      <c r="AI76" s="133">
        <f>+AI19</f>
        <v/>
      </c>
      <c r="AJ76" s="133">
        <f>+AJ19</f>
        <v/>
      </c>
      <c r="AK76" s="133">
        <f>+AK19</f>
        <v/>
      </c>
      <c r="AL76" s="133">
        <f>+AL19</f>
        <v/>
      </c>
      <c r="AM76" s="133">
        <f>+AM19</f>
        <v/>
      </c>
      <c r="AN76" s="133">
        <f>+AN19</f>
        <v/>
      </c>
      <c r="AO76" s="133">
        <f>+AO19</f>
        <v/>
      </c>
      <c r="AP76" s="133">
        <f>+AP19</f>
        <v/>
      </c>
      <c r="AQ76" s="134">
        <f>+AQ19</f>
        <v/>
      </c>
      <c r="AR76" s="89" t="n"/>
      <c r="AS76" s="89" t="n"/>
    </row>
    <row r="77" ht="14.25" customFormat="1" customHeight="1" s="90">
      <c r="A77" s="103" t="n">
        <v>40968</v>
      </c>
      <c r="B77" s="106" t="n">
        <v>14293.67</v>
      </c>
      <c r="C77" s="99">
        <f>(B77/B76-1)/(A77-A76)*30</f>
        <v/>
      </c>
      <c r="D77" s="105">
        <f>B77/$B$3*100</f>
        <v/>
      </c>
      <c r="E77" s="105" t="n"/>
      <c r="F77" s="105" t="n"/>
      <c r="I77" s="91" t="n"/>
      <c r="AD77" s="132" t="inlineStr">
        <is>
          <t>Competencia</t>
        </is>
      </c>
      <c r="AE77" s="133">
        <f>+AE46</f>
        <v/>
      </c>
      <c r="AF77" s="133">
        <f>+AF46</f>
        <v/>
      </c>
      <c r="AG77" s="133">
        <f>+AG46</f>
        <v/>
      </c>
      <c r="AH77" s="133">
        <f>+AH46</f>
        <v/>
      </c>
      <c r="AI77" s="133">
        <f>+AI46</f>
        <v/>
      </c>
      <c r="AJ77" s="133">
        <f>+AJ46</f>
        <v/>
      </c>
      <c r="AK77" s="133">
        <f>+AK46</f>
        <v/>
      </c>
      <c r="AL77" s="133">
        <f>+AL46</f>
        <v/>
      </c>
      <c r="AM77" s="133">
        <f>+AM46</f>
        <v/>
      </c>
      <c r="AN77" s="133">
        <f>+AN46</f>
        <v/>
      </c>
      <c r="AO77" s="133">
        <f>+AO46</f>
        <v/>
      </c>
      <c r="AP77" s="133">
        <f>+AP46</f>
        <v/>
      </c>
      <c r="AQ77" s="134">
        <f>+AQ46</f>
        <v/>
      </c>
      <c r="AR77" s="89" t="n"/>
      <c r="AS77" s="89" t="n"/>
    </row>
    <row r="78" ht="14.25" customFormat="1" customHeight="1" s="90">
      <c r="A78" s="103" t="n">
        <v>40998</v>
      </c>
      <c r="B78" s="106" t="n">
        <v>14353.34</v>
      </c>
      <c r="C78" s="99">
        <f>(B78/B77-1)/(A78-A77)*30</f>
        <v/>
      </c>
      <c r="D78" s="105">
        <f>B78/$B$3*100</f>
        <v/>
      </c>
      <c r="E78" s="105" t="n"/>
      <c r="F78" s="105" t="n"/>
      <c r="I78" s="91" t="n"/>
      <c r="AD78" s="132" t="inlineStr">
        <is>
          <t>FIP Monetario</t>
        </is>
      </c>
      <c r="AE78" s="133">
        <f>+AE34</f>
        <v/>
      </c>
      <c r="AF78" s="133">
        <f>+AF34</f>
        <v/>
      </c>
      <c r="AG78" s="133">
        <f>+AG34</f>
        <v/>
      </c>
      <c r="AH78" s="133">
        <f>+AH34</f>
        <v/>
      </c>
      <c r="AI78" s="133">
        <f>+AI34</f>
        <v/>
      </c>
      <c r="AJ78" s="133">
        <f>+AJ34</f>
        <v/>
      </c>
      <c r="AK78" s="133">
        <f>+AK34</f>
        <v/>
      </c>
      <c r="AL78" s="133">
        <f>+AL34</f>
        <v/>
      </c>
      <c r="AM78" s="133">
        <f>+AM34</f>
        <v/>
      </c>
      <c r="AN78" s="133">
        <f>+AN34</f>
        <v/>
      </c>
      <c r="AO78" s="133">
        <f>+AO34</f>
        <v/>
      </c>
      <c r="AP78" s="133">
        <f>+AP34</f>
        <v/>
      </c>
      <c r="AQ78" s="134">
        <f>+AQ34</f>
        <v/>
      </c>
      <c r="AR78" s="89" t="n"/>
      <c r="AS78" s="89" t="n"/>
    </row>
    <row r="79" ht="14.25" customFormat="1" customHeight="1" s="90">
      <c r="A79" s="103" t="n">
        <v>41029</v>
      </c>
      <c r="B79" s="106" t="n">
        <v>14415.21</v>
      </c>
      <c r="C79" s="99">
        <f>(B79/B78-1)/(A79-A78)*30</f>
        <v/>
      </c>
      <c r="D79" s="105">
        <f>B79/$B$3*100</f>
        <v/>
      </c>
      <c r="E79" s="105" t="n"/>
      <c r="F79" s="105" t="n"/>
      <c r="I79" s="91" t="n"/>
      <c r="AC79" s="139" t="n">
        <v>2024</v>
      </c>
      <c r="AD79" s="132" t="inlineStr">
        <is>
          <t>ICP</t>
        </is>
      </c>
      <c r="AE79" s="133">
        <f>+AE20</f>
        <v/>
      </c>
      <c r="AF79" s="133">
        <f>+AF20</f>
        <v/>
      </c>
      <c r="AG79" s="133">
        <f>+AG20</f>
        <v/>
      </c>
      <c r="AH79" s="133">
        <f>+AH20</f>
        <v/>
      </c>
      <c r="AI79" s="133">
        <f>+AI20</f>
        <v/>
      </c>
      <c r="AJ79" s="133">
        <f>+AJ20</f>
        <v/>
      </c>
      <c r="AK79" s="133">
        <f>+AK20</f>
        <v/>
      </c>
      <c r="AL79" s="133">
        <f>+AL20</f>
        <v/>
      </c>
      <c r="AM79" s="133">
        <f>+AM20</f>
        <v/>
      </c>
      <c r="AN79" s="133">
        <f>+AN20</f>
        <v/>
      </c>
      <c r="AO79" s="133">
        <f>+AO20</f>
        <v/>
      </c>
      <c r="AP79" s="133">
        <f>+AP20</f>
        <v/>
      </c>
      <c r="AQ79" s="134">
        <f>+AQ20</f>
        <v/>
      </c>
      <c r="AR79" s="89" t="n"/>
    </row>
    <row r="80" ht="14.25" customFormat="1" customHeight="1" s="90">
      <c r="A80" s="103" t="n">
        <v>41060</v>
      </c>
      <c r="B80" s="106" t="n">
        <v>14477.55</v>
      </c>
      <c r="C80" s="99">
        <f>(B80/B79-1)/(A80-A79)*30</f>
        <v/>
      </c>
      <c r="D80" s="105">
        <f>B80/$B$3*100</f>
        <v/>
      </c>
      <c r="E80" s="105" t="n"/>
      <c r="F80" s="105" t="n"/>
      <c r="I80" s="91" t="n"/>
      <c r="AD80" s="132" t="inlineStr">
        <is>
          <t>Competencia</t>
        </is>
      </c>
      <c r="AE80" s="133">
        <f>+AE47</f>
        <v/>
      </c>
      <c r="AF80" s="133">
        <f>+AF47</f>
        <v/>
      </c>
      <c r="AG80" s="133">
        <f>+AG47</f>
        <v/>
      </c>
      <c r="AH80" s="133">
        <f>+AH47</f>
        <v/>
      </c>
      <c r="AI80" s="133">
        <f>+AI47</f>
        <v/>
      </c>
      <c r="AJ80" s="133">
        <f>+AJ47</f>
        <v/>
      </c>
      <c r="AK80" s="133">
        <f>+AK47</f>
        <v/>
      </c>
      <c r="AL80" s="133">
        <f>+AL47</f>
        <v/>
      </c>
      <c r="AM80" s="133">
        <f>+AM47</f>
        <v/>
      </c>
      <c r="AN80" s="133">
        <f>+AN47</f>
        <v/>
      </c>
      <c r="AO80" s="133">
        <f>+AO47</f>
        <v/>
      </c>
      <c r="AP80" s="133">
        <f>+AP47</f>
        <v/>
      </c>
      <c r="AQ80" s="134">
        <f>+AQ47</f>
        <v/>
      </c>
      <c r="AR80" s="89" t="n"/>
    </row>
    <row r="81" ht="14.25" customFormat="1" customHeight="1" s="90">
      <c r="A81" s="103" t="n">
        <v>41089</v>
      </c>
      <c r="B81" s="106" t="n">
        <v>14536.13</v>
      </c>
      <c r="C81" s="99">
        <f>(B81/B80-1)/(A81-A80)*30</f>
        <v/>
      </c>
      <c r="D81" s="105">
        <f>B81/$B$3*100</f>
        <v/>
      </c>
      <c r="E81" s="105" t="n"/>
      <c r="F81" s="105" t="n"/>
      <c r="I81" s="91" t="n"/>
      <c r="AD81" s="132" t="inlineStr">
        <is>
          <t>FIP Monetario</t>
        </is>
      </c>
      <c r="AE81" s="133">
        <f>+AE35</f>
        <v/>
      </c>
      <c r="AF81" s="133">
        <f>+AF35</f>
        <v/>
      </c>
      <c r="AG81" s="133">
        <f>+AG35</f>
        <v/>
      </c>
      <c r="AH81" s="133">
        <f>+AH35</f>
        <v/>
      </c>
      <c r="AI81" s="133">
        <f>+AI35</f>
        <v/>
      </c>
      <c r="AJ81" s="133">
        <f>+AJ35</f>
        <v/>
      </c>
      <c r="AK81" s="133">
        <f>+AK35</f>
        <v/>
      </c>
      <c r="AL81" s="133">
        <f>+AL35</f>
        <v/>
      </c>
      <c r="AM81" s="133">
        <f>+AM35</f>
        <v/>
      </c>
      <c r="AN81" s="133">
        <f>+AN35</f>
        <v/>
      </c>
      <c r="AO81" s="133">
        <f>+AO35</f>
        <v/>
      </c>
      <c r="AP81" s="133">
        <f>+AP35</f>
        <v/>
      </c>
      <c r="AQ81" s="134">
        <f>+AQ35</f>
        <v/>
      </c>
    </row>
    <row r="82" ht="14.25" customFormat="1" customHeight="1" s="90">
      <c r="A82" s="103" t="n">
        <v>41121</v>
      </c>
      <c r="B82" s="106" t="n">
        <v>14600.61</v>
      </c>
      <c r="C82" s="99">
        <f>(B82/B81-1)/(A82-A81)*30</f>
        <v/>
      </c>
      <c r="D82" s="105">
        <f>B82/$B$3*100</f>
        <v/>
      </c>
      <c r="E82" s="105" t="n"/>
      <c r="F82" s="105" t="n"/>
      <c r="I82" s="91" t="n"/>
      <c r="AC82" s="139" t="n">
        <v>2025</v>
      </c>
      <c r="AD82" s="132" t="inlineStr">
        <is>
          <t>ICP</t>
        </is>
      </c>
      <c r="AE82" s="133">
        <f>+AE21</f>
        <v/>
      </c>
      <c r="AF82" s="133" t="n"/>
      <c r="AG82" s="133" t="n"/>
      <c r="AH82" s="133" t="n"/>
      <c r="AI82" s="133" t="n"/>
      <c r="AJ82" s="133" t="n"/>
      <c r="AK82" s="133" t="n"/>
      <c r="AL82" s="133" t="n"/>
      <c r="AM82" s="133" t="n"/>
      <c r="AN82" s="133" t="n"/>
      <c r="AO82" s="133" t="n"/>
      <c r="AP82" s="133" t="n"/>
      <c r="AQ82" s="134">
        <f>+AQ21</f>
        <v/>
      </c>
    </row>
    <row r="83" ht="14.25" customFormat="1" customHeight="1" s="90">
      <c r="A83" s="103" t="n">
        <v>41152</v>
      </c>
      <c r="B83" s="106" t="n">
        <v>14663.33</v>
      </c>
      <c r="C83" s="99">
        <f>(B83/B82-1)/(A83-A82)*30</f>
        <v/>
      </c>
      <c r="D83" s="105">
        <f>B83/$B$3*100</f>
        <v/>
      </c>
      <c r="E83" s="105" t="n"/>
      <c r="F83" s="105" t="n"/>
      <c r="I83" s="91" t="n"/>
      <c r="AD83" s="132" t="inlineStr">
        <is>
          <t>Competencia</t>
        </is>
      </c>
      <c r="AE83" s="133">
        <f>+AE48</f>
        <v/>
      </c>
      <c r="AF83" s="133" t="n"/>
      <c r="AG83" s="133" t="n"/>
      <c r="AH83" s="133" t="n"/>
      <c r="AI83" s="133" t="n"/>
      <c r="AJ83" s="133" t="n"/>
      <c r="AK83" s="133" t="n"/>
      <c r="AL83" s="133" t="n"/>
      <c r="AM83" s="133" t="n"/>
      <c r="AN83" s="133" t="n"/>
      <c r="AO83" s="133" t="n"/>
      <c r="AP83" s="133" t="n"/>
      <c r="AQ83" s="134">
        <f>+AQ48</f>
        <v/>
      </c>
    </row>
    <row r="84" ht="14.25" customFormat="1" customHeight="1" s="90">
      <c r="A84" s="103" t="n">
        <v>41180</v>
      </c>
      <c r="B84" s="106" t="n">
        <v>14720.68</v>
      </c>
      <c r="C84" s="99">
        <f>(B84/B83-1)/(A84-A83)*30</f>
        <v/>
      </c>
      <c r="D84" s="105">
        <f>B84/$B$3*100</f>
        <v/>
      </c>
      <c r="E84" s="105" t="n"/>
      <c r="F84" s="105" t="n"/>
      <c r="I84" s="91" t="n"/>
      <c r="AD84" s="132" t="inlineStr">
        <is>
          <t>FIP Monetario</t>
        </is>
      </c>
      <c r="AE84" s="133">
        <f>+AE36</f>
        <v/>
      </c>
      <c r="AF84" s="133" t="n"/>
      <c r="AG84" s="133" t="n"/>
      <c r="AH84" s="133" t="n"/>
      <c r="AI84" s="133" t="n"/>
      <c r="AJ84" s="133" t="n"/>
      <c r="AK84" s="133" t="n"/>
      <c r="AL84" s="133" t="n"/>
      <c r="AM84" s="133" t="n"/>
      <c r="AN84" s="133" t="n"/>
      <c r="AO84" s="133" t="n"/>
      <c r="AP84" s="133" t="n"/>
      <c r="AQ84" s="134">
        <f>+AQ36</f>
        <v/>
      </c>
    </row>
    <row r="85" ht="14.25" customFormat="1" customHeight="1" s="90">
      <c r="A85" s="103" t="n">
        <v>41213</v>
      </c>
      <c r="B85" s="106" t="n">
        <v>14788.56</v>
      </c>
      <c r="C85" s="99">
        <f>(B85/B84-1)/(A85-A84)*30</f>
        <v/>
      </c>
      <c r="D85" s="105">
        <f>B85/$B$3*100</f>
        <v/>
      </c>
      <c r="E85" s="105" t="n"/>
      <c r="F85" s="105" t="n"/>
      <c r="I85" s="91" t="n"/>
      <c r="AC85" s="139" t="n"/>
      <c r="AD85" s="132" t="n"/>
      <c r="AE85" s="133" t="n"/>
      <c r="AF85" s="133" t="n"/>
      <c r="AG85" s="133" t="n"/>
      <c r="AH85" s="133" t="n"/>
      <c r="AI85" s="133" t="n"/>
      <c r="AJ85" s="133" t="n"/>
      <c r="AK85" s="133" t="n"/>
      <c r="AL85" s="133" t="n"/>
      <c r="AM85" s="133" t="n"/>
      <c r="AN85" s="133" t="n"/>
      <c r="AO85" s="133" t="n"/>
      <c r="AP85" s="133" t="n"/>
      <c r="AQ85" s="134" t="n"/>
    </row>
    <row r="86" ht="14.25" customFormat="1" customHeight="1" s="90">
      <c r="A86" s="103" t="n">
        <v>41243</v>
      </c>
      <c r="B86" s="106" t="n">
        <v>14850.38</v>
      </c>
      <c r="C86" s="99">
        <f>(B86/B85-1)/(A86-A85)*30</f>
        <v/>
      </c>
      <c r="D86" s="105">
        <f>B86/$B$3*100</f>
        <v/>
      </c>
      <c r="E86" s="105" t="n"/>
      <c r="F86" s="105" t="n"/>
      <c r="I86" s="91" t="n"/>
      <c r="AC86" s="139" t="n"/>
      <c r="AD86" s="132" t="n"/>
      <c r="AE86" s="133" t="n"/>
      <c r="AF86" s="133" t="n"/>
      <c r="AG86" s="133" t="n"/>
      <c r="AH86" s="133" t="n"/>
      <c r="AI86" s="133" t="n"/>
      <c r="AJ86" s="133" t="n"/>
      <c r="AK86" s="133" t="n"/>
      <c r="AL86" s="133" t="n"/>
      <c r="AM86" s="133" t="n"/>
      <c r="AN86" s="133" t="n"/>
      <c r="AO86" s="133" t="n"/>
      <c r="AP86" s="133" t="n"/>
      <c r="AQ86" s="134" t="n"/>
    </row>
    <row r="87" ht="14.25" customFormat="1" customHeight="1" s="90">
      <c r="A87" s="103" t="n">
        <v>41274</v>
      </c>
      <c r="B87" s="106" t="n">
        <v>14908.2</v>
      </c>
      <c r="C87" s="99">
        <f>(B87/B86-1)/(A87-A86)*30</f>
        <v/>
      </c>
      <c r="D87" s="105">
        <f>B87/$B$3*100</f>
        <v/>
      </c>
      <c r="E87" s="105" t="n"/>
      <c r="F87" s="105" t="n"/>
      <c r="I87" s="91" t="n"/>
      <c r="AC87" s="111" t="inlineStr">
        <is>
          <t>(*) Acum a Mar</t>
        </is>
      </c>
      <c r="AD87" s="138" t="n"/>
      <c r="AE87" s="141" t="n"/>
      <c r="AF87" s="141" t="n"/>
      <c r="AG87" s="141" t="n"/>
      <c r="AH87" s="141" t="n"/>
      <c r="AI87" s="141" t="n"/>
      <c r="AJ87" s="141" t="n"/>
      <c r="AK87" s="141" t="n"/>
      <c r="AL87" s="141" t="n"/>
      <c r="AM87" s="141" t="n"/>
      <c r="AN87" s="141" t="n"/>
      <c r="AO87" s="141" t="n"/>
      <c r="AP87" s="141" t="n"/>
      <c r="AQ87" s="141" t="n"/>
    </row>
    <row r="88" ht="14.25" customFormat="1" customHeight="1" s="90">
      <c r="A88" s="103" t="n">
        <v>41305</v>
      </c>
      <c r="B88" s="106" t="n">
        <v>14978.58</v>
      </c>
      <c r="C88" s="99">
        <f>(B88/B87-1)/(A88-A87)*30</f>
        <v/>
      </c>
      <c r="D88" s="105">
        <f>B88/$B$3*100</f>
        <v/>
      </c>
      <c r="E88" s="105" t="n"/>
      <c r="F88" s="105" t="n"/>
      <c r="I88" s="91" t="n"/>
      <c r="AC88" s="89" t="n"/>
      <c r="AD88" s="89" t="n"/>
      <c r="AE88" s="89" t="n"/>
      <c r="AF88" s="89" t="n"/>
      <c r="AG88" s="89" t="n"/>
      <c r="AH88" s="89" t="n"/>
      <c r="AI88" s="89" t="n"/>
      <c r="AJ88" s="89" t="n"/>
      <c r="AK88" s="89" t="n"/>
      <c r="AL88" s="89" t="n"/>
      <c r="AM88" s="89" t="n"/>
      <c r="AN88" s="89" t="n"/>
      <c r="AO88" s="89" t="n"/>
      <c r="AP88" s="89" t="n"/>
      <c r="AQ88" s="89" t="n"/>
    </row>
    <row r="89" ht="14.25" customFormat="1" customHeight="1" s="90">
      <c r="A89" s="103" t="n">
        <v>41333</v>
      </c>
      <c r="B89" s="106" t="n">
        <v>15036.94</v>
      </c>
      <c r="C89" s="99">
        <f>(B89/B88-1)/(A89-A88)*30</f>
        <v/>
      </c>
      <c r="D89" s="105">
        <f>B89/$B$3*100</f>
        <v/>
      </c>
      <c r="E89" s="105" t="n"/>
      <c r="F89" s="105" t="n"/>
      <c r="I89" s="91" t="n"/>
      <c r="AC89" s="89" t="n"/>
      <c r="AD89" s="89" t="n"/>
      <c r="AE89" s="89" t="n"/>
      <c r="AF89" s="89" t="n"/>
      <c r="AG89" s="89" t="n"/>
      <c r="AH89" s="89" t="n"/>
      <c r="AI89" s="89" t="n"/>
      <c r="AJ89" s="89" t="n"/>
      <c r="AK89" s="89" t="n"/>
      <c r="AL89" s="89" t="n"/>
      <c r="AM89" s="89" t="n"/>
      <c r="AN89" s="89" t="n"/>
      <c r="AO89" s="89" t="n"/>
      <c r="AP89" s="89" t="n"/>
      <c r="AQ89" s="89" t="n"/>
    </row>
    <row r="90" ht="14.25" customFormat="1" customHeight="1" s="90">
      <c r="A90" s="103" t="n">
        <v>41362</v>
      </c>
      <c r="B90" s="106" t="n">
        <v>15095.51</v>
      </c>
      <c r="C90" s="99">
        <f>(B90/B89-1)/(A90-A89)*30</f>
        <v/>
      </c>
      <c r="D90" s="105">
        <f>B90/$B$3*100</f>
        <v/>
      </c>
      <c r="E90" s="105" t="n"/>
      <c r="F90" s="105" t="n"/>
      <c r="I90" s="91" t="n"/>
      <c r="AC90" s="89" t="n"/>
      <c r="AD90" s="89" t="n"/>
      <c r="AE90" s="89" t="n"/>
      <c r="AF90" s="89" t="n"/>
      <c r="AG90" s="89" t="n"/>
      <c r="AH90" s="89" t="n"/>
      <c r="AI90" s="89" t="n"/>
      <c r="AJ90" s="89" t="n"/>
      <c r="AK90" s="89" t="n"/>
      <c r="AL90" s="89" t="n"/>
      <c r="AM90" s="89" t="n"/>
      <c r="AN90" s="89" t="n"/>
      <c r="AO90" s="89" t="n"/>
      <c r="AP90" s="89" t="n"/>
      <c r="AQ90" s="89" t="n"/>
    </row>
    <row r="91" ht="14.25" customFormat="1" customHeight="1" s="90">
      <c r="A91" s="103" t="n">
        <v>41394</v>
      </c>
      <c r="B91" s="106" t="n">
        <v>15164.77</v>
      </c>
      <c r="C91" s="99">
        <f>(B91/B90-1)/(A91-A90)*30</f>
        <v/>
      </c>
      <c r="D91" s="105">
        <f>B91/$B$3*100</f>
        <v/>
      </c>
      <c r="E91" s="105" t="n"/>
      <c r="F91" s="105" t="n"/>
      <c r="I91" s="91" t="n"/>
      <c r="AC91" s="89" t="n"/>
      <c r="AD91" s="89" t="n"/>
      <c r="AE91" s="89" t="n"/>
      <c r="AF91" s="89" t="n"/>
      <c r="AG91" s="89" t="n"/>
      <c r="AH91" s="89" t="n"/>
      <c r="AI91" s="89" t="n"/>
      <c r="AJ91" s="89" t="n"/>
      <c r="AK91" s="89" t="n"/>
      <c r="AL91" s="89" t="n"/>
      <c r="AM91" s="89" t="n"/>
      <c r="AN91" s="89" t="n"/>
      <c r="AO91" s="89" t="n"/>
      <c r="AP91" s="89" t="n"/>
      <c r="AQ91" s="89" t="n"/>
    </row>
    <row r="92" ht="14.25" customFormat="1" customHeight="1" s="90">
      <c r="A92" s="103" t="n">
        <v>41425</v>
      </c>
      <c r="B92" s="106" t="n">
        <v>15230.38</v>
      </c>
      <c r="C92" s="99">
        <f>(B92/B91-1)/(A92-A91)*30</f>
        <v/>
      </c>
      <c r="D92" s="105">
        <f>B92/$B$3*100</f>
        <v/>
      </c>
      <c r="E92" s="105" t="n"/>
      <c r="F92" s="105" t="n"/>
      <c r="I92" s="91" t="n"/>
      <c r="AC92" s="89" t="n"/>
      <c r="AD92" s="89" t="n"/>
      <c r="AE92" s="89" t="n"/>
      <c r="AF92" s="89" t="n"/>
      <c r="AG92" s="89" t="n"/>
      <c r="AH92" s="89" t="n"/>
      <c r="AI92" s="89" t="n"/>
      <c r="AJ92" s="89" t="n"/>
      <c r="AK92" s="89" t="n"/>
      <c r="AL92" s="89" t="n"/>
      <c r="AM92" s="89" t="n"/>
      <c r="AN92" s="89" t="n"/>
      <c r="AO92" s="89" t="n"/>
      <c r="AP92" s="89" t="n"/>
      <c r="AQ92" s="89" t="n"/>
    </row>
    <row r="93" ht="14.25" customFormat="1" customHeight="1" s="90">
      <c r="A93" s="103" t="n">
        <v>41453</v>
      </c>
      <c r="B93" s="106" t="n">
        <v>15289.74</v>
      </c>
      <c r="C93" s="99">
        <f>(B93/B92-1)/(A93-A92)*30</f>
        <v/>
      </c>
      <c r="D93" s="105">
        <f>B93/$B$3*100</f>
        <v/>
      </c>
      <c r="E93" s="105" t="n"/>
      <c r="F93" s="105" t="n"/>
      <c r="I93" s="91" t="n"/>
      <c r="AC93" s="89" t="n"/>
      <c r="AD93" s="89" t="n"/>
      <c r="AE93" s="89" t="n"/>
      <c r="AF93" s="89" t="n"/>
      <c r="AG93" s="89" t="n"/>
      <c r="AH93" s="89" t="n"/>
      <c r="AI93" s="89" t="n"/>
      <c r="AJ93" s="89" t="n"/>
      <c r="AK93" s="89" t="n"/>
      <c r="AL93" s="89" t="n"/>
      <c r="AM93" s="89" t="n"/>
      <c r="AN93" s="89" t="n"/>
      <c r="AO93" s="89" t="n"/>
      <c r="AP93" s="89" t="n"/>
      <c r="AQ93" s="89" t="n"/>
    </row>
    <row r="94" ht="14.25" customFormat="1" customHeight="1" s="90">
      <c r="A94" s="103" t="n">
        <v>41486</v>
      </c>
      <c r="B94" s="106" t="n">
        <v>15360.27</v>
      </c>
      <c r="C94" s="99">
        <f>(B94/B93-1)/(A94-A93)*30</f>
        <v/>
      </c>
      <c r="D94" s="105">
        <f>B94/$B$3*100</f>
        <v/>
      </c>
      <c r="E94" s="105" t="n"/>
      <c r="F94" s="105" t="n"/>
      <c r="I94" s="91" t="n"/>
      <c r="AC94" s="89" t="n"/>
      <c r="AD94" s="89" t="n"/>
      <c r="AE94" s="89" t="n"/>
      <c r="AF94" s="89" t="n"/>
      <c r="AG94" s="89" t="n"/>
      <c r="AH94" s="89" t="n"/>
      <c r="AI94" s="89" t="n"/>
      <c r="AJ94" s="89" t="n"/>
      <c r="AK94" s="89" t="n"/>
      <c r="AL94" s="89" t="n"/>
      <c r="AM94" s="89" t="n"/>
      <c r="AN94" s="89" t="n"/>
      <c r="AO94" s="89" t="n"/>
      <c r="AP94" s="89" t="n"/>
      <c r="AQ94" s="89" t="n"/>
    </row>
    <row r="95" ht="14.25" customFormat="1" customHeight="1" s="90">
      <c r="A95" s="103" t="n">
        <v>41516</v>
      </c>
      <c r="B95" s="106" t="n">
        <v>15424.43</v>
      </c>
      <c r="C95" s="99">
        <f>(B95/B94-1)/(A95-A94)*30</f>
        <v/>
      </c>
      <c r="D95" s="105">
        <f>B95/$B$3*100</f>
        <v/>
      </c>
      <c r="E95" s="105" t="n"/>
      <c r="F95" s="105" t="n"/>
      <c r="I95" s="91" t="n"/>
      <c r="AC95" s="89" t="n"/>
      <c r="AD95" s="89" t="n"/>
      <c r="AE95" s="89" t="n"/>
      <c r="AF95" s="89" t="n"/>
      <c r="AG95" s="89" t="n"/>
      <c r="AH95" s="89" t="n"/>
      <c r="AI95" s="89" t="n"/>
      <c r="AJ95" s="89" t="n"/>
      <c r="AK95" s="89" t="n"/>
      <c r="AL95" s="89" t="n"/>
      <c r="AM95" s="89" t="n"/>
      <c r="AN95" s="89" t="n"/>
      <c r="AO95" s="89" t="n"/>
      <c r="AP95" s="89" t="n"/>
      <c r="AQ95" s="89" t="n"/>
    </row>
    <row r="96" ht="14.25" customFormat="1" customHeight="1" s="90">
      <c r="A96" s="103" t="n">
        <v>41547</v>
      </c>
      <c r="B96" s="106" t="n">
        <v>15490.99</v>
      </c>
      <c r="C96" s="99">
        <f>(B96/B95-1)/(A96-A95)*30</f>
        <v/>
      </c>
      <c r="D96" s="105">
        <f>B96/$B$3*100</f>
        <v/>
      </c>
      <c r="E96" s="105" t="n"/>
      <c r="F96" s="105" t="n"/>
      <c r="I96" s="91" t="n"/>
      <c r="AC96" s="89" t="n"/>
      <c r="AD96" s="89" t="n"/>
      <c r="AE96" s="89" t="n"/>
      <c r="AF96" s="89" t="n"/>
      <c r="AG96" s="89" t="n"/>
      <c r="AH96" s="89" t="n"/>
      <c r="AI96" s="89" t="n"/>
      <c r="AJ96" s="89" t="n"/>
      <c r="AK96" s="89" t="n"/>
      <c r="AL96" s="89" t="n"/>
      <c r="AM96" s="89" t="n"/>
      <c r="AN96" s="89" t="n"/>
      <c r="AO96" s="89" t="n"/>
      <c r="AP96" s="89" t="n"/>
      <c r="AQ96" s="89" t="n"/>
    </row>
    <row r="97" ht="14.25" customFormat="1" customHeight="1" s="90">
      <c r="A97" s="103" t="n">
        <v>41578</v>
      </c>
      <c r="B97" s="106" t="n">
        <v>15554.36</v>
      </c>
      <c r="C97" s="99">
        <f>(B97/B96-1)/(A97-A96)*30</f>
        <v/>
      </c>
      <c r="D97" s="105">
        <f>B97/$B$3*100</f>
        <v/>
      </c>
      <c r="E97" s="105" t="n"/>
      <c r="F97" s="105" t="n"/>
      <c r="I97" s="91" t="n"/>
      <c r="AC97" s="89" t="n"/>
      <c r="AD97" s="89" t="n"/>
      <c r="AE97" s="89" t="n"/>
      <c r="AF97" s="89" t="n"/>
      <c r="AG97" s="89" t="n"/>
      <c r="AH97" s="89" t="n"/>
      <c r="AI97" s="89" t="n"/>
      <c r="AJ97" s="89" t="n"/>
      <c r="AK97" s="89" t="n"/>
      <c r="AL97" s="89" t="n"/>
      <c r="AM97" s="89" t="n"/>
      <c r="AN97" s="89" t="n"/>
      <c r="AO97" s="89" t="n"/>
      <c r="AP97" s="89" t="n"/>
      <c r="AQ97" s="89" t="n"/>
    </row>
    <row r="98" ht="14.25" customFormat="1" customHeight="1" s="90">
      <c r="A98" s="103" t="n">
        <v>41607</v>
      </c>
      <c r="B98" s="106" t="n">
        <v>15615.06</v>
      </c>
      <c r="C98" s="99">
        <f>(B98/B97-1)/(A98-A97)*30</f>
        <v/>
      </c>
      <c r="D98" s="105">
        <f>B98/$B$3*100</f>
        <v/>
      </c>
      <c r="E98" s="105" t="n"/>
      <c r="F98" s="105" t="n"/>
      <c r="I98" s="91" t="n"/>
      <c r="AC98" s="89" t="n"/>
      <c r="AD98" s="89" t="n"/>
      <c r="AE98" s="89" t="n"/>
      <c r="AF98" s="89" t="n"/>
      <c r="AG98" s="89" t="n"/>
      <c r="AH98" s="89" t="n"/>
      <c r="AI98" s="89" t="n"/>
      <c r="AJ98" s="89" t="n"/>
      <c r="AK98" s="89" t="n"/>
      <c r="AL98" s="89" t="n"/>
      <c r="AM98" s="89" t="n"/>
      <c r="AN98" s="89" t="n"/>
      <c r="AO98" s="89" t="n"/>
      <c r="AP98" s="89" t="n"/>
      <c r="AQ98" s="89" t="n"/>
    </row>
    <row r="99" ht="14.25" customFormat="1" customHeight="1" s="90">
      <c r="A99" s="103" t="n">
        <v>41639</v>
      </c>
      <c r="B99" s="106" t="n">
        <v>15675.68</v>
      </c>
      <c r="C99" s="99">
        <f>(B99/B98-1)/(A99-A98)*30</f>
        <v/>
      </c>
      <c r="D99" s="105">
        <f>B99/$B$3*100</f>
        <v/>
      </c>
      <c r="E99" s="105" t="n"/>
      <c r="F99" s="105" t="n"/>
      <c r="I99" s="91" t="n"/>
      <c r="AC99" s="89" t="n"/>
      <c r="AD99" s="89" t="n"/>
      <c r="AE99" s="89" t="n"/>
      <c r="AF99" s="89" t="n"/>
      <c r="AG99" s="89" t="n"/>
      <c r="AH99" s="89" t="n"/>
      <c r="AI99" s="89" t="n"/>
      <c r="AJ99" s="89" t="n"/>
      <c r="AK99" s="89" t="n"/>
      <c r="AL99" s="89" t="n"/>
      <c r="AM99" s="89" t="n"/>
      <c r="AN99" s="89" t="n"/>
      <c r="AO99" s="89" t="n"/>
      <c r="AP99" s="89" t="n"/>
      <c r="AQ99" s="89" t="n"/>
    </row>
    <row r="100" ht="14.25" customFormat="1" customHeight="1" s="90">
      <c r="A100" s="103" t="n">
        <v>41670</v>
      </c>
      <c r="B100" s="106" t="n">
        <v>15738.45</v>
      </c>
      <c r="C100" s="99">
        <f>(B100/B99-1)/(A100-A99)*30</f>
        <v/>
      </c>
      <c r="D100" s="105">
        <f>B100/$B$3*100</f>
        <v/>
      </c>
      <c r="E100" s="105" t="n"/>
      <c r="F100" s="105" t="n"/>
      <c r="I100" s="91" t="n"/>
      <c r="AC100" s="89" t="n"/>
      <c r="AD100" s="89" t="n"/>
      <c r="AE100" s="89" t="n"/>
      <c r="AF100" s="89" t="n"/>
      <c r="AG100" s="89" t="n"/>
      <c r="AH100" s="89" t="n"/>
      <c r="AI100" s="89" t="n"/>
      <c r="AJ100" s="89" t="n"/>
      <c r="AK100" s="89" t="n"/>
      <c r="AL100" s="89" t="n"/>
      <c r="AM100" s="89" t="n"/>
      <c r="AN100" s="89" t="n"/>
      <c r="AO100" s="89" t="n"/>
      <c r="AP100" s="89" t="n"/>
      <c r="AQ100" s="89" t="n"/>
    </row>
    <row r="101" ht="14.25" customFormat="1" customHeight="1" s="90">
      <c r="A101" s="103" t="n">
        <v>41698</v>
      </c>
      <c r="B101" s="106" t="n">
        <v>15792.47</v>
      </c>
      <c r="C101" s="99">
        <f>(B101/B100-1)/(A101-A100)*30</f>
        <v/>
      </c>
      <c r="D101" s="105">
        <f>B101/$B$3*100</f>
        <v/>
      </c>
      <c r="E101" s="105" t="n"/>
      <c r="F101" s="105" t="n"/>
      <c r="I101" s="91" t="n"/>
      <c r="AC101" s="89" t="n"/>
      <c r="AD101" s="89" t="n"/>
      <c r="AE101" s="89" t="n"/>
      <c r="AF101" s="89" t="n"/>
      <c r="AG101" s="89" t="n"/>
      <c r="AH101" s="89" t="n"/>
      <c r="AI101" s="89" t="n"/>
      <c r="AJ101" s="89" t="n"/>
      <c r="AK101" s="89" t="n"/>
      <c r="AL101" s="89" t="n"/>
      <c r="AM101" s="89" t="n"/>
      <c r="AN101" s="89" t="n"/>
      <c r="AO101" s="89" t="n"/>
      <c r="AP101" s="89" t="n"/>
      <c r="AQ101" s="89" t="n"/>
    </row>
    <row r="102" ht="14.25" customFormat="1" customHeight="1" s="90">
      <c r="A102" s="103" t="n">
        <v>41729</v>
      </c>
      <c r="B102" s="106" t="n">
        <v>15848.53</v>
      </c>
      <c r="C102" s="99">
        <f>(B102/B101-1)/(A102-A101)*30</f>
        <v/>
      </c>
      <c r="D102" s="105">
        <f>B102/$B$3*100</f>
        <v/>
      </c>
      <c r="E102" s="105" t="n"/>
      <c r="F102" s="105" t="n"/>
      <c r="I102" s="91" t="n"/>
    </row>
    <row r="103" ht="14.25" customFormat="1" customHeight="1" s="90">
      <c r="A103" s="103" t="n">
        <v>41759</v>
      </c>
      <c r="B103" s="106" t="n">
        <v>15901.43</v>
      </c>
      <c r="C103" s="99">
        <f>(B103/B102-1)/(A103-A102)*30</f>
        <v/>
      </c>
      <c r="D103" s="105">
        <f>B103/$B$3*100</f>
        <v/>
      </c>
      <c r="E103" s="105" t="n"/>
      <c r="F103" s="105" t="n"/>
      <c r="I103" s="91" t="n"/>
    </row>
    <row r="104" ht="14.25" customFormat="1" customHeight="1" s="90">
      <c r="A104" s="103" t="n">
        <v>41789</v>
      </c>
      <c r="B104" s="106" t="n">
        <v>15954.5</v>
      </c>
      <c r="C104" s="99">
        <f>(B104/B103-1)/(A104-A103)*30</f>
        <v/>
      </c>
      <c r="D104" s="105">
        <f>B104/$B$3*100</f>
        <v/>
      </c>
      <c r="E104" s="105" t="n"/>
      <c r="F104" s="105" t="n"/>
      <c r="I104" s="91" t="n"/>
    </row>
    <row r="105" ht="14.25" customFormat="1" customHeight="1" s="90">
      <c r="A105" s="103" t="n">
        <v>41820</v>
      </c>
      <c r="B105" s="106" t="n">
        <v>16009.53</v>
      </c>
      <c r="C105" s="99">
        <f>(B105/B104-1)/(A105-A104)*30</f>
        <v/>
      </c>
      <c r="D105" s="105">
        <f>B105/$B$3*100</f>
        <v/>
      </c>
      <c r="E105" s="105" t="n"/>
      <c r="F105" s="105" t="n"/>
      <c r="I105" s="91" t="n"/>
    </row>
    <row r="106" ht="14.25" customFormat="1" customHeight="1" s="90">
      <c r="A106" s="103" t="n">
        <v>41851</v>
      </c>
      <c r="B106" s="106" t="n">
        <v>16063.18</v>
      </c>
      <c r="C106" s="99">
        <f>(B106/B105-1)/(A106-A105)*30</f>
        <v/>
      </c>
      <c r="D106" s="105">
        <f>B106/$B$3*100</f>
        <v/>
      </c>
      <c r="E106" s="105" t="n"/>
      <c r="F106" s="105" t="n"/>
      <c r="I106" s="91" t="n"/>
    </row>
    <row r="107" ht="14.25" customFormat="1" customHeight="1" s="90">
      <c r="A107" s="103" t="n">
        <v>41880</v>
      </c>
      <c r="B107" s="106" t="n">
        <v>16110.55</v>
      </c>
      <c r="C107" s="99">
        <f>(B107/B106-1)/(A107-A106)*30</f>
        <v/>
      </c>
      <c r="D107" s="105">
        <f>B107/$B$3*100</f>
        <v/>
      </c>
      <c r="E107" s="105" t="n"/>
      <c r="F107" s="105" t="n"/>
      <c r="I107" s="91" t="n"/>
    </row>
    <row r="108" ht="14.25" customFormat="1" customHeight="1" s="90">
      <c r="A108" s="103" t="n">
        <v>41912</v>
      </c>
      <c r="B108" s="106" t="n">
        <v>16158.37</v>
      </c>
      <c r="C108" s="99">
        <f>(B108/B107-1)/(A108-A107)*30</f>
        <v/>
      </c>
      <c r="D108" s="105">
        <f>B108/$B$3*100</f>
        <v/>
      </c>
      <c r="E108" s="105" t="n"/>
      <c r="F108" s="105" t="n"/>
      <c r="I108" s="91" t="n"/>
    </row>
    <row r="109" ht="14.25" customFormat="1" customHeight="1" s="90">
      <c r="A109" s="103" t="n">
        <v>41943</v>
      </c>
      <c r="B109" s="106" t="n">
        <v>16200.86</v>
      </c>
      <c r="C109" s="99">
        <f>(B109/B108-1)/(A109-A108)*30</f>
        <v/>
      </c>
      <c r="D109" s="105">
        <f>B109/$B$3*100</f>
        <v/>
      </c>
      <c r="E109" s="105" t="n"/>
      <c r="F109" s="105" t="n"/>
      <c r="I109" s="91" t="n"/>
    </row>
    <row r="110" ht="14.25" customFormat="1" customHeight="1" s="90">
      <c r="A110" s="103" t="n">
        <v>41971</v>
      </c>
      <c r="B110" s="106" t="n">
        <v>16240.11</v>
      </c>
      <c r="C110" s="99">
        <f>(B110/B109-1)/(A110-A109)*30</f>
        <v/>
      </c>
      <c r="D110" s="105">
        <f>B110/$B$3*100</f>
        <v/>
      </c>
      <c r="E110" s="105" t="n"/>
      <c r="F110" s="105" t="n"/>
      <c r="I110" s="91" t="n"/>
    </row>
    <row r="111" ht="14.25" customFormat="1" customHeight="1" s="90">
      <c r="A111" s="103" t="n">
        <v>42004</v>
      </c>
      <c r="B111" s="106" t="n">
        <v>16283.49</v>
      </c>
      <c r="C111" s="99">
        <f>(B111/B110-1)/(A111-A110)*30</f>
        <v/>
      </c>
      <c r="D111" s="105">
        <f>B111/$B$3*100</f>
        <v/>
      </c>
      <c r="E111" s="105" t="n"/>
      <c r="F111" s="105" t="n"/>
      <c r="I111" s="91" t="n"/>
    </row>
    <row r="112" ht="14.25" customFormat="1" customHeight="1" s="90">
      <c r="A112" s="103" t="n">
        <v>42034</v>
      </c>
      <c r="B112" s="106" t="n">
        <v>16325.65</v>
      </c>
      <c r="C112" s="99">
        <f>(B112/B111-1)/(A112-A111)*30</f>
        <v/>
      </c>
      <c r="D112" s="105">
        <f>B112/$B$3*100</f>
        <v/>
      </c>
      <c r="E112" s="105" t="n"/>
      <c r="F112" s="105" t="n"/>
      <c r="I112" s="91" t="n"/>
    </row>
    <row r="113" ht="14.25" customHeight="1" s="86">
      <c r="A113" s="103" t="n">
        <v>42062</v>
      </c>
      <c r="B113" s="106" t="n">
        <v>16363.77</v>
      </c>
      <c r="C113" s="99">
        <f>(B113/B112-1)/(A113-A112)*30</f>
        <v/>
      </c>
      <c r="D113" s="105">
        <f>B113/$B$3*100</f>
        <v/>
      </c>
      <c r="E113" s="105" t="n"/>
      <c r="F113" s="105" t="n"/>
      <c r="M113" s="90" t="n"/>
      <c r="N113" s="90" t="n"/>
      <c r="O113" s="90" t="n"/>
      <c r="P113" s="90" t="n"/>
      <c r="Q113" s="90" t="n"/>
      <c r="R113" s="90" t="n"/>
      <c r="S113" s="90" t="n"/>
      <c r="T113" s="90" t="n"/>
      <c r="U113" s="90" t="n"/>
      <c r="V113" s="90" t="n"/>
      <c r="W113" s="90" t="n"/>
      <c r="X113" s="90" t="n"/>
      <c r="Y113" s="90" t="n"/>
      <c r="Z113" s="90" t="n"/>
      <c r="AA113" s="90" t="n"/>
      <c r="AB113" s="90" t="n"/>
      <c r="AC113" s="90" t="n"/>
      <c r="AD113" s="90" t="n"/>
      <c r="AE113" s="90" t="n"/>
      <c r="AF113" s="90" t="n"/>
      <c r="AG113" s="90" t="n"/>
      <c r="AH113" s="90" t="n"/>
      <c r="AI113" s="90" t="n"/>
      <c r="AJ113" s="90" t="n"/>
      <c r="AK113" s="90" t="n"/>
      <c r="AL113" s="90" t="n"/>
      <c r="AM113" s="90" t="n"/>
      <c r="AN113" s="90" t="n"/>
      <c r="AO113" s="90" t="n"/>
      <c r="AP113" s="90" t="n"/>
      <c r="AQ113" s="90" t="n"/>
      <c r="AR113" s="90" t="n"/>
      <c r="AS113" s="90" t="n"/>
    </row>
    <row r="114" ht="14.25" customHeight="1" s="86">
      <c r="A114" s="103" t="n">
        <v>42094</v>
      </c>
      <c r="B114" s="106" t="n">
        <v>16407.49</v>
      </c>
      <c r="C114" s="99">
        <f>(B114/B113-1)/(A114-A113)*30</f>
        <v/>
      </c>
      <c r="D114" s="105">
        <f>B114/$B$3*100</f>
        <v/>
      </c>
      <c r="E114" s="105" t="n"/>
      <c r="F114" s="105" t="n"/>
      <c r="N114" s="90" t="n"/>
      <c r="O114" s="90" t="n"/>
      <c r="P114" s="90" t="n"/>
      <c r="Q114" s="90" t="n"/>
      <c r="R114" s="90" t="n"/>
      <c r="S114" s="90" t="n"/>
      <c r="T114" s="90" t="n"/>
      <c r="U114" s="90" t="n"/>
      <c r="V114" s="90" t="n"/>
      <c r="W114" s="90" t="n"/>
      <c r="X114" s="90" t="n"/>
      <c r="Y114" s="90" t="n"/>
      <c r="Z114" s="90" t="n"/>
      <c r="AA114" s="90" t="n"/>
      <c r="AB114" s="90" t="n"/>
      <c r="AC114" s="90" t="n"/>
      <c r="AD114" s="90" t="n"/>
      <c r="AE114" s="90" t="n"/>
      <c r="AF114" s="90" t="n"/>
      <c r="AG114" s="90" t="n"/>
      <c r="AH114" s="90" t="n"/>
      <c r="AI114" s="90" t="n"/>
      <c r="AJ114" s="90" t="n"/>
      <c r="AK114" s="90" t="n"/>
      <c r="AL114" s="90" t="n"/>
      <c r="AM114" s="90" t="n"/>
      <c r="AN114" s="90" t="n"/>
      <c r="AO114" s="90" t="n"/>
      <c r="AP114" s="90" t="n"/>
      <c r="AQ114" s="90" t="n"/>
      <c r="AR114" s="90" t="n"/>
      <c r="AS114" s="90" t="n"/>
    </row>
    <row r="115" ht="14.25" customHeight="1" s="86">
      <c r="A115" s="103" t="n">
        <v>42124</v>
      </c>
      <c r="B115" s="106" t="n">
        <v>16448.59</v>
      </c>
      <c r="C115" s="99">
        <f>(B115/B114-1)/(A115-A114)*30</f>
        <v/>
      </c>
      <c r="D115" s="105">
        <f>B115/$B$3*100</f>
        <v/>
      </c>
      <c r="E115" s="105" t="n"/>
      <c r="F115" s="105" t="n"/>
      <c r="N115" s="90" t="n"/>
      <c r="O115" s="90" t="n"/>
      <c r="P115" s="90" t="n"/>
      <c r="Q115" s="90" t="n"/>
      <c r="R115" s="90" t="n"/>
      <c r="S115" s="90" t="n"/>
      <c r="T115" s="90" t="n"/>
      <c r="U115" s="90" t="n"/>
      <c r="V115" s="90" t="n"/>
      <c r="W115" s="90" t="n"/>
      <c r="X115" s="90" t="n"/>
      <c r="Y115" s="90" t="n"/>
      <c r="Z115" s="90" t="n"/>
      <c r="AA115" s="90" t="n"/>
      <c r="AB115" s="90" t="n"/>
      <c r="AC115" s="90" t="n"/>
      <c r="AD115" s="90" t="n"/>
      <c r="AE115" s="90" t="n"/>
      <c r="AF115" s="90" t="n"/>
      <c r="AG115" s="90" t="n"/>
      <c r="AH115" s="90" t="n"/>
      <c r="AI115" s="90" t="n"/>
      <c r="AJ115" s="90" t="n"/>
      <c r="AK115" s="90" t="n"/>
      <c r="AL115" s="90" t="n"/>
      <c r="AM115" s="90" t="n"/>
      <c r="AN115" s="90" t="n"/>
      <c r="AO115" s="90" t="n"/>
      <c r="AP115" s="90" t="n"/>
      <c r="AQ115" s="90" t="n"/>
      <c r="AR115" s="90" t="n"/>
      <c r="AS115" s="90" t="n"/>
    </row>
    <row r="116" ht="14.25" customHeight="1" s="86">
      <c r="A116" s="103" t="n">
        <v>42153</v>
      </c>
      <c r="B116" s="106" t="n">
        <v>16488.37</v>
      </c>
      <c r="C116" s="99">
        <f>(B116/B115-1)/(A116-A115)*30</f>
        <v/>
      </c>
      <c r="D116" s="105">
        <f>B116/$B$3*100</f>
        <v/>
      </c>
      <c r="E116" s="105" t="n"/>
      <c r="F116" s="105" t="n"/>
      <c r="O116" s="90" t="n"/>
      <c r="P116" s="90" t="n"/>
      <c r="Q116" s="90" t="n"/>
      <c r="R116" s="90" t="n"/>
      <c r="S116" s="90" t="n"/>
      <c r="T116" s="90" t="n"/>
      <c r="U116" s="90" t="n"/>
      <c r="V116" s="90" t="n"/>
      <c r="W116" s="90" t="n"/>
      <c r="X116" s="90" t="n"/>
      <c r="Y116" s="90" t="n"/>
      <c r="Z116" s="90" t="n"/>
      <c r="AA116" s="90" t="n"/>
      <c r="AB116" s="90" t="n"/>
      <c r="AC116" s="90" t="n"/>
      <c r="AD116" s="90" t="n"/>
      <c r="AE116" s="90" t="n"/>
      <c r="AF116" s="90" t="n"/>
      <c r="AG116" s="90" t="n"/>
      <c r="AH116" s="90" t="n"/>
      <c r="AI116" s="90" t="n"/>
      <c r="AJ116" s="90" t="n"/>
      <c r="AK116" s="90" t="n"/>
      <c r="AL116" s="90" t="n"/>
      <c r="AM116" s="90" t="n"/>
      <c r="AN116" s="90" t="n"/>
      <c r="AO116" s="90" t="n"/>
      <c r="AP116" s="90" t="n"/>
      <c r="AQ116" s="90" t="n"/>
      <c r="AR116" s="90" t="n"/>
      <c r="AS116" s="90" t="n"/>
    </row>
    <row r="117" ht="14.25" customHeight="1" s="86">
      <c r="A117" s="103" t="n">
        <v>42185</v>
      </c>
      <c r="B117" s="106" t="n">
        <v>16532.38</v>
      </c>
      <c r="C117" s="99">
        <f>(B117/B116-1)/(A117-A116)*30</f>
        <v/>
      </c>
      <c r="D117" s="105">
        <f>B117/$B$3*100</f>
        <v/>
      </c>
      <c r="E117" s="105" t="n"/>
      <c r="F117" s="105" t="n"/>
      <c r="O117" s="90" t="n"/>
      <c r="P117" s="90" t="n"/>
      <c r="Q117" s="90" t="n"/>
      <c r="R117" s="90" t="n"/>
      <c r="S117" s="90" t="n"/>
      <c r="T117" s="90" t="n"/>
      <c r="U117" s="90" t="n"/>
      <c r="V117" s="90" t="n"/>
      <c r="W117" s="90" t="n"/>
      <c r="X117" s="90" t="n"/>
      <c r="Y117" s="90" t="n"/>
      <c r="Z117" s="90" t="n"/>
      <c r="AA117" s="90" t="n"/>
      <c r="AB117" s="90" t="n"/>
      <c r="AC117" s="90" t="n"/>
      <c r="AD117" s="90" t="n"/>
      <c r="AE117" s="90" t="n"/>
      <c r="AF117" s="90" t="n"/>
      <c r="AG117" s="90" t="n"/>
      <c r="AH117" s="90" t="n"/>
      <c r="AI117" s="90" t="n"/>
      <c r="AJ117" s="90" t="n"/>
      <c r="AK117" s="90" t="n"/>
      <c r="AL117" s="90" t="n"/>
      <c r="AM117" s="90" t="n"/>
      <c r="AN117" s="90" t="n"/>
      <c r="AO117" s="90" t="n"/>
      <c r="AP117" s="90" t="n"/>
      <c r="AQ117" s="90" t="n"/>
      <c r="AR117" s="90" t="n"/>
      <c r="AS117" s="90" t="n"/>
    </row>
    <row r="118" ht="14.25" customHeight="1" s="86">
      <c r="A118" s="103" t="n">
        <v>42216</v>
      </c>
      <c r="B118" s="106" t="n">
        <v>16575.11</v>
      </c>
      <c r="C118" s="99">
        <f>(B118/B117-1)/(A118-A117)*30</f>
        <v/>
      </c>
      <c r="D118" s="105">
        <f>B118/$B$3*100</f>
        <v/>
      </c>
      <c r="E118" s="105" t="n"/>
      <c r="F118" s="105" t="n"/>
      <c r="O118" s="90" t="n"/>
      <c r="P118" s="90" t="n"/>
      <c r="Q118" s="90" t="n"/>
      <c r="R118" s="90" t="n"/>
      <c r="S118" s="90" t="n"/>
      <c r="T118" s="90" t="n"/>
      <c r="U118" s="90" t="n"/>
      <c r="V118" s="90" t="n"/>
      <c r="W118" s="90" t="n"/>
      <c r="X118" s="90" t="n"/>
      <c r="Y118" s="90" t="n"/>
      <c r="Z118" s="90" t="n"/>
      <c r="AA118" s="90" t="n"/>
      <c r="AC118" s="90" t="n"/>
      <c r="AD118" s="90" t="n"/>
      <c r="AE118" s="90" t="n"/>
      <c r="AF118" s="90" t="n"/>
      <c r="AG118" s="90" t="n"/>
      <c r="AH118" s="90" t="n"/>
      <c r="AI118" s="90" t="n"/>
      <c r="AJ118" s="90" t="n"/>
      <c r="AK118" s="90" t="n"/>
      <c r="AL118" s="90" t="n"/>
      <c r="AM118" s="90" t="n"/>
      <c r="AN118" s="90" t="n"/>
      <c r="AO118" s="90" t="n"/>
      <c r="AP118" s="90" t="n"/>
      <c r="AQ118" s="90" t="n"/>
      <c r="AR118" s="90" t="n"/>
      <c r="AS118" s="90" t="n"/>
    </row>
    <row r="119" ht="14.25" customHeight="1" s="86">
      <c r="A119" s="103" t="n">
        <v>42247</v>
      </c>
      <c r="B119" s="106" t="n">
        <v>16617.94</v>
      </c>
      <c r="C119" s="99">
        <f>(B119/B118-1)/(A119-A118)*30</f>
        <v/>
      </c>
      <c r="D119" s="105">
        <f>B119/$B$3*100</f>
        <v/>
      </c>
      <c r="E119" s="105" t="n"/>
      <c r="F119" s="105" t="n"/>
      <c r="O119" s="90" t="n"/>
      <c r="P119" s="90" t="n"/>
      <c r="Q119" s="90" t="n"/>
      <c r="R119" s="90" t="n"/>
      <c r="S119" s="90" t="n"/>
      <c r="T119" s="90" t="n"/>
      <c r="U119" s="90" t="n"/>
      <c r="V119" s="90" t="n"/>
      <c r="W119" s="90" t="n"/>
      <c r="X119" s="90" t="n"/>
      <c r="Y119" s="90" t="n"/>
      <c r="Z119" s="90" t="n"/>
      <c r="AA119" s="90" t="n"/>
      <c r="AC119" s="90" t="n"/>
      <c r="AD119" s="90" t="n"/>
      <c r="AE119" s="90" t="n"/>
      <c r="AF119" s="90" t="n"/>
      <c r="AG119" s="90" t="n"/>
      <c r="AH119" s="90" t="n"/>
      <c r="AI119" s="90" t="n"/>
      <c r="AJ119" s="90" t="n"/>
      <c r="AK119" s="90" t="n"/>
      <c r="AL119" s="90" t="n"/>
      <c r="AM119" s="90" t="n"/>
      <c r="AN119" s="90" t="n"/>
      <c r="AO119" s="90" t="n"/>
      <c r="AP119" s="90" t="n"/>
      <c r="AQ119" s="90" t="n"/>
      <c r="AR119" s="90" t="n"/>
      <c r="AS119" s="90" t="n"/>
    </row>
    <row r="120" ht="14.25" customHeight="1" s="86">
      <c r="A120" s="103" t="n">
        <v>42277</v>
      </c>
      <c r="B120" s="106" t="n">
        <v>16659.58</v>
      </c>
      <c r="C120" s="99">
        <f>(B120/B119-1)/(A120-A119)*30</f>
        <v/>
      </c>
      <c r="D120" s="105">
        <f>B120/$B$3*100</f>
        <v/>
      </c>
      <c r="E120" s="105" t="n"/>
      <c r="F120" s="105" t="n"/>
      <c r="O120" s="90" t="n"/>
      <c r="P120" s="90" t="n"/>
      <c r="Q120" s="90" t="n"/>
      <c r="R120" s="90" t="n"/>
      <c r="S120" s="90" t="n"/>
      <c r="T120" s="90" t="n"/>
      <c r="U120" s="90" t="n"/>
      <c r="V120" s="90" t="n"/>
      <c r="W120" s="90" t="n"/>
      <c r="X120" s="90" t="n"/>
      <c r="Y120" s="90" t="n"/>
      <c r="Z120" s="90" t="n"/>
      <c r="AA120" s="90" t="n"/>
      <c r="AC120" s="90" t="n"/>
      <c r="AD120" s="90" t="n"/>
      <c r="AE120" s="90" t="n"/>
      <c r="AF120" s="90" t="n"/>
      <c r="AG120" s="90" t="n"/>
      <c r="AH120" s="90" t="n"/>
      <c r="AI120" s="90" t="n"/>
      <c r="AJ120" s="90" t="n"/>
      <c r="AK120" s="90" t="n"/>
      <c r="AL120" s="90" t="n"/>
      <c r="AM120" s="90" t="n"/>
      <c r="AN120" s="90" t="n"/>
      <c r="AO120" s="90" t="n"/>
      <c r="AP120" s="90" t="n"/>
      <c r="AQ120" s="90" t="n"/>
      <c r="AR120" s="90" t="n"/>
      <c r="AS120" s="90" t="n"/>
    </row>
    <row r="121" ht="14.25" customHeight="1" s="86">
      <c r="A121" s="103" t="n">
        <v>42307</v>
      </c>
      <c r="B121" s="106" t="n">
        <v>16702.94</v>
      </c>
      <c r="C121" s="99">
        <f>(B121/B120-1)/(A121-A120)*30</f>
        <v/>
      </c>
      <c r="D121" s="105">
        <f>B121/$B$3*100</f>
        <v/>
      </c>
      <c r="E121" s="105" t="n"/>
      <c r="F121" s="105" t="n"/>
      <c r="O121" s="90" t="n"/>
      <c r="P121" s="90" t="n"/>
      <c r="Q121" s="90" t="n"/>
      <c r="R121" s="90" t="n"/>
      <c r="S121" s="90" t="n"/>
      <c r="T121" s="90" t="n"/>
      <c r="U121" s="90" t="n"/>
      <c r="V121" s="90" t="n"/>
      <c r="W121" s="90" t="n"/>
      <c r="X121" s="90" t="n"/>
      <c r="Y121" s="90" t="n"/>
      <c r="Z121" s="90" t="n"/>
      <c r="AA121" s="90" t="n"/>
      <c r="AC121" s="90" t="n"/>
      <c r="AD121" s="90" t="n"/>
      <c r="AE121" s="90" t="n"/>
      <c r="AF121" s="90" t="n"/>
      <c r="AG121" s="90" t="n"/>
      <c r="AH121" s="90" t="n"/>
      <c r="AI121" s="90" t="n"/>
      <c r="AJ121" s="90" t="n"/>
      <c r="AK121" s="90" t="n"/>
      <c r="AL121" s="90" t="n"/>
      <c r="AM121" s="90" t="n"/>
      <c r="AN121" s="90" t="n"/>
      <c r="AO121" s="90" t="n"/>
      <c r="AP121" s="90" t="n"/>
      <c r="AQ121" s="90" t="n"/>
      <c r="AR121" s="90" t="n"/>
      <c r="AS121" s="90" t="n"/>
    </row>
    <row r="122" ht="14.25" customHeight="1" s="86">
      <c r="A122" s="103" t="n">
        <v>42338</v>
      </c>
      <c r="B122" s="106" t="n">
        <v>16749.75</v>
      </c>
      <c r="C122" s="99">
        <f>(B122/B121-1)/(A122-A121)*30</f>
        <v/>
      </c>
      <c r="D122" s="105">
        <f>B122/$B$3*100</f>
        <v/>
      </c>
      <c r="E122" s="105" t="n"/>
      <c r="F122" s="103" t="n"/>
      <c r="O122" s="90" t="n"/>
      <c r="P122" s="90" t="n"/>
      <c r="Q122" s="90" t="n"/>
      <c r="R122" s="90" t="n"/>
      <c r="S122" s="90" t="n"/>
      <c r="T122" s="90" t="n"/>
      <c r="U122" s="90" t="n"/>
      <c r="V122" s="90" t="n"/>
      <c r="W122" s="90" t="n"/>
      <c r="X122" s="90" t="n"/>
      <c r="Y122" s="90" t="n"/>
      <c r="Z122" s="90" t="n"/>
      <c r="AA122" s="90" t="n"/>
      <c r="AC122" s="90" t="n"/>
      <c r="AD122" s="90" t="n"/>
      <c r="AE122" s="90" t="n"/>
      <c r="AF122" s="90" t="n"/>
      <c r="AG122" s="90" t="n"/>
      <c r="AH122" s="90" t="n"/>
      <c r="AI122" s="90" t="n"/>
      <c r="AJ122" s="90" t="n"/>
      <c r="AK122" s="90" t="n"/>
      <c r="AL122" s="90" t="n"/>
      <c r="AM122" s="90" t="n"/>
      <c r="AN122" s="90" t="n"/>
      <c r="AO122" s="90" t="n"/>
      <c r="AP122" s="90" t="n"/>
      <c r="AQ122" s="90" t="n"/>
      <c r="AR122" s="90" t="n"/>
      <c r="AS122" s="90" t="n"/>
    </row>
    <row r="123" ht="14.25" customHeight="1" s="86">
      <c r="A123" s="103" t="n">
        <v>42369</v>
      </c>
      <c r="B123" s="106" t="n">
        <v>16796.52</v>
      </c>
      <c r="C123" s="99">
        <f>(B123/B122-1)/(A123-A122)*30</f>
        <v/>
      </c>
      <c r="D123" s="105">
        <f>B123/$B$3*100</f>
        <v/>
      </c>
      <c r="E123" s="105" t="n"/>
      <c r="F123" s="103" t="n">
        <v>42369</v>
      </c>
      <c r="K123" s="90" t="n">
        <v>4563.3999</v>
      </c>
      <c r="O123" s="90" t="n"/>
      <c r="P123" s="90" t="n"/>
      <c r="Q123" s="90" t="n"/>
      <c r="R123" s="90" t="n"/>
      <c r="S123" s="90" t="n"/>
      <c r="T123" s="90" t="n"/>
      <c r="U123" s="90" t="n"/>
      <c r="V123" s="90" t="n"/>
      <c r="W123" s="90" t="n"/>
      <c r="X123" s="90" t="n"/>
      <c r="Y123" s="90" t="n"/>
      <c r="Z123" s="90" t="n"/>
      <c r="AA123" s="90" t="n"/>
      <c r="AC123" s="90" t="n"/>
      <c r="AD123" s="90" t="n"/>
      <c r="AE123" s="90" t="n"/>
      <c r="AF123" s="90" t="n"/>
      <c r="AG123" s="90" t="n"/>
      <c r="AH123" s="90" t="n"/>
      <c r="AI123" s="90" t="n"/>
      <c r="AJ123" s="90" t="n"/>
      <c r="AK123" s="90" t="n"/>
      <c r="AL123" s="90" t="n"/>
      <c r="AM123" s="90" t="n"/>
      <c r="AN123" s="90" t="n"/>
      <c r="AO123" s="90" t="n"/>
      <c r="AP123" s="90" t="n"/>
      <c r="AQ123" s="90" t="n"/>
      <c r="AR123" s="90" t="n"/>
      <c r="AS123" s="90" t="n"/>
    </row>
    <row r="124" ht="14.25" customHeight="1" s="86">
      <c r="A124" s="103" t="n">
        <v>42398</v>
      </c>
      <c r="B124" s="106" t="n">
        <v>16845.59</v>
      </c>
      <c r="C124" s="99">
        <f>(B124/B123-1)/(A124-A123)*30</f>
        <v/>
      </c>
      <c r="D124" s="105">
        <f>B124/$B$3*100</f>
        <v/>
      </c>
      <c r="E124" s="105" t="n"/>
      <c r="F124" s="103" t="n">
        <v>42400</v>
      </c>
      <c r="K124" s="90" t="n">
        <v>4573.6155</v>
      </c>
      <c r="AC124" s="90" t="n"/>
      <c r="AD124" s="90" t="n"/>
      <c r="AE124" s="90" t="n"/>
      <c r="AF124" s="90" t="n"/>
      <c r="AG124" s="90" t="n"/>
      <c r="AH124" s="90" t="n"/>
      <c r="AI124" s="90" t="n"/>
      <c r="AJ124" s="90" t="n"/>
      <c r="AK124" s="90" t="n"/>
      <c r="AL124" s="90" t="n"/>
      <c r="AM124" s="90" t="n"/>
      <c r="AN124" s="90" t="n"/>
      <c r="AO124" s="90" t="n"/>
      <c r="AP124" s="90" t="n"/>
      <c r="AQ124" s="90" t="n"/>
      <c r="AR124" s="90" t="n"/>
      <c r="AS124" s="90" t="n"/>
    </row>
    <row r="125" ht="14.25" customHeight="1" s="86">
      <c r="A125" s="103" t="n">
        <v>42429</v>
      </c>
      <c r="B125" s="106" t="n">
        <v>16896.43</v>
      </c>
      <c r="C125" s="99">
        <f>(B125/B124-1)/(A125-A124)*30</f>
        <v/>
      </c>
      <c r="D125" s="105">
        <f>B125/$B$3*100</f>
        <v/>
      </c>
      <c r="E125" s="105" t="n"/>
      <c r="F125" s="103" t="n">
        <v>42428</v>
      </c>
      <c r="K125" s="90" t="n">
        <v>4583.5859</v>
      </c>
      <c r="AC125" s="90" t="n"/>
      <c r="AD125" s="90" t="n"/>
      <c r="AE125" s="90" t="n"/>
      <c r="AF125" s="90" t="n"/>
      <c r="AG125" s="90" t="n"/>
      <c r="AH125" s="90" t="n"/>
      <c r="AI125" s="90" t="n"/>
      <c r="AJ125" s="90" t="n"/>
      <c r="AK125" s="90" t="n"/>
      <c r="AL125" s="90" t="n"/>
      <c r="AM125" s="90" t="n"/>
      <c r="AN125" s="90" t="n"/>
      <c r="AO125" s="90" t="n"/>
      <c r="AP125" s="90" t="n"/>
      <c r="AQ125" s="90" t="n"/>
      <c r="AR125" s="90" t="n"/>
      <c r="AS125" s="90" t="n"/>
    </row>
    <row r="126" ht="14.25" customHeight="1" s="86">
      <c r="A126" s="103" t="n">
        <v>42460</v>
      </c>
      <c r="B126" s="106" t="n">
        <v>16947.43</v>
      </c>
      <c r="C126" s="99">
        <f>(B126/B125-1)/(A126-A125)*30</f>
        <v/>
      </c>
      <c r="D126" s="105">
        <f>B126/$B$3*100</f>
        <v/>
      </c>
      <c r="E126" s="105" t="n"/>
      <c r="F126" s="103" t="n">
        <v>42460</v>
      </c>
      <c r="K126" s="90" t="n">
        <v>4594.8136</v>
      </c>
      <c r="AC126" s="90" t="n"/>
      <c r="AD126" s="90" t="n"/>
      <c r="AE126" s="90" t="n"/>
      <c r="AF126" s="90" t="n"/>
      <c r="AG126" s="90" t="n"/>
      <c r="AH126" s="90" t="n"/>
      <c r="AI126" s="90" t="n"/>
      <c r="AJ126" s="90" t="n"/>
      <c r="AK126" s="90" t="n"/>
      <c r="AL126" s="90" t="n"/>
      <c r="AM126" s="90" t="n"/>
      <c r="AN126" s="90" t="n"/>
      <c r="AO126" s="90" t="n"/>
      <c r="AP126" s="90" t="n"/>
      <c r="AQ126" s="90" t="n"/>
      <c r="AR126" s="90" t="n"/>
      <c r="AS126" s="90" t="n"/>
    </row>
    <row r="127" ht="14.25" customHeight="1" s="86">
      <c r="A127" s="103" t="n">
        <v>42489</v>
      </c>
      <c r="B127" s="106" t="n">
        <v>16995.27</v>
      </c>
      <c r="C127" s="99">
        <f>(B127/B126-1)/(A127-A126)*30</f>
        <v/>
      </c>
      <c r="D127" s="105">
        <f>B127/$B$3*100</f>
        <v/>
      </c>
      <c r="F127" s="103" t="n">
        <v>42490</v>
      </c>
      <c r="K127" s="90" t="n">
        <v>4604.8477</v>
      </c>
      <c r="AC127" s="90" t="n"/>
      <c r="AD127" s="90" t="n"/>
      <c r="AE127" s="90" t="n"/>
      <c r="AF127" s="90" t="n"/>
      <c r="AG127" s="90" t="n"/>
      <c r="AH127" s="90" t="n"/>
      <c r="AI127" s="90" t="n"/>
      <c r="AJ127" s="90" t="n"/>
      <c r="AK127" s="90" t="n"/>
      <c r="AL127" s="90" t="n"/>
      <c r="AM127" s="90" t="n"/>
      <c r="AN127" s="90" t="n"/>
      <c r="AO127" s="90" t="n"/>
      <c r="AP127" s="90" t="n"/>
      <c r="AQ127" s="90" t="n"/>
      <c r="AR127" s="90" t="n"/>
    </row>
    <row r="128" ht="14.25" customHeight="1" s="86">
      <c r="A128" s="103" t="n">
        <v>42521</v>
      </c>
      <c r="B128" s="106" t="n">
        <v>17048.23</v>
      </c>
      <c r="C128" s="99">
        <f>(B128/B127-1)/(A128-A127)*30</f>
        <v/>
      </c>
      <c r="D128" s="105">
        <f>B128/$B$3*100</f>
        <v/>
      </c>
      <c r="F128" s="103">
        <f>+A128</f>
        <v/>
      </c>
      <c r="I128" s="99" t="n"/>
      <c r="J128" s="104" t="n">
        <v>155.65</v>
      </c>
      <c r="K128" s="90" t="n">
        <v>4614.8486</v>
      </c>
      <c r="L128" s="99">
        <f>+(K128/K127-1)/(F128-F127)*30</f>
        <v/>
      </c>
      <c r="AC128" s="90" t="n"/>
      <c r="AD128" s="90" t="n"/>
      <c r="AE128" s="90" t="n"/>
      <c r="AF128" s="90" t="n"/>
      <c r="AG128" s="90" t="n"/>
      <c r="AH128" s="90" t="n"/>
      <c r="AI128" s="90" t="n"/>
      <c r="AJ128" s="90" t="n"/>
      <c r="AK128" s="90" t="n"/>
      <c r="AL128" s="90" t="n"/>
      <c r="AM128" s="90" t="n"/>
      <c r="AN128" s="90" t="n"/>
      <c r="AO128" s="90" t="n"/>
      <c r="AP128" s="90" t="n"/>
      <c r="AQ128" s="90" t="n"/>
      <c r="AR128" s="90" t="n"/>
    </row>
    <row r="129" ht="14.25" customHeight="1" s="86">
      <c r="A129" s="103" t="n">
        <v>42551</v>
      </c>
      <c r="B129" s="106" t="n">
        <v>17098.02</v>
      </c>
      <c r="C129" s="99">
        <f>(B129/B128-1)/(A129-A128)*30</f>
        <v/>
      </c>
      <c r="D129" s="105">
        <f>B129/$B$3*100</f>
        <v/>
      </c>
      <c r="F129" s="103">
        <f>+A129</f>
        <v/>
      </c>
      <c r="I129" s="99" t="n"/>
      <c r="J129" s="104">
        <f>+J128*(1+I129)</f>
        <v/>
      </c>
      <c r="K129" s="90" t="n">
        <v>4624.3824</v>
      </c>
      <c r="L129" s="99">
        <f>+(K129/K128-1)/(F129-F128)*30</f>
        <v/>
      </c>
      <c r="M129" s="89" t="n">
        <v>155.65</v>
      </c>
      <c r="AC129" s="90" t="n"/>
      <c r="AD129" s="90" t="n"/>
      <c r="AE129" s="90" t="n"/>
      <c r="AF129" s="90" t="n"/>
      <c r="AG129" s="90" t="n"/>
      <c r="AH129" s="90" t="n"/>
      <c r="AI129" s="90" t="n"/>
      <c r="AJ129" s="90" t="n"/>
      <c r="AK129" s="90" t="n"/>
      <c r="AL129" s="90" t="n"/>
      <c r="AM129" s="90" t="n"/>
      <c r="AN129" s="90" t="n"/>
      <c r="AO129" s="90" t="n"/>
      <c r="AP129" s="90" t="n"/>
      <c r="AQ129" s="90" t="n"/>
    </row>
    <row r="130" ht="14.25" customHeight="1" s="86">
      <c r="A130" s="103" t="n">
        <v>42582</v>
      </c>
      <c r="B130" s="142" t="n">
        <v>17149.23</v>
      </c>
      <c r="C130" s="99">
        <f>(B130/B129-1)/(A130-A129)*30</f>
        <v/>
      </c>
      <c r="D130" s="105">
        <f>B130/$B$3*100</f>
        <v/>
      </c>
      <c r="F130" s="103">
        <f>+A130</f>
        <v/>
      </c>
      <c r="I130" s="99" t="n"/>
      <c r="J130" s="104">
        <f>+J129*(1+I130)</f>
        <v/>
      </c>
      <c r="K130" s="90" t="n">
        <v>4633.906</v>
      </c>
      <c r="L130" s="99">
        <f>+(K130/K129-1)/(F130-F129)*30</f>
        <v/>
      </c>
      <c r="M130" s="105">
        <f>+M129*(1+L129)</f>
        <v/>
      </c>
      <c r="AC130" s="90" t="n"/>
      <c r="AD130" s="90" t="n"/>
      <c r="AE130" s="90" t="n"/>
      <c r="AF130" s="90" t="n"/>
      <c r="AG130" s="90" t="n"/>
      <c r="AH130" s="90" t="n"/>
      <c r="AI130" s="90" t="n"/>
      <c r="AJ130" s="90" t="n"/>
      <c r="AK130" s="90" t="n"/>
      <c r="AL130" s="90" t="n"/>
      <c r="AM130" s="90" t="n"/>
      <c r="AN130" s="90" t="n"/>
      <c r="AO130" s="90" t="n"/>
      <c r="AP130" s="90" t="n"/>
      <c r="AQ130" s="90" t="n"/>
    </row>
    <row r="131" ht="14.25" customHeight="1" s="86">
      <c r="A131" s="103" t="n">
        <v>42613</v>
      </c>
      <c r="B131" s="106" t="n">
        <v>17201.38</v>
      </c>
      <c r="C131" s="99">
        <f>(B131/B130-1)/(A131-A130)*30</f>
        <v/>
      </c>
      <c r="D131" s="105">
        <f>B131/$B$3*100</f>
        <v/>
      </c>
      <c r="F131" s="103">
        <f>+A131</f>
        <v/>
      </c>
      <c r="I131" s="99" t="n"/>
      <c r="J131" s="104">
        <f>+J130*(1+I131)</f>
        <v/>
      </c>
      <c r="K131" s="90" t="n">
        <v>4643.2047</v>
      </c>
      <c r="L131" s="99">
        <f>+(K131/K130-1)/(F131-F130)*30</f>
        <v/>
      </c>
      <c r="M131" s="105">
        <f>+M130*(1+L130)</f>
        <v/>
      </c>
      <c r="AC131" s="90" t="n"/>
      <c r="AD131" s="90" t="n"/>
      <c r="AE131" s="90" t="n"/>
      <c r="AF131" s="90" t="n"/>
      <c r="AG131" s="90" t="n"/>
      <c r="AH131" s="90" t="n"/>
      <c r="AI131" s="90" t="n"/>
      <c r="AJ131" s="90" t="n"/>
      <c r="AK131" s="90" t="n"/>
      <c r="AL131" s="90" t="n"/>
      <c r="AM131" s="90" t="n"/>
      <c r="AN131" s="90" t="n"/>
      <c r="AO131" s="90" t="n"/>
      <c r="AP131" s="90" t="n"/>
      <c r="AQ131" s="90" t="n"/>
    </row>
    <row r="132" ht="14.25" customHeight="1" s="86">
      <c r="A132" s="103">
        <f>+A131+30</f>
        <v/>
      </c>
      <c r="B132" s="106" t="n">
        <v>17251.61</v>
      </c>
      <c r="C132" s="99">
        <f>(B132/B131-1)/(A132-A131)*30</f>
        <v/>
      </c>
      <c r="D132" s="105">
        <f>B132/$B$3*100</f>
        <v/>
      </c>
      <c r="F132" s="103">
        <f>+A132</f>
        <v/>
      </c>
      <c r="I132" s="99" t="n"/>
      <c r="J132" s="104">
        <f>+J131*(1+I132)</f>
        <v/>
      </c>
      <c r="K132" s="90" t="n">
        <v>4652.0922</v>
      </c>
      <c r="L132" s="99">
        <f>+(K132/K131-1)/(F132-F131)*30</f>
        <v/>
      </c>
      <c r="M132" s="105">
        <f>+M131*(1+L131)</f>
        <v/>
      </c>
      <c r="AC132" s="90" t="n"/>
      <c r="AD132" s="90" t="n"/>
      <c r="AE132" s="90" t="n"/>
      <c r="AF132" s="90" t="n"/>
      <c r="AG132" s="90" t="n"/>
      <c r="AH132" s="90" t="n"/>
      <c r="AI132" s="90" t="n"/>
      <c r="AJ132" s="90" t="n"/>
      <c r="AK132" s="90" t="n"/>
      <c r="AL132" s="90" t="n"/>
      <c r="AM132" s="90" t="n"/>
      <c r="AN132" s="90" t="n"/>
      <c r="AO132" s="90" t="n"/>
      <c r="AP132" s="90" t="n"/>
      <c r="AQ132" s="90" t="n"/>
    </row>
    <row r="133" ht="14.25" customHeight="1" s="86">
      <c r="A133" s="103" t="n">
        <v>42674</v>
      </c>
      <c r="B133" s="106" t="n">
        <v>17303.68</v>
      </c>
      <c r="C133" s="99">
        <f>(B133/B132-1)/(A133-A132)*30</f>
        <v/>
      </c>
      <c r="D133" s="105">
        <f>B133/$B$3*100</f>
        <v/>
      </c>
      <c r="F133" s="103">
        <f>+A133</f>
        <v/>
      </c>
      <c r="I133" s="99" t="n"/>
      <c r="J133" s="104">
        <f>+J132*(1+I133)</f>
        <v/>
      </c>
      <c r="K133" s="90" t="n">
        <v>4661.3091</v>
      </c>
      <c r="L133" s="99">
        <f>+(K133/K132-1)/(F133-F132)*30</f>
        <v/>
      </c>
      <c r="M133" s="105">
        <f>+M132*(1+L132)</f>
        <v/>
      </c>
      <c r="AC133" s="90" t="n"/>
      <c r="AD133" s="90" t="n"/>
      <c r="AE133" s="90" t="n"/>
      <c r="AF133" s="90" t="n"/>
      <c r="AG133" s="90" t="n"/>
      <c r="AH133" s="90" t="n"/>
      <c r="AI133" s="90" t="n"/>
      <c r="AJ133" s="90" t="n"/>
      <c r="AK133" s="90" t="n"/>
      <c r="AL133" s="90" t="n"/>
      <c r="AM133" s="90" t="n"/>
      <c r="AN133" s="90" t="n"/>
      <c r="AO133" s="90" t="n"/>
      <c r="AP133" s="90" t="n"/>
      <c r="AQ133" s="90" t="n"/>
    </row>
    <row r="134" ht="14.25" customHeight="1" s="86">
      <c r="A134" s="103" t="n">
        <v>42704</v>
      </c>
      <c r="B134" s="106" t="n">
        <v>17354.21</v>
      </c>
      <c r="C134" s="99">
        <f>(B134/B133-1)/(A134-A133)*30</f>
        <v/>
      </c>
      <c r="D134" s="105">
        <f>B134/$B$3*100</f>
        <v/>
      </c>
      <c r="F134" s="103">
        <f>+A134</f>
        <v/>
      </c>
      <c r="I134" s="99" t="n"/>
      <c r="J134" s="104">
        <f>+J133*(1+I134)</f>
        <v/>
      </c>
      <c r="K134" s="90" t="n">
        <v>4670.2537</v>
      </c>
      <c r="L134" s="99">
        <f>+(K134/K133-1)/(F134-F133)*30</f>
        <v/>
      </c>
      <c r="M134" s="105">
        <f>+M133*(1+L133)</f>
        <v/>
      </c>
      <c r="AC134" s="90" t="n"/>
      <c r="AD134" s="90" t="n"/>
      <c r="AE134" s="90" t="n"/>
      <c r="AF134" s="90" t="n"/>
      <c r="AG134" s="90" t="n"/>
      <c r="AH134" s="90" t="n"/>
      <c r="AI134" s="90" t="n"/>
      <c r="AJ134" s="90" t="n"/>
      <c r="AK134" s="90" t="n"/>
      <c r="AL134" s="90" t="n"/>
      <c r="AM134" s="90" t="n"/>
      <c r="AN134" s="90" t="n"/>
      <c r="AO134" s="90" t="n"/>
      <c r="AP134" s="90" t="n"/>
      <c r="AQ134" s="90" t="n"/>
    </row>
    <row r="135" ht="14.25" customHeight="1" s="86">
      <c r="A135" s="103" t="n">
        <v>42735</v>
      </c>
      <c r="B135" s="106" t="n">
        <v>17406.97</v>
      </c>
      <c r="C135" s="99">
        <f>(B135/B134-1)/(A135-A134)*30</f>
        <v/>
      </c>
      <c r="D135" s="105">
        <f>B135/$B$3*100</f>
        <v/>
      </c>
      <c r="F135" s="103">
        <f>+A135</f>
        <v/>
      </c>
      <c r="I135" s="99" t="n"/>
      <c r="J135" s="104">
        <f>+J134*(1+I135)</f>
        <v/>
      </c>
      <c r="K135" s="90" t="n">
        <v>4679.6228</v>
      </c>
      <c r="L135" s="99">
        <f>+(K135/K134-1)/(F135-F134)*30</f>
        <v/>
      </c>
      <c r="M135" s="105">
        <f>+M134*(1+L134)</f>
        <v/>
      </c>
      <c r="AC135" s="90" t="n"/>
      <c r="AD135" s="90" t="n"/>
      <c r="AE135" s="90" t="n"/>
      <c r="AF135" s="90" t="n"/>
      <c r="AG135" s="90" t="n"/>
      <c r="AH135" s="90" t="n"/>
      <c r="AI135" s="90" t="n"/>
      <c r="AJ135" s="90" t="n"/>
      <c r="AK135" s="90" t="n"/>
      <c r="AL135" s="90" t="n"/>
      <c r="AM135" s="90" t="n"/>
      <c r="AN135" s="90" t="n"/>
      <c r="AO135" s="90" t="n"/>
      <c r="AP135" s="90" t="n"/>
      <c r="AQ135" s="90" t="n"/>
    </row>
    <row r="136" ht="14.25" customHeight="1" s="86">
      <c r="A136" s="103" t="n">
        <v>42766</v>
      </c>
      <c r="B136" s="106" t="n">
        <v>17457.39</v>
      </c>
      <c r="C136" s="99">
        <f>(B136/B135-1)/(A136-A135)*30</f>
        <v/>
      </c>
      <c r="D136" s="105">
        <f>B136/$B$3*100</f>
        <v/>
      </c>
      <c r="F136" s="103">
        <f>+A136</f>
        <v/>
      </c>
      <c r="I136" s="99" t="n"/>
      <c r="J136" s="104">
        <f>+J135*(1+I136)</f>
        <v/>
      </c>
      <c r="K136" s="90" t="n">
        <v>4689.6164</v>
      </c>
      <c r="L136" s="99">
        <f>+(K136/K135-1)/(F136-F135)*30</f>
        <v/>
      </c>
      <c r="M136" s="105">
        <f>+M135*(1+L135)</f>
        <v/>
      </c>
      <c r="AC136" s="90" t="n"/>
      <c r="AD136" s="90" t="n"/>
      <c r="AE136" s="90" t="n"/>
      <c r="AF136" s="90" t="n"/>
      <c r="AG136" s="90" t="n"/>
      <c r="AH136" s="90" t="n"/>
      <c r="AI136" s="90" t="n"/>
      <c r="AJ136" s="90" t="n"/>
      <c r="AK136" s="90" t="n"/>
      <c r="AL136" s="90" t="n"/>
      <c r="AM136" s="90" t="n"/>
      <c r="AN136" s="90" t="n"/>
      <c r="AO136" s="90" t="n"/>
      <c r="AP136" s="90" t="n"/>
      <c r="AQ136" s="90" t="n"/>
    </row>
    <row r="137" ht="14.25" customHeight="1" s="86">
      <c r="A137" s="103" t="n">
        <v>42794</v>
      </c>
      <c r="B137" s="106" t="n">
        <v>17501.06</v>
      </c>
      <c r="C137" s="99">
        <f>(B137/B136-1)/(A137-A136)*30</f>
        <v/>
      </c>
      <c r="D137" s="105">
        <f>B137/$B$3*100</f>
        <v/>
      </c>
      <c r="F137" s="103">
        <f>+A137</f>
        <v/>
      </c>
      <c r="I137" s="99" t="n"/>
      <c r="J137" s="104">
        <f>+J136*(1+I137)</f>
        <v/>
      </c>
      <c r="K137" s="90" t="n">
        <v>4697.0558</v>
      </c>
      <c r="L137" s="99">
        <f>+(K137/K136-1)/(F137-F136)*30</f>
        <v/>
      </c>
      <c r="M137" s="105">
        <f>+M136*(1+L136)</f>
        <v/>
      </c>
      <c r="AC137" s="90" t="n"/>
      <c r="AD137" s="90" t="n"/>
      <c r="AE137" s="90" t="n"/>
      <c r="AF137" s="90" t="n"/>
      <c r="AG137" s="90" t="n"/>
      <c r="AH137" s="90" t="n"/>
      <c r="AI137" s="90" t="n"/>
      <c r="AJ137" s="90" t="n"/>
      <c r="AK137" s="90" t="n"/>
      <c r="AL137" s="90" t="n"/>
      <c r="AM137" s="90" t="n"/>
      <c r="AN137" s="90" t="n"/>
      <c r="AO137" s="90" t="n"/>
      <c r="AP137" s="90" t="n"/>
      <c r="AQ137" s="90" t="n"/>
    </row>
    <row r="138" ht="14.25" customHeight="1" s="86">
      <c r="A138" s="103" t="n">
        <v>42825</v>
      </c>
      <c r="B138" s="106" t="n">
        <v>17548.35</v>
      </c>
      <c r="C138" s="99">
        <f>(B138/B137-1)/(A138-A137)*30</f>
        <v/>
      </c>
      <c r="D138" s="105">
        <f>B138/$B$3*100</f>
        <v/>
      </c>
      <c r="F138" s="103">
        <f>+A138</f>
        <v/>
      </c>
      <c r="I138" s="99" t="n"/>
      <c r="J138" s="104">
        <f>+J137*(1+I138)</f>
        <v/>
      </c>
      <c r="K138" s="90" t="n">
        <v>4705.1244</v>
      </c>
      <c r="L138" s="99">
        <f>+(K138/K137-1)/(F138-F137)*30</f>
        <v/>
      </c>
      <c r="M138" s="105">
        <f>+M137*(1+L137)</f>
        <v/>
      </c>
      <c r="AC138" s="90" t="n"/>
      <c r="AD138" s="90" t="n"/>
      <c r="AE138" s="90" t="n"/>
      <c r="AF138" s="90" t="n"/>
      <c r="AG138" s="90" t="n"/>
      <c r="AH138" s="90" t="n"/>
      <c r="AI138" s="90" t="n"/>
      <c r="AJ138" s="90" t="n"/>
      <c r="AK138" s="90" t="n"/>
      <c r="AL138" s="90" t="n"/>
      <c r="AM138" s="90" t="n"/>
      <c r="AN138" s="90" t="n"/>
      <c r="AO138" s="90" t="n"/>
      <c r="AP138" s="90" t="n"/>
      <c r="AQ138" s="90" t="n"/>
    </row>
    <row r="139" ht="14.25" customHeight="1" s="86">
      <c r="A139" s="103" t="n">
        <v>42855</v>
      </c>
      <c r="B139" s="106" t="n">
        <v>17587.92</v>
      </c>
      <c r="C139" s="99">
        <f>(B139/B138-1)/(A139-A138)*30</f>
        <v/>
      </c>
      <c r="D139" s="105">
        <f>B139/$B$3*100</f>
        <v/>
      </c>
      <c r="F139" s="103">
        <f>+A139</f>
        <v/>
      </c>
      <c r="I139" s="99" t="n"/>
      <c r="J139" s="104">
        <f>+J138*(1+I139)</f>
        <v/>
      </c>
      <c r="K139" s="90" t="n">
        <v>4712.3293</v>
      </c>
      <c r="L139" s="99">
        <f>+(K139/K138-1)/(F139-F138)*30</f>
        <v/>
      </c>
      <c r="M139" s="105">
        <f>+M138*(1+L138)</f>
        <v/>
      </c>
      <c r="AC139" s="90" t="n"/>
      <c r="AD139" s="90" t="n"/>
      <c r="AE139" s="90" t="n"/>
      <c r="AF139" s="90" t="n"/>
      <c r="AG139" s="90" t="n"/>
      <c r="AH139" s="90" t="n"/>
      <c r="AI139" s="90" t="n"/>
      <c r="AJ139" s="90" t="n"/>
      <c r="AK139" s="90" t="n"/>
      <c r="AL139" s="90" t="n"/>
      <c r="AM139" s="90" t="n"/>
      <c r="AN139" s="90" t="n"/>
      <c r="AO139" s="90" t="n"/>
      <c r="AP139" s="90" t="n"/>
      <c r="AQ139" s="90" t="n"/>
    </row>
    <row r="140" ht="14.25" customHeight="1" s="86">
      <c r="A140" s="103" t="n">
        <v>42886</v>
      </c>
      <c r="B140" s="106" t="n">
        <v>17630.79</v>
      </c>
      <c r="C140" s="99">
        <f>(B140/B139-1)/(A140-A139)*30</f>
        <v/>
      </c>
      <c r="D140" s="105">
        <f>B140/$B$3*100</f>
        <v/>
      </c>
      <c r="F140" s="103">
        <f>+A140</f>
        <v/>
      </c>
      <c r="I140" s="99" t="n"/>
      <c r="J140" s="104">
        <f>+J139*(1+I140)</f>
        <v/>
      </c>
      <c r="K140" s="90" t="n">
        <v>4719.0229</v>
      </c>
      <c r="L140" s="99">
        <f>+(K140/K139-1)/(F140-F139)*30</f>
        <v/>
      </c>
      <c r="M140" s="105">
        <f>+M139*(1+L139)</f>
        <v/>
      </c>
      <c r="AC140" s="90" t="n"/>
      <c r="AD140" s="90" t="n"/>
      <c r="AE140" s="90" t="n"/>
      <c r="AF140" s="90" t="n"/>
      <c r="AG140" s="90" t="n"/>
      <c r="AH140" s="90" t="n"/>
      <c r="AI140" s="90" t="n"/>
      <c r="AJ140" s="90" t="n"/>
      <c r="AK140" s="90" t="n"/>
      <c r="AL140" s="90" t="n"/>
      <c r="AM140" s="90" t="n"/>
      <c r="AN140" s="90" t="n"/>
      <c r="AO140" s="90" t="n"/>
      <c r="AP140" s="90" t="n"/>
      <c r="AQ140" s="90" t="n"/>
    </row>
    <row r="141" ht="14.25" customHeight="1" s="86">
      <c r="A141" s="103" t="n">
        <v>42916</v>
      </c>
      <c r="B141" s="106" t="n">
        <v>17667.59</v>
      </c>
      <c r="C141" s="99">
        <f>(B141/B140-1)/(A141-A140)*30</f>
        <v/>
      </c>
      <c r="D141" s="105">
        <f>B141/$B$3*100</f>
        <v/>
      </c>
      <c r="F141" s="103">
        <f>+A141</f>
        <v/>
      </c>
      <c r="I141" s="99" t="n"/>
      <c r="J141" s="104" t="n">
        <v>161.3</v>
      </c>
      <c r="K141" s="90" t="n">
        <v>4725.0333</v>
      </c>
      <c r="L141" s="99">
        <f>+(K141/K140-1)/(F141-F140)*30</f>
        <v/>
      </c>
      <c r="M141" s="105">
        <f>+M140*(1+L140)</f>
        <v/>
      </c>
      <c r="AC141" s="90" t="n"/>
      <c r="AD141" s="90" t="n"/>
      <c r="AE141" s="90" t="n"/>
      <c r="AF141" s="90" t="n"/>
      <c r="AG141" s="90" t="n"/>
      <c r="AH141" s="90" t="n"/>
      <c r="AI141" s="90" t="n"/>
      <c r="AJ141" s="90" t="n"/>
      <c r="AK141" s="90" t="n"/>
      <c r="AL141" s="90" t="n"/>
      <c r="AM141" s="90" t="n"/>
      <c r="AN141" s="90" t="n"/>
      <c r="AO141" s="90" t="n"/>
      <c r="AP141" s="90" t="n"/>
      <c r="AQ141" s="90" t="n"/>
    </row>
    <row r="142" ht="14.25" customHeight="1" s="86">
      <c r="A142" s="103" t="n">
        <v>42947</v>
      </c>
      <c r="B142" s="106" t="n">
        <v>17705.69</v>
      </c>
      <c r="C142" s="99">
        <f>(B142/B141-1)/(A142-A141)*30</f>
        <v/>
      </c>
      <c r="D142" s="105">
        <f>B142/$B$3*100</f>
        <v/>
      </c>
      <c r="F142" s="103">
        <f>+A142</f>
        <v/>
      </c>
      <c r="I142" s="99" t="n"/>
      <c r="J142" s="104">
        <f>+J141*(1+I142)</f>
        <v/>
      </c>
      <c r="K142" s="90" t="n">
        <v>4730.5225</v>
      </c>
      <c r="L142" s="99">
        <f>+(K142/K141-1)/(F142-F141)*30</f>
        <v/>
      </c>
      <c r="M142" s="105" t="n">
        <v>161.3</v>
      </c>
      <c r="AC142" s="90" t="n"/>
      <c r="AD142" s="90" t="n"/>
      <c r="AE142" s="90" t="n"/>
      <c r="AF142" s="90" t="n"/>
      <c r="AG142" s="90" t="n"/>
      <c r="AH142" s="90" t="n"/>
      <c r="AI142" s="90" t="n"/>
      <c r="AJ142" s="90" t="n"/>
      <c r="AK142" s="90" t="n"/>
      <c r="AL142" s="90" t="n"/>
      <c r="AM142" s="90" t="n"/>
      <c r="AN142" s="90" t="n"/>
      <c r="AO142" s="90" t="n"/>
      <c r="AP142" s="90" t="n"/>
      <c r="AQ142" s="90" t="n"/>
    </row>
    <row r="143" ht="14.25" customHeight="1" s="86">
      <c r="A143" s="103" t="n">
        <v>42978</v>
      </c>
      <c r="B143" s="106" t="n">
        <v>17743.83</v>
      </c>
      <c r="C143" s="99">
        <f>(B143/B142-1)/(A143-A142)*30</f>
        <v/>
      </c>
      <c r="D143" s="105">
        <f>B143/$B$3*100</f>
        <v/>
      </c>
      <c r="F143" s="103">
        <f>+A143</f>
        <v/>
      </c>
      <c r="I143" s="99" t="n"/>
      <c r="J143" s="104">
        <f>+J142*(1+I143)</f>
        <v/>
      </c>
      <c r="K143" s="90" t="n">
        <v>4735.8327</v>
      </c>
      <c r="L143" s="99">
        <f>+(K143/K142-1)/(F143-F142)*30</f>
        <v/>
      </c>
      <c r="M143" s="105">
        <f>+M142*(1+L142)</f>
        <v/>
      </c>
      <c r="AC143" s="90" t="n"/>
      <c r="AD143" s="90" t="n"/>
      <c r="AE143" s="90" t="n"/>
      <c r="AF143" s="90" t="n"/>
      <c r="AG143" s="90" t="n"/>
      <c r="AH143" s="90" t="n"/>
      <c r="AI143" s="90" t="n"/>
      <c r="AJ143" s="90" t="n"/>
      <c r="AK143" s="90" t="n"/>
      <c r="AL143" s="90" t="n"/>
      <c r="AM143" s="90" t="n"/>
      <c r="AN143" s="90" t="n"/>
      <c r="AO143" s="90" t="n"/>
      <c r="AP143" s="90" t="n"/>
      <c r="AQ143" s="90" t="n"/>
    </row>
    <row r="144" ht="14.25" customHeight="1" s="86">
      <c r="A144" s="103" t="n">
        <v>43008</v>
      </c>
      <c r="B144" s="106" t="n">
        <v>17780.7817</v>
      </c>
      <c r="C144" s="99">
        <f>(B144/B143-1)/(A144-A143)*30</f>
        <v/>
      </c>
      <c r="D144" s="105">
        <f>B144/$B$3*100</f>
        <v/>
      </c>
      <c r="F144" s="103" t="n">
        <v>43008</v>
      </c>
      <c r="I144" s="99" t="n"/>
      <c r="J144" s="104">
        <f>+J143*(1+I144)</f>
        <v/>
      </c>
      <c r="K144" s="90" t="n">
        <v>4740.8941</v>
      </c>
      <c r="L144" s="99">
        <f>+(K144/K143-1)/(F144-F143)*30</f>
        <v/>
      </c>
      <c r="M144" s="105">
        <f>+M143*(1+L143)</f>
        <v/>
      </c>
      <c r="AC144" s="90" t="n"/>
      <c r="AD144" s="90" t="n"/>
      <c r="AE144" s="90" t="n"/>
      <c r="AF144" s="90" t="n"/>
      <c r="AG144" s="90" t="n"/>
      <c r="AH144" s="90" t="n"/>
      <c r="AI144" s="90" t="n"/>
      <c r="AJ144" s="90" t="n"/>
      <c r="AK144" s="90" t="n"/>
      <c r="AL144" s="90" t="n"/>
      <c r="AM144" s="90" t="n"/>
      <c r="AN144" s="90" t="n"/>
      <c r="AO144" s="90" t="n"/>
      <c r="AP144" s="90" t="n"/>
      <c r="AQ144" s="90" t="n"/>
    </row>
    <row r="145" ht="14.25" customHeight="1" s="86">
      <c r="A145" s="103" t="n">
        <v>43039</v>
      </c>
      <c r="B145" s="89" t="n">
        <v>17819.15</v>
      </c>
      <c r="C145" s="99">
        <f>(B145/B144-1)/(A145-A144)*30</f>
        <v/>
      </c>
      <c r="D145" s="105">
        <f>B145/$B$3*100</f>
        <v/>
      </c>
      <c r="F145" s="103" t="n">
        <v>43039</v>
      </c>
      <c r="I145" s="99" t="n"/>
      <c r="J145" s="104">
        <f>+J144*(1+I145)</f>
        <v/>
      </c>
      <c r="K145" s="90" t="n">
        <v>4746.0658</v>
      </c>
      <c r="L145" s="99">
        <f>+(K145/K144-1)/(F145-F144)*30</f>
        <v/>
      </c>
      <c r="M145" s="105">
        <f>+M144*(1+L144)</f>
        <v/>
      </c>
      <c r="S145" s="89" t="inlineStr">
        <is>
          <t>DIVIDENDO 2016</t>
        </is>
      </c>
      <c r="AC145" s="90" t="n"/>
      <c r="AD145" s="90" t="n"/>
      <c r="AE145" s="90" t="n"/>
      <c r="AF145" s="90" t="n"/>
      <c r="AG145" s="90" t="n"/>
      <c r="AH145" s="90" t="n"/>
      <c r="AI145" s="90" t="n"/>
      <c r="AJ145" s="90" t="n"/>
      <c r="AK145" s="90" t="n"/>
      <c r="AL145" s="90" t="n"/>
      <c r="AM145" s="90" t="n"/>
      <c r="AN145" s="90" t="n"/>
      <c r="AO145" s="90" t="n"/>
      <c r="AP145" s="90" t="n"/>
      <c r="AQ145" s="90" t="n"/>
    </row>
    <row r="146" ht="14.25" customHeight="1" s="86">
      <c r="A146" s="103" t="n">
        <v>43069</v>
      </c>
      <c r="B146" s="89">
        <f>+VLOOKUP(A146,[1]Simple!$A$3790:$B$3818,2)</f>
        <v/>
      </c>
      <c r="C146" s="99">
        <f>(B146/B145-1)/(A146-A145)*30</f>
        <v/>
      </c>
      <c r="D146" s="105">
        <f>B146/$B$3*100</f>
        <v/>
      </c>
      <c r="F146" s="103" t="n">
        <v>43069</v>
      </c>
      <c r="I146" s="99" t="n"/>
      <c r="J146" s="104">
        <f>+J145*(1+I146)</f>
        <v/>
      </c>
      <c r="K146" s="90" t="n">
        <v>4751.2547</v>
      </c>
      <c r="L146" s="99">
        <f>+(K146/K145-1)/(F146-F145)*30</f>
        <v/>
      </c>
      <c r="M146" s="105">
        <f>+M145*(1+L145)</f>
        <v/>
      </c>
      <c r="AC146" s="90" t="n"/>
      <c r="AD146" s="90" t="n"/>
      <c r="AE146" s="90" t="n"/>
      <c r="AF146" s="90" t="n"/>
      <c r="AG146" s="90" t="n"/>
      <c r="AH146" s="90" t="n"/>
      <c r="AI146" s="90" t="n"/>
      <c r="AJ146" s="90" t="n"/>
      <c r="AK146" s="90" t="n"/>
      <c r="AL146" s="90" t="n"/>
      <c r="AM146" s="90" t="n"/>
      <c r="AN146" s="90" t="n"/>
      <c r="AO146" s="90" t="n"/>
      <c r="AP146" s="90" t="n"/>
      <c r="AQ146" s="90" t="n"/>
    </row>
    <row r="147" ht="14.25" customHeight="1" s="86">
      <c r="A147" s="103" t="n">
        <v>43100</v>
      </c>
      <c r="B147" s="89">
        <f>+VLOOKUP(A147,[1]Simple!$A$3790:$B$3818,2)</f>
        <v/>
      </c>
      <c r="C147" s="99">
        <f>(B147/B146-1)/(A147-A146)*30</f>
        <v/>
      </c>
      <c r="D147" s="105">
        <f>B147/$B$3*100</f>
        <v/>
      </c>
      <c r="F147" s="103" t="n">
        <v>43100</v>
      </c>
      <c r="I147" s="99" t="n"/>
      <c r="J147" s="104">
        <f>+J146*(1+I147)</f>
        <v/>
      </c>
      <c r="K147" s="90" t="n">
        <v>4756.6532</v>
      </c>
      <c r="L147" s="99">
        <f>+(K147/K146-1)/(F147-F146)*30</f>
        <v/>
      </c>
      <c r="M147" s="105">
        <f>+M146*(1+L146)</f>
        <v/>
      </c>
      <c r="Q147" s="90">
        <f>+G135+S146</f>
        <v/>
      </c>
      <c r="S147" s="89" t="inlineStr">
        <is>
          <t>Dividendo 2017</t>
        </is>
      </c>
      <c r="AC147" s="90" t="n"/>
      <c r="AD147" s="90" t="n"/>
      <c r="AE147" s="90" t="n"/>
      <c r="AF147" s="90" t="n"/>
      <c r="AG147" s="90" t="n"/>
      <c r="AH147" s="90" t="n"/>
      <c r="AI147" s="90" t="n"/>
      <c r="AJ147" s="90" t="n"/>
      <c r="AK147" s="90" t="n"/>
      <c r="AL147" s="90" t="n"/>
      <c r="AM147" s="90" t="n"/>
      <c r="AN147" s="90" t="n"/>
      <c r="AO147" s="90" t="n"/>
      <c r="AP147" s="90" t="n"/>
      <c r="AQ147" s="90" t="n"/>
    </row>
    <row r="148" ht="14.25" customHeight="1" s="86">
      <c r="A148" s="103" t="n">
        <v>43131</v>
      </c>
      <c r="B148" s="89" t="n">
        <v>17933.28</v>
      </c>
      <c r="C148" s="99">
        <f>(B148/B147-1)/(A148-A147)*30</f>
        <v/>
      </c>
      <c r="D148" s="105">
        <f>B148/$B$3*100</f>
        <v/>
      </c>
      <c r="F148" s="103" t="n">
        <v>43131</v>
      </c>
      <c r="I148" s="99" t="n"/>
      <c r="J148" s="104">
        <f>+J147*(1+I148)</f>
        <v/>
      </c>
      <c r="K148" s="90" t="n">
        <v>4762.3134</v>
      </c>
      <c r="L148" s="99">
        <f>+(K148/K147-1)/(F148-F147)*30</f>
        <v/>
      </c>
      <c r="M148" s="105">
        <f>+M147*(1+L147)</f>
        <v/>
      </c>
      <c r="AC148" s="90" t="n"/>
      <c r="AD148" s="90" t="n"/>
      <c r="AE148" s="90" t="n"/>
      <c r="AF148" s="90" t="n"/>
      <c r="AG148" s="90" t="n"/>
      <c r="AH148" s="90" t="n"/>
      <c r="AI148" s="90" t="n"/>
      <c r="AJ148" s="90" t="n"/>
      <c r="AK148" s="90" t="n"/>
      <c r="AL148" s="90" t="n"/>
      <c r="AM148" s="90" t="n"/>
      <c r="AN148" s="90" t="n"/>
      <c r="AO148" s="90" t="n"/>
      <c r="AP148" s="90" t="n"/>
      <c r="AQ148" s="90" t="n"/>
    </row>
    <row r="149" ht="14.25" customHeight="1" s="86">
      <c r="A149" s="103" t="n">
        <v>43159</v>
      </c>
      <c r="B149" s="89" t="n">
        <v>17968.11</v>
      </c>
      <c r="C149" s="99">
        <f>(B149/B148-1)/(A149-A148)*30</f>
        <v/>
      </c>
      <c r="D149" s="105">
        <f>B149/$B$3*100</f>
        <v/>
      </c>
      <c r="F149" s="103" t="n">
        <v>43159</v>
      </c>
      <c r="I149" s="99" t="n"/>
      <c r="J149" s="104">
        <f>+J148*(1+I149)</f>
        <v/>
      </c>
      <c r="K149" s="90" t="n">
        <v>4767.2642</v>
      </c>
      <c r="L149" s="99">
        <f>+(K149/K148-1)/(F149-F148)*30</f>
        <v/>
      </c>
      <c r="M149" s="105">
        <f>+M148*(1+L148)</f>
        <v/>
      </c>
      <c r="S149" s="89" t="inlineStr">
        <is>
          <t>Dividendo 2018</t>
        </is>
      </c>
      <c r="AC149" s="90" t="n"/>
      <c r="AD149" s="90" t="n"/>
      <c r="AE149" s="90" t="n"/>
      <c r="AF149" s="90" t="n"/>
      <c r="AG149" s="90" t="n"/>
      <c r="AH149" s="90" t="n"/>
      <c r="AI149" s="90" t="n"/>
      <c r="AJ149" s="90" t="n"/>
      <c r="AK149" s="90" t="n"/>
      <c r="AL149" s="90" t="n"/>
      <c r="AM149" s="90" t="n"/>
      <c r="AN149" s="90" t="n"/>
      <c r="AO149" s="90" t="n"/>
      <c r="AP149" s="90" t="n"/>
      <c r="AQ149" s="90" t="n"/>
    </row>
    <row r="150" ht="14.25" customHeight="1" s="86">
      <c r="A150" s="103" t="n">
        <v>43190</v>
      </c>
      <c r="B150" s="89" t="n">
        <v>18006.83</v>
      </c>
      <c r="C150" s="99">
        <f>(B150/B149-1)/(A150-A149)*30</f>
        <v/>
      </c>
      <c r="D150" s="105">
        <f>B150/$B$3*100</f>
        <v/>
      </c>
      <c r="F150" s="103" t="n">
        <v>43190</v>
      </c>
      <c r="I150" s="99" t="n"/>
      <c r="J150" s="104">
        <f>+J149*(1+I150)</f>
        <v/>
      </c>
      <c r="K150" s="90" t="n">
        <v>4772.5332</v>
      </c>
      <c r="L150" s="99">
        <f>+(K150/K149-1)/(F150-F149)*30</f>
        <v/>
      </c>
      <c r="M150" s="105">
        <f>+M149*(1+L149)</f>
        <v/>
      </c>
      <c r="S150" s="89" t="n">
        <v>11.3545115499147</v>
      </c>
    </row>
    <row r="151" ht="14.25" customHeight="1" s="86">
      <c r="A151" s="103" t="n">
        <v>43220</v>
      </c>
      <c r="B151" s="89" t="n">
        <v>18044.25</v>
      </c>
      <c r="C151" s="99">
        <f>(B151/B150-1)/(A151-A150)*30</f>
        <v/>
      </c>
      <c r="D151" s="105">
        <f>B151/$B$3*100</f>
        <v/>
      </c>
      <c r="F151" s="103" t="n">
        <v>43220</v>
      </c>
      <c r="I151" s="99" t="n"/>
      <c r="J151" s="104">
        <f>+J150*(1+I151)</f>
        <v/>
      </c>
      <c r="K151" s="90" t="n">
        <v>4777.4636</v>
      </c>
      <c r="L151" s="99">
        <f>+(K151/K150-1)/(F151-F150)*30</f>
        <v/>
      </c>
      <c r="M151" s="105">
        <f>+M150*(1+L150)</f>
        <v/>
      </c>
      <c r="S151" s="89" t="inlineStr">
        <is>
          <t>Dividendo 2019</t>
        </is>
      </c>
    </row>
    <row r="152" ht="14.25" customHeight="1" s="86">
      <c r="A152" s="103" t="n">
        <v>43251</v>
      </c>
      <c r="B152" s="104" t="n">
        <v>18082.87</v>
      </c>
      <c r="C152" s="99">
        <f>(B152/B151-1)/(A152-A151)*30</f>
        <v/>
      </c>
      <c r="D152" s="105">
        <f>B152/$B$3*100</f>
        <v/>
      </c>
      <c r="F152" s="103" t="n">
        <v>43251</v>
      </c>
      <c r="I152" s="99" t="n"/>
      <c r="J152" s="104">
        <f>+J151*(1+I152)</f>
        <v/>
      </c>
      <c r="K152" s="90" t="n">
        <v>4782.5056</v>
      </c>
      <c r="L152" s="99">
        <f>+(K152/K151-1)/(F152-F151)*30</f>
        <v/>
      </c>
      <c r="M152" s="105">
        <f>+M151*(1+L151)</f>
        <v/>
      </c>
      <c r="S152" s="89" t="n">
        <v>30.3340743</v>
      </c>
    </row>
    <row r="153" ht="14.25" customHeight="1" s="86">
      <c r="A153" s="103" t="n">
        <v>43281</v>
      </c>
      <c r="B153" s="105" t="n">
        <v>18120.6225</v>
      </c>
      <c r="C153" s="99">
        <f>(B153/B152-1)/(A153-A152)*30</f>
        <v/>
      </c>
      <c r="D153" s="105">
        <f>B153/$B$3*100</f>
        <v/>
      </c>
      <c r="F153" s="103" t="n">
        <v>43281</v>
      </c>
      <c r="G153" s="90" t="n">
        <v>1000</v>
      </c>
      <c r="H153" s="90">
        <f>+G153</f>
        <v/>
      </c>
      <c r="I153" s="99" t="n"/>
      <c r="J153" s="104" t="n">
        <v>165.437696404867</v>
      </c>
      <c r="K153" s="89" t="n">
        <v>4787.3658</v>
      </c>
      <c r="L153" s="99">
        <f>+(K153/K152-1)/(F153-F152)*30</f>
        <v/>
      </c>
      <c r="M153" s="105">
        <f>+M152*(1+L152)</f>
        <v/>
      </c>
      <c r="S153" s="89" t="inlineStr">
        <is>
          <t>Dividendo 2021</t>
        </is>
      </c>
    </row>
    <row r="154" ht="14.25" customHeight="1" s="86">
      <c r="A154" s="103" t="n">
        <v>43312</v>
      </c>
      <c r="B154" s="104" t="n">
        <v>18159.66</v>
      </c>
      <c r="C154" s="99">
        <f>(B154/B153-1)/(A154-A153)*30</f>
        <v/>
      </c>
      <c r="D154" s="105">
        <f>B154/$B$3*100</f>
        <v/>
      </c>
      <c r="F154" s="103" t="n">
        <v>43312</v>
      </c>
      <c r="G154" s="90" t="n">
        <v>1002.4706</v>
      </c>
      <c r="H154" s="90">
        <f>+G154</f>
        <v/>
      </c>
      <c r="I154" s="99">
        <f>+(H154/H153-1)/(F154-F153)*30</f>
        <v/>
      </c>
      <c r="J154" s="104">
        <f>+J153*(1+I154)</f>
        <v/>
      </c>
      <c r="K154" s="89" t="n">
        <v>4792.3901</v>
      </c>
      <c r="L154" s="99">
        <f>+(K154/K153-1)/(F154-F153)*30</f>
        <v/>
      </c>
      <c r="M154" s="105" t="n">
        <v>165.437696404867</v>
      </c>
      <c r="S154" s="89" t="n">
        <v>2.69451260700108</v>
      </c>
    </row>
    <row r="155" ht="14.25" customHeight="1" s="86">
      <c r="A155" s="103" t="n">
        <v>43343</v>
      </c>
      <c r="B155" s="104" t="n">
        <v>18198.62</v>
      </c>
      <c r="C155" s="99">
        <f>(B155/B154-1)/(A155-A154)*30</f>
        <v/>
      </c>
      <c r="D155" s="105">
        <f>B155/$B$3*100</f>
        <v/>
      </c>
      <c r="F155" s="103" t="n">
        <v>43343</v>
      </c>
      <c r="G155" s="90" t="n">
        <v>1004.864</v>
      </c>
      <c r="H155" s="90">
        <f>+G155</f>
        <v/>
      </c>
      <c r="I155" s="99">
        <f>+(H155/H154-1)/(F155-F154)*30</f>
        <v/>
      </c>
      <c r="J155" s="104">
        <f>+J154*(1+I155)</f>
        <v/>
      </c>
      <c r="K155" s="89" t="n">
        <v>4797.4336</v>
      </c>
      <c r="L155" s="99">
        <f>+(K155/K154-1)/(F155-F154)*30</f>
        <v/>
      </c>
      <c r="M155" s="105">
        <f>+M154*(1+L154)</f>
        <v/>
      </c>
      <c r="S155" s="89" t="inlineStr">
        <is>
          <t>Dividendo 2022</t>
        </is>
      </c>
    </row>
    <row r="156" ht="14.25" customHeight="1" s="86">
      <c r="A156" s="103" t="n">
        <v>43373</v>
      </c>
      <c r="B156" s="118" t="n">
        <v>18235.9</v>
      </c>
      <c r="C156" s="99">
        <f>(B156/B155-1)/(A156-A155)*30</f>
        <v/>
      </c>
      <c r="D156" s="105">
        <f>B156/$B$3*100</f>
        <v/>
      </c>
      <c r="F156" s="103" t="n">
        <v>43373</v>
      </c>
      <c r="G156" s="90" t="n">
        <v>1007.1336</v>
      </c>
      <c r="H156" s="90">
        <f>+G156</f>
        <v/>
      </c>
      <c r="I156" s="99">
        <f>+(H156/H155-1)/(F156-F155)*30</f>
        <v/>
      </c>
      <c r="J156" s="104">
        <f>+J155*(1+I156)</f>
        <v/>
      </c>
      <c r="K156" s="89" t="n">
        <v>4802.2758</v>
      </c>
      <c r="L156" s="99">
        <f>+(K156/K155-1)/(F156-F155)*30</f>
        <v/>
      </c>
      <c r="M156" s="105">
        <f>+M155*(1+L155)</f>
        <v/>
      </c>
      <c r="S156" s="89" t="n">
        <v>33.0546219621868</v>
      </c>
    </row>
    <row r="157" ht="14.25" customHeight="1" s="86">
      <c r="A157" s="103" t="n">
        <v>43404</v>
      </c>
      <c r="B157" s="89" t="n">
        <v>18277.4</v>
      </c>
      <c r="C157" s="99">
        <f>(B157/B156-1)/(A157-A156)*30</f>
        <v/>
      </c>
      <c r="D157" s="105">
        <f>B157/$B$3*100</f>
        <v/>
      </c>
      <c r="F157" s="103" t="n">
        <v>43404</v>
      </c>
      <c r="G157" s="90" t="n">
        <v>1009.4805</v>
      </c>
      <c r="H157" s="90">
        <f>+G157</f>
        <v/>
      </c>
      <c r="I157" s="99">
        <f>+(H157/H156-1)/(F157-F156)*30</f>
        <v/>
      </c>
      <c r="J157" s="104">
        <f>+J156*(1+I157)</f>
        <v/>
      </c>
      <c r="K157" s="89" t="n">
        <v>4807.6121</v>
      </c>
      <c r="L157" s="99">
        <f>+(K157/K156-1)/(F157-F156)*30</f>
        <v/>
      </c>
      <c r="M157" s="105">
        <f>+M156*(1+L156)</f>
        <v/>
      </c>
      <c r="S157" s="89" t="inlineStr">
        <is>
          <t>Dividendo 2023</t>
        </is>
      </c>
    </row>
    <row r="158" ht="14.25" customHeight="1" s="86">
      <c r="A158" s="103" t="n">
        <v>43434</v>
      </c>
      <c r="B158" s="105" t="n">
        <v>18319.31</v>
      </c>
      <c r="C158" s="99">
        <f>(B158/B157-1)/(A158-A157)*30</f>
        <v/>
      </c>
      <c r="D158" s="105">
        <f>B158/$B$3*100</f>
        <v/>
      </c>
      <c r="F158" s="103" t="n">
        <v>43434</v>
      </c>
      <c r="G158" s="90" t="n">
        <v>1011.9442</v>
      </c>
      <c r="H158" s="90">
        <f>+G158</f>
        <v/>
      </c>
      <c r="I158" s="99">
        <f>+(H158/H157-1)/(F158-F157)*30</f>
        <v/>
      </c>
      <c r="J158" s="104">
        <f>+J157*(1+I158)</f>
        <v/>
      </c>
      <c r="K158" s="89" t="n">
        <v>4812.5415</v>
      </c>
      <c r="L158" s="99">
        <f>+(K158/K157-1)/(F158-F157)*30</f>
        <v/>
      </c>
      <c r="M158" s="105">
        <f>+M157*(1+L157)</f>
        <v/>
      </c>
      <c r="S158" s="89" t="n">
        <v>92.01000000000001</v>
      </c>
    </row>
    <row r="159" ht="14.25" customHeight="1" s="86">
      <c r="A159" s="103" t="n">
        <v>43465</v>
      </c>
      <c r="B159" s="89" t="n">
        <v>18362.684</v>
      </c>
      <c r="C159" s="99">
        <f>(B159/B158-1)/(A159-A158)*30</f>
        <v/>
      </c>
      <c r="D159" s="105">
        <f>B159/$B$3*100</f>
        <v/>
      </c>
      <c r="F159" s="103" t="n">
        <v>43465</v>
      </c>
      <c r="G159" s="90" t="n">
        <v>1003.0898</v>
      </c>
      <c r="H159" s="90">
        <f>+G159+$S$150</f>
        <v/>
      </c>
      <c r="I159" s="99">
        <f>+(H159/H158-1)/(F159-F158)*30</f>
        <v/>
      </c>
      <c r="J159" s="104">
        <f>+J158*(1+I159)</f>
        <v/>
      </c>
      <c r="K159" s="90" t="n">
        <v>4819.2415</v>
      </c>
      <c r="L159" s="99">
        <f>+(K159/K158-1)/(F159-F158)*30</f>
        <v/>
      </c>
      <c r="M159" s="105">
        <f>+M158*(1+L158)</f>
        <v/>
      </c>
    </row>
    <row r="160" ht="14.25" customHeight="1" s="86">
      <c r="A160" s="103" t="n">
        <v>43496</v>
      </c>
      <c r="B160" s="89" t="n">
        <v>18407.69</v>
      </c>
      <c r="C160" s="99">
        <f>(B160/B159-1)/(A160-A159)*30</f>
        <v/>
      </c>
      <c r="D160" s="105">
        <f>B160/$B$3*100</f>
        <v/>
      </c>
      <c r="F160" s="103" t="n">
        <v>43496</v>
      </c>
      <c r="G160" s="90" t="n">
        <v>1005.4441</v>
      </c>
      <c r="H160" s="90">
        <f>+G160+$S$150</f>
        <v/>
      </c>
      <c r="I160" s="99">
        <f>+(H160/H159-1)/(F160-F159)*30</f>
        <v/>
      </c>
      <c r="J160" s="104">
        <f>+J159*(1+I160)</f>
        <v/>
      </c>
      <c r="K160" s="89" t="n">
        <v>4825.82</v>
      </c>
      <c r="L160" s="99">
        <f>+(K160/K159-1)/(F160-F159)*30</f>
        <v/>
      </c>
      <c r="M160" s="105">
        <f>+M159*(1+L159)</f>
        <v/>
      </c>
    </row>
    <row r="161" ht="14.25" customHeight="1" s="86">
      <c r="A161" s="103" t="n">
        <v>43524</v>
      </c>
      <c r="B161" s="89" t="n">
        <v>18449.16</v>
      </c>
      <c r="C161" s="99">
        <f>(B161/B160-1)/(A161-A160)*30</f>
        <v/>
      </c>
      <c r="D161" s="105">
        <f>B161/$B$3*100</f>
        <v/>
      </c>
      <c r="F161" s="103" t="n">
        <v>43524</v>
      </c>
      <c r="G161" s="90" t="n">
        <v>1007.6349</v>
      </c>
      <c r="H161" s="90">
        <f>+G161+$S$150</f>
        <v/>
      </c>
      <c r="I161" s="99">
        <f>+(H161/H160-1)/(F161-F160)*30</f>
        <v/>
      </c>
      <c r="J161" s="104">
        <f>+J160*(1+I161)</f>
        <v/>
      </c>
      <c r="K161" s="89" t="n">
        <v>4832.1058</v>
      </c>
      <c r="L161" s="99">
        <f>+(K161/K160-1)/(F161-F160)*30</f>
        <v/>
      </c>
      <c r="M161" s="105">
        <f>+M160*(1+L160)</f>
        <v/>
      </c>
      <c r="AR161" s="143" t="n"/>
    </row>
    <row r="162" ht="14.25" customHeight="1" s="86">
      <c r="A162" s="103" t="n">
        <v>43555</v>
      </c>
      <c r="B162" s="89" t="n">
        <v>18496.82</v>
      </c>
      <c r="C162" s="99">
        <f>(B162/B161-1)/(A162-A161)*30</f>
        <v/>
      </c>
      <c r="D162" s="105">
        <f>B162/$B$3*100</f>
        <v/>
      </c>
      <c r="F162" s="103" t="n">
        <v>43555</v>
      </c>
      <c r="G162" s="90" t="n">
        <v>1009.9398</v>
      </c>
      <c r="H162" s="90">
        <f>+G162+$S$150</f>
        <v/>
      </c>
      <c r="I162" s="99">
        <f>+(H162/H161-1)/(F162-F161)*30</f>
        <v/>
      </c>
      <c r="J162" s="104">
        <f>+J161*(1+I162)</f>
        <v/>
      </c>
      <c r="K162" s="89" t="n">
        <v>4839.1073</v>
      </c>
      <c r="L162" s="99">
        <f>+(K162/K161-1)/(F162-F161)*30</f>
        <v/>
      </c>
      <c r="M162" s="105">
        <f>+M161*(1+L161)</f>
        <v/>
      </c>
    </row>
    <row r="163" ht="14.25" customHeight="1" s="86">
      <c r="A163" s="103" t="n">
        <v>43585</v>
      </c>
      <c r="B163" s="89" t="n">
        <v>18543.07</v>
      </c>
      <c r="C163" s="99">
        <f>(B163/B162-1)/(A163-A162)*30</f>
        <v/>
      </c>
      <c r="D163" s="118">
        <f>B163/$B$3*100</f>
        <v/>
      </c>
      <c r="F163" s="103" t="n">
        <v>43585</v>
      </c>
      <c r="G163" s="90" t="n">
        <v>1012.7442</v>
      </c>
      <c r="H163" s="90">
        <f>+G163+$S$150</f>
        <v/>
      </c>
      <c r="I163" s="99">
        <f>+(H163/H162-1)/(F163-F162)*30</f>
        <v/>
      </c>
      <c r="J163" s="104">
        <f>+J162*(1+I163)</f>
        <v/>
      </c>
      <c r="K163" s="89" t="n">
        <v>4845.9628</v>
      </c>
      <c r="L163" s="99">
        <f>+(K163/K162-1)/(F163-F162)*30</f>
        <v/>
      </c>
      <c r="M163" s="105">
        <f>+M162*(1+L162)</f>
        <v/>
      </c>
    </row>
    <row r="164" ht="14.25" customHeight="1" s="86">
      <c r="A164" s="103" t="n">
        <v>43616</v>
      </c>
      <c r="B164" s="89" t="n">
        <v>18591.02</v>
      </c>
      <c r="C164" s="99">
        <f>(B164/B163-1)/(A164-A163)*30</f>
        <v/>
      </c>
      <c r="D164" s="118">
        <f>B164/$B$3*100</f>
        <v/>
      </c>
      <c r="F164" s="103" t="n">
        <v>43616</v>
      </c>
      <c r="G164" s="90" t="n">
        <v>1015.3749</v>
      </c>
      <c r="H164" s="90">
        <f>+G164+$S$150</f>
        <v/>
      </c>
      <c r="I164" s="99">
        <f>+(H164/H163-1)/(F164-F163)*30</f>
        <v/>
      </c>
      <c r="J164" s="104">
        <f>+J163*(1+I164)</f>
        <v/>
      </c>
      <c r="K164" s="89" t="n">
        <v>4852.5891</v>
      </c>
      <c r="L164" s="99">
        <f>+(K164/K163-1)/(F164-F163)*30</f>
        <v/>
      </c>
      <c r="M164" s="105">
        <f>+M163*(1+L163)</f>
        <v/>
      </c>
    </row>
    <row r="165" ht="14.25" customHeight="1" s="86">
      <c r="A165" s="103" t="n">
        <v>43646</v>
      </c>
      <c r="B165" s="89" t="n">
        <v>18632.31</v>
      </c>
      <c r="C165" s="99">
        <f>(B165/B164-1)/(A165-A164)*30</f>
        <v/>
      </c>
      <c r="D165" s="118">
        <f>B165/$B$3*100</f>
        <v/>
      </c>
      <c r="F165" s="103" t="n">
        <v>43646</v>
      </c>
      <c r="G165" s="90" t="n">
        <v>1018.0476</v>
      </c>
      <c r="H165" s="90">
        <f>+G165+$S$150</f>
        <v/>
      </c>
      <c r="I165" s="99">
        <f>+(H165/H164-1)/(F165-F164)*30</f>
        <v/>
      </c>
      <c r="J165" s="104">
        <f>+J164*(1+I165)</f>
        <v/>
      </c>
      <c r="K165" s="89" t="n">
        <v>4858.4077</v>
      </c>
      <c r="L165" s="99">
        <f>+(K165/K164-1)/(F165-F164)*30</f>
        <v/>
      </c>
      <c r="M165" s="105">
        <f>+M164*(1+L164)</f>
        <v/>
      </c>
    </row>
    <row r="166" ht="14.25" customHeight="1" s="86">
      <c r="A166" s="103" t="n">
        <v>43677</v>
      </c>
      <c r="B166" s="89" t="n">
        <v>18672.31</v>
      </c>
      <c r="C166" s="99">
        <f>(B166/B165-1)/(A166-A165)*30</f>
        <v/>
      </c>
      <c r="D166" s="118">
        <f>B166/$B$3*100</f>
        <v/>
      </c>
      <c r="F166" s="103" t="n">
        <v>43677</v>
      </c>
      <c r="G166" s="90" t="n">
        <v>1020.2684</v>
      </c>
      <c r="H166" s="90">
        <f>+G166+$S$150</f>
        <v/>
      </c>
      <c r="I166" s="99">
        <f>+(H166/H165-1)/(F166-F165)*30</f>
        <v/>
      </c>
      <c r="J166" s="104">
        <f>+J165*(1+I166)</f>
        <v/>
      </c>
      <c r="K166" s="89" t="n">
        <v>4863.4466</v>
      </c>
      <c r="L166" s="99">
        <f>+(K166/K165-1)/(F166-F165)*30</f>
        <v/>
      </c>
      <c r="M166" s="105">
        <f>+M165*(1+L165)</f>
        <v/>
      </c>
    </row>
    <row r="167" ht="14.25" customHeight="1" s="86">
      <c r="A167" s="103" t="n">
        <v>43708</v>
      </c>
      <c r="B167" s="89" t="n">
        <v>18712.55</v>
      </c>
      <c r="C167" s="99">
        <f>(B167/B166-1)/(A167-A166)*30</f>
        <v/>
      </c>
      <c r="D167" s="118">
        <f>B167/$B$3*100</f>
        <v/>
      </c>
      <c r="F167" s="103" t="n">
        <v>43708</v>
      </c>
      <c r="G167" s="90" t="n">
        <v>1022.2762</v>
      </c>
      <c r="H167" s="90">
        <f>+G167+$S$150</f>
        <v/>
      </c>
      <c r="I167" s="99">
        <f>+(H167/H166-1)/(F167-F166)*30</f>
        <v/>
      </c>
      <c r="J167" s="104">
        <f>+J166*(1+I167)</f>
        <v/>
      </c>
      <c r="K167" s="89" t="n">
        <v>4868.1253</v>
      </c>
      <c r="L167" s="99">
        <f>+(K167/K166-1)/(F167-F166)*30</f>
        <v/>
      </c>
      <c r="M167" s="105">
        <f>+M166*(1+L166)</f>
        <v/>
      </c>
    </row>
    <row r="168" ht="14.25" customHeight="1" s="86">
      <c r="A168" s="103" t="n">
        <v>43738</v>
      </c>
      <c r="B168" s="89" t="n">
        <v>18744.77</v>
      </c>
      <c r="C168" s="99">
        <f>(B168/B167-1)/(A168-A167)*30</f>
        <v/>
      </c>
      <c r="D168" s="118">
        <f>B168/$B$3*100</f>
        <v/>
      </c>
      <c r="F168" s="103" t="n">
        <v>43738</v>
      </c>
      <c r="G168" s="90" t="n">
        <v>1024.1257</v>
      </c>
      <c r="H168" s="90">
        <f>+G168+$S$150</f>
        <v/>
      </c>
      <c r="I168" s="99">
        <f>+(H168/H167-1)/(F168-F167)*30</f>
        <v/>
      </c>
      <c r="J168" s="104">
        <f>+J167*(1+I168)</f>
        <v/>
      </c>
      <c r="K168" s="89" t="n">
        <v>4873.326</v>
      </c>
      <c r="L168" s="99">
        <f>+(K168/K167-1)/(F168-F167)*30</f>
        <v/>
      </c>
      <c r="M168" s="105">
        <f>+M167*(1+L167)</f>
        <v/>
      </c>
    </row>
    <row r="169" ht="14.25" customHeight="1" s="86">
      <c r="A169" s="103" t="n">
        <v>43769</v>
      </c>
      <c r="B169" s="89" t="n">
        <v>18776.102</v>
      </c>
      <c r="C169" s="99">
        <f>(B169/B168-1)/(A169-A168)*30</f>
        <v/>
      </c>
      <c r="D169" s="118">
        <f>B169/$B$3*100</f>
        <v/>
      </c>
      <c r="F169" s="103" t="n">
        <v>43769</v>
      </c>
      <c r="G169" s="90" t="n">
        <v>1025.594</v>
      </c>
      <c r="H169" s="90">
        <f>+G169+$S$150</f>
        <v/>
      </c>
      <c r="I169" s="99">
        <f>+(H169/H168-1)/(F169-F168)*30</f>
        <v/>
      </c>
      <c r="J169" s="104">
        <f>+J168*(1+I169)</f>
        <v/>
      </c>
      <c r="K169" s="89" t="n">
        <v>4876.4951</v>
      </c>
      <c r="L169" s="99">
        <f>+(K169/K168-1)/(F169-F168)*30</f>
        <v/>
      </c>
      <c r="M169" s="105">
        <f>+M168*(1+L168)</f>
        <v/>
      </c>
    </row>
    <row r="170" ht="14.25" customHeight="1" s="86">
      <c r="A170" s="103" t="n">
        <v>43799</v>
      </c>
      <c r="B170" s="89" t="n">
        <v>18802.79</v>
      </c>
      <c r="C170" s="99">
        <f>(B170/B169-1)/(A170-A169)*30</f>
        <v/>
      </c>
      <c r="D170" s="118">
        <f>B170/$B$3*100</f>
        <v/>
      </c>
      <c r="F170" s="103" t="n">
        <v>43799</v>
      </c>
      <c r="G170" s="90" t="n">
        <v>1027.2489</v>
      </c>
      <c r="H170" s="90">
        <f>+G170+$S$150</f>
        <v/>
      </c>
      <c r="I170" s="99">
        <f>+(H170/H169-1)/(F170-F169)*30</f>
        <v/>
      </c>
      <c r="J170" s="104">
        <f>+J169*(1+I170)</f>
        <v/>
      </c>
      <c r="K170" s="89" t="n">
        <v>4879.8683</v>
      </c>
      <c r="L170" s="99">
        <f>+(K170/K169-1)/(F170-F169)*30</f>
        <v/>
      </c>
      <c r="M170" s="105">
        <f>+M169*(1+L169)</f>
        <v/>
      </c>
    </row>
    <row r="171" ht="14.25" customHeight="1" s="86">
      <c r="A171" s="103" t="n">
        <v>43830</v>
      </c>
      <c r="B171" s="89" t="n">
        <v>18830.68</v>
      </c>
      <c r="C171" s="99">
        <f>(B171/B170-1)/(A171-A170)*30</f>
        <v/>
      </c>
      <c r="D171" s="118">
        <f>B171/$B$3*100</f>
        <v/>
      </c>
      <c r="F171" s="103" t="n">
        <v>43830</v>
      </c>
      <c r="G171" s="90" t="n">
        <v>999.0517</v>
      </c>
      <c r="H171" s="90">
        <f>+G171+$S$150+$S$152</f>
        <v/>
      </c>
      <c r="I171" s="99">
        <f>+(H171/H170-1)/(F171-F170)*30</f>
        <v/>
      </c>
      <c r="J171" s="104">
        <f>+J170*(1+I171)</f>
        <v/>
      </c>
      <c r="K171" s="89" t="n">
        <v>4882.8959</v>
      </c>
      <c r="L171" s="99">
        <f>+(K171/K170-1)/(F171-F170)*30</f>
        <v/>
      </c>
      <c r="M171" s="105">
        <f>+M170*(1+L170)</f>
        <v/>
      </c>
    </row>
    <row r="172" ht="14.25" customHeight="1" s="86">
      <c r="A172" s="103" t="n">
        <v>43861</v>
      </c>
      <c r="B172" s="89" t="n">
        <v>18861.86</v>
      </c>
      <c r="C172" s="99">
        <f>(B172/B171-1)/(A172-A171)*30</f>
        <v/>
      </c>
      <c r="D172" s="118">
        <f>B172/$B$3*100</f>
        <v/>
      </c>
      <c r="F172" s="103" t="n">
        <v>43861</v>
      </c>
      <c r="G172" s="90" t="n">
        <v>1000.4997</v>
      </c>
      <c r="H172" s="90">
        <f>+G172+$S$150+$S$152</f>
        <v/>
      </c>
      <c r="I172" s="99">
        <f>+(H172/H171-1)/(F172-F171)*30</f>
        <v/>
      </c>
      <c r="J172" s="104">
        <f>+J171*(1+I172)</f>
        <v/>
      </c>
      <c r="K172" s="89" t="n">
        <v>4885.3887</v>
      </c>
      <c r="L172" s="99">
        <f>+(K172/K171-1)/(F172-F171)*30</f>
        <v/>
      </c>
      <c r="M172" s="105">
        <f>+M171*(1+L171)</f>
        <v/>
      </c>
    </row>
    <row r="173" ht="14.25" customHeight="1" s="86">
      <c r="A173" s="103" t="n">
        <v>43890</v>
      </c>
      <c r="B173" s="89" t="n">
        <v>18887.8867</v>
      </c>
      <c r="C173" s="99">
        <f>(B173/B172-1)/(A173-A172)*30</f>
        <v/>
      </c>
      <c r="D173" s="118">
        <f>B173/$B$3*100</f>
        <v/>
      </c>
      <c r="F173" s="103" t="n">
        <v>43890</v>
      </c>
      <c r="G173" s="90" t="n">
        <v>1001.7586</v>
      </c>
      <c r="H173" s="90">
        <f>+G173+$S$150+$S$152</f>
        <v/>
      </c>
      <c r="I173" s="99">
        <f>+(H173/H172-1)/(F173-F172)*30</f>
        <v/>
      </c>
      <c r="J173" s="104">
        <f>+J172*(1+I173)</f>
        <v/>
      </c>
      <c r="K173" s="89" t="n">
        <v>4887.7164</v>
      </c>
      <c r="L173" s="99">
        <f>+(K173/K172-1)/(F173-F172)*30</f>
        <v/>
      </c>
      <c r="M173" s="105">
        <f>+M172*(1+L172)</f>
        <v/>
      </c>
    </row>
    <row r="174" ht="14.25" customHeight="1" s="86">
      <c r="A174" s="103" t="n">
        <v>43921</v>
      </c>
      <c r="B174" s="89" t="n">
        <v>18908.77</v>
      </c>
      <c r="C174" s="99">
        <f>(B174/B173-1)/(A174-A173)*30</f>
        <v/>
      </c>
      <c r="D174" s="118">
        <f>B174/$B$3*100</f>
        <v/>
      </c>
      <c r="F174" s="103" t="n">
        <v>43921</v>
      </c>
      <c r="G174" s="90" t="n">
        <v>1002.9947</v>
      </c>
      <c r="H174" s="90">
        <f>+G174+$S$150+$S$152</f>
        <v/>
      </c>
      <c r="I174" s="99">
        <f>+(H174/H173-1)/(F174-F173)*30</f>
        <v/>
      </c>
      <c r="J174" s="104">
        <f>+J173*(1+I174)</f>
        <v/>
      </c>
      <c r="K174" s="89" t="n">
        <v>4892.3528</v>
      </c>
      <c r="L174" s="99">
        <f>+(K174/K173-1)/(F174-F173)*30</f>
        <v/>
      </c>
      <c r="M174" s="105">
        <f>+M173*(1+L173)</f>
        <v/>
      </c>
    </row>
    <row r="175" ht="14.25" customHeight="1" s="86">
      <c r="A175" s="103" t="n">
        <v>43951</v>
      </c>
      <c r="B175" s="89" t="n">
        <v>18917.93</v>
      </c>
      <c r="C175" s="99">
        <f>(B175/B174-1)/(A175-A174)*30</f>
        <v/>
      </c>
      <c r="D175" s="118">
        <f>B175/$B$3*100</f>
        <v/>
      </c>
      <c r="F175" s="103" t="n">
        <v>43951</v>
      </c>
      <c r="G175" s="90" t="n">
        <v>1004.0643</v>
      </c>
      <c r="H175" s="90">
        <f>+G175+$S$150+$S$152</f>
        <v/>
      </c>
      <c r="I175" s="99">
        <f>+(H175/H174-1)/(F175-F174)*30</f>
        <v/>
      </c>
      <c r="J175" s="104">
        <f>+J174*(1+I175)</f>
        <v/>
      </c>
      <c r="K175" s="89" t="n">
        <v>4903.1164</v>
      </c>
      <c r="L175" s="99">
        <f>+(K175/K174-1)/(F175-F174)*30</f>
        <v/>
      </c>
      <c r="M175" s="105">
        <f>+M174*(1+L174)</f>
        <v/>
      </c>
    </row>
    <row r="176" ht="14.25" customHeight="1" s="86">
      <c r="A176" s="103" t="n">
        <v>43982</v>
      </c>
      <c r="B176" s="89" t="n">
        <v>18925.24</v>
      </c>
      <c r="C176" s="99">
        <f>(B176/B175-1)/(A176-A175)*30</f>
        <v/>
      </c>
      <c r="D176" s="118">
        <f>B176/$B$3*100</f>
        <v/>
      </c>
      <c r="F176" s="103" t="n">
        <v>43982</v>
      </c>
      <c r="G176" s="90" t="n">
        <v>1004.7254</v>
      </c>
      <c r="H176" s="90">
        <f>+G176+$S$150+$S$152</f>
        <v/>
      </c>
      <c r="I176" s="99">
        <f>+(H176/H175-1)/(F176-F175)*30</f>
        <v/>
      </c>
      <c r="J176" s="104">
        <f>+J175*(1+I176)</f>
        <v/>
      </c>
      <c r="K176" s="89" t="n">
        <v>4904.6881</v>
      </c>
      <c r="L176" s="99">
        <f>+(K176/K175-1)/(F176-F175)*30</f>
        <v/>
      </c>
      <c r="M176" s="105">
        <f>+M175*(1+L175)</f>
        <v/>
      </c>
    </row>
    <row r="177" ht="14.25" customHeight="1" s="86">
      <c r="A177" s="103" t="n">
        <v>44012</v>
      </c>
      <c r="B177" s="89" t="n">
        <v>18932.63</v>
      </c>
      <c r="C177" s="99">
        <f>(B177/B176-1)/(A177-A176)*30</f>
        <v/>
      </c>
      <c r="D177" s="118">
        <f>B177/$B$3*100</f>
        <v/>
      </c>
      <c r="F177" s="103" t="n">
        <v>44012</v>
      </c>
      <c r="G177" s="90" t="n">
        <v>1005.3172</v>
      </c>
      <c r="H177" s="90">
        <f>+G177+$S$150+$S$152</f>
        <v/>
      </c>
      <c r="I177" s="99">
        <f>+(H177/H176-1)/(F177-F176)*30</f>
        <v/>
      </c>
      <c r="J177" s="104">
        <f>+J176*(1+I177)</f>
        <v/>
      </c>
      <c r="K177" s="89" t="n">
        <v>4905.1791</v>
      </c>
      <c r="L177" s="99">
        <f>+(K177/K176-1)/(F177-F176)*30</f>
        <v/>
      </c>
      <c r="M177" s="105">
        <f>+M176*(1+L176)</f>
        <v/>
      </c>
    </row>
    <row r="178" ht="14.25" customHeight="1" s="86">
      <c r="A178" s="103" t="n">
        <v>44043</v>
      </c>
      <c r="B178" s="89" t="n">
        <v>18940.74</v>
      </c>
      <c r="C178" s="99">
        <f>(B178/B177-1)/(A178-A177)*30</f>
        <v/>
      </c>
      <c r="D178" s="118">
        <f>B178/$B$3*100</f>
        <v/>
      </c>
      <c r="F178" s="103" t="n">
        <v>44043</v>
      </c>
      <c r="G178" s="90" t="n">
        <v>1005.7503</v>
      </c>
      <c r="H178" s="90">
        <f>+G178+$S$150+$S$152</f>
        <v/>
      </c>
      <c r="I178" s="99">
        <f>+(H178/H177-1)/(F178-F177)*30</f>
        <v/>
      </c>
      <c r="J178" s="104">
        <f>+J177*(1+I178)</f>
        <v/>
      </c>
      <c r="K178" s="89" t="n">
        <v>4905.6404</v>
      </c>
      <c r="L178" s="99">
        <f>+(K178/K177-1)/(F178-F177)*30</f>
        <v/>
      </c>
      <c r="M178" s="105">
        <f>+M177*(1+L177)</f>
        <v/>
      </c>
    </row>
    <row r="179" ht="14.25" customHeight="1" s="86">
      <c r="A179" s="103" t="n">
        <v>44074</v>
      </c>
      <c r="B179" s="89" t="n">
        <v>18948.69</v>
      </c>
      <c r="C179" s="99">
        <f>(B179/B178-1)/(A179-A178)*30</f>
        <v/>
      </c>
      <c r="D179" s="118">
        <f>B179/$B$3*100</f>
        <v/>
      </c>
      <c r="F179" s="103" t="n">
        <v>44074</v>
      </c>
      <c r="G179" s="90" t="n">
        <v>1006.3171</v>
      </c>
      <c r="H179" s="90">
        <f>+G179+$S$150+$S$152</f>
        <v/>
      </c>
      <c r="I179" s="99">
        <f>+(H179/H178-1)/(F179-F178)*30</f>
        <v/>
      </c>
      <c r="J179" s="104">
        <f>+J178*(1+I179)</f>
        <v/>
      </c>
      <c r="K179" s="89" t="n">
        <v>4906.1183</v>
      </c>
      <c r="L179" s="99">
        <f>+(K179/K178-1)/(F179-F178)*30</f>
        <v/>
      </c>
      <c r="M179" s="105">
        <f>+M178*(1+L178)</f>
        <v/>
      </c>
    </row>
    <row r="180" ht="14.25" customHeight="1" s="86">
      <c r="A180" s="103" t="n">
        <v>44104</v>
      </c>
      <c r="B180" s="89" t="n">
        <v>18956.17</v>
      </c>
      <c r="C180" s="99">
        <f>(B180/B179-1)/(A180-A179)*30</f>
        <v/>
      </c>
      <c r="D180" s="118">
        <f>B180/$B$3*100</f>
        <v/>
      </c>
      <c r="F180" s="103" t="n">
        <v>44104</v>
      </c>
      <c r="G180" s="90" t="n">
        <v>1006.8864</v>
      </c>
      <c r="H180" s="90">
        <f>+G180+$S$150+$S$152</f>
        <v/>
      </c>
      <c r="I180" s="99">
        <f>+(H180/H179-1)/(F180-F179)*30</f>
        <v/>
      </c>
      <c r="J180" s="104">
        <f>+J179*(1+I180)</f>
        <v/>
      </c>
      <c r="K180" s="89" t="n">
        <v>4906.466</v>
      </c>
      <c r="L180" s="99">
        <f>+(K180/K179-1)/(F180-F179)*30</f>
        <v/>
      </c>
      <c r="M180" s="105">
        <f>+M179*(1+L179)</f>
        <v/>
      </c>
    </row>
    <row r="181" ht="14.25" customHeight="1" s="86">
      <c r="A181" s="103" t="n">
        <v>44135</v>
      </c>
      <c r="B181" s="89" t="n">
        <v>18963.23</v>
      </c>
      <c r="C181" s="99">
        <f>(B181/B180-1)/(A181-A180)*30</f>
        <v/>
      </c>
      <c r="D181" s="118">
        <f>B181/$B$3*100</f>
        <v/>
      </c>
      <c r="F181" s="103" t="n">
        <v>44135</v>
      </c>
      <c r="G181" s="90" t="n">
        <v>1007.6804</v>
      </c>
      <c r="H181" s="90">
        <f>+G181+$S$150+$S$152</f>
        <v/>
      </c>
      <c r="I181" s="99">
        <f>+(H181/H180-1)/(F181-F180)*30</f>
        <v/>
      </c>
      <c r="J181" s="104">
        <f>+J180*(1+I181)</f>
        <v/>
      </c>
      <c r="K181" s="89" t="n">
        <v>4906.7963</v>
      </c>
      <c r="L181" s="99">
        <f>+(K181/K180-1)/(F181-F180)*30</f>
        <v/>
      </c>
      <c r="M181" s="105">
        <f>+M180*(1+L180)</f>
        <v/>
      </c>
    </row>
    <row r="182" ht="14.25" customHeight="1" s="86">
      <c r="A182" s="103" t="n">
        <v>44165</v>
      </c>
      <c r="B182" s="105" t="n">
        <v>18969.48</v>
      </c>
      <c r="C182" s="99">
        <f>(B182/B181-1)/(A182-A181)*30</f>
        <v/>
      </c>
      <c r="D182" s="118">
        <f>B182/$B$3*100</f>
        <v/>
      </c>
      <c r="F182" s="103" t="n">
        <v>44165</v>
      </c>
      <c r="G182" s="90" t="n">
        <v>1008.4489</v>
      </c>
      <c r="H182" s="90">
        <f>+G182+$S$150+$S$152</f>
        <v/>
      </c>
      <c r="I182" s="99">
        <f>+(H182/H181-1)/(F182-F181)*30</f>
        <v/>
      </c>
      <c r="J182" s="104">
        <f>+J181*(1+I182)</f>
        <v/>
      </c>
      <c r="K182" s="89" t="n">
        <v>4907.0953</v>
      </c>
      <c r="L182" s="99">
        <f>+(K182/K181-1)/(F182-F181)*30</f>
        <v/>
      </c>
      <c r="M182" s="105">
        <f>+M181*(1+L181)</f>
        <v/>
      </c>
      <c r="AD182" s="143" t="n"/>
      <c r="AE182" s="143" t="n"/>
      <c r="AF182" s="143" t="n"/>
      <c r="AG182" s="143" t="n"/>
      <c r="AH182" s="143" t="n"/>
      <c r="AI182" s="143" t="n"/>
      <c r="AJ182" s="143" t="n"/>
      <c r="AK182" s="143" t="n"/>
      <c r="AL182" s="143" t="n"/>
      <c r="AM182" s="143" t="n"/>
      <c r="AN182" s="143" t="n"/>
      <c r="AO182" s="143" t="n"/>
      <c r="AP182" s="143" t="n"/>
      <c r="AQ182" s="143" t="n"/>
    </row>
    <row r="183" ht="14.25" customHeight="1" s="86">
      <c r="A183" s="103" t="n">
        <v>44196</v>
      </c>
      <c r="B183" s="89" t="n">
        <v>18976.88</v>
      </c>
      <c r="C183" s="99">
        <f>(B183/B182-1)/(A183-A182)*30</f>
        <v/>
      </c>
      <c r="D183" s="118">
        <f>B183/$B$3*100</f>
        <v/>
      </c>
      <c r="F183" s="103" t="n">
        <v>44196</v>
      </c>
      <c r="G183" s="90" t="n">
        <v>1032.5327</v>
      </c>
      <c r="H183" s="90">
        <f>+G183+$S$150+$S$152</f>
        <v/>
      </c>
      <c r="I183" s="99">
        <f>+(H183/H182-1)/(F183-F182)*30</f>
        <v/>
      </c>
      <c r="J183" s="104">
        <f>+J182*(1+I183)</f>
        <v/>
      </c>
      <c r="K183" s="89" t="n">
        <v>4907.3928</v>
      </c>
      <c r="L183" s="99">
        <f>+(K183/K182-1)/(F183-F182)*30</f>
        <v/>
      </c>
      <c r="M183" s="105">
        <f>+M182*(1+L182)</f>
        <v/>
      </c>
    </row>
    <row r="184" ht="14.25" customHeight="1" s="86">
      <c r="A184" s="103" t="n">
        <v>44227</v>
      </c>
      <c r="B184" s="89" t="n">
        <v>18982.04</v>
      </c>
      <c r="C184" s="99">
        <f>(B184/B183-1)/(A184-A183)*30</f>
        <v/>
      </c>
      <c r="D184" s="118">
        <f>B184/$B$3*100</f>
        <v/>
      </c>
      <c r="F184" s="103" t="n">
        <v>44227</v>
      </c>
      <c r="G184" s="90" t="n">
        <v>1032.3883</v>
      </c>
      <c r="H184" s="90">
        <f>+G184+$S$150+$S$152</f>
        <v/>
      </c>
      <c r="I184" s="99">
        <f>+(H184/H183-1)/(F184-F183)*30</f>
        <v/>
      </c>
      <c r="J184" s="104">
        <f>+J183*(1+I184)</f>
        <v/>
      </c>
      <c r="K184" s="89" t="n">
        <v>4907.6472</v>
      </c>
      <c r="L184" s="99">
        <f>+(K184/K183-1)/(F184-F183)*30</f>
        <v/>
      </c>
      <c r="M184" s="105">
        <f>+M183*(1+L183)</f>
        <v/>
      </c>
    </row>
    <row r="185" ht="14.25" customHeight="1" s="86">
      <c r="A185" s="103" t="n">
        <v>44255</v>
      </c>
      <c r="B185" s="89" t="n">
        <v>18986.58</v>
      </c>
      <c r="C185" s="99">
        <f>(B185/B184-1)/(A185-A184)*30</f>
        <v/>
      </c>
      <c r="D185" s="118">
        <f>B185/$B$3*100</f>
        <v/>
      </c>
      <c r="F185" s="103" t="n">
        <v>44255</v>
      </c>
      <c r="G185" s="90" t="n">
        <v>1032.5143</v>
      </c>
      <c r="H185" s="90">
        <f>+G185+$S$150+$S$152</f>
        <v/>
      </c>
      <c r="I185" s="99">
        <f>+(H185/H184-1)/(F185-F184)*30</f>
        <v/>
      </c>
      <c r="J185" s="104">
        <f>+J184*(1+I185)</f>
        <v/>
      </c>
      <c r="K185" s="89" t="n">
        <v>4907.9052</v>
      </c>
      <c r="L185" s="99">
        <f>+(K185/K184-1)/(F185-F184)*30</f>
        <v/>
      </c>
      <c r="M185" s="105">
        <f>+M184*(1+L184)</f>
        <v/>
      </c>
    </row>
    <row r="186" ht="14.25" customHeight="1" s="86">
      <c r="A186" s="103" t="n">
        <v>44286</v>
      </c>
      <c r="B186" s="105" t="n">
        <v>18991.5</v>
      </c>
      <c r="C186" s="99">
        <f>(B186/B185-1)/(A186-A185)*30</f>
        <v/>
      </c>
      <c r="D186" s="118">
        <f>B186/$B$3*100</f>
        <v/>
      </c>
      <c r="F186" s="103" t="n">
        <v>44286</v>
      </c>
      <c r="G186" s="90" t="n">
        <v>1033.6548</v>
      </c>
      <c r="H186" s="90">
        <f>+G186+$S$150+$S$152</f>
        <v/>
      </c>
      <c r="I186" s="99">
        <f>+(H186/H185-1)/(F186-F185)*30</f>
        <v/>
      </c>
      <c r="J186" s="104">
        <f>+J185*(1+I186)</f>
        <v/>
      </c>
      <c r="K186" s="89" t="n">
        <v>4908.1704</v>
      </c>
      <c r="L186" s="99">
        <f>+(K186/K185-1)/(F186-F185)*30</f>
        <v/>
      </c>
      <c r="M186" s="105">
        <f>+M185*(1+L185)</f>
        <v/>
      </c>
    </row>
    <row r="187" ht="14.25" customHeight="1" s="86">
      <c r="A187" s="103" t="n">
        <v>44316</v>
      </c>
      <c r="B187" s="89" t="n">
        <v>18997.09</v>
      </c>
      <c r="C187" s="99">
        <f>(B187/B186-1)/(A187-A186)*30</f>
        <v/>
      </c>
      <c r="D187" s="118">
        <f>B187/$B$3*100</f>
        <v/>
      </c>
      <c r="F187" s="103" t="n">
        <v>44316</v>
      </c>
      <c r="G187" s="90" t="n">
        <v>1033.8424</v>
      </c>
      <c r="H187" s="90">
        <f>+G187+$S$150+$S$152</f>
        <v/>
      </c>
      <c r="I187" s="99">
        <f>+(H187/H186-1)/(F187-F186)*30</f>
        <v/>
      </c>
      <c r="J187" s="104">
        <f>+J186*(1+I187)</f>
        <v/>
      </c>
      <c r="K187" s="89" t="n">
        <v>4908.4956</v>
      </c>
      <c r="L187" s="99">
        <f>+(K187/K186-1)/(F187-F186)*30</f>
        <v/>
      </c>
      <c r="M187" s="105">
        <f>+M186*(1+L186)</f>
        <v/>
      </c>
    </row>
    <row r="188" ht="14.25" customHeight="1" s="86">
      <c r="A188" s="103" t="n">
        <v>44347</v>
      </c>
      <c r="B188" s="89" t="n">
        <v>19001.7</v>
      </c>
      <c r="C188" s="99">
        <f>(B188/B187-1)/(A188-A187)*30</f>
        <v/>
      </c>
      <c r="D188" s="118">
        <f>B188/$B$3*100</f>
        <v/>
      </c>
      <c r="F188" s="103" t="n">
        <v>44347</v>
      </c>
      <c r="G188" s="90" t="n">
        <v>1034.8583</v>
      </c>
      <c r="H188" s="90">
        <f>+G188+$S$150+$S$152</f>
        <v/>
      </c>
      <c r="I188" s="99">
        <f>+(H188/H187-1)/(F188-F187)*30</f>
        <v/>
      </c>
      <c r="J188" s="104">
        <f>+J187*(1+I188)</f>
        <v/>
      </c>
      <c r="K188" s="104" t="n">
        <v>4908.7905</v>
      </c>
      <c r="L188" s="99">
        <f>+(K188/K187-1)/(F188-F187)*30</f>
        <v/>
      </c>
      <c r="M188" s="105">
        <f>+M187*(1+L187)</f>
        <v/>
      </c>
    </row>
    <row r="189" ht="14.25" customHeight="1" s="86">
      <c r="A189" s="103" t="n">
        <v>44377</v>
      </c>
      <c r="B189" s="89" t="n">
        <v>19006.88</v>
      </c>
      <c r="C189" s="99">
        <f>(B189/B188-1)/(A189-A188)*30</f>
        <v/>
      </c>
      <c r="D189" s="118">
        <f>B189/$B$3*100</f>
        <v/>
      </c>
      <c r="F189" s="103" t="n">
        <v>44377</v>
      </c>
      <c r="G189" s="90" t="n">
        <v>1035.6465</v>
      </c>
      <c r="H189" s="90">
        <f>+G189+$S$150+$S$152</f>
        <v/>
      </c>
      <c r="I189" s="99">
        <f>+(H189/H188-1)/(F189-F188)*30</f>
        <v/>
      </c>
      <c r="J189" s="104">
        <f>+J188*(1+I189)</f>
        <v/>
      </c>
      <c r="K189" s="89" t="n">
        <v>4909.0847</v>
      </c>
      <c r="L189" s="99">
        <f>+(K189/K188-1)/(F189-F188)*30</f>
        <v/>
      </c>
      <c r="M189" s="105">
        <f>+M188*(1+L188)</f>
        <v/>
      </c>
    </row>
    <row r="190" ht="14.25" customHeight="1" s="86">
      <c r="A190" s="103" t="n">
        <v>44408</v>
      </c>
      <c r="B190" s="89" t="n">
        <v>19016.42</v>
      </c>
      <c r="C190" s="99">
        <f>(B190/B189-1)/(A190-A189)*30</f>
        <v/>
      </c>
      <c r="D190" s="118">
        <f>B190/$B$3*100</f>
        <v/>
      </c>
      <c r="F190" s="103" t="n">
        <v>44408</v>
      </c>
      <c r="G190" s="90" t="n">
        <v>1036.021</v>
      </c>
      <c r="H190" s="90">
        <f>+G190+$S$150+$S$152</f>
        <v/>
      </c>
      <c r="I190" s="99">
        <f>+(H190/H189-1)/(F190-F189)*30</f>
        <v/>
      </c>
      <c r="J190" s="104">
        <f>+J189*(1+I190)</f>
        <v/>
      </c>
      <c r="K190" s="104" t="n">
        <v>4909.3885</v>
      </c>
      <c r="L190" s="99">
        <f>+(K190/K189-1)/(F190-F189)*30</f>
        <v/>
      </c>
      <c r="M190" s="105">
        <f>+M189*(1+L189)</f>
        <v/>
      </c>
    </row>
    <row r="191" ht="14.25" customHeight="1" s="86">
      <c r="A191" s="103" t="n">
        <v>44439</v>
      </c>
      <c r="B191" s="89" t="n">
        <v>19028.38</v>
      </c>
      <c r="C191" s="99">
        <f>(B191/B190-1)/(A191-A190)*30</f>
        <v/>
      </c>
      <c r="D191" s="118">
        <f>B191/$B$3*100</f>
        <v/>
      </c>
      <c r="F191" s="103" t="n">
        <v>44439</v>
      </c>
      <c r="G191" s="90" t="n">
        <v>1036.5599</v>
      </c>
      <c r="H191" s="90">
        <f>+G191+$S$150+$S$152</f>
        <v/>
      </c>
      <c r="I191" s="99">
        <f>+(H191/H190-1)/(F191-F190)*30</f>
        <v/>
      </c>
      <c r="J191" s="104">
        <f>+J190*(1+I191)</f>
        <v/>
      </c>
      <c r="K191" s="104" t="n">
        <v>4909.6931</v>
      </c>
      <c r="L191" s="99">
        <f>+(K191/K190-1)/(F191-F190)*30</f>
        <v/>
      </c>
      <c r="M191" s="105">
        <f>+M190*(1+L190)</f>
        <v/>
      </c>
    </row>
    <row r="192" ht="14.25" customHeight="1" s="86">
      <c r="A192" s="103" t="n">
        <v>44469</v>
      </c>
      <c r="B192" s="89" t="n">
        <v>19052.12</v>
      </c>
      <c r="C192" s="99">
        <f>(B192/B191-1)/(A192-A191)*30</f>
        <v/>
      </c>
      <c r="D192" s="118">
        <f>B192/$B$3*100</f>
        <v/>
      </c>
      <c r="F192" s="103" t="n">
        <v>44469</v>
      </c>
      <c r="G192" s="90" t="n">
        <v>1036.8136</v>
      </c>
      <c r="H192" s="90">
        <f>+G192+$S$150+$S$152</f>
        <v/>
      </c>
      <c r="I192" s="99">
        <f>+(H192/H191-1)/(F192-F191)*30</f>
        <v/>
      </c>
      <c r="J192" s="104">
        <f>+J191*(1+I192)</f>
        <v/>
      </c>
      <c r="K192" s="104" t="n">
        <v>4909.1149</v>
      </c>
      <c r="L192" s="99">
        <f>+(K192/K191-1)/(F192-F191)*30</f>
        <v/>
      </c>
      <c r="M192" s="105">
        <f>+M191*(1+L191)</f>
        <v/>
      </c>
    </row>
    <row r="193" ht="14.25" customHeight="1" s="86">
      <c r="A193" s="103" t="n">
        <v>44500</v>
      </c>
      <c r="B193" s="89" t="n">
        <v>19091.59</v>
      </c>
      <c r="C193" s="99">
        <f>(B193/B192-1)/(A193-A192)*30</f>
        <v/>
      </c>
      <c r="D193" s="118">
        <f>B193/$B$3*100</f>
        <v/>
      </c>
      <c r="F193" s="103" t="n">
        <v>44500</v>
      </c>
      <c r="G193" s="90" t="n">
        <v>1037.0987</v>
      </c>
      <c r="H193" s="90">
        <f>+G193+$S$150+$S$152</f>
        <v/>
      </c>
      <c r="I193" s="99">
        <f>+(H193/H192-1)/(F193-F192)*30</f>
        <v/>
      </c>
      <c r="J193" s="104">
        <f>+J192*(1+I193)</f>
        <v/>
      </c>
      <c r="K193" s="104" t="n">
        <v>4914.1336</v>
      </c>
      <c r="L193" s="99">
        <f>+(K193/K192-1)/(F193-F192)*30</f>
        <v/>
      </c>
      <c r="M193" s="105">
        <f>+M192*(1+L192)</f>
        <v/>
      </c>
    </row>
    <row r="194" ht="14.25" customHeight="1" s="86">
      <c r="A194" s="103" t="n">
        <v>44530</v>
      </c>
      <c r="B194" s="89" t="n">
        <v>19132.47</v>
      </c>
      <c r="C194" s="99">
        <f>(B194/B193-1)/(A194-A193)*30</f>
        <v/>
      </c>
      <c r="D194" s="89">
        <f>B194/$B$3*100</f>
        <v/>
      </c>
      <c r="F194" s="103" t="n">
        <v>44530</v>
      </c>
      <c r="G194" s="90" t="n">
        <v>1037.6313</v>
      </c>
      <c r="H194" s="90">
        <f>+G194+$S$150+$S$152</f>
        <v/>
      </c>
      <c r="I194" s="99">
        <f>+(H194/H193-1)/(F194-F193)*30</f>
        <v/>
      </c>
      <c r="J194" s="104">
        <f>+J193*(1+I194)</f>
        <v/>
      </c>
      <c r="K194" s="104" t="n">
        <v>4920.3216</v>
      </c>
      <c r="L194" s="99">
        <f>+(K194/K193-1)/(F194-F193)*30</f>
        <v/>
      </c>
      <c r="M194" s="105">
        <f>+M193*(1+L193)</f>
        <v/>
      </c>
    </row>
    <row r="195" ht="14.25" customHeight="1" s="86">
      <c r="A195" s="103" t="n">
        <v>44561</v>
      </c>
      <c r="B195" s="89" t="n">
        <v>19193.41</v>
      </c>
      <c r="C195" s="99">
        <f>(B195/B194-1)/(A195-A194)*30</f>
        <v/>
      </c>
      <c r="D195" s="89">
        <f>B195/$B$3*100</f>
        <v/>
      </c>
      <c r="F195" s="103" t="n">
        <v>44561</v>
      </c>
      <c r="G195" s="90">
        <f>1035.7635</f>
        <v/>
      </c>
      <c r="H195" s="90">
        <f>+G195+$S$150+$S$152+$S$154</f>
        <v/>
      </c>
      <c r="I195" s="99">
        <f>+(H195/H194-1)/(F195-F194)*30</f>
        <v/>
      </c>
      <c r="J195" s="104">
        <f>+J194*(1+I195)</f>
        <v/>
      </c>
      <c r="K195" s="89" t="n">
        <v>4929.2918</v>
      </c>
      <c r="L195" s="99">
        <f>+(K195/K194-1)/(F195-F194)*30</f>
        <v/>
      </c>
      <c r="M195" s="105">
        <f>+M194*(1+L194)</f>
        <v/>
      </c>
    </row>
    <row r="196" ht="14.25" customHeight="1" s="86">
      <c r="A196" s="103" t="n">
        <v>44592</v>
      </c>
      <c r="B196" s="89" t="n">
        <v>19259.35</v>
      </c>
      <c r="C196" s="99">
        <f>(B196/B195-1)/(A196-A195)*30</f>
        <v/>
      </c>
      <c r="D196" s="89">
        <f>B196/$B$3*100</f>
        <v/>
      </c>
      <c r="F196" s="103" t="n">
        <v>44592</v>
      </c>
      <c r="G196" s="90" t="n">
        <v>1037.3555</v>
      </c>
      <c r="H196" s="90">
        <f>+G196+$S$150+$S$152+$S$154</f>
        <v/>
      </c>
      <c r="I196" s="99">
        <f>+(H196/H195-1)/(F196-F195)*30</f>
        <v/>
      </c>
      <c r="J196" s="104">
        <f>+J195*(1+I196)</f>
        <v/>
      </c>
      <c r="K196" s="89" t="n">
        <v>4941.9683</v>
      </c>
      <c r="L196" s="99">
        <f>+(K196/K195-1)/(F196-F195)*30</f>
        <v/>
      </c>
      <c r="M196" s="105">
        <f>+M195*(1+L195)</f>
        <v/>
      </c>
    </row>
    <row r="197" ht="14.25" customHeight="1" s="86">
      <c r="A197" s="103" t="n">
        <v>44620</v>
      </c>
      <c r="B197" s="89" t="n">
        <v>19341.9</v>
      </c>
      <c r="C197" s="99">
        <f>(B197/B196-1)/(A197-A196)*30</f>
        <v/>
      </c>
      <c r="D197" s="89">
        <f>B197/$B$3*100</f>
        <v/>
      </c>
      <c r="F197" s="103" t="n">
        <v>44620</v>
      </c>
      <c r="G197" s="90" t="n">
        <v>1041.623</v>
      </c>
      <c r="H197" s="90">
        <f>+G197+$S$150+$S$152+$S$154</f>
        <v/>
      </c>
      <c r="I197" s="99">
        <f>+(H197/H196-1)/(F197-F196)*30</f>
        <v/>
      </c>
      <c r="J197" s="104">
        <f>+J196*(1+I197)</f>
        <v/>
      </c>
      <c r="K197" s="89" t="n">
        <v>4958.2785</v>
      </c>
      <c r="L197" s="99">
        <f>+(K197/K196-1)/(F197-F196)*30</f>
        <v/>
      </c>
      <c r="M197" s="105">
        <f>+M196*(1+L196)</f>
        <v/>
      </c>
    </row>
    <row r="198" ht="14.25" customHeight="1" s="86">
      <c r="A198" s="103" t="n">
        <v>44651</v>
      </c>
      <c r="B198" s="89" t="n">
        <v>19435.35</v>
      </c>
      <c r="C198" s="99">
        <f>(B198/B197-1)/(A198-A197)*30</f>
        <v/>
      </c>
      <c r="D198" s="89">
        <f>B198/$B$3*100</f>
        <v/>
      </c>
      <c r="F198" s="103" t="n">
        <v>44651</v>
      </c>
      <c r="G198" s="90" t="n">
        <v>1046.6875</v>
      </c>
      <c r="H198" s="90">
        <f>+G198+$S$150+$S$152+$S$154</f>
        <v/>
      </c>
      <c r="I198" s="99">
        <f>+(H198/H197-1)/(F198-F197)*30</f>
        <v/>
      </c>
      <c r="J198" s="104">
        <f>+J197*(1+I198)</f>
        <v/>
      </c>
      <c r="K198" s="104" t="n">
        <v>4977.0833</v>
      </c>
      <c r="L198" s="99">
        <f>+(K198/K197-1)/(F198-F197)*30</f>
        <v/>
      </c>
      <c r="M198" s="105">
        <f>+M197*(1+L197)</f>
        <v/>
      </c>
    </row>
    <row r="199" ht="14.25" customHeight="1" s="86">
      <c r="A199" s="103" t="n">
        <v>44681</v>
      </c>
      <c r="B199" s="89" t="n">
        <v>19541.32</v>
      </c>
      <c r="C199" s="99">
        <f>(B199/B198-1)/(A199-A198)*30</f>
        <v/>
      </c>
      <c r="D199" s="89">
        <f>B199/$B$3*100</f>
        <v/>
      </c>
      <c r="F199" s="103" t="n">
        <v>44681</v>
      </c>
      <c r="G199" s="90" t="n">
        <v>1053.2667</v>
      </c>
      <c r="H199" s="90">
        <f>+G199+$S$150+$S$152+$S$154</f>
        <v/>
      </c>
      <c r="I199" s="99">
        <f>+(H199/H198-1)/(F199-F198)*30</f>
        <v/>
      </c>
      <c r="J199" s="104">
        <f>+J198*(1+I199)</f>
        <v/>
      </c>
      <c r="K199" s="89" t="n">
        <v>4999.8366</v>
      </c>
      <c r="L199" s="99">
        <f>+(K199/K198-1)/(F199-F198)*30</f>
        <v/>
      </c>
      <c r="M199" s="105">
        <f>+M198*(1+L198)</f>
        <v/>
      </c>
    </row>
    <row r="200" ht="14.25" customHeight="1" s="86">
      <c r="A200" s="103" t="n">
        <v>44712</v>
      </c>
      <c r="B200" s="89" t="n">
        <v>19680.32</v>
      </c>
      <c r="C200" s="99">
        <f>(B200/B199-1)/(A200-A199)*30</f>
        <v/>
      </c>
      <c r="D200" s="89">
        <f>B200/$B$3*100</f>
        <v/>
      </c>
      <c r="F200" s="103" t="n">
        <v>44712</v>
      </c>
      <c r="G200" s="90" t="n">
        <v>1062.0309</v>
      </c>
      <c r="H200" s="90">
        <f>+G200+$S$150+$S$152+$S$154</f>
        <v/>
      </c>
      <c r="I200" s="99">
        <f>+(H200/H199-1)/(F200-F199)*30</f>
        <v/>
      </c>
      <c r="J200" s="104">
        <f>+J199*(1+I200)</f>
        <v/>
      </c>
      <c r="K200" s="89" t="n">
        <v>5027.3885</v>
      </c>
      <c r="L200" s="99">
        <f>+(K200/K199-1)/(F200-F199)*30</f>
        <v/>
      </c>
      <c r="M200" s="105">
        <f>+M199*(1+L199)</f>
        <v/>
      </c>
    </row>
    <row r="201" ht="14.25" customHeight="1" s="86">
      <c r="A201" s="103" t="n">
        <v>44742</v>
      </c>
      <c r="B201" s="89" t="n">
        <v>19825.16</v>
      </c>
      <c r="C201" s="99">
        <f>(B201/B200-1)/(A201-A200)*30</f>
        <v/>
      </c>
      <c r="D201" s="89">
        <f>B201/$B$3*100</f>
        <v/>
      </c>
      <c r="F201" s="103" t="n">
        <v>44742</v>
      </c>
      <c r="G201" s="90" t="n">
        <v>1070.8276</v>
      </c>
      <c r="H201" s="90">
        <f>+G201+$S$150+$S$152+$S$154</f>
        <v/>
      </c>
      <c r="I201" s="99">
        <f>+(H201/H200-1)/(F201-F200)*30</f>
        <v/>
      </c>
      <c r="J201" s="104">
        <f>+J200*(1+I201)</f>
        <v/>
      </c>
      <c r="K201" s="104" t="n">
        <v>5056.9676</v>
      </c>
      <c r="L201" s="99">
        <f>+(K201/K200-1)/(F201-F200)*30</f>
        <v/>
      </c>
      <c r="M201" s="105">
        <f>+M200*(1+L200)</f>
        <v/>
      </c>
    </row>
    <row r="202" ht="14.25" customHeight="1" s="86">
      <c r="A202" s="103" t="n">
        <v>44773</v>
      </c>
      <c r="B202" s="89" t="n">
        <v>19975.62</v>
      </c>
      <c r="C202" s="99">
        <f>(B202/B201-1)/(A202-A201)*30</f>
        <v/>
      </c>
      <c r="D202" s="89">
        <f>B202/$B$3*100</f>
        <v/>
      </c>
      <c r="F202" s="103" t="n">
        <v>44773</v>
      </c>
      <c r="G202" s="90" t="n">
        <v>1079.7283</v>
      </c>
      <c r="H202" s="90">
        <f>+G202+$S$150+$S$152+$S$154</f>
        <v/>
      </c>
      <c r="I202" s="99">
        <f>+(H202/H201-1)/(F202-F201)*30</f>
        <v/>
      </c>
      <c r="J202" s="104">
        <f>+J201*(1+I202)</f>
        <v/>
      </c>
      <c r="K202" s="104" t="n">
        <v>5089.8979</v>
      </c>
      <c r="L202" s="99">
        <f>+(K202/K201-1)/(F202-F201)*30</f>
        <v/>
      </c>
      <c r="M202" s="105">
        <f>+M201*(1+L201)</f>
        <v/>
      </c>
    </row>
    <row r="203" ht="14.25" customHeight="1" s="86">
      <c r="A203" s="103" t="n">
        <v>44804</v>
      </c>
      <c r="B203" s="89" t="n">
        <v>20154.92</v>
      </c>
      <c r="C203" s="99">
        <f>(B203/B202-1)/(A203-A202)*30</f>
        <v/>
      </c>
      <c r="D203" s="89">
        <f>B203/$B$3*100</f>
        <v/>
      </c>
      <c r="F203" s="103" t="n">
        <v>44804</v>
      </c>
      <c r="G203" s="90" t="n">
        <v>1088.5781</v>
      </c>
      <c r="H203" s="90">
        <f>+G203+$S$150+$S$152+$S$154</f>
        <v/>
      </c>
      <c r="I203" s="99">
        <f>+(H203/H202-1)/(F203-F202)*30</f>
        <v/>
      </c>
      <c r="J203" s="104">
        <f>+J202*(1+I203)</f>
        <v/>
      </c>
      <c r="K203" s="104" t="n">
        <v>5125.6822</v>
      </c>
      <c r="L203" s="99">
        <f>+(K203/K202-1)/(F203-F202)*30</f>
        <v/>
      </c>
      <c r="M203" s="105">
        <f>+M202*(1+L202)</f>
        <v/>
      </c>
    </row>
    <row r="204" ht="14.25" customHeight="1" s="86">
      <c r="A204" s="103" t="n">
        <v>44834</v>
      </c>
      <c r="B204" s="89" t="n">
        <v>20332.28</v>
      </c>
      <c r="C204" s="99">
        <f>(B204/B203-1)/(A204-A203)*30</f>
        <v/>
      </c>
      <c r="D204" s="89">
        <f>B204/$B$3*100</f>
        <v/>
      </c>
      <c r="F204" s="103" t="n">
        <v>44834</v>
      </c>
      <c r="G204" s="90" t="n">
        <v>1097.6454</v>
      </c>
      <c r="H204" s="90">
        <f>+G204+$S$150+$S$152+$S$154</f>
        <v/>
      </c>
      <c r="I204" s="99">
        <f>+(H204/H203-1)/(F204-F203)*30</f>
        <v/>
      </c>
      <c r="J204" s="104">
        <f>+J203*(1+I204)</f>
        <v/>
      </c>
      <c r="K204" s="104" t="n">
        <v>5163.2829</v>
      </c>
      <c r="L204" s="99">
        <f>+(K204/K203-1)/(F204-F203)*30</f>
        <v/>
      </c>
      <c r="M204" s="105">
        <f>+M203*(1+L203)</f>
        <v/>
      </c>
    </row>
    <row r="205" ht="14.25" customHeight="1" s="86">
      <c r="A205" s="103" t="n">
        <v>44862</v>
      </c>
      <c r="B205" s="89" t="n">
        <v>20507.2</v>
      </c>
      <c r="C205" s="99">
        <f>(B205/B204-1)/(A205-A204)*30</f>
        <v/>
      </c>
      <c r="D205" s="89">
        <f>B205/$B$3*100</f>
        <v/>
      </c>
      <c r="F205" s="103" t="n">
        <v>44862</v>
      </c>
      <c r="G205" s="90" t="n">
        <v>1107.7975</v>
      </c>
      <c r="H205" s="90">
        <f>+G205+$S$150+$S$152+$S$154</f>
        <v/>
      </c>
      <c r="I205" s="99">
        <f>+(H205/H204-1)/(F205-F204)*30</f>
        <v/>
      </c>
      <c r="J205" s="104">
        <f>+J204*(1+I205)</f>
        <v/>
      </c>
      <c r="K205" s="104" t="n">
        <v>5200.6767</v>
      </c>
      <c r="L205" s="99">
        <f>+(K205/K204-1)/(F205-F204)*30</f>
        <v/>
      </c>
      <c r="M205" s="105">
        <f>+M204*(1+L204)</f>
        <v/>
      </c>
    </row>
    <row r="206" ht="14.25" customHeight="1" s="86">
      <c r="A206" s="103" t="n">
        <v>44895</v>
      </c>
      <c r="B206" s="89" t="n">
        <v>20719.68</v>
      </c>
      <c r="C206" s="99">
        <f>(B206/B205-1)/(A206-A205)*30</f>
        <v/>
      </c>
      <c r="D206" s="89">
        <f>B206/$B$3*100</f>
        <v/>
      </c>
      <c r="F206" s="103" t="n">
        <v>44895</v>
      </c>
      <c r="G206" s="90" t="n">
        <v>1119.0292</v>
      </c>
      <c r="H206" s="90">
        <f>+G206+$S$150+$S$152+$S$154</f>
        <v/>
      </c>
      <c r="I206" s="99">
        <f>+(H206/H205-1)/(F206-F205)*30</f>
        <v/>
      </c>
      <c r="J206" s="104">
        <f>+J205*(1+I206)</f>
        <v/>
      </c>
      <c r="K206" s="104" t="n">
        <v>5246.14</v>
      </c>
      <c r="L206" s="99">
        <f>+(K206/K205-1)/(F206-F205)*30</f>
        <v/>
      </c>
      <c r="M206" s="105">
        <f>+M205*(1+L205)</f>
        <v/>
      </c>
    </row>
    <row r="207" ht="14.25" customHeight="1" s="86">
      <c r="A207" s="103" t="n">
        <v>44925</v>
      </c>
      <c r="B207" s="89" t="n">
        <v>20914.79</v>
      </c>
      <c r="C207" s="99">
        <f>(B207/B206-1)/(A207-A206)*30</f>
        <v/>
      </c>
      <c r="D207" s="89">
        <f>B207/$B$3*100</f>
        <v/>
      </c>
      <c r="F207" s="103" t="n">
        <v>44925</v>
      </c>
      <c r="G207" s="90" t="n">
        <v>1130.214</v>
      </c>
      <c r="H207" s="90">
        <f>+G207+$S$150+$S$152+$S$154</f>
        <v/>
      </c>
      <c r="I207" s="99">
        <f>+(H207/H206-1)/(F207-F206)*30</f>
        <v/>
      </c>
      <c r="J207" s="104">
        <f>+J206*(1+I207)</f>
        <v/>
      </c>
      <c r="K207" s="89" t="n">
        <v>5287.7323</v>
      </c>
      <c r="L207" s="99">
        <f>+(K207/K206-1)/(F207-F206)*30</f>
        <v/>
      </c>
      <c r="M207" s="105">
        <f>+M206*(1+L206)</f>
        <v/>
      </c>
    </row>
    <row r="208" ht="14.25" customHeight="1" s="86">
      <c r="A208" s="103" t="n">
        <v>44957</v>
      </c>
      <c r="B208" s="89" t="n">
        <v>21124.92</v>
      </c>
      <c r="C208" s="99">
        <f>(B208/B207-1)/(A208-A207)*30</f>
        <v/>
      </c>
      <c r="D208" s="89">
        <f>B208/$B$3*100</f>
        <v/>
      </c>
      <c r="F208" s="103" t="n">
        <v>44957</v>
      </c>
      <c r="G208" s="90" t="n">
        <v>1108.8731</v>
      </c>
      <c r="H208" s="90">
        <f>+G208+$S$150+$S$152+$S$154+$S$156</f>
        <v/>
      </c>
      <c r="I208" s="99">
        <f>+(H208/H207-1)/(F208-F207)*30</f>
        <v/>
      </c>
      <c r="J208" s="104">
        <f>+J207*(1+I208)</f>
        <v/>
      </c>
      <c r="K208" s="89" t="n">
        <v>5332.3677</v>
      </c>
      <c r="L208" s="99">
        <f>+(K208/K207-1)/(F208-F207)*30</f>
        <v/>
      </c>
      <c r="M208" s="105">
        <f>+M207*(1+L207)</f>
        <v/>
      </c>
    </row>
    <row r="209" ht="14.25" customHeight="1" s="86">
      <c r="A209" s="103" t="n">
        <v>44985</v>
      </c>
      <c r="B209" s="89" t="n">
        <v>21310.51</v>
      </c>
      <c r="C209" s="99">
        <f>(B209/B208-1)/(A209-A208)*30</f>
        <v/>
      </c>
      <c r="D209" s="89">
        <f>B209/$B$3*100</f>
        <v/>
      </c>
      <c r="F209" s="103" t="n">
        <v>44985</v>
      </c>
      <c r="G209" s="90" t="n">
        <v>1119.1162</v>
      </c>
      <c r="H209" s="90">
        <f>+G209+$S$150+$S$152+$S$154+$S$156</f>
        <v/>
      </c>
      <c r="I209" s="99">
        <f>+(H209/H208-1)/(F209-F208)*30</f>
        <v/>
      </c>
      <c r="J209" s="104">
        <f>+J208*(1+I209)</f>
        <v/>
      </c>
      <c r="K209" s="89" t="n">
        <v>5371.762</v>
      </c>
      <c r="L209" s="99">
        <f>+(K209/K208-1)/(F209-F208)*30</f>
        <v/>
      </c>
      <c r="M209" s="105">
        <f>+M208*(1+L208)</f>
        <v/>
      </c>
    </row>
    <row r="210" ht="14.25" customHeight="1" s="86">
      <c r="A210" s="103" t="n">
        <v>45016</v>
      </c>
      <c r="B210" s="89" t="n">
        <v>21517.9</v>
      </c>
      <c r="C210" s="99">
        <f>(B210/B209-1)/(A210-A209)*30</f>
        <v/>
      </c>
      <c r="D210" s="89">
        <f>B210/$B$3*100</f>
        <v/>
      </c>
      <c r="F210" s="103" t="n">
        <v>45016</v>
      </c>
      <c r="G210" s="90" t="n">
        <v>1130.7278</v>
      </c>
      <c r="H210" s="90">
        <f>+G210+$S$150+$S$152+$S$154+$S$156</f>
        <v/>
      </c>
      <c r="I210" s="99">
        <f>+(H210/H209-1)/(F210-F209)*30</f>
        <v/>
      </c>
      <c r="J210" s="104">
        <f>+J209*(1+I210)</f>
        <v/>
      </c>
      <c r="K210" s="89" t="n">
        <v>5415.8662</v>
      </c>
      <c r="L210" s="99">
        <f>+(K210/K209-1)/(F210-F209)*30</f>
        <v/>
      </c>
      <c r="M210" s="105">
        <f>+M209*(1+L209)</f>
        <v/>
      </c>
    </row>
    <row r="211" ht="14.25" customHeight="1" s="86">
      <c r="A211" s="103" t="n">
        <v>45044</v>
      </c>
      <c r="B211" s="89" t="n">
        <v>21706.94</v>
      </c>
      <c r="C211" s="99">
        <f>(B211/B210-1)/(A211-A210)*30</f>
        <v/>
      </c>
      <c r="D211" s="89">
        <f>B211/$B$3*100</f>
        <v/>
      </c>
      <c r="F211" s="103" t="n">
        <v>45044</v>
      </c>
      <c r="G211" s="90" t="n">
        <v>1141.216</v>
      </c>
      <c r="H211" s="90">
        <f>+G211+$S$150+$S$152+$S$154+$S$156</f>
        <v/>
      </c>
      <c r="I211" s="99">
        <f>+(H211/H210-1)/(F211-F210)*30</f>
        <v/>
      </c>
      <c r="J211" s="104">
        <f>+J210*(1+I211)</f>
        <v/>
      </c>
      <c r="K211" s="89" t="n">
        <v>5456.2587</v>
      </c>
      <c r="L211" s="99">
        <f>+(K211/K210-1)/(F211-F210)*30</f>
        <v/>
      </c>
      <c r="M211" s="105">
        <f>+M210*(1+L210)</f>
        <v/>
      </c>
    </row>
    <row r="212" ht="14.25" customHeight="1" s="86">
      <c r="A212" s="103" t="n">
        <v>45077</v>
      </c>
      <c r="B212" s="89" t="n">
        <v>21931.86</v>
      </c>
      <c r="C212" s="99">
        <f>(B212/B211-1)/(A212-A211)*30</f>
        <v/>
      </c>
      <c r="D212" s="89">
        <f>B212/$B$3*100</f>
        <v/>
      </c>
      <c r="F212" s="103" t="n">
        <v>45077</v>
      </c>
      <c r="G212" s="90" t="n">
        <v>1153.897</v>
      </c>
      <c r="H212" s="90">
        <f>+G212+$S$150+$S$152+$S$154+$S$156</f>
        <v/>
      </c>
      <c r="I212" s="99">
        <f>+(H212/H211-1)/(F212-F211)*30</f>
        <v/>
      </c>
      <c r="J212" s="104">
        <f>+J211*(1+I212)</f>
        <v/>
      </c>
      <c r="K212" s="104" t="n">
        <v>5504.4106</v>
      </c>
      <c r="L212" s="99">
        <f>+(K212/K211-1)/(F212-F211)*30</f>
        <v/>
      </c>
      <c r="M212" s="105">
        <f>+M211*(1+L211)</f>
        <v/>
      </c>
    </row>
    <row r="213" ht="14.25" customHeight="1" s="86">
      <c r="A213" s="103" t="n">
        <v>45107</v>
      </c>
      <c r="B213" s="89" t="n">
        <v>22138.35</v>
      </c>
      <c r="C213" s="99">
        <f>(B213/B212-1)/(A213-A212)*30</f>
        <v/>
      </c>
      <c r="D213" s="89">
        <f>B213/$B$3*100</f>
        <v/>
      </c>
      <c r="F213" s="103" t="n">
        <v>45107</v>
      </c>
      <c r="G213" s="90" t="n">
        <v>1165.3668</v>
      </c>
      <c r="H213" s="90">
        <f>+G213+$S$150+$S$152+$S$154+$S$156</f>
        <v/>
      </c>
      <c r="I213" s="99">
        <f>+(H213/H212-1)/(F213-F212)*30</f>
        <v/>
      </c>
      <c r="J213" s="104">
        <f>+J212*(1+I213)</f>
        <v/>
      </c>
      <c r="K213" s="89" t="n">
        <v>5548.4618</v>
      </c>
      <c r="L213" s="99">
        <f>+(K213/K212-1)/(F213-F212)*30</f>
        <v/>
      </c>
      <c r="M213" s="105">
        <f>+M212*(1+L212)</f>
        <v/>
      </c>
    </row>
    <row r="214" ht="14.25" customHeight="1" s="86">
      <c r="A214" s="103" t="n">
        <v>45138</v>
      </c>
      <c r="B214" s="89" t="n">
        <v>22353.79</v>
      </c>
      <c r="C214" s="99">
        <f>(B214/B213-1)/(A214-A213)*30</f>
        <v/>
      </c>
      <c r="D214" s="89">
        <f>B214/$B$3*100</f>
        <v/>
      </c>
      <c r="F214" s="103" t="n">
        <v>45138</v>
      </c>
      <c r="G214" s="90" t="n">
        <v>1177.0073</v>
      </c>
      <c r="H214" s="90">
        <f>+G214+$S$150+$S$152+$S$154+$S$156</f>
        <v/>
      </c>
      <c r="I214" s="99">
        <f>+(H214/H213-1)/(F214-F213)*30</f>
        <v/>
      </c>
      <c r="J214" s="104">
        <f>+J213*(1+I214)</f>
        <v/>
      </c>
      <c r="K214" s="89" t="n">
        <v>5593.984</v>
      </c>
      <c r="L214" s="99">
        <f>+(K214/K213-1)/(F214-F213)*30</f>
        <v/>
      </c>
      <c r="M214" s="105">
        <f>+M213*(1+L213)</f>
        <v/>
      </c>
    </row>
    <row r="215" ht="14.25" customHeight="1" s="86">
      <c r="A215" s="103" t="n">
        <v>45169</v>
      </c>
      <c r="B215" s="89" t="n">
        <v>22551.92</v>
      </c>
      <c r="C215" s="99">
        <f>(B215/B214-1)/(A215-A214)*30</f>
        <v/>
      </c>
      <c r="D215" s="89">
        <f>B215/$B$3*100</f>
        <v/>
      </c>
      <c r="F215" s="103" t="n">
        <v>45169</v>
      </c>
      <c r="G215" s="90" t="n">
        <v>1189.0666</v>
      </c>
      <c r="H215" s="90">
        <f>+G215+$S$150+$S$152+$S$154+$S$156</f>
        <v/>
      </c>
      <c r="I215" s="99">
        <f>+(H215/H214-1)/(F215-F214)*30</f>
        <v/>
      </c>
      <c r="J215" s="104">
        <f>+J214*(1+I215)</f>
        <v/>
      </c>
      <c r="K215" s="104" t="n">
        <v>5636.4775</v>
      </c>
      <c r="L215" s="99">
        <f>+(K215/K214-1)/(F215-F214)*30</f>
        <v/>
      </c>
      <c r="M215" s="105">
        <f>+M214*(1+L214)</f>
        <v/>
      </c>
    </row>
    <row r="216" ht="14.25" customHeight="1" s="86">
      <c r="A216" s="103" t="n">
        <v>45199</v>
      </c>
      <c r="B216" s="89" t="n">
        <v>22727.72</v>
      </c>
      <c r="C216" s="99">
        <f>(B216/B215-1)/(A216-A215)*30</f>
        <v/>
      </c>
      <c r="D216" s="89">
        <f>B216/$B$3*100</f>
        <v/>
      </c>
      <c r="F216" s="103" t="n">
        <v>45199</v>
      </c>
      <c r="G216" s="90" t="n">
        <v>1200.3885</v>
      </c>
      <c r="H216" s="90">
        <f>+G216+$S$150+$S$152+$S$154+$S$156</f>
        <v/>
      </c>
      <c r="I216" s="99">
        <f>+(H216/H215-1)/(F216-F215)*30</f>
        <v/>
      </c>
      <c r="J216" s="104">
        <f>+J215*(1+I216)</f>
        <v/>
      </c>
      <c r="K216" s="104" t="n">
        <v>5674.72</v>
      </c>
      <c r="L216" s="99">
        <f>+(K216/K215-1)/(F216-F215)*30</f>
        <v/>
      </c>
      <c r="M216" s="105">
        <f>+M215*(1+L215)</f>
        <v/>
      </c>
    </row>
    <row r="217" ht="14.25" customHeight="1" s="86">
      <c r="A217" s="103" t="n">
        <v>45230</v>
      </c>
      <c r="B217" s="105" t="n">
        <v>22920</v>
      </c>
      <c r="C217" s="99">
        <f>(B217/B216-1)/(A217-A216)*30</f>
        <v/>
      </c>
      <c r="D217" s="89">
        <f>B217/$B$3*100</f>
        <v/>
      </c>
      <c r="F217" s="103" t="n">
        <v>45230</v>
      </c>
      <c r="G217" s="90" t="n">
        <v>1210.1438</v>
      </c>
      <c r="H217" s="90">
        <f>+G217+$S$150+$S$152+$S$154+$S$156</f>
        <v/>
      </c>
      <c r="I217" s="99">
        <f>+(H217/H216-1)/(F217-F216)*30</f>
        <v/>
      </c>
      <c r="J217" s="104">
        <f>+J216*(1+I217)</f>
        <v/>
      </c>
      <c r="K217" s="89" t="n">
        <v>5712.6049</v>
      </c>
      <c r="L217" s="99">
        <f>+(K217/K216-1)/(F217-F216)*30</f>
        <v/>
      </c>
      <c r="M217" s="105">
        <f>+M216*(1+L216)</f>
        <v/>
      </c>
    </row>
    <row r="218" ht="14.25" customHeight="1" s="86">
      <c r="A218" s="103" t="n">
        <v>45260</v>
      </c>
      <c r="B218" s="89" t="n">
        <v>23092.51</v>
      </c>
      <c r="C218" s="99">
        <f>(B218/B217-1)/(A218-A217)*30</f>
        <v/>
      </c>
      <c r="D218" s="105">
        <f>+D217*(1+C218)</f>
        <v/>
      </c>
      <c r="F218" s="103" t="n">
        <v>45260</v>
      </c>
      <c r="G218" s="90" t="n">
        <v>1220.1968</v>
      </c>
      <c r="H218" s="90">
        <f>+G218+$S$150+$S$152+$S$154+$S$156</f>
        <v/>
      </c>
      <c r="I218" s="99">
        <f>+(H218/H217-1)/(F218-F217)*30</f>
        <v/>
      </c>
      <c r="J218" s="104">
        <f>+J217*(1+I218)</f>
        <v/>
      </c>
      <c r="K218" s="104" t="n">
        <v>5747.8492</v>
      </c>
      <c r="L218" s="99">
        <f>+(K218/K217-1)/(F218-F217)*30</f>
        <v/>
      </c>
      <c r="M218" s="105">
        <f>+M217*(1+L218)</f>
        <v/>
      </c>
    </row>
    <row r="219" ht="14.25" customHeight="1" s="86">
      <c r="A219" s="103" t="n">
        <v>45291</v>
      </c>
      <c r="B219" s="89" t="n">
        <v>23256.05</v>
      </c>
      <c r="C219" s="99">
        <f>(B219/B218-1)/(A219-A218)*30</f>
        <v/>
      </c>
      <c r="D219" s="105">
        <f>+D218*(1+C219)</f>
        <v/>
      </c>
      <c r="F219" s="103" t="n">
        <v>45291</v>
      </c>
      <c r="G219" s="90" t="n">
        <v>1230.6828</v>
      </c>
      <c r="H219" s="90">
        <f>+G219+$S$150+$S$152+$S$154+$S$156</f>
        <v/>
      </c>
      <c r="I219" s="99">
        <f>+(H219/H218-1)/(F219-F218)*30</f>
        <v/>
      </c>
      <c r="J219" s="104">
        <f>+J218*(1+I219)</f>
        <v/>
      </c>
      <c r="K219" s="89" t="n">
        <v>5782.92</v>
      </c>
      <c r="L219" s="99">
        <f>+(K219/K218-1)/(F219-F218)*30</f>
        <v/>
      </c>
      <c r="M219" s="105">
        <f>+M218*(1+L219)</f>
        <v/>
      </c>
    </row>
    <row r="220" ht="14.25" customHeight="1" s="86">
      <c r="A220" s="103" t="n">
        <v>45322</v>
      </c>
      <c r="B220" s="89" t="n">
        <v>23427.15</v>
      </c>
      <c r="C220" s="99">
        <f>(B220/B219-1)/(A220-A219)*30</f>
        <v/>
      </c>
      <c r="D220" s="105">
        <f>+D219*(1+C220)</f>
        <v/>
      </c>
      <c r="F220" s="103" t="n">
        <v>45322</v>
      </c>
      <c r="G220" s="90" t="n">
        <v>1239.1052</v>
      </c>
      <c r="H220" s="90">
        <f>+G220+$S$150+$S$152+$S$154+$S$156</f>
        <v/>
      </c>
      <c r="I220" s="99">
        <f>+(H220/H219-1)/(F220-F219)*30</f>
        <v/>
      </c>
      <c r="J220" s="104">
        <f>+J219*(1+I220)</f>
        <v/>
      </c>
      <c r="K220" s="89" t="n">
        <v>5816.8769</v>
      </c>
      <c r="L220" s="99">
        <f>+(K220/K219-1)/(F220-F219)*30</f>
        <v/>
      </c>
      <c r="M220" s="105">
        <f>+M219*(1+L220)</f>
        <v/>
      </c>
    </row>
    <row r="221" ht="14.25" customHeight="1" s="86">
      <c r="A221" s="103" t="n">
        <v>45351</v>
      </c>
      <c r="B221" s="89" t="n">
        <v>23570.34</v>
      </c>
      <c r="C221" s="99">
        <f>(B221/B220-1)/(A221-A220)*30</f>
        <v/>
      </c>
      <c r="D221" s="105">
        <f>+D220*(1+C221)</f>
        <v/>
      </c>
      <c r="F221" s="103" t="n">
        <v>45351</v>
      </c>
      <c r="G221" s="90" t="n">
        <v>1248.0594</v>
      </c>
      <c r="H221" s="90">
        <f>+G221+$S$150+$S$152+$S$154+$S$156</f>
        <v/>
      </c>
      <c r="I221" s="99">
        <f>+(H221/H220-1)/(F221-F220)*30</f>
        <v/>
      </c>
      <c r="J221" s="104">
        <f>+J220*(1+I221)</f>
        <v/>
      </c>
      <c r="K221" s="89" t="n">
        <v>5846.4552</v>
      </c>
      <c r="L221" s="99">
        <f>+(K221/K220-1)/(F221-F220)*30</f>
        <v/>
      </c>
      <c r="M221" s="105">
        <f>+M220*(1+L221)</f>
        <v/>
      </c>
    </row>
    <row r="222" ht="14.25" customHeight="1" s="86">
      <c r="A222" s="103" t="n">
        <v>45379</v>
      </c>
      <c r="B222" s="89" t="n">
        <v>23703.45</v>
      </c>
      <c r="C222" s="99">
        <f>(B222/B221-1)/(A222-A221)*30</f>
        <v/>
      </c>
      <c r="D222" s="105">
        <f>+D221*(1+C222)</f>
        <v/>
      </c>
      <c r="F222" s="103" t="n">
        <v>45379</v>
      </c>
      <c r="G222" s="90" t="n">
        <v>1255.7389</v>
      </c>
      <c r="H222" s="90">
        <f>+G222+$S$150+$S$152+$S$154+$S$156</f>
        <v/>
      </c>
      <c r="I222" s="99">
        <f>+(H222/H221-1)/(F222-F221)*30</f>
        <v/>
      </c>
      <c r="J222" s="104">
        <f>+J221*(1+I222)</f>
        <v/>
      </c>
      <c r="K222" s="89" t="n">
        <v>5872.4728</v>
      </c>
      <c r="L222" s="99">
        <f>+(K222/K221-1)/(F222-F221)*30</f>
        <v/>
      </c>
      <c r="M222" s="105">
        <f>+M221*(1+L222)</f>
        <v/>
      </c>
    </row>
    <row r="223" ht="14.25" customHeight="1" s="86">
      <c r="A223" s="103" t="n">
        <v>45412</v>
      </c>
      <c r="B223" s="89" t="n">
        <v>23847.87</v>
      </c>
      <c r="C223" s="99">
        <f>(B223/B222-1)/(A223-A222)*30</f>
        <v/>
      </c>
      <c r="D223" s="105">
        <f>+D222*(1+C223)</f>
        <v/>
      </c>
      <c r="F223" s="103" t="n">
        <v>45412</v>
      </c>
      <c r="G223" s="90" t="n">
        <v>1264.0685</v>
      </c>
      <c r="H223" s="90">
        <f>+G223+$S$150+$S$152+$S$154+$S$156</f>
        <v/>
      </c>
      <c r="I223" s="99">
        <f>+(H223/H222-1)/(F223-F222)*30</f>
        <v/>
      </c>
      <c r="J223" s="104">
        <f>+J222*(1+I223)</f>
        <v/>
      </c>
      <c r="K223" s="89" t="n">
        <v>5900.1916</v>
      </c>
      <c r="L223" s="99">
        <f>+(K223/K222-1)/(F223-F222)*30</f>
        <v/>
      </c>
      <c r="M223" s="105">
        <f>+M222*(1+L223)</f>
        <v/>
      </c>
    </row>
    <row r="224" ht="14.25" customHeight="1" s="86">
      <c r="A224" s="103" t="n">
        <v>45443</v>
      </c>
      <c r="B224" s="89" t="n">
        <v>23979.37</v>
      </c>
      <c r="C224" s="99">
        <f>(B224/B223-1)/(A224-A223)*30</f>
        <v/>
      </c>
      <c r="D224" s="105">
        <f>+D223*(1+C224)</f>
        <v/>
      </c>
      <c r="F224" s="103" t="n">
        <v>45443</v>
      </c>
      <c r="G224" s="90" t="n">
        <v>1270.7454</v>
      </c>
      <c r="H224" s="90">
        <f>+G224+$S$150+$S$152+$S$154+$S$156</f>
        <v/>
      </c>
      <c r="I224" s="99">
        <f>+(H224/H223-1)/(F224-F223)*30</f>
        <v/>
      </c>
      <c r="J224" s="104">
        <f>+J223*(1+I224)</f>
        <v/>
      </c>
      <c r="K224" s="89" t="n">
        <v>5924.7824</v>
      </c>
      <c r="L224" s="99">
        <f>+(K224/K223-1)/(F224-F223)*30</f>
        <v/>
      </c>
      <c r="M224" s="105">
        <f>+M223*(1+L224)</f>
        <v/>
      </c>
    </row>
    <row r="225" ht="14.25" customHeight="1" s="86">
      <c r="A225" s="103" t="n">
        <v>45473</v>
      </c>
      <c r="B225" s="105" t="n">
        <v>24090</v>
      </c>
      <c r="C225" s="99">
        <f>(B225/B224-1)/(A225-A224)*30</f>
        <v/>
      </c>
      <c r="D225" s="105">
        <f>+D224*(1+C225)</f>
        <v/>
      </c>
      <c r="F225" s="103" t="n">
        <v>45473</v>
      </c>
      <c r="G225" s="90" t="n">
        <v>1277.4632</v>
      </c>
      <c r="H225" s="90">
        <f>+G225+$S$150+$S$152+$S$154+$S$156</f>
        <v/>
      </c>
      <c r="I225" s="99">
        <f>+(H225/H224-1)/(F225-F224)*30</f>
        <v/>
      </c>
      <c r="J225" s="104">
        <f>+J224*(1+I225)</f>
        <v/>
      </c>
      <c r="K225" s="89" t="n">
        <v>5946.409</v>
      </c>
      <c r="L225" s="99">
        <f>+(K225/K224-1)/(F225-F224)*30</f>
        <v/>
      </c>
      <c r="M225" s="105">
        <f>+M224*(1+L225)</f>
        <v/>
      </c>
    </row>
    <row r="226" ht="14.25" customHeight="1" s="86">
      <c r="A226" s="103" t="n">
        <v>45504</v>
      </c>
      <c r="B226" s="89" t="n">
        <v>24217.3</v>
      </c>
      <c r="C226" s="99">
        <f>(B226/B225-1)/(A226-A225)*30</f>
        <v/>
      </c>
      <c r="D226" s="105">
        <f>+D225*(1+C226)</f>
        <v/>
      </c>
      <c r="F226" s="103" t="n">
        <v>45504</v>
      </c>
      <c r="G226" s="90" t="n">
        <v>1281.9075</v>
      </c>
      <c r="H226" s="90">
        <f>+G226+$S$150+$S$152+$S$154+$S$156</f>
        <v/>
      </c>
      <c r="I226" s="99">
        <f>+(H226/H225-1)/(F226-F225)*30</f>
        <v/>
      </c>
      <c r="J226" s="104">
        <f>+J225*(1+I226)</f>
        <v/>
      </c>
      <c r="K226" s="89" t="n">
        <v>5968.019</v>
      </c>
      <c r="L226" s="99">
        <f>+(K226/K225-1)/(F226-F225)*30</f>
        <v/>
      </c>
      <c r="M226" s="105">
        <f>+M225*(1+L226)</f>
        <v/>
      </c>
    </row>
    <row r="227" ht="14.25" customHeight="1" s="86">
      <c r="A227" s="103" t="n">
        <v>45535</v>
      </c>
      <c r="B227" s="89" t="n">
        <v>24333.6</v>
      </c>
      <c r="C227" s="99">
        <f>(B227/B226-1)/(A227-A226)*30</f>
        <v/>
      </c>
      <c r="D227" s="105">
        <f>+D226*(1+C227)</f>
        <v/>
      </c>
      <c r="F227" s="103" t="n">
        <v>45535</v>
      </c>
      <c r="G227" s="90" t="n">
        <v>1286.6183</v>
      </c>
      <c r="H227" s="90">
        <f>+G227+$S$150+$S$152+$S$154+$S$156</f>
        <v/>
      </c>
      <c r="I227" s="99">
        <f>+(H227/H226-1)/(F227-F226)*30</f>
        <v/>
      </c>
      <c r="J227" s="104">
        <f>+J226*(1+I227)</f>
        <v/>
      </c>
      <c r="K227" s="89" t="n">
        <v>5989.669</v>
      </c>
      <c r="L227" s="99">
        <f>+(K227/K226-1)/(F227-F226)*30</f>
        <v/>
      </c>
      <c r="M227" s="105">
        <f>+M226*(1+L227)</f>
        <v/>
      </c>
    </row>
    <row r="228" ht="14.25" customHeight="1" s="86">
      <c r="A228" s="103" t="n">
        <v>45565</v>
      </c>
      <c r="B228" s="89" t="n">
        <v>24449.94</v>
      </c>
      <c r="C228" s="99">
        <f>(B228/B227-1)/(A228-A227)*30</f>
        <v/>
      </c>
      <c r="D228" s="105">
        <f>+D227*(1+C228)</f>
        <v/>
      </c>
      <c r="F228" s="103" t="n">
        <v>45565</v>
      </c>
      <c r="G228" s="90" t="n">
        <v>1292.1192</v>
      </c>
      <c r="H228" s="90">
        <f>+G228+$S$150+$S$152+$S$154+$S$156</f>
        <v/>
      </c>
      <c r="I228" s="99">
        <f>+(H228/H227-1)/(F228-F227)*30</f>
        <v/>
      </c>
      <c r="J228" s="104">
        <f>+J227*(1+I228)</f>
        <v/>
      </c>
      <c r="K228" s="89" t="n">
        <v>6009.8868</v>
      </c>
      <c r="L228" s="99">
        <f>+(K228/K227-1)/(F228-F227)*30</f>
        <v/>
      </c>
      <c r="M228" s="105">
        <f>+M227*(1+L228)</f>
        <v/>
      </c>
    </row>
    <row r="229" ht="14.25" customHeight="1" s="86">
      <c r="A229" s="103" t="n">
        <v>45596</v>
      </c>
      <c r="B229" s="89" t="n">
        <v>24560.22</v>
      </c>
      <c r="C229" s="99">
        <f>(B229/B228-1)/(A229-A228)*30</f>
        <v/>
      </c>
      <c r="D229" s="105">
        <f>+D228*(1+C229)</f>
        <v/>
      </c>
      <c r="F229" s="103" t="n">
        <v>45596</v>
      </c>
      <c r="G229" s="90" t="n">
        <v>1296.3847</v>
      </c>
      <c r="H229" s="90">
        <f>+G229+$S$150+$S$152+$S$154+$S$156</f>
        <v/>
      </c>
      <c r="I229" s="99">
        <f>+(H229/H228-1)/(F229-F228)*30</f>
        <v/>
      </c>
      <c r="J229" s="104">
        <f>+J228*(1+I229)</f>
        <v/>
      </c>
      <c r="K229" s="89" t="n">
        <v>6030.3854</v>
      </c>
      <c r="L229" s="99">
        <f>+(K229/K228-1)/(F229-F228)*30</f>
        <v/>
      </c>
      <c r="M229" s="105">
        <f>+M228*(1+L229)</f>
        <v/>
      </c>
    </row>
    <row r="230" ht="14.25" customHeight="1" s="86">
      <c r="A230" s="103" t="n">
        <v>45626</v>
      </c>
      <c r="B230" s="89" t="n">
        <v>24667.9</v>
      </c>
      <c r="C230" s="99">
        <f>(B230/B229-1)/(A230-A229)*30</f>
        <v/>
      </c>
      <c r="D230" s="105">
        <f>+D229*(1+C230)</f>
        <v/>
      </c>
      <c r="F230" s="103" t="n">
        <v>45626</v>
      </c>
      <c r="G230" s="90" t="n">
        <v>1209.0019</v>
      </c>
      <c r="H230" s="90">
        <f>+G230+$S$150+$S$152+$S$154+$S$156+$S$158</f>
        <v/>
      </c>
      <c r="I230" s="99">
        <f>+(H230/H229-1)/(F230-F229)*30</f>
        <v/>
      </c>
      <c r="J230" s="104">
        <f>+J229*(1+I230)</f>
        <v/>
      </c>
      <c r="K230" s="89" t="n">
        <v>6049.8055</v>
      </c>
      <c r="L230" s="99">
        <f>+(K230/K229-1)/(F230-F229)*30</f>
        <v/>
      </c>
      <c r="M230" s="105">
        <f>+M229*(1+L230)</f>
        <v/>
      </c>
    </row>
    <row r="231" ht="14.25" customHeight="1" s="86">
      <c r="A231" s="103" t="n">
        <v>45657</v>
      </c>
      <c r="B231" s="89" t="n">
        <v>24777.58</v>
      </c>
      <c r="C231" s="99">
        <f>(B231/B230-1)/(A231-A230)*30</f>
        <v/>
      </c>
      <c r="D231" s="105">
        <f>+D230*(1+C231)</f>
        <v/>
      </c>
      <c r="F231" s="103" t="n">
        <v>45657</v>
      </c>
      <c r="G231" s="90" t="n">
        <v>1213.1578</v>
      </c>
      <c r="H231" s="90">
        <f>+G231+$S$150+$S$152+$S$154+$S$156+$S$158</f>
        <v/>
      </c>
      <c r="I231" s="99">
        <f>+(H231/H230-1)/(F231-F230)*30</f>
        <v/>
      </c>
      <c r="J231" s="104">
        <f>+J230*(1+I231)</f>
        <v/>
      </c>
      <c r="K231" s="89" t="n">
        <v>6069.3455</v>
      </c>
      <c r="L231" s="99">
        <f>+(K231/K230-1)/(F231-F230)*30</f>
        <v/>
      </c>
      <c r="M231" s="105">
        <f>+M230*(1+L231)</f>
        <v/>
      </c>
    </row>
    <row r="232" ht="14.25" customHeight="1" s="86">
      <c r="A232" s="103" t="n">
        <v>45688</v>
      </c>
      <c r="B232" s="89" t="n">
        <v>24887.95</v>
      </c>
      <c r="C232" s="99">
        <f>(B232/B231-1)/(A232-A231)*30</f>
        <v/>
      </c>
      <c r="D232" s="105">
        <f>+D231*(1+C232)</f>
        <v/>
      </c>
      <c r="F232" s="103" t="n">
        <v>45688</v>
      </c>
      <c r="G232" s="90" t="n">
        <v>1215.6394</v>
      </c>
      <c r="H232" s="90">
        <f>+G232+$S$150+$S$152+$S$154+$S$156+$S$158</f>
        <v/>
      </c>
      <c r="I232" s="99">
        <f>+(H232/H231-1)/(F232-F231)*30</f>
        <v/>
      </c>
      <c r="J232" s="104">
        <f>+J231*(1+I232)</f>
        <v/>
      </c>
      <c r="K232" s="89" t="n">
        <v>6087.6762</v>
      </c>
      <c r="L232" s="99">
        <f>+(K232/K231-1)/(F232-F231)*30</f>
        <v/>
      </c>
      <c r="M232" s="105">
        <f>+M231*(1+L232)</f>
        <v/>
      </c>
    </row>
    <row r="233" ht="14.25" customHeight="1" s="86">
      <c r="A233" s="103" t="n">
        <v>45716</v>
      </c>
      <c r="B233" s="89" t="n">
        <v>18843.5222116574</v>
      </c>
      <c r="C233" s="89">
        <f>(B233/B232-1)/(A233-A232)*30</f>
        <v/>
      </c>
      <c r="D233" s="89">
        <f>+D232*(1+C233)</f>
        <v/>
      </c>
      <c r="F233" s="103" t="n">
        <v>45716</v>
      </c>
      <c r="G233" s="90" t="n">
        <v>1212.05998333333</v>
      </c>
      <c r="H233" s="90">
        <f>+G233+$S$150+$S$152+$S$154+$S$156+$S$158</f>
        <v/>
      </c>
      <c r="I233" s="91">
        <f>+(H233/H232-1)/(F233-F232)*30</f>
        <v/>
      </c>
      <c r="J233" s="89">
        <f>+J232*(1+I233)</f>
        <v/>
      </c>
      <c r="K233" s="89" t="n">
        <v>6104.4912</v>
      </c>
      <c r="L233" s="89">
        <f>+(K233/K232-1)/(F233-F232)*30</f>
        <v/>
      </c>
      <c r="M233" s="89">
        <f>+M232*(1+L233)</f>
        <v/>
      </c>
    </row>
    <row r="234" ht="14.25" customHeight="1" s="86">
      <c r="A234" s="103" t="n">
        <v>45747</v>
      </c>
      <c r="B234" s="89" t="n">
        <v>18922.0368875394</v>
      </c>
      <c r="C234" s="89">
        <f>(B234/B233-1)/(A234-A233)*30</f>
        <v/>
      </c>
      <c r="D234" s="89">
        <f>+D233*(1+C234)</f>
        <v/>
      </c>
      <c r="F234" s="103" t="n">
        <v>45747</v>
      </c>
      <c r="G234" s="90" t="n">
        <v>1208.48056666667</v>
      </c>
      <c r="H234" s="90">
        <f>+G234+$S$150+$S$152+$S$154+$S$156+$S$158</f>
        <v/>
      </c>
      <c r="I234" s="91">
        <f>+(H234/H233-1)/(F234-F233)*30</f>
        <v/>
      </c>
      <c r="J234" s="89">
        <f>+J233*(1+I234)</f>
        <v/>
      </c>
      <c r="K234" s="89" t="n">
        <v>6123.1882</v>
      </c>
      <c r="L234" s="89">
        <f>+(K234/K233-1)/(F234-F233)*30</f>
        <v/>
      </c>
      <c r="M234" s="89">
        <f>+M233*(1+L234)</f>
        <v/>
      </c>
    </row>
    <row r="235" ht="14.25" customHeight="1" s="86">
      <c r="A235" s="103" t="n">
        <v>45777</v>
      </c>
      <c r="B235" s="89" t="n">
        <v>19000.8787079041</v>
      </c>
      <c r="C235" s="89">
        <f>(B235/B234-1)/(A235-A234)*30</f>
        <v/>
      </c>
      <c r="D235" s="89">
        <f>+D234*(1+C235)</f>
        <v/>
      </c>
      <c r="F235" s="103" t="n">
        <v>45777</v>
      </c>
      <c r="G235" s="90" t="n">
        <v>1204.90115</v>
      </c>
      <c r="H235" s="90">
        <f>+G235+$S$150+$S$152+$S$154+$S$156+$S$158</f>
        <v/>
      </c>
      <c r="I235" s="91">
        <f>+(H235/H234-1)/(F235-F234)*30</f>
        <v/>
      </c>
      <c r="J235" s="89">
        <f>+J234*(1+I235)</f>
        <v/>
      </c>
      <c r="K235" s="89" t="n">
        <v>6141.4105</v>
      </c>
      <c r="L235" s="89">
        <f>+(K235/K234-1)/(F235-F234)*30</f>
        <v/>
      </c>
      <c r="M235" s="89">
        <f>+M234*(1+L235)</f>
        <v/>
      </c>
    </row>
    <row r="236" ht="14.25" customHeight="1" s="86">
      <c r="A236" s="103" t="n">
        <v>45808</v>
      </c>
      <c r="B236" s="89" t="n">
        <v>19080.0490358537</v>
      </c>
      <c r="C236" s="89">
        <f>(B236/B235-1)/(A236-A235)*30</f>
        <v/>
      </c>
      <c r="D236" s="89">
        <f>+D235*(1+C236)</f>
        <v/>
      </c>
      <c r="F236" s="103" t="n">
        <v>45808</v>
      </c>
      <c r="G236" s="90" t="n">
        <v>1201.32173333333</v>
      </c>
      <c r="H236" s="90">
        <f>+G236+$S$150+$S$152+$S$154+$S$156+$S$158</f>
        <v/>
      </c>
      <c r="I236" s="91">
        <f>+(H236/H235-1)/(F236-F235)*30</f>
        <v/>
      </c>
      <c r="J236" s="89">
        <f>+J235*(1+I236)</f>
        <v/>
      </c>
      <c r="K236" s="89" t="n">
        <v>6160.386</v>
      </c>
      <c r="L236" s="89">
        <f>+(K236/K235-1)/(F236-F235)*30</f>
        <v/>
      </c>
      <c r="M236" s="89">
        <f>+M235*(1+L236)</f>
        <v/>
      </c>
    </row>
    <row r="237" ht="14.25" customHeight="1" s="86">
      <c r="A237" s="103" t="n">
        <v>45838</v>
      </c>
      <c r="B237" s="89" t="n">
        <v>19159.5492401698</v>
      </c>
      <c r="C237" s="89">
        <f>(B237/B236-1)/(A237-A236)*30</f>
        <v/>
      </c>
      <c r="D237" s="89">
        <f>+D236*(1+C237)</f>
        <v/>
      </c>
      <c r="F237" s="103" t="n">
        <v>45838</v>
      </c>
      <c r="G237" s="90" t="n">
        <v>1197.74231666667</v>
      </c>
      <c r="H237" s="90">
        <f>+G237+$S$150+$S$152+$S$154+$S$156+$S$158</f>
        <v/>
      </c>
      <c r="I237" s="91">
        <f>+(H237/H236-1)/(F237-F236)*30</f>
        <v/>
      </c>
      <c r="J237" s="89">
        <f>+J236*(1+I237)</f>
        <v/>
      </c>
      <c r="K237" s="89" t="n">
        <v>6178.849</v>
      </c>
      <c r="L237" s="89">
        <f>+(K237/K236-1)/(F237-F236)*30</f>
        <v/>
      </c>
      <c r="M237" s="89">
        <f>+M236*(1+L237)</f>
        <v/>
      </c>
    </row>
    <row r="238" ht="14.25" customHeight="1" s="86">
      <c r="A238" s="103" t="n">
        <v>45869</v>
      </c>
      <c r="B238" s="89" t="n">
        <v>19239.0178</v>
      </c>
      <c r="C238" s="89">
        <f>(B238/B237-1)/(A238-A237)*30</f>
        <v/>
      </c>
      <c r="D238" s="89">
        <f>+D237*(1+C238)</f>
        <v/>
      </c>
      <c r="F238" s="103" t="n">
        <v>45869</v>
      </c>
      <c r="G238" s="90" t="n">
        <v>1194.1629</v>
      </c>
      <c r="H238" s="90">
        <f>+G238+$S$150+$S$152+$S$154+$S$156+$S$158</f>
        <v/>
      </c>
      <c r="I238" s="91">
        <f>+(H238/H237-1)/(F238-F237)*30</f>
        <v/>
      </c>
      <c r="J238" s="89">
        <f>+J237*(1+I238)</f>
        <v/>
      </c>
      <c r="K238" s="89" t="n">
        <v>6197.08</v>
      </c>
      <c r="L238" s="89">
        <f>+(K238/K237-1)/(F238-F237)*30</f>
        <v/>
      </c>
      <c r="M238" s="89">
        <f>+M237*(1+L238)</f>
        <v/>
      </c>
    </row>
    <row r="239" ht="14.25" customHeight="1" s="86">
      <c r="A239" s="103" t="n">
        <v>45900</v>
      </c>
      <c r="B239" s="89" t="n">
        <v>19315.1723</v>
      </c>
      <c r="C239" s="89">
        <f>(B239/B238-1)/(A239-A238)*30</f>
        <v/>
      </c>
      <c r="D239" s="89">
        <f>+D238*(1+C239)</f>
        <v/>
      </c>
      <c r="F239" s="103" t="n">
        <v>45900</v>
      </c>
      <c r="G239" s="90" t="n">
        <v>1201.8372</v>
      </c>
      <c r="H239" s="90">
        <f>+G239+$S$150+$S$152+$S$154+$S$156+$S$158</f>
        <v/>
      </c>
      <c r="I239" s="91">
        <f>+(H239/H238-1)/(F239-F238)*30</f>
        <v/>
      </c>
      <c r="J239" s="89">
        <f>+J238*(1+I239)</f>
        <v/>
      </c>
      <c r="K239" s="89" t="n">
        <v>6215.6746</v>
      </c>
      <c r="L239" s="89">
        <f>+(K239/K238-1)/(F239-F238)*30</f>
        <v/>
      </c>
      <c r="M239" s="89">
        <f>+M238*(1+L239)</f>
        <v/>
      </c>
    </row>
    <row r="240" ht="14.25" customHeight="1" s="86">
      <c r="A240" s="103" t="n">
        <v>45930</v>
      </c>
      <c r="B240" s="89" t="n">
        <v>19391.6282</v>
      </c>
      <c r="C240" s="89">
        <f>(B240/B239-1)/(A240-A239)*30</f>
        <v/>
      </c>
      <c r="D240" s="89">
        <f>+D239*(1+C240)</f>
        <v/>
      </c>
      <c r="F240" s="103" t="n">
        <v>45930</v>
      </c>
      <c r="G240" s="90" t="n">
        <v>1209.1829</v>
      </c>
      <c r="H240" s="90">
        <f>+G240+$S$150+$S$152+$S$154+$S$156+$S$158</f>
        <v/>
      </c>
      <c r="I240" s="91">
        <f>+(H240/H239-1)/(F240-F239)*30</f>
        <v/>
      </c>
      <c r="J240" s="89">
        <f>+J239*(1+I240)</f>
        <v/>
      </c>
      <c r="K240" s="89" t="n">
        <v>6232.8399</v>
      </c>
      <c r="L240" s="89">
        <f>+(K240/K239-1)/(F240-F239)*30</f>
        <v/>
      </c>
      <c r="M240" s="89">
        <f>+M239*(1+L240)</f>
        <v/>
      </c>
    </row>
    <row r="241" ht="14.25" customHeight="1" s="86">
      <c r="A241" s="103" t="n">
        <v>45961</v>
      </c>
      <c r="B241" s="89" t="n">
        <v>19468.3867</v>
      </c>
      <c r="C241" s="89">
        <f>(B241/B240-1)/(A241-A240)*30</f>
        <v/>
      </c>
      <c r="D241" s="89">
        <f>+D240*(1+C241)</f>
        <v/>
      </c>
      <c r="F241" s="103" t="n">
        <v>45961</v>
      </c>
      <c r="G241" s="90" t="n">
        <v>1216.7155</v>
      </c>
      <c r="H241" s="90">
        <f>+G241+$S$150+$S$152+$S$154+$S$156+$S$158</f>
        <v/>
      </c>
      <c r="I241" s="91">
        <f>+(H241/H240-1)/(F241-F240)*30</f>
        <v/>
      </c>
      <c r="J241" s="89">
        <f>+J240*(1+I241)</f>
        <v/>
      </c>
      <c r="K241" s="89" t="n">
        <v>6250.6982</v>
      </c>
      <c r="L241" s="89">
        <f>+(K241/K240-1)/(F241-F240)*30</f>
        <v/>
      </c>
      <c r="M241" s="89">
        <f>+M240*(1+L241)</f>
        <v/>
      </c>
    </row>
    <row r="242" ht="14.25" customHeight="1" s="86">
      <c r="A242" s="103" t="n">
        <v>45991</v>
      </c>
      <c r="B242" s="89" t="n">
        <v>19545.4491</v>
      </c>
      <c r="C242" s="89">
        <f>(B242/B241-1)/(A242-A241)*30</f>
        <v/>
      </c>
      <c r="D242" s="89">
        <f>+D241*(1+C242)</f>
        <v/>
      </c>
      <c r="F242" s="103" t="n">
        <v>45991</v>
      </c>
      <c r="G242" s="90" t="n">
        <v>1224.1524</v>
      </c>
      <c r="H242" s="90">
        <f>+G242+$S$150+$S$152+$S$154+$S$156+$S$158</f>
        <v/>
      </c>
      <c r="I242" s="91">
        <f>+(H242/H241-1)/(F242-F241)*30</f>
        <v/>
      </c>
      <c r="J242" s="89">
        <f>+J241*(1+I242)</f>
        <v/>
      </c>
      <c r="K242" s="89" t="n">
        <v>6268.169</v>
      </c>
      <c r="L242" s="89">
        <f>+(K242/K241-1)/(F242-F241)*30</f>
        <v/>
      </c>
      <c r="M242" s="89">
        <f>+M241*(1+L242)</f>
        <v/>
      </c>
    </row>
    <row r="243" ht="14.25" customHeight="1" s="86">
      <c r="A243" s="103" t="n">
        <v>46022</v>
      </c>
      <c r="B243" s="89" t="n">
        <v>19620.8774</v>
      </c>
      <c r="C243" s="89">
        <f>(B243/B242-1)/(A243-A242)*30</f>
        <v/>
      </c>
      <c r="D243" s="89">
        <f>+D242*(1+C243)</f>
        <v/>
      </c>
      <c r="F243" s="103" t="n">
        <v>46022</v>
      </c>
      <c r="G243" s="90" t="n">
        <v>1231.5739</v>
      </c>
      <c r="H243" s="90">
        <f>+G243+$S$150+$S$152+$S$154+$S$156+$S$158</f>
        <v/>
      </c>
      <c r="I243" s="91">
        <f>+(H243/H242-1)/(F243-F242)*30</f>
        <v/>
      </c>
      <c r="J243" s="89">
        <f>+J242*(1+I243)</f>
        <v/>
      </c>
      <c r="K243" s="89" t="n">
        <v>6285.9566</v>
      </c>
      <c r="L243" s="89">
        <f>+(K243/K242-1)/(F243-F242)*30</f>
        <v/>
      </c>
      <c r="M243" s="89">
        <f>+M242*(1+L243)</f>
        <v/>
      </c>
    </row>
    <row r="244" ht="14.25" customHeight="1" s="86">
      <c r="A244" s="144" t="n">
        <v>46053</v>
      </c>
      <c r="B244" s="89" t="n">
        <v>19694.4557</v>
      </c>
      <c r="C244" s="89">
        <f>(B244/B243-1)/(A244-A243)*30</f>
        <v/>
      </c>
      <c r="D244" s="89">
        <f>+D243*(1+C244)</f>
        <v/>
      </c>
      <c r="F244" s="144" t="n">
        <v>46053</v>
      </c>
      <c r="G244" s="90" t="n">
        <v>1239.5818</v>
      </c>
      <c r="H244" s="90">
        <f>+G244+$S$150+$S$152+$S$154+$S$156+$S$158</f>
        <v/>
      </c>
      <c r="I244" s="91">
        <f>+(H244/H243-1)/(F244-F243)*30</f>
        <v/>
      </c>
      <c r="J244" s="89">
        <f>+J243*(1+I244)</f>
        <v/>
      </c>
      <c r="K244" s="89" t="n">
        <v>6303.0823</v>
      </c>
      <c r="L244" s="89">
        <f>+(K244/K243-1)/(F244-F243)*30</f>
        <v/>
      </c>
      <c r="M244" s="89">
        <f>+M243*(1+L244)</f>
        <v/>
      </c>
    </row>
    <row r="245" ht="14.25" customHeight="1" s="86">
      <c r="A245" s="144" t="n">
        <v>46081</v>
      </c>
      <c r="B245" s="89" t="n">
        <v>19768.3099</v>
      </c>
      <c r="C245" s="89">
        <f>(B245/B244-1)/(A245-A244)*30</f>
        <v/>
      </c>
      <c r="D245" s="89">
        <f>+D244*(1+C245)</f>
        <v/>
      </c>
      <c r="F245" s="144" t="n">
        <v>46081</v>
      </c>
      <c r="G245" s="90" t="n">
        <v>1246.9941</v>
      </c>
      <c r="H245" s="90">
        <f>+G245+$S$150+$S$152+$S$154+$S$156+$S$158</f>
        <v/>
      </c>
      <c r="I245" s="91">
        <f>+(H245/H244-1)/(F245-F244)*30</f>
        <v/>
      </c>
      <c r="J245" s="89">
        <f>+J244*(1+I245)</f>
        <v/>
      </c>
      <c r="K245" s="89" t="n">
        <v>6318.4947</v>
      </c>
      <c r="L245" s="89">
        <f>+(K245/K244-1)/(F245-F244)*30</f>
        <v/>
      </c>
      <c r="M245" s="89">
        <f>+M244*(1+L245)</f>
        <v/>
      </c>
    </row>
    <row r="246" ht="14.25" customHeight="1" s="86">
      <c r="A246" s="144" t="n">
        <v>46112</v>
      </c>
      <c r="B246" s="89" t="n">
        <v>19842.4411</v>
      </c>
      <c r="C246" s="89">
        <f>(B246/B245-1)/(A246-A245)*30</f>
        <v/>
      </c>
      <c r="D246" s="89">
        <f>+D245*(1+C246)</f>
        <v/>
      </c>
      <c r="F246" s="144" t="n">
        <v>46112</v>
      </c>
      <c r="G246" s="90" t="n">
        <v>1254.9658</v>
      </c>
      <c r="H246" s="90">
        <f>+G246+$S$150+$S$152+$S$154+$S$156+$S$158</f>
        <v/>
      </c>
      <c r="I246" s="91">
        <f>+(H246/H245-1)/(F246-F245)*30</f>
        <v/>
      </c>
      <c r="J246" s="89">
        <f>+J245*(1+I246)</f>
        <v/>
      </c>
      <c r="K246" s="89" t="n">
        <v>6335.4774</v>
      </c>
      <c r="L246" s="89">
        <f>+(K246/K245-1)/(F246-F245)*30</f>
        <v/>
      </c>
      <c r="M246" s="89">
        <f>+M245*(1+L246)</f>
        <v/>
      </c>
    </row>
    <row r="247" ht="14.25" customHeight="1" s="86">
      <c r="A247" s="144" t="n">
        <v>46142</v>
      </c>
      <c r="B247" s="89" t="n">
        <v>19916.8502</v>
      </c>
      <c r="C247" s="89">
        <f>(B247/B246-1)/(A247-A246)*30</f>
        <v/>
      </c>
      <c r="D247" s="89">
        <f>+D246*(1+C247)</f>
        <v/>
      </c>
      <c r="F247" s="144" t="n">
        <v>46142</v>
      </c>
      <c r="G247" s="90" t="n">
        <v>1262.8696</v>
      </c>
      <c r="H247" s="90">
        <f>+G247+$S$150+$S$152+$S$154+$S$156+$S$158</f>
        <v/>
      </c>
      <c r="I247" s="91">
        <f>+(H247/H246-1)/(F247-F246)*30</f>
        <v/>
      </c>
      <c r="J247" s="89">
        <f>+J246*(1+I247)</f>
        <v/>
      </c>
      <c r="K247" s="89" t="n">
        <v>6351.9305</v>
      </c>
      <c r="L247" s="89">
        <f>+(K247/K246-1)/(F247-F246)*30</f>
        <v/>
      </c>
      <c r="M247" s="89">
        <f>+M246*(1+L247)</f>
        <v/>
      </c>
    </row>
    <row r="248">
      <c r="A248" s="169" t="n">
        <v>46144</v>
      </c>
      <c r="B248" t="n">
        <v>19991.53842678169</v>
      </c>
      <c r="C248">
        <f>(B248/B247-1)/(A248-A247)*30</f>
        <v/>
      </c>
      <c r="D248">
        <f>+D247*(1+C248)</f>
        <v/>
      </c>
      <c r="F248" s="169" t="n">
        <v>46144</v>
      </c>
      <c r="G248" t="n">
        <v>1263.389</v>
      </c>
      <c r="H248">
        <f>+G248+$S$150+$S$152+$S$154+$S$156+$S$158</f>
        <v/>
      </c>
      <c r="I248">
        <f>+(H248/H247-1)/(F248-F247)*30</f>
        <v/>
      </c>
      <c r="J248">
        <f>+J247*(1+I248)</f>
        <v/>
      </c>
      <c r="L248">
        <f>+(K248/K247-1)/(F248-F247)*30</f>
        <v/>
      </c>
      <c r="M248">
        <f>+M247*(1+L248)</f>
        <v/>
      </c>
    </row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mergeCells count="10">
    <mergeCell ref="AC79:AC81"/>
    <mergeCell ref="AC58:AC60"/>
    <mergeCell ref="AC61:AC63"/>
    <mergeCell ref="AC70:AC72"/>
    <mergeCell ref="AC64:AC66"/>
    <mergeCell ref="AC82:AC84"/>
    <mergeCell ref="AC67:AC69"/>
    <mergeCell ref="AC73:AC75"/>
    <mergeCell ref="AV28:AV29"/>
    <mergeCell ref="AC76:AC7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X36"/>
  <sheetViews>
    <sheetView showFormulas="0" showGridLines="0" showRowColHeaders="1" showZeros="1" rightToLeft="0" tabSelected="0" showOutlineSymbols="1" defaultGridColor="1" view="normal" topLeftCell="A3" colorId="64" zoomScale="60" zoomScaleNormal="60" zoomScalePageLayoutView="100" workbookViewId="0">
      <selection pane="topLeft" activeCell="C6" activeCellId="0" sqref="C6"/>
    </sheetView>
  </sheetViews>
  <sheetFormatPr baseColWidth="8" defaultColWidth="11.42578125" defaultRowHeight="14.25" zeroHeight="0" outlineLevelRow="0"/>
  <cols>
    <col width="6.71" customWidth="1" style="145" min="3" max="3"/>
    <col width="12.29" customWidth="1" style="85" min="4" max="4"/>
    <col width="7.71" customWidth="1" style="85" min="5" max="16"/>
    <col width="10.14" customWidth="1" style="85" min="17" max="17"/>
    <col width="16.29" customWidth="1" style="85" min="19" max="19"/>
    <col width="8.42" customWidth="1" style="85" min="20" max="20"/>
    <col width="10.29" customWidth="1" style="85" min="21" max="22"/>
    <col width="7.57" customWidth="1" style="85" min="23" max="23"/>
    <col width="16" customWidth="1" style="85" min="24" max="24"/>
  </cols>
  <sheetData>
    <row r="1" ht="26.25" customHeight="1" s="86">
      <c r="C1" s="146" t="n"/>
      <c r="D1" s="147" t="n"/>
      <c r="E1" s="147" t="n"/>
      <c r="F1" s="147" t="n"/>
      <c r="G1" s="147" t="n"/>
      <c r="H1" s="147" t="n"/>
      <c r="I1" s="147" t="n"/>
      <c r="J1" s="147" t="n"/>
      <c r="K1" s="147" t="n"/>
      <c r="L1" s="147" t="n"/>
      <c r="M1" s="147" t="n"/>
      <c r="N1" s="147" t="n"/>
      <c r="O1" s="147" t="n"/>
      <c r="P1" s="147" t="n"/>
      <c r="Q1" s="147" t="n"/>
      <c r="R1" s="147" t="n"/>
      <c r="S1" s="148" t="inlineStr">
        <is>
          <t>Rentabilidad</t>
        </is>
      </c>
      <c r="T1" s="149" t="inlineStr">
        <is>
          <t>Mensual</t>
        </is>
      </c>
      <c r="U1" s="149" t="inlineStr">
        <is>
          <t>Trimestral</t>
        </is>
      </c>
      <c r="V1" s="149" t="inlineStr">
        <is>
          <t>Semestral</t>
        </is>
      </c>
      <c r="W1" s="149" t="inlineStr">
        <is>
          <t>Anual</t>
        </is>
      </c>
      <c r="X1" s="150" t="inlineStr">
        <is>
          <t>Acum
2026 (*)</t>
        </is>
      </c>
    </row>
    <row r="2" ht="14.25" customHeight="1" s="86">
      <c r="C2" s="146" t="n"/>
      <c r="D2" s="147" t="n"/>
      <c r="E2" s="147" t="n"/>
      <c r="F2" s="147" t="n"/>
      <c r="G2" s="147" t="n"/>
      <c r="H2" s="147" t="n"/>
      <c r="I2" s="147" t="n"/>
      <c r="J2" s="147" t="n"/>
      <c r="K2" s="147" t="n"/>
      <c r="L2" s="147" t="n"/>
      <c r="M2" s="147" t="n"/>
      <c r="N2" s="147" t="n"/>
      <c r="O2" s="147" t="n"/>
      <c r="P2" s="147" t="n"/>
      <c r="Q2" s="147" t="n"/>
      <c r="R2" s="147" t="n"/>
      <c r="S2" s="151" t="inlineStr">
        <is>
          <t>ICP (Benchmark)</t>
        </is>
      </c>
      <c r="T2" s="152" t="n">
        <v>0.00374999999999992</v>
      </c>
      <c r="U2" s="152" t="n">
        <v>0.0112922402343747</v>
      </c>
      <c r="V2" s="152" t="n">
        <v>0.02303547574498843</v>
      </c>
      <c r="W2" s="152" t="n">
        <v>0.04820679846256826</v>
      </c>
      <c r="X2" s="152" t="n">
        <v>0.01889115333326075</v>
      </c>
    </row>
    <row r="3" ht="14.25" customHeight="1" s="86">
      <c r="C3" s="146" t="n"/>
      <c r="D3" s="147" t="n"/>
      <c r="E3" s="147" t="n"/>
      <c r="F3" s="147" t="n"/>
      <c r="G3" s="147" t="n"/>
      <c r="H3" s="147" t="n"/>
      <c r="I3" s="147" t="n"/>
      <c r="J3" s="147" t="n"/>
      <c r="K3" s="147" t="n"/>
      <c r="L3" s="147" t="n"/>
      <c r="M3" s="147" t="n"/>
      <c r="N3" s="147" t="n"/>
      <c r="O3" s="147" t="n"/>
      <c r="P3" s="147" t="n"/>
      <c r="Q3" s="147" t="n"/>
      <c r="R3" s="147" t="n"/>
      <c r="S3" s="151" t="inlineStr">
        <is>
          <t>Competencia</t>
        </is>
      </c>
      <c r="T3" s="152" t="n">
        <v>0.002596978721761456</v>
      </c>
      <c r="U3" s="152" t="n">
        <v>0.007749890874818588</v>
      </c>
      <c r="V3" s="152" t="n">
        <v>0.01619535878407952</v>
      </c>
      <c r="W3" s="152" t="n"/>
      <c r="X3" s="152" t="n">
        <v>0.01049544312794004</v>
      </c>
    </row>
    <row r="4" ht="14.25" customHeight="1" s="86">
      <c r="C4" s="146" t="n"/>
      <c r="D4" s="147" t="n"/>
      <c r="E4" s="147" t="n"/>
      <c r="F4" s="147" t="n"/>
      <c r="G4" s="147" t="n"/>
      <c r="H4" s="147" t="n"/>
      <c r="I4" s="147" t="n"/>
      <c r="J4" s="147" t="n"/>
      <c r="K4" s="147" t="n"/>
      <c r="L4" s="147" t="n"/>
      <c r="M4" s="147" t="n"/>
      <c r="N4" s="147" t="n"/>
      <c r="O4" s="147" t="n"/>
      <c r="P4" s="147" t="n"/>
      <c r="Q4" s="147" t="n"/>
      <c r="R4" s="147" t="n"/>
      <c r="S4" s="151" t="inlineStr">
        <is>
          <t>FIP Monetario</t>
        </is>
      </c>
      <c r="T4" s="152" t="n">
        <v>0.006298020232901935</v>
      </c>
      <c r="U4" s="152" t="n">
        <v>0.0187868198774781</v>
      </c>
      <c r="V4" s="152" t="n">
        <v>0.03793335418181165</v>
      </c>
      <c r="W4" s="152" t="n"/>
      <c r="X4" s="152" t="n">
        <v>0.02642845873885435</v>
      </c>
    </row>
    <row r="5" ht="14.25" customHeight="1" s="86">
      <c r="B5" s="89" t="n"/>
      <c r="C5" s="146" t="n"/>
      <c r="D5" s="147" t="n"/>
      <c r="E5" s="147" t="n"/>
      <c r="F5" s="147" t="n"/>
      <c r="G5" s="147" t="n"/>
      <c r="H5" s="147" t="n"/>
      <c r="I5" s="147" t="n"/>
      <c r="J5" s="147" t="n"/>
      <c r="K5" s="147" t="n"/>
      <c r="L5" s="147" t="n"/>
      <c r="M5" s="147" t="n"/>
      <c r="N5" s="147" t="n"/>
      <c r="O5" s="147" t="n"/>
      <c r="P5" s="147" t="n"/>
      <c r="Q5" s="147" t="n"/>
      <c r="R5" s="147" t="n"/>
      <c r="S5" s="147" t="n"/>
      <c r="T5" s="147" t="n"/>
      <c r="U5" s="147" t="n"/>
      <c r="V5" s="147" t="n"/>
      <c r="W5" s="147" t="n"/>
      <c r="X5" s="147" t="n"/>
    </row>
    <row r="6" ht="26.25" customHeight="1" s="86">
      <c r="B6" s="89" t="n"/>
      <c r="C6" s="148" t="inlineStr">
        <is>
          <t>Año</t>
        </is>
      </c>
      <c r="D6" s="148" t="inlineStr">
        <is>
          <t>Fondo</t>
        </is>
      </c>
      <c r="E6" s="149" t="inlineStr">
        <is>
          <t>Ene</t>
        </is>
      </c>
      <c r="F6" s="149" t="inlineStr">
        <is>
          <t>Feb</t>
        </is>
      </c>
      <c r="G6" s="149" t="inlineStr">
        <is>
          <t>Mar</t>
        </is>
      </c>
      <c r="H6" s="149" t="inlineStr">
        <is>
          <t>Abr</t>
        </is>
      </c>
      <c r="I6" s="149" t="inlineStr">
        <is>
          <t>May</t>
        </is>
      </c>
      <c r="J6" s="149" t="inlineStr">
        <is>
          <t>Jun</t>
        </is>
      </c>
      <c r="K6" s="149" t="inlineStr">
        <is>
          <t>Jul</t>
        </is>
      </c>
      <c r="L6" s="149" t="inlineStr">
        <is>
          <t>Ago</t>
        </is>
      </c>
      <c r="M6" s="149" t="inlineStr">
        <is>
          <t>Sep</t>
        </is>
      </c>
      <c r="N6" s="149" t="inlineStr">
        <is>
          <t>Oct</t>
        </is>
      </c>
      <c r="O6" s="149" t="inlineStr">
        <is>
          <t>Nov</t>
        </is>
      </c>
      <c r="P6" s="149" t="inlineStr">
        <is>
          <t>Dic</t>
        </is>
      </c>
      <c r="Q6" s="150" t="inlineStr">
        <is>
          <t>Total
Año</t>
        </is>
      </c>
      <c r="R6" s="153" t="n"/>
      <c r="S6" s="147" t="n"/>
      <c r="T6" s="147" t="n"/>
      <c r="U6" s="147" t="n"/>
      <c r="V6" s="147" t="n"/>
      <c r="W6" s="147" t="n"/>
      <c r="X6" s="147" t="n"/>
    </row>
    <row r="7" ht="9.75" customHeight="1" s="86">
      <c r="B7" s="89" t="n"/>
      <c r="C7" s="154" t="n"/>
      <c r="D7" s="155" t="n"/>
      <c r="E7" s="156" t="n"/>
      <c r="F7" s="156" t="n"/>
      <c r="G7" s="156" t="n"/>
      <c r="H7" s="156" t="n"/>
      <c r="I7" s="156" t="n"/>
      <c r="J7" s="156" t="n"/>
      <c r="K7" s="156" t="n"/>
      <c r="L7" s="156" t="n"/>
      <c r="M7" s="156" t="n"/>
      <c r="N7" s="156" t="n"/>
      <c r="O7" s="156" t="n"/>
      <c r="P7" s="156" t="n"/>
      <c r="Q7" s="156" t="n"/>
      <c r="R7" s="153" t="n"/>
      <c r="S7" s="147" t="n"/>
      <c r="T7" s="147" t="n"/>
      <c r="U7" s="147" t="n"/>
      <c r="V7" s="147" t="n"/>
      <c r="W7" s="147" t="n"/>
      <c r="X7" s="147" t="n"/>
    </row>
    <row r="8" ht="15" customHeight="1" s="86">
      <c r="B8" s="89" t="n"/>
      <c r="C8" s="154" t="n">
        <v>2013</v>
      </c>
      <c r="D8" s="155" t="inlineStr">
        <is>
          <t>ICP</t>
        </is>
      </c>
      <c r="E8" s="157" t="n">
        <v>0.00472089185817204</v>
      </c>
      <c r="F8" s="157" t="n">
        <v>0.0038962304837975</v>
      </c>
      <c r="G8" s="157" t="n">
        <v>0.0038950743967856</v>
      </c>
      <c r="H8" s="157" t="n">
        <v>0.00458811924870384</v>
      </c>
      <c r="I8" s="157" t="n">
        <v>0.00432647511304163</v>
      </c>
      <c r="J8" s="157" t="n">
        <v>0.00389747333947033</v>
      </c>
      <c r="K8" s="157" t="n">
        <v>0.00461289727621272</v>
      </c>
      <c r="L8" s="157" t="n">
        <v>0.00417700990933101</v>
      </c>
      <c r="M8" s="157" t="n">
        <v>0.00431523239432496</v>
      </c>
      <c r="N8" s="157" t="n">
        <v>0.00409076501889172</v>
      </c>
      <c r="O8" s="157" t="n">
        <v>0.00390244278774565</v>
      </c>
      <c r="P8" s="157" t="n">
        <v>0.003882149668333</v>
      </c>
      <c r="Q8" s="157" t="n">
        <v>0.0514803933405776</v>
      </c>
      <c r="R8" s="147" t="n"/>
      <c r="S8" s="147" t="n"/>
      <c r="T8" s="147" t="n"/>
      <c r="U8" s="147" t="n"/>
      <c r="V8" s="147" t="n"/>
      <c r="W8" s="147" t="n"/>
      <c r="X8" s="147" t="n"/>
    </row>
    <row r="9" ht="15" customHeight="1" s="86">
      <c r="B9" s="89" t="n"/>
      <c r="C9" s="154" t="n">
        <v>2014</v>
      </c>
      <c r="D9" s="155" t="inlineStr">
        <is>
          <t>ICP</t>
        </is>
      </c>
      <c r="E9" s="157" t="n">
        <v>0.00400429199881613</v>
      </c>
      <c r="F9" s="157" t="n">
        <v>0.00343235833261835</v>
      </c>
      <c r="G9" s="157" t="n">
        <v>0.00354979303427538</v>
      </c>
      <c r="H9" s="157" t="n">
        <v>0.00333784899924461</v>
      </c>
      <c r="I9" s="157" t="n">
        <v>0.0033374356897462</v>
      </c>
      <c r="J9" s="157" t="n">
        <v>0.00344918361590785</v>
      </c>
      <c r="K9" s="157" t="n">
        <v>0.00335112898379908</v>
      </c>
      <c r="L9" s="157" t="n">
        <v>0.00294898021437851</v>
      </c>
      <c r="M9" s="157" t="n">
        <v>0.00296824130771456</v>
      </c>
      <c r="N9" s="157" t="n">
        <v>0.00262959692097664</v>
      </c>
      <c r="O9" s="157" t="n">
        <v>0.0024227108931254</v>
      </c>
      <c r="P9" s="157" t="n">
        <v>0.00267116417314894</v>
      </c>
      <c r="Q9" s="157" t="n">
        <v>0.0387740755105999</v>
      </c>
      <c r="R9" s="147" t="n"/>
      <c r="S9" s="147" t="n"/>
      <c r="T9" s="147" t="n"/>
      <c r="U9" s="147" t="n"/>
      <c r="V9" s="147" t="n"/>
      <c r="W9" s="147" t="n"/>
      <c r="X9" s="147" t="n"/>
    </row>
    <row r="10" ht="15" customHeight="1" s="86">
      <c r="B10" s="89" t="n"/>
      <c r="C10" s="154" t="n">
        <v>2015</v>
      </c>
      <c r="D10" s="155" t="inlineStr">
        <is>
          <t>ICP</t>
        </is>
      </c>
      <c r="E10" s="157" t="n">
        <v>0.00258912554986668</v>
      </c>
      <c r="F10" s="157" t="n">
        <v>0.00233497594276488</v>
      </c>
      <c r="G10" s="157" t="n">
        <v>0.00267175595843749</v>
      </c>
      <c r="H10" s="157" t="n">
        <v>0.00250495353036917</v>
      </c>
      <c r="I10" s="157" t="n">
        <v>0.00241844437729921</v>
      </c>
      <c r="J10" s="157" t="n">
        <v>0.00266915407647939</v>
      </c>
      <c r="K10" s="157" t="n">
        <v>0.00258462483925492</v>
      </c>
      <c r="L10" s="157" t="n">
        <v>0.00258399491768069</v>
      </c>
      <c r="M10" s="157" t="n">
        <v>0.00250572573977292</v>
      </c>
      <c r="N10" s="157" t="n">
        <v>0.00260270667087625</v>
      </c>
      <c r="O10" s="157" t="n">
        <v>0.00280250063761245</v>
      </c>
      <c r="P10" s="157" t="n">
        <v>0.00279228048179836</v>
      </c>
      <c r="Q10" s="157" t="n">
        <v>0.0315061451814078</v>
      </c>
      <c r="R10" s="147" t="n"/>
      <c r="S10" s="147" t="n"/>
      <c r="T10" s="147" t="n"/>
      <c r="U10" s="147" t="n"/>
      <c r="V10" s="147" t="n"/>
      <c r="W10" s="147" t="n"/>
      <c r="X10" s="147" t="n"/>
    </row>
    <row r="11" ht="15" customHeight="1" s="86">
      <c r="B11" s="89" t="n"/>
      <c r="C11" s="154" t="n">
        <v>2016</v>
      </c>
      <c r="D11" s="155" t="inlineStr">
        <is>
          <t>ICP</t>
        </is>
      </c>
      <c r="E11" s="157" t="n">
        <v>0.00292143848844884</v>
      </c>
      <c r="F11" s="157" t="n">
        <v>0.00301800055682233</v>
      </c>
      <c r="G11" s="157" t="n">
        <v>0.00301838909166019</v>
      </c>
      <c r="H11" s="157" t="n">
        <v>0.00282284688592904</v>
      </c>
      <c r="I11" s="157" t="n">
        <v>0.00311616114365942</v>
      </c>
      <c r="J11" s="157" t="n">
        <v>0.00292053779189994</v>
      </c>
      <c r="K11" s="157" t="n">
        <v>0.00301789329992586</v>
      </c>
      <c r="L11" s="157" t="n">
        <v>0.00301814267604783</v>
      </c>
      <c r="M11" s="157" t="n">
        <v>0.00292476533859487</v>
      </c>
      <c r="N11" s="157" t="n">
        <v>0.00301361779628562</v>
      </c>
      <c r="O11" s="157" t="n">
        <v>0.00292018807560002</v>
      </c>
      <c r="P11" s="157" t="n">
        <v>0.00304018448549392</v>
      </c>
      <c r="Q11" s="157" t="n">
        <v>0.0363438378902297</v>
      </c>
      <c r="R11" s="147" t="n"/>
      <c r="S11" s="147" t="n"/>
      <c r="T11" s="147" t="n"/>
      <c r="U11" s="147" t="n"/>
      <c r="V11" s="147" t="n"/>
      <c r="W11" s="147" t="n"/>
      <c r="X11" s="147" t="n"/>
    </row>
    <row r="12" ht="15" customHeight="1" s="86">
      <c r="B12" s="89" t="n"/>
      <c r="C12" s="154" t="n">
        <v>2017</v>
      </c>
      <c r="D12" s="155" t="inlineStr">
        <is>
          <t>ICP</t>
        </is>
      </c>
      <c r="E12" s="157" t="n">
        <v>0.00289654086839919</v>
      </c>
      <c r="F12" s="157" t="n">
        <v>0.00250151941384136</v>
      </c>
      <c r="G12" s="157" t="n">
        <v>0.00270212204289333</v>
      </c>
      <c r="H12" s="157" t="n">
        <v>0.00225491285505464</v>
      </c>
      <c r="I12" s="157" t="n">
        <v>0.00243746844425052</v>
      </c>
      <c r="J12" s="157" t="n">
        <v>0.00208725757609263</v>
      </c>
      <c r="K12" s="157" t="n">
        <v>0.00215649106641025</v>
      </c>
      <c r="L12" s="157" t="n">
        <v>0.00215410978052844</v>
      </c>
      <c r="M12" s="157" t="n">
        <v>0.00208250980763447</v>
      </c>
      <c r="N12" s="157" t="n">
        <v>0.00215785226135479</v>
      </c>
      <c r="O12" s="157" t="n">
        <v>0.00208595808442036</v>
      </c>
      <c r="P12" s="157" t="n">
        <v>0.0009027615992545091</v>
      </c>
      <c r="Q12" s="157" t="n">
        <v>0.0164608138929487</v>
      </c>
      <c r="R12" s="147" t="n"/>
      <c r="S12" s="147" t="n"/>
      <c r="T12" s="147" t="n"/>
      <c r="U12" s="147" t="n"/>
      <c r="V12" s="147" t="n"/>
      <c r="W12" s="147" t="n"/>
      <c r="X12" s="147" t="n"/>
    </row>
    <row r="13" ht="15" customHeight="1" s="86">
      <c r="B13" s="89" t="n"/>
      <c r="C13" s="154" t="n">
        <v>2018</v>
      </c>
      <c r="D13" s="155" t="inlineStr">
        <is>
          <t>ICP</t>
        </is>
      </c>
      <c r="E13" s="157" t="n">
        <v>0.00340412389130984</v>
      </c>
      <c r="F13" s="157" t="n">
        <v>0.00194219908460713</v>
      </c>
      <c r="G13" s="157" t="n">
        <v>0.00215492892685987</v>
      </c>
      <c r="H13" s="157" t="n">
        <v>0.00207810036525014</v>
      </c>
      <c r="I13" s="157" t="n">
        <v>0.00214029399947346</v>
      </c>
      <c r="J13" s="157" t="n">
        <v>0.00208774934509837</v>
      </c>
      <c r="K13" s="157" t="n">
        <v>0.00215431340727967</v>
      </c>
      <c r="L13" s="157" t="n">
        <v>0.00214541461679341</v>
      </c>
      <c r="M13" s="157" t="n">
        <v>0.00204850697470471</v>
      </c>
      <c r="N13" s="157" t="n">
        <v>0.00227573083862054</v>
      </c>
      <c r="O13" s="157" t="n">
        <v>0.00229299572149211</v>
      </c>
      <c r="P13" s="157" t="n">
        <v>0.00236766559439183</v>
      </c>
      <c r="Q13" s="157" t="n">
        <v>0.0274301662224075</v>
      </c>
      <c r="R13" s="147" t="n"/>
      <c r="S13" s="147" t="n"/>
      <c r="T13" s="147" t="n"/>
      <c r="U13" s="147" t="n"/>
      <c r="V13" s="147" t="n"/>
      <c r="W13" s="147" t="n"/>
      <c r="X13" s="147" t="n"/>
    </row>
    <row r="14" ht="15" customHeight="1" s="86">
      <c r="B14" s="89" t="n"/>
      <c r="C14" s="154" t="n"/>
      <c r="D14" s="155" t="inlineStr">
        <is>
          <t>Competencia</t>
        </is>
      </c>
      <c r="E14" s="157" t="n">
        <v>0.00115156869187469</v>
      </c>
      <c r="F14" s="157" t="n">
        <v>0.00111383441741315</v>
      </c>
      <c r="G14" s="157" t="n">
        <v>0.0010695929665623</v>
      </c>
      <c r="H14" s="157" t="n">
        <v>0.00103307819838738</v>
      </c>
      <c r="I14" s="157" t="n">
        <v>0.00103307819838738</v>
      </c>
      <c r="J14" s="157" t="n">
        <v>0.0010162455429219</v>
      </c>
      <c r="K14" s="157" t="n">
        <v>0.00101563699319824</v>
      </c>
      <c r="L14" s="157" t="n">
        <v>0.00101844932273222</v>
      </c>
      <c r="M14" s="157" t="n">
        <v>0.00100933132248038</v>
      </c>
      <c r="N14" s="157" t="n">
        <v>0.00107535708180741</v>
      </c>
      <c r="O14" s="157" t="n">
        <v>0.00102533230582402</v>
      </c>
      <c r="P14" s="157" t="n">
        <v>0.00134728624527007</v>
      </c>
      <c r="Q14" s="157" t="n">
        <v>0.0119538751901545</v>
      </c>
      <c r="R14" s="147" t="n"/>
      <c r="S14" s="147" t="n"/>
      <c r="T14" s="147" t="n"/>
      <c r="U14" s="147" t="n"/>
      <c r="V14" s="147" t="n"/>
      <c r="W14" s="147" t="n"/>
      <c r="X14" s="147" t="n"/>
    </row>
    <row r="15" ht="15" customHeight="1" s="86">
      <c r="B15" s="89" t="n"/>
      <c r="C15" s="154" t="n"/>
      <c r="D15" s="155" t="inlineStr">
        <is>
          <t>FIP Monetario</t>
        </is>
      </c>
      <c r="E15" s="157" t="n"/>
      <c r="F15" s="157" t="n"/>
      <c r="G15" s="157" t="n"/>
      <c r="H15" s="157" t="n"/>
      <c r="I15" s="157" t="n"/>
      <c r="J15" s="157" t="n"/>
      <c r="K15" s="157" t="n">
        <v>0.00239090322580655</v>
      </c>
      <c r="L15" s="157" t="n">
        <v>0.00231048526349511</v>
      </c>
      <c r="M15" s="157" t="n">
        <v>0.00225861410101258</v>
      </c>
      <c r="N15" s="157" t="n">
        <v>0.00225510652051238</v>
      </c>
      <c r="O15" s="157" t="n">
        <v>0.00244056224959266</v>
      </c>
      <c r="P15" s="157" t="n">
        <v>0.00239090533869362</v>
      </c>
      <c r="Q15" s="157" t="n">
        <v>0.0144443115499147</v>
      </c>
      <c r="R15" s="147" t="n"/>
      <c r="S15" s="147" t="n"/>
      <c r="T15" s="147" t="n"/>
      <c r="U15" s="147" t="n"/>
      <c r="V15" s="147" t="n"/>
      <c r="W15" s="147" t="n"/>
      <c r="X15" s="147" t="n"/>
    </row>
    <row r="16" ht="15" customHeight="1" s="86">
      <c r="C16" s="154" t="n">
        <v>2019</v>
      </c>
      <c r="D16" s="155" t="inlineStr">
        <is>
          <t>ICP</t>
        </is>
      </c>
      <c r="E16" s="157" t="n">
        <v>0.00245094889178499</v>
      </c>
      <c r="F16" s="157" t="n">
        <v>0.00225286279810244</v>
      </c>
      <c r="G16" s="157" t="n">
        <v>0.00258331544634016</v>
      </c>
      <c r="H16" s="157" t="n">
        <v>0.00250042980360954</v>
      </c>
      <c r="I16" s="157" t="n">
        <v>0.00258587170301361</v>
      </c>
      <c r="J16" s="157" t="n">
        <v>0.00222096474534483</v>
      </c>
      <c r="K16" s="157" t="n">
        <v>0.00214680842042658</v>
      </c>
      <c r="L16" s="157" t="n">
        <v>0.00215506276406074</v>
      </c>
      <c r="M16" s="157" t="n">
        <v>0.00172183908660228</v>
      </c>
      <c r="N16" s="157" t="n">
        <v>0.00167150623880685</v>
      </c>
      <c r="O16" s="157" t="n">
        <v>0.00142138128563651</v>
      </c>
      <c r="P16" s="157" t="n">
        <v>0.00148329051167395</v>
      </c>
      <c r="Q16" s="157" t="n">
        <v>0.0254862524454487</v>
      </c>
      <c r="R16" s="147" t="n"/>
      <c r="S16" s="147" t="n"/>
      <c r="T16" s="147" t="n"/>
      <c r="U16" s="147" t="n"/>
      <c r="V16" s="147" t="n"/>
      <c r="W16" s="147" t="n"/>
      <c r="X16" s="147" t="n"/>
    </row>
    <row r="17" ht="15" customHeight="1" s="86">
      <c r="C17" s="154" t="n"/>
      <c r="D17" s="155" t="inlineStr">
        <is>
          <t>Competencia</t>
        </is>
      </c>
      <c r="E17" s="157" t="n">
        <v>0.00132101500258492</v>
      </c>
      <c r="F17" s="157" t="n">
        <v>0.00139557333557535</v>
      </c>
      <c r="G17" s="157" t="n">
        <v>0.00140221374318612</v>
      </c>
      <c r="H17" s="157" t="n">
        <v>0.0014166869166139</v>
      </c>
      <c r="I17" s="157" t="n">
        <v>0.001323276436851</v>
      </c>
      <c r="J17" s="157" t="n">
        <v>0.00119907123395202</v>
      </c>
      <c r="K17" s="157" t="n">
        <v>0.00100369403718635</v>
      </c>
      <c r="L17" s="157" t="n">
        <v>0.000930980550613598</v>
      </c>
      <c r="M17" s="157" t="n">
        <v>0.00106831679127084</v>
      </c>
      <c r="N17" s="157" t="n">
        <v>0.000629317835035443</v>
      </c>
      <c r="O17" s="157" t="n">
        <v>0.000691726317945118</v>
      </c>
      <c r="P17" s="157" t="n">
        <v>0.000600412819311486</v>
      </c>
      <c r="Q17" s="157" t="n">
        <v>0.0132083855934591</v>
      </c>
      <c r="R17" s="147" t="n"/>
      <c r="S17" s="147" t="n"/>
      <c r="T17" s="147" t="n"/>
      <c r="U17" s="147" t="n"/>
      <c r="V17" s="147" t="n"/>
      <c r="W17" s="147" t="n"/>
      <c r="X17" s="147" t="n"/>
    </row>
    <row r="18" ht="15" customHeight="1" s="86">
      <c r="C18" s="154" t="n"/>
      <c r="D18" s="155" t="inlineStr">
        <is>
          <t>FIP Monetario</t>
        </is>
      </c>
      <c r="E18" s="157" t="n">
        <v>0.0022459141549415</v>
      </c>
      <c r="F18" s="157" t="n">
        <v>0.0023085060184216</v>
      </c>
      <c r="G18" s="157" t="n">
        <v>0.00218898092739167</v>
      </c>
      <c r="H18" s="157" t="n">
        <v>0.0027459273671504</v>
      </c>
      <c r="I18" s="157" t="n">
        <v>0.00248593097615003</v>
      </c>
      <c r="J18" s="157" t="n">
        <v>0.0026031201307124</v>
      </c>
      <c r="K18" s="157" t="n">
        <v>0.0020877762598395</v>
      </c>
      <c r="L18" s="157" t="n">
        <v>0.00188347140831262</v>
      </c>
      <c r="M18" s="157" t="n">
        <v>0.00178932376847318</v>
      </c>
      <c r="N18" s="157" t="n">
        <v>0.00137224784020175</v>
      </c>
      <c r="O18" s="157" t="n">
        <v>0.00159593266354796</v>
      </c>
      <c r="P18" s="157" t="n">
        <v>0.0019911043223412</v>
      </c>
      <c r="Q18" s="157" t="n">
        <v>0.0259215806137487</v>
      </c>
      <c r="R18" s="147" t="n"/>
      <c r="S18" s="147" t="n"/>
      <c r="T18" s="147" t="n"/>
      <c r="U18" s="147" t="n"/>
      <c r="V18" s="147" t="n"/>
      <c r="W18" s="147" t="n"/>
      <c r="X18" s="147" t="n"/>
    </row>
    <row r="19" ht="15" customHeight="1" s="86">
      <c r="C19" s="154" t="n">
        <v>2020</v>
      </c>
      <c r="D19" s="155" t="inlineStr">
        <is>
          <t>ICP</t>
        </is>
      </c>
      <c r="E19" s="157" t="n">
        <v>0.00165580849974623</v>
      </c>
      <c r="F19" s="157" t="n">
        <v>0.00137985861415579</v>
      </c>
      <c r="G19" s="157" t="n">
        <v>0.00113370544519409</v>
      </c>
      <c r="H19" s="157" t="n">
        <v>0.000456389184158024</v>
      </c>
      <c r="I19" s="157" t="n">
        <v>0.000456180988089194</v>
      </c>
      <c r="J19" s="157" t="n">
        <v>0.000455972981883601</v>
      </c>
      <c r="K19" s="157" t="n">
        <v>0.00045576516528234</v>
      </c>
      <c r="L19" s="157" t="n">
        <v>0</v>
      </c>
      <c r="M19" s="157" t="n">
        <v>0</v>
      </c>
      <c r="N19" s="157" t="n"/>
      <c r="O19" s="157" t="n"/>
      <c r="P19" s="157" t="n"/>
      <c r="Q19" s="157" t="n">
        <v>0.0114242137982119</v>
      </c>
      <c r="R19" s="147" t="n"/>
      <c r="S19" s="147" t="n"/>
      <c r="T19" s="147" t="n"/>
      <c r="U19" s="147" t="n"/>
      <c r="V19" s="147" t="n"/>
      <c r="W19" s="147" t="n"/>
      <c r="X19" s="147" t="n"/>
    </row>
    <row r="20" ht="15" customHeight="1" s="86">
      <c r="C20" s="154" t="n"/>
      <c r="D20" s="155" t="inlineStr">
        <is>
          <t>Competencia</t>
        </is>
      </c>
      <c r="E20" s="157" t="n">
        <v>0.0004940484389139421</v>
      </c>
      <c r="F20" s="157" t="n">
        <v>0.000492891285649559</v>
      </c>
      <c r="G20" s="157" t="n">
        <v>0.000917982620611394</v>
      </c>
      <c r="H20" s="157" t="n">
        <v>0.00220008663316351</v>
      </c>
      <c r="I20" s="157" t="n">
        <v>0.000310210869152602</v>
      </c>
      <c r="J20" s="157" t="n">
        <v>0.000100108302503399</v>
      </c>
      <c r="K20" s="157" t="n">
        <v>9.10097971425799e-05</v>
      </c>
      <c r="L20" s="157" t="n">
        <v>9.427594223330961e-05</v>
      </c>
      <c r="M20" s="157" t="n">
        <v>7.08706922130098e-05</v>
      </c>
      <c r="N20" s="157" t="n"/>
      <c r="O20" s="157" t="n"/>
      <c r="P20" s="157" t="n"/>
      <c r="Q20" s="157" t="n">
        <v>0.00643609870937449</v>
      </c>
      <c r="R20" s="147" t="n"/>
      <c r="S20" s="147" t="n"/>
      <c r="T20" s="147" t="n"/>
      <c r="U20" s="147" t="n"/>
      <c r="V20" s="147" t="n"/>
      <c r="W20" s="147" t="n"/>
      <c r="X20" s="147" t="n"/>
    </row>
    <row r="21" ht="15" customHeight="1" s="86">
      <c r="C21" s="154" t="n"/>
      <c r="D21" s="155" t="inlineStr">
        <is>
          <t>FIP Monetario</t>
        </is>
      </c>
      <c r="E21" s="157" t="n">
        <v>0.00134643612977508</v>
      </c>
      <c r="F21" s="157" t="n">
        <v>0.00124959219222616</v>
      </c>
      <c r="G21" s="157" t="n">
        <v>0.00114641720508078</v>
      </c>
      <c r="H21" s="157" t="n">
        <v>0.00102385097424995</v>
      </c>
      <c r="I21" s="157" t="n">
        <v>0.000611783340218465</v>
      </c>
      <c r="J21" s="157" t="n">
        <v>0.0005655505450066209</v>
      </c>
      <c r="K21" s="157" t="n">
        <v>0.000400312049773375</v>
      </c>
      <c r="L21" s="157" t="n">
        <v>0.000523673635227901</v>
      </c>
      <c r="M21" s="157" t="n">
        <v>0.000543222243625907</v>
      </c>
      <c r="N21" s="157" t="n">
        <v>0.0007</v>
      </c>
      <c r="O21" s="157" t="n">
        <v>0.0007</v>
      </c>
      <c r="P21" s="157" t="n">
        <v>0.0003</v>
      </c>
      <c r="Q21" s="157" t="n">
        <v>0.0100373424654509</v>
      </c>
      <c r="R21" s="147" t="n"/>
      <c r="S21" s="147" t="n"/>
      <c r="T21" s="147" t="n"/>
      <c r="U21" s="147" t="n"/>
      <c r="V21" s="147" t="n"/>
      <c r="W21" s="147" t="n"/>
      <c r="X21" s="147" t="n"/>
    </row>
    <row r="22" ht="15" customHeight="1" s="86">
      <c r="C22" s="154" t="n">
        <v>2021</v>
      </c>
      <c r="D22" s="155" t="inlineStr">
        <is>
          <t>ICP</t>
        </is>
      </c>
      <c r="E22" s="157">
        <f>+'Datos ICP (2)'!AE70</f>
        <v/>
      </c>
      <c r="F22" s="157">
        <f>+'Datos ICP (2)'!AF70</f>
        <v/>
      </c>
      <c r="G22" s="157">
        <f>+'Datos ICP (2)'!AG70</f>
        <v/>
      </c>
      <c r="H22" s="157">
        <f>+'Datos ICP (2)'!AH70</f>
        <v/>
      </c>
      <c r="I22" s="157">
        <f>+'Datos ICP (2)'!AI70</f>
        <v/>
      </c>
      <c r="J22" s="157">
        <f>+'Datos ICP (2)'!AJ70</f>
        <v/>
      </c>
      <c r="K22" s="157">
        <f>+'Datos ICP (2)'!AK70</f>
        <v/>
      </c>
      <c r="L22" s="157">
        <f>+'Datos ICP (2)'!AL70</f>
        <v/>
      </c>
      <c r="M22" s="157">
        <f>+'Datos ICP (2)'!AM70</f>
        <v/>
      </c>
      <c r="N22" s="157">
        <f>+'Datos ICP (2)'!AN70</f>
        <v/>
      </c>
      <c r="O22" s="157">
        <f>+'Datos ICP (2)'!AO70</f>
        <v/>
      </c>
      <c r="P22" s="157">
        <f>+'Datos ICP (2)'!AP70</f>
        <v/>
      </c>
      <c r="Q22" s="157">
        <f>+'Datos ICP (2)'!AQ70</f>
        <v/>
      </c>
      <c r="R22" s="147" t="n"/>
      <c r="S22" s="147" t="n"/>
      <c r="T22" s="147" t="n"/>
      <c r="U22" s="147" t="n"/>
      <c r="V22" s="147" t="n"/>
      <c r="W22" s="147" t="n"/>
      <c r="X22" s="147" t="n"/>
    </row>
    <row r="23" ht="15" customHeight="1" s="86">
      <c r="C23" s="154" t="n"/>
      <c r="D23" s="155" t="inlineStr">
        <is>
          <t>Competencia</t>
        </is>
      </c>
      <c r="E23" s="157">
        <f>+'Datos ICP (2)'!AE71</f>
        <v/>
      </c>
      <c r="F23" s="157">
        <f>+'Datos ICP (2)'!AF71</f>
        <v/>
      </c>
      <c r="G23" s="157">
        <f>+'Datos ICP (2)'!AG71</f>
        <v/>
      </c>
      <c r="H23" s="157">
        <f>+'Datos ICP (2)'!AH71</f>
        <v/>
      </c>
      <c r="I23" s="157">
        <f>+'Datos ICP (2)'!AI71</f>
        <v/>
      </c>
      <c r="J23" s="157">
        <f>+'Datos ICP (2)'!AJ71</f>
        <v/>
      </c>
      <c r="K23" s="157">
        <f>+'Datos ICP (2)'!AK71</f>
        <v/>
      </c>
      <c r="L23" s="157">
        <f>+'Datos ICP (2)'!AL71</f>
        <v/>
      </c>
      <c r="M23" s="157">
        <f>+'Datos ICP (2)'!AM71</f>
        <v/>
      </c>
      <c r="N23" s="157">
        <f>+'Datos ICP (2)'!AN71</f>
        <v/>
      </c>
      <c r="O23" s="157">
        <f>+'Datos ICP (2)'!AO71</f>
        <v/>
      </c>
      <c r="P23" s="157">
        <f>+'Datos ICP (2)'!AP71</f>
        <v/>
      </c>
      <c r="Q23" s="157">
        <f>+'Datos ICP (2)'!AQ71</f>
        <v/>
      </c>
      <c r="R23" s="147" t="n"/>
      <c r="S23" s="147" t="n"/>
      <c r="T23" s="147" t="n"/>
      <c r="U23" s="147" t="n"/>
      <c r="V23" s="147" t="n"/>
      <c r="W23" s="147" t="n"/>
      <c r="X23" s="147" t="n"/>
    </row>
    <row r="24" ht="15" customHeight="1" s="86">
      <c r="C24" s="154" t="n"/>
      <c r="D24" s="155" t="inlineStr">
        <is>
          <t>FIP Monetario</t>
        </is>
      </c>
      <c r="E24" s="157">
        <f>+'Datos ICP (2)'!AE72</f>
        <v/>
      </c>
      <c r="F24" s="157">
        <f>+'Datos ICP (2)'!AF72</f>
        <v/>
      </c>
      <c r="G24" s="157">
        <f>+'Datos ICP (2)'!AG72</f>
        <v/>
      </c>
      <c r="H24" s="157">
        <f>+'Datos ICP (2)'!AH72</f>
        <v/>
      </c>
      <c r="I24" s="157">
        <f>+'Datos ICP (2)'!AI72</f>
        <v/>
      </c>
      <c r="J24" s="157">
        <f>+'Datos ICP (2)'!AJ72</f>
        <v/>
      </c>
      <c r="K24" s="157">
        <f>+'Datos ICP (2)'!AK72</f>
        <v/>
      </c>
      <c r="L24" s="157">
        <f>+'Datos ICP (2)'!AL72</f>
        <v/>
      </c>
      <c r="M24" s="157">
        <f>+'Datos ICP (2)'!AM72</f>
        <v/>
      </c>
      <c r="N24" s="157">
        <f>+'Datos ICP (2)'!AN72</f>
        <v/>
      </c>
      <c r="O24" s="157">
        <f>+'Datos ICP (2)'!AO72</f>
        <v/>
      </c>
      <c r="P24" s="157">
        <f>+'Datos ICP (2)'!AP72</f>
        <v/>
      </c>
      <c r="Q24" s="157">
        <f>+'Datos ICP (2)'!AQ72</f>
        <v/>
      </c>
      <c r="R24" s="147" t="n"/>
      <c r="S24" s="147" t="n"/>
      <c r="T24" s="147" t="n"/>
      <c r="U24" s="147" t="n"/>
      <c r="V24" s="147" t="n"/>
      <c r="W24" s="147" t="n"/>
      <c r="X24" s="147" t="n"/>
    </row>
    <row r="25" ht="15" customHeight="1" s="86">
      <c r="C25" s="154" t="n">
        <v>2022</v>
      </c>
      <c r="D25" s="155" t="inlineStr">
        <is>
          <t>ICP</t>
        </is>
      </c>
      <c r="E25" s="157">
        <f>+'Datos ICP (2)'!AE73</f>
        <v/>
      </c>
      <c r="F25" s="157">
        <f>+'Datos ICP (2)'!AF73</f>
        <v/>
      </c>
      <c r="G25" s="157">
        <f>+'Datos ICP (2)'!AG73</f>
        <v/>
      </c>
      <c r="H25" s="157">
        <f>+'Datos ICP (2)'!AH73</f>
        <v/>
      </c>
      <c r="I25" s="157">
        <f>+'Datos ICP (2)'!AI73</f>
        <v/>
      </c>
      <c r="J25" s="157">
        <f>+'Datos ICP (2)'!AJ73</f>
        <v/>
      </c>
      <c r="K25" s="157">
        <f>+'Datos ICP (2)'!AK73</f>
        <v/>
      </c>
      <c r="L25" s="157">
        <f>+'Datos ICP (2)'!AL73</f>
        <v/>
      </c>
      <c r="M25" s="157">
        <f>+'Datos ICP (2)'!AM73</f>
        <v/>
      </c>
      <c r="N25" s="157">
        <f>+'Datos ICP (2)'!AN73</f>
        <v/>
      </c>
      <c r="O25" s="157">
        <f>+'Datos ICP (2)'!AO73</f>
        <v/>
      </c>
      <c r="P25" s="157">
        <f>+'Datos ICP (2)'!AP73</f>
        <v/>
      </c>
      <c r="Q25" s="157">
        <f>+'Datos ICP (2)'!AQ73</f>
        <v/>
      </c>
      <c r="R25" s="147" t="n"/>
      <c r="S25" s="147" t="n"/>
      <c r="T25" s="147" t="n"/>
      <c r="U25" s="147" t="n"/>
      <c r="V25" s="147" t="n"/>
      <c r="W25" s="147" t="n"/>
      <c r="X25" s="147" t="n"/>
    </row>
    <row r="26" ht="15" customHeight="1" s="86">
      <c r="C26" s="154" t="n"/>
      <c r="D26" s="155" t="inlineStr">
        <is>
          <t>Competencia</t>
        </is>
      </c>
      <c r="E26" s="157">
        <f>+'Datos ICP (2)'!AE74</f>
        <v/>
      </c>
      <c r="F26" s="157">
        <f>+'Datos ICP (2)'!AF74</f>
        <v/>
      </c>
      <c r="G26" s="157">
        <f>+'Datos ICP (2)'!AG74</f>
        <v/>
      </c>
      <c r="H26" s="157">
        <f>+'Datos ICP (2)'!AH74</f>
        <v/>
      </c>
      <c r="I26" s="157">
        <f>+'Datos ICP (2)'!AI74</f>
        <v/>
      </c>
      <c r="J26" s="157">
        <f>+'Datos ICP (2)'!AJ74</f>
        <v/>
      </c>
      <c r="K26" s="157">
        <f>+'Datos ICP (2)'!AK74</f>
        <v/>
      </c>
      <c r="L26" s="157">
        <f>+'Datos ICP (2)'!AL74</f>
        <v/>
      </c>
      <c r="M26" s="157">
        <f>+'Datos ICP (2)'!AM74</f>
        <v/>
      </c>
      <c r="N26" s="157">
        <f>+'Datos ICP (2)'!AN74</f>
        <v/>
      </c>
      <c r="O26" s="157">
        <f>+'Datos ICP (2)'!AO74</f>
        <v/>
      </c>
      <c r="P26" s="157">
        <f>+'Datos ICP (2)'!AP74</f>
        <v/>
      </c>
      <c r="Q26" s="157">
        <f>+'Datos ICP (2)'!AQ74</f>
        <v/>
      </c>
      <c r="R26" s="147" t="n"/>
      <c r="S26" s="147" t="n"/>
      <c r="T26" s="147" t="n"/>
      <c r="U26" s="147" t="n"/>
      <c r="V26" s="147" t="n"/>
      <c r="W26" s="147" t="n"/>
      <c r="X26" s="147" t="n"/>
    </row>
    <row r="27" ht="15" customHeight="1" s="86">
      <c r="C27" s="154" t="n"/>
      <c r="D27" s="155" t="inlineStr">
        <is>
          <t>FIP Monetario</t>
        </is>
      </c>
      <c r="E27" s="157">
        <f>+'Datos ICP (2)'!AE75</f>
        <v/>
      </c>
      <c r="F27" s="157">
        <f>+'Datos ICP (2)'!AF75</f>
        <v/>
      </c>
      <c r="G27" s="157">
        <f>+'Datos ICP (2)'!AG75</f>
        <v/>
      </c>
      <c r="H27" s="157">
        <f>+'Datos ICP (2)'!AH75</f>
        <v/>
      </c>
      <c r="I27" s="157">
        <f>+'Datos ICP (2)'!AI75</f>
        <v/>
      </c>
      <c r="J27" s="157">
        <f>+'Datos ICP (2)'!AJ75</f>
        <v/>
      </c>
      <c r="K27" s="157">
        <f>+'Datos ICP (2)'!AK75</f>
        <v/>
      </c>
      <c r="L27" s="157">
        <f>+'Datos ICP (2)'!AL75</f>
        <v/>
      </c>
      <c r="M27" s="157">
        <f>+'Datos ICP (2)'!AM75</f>
        <v/>
      </c>
      <c r="N27" s="157">
        <f>+'Datos ICP (2)'!AN75</f>
        <v/>
      </c>
      <c r="O27" s="157">
        <f>+'Datos ICP (2)'!AO75</f>
        <v/>
      </c>
      <c r="P27" s="157">
        <f>+'Datos ICP (2)'!AP75</f>
        <v/>
      </c>
      <c r="Q27" s="157">
        <f>+'Datos ICP (2)'!AQ75</f>
        <v/>
      </c>
      <c r="R27" s="147" t="n"/>
      <c r="S27" s="147" t="n"/>
      <c r="T27" s="147" t="n"/>
      <c r="U27" s="147" t="n"/>
      <c r="V27" s="147" t="n"/>
      <c r="W27" s="147" t="n"/>
      <c r="X27" s="147" t="n"/>
    </row>
    <row r="28" ht="15" customHeight="1" s="86">
      <c r="C28" s="154" t="n">
        <v>2023</v>
      </c>
      <c r="D28" s="155" t="inlineStr">
        <is>
          <t>ICP</t>
        </is>
      </c>
      <c r="E28" s="157">
        <f>+'Datos ICP (2)'!AE76</f>
        <v/>
      </c>
      <c r="F28" s="157">
        <f>+'Datos ICP (2)'!AF76</f>
        <v/>
      </c>
      <c r="G28" s="157">
        <f>+'Datos ICP (2)'!AG76</f>
        <v/>
      </c>
      <c r="H28" s="157">
        <f>+'Datos ICP (2)'!AH76</f>
        <v/>
      </c>
      <c r="I28" s="157">
        <f>+'Datos ICP (2)'!AI76</f>
        <v/>
      </c>
      <c r="J28" s="157">
        <f>+'Datos ICP (2)'!AJ76</f>
        <v/>
      </c>
      <c r="K28" s="157">
        <f>+'Datos ICP (2)'!AK76</f>
        <v/>
      </c>
      <c r="L28" s="157">
        <f>+'Datos ICP (2)'!AL76</f>
        <v/>
      </c>
      <c r="M28" s="157">
        <f>+'Datos ICP (2)'!AM76</f>
        <v/>
      </c>
      <c r="N28" s="157">
        <f>+'Datos ICP (2)'!AN76</f>
        <v/>
      </c>
      <c r="O28" s="157">
        <f>+'Datos ICP (2)'!AO76</f>
        <v/>
      </c>
      <c r="P28" s="157">
        <f>+'Datos ICP (2)'!AP76</f>
        <v/>
      </c>
      <c r="Q28" s="157">
        <f>+'Datos ICP (2)'!AQ76</f>
        <v/>
      </c>
      <c r="R28" s="147" t="n"/>
      <c r="S28" s="147" t="n"/>
      <c r="T28" s="147" t="n"/>
      <c r="U28" s="147" t="n"/>
      <c r="V28" s="147" t="n"/>
      <c r="W28" s="147" t="n"/>
      <c r="X28" s="147" t="n"/>
    </row>
    <row r="29" ht="15" customHeight="1" s="86">
      <c r="C29" s="158" t="n"/>
      <c r="D29" s="155" t="inlineStr">
        <is>
          <t>Competencia</t>
        </is>
      </c>
      <c r="E29" s="157">
        <f>+'Datos ICP (2)'!AE77</f>
        <v/>
      </c>
      <c r="F29" s="157">
        <f>+'Datos ICP (2)'!AF77</f>
        <v/>
      </c>
      <c r="G29" s="157">
        <f>+'Datos ICP (2)'!AG77</f>
        <v/>
      </c>
      <c r="H29" s="157">
        <f>+'Datos ICP (2)'!AH77</f>
        <v/>
      </c>
      <c r="I29" s="157">
        <f>+'Datos ICP (2)'!AI77</f>
        <v/>
      </c>
      <c r="J29" s="157">
        <f>+'Datos ICP (2)'!AJ77</f>
        <v/>
      </c>
      <c r="K29" s="157">
        <f>+'Datos ICP (2)'!AK77</f>
        <v/>
      </c>
      <c r="L29" s="157">
        <f>+'Datos ICP (2)'!AL77</f>
        <v/>
      </c>
      <c r="M29" s="157">
        <f>+'Datos ICP (2)'!AM77</f>
        <v/>
      </c>
      <c r="N29" s="157">
        <f>+'Datos ICP (2)'!AN77</f>
        <v/>
      </c>
      <c r="O29" s="157">
        <f>+'Datos ICP (2)'!AO77</f>
        <v/>
      </c>
      <c r="P29" s="157">
        <f>+'Datos ICP (2)'!AP77</f>
        <v/>
      </c>
      <c r="Q29" s="157">
        <f>+'Datos ICP (2)'!AQ77</f>
        <v/>
      </c>
      <c r="R29" s="147" t="n"/>
      <c r="S29" s="147" t="n"/>
      <c r="T29" s="147" t="n"/>
      <c r="U29" s="147" t="n"/>
      <c r="V29" s="147" t="n"/>
      <c r="W29" s="147" t="n"/>
      <c r="X29" s="147" t="n"/>
    </row>
    <row r="30" ht="15" customHeight="1" s="86">
      <c r="C30" s="158" t="n"/>
      <c r="D30" s="155" t="inlineStr">
        <is>
          <t>FIP Monetario</t>
        </is>
      </c>
      <c r="E30" s="157">
        <f>+'Datos ICP (2)'!AE78</f>
        <v/>
      </c>
      <c r="F30" s="157">
        <f>+'Datos ICP (2)'!AF78</f>
        <v/>
      </c>
      <c r="G30" s="157">
        <f>+'Datos ICP (2)'!AG78</f>
        <v/>
      </c>
      <c r="H30" s="157">
        <f>+'Datos ICP (2)'!AH78</f>
        <v/>
      </c>
      <c r="I30" s="157">
        <f>+'Datos ICP (2)'!AI78</f>
        <v/>
      </c>
      <c r="J30" s="157">
        <f>+'Datos ICP (2)'!AJ78</f>
        <v/>
      </c>
      <c r="K30" s="157">
        <f>+'Datos ICP (2)'!AK78</f>
        <v/>
      </c>
      <c r="L30" s="157">
        <f>+'Datos ICP (2)'!AL78</f>
        <v/>
      </c>
      <c r="M30" s="157">
        <f>+'Datos ICP (2)'!AM78</f>
        <v/>
      </c>
      <c r="N30" s="157">
        <f>+'Datos ICP (2)'!AN78</f>
        <v/>
      </c>
      <c r="O30" s="157">
        <f>+'Datos ICP (2)'!AO78</f>
        <v/>
      </c>
      <c r="P30" s="157">
        <f>+'Datos ICP (2)'!AP78</f>
        <v/>
      </c>
      <c r="Q30" s="157">
        <f>+'Datos ICP (2)'!AQ78</f>
        <v/>
      </c>
      <c r="R30" s="147" t="n"/>
      <c r="S30" s="147" t="n"/>
      <c r="T30" s="147" t="n"/>
      <c r="U30" s="147" t="n"/>
      <c r="V30" s="147" t="n"/>
      <c r="W30" s="147" t="n"/>
      <c r="X30" s="147" t="n"/>
    </row>
    <row r="31" ht="15" customHeight="1" s="86">
      <c r="C31" s="154" t="n">
        <v>2024</v>
      </c>
      <c r="D31" s="155" t="inlineStr">
        <is>
          <t>ICP</t>
        </is>
      </c>
      <c r="E31" s="157">
        <f>+'Datos ICP (2)'!AE79</f>
        <v/>
      </c>
      <c r="F31" s="157">
        <f>+'Datos ICP (2)'!AF79</f>
        <v/>
      </c>
      <c r="G31" s="157">
        <f>+'Datos ICP (2)'!AG79</f>
        <v/>
      </c>
      <c r="H31" s="157">
        <f>+'Datos ICP (2)'!AH79</f>
        <v/>
      </c>
      <c r="I31" s="157">
        <f>+'Datos ICP (2)'!AI79</f>
        <v/>
      </c>
      <c r="J31" s="157">
        <f>+'Datos ICP (2)'!AJ79</f>
        <v/>
      </c>
      <c r="K31" s="157">
        <f>+'Datos ICP (2)'!AK79</f>
        <v/>
      </c>
      <c r="L31" s="157">
        <f>+'Datos ICP (2)'!AL79</f>
        <v/>
      </c>
      <c r="M31" s="157">
        <f>+'Datos ICP (2)'!AM79</f>
        <v/>
      </c>
      <c r="N31" s="157">
        <f>+'Datos ICP (2)'!AN79</f>
        <v/>
      </c>
      <c r="O31" s="157">
        <f>+'Datos ICP (2)'!AO79</f>
        <v/>
      </c>
      <c r="P31" s="157">
        <f>+'Datos ICP (2)'!AP79</f>
        <v/>
      </c>
      <c r="Q31" s="157">
        <f>+'Datos ICP (2)'!AQ79</f>
        <v/>
      </c>
      <c r="R31" s="147" t="n"/>
      <c r="S31" s="147" t="n"/>
      <c r="T31" s="147" t="n"/>
      <c r="U31" s="147" t="n"/>
      <c r="V31" s="147" t="n"/>
      <c r="W31" s="147" t="n"/>
      <c r="X31" s="147" t="n"/>
    </row>
    <row r="32" ht="15" customHeight="1" s="86">
      <c r="C32" s="158" t="n"/>
      <c r="D32" s="155" t="inlineStr">
        <is>
          <t>Competencia</t>
        </is>
      </c>
      <c r="E32" s="157">
        <f>+'Datos ICP (2)'!AE80</f>
        <v/>
      </c>
      <c r="F32" s="157">
        <f>+'Datos ICP (2)'!AF80</f>
        <v/>
      </c>
      <c r="G32" s="157">
        <f>+'Datos ICP (2)'!AG80</f>
        <v/>
      </c>
      <c r="H32" s="157">
        <f>+'Datos ICP (2)'!AH80</f>
        <v/>
      </c>
      <c r="I32" s="157">
        <f>+'Datos ICP (2)'!AI80</f>
        <v/>
      </c>
      <c r="J32" s="157">
        <f>+'Datos ICP (2)'!AJ80</f>
        <v/>
      </c>
      <c r="K32" s="157">
        <f>+'Datos ICP (2)'!AK80</f>
        <v/>
      </c>
      <c r="L32" s="157">
        <f>+'Datos ICP (2)'!AL80</f>
        <v/>
      </c>
      <c r="M32" s="157">
        <f>+'Datos ICP (2)'!AM80</f>
        <v/>
      </c>
      <c r="N32" s="157">
        <f>+'Datos ICP (2)'!AN80</f>
        <v/>
      </c>
      <c r="O32" s="157">
        <f>+'Datos ICP (2)'!AO80</f>
        <v/>
      </c>
      <c r="P32" s="157">
        <f>+'Datos ICP (2)'!AP80</f>
        <v/>
      </c>
      <c r="Q32" s="157">
        <f>+'Datos ICP (2)'!AQ80</f>
        <v/>
      </c>
      <c r="R32" s="147" t="n"/>
      <c r="S32" s="147" t="n"/>
      <c r="T32" s="147" t="n"/>
      <c r="U32" s="147" t="n"/>
      <c r="V32" s="147" t="n"/>
      <c r="W32" s="147" t="n"/>
      <c r="X32" s="147" t="n"/>
    </row>
    <row r="33" ht="15" customHeight="1" s="86">
      <c r="C33" s="158" t="n"/>
      <c r="D33" s="155" t="inlineStr">
        <is>
          <t>FIP Monetario</t>
        </is>
      </c>
      <c r="E33" s="157">
        <f>+'Datos ICP (2)'!AE81</f>
        <v/>
      </c>
      <c r="F33" s="157">
        <f>+'Datos ICP (2)'!AF81</f>
        <v/>
      </c>
      <c r="G33" s="157">
        <f>+'Datos ICP (2)'!AG81</f>
        <v/>
      </c>
      <c r="H33" s="157">
        <f>+'Datos ICP (2)'!AH81</f>
        <v/>
      </c>
      <c r="I33" s="157">
        <f>+'Datos ICP (2)'!AI81</f>
        <v/>
      </c>
      <c r="J33" s="157">
        <f>+'Datos ICP (2)'!AJ81</f>
        <v/>
      </c>
      <c r="K33" s="157">
        <f>+'Datos ICP (2)'!AK81</f>
        <v/>
      </c>
      <c r="L33" s="157">
        <f>+'Datos ICP (2)'!AL81</f>
        <v/>
      </c>
      <c r="M33" s="157">
        <f>+'Datos ICP (2)'!AM81</f>
        <v/>
      </c>
      <c r="N33" s="157">
        <f>+'Datos ICP (2)'!AN81</f>
        <v/>
      </c>
      <c r="O33" s="157">
        <f>+'Datos ICP (2)'!AO81</f>
        <v/>
      </c>
      <c r="P33" s="157">
        <f>+'Datos ICP (2)'!AP81</f>
        <v/>
      </c>
      <c r="Q33" s="157">
        <f>+'Datos ICP (2)'!AQ81</f>
        <v/>
      </c>
      <c r="R33" s="147" t="n"/>
      <c r="S33" s="147" t="n"/>
      <c r="T33" s="147" t="n"/>
      <c r="U33" s="147" t="n"/>
      <c r="V33" s="147" t="n"/>
      <c r="W33" s="147" t="n"/>
      <c r="X33" s="147" t="n"/>
    </row>
    <row r="34" ht="14.25" customHeight="1" s="86">
      <c r="C34" s="154" t="n">
        <v>2025</v>
      </c>
      <c r="D34" s="155" t="inlineStr">
        <is>
          <t>ICP</t>
        </is>
      </c>
      <c r="E34" s="157" t="n">
        <v>0.004166666666666652</v>
      </c>
      <c r="F34" s="85" t="n">
        <v>0.004166666666666652</v>
      </c>
      <c r="G34" s="85" t="n">
        <v>0.004166666666666652</v>
      </c>
      <c r="H34" s="85" t="n">
        <v>0.004166666666666652</v>
      </c>
      <c r="I34" s="85" t="n">
        <v>0.004166666666666652</v>
      </c>
      <c r="J34" s="85" t="n">
        <v>0.004166666666666652</v>
      </c>
      <c r="K34" s="85" t="n">
        <v>0.004147727272727275</v>
      </c>
      <c r="L34" s="85" t="n">
        <v>0.003958333333333286</v>
      </c>
      <c r="M34" s="85" t="n">
        <v>0.003958333333333286</v>
      </c>
      <c r="N34" s="85" t="n">
        <v>0.003958333333333286</v>
      </c>
      <c r="O34" s="85" t="n">
        <v>0.003958333333333286</v>
      </c>
      <c r="P34" s="85" t="n">
        <v>0.003859126984127048</v>
      </c>
      <c r="Q34" s="157" t="n">
        <v>0.04994836701515859</v>
      </c>
    </row>
    <row r="35" ht="14.25" customHeight="1" s="86">
      <c r="C35" s="158" t="n"/>
      <c r="D35" s="155" t="inlineStr">
        <is>
          <t>Competencia</t>
        </is>
      </c>
      <c r="E35" s="157" t="n">
        <v>-0.1127766477272006</v>
      </c>
      <c r="F35" s="85" t="n">
        <v>0.00276213771028111</v>
      </c>
      <c r="G35" s="85" t="n">
        <v>0.00306282692323312</v>
      </c>
      <c r="H35" s="85" t="n">
        <v>0.002975949685819046</v>
      </c>
      <c r="I35" s="85" t="n">
        <v>0.003089762522795025</v>
      </c>
      <c r="J35" s="85" t="n">
        <v>0.002997052457427207</v>
      </c>
      <c r="K35" s="85" t="n">
        <v>0.002950549527913626</v>
      </c>
      <c r="L35" s="85" t="n">
        <v>0.00300054219083834</v>
      </c>
      <c r="M35" s="85" t="n">
        <v>0.00276161496613736</v>
      </c>
      <c r="N35" s="85" t="n">
        <v>0.002865194724478659</v>
      </c>
      <c r="O35" s="85" t="n">
        <v>0.002795015763199071</v>
      </c>
      <c r="P35" s="85" t="n">
        <v>0.002837766499276029</v>
      </c>
      <c r="Q35" s="157" t="n">
        <v>-0.08387908560357893</v>
      </c>
    </row>
    <row r="36" ht="14.25" customHeight="1" s="86">
      <c r="C36" s="158" t="n"/>
      <c r="D36" s="155" t="inlineStr">
        <is>
          <t>FIP Monetario</t>
        </is>
      </c>
      <c r="E36" s="157" t="n"/>
      <c r="L36" s="85" t="n">
        <v>0.006426510152006903</v>
      </c>
      <c r="M36" s="85" t="n">
        <v>0.006112059104178336</v>
      </c>
      <c r="N36" s="85" t="n">
        <v>0.006229495967897014</v>
      </c>
      <c r="O36" s="85" t="n">
        <v>0.006112275219638308</v>
      </c>
      <c r="P36" s="85" t="n">
        <v>0.006062562145040307</v>
      </c>
      <c r="Q36" s="157" t="n">
        <v>0.03132822163542381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24"/>
  <sheetViews>
    <sheetView showFormulas="0" showGridLines="0" showRowColHeaders="1" showZeros="1" rightToLeft="0" tabSelected="1" showOutlineSymbols="1" defaultGridColor="1" view="normal" topLeftCell="K1" colorId="64" zoomScale="100" zoomScaleNormal="100" zoomScalePageLayoutView="100" workbookViewId="0">
      <selection pane="topLeft" activeCell="P22" activeCellId="0" sqref="P22"/>
    </sheetView>
  </sheetViews>
  <sheetFormatPr baseColWidth="8" defaultColWidth="11.42578125" defaultRowHeight="14.25" zeroHeight="0" outlineLevelRow="0"/>
  <cols>
    <col width="14.29" customWidth="1" style="85" min="1" max="1"/>
    <col width="15.29" customWidth="1" style="85" min="2" max="2"/>
    <col width="11.57" customWidth="1" style="85" min="9" max="10"/>
    <col width="28.42" customWidth="1" style="85" min="11" max="11"/>
    <col width="11.57" customWidth="1" style="85" min="13" max="13"/>
    <col width="16.14" customWidth="1" style="85" min="14" max="14"/>
    <col width="38.86" customWidth="1" style="85" min="15" max="15"/>
    <col width="8" customWidth="1" style="85" min="16" max="16"/>
    <col width="28.71" customWidth="1" style="85" min="19" max="19"/>
  </cols>
  <sheetData>
    <row r="1" ht="14.25" customHeight="1" s="86">
      <c r="B1" s="159" t="n"/>
      <c r="C1" s="160" t="n"/>
      <c r="J1" s="161" t="inlineStr">
        <is>
          <t>Duración</t>
        </is>
      </c>
      <c r="K1" s="159" t="n"/>
      <c r="L1" s="162" t="n"/>
      <c r="N1" s="161" t="inlineStr">
        <is>
          <t>Instrumentos</t>
        </is>
      </c>
      <c r="O1" s="159" t="n"/>
      <c r="P1" s="162" t="n"/>
      <c r="R1" s="161" t="inlineStr">
        <is>
          <t>Moneda</t>
        </is>
      </c>
      <c r="S1" s="159" t="n"/>
      <c r="T1" s="162" t="n"/>
    </row>
    <row r="2" ht="14.25" customHeight="1" s="86">
      <c r="C2" s="160" t="n"/>
      <c r="O2" s="163" t="inlineStr">
        <is>
          <t>Bono</t>
        </is>
      </c>
      <c r="P2" s="164" t="n">
        <v>0</v>
      </c>
    </row>
    <row r="3" ht="14.25" customHeight="1" s="86">
      <c r="C3" s="160" t="n"/>
      <c r="K3" s="163" t="inlineStr">
        <is>
          <t>Menos de 1 mes</t>
        </is>
      </c>
      <c r="L3" s="164" t="n">
        <v>1</v>
      </c>
      <c r="O3" s="163" t="inlineStr">
        <is>
          <t>Depósitos</t>
        </is>
      </c>
      <c r="P3" s="164" t="n">
        <v>0</v>
      </c>
      <c r="S3" s="163" t="inlineStr">
        <is>
          <t>Pesos</t>
        </is>
      </c>
      <c r="T3" s="164" t="n">
        <v>0.982676864212738</v>
      </c>
    </row>
    <row r="4" ht="14.25" customHeight="1" s="86">
      <c r="C4" s="160" t="n"/>
      <c r="K4" s="163" t="inlineStr">
        <is>
          <t>1-3 meses</t>
        </is>
      </c>
      <c r="L4" s="164" t="n">
        <v>0</v>
      </c>
      <c r="O4" s="163" t="inlineStr">
        <is>
          <t>Factoring</t>
        </is>
      </c>
      <c r="P4" s="164" t="n">
        <v>0</v>
      </c>
      <c r="S4" s="163" t="inlineStr">
        <is>
          <t>UF</t>
        </is>
      </c>
      <c r="T4" s="164" t="n">
        <v>0.0173231357872617</v>
      </c>
    </row>
    <row r="5" ht="14.25" customHeight="1" s="86">
      <c r="A5" s="159" t="n"/>
      <c r="B5" s="159" t="n"/>
      <c r="C5" s="160" t="n"/>
      <c r="K5" s="163" t="inlineStr">
        <is>
          <t>3-4 meses</t>
        </is>
      </c>
      <c r="L5" s="164" t="n">
        <v>0</v>
      </c>
      <c r="O5" s="163" t="inlineStr">
        <is>
          <t>Financiamiento Inmobiliario</t>
        </is>
      </c>
      <c r="P5" s="164" t="n">
        <v>0.013080307684046</v>
      </c>
    </row>
    <row r="6" ht="14.25" customHeight="1" s="86">
      <c r="A6" s="159" t="n"/>
      <c r="B6" s="159" t="n"/>
      <c r="C6" s="160" t="n"/>
      <c r="K6" s="163" t="inlineStr">
        <is>
          <t>Más de 4 meses</t>
        </is>
      </c>
      <c r="L6" s="164" t="n">
        <v>0</v>
      </c>
      <c r="O6" s="163" t="inlineStr">
        <is>
          <t>Financiamiento Mesa Moneda Extranjera</t>
        </is>
      </c>
      <c r="P6" s="164" t="n">
        <v>0.986919692315954</v>
      </c>
    </row>
    <row r="7" ht="14.25" customHeight="1" s="86">
      <c r="B7" s="159" t="n"/>
      <c r="C7" s="160" t="n"/>
      <c r="O7" s="163" t="inlineStr">
        <is>
          <t>Garantías</t>
        </is>
      </c>
      <c r="P7" s="164" t="n">
        <v>0</v>
      </c>
    </row>
    <row r="8" ht="14.25" customHeight="1" s="86">
      <c r="C8" s="160" t="n"/>
      <c r="O8" s="163" t="inlineStr">
        <is>
          <t>Nota Estructurada</t>
        </is>
      </c>
      <c r="P8" s="164" t="n">
        <v>0</v>
      </c>
      <c r="R8" s="165" t="n"/>
    </row>
    <row r="9" ht="14.25" customHeight="1" s="86">
      <c r="C9" s="160" t="n"/>
      <c r="O9" s="163" t="inlineStr">
        <is>
          <t>Financiamiento Mesa Renta Fija</t>
        </is>
      </c>
      <c r="P9" s="164" t="n">
        <v>0</v>
      </c>
    </row>
    <row r="10" ht="14.25" customHeight="1" s="86">
      <c r="C10" s="160" t="n"/>
      <c r="O10" s="163" t="inlineStr">
        <is>
          <t>Simultánea</t>
        </is>
      </c>
      <c r="P10" s="164" t="n">
        <v>0</v>
      </c>
    </row>
    <row r="11" ht="14.25" customHeight="1" s="86">
      <c r="C11" s="160" t="n"/>
      <c r="O11" s="163" t="inlineStr">
        <is>
          <t>Efectos de Comercio</t>
        </is>
      </c>
      <c r="P11" s="164" t="n">
        <v>0</v>
      </c>
    </row>
    <row r="12" hidden="1" ht="14.25" customHeight="1" s="86">
      <c r="C12" s="160" t="n"/>
      <c r="O12" s="163" t="n"/>
      <c r="P12" s="164" t="n"/>
    </row>
    <row r="13" ht="14.25" customHeight="1" s="86">
      <c r="C13" s="160" t="n"/>
      <c r="O13" s="163" t="inlineStr">
        <is>
          <t>Pagaré</t>
        </is>
      </c>
      <c r="P13" s="164" t="n">
        <v>0</v>
      </c>
    </row>
    <row r="14" hidden="1" ht="14.25" customHeight="1" s="86">
      <c r="A14" s="159" t="inlineStr">
        <is>
          <t>Facturas</t>
        </is>
      </c>
      <c r="B14" s="166" t="n">
        <v>0</v>
      </c>
      <c r="C14" s="160" t="n"/>
    </row>
    <row r="15" ht="14.25" customHeight="1" s="86">
      <c r="A15" s="159" t="n"/>
      <c r="B15" s="166" t="n"/>
      <c r="C15" s="160" t="n"/>
      <c r="P15" s="167">
        <f>SUM(P2:P13)</f>
        <v/>
      </c>
    </row>
    <row r="16" ht="14.25" customHeight="1" s="86">
      <c r="B16" s="159" t="n"/>
      <c r="C16" s="160" t="n"/>
    </row>
    <row r="17" ht="14.25" customHeight="1" s="86">
      <c r="C17" s="160" t="n"/>
    </row>
    <row r="18" ht="14.25" customHeight="1" s="86">
      <c r="C18" s="160" t="n"/>
    </row>
    <row r="19" ht="14.25" customHeight="1" s="86">
      <c r="C19" s="160" t="n"/>
    </row>
    <row r="20" ht="14.25" customHeight="1" s="86">
      <c r="C20" s="160" t="n"/>
    </row>
    <row r="21" ht="14.25" customHeight="1" s="86">
      <c r="C21" s="160" t="n"/>
      <c r="N21" s="168" t="n"/>
    </row>
    <row r="22" ht="14.25" customHeight="1" s="86">
      <c r="A22" s="160" t="n"/>
      <c r="B22" s="160" t="n"/>
      <c r="C22" s="160" t="n"/>
    </row>
    <row r="23" ht="14.25" customHeight="1" s="86">
      <c r="A23" s="160" t="n"/>
      <c r="B23" s="160" t="n"/>
      <c r="C23" s="160" t="n"/>
    </row>
    <row r="24" ht="14.25" customHeight="1" s="86">
      <c r="A24" s="160" t="n"/>
      <c r="B24" s="160" t="n"/>
      <c r="C24" s="160" t="n"/>
    </row>
  </sheetData>
  <autoFilter ref="K1:T24">
    <sortState ref="K2:T24">
      <sortCondition descending="1" ref="A2:A24" customList=""/>
    </sortState>
  </autoFilter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NCABEZAS</dc:creator>
  <dc:language xmlns:dc="http://purl.org/dc/elements/1.1/">en-US</dc:language>
  <dcterms:created xmlns:dcterms="http://purl.org/dc/terms/" xmlns:xsi="http://www.w3.org/2001/XMLSchema-instance" xsi:type="dcterms:W3CDTF">2018-12-10T21:02:38Z</dcterms:created>
  <dcterms:modified xmlns:dcterms="http://purl.org/dc/terms/" xmlns:xsi="http://www.w3.org/2001/XMLSchema-instance" xsi:type="dcterms:W3CDTF">2026-05-20T17:03:55Z</dcterms:modified>
  <cp:revision>6</cp:revision>
</cp:coreProperties>
</file>